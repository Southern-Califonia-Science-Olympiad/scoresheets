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oring" sheetId="1" state="visible" r:id="rId3"/>
    <sheet name="Constants" sheetId="2" state="visible" r:id="rId4"/>
    <sheet name="Export" sheetId="3" state="visible" r:id="rId5"/>
    <sheet name="Changelog" sheetId="4" state="visible" r:id="rId6"/>
    <sheet name="Vers" sheetId="5" state="visible" r:id="rId7"/>
    <sheet name="Info." sheetId="6" state="visible" r:id="rId8"/>
    <sheet name="Dropdowns" sheetId="7" state="hidden" r:id="rId9"/>
    <sheet name="ExportRaw" sheetId="8" state="hidden" r:id="rId10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<sst xmlns="http://schemas.openxmlformats.org/spreadsheetml/2006/main" count="154" uniqueCount="108">
  <si>
    <t xml:space="preserve">Check-In &amp; Practice Log</t>
  </si>
  <si>
    <t xml:space="preserve">Flight Time</t>
  </si>
  <si>
    <t xml:space="preserve">Breakdown</t>
  </si>
  <si>
    <t xml:space="preserve">Rank for this team with row() bump</t>
  </si>
  <si>
    <t xml:space="preserve">Rank for this team with same ranks split</t>
  </si>
  <si>
    <t xml:space="preserve">Team Number of this team</t>
  </si>
  <si>
    <t xml:space="preserve">Name of this school</t>
  </si>
  <si>
    <t xml:space="preserve">Name of this team</t>
  </si>
  <si>
    <t xml:space="preserve">Tier for this Team</t>
  </si>
  <si>
    <t xml:space="preserve">Score for this team</t>
  </si>
  <si>
    <t xml:space="preserve">Actual Rank for this team</t>
  </si>
  <si>
    <t xml:space="preserve">Final Rankings</t>
  </si>
  <si>
    <t xml:space="preserve">1. Met All Const Params (T/F)</t>
  </si>
  <si>
    <t xml:space="preserve">2. Practice Log (Complete / Incomplete / Not present)</t>
  </si>
  <si>
    <t xml:space="preserve">Flight 1</t>
  </si>
  <si>
    <t xml:space="preserve">Flight 2</t>
  </si>
  <si>
    <t xml:space="preserve">9. Disqualify (T/F)</t>
  </si>
  <si>
    <t xml:space="preserve">Scored Flight</t>
  </si>
  <si>
    <t xml:space="preserve">Raw Time</t>
  </si>
  <si>
    <t xml:space="preserve">Flight Multiplier</t>
  </si>
  <si>
    <t xml:space="preserve">Score</t>
  </si>
  <si>
    <t xml:space="preserve">Tier</t>
  </si>
  <si>
    <t xml:space="preserve">Tiebreaker</t>
  </si>
  <si>
    <t xml:space="preserve">Rank</t>
  </si>
  <si>
    <t xml:space="preserve">Points</t>
  </si>
  <si>
    <t xml:space="preserve">Team #</t>
  </si>
  <si>
    <t xml:space="preserve">School Name</t>
  </si>
  <si>
    <t xml:space="preserve">Team Name</t>
  </si>
  <si>
    <t xml:space="preserve">3. Median Flight Time</t>
  </si>
  <si>
    <t xml:space="preserve">4. Parachute successfully separates from rocket (T/F)</t>
  </si>
  <si>
    <t xml:space="preserve">5. No part of rocket and parachute touches ceiling (T/F)</t>
  </si>
  <si>
    <t xml:space="preserve">6. Median Flight Time</t>
  </si>
  <si>
    <t xml:space="preserve">7. Parachute successfully separates from rocket (T/F)</t>
  </si>
  <si>
    <t xml:space="preserve">8. No part of rocket and parachute touches ceiling (T/F)</t>
  </si>
  <si>
    <t xml:space="preserve">Hidden since event has no tiers</t>
  </si>
  <si>
    <t xml:space="preserve">Mins</t>
  </si>
  <si>
    <t xml:space="preserve">Seconds</t>
  </si>
  <si>
    <t xml:space="preserve">Flight 1 Scoreable?</t>
  </si>
  <si>
    <t xml:space="preserve">Flight 2 Scoreable?</t>
  </si>
  <si>
    <t xml:space="preserve">Status</t>
  </si>
  <si>
    <t xml:space="preserve">Flight 1 (s)</t>
  </si>
  <si>
    <t xml:space="preserve">Flight 1 Mult</t>
  </si>
  <si>
    <t xml:space="preserve">Flight 1 Score</t>
  </si>
  <si>
    <t xml:space="preserve">Flight 2 (s)</t>
  </si>
  <si>
    <t xml:space="preserve">Flight 2 Mult</t>
  </si>
  <si>
    <t xml:space="preserve">Flight 2 Score</t>
  </si>
  <si>
    <t xml:space="preserve">Scored Flight #</t>
  </si>
  <si>
    <t xml:space="preserve">Non-scored Flight #</t>
  </si>
  <si>
    <t xml:space="preserve">TB1 (Non-scored Flight Score)</t>
  </si>
  <si>
    <t xml:space="preserve">TB1 Rank</t>
  </si>
  <si>
    <t xml:space="preserve">Rank w/ TB</t>
  </si>
  <si>
    <t xml:space="preserve">Rank Diff</t>
  </si>
  <si>
    <t xml:space="preserve">Name Desc</t>
  </si>
  <si>
    <t xml:space="preserve">Value</t>
  </si>
  <si>
    <t xml:space="preserve">T</t>
  </si>
  <si>
    <t xml:space="preserve">F</t>
  </si>
  <si>
    <t xml:space="preserve">Disqualified</t>
  </si>
  <si>
    <t xml:space="preserve">DQ</t>
  </si>
  <si>
    <t xml:space="preserve">No-Show</t>
  </si>
  <si>
    <t xml:space="preserve">NS</t>
  </si>
  <si>
    <t xml:space="preserve">Participated</t>
  </si>
  <si>
    <t xml:space="preserve">P</t>
  </si>
  <si>
    <t xml:space="preserve">Competed</t>
  </si>
  <si>
    <t xml:space="preserve">C</t>
  </si>
  <si>
    <t xml:space="preserve">Complete Flight Log Multiplier</t>
  </si>
  <si>
    <t xml:space="preserve">Incomplete Flight Log Multiplier</t>
  </si>
  <si>
    <t xml:space="preserve">No Flight Log Multiplier</t>
  </si>
  <si>
    <t xml:space="preserve">Parachute Separate Multipler</t>
  </si>
  <si>
    <t xml:space="preserve">Ceiling Touch Multiplier</t>
  </si>
  <si>
    <t xml:space="preserve">Seconds Assessed for a Missing Flight</t>
  </si>
  <si>
    <t xml:space="preserve">Error Status</t>
  </si>
  <si>
    <t xml:space="preserve">ERR</t>
  </si>
  <si>
    <t xml:space="preserve">Flight Log: Complete</t>
  </si>
  <si>
    <t xml:space="preserve">Complete</t>
  </si>
  <si>
    <t xml:space="preserve">Flight Log: Incomplete</t>
  </si>
  <si>
    <t xml:space="preserve">Incomplete</t>
  </si>
  <si>
    <t xml:space="preserve">Flight Log: Not Present</t>
  </si>
  <si>
    <t xml:space="preserve">Not present</t>
  </si>
  <si>
    <t xml:space="preserve">Rocket A</t>
  </si>
  <si>
    <t xml:space="preserve">A</t>
  </si>
  <si>
    <t xml:space="preserve">Rocket B</t>
  </si>
  <si>
    <t xml:space="preserve">B</t>
  </si>
  <si>
    <t xml:space="preserve">Tier (event has no tiering)</t>
  </si>
  <si>
    <t xml:space="preserve">Date</t>
  </si>
  <si>
    <t xml:space="preserve">Version #</t>
  </si>
  <si>
    <t xml:space="preserve">Change</t>
  </si>
  <si>
    <t xml:space="preserve">0.1.0</t>
  </si>
  <si>
    <t xml:space="preserve">Implemented prelimiary logic for scoresheet</t>
  </si>
  <si>
    <t xml:space="preserve">1.0.0</t>
  </si>
  <si>
    <t xml:space="preserve">First main release of scoresheet</t>
  </si>
  <si>
    <t xml:space="preserve">Event</t>
  </si>
  <si>
    <t xml:space="preserve">Ping Pong Parachute</t>
  </si>
  <si>
    <t xml:space="preserve">Last Updated</t>
  </si>
  <si>
    <t xml:space="preserve">Idx of first .</t>
  </si>
  <si>
    <t xml:space="preserve">Idx of second .</t>
  </si>
  <si>
    <t xml:space="preserve">Major Version</t>
  </si>
  <si>
    <t xml:space="preserve">Minor Version</t>
  </si>
  <si>
    <t xml:space="preserve">Minor Patch</t>
  </si>
  <si>
    <t xml:space="preserve">Version</t>
  </si>
  <si>
    <t xml:space="preserve">Division</t>
  </si>
  <si>
    <t xml:space="preserve">B/C</t>
  </si>
  <si>
    <t xml:space="preserve">Year</t>
  </si>
  <si>
    <t xml:space="preserve">VLook</t>
  </si>
  <si>
    <t xml:space="preserve">Latest Version</t>
  </si>
  <si>
    <t xml:space="preserve">Outdated?</t>
  </si>
  <si>
    <t xml:space="preserve">Compliant</t>
  </si>
  <si>
    <t xml:space="preserve">Non-Compliant</t>
  </si>
  <si>
    <t xml:space="preserve">No Log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</si>
</sst>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"/>
    <numFmt numFmtId="166" formatCode="0"/>
    <numFmt numFmtId="167" formatCode="0.00"/>
    <numFmt numFmtId="168" formatCode="#,##0"/>
    <numFmt numFmtId="169" formatCode="&quot;TRUE&quot;;&quot;TRUE&quot;;&quot;FALSE&quot;"/>
    <numFmt numFmtId="170" formatCode="0.000"/>
    <numFmt numFmtId="171" formatCode="m/d/yyyy"/>
    <numFmt numFmtId="172" formatCode="mm/dd/yyyy"/>
  </numFmts>
  <fonts count="15">
    <font>
      <sz val="10"/>
      <color rgb="FF00000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Overpass"/>
      <family val="0"/>
    </font>
    <font>
      <sz val="11"/>
      <color theme="1"/>
      <name val="Arial"/>
      <family val="0"/>
    </font>
    <font>
      <sz val="11"/>
      <color theme="1"/>
      <name val="Overpass"/>
      <family val="0"/>
    </font>
    <font>
      <b val="true"/>
      <sz val="20"/>
      <color rgb="FF2280BD"/>
      <name val="Overpass"/>
      <family val="0"/>
    </font>
    <font>
      <b val="true"/>
      <sz val="11"/>
      <color theme="1"/>
      <name val="Overpass"/>
      <family val="0"/>
    </font>
    <font>
      <sz val="13"/>
      <color theme="1"/>
      <name val="Overpass"/>
      <family val="0"/>
    </font>
    <font>
      <b val="true"/>
      <sz val="11"/>
      <color rgb="FF181A1B"/>
      <name val="Overpass"/>
      <family val="0"/>
    </font>
    <font>
      <sz val="11"/>
      <color rgb="FF181A1B"/>
      <name val="Overpass"/>
      <family val="0"/>
    </font>
    <font>
      <sz val="11"/>
      <color rgb="FF181A1B"/>
      <name val="Arial"/>
      <family val="0"/>
    </font>
    <font>
      <b val="true"/>
      <sz val="11"/>
      <color theme="1"/>
      <name val="Inconsolata"/>
      <family val="0"/>
    </font>
    <font>
      <sz val="11"/>
      <color theme="1"/>
      <name val="Inconsolata"/>
      <family val="0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rgb="FFB5D3E6"/>
        <bgColor rgb="FF99CCFF"/>
      </patternFill>
    </fill>
    <fill>
      <patternFill patternType="solid">
        <fgColor rgb="FFD9D9D9"/>
        <bgColor rgb="FFDEEBF3"/>
      </patternFill>
    </fill>
    <fill>
      <patternFill patternType="solid">
        <fgColor rgb="FFFFB3B3"/>
        <bgColor rgb="FFF4C7C3"/>
      </patternFill>
    </fill>
    <fill>
      <patternFill patternType="solid">
        <fgColor rgb="FFCEEAAE"/>
        <bgColor rgb="FFD9D9D9"/>
      </patternFill>
    </fill>
    <fill>
      <patternFill patternType="solid">
        <fgColor rgb="FFDEEBF3"/>
        <bgColor rgb="FFEBF1DE"/>
      </patternFill>
    </fill>
    <fill>
      <patternFill patternType="solid">
        <fgColor rgb="FFF2F2F2"/>
        <bgColor rgb="FFEBF1DE"/>
      </patternFill>
    </fill>
    <fill>
      <patternFill patternType="solid">
        <fgColor rgb="FFFFE5E5"/>
        <bgColor rgb="FFF2F2F2"/>
      </patternFill>
    </fill>
    <fill>
      <patternFill patternType="solid">
        <fgColor rgb="FFEBF1DE"/>
        <bgColor rgb="FFF2F2F2"/>
      </patternFill>
    </fill>
  </fills>
  <borders count="16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 style="medium"/>
      <right style="medium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90" wrapText="false" indent="0" shrinkToFit="false"/>
      <protection locked="true" hidden="false"/>
    </xf>
    <xf numFmtId="164" fontId="5" fillId="2" borderId="8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2" borderId="9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2" borderId="1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1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5" fontId="6" fillId="0" borderId="11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8" fillId="0" borderId="1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1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1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8" fillId="0" borderId="14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8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8" fillId="0" borderId="14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8" fontId="8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1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right" vertical="bottom" textRotation="90" wrapText="false" indent="0" shrinkToFit="false"/>
      <protection locked="true" hidden="false"/>
    </xf>
    <xf numFmtId="166" fontId="8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" fillId="0" borderId="0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5" fontId="6" fillId="0" borderId="1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9" fillId="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true">
      <alignment horizontal="center" vertical="bottom" textRotation="90" wrapText="true" indent="0" shrinkToFit="false"/>
      <protection locked="true" hidden="false"/>
    </xf>
    <xf numFmtId="164" fontId="1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1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1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3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11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8" fillId="4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8" fillId="4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6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3" borderId="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1" fillId="3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7" borderId="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1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1" fillId="7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11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7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7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8" fillId="8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1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1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1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7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7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5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6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2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1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family val="0"/>
        <color rgb="FF000000"/>
      </font>
      <fill>
        <patternFill>
          <bgColor rgb="FFF4C7C3"/>
        </patternFill>
      </fill>
    </dxf>
    <dxf>
      <font>
        <name val="Arial"/>
        <family val="0"/>
        <color rgb="FF000000"/>
      </font>
      <fill>
        <patternFill>
          <bgColor rgb="FFFFB3B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280BD"/>
      <rgbColor rgb="FFD9D9D9"/>
      <rgbColor rgb="FF808080"/>
      <rgbColor rgb="FF9999FF"/>
      <rgbColor rgb="FF993366"/>
      <rgbColor rgb="FFEBF1DE"/>
      <rgbColor rgb="FFDEEBF3"/>
      <rgbColor rgb="FF660066"/>
      <rgbColor rgb="FFFF8080"/>
      <rgbColor rgb="FF0066CC"/>
      <rgbColor rgb="FFB5D3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EEAAE"/>
      <rgbColor rgb="FFFFE5E5"/>
      <rgbColor rgb="FF99CCFF"/>
      <rgbColor rgb="FFFFB3B3"/>
      <rgbColor rgb="FFCC99FF"/>
      <rgbColor rgb="FFF4C7C3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81A1B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R50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E11" activeCellId="0" sqref="E1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.12"/>
    <col collapsed="false" customWidth="true" hidden="false" outlineLevel="0" max="2" min="2" style="1" width="6.88"/>
    <col collapsed="false" customWidth="true" hidden="false" outlineLevel="0" max="3" min="3" style="1" width="30.75"/>
    <col collapsed="false" customWidth="true" hidden="false" outlineLevel="0" max="4" min="4" style="1" width="15.63"/>
    <col collapsed="false" customWidth="true" hidden="false" outlineLevel="0" max="5" min="5" style="1" width="10.71"/>
    <col collapsed="false" customWidth="true" hidden="false" outlineLevel="0" max="6" min="6" style="1" width="14.88"/>
    <col collapsed="false" customWidth="true" hidden="false" outlineLevel="0" max="7" min="7" style="1" width="8.38"/>
    <col collapsed="false" customWidth="true" hidden="false" outlineLevel="0" max="8" min="8" style="1" width="9.08"/>
    <col collapsed="false" customWidth="true" hidden="false" outlineLevel="0" max="10" min="9" style="1" width="9.18"/>
    <col collapsed="false" customWidth="true" hidden="false" outlineLevel="0" max="11" min="11" style="1" width="8.38"/>
    <col collapsed="false" customWidth="true" hidden="false" outlineLevel="0" max="12" min="12" style="1" width="9.08"/>
    <col collapsed="false" customWidth="true" hidden="false" outlineLevel="0" max="14" min="13" style="1" width="9.18"/>
    <col collapsed="false" customWidth="true" hidden="false" outlineLevel="0" max="15" min="15" style="1" width="4"/>
    <col collapsed="false" customWidth="true" hidden="true" outlineLevel="0" max="16" min="16" style="1" width="4.63"/>
    <col collapsed="false" customWidth="true" hidden="true" outlineLevel="0" max="23" min="17" style="1" width="7.23"/>
    <col collapsed="false" customWidth="true" hidden="true" outlineLevel="0" max="24" min="24" style="1" width="7.37"/>
    <col collapsed="false" customWidth="true" hidden="true" outlineLevel="0" max="25" min="25" style="1" width="7.23"/>
    <col collapsed="false" customWidth="true" hidden="true" outlineLevel="0" max="26" min="26" style="1" width="20.58"/>
    <col collapsed="false" customWidth="true" hidden="true" outlineLevel="0" max="27" min="27" style="1" width="20.85"/>
    <col collapsed="false" customWidth="true" hidden="true" outlineLevel="0" max="28" min="28" style="1" width="7.37"/>
    <col collapsed="false" customWidth="true" hidden="true" outlineLevel="0" max="29" min="29" style="1" width="8.49"/>
    <col collapsed="false" customWidth="true" hidden="true" outlineLevel="0" max="30" min="30" style="1" width="12.38"/>
    <col collapsed="false" customWidth="true" hidden="true" outlineLevel="0" max="31" min="31" style="1" width="14.47"/>
    <col collapsed="false" customWidth="true" hidden="true" outlineLevel="0" max="32" min="32" style="1" width="15.3"/>
    <col collapsed="false" customWidth="true" hidden="true" outlineLevel="0" max="33" min="33" style="1" width="11.96"/>
    <col collapsed="false" customWidth="true" hidden="true" outlineLevel="0" max="34" min="34" style="1" width="14.33"/>
    <col collapsed="false" customWidth="true" hidden="true" outlineLevel="0" max="35" min="35" style="1" width="15.16"/>
    <col collapsed="false" customWidth="true" hidden="true" outlineLevel="0" max="36" min="36" style="1" width="19.75"/>
    <col collapsed="false" customWidth="true" hidden="true" outlineLevel="0" max="37" min="37" style="1" width="22.4"/>
    <col collapsed="false" customWidth="true" hidden="true" outlineLevel="0" max="38" min="38" style="1" width="7.65"/>
    <col collapsed="false" customWidth="true" hidden="true" outlineLevel="0" max="39" min="39" style="1" width="7.09"/>
    <col collapsed="false" customWidth="true" hidden="true" outlineLevel="0" max="40" min="40" style="1" width="30.74"/>
    <col collapsed="false" customWidth="true" hidden="true" outlineLevel="0" max="41" min="41" style="1" width="10.99"/>
    <col collapsed="false" customWidth="false" hidden="true" outlineLevel="0" max="42" min="42" style="1" width="12.66"/>
    <col collapsed="false" customWidth="true" hidden="true" outlineLevel="0" max="43" min="43" style="1" width="10.29"/>
    <col collapsed="false" customWidth="true" hidden="true" outlineLevel="0" max="44" min="44" style="1" width="4.63"/>
    <col collapsed="false" customWidth="true" hidden="false" outlineLevel="0" max="47" min="45" style="1" width="8.68"/>
    <col collapsed="false" customWidth="true" hidden="false" outlineLevel="0" max="48" min="48" style="1" width="8.63"/>
    <col collapsed="false" customWidth="true" hidden="true" outlineLevel="0" max="49" min="49" style="1" width="4"/>
    <col collapsed="false" customWidth="true" hidden="false" outlineLevel="0" max="52" min="50" style="1" width="4"/>
    <col collapsed="false" customWidth="true" hidden="false" outlineLevel="0" max="53" min="53" style="1" width="2"/>
    <col collapsed="false" customWidth="true" hidden="true" outlineLevel="0" max="63" min="54" style="1" width="4.63"/>
    <col collapsed="false" customWidth="true" hidden="false" outlineLevel="0" max="64" min="64" style="1" width="6.81"/>
    <col collapsed="false" customWidth="true" hidden="false" outlineLevel="0" max="65" min="65" style="1" width="9.74"/>
    <col collapsed="false" customWidth="true" hidden="false" outlineLevel="0" max="66" min="66" style="1" width="30.75"/>
    <col collapsed="false" customWidth="true" hidden="false" outlineLevel="0" max="67" min="67" style="1" width="15.63"/>
    <col collapsed="false" customWidth="true" hidden="false" outlineLevel="0" max="68" min="68" style="1" width="4.63"/>
    <col collapsed="false" customWidth="true" hidden="false" outlineLevel="0" max="69" min="69" style="1" width="8.63"/>
    <col collapsed="false" customWidth="true" hidden="true" outlineLevel="0" max="70" min="70" style="1" width="6.63"/>
    <col collapsed="false" customWidth="true" hidden="false" outlineLevel="0" max="16384" min="16372" style="1" width="11.53"/>
  </cols>
  <sheetData>
    <row r="1" customFormat="false" ht="6" hidden="false" customHeight="true" outlineLevel="0" collapsed="false">
      <c r="A1" s="2"/>
      <c r="B1" s="2"/>
      <c r="C1" s="2"/>
      <c r="D1" s="2"/>
      <c r="E1" s="2"/>
      <c r="F1" s="3"/>
      <c r="G1" s="3"/>
      <c r="H1" s="3"/>
      <c r="I1" s="3"/>
      <c r="J1" s="3"/>
      <c r="K1" s="3"/>
      <c r="L1" s="3"/>
      <c r="M1" s="3"/>
      <c r="N1" s="3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4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customFormat="false" ht="13.8" hidden="false" customHeight="false" outlineLevel="0" collapsed="false">
      <c r="A2" s="5"/>
      <c r="B2" s="6" t="str">
        <f aca="false">'Info.'!B1&amp;" "&amp;'Info.'!B4</f>
        <v>Ping Pong Parachute B/C</v>
      </c>
      <c r="C2" s="6"/>
      <c r="D2" s="6"/>
      <c r="E2" s="7" t="s">
        <v>0</v>
      </c>
      <c r="F2" s="7"/>
      <c r="G2" s="7" t="s">
        <v>1</v>
      </c>
      <c r="H2" s="7"/>
      <c r="I2" s="7"/>
      <c r="J2" s="7"/>
      <c r="K2" s="7"/>
      <c r="L2" s="7"/>
      <c r="M2" s="7"/>
      <c r="N2" s="7"/>
      <c r="O2" s="8"/>
      <c r="P2" s="9"/>
      <c r="Q2" s="10"/>
      <c r="R2" s="10"/>
      <c r="S2" s="10"/>
      <c r="T2" s="10"/>
      <c r="U2" s="10"/>
      <c r="V2" s="10"/>
      <c r="W2" s="10"/>
      <c r="X2" s="10"/>
      <c r="Y2" s="10"/>
      <c r="Z2" s="11"/>
      <c r="AA2" s="11"/>
      <c r="AB2" s="12"/>
      <c r="AC2" s="12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4"/>
      <c r="AS2" s="15" t="s">
        <v>2</v>
      </c>
      <c r="AT2" s="15"/>
      <c r="AU2" s="15"/>
      <c r="AV2" s="16"/>
      <c r="AW2" s="16"/>
      <c r="AX2" s="16"/>
      <c r="AY2" s="16"/>
      <c r="AZ2" s="16"/>
      <c r="BA2" s="17"/>
      <c r="BB2" s="13"/>
      <c r="BC2" s="13"/>
      <c r="BD2" s="18" t="s">
        <v>3</v>
      </c>
      <c r="BE2" s="19" t="s">
        <v>4</v>
      </c>
      <c r="BF2" s="19" t="s">
        <v>5</v>
      </c>
      <c r="BG2" s="19" t="s">
        <v>6</v>
      </c>
      <c r="BH2" s="19" t="s">
        <v>7</v>
      </c>
      <c r="BI2" s="19" t="s">
        <v>8</v>
      </c>
      <c r="BJ2" s="19" t="s">
        <v>9</v>
      </c>
      <c r="BK2" s="20" t="s">
        <v>10</v>
      </c>
      <c r="BL2" s="21" t="s">
        <v>11</v>
      </c>
      <c r="BM2" s="21"/>
      <c r="BN2" s="21"/>
      <c r="BO2" s="21"/>
      <c r="BP2" s="21"/>
      <c r="BQ2" s="21"/>
      <c r="BR2" s="13"/>
    </row>
    <row r="3" customFormat="false" ht="20.25" hidden="false" customHeight="true" outlineLevel="0" collapsed="false">
      <c r="A3" s="5"/>
      <c r="B3" s="6"/>
      <c r="C3" s="6"/>
      <c r="D3" s="6"/>
      <c r="E3" s="22" t="s">
        <v>12</v>
      </c>
      <c r="F3" s="23" t="s">
        <v>13</v>
      </c>
      <c r="G3" s="24" t="s">
        <v>14</v>
      </c>
      <c r="H3" s="24"/>
      <c r="I3" s="24"/>
      <c r="J3" s="24"/>
      <c r="K3" s="25" t="s">
        <v>15</v>
      </c>
      <c r="L3" s="25"/>
      <c r="M3" s="25"/>
      <c r="N3" s="25"/>
      <c r="O3" s="22" t="s">
        <v>16</v>
      </c>
      <c r="P3" s="9"/>
      <c r="Q3" s="26" t="str">
        <f aca="false">E3</f>
        <v>1. Met All Const Params (T/F)</v>
      </c>
      <c r="R3" s="26" t="str">
        <f aca="false">F3</f>
        <v>2. Practice Log (Complete / Incomplete / Not present)</v>
      </c>
      <c r="S3" s="26" t="str">
        <f aca="false">G4</f>
        <v>3. Median Flight Time</v>
      </c>
      <c r="T3" s="26" t="str">
        <f aca="false">I4</f>
        <v>4. Parachute successfully separates from rocket (T/F)</v>
      </c>
      <c r="U3" s="26" t="str">
        <f aca="false">J4</f>
        <v>5. No part of rocket and parachute touches ceiling (T/F)</v>
      </c>
      <c r="V3" s="26" t="str">
        <f aca="false">K4</f>
        <v>6. Median Flight Time</v>
      </c>
      <c r="W3" s="26" t="str">
        <f aca="false">M4</f>
        <v>7. Parachute successfully separates from rocket (T/F)</v>
      </c>
      <c r="X3" s="26" t="str">
        <f aca="false">N4</f>
        <v>8. No part of rocket and parachute touches ceiling (T/F)</v>
      </c>
      <c r="Y3" s="26" t="str">
        <f aca="false">O3</f>
        <v>9. Disqualify (T/F)</v>
      </c>
      <c r="Z3" s="27"/>
      <c r="AA3" s="27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4"/>
      <c r="AS3" s="28" t="s">
        <v>17</v>
      </c>
      <c r="AT3" s="29" t="s">
        <v>18</v>
      </c>
      <c r="AU3" s="29" t="s">
        <v>19</v>
      </c>
      <c r="AV3" s="30" t="s">
        <v>20</v>
      </c>
      <c r="AW3" s="31" t="s">
        <v>21</v>
      </c>
      <c r="AX3" s="32" t="s">
        <v>22</v>
      </c>
      <c r="AY3" s="31" t="s">
        <v>23</v>
      </c>
      <c r="AZ3" s="33" t="s">
        <v>24</v>
      </c>
      <c r="BA3" s="34"/>
      <c r="BB3" s="13"/>
      <c r="BC3" s="13"/>
      <c r="BD3" s="18"/>
      <c r="BE3" s="19"/>
      <c r="BF3" s="19"/>
      <c r="BG3" s="19"/>
      <c r="BH3" s="19"/>
      <c r="BI3" s="19"/>
      <c r="BJ3" s="19"/>
      <c r="BK3" s="20"/>
      <c r="BL3" s="35" t="s">
        <v>23</v>
      </c>
      <c r="BM3" s="36" t="s">
        <v>25</v>
      </c>
      <c r="BN3" s="36" t="s">
        <v>26</v>
      </c>
      <c r="BO3" s="36" t="s">
        <v>27</v>
      </c>
      <c r="BP3" s="36" t="s">
        <v>21</v>
      </c>
      <c r="BQ3" s="37" t="s">
        <v>20</v>
      </c>
      <c r="BR3" s="13"/>
    </row>
    <row r="4" customFormat="false" ht="18.65" hidden="false" customHeight="true" outlineLevel="0" collapsed="false">
      <c r="A4" s="5"/>
      <c r="B4" s="38" t="str">
        <f aca="false">"Event Scoresheet - "&amp;'Info.'!B5&amp;IF('Info.'!B8="T","
The scoresheet has been updated; please 
download version v"&amp;'Info.'!B7&amp;" from soinc.org/scoresheets.","")</f>
        <v>Event Scoresheet - 2027</v>
      </c>
      <c r="C4" s="38"/>
      <c r="D4" s="38"/>
      <c r="E4" s="22"/>
      <c r="F4" s="23"/>
      <c r="G4" s="39" t="s">
        <v>28</v>
      </c>
      <c r="H4" s="39"/>
      <c r="I4" s="40" t="s">
        <v>29</v>
      </c>
      <c r="J4" s="23" t="s">
        <v>30</v>
      </c>
      <c r="K4" s="39" t="s">
        <v>31</v>
      </c>
      <c r="L4" s="39"/>
      <c r="M4" s="40" t="s">
        <v>32</v>
      </c>
      <c r="N4" s="23" t="s">
        <v>33</v>
      </c>
      <c r="O4" s="22"/>
      <c r="P4" s="9"/>
      <c r="Q4" s="26"/>
      <c r="R4" s="26"/>
      <c r="S4" s="26"/>
      <c r="T4" s="26"/>
      <c r="U4" s="26"/>
      <c r="V4" s="26"/>
      <c r="W4" s="26"/>
      <c r="X4" s="26"/>
      <c r="Y4" s="26"/>
      <c r="Z4" s="27"/>
      <c r="AA4" s="27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4"/>
      <c r="AS4" s="28"/>
      <c r="AT4" s="29"/>
      <c r="AU4" s="29"/>
      <c r="AV4" s="30"/>
      <c r="AW4" s="31"/>
      <c r="AX4" s="31"/>
      <c r="AY4" s="31"/>
      <c r="AZ4" s="33"/>
      <c r="BA4" s="34"/>
      <c r="BB4" s="13"/>
      <c r="BC4" s="13"/>
      <c r="BD4" s="18"/>
      <c r="BE4" s="19"/>
      <c r="BF4" s="19"/>
      <c r="BG4" s="19"/>
      <c r="BH4" s="19"/>
      <c r="BI4" s="19"/>
      <c r="BJ4" s="19"/>
      <c r="BK4" s="20"/>
      <c r="BL4" s="35"/>
      <c r="BM4" s="36"/>
      <c r="BN4" s="36"/>
      <c r="BO4" s="36"/>
      <c r="BP4" s="36"/>
      <c r="BQ4" s="37"/>
      <c r="BR4" s="13"/>
    </row>
    <row r="5" customFormat="false" ht="118.5" hidden="true" customHeight="true" outlineLevel="0" collapsed="false">
      <c r="A5" s="5"/>
      <c r="B5" s="41"/>
      <c r="C5" s="41"/>
      <c r="D5" s="41"/>
      <c r="E5" s="22"/>
      <c r="F5" s="23"/>
      <c r="G5" s="39"/>
      <c r="H5" s="39"/>
      <c r="I5" s="40"/>
      <c r="J5" s="23"/>
      <c r="K5" s="39"/>
      <c r="L5" s="39"/>
      <c r="M5" s="40"/>
      <c r="N5" s="23"/>
      <c r="O5" s="22"/>
      <c r="P5" s="9"/>
      <c r="Q5" s="26"/>
      <c r="R5" s="26"/>
      <c r="S5" s="26"/>
      <c r="T5" s="26"/>
      <c r="U5" s="26"/>
      <c r="V5" s="26"/>
      <c r="W5" s="26"/>
      <c r="X5" s="26"/>
      <c r="Y5" s="26"/>
      <c r="Z5" s="27"/>
      <c r="AA5" s="27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4"/>
      <c r="AS5" s="28"/>
      <c r="AT5" s="29"/>
      <c r="AU5" s="29"/>
      <c r="AV5" s="30"/>
      <c r="AW5" s="31"/>
      <c r="AX5" s="31"/>
      <c r="AY5" s="31"/>
      <c r="AZ5" s="33"/>
      <c r="BA5" s="34"/>
      <c r="BB5" s="13"/>
      <c r="BC5" s="13"/>
      <c r="BD5" s="18"/>
      <c r="BE5" s="19"/>
      <c r="BF5" s="19"/>
      <c r="BG5" s="19"/>
      <c r="BH5" s="19"/>
      <c r="BI5" s="19"/>
      <c r="BJ5" s="19"/>
      <c r="BK5" s="20"/>
      <c r="BL5" s="35"/>
      <c r="BM5" s="36"/>
      <c r="BN5" s="36"/>
      <c r="BO5" s="36"/>
      <c r="BP5" s="36"/>
      <c r="BQ5" s="37"/>
      <c r="BR5" s="13"/>
    </row>
    <row r="6" customFormat="false" ht="89.25" hidden="false" customHeight="true" outlineLevel="0" collapsed="false">
      <c r="A6" s="5"/>
      <c r="B6" s="42" t="str">
        <f aca="false">"Last Updated: "&amp;TEXT('Info.'!B2, "mm/dd/yyyy")&amp;" (v"&amp;'Info.'!B3&amp;")
Direct all questions to scoresheets@soinc.org."</f>
        <v>Last Updated: 10/01/2026 (v1.0.0)
Direct all questions to scoresheets@soinc.org.</v>
      </c>
      <c r="C6" s="42"/>
      <c r="D6" s="42"/>
      <c r="E6" s="22"/>
      <c r="F6" s="23"/>
      <c r="G6" s="39"/>
      <c r="H6" s="39"/>
      <c r="I6" s="40"/>
      <c r="J6" s="23"/>
      <c r="K6" s="39"/>
      <c r="L6" s="39"/>
      <c r="M6" s="40"/>
      <c r="N6" s="23"/>
      <c r="O6" s="22"/>
      <c r="P6" s="9"/>
      <c r="Q6" s="26"/>
      <c r="R6" s="26"/>
      <c r="S6" s="26"/>
      <c r="T6" s="26"/>
      <c r="U6" s="26"/>
      <c r="V6" s="26"/>
      <c r="W6" s="26"/>
      <c r="X6" s="26"/>
      <c r="Y6" s="26"/>
      <c r="Z6" s="27"/>
      <c r="AA6" s="27"/>
      <c r="AB6" s="43"/>
      <c r="AC6" s="44" t="s">
        <v>34</v>
      </c>
      <c r="AD6" s="45" t="s">
        <v>14</v>
      </c>
      <c r="AE6" s="45"/>
      <c r="AF6" s="45"/>
      <c r="AG6" s="45" t="s">
        <v>15</v>
      </c>
      <c r="AH6" s="45"/>
      <c r="AI6" s="45"/>
      <c r="AJ6" s="46"/>
      <c r="AK6" s="46"/>
      <c r="AL6" s="46"/>
      <c r="AM6" s="46"/>
      <c r="AN6" s="46"/>
      <c r="AO6" s="46"/>
      <c r="AP6" s="46"/>
      <c r="AQ6" s="13"/>
      <c r="AR6" s="14"/>
      <c r="AS6" s="28"/>
      <c r="AT6" s="29"/>
      <c r="AU6" s="29"/>
      <c r="AV6" s="30"/>
      <c r="AW6" s="31"/>
      <c r="AX6" s="31"/>
      <c r="AY6" s="31"/>
      <c r="AZ6" s="33"/>
      <c r="BA6" s="34"/>
      <c r="BB6" s="13"/>
      <c r="BC6" s="13"/>
      <c r="BD6" s="18"/>
      <c r="BE6" s="19"/>
      <c r="BF6" s="19"/>
      <c r="BG6" s="19"/>
      <c r="BH6" s="19"/>
      <c r="BI6" s="19"/>
      <c r="BJ6" s="19"/>
      <c r="BK6" s="20"/>
      <c r="BL6" s="35"/>
      <c r="BM6" s="36"/>
      <c r="BN6" s="36"/>
      <c r="BO6" s="36"/>
      <c r="BP6" s="36"/>
      <c r="BQ6" s="37"/>
      <c r="BR6" s="13"/>
    </row>
    <row r="7" customFormat="false" ht="15.85" hidden="false" customHeight="true" outlineLevel="0" collapsed="false">
      <c r="A7" s="5"/>
      <c r="B7" s="47" t="s">
        <v>25</v>
      </c>
      <c r="C7" s="48" t="s">
        <v>26</v>
      </c>
      <c r="D7" s="49" t="s">
        <v>27</v>
      </c>
      <c r="E7" s="22"/>
      <c r="F7" s="23"/>
      <c r="G7" s="50" t="s">
        <v>35</v>
      </c>
      <c r="H7" s="50" t="s">
        <v>36</v>
      </c>
      <c r="I7" s="40"/>
      <c r="J7" s="23"/>
      <c r="K7" s="50" t="s">
        <v>35</v>
      </c>
      <c r="L7" s="50" t="s">
        <v>36</v>
      </c>
      <c r="M7" s="40"/>
      <c r="N7" s="23"/>
      <c r="O7" s="22"/>
      <c r="P7" s="51"/>
      <c r="Q7" s="26"/>
      <c r="R7" s="26"/>
      <c r="S7" s="26"/>
      <c r="T7" s="26"/>
      <c r="U7" s="26"/>
      <c r="V7" s="26"/>
      <c r="W7" s="26"/>
      <c r="X7" s="26"/>
      <c r="Y7" s="26"/>
      <c r="Z7" s="52" t="s">
        <v>37</v>
      </c>
      <c r="AA7" s="52" t="s">
        <v>38</v>
      </c>
      <c r="AB7" s="46" t="s">
        <v>39</v>
      </c>
      <c r="AC7" s="46" t="s">
        <v>21</v>
      </c>
      <c r="AD7" s="46" t="s">
        <v>40</v>
      </c>
      <c r="AE7" s="46" t="s">
        <v>41</v>
      </c>
      <c r="AF7" s="46" t="s">
        <v>42</v>
      </c>
      <c r="AG7" s="46" t="s">
        <v>43</v>
      </c>
      <c r="AH7" s="46" t="s">
        <v>44</v>
      </c>
      <c r="AI7" s="46" t="s">
        <v>45</v>
      </c>
      <c r="AJ7" s="46" t="s">
        <v>46</v>
      </c>
      <c r="AK7" s="46" t="s">
        <v>47</v>
      </c>
      <c r="AL7" s="53" t="s">
        <v>20</v>
      </c>
      <c r="AM7" s="53" t="s">
        <v>23</v>
      </c>
      <c r="AN7" s="46" t="s">
        <v>48</v>
      </c>
      <c r="AO7" s="46" t="s">
        <v>49</v>
      </c>
      <c r="AP7" s="46" t="s">
        <v>50</v>
      </c>
      <c r="AQ7" s="53" t="s">
        <v>51</v>
      </c>
      <c r="AR7" s="54"/>
      <c r="AS7" s="28"/>
      <c r="AT7" s="29"/>
      <c r="AU7" s="29"/>
      <c r="AV7" s="30"/>
      <c r="AW7" s="31"/>
      <c r="AX7" s="31"/>
      <c r="AY7" s="31"/>
      <c r="AZ7" s="33"/>
      <c r="BA7" s="34"/>
      <c r="BB7" s="13" t="n">
        <f aca="false">SUM(BB8:BB507)</f>
        <v>0</v>
      </c>
      <c r="BC7" s="13"/>
      <c r="BD7" s="18"/>
      <c r="BE7" s="19"/>
      <c r="BF7" s="19"/>
      <c r="BG7" s="19"/>
      <c r="BH7" s="19"/>
      <c r="BI7" s="19"/>
      <c r="BJ7" s="19"/>
      <c r="BK7" s="20"/>
      <c r="BL7" s="35"/>
      <c r="BM7" s="36"/>
      <c r="BN7" s="36"/>
      <c r="BO7" s="36"/>
      <c r="BP7" s="36"/>
      <c r="BQ7" s="37"/>
      <c r="BR7" s="13"/>
    </row>
    <row r="8" customFormat="false" ht="13.8" hidden="false" customHeight="false" outlineLevel="0" collapsed="false">
      <c r="A8" s="5"/>
      <c r="B8" s="55"/>
      <c r="C8" s="56"/>
      <c r="D8" s="57"/>
      <c r="E8" s="58"/>
      <c r="F8" s="59"/>
      <c r="G8" s="60"/>
      <c r="H8" s="61"/>
      <c r="I8" s="62"/>
      <c r="J8" s="59"/>
      <c r="K8" s="60"/>
      <c r="L8" s="61"/>
      <c r="M8" s="62"/>
      <c r="N8" s="59"/>
      <c r="O8" s="63"/>
      <c r="P8" s="64"/>
      <c r="Q8" s="65" t="str">
        <f aca="false">IF(ISBLANK($C8),"",IF(E8=Constants!$B$2, TRUE(), IF(E8=Constants!$B$3, FALSE(), TRUE())))</f>
        <v/>
      </c>
      <c r="R8" s="66" t="str">
        <f aca="false">IF(ISBLANK($C8),"",IF(F8=Constants!$B$16,Constants!$B$9,IF(F8=Constants!$B$17,Constants!$B$10,Constants!$B$8)))</f>
        <v/>
      </c>
      <c r="S8" s="67" t="str">
        <f aca="false">IF(ISBLANK($C8),"",IF(COUNTA(G8:H8)=0,"",IF(AND(OR(ISBLANK(G8),AND(ISNUMBER(G8),G8&gt;=0)),OR(ISBLANK(H8),AND(ISNUMBER(H8),H8&gt;=0))),60*IF(ISBLANK(G8),0,G8)+IF(ISBLANK(H8),0,H8),"")))</f>
        <v/>
      </c>
      <c r="T8" s="65" t="str">
        <f aca="false">IF(ISBLANK($C8),"",IF(I8=Constants!$B$2, TRUE(), IF(I8=Constants!$B$3, FALSE(), TRUE())))</f>
        <v/>
      </c>
      <c r="U8" s="65" t="str">
        <f aca="false">IF(ISBLANK($C8),"",IF(J8=Constants!$B$2, TRUE(), IF(J8=Constants!$B$3, FALSE(), TRUE())))</f>
        <v/>
      </c>
      <c r="V8" s="67" t="str">
        <f aca="false">IF(ISBLANK($C8),"",IF(COUNTA(K8:L8)=0,"",IF(AND(OR(ISBLANK(K8),AND(ISNUMBER(K8),K8&gt;=0)),OR(ISBLANK(L8),AND(ISNUMBER(L8),L8&gt;=0))),60*IF(ISBLANK(K8),0,K8)+IF(ISBLANK(L8),0,L8),"")))</f>
        <v/>
      </c>
      <c r="W8" s="65" t="str">
        <f aca="false">IF(ISBLANK($C8),"",IF(M8=Constants!$B$2, TRUE(), IF(M8=Constants!$B$3, FALSE(), TRUE())))</f>
        <v/>
      </c>
      <c r="X8" s="65" t="str">
        <f aca="false">IF(ISBLANK($C8),"",IF(N8=Constants!$B$2, TRUE(), IF(N8=Constants!$B$3, FALSE(), TRUE())))</f>
        <v/>
      </c>
      <c r="Y8" s="65" t="str">
        <f aca="false">IF(ISBLANK($C8),"",IF(O8=Constants!$B$2, TRUE(), IF(O8=Constants!$B$3, FALSE(), FALSE())))</f>
        <v/>
      </c>
      <c r="Z8" s="65" t="str">
        <f aca="false">IF(ISBLANK($C8),"",AND(S8&lt;&gt;"",Q8))</f>
        <v/>
      </c>
      <c r="AA8" s="65" t="str">
        <f aca="false">IF(ISBLANK($C8),"",AND(V8&lt;&gt;"",Q8))</f>
        <v/>
      </c>
      <c r="AB8" s="66" t="str">
        <f aca="false">IF(ISBLANK($C8),"",IF(Y8,Constants!$B$4,IF(COUNTA(E8:N8)=0,Constants!$B$5,IF(NOT(Q8),Constants!$B$6,IF(AND(NOT(Z8),NOT(AA8)),Constants!$B$6,Constants!$B$7)))))</f>
        <v/>
      </c>
      <c r="AC8" s="66" t="str">
        <f aca="false">IF(ISBLANK($C8),"",IF($AB8&lt;&gt;Constants!$B$7,$AB8,Constants!$B$20))</f>
        <v/>
      </c>
      <c r="AD8" s="67" t="str">
        <f aca="false">IF($AB8=Constants!$B$7,IF(Z8,S8,Constants!$B$13),"")</f>
        <v/>
      </c>
      <c r="AE8" s="67" t="str">
        <f aca="false">IF($AB8=Constants!$B$7,IF(Z8,R8*IF(T8, 1, Constants!$B$11)*IF(U8, 1, Constants!$B$12),Constants!$B$13),"")</f>
        <v/>
      </c>
      <c r="AF8" s="67" t="str">
        <f aca="false">IF($AB8=Constants!$B$7,AD8*AE8,"")</f>
        <v/>
      </c>
      <c r="AG8" s="67" t="str">
        <f aca="false">IF($AB8=Constants!$B$7,IF(AA8,V8,Constants!$B$13),"")</f>
        <v/>
      </c>
      <c r="AH8" s="67" t="str">
        <f aca="false">IF($AB8=Constants!$B$7,IF(AA8,R8*IF(W8, 1, Constants!$B$11)*IF(X8, 1, Constants!$B$12),Constants!$B$13),"")</f>
        <v/>
      </c>
      <c r="AI8" s="67" t="str">
        <f aca="false">IF($AB8=Constants!$B$7,AG8*AH8,"")</f>
        <v/>
      </c>
      <c r="AJ8" s="66" t="str">
        <f aca="false">IF($AB8=Constants!$B$7,IF(AI8&gt;AF8,2,1),"")</f>
        <v/>
      </c>
      <c r="AK8" s="66" t="str">
        <f aca="false">IF($AB8=Constants!$B$7,IF(AJ8=1,2,1),"")</f>
        <v/>
      </c>
      <c r="AL8" s="67" t="str">
        <f aca="false">IF(ISBLANK($C8),"",IF($AB8&lt;&gt;Constants!$B$7,$AB8,IF(AJ8=1,AF8,AI8)))</f>
        <v/>
      </c>
      <c r="AM8" s="66" t="str">
        <f aca="false">IF(ISBLANK($C8),"",IF($AB8=Constants!$B$7,IF(ISNUMBER(AL8),RANK(AL8,$AL$8:$AL$507),Constants!$B$14),$AB8))</f>
        <v/>
      </c>
      <c r="AN8" s="67" t="str">
        <f aca="false">IF(ISBLANK($C8),"",IF($AB8=Constants!$B$7,IF(AK8=1,AF8,AI8),""))</f>
        <v/>
      </c>
      <c r="AO8" s="66" t="str">
        <f aca="false">IF(ISBLANK($C8),"",IF($AB8=Constants!$B$7,RANK(AN8,$AN$8:$AN$507),$AB8))</f>
        <v/>
      </c>
      <c r="AP8" s="66" t="str">
        <f aca="false">IF(ISBLANK($C8),"",IF($AB8=Constants!$B$7,IF(ISNUMBER(AM8),COUNTIFS($AM$8:$AM$507,"&lt;"&amp;$AM8)+COUNTIFS($AM$8:$AM$507,$AM8,$AO$8:$AO$507,"&lt;"&amp;$AO8)+1,Constants!$B$14),$AB8))</f>
        <v/>
      </c>
      <c r="AQ8" s="66" t="str">
        <f aca="false">IF(ISBLANK($C8),"",IF($AB8=Constants!$B$7,IF(ISNUMBER(AM8),AM8-AP8,Constants!$B$14),$AB8))</f>
        <v/>
      </c>
      <c r="AR8" s="68"/>
      <c r="AS8" s="69" t="str">
        <f aca="false">IF(ISBLANK($C8),"",IF($AB8&lt;&gt;Constants!$B$7,"",AJ8))</f>
        <v/>
      </c>
      <c r="AT8" s="70" t="str">
        <f aca="false">IF(ISBLANK($C8),"",IF($AB8&lt;&gt;Constants!$B$7,"",IF(AJ8=1,AD8,AG8)))</f>
        <v/>
      </c>
      <c r="AU8" s="71" t="str">
        <f aca="false">IF(ISBLANK($C8),"",IF($AB8&lt;&gt;Constants!$B$7,"",IF(AJ8=1,AE8,AH8)))</f>
        <v/>
      </c>
      <c r="AV8" s="72" t="str">
        <f aca="false">IF(ISBLANK($C8),"",IF($AB8&lt;&gt;Constants!$B$7,$AB8,AL8))</f>
        <v/>
      </c>
      <c r="AW8" s="73" t="str">
        <f aca="false">IF(ISBLANK($C8),"",IF($AB8&lt;&gt;Constants!$B$7,$AB8,AC8))</f>
        <v/>
      </c>
      <c r="AX8" s="74" t="str">
        <f aca="false">IF(ISBLANK($C8),"",AQ8)</f>
        <v/>
      </c>
      <c r="AY8" s="74" t="str">
        <f aca="false">IF(ISBLANK($C8),"",AP8)</f>
        <v/>
      </c>
      <c r="AZ8" s="75" t="str">
        <f aca="false">IF(ISBLANK($C8),"",IF(AY8=Constants!$B$4,COUNTA($C$8:$C$507)+2,IF(AY8=Constants!$B$5,COUNTA($C$8:$C$507)+1,IF(AY8=Constants!$B$6,COUNTA($C$8:$C$507),AY8))))</f>
        <v/>
      </c>
      <c r="BA8" s="5"/>
      <c r="BB8" s="76" t="n">
        <f aca="false">IF(OR(ISNUMBER(AY8),AY8=Constants!$B$4,AY8=Constants!$B$6,AY8=Constants!$B$5),1,0)</f>
        <v>0</v>
      </c>
      <c r="BC8" s="76" t="n">
        <v>1</v>
      </c>
      <c r="BD8" s="76" t="str">
        <f aca="false">IF(ISBLANK($C8),"",IF(ISNUMBER(AZ8),AZ8+ROW($B8)/1000,""))</f>
        <v/>
      </c>
      <c r="BE8" s="76" t="str">
        <f aca="false">IF(ISNUMBER(BD8),RANK(BD8,$BD$8:$BD$507,1),"")</f>
        <v/>
      </c>
      <c r="BF8" s="76" t="str">
        <f aca="false">IF(ISBLANK($C8),"",$B8)</f>
        <v/>
      </c>
      <c r="BG8" s="76" t="str">
        <f aca="false">IF(ISBLANK($C8),"",$C8)</f>
        <v/>
      </c>
      <c r="BH8" s="76" t="str">
        <f aca="false">IF(ISBLANK($C8),"",$D8)</f>
        <v/>
      </c>
      <c r="BI8" s="77" t="str">
        <f aca="false">AW8</f>
        <v/>
      </c>
      <c r="BJ8" s="78" t="str">
        <f aca="false">AV8</f>
        <v/>
      </c>
      <c r="BK8" s="76" t="str">
        <f aca="false">IF(ISBLANK($C8),"",AY8)</f>
        <v/>
      </c>
      <c r="BL8" s="79" t="str">
        <f aca="false">IF($BC8&gt;$BB$7,"",VLOOKUP($BC8,$BE$8:$BK$507,7,FALSE()))</f>
        <v/>
      </c>
      <c r="BM8" s="80" t="str">
        <f aca="false">IF($BC8&gt;$BB$7,"",VLOOKUP($BC8,$BE$8:$BK$507,2,FALSE()))</f>
        <v/>
      </c>
      <c r="BN8" s="80" t="str">
        <f aca="false">IF($BC8&gt;$BB$7,"",VLOOKUP($BC8,$BE$8:$BK$507,3,FALSE()))</f>
        <v/>
      </c>
      <c r="BO8" s="80" t="str">
        <f aca="false">IF($BC8&gt;$BB$7,"",VLOOKUP($BC8,$BE$8:$BK$507,4,FALSE()))</f>
        <v/>
      </c>
      <c r="BP8" s="80" t="str">
        <f aca="false">IF($BC8&gt;$BB$7,"",VLOOKUP($BC8,$BE$8:$BK$507,5,FALSE()))</f>
        <v/>
      </c>
      <c r="BQ8" s="81" t="str">
        <f aca="false">IF($BC8&gt;$BB$7,"",VLOOKUP($BC8,$BE$8:$BK$507,6,FALSE()))</f>
        <v/>
      </c>
      <c r="BR8" s="54"/>
    </row>
    <row r="9" customFormat="false" ht="13.8" hidden="false" customHeight="false" outlineLevel="0" collapsed="false">
      <c r="A9" s="5"/>
      <c r="B9" s="82"/>
      <c r="C9" s="56"/>
      <c r="D9" s="57"/>
      <c r="E9" s="58"/>
      <c r="F9" s="59"/>
      <c r="G9" s="60"/>
      <c r="H9" s="61"/>
      <c r="I9" s="62"/>
      <c r="J9" s="59"/>
      <c r="K9" s="60"/>
      <c r="L9" s="61"/>
      <c r="M9" s="62"/>
      <c r="N9" s="59"/>
      <c r="O9" s="83"/>
      <c r="P9" s="64"/>
      <c r="Q9" s="66" t="str">
        <f aca="false">IF(ISBLANK($C9),"",IF(E9=Constants!$B$2, TRUE(), IF(E9=Constants!$B$3, FALSE(), TRUE())))</f>
        <v/>
      </c>
      <c r="R9" s="66" t="str">
        <f aca="false">IF(ISBLANK($C9),"",IF(F9=Constants!$B$16,Constants!$B$9,IF(F9=Constants!$B$17,Constants!$B$10,Constants!$B$8)))</f>
        <v/>
      </c>
      <c r="S9" s="66" t="str">
        <f aca="false">IF(ISBLANK($C9),"",IF(COUNTA(G9:H9)=0,"",IF(AND(OR(ISBLANK(G9),AND(ISNUMBER(G9),G9&gt;=0)),OR(ISBLANK(H9),AND(ISNUMBER(H9),H9&gt;=0))),60*IF(ISBLANK(G9),0,G9)+IF(ISBLANK(H9),0,H9),"")))</f>
        <v/>
      </c>
      <c r="T9" s="66" t="str">
        <f aca="false">IF(ISBLANK($C9),"",IF(I9=Constants!$B$2, TRUE(), IF(I9=Constants!$B$3, FALSE(), TRUE())))</f>
        <v/>
      </c>
      <c r="U9" s="66" t="str">
        <f aca="false">IF(ISBLANK($C9),"",IF(J9=Constants!$B$2, TRUE(), IF(J9=Constants!$B$3, FALSE(), TRUE())))</f>
        <v/>
      </c>
      <c r="V9" s="66" t="str">
        <f aca="false">IF(ISBLANK($C9),"",IF(COUNTA(K9:L9)=0,"",IF(AND(OR(ISBLANK(K9),AND(ISNUMBER(K9),K9&gt;=0)),OR(ISBLANK(L9),AND(ISNUMBER(L9),L9&gt;=0))),60*IF(ISBLANK(K9),0,K9)+IF(ISBLANK(L9),0,L9),"")))</f>
        <v/>
      </c>
      <c r="W9" s="66" t="str">
        <f aca="false">IF(ISBLANK($C9),"",IF(M9=Constants!$B$2, TRUE(), IF(M9=Constants!$B$3, FALSE(), TRUE())))</f>
        <v/>
      </c>
      <c r="X9" s="66" t="str">
        <f aca="false">IF(ISBLANK($C9),"",IF(N9=Constants!$B$2, TRUE(), IF(N9=Constants!$B$3, FALSE(), TRUE())))</f>
        <v/>
      </c>
      <c r="Y9" s="66" t="str">
        <f aca="false">IF(ISBLANK($C9),"",IF(O9=Constants!$B$2, TRUE(), IF(O9=Constants!$B$3, FALSE(), FALSE())))</f>
        <v/>
      </c>
      <c r="Z9" s="66" t="str">
        <f aca="false">IF(ISBLANK($C9),"",AND(S9&lt;&gt;"",Q9))</f>
        <v/>
      </c>
      <c r="AA9" s="66" t="str">
        <f aca="false">IF(ISBLANK($C9),"",AND(V9&lt;&gt;"",Q9))</f>
        <v/>
      </c>
      <c r="AB9" s="66" t="str">
        <f aca="false">IF(ISBLANK($C9),"",IF(Y9,Constants!$B$4,IF(COUNTA(E9:N9)=0,Constants!$B$5,IF(NOT(Q9),Constants!$B$6,IF(AND(NOT(Z9),NOT(AA9)),Constants!$B$6,Constants!$B$7)))))</f>
        <v/>
      </c>
      <c r="AC9" s="66" t="str">
        <f aca="false">IF(ISBLANK($C9),"",IF($AB9&lt;&gt;Constants!$B$7,$AB9,Constants!$B$20))</f>
        <v/>
      </c>
      <c r="AD9" s="66" t="str">
        <f aca="false">IF($AB9=Constants!$B$7,IF(Z9,S9,Constants!$B$13),"")</f>
        <v/>
      </c>
      <c r="AE9" s="66" t="str">
        <f aca="false">IF($AB9=Constants!$B$7,IF(Z9,R9*IF(T9, 1, Constants!$B$11)*IF(U9, 1, Constants!$B$12),Constants!$B$13),"")</f>
        <v/>
      </c>
      <c r="AF9" s="66" t="str">
        <f aca="false">IF($AB9=Constants!$B$7,AD9*AE9,"")</f>
        <v/>
      </c>
      <c r="AG9" s="66" t="str">
        <f aca="false">IF($AB9=Constants!$B$7,IF(AA9,V9,Constants!$B$13),"")</f>
        <v/>
      </c>
      <c r="AH9" s="66" t="str">
        <f aca="false">IF($AB9=Constants!$B$7,IF(AA9,R9*IF(W9, 1, Constants!$B$11)*IF(X9, 1, Constants!$B$12),Constants!$B$13),"")</f>
        <v/>
      </c>
      <c r="AI9" s="66" t="str">
        <f aca="false">IF($AB9=Constants!$B$7,AG9*AH9,"")</f>
        <v/>
      </c>
      <c r="AJ9" s="66" t="str">
        <f aca="false">IF($AB9=Constants!$B$7,IF(AI9&gt;AF9,2,1),"")</f>
        <v/>
      </c>
      <c r="AK9" s="66" t="str">
        <f aca="false">IF($AB9=Constants!$B$7,IF(AJ9=1,2,1),"")</f>
        <v/>
      </c>
      <c r="AL9" s="66" t="str">
        <f aca="false">IF(ISBLANK($C9),"",IF($AB9&lt;&gt;Constants!$B$7,$AB9,IF(AJ9=1,AF9,AI9)))</f>
        <v/>
      </c>
      <c r="AM9" s="66" t="str">
        <f aca="false">IF(ISBLANK($C9),"",IF($AB9=Constants!$B$7,IF(ISNUMBER(AL9),RANK(AL9,$AL$8:$AL$507),Constants!$B$14),$AB9))</f>
        <v/>
      </c>
      <c r="AN9" s="66" t="str">
        <f aca="false">IF(ISBLANK($C9),"",IF($AB9=Constants!$B$7,IF(AK9=1,AF9,AI9),""))</f>
        <v/>
      </c>
      <c r="AO9" s="66" t="str">
        <f aca="false">IF(ISBLANK($C9),"",IF($AB9=Constants!$B$7,RANK(AN9,$AN$8:$AN$507),$AB9))</f>
        <v/>
      </c>
      <c r="AP9" s="66" t="str">
        <f aca="false">IF(ISBLANK($C9),"",IF($AB9=Constants!$B$7,IF(ISNUMBER(AM9),COUNTIFS($AM$8:$AM$507,"&lt;"&amp;$AM9)+COUNTIFS($AM$8:$AM$507,$AM9,$AO$8:$AO$507,"&lt;"&amp;$AO9)+1,Constants!$B$14),$AB9))</f>
        <v/>
      </c>
      <c r="AQ9" s="66" t="str">
        <f aca="false">IF(ISBLANK($C9),"",IF($AB9=Constants!$B$7,IF(ISNUMBER(AM9),AM9-AP9,Constants!$B$14),$AB9))</f>
        <v/>
      </c>
      <c r="AR9" s="68"/>
      <c r="AS9" s="69" t="str">
        <f aca="false">IF(ISBLANK($C9),"",IF($AB9&lt;&gt;Constants!$B$7,"",AJ9))</f>
        <v/>
      </c>
      <c r="AT9" s="84" t="str">
        <f aca="false">IF(ISBLANK($C9),"",IF($AB9&lt;&gt;Constants!$B$7,"",IF(AJ9=1,AD9,AG9)))</f>
        <v/>
      </c>
      <c r="AU9" s="71" t="str">
        <f aca="false">IF(ISBLANK($C9),"",IF($AB9&lt;&gt;Constants!$B$7,"",IF(AJ9=1,AE9,AH9)))</f>
        <v/>
      </c>
      <c r="AV9" s="72" t="str">
        <f aca="false">IF(ISBLANK($C9),"",IF($AB9&lt;&gt;Constants!$B$7,$AB9,AL9))</f>
        <v/>
      </c>
      <c r="AW9" s="73" t="str">
        <f aca="false">IF(ISBLANK($C9),"",IF($AB9&lt;&gt;Constants!$B$7,$AB9,AC9))</f>
        <v/>
      </c>
      <c r="AX9" s="74" t="str">
        <f aca="false">IF(ISBLANK($C9),"",AQ9)</f>
        <v/>
      </c>
      <c r="AY9" s="74" t="str">
        <f aca="false">IF(ISBLANK($C9),"",AP9)</f>
        <v/>
      </c>
      <c r="AZ9" s="75" t="str">
        <f aca="false">IF(ISBLANK($C9),"",IF(AY9=Constants!$B$4,COUNTA($C$8:$C$507)+2,IF(AY9=Constants!$B$5,COUNTA($C$8:$C$507)+1,IF(AY9=Constants!$B$6,COUNTA($C$8:$C$507),AY9))))</f>
        <v/>
      </c>
      <c r="BA9" s="5"/>
      <c r="BB9" s="76" t="n">
        <f aca="false">IF(OR(ISNUMBER(AY9),AY9=Constants!$B$4,AY9=Constants!$B$6,AY9=Constants!$B$5),1,0)</f>
        <v>0</v>
      </c>
      <c r="BC9" s="76" t="n">
        <v>2</v>
      </c>
      <c r="BD9" s="76" t="str">
        <f aca="false">IF(ISBLANK($C9),"",IF(ISNUMBER(AZ9),AZ9+ROW($B9)/1000,""))</f>
        <v/>
      </c>
      <c r="BE9" s="76" t="str">
        <f aca="false">IF(ISNUMBER(BD9),RANK(BD9,$BD$8:$BD$507,1),"")</f>
        <v/>
      </c>
      <c r="BF9" s="76" t="str">
        <f aca="false">IF(ISBLANK($C9),"",$B9)</f>
        <v/>
      </c>
      <c r="BG9" s="76" t="str">
        <f aca="false">IF(ISBLANK($C9),"",$C9)</f>
        <v/>
      </c>
      <c r="BH9" s="76" t="str">
        <f aca="false">IF(ISBLANK($C9),"",$D9)</f>
        <v/>
      </c>
      <c r="BI9" s="77" t="str">
        <f aca="false">AW9</f>
        <v/>
      </c>
      <c r="BJ9" s="78" t="str">
        <f aca="false">AV9</f>
        <v/>
      </c>
      <c r="BK9" s="76" t="str">
        <f aca="false">IF(ISBLANK($C9),"",AY9)</f>
        <v/>
      </c>
      <c r="BL9" s="79" t="str">
        <f aca="false">IF($BC9&gt;$BB$7,"",VLOOKUP($BC9,$BE$8:$BK$507,7,FALSE()))</f>
        <v/>
      </c>
      <c r="BM9" s="80" t="str">
        <f aca="false">IF($BC9&gt;$BB$7,"",VLOOKUP($BC9,$BE$8:$BK$507,2,FALSE()))</f>
        <v/>
      </c>
      <c r="BN9" s="80" t="str">
        <f aca="false">IF($BC9&gt;$BB$7,"",VLOOKUP($BC9,$BE$8:$BK$507,3,FALSE()))</f>
        <v/>
      </c>
      <c r="BO9" s="80" t="str">
        <f aca="false">IF($BC9&gt;$BB$7,"",VLOOKUP($BC9,$BE$8:$BK$507,4,FALSE()))</f>
        <v/>
      </c>
      <c r="BP9" s="80" t="str">
        <f aca="false">IF($BC9&gt;$BB$7,"",VLOOKUP($BC9,$BE$8:$BK$507,5,FALSE()))</f>
        <v/>
      </c>
      <c r="BQ9" s="81" t="str">
        <f aca="false">IF($BC9&gt;$BB$7,"",VLOOKUP($BC9,$BE$8:$BK$507,6,FALSE()))</f>
        <v/>
      </c>
      <c r="BR9" s="54"/>
    </row>
    <row r="10" customFormat="false" ht="13.8" hidden="false" customHeight="false" outlineLevel="0" collapsed="false">
      <c r="A10" s="5"/>
      <c r="B10" s="82"/>
      <c r="C10" s="85"/>
      <c r="D10" s="86"/>
      <c r="E10" s="58"/>
      <c r="F10" s="59"/>
      <c r="G10" s="60"/>
      <c r="H10" s="61"/>
      <c r="I10" s="62"/>
      <c r="J10" s="59"/>
      <c r="K10" s="60"/>
      <c r="L10" s="61"/>
      <c r="M10" s="62"/>
      <c r="N10" s="59"/>
      <c r="O10" s="63"/>
      <c r="P10" s="64"/>
      <c r="Q10" s="66" t="str">
        <f aca="false">IF(ISBLANK($C10),"",IF(E10=Constants!$B$2, TRUE(), IF(E10=Constants!$B$3, FALSE(), TRUE())))</f>
        <v/>
      </c>
      <c r="R10" s="66" t="str">
        <f aca="false">IF(ISBLANK($C10),"",IF(F10=Constants!$B$16,Constants!$B$9,IF(F10=Constants!$B$17,Constants!$B$10,Constants!$B$8)))</f>
        <v/>
      </c>
      <c r="S10" s="66" t="str">
        <f aca="false">IF(ISBLANK($C10),"",IF(COUNTA(G10:H10)=0,"",IF(AND(OR(ISBLANK(G10),AND(ISNUMBER(G10),G10&gt;=0)),OR(ISBLANK(H10),AND(ISNUMBER(H10),H10&gt;=0))),60*IF(ISBLANK(G10),0,G10)+IF(ISBLANK(H10),0,H10),"")))</f>
        <v/>
      </c>
      <c r="T10" s="66" t="str">
        <f aca="false">IF(ISBLANK($C10),"",IF(I10=Constants!$B$2, TRUE(), IF(I10=Constants!$B$3, FALSE(), TRUE())))</f>
        <v/>
      </c>
      <c r="U10" s="66" t="str">
        <f aca="false">IF(ISBLANK($C10),"",IF(J10=Constants!$B$2, TRUE(), IF(J10=Constants!$B$3, FALSE(), TRUE())))</f>
        <v/>
      </c>
      <c r="V10" s="66" t="str">
        <f aca="false">IF(ISBLANK($C10),"",IF(COUNTA(K10:L10)=0,"",IF(AND(OR(ISBLANK(K10),AND(ISNUMBER(K10),K10&gt;=0)),OR(ISBLANK(L10),AND(ISNUMBER(L10),L10&gt;=0))),60*IF(ISBLANK(K10),0,K10)+IF(ISBLANK(L10),0,L10),"")))</f>
        <v/>
      </c>
      <c r="W10" s="66" t="str">
        <f aca="false">IF(ISBLANK($C10),"",IF(M10=Constants!$B$2, TRUE(), IF(M10=Constants!$B$3, FALSE(), TRUE())))</f>
        <v/>
      </c>
      <c r="X10" s="66" t="str">
        <f aca="false">IF(ISBLANK($C10),"",IF(N10=Constants!$B$2, TRUE(), IF(N10=Constants!$B$3, FALSE(), TRUE())))</f>
        <v/>
      </c>
      <c r="Y10" s="66" t="str">
        <f aca="false">IF(ISBLANK($C10),"",IF(O10=Constants!$B$2, TRUE(), IF(O10=Constants!$B$3, FALSE(), FALSE())))</f>
        <v/>
      </c>
      <c r="Z10" s="66" t="str">
        <f aca="false">IF(ISBLANK($C10),"",AND(S10&lt;&gt;"",Q10))</f>
        <v/>
      </c>
      <c r="AA10" s="66" t="str">
        <f aca="false">IF(ISBLANK($C10),"",AND(V10&lt;&gt;"",Q10))</f>
        <v/>
      </c>
      <c r="AB10" s="66" t="str">
        <f aca="false">IF(ISBLANK($C10),"",IF(Y10,Constants!$B$4,IF(COUNTA(E10:N10)=0,Constants!$B$5,IF(NOT(Q10),Constants!$B$6,IF(AND(NOT(Z10),NOT(AA10)),Constants!$B$6,Constants!$B$7)))))</f>
        <v/>
      </c>
      <c r="AC10" s="66" t="str">
        <f aca="false">IF(ISBLANK($C10),"",IF($AB10&lt;&gt;Constants!$B$7,$AB10,Constants!$B$20))</f>
        <v/>
      </c>
      <c r="AD10" s="66" t="str">
        <f aca="false">IF($AB10=Constants!$B$7,IF(Z10,S10,Constants!$B$13),"")</f>
        <v/>
      </c>
      <c r="AE10" s="66" t="str">
        <f aca="false">IF($AB10=Constants!$B$7,IF(Z10,R10*IF(T10, 1, Constants!$B$11)*IF(U10, 1, Constants!$B$12),Constants!$B$13),"")</f>
        <v/>
      </c>
      <c r="AF10" s="66" t="str">
        <f aca="false">IF($AB10=Constants!$B$7,AD10*AE10,"")</f>
        <v/>
      </c>
      <c r="AG10" s="66" t="str">
        <f aca="false">IF($AB10=Constants!$B$7,IF(AA10,V10,Constants!$B$13),"")</f>
        <v/>
      </c>
      <c r="AH10" s="66" t="str">
        <f aca="false">IF($AB10=Constants!$B$7,IF(AA10,R10*IF(W10, 1, Constants!$B$11)*IF(X10, 1, Constants!$B$12),Constants!$B$13),"")</f>
        <v/>
      </c>
      <c r="AI10" s="66" t="str">
        <f aca="false">IF($AB10=Constants!$B$7,AG10*AH10,"")</f>
        <v/>
      </c>
      <c r="AJ10" s="66" t="str">
        <f aca="false">IF($AB10=Constants!$B$7,IF(AI10&gt;AF10,2,1),"")</f>
        <v/>
      </c>
      <c r="AK10" s="66" t="str">
        <f aca="false">IF($AB10=Constants!$B$7,IF(AJ10=1,2,1),"")</f>
        <v/>
      </c>
      <c r="AL10" s="66" t="str">
        <f aca="false">IF(ISBLANK($C10),"",IF($AB10&lt;&gt;Constants!$B$7,$AB10,IF(AJ10=1,AF10,AI10)))</f>
        <v/>
      </c>
      <c r="AM10" s="66" t="str">
        <f aca="false">IF(ISBLANK($C10),"",IF($AB10=Constants!$B$7,IF(ISNUMBER(AL10),RANK(AL10,$AL$8:$AL$507),Constants!$B$14),$AB10))</f>
        <v/>
      </c>
      <c r="AN10" s="66" t="str">
        <f aca="false">IF(ISBLANK($C10),"",IF($AB10=Constants!$B$7,IF(AK10=1,AF10,AI10),""))</f>
        <v/>
      </c>
      <c r="AO10" s="66" t="str">
        <f aca="false">IF(ISBLANK($C10),"",IF($AB10=Constants!$B$7,RANK(AN10,$AN$8:$AN$507),$AB10))</f>
        <v/>
      </c>
      <c r="AP10" s="66" t="str">
        <f aca="false">IF(ISBLANK($C10),"",IF($AB10=Constants!$B$7,IF(ISNUMBER(AM10),COUNTIFS($AM$8:$AM$507,"&lt;"&amp;$AM10)+COUNTIFS($AM$8:$AM$507,$AM10,$AO$8:$AO$507,"&lt;"&amp;$AO10)+1,Constants!$B$14),$AB10))</f>
        <v/>
      </c>
      <c r="AQ10" s="66" t="str">
        <f aca="false">IF(ISBLANK($C10),"",IF($AB10=Constants!$B$7,IF(ISNUMBER(AM10),AM10-AP10,Constants!$B$14),$AB10))</f>
        <v/>
      </c>
      <c r="AR10" s="68"/>
      <c r="AS10" s="69" t="str">
        <f aca="false">IF(ISBLANK($C10),"",IF($AB10&lt;&gt;Constants!$B$7,"",AJ10))</f>
        <v/>
      </c>
      <c r="AT10" s="84" t="str">
        <f aca="false">IF(ISBLANK($C10),"",IF($AB10&lt;&gt;Constants!$B$7,"",IF(AJ10=1,AD10,AG10)))</f>
        <v/>
      </c>
      <c r="AU10" s="71" t="str">
        <f aca="false">IF(ISBLANK($C10),"",IF($AB10&lt;&gt;Constants!$B$7,"",IF(AJ10=1,AE10,AH10)))</f>
        <v/>
      </c>
      <c r="AV10" s="72" t="str">
        <f aca="false">IF(ISBLANK($C10),"",IF($AB10&lt;&gt;Constants!$B$7,$AB10,AL10))</f>
        <v/>
      </c>
      <c r="AW10" s="73" t="str">
        <f aca="false">IF(ISBLANK($C10),"",IF($AB10&lt;&gt;Constants!$B$7,$AB10,AC10))</f>
        <v/>
      </c>
      <c r="AX10" s="74" t="str">
        <f aca="false">IF(ISBLANK($C10),"",AQ10)</f>
        <v/>
      </c>
      <c r="AY10" s="74" t="str">
        <f aca="false">IF(ISBLANK($C10),"",AP10)</f>
        <v/>
      </c>
      <c r="AZ10" s="75" t="str">
        <f aca="false">IF(ISBLANK($C10),"",IF(AY10=Constants!$B$4,COUNTA($C$8:$C$507)+2,IF(AY10=Constants!$B$5,COUNTA($C$8:$C$507)+1,IF(AY10=Constants!$B$6,COUNTA($C$8:$C$507),AY10))))</f>
        <v/>
      </c>
      <c r="BA10" s="5"/>
      <c r="BB10" s="76" t="n">
        <f aca="false">IF(OR(ISNUMBER(AY10),AY10=Constants!$B$4,AY10=Constants!$B$6,AY10=Constants!$B$5),1,0)</f>
        <v>0</v>
      </c>
      <c r="BC10" s="76" t="n">
        <v>3</v>
      </c>
      <c r="BD10" s="76" t="str">
        <f aca="false">IF(ISBLANK($C10),"",IF(ISNUMBER(AZ10),AZ10+ROW($B10)/1000,""))</f>
        <v/>
      </c>
      <c r="BE10" s="76" t="str">
        <f aca="false">IF(ISNUMBER(BD10),RANK(BD10,$BD$8:$BD$507,1),"")</f>
        <v/>
      </c>
      <c r="BF10" s="76" t="str">
        <f aca="false">IF(ISBLANK($C10),"",$B10)</f>
        <v/>
      </c>
      <c r="BG10" s="76" t="str">
        <f aca="false">IF(ISBLANK($C10),"",$C10)</f>
        <v/>
      </c>
      <c r="BH10" s="76" t="str">
        <f aca="false">IF(ISBLANK($C10),"",$D10)</f>
        <v/>
      </c>
      <c r="BI10" s="77" t="str">
        <f aca="false">AW10</f>
        <v/>
      </c>
      <c r="BJ10" s="78" t="str">
        <f aca="false">AV10</f>
        <v/>
      </c>
      <c r="BK10" s="76" t="str">
        <f aca="false">IF(ISBLANK($C10),"",AY10)</f>
        <v/>
      </c>
      <c r="BL10" s="79" t="str">
        <f aca="false">IF($BC10&gt;$BB$7,"",VLOOKUP($BC10,$BE$8:$BK$507,7,FALSE()))</f>
        <v/>
      </c>
      <c r="BM10" s="80" t="str">
        <f aca="false">IF($BC10&gt;$BB$7,"",VLOOKUP($BC10,$BE$8:$BK$507,2,FALSE()))</f>
        <v/>
      </c>
      <c r="BN10" s="80" t="str">
        <f aca="false">IF($BC10&gt;$BB$7,"",VLOOKUP($BC10,$BE$8:$BK$507,3,FALSE()))</f>
        <v/>
      </c>
      <c r="BO10" s="80" t="str">
        <f aca="false">IF($BC10&gt;$BB$7,"",VLOOKUP($BC10,$BE$8:$BK$507,4,FALSE()))</f>
        <v/>
      </c>
      <c r="BP10" s="80" t="str">
        <f aca="false">IF($BC10&gt;$BB$7,"",VLOOKUP($BC10,$BE$8:$BK$507,5,FALSE()))</f>
        <v/>
      </c>
      <c r="BQ10" s="81" t="str">
        <f aca="false">IF($BC10&gt;$BB$7,"",VLOOKUP($BC10,$BE$8:$BK$507,6,FALSE()))</f>
        <v/>
      </c>
      <c r="BR10" s="54"/>
    </row>
    <row r="11" customFormat="false" ht="13.8" hidden="false" customHeight="false" outlineLevel="0" collapsed="false">
      <c r="A11" s="5"/>
      <c r="B11" s="87"/>
      <c r="C11" s="88"/>
      <c r="D11" s="89"/>
      <c r="E11" s="90"/>
      <c r="F11" s="91"/>
      <c r="G11" s="92"/>
      <c r="H11" s="93"/>
      <c r="I11" s="94"/>
      <c r="J11" s="91"/>
      <c r="K11" s="92"/>
      <c r="L11" s="93"/>
      <c r="M11" s="94"/>
      <c r="N11" s="91"/>
      <c r="O11" s="95"/>
      <c r="P11" s="96"/>
      <c r="Q11" s="97" t="str">
        <f aca="false">IF(ISBLANK($C11),"",IF(E11=Constants!$B$2, TRUE(), IF(E11=Constants!$B$3, FALSE(), TRUE())))</f>
        <v/>
      </c>
      <c r="R11" s="97" t="str">
        <f aca="false">IF(ISBLANK($C11),"",IF(F11=Constants!$B$16,Constants!$B$9,IF(F11=Constants!$B$17,Constants!$B$10,Constants!$B$8)))</f>
        <v/>
      </c>
      <c r="S11" s="97" t="str">
        <f aca="false">IF(ISBLANK($C11),"",IF(COUNTA(G11:H11)=0,"",IF(AND(OR(ISBLANK(G11),AND(ISNUMBER(G11),G11&gt;=0)),OR(ISBLANK(H11),AND(ISNUMBER(H11),H11&gt;=0))),60*IF(ISBLANK(G11),0,G11)+IF(ISBLANK(H11),0,H11),"")))</f>
        <v/>
      </c>
      <c r="T11" s="97" t="str">
        <f aca="false">IF(ISBLANK($C11),"",IF(I11=Constants!$B$2, TRUE(), IF(I11=Constants!$B$3, FALSE(), TRUE())))</f>
        <v/>
      </c>
      <c r="U11" s="97" t="str">
        <f aca="false">IF(ISBLANK($C11),"",IF(J11=Constants!$B$2, TRUE(), IF(J11=Constants!$B$3, FALSE(), TRUE())))</f>
        <v/>
      </c>
      <c r="V11" s="97" t="str">
        <f aca="false">IF(ISBLANK($C11),"",IF(COUNTA(K11:L11)=0,"",IF(AND(OR(ISBLANK(K11),AND(ISNUMBER(K11),K11&gt;=0)),OR(ISBLANK(L11),AND(ISNUMBER(L11),L11&gt;=0))),60*IF(ISBLANK(K11),0,K11)+IF(ISBLANK(L11),0,L11),"")))</f>
        <v/>
      </c>
      <c r="W11" s="97" t="str">
        <f aca="false">IF(ISBLANK($C11),"",IF(M11=Constants!$B$2, TRUE(), IF(M11=Constants!$B$3, FALSE(), TRUE())))</f>
        <v/>
      </c>
      <c r="X11" s="97" t="str">
        <f aca="false">IF(ISBLANK($C11),"",IF(N11=Constants!$B$2, TRUE(), IF(N11=Constants!$B$3, FALSE(), TRUE())))</f>
        <v/>
      </c>
      <c r="Y11" s="97" t="str">
        <f aca="false">IF(ISBLANK($C11),"",IF(O11=Constants!$B$2, TRUE(), IF(O11=Constants!$B$3, FALSE(), FALSE())))</f>
        <v/>
      </c>
      <c r="Z11" s="97" t="str">
        <f aca="false">IF(ISBLANK($C11),"",AND(S11&lt;&gt;"",Q11))</f>
        <v/>
      </c>
      <c r="AA11" s="97" t="str">
        <f aca="false">IF(ISBLANK($C11),"",AND(V11&lt;&gt;"",Q11))</f>
        <v/>
      </c>
      <c r="AB11" s="97" t="str">
        <f aca="false">IF(ISBLANK($C11),"",IF(Y11,Constants!$B$4,IF(COUNTA(E11:N11)=0,Constants!$B$5,IF(NOT(Q11),Constants!$B$6,IF(AND(NOT(Z11),NOT(AA11)),Constants!$B$6,Constants!$B$7)))))</f>
        <v/>
      </c>
      <c r="AC11" s="97" t="str">
        <f aca="false">IF(ISBLANK($C11),"",IF($AB11&lt;&gt;Constants!$B$7,$AB11,Constants!$B$20))</f>
        <v/>
      </c>
      <c r="AD11" s="97" t="str">
        <f aca="false">IF($AB11=Constants!$B$7,IF(Z11,S11,Constants!$B$13),"")</f>
        <v/>
      </c>
      <c r="AE11" s="97" t="str">
        <f aca="false">IF($AB11=Constants!$B$7,IF(Z11,R11*IF(T11, 1, Constants!$B$11)*IF(U11, 1, Constants!$B$12),Constants!$B$13),"")</f>
        <v/>
      </c>
      <c r="AF11" s="97" t="str">
        <f aca="false">IF($AB11=Constants!$B$7,AD11*AE11,"")</f>
        <v/>
      </c>
      <c r="AG11" s="97" t="str">
        <f aca="false">IF($AB11=Constants!$B$7,IF(AA11,V11,Constants!$B$13),"")</f>
        <v/>
      </c>
      <c r="AH11" s="97" t="str">
        <f aca="false">IF($AB11=Constants!$B$7,IF(AA11,R11*IF(W11, 1, Constants!$B$11)*IF(X11, 1, Constants!$B$12),Constants!$B$13),"")</f>
        <v/>
      </c>
      <c r="AI11" s="97" t="str">
        <f aca="false">IF($AB11=Constants!$B$7,AG11*AH11,"")</f>
        <v/>
      </c>
      <c r="AJ11" s="97" t="str">
        <f aca="false">IF($AB11=Constants!$B$7,IF(AI11&gt;AF11,2,1),"")</f>
        <v/>
      </c>
      <c r="AK11" s="97" t="str">
        <f aca="false">IF($AB11=Constants!$B$7,IF(AJ11=1,2,1),"")</f>
        <v/>
      </c>
      <c r="AL11" s="97" t="str">
        <f aca="false">IF(ISBLANK($C11),"",IF($AB11&lt;&gt;Constants!$B$7,$AB11,IF(AJ11=1,AF11,AI11)))</f>
        <v/>
      </c>
      <c r="AM11" s="97" t="str">
        <f aca="false">IF(ISBLANK($C11),"",IF($AB11=Constants!$B$7,IF(ISNUMBER(AL11),RANK(AL11,$AL$8:$AL$507),Constants!$B$14),$AB11))</f>
        <v/>
      </c>
      <c r="AN11" s="97" t="str">
        <f aca="false">IF(ISBLANK($C11),"",IF($AB11=Constants!$B$7,IF(AK11=1,AF11,AI11),""))</f>
        <v/>
      </c>
      <c r="AO11" s="97" t="str">
        <f aca="false">IF(ISBLANK($C11),"",IF($AB11=Constants!$B$7,RANK(AN11,$AN$8:$AN$507),$AB11))</f>
        <v/>
      </c>
      <c r="AP11" s="97" t="str">
        <f aca="false">IF(ISBLANK($C11),"",IF($AB11=Constants!$B$7,IF(ISNUMBER(AM11),COUNTIFS($AM$8:$AM$507,"&lt;"&amp;$AM11)+COUNTIFS($AM$8:$AM$507,$AM11,$AO$8:$AO$507,"&lt;"&amp;$AO11)+1,Constants!$B$14),$AB11))</f>
        <v/>
      </c>
      <c r="AQ11" s="97" t="str">
        <f aca="false">IF(ISBLANK($C11),"",IF($AB11=Constants!$B$7,IF(ISNUMBER(AM11),AM11-AP11,Constants!$B$14),$AB11))</f>
        <v/>
      </c>
      <c r="AR11" s="98"/>
      <c r="AS11" s="99" t="str">
        <f aca="false">IF(ISBLANK($C11),"",IF($AB11&lt;&gt;Constants!$B$7,"",AJ11))</f>
        <v/>
      </c>
      <c r="AT11" s="100" t="str">
        <f aca="false">IF(ISBLANK($C11),"",IF($AB11&lt;&gt;Constants!$B$7,"",IF(AJ11=1,AD11,AG11)))</f>
        <v/>
      </c>
      <c r="AU11" s="101" t="str">
        <f aca="false">IF(ISBLANK($C11),"",IF($AB11&lt;&gt;Constants!$B$7,"",IF(AJ11=1,AE11,AH11)))</f>
        <v/>
      </c>
      <c r="AV11" s="102" t="str">
        <f aca="false">IF(ISBLANK($C11),"",IF($AB11&lt;&gt;Constants!$B$7,$AB11,AL11))</f>
        <v/>
      </c>
      <c r="AW11" s="103" t="str">
        <f aca="false">IF(ISBLANK($C11),"",IF($AB11&lt;&gt;Constants!$B$7,$AB11,AC11))</f>
        <v/>
      </c>
      <c r="AX11" s="104" t="str">
        <f aca="false">IF(ISBLANK($C11),"",AQ11)</f>
        <v/>
      </c>
      <c r="AY11" s="104" t="str">
        <f aca="false">IF(ISBLANK($C11),"",AP11)</f>
        <v/>
      </c>
      <c r="AZ11" s="105" t="str">
        <f aca="false">IF(ISBLANK($C11),"",IF(AY11=Constants!$B$4,COUNTA($C$8:$C$507)+2,IF(AY11=Constants!$B$5,COUNTA($C$8:$C$507)+1,IF(AY11=Constants!$B$6,COUNTA($C$8:$C$507),AY11))))</f>
        <v/>
      </c>
      <c r="BA11" s="5"/>
      <c r="BB11" s="106" t="n">
        <f aca="false">IF(OR(ISNUMBER(AY11),AY11=Constants!$B$4,AY11=Constants!$B$6,AY11=Constants!$B$5),1,0)</f>
        <v>0</v>
      </c>
      <c r="BC11" s="106" t="n">
        <v>4</v>
      </c>
      <c r="BD11" s="106" t="str">
        <f aca="false">IF(ISBLANK($C11),"",IF(ISNUMBER(AZ11),AZ11+ROW($B11)/1000,""))</f>
        <v/>
      </c>
      <c r="BE11" s="106" t="str">
        <f aca="false">IF(ISNUMBER(BD11),RANK(BD11,$BD$8:$BD$507,1),"")</f>
        <v/>
      </c>
      <c r="BF11" s="106" t="str">
        <f aca="false">IF(ISBLANK($C11),"",$B11)</f>
        <v/>
      </c>
      <c r="BG11" s="106" t="str">
        <f aca="false">IF(ISBLANK($C11),"",$C11)</f>
        <v/>
      </c>
      <c r="BH11" s="106" t="str">
        <f aca="false">IF(ISBLANK($C11),"",$D11)</f>
        <v/>
      </c>
      <c r="BI11" s="107" t="str">
        <f aca="false">AW11</f>
        <v/>
      </c>
      <c r="BJ11" s="108" t="str">
        <f aca="false">AV11</f>
        <v/>
      </c>
      <c r="BK11" s="106" t="str">
        <f aca="false">IF(ISBLANK($C11),"",AY11)</f>
        <v/>
      </c>
      <c r="BL11" s="109" t="str">
        <f aca="false">IF($BC11&gt;$BB$7,"",VLOOKUP($BC11,$BE$8:$BK$507,7,FALSE()))</f>
        <v/>
      </c>
      <c r="BM11" s="110" t="str">
        <f aca="false">IF($BC11&gt;$BB$7,"",VLOOKUP($BC11,$BE$8:$BK$507,2,FALSE()))</f>
        <v/>
      </c>
      <c r="BN11" s="110" t="str">
        <f aca="false">IF($BC11&gt;$BB$7,"",VLOOKUP($BC11,$BE$8:$BK$507,3,FALSE()))</f>
        <v/>
      </c>
      <c r="BO11" s="110" t="str">
        <f aca="false">IF($BC11&gt;$BB$7,"",VLOOKUP($BC11,$BE$8:$BK$507,4,FALSE()))</f>
        <v/>
      </c>
      <c r="BP11" s="110" t="str">
        <f aca="false">IF($BC11&gt;$BB$7,"",VLOOKUP($BC11,$BE$8:$BK$507,5,FALSE()))</f>
        <v/>
      </c>
      <c r="BQ11" s="111" t="str">
        <f aca="false">IF($BC11&gt;$BB$7,"",VLOOKUP($BC11,$BE$8:$BK$507,6,FALSE()))</f>
        <v/>
      </c>
      <c r="BR11" s="54"/>
    </row>
    <row r="12" customFormat="false" ht="13.8" hidden="false" customHeight="false" outlineLevel="0" collapsed="false">
      <c r="A12" s="5"/>
      <c r="B12" s="87"/>
      <c r="C12" s="88"/>
      <c r="D12" s="112"/>
      <c r="E12" s="90"/>
      <c r="F12" s="91"/>
      <c r="G12" s="92"/>
      <c r="H12" s="93"/>
      <c r="I12" s="94"/>
      <c r="J12" s="91"/>
      <c r="K12" s="92"/>
      <c r="L12" s="93"/>
      <c r="M12" s="94"/>
      <c r="N12" s="91"/>
      <c r="O12" s="95"/>
      <c r="P12" s="96"/>
      <c r="Q12" s="97" t="str">
        <f aca="false">IF(ISBLANK($C12),"",IF(E12=Constants!$B$2, TRUE(), IF(E12=Constants!$B$3, FALSE(), TRUE())))</f>
        <v/>
      </c>
      <c r="R12" s="97" t="str">
        <f aca="false">IF(ISBLANK($C12),"",IF(F12=Constants!$B$16,Constants!$B$9,IF(F12=Constants!$B$17,Constants!$B$10,Constants!$B$8)))</f>
        <v/>
      </c>
      <c r="S12" s="97" t="str">
        <f aca="false">IF(ISBLANK($C12),"",IF(COUNTA(G12:H12)=0,"",IF(AND(OR(ISBLANK(G12),AND(ISNUMBER(G12),G12&gt;=0)),OR(ISBLANK(H12),AND(ISNUMBER(H12),H12&gt;=0))),60*IF(ISBLANK(G12),0,G12)+IF(ISBLANK(H12),0,H12),"")))</f>
        <v/>
      </c>
      <c r="T12" s="97" t="str">
        <f aca="false">IF(ISBLANK($C12),"",IF(I12=Constants!$B$2, TRUE(), IF(I12=Constants!$B$3, FALSE(), TRUE())))</f>
        <v/>
      </c>
      <c r="U12" s="97" t="str">
        <f aca="false">IF(ISBLANK($C12),"",IF(J12=Constants!$B$2, TRUE(), IF(J12=Constants!$B$3, FALSE(), TRUE())))</f>
        <v/>
      </c>
      <c r="V12" s="97" t="str">
        <f aca="false">IF(ISBLANK($C12),"",IF(COUNTA(K12:L12)=0,"",IF(AND(OR(ISBLANK(K12),AND(ISNUMBER(K12),K12&gt;=0)),OR(ISBLANK(L12),AND(ISNUMBER(L12),L12&gt;=0))),60*IF(ISBLANK(K12),0,K12)+IF(ISBLANK(L12),0,L12),"")))</f>
        <v/>
      </c>
      <c r="W12" s="97" t="str">
        <f aca="false">IF(ISBLANK($C12),"",IF(M12=Constants!$B$2, TRUE(), IF(M12=Constants!$B$3, FALSE(), TRUE())))</f>
        <v/>
      </c>
      <c r="X12" s="97" t="str">
        <f aca="false">IF(ISBLANK($C12),"",IF(N12=Constants!$B$2, TRUE(), IF(N12=Constants!$B$3, FALSE(), TRUE())))</f>
        <v/>
      </c>
      <c r="Y12" s="97" t="str">
        <f aca="false">IF(ISBLANK($C12),"",IF(O12=Constants!$B$2, TRUE(), IF(O12=Constants!$B$3, FALSE(), FALSE())))</f>
        <v/>
      </c>
      <c r="Z12" s="97" t="str">
        <f aca="false">IF(ISBLANK($C12),"",AND(S12&lt;&gt;"",Q12))</f>
        <v/>
      </c>
      <c r="AA12" s="97" t="str">
        <f aca="false">IF(ISBLANK($C12),"",AND(V12&lt;&gt;"",Q12))</f>
        <v/>
      </c>
      <c r="AB12" s="97" t="str">
        <f aca="false">IF(ISBLANK($C12),"",IF(Y12,Constants!$B$4,IF(COUNTA(E12:N12)=0,Constants!$B$5,IF(NOT(Q12),Constants!$B$6,IF(AND(NOT(Z12),NOT(AA12)),Constants!$B$6,Constants!$B$7)))))</f>
        <v/>
      </c>
      <c r="AC12" s="97" t="str">
        <f aca="false">IF(ISBLANK($C12),"",IF($AB12&lt;&gt;Constants!$B$7,$AB12,Constants!$B$20))</f>
        <v/>
      </c>
      <c r="AD12" s="97" t="str">
        <f aca="false">IF($AB12=Constants!$B$7,IF(Z12,S12,Constants!$B$13),"")</f>
        <v/>
      </c>
      <c r="AE12" s="97" t="str">
        <f aca="false">IF($AB12=Constants!$B$7,IF(Z12,R12*IF(T12, 1, Constants!$B$11)*IF(U12, 1, Constants!$B$12),Constants!$B$13),"")</f>
        <v/>
      </c>
      <c r="AF12" s="97" t="str">
        <f aca="false">IF($AB12=Constants!$B$7,AD12*AE12,"")</f>
        <v/>
      </c>
      <c r="AG12" s="97" t="str">
        <f aca="false">IF($AB12=Constants!$B$7,IF(AA12,V12,Constants!$B$13),"")</f>
        <v/>
      </c>
      <c r="AH12" s="97" t="str">
        <f aca="false">IF($AB12=Constants!$B$7,IF(AA12,R12*IF(W12, 1, Constants!$B$11)*IF(X12, 1, Constants!$B$12),Constants!$B$13),"")</f>
        <v/>
      </c>
      <c r="AI12" s="97" t="str">
        <f aca="false">IF($AB12=Constants!$B$7,AG12*AH12,"")</f>
        <v/>
      </c>
      <c r="AJ12" s="97" t="str">
        <f aca="false">IF($AB12=Constants!$B$7,IF(AI12&gt;AF12,2,1),"")</f>
        <v/>
      </c>
      <c r="AK12" s="97" t="str">
        <f aca="false">IF($AB12=Constants!$B$7,IF(AJ12=1,2,1),"")</f>
        <v/>
      </c>
      <c r="AL12" s="97" t="str">
        <f aca="false">IF(ISBLANK($C12),"",IF($AB12&lt;&gt;Constants!$B$7,$AB12,IF(AJ12=1,AF12,AI12)))</f>
        <v/>
      </c>
      <c r="AM12" s="97" t="str">
        <f aca="false">IF(ISBLANK($C12),"",IF($AB12=Constants!$B$7,IF(ISNUMBER(AL12),RANK(AL12,$AL$8:$AL$507),Constants!$B$14),$AB12))</f>
        <v/>
      </c>
      <c r="AN12" s="97" t="str">
        <f aca="false">IF(ISBLANK($C12),"",IF($AB12=Constants!$B$7,IF(AK12=1,AF12,AI12),""))</f>
        <v/>
      </c>
      <c r="AO12" s="97" t="str">
        <f aca="false">IF(ISBLANK($C12),"",IF($AB12=Constants!$B$7,RANK(AN12,$AN$8:$AN$507),$AB12))</f>
        <v/>
      </c>
      <c r="AP12" s="97" t="str">
        <f aca="false">IF(ISBLANK($C12),"",IF($AB12=Constants!$B$7,IF(ISNUMBER(AM12),COUNTIFS($AM$8:$AM$507,"&lt;"&amp;$AM12)+COUNTIFS($AM$8:$AM$507,$AM12,$AO$8:$AO$507,"&lt;"&amp;$AO12)+1,Constants!$B$14),$AB12))</f>
        <v/>
      </c>
      <c r="AQ12" s="97" t="str">
        <f aca="false">IF(ISBLANK($C12),"",IF($AB12=Constants!$B$7,IF(ISNUMBER(AM12),AM12-AP12,Constants!$B$14),$AB12))</f>
        <v/>
      </c>
      <c r="AR12" s="98"/>
      <c r="AS12" s="99" t="str">
        <f aca="false">IF(ISBLANK($C12),"",IF($AB12&lt;&gt;Constants!$B$7,"",AJ12))</f>
        <v/>
      </c>
      <c r="AT12" s="100" t="str">
        <f aca="false">IF(ISBLANK($C12),"",IF($AB12&lt;&gt;Constants!$B$7,"",IF(AJ12=1,AD12,AG12)))</f>
        <v/>
      </c>
      <c r="AU12" s="101" t="str">
        <f aca="false">IF(ISBLANK($C12),"",IF($AB12&lt;&gt;Constants!$B$7,"",IF(AJ12=1,AE12,AH12)))</f>
        <v/>
      </c>
      <c r="AV12" s="102" t="str">
        <f aca="false">IF(ISBLANK($C12),"",IF($AB12&lt;&gt;Constants!$B$7,$AB12,AL12))</f>
        <v/>
      </c>
      <c r="AW12" s="103" t="str">
        <f aca="false">IF(ISBLANK($C12),"",IF($AB12&lt;&gt;Constants!$B$7,$AB12,AC12))</f>
        <v/>
      </c>
      <c r="AX12" s="104" t="str">
        <f aca="false">IF(ISBLANK($C12),"",AQ12)</f>
        <v/>
      </c>
      <c r="AY12" s="104" t="str">
        <f aca="false">IF(ISBLANK($C12),"",AP12)</f>
        <v/>
      </c>
      <c r="AZ12" s="105" t="str">
        <f aca="false">IF(ISBLANK($C12),"",IF(AY12=Constants!$B$4,COUNTA($C$8:$C$507)+2,IF(AY12=Constants!$B$5,COUNTA($C$8:$C$507)+1,IF(AY12=Constants!$B$6,COUNTA($C$8:$C$507),AY12))))</f>
        <v/>
      </c>
      <c r="BA12" s="5"/>
      <c r="BB12" s="106" t="n">
        <f aca="false">IF(OR(ISNUMBER(AY12),AY12=Constants!$B$4,AY12=Constants!$B$6,AY12=Constants!$B$5),1,0)</f>
        <v>0</v>
      </c>
      <c r="BC12" s="106" t="n">
        <v>5</v>
      </c>
      <c r="BD12" s="106" t="str">
        <f aca="false">IF(ISBLANK($C12),"",IF(ISNUMBER(AZ12),AZ12+ROW($B12)/1000,""))</f>
        <v/>
      </c>
      <c r="BE12" s="106" t="str">
        <f aca="false">IF(ISNUMBER(BD12),RANK(BD12,$BD$8:$BD$507,1),"")</f>
        <v/>
      </c>
      <c r="BF12" s="106" t="str">
        <f aca="false">IF(ISBLANK($C12),"",$B12)</f>
        <v/>
      </c>
      <c r="BG12" s="106" t="str">
        <f aca="false">IF(ISBLANK($C12),"",$C12)</f>
        <v/>
      </c>
      <c r="BH12" s="106" t="str">
        <f aca="false">IF(ISBLANK($C12),"",$D12)</f>
        <v/>
      </c>
      <c r="BI12" s="107" t="str">
        <f aca="false">AW12</f>
        <v/>
      </c>
      <c r="BJ12" s="108" t="str">
        <f aca="false">AV12</f>
        <v/>
      </c>
      <c r="BK12" s="106" t="str">
        <f aca="false">IF(ISBLANK($C12),"",AY12)</f>
        <v/>
      </c>
      <c r="BL12" s="109" t="str">
        <f aca="false">IF($BC12&gt;$BB$7,"",VLOOKUP($BC12,$BE$8:$BK$507,7,FALSE()))</f>
        <v/>
      </c>
      <c r="BM12" s="110" t="str">
        <f aca="false">IF($BC12&gt;$BB$7,"",VLOOKUP($BC12,$BE$8:$BK$507,2,FALSE()))</f>
        <v/>
      </c>
      <c r="BN12" s="110" t="str">
        <f aca="false">IF($BC12&gt;$BB$7,"",VLOOKUP($BC12,$BE$8:$BK$507,3,FALSE()))</f>
        <v/>
      </c>
      <c r="BO12" s="110" t="str">
        <f aca="false">IF($BC12&gt;$BB$7,"",VLOOKUP($BC12,$BE$8:$BK$507,4,FALSE()))</f>
        <v/>
      </c>
      <c r="BP12" s="110" t="str">
        <f aca="false">IF($BC12&gt;$BB$7,"",VLOOKUP($BC12,$BE$8:$BK$507,5,FALSE()))</f>
        <v/>
      </c>
      <c r="BQ12" s="111" t="str">
        <f aca="false">IF($BC12&gt;$BB$7,"",VLOOKUP($BC12,$BE$8:$BK$507,6,FALSE()))</f>
        <v/>
      </c>
      <c r="BR12" s="54"/>
    </row>
    <row r="13" customFormat="false" ht="13.8" hidden="false" customHeight="false" outlineLevel="0" collapsed="false">
      <c r="A13" s="5"/>
      <c r="B13" s="113"/>
      <c r="C13" s="114"/>
      <c r="D13" s="115"/>
      <c r="E13" s="116"/>
      <c r="F13" s="91"/>
      <c r="G13" s="92"/>
      <c r="H13" s="93"/>
      <c r="I13" s="94"/>
      <c r="J13" s="91"/>
      <c r="K13" s="92"/>
      <c r="L13" s="93"/>
      <c r="M13" s="94"/>
      <c r="N13" s="91"/>
      <c r="O13" s="117"/>
      <c r="P13" s="96"/>
      <c r="Q13" s="97" t="str">
        <f aca="false">IF(ISBLANK($C13),"",IF(E13=Constants!$B$2, TRUE(), IF(E13=Constants!$B$3, FALSE(), TRUE())))</f>
        <v/>
      </c>
      <c r="R13" s="97" t="str">
        <f aca="false">IF(ISBLANK($C13),"",IF(F13=Constants!$B$16,Constants!$B$9,IF(F13=Constants!$B$17,Constants!$B$10,Constants!$B$8)))</f>
        <v/>
      </c>
      <c r="S13" s="97" t="str">
        <f aca="false">IF(ISBLANK($C13),"",IF(COUNTA(G13:H13)=0,"",IF(AND(OR(ISBLANK(G13),AND(ISNUMBER(G13),G13&gt;=0)),OR(ISBLANK(H13),AND(ISNUMBER(H13),H13&gt;=0))),60*IF(ISBLANK(G13),0,G13)+IF(ISBLANK(H13),0,H13),"")))</f>
        <v/>
      </c>
      <c r="T13" s="97" t="str">
        <f aca="false">IF(ISBLANK($C13),"",IF(I13=Constants!$B$2, TRUE(), IF(I13=Constants!$B$3, FALSE(), TRUE())))</f>
        <v/>
      </c>
      <c r="U13" s="97" t="str">
        <f aca="false">IF(ISBLANK($C13),"",IF(J13=Constants!$B$2, TRUE(), IF(J13=Constants!$B$3, FALSE(), TRUE())))</f>
        <v/>
      </c>
      <c r="V13" s="97" t="str">
        <f aca="false">IF(ISBLANK($C13),"",IF(COUNTA(K13:L13)=0,"",IF(AND(OR(ISBLANK(K13),AND(ISNUMBER(K13),K13&gt;=0)),OR(ISBLANK(L13),AND(ISNUMBER(L13),L13&gt;=0))),60*IF(ISBLANK(K13),0,K13)+IF(ISBLANK(L13),0,L13),"")))</f>
        <v/>
      </c>
      <c r="W13" s="97" t="str">
        <f aca="false">IF(ISBLANK($C13),"",IF(M13=Constants!$B$2, TRUE(), IF(M13=Constants!$B$3, FALSE(), TRUE())))</f>
        <v/>
      </c>
      <c r="X13" s="97" t="str">
        <f aca="false">IF(ISBLANK($C13),"",IF(N13=Constants!$B$2, TRUE(), IF(N13=Constants!$B$3, FALSE(), TRUE())))</f>
        <v/>
      </c>
      <c r="Y13" s="97" t="str">
        <f aca="false">IF(ISBLANK($C13),"",IF(O13=Constants!$B$2, TRUE(), IF(O13=Constants!$B$3, FALSE(), FALSE())))</f>
        <v/>
      </c>
      <c r="Z13" s="97" t="str">
        <f aca="false">IF(ISBLANK($C13),"",AND(S13&lt;&gt;"",Q13))</f>
        <v/>
      </c>
      <c r="AA13" s="97" t="str">
        <f aca="false">IF(ISBLANK($C13),"",AND(V13&lt;&gt;"",Q13))</f>
        <v/>
      </c>
      <c r="AB13" s="97" t="str">
        <f aca="false">IF(ISBLANK($C13),"",IF(Y13,Constants!$B$4,IF(COUNTA(E13:N13)=0,Constants!$B$5,IF(NOT(Q13),Constants!$B$6,IF(AND(NOT(Z13),NOT(AA13)),Constants!$B$6,Constants!$B$7)))))</f>
        <v/>
      </c>
      <c r="AC13" s="97" t="str">
        <f aca="false">IF(ISBLANK($C13),"",IF($AB13&lt;&gt;Constants!$B$7,$AB13,Constants!$B$20))</f>
        <v/>
      </c>
      <c r="AD13" s="97" t="str">
        <f aca="false">IF($AB13=Constants!$B$7,IF(Z13,S13,Constants!$B$13),"")</f>
        <v/>
      </c>
      <c r="AE13" s="97" t="str">
        <f aca="false">IF($AB13=Constants!$B$7,IF(Z13,R13*IF(T13, 1, Constants!$B$11)*IF(U13, 1, Constants!$B$12),Constants!$B$13),"")</f>
        <v/>
      </c>
      <c r="AF13" s="97" t="str">
        <f aca="false">IF($AB13=Constants!$B$7,AD13*AE13,"")</f>
        <v/>
      </c>
      <c r="AG13" s="97" t="str">
        <f aca="false">IF($AB13=Constants!$B$7,IF(AA13,V13,Constants!$B$13),"")</f>
        <v/>
      </c>
      <c r="AH13" s="97" t="str">
        <f aca="false">IF($AB13=Constants!$B$7,IF(AA13,R13*IF(W13, 1, Constants!$B$11)*IF(X13, 1, Constants!$B$12),Constants!$B$13),"")</f>
        <v/>
      </c>
      <c r="AI13" s="97" t="str">
        <f aca="false">IF($AB13=Constants!$B$7,AG13*AH13,"")</f>
        <v/>
      </c>
      <c r="AJ13" s="97" t="str">
        <f aca="false">IF($AB13=Constants!$B$7,IF(AI13&gt;AF13,2,1),"")</f>
        <v/>
      </c>
      <c r="AK13" s="97" t="str">
        <f aca="false">IF($AB13=Constants!$B$7,IF(AJ13=1,2,1),"")</f>
        <v/>
      </c>
      <c r="AL13" s="97" t="str">
        <f aca="false">IF(ISBLANK($C13),"",IF($AB13&lt;&gt;Constants!$B$7,$AB13,IF(AJ13=1,AF13,AI13)))</f>
        <v/>
      </c>
      <c r="AM13" s="97" t="str">
        <f aca="false">IF(ISBLANK($C13),"",IF($AB13=Constants!$B$7,IF(ISNUMBER(AL13),RANK(AL13,$AL$8:$AL$507),Constants!$B$14),$AB13))</f>
        <v/>
      </c>
      <c r="AN13" s="97" t="str">
        <f aca="false">IF(ISBLANK($C13),"",IF($AB13=Constants!$B$7,IF(AK13=1,AF13,AI13),""))</f>
        <v/>
      </c>
      <c r="AO13" s="97" t="str">
        <f aca="false">IF(ISBLANK($C13),"",IF($AB13=Constants!$B$7,RANK(AN13,$AN$8:$AN$507),$AB13))</f>
        <v/>
      </c>
      <c r="AP13" s="97" t="str">
        <f aca="false">IF(ISBLANK($C13),"",IF($AB13=Constants!$B$7,IF(ISNUMBER(AM13),COUNTIFS($AM$8:$AM$507,"&lt;"&amp;$AM13)+COUNTIFS($AM$8:$AM$507,$AM13,$AO$8:$AO$507,"&lt;"&amp;$AO13)+1,Constants!$B$14),$AB13))</f>
        <v/>
      </c>
      <c r="AQ13" s="97" t="str">
        <f aca="false">IF(ISBLANK($C13),"",IF($AB13=Constants!$B$7,IF(ISNUMBER(AM13),AM13-AP13,Constants!$B$14),$AB13))</f>
        <v/>
      </c>
      <c r="AR13" s="98"/>
      <c r="AS13" s="99" t="str">
        <f aca="false">IF(ISBLANK($C13),"",IF($AB13&lt;&gt;Constants!$B$7,"",AJ13))</f>
        <v/>
      </c>
      <c r="AT13" s="100" t="str">
        <f aca="false">IF(ISBLANK($C13),"",IF($AB13&lt;&gt;Constants!$B$7,"",IF(AJ13=1,AD13,AG13)))</f>
        <v/>
      </c>
      <c r="AU13" s="101" t="str">
        <f aca="false">IF(ISBLANK($C13),"",IF($AB13&lt;&gt;Constants!$B$7,"",IF(AJ13=1,AE13,AH13)))</f>
        <v/>
      </c>
      <c r="AV13" s="102" t="str">
        <f aca="false">IF(ISBLANK($C13),"",IF($AB13&lt;&gt;Constants!$B$7,$AB13,AL13))</f>
        <v/>
      </c>
      <c r="AW13" s="103" t="str">
        <f aca="false">IF(ISBLANK($C13),"",IF($AB13&lt;&gt;Constants!$B$7,$AB13,AC13))</f>
        <v/>
      </c>
      <c r="AX13" s="104" t="str">
        <f aca="false">IF(ISBLANK($C13),"",AQ13)</f>
        <v/>
      </c>
      <c r="AY13" s="104" t="str">
        <f aca="false">IF(ISBLANK($C13),"",AP13)</f>
        <v/>
      </c>
      <c r="AZ13" s="105" t="str">
        <f aca="false">IF(ISBLANK($C13),"",IF(AY13=Constants!$B$4,COUNTA($C$8:$C$507)+2,IF(AY13=Constants!$B$5,COUNTA($C$8:$C$507)+1,IF(AY13=Constants!$B$6,COUNTA($C$8:$C$507),AY13))))</f>
        <v/>
      </c>
      <c r="BA13" s="5"/>
      <c r="BB13" s="106" t="n">
        <f aca="false">IF(OR(ISNUMBER(AY13),AY13=Constants!$B$4,AY13=Constants!$B$6,AY13=Constants!$B$5),1,0)</f>
        <v>0</v>
      </c>
      <c r="BC13" s="106" t="n">
        <v>6</v>
      </c>
      <c r="BD13" s="106" t="str">
        <f aca="false">IF(ISBLANK($C13),"",IF(ISNUMBER(AZ13),AZ13+ROW($B13)/1000,""))</f>
        <v/>
      </c>
      <c r="BE13" s="106" t="str">
        <f aca="false">IF(ISNUMBER(BD13),RANK(BD13,$BD$8:$BD$507,1),"")</f>
        <v/>
      </c>
      <c r="BF13" s="106" t="str">
        <f aca="false">IF(ISBLANK($C13),"",$B13)</f>
        <v/>
      </c>
      <c r="BG13" s="106" t="str">
        <f aca="false">IF(ISBLANK($C13),"",$C13)</f>
        <v/>
      </c>
      <c r="BH13" s="106" t="str">
        <f aca="false">IF(ISBLANK($C13),"",$D13)</f>
        <v/>
      </c>
      <c r="BI13" s="107" t="str">
        <f aca="false">AW13</f>
        <v/>
      </c>
      <c r="BJ13" s="108" t="str">
        <f aca="false">AV13</f>
        <v/>
      </c>
      <c r="BK13" s="106" t="str">
        <f aca="false">IF(ISBLANK($C13),"",AY13)</f>
        <v/>
      </c>
      <c r="BL13" s="109" t="str">
        <f aca="false">IF($BC13&gt;$BB$7,"",VLOOKUP($BC13,$BE$8:$BK$507,7,FALSE()))</f>
        <v/>
      </c>
      <c r="BM13" s="110" t="str">
        <f aca="false">IF($BC13&gt;$BB$7,"",VLOOKUP($BC13,$BE$8:$BK$507,2,FALSE()))</f>
        <v/>
      </c>
      <c r="BN13" s="110" t="str">
        <f aca="false">IF($BC13&gt;$BB$7,"",VLOOKUP($BC13,$BE$8:$BK$507,3,FALSE()))</f>
        <v/>
      </c>
      <c r="BO13" s="110" t="str">
        <f aca="false">IF($BC13&gt;$BB$7,"",VLOOKUP($BC13,$BE$8:$BK$507,4,FALSE()))</f>
        <v/>
      </c>
      <c r="BP13" s="110" t="str">
        <f aca="false">IF($BC13&gt;$BB$7,"",VLOOKUP($BC13,$BE$8:$BK$507,5,FALSE()))</f>
        <v/>
      </c>
      <c r="BQ13" s="111" t="str">
        <f aca="false">IF($BC13&gt;$BB$7,"",VLOOKUP($BC13,$BE$8:$BK$507,6,FALSE()))</f>
        <v/>
      </c>
      <c r="BR13" s="54"/>
    </row>
    <row r="14" customFormat="false" ht="13.8" hidden="false" customHeight="false" outlineLevel="0" collapsed="false">
      <c r="A14" s="5"/>
      <c r="B14" s="118"/>
      <c r="C14" s="85"/>
      <c r="D14" s="86"/>
      <c r="E14" s="58"/>
      <c r="F14" s="59"/>
      <c r="G14" s="60"/>
      <c r="H14" s="61"/>
      <c r="I14" s="62"/>
      <c r="J14" s="59"/>
      <c r="K14" s="60"/>
      <c r="L14" s="61"/>
      <c r="M14" s="62"/>
      <c r="N14" s="59"/>
      <c r="O14" s="63"/>
      <c r="P14" s="64"/>
      <c r="Q14" s="66" t="str">
        <f aca="false">IF(ISBLANK($C14),"",IF(E14=Constants!$B$2, TRUE(), IF(E14=Constants!$B$3, FALSE(), TRUE())))</f>
        <v/>
      </c>
      <c r="R14" s="66" t="str">
        <f aca="false">IF(ISBLANK($C14),"",IF(F14=Constants!$B$16,Constants!$B$9,IF(F14=Constants!$B$17,Constants!$B$10,Constants!$B$8)))</f>
        <v/>
      </c>
      <c r="S14" s="66" t="str">
        <f aca="false">IF(ISBLANK($C14),"",IF(COUNTA(G14:H14)=0,"",IF(AND(OR(ISBLANK(G14),AND(ISNUMBER(G14),G14&gt;=0)),OR(ISBLANK(H14),AND(ISNUMBER(H14),H14&gt;=0))),60*IF(ISBLANK(G14),0,G14)+IF(ISBLANK(H14),0,H14),"")))</f>
        <v/>
      </c>
      <c r="T14" s="66" t="str">
        <f aca="false">IF(ISBLANK($C14),"",IF(I14=Constants!$B$2, TRUE(), IF(I14=Constants!$B$3, FALSE(), TRUE())))</f>
        <v/>
      </c>
      <c r="U14" s="66" t="str">
        <f aca="false">IF(ISBLANK($C14),"",IF(J14=Constants!$B$2, TRUE(), IF(J14=Constants!$B$3, FALSE(), TRUE())))</f>
        <v/>
      </c>
      <c r="V14" s="66" t="str">
        <f aca="false">IF(ISBLANK($C14),"",IF(COUNTA(K14:L14)=0,"",IF(AND(OR(ISBLANK(K14),AND(ISNUMBER(K14),K14&gt;=0)),OR(ISBLANK(L14),AND(ISNUMBER(L14),L14&gt;=0))),60*IF(ISBLANK(K14),0,K14)+IF(ISBLANK(L14),0,L14),"")))</f>
        <v/>
      </c>
      <c r="W14" s="66" t="str">
        <f aca="false">IF(ISBLANK($C14),"",IF(M14=Constants!$B$2, TRUE(), IF(M14=Constants!$B$3, FALSE(), TRUE())))</f>
        <v/>
      </c>
      <c r="X14" s="66" t="str">
        <f aca="false">IF(ISBLANK($C14),"",IF(N14=Constants!$B$2, TRUE(), IF(N14=Constants!$B$3, FALSE(), TRUE())))</f>
        <v/>
      </c>
      <c r="Y14" s="66" t="str">
        <f aca="false">IF(ISBLANK($C14),"",IF(O14=Constants!$B$2, TRUE(), IF(O14=Constants!$B$3, FALSE(), FALSE())))</f>
        <v/>
      </c>
      <c r="Z14" s="66" t="str">
        <f aca="false">IF(ISBLANK($C14),"",AND(S14&lt;&gt;"",Q14))</f>
        <v/>
      </c>
      <c r="AA14" s="66" t="str">
        <f aca="false">IF(ISBLANK($C14),"",AND(V14&lt;&gt;"",Q14))</f>
        <v/>
      </c>
      <c r="AB14" s="66" t="str">
        <f aca="false">IF(ISBLANK($C14),"",IF(Y14,Constants!$B$4,IF(COUNTA(E14:N14)=0,Constants!$B$5,IF(NOT(Q14),Constants!$B$6,IF(AND(NOT(Z14),NOT(AA14)),Constants!$B$6,Constants!$B$7)))))</f>
        <v/>
      </c>
      <c r="AC14" s="66" t="str">
        <f aca="false">IF(ISBLANK($C14),"",IF($AB14&lt;&gt;Constants!$B$7,$AB14,Constants!$B$20))</f>
        <v/>
      </c>
      <c r="AD14" s="66" t="str">
        <f aca="false">IF($AB14=Constants!$B$7,IF(Z14,S14,Constants!$B$13),"")</f>
        <v/>
      </c>
      <c r="AE14" s="66" t="str">
        <f aca="false">IF($AB14=Constants!$B$7,IF(Z14,R14*IF(T14, 1, Constants!$B$11)*IF(U14, 1, Constants!$B$12),Constants!$B$13),"")</f>
        <v/>
      </c>
      <c r="AF14" s="66" t="str">
        <f aca="false">IF($AB14=Constants!$B$7,AD14*AE14,"")</f>
        <v/>
      </c>
      <c r="AG14" s="66" t="str">
        <f aca="false">IF($AB14=Constants!$B$7,IF(AA14,V14,Constants!$B$13),"")</f>
        <v/>
      </c>
      <c r="AH14" s="66" t="str">
        <f aca="false">IF($AB14=Constants!$B$7,IF(AA14,R14*IF(W14, 1, Constants!$B$11)*IF(X14, 1, Constants!$B$12),Constants!$B$13),"")</f>
        <v/>
      </c>
      <c r="AI14" s="66" t="str">
        <f aca="false">IF($AB14=Constants!$B$7,AG14*AH14,"")</f>
        <v/>
      </c>
      <c r="AJ14" s="66" t="str">
        <f aca="false">IF($AB14=Constants!$B$7,IF(AI14&gt;AF14,2,1),"")</f>
        <v/>
      </c>
      <c r="AK14" s="66" t="str">
        <f aca="false">IF($AB14=Constants!$B$7,IF(AJ14=1,2,1),"")</f>
        <v/>
      </c>
      <c r="AL14" s="66" t="str">
        <f aca="false">IF(ISBLANK($C14),"",IF($AB14&lt;&gt;Constants!$B$7,$AB14,IF(AJ14=1,AF14,AI14)))</f>
        <v/>
      </c>
      <c r="AM14" s="66" t="str">
        <f aca="false">IF(ISBLANK($C14),"",IF($AB14=Constants!$B$7,IF(ISNUMBER(AL14),RANK(AL14,$AL$8:$AL$507),Constants!$B$14),$AB14))</f>
        <v/>
      </c>
      <c r="AN14" s="66" t="str">
        <f aca="false">IF(ISBLANK($C14),"",IF($AB14=Constants!$B$7,IF(AK14=1,AF14,AI14),""))</f>
        <v/>
      </c>
      <c r="AO14" s="66" t="str">
        <f aca="false">IF(ISBLANK($C14),"",IF($AB14=Constants!$B$7,RANK(AN14,$AN$8:$AN$507),$AB14))</f>
        <v/>
      </c>
      <c r="AP14" s="66" t="str">
        <f aca="false">IF(ISBLANK($C14),"",IF($AB14=Constants!$B$7,IF(ISNUMBER(AM14),COUNTIFS($AM$8:$AM$507,"&lt;"&amp;$AM14)+COUNTIFS($AM$8:$AM$507,$AM14,$AO$8:$AO$507,"&lt;"&amp;$AO14)+1,Constants!$B$14),$AB14))</f>
        <v/>
      </c>
      <c r="AQ14" s="66" t="str">
        <f aca="false">IF(ISBLANK($C14),"",IF($AB14=Constants!$B$7,IF(ISNUMBER(AM14),AM14-AP14,Constants!$B$14),$AB14))</f>
        <v/>
      </c>
      <c r="AR14" s="68"/>
      <c r="AS14" s="69" t="str">
        <f aca="false">IF(ISBLANK($C14),"",IF($AB14&lt;&gt;Constants!$B$7,"",AJ14))</f>
        <v/>
      </c>
      <c r="AT14" s="84" t="str">
        <f aca="false">IF(ISBLANK($C14),"",IF($AB14&lt;&gt;Constants!$B$7,"",IF(AJ14=1,AD14,AG14)))</f>
        <v/>
      </c>
      <c r="AU14" s="71" t="str">
        <f aca="false">IF(ISBLANK($C14),"",IF($AB14&lt;&gt;Constants!$B$7,"",IF(AJ14=1,AE14,AH14)))</f>
        <v/>
      </c>
      <c r="AV14" s="72" t="str">
        <f aca="false">IF(ISBLANK($C14),"",IF($AB14&lt;&gt;Constants!$B$7,$AB14,AL14))</f>
        <v/>
      </c>
      <c r="AW14" s="73" t="str">
        <f aca="false">IF(ISBLANK($C14),"",IF($AB14&lt;&gt;Constants!$B$7,$AB14,AC14))</f>
        <v/>
      </c>
      <c r="AX14" s="74" t="str">
        <f aca="false">IF(ISBLANK($C14),"",AQ14)</f>
        <v/>
      </c>
      <c r="AY14" s="74" t="str">
        <f aca="false">IF(ISBLANK($C14),"",AP14)</f>
        <v/>
      </c>
      <c r="AZ14" s="75" t="str">
        <f aca="false">IF(ISBLANK($C14),"",IF(AY14=Constants!$B$4,COUNTA($C$8:$C$507)+2,IF(AY14=Constants!$B$5,COUNTA($C$8:$C$507)+1,IF(AY14=Constants!$B$6,COUNTA($C$8:$C$507),AY14))))</f>
        <v/>
      </c>
      <c r="BA14" s="5"/>
      <c r="BB14" s="76" t="n">
        <f aca="false">IF(OR(ISNUMBER(AY14),AY14=Constants!$B$4,AY14=Constants!$B$6,AY14=Constants!$B$5),1,0)</f>
        <v>0</v>
      </c>
      <c r="BC14" s="76" t="n">
        <v>7</v>
      </c>
      <c r="BD14" s="76" t="str">
        <f aca="false">IF(ISBLANK($C14),"",IF(ISNUMBER(AZ14),AZ14+ROW($B14)/1000,""))</f>
        <v/>
      </c>
      <c r="BE14" s="76" t="str">
        <f aca="false">IF(ISNUMBER(BD14),RANK(BD14,$BD$8:$BD$507,1),"")</f>
        <v/>
      </c>
      <c r="BF14" s="76" t="str">
        <f aca="false">IF(ISBLANK($C14),"",$B14)</f>
        <v/>
      </c>
      <c r="BG14" s="76" t="str">
        <f aca="false">IF(ISBLANK($C14),"",$C14)</f>
        <v/>
      </c>
      <c r="BH14" s="76" t="str">
        <f aca="false">IF(ISBLANK($C14),"",$D14)</f>
        <v/>
      </c>
      <c r="BI14" s="77" t="str">
        <f aca="false">AW14</f>
        <v/>
      </c>
      <c r="BJ14" s="78" t="str">
        <f aca="false">AV14</f>
        <v/>
      </c>
      <c r="BK14" s="76" t="str">
        <f aca="false">IF(ISBLANK($C14),"",AY14)</f>
        <v/>
      </c>
      <c r="BL14" s="79" t="str">
        <f aca="false">IF($BC14&gt;$BB$7,"",VLOOKUP($BC14,$BE$8:$BK$507,7,FALSE()))</f>
        <v/>
      </c>
      <c r="BM14" s="80" t="str">
        <f aca="false">IF($BC14&gt;$BB$7,"",VLOOKUP($BC14,$BE$8:$BK$507,2,FALSE()))</f>
        <v/>
      </c>
      <c r="BN14" s="80" t="str">
        <f aca="false">IF($BC14&gt;$BB$7,"",VLOOKUP($BC14,$BE$8:$BK$507,3,FALSE()))</f>
        <v/>
      </c>
      <c r="BO14" s="80" t="str">
        <f aca="false">IF($BC14&gt;$BB$7,"",VLOOKUP($BC14,$BE$8:$BK$507,4,FALSE()))</f>
        <v/>
      </c>
      <c r="BP14" s="80" t="str">
        <f aca="false">IF($BC14&gt;$BB$7,"",VLOOKUP($BC14,$BE$8:$BK$507,5,FALSE()))</f>
        <v/>
      </c>
      <c r="BQ14" s="81" t="str">
        <f aca="false">IF($BC14&gt;$BB$7,"",VLOOKUP($BC14,$BE$8:$BK$507,6,FALSE()))</f>
        <v/>
      </c>
      <c r="BR14" s="54"/>
    </row>
    <row r="15" customFormat="false" ht="13.8" hidden="false" customHeight="false" outlineLevel="0" collapsed="false">
      <c r="A15" s="5"/>
      <c r="B15" s="118"/>
      <c r="C15" s="85"/>
      <c r="D15" s="57"/>
      <c r="E15" s="119"/>
      <c r="F15" s="59"/>
      <c r="G15" s="60"/>
      <c r="H15" s="61"/>
      <c r="I15" s="62"/>
      <c r="J15" s="59"/>
      <c r="K15" s="60"/>
      <c r="L15" s="61"/>
      <c r="M15" s="62"/>
      <c r="N15" s="59"/>
      <c r="O15" s="63"/>
      <c r="P15" s="64"/>
      <c r="Q15" s="66" t="str">
        <f aca="false">IF(ISBLANK($C15),"",IF(E15=Constants!$B$2, TRUE(), IF(E15=Constants!$B$3, FALSE(), TRUE())))</f>
        <v/>
      </c>
      <c r="R15" s="66" t="str">
        <f aca="false">IF(ISBLANK($C15),"",IF(F15=Constants!$B$16,Constants!$B$9,IF(F15=Constants!$B$17,Constants!$B$10,Constants!$B$8)))</f>
        <v/>
      </c>
      <c r="S15" s="66" t="str">
        <f aca="false">IF(ISBLANK($C15),"",IF(COUNTA(G15:H15)=0,"",IF(AND(OR(ISBLANK(G15),AND(ISNUMBER(G15),G15&gt;=0)),OR(ISBLANK(H15),AND(ISNUMBER(H15),H15&gt;=0))),60*IF(ISBLANK(G15),0,G15)+IF(ISBLANK(H15),0,H15),"")))</f>
        <v/>
      </c>
      <c r="T15" s="66" t="str">
        <f aca="false">IF(ISBLANK($C15),"",IF(I15=Constants!$B$2, TRUE(), IF(I15=Constants!$B$3, FALSE(), TRUE())))</f>
        <v/>
      </c>
      <c r="U15" s="66" t="str">
        <f aca="false">IF(ISBLANK($C15),"",IF(J15=Constants!$B$2, TRUE(), IF(J15=Constants!$B$3, FALSE(), TRUE())))</f>
        <v/>
      </c>
      <c r="V15" s="66" t="str">
        <f aca="false">IF(ISBLANK($C15),"",IF(COUNTA(K15:L15)=0,"",IF(AND(OR(ISBLANK(K15),AND(ISNUMBER(K15),K15&gt;=0)),OR(ISBLANK(L15),AND(ISNUMBER(L15),L15&gt;=0))),60*IF(ISBLANK(K15),0,K15)+IF(ISBLANK(L15),0,L15),"")))</f>
        <v/>
      </c>
      <c r="W15" s="66" t="str">
        <f aca="false">IF(ISBLANK($C15),"",IF(M15=Constants!$B$2, TRUE(), IF(M15=Constants!$B$3, FALSE(), TRUE())))</f>
        <v/>
      </c>
      <c r="X15" s="66" t="str">
        <f aca="false">IF(ISBLANK($C15),"",IF(N15=Constants!$B$2, TRUE(), IF(N15=Constants!$B$3, FALSE(), TRUE())))</f>
        <v/>
      </c>
      <c r="Y15" s="66" t="str">
        <f aca="false">IF(ISBLANK($C15),"",IF(O15=Constants!$B$2, TRUE(), IF(O15=Constants!$B$3, FALSE(), FALSE())))</f>
        <v/>
      </c>
      <c r="Z15" s="66" t="str">
        <f aca="false">IF(ISBLANK($C15),"",AND(S15&lt;&gt;"",Q15))</f>
        <v/>
      </c>
      <c r="AA15" s="66" t="str">
        <f aca="false">IF(ISBLANK($C15),"",AND(V15&lt;&gt;"",Q15))</f>
        <v/>
      </c>
      <c r="AB15" s="66" t="str">
        <f aca="false">IF(ISBLANK($C15),"",IF(Y15,Constants!$B$4,IF(COUNTA(E15:N15)=0,Constants!$B$5,IF(NOT(Q15),Constants!$B$6,IF(AND(NOT(Z15),NOT(AA15)),Constants!$B$6,Constants!$B$7)))))</f>
        <v/>
      </c>
      <c r="AC15" s="66" t="str">
        <f aca="false">IF(ISBLANK($C15),"",IF($AB15&lt;&gt;Constants!$B$7,$AB15,Constants!$B$20))</f>
        <v/>
      </c>
      <c r="AD15" s="66" t="str">
        <f aca="false">IF($AB15=Constants!$B$7,IF(Z15,S15,Constants!$B$13),"")</f>
        <v/>
      </c>
      <c r="AE15" s="66" t="str">
        <f aca="false">IF($AB15=Constants!$B$7,IF(Z15,R15*IF(T15, 1, Constants!$B$11)*IF(U15, 1, Constants!$B$12),Constants!$B$13),"")</f>
        <v/>
      </c>
      <c r="AF15" s="66" t="str">
        <f aca="false">IF($AB15=Constants!$B$7,AD15*AE15,"")</f>
        <v/>
      </c>
      <c r="AG15" s="66" t="str">
        <f aca="false">IF($AB15=Constants!$B$7,IF(AA15,V15,Constants!$B$13),"")</f>
        <v/>
      </c>
      <c r="AH15" s="66" t="str">
        <f aca="false">IF($AB15=Constants!$B$7,IF(AA15,R15*IF(W15, 1, Constants!$B$11)*IF(X15, 1, Constants!$B$12),Constants!$B$13),"")</f>
        <v/>
      </c>
      <c r="AI15" s="66" t="str">
        <f aca="false">IF($AB15=Constants!$B$7,AG15*AH15,"")</f>
        <v/>
      </c>
      <c r="AJ15" s="66" t="str">
        <f aca="false">IF($AB15=Constants!$B$7,IF(AI15&gt;AF15,2,1),"")</f>
        <v/>
      </c>
      <c r="AK15" s="66" t="str">
        <f aca="false">IF($AB15=Constants!$B$7,IF(AJ15=1,2,1),"")</f>
        <v/>
      </c>
      <c r="AL15" s="66" t="str">
        <f aca="false">IF(ISBLANK($C15),"",IF($AB15&lt;&gt;Constants!$B$7,$AB15,IF(AJ15=1,AF15,AI15)))</f>
        <v/>
      </c>
      <c r="AM15" s="66" t="str">
        <f aca="false">IF(ISBLANK($C15),"",IF($AB15=Constants!$B$7,IF(ISNUMBER(AL15),RANK(AL15,$AL$8:$AL$507),Constants!$B$14),$AB15))</f>
        <v/>
      </c>
      <c r="AN15" s="66" t="str">
        <f aca="false">IF(ISBLANK($C15),"",IF($AB15=Constants!$B$7,IF(AK15=1,AF15,AI15),""))</f>
        <v/>
      </c>
      <c r="AO15" s="66" t="str">
        <f aca="false">IF(ISBLANK($C15),"",IF($AB15=Constants!$B$7,RANK(AN15,$AN$8:$AN$507),$AB15))</f>
        <v/>
      </c>
      <c r="AP15" s="66" t="str">
        <f aca="false">IF(ISBLANK($C15),"",IF($AB15=Constants!$B$7,IF(ISNUMBER(AM15),COUNTIFS($AM$8:$AM$507,"&lt;"&amp;$AM15)+COUNTIFS($AM$8:$AM$507,$AM15,$AO$8:$AO$507,"&lt;"&amp;$AO15)+1,Constants!$B$14),$AB15))</f>
        <v/>
      </c>
      <c r="AQ15" s="66" t="str">
        <f aca="false">IF(ISBLANK($C15),"",IF($AB15=Constants!$B$7,IF(ISNUMBER(AM15),AM15-AP15,Constants!$B$14),$AB15))</f>
        <v/>
      </c>
      <c r="AR15" s="68"/>
      <c r="AS15" s="69" t="str">
        <f aca="false">IF(ISBLANK($C15),"",IF($AB15&lt;&gt;Constants!$B$7,"",AJ15))</f>
        <v/>
      </c>
      <c r="AT15" s="84" t="str">
        <f aca="false">IF(ISBLANK($C15),"",IF($AB15&lt;&gt;Constants!$B$7,"",IF(AJ15=1,AD15,AG15)))</f>
        <v/>
      </c>
      <c r="AU15" s="71" t="str">
        <f aca="false">IF(ISBLANK($C15),"",IF($AB15&lt;&gt;Constants!$B$7,"",IF(AJ15=1,AE15,AH15)))</f>
        <v/>
      </c>
      <c r="AV15" s="72" t="str">
        <f aca="false">IF(ISBLANK($C15),"",IF($AB15&lt;&gt;Constants!$B$7,$AB15,AL15))</f>
        <v/>
      </c>
      <c r="AW15" s="73" t="str">
        <f aca="false">IF(ISBLANK($C15),"",IF($AB15&lt;&gt;Constants!$B$7,$AB15,AC15))</f>
        <v/>
      </c>
      <c r="AX15" s="74" t="str">
        <f aca="false">IF(ISBLANK($C15),"",AQ15)</f>
        <v/>
      </c>
      <c r="AY15" s="74" t="str">
        <f aca="false">IF(ISBLANK($C15),"",AP15)</f>
        <v/>
      </c>
      <c r="AZ15" s="75" t="str">
        <f aca="false">IF(ISBLANK($C15),"",IF(AY15=Constants!$B$4,COUNTA($C$8:$C$507)+2,IF(AY15=Constants!$B$5,COUNTA($C$8:$C$507)+1,IF(AY15=Constants!$B$6,COUNTA($C$8:$C$507),AY15))))</f>
        <v/>
      </c>
      <c r="BA15" s="5"/>
      <c r="BB15" s="76" t="n">
        <f aca="false">IF(OR(ISNUMBER(AY15),AY15=Constants!$B$4,AY15=Constants!$B$6,AY15=Constants!$B$5),1,0)</f>
        <v>0</v>
      </c>
      <c r="BC15" s="76" t="n">
        <v>8</v>
      </c>
      <c r="BD15" s="76" t="str">
        <f aca="false">IF(ISBLANK($C15),"",IF(ISNUMBER(AZ15),AZ15+ROW($B15)/1000,""))</f>
        <v/>
      </c>
      <c r="BE15" s="76" t="str">
        <f aca="false">IF(ISNUMBER(BD15),RANK(BD15,$BD$8:$BD$507,1),"")</f>
        <v/>
      </c>
      <c r="BF15" s="76" t="str">
        <f aca="false">IF(ISBLANK($C15),"",$B15)</f>
        <v/>
      </c>
      <c r="BG15" s="76" t="str">
        <f aca="false">IF(ISBLANK($C15),"",$C15)</f>
        <v/>
      </c>
      <c r="BH15" s="76" t="str">
        <f aca="false">IF(ISBLANK($C15),"",$D15)</f>
        <v/>
      </c>
      <c r="BI15" s="77" t="str">
        <f aca="false">AW15</f>
        <v/>
      </c>
      <c r="BJ15" s="78" t="str">
        <f aca="false">AV15</f>
        <v/>
      </c>
      <c r="BK15" s="76" t="str">
        <f aca="false">IF(ISBLANK($C15),"",AY15)</f>
        <v/>
      </c>
      <c r="BL15" s="79" t="str">
        <f aca="false">IF($BC15&gt;$BB$7,"",VLOOKUP($BC15,$BE$8:$BK$507,7,FALSE()))</f>
        <v/>
      </c>
      <c r="BM15" s="80" t="str">
        <f aca="false">IF($BC15&gt;$BB$7,"",VLOOKUP($BC15,$BE$8:$BK$507,2,FALSE()))</f>
        <v/>
      </c>
      <c r="BN15" s="80" t="str">
        <f aca="false">IF($BC15&gt;$BB$7,"",VLOOKUP($BC15,$BE$8:$BK$507,3,FALSE()))</f>
        <v/>
      </c>
      <c r="BO15" s="80" t="str">
        <f aca="false">IF($BC15&gt;$BB$7,"",VLOOKUP($BC15,$BE$8:$BK$507,4,FALSE()))</f>
        <v/>
      </c>
      <c r="BP15" s="80" t="str">
        <f aca="false">IF($BC15&gt;$BB$7,"",VLOOKUP($BC15,$BE$8:$BK$507,5,FALSE()))</f>
        <v/>
      </c>
      <c r="BQ15" s="81" t="str">
        <f aca="false">IF($BC15&gt;$BB$7,"",VLOOKUP($BC15,$BE$8:$BK$507,6,FALSE()))</f>
        <v/>
      </c>
      <c r="BR15" s="54"/>
    </row>
    <row r="16" customFormat="false" ht="13.8" hidden="false" customHeight="false" outlineLevel="0" collapsed="false">
      <c r="A16" s="5"/>
      <c r="B16" s="118"/>
      <c r="C16" s="85"/>
      <c r="D16" s="57"/>
      <c r="E16" s="58"/>
      <c r="F16" s="59"/>
      <c r="G16" s="60"/>
      <c r="H16" s="61"/>
      <c r="I16" s="62"/>
      <c r="J16" s="59"/>
      <c r="K16" s="60"/>
      <c r="L16" s="61"/>
      <c r="M16" s="62"/>
      <c r="N16" s="59"/>
      <c r="O16" s="63"/>
      <c r="P16" s="64"/>
      <c r="Q16" s="66" t="str">
        <f aca="false">IF(ISBLANK($C16),"",IF(E16=Constants!$B$2, TRUE(), IF(E16=Constants!$B$3, FALSE(), TRUE())))</f>
        <v/>
      </c>
      <c r="R16" s="66" t="str">
        <f aca="false">IF(ISBLANK($C16),"",IF(F16=Constants!$B$16,Constants!$B$9,IF(F16=Constants!$B$17,Constants!$B$10,Constants!$B$8)))</f>
        <v/>
      </c>
      <c r="S16" s="66" t="str">
        <f aca="false">IF(ISBLANK($C16),"",IF(COUNTA(G16:H16)=0,"",IF(AND(OR(ISBLANK(G16),AND(ISNUMBER(G16),G16&gt;=0)),OR(ISBLANK(H16),AND(ISNUMBER(H16),H16&gt;=0))),60*IF(ISBLANK(G16),0,G16)+IF(ISBLANK(H16),0,H16),"")))</f>
        <v/>
      </c>
      <c r="T16" s="66" t="str">
        <f aca="false">IF(ISBLANK($C16),"",IF(I16=Constants!$B$2, TRUE(), IF(I16=Constants!$B$3, FALSE(), TRUE())))</f>
        <v/>
      </c>
      <c r="U16" s="66" t="str">
        <f aca="false">IF(ISBLANK($C16),"",IF(J16=Constants!$B$2, TRUE(), IF(J16=Constants!$B$3, FALSE(), TRUE())))</f>
        <v/>
      </c>
      <c r="V16" s="66" t="str">
        <f aca="false">IF(ISBLANK($C16),"",IF(COUNTA(K16:L16)=0,"",IF(AND(OR(ISBLANK(K16),AND(ISNUMBER(K16),K16&gt;=0)),OR(ISBLANK(L16),AND(ISNUMBER(L16),L16&gt;=0))),60*IF(ISBLANK(K16),0,K16)+IF(ISBLANK(L16),0,L16),"")))</f>
        <v/>
      </c>
      <c r="W16" s="66" t="str">
        <f aca="false">IF(ISBLANK($C16),"",IF(M16=Constants!$B$2, TRUE(), IF(M16=Constants!$B$3, FALSE(), TRUE())))</f>
        <v/>
      </c>
      <c r="X16" s="66" t="str">
        <f aca="false">IF(ISBLANK($C16),"",IF(N16=Constants!$B$2, TRUE(), IF(N16=Constants!$B$3, FALSE(), TRUE())))</f>
        <v/>
      </c>
      <c r="Y16" s="66" t="str">
        <f aca="false">IF(ISBLANK($C16),"",IF(O16=Constants!$B$2, TRUE(), IF(O16=Constants!$B$3, FALSE(), FALSE())))</f>
        <v/>
      </c>
      <c r="Z16" s="66" t="str">
        <f aca="false">IF(ISBLANK($C16),"",AND(S16&lt;&gt;"",Q16))</f>
        <v/>
      </c>
      <c r="AA16" s="66" t="str">
        <f aca="false">IF(ISBLANK($C16),"",AND(V16&lt;&gt;"",Q16))</f>
        <v/>
      </c>
      <c r="AB16" s="66" t="str">
        <f aca="false">IF(ISBLANK($C16),"",IF(Y16,Constants!$B$4,IF(COUNTA(E16:N16)=0,Constants!$B$5,IF(NOT(Q16),Constants!$B$6,IF(AND(NOT(Z16),NOT(AA16)),Constants!$B$6,Constants!$B$7)))))</f>
        <v/>
      </c>
      <c r="AC16" s="66" t="str">
        <f aca="false">IF(ISBLANK($C16),"",IF($AB16&lt;&gt;Constants!$B$7,$AB16,Constants!$B$20))</f>
        <v/>
      </c>
      <c r="AD16" s="66" t="str">
        <f aca="false">IF($AB16=Constants!$B$7,IF(Z16,S16,Constants!$B$13),"")</f>
        <v/>
      </c>
      <c r="AE16" s="66" t="str">
        <f aca="false">IF($AB16=Constants!$B$7,IF(Z16,R16*IF(T16, 1, Constants!$B$11)*IF(U16, 1, Constants!$B$12),Constants!$B$13),"")</f>
        <v/>
      </c>
      <c r="AF16" s="66" t="str">
        <f aca="false">IF($AB16=Constants!$B$7,AD16*AE16,"")</f>
        <v/>
      </c>
      <c r="AG16" s="66" t="str">
        <f aca="false">IF($AB16=Constants!$B$7,IF(AA16,V16,Constants!$B$13),"")</f>
        <v/>
      </c>
      <c r="AH16" s="66" t="str">
        <f aca="false">IF($AB16=Constants!$B$7,IF(AA16,R16*IF(W16, 1, Constants!$B$11)*IF(X16, 1, Constants!$B$12),Constants!$B$13),"")</f>
        <v/>
      </c>
      <c r="AI16" s="66" t="str">
        <f aca="false">IF($AB16=Constants!$B$7,AG16*AH16,"")</f>
        <v/>
      </c>
      <c r="AJ16" s="66" t="str">
        <f aca="false">IF($AB16=Constants!$B$7,IF(AI16&gt;AF16,2,1),"")</f>
        <v/>
      </c>
      <c r="AK16" s="66" t="str">
        <f aca="false">IF($AB16=Constants!$B$7,IF(AJ16=1,2,1),"")</f>
        <v/>
      </c>
      <c r="AL16" s="66" t="str">
        <f aca="false">IF(ISBLANK($C16),"",IF($AB16&lt;&gt;Constants!$B$7,$AB16,IF(AJ16=1,AF16,AI16)))</f>
        <v/>
      </c>
      <c r="AM16" s="66" t="str">
        <f aca="false">IF(ISBLANK($C16),"",IF($AB16=Constants!$B$7,IF(ISNUMBER(AL16),RANK(AL16,$AL$8:$AL$507),Constants!$B$14),$AB16))</f>
        <v/>
      </c>
      <c r="AN16" s="66" t="str">
        <f aca="false">IF(ISBLANK($C16),"",IF($AB16=Constants!$B$7,IF(AK16=1,AF16,AI16),""))</f>
        <v/>
      </c>
      <c r="AO16" s="66" t="str">
        <f aca="false">IF(ISBLANK($C16),"",IF($AB16=Constants!$B$7,RANK(AN16,$AN$8:$AN$507),$AB16))</f>
        <v/>
      </c>
      <c r="AP16" s="66" t="str">
        <f aca="false">IF(ISBLANK($C16),"",IF($AB16=Constants!$B$7,IF(ISNUMBER(AM16),COUNTIFS($AM$8:$AM$507,"&lt;"&amp;$AM16)+COUNTIFS($AM$8:$AM$507,$AM16,$AO$8:$AO$507,"&lt;"&amp;$AO16)+1,Constants!$B$14),$AB16))</f>
        <v/>
      </c>
      <c r="AQ16" s="66" t="str">
        <f aca="false">IF(ISBLANK($C16),"",IF($AB16=Constants!$B$7,IF(ISNUMBER(AM16),AM16-AP16,Constants!$B$14),$AB16))</f>
        <v/>
      </c>
      <c r="AR16" s="68"/>
      <c r="AS16" s="69" t="str">
        <f aca="false">IF(ISBLANK($C16),"",IF($AB16&lt;&gt;Constants!$B$7,"",AJ16))</f>
        <v/>
      </c>
      <c r="AT16" s="84" t="str">
        <f aca="false">IF(ISBLANK($C16),"",IF($AB16&lt;&gt;Constants!$B$7,"",IF(AJ16=1,AD16,AG16)))</f>
        <v/>
      </c>
      <c r="AU16" s="71" t="str">
        <f aca="false">IF(ISBLANK($C16),"",IF($AB16&lt;&gt;Constants!$B$7,"",IF(AJ16=1,AE16,AH16)))</f>
        <v/>
      </c>
      <c r="AV16" s="72" t="str">
        <f aca="false">IF(ISBLANK($C16),"",IF($AB16&lt;&gt;Constants!$B$7,$AB16,AL16))</f>
        <v/>
      </c>
      <c r="AW16" s="73" t="str">
        <f aca="false">IF(ISBLANK($C16),"",IF($AB16&lt;&gt;Constants!$B$7,$AB16,AC16))</f>
        <v/>
      </c>
      <c r="AX16" s="74" t="str">
        <f aca="false">IF(ISBLANK($C16),"",AQ16)</f>
        <v/>
      </c>
      <c r="AY16" s="74" t="str">
        <f aca="false">IF(ISBLANK($C16),"",AP16)</f>
        <v/>
      </c>
      <c r="AZ16" s="75" t="str">
        <f aca="false">IF(ISBLANK($C16),"",IF(AY16=Constants!$B$4,COUNTA($C$8:$C$507)+2,IF(AY16=Constants!$B$5,COUNTA($C$8:$C$507)+1,IF(AY16=Constants!$B$6,COUNTA($C$8:$C$507),AY16))))</f>
        <v/>
      </c>
      <c r="BA16" s="5"/>
      <c r="BB16" s="76" t="n">
        <f aca="false">IF(OR(ISNUMBER(AY16),AY16=Constants!$B$4,AY16=Constants!$B$6,AY16=Constants!$B$5),1,0)</f>
        <v>0</v>
      </c>
      <c r="BC16" s="76" t="n">
        <v>9</v>
      </c>
      <c r="BD16" s="76" t="str">
        <f aca="false">IF(ISBLANK($C16),"",IF(ISNUMBER(AZ16),AZ16+ROW($B16)/1000,""))</f>
        <v/>
      </c>
      <c r="BE16" s="76" t="str">
        <f aca="false">IF(ISNUMBER(BD16),RANK(BD16,$BD$8:$BD$507,1),"")</f>
        <v/>
      </c>
      <c r="BF16" s="76" t="str">
        <f aca="false">IF(ISBLANK($C16),"",$B16)</f>
        <v/>
      </c>
      <c r="BG16" s="76" t="str">
        <f aca="false">IF(ISBLANK($C16),"",$C16)</f>
        <v/>
      </c>
      <c r="BH16" s="76" t="str">
        <f aca="false">IF(ISBLANK($C16),"",$D16)</f>
        <v/>
      </c>
      <c r="BI16" s="77" t="str">
        <f aca="false">AW16</f>
        <v/>
      </c>
      <c r="BJ16" s="78" t="str">
        <f aca="false">AV16</f>
        <v/>
      </c>
      <c r="BK16" s="76" t="str">
        <f aca="false">IF(ISBLANK($C16),"",AY16)</f>
        <v/>
      </c>
      <c r="BL16" s="79" t="str">
        <f aca="false">IF($BC16&gt;$BB$7,"",VLOOKUP($BC16,$BE$8:$BK$507,7,FALSE()))</f>
        <v/>
      </c>
      <c r="BM16" s="80" t="str">
        <f aca="false">IF($BC16&gt;$BB$7,"",VLOOKUP($BC16,$BE$8:$BK$507,2,FALSE()))</f>
        <v/>
      </c>
      <c r="BN16" s="80" t="str">
        <f aca="false">IF($BC16&gt;$BB$7,"",VLOOKUP($BC16,$BE$8:$BK$507,3,FALSE()))</f>
        <v/>
      </c>
      <c r="BO16" s="80" t="str">
        <f aca="false">IF($BC16&gt;$BB$7,"",VLOOKUP($BC16,$BE$8:$BK$507,4,FALSE()))</f>
        <v/>
      </c>
      <c r="BP16" s="80" t="str">
        <f aca="false">IF($BC16&gt;$BB$7,"",VLOOKUP($BC16,$BE$8:$BK$507,5,FALSE()))</f>
        <v/>
      </c>
      <c r="BQ16" s="81" t="str">
        <f aca="false">IF($BC16&gt;$BB$7,"",VLOOKUP($BC16,$BE$8:$BK$507,6,FALSE()))</f>
        <v/>
      </c>
      <c r="BR16" s="54"/>
    </row>
    <row r="17" customFormat="false" ht="13.8" hidden="false" customHeight="false" outlineLevel="0" collapsed="false">
      <c r="A17" s="5"/>
      <c r="B17" s="120"/>
      <c r="C17" s="121"/>
      <c r="D17" s="112"/>
      <c r="E17" s="122"/>
      <c r="F17" s="91"/>
      <c r="G17" s="92"/>
      <c r="H17" s="93"/>
      <c r="I17" s="94"/>
      <c r="J17" s="91"/>
      <c r="K17" s="92"/>
      <c r="L17" s="93"/>
      <c r="M17" s="94"/>
      <c r="N17" s="91"/>
      <c r="O17" s="123"/>
      <c r="P17" s="96"/>
      <c r="Q17" s="97" t="str">
        <f aca="false">IF(ISBLANK($C17),"",IF(E17=Constants!$B$2, TRUE(), IF(E17=Constants!$B$3, FALSE(), TRUE())))</f>
        <v/>
      </c>
      <c r="R17" s="97" t="str">
        <f aca="false">IF(ISBLANK($C17),"",IF(F17=Constants!$B$16,Constants!$B$9,IF(F17=Constants!$B$17,Constants!$B$10,Constants!$B$8)))</f>
        <v/>
      </c>
      <c r="S17" s="97" t="str">
        <f aca="false">IF(ISBLANK($C17),"",IF(COUNTA(G17:H17)=0,"",IF(AND(OR(ISBLANK(G17),AND(ISNUMBER(G17),G17&gt;=0)),OR(ISBLANK(H17),AND(ISNUMBER(H17),H17&gt;=0))),60*IF(ISBLANK(G17),0,G17)+IF(ISBLANK(H17),0,H17),"")))</f>
        <v/>
      </c>
      <c r="T17" s="97" t="str">
        <f aca="false">IF(ISBLANK($C17),"",IF(I17=Constants!$B$2, TRUE(), IF(I17=Constants!$B$3, FALSE(), TRUE())))</f>
        <v/>
      </c>
      <c r="U17" s="97" t="str">
        <f aca="false">IF(ISBLANK($C17),"",IF(J17=Constants!$B$2, TRUE(), IF(J17=Constants!$B$3, FALSE(), TRUE())))</f>
        <v/>
      </c>
      <c r="V17" s="97" t="str">
        <f aca="false">IF(ISBLANK($C17),"",IF(COUNTA(K17:L17)=0,"",IF(AND(OR(ISBLANK(K17),AND(ISNUMBER(K17),K17&gt;=0)),OR(ISBLANK(L17),AND(ISNUMBER(L17),L17&gt;=0))),60*IF(ISBLANK(K17),0,K17)+IF(ISBLANK(L17),0,L17),"")))</f>
        <v/>
      </c>
      <c r="W17" s="97" t="str">
        <f aca="false">IF(ISBLANK($C17),"",IF(M17=Constants!$B$2, TRUE(), IF(M17=Constants!$B$3, FALSE(), TRUE())))</f>
        <v/>
      </c>
      <c r="X17" s="97" t="str">
        <f aca="false">IF(ISBLANK($C17),"",IF(N17=Constants!$B$2, TRUE(), IF(N17=Constants!$B$3, FALSE(), TRUE())))</f>
        <v/>
      </c>
      <c r="Y17" s="97" t="str">
        <f aca="false">IF(ISBLANK($C17),"",IF(O17=Constants!$B$2, TRUE(), IF(O17=Constants!$B$3, FALSE(), FALSE())))</f>
        <v/>
      </c>
      <c r="Z17" s="97" t="str">
        <f aca="false">IF(ISBLANK($C17),"",AND(S17&lt;&gt;"",Q17))</f>
        <v/>
      </c>
      <c r="AA17" s="97" t="str">
        <f aca="false">IF(ISBLANK($C17),"",AND(V17&lt;&gt;"",Q17))</f>
        <v/>
      </c>
      <c r="AB17" s="97" t="str">
        <f aca="false">IF(ISBLANK($C17),"",IF(Y17,Constants!$B$4,IF(COUNTA(E17:N17)=0,Constants!$B$5,IF(NOT(Q17),Constants!$B$6,IF(AND(NOT(Z17),NOT(AA17)),Constants!$B$6,Constants!$B$7)))))</f>
        <v/>
      </c>
      <c r="AC17" s="97" t="str">
        <f aca="false">IF(ISBLANK($C17),"",IF($AB17&lt;&gt;Constants!$B$7,$AB17,Constants!$B$20))</f>
        <v/>
      </c>
      <c r="AD17" s="97" t="str">
        <f aca="false">IF($AB17=Constants!$B$7,IF(Z17,S17,Constants!$B$13),"")</f>
        <v/>
      </c>
      <c r="AE17" s="97" t="str">
        <f aca="false">IF($AB17=Constants!$B$7,IF(Z17,R17*IF(T17, 1, Constants!$B$11)*IF(U17, 1, Constants!$B$12),Constants!$B$13),"")</f>
        <v/>
      </c>
      <c r="AF17" s="97" t="str">
        <f aca="false">IF($AB17=Constants!$B$7,AD17*AE17,"")</f>
        <v/>
      </c>
      <c r="AG17" s="97" t="str">
        <f aca="false">IF($AB17=Constants!$B$7,IF(AA17,V17,Constants!$B$13),"")</f>
        <v/>
      </c>
      <c r="AH17" s="97" t="str">
        <f aca="false">IF($AB17=Constants!$B$7,IF(AA17,R17*IF(W17, 1, Constants!$B$11)*IF(X17, 1, Constants!$B$12),Constants!$B$13),"")</f>
        <v/>
      </c>
      <c r="AI17" s="97" t="str">
        <f aca="false">IF($AB17=Constants!$B$7,AG17*AH17,"")</f>
        <v/>
      </c>
      <c r="AJ17" s="97" t="str">
        <f aca="false">IF($AB17=Constants!$B$7,IF(AI17&gt;AF17,2,1),"")</f>
        <v/>
      </c>
      <c r="AK17" s="97" t="str">
        <f aca="false">IF($AB17=Constants!$B$7,IF(AJ17=1,2,1),"")</f>
        <v/>
      </c>
      <c r="AL17" s="97" t="str">
        <f aca="false">IF(ISBLANK($C17),"",IF($AB17&lt;&gt;Constants!$B$7,$AB17,IF(AJ17=1,AF17,AI17)))</f>
        <v/>
      </c>
      <c r="AM17" s="97" t="str">
        <f aca="false">IF(ISBLANK($C17),"",IF($AB17=Constants!$B$7,IF(ISNUMBER(AL17),RANK(AL17,$AL$8:$AL$507),Constants!$B$14),$AB17))</f>
        <v/>
      </c>
      <c r="AN17" s="97" t="str">
        <f aca="false">IF(ISBLANK($C17),"",IF($AB17=Constants!$B$7,IF(AK17=1,AF17,AI17),""))</f>
        <v/>
      </c>
      <c r="AO17" s="97" t="str">
        <f aca="false">IF(ISBLANK($C17),"",IF($AB17=Constants!$B$7,RANK(AN17,$AN$8:$AN$507),$AB17))</f>
        <v/>
      </c>
      <c r="AP17" s="97" t="str">
        <f aca="false">IF(ISBLANK($C17),"",IF($AB17=Constants!$B$7,IF(ISNUMBER(AM17),COUNTIFS($AM$8:$AM$507,"&lt;"&amp;$AM17)+COUNTIFS($AM$8:$AM$507,$AM17,$AO$8:$AO$507,"&lt;"&amp;$AO17)+1,Constants!$B$14),$AB17))</f>
        <v/>
      </c>
      <c r="AQ17" s="97" t="str">
        <f aca="false">IF(ISBLANK($C17),"",IF($AB17=Constants!$B$7,IF(ISNUMBER(AM17),AM17-AP17,Constants!$B$14),$AB17))</f>
        <v/>
      </c>
      <c r="AR17" s="98"/>
      <c r="AS17" s="99" t="str">
        <f aca="false">IF(ISBLANK($C17),"",IF($AB17&lt;&gt;Constants!$B$7,"",AJ17))</f>
        <v/>
      </c>
      <c r="AT17" s="100" t="str">
        <f aca="false">IF(ISBLANK($C17),"",IF($AB17&lt;&gt;Constants!$B$7,"",IF(AJ17=1,AD17,AG17)))</f>
        <v/>
      </c>
      <c r="AU17" s="101" t="str">
        <f aca="false">IF(ISBLANK($C17),"",IF($AB17&lt;&gt;Constants!$B$7,"",IF(AJ17=1,AE17,AH17)))</f>
        <v/>
      </c>
      <c r="AV17" s="102" t="str">
        <f aca="false">IF(ISBLANK($C17),"",IF($AB17&lt;&gt;Constants!$B$7,$AB17,AL17))</f>
        <v/>
      </c>
      <c r="AW17" s="103" t="str">
        <f aca="false">IF(ISBLANK($C17),"",IF($AB17&lt;&gt;Constants!$B$7,$AB17,AC17))</f>
        <v/>
      </c>
      <c r="AX17" s="104" t="str">
        <f aca="false">IF(ISBLANK($C17),"",AQ17)</f>
        <v/>
      </c>
      <c r="AY17" s="104" t="str">
        <f aca="false">IF(ISBLANK($C17),"",AP17)</f>
        <v/>
      </c>
      <c r="AZ17" s="105" t="str">
        <f aca="false">IF(ISBLANK($C17),"",IF(AY17=Constants!$B$4,COUNTA($C$8:$C$507)+2,IF(AY17=Constants!$B$5,COUNTA($C$8:$C$507)+1,IF(AY17=Constants!$B$6,COUNTA($C$8:$C$507),AY17))))</f>
        <v/>
      </c>
      <c r="BA17" s="5"/>
      <c r="BB17" s="106" t="n">
        <f aca="false">IF(OR(ISNUMBER(AY17),AY17=Constants!$B$4,AY17=Constants!$B$6,AY17=Constants!$B$5),1,0)</f>
        <v>0</v>
      </c>
      <c r="BC17" s="106" t="n">
        <v>10</v>
      </c>
      <c r="BD17" s="106" t="str">
        <f aca="false">IF(ISBLANK($C17),"",IF(ISNUMBER(AZ17),AZ17+ROW($B17)/1000,""))</f>
        <v/>
      </c>
      <c r="BE17" s="106" t="str">
        <f aca="false">IF(ISNUMBER(BD17),RANK(BD17,$BD$8:$BD$507,1),"")</f>
        <v/>
      </c>
      <c r="BF17" s="106" t="str">
        <f aca="false">IF(ISBLANK($C17),"",$B17)</f>
        <v/>
      </c>
      <c r="BG17" s="106" t="str">
        <f aca="false">IF(ISBLANK($C17),"",$C17)</f>
        <v/>
      </c>
      <c r="BH17" s="106" t="str">
        <f aca="false">IF(ISBLANK($C17),"",$D17)</f>
        <v/>
      </c>
      <c r="BI17" s="107" t="str">
        <f aca="false">AW17</f>
        <v/>
      </c>
      <c r="BJ17" s="108" t="str">
        <f aca="false">AV17</f>
        <v/>
      </c>
      <c r="BK17" s="106" t="str">
        <f aca="false">IF(ISBLANK($C17),"",AY17)</f>
        <v/>
      </c>
      <c r="BL17" s="109" t="str">
        <f aca="false">IF($BC17&gt;$BB$7,"",VLOOKUP($BC17,$BE$8:$BK$507,7,FALSE()))</f>
        <v/>
      </c>
      <c r="BM17" s="110" t="str">
        <f aca="false">IF($BC17&gt;$BB$7,"",VLOOKUP($BC17,$BE$8:$BK$507,2,FALSE()))</f>
        <v/>
      </c>
      <c r="BN17" s="110" t="str">
        <f aca="false">IF($BC17&gt;$BB$7,"",VLOOKUP($BC17,$BE$8:$BK$507,3,FALSE()))</f>
        <v/>
      </c>
      <c r="BO17" s="110" t="str">
        <f aca="false">IF($BC17&gt;$BB$7,"",VLOOKUP($BC17,$BE$8:$BK$507,4,FALSE()))</f>
        <v/>
      </c>
      <c r="BP17" s="110" t="str">
        <f aca="false">IF($BC17&gt;$BB$7,"",VLOOKUP($BC17,$BE$8:$BK$507,5,FALSE()))</f>
        <v/>
      </c>
      <c r="BQ17" s="111" t="str">
        <f aca="false">IF($BC17&gt;$BB$7,"",VLOOKUP($BC17,$BE$8:$BK$507,6,FALSE()))</f>
        <v/>
      </c>
      <c r="BR17" s="54"/>
    </row>
    <row r="18" customFormat="false" ht="13.8" hidden="false" customHeight="false" outlineLevel="0" collapsed="false">
      <c r="A18" s="5"/>
      <c r="B18" s="120"/>
      <c r="C18" s="121"/>
      <c r="D18" s="112"/>
      <c r="E18" s="122"/>
      <c r="F18" s="91"/>
      <c r="G18" s="92"/>
      <c r="H18" s="93"/>
      <c r="I18" s="94"/>
      <c r="J18" s="91"/>
      <c r="K18" s="92"/>
      <c r="L18" s="93"/>
      <c r="M18" s="94"/>
      <c r="N18" s="91"/>
      <c r="O18" s="123"/>
      <c r="P18" s="96"/>
      <c r="Q18" s="97" t="str">
        <f aca="false">IF(ISBLANK($C18),"",IF(E18=Constants!$B$2, TRUE(), IF(E18=Constants!$B$3, FALSE(), TRUE())))</f>
        <v/>
      </c>
      <c r="R18" s="97" t="str">
        <f aca="false">IF(ISBLANK($C18),"",IF(F18=Constants!$B$16,Constants!$B$9,IF(F18=Constants!$B$17,Constants!$B$10,Constants!$B$8)))</f>
        <v/>
      </c>
      <c r="S18" s="97" t="str">
        <f aca="false">IF(ISBLANK($C18),"",IF(COUNTA(G18:H18)=0,"",IF(AND(OR(ISBLANK(G18),AND(ISNUMBER(G18),G18&gt;=0)),OR(ISBLANK(H18),AND(ISNUMBER(H18),H18&gt;=0))),60*IF(ISBLANK(G18),0,G18)+IF(ISBLANK(H18),0,H18),"")))</f>
        <v/>
      </c>
      <c r="T18" s="97" t="str">
        <f aca="false">IF(ISBLANK($C18),"",IF(I18=Constants!$B$2, TRUE(), IF(I18=Constants!$B$3, FALSE(), TRUE())))</f>
        <v/>
      </c>
      <c r="U18" s="97" t="str">
        <f aca="false">IF(ISBLANK($C18),"",IF(J18=Constants!$B$2, TRUE(), IF(J18=Constants!$B$3, FALSE(), TRUE())))</f>
        <v/>
      </c>
      <c r="V18" s="97" t="str">
        <f aca="false">IF(ISBLANK($C18),"",IF(COUNTA(K18:L18)=0,"",IF(AND(OR(ISBLANK(K18),AND(ISNUMBER(K18),K18&gt;=0)),OR(ISBLANK(L18),AND(ISNUMBER(L18),L18&gt;=0))),60*IF(ISBLANK(K18),0,K18)+IF(ISBLANK(L18),0,L18),"")))</f>
        <v/>
      </c>
      <c r="W18" s="97" t="str">
        <f aca="false">IF(ISBLANK($C18),"",IF(M18=Constants!$B$2, TRUE(), IF(M18=Constants!$B$3, FALSE(), TRUE())))</f>
        <v/>
      </c>
      <c r="X18" s="97" t="str">
        <f aca="false">IF(ISBLANK($C18),"",IF(N18=Constants!$B$2, TRUE(), IF(N18=Constants!$B$3, FALSE(), TRUE())))</f>
        <v/>
      </c>
      <c r="Y18" s="97" t="str">
        <f aca="false">IF(ISBLANK($C18),"",IF(O18=Constants!$B$2, TRUE(), IF(O18=Constants!$B$3, FALSE(), FALSE())))</f>
        <v/>
      </c>
      <c r="Z18" s="97" t="str">
        <f aca="false">IF(ISBLANK($C18),"",AND(S18&lt;&gt;"",Q18))</f>
        <v/>
      </c>
      <c r="AA18" s="97" t="str">
        <f aca="false">IF(ISBLANK($C18),"",AND(V18&lt;&gt;"",Q18))</f>
        <v/>
      </c>
      <c r="AB18" s="97" t="str">
        <f aca="false">IF(ISBLANK($C18),"",IF(Y18,Constants!$B$4,IF(COUNTA(E18:N18)=0,Constants!$B$5,IF(NOT(Q18),Constants!$B$6,IF(AND(NOT(Z18),NOT(AA18)),Constants!$B$6,Constants!$B$7)))))</f>
        <v/>
      </c>
      <c r="AC18" s="97" t="str">
        <f aca="false">IF(ISBLANK($C18),"",IF($AB18&lt;&gt;Constants!$B$7,$AB18,Constants!$B$20))</f>
        <v/>
      </c>
      <c r="AD18" s="97" t="str">
        <f aca="false">IF($AB18=Constants!$B$7,IF(Z18,S18,Constants!$B$13),"")</f>
        <v/>
      </c>
      <c r="AE18" s="97" t="str">
        <f aca="false">IF($AB18=Constants!$B$7,IF(Z18,R18*IF(T18, 1, Constants!$B$11)*IF(U18, 1, Constants!$B$12),Constants!$B$13),"")</f>
        <v/>
      </c>
      <c r="AF18" s="97" t="str">
        <f aca="false">IF($AB18=Constants!$B$7,AD18*AE18,"")</f>
        <v/>
      </c>
      <c r="AG18" s="97" t="str">
        <f aca="false">IF($AB18=Constants!$B$7,IF(AA18,V18,Constants!$B$13),"")</f>
        <v/>
      </c>
      <c r="AH18" s="97" t="str">
        <f aca="false">IF($AB18=Constants!$B$7,IF(AA18,R18*IF(W18, 1, Constants!$B$11)*IF(X18, 1, Constants!$B$12),Constants!$B$13),"")</f>
        <v/>
      </c>
      <c r="AI18" s="97" t="str">
        <f aca="false">IF($AB18=Constants!$B$7,AG18*AH18,"")</f>
        <v/>
      </c>
      <c r="AJ18" s="97" t="str">
        <f aca="false">IF($AB18=Constants!$B$7,IF(AI18&gt;AF18,2,1),"")</f>
        <v/>
      </c>
      <c r="AK18" s="97" t="str">
        <f aca="false">IF($AB18=Constants!$B$7,IF(AJ18=1,2,1),"")</f>
        <v/>
      </c>
      <c r="AL18" s="97" t="str">
        <f aca="false">IF(ISBLANK($C18),"",IF($AB18&lt;&gt;Constants!$B$7,$AB18,IF(AJ18=1,AF18,AI18)))</f>
        <v/>
      </c>
      <c r="AM18" s="97" t="str">
        <f aca="false">IF(ISBLANK($C18),"",IF($AB18=Constants!$B$7,IF(ISNUMBER(AL18),RANK(AL18,$AL$8:$AL$507),Constants!$B$14),$AB18))</f>
        <v/>
      </c>
      <c r="AN18" s="97" t="str">
        <f aca="false">IF(ISBLANK($C18),"",IF($AB18=Constants!$B$7,IF(AK18=1,AF18,AI18),""))</f>
        <v/>
      </c>
      <c r="AO18" s="97" t="str">
        <f aca="false">IF(ISBLANK($C18),"",IF($AB18=Constants!$B$7,RANK(AN18,$AN$8:$AN$507),$AB18))</f>
        <v/>
      </c>
      <c r="AP18" s="97" t="str">
        <f aca="false">IF(ISBLANK($C18),"",IF($AB18=Constants!$B$7,IF(ISNUMBER(AM18),COUNTIFS($AM$8:$AM$507,"&lt;"&amp;$AM18)+COUNTIFS($AM$8:$AM$507,$AM18,$AO$8:$AO$507,"&lt;"&amp;$AO18)+1,Constants!$B$14),$AB18))</f>
        <v/>
      </c>
      <c r="AQ18" s="97" t="str">
        <f aca="false">IF(ISBLANK($C18),"",IF($AB18=Constants!$B$7,IF(ISNUMBER(AM18),AM18-AP18,Constants!$B$14),$AB18))</f>
        <v/>
      </c>
      <c r="AR18" s="98"/>
      <c r="AS18" s="99" t="str">
        <f aca="false">IF(ISBLANK($C18),"",IF($AB18&lt;&gt;Constants!$B$7,"",AJ18))</f>
        <v/>
      </c>
      <c r="AT18" s="100" t="str">
        <f aca="false">IF(ISBLANK($C18),"",IF($AB18&lt;&gt;Constants!$B$7,"",IF(AJ18=1,AD18,AG18)))</f>
        <v/>
      </c>
      <c r="AU18" s="101" t="str">
        <f aca="false">IF(ISBLANK($C18),"",IF($AB18&lt;&gt;Constants!$B$7,"",IF(AJ18=1,AE18,AH18)))</f>
        <v/>
      </c>
      <c r="AV18" s="102" t="str">
        <f aca="false">IF(ISBLANK($C18),"",IF($AB18&lt;&gt;Constants!$B$7,$AB18,AL18))</f>
        <v/>
      </c>
      <c r="AW18" s="103" t="str">
        <f aca="false">IF(ISBLANK($C18),"",IF($AB18&lt;&gt;Constants!$B$7,$AB18,AC18))</f>
        <v/>
      </c>
      <c r="AX18" s="104" t="str">
        <f aca="false">IF(ISBLANK($C18),"",AQ18)</f>
        <v/>
      </c>
      <c r="AY18" s="104" t="str">
        <f aca="false">IF(ISBLANK($C18),"",AP18)</f>
        <v/>
      </c>
      <c r="AZ18" s="105" t="str">
        <f aca="false">IF(ISBLANK($C18),"",IF(AY18=Constants!$B$4,COUNTA($C$8:$C$507)+2,IF(AY18=Constants!$B$5,COUNTA($C$8:$C$507)+1,IF(AY18=Constants!$B$6,COUNTA($C$8:$C$507),AY18))))</f>
        <v/>
      </c>
      <c r="BA18" s="5"/>
      <c r="BB18" s="106" t="n">
        <f aca="false">IF(OR(ISNUMBER(AY18),AY18=Constants!$B$4,AY18=Constants!$B$6,AY18=Constants!$B$5),1,0)</f>
        <v>0</v>
      </c>
      <c r="BC18" s="106" t="n">
        <v>11</v>
      </c>
      <c r="BD18" s="106" t="str">
        <f aca="false">IF(ISBLANK($C18),"",IF(ISNUMBER(AZ18),AZ18+ROW($B18)/1000,""))</f>
        <v/>
      </c>
      <c r="BE18" s="106" t="str">
        <f aca="false">IF(ISNUMBER(BD18),RANK(BD18,$BD$8:$BD$507,1),"")</f>
        <v/>
      </c>
      <c r="BF18" s="106" t="str">
        <f aca="false">IF(ISBLANK($C18),"",$B18)</f>
        <v/>
      </c>
      <c r="BG18" s="106" t="str">
        <f aca="false">IF(ISBLANK($C18),"",$C18)</f>
        <v/>
      </c>
      <c r="BH18" s="106" t="str">
        <f aca="false">IF(ISBLANK($C18),"",$D18)</f>
        <v/>
      </c>
      <c r="BI18" s="107" t="str">
        <f aca="false">AW18</f>
        <v/>
      </c>
      <c r="BJ18" s="108" t="str">
        <f aca="false">AV18</f>
        <v/>
      </c>
      <c r="BK18" s="106" t="str">
        <f aca="false">IF(ISBLANK($C18),"",AY18)</f>
        <v/>
      </c>
      <c r="BL18" s="109" t="str">
        <f aca="false">IF($BC18&gt;$BB$7,"",VLOOKUP($BC18,$BE$8:$BK$507,7,FALSE()))</f>
        <v/>
      </c>
      <c r="BM18" s="110" t="str">
        <f aca="false">IF($BC18&gt;$BB$7,"",VLOOKUP($BC18,$BE$8:$BK$507,2,FALSE()))</f>
        <v/>
      </c>
      <c r="BN18" s="110" t="str">
        <f aca="false">IF($BC18&gt;$BB$7,"",VLOOKUP($BC18,$BE$8:$BK$507,3,FALSE()))</f>
        <v/>
      </c>
      <c r="BO18" s="110" t="str">
        <f aca="false">IF($BC18&gt;$BB$7,"",VLOOKUP($BC18,$BE$8:$BK$507,4,FALSE()))</f>
        <v/>
      </c>
      <c r="BP18" s="110" t="str">
        <f aca="false">IF($BC18&gt;$BB$7,"",VLOOKUP($BC18,$BE$8:$BK$507,5,FALSE()))</f>
        <v/>
      </c>
      <c r="BQ18" s="111" t="str">
        <f aca="false">IF($BC18&gt;$BB$7,"",VLOOKUP($BC18,$BE$8:$BK$507,6,FALSE()))</f>
        <v/>
      </c>
      <c r="BR18" s="54"/>
    </row>
    <row r="19" customFormat="false" ht="13.8" hidden="false" customHeight="false" outlineLevel="0" collapsed="false">
      <c r="A19" s="5"/>
      <c r="B19" s="120"/>
      <c r="C19" s="121"/>
      <c r="D19" s="112"/>
      <c r="E19" s="122"/>
      <c r="F19" s="91"/>
      <c r="G19" s="92"/>
      <c r="H19" s="93"/>
      <c r="I19" s="94"/>
      <c r="J19" s="91"/>
      <c r="K19" s="92"/>
      <c r="L19" s="93"/>
      <c r="M19" s="94"/>
      <c r="N19" s="91"/>
      <c r="O19" s="123"/>
      <c r="P19" s="96"/>
      <c r="Q19" s="97" t="str">
        <f aca="false">IF(ISBLANK($C19),"",IF(E19=Constants!$B$2, TRUE(), IF(E19=Constants!$B$3, FALSE(), TRUE())))</f>
        <v/>
      </c>
      <c r="R19" s="97" t="str">
        <f aca="false">IF(ISBLANK($C19),"",IF(F19=Constants!$B$16,Constants!$B$9,IF(F19=Constants!$B$17,Constants!$B$10,Constants!$B$8)))</f>
        <v/>
      </c>
      <c r="S19" s="97" t="str">
        <f aca="false">IF(ISBLANK($C19),"",IF(COUNTA(G19:H19)=0,"",IF(AND(OR(ISBLANK(G19),AND(ISNUMBER(G19),G19&gt;=0)),OR(ISBLANK(H19),AND(ISNUMBER(H19),H19&gt;=0))),60*IF(ISBLANK(G19),0,G19)+IF(ISBLANK(H19),0,H19),"")))</f>
        <v/>
      </c>
      <c r="T19" s="97" t="str">
        <f aca="false">IF(ISBLANK($C19),"",IF(I19=Constants!$B$2, TRUE(), IF(I19=Constants!$B$3, FALSE(), TRUE())))</f>
        <v/>
      </c>
      <c r="U19" s="97" t="str">
        <f aca="false">IF(ISBLANK($C19),"",IF(J19=Constants!$B$2, TRUE(), IF(J19=Constants!$B$3, FALSE(), TRUE())))</f>
        <v/>
      </c>
      <c r="V19" s="97" t="str">
        <f aca="false">IF(ISBLANK($C19),"",IF(COUNTA(K19:L19)=0,"",IF(AND(OR(ISBLANK(K19),AND(ISNUMBER(K19),K19&gt;=0)),OR(ISBLANK(L19),AND(ISNUMBER(L19),L19&gt;=0))),60*IF(ISBLANK(K19),0,K19)+IF(ISBLANK(L19),0,L19),"")))</f>
        <v/>
      </c>
      <c r="W19" s="97" t="str">
        <f aca="false">IF(ISBLANK($C19),"",IF(M19=Constants!$B$2, TRUE(), IF(M19=Constants!$B$3, FALSE(), TRUE())))</f>
        <v/>
      </c>
      <c r="X19" s="97" t="str">
        <f aca="false">IF(ISBLANK($C19),"",IF(N19=Constants!$B$2, TRUE(), IF(N19=Constants!$B$3, FALSE(), TRUE())))</f>
        <v/>
      </c>
      <c r="Y19" s="97" t="str">
        <f aca="false">IF(ISBLANK($C19),"",IF(O19=Constants!$B$2, TRUE(), IF(O19=Constants!$B$3, FALSE(), FALSE())))</f>
        <v/>
      </c>
      <c r="Z19" s="97" t="str">
        <f aca="false">IF(ISBLANK($C19),"",AND(S19&lt;&gt;"",Q19))</f>
        <v/>
      </c>
      <c r="AA19" s="97" t="str">
        <f aca="false">IF(ISBLANK($C19),"",AND(V19&lt;&gt;"",Q19))</f>
        <v/>
      </c>
      <c r="AB19" s="97" t="str">
        <f aca="false">IF(ISBLANK($C19),"",IF(Y19,Constants!$B$4,IF(COUNTA(E19:N19)=0,Constants!$B$5,IF(NOT(Q19),Constants!$B$6,IF(AND(NOT(Z19),NOT(AA19)),Constants!$B$6,Constants!$B$7)))))</f>
        <v/>
      </c>
      <c r="AC19" s="97" t="str">
        <f aca="false">IF(ISBLANK($C19),"",IF($AB19&lt;&gt;Constants!$B$7,$AB19,Constants!$B$20))</f>
        <v/>
      </c>
      <c r="AD19" s="97" t="str">
        <f aca="false">IF($AB19=Constants!$B$7,IF(Z19,S19,Constants!$B$13),"")</f>
        <v/>
      </c>
      <c r="AE19" s="97" t="str">
        <f aca="false">IF($AB19=Constants!$B$7,IF(Z19,R19*IF(T19, 1, Constants!$B$11)*IF(U19, 1, Constants!$B$12),Constants!$B$13),"")</f>
        <v/>
      </c>
      <c r="AF19" s="97" t="str">
        <f aca="false">IF($AB19=Constants!$B$7,AD19*AE19,"")</f>
        <v/>
      </c>
      <c r="AG19" s="97" t="str">
        <f aca="false">IF($AB19=Constants!$B$7,IF(AA19,V19,Constants!$B$13),"")</f>
        <v/>
      </c>
      <c r="AH19" s="97" t="str">
        <f aca="false">IF($AB19=Constants!$B$7,IF(AA19,R19*IF(W19, 1, Constants!$B$11)*IF(X19, 1, Constants!$B$12),Constants!$B$13),"")</f>
        <v/>
      </c>
      <c r="AI19" s="97" t="str">
        <f aca="false">IF($AB19=Constants!$B$7,AG19*AH19,"")</f>
        <v/>
      </c>
      <c r="AJ19" s="97" t="str">
        <f aca="false">IF($AB19=Constants!$B$7,IF(AI19&gt;AF19,2,1),"")</f>
        <v/>
      </c>
      <c r="AK19" s="97" t="str">
        <f aca="false">IF($AB19=Constants!$B$7,IF(AJ19=1,2,1),"")</f>
        <v/>
      </c>
      <c r="AL19" s="97" t="str">
        <f aca="false">IF(ISBLANK($C19),"",IF($AB19&lt;&gt;Constants!$B$7,$AB19,IF(AJ19=1,AF19,AI19)))</f>
        <v/>
      </c>
      <c r="AM19" s="97" t="str">
        <f aca="false">IF(ISBLANK($C19),"",IF($AB19=Constants!$B$7,IF(ISNUMBER(AL19),RANK(AL19,$AL$8:$AL$507),Constants!$B$14),$AB19))</f>
        <v/>
      </c>
      <c r="AN19" s="97" t="str">
        <f aca="false">IF(ISBLANK($C19),"",IF($AB19=Constants!$B$7,IF(AK19=1,AF19,AI19),""))</f>
        <v/>
      </c>
      <c r="AO19" s="97" t="str">
        <f aca="false">IF(ISBLANK($C19),"",IF($AB19=Constants!$B$7,RANK(AN19,$AN$8:$AN$507),$AB19))</f>
        <v/>
      </c>
      <c r="AP19" s="97" t="str">
        <f aca="false">IF(ISBLANK($C19),"",IF($AB19=Constants!$B$7,IF(ISNUMBER(AM19),COUNTIFS($AM$8:$AM$507,"&lt;"&amp;$AM19)+COUNTIFS($AM$8:$AM$507,$AM19,$AO$8:$AO$507,"&lt;"&amp;$AO19)+1,Constants!$B$14),$AB19))</f>
        <v/>
      </c>
      <c r="AQ19" s="97" t="str">
        <f aca="false">IF(ISBLANK($C19),"",IF($AB19=Constants!$B$7,IF(ISNUMBER(AM19),AM19-AP19,Constants!$B$14),$AB19))</f>
        <v/>
      </c>
      <c r="AR19" s="98"/>
      <c r="AS19" s="99" t="str">
        <f aca="false">IF(ISBLANK($C19),"",IF($AB19&lt;&gt;Constants!$B$7,"",AJ19))</f>
        <v/>
      </c>
      <c r="AT19" s="100" t="str">
        <f aca="false">IF(ISBLANK($C19),"",IF($AB19&lt;&gt;Constants!$B$7,"",IF(AJ19=1,AD19,AG19)))</f>
        <v/>
      </c>
      <c r="AU19" s="101" t="str">
        <f aca="false">IF(ISBLANK($C19),"",IF($AB19&lt;&gt;Constants!$B$7,"",IF(AJ19=1,AE19,AH19)))</f>
        <v/>
      </c>
      <c r="AV19" s="102" t="str">
        <f aca="false">IF(ISBLANK($C19),"",IF($AB19&lt;&gt;Constants!$B$7,$AB19,AL19))</f>
        <v/>
      </c>
      <c r="AW19" s="103" t="str">
        <f aca="false">IF(ISBLANK($C19),"",IF($AB19&lt;&gt;Constants!$B$7,$AB19,AC19))</f>
        <v/>
      </c>
      <c r="AX19" s="104" t="str">
        <f aca="false">IF(ISBLANK($C19),"",AQ19)</f>
        <v/>
      </c>
      <c r="AY19" s="104" t="str">
        <f aca="false">IF(ISBLANK($C19),"",AP19)</f>
        <v/>
      </c>
      <c r="AZ19" s="105" t="str">
        <f aca="false">IF(ISBLANK($C19),"",IF(AY19=Constants!$B$4,COUNTA($C$8:$C$507)+2,IF(AY19=Constants!$B$5,COUNTA($C$8:$C$507)+1,IF(AY19=Constants!$B$6,COUNTA($C$8:$C$507),AY19))))</f>
        <v/>
      </c>
      <c r="BA19" s="5"/>
      <c r="BB19" s="106" t="n">
        <f aca="false">IF(OR(ISNUMBER(AY19),AY19=Constants!$B$4,AY19=Constants!$B$6,AY19=Constants!$B$5),1,0)</f>
        <v>0</v>
      </c>
      <c r="BC19" s="106" t="n">
        <v>12</v>
      </c>
      <c r="BD19" s="106" t="str">
        <f aca="false">IF(ISBLANK($C19),"",IF(ISNUMBER(AZ19),AZ19+ROW($B19)/1000,""))</f>
        <v/>
      </c>
      <c r="BE19" s="106" t="str">
        <f aca="false">IF(ISNUMBER(BD19),RANK(BD19,$BD$8:$BD$507,1),"")</f>
        <v/>
      </c>
      <c r="BF19" s="106" t="str">
        <f aca="false">IF(ISBLANK($C19),"",$B19)</f>
        <v/>
      </c>
      <c r="BG19" s="106" t="str">
        <f aca="false">IF(ISBLANK($C19),"",$C19)</f>
        <v/>
      </c>
      <c r="BH19" s="106" t="str">
        <f aca="false">IF(ISBLANK($C19),"",$D19)</f>
        <v/>
      </c>
      <c r="BI19" s="107" t="str">
        <f aca="false">AW19</f>
        <v/>
      </c>
      <c r="BJ19" s="108" t="str">
        <f aca="false">AV19</f>
        <v/>
      </c>
      <c r="BK19" s="106" t="str">
        <f aca="false">IF(ISBLANK($C19),"",AY19)</f>
        <v/>
      </c>
      <c r="BL19" s="109" t="str">
        <f aca="false">IF($BC19&gt;$BB$7,"",VLOOKUP($BC19,$BE$8:$BK$507,7,FALSE()))</f>
        <v/>
      </c>
      <c r="BM19" s="110" t="str">
        <f aca="false">IF($BC19&gt;$BB$7,"",VLOOKUP($BC19,$BE$8:$BK$507,2,FALSE()))</f>
        <v/>
      </c>
      <c r="BN19" s="110" t="str">
        <f aca="false">IF($BC19&gt;$BB$7,"",VLOOKUP($BC19,$BE$8:$BK$507,3,FALSE()))</f>
        <v/>
      </c>
      <c r="BO19" s="110" t="str">
        <f aca="false">IF($BC19&gt;$BB$7,"",VLOOKUP($BC19,$BE$8:$BK$507,4,FALSE()))</f>
        <v/>
      </c>
      <c r="BP19" s="110" t="str">
        <f aca="false">IF($BC19&gt;$BB$7,"",VLOOKUP($BC19,$BE$8:$BK$507,5,FALSE()))</f>
        <v/>
      </c>
      <c r="BQ19" s="111" t="str">
        <f aca="false">IF($BC19&gt;$BB$7,"",VLOOKUP($BC19,$BE$8:$BK$507,6,FALSE()))</f>
        <v/>
      </c>
      <c r="BR19" s="54"/>
    </row>
    <row r="20" customFormat="false" ht="13.8" hidden="false" customHeight="false" outlineLevel="0" collapsed="false">
      <c r="A20" s="5"/>
      <c r="B20" s="124"/>
      <c r="C20" s="56"/>
      <c r="D20" s="57"/>
      <c r="E20" s="119"/>
      <c r="F20" s="59"/>
      <c r="G20" s="60"/>
      <c r="H20" s="61"/>
      <c r="I20" s="62"/>
      <c r="J20" s="59"/>
      <c r="K20" s="60"/>
      <c r="L20" s="61"/>
      <c r="M20" s="62"/>
      <c r="N20" s="59"/>
      <c r="O20" s="83"/>
      <c r="P20" s="64"/>
      <c r="Q20" s="66" t="str">
        <f aca="false">IF(ISBLANK($C20),"",IF(E20=Constants!$B$2, TRUE(), IF(E20=Constants!$B$3, FALSE(), TRUE())))</f>
        <v/>
      </c>
      <c r="R20" s="66" t="str">
        <f aca="false">IF(ISBLANK($C20),"",IF(F20=Constants!$B$16,Constants!$B$9,IF(F20=Constants!$B$17,Constants!$B$10,Constants!$B$8)))</f>
        <v/>
      </c>
      <c r="S20" s="66" t="str">
        <f aca="false">IF(ISBLANK($C20),"",IF(COUNTA(G20:H20)=0,"",IF(AND(OR(ISBLANK(G20),AND(ISNUMBER(G20),G20&gt;=0)),OR(ISBLANK(H20),AND(ISNUMBER(H20),H20&gt;=0))),60*IF(ISBLANK(G20),0,G20)+IF(ISBLANK(H20),0,H20),"")))</f>
        <v/>
      </c>
      <c r="T20" s="66" t="str">
        <f aca="false">IF(ISBLANK($C20),"",IF(I20=Constants!$B$2, TRUE(), IF(I20=Constants!$B$3, FALSE(), TRUE())))</f>
        <v/>
      </c>
      <c r="U20" s="66" t="str">
        <f aca="false">IF(ISBLANK($C20),"",IF(J20=Constants!$B$2, TRUE(), IF(J20=Constants!$B$3, FALSE(), TRUE())))</f>
        <v/>
      </c>
      <c r="V20" s="66" t="str">
        <f aca="false">IF(ISBLANK($C20),"",IF(COUNTA(K20:L20)=0,"",IF(AND(OR(ISBLANK(K20),AND(ISNUMBER(K20),K20&gt;=0)),OR(ISBLANK(L20),AND(ISNUMBER(L20),L20&gt;=0))),60*IF(ISBLANK(K20),0,K20)+IF(ISBLANK(L20),0,L20),"")))</f>
        <v/>
      </c>
      <c r="W20" s="66" t="str">
        <f aca="false">IF(ISBLANK($C20),"",IF(M20=Constants!$B$2, TRUE(), IF(M20=Constants!$B$3, FALSE(), TRUE())))</f>
        <v/>
      </c>
      <c r="X20" s="66" t="str">
        <f aca="false">IF(ISBLANK($C20),"",IF(N20=Constants!$B$2, TRUE(), IF(N20=Constants!$B$3, FALSE(), TRUE())))</f>
        <v/>
      </c>
      <c r="Y20" s="66" t="str">
        <f aca="false">IF(ISBLANK($C20),"",IF(O20=Constants!$B$2, TRUE(), IF(O20=Constants!$B$3, FALSE(), FALSE())))</f>
        <v/>
      </c>
      <c r="Z20" s="66" t="str">
        <f aca="false">IF(ISBLANK($C20),"",AND(S20&lt;&gt;"",Q20))</f>
        <v/>
      </c>
      <c r="AA20" s="66" t="str">
        <f aca="false">IF(ISBLANK($C20),"",AND(V20&lt;&gt;"",Q20))</f>
        <v/>
      </c>
      <c r="AB20" s="66" t="str">
        <f aca="false">IF(ISBLANK($C20),"",IF(Y20,Constants!$B$4,IF(COUNTA(E20:N20)=0,Constants!$B$5,IF(NOT(Q20),Constants!$B$6,IF(AND(NOT(Z20),NOT(AA20)),Constants!$B$6,Constants!$B$7)))))</f>
        <v/>
      </c>
      <c r="AC20" s="66" t="str">
        <f aca="false">IF(ISBLANK($C20),"",IF($AB20&lt;&gt;Constants!$B$7,$AB20,Constants!$B$20))</f>
        <v/>
      </c>
      <c r="AD20" s="66" t="str">
        <f aca="false">IF($AB20=Constants!$B$7,IF(Z20,S20,Constants!$B$13),"")</f>
        <v/>
      </c>
      <c r="AE20" s="66" t="str">
        <f aca="false">IF($AB20=Constants!$B$7,IF(Z20,R20*IF(T20, 1, Constants!$B$11)*IF(U20, 1, Constants!$B$12),Constants!$B$13),"")</f>
        <v/>
      </c>
      <c r="AF20" s="66" t="str">
        <f aca="false">IF($AB20=Constants!$B$7,AD20*AE20,"")</f>
        <v/>
      </c>
      <c r="AG20" s="66" t="str">
        <f aca="false">IF($AB20=Constants!$B$7,IF(AA20,V20,Constants!$B$13),"")</f>
        <v/>
      </c>
      <c r="AH20" s="66" t="str">
        <f aca="false">IF($AB20=Constants!$B$7,IF(AA20,R20*IF(W20, 1, Constants!$B$11)*IF(X20, 1, Constants!$B$12),Constants!$B$13),"")</f>
        <v/>
      </c>
      <c r="AI20" s="66" t="str">
        <f aca="false">IF($AB20=Constants!$B$7,AG20*AH20,"")</f>
        <v/>
      </c>
      <c r="AJ20" s="66" t="str">
        <f aca="false">IF($AB20=Constants!$B$7,IF(AI20&gt;AF20,2,1),"")</f>
        <v/>
      </c>
      <c r="AK20" s="66" t="str">
        <f aca="false">IF($AB20=Constants!$B$7,IF(AJ20=1,2,1),"")</f>
        <v/>
      </c>
      <c r="AL20" s="66" t="str">
        <f aca="false">IF(ISBLANK($C20),"",IF($AB20&lt;&gt;Constants!$B$7,$AB20,IF(AJ20=1,AF20,AI20)))</f>
        <v/>
      </c>
      <c r="AM20" s="66" t="str">
        <f aca="false">IF(ISBLANK($C20),"",IF($AB20=Constants!$B$7,IF(ISNUMBER(AL20),RANK(AL20,$AL$8:$AL$507),Constants!$B$14),$AB20))</f>
        <v/>
      </c>
      <c r="AN20" s="66" t="str">
        <f aca="false">IF(ISBLANK($C20),"",IF($AB20=Constants!$B$7,IF(AK20=1,AF20,AI20),""))</f>
        <v/>
      </c>
      <c r="AO20" s="66" t="str">
        <f aca="false">IF(ISBLANK($C20),"",IF($AB20=Constants!$B$7,RANK(AN20,$AN$8:$AN$507),$AB20))</f>
        <v/>
      </c>
      <c r="AP20" s="66" t="str">
        <f aca="false">IF(ISBLANK($C20),"",IF($AB20=Constants!$B$7,IF(ISNUMBER(AM20),COUNTIFS($AM$8:$AM$507,"&lt;"&amp;$AM20)+COUNTIFS($AM$8:$AM$507,$AM20,$AO$8:$AO$507,"&lt;"&amp;$AO20)+1,Constants!$B$14),$AB20))</f>
        <v/>
      </c>
      <c r="AQ20" s="66" t="str">
        <f aca="false">IF(ISBLANK($C20),"",IF($AB20=Constants!$B$7,IF(ISNUMBER(AM20),AM20-AP20,Constants!$B$14),$AB20))</f>
        <v/>
      </c>
      <c r="AR20" s="68"/>
      <c r="AS20" s="69" t="str">
        <f aca="false">IF(ISBLANK($C20),"",IF($AB20&lt;&gt;Constants!$B$7,"",AJ20))</f>
        <v/>
      </c>
      <c r="AT20" s="84" t="str">
        <f aca="false">IF(ISBLANK($C20),"",IF($AB20&lt;&gt;Constants!$B$7,"",IF(AJ20=1,AD20,AG20)))</f>
        <v/>
      </c>
      <c r="AU20" s="71" t="str">
        <f aca="false">IF(ISBLANK($C20),"",IF($AB20&lt;&gt;Constants!$B$7,"",IF(AJ20=1,AE20,AH20)))</f>
        <v/>
      </c>
      <c r="AV20" s="72" t="str">
        <f aca="false">IF(ISBLANK($C20),"",IF($AB20&lt;&gt;Constants!$B$7,$AB20,AL20))</f>
        <v/>
      </c>
      <c r="AW20" s="73" t="str">
        <f aca="false">IF(ISBLANK($C20),"",IF($AB20&lt;&gt;Constants!$B$7,$AB20,AC20))</f>
        <v/>
      </c>
      <c r="AX20" s="74" t="str">
        <f aca="false">IF(ISBLANK($C20),"",AQ20)</f>
        <v/>
      </c>
      <c r="AY20" s="74" t="str">
        <f aca="false">IF(ISBLANK($C20),"",AP20)</f>
        <v/>
      </c>
      <c r="AZ20" s="75" t="str">
        <f aca="false">IF(ISBLANK($C20),"",IF(AY20=Constants!$B$4,COUNTA($C$8:$C$507)+2,IF(AY20=Constants!$B$5,COUNTA($C$8:$C$507)+1,IF(AY20=Constants!$B$6,COUNTA($C$8:$C$507),AY20))))</f>
        <v/>
      </c>
      <c r="BA20" s="5"/>
      <c r="BB20" s="76" t="n">
        <f aca="false">IF(OR(ISNUMBER(AY20),AY20=Constants!$B$4,AY20=Constants!$B$6,AY20=Constants!$B$5),1,0)</f>
        <v>0</v>
      </c>
      <c r="BC20" s="76" t="n">
        <v>13</v>
      </c>
      <c r="BD20" s="76" t="str">
        <f aca="false">IF(ISBLANK($C20),"",IF(ISNUMBER(AZ20),AZ20+ROW($B20)/1000,""))</f>
        <v/>
      </c>
      <c r="BE20" s="76" t="str">
        <f aca="false">IF(ISNUMBER(BD20),RANK(BD20,$BD$8:$BD$507,1),"")</f>
        <v/>
      </c>
      <c r="BF20" s="76" t="str">
        <f aca="false">IF(ISBLANK($C20),"",$B20)</f>
        <v/>
      </c>
      <c r="BG20" s="76" t="str">
        <f aca="false">IF(ISBLANK($C20),"",$C20)</f>
        <v/>
      </c>
      <c r="BH20" s="76" t="str">
        <f aca="false">IF(ISBLANK($C20),"",$D20)</f>
        <v/>
      </c>
      <c r="BI20" s="77" t="str">
        <f aca="false">AW20</f>
        <v/>
      </c>
      <c r="BJ20" s="78" t="str">
        <f aca="false">AV20</f>
        <v/>
      </c>
      <c r="BK20" s="76" t="str">
        <f aca="false">IF(ISBLANK($C20),"",AY20)</f>
        <v/>
      </c>
      <c r="BL20" s="79" t="str">
        <f aca="false">IF($BC20&gt;$BB$7,"",VLOOKUP($BC20,$BE$8:$BK$507,7,FALSE()))</f>
        <v/>
      </c>
      <c r="BM20" s="80" t="str">
        <f aca="false">IF($BC20&gt;$BB$7,"",VLOOKUP($BC20,$BE$8:$BK$507,2,FALSE()))</f>
        <v/>
      </c>
      <c r="BN20" s="80" t="str">
        <f aca="false">IF($BC20&gt;$BB$7,"",VLOOKUP($BC20,$BE$8:$BK$507,3,FALSE()))</f>
        <v/>
      </c>
      <c r="BO20" s="80" t="str">
        <f aca="false">IF($BC20&gt;$BB$7,"",VLOOKUP($BC20,$BE$8:$BK$507,4,FALSE()))</f>
        <v/>
      </c>
      <c r="BP20" s="80" t="str">
        <f aca="false">IF($BC20&gt;$BB$7,"",VLOOKUP($BC20,$BE$8:$BK$507,5,FALSE()))</f>
        <v/>
      </c>
      <c r="BQ20" s="81" t="str">
        <f aca="false">IF($BC20&gt;$BB$7,"",VLOOKUP($BC20,$BE$8:$BK$507,6,FALSE()))</f>
        <v/>
      </c>
      <c r="BR20" s="54"/>
    </row>
    <row r="21" customFormat="false" ht="13.8" hidden="false" customHeight="false" outlineLevel="0" collapsed="false">
      <c r="A21" s="5"/>
      <c r="B21" s="124"/>
      <c r="C21" s="56"/>
      <c r="D21" s="57"/>
      <c r="E21" s="119"/>
      <c r="F21" s="59"/>
      <c r="G21" s="60"/>
      <c r="H21" s="61"/>
      <c r="I21" s="62"/>
      <c r="J21" s="59"/>
      <c r="K21" s="60"/>
      <c r="L21" s="61"/>
      <c r="M21" s="62"/>
      <c r="N21" s="59"/>
      <c r="O21" s="83"/>
      <c r="P21" s="64"/>
      <c r="Q21" s="66" t="str">
        <f aca="false">IF(ISBLANK($C21),"",IF(E21=Constants!$B$2, TRUE(), IF(E21=Constants!$B$3, FALSE(), TRUE())))</f>
        <v/>
      </c>
      <c r="R21" s="66" t="str">
        <f aca="false">IF(ISBLANK($C21),"",IF(F21=Constants!$B$16,Constants!$B$9,IF(F21=Constants!$B$17,Constants!$B$10,Constants!$B$8)))</f>
        <v/>
      </c>
      <c r="S21" s="66" t="str">
        <f aca="false">IF(ISBLANK($C21),"",IF(COUNTA(G21:H21)=0,"",IF(AND(OR(ISBLANK(G21),AND(ISNUMBER(G21),G21&gt;=0)),OR(ISBLANK(H21),AND(ISNUMBER(H21),H21&gt;=0))),60*IF(ISBLANK(G21),0,G21)+IF(ISBLANK(H21),0,H21),"")))</f>
        <v/>
      </c>
      <c r="T21" s="66" t="str">
        <f aca="false">IF(ISBLANK($C21),"",IF(I21=Constants!$B$2, TRUE(), IF(I21=Constants!$B$3, FALSE(), TRUE())))</f>
        <v/>
      </c>
      <c r="U21" s="66" t="str">
        <f aca="false">IF(ISBLANK($C21),"",IF(J21=Constants!$B$2, TRUE(), IF(J21=Constants!$B$3, FALSE(), TRUE())))</f>
        <v/>
      </c>
      <c r="V21" s="66" t="str">
        <f aca="false">IF(ISBLANK($C21),"",IF(COUNTA(K21:L21)=0,"",IF(AND(OR(ISBLANK(K21),AND(ISNUMBER(K21),K21&gt;=0)),OR(ISBLANK(L21),AND(ISNUMBER(L21),L21&gt;=0))),60*IF(ISBLANK(K21),0,K21)+IF(ISBLANK(L21),0,L21),"")))</f>
        <v/>
      </c>
      <c r="W21" s="66" t="str">
        <f aca="false">IF(ISBLANK($C21),"",IF(M21=Constants!$B$2, TRUE(), IF(M21=Constants!$B$3, FALSE(), TRUE())))</f>
        <v/>
      </c>
      <c r="X21" s="66" t="str">
        <f aca="false">IF(ISBLANK($C21),"",IF(N21=Constants!$B$2, TRUE(), IF(N21=Constants!$B$3, FALSE(), TRUE())))</f>
        <v/>
      </c>
      <c r="Y21" s="66" t="str">
        <f aca="false">IF(ISBLANK($C21),"",IF(O21=Constants!$B$2, TRUE(), IF(O21=Constants!$B$3, FALSE(), FALSE())))</f>
        <v/>
      </c>
      <c r="Z21" s="66" t="str">
        <f aca="false">IF(ISBLANK($C21),"",AND(S21&lt;&gt;"",Q21))</f>
        <v/>
      </c>
      <c r="AA21" s="66" t="str">
        <f aca="false">IF(ISBLANK($C21),"",AND(V21&lt;&gt;"",Q21))</f>
        <v/>
      </c>
      <c r="AB21" s="66" t="str">
        <f aca="false">IF(ISBLANK($C21),"",IF(Y21,Constants!$B$4,IF(COUNTA(E21:N21)=0,Constants!$B$5,IF(NOT(Q21),Constants!$B$6,IF(AND(NOT(Z21),NOT(AA21)),Constants!$B$6,Constants!$B$7)))))</f>
        <v/>
      </c>
      <c r="AC21" s="66" t="str">
        <f aca="false">IF(ISBLANK($C21),"",IF($AB21&lt;&gt;Constants!$B$7,$AB21,Constants!$B$20))</f>
        <v/>
      </c>
      <c r="AD21" s="66" t="str">
        <f aca="false">IF($AB21=Constants!$B$7,IF(Z21,S21,Constants!$B$13),"")</f>
        <v/>
      </c>
      <c r="AE21" s="66" t="str">
        <f aca="false">IF($AB21=Constants!$B$7,IF(Z21,R21*IF(T21, 1, Constants!$B$11)*IF(U21, 1, Constants!$B$12),Constants!$B$13),"")</f>
        <v/>
      </c>
      <c r="AF21" s="66" t="str">
        <f aca="false">IF($AB21=Constants!$B$7,AD21*AE21,"")</f>
        <v/>
      </c>
      <c r="AG21" s="66" t="str">
        <f aca="false">IF($AB21=Constants!$B$7,IF(AA21,V21,Constants!$B$13),"")</f>
        <v/>
      </c>
      <c r="AH21" s="66" t="str">
        <f aca="false">IF($AB21=Constants!$B$7,IF(AA21,R21*IF(W21, 1, Constants!$B$11)*IF(X21, 1, Constants!$B$12),Constants!$B$13),"")</f>
        <v/>
      </c>
      <c r="AI21" s="66" t="str">
        <f aca="false">IF($AB21=Constants!$B$7,AG21*AH21,"")</f>
        <v/>
      </c>
      <c r="AJ21" s="66" t="str">
        <f aca="false">IF($AB21=Constants!$B$7,IF(AI21&gt;AF21,2,1),"")</f>
        <v/>
      </c>
      <c r="AK21" s="66" t="str">
        <f aca="false">IF($AB21=Constants!$B$7,IF(AJ21=1,2,1),"")</f>
        <v/>
      </c>
      <c r="AL21" s="66" t="str">
        <f aca="false">IF(ISBLANK($C21),"",IF($AB21&lt;&gt;Constants!$B$7,$AB21,IF(AJ21=1,AF21,AI21)))</f>
        <v/>
      </c>
      <c r="AM21" s="66" t="str">
        <f aca="false">IF(ISBLANK($C21),"",IF($AB21=Constants!$B$7,IF(ISNUMBER(AL21),RANK(AL21,$AL$8:$AL$507),Constants!$B$14),$AB21))</f>
        <v/>
      </c>
      <c r="AN21" s="66" t="str">
        <f aca="false">IF(ISBLANK($C21),"",IF($AB21=Constants!$B$7,IF(AK21=1,AF21,AI21),""))</f>
        <v/>
      </c>
      <c r="AO21" s="66" t="str">
        <f aca="false">IF(ISBLANK($C21),"",IF($AB21=Constants!$B$7,RANK(AN21,$AN$8:$AN$507),$AB21))</f>
        <v/>
      </c>
      <c r="AP21" s="66" t="str">
        <f aca="false">IF(ISBLANK($C21),"",IF($AB21=Constants!$B$7,IF(ISNUMBER(AM21),COUNTIFS($AM$8:$AM$507,"&lt;"&amp;$AM21)+COUNTIFS($AM$8:$AM$507,$AM21,$AO$8:$AO$507,"&lt;"&amp;$AO21)+1,Constants!$B$14),$AB21))</f>
        <v/>
      </c>
      <c r="AQ21" s="66" t="str">
        <f aca="false">IF(ISBLANK($C21),"",IF($AB21=Constants!$B$7,IF(ISNUMBER(AM21),AM21-AP21,Constants!$B$14),$AB21))</f>
        <v/>
      </c>
      <c r="AR21" s="68"/>
      <c r="AS21" s="69" t="str">
        <f aca="false">IF(ISBLANK($C21),"",IF($AB21&lt;&gt;Constants!$B$7,"",AJ21))</f>
        <v/>
      </c>
      <c r="AT21" s="84" t="str">
        <f aca="false">IF(ISBLANK($C21),"",IF($AB21&lt;&gt;Constants!$B$7,"",IF(AJ21=1,AD21,AG21)))</f>
        <v/>
      </c>
      <c r="AU21" s="71" t="str">
        <f aca="false">IF(ISBLANK($C21),"",IF($AB21&lt;&gt;Constants!$B$7,"",IF(AJ21=1,AE21,AH21)))</f>
        <v/>
      </c>
      <c r="AV21" s="72" t="str">
        <f aca="false">IF(ISBLANK($C21),"",IF($AB21&lt;&gt;Constants!$B$7,$AB21,AL21))</f>
        <v/>
      </c>
      <c r="AW21" s="73" t="str">
        <f aca="false">IF(ISBLANK($C21),"",IF($AB21&lt;&gt;Constants!$B$7,$AB21,AC21))</f>
        <v/>
      </c>
      <c r="AX21" s="74" t="str">
        <f aca="false">IF(ISBLANK($C21),"",AQ21)</f>
        <v/>
      </c>
      <c r="AY21" s="74" t="str">
        <f aca="false">IF(ISBLANK($C21),"",AP21)</f>
        <v/>
      </c>
      <c r="AZ21" s="75" t="str">
        <f aca="false">IF(ISBLANK($C21),"",IF(AY21=Constants!$B$4,COUNTA($C$8:$C$507)+2,IF(AY21=Constants!$B$5,COUNTA($C$8:$C$507)+1,IF(AY21=Constants!$B$6,COUNTA($C$8:$C$507),AY21))))</f>
        <v/>
      </c>
      <c r="BA21" s="5"/>
      <c r="BB21" s="76" t="n">
        <f aca="false">IF(OR(ISNUMBER(AY21),AY21=Constants!$B$4,AY21=Constants!$B$6,AY21=Constants!$B$5),1,0)</f>
        <v>0</v>
      </c>
      <c r="BC21" s="76" t="n">
        <v>14</v>
      </c>
      <c r="BD21" s="76" t="str">
        <f aca="false">IF(ISBLANK($C21),"",IF(ISNUMBER(AZ21),AZ21+ROW($B21)/1000,""))</f>
        <v/>
      </c>
      <c r="BE21" s="76" t="str">
        <f aca="false">IF(ISNUMBER(BD21),RANK(BD21,$BD$8:$BD$507,1),"")</f>
        <v/>
      </c>
      <c r="BF21" s="76" t="str">
        <f aca="false">IF(ISBLANK($C21),"",$B21)</f>
        <v/>
      </c>
      <c r="BG21" s="76" t="str">
        <f aca="false">IF(ISBLANK($C21),"",$C21)</f>
        <v/>
      </c>
      <c r="BH21" s="76" t="str">
        <f aca="false">IF(ISBLANK($C21),"",$D21)</f>
        <v/>
      </c>
      <c r="BI21" s="77" t="str">
        <f aca="false">AW21</f>
        <v/>
      </c>
      <c r="BJ21" s="78" t="str">
        <f aca="false">AV21</f>
        <v/>
      </c>
      <c r="BK21" s="76" t="str">
        <f aca="false">IF(ISBLANK($C21),"",AY21)</f>
        <v/>
      </c>
      <c r="BL21" s="79" t="str">
        <f aca="false">IF($BC21&gt;$BB$7,"",VLOOKUP($BC21,$BE$8:$BK$507,7,FALSE()))</f>
        <v/>
      </c>
      <c r="BM21" s="80" t="str">
        <f aca="false">IF($BC21&gt;$BB$7,"",VLOOKUP($BC21,$BE$8:$BK$507,2,FALSE()))</f>
        <v/>
      </c>
      <c r="BN21" s="80" t="str">
        <f aca="false">IF($BC21&gt;$BB$7,"",VLOOKUP($BC21,$BE$8:$BK$507,3,FALSE()))</f>
        <v/>
      </c>
      <c r="BO21" s="80" t="str">
        <f aca="false">IF($BC21&gt;$BB$7,"",VLOOKUP($BC21,$BE$8:$BK$507,4,FALSE()))</f>
        <v/>
      </c>
      <c r="BP21" s="80" t="str">
        <f aca="false">IF($BC21&gt;$BB$7,"",VLOOKUP($BC21,$BE$8:$BK$507,5,FALSE()))</f>
        <v/>
      </c>
      <c r="BQ21" s="81" t="str">
        <f aca="false">IF($BC21&gt;$BB$7,"",VLOOKUP($BC21,$BE$8:$BK$507,6,FALSE()))</f>
        <v/>
      </c>
      <c r="BR21" s="54"/>
    </row>
    <row r="22" customFormat="false" ht="13.8" hidden="false" customHeight="false" outlineLevel="0" collapsed="false">
      <c r="A22" s="5"/>
      <c r="B22" s="124"/>
      <c r="C22" s="56"/>
      <c r="D22" s="57"/>
      <c r="E22" s="119"/>
      <c r="F22" s="59"/>
      <c r="G22" s="60"/>
      <c r="H22" s="61"/>
      <c r="I22" s="62"/>
      <c r="J22" s="59"/>
      <c r="K22" s="60"/>
      <c r="L22" s="61"/>
      <c r="M22" s="62"/>
      <c r="N22" s="59"/>
      <c r="O22" s="83"/>
      <c r="P22" s="64"/>
      <c r="Q22" s="66" t="str">
        <f aca="false">IF(ISBLANK($C22),"",IF(E22=Constants!$B$2, TRUE(), IF(E22=Constants!$B$3, FALSE(), TRUE())))</f>
        <v/>
      </c>
      <c r="R22" s="66" t="str">
        <f aca="false">IF(ISBLANK($C22),"",IF(F22=Constants!$B$16,Constants!$B$9,IF(F22=Constants!$B$17,Constants!$B$10,Constants!$B$8)))</f>
        <v/>
      </c>
      <c r="S22" s="66" t="str">
        <f aca="false">IF(ISBLANK($C22),"",IF(COUNTA(G22:H22)=0,"",IF(AND(OR(ISBLANK(G22),AND(ISNUMBER(G22),G22&gt;=0)),OR(ISBLANK(H22),AND(ISNUMBER(H22),H22&gt;=0))),60*IF(ISBLANK(G22),0,G22)+IF(ISBLANK(H22),0,H22),"")))</f>
        <v/>
      </c>
      <c r="T22" s="66" t="str">
        <f aca="false">IF(ISBLANK($C22),"",IF(I22=Constants!$B$2, TRUE(), IF(I22=Constants!$B$3, FALSE(), TRUE())))</f>
        <v/>
      </c>
      <c r="U22" s="66" t="str">
        <f aca="false">IF(ISBLANK($C22),"",IF(J22=Constants!$B$2, TRUE(), IF(J22=Constants!$B$3, FALSE(), TRUE())))</f>
        <v/>
      </c>
      <c r="V22" s="66" t="str">
        <f aca="false">IF(ISBLANK($C22),"",IF(COUNTA(K22:L22)=0,"",IF(AND(OR(ISBLANK(K22),AND(ISNUMBER(K22),K22&gt;=0)),OR(ISBLANK(L22),AND(ISNUMBER(L22),L22&gt;=0))),60*IF(ISBLANK(K22),0,K22)+IF(ISBLANK(L22),0,L22),"")))</f>
        <v/>
      </c>
      <c r="W22" s="66" t="str">
        <f aca="false">IF(ISBLANK($C22),"",IF(M22=Constants!$B$2, TRUE(), IF(M22=Constants!$B$3, FALSE(), TRUE())))</f>
        <v/>
      </c>
      <c r="X22" s="66" t="str">
        <f aca="false">IF(ISBLANK($C22),"",IF(N22=Constants!$B$2, TRUE(), IF(N22=Constants!$B$3, FALSE(), TRUE())))</f>
        <v/>
      </c>
      <c r="Y22" s="66" t="str">
        <f aca="false">IF(ISBLANK($C22),"",IF(O22=Constants!$B$2, TRUE(), IF(O22=Constants!$B$3, FALSE(), FALSE())))</f>
        <v/>
      </c>
      <c r="Z22" s="66" t="str">
        <f aca="false">IF(ISBLANK($C22),"",AND(S22&lt;&gt;"",Q22))</f>
        <v/>
      </c>
      <c r="AA22" s="66" t="str">
        <f aca="false">IF(ISBLANK($C22),"",AND(V22&lt;&gt;"",Q22))</f>
        <v/>
      </c>
      <c r="AB22" s="66" t="str">
        <f aca="false">IF(ISBLANK($C22),"",IF(Y22,Constants!$B$4,IF(COUNTA(E22:N22)=0,Constants!$B$5,IF(NOT(Q22),Constants!$B$6,IF(AND(NOT(Z22),NOT(AA22)),Constants!$B$6,Constants!$B$7)))))</f>
        <v/>
      </c>
      <c r="AC22" s="66" t="str">
        <f aca="false">IF(ISBLANK($C22),"",IF($AB22&lt;&gt;Constants!$B$7,$AB22,Constants!$B$20))</f>
        <v/>
      </c>
      <c r="AD22" s="66" t="str">
        <f aca="false">IF($AB22=Constants!$B$7,IF(Z22,S22,Constants!$B$13),"")</f>
        <v/>
      </c>
      <c r="AE22" s="66" t="str">
        <f aca="false">IF($AB22=Constants!$B$7,IF(Z22,R22*IF(T22, 1, Constants!$B$11)*IF(U22, 1, Constants!$B$12),Constants!$B$13),"")</f>
        <v/>
      </c>
      <c r="AF22" s="66" t="str">
        <f aca="false">IF($AB22=Constants!$B$7,AD22*AE22,"")</f>
        <v/>
      </c>
      <c r="AG22" s="66" t="str">
        <f aca="false">IF($AB22=Constants!$B$7,IF(AA22,V22,Constants!$B$13),"")</f>
        <v/>
      </c>
      <c r="AH22" s="66" t="str">
        <f aca="false">IF($AB22=Constants!$B$7,IF(AA22,R22*IF(W22, 1, Constants!$B$11)*IF(X22, 1, Constants!$B$12),Constants!$B$13),"")</f>
        <v/>
      </c>
      <c r="AI22" s="66" t="str">
        <f aca="false">IF($AB22=Constants!$B$7,AG22*AH22,"")</f>
        <v/>
      </c>
      <c r="AJ22" s="66" t="str">
        <f aca="false">IF($AB22=Constants!$B$7,IF(AI22&gt;AF22,2,1),"")</f>
        <v/>
      </c>
      <c r="AK22" s="66" t="str">
        <f aca="false">IF($AB22=Constants!$B$7,IF(AJ22=1,2,1),"")</f>
        <v/>
      </c>
      <c r="AL22" s="66" t="str">
        <f aca="false">IF(ISBLANK($C22),"",IF($AB22&lt;&gt;Constants!$B$7,$AB22,IF(AJ22=1,AF22,AI22)))</f>
        <v/>
      </c>
      <c r="AM22" s="66" t="str">
        <f aca="false">IF(ISBLANK($C22),"",IF($AB22=Constants!$B$7,IF(ISNUMBER(AL22),RANK(AL22,$AL$8:$AL$507),Constants!$B$14),$AB22))</f>
        <v/>
      </c>
      <c r="AN22" s="66" t="str">
        <f aca="false">IF(ISBLANK($C22),"",IF($AB22=Constants!$B$7,IF(AK22=1,AF22,AI22),""))</f>
        <v/>
      </c>
      <c r="AO22" s="66" t="str">
        <f aca="false">IF(ISBLANK($C22),"",IF($AB22=Constants!$B$7,RANK(AN22,$AN$8:$AN$507),$AB22))</f>
        <v/>
      </c>
      <c r="AP22" s="66" t="str">
        <f aca="false">IF(ISBLANK($C22),"",IF($AB22=Constants!$B$7,IF(ISNUMBER(AM22),COUNTIFS($AM$8:$AM$507,"&lt;"&amp;$AM22)+COUNTIFS($AM$8:$AM$507,$AM22,$AO$8:$AO$507,"&lt;"&amp;$AO22)+1,Constants!$B$14),$AB22))</f>
        <v/>
      </c>
      <c r="AQ22" s="66" t="str">
        <f aca="false">IF(ISBLANK($C22),"",IF($AB22=Constants!$B$7,IF(ISNUMBER(AM22),AM22-AP22,Constants!$B$14),$AB22))</f>
        <v/>
      </c>
      <c r="AR22" s="68"/>
      <c r="AS22" s="69" t="str">
        <f aca="false">IF(ISBLANK($C22),"",IF($AB22&lt;&gt;Constants!$B$7,"",AJ22))</f>
        <v/>
      </c>
      <c r="AT22" s="84" t="str">
        <f aca="false">IF(ISBLANK($C22),"",IF($AB22&lt;&gt;Constants!$B$7,"",IF(AJ22=1,AD22,AG22)))</f>
        <v/>
      </c>
      <c r="AU22" s="71" t="str">
        <f aca="false">IF(ISBLANK($C22),"",IF($AB22&lt;&gt;Constants!$B$7,"",IF(AJ22=1,AE22,AH22)))</f>
        <v/>
      </c>
      <c r="AV22" s="72" t="str">
        <f aca="false">IF(ISBLANK($C22),"",IF($AB22&lt;&gt;Constants!$B$7,$AB22,AL22))</f>
        <v/>
      </c>
      <c r="AW22" s="73" t="str">
        <f aca="false">IF(ISBLANK($C22),"",IF($AB22&lt;&gt;Constants!$B$7,$AB22,AC22))</f>
        <v/>
      </c>
      <c r="AX22" s="74" t="str">
        <f aca="false">IF(ISBLANK($C22),"",AQ22)</f>
        <v/>
      </c>
      <c r="AY22" s="74" t="str">
        <f aca="false">IF(ISBLANK($C22),"",AP22)</f>
        <v/>
      </c>
      <c r="AZ22" s="75" t="str">
        <f aca="false">IF(ISBLANK($C22),"",IF(AY22=Constants!$B$4,COUNTA($C$8:$C$507)+2,IF(AY22=Constants!$B$5,COUNTA($C$8:$C$507)+1,IF(AY22=Constants!$B$6,COUNTA($C$8:$C$507),AY22))))</f>
        <v/>
      </c>
      <c r="BA22" s="5"/>
      <c r="BB22" s="76" t="n">
        <f aca="false">IF(OR(ISNUMBER(AY22),AY22=Constants!$B$4,AY22=Constants!$B$6,AY22=Constants!$B$5),1,0)</f>
        <v>0</v>
      </c>
      <c r="BC22" s="76" t="n">
        <v>15</v>
      </c>
      <c r="BD22" s="76" t="str">
        <f aca="false">IF(ISBLANK($C22),"",IF(ISNUMBER(AZ22),AZ22+ROW($B22)/1000,""))</f>
        <v/>
      </c>
      <c r="BE22" s="76" t="str">
        <f aca="false">IF(ISNUMBER(BD22),RANK(BD22,$BD$8:$BD$507,1),"")</f>
        <v/>
      </c>
      <c r="BF22" s="76" t="str">
        <f aca="false">IF(ISBLANK($C22),"",$B22)</f>
        <v/>
      </c>
      <c r="BG22" s="76" t="str">
        <f aca="false">IF(ISBLANK($C22),"",$C22)</f>
        <v/>
      </c>
      <c r="BH22" s="76" t="str">
        <f aca="false">IF(ISBLANK($C22),"",$D22)</f>
        <v/>
      </c>
      <c r="BI22" s="77" t="str">
        <f aca="false">AW22</f>
        <v/>
      </c>
      <c r="BJ22" s="78" t="str">
        <f aca="false">AV22</f>
        <v/>
      </c>
      <c r="BK22" s="76" t="str">
        <f aca="false">IF(ISBLANK($C22),"",AY22)</f>
        <v/>
      </c>
      <c r="BL22" s="79" t="str">
        <f aca="false">IF($BC22&gt;$BB$7,"",VLOOKUP($BC22,$BE$8:$BK$507,7,FALSE()))</f>
        <v/>
      </c>
      <c r="BM22" s="80" t="str">
        <f aca="false">IF($BC22&gt;$BB$7,"",VLOOKUP($BC22,$BE$8:$BK$507,2,FALSE()))</f>
        <v/>
      </c>
      <c r="BN22" s="80" t="str">
        <f aca="false">IF($BC22&gt;$BB$7,"",VLOOKUP($BC22,$BE$8:$BK$507,3,FALSE()))</f>
        <v/>
      </c>
      <c r="BO22" s="80" t="str">
        <f aca="false">IF($BC22&gt;$BB$7,"",VLOOKUP($BC22,$BE$8:$BK$507,4,FALSE()))</f>
        <v/>
      </c>
      <c r="BP22" s="80" t="str">
        <f aca="false">IF($BC22&gt;$BB$7,"",VLOOKUP($BC22,$BE$8:$BK$507,5,FALSE()))</f>
        <v/>
      </c>
      <c r="BQ22" s="81" t="str">
        <f aca="false">IF($BC22&gt;$BB$7,"",VLOOKUP($BC22,$BE$8:$BK$507,6,FALSE()))</f>
        <v/>
      </c>
      <c r="BR22" s="54"/>
    </row>
    <row r="23" customFormat="false" ht="13.8" hidden="false" customHeight="false" outlineLevel="0" collapsed="false">
      <c r="A23" s="5"/>
      <c r="B23" s="120"/>
      <c r="C23" s="121"/>
      <c r="D23" s="112"/>
      <c r="E23" s="122"/>
      <c r="F23" s="91"/>
      <c r="G23" s="92"/>
      <c r="H23" s="93"/>
      <c r="I23" s="94"/>
      <c r="J23" s="91"/>
      <c r="K23" s="92"/>
      <c r="L23" s="93"/>
      <c r="M23" s="94"/>
      <c r="N23" s="91"/>
      <c r="O23" s="123"/>
      <c r="P23" s="96"/>
      <c r="Q23" s="97" t="str">
        <f aca="false">IF(ISBLANK($C23),"",IF(E23=Constants!$B$2, TRUE(), IF(E23=Constants!$B$3, FALSE(), TRUE())))</f>
        <v/>
      </c>
      <c r="R23" s="97" t="str">
        <f aca="false">IF(ISBLANK($C23),"",IF(F23=Constants!$B$16,Constants!$B$9,IF(F23=Constants!$B$17,Constants!$B$10,Constants!$B$8)))</f>
        <v/>
      </c>
      <c r="S23" s="97" t="str">
        <f aca="false">IF(ISBLANK($C23),"",IF(COUNTA(G23:H23)=0,"",IF(AND(OR(ISBLANK(G23),AND(ISNUMBER(G23),G23&gt;=0)),OR(ISBLANK(H23),AND(ISNUMBER(H23),H23&gt;=0))),60*IF(ISBLANK(G23),0,G23)+IF(ISBLANK(H23),0,H23),"")))</f>
        <v/>
      </c>
      <c r="T23" s="97" t="str">
        <f aca="false">IF(ISBLANK($C23),"",IF(I23=Constants!$B$2, TRUE(), IF(I23=Constants!$B$3, FALSE(), TRUE())))</f>
        <v/>
      </c>
      <c r="U23" s="97" t="str">
        <f aca="false">IF(ISBLANK($C23),"",IF(J23=Constants!$B$2, TRUE(), IF(J23=Constants!$B$3, FALSE(), TRUE())))</f>
        <v/>
      </c>
      <c r="V23" s="97" t="str">
        <f aca="false">IF(ISBLANK($C23),"",IF(COUNTA(K23:L23)=0,"",IF(AND(OR(ISBLANK(K23),AND(ISNUMBER(K23),K23&gt;=0)),OR(ISBLANK(L23),AND(ISNUMBER(L23),L23&gt;=0))),60*IF(ISBLANK(K23),0,K23)+IF(ISBLANK(L23),0,L23),"")))</f>
        <v/>
      </c>
      <c r="W23" s="97" t="str">
        <f aca="false">IF(ISBLANK($C23),"",IF(M23=Constants!$B$2, TRUE(), IF(M23=Constants!$B$3, FALSE(), TRUE())))</f>
        <v/>
      </c>
      <c r="X23" s="97" t="str">
        <f aca="false">IF(ISBLANK($C23),"",IF(N23=Constants!$B$2, TRUE(), IF(N23=Constants!$B$3, FALSE(), TRUE())))</f>
        <v/>
      </c>
      <c r="Y23" s="97" t="str">
        <f aca="false">IF(ISBLANK($C23),"",IF(O23=Constants!$B$2, TRUE(), IF(O23=Constants!$B$3, FALSE(), FALSE())))</f>
        <v/>
      </c>
      <c r="Z23" s="97" t="str">
        <f aca="false">IF(ISBLANK($C23),"",AND(S23&lt;&gt;"",Q23))</f>
        <v/>
      </c>
      <c r="AA23" s="97" t="str">
        <f aca="false">IF(ISBLANK($C23),"",AND(V23&lt;&gt;"",Q23))</f>
        <v/>
      </c>
      <c r="AB23" s="97" t="str">
        <f aca="false">IF(ISBLANK($C23),"",IF(Y23,Constants!$B$4,IF(COUNTA(E23:N23)=0,Constants!$B$5,IF(NOT(Q23),Constants!$B$6,IF(AND(NOT(Z23),NOT(AA23)),Constants!$B$6,Constants!$B$7)))))</f>
        <v/>
      </c>
      <c r="AC23" s="97" t="str">
        <f aca="false">IF(ISBLANK($C23),"",IF($AB23&lt;&gt;Constants!$B$7,$AB23,Constants!$B$20))</f>
        <v/>
      </c>
      <c r="AD23" s="97" t="str">
        <f aca="false">IF($AB23=Constants!$B$7,IF(Z23,S23,Constants!$B$13),"")</f>
        <v/>
      </c>
      <c r="AE23" s="97" t="str">
        <f aca="false">IF($AB23=Constants!$B$7,IF(Z23,R23*IF(T23, 1, Constants!$B$11)*IF(U23, 1, Constants!$B$12),Constants!$B$13),"")</f>
        <v/>
      </c>
      <c r="AF23" s="97" t="str">
        <f aca="false">IF($AB23=Constants!$B$7,AD23*AE23,"")</f>
        <v/>
      </c>
      <c r="AG23" s="97" t="str">
        <f aca="false">IF($AB23=Constants!$B$7,IF(AA23,V23,Constants!$B$13),"")</f>
        <v/>
      </c>
      <c r="AH23" s="97" t="str">
        <f aca="false">IF($AB23=Constants!$B$7,IF(AA23,R23*IF(W23, 1, Constants!$B$11)*IF(X23, 1, Constants!$B$12),Constants!$B$13),"")</f>
        <v/>
      </c>
      <c r="AI23" s="97" t="str">
        <f aca="false">IF($AB23=Constants!$B$7,AG23*AH23,"")</f>
        <v/>
      </c>
      <c r="AJ23" s="97" t="str">
        <f aca="false">IF($AB23=Constants!$B$7,IF(AI23&gt;AF23,2,1),"")</f>
        <v/>
      </c>
      <c r="AK23" s="97" t="str">
        <f aca="false">IF($AB23=Constants!$B$7,IF(AJ23=1,2,1),"")</f>
        <v/>
      </c>
      <c r="AL23" s="97" t="str">
        <f aca="false">IF(ISBLANK($C23),"",IF($AB23&lt;&gt;Constants!$B$7,$AB23,IF(AJ23=1,AF23,AI23)))</f>
        <v/>
      </c>
      <c r="AM23" s="97" t="str">
        <f aca="false">IF(ISBLANK($C23),"",IF($AB23=Constants!$B$7,IF(ISNUMBER(AL23),RANK(AL23,$AL$8:$AL$507),Constants!$B$14),$AB23))</f>
        <v/>
      </c>
      <c r="AN23" s="97" t="str">
        <f aca="false">IF(ISBLANK($C23),"",IF($AB23=Constants!$B$7,IF(AK23=1,AF23,AI23),""))</f>
        <v/>
      </c>
      <c r="AO23" s="97" t="str">
        <f aca="false">IF(ISBLANK($C23),"",IF($AB23=Constants!$B$7,RANK(AN23,$AN$8:$AN$507),$AB23))</f>
        <v/>
      </c>
      <c r="AP23" s="97" t="str">
        <f aca="false">IF(ISBLANK($C23),"",IF($AB23=Constants!$B$7,IF(ISNUMBER(AM23),COUNTIFS($AM$8:$AM$507,"&lt;"&amp;$AM23)+COUNTIFS($AM$8:$AM$507,$AM23,$AO$8:$AO$507,"&lt;"&amp;$AO23)+1,Constants!$B$14),$AB23))</f>
        <v/>
      </c>
      <c r="AQ23" s="97" t="str">
        <f aca="false">IF(ISBLANK($C23),"",IF($AB23=Constants!$B$7,IF(ISNUMBER(AM23),AM23-AP23,Constants!$B$14),$AB23))</f>
        <v/>
      </c>
      <c r="AR23" s="98"/>
      <c r="AS23" s="99" t="str">
        <f aca="false">IF(ISBLANK($C23),"",IF($AB23&lt;&gt;Constants!$B$7,"",AJ23))</f>
        <v/>
      </c>
      <c r="AT23" s="100" t="str">
        <f aca="false">IF(ISBLANK($C23),"",IF($AB23&lt;&gt;Constants!$B$7,"",IF(AJ23=1,AD23,AG23)))</f>
        <v/>
      </c>
      <c r="AU23" s="101" t="str">
        <f aca="false">IF(ISBLANK($C23),"",IF($AB23&lt;&gt;Constants!$B$7,"",IF(AJ23=1,AE23,AH23)))</f>
        <v/>
      </c>
      <c r="AV23" s="102" t="str">
        <f aca="false">IF(ISBLANK($C23),"",IF($AB23&lt;&gt;Constants!$B$7,$AB23,AL23))</f>
        <v/>
      </c>
      <c r="AW23" s="103" t="str">
        <f aca="false">IF(ISBLANK($C23),"",IF($AB23&lt;&gt;Constants!$B$7,$AB23,AC23))</f>
        <v/>
      </c>
      <c r="AX23" s="104" t="str">
        <f aca="false">IF(ISBLANK($C23),"",AQ23)</f>
        <v/>
      </c>
      <c r="AY23" s="104" t="str">
        <f aca="false">IF(ISBLANK($C23),"",AP23)</f>
        <v/>
      </c>
      <c r="AZ23" s="105" t="str">
        <f aca="false">IF(ISBLANK($C23),"",IF(AY23=Constants!$B$4,COUNTA($C$8:$C$507)+2,IF(AY23=Constants!$B$5,COUNTA($C$8:$C$507)+1,IF(AY23=Constants!$B$6,COUNTA($C$8:$C$507),AY23))))</f>
        <v/>
      </c>
      <c r="BA23" s="5"/>
      <c r="BB23" s="106" t="n">
        <f aca="false">IF(OR(ISNUMBER(AY23),AY23=Constants!$B$4,AY23=Constants!$B$6,AY23=Constants!$B$5),1,0)</f>
        <v>0</v>
      </c>
      <c r="BC23" s="106" t="n">
        <v>16</v>
      </c>
      <c r="BD23" s="106" t="str">
        <f aca="false">IF(ISBLANK($C23),"",IF(ISNUMBER(AZ23),AZ23+ROW($B23)/1000,""))</f>
        <v/>
      </c>
      <c r="BE23" s="106" t="str">
        <f aca="false">IF(ISNUMBER(BD23),RANK(BD23,$BD$8:$BD$507,1),"")</f>
        <v/>
      </c>
      <c r="BF23" s="106" t="str">
        <f aca="false">IF(ISBLANK($C23),"",$B23)</f>
        <v/>
      </c>
      <c r="BG23" s="106" t="str">
        <f aca="false">IF(ISBLANK($C23),"",$C23)</f>
        <v/>
      </c>
      <c r="BH23" s="106" t="str">
        <f aca="false">IF(ISBLANK($C23),"",$D23)</f>
        <v/>
      </c>
      <c r="BI23" s="107" t="str">
        <f aca="false">AW23</f>
        <v/>
      </c>
      <c r="BJ23" s="108" t="str">
        <f aca="false">AV23</f>
        <v/>
      </c>
      <c r="BK23" s="106" t="str">
        <f aca="false">IF(ISBLANK($C23),"",AY23)</f>
        <v/>
      </c>
      <c r="BL23" s="109" t="str">
        <f aca="false">IF($BC23&gt;$BB$7,"",VLOOKUP($BC23,$BE$8:$BK$507,7,FALSE()))</f>
        <v/>
      </c>
      <c r="BM23" s="110" t="str">
        <f aca="false">IF($BC23&gt;$BB$7,"",VLOOKUP($BC23,$BE$8:$BK$507,2,FALSE()))</f>
        <v/>
      </c>
      <c r="BN23" s="110" t="str">
        <f aca="false">IF($BC23&gt;$BB$7,"",VLOOKUP($BC23,$BE$8:$BK$507,3,FALSE()))</f>
        <v/>
      </c>
      <c r="BO23" s="110" t="str">
        <f aca="false">IF($BC23&gt;$BB$7,"",VLOOKUP($BC23,$BE$8:$BK$507,4,FALSE()))</f>
        <v/>
      </c>
      <c r="BP23" s="110" t="str">
        <f aca="false">IF($BC23&gt;$BB$7,"",VLOOKUP($BC23,$BE$8:$BK$507,5,FALSE()))</f>
        <v/>
      </c>
      <c r="BQ23" s="111" t="str">
        <f aca="false">IF($BC23&gt;$BB$7,"",VLOOKUP($BC23,$BE$8:$BK$507,6,FALSE()))</f>
        <v/>
      </c>
      <c r="BR23" s="54"/>
    </row>
    <row r="24" customFormat="false" ht="13.8" hidden="false" customHeight="false" outlineLevel="0" collapsed="false">
      <c r="A24" s="5"/>
      <c r="B24" s="120"/>
      <c r="C24" s="121"/>
      <c r="D24" s="112"/>
      <c r="E24" s="122"/>
      <c r="F24" s="91"/>
      <c r="G24" s="92"/>
      <c r="H24" s="93"/>
      <c r="I24" s="94"/>
      <c r="J24" s="91"/>
      <c r="K24" s="92"/>
      <c r="L24" s="93"/>
      <c r="M24" s="94"/>
      <c r="N24" s="91"/>
      <c r="O24" s="123"/>
      <c r="P24" s="96"/>
      <c r="Q24" s="97" t="str">
        <f aca="false">IF(ISBLANK($C24),"",IF(E24=Constants!$B$2, TRUE(), IF(E24=Constants!$B$3, FALSE(), TRUE())))</f>
        <v/>
      </c>
      <c r="R24" s="97" t="str">
        <f aca="false">IF(ISBLANK($C24),"",IF(F24=Constants!$B$16,Constants!$B$9,IF(F24=Constants!$B$17,Constants!$B$10,Constants!$B$8)))</f>
        <v/>
      </c>
      <c r="S24" s="97" t="str">
        <f aca="false">IF(ISBLANK($C24),"",IF(COUNTA(G24:H24)=0,"",IF(AND(OR(ISBLANK(G24),AND(ISNUMBER(G24),G24&gt;=0)),OR(ISBLANK(H24),AND(ISNUMBER(H24),H24&gt;=0))),60*IF(ISBLANK(G24),0,G24)+IF(ISBLANK(H24),0,H24),"")))</f>
        <v/>
      </c>
      <c r="T24" s="97" t="str">
        <f aca="false">IF(ISBLANK($C24),"",IF(I24=Constants!$B$2, TRUE(), IF(I24=Constants!$B$3, FALSE(), TRUE())))</f>
        <v/>
      </c>
      <c r="U24" s="97" t="str">
        <f aca="false">IF(ISBLANK($C24),"",IF(J24=Constants!$B$2, TRUE(), IF(J24=Constants!$B$3, FALSE(), TRUE())))</f>
        <v/>
      </c>
      <c r="V24" s="97" t="str">
        <f aca="false">IF(ISBLANK($C24),"",IF(COUNTA(K24:L24)=0,"",IF(AND(OR(ISBLANK(K24),AND(ISNUMBER(K24),K24&gt;=0)),OR(ISBLANK(L24),AND(ISNUMBER(L24),L24&gt;=0))),60*IF(ISBLANK(K24),0,K24)+IF(ISBLANK(L24),0,L24),"")))</f>
        <v/>
      </c>
      <c r="W24" s="97" t="str">
        <f aca="false">IF(ISBLANK($C24),"",IF(M24=Constants!$B$2, TRUE(), IF(M24=Constants!$B$3, FALSE(), TRUE())))</f>
        <v/>
      </c>
      <c r="X24" s="97" t="str">
        <f aca="false">IF(ISBLANK($C24),"",IF(N24=Constants!$B$2, TRUE(), IF(N24=Constants!$B$3, FALSE(), TRUE())))</f>
        <v/>
      </c>
      <c r="Y24" s="97" t="str">
        <f aca="false">IF(ISBLANK($C24),"",IF(O24=Constants!$B$2, TRUE(), IF(O24=Constants!$B$3, FALSE(), FALSE())))</f>
        <v/>
      </c>
      <c r="Z24" s="97" t="str">
        <f aca="false">IF(ISBLANK($C24),"",AND(S24&lt;&gt;"",Q24))</f>
        <v/>
      </c>
      <c r="AA24" s="97" t="str">
        <f aca="false">IF(ISBLANK($C24),"",AND(V24&lt;&gt;"",Q24))</f>
        <v/>
      </c>
      <c r="AB24" s="97" t="str">
        <f aca="false">IF(ISBLANK($C24),"",IF(Y24,Constants!$B$4,IF(COUNTA(E24:N24)=0,Constants!$B$5,IF(NOT(Q24),Constants!$B$6,IF(AND(NOT(Z24),NOT(AA24)),Constants!$B$6,Constants!$B$7)))))</f>
        <v/>
      </c>
      <c r="AC24" s="97" t="str">
        <f aca="false">IF(ISBLANK($C24),"",IF($AB24&lt;&gt;Constants!$B$7,$AB24,Constants!$B$20))</f>
        <v/>
      </c>
      <c r="AD24" s="97" t="str">
        <f aca="false">IF($AB24=Constants!$B$7,IF(Z24,S24,Constants!$B$13),"")</f>
        <v/>
      </c>
      <c r="AE24" s="97" t="str">
        <f aca="false">IF($AB24=Constants!$B$7,IF(Z24,R24*IF(T24, 1, Constants!$B$11)*IF(U24, 1, Constants!$B$12),Constants!$B$13),"")</f>
        <v/>
      </c>
      <c r="AF24" s="97" t="str">
        <f aca="false">IF($AB24=Constants!$B$7,AD24*AE24,"")</f>
        <v/>
      </c>
      <c r="AG24" s="97" t="str">
        <f aca="false">IF($AB24=Constants!$B$7,IF(AA24,V24,Constants!$B$13),"")</f>
        <v/>
      </c>
      <c r="AH24" s="97" t="str">
        <f aca="false">IF($AB24=Constants!$B$7,IF(AA24,R24*IF(W24, 1, Constants!$B$11)*IF(X24, 1, Constants!$B$12),Constants!$B$13),"")</f>
        <v/>
      </c>
      <c r="AI24" s="97" t="str">
        <f aca="false">IF($AB24=Constants!$B$7,AG24*AH24,"")</f>
        <v/>
      </c>
      <c r="AJ24" s="97" t="str">
        <f aca="false">IF($AB24=Constants!$B$7,IF(AI24&gt;AF24,2,1),"")</f>
        <v/>
      </c>
      <c r="AK24" s="97" t="str">
        <f aca="false">IF($AB24=Constants!$B$7,IF(AJ24=1,2,1),"")</f>
        <v/>
      </c>
      <c r="AL24" s="97" t="str">
        <f aca="false">IF(ISBLANK($C24),"",IF($AB24&lt;&gt;Constants!$B$7,$AB24,IF(AJ24=1,AF24,AI24)))</f>
        <v/>
      </c>
      <c r="AM24" s="97" t="str">
        <f aca="false">IF(ISBLANK($C24),"",IF($AB24=Constants!$B$7,IF(ISNUMBER(AL24),RANK(AL24,$AL$8:$AL$507),Constants!$B$14),$AB24))</f>
        <v/>
      </c>
      <c r="AN24" s="97" t="str">
        <f aca="false">IF(ISBLANK($C24),"",IF($AB24=Constants!$B$7,IF(AK24=1,AF24,AI24),""))</f>
        <v/>
      </c>
      <c r="AO24" s="97" t="str">
        <f aca="false">IF(ISBLANK($C24),"",IF($AB24=Constants!$B$7,RANK(AN24,$AN$8:$AN$507),$AB24))</f>
        <v/>
      </c>
      <c r="AP24" s="97" t="str">
        <f aca="false">IF(ISBLANK($C24),"",IF($AB24=Constants!$B$7,IF(ISNUMBER(AM24),COUNTIFS($AM$8:$AM$507,"&lt;"&amp;$AM24)+COUNTIFS($AM$8:$AM$507,$AM24,$AO$8:$AO$507,"&lt;"&amp;$AO24)+1,Constants!$B$14),$AB24))</f>
        <v/>
      </c>
      <c r="AQ24" s="97" t="str">
        <f aca="false">IF(ISBLANK($C24),"",IF($AB24=Constants!$B$7,IF(ISNUMBER(AM24),AM24-AP24,Constants!$B$14),$AB24))</f>
        <v/>
      </c>
      <c r="AR24" s="98"/>
      <c r="AS24" s="99" t="str">
        <f aca="false">IF(ISBLANK($C24),"",IF($AB24&lt;&gt;Constants!$B$7,"",AJ24))</f>
        <v/>
      </c>
      <c r="AT24" s="100" t="str">
        <f aca="false">IF(ISBLANK($C24),"",IF($AB24&lt;&gt;Constants!$B$7,"",IF(AJ24=1,AD24,AG24)))</f>
        <v/>
      </c>
      <c r="AU24" s="101" t="str">
        <f aca="false">IF(ISBLANK($C24),"",IF($AB24&lt;&gt;Constants!$B$7,"",IF(AJ24=1,AE24,AH24)))</f>
        <v/>
      </c>
      <c r="AV24" s="102" t="str">
        <f aca="false">IF(ISBLANK($C24),"",IF($AB24&lt;&gt;Constants!$B$7,$AB24,AL24))</f>
        <v/>
      </c>
      <c r="AW24" s="103" t="str">
        <f aca="false">IF(ISBLANK($C24),"",IF($AB24&lt;&gt;Constants!$B$7,$AB24,AC24))</f>
        <v/>
      </c>
      <c r="AX24" s="104" t="str">
        <f aca="false">IF(ISBLANK($C24),"",AQ24)</f>
        <v/>
      </c>
      <c r="AY24" s="104" t="str">
        <f aca="false">IF(ISBLANK($C24),"",AP24)</f>
        <v/>
      </c>
      <c r="AZ24" s="105" t="str">
        <f aca="false">IF(ISBLANK($C24),"",IF(AY24=Constants!$B$4,COUNTA($C$8:$C$507)+2,IF(AY24=Constants!$B$5,COUNTA($C$8:$C$507)+1,IF(AY24=Constants!$B$6,COUNTA($C$8:$C$507),AY24))))</f>
        <v/>
      </c>
      <c r="BA24" s="5"/>
      <c r="BB24" s="106" t="n">
        <f aca="false">IF(OR(ISNUMBER(AY24),AY24=Constants!$B$4,AY24=Constants!$B$6,AY24=Constants!$B$5),1,0)</f>
        <v>0</v>
      </c>
      <c r="BC24" s="106" t="n">
        <v>17</v>
      </c>
      <c r="BD24" s="106" t="str">
        <f aca="false">IF(ISBLANK($C24),"",IF(ISNUMBER(AZ24),AZ24+ROW($B24)/1000,""))</f>
        <v/>
      </c>
      <c r="BE24" s="106" t="str">
        <f aca="false">IF(ISNUMBER(BD24),RANK(BD24,$BD$8:$BD$507,1),"")</f>
        <v/>
      </c>
      <c r="BF24" s="106" t="str">
        <f aca="false">IF(ISBLANK($C24),"",$B24)</f>
        <v/>
      </c>
      <c r="BG24" s="106" t="str">
        <f aca="false">IF(ISBLANK($C24),"",$C24)</f>
        <v/>
      </c>
      <c r="BH24" s="106" t="str">
        <f aca="false">IF(ISBLANK($C24),"",$D24)</f>
        <v/>
      </c>
      <c r="BI24" s="107" t="str">
        <f aca="false">AW24</f>
        <v/>
      </c>
      <c r="BJ24" s="108" t="str">
        <f aca="false">AV24</f>
        <v/>
      </c>
      <c r="BK24" s="106" t="str">
        <f aca="false">IF(ISBLANK($C24),"",AY24)</f>
        <v/>
      </c>
      <c r="BL24" s="109" t="str">
        <f aca="false">IF($BC24&gt;$BB$7,"",VLOOKUP($BC24,$BE$8:$BK$507,7,FALSE()))</f>
        <v/>
      </c>
      <c r="BM24" s="110" t="str">
        <f aca="false">IF($BC24&gt;$BB$7,"",VLOOKUP($BC24,$BE$8:$BK$507,2,FALSE()))</f>
        <v/>
      </c>
      <c r="BN24" s="110" t="str">
        <f aca="false">IF($BC24&gt;$BB$7,"",VLOOKUP($BC24,$BE$8:$BK$507,3,FALSE()))</f>
        <v/>
      </c>
      <c r="BO24" s="110" t="str">
        <f aca="false">IF($BC24&gt;$BB$7,"",VLOOKUP($BC24,$BE$8:$BK$507,4,FALSE()))</f>
        <v/>
      </c>
      <c r="BP24" s="110" t="str">
        <f aca="false">IF($BC24&gt;$BB$7,"",VLOOKUP($BC24,$BE$8:$BK$507,5,FALSE()))</f>
        <v/>
      </c>
      <c r="BQ24" s="111" t="str">
        <f aca="false">IF($BC24&gt;$BB$7,"",VLOOKUP($BC24,$BE$8:$BK$507,6,FALSE()))</f>
        <v/>
      </c>
      <c r="BR24" s="54"/>
    </row>
    <row r="25" customFormat="false" ht="13.8" hidden="false" customHeight="false" outlineLevel="0" collapsed="false">
      <c r="A25" s="5"/>
      <c r="B25" s="120"/>
      <c r="C25" s="121"/>
      <c r="D25" s="112"/>
      <c r="E25" s="122"/>
      <c r="F25" s="91"/>
      <c r="G25" s="92"/>
      <c r="H25" s="93"/>
      <c r="I25" s="94"/>
      <c r="J25" s="91"/>
      <c r="K25" s="92"/>
      <c r="L25" s="93"/>
      <c r="M25" s="94"/>
      <c r="N25" s="91"/>
      <c r="O25" s="123"/>
      <c r="P25" s="96"/>
      <c r="Q25" s="97" t="str">
        <f aca="false">IF(ISBLANK($C25),"",IF(E25=Constants!$B$2, TRUE(), IF(E25=Constants!$B$3, FALSE(), TRUE())))</f>
        <v/>
      </c>
      <c r="R25" s="97" t="str">
        <f aca="false">IF(ISBLANK($C25),"",IF(F25=Constants!$B$16,Constants!$B$9,IF(F25=Constants!$B$17,Constants!$B$10,Constants!$B$8)))</f>
        <v/>
      </c>
      <c r="S25" s="97" t="str">
        <f aca="false">IF(ISBLANK($C25),"",IF(COUNTA(G25:H25)=0,"",IF(AND(OR(ISBLANK(G25),AND(ISNUMBER(G25),G25&gt;=0)),OR(ISBLANK(H25),AND(ISNUMBER(H25),H25&gt;=0))),60*IF(ISBLANK(G25),0,G25)+IF(ISBLANK(H25),0,H25),"")))</f>
        <v/>
      </c>
      <c r="T25" s="97" t="str">
        <f aca="false">IF(ISBLANK($C25),"",IF(I25=Constants!$B$2, TRUE(), IF(I25=Constants!$B$3, FALSE(), TRUE())))</f>
        <v/>
      </c>
      <c r="U25" s="97" t="str">
        <f aca="false">IF(ISBLANK($C25),"",IF(J25=Constants!$B$2, TRUE(), IF(J25=Constants!$B$3, FALSE(), TRUE())))</f>
        <v/>
      </c>
      <c r="V25" s="97" t="str">
        <f aca="false">IF(ISBLANK($C25),"",IF(COUNTA(K25:L25)=0,"",IF(AND(OR(ISBLANK(K25),AND(ISNUMBER(K25),K25&gt;=0)),OR(ISBLANK(L25),AND(ISNUMBER(L25),L25&gt;=0))),60*IF(ISBLANK(K25),0,K25)+IF(ISBLANK(L25),0,L25),"")))</f>
        <v/>
      </c>
      <c r="W25" s="97" t="str">
        <f aca="false">IF(ISBLANK($C25),"",IF(M25=Constants!$B$2, TRUE(), IF(M25=Constants!$B$3, FALSE(), TRUE())))</f>
        <v/>
      </c>
      <c r="X25" s="97" t="str">
        <f aca="false">IF(ISBLANK($C25),"",IF(N25=Constants!$B$2, TRUE(), IF(N25=Constants!$B$3, FALSE(), TRUE())))</f>
        <v/>
      </c>
      <c r="Y25" s="97" t="str">
        <f aca="false">IF(ISBLANK($C25),"",IF(O25=Constants!$B$2, TRUE(), IF(O25=Constants!$B$3, FALSE(), FALSE())))</f>
        <v/>
      </c>
      <c r="Z25" s="97" t="str">
        <f aca="false">IF(ISBLANK($C25),"",AND(S25&lt;&gt;"",Q25))</f>
        <v/>
      </c>
      <c r="AA25" s="97" t="str">
        <f aca="false">IF(ISBLANK($C25),"",AND(V25&lt;&gt;"",Q25))</f>
        <v/>
      </c>
      <c r="AB25" s="97" t="str">
        <f aca="false">IF(ISBLANK($C25),"",IF(Y25,Constants!$B$4,IF(COUNTA(E25:N25)=0,Constants!$B$5,IF(NOT(Q25),Constants!$B$6,IF(AND(NOT(Z25),NOT(AA25)),Constants!$B$6,Constants!$B$7)))))</f>
        <v/>
      </c>
      <c r="AC25" s="97" t="str">
        <f aca="false">IF(ISBLANK($C25),"",IF($AB25&lt;&gt;Constants!$B$7,$AB25,Constants!$B$20))</f>
        <v/>
      </c>
      <c r="AD25" s="97" t="str">
        <f aca="false">IF($AB25=Constants!$B$7,IF(Z25,S25,Constants!$B$13),"")</f>
        <v/>
      </c>
      <c r="AE25" s="97" t="str">
        <f aca="false">IF($AB25=Constants!$B$7,IF(Z25,R25*IF(T25, 1, Constants!$B$11)*IF(U25, 1, Constants!$B$12),Constants!$B$13),"")</f>
        <v/>
      </c>
      <c r="AF25" s="97" t="str">
        <f aca="false">IF($AB25=Constants!$B$7,AD25*AE25,"")</f>
        <v/>
      </c>
      <c r="AG25" s="97" t="str">
        <f aca="false">IF($AB25=Constants!$B$7,IF(AA25,V25,Constants!$B$13),"")</f>
        <v/>
      </c>
      <c r="AH25" s="97" t="str">
        <f aca="false">IF($AB25=Constants!$B$7,IF(AA25,R25*IF(W25, 1, Constants!$B$11)*IF(X25, 1, Constants!$B$12),Constants!$B$13),"")</f>
        <v/>
      </c>
      <c r="AI25" s="97" t="str">
        <f aca="false">IF($AB25=Constants!$B$7,AG25*AH25,"")</f>
        <v/>
      </c>
      <c r="AJ25" s="97" t="str">
        <f aca="false">IF($AB25=Constants!$B$7,IF(AI25&gt;AF25,2,1),"")</f>
        <v/>
      </c>
      <c r="AK25" s="97" t="str">
        <f aca="false">IF($AB25=Constants!$B$7,IF(AJ25=1,2,1),"")</f>
        <v/>
      </c>
      <c r="AL25" s="97" t="str">
        <f aca="false">IF(ISBLANK($C25),"",IF($AB25&lt;&gt;Constants!$B$7,$AB25,IF(AJ25=1,AF25,AI25)))</f>
        <v/>
      </c>
      <c r="AM25" s="97" t="str">
        <f aca="false">IF(ISBLANK($C25),"",IF($AB25=Constants!$B$7,IF(ISNUMBER(AL25),RANK(AL25,$AL$8:$AL$507),Constants!$B$14),$AB25))</f>
        <v/>
      </c>
      <c r="AN25" s="97" t="str">
        <f aca="false">IF(ISBLANK($C25),"",IF($AB25=Constants!$B$7,IF(AK25=1,AF25,AI25),""))</f>
        <v/>
      </c>
      <c r="AO25" s="97" t="str">
        <f aca="false">IF(ISBLANK($C25),"",IF($AB25=Constants!$B$7,RANK(AN25,$AN$8:$AN$507),$AB25))</f>
        <v/>
      </c>
      <c r="AP25" s="97" t="str">
        <f aca="false">IF(ISBLANK($C25),"",IF($AB25=Constants!$B$7,IF(ISNUMBER(AM25),COUNTIFS($AM$8:$AM$507,"&lt;"&amp;$AM25)+COUNTIFS($AM$8:$AM$507,$AM25,$AO$8:$AO$507,"&lt;"&amp;$AO25)+1,Constants!$B$14),$AB25))</f>
        <v/>
      </c>
      <c r="AQ25" s="97" t="str">
        <f aca="false">IF(ISBLANK($C25),"",IF($AB25=Constants!$B$7,IF(ISNUMBER(AM25),AM25-AP25,Constants!$B$14),$AB25))</f>
        <v/>
      </c>
      <c r="AR25" s="98"/>
      <c r="AS25" s="99" t="str">
        <f aca="false">IF(ISBLANK($C25),"",IF($AB25&lt;&gt;Constants!$B$7,"",AJ25))</f>
        <v/>
      </c>
      <c r="AT25" s="100" t="str">
        <f aca="false">IF(ISBLANK($C25),"",IF($AB25&lt;&gt;Constants!$B$7,"",IF(AJ25=1,AD25,AG25)))</f>
        <v/>
      </c>
      <c r="AU25" s="101" t="str">
        <f aca="false">IF(ISBLANK($C25),"",IF($AB25&lt;&gt;Constants!$B$7,"",IF(AJ25=1,AE25,AH25)))</f>
        <v/>
      </c>
      <c r="AV25" s="102" t="str">
        <f aca="false">IF(ISBLANK($C25),"",IF($AB25&lt;&gt;Constants!$B$7,$AB25,AL25))</f>
        <v/>
      </c>
      <c r="AW25" s="103" t="str">
        <f aca="false">IF(ISBLANK($C25),"",IF($AB25&lt;&gt;Constants!$B$7,$AB25,AC25))</f>
        <v/>
      </c>
      <c r="AX25" s="104" t="str">
        <f aca="false">IF(ISBLANK($C25),"",AQ25)</f>
        <v/>
      </c>
      <c r="AY25" s="104" t="str">
        <f aca="false">IF(ISBLANK($C25),"",AP25)</f>
        <v/>
      </c>
      <c r="AZ25" s="105" t="str">
        <f aca="false">IF(ISBLANK($C25),"",IF(AY25=Constants!$B$4,COUNTA($C$8:$C$507)+2,IF(AY25=Constants!$B$5,COUNTA($C$8:$C$507)+1,IF(AY25=Constants!$B$6,COUNTA($C$8:$C$507),AY25))))</f>
        <v/>
      </c>
      <c r="BA25" s="5"/>
      <c r="BB25" s="106" t="n">
        <f aca="false">IF(OR(ISNUMBER(AY25),AY25=Constants!$B$4,AY25=Constants!$B$6,AY25=Constants!$B$5),1,0)</f>
        <v>0</v>
      </c>
      <c r="BC25" s="106" t="n">
        <v>18</v>
      </c>
      <c r="BD25" s="106" t="str">
        <f aca="false">IF(ISBLANK($C25),"",IF(ISNUMBER(AZ25),AZ25+ROW($B25)/1000,""))</f>
        <v/>
      </c>
      <c r="BE25" s="106" t="str">
        <f aca="false">IF(ISNUMBER(BD25),RANK(BD25,$BD$8:$BD$507,1),"")</f>
        <v/>
      </c>
      <c r="BF25" s="106" t="str">
        <f aca="false">IF(ISBLANK($C25),"",$B25)</f>
        <v/>
      </c>
      <c r="BG25" s="106" t="str">
        <f aca="false">IF(ISBLANK($C25),"",$C25)</f>
        <v/>
      </c>
      <c r="BH25" s="106" t="str">
        <f aca="false">IF(ISBLANK($C25),"",$D25)</f>
        <v/>
      </c>
      <c r="BI25" s="107" t="str">
        <f aca="false">AW25</f>
        <v/>
      </c>
      <c r="BJ25" s="108" t="str">
        <f aca="false">AV25</f>
        <v/>
      </c>
      <c r="BK25" s="106" t="str">
        <f aca="false">IF(ISBLANK($C25),"",AY25)</f>
        <v/>
      </c>
      <c r="BL25" s="109" t="str">
        <f aca="false">IF($BC25&gt;$BB$7,"",VLOOKUP($BC25,$BE$8:$BK$507,7,FALSE()))</f>
        <v/>
      </c>
      <c r="BM25" s="110" t="str">
        <f aca="false">IF($BC25&gt;$BB$7,"",VLOOKUP($BC25,$BE$8:$BK$507,2,FALSE()))</f>
        <v/>
      </c>
      <c r="BN25" s="110" t="str">
        <f aca="false">IF($BC25&gt;$BB$7,"",VLOOKUP($BC25,$BE$8:$BK$507,3,FALSE()))</f>
        <v/>
      </c>
      <c r="BO25" s="110" t="str">
        <f aca="false">IF($BC25&gt;$BB$7,"",VLOOKUP($BC25,$BE$8:$BK$507,4,FALSE()))</f>
        <v/>
      </c>
      <c r="BP25" s="110" t="str">
        <f aca="false">IF($BC25&gt;$BB$7,"",VLOOKUP($BC25,$BE$8:$BK$507,5,FALSE()))</f>
        <v/>
      </c>
      <c r="BQ25" s="111" t="str">
        <f aca="false">IF($BC25&gt;$BB$7,"",VLOOKUP($BC25,$BE$8:$BK$507,6,FALSE()))</f>
        <v/>
      </c>
      <c r="BR25" s="54"/>
    </row>
    <row r="26" customFormat="false" ht="13.8" hidden="false" customHeight="false" outlineLevel="0" collapsed="false">
      <c r="A26" s="5"/>
      <c r="B26" s="124"/>
      <c r="C26" s="56"/>
      <c r="D26" s="57"/>
      <c r="E26" s="119"/>
      <c r="F26" s="59"/>
      <c r="G26" s="60"/>
      <c r="H26" s="61"/>
      <c r="I26" s="62"/>
      <c r="J26" s="59"/>
      <c r="K26" s="60"/>
      <c r="L26" s="61"/>
      <c r="M26" s="62"/>
      <c r="N26" s="59"/>
      <c r="O26" s="83"/>
      <c r="P26" s="64"/>
      <c r="Q26" s="66" t="str">
        <f aca="false">IF(ISBLANK($C26),"",IF(E26=Constants!$B$2, TRUE(), IF(E26=Constants!$B$3, FALSE(), TRUE())))</f>
        <v/>
      </c>
      <c r="R26" s="66" t="str">
        <f aca="false">IF(ISBLANK($C26),"",IF(F26=Constants!$B$16,Constants!$B$9,IF(F26=Constants!$B$17,Constants!$B$10,Constants!$B$8)))</f>
        <v/>
      </c>
      <c r="S26" s="66" t="str">
        <f aca="false">IF(ISBLANK($C26),"",IF(COUNTA(G26:H26)=0,"",IF(AND(OR(ISBLANK(G26),AND(ISNUMBER(G26),G26&gt;=0)),OR(ISBLANK(H26),AND(ISNUMBER(H26),H26&gt;=0))),60*IF(ISBLANK(G26),0,G26)+IF(ISBLANK(H26),0,H26),"")))</f>
        <v/>
      </c>
      <c r="T26" s="66" t="str">
        <f aca="false">IF(ISBLANK($C26),"",IF(I26=Constants!$B$2, TRUE(), IF(I26=Constants!$B$3, FALSE(), TRUE())))</f>
        <v/>
      </c>
      <c r="U26" s="66" t="str">
        <f aca="false">IF(ISBLANK($C26),"",IF(J26=Constants!$B$2, TRUE(), IF(J26=Constants!$B$3, FALSE(), TRUE())))</f>
        <v/>
      </c>
      <c r="V26" s="66" t="str">
        <f aca="false">IF(ISBLANK($C26),"",IF(COUNTA(K26:L26)=0,"",IF(AND(OR(ISBLANK(K26),AND(ISNUMBER(K26),K26&gt;=0)),OR(ISBLANK(L26),AND(ISNUMBER(L26),L26&gt;=0))),60*IF(ISBLANK(K26),0,K26)+IF(ISBLANK(L26),0,L26),"")))</f>
        <v/>
      </c>
      <c r="W26" s="66" t="str">
        <f aca="false">IF(ISBLANK($C26),"",IF(M26=Constants!$B$2, TRUE(), IF(M26=Constants!$B$3, FALSE(), TRUE())))</f>
        <v/>
      </c>
      <c r="X26" s="66" t="str">
        <f aca="false">IF(ISBLANK($C26),"",IF(N26=Constants!$B$2, TRUE(), IF(N26=Constants!$B$3, FALSE(), TRUE())))</f>
        <v/>
      </c>
      <c r="Y26" s="66" t="str">
        <f aca="false">IF(ISBLANK($C26),"",IF(O26=Constants!$B$2, TRUE(), IF(O26=Constants!$B$3, FALSE(), FALSE())))</f>
        <v/>
      </c>
      <c r="Z26" s="66" t="str">
        <f aca="false">IF(ISBLANK($C26),"",AND(S26&lt;&gt;"",Q26))</f>
        <v/>
      </c>
      <c r="AA26" s="66" t="str">
        <f aca="false">IF(ISBLANK($C26),"",AND(V26&lt;&gt;"",Q26))</f>
        <v/>
      </c>
      <c r="AB26" s="66" t="str">
        <f aca="false">IF(ISBLANK($C26),"",IF(Y26,Constants!$B$4,IF(COUNTA(E26:N26)=0,Constants!$B$5,IF(NOT(Q26),Constants!$B$6,IF(AND(NOT(Z26),NOT(AA26)),Constants!$B$6,Constants!$B$7)))))</f>
        <v/>
      </c>
      <c r="AC26" s="66" t="str">
        <f aca="false">IF(ISBLANK($C26),"",IF($AB26&lt;&gt;Constants!$B$7,$AB26,Constants!$B$20))</f>
        <v/>
      </c>
      <c r="AD26" s="66" t="str">
        <f aca="false">IF($AB26=Constants!$B$7,IF(Z26,S26,Constants!$B$13),"")</f>
        <v/>
      </c>
      <c r="AE26" s="66" t="str">
        <f aca="false">IF($AB26=Constants!$B$7,IF(Z26,R26*IF(T26, 1, Constants!$B$11)*IF(U26, 1, Constants!$B$12),Constants!$B$13),"")</f>
        <v/>
      </c>
      <c r="AF26" s="66" t="str">
        <f aca="false">IF($AB26=Constants!$B$7,AD26*AE26,"")</f>
        <v/>
      </c>
      <c r="AG26" s="66" t="str">
        <f aca="false">IF($AB26=Constants!$B$7,IF(AA26,V26,Constants!$B$13),"")</f>
        <v/>
      </c>
      <c r="AH26" s="66" t="str">
        <f aca="false">IF($AB26=Constants!$B$7,IF(AA26,R26*IF(W26, 1, Constants!$B$11)*IF(X26, 1, Constants!$B$12),Constants!$B$13),"")</f>
        <v/>
      </c>
      <c r="AI26" s="66" t="str">
        <f aca="false">IF($AB26=Constants!$B$7,AG26*AH26,"")</f>
        <v/>
      </c>
      <c r="AJ26" s="66" t="str">
        <f aca="false">IF($AB26=Constants!$B$7,IF(AI26&gt;AF26,2,1),"")</f>
        <v/>
      </c>
      <c r="AK26" s="66" t="str">
        <f aca="false">IF($AB26=Constants!$B$7,IF(AJ26=1,2,1),"")</f>
        <v/>
      </c>
      <c r="AL26" s="66" t="str">
        <f aca="false">IF(ISBLANK($C26),"",IF($AB26&lt;&gt;Constants!$B$7,$AB26,IF(AJ26=1,AF26,AI26)))</f>
        <v/>
      </c>
      <c r="AM26" s="66" t="str">
        <f aca="false">IF(ISBLANK($C26),"",IF($AB26=Constants!$B$7,IF(ISNUMBER(AL26),RANK(AL26,$AL$8:$AL$507),Constants!$B$14),$AB26))</f>
        <v/>
      </c>
      <c r="AN26" s="66" t="str">
        <f aca="false">IF(ISBLANK($C26),"",IF($AB26=Constants!$B$7,IF(AK26=1,AF26,AI26),""))</f>
        <v/>
      </c>
      <c r="AO26" s="66" t="str">
        <f aca="false">IF(ISBLANK($C26),"",IF($AB26=Constants!$B$7,RANK(AN26,$AN$8:$AN$507),$AB26))</f>
        <v/>
      </c>
      <c r="AP26" s="66" t="str">
        <f aca="false">IF(ISBLANK($C26),"",IF($AB26=Constants!$B$7,IF(ISNUMBER(AM26),COUNTIFS($AM$8:$AM$507,"&lt;"&amp;$AM26)+COUNTIFS($AM$8:$AM$507,$AM26,$AO$8:$AO$507,"&lt;"&amp;$AO26)+1,Constants!$B$14),$AB26))</f>
        <v/>
      </c>
      <c r="AQ26" s="66" t="str">
        <f aca="false">IF(ISBLANK($C26),"",IF($AB26=Constants!$B$7,IF(ISNUMBER(AM26),AM26-AP26,Constants!$B$14),$AB26))</f>
        <v/>
      </c>
      <c r="AR26" s="68"/>
      <c r="AS26" s="69" t="str">
        <f aca="false">IF(ISBLANK($C26),"",IF($AB26&lt;&gt;Constants!$B$7,"",AJ26))</f>
        <v/>
      </c>
      <c r="AT26" s="84" t="str">
        <f aca="false">IF(ISBLANK($C26),"",IF($AB26&lt;&gt;Constants!$B$7,"",IF(AJ26=1,AD26,AG26)))</f>
        <v/>
      </c>
      <c r="AU26" s="71" t="str">
        <f aca="false">IF(ISBLANK($C26),"",IF($AB26&lt;&gt;Constants!$B$7,"",IF(AJ26=1,AE26,AH26)))</f>
        <v/>
      </c>
      <c r="AV26" s="72" t="str">
        <f aca="false">IF(ISBLANK($C26),"",IF($AB26&lt;&gt;Constants!$B$7,$AB26,AL26))</f>
        <v/>
      </c>
      <c r="AW26" s="73" t="str">
        <f aca="false">IF(ISBLANK($C26),"",IF($AB26&lt;&gt;Constants!$B$7,$AB26,AC26))</f>
        <v/>
      </c>
      <c r="AX26" s="74" t="str">
        <f aca="false">IF(ISBLANK($C26),"",AQ26)</f>
        <v/>
      </c>
      <c r="AY26" s="74" t="str">
        <f aca="false">IF(ISBLANK($C26),"",AP26)</f>
        <v/>
      </c>
      <c r="AZ26" s="75" t="str">
        <f aca="false">IF(ISBLANK($C26),"",IF(AY26=Constants!$B$4,COUNTA($C$8:$C$507)+2,IF(AY26=Constants!$B$5,COUNTA($C$8:$C$507)+1,IF(AY26=Constants!$B$6,COUNTA($C$8:$C$507),AY26))))</f>
        <v/>
      </c>
      <c r="BA26" s="5"/>
      <c r="BB26" s="76" t="n">
        <f aca="false">IF(OR(ISNUMBER(AY26),AY26=Constants!$B$4,AY26=Constants!$B$6,AY26=Constants!$B$5),1,0)</f>
        <v>0</v>
      </c>
      <c r="BC26" s="76" t="n">
        <v>19</v>
      </c>
      <c r="BD26" s="76" t="str">
        <f aca="false">IF(ISBLANK($C26),"",IF(ISNUMBER(AZ26),AZ26+ROW($B26)/1000,""))</f>
        <v/>
      </c>
      <c r="BE26" s="76" t="str">
        <f aca="false">IF(ISNUMBER(BD26),RANK(BD26,$BD$8:$BD$507,1),"")</f>
        <v/>
      </c>
      <c r="BF26" s="76" t="str">
        <f aca="false">IF(ISBLANK($C26),"",$B26)</f>
        <v/>
      </c>
      <c r="BG26" s="76" t="str">
        <f aca="false">IF(ISBLANK($C26),"",$C26)</f>
        <v/>
      </c>
      <c r="BH26" s="76" t="str">
        <f aca="false">IF(ISBLANK($C26),"",$D26)</f>
        <v/>
      </c>
      <c r="BI26" s="77" t="str">
        <f aca="false">AW26</f>
        <v/>
      </c>
      <c r="BJ26" s="78" t="str">
        <f aca="false">AV26</f>
        <v/>
      </c>
      <c r="BK26" s="76" t="str">
        <f aca="false">IF(ISBLANK($C26),"",AY26)</f>
        <v/>
      </c>
      <c r="BL26" s="79" t="str">
        <f aca="false">IF($BC26&gt;$BB$7,"",VLOOKUP($BC26,$BE$8:$BK$507,7,FALSE()))</f>
        <v/>
      </c>
      <c r="BM26" s="80" t="str">
        <f aca="false">IF($BC26&gt;$BB$7,"",VLOOKUP($BC26,$BE$8:$BK$507,2,FALSE()))</f>
        <v/>
      </c>
      <c r="BN26" s="80" t="str">
        <f aca="false">IF($BC26&gt;$BB$7,"",VLOOKUP($BC26,$BE$8:$BK$507,3,FALSE()))</f>
        <v/>
      </c>
      <c r="BO26" s="80" t="str">
        <f aca="false">IF($BC26&gt;$BB$7,"",VLOOKUP($BC26,$BE$8:$BK$507,4,FALSE()))</f>
        <v/>
      </c>
      <c r="BP26" s="80" t="str">
        <f aca="false">IF($BC26&gt;$BB$7,"",VLOOKUP($BC26,$BE$8:$BK$507,5,FALSE()))</f>
        <v/>
      </c>
      <c r="BQ26" s="81" t="str">
        <f aca="false">IF($BC26&gt;$BB$7,"",VLOOKUP($BC26,$BE$8:$BK$507,6,FALSE()))</f>
        <v/>
      </c>
      <c r="BR26" s="54"/>
    </row>
    <row r="27" customFormat="false" ht="13.8" hidden="false" customHeight="false" outlineLevel="0" collapsed="false">
      <c r="A27" s="5"/>
      <c r="B27" s="124"/>
      <c r="C27" s="56"/>
      <c r="D27" s="57"/>
      <c r="E27" s="119"/>
      <c r="F27" s="59"/>
      <c r="G27" s="60"/>
      <c r="H27" s="61"/>
      <c r="I27" s="62"/>
      <c r="J27" s="59"/>
      <c r="K27" s="60"/>
      <c r="L27" s="61"/>
      <c r="M27" s="62"/>
      <c r="N27" s="59"/>
      <c r="O27" s="83"/>
      <c r="P27" s="64"/>
      <c r="Q27" s="66" t="str">
        <f aca="false">IF(ISBLANK($C27),"",IF(E27=Constants!$B$2, TRUE(), IF(E27=Constants!$B$3, FALSE(), TRUE())))</f>
        <v/>
      </c>
      <c r="R27" s="66" t="str">
        <f aca="false">IF(ISBLANK($C27),"",IF(F27=Constants!$B$16,Constants!$B$9,IF(F27=Constants!$B$17,Constants!$B$10,Constants!$B$8)))</f>
        <v/>
      </c>
      <c r="S27" s="66" t="str">
        <f aca="false">IF(ISBLANK($C27),"",IF(COUNTA(G27:H27)=0,"",IF(AND(OR(ISBLANK(G27),AND(ISNUMBER(G27),G27&gt;=0)),OR(ISBLANK(H27),AND(ISNUMBER(H27),H27&gt;=0))),60*IF(ISBLANK(G27),0,G27)+IF(ISBLANK(H27),0,H27),"")))</f>
        <v/>
      </c>
      <c r="T27" s="66" t="str">
        <f aca="false">IF(ISBLANK($C27),"",IF(I27=Constants!$B$2, TRUE(), IF(I27=Constants!$B$3, FALSE(), TRUE())))</f>
        <v/>
      </c>
      <c r="U27" s="66" t="str">
        <f aca="false">IF(ISBLANK($C27),"",IF(J27=Constants!$B$2, TRUE(), IF(J27=Constants!$B$3, FALSE(), TRUE())))</f>
        <v/>
      </c>
      <c r="V27" s="66" t="str">
        <f aca="false">IF(ISBLANK($C27),"",IF(COUNTA(K27:L27)=0,"",IF(AND(OR(ISBLANK(K27),AND(ISNUMBER(K27),K27&gt;=0)),OR(ISBLANK(L27),AND(ISNUMBER(L27),L27&gt;=0))),60*IF(ISBLANK(K27),0,K27)+IF(ISBLANK(L27),0,L27),"")))</f>
        <v/>
      </c>
      <c r="W27" s="66" t="str">
        <f aca="false">IF(ISBLANK($C27),"",IF(M27=Constants!$B$2, TRUE(), IF(M27=Constants!$B$3, FALSE(), TRUE())))</f>
        <v/>
      </c>
      <c r="X27" s="66" t="str">
        <f aca="false">IF(ISBLANK($C27),"",IF(N27=Constants!$B$2, TRUE(), IF(N27=Constants!$B$3, FALSE(), TRUE())))</f>
        <v/>
      </c>
      <c r="Y27" s="66" t="str">
        <f aca="false">IF(ISBLANK($C27),"",IF(O27=Constants!$B$2, TRUE(), IF(O27=Constants!$B$3, FALSE(), FALSE())))</f>
        <v/>
      </c>
      <c r="Z27" s="66" t="str">
        <f aca="false">IF(ISBLANK($C27),"",AND(S27&lt;&gt;"",Q27))</f>
        <v/>
      </c>
      <c r="AA27" s="66" t="str">
        <f aca="false">IF(ISBLANK($C27),"",AND(V27&lt;&gt;"",Q27))</f>
        <v/>
      </c>
      <c r="AB27" s="66" t="str">
        <f aca="false">IF(ISBLANK($C27),"",IF(Y27,Constants!$B$4,IF(COUNTA(E27:N27)=0,Constants!$B$5,IF(NOT(Q27),Constants!$B$6,IF(AND(NOT(Z27),NOT(AA27)),Constants!$B$6,Constants!$B$7)))))</f>
        <v/>
      </c>
      <c r="AC27" s="66" t="str">
        <f aca="false">IF(ISBLANK($C27),"",IF($AB27&lt;&gt;Constants!$B$7,$AB27,Constants!$B$20))</f>
        <v/>
      </c>
      <c r="AD27" s="66" t="str">
        <f aca="false">IF($AB27=Constants!$B$7,IF(Z27,S27,Constants!$B$13),"")</f>
        <v/>
      </c>
      <c r="AE27" s="66" t="str">
        <f aca="false">IF($AB27=Constants!$B$7,IF(Z27,R27*IF(T27, 1, Constants!$B$11)*IF(U27, 1, Constants!$B$12),Constants!$B$13),"")</f>
        <v/>
      </c>
      <c r="AF27" s="66" t="str">
        <f aca="false">IF($AB27=Constants!$B$7,AD27*AE27,"")</f>
        <v/>
      </c>
      <c r="AG27" s="66" t="str">
        <f aca="false">IF($AB27=Constants!$B$7,IF(AA27,V27,Constants!$B$13),"")</f>
        <v/>
      </c>
      <c r="AH27" s="66" t="str">
        <f aca="false">IF($AB27=Constants!$B$7,IF(AA27,R27*IF(W27, 1, Constants!$B$11)*IF(X27, 1, Constants!$B$12),Constants!$B$13),"")</f>
        <v/>
      </c>
      <c r="AI27" s="66" t="str">
        <f aca="false">IF($AB27=Constants!$B$7,AG27*AH27,"")</f>
        <v/>
      </c>
      <c r="AJ27" s="66" t="str">
        <f aca="false">IF($AB27=Constants!$B$7,IF(AI27&gt;AF27,2,1),"")</f>
        <v/>
      </c>
      <c r="AK27" s="66" t="str">
        <f aca="false">IF($AB27=Constants!$B$7,IF(AJ27=1,2,1),"")</f>
        <v/>
      </c>
      <c r="AL27" s="66" t="str">
        <f aca="false">IF(ISBLANK($C27),"",IF($AB27&lt;&gt;Constants!$B$7,$AB27,IF(AJ27=1,AF27,AI27)))</f>
        <v/>
      </c>
      <c r="AM27" s="66" t="str">
        <f aca="false">IF(ISBLANK($C27),"",IF($AB27=Constants!$B$7,IF(ISNUMBER(AL27),RANK(AL27,$AL$8:$AL$507),Constants!$B$14),$AB27))</f>
        <v/>
      </c>
      <c r="AN27" s="66" t="str">
        <f aca="false">IF(ISBLANK($C27),"",IF($AB27=Constants!$B$7,IF(AK27=1,AF27,AI27),""))</f>
        <v/>
      </c>
      <c r="AO27" s="66" t="str">
        <f aca="false">IF(ISBLANK($C27),"",IF($AB27=Constants!$B$7,RANK(AN27,$AN$8:$AN$507),$AB27))</f>
        <v/>
      </c>
      <c r="AP27" s="66" t="str">
        <f aca="false">IF(ISBLANK($C27),"",IF($AB27=Constants!$B$7,IF(ISNUMBER(AM27),COUNTIFS($AM$8:$AM$507,"&lt;"&amp;$AM27)+COUNTIFS($AM$8:$AM$507,$AM27,$AO$8:$AO$507,"&lt;"&amp;$AO27)+1,Constants!$B$14),$AB27))</f>
        <v/>
      </c>
      <c r="AQ27" s="66" t="str">
        <f aca="false">IF(ISBLANK($C27),"",IF($AB27=Constants!$B$7,IF(ISNUMBER(AM27),AM27-AP27,Constants!$B$14),$AB27))</f>
        <v/>
      </c>
      <c r="AR27" s="68"/>
      <c r="AS27" s="69" t="str">
        <f aca="false">IF(ISBLANK($C27),"",IF($AB27&lt;&gt;Constants!$B$7,"",AJ27))</f>
        <v/>
      </c>
      <c r="AT27" s="84" t="str">
        <f aca="false">IF(ISBLANK($C27),"",IF($AB27&lt;&gt;Constants!$B$7,"",IF(AJ27=1,AD27,AG27)))</f>
        <v/>
      </c>
      <c r="AU27" s="71" t="str">
        <f aca="false">IF(ISBLANK($C27),"",IF($AB27&lt;&gt;Constants!$B$7,"",IF(AJ27=1,AE27,AH27)))</f>
        <v/>
      </c>
      <c r="AV27" s="72" t="str">
        <f aca="false">IF(ISBLANK($C27),"",IF($AB27&lt;&gt;Constants!$B$7,$AB27,AL27))</f>
        <v/>
      </c>
      <c r="AW27" s="73" t="str">
        <f aca="false">IF(ISBLANK($C27),"",IF($AB27&lt;&gt;Constants!$B$7,$AB27,AC27))</f>
        <v/>
      </c>
      <c r="AX27" s="74" t="str">
        <f aca="false">IF(ISBLANK($C27),"",AQ27)</f>
        <v/>
      </c>
      <c r="AY27" s="74" t="str">
        <f aca="false">IF(ISBLANK($C27),"",AP27)</f>
        <v/>
      </c>
      <c r="AZ27" s="75" t="str">
        <f aca="false">IF(ISBLANK($C27),"",IF(AY27=Constants!$B$4,COUNTA($C$8:$C$507)+2,IF(AY27=Constants!$B$5,COUNTA($C$8:$C$507)+1,IF(AY27=Constants!$B$6,COUNTA($C$8:$C$507),AY27))))</f>
        <v/>
      </c>
      <c r="BA27" s="5"/>
      <c r="BB27" s="76" t="n">
        <f aca="false">IF(OR(ISNUMBER(AY27),AY27=Constants!$B$4,AY27=Constants!$B$6,AY27=Constants!$B$5),1,0)</f>
        <v>0</v>
      </c>
      <c r="BC27" s="76" t="n">
        <v>20</v>
      </c>
      <c r="BD27" s="76" t="str">
        <f aca="false">IF(ISBLANK($C27),"",IF(ISNUMBER(AZ27),AZ27+ROW($B27)/1000,""))</f>
        <v/>
      </c>
      <c r="BE27" s="76" t="str">
        <f aca="false">IF(ISNUMBER(BD27),RANK(BD27,$BD$8:$BD$507,1),"")</f>
        <v/>
      </c>
      <c r="BF27" s="76" t="str">
        <f aca="false">IF(ISBLANK($C27),"",$B27)</f>
        <v/>
      </c>
      <c r="BG27" s="76" t="str">
        <f aca="false">IF(ISBLANK($C27),"",$C27)</f>
        <v/>
      </c>
      <c r="BH27" s="76" t="str">
        <f aca="false">IF(ISBLANK($C27),"",$D27)</f>
        <v/>
      </c>
      <c r="BI27" s="77" t="str">
        <f aca="false">AW27</f>
        <v/>
      </c>
      <c r="BJ27" s="78" t="str">
        <f aca="false">AV27</f>
        <v/>
      </c>
      <c r="BK27" s="76" t="str">
        <f aca="false">IF(ISBLANK($C27),"",AY27)</f>
        <v/>
      </c>
      <c r="BL27" s="79" t="str">
        <f aca="false">IF($BC27&gt;$BB$7,"",VLOOKUP($BC27,$BE$8:$BK$507,7,FALSE()))</f>
        <v/>
      </c>
      <c r="BM27" s="80" t="str">
        <f aca="false">IF($BC27&gt;$BB$7,"",VLOOKUP($BC27,$BE$8:$BK$507,2,FALSE()))</f>
        <v/>
      </c>
      <c r="BN27" s="80" t="str">
        <f aca="false">IF($BC27&gt;$BB$7,"",VLOOKUP($BC27,$BE$8:$BK$507,3,FALSE()))</f>
        <v/>
      </c>
      <c r="BO27" s="80" t="str">
        <f aca="false">IF($BC27&gt;$BB$7,"",VLOOKUP($BC27,$BE$8:$BK$507,4,FALSE()))</f>
        <v/>
      </c>
      <c r="BP27" s="80" t="str">
        <f aca="false">IF($BC27&gt;$BB$7,"",VLOOKUP($BC27,$BE$8:$BK$507,5,FALSE()))</f>
        <v/>
      </c>
      <c r="BQ27" s="81" t="str">
        <f aca="false">IF($BC27&gt;$BB$7,"",VLOOKUP($BC27,$BE$8:$BK$507,6,FALSE()))</f>
        <v/>
      </c>
      <c r="BR27" s="54"/>
    </row>
    <row r="28" customFormat="false" ht="13.8" hidden="false" customHeight="false" outlineLevel="0" collapsed="false">
      <c r="A28" s="5"/>
      <c r="B28" s="124"/>
      <c r="C28" s="56"/>
      <c r="D28" s="57"/>
      <c r="E28" s="119"/>
      <c r="F28" s="59"/>
      <c r="G28" s="60"/>
      <c r="H28" s="61"/>
      <c r="I28" s="62"/>
      <c r="J28" s="59"/>
      <c r="K28" s="60"/>
      <c r="L28" s="61"/>
      <c r="M28" s="62"/>
      <c r="N28" s="59"/>
      <c r="O28" s="83"/>
      <c r="P28" s="64"/>
      <c r="Q28" s="66" t="str">
        <f aca="false">IF(ISBLANK($C28),"",IF(E28=Constants!$B$2, TRUE(), IF(E28=Constants!$B$3, FALSE(), TRUE())))</f>
        <v/>
      </c>
      <c r="R28" s="66" t="str">
        <f aca="false">IF(ISBLANK($C28),"",IF(F28=Constants!$B$16,Constants!$B$9,IF(F28=Constants!$B$17,Constants!$B$10,Constants!$B$8)))</f>
        <v/>
      </c>
      <c r="S28" s="66" t="str">
        <f aca="false">IF(ISBLANK($C28),"",IF(COUNTA(G28:H28)=0,"",IF(AND(OR(ISBLANK(G28),AND(ISNUMBER(G28),G28&gt;=0)),OR(ISBLANK(H28),AND(ISNUMBER(H28),H28&gt;=0))),60*IF(ISBLANK(G28),0,G28)+IF(ISBLANK(H28),0,H28),"")))</f>
        <v/>
      </c>
      <c r="T28" s="66" t="str">
        <f aca="false">IF(ISBLANK($C28),"",IF(I28=Constants!$B$2, TRUE(), IF(I28=Constants!$B$3, FALSE(), TRUE())))</f>
        <v/>
      </c>
      <c r="U28" s="66" t="str">
        <f aca="false">IF(ISBLANK($C28),"",IF(J28=Constants!$B$2, TRUE(), IF(J28=Constants!$B$3, FALSE(), TRUE())))</f>
        <v/>
      </c>
      <c r="V28" s="66" t="str">
        <f aca="false">IF(ISBLANK($C28),"",IF(COUNTA(K28:L28)=0,"",IF(AND(OR(ISBLANK(K28),AND(ISNUMBER(K28),K28&gt;=0)),OR(ISBLANK(L28),AND(ISNUMBER(L28),L28&gt;=0))),60*IF(ISBLANK(K28),0,K28)+IF(ISBLANK(L28),0,L28),"")))</f>
        <v/>
      </c>
      <c r="W28" s="66" t="str">
        <f aca="false">IF(ISBLANK($C28),"",IF(M28=Constants!$B$2, TRUE(), IF(M28=Constants!$B$3, FALSE(), TRUE())))</f>
        <v/>
      </c>
      <c r="X28" s="66" t="str">
        <f aca="false">IF(ISBLANK($C28),"",IF(N28=Constants!$B$2, TRUE(), IF(N28=Constants!$B$3, FALSE(), TRUE())))</f>
        <v/>
      </c>
      <c r="Y28" s="66" t="str">
        <f aca="false">IF(ISBLANK($C28),"",IF(O28=Constants!$B$2, TRUE(), IF(O28=Constants!$B$3, FALSE(), FALSE())))</f>
        <v/>
      </c>
      <c r="Z28" s="66" t="str">
        <f aca="false">IF(ISBLANK($C28),"",AND(S28&lt;&gt;"",Q28))</f>
        <v/>
      </c>
      <c r="AA28" s="66" t="str">
        <f aca="false">IF(ISBLANK($C28),"",AND(V28&lt;&gt;"",Q28))</f>
        <v/>
      </c>
      <c r="AB28" s="66" t="str">
        <f aca="false">IF(ISBLANK($C28),"",IF(Y28,Constants!$B$4,IF(COUNTA(E28:N28)=0,Constants!$B$5,IF(NOT(Q28),Constants!$B$6,IF(AND(NOT(Z28),NOT(AA28)),Constants!$B$6,Constants!$B$7)))))</f>
        <v/>
      </c>
      <c r="AC28" s="66" t="str">
        <f aca="false">IF(ISBLANK($C28),"",IF($AB28&lt;&gt;Constants!$B$7,$AB28,Constants!$B$20))</f>
        <v/>
      </c>
      <c r="AD28" s="66" t="str">
        <f aca="false">IF($AB28=Constants!$B$7,IF(Z28,S28,Constants!$B$13),"")</f>
        <v/>
      </c>
      <c r="AE28" s="66" t="str">
        <f aca="false">IF($AB28=Constants!$B$7,IF(Z28,R28*IF(T28, 1, Constants!$B$11)*IF(U28, 1, Constants!$B$12),Constants!$B$13),"")</f>
        <v/>
      </c>
      <c r="AF28" s="66" t="str">
        <f aca="false">IF($AB28=Constants!$B$7,AD28*AE28,"")</f>
        <v/>
      </c>
      <c r="AG28" s="66" t="str">
        <f aca="false">IF($AB28=Constants!$B$7,IF(AA28,V28,Constants!$B$13),"")</f>
        <v/>
      </c>
      <c r="AH28" s="66" t="str">
        <f aca="false">IF($AB28=Constants!$B$7,IF(AA28,R28*IF(W28, 1, Constants!$B$11)*IF(X28, 1, Constants!$B$12),Constants!$B$13),"")</f>
        <v/>
      </c>
      <c r="AI28" s="66" t="str">
        <f aca="false">IF($AB28=Constants!$B$7,AG28*AH28,"")</f>
        <v/>
      </c>
      <c r="AJ28" s="66" t="str">
        <f aca="false">IF($AB28=Constants!$B$7,IF(AI28&gt;AF28,2,1),"")</f>
        <v/>
      </c>
      <c r="AK28" s="66" t="str">
        <f aca="false">IF($AB28=Constants!$B$7,IF(AJ28=1,2,1),"")</f>
        <v/>
      </c>
      <c r="AL28" s="66" t="str">
        <f aca="false">IF(ISBLANK($C28),"",IF($AB28&lt;&gt;Constants!$B$7,$AB28,IF(AJ28=1,AF28,AI28)))</f>
        <v/>
      </c>
      <c r="AM28" s="66" t="str">
        <f aca="false">IF(ISBLANK($C28),"",IF($AB28=Constants!$B$7,IF(ISNUMBER(AL28),RANK(AL28,$AL$8:$AL$507),Constants!$B$14),$AB28))</f>
        <v/>
      </c>
      <c r="AN28" s="66" t="str">
        <f aca="false">IF(ISBLANK($C28),"",IF($AB28=Constants!$B$7,IF(AK28=1,AF28,AI28),""))</f>
        <v/>
      </c>
      <c r="AO28" s="66" t="str">
        <f aca="false">IF(ISBLANK($C28),"",IF($AB28=Constants!$B$7,RANK(AN28,$AN$8:$AN$507),$AB28))</f>
        <v/>
      </c>
      <c r="AP28" s="66" t="str">
        <f aca="false">IF(ISBLANK($C28),"",IF($AB28=Constants!$B$7,IF(ISNUMBER(AM28),COUNTIFS($AM$8:$AM$507,"&lt;"&amp;$AM28)+COUNTIFS($AM$8:$AM$507,$AM28,$AO$8:$AO$507,"&lt;"&amp;$AO28)+1,Constants!$B$14),$AB28))</f>
        <v/>
      </c>
      <c r="AQ28" s="66" t="str">
        <f aca="false">IF(ISBLANK($C28),"",IF($AB28=Constants!$B$7,IF(ISNUMBER(AM28),AM28-AP28,Constants!$B$14),$AB28))</f>
        <v/>
      </c>
      <c r="AR28" s="68"/>
      <c r="AS28" s="69" t="str">
        <f aca="false">IF(ISBLANK($C28),"",IF($AB28&lt;&gt;Constants!$B$7,"",AJ28))</f>
        <v/>
      </c>
      <c r="AT28" s="84" t="str">
        <f aca="false">IF(ISBLANK($C28),"",IF($AB28&lt;&gt;Constants!$B$7,"",IF(AJ28=1,AD28,AG28)))</f>
        <v/>
      </c>
      <c r="AU28" s="71" t="str">
        <f aca="false">IF(ISBLANK($C28),"",IF($AB28&lt;&gt;Constants!$B$7,"",IF(AJ28=1,AE28,AH28)))</f>
        <v/>
      </c>
      <c r="AV28" s="72" t="str">
        <f aca="false">IF(ISBLANK($C28),"",IF($AB28&lt;&gt;Constants!$B$7,$AB28,AL28))</f>
        <v/>
      </c>
      <c r="AW28" s="73" t="str">
        <f aca="false">IF(ISBLANK($C28),"",IF($AB28&lt;&gt;Constants!$B$7,$AB28,AC28))</f>
        <v/>
      </c>
      <c r="AX28" s="74" t="str">
        <f aca="false">IF(ISBLANK($C28),"",AQ28)</f>
        <v/>
      </c>
      <c r="AY28" s="74" t="str">
        <f aca="false">IF(ISBLANK($C28),"",AP28)</f>
        <v/>
      </c>
      <c r="AZ28" s="75" t="str">
        <f aca="false">IF(ISBLANK($C28),"",IF(AY28=Constants!$B$4,COUNTA($C$8:$C$507)+2,IF(AY28=Constants!$B$5,COUNTA($C$8:$C$507)+1,IF(AY28=Constants!$B$6,COUNTA($C$8:$C$507),AY28))))</f>
        <v/>
      </c>
      <c r="BA28" s="5"/>
      <c r="BB28" s="76" t="n">
        <f aca="false">IF(OR(ISNUMBER(AY28),AY28=Constants!$B$4,AY28=Constants!$B$6,AY28=Constants!$B$5),1,0)</f>
        <v>0</v>
      </c>
      <c r="BC28" s="76" t="n">
        <v>21</v>
      </c>
      <c r="BD28" s="76" t="str">
        <f aca="false">IF(ISBLANK($C28),"",IF(ISNUMBER(AZ28),AZ28+ROW($B28)/1000,""))</f>
        <v/>
      </c>
      <c r="BE28" s="76" t="str">
        <f aca="false">IF(ISNUMBER(BD28),RANK(BD28,$BD$8:$BD$507,1),"")</f>
        <v/>
      </c>
      <c r="BF28" s="76" t="str">
        <f aca="false">IF(ISBLANK($C28),"",$B28)</f>
        <v/>
      </c>
      <c r="BG28" s="76" t="str">
        <f aca="false">IF(ISBLANK($C28),"",$C28)</f>
        <v/>
      </c>
      <c r="BH28" s="76" t="str">
        <f aca="false">IF(ISBLANK($C28),"",$D28)</f>
        <v/>
      </c>
      <c r="BI28" s="77" t="str">
        <f aca="false">AW28</f>
        <v/>
      </c>
      <c r="BJ28" s="78" t="str">
        <f aca="false">AV28</f>
        <v/>
      </c>
      <c r="BK28" s="76" t="str">
        <f aca="false">IF(ISBLANK($C28),"",AY28)</f>
        <v/>
      </c>
      <c r="BL28" s="79" t="str">
        <f aca="false">IF($BC28&gt;$BB$7,"",VLOOKUP($BC28,$BE$8:$BK$507,7,FALSE()))</f>
        <v/>
      </c>
      <c r="BM28" s="80" t="str">
        <f aca="false">IF($BC28&gt;$BB$7,"",VLOOKUP($BC28,$BE$8:$BK$507,2,FALSE()))</f>
        <v/>
      </c>
      <c r="BN28" s="80" t="str">
        <f aca="false">IF($BC28&gt;$BB$7,"",VLOOKUP($BC28,$BE$8:$BK$507,3,FALSE()))</f>
        <v/>
      </c>
      <c r="BO28" s="80" t="str">
        <f aca="false">IF($BC28&gt;$BB$7,"",VLOOKUP($BC28,$BE$8:$BK$507,4,FALSE()))</f>
        <v/>
      </c>
      <c r="BP28" s="80" t="str">
        <f aca="false">IF($BC28&gt;$BB$7,"",VLOOKUP($BC28,$BE$8:$BK$507,5,FALSE()))</f>
        <v/>
      </c>
      <c r="BQ28" s="81" t="str">
        <f aca="false">IF($BC28&gt;$BB$7,"",VLOOKUP($BC28,$BE$8:$BK$507,6,FALSE()))</f>
        <v/>
      </c>
      <c r="BR28" s="54"/>
    </row>
    <row r="29" customFormat="false" ht="13.8" hidden="false" customHeight="false" outlineLevel="0" collapsed="false">
      <c r="A29" s="5"/>
      <c r="B29" s="120"/>
      <c r="C29" s="121"/>
      <c r="D29" s="112"/>
      <c r="E29" s="122"/>
      <c r="F29" s="91"/>
      <c r="G29" s="92"/>
      <c r="H29" s="93"/>
      <c r="I29" s="94"/>
      <c r="J29" s="91"/>
      <c r="K29" s="92"/>
      <c r="L29" s="93"/>
      <c r="M29" s="94"/>
      <c r="N29" s="91"/>
      <c r="O29" s="123"/>
      <c r="P29" s="96"/>
      <c r="Q29" s="97" t="str">
        <f aca="false">IF(ISBLANK($C29),"",IF(E29=Constants!$B$2, TRUE(), IF(E29=Constants!$B$3, FALSE(), TRUE())))</f>
        <v/>
      </c>
      <c r="R29" s="97" t="str">
        <f aca="false">IF(ISBLANK($C29),"",IF(F29=Constants!$B$16,Constants!$B$9,IF(F29=Constants!$B$17,Constants!$B$10,Constants!$B$8)))</f>
        <v/>
      </c>
      <c r="S29" s="97" t="str">
        <f aca="false">IF(ISBLANK($C29),"",IF(COUNTA(G29:H29)=0,"",IF(AND(OR(ISBLANK(G29),AND(ISNUMBER(G29),G29&gt;=0)),OR(ISBLANK(H29),AND(ISNUMBER(H29),H29&gt;=0))),60*IF(ISBLANK(G29),0,G29)+IF(ISBLANK(H29),0,H29),"")))</f>
        <v/>
      </c>
      <c r="T29" s="97" t="str">
        <f aca="false">IF(ISBLANK($C29),"",IF(I29=Constants!$B$2, TRUE(), IF(I29=Constants!$B$3, FALSE(), TRUE())))</f>
        <v/>
      </c>
      <c r="U29" s="97" t="str">
        <f aca="false">IF(ISBLANK($C29),"",IF(J29=Constants!$B$2, TRUE(), IF(J29=Constants!$B$3, FALSE(), TRUE())))</f>
        <v/>
      </c>
      <c r="V29" s="97" t="str">
        <f aca="false">IF(ISBLANK($C29),"",IF(COUNTA(K29:L29)=0,"",IF(AND(OR(ISBLANK(K29),AND(ISNUMBER(K29),K29&gt;=0)),OR(ISBLANK(L29),AND(ISNUMBER(L29),L29&gt;=0))),60*IF(ISBLANK(K29),0,K29)+IF(ISBLANK(L29),0,L29),"")))</f>
        <v/>
      </c>
      <c r="W29" s="97" t="str">
        <f aca="false">IF(ISBLANK($C29),"",IF(M29=Constants!$B$2, TRUE(), IF(M29=Constants!$B$3, FALSE(), TRUE())))</f>
        <v/>
      </c>
      <c r="X29" s="97" t="str">
        <f aca="false">IF(ISBLANK($C29),"",IF(N29=Constants!$B$2, TRUE(), IF(N29=Constants!$B$3, FALSE(), TRUE())))</f>
        <v/>
      </c>
      <c r="Y29" s="97" t="str">
        <f aca="false">IF(ISBLANK($C29),"",IF(O29=Constants!$B$2, TRUE(), IF(O29=Constants!$B$3, FALSE(), FALSE())))</f>
        <v/>
      </c>
      <c r="Z29" s="97" t="str">
        <f aca="false">IF(ISBLANK($C29),"",AND(S29&lt;&gt;"",Q29))</f>
        <v/>
      </c>
      <c r="AA29" s="97" t="str">
        <f aca="false">IF(ISBLANK($C29),"",AND(V29&lt;&gt;"",Q29))</f>
        <v/>
      </c>
      <c r="AB29" s="97" t="str">
        <f aca="false">IF(ISBLANK($C29),"",IF(Y29,Constants!$B$4,IF(COUNTA(E29:N29)=0,Constants!$B$5,IF(NOT(Q29),Constants!$B$6,IF(AND(NOT(Z29),NOT(AA29)),Constants!$B$6,Constants!$B$7)))))</f>
        <v/>
      </c>
      <c r="AC29" s="97" t="str">
        <f aca="false">IF(ISBLANK($C29),"",IF($AB29&lt;&gt;Constants!$B$7,$AB29,Constants!$B$20))</f>
        <v/>
      </c>
      <c r="AD29" s="97" t="str">
        <f aca="false">IF($AB29=Constants!$B$7,IF(Z29,S29,Constants!$B$13),"")</f>
        <v/>
      </c>
      <c r="AE29" s="97" t="str">
        <f aca="false">IF($AB29=Constants!$B$7,IF(Z29,R29*IF(T29, 1, Constants!$B$11)*IF(U29, 1, Constants!$B$12),Constants!$B$13),"")</f>
        <v/>
      </c>
      <c r="AF29" s="97" t="str">
        <f aca="false">IF($AB29=Constants!$B$7,AD29*AE29,"")</f>
        <v/>
      </c>
      <c r="AG29" s="97" t="str">
        <f aca="false">IF($AB29=Constants!$B$7,IF(AA29,V29,Constants!$B$13),"")</f>
        <v/>
      </c>
      <c r="AH29" s="97" t="str">
        <f aca="false">IF($AB29=Constants!$B$7,IF(AA29,R29*IF(W29, 1, Constants!$B$11)*IF(X29, 1, Constants!$B$12),Constants!$B$13),"")</f>
        <v/>
      </c>
      <c r="AI29" s="97" t="str">
        <f aca="false">IF($AB29=Constants!$B$7,AG29*AH29,"")</f>
        <v/>
      </c>
      <c r="AJ29" s="97" t="str">
        <f aca="false">IF($AB29=Constants!$B$7,IF(AI29&gt;AF29,2,1),"")</f>
        <v/>
      </c>
      <c r="AK29" s="97" t="str">
        <f aca="false">IF($AB29=Constants!$B$7,IF(AJ29=1,2,1),"")</f>
        <v/>
      </c>
      <c r="AL29" s="97" t="str">
        <f aca="false">IF(ISBLANK($C29),"",IF($AB29&lt;&gt;Constants!$B$7,$AB29,IF(AJ29=1,AF29,AI29)))</f>
        <v/>
      </c>
      <c r="AM29" s="97" t="str">
        <f aca="false">IF(ISBLANK($C29),"",IF($AB29=Constants!$B$7,IF(ISNUMBER(AL29),RANK(AL29,$AL$8:$AL$507),Constants!$B$14),$AB29))</f>
        <v/>
      </c>
      <c r="AN29" s="97" t="str">
        <f aca="false">IF(ISBLANK($C29),"",IF($AB29=Constants!$B$7,IF(AK29=1,AF29,AI29),""))</f>
        <v/>
      </c>
      <c r="AO29" s="97" t="str">
        <f aca="false">IF(ISBLANK($C29),"",IF($AB29=Constants!$B$7,RANK(AN29,$AN$8:$AN$507),$AB29))</f>
        <v/>
      </c>
      <c r="AP29" s="97" t="str">
        <f aca="false">IF(ISBLANK($C29),"",IF($AB29=Constants!$B$7,IF(ISNUMBER(AM29),COUNTIFS($AM$8:$AM$507,"&lt;"&amp;$AM29)+COUNTIFS($AM$8:$AM$507,$AM29,$AO$8:$AO$507,"&lt;"&amp;$AO29)+1,Constants!$B$14),$AB29))</f>
        <v/>
      </c>
      <c r="AQ29" s="97" t="str">
        <f aca="false">IF(ISBLANK($C29),"",IF($AB29=Constants!$B$7,IF(ISNUMBER(AM29),AM29-AP29,Constants!$B$14),$AB29))</f>
        <v/>
      </c>
      <c r="AR29" s="98"/>
      <c r="AS29" s="99" t="str">
        <f aca="false">IF(ISBLANK($C29),"",IF($AB29&lt;&gt;Constants!$B$7,"",AJ29))</f>
        <v/>
      </c>
      <c r="AT29" s="100" t="str">
        <f aca="false">IF(ISBLANK($C29),"",IF($AB29&lt;&gt;Constants!$B$7,"",IF(AJ29=1,AD29,AG29)))</f>
        <v/>
      </c>
      <c r="AU29" s="101" t="str">
        <f aca="false">IF(ISBLANK($C29),"",IF($AB29&lt;&gt;Constants!$B$7,"",IF(AJ29=1,AE29,AH29)))</f>
        <v/>
      </c>
      <c r="AV29" s="102" t="str">
        <f aca="false">IF(ISBLANK($C29),"",IF($AB29&lt;&gt;Constants!$B$7,$AB29,AL29))</f>
        <v/>
      </c>
      <c r="AW29" s="103" t="str">
        <f aca="false">IF(ISBLANK($C29),"",IF($AB29&lt;&gt;Constants!$B$7,$AB29,AC29))</f>
        <v/>
      </c>
      <c r="AX29" s="104" t="str">
        <f aca="false">IF(ISBLANK($C29),"",AQ29)</f>
        <v/>
      </c>
      <c r="AY29" s="104" t="str">
        <f aca="false">IF(ISBLANK($C29),"",AP29)</f>
        <v/>
      </c>
      <c r="AZ29" s="105" t="str">
        <f aca="false">IF(ISBLANK($C29),"",IF(AY29=Constants!$B$4,COUNTA($C$8:$C$507)+2,IF(AY29=Constants!$B$5,COUNTA($C$8:$C$507)+1,IF(AY29=Constants!$B$6,COUNTA($C$8:$C$507),AY29))))</f>
        <v/>
      </c>
      <c r="BA29" s="5"/>
      <c r="BB29" s="106" t="n">
        <f aca="false">IF(OR(ISNUMBER(AY29),AY29=Constants!$B$4,AY29=Constants!$B$6,AY29=Constants!$B$5),1,0)</f>
        <v>0</v>
      </c>
      <c r="BC29" s="106" t="n">
        <v>22</v>
      </c>
      <c r="BD29" s="106" t="str">
        <f aca="false">IF(ISBLANK($C29),"",IF(ISNUMBER(AZ29),AZ29+ROW($B29)/1000,""))</f>
        <v/>
      </c>
      <c r="BE29" s="106" t="str">
        <f aca="false">IF(ISNUMBER(BD29),RANK(BD29,$BD$8:$BD$507,1),"")</f>
        <v/>
      </c>
      <c r="BF29" s="106" t="str">
        <f aca="false">IF(ISBLANK($C29),"",$B29)</f>
        <v/>
      </c>
      <c r="BG29" s="106" t="str">
        <f aca="false">IF(ISBLANK($C29),"",$C29)</f>
        <v/>
      </c>
      <c r="BH29" s="106" t="str">
        <f aca="false">IF(ISBLANK($C29),"",$D29)</f>
        <v/>
      </c>
      <c r="BI29" s="107" t="str">
        <f aca="false">AW29</f>
        <v/>
      </c>
      <c r="BJ29" s="108" t="str">
        <f aca="false">AV29</f>
        <v/>
      </c>
      <c r="BK29" s="106" t="str">
        <f aca="false">IF(ISBLANK($C29),"",AY29)</f>
        <v/>
      </c>
      <c r="BL29" s="109" t="str">
        <f aca="false">IF($BC29&gt;$BB$7,"",VLOOKUP($BC29,$BE$8:$BK$507,7,FALSE()))</f>
        <v/>
      </c>
      <c r="BM29" s="110" t="str">
        <f aca="false">IF($BC29&gt;$BB$7,"",VLOOKUP($BC29,$BE$8:$BK$507,2,FALSE()))</f>
        <v/>
      </c>
      <c r="BN29" s="110" t="str">
        <f aca="false">IF($BC29&gt;$BB$7,"",VLOOKUP($BC29,$BE$8:$BK$507,3,FALSE()))</f>
        <v/>
      </c>
      <c r="BO29" s="110" t="str">
        <f aca="false">IF($BC29&gt;$BB$7,"",VLOOKUP($BC29,$BE$8:$BK$507,4,FALSE()))</f>
        <v/>
      </c>
      <c r="BP29" s="110" t="str">
        <f aca="false">IF($BC29&gt;$BB$7,"",VLOOKUP($BC29,$BE$8:$BK$507,5,FALSE()))</f>
        <v/>
      </c>
      <c r="BQ29" s="111" t="str">
        <f aca="false">IF($BC29&gt;$BB$7,"",VLOOKUP($BC29,$BE$8:$BK$507,6,FALSE()))</f>
        <v/>
      </c>
      <c r="BR29" s="54"/>
    </row>
    <row r="30" customFormat="false" ht="13.8" hidden="false" customHeight="false" outlineLevel="0" collapsed="false">
      <c r="A30" s="5"/>
      <c r="B30" s="120"/>
      <c r="C30" s="121"/>
      <c r="D30" s="112"/>
      <c r="E30" s="122"/>
      <c r="F30" s="91"/>
      <c r="G30" s="92"/>
      <c r="H30" s="93"/>
      <c r="I30" s="94"/>
      <c r="J30" s="91"/>
      <c r="K30" s="92"/>
      <c r="L30" s="93"/>
      <c r="M30" s="94"/>
      <c r="N30" s="91"/>
      <c r="O30" s="123"/>
      <c r="P30" s="96"/>
      <c r="Q30" s="97" t="str">
        <f aca="false">IF(ISBLANK($C30),"",IF(E30=Constants!$B$2, TRUE(), IF(E30=Constants!$B$3, FALSE(), TRUE())))</f>
        <v/>
      </c>
      <c r="R30" s="97" t="str">
        <f aca="false">IF(ISBLANK($C30),"",IF(F30=Constants!$B$16,Constants!$B$9,IF(F30=Constants!$B$17,Constants!$B$10,Constants!$B$8)))</f>
        <v/>
      </c>
      <c r="S30" s="97" t="str">
        <f aca="false">IF(ISBLANK($C30),"",IF(COUNTA(G30:H30)=0,"",IF(AND(OR(ISBLANK(G30),AND(ISNUMBER(G30),G30&gt;=0)),OR(ISBLANK(H30),AND(ISNUMBER(H30),H30&gt;=0))),60*IF(ISBLANK(G30),0,G30)+IF(ISBLANK(H30),0,H30),"")))</f>
        <v/>
      </c>
      <c r="T30" s="97" t="str">
        <f aca="false">IF(ISBLANK($C30),"",IF(I30=Constants!$B$2, TRUE(), IF(I30=Constants!$B$3, FALSE(), TRUE())))</f>
        <v/>
      </c>
      <c r="U30" s="97" t="str">
        <f aca="false">IF(ISBLANK($C30),"",IF(J30=Constants!$B$2, TRUE(), IF(J30=Constants!$B$3, FALSE(), TRUE())))</f>
        <v/>
      </c>
      <c r="V30" s="97" t="str">
        <f aca="false">IF(ISBLANK($C30),"",IF(COUNTA(K30:L30)=0,"",IF(AND(OR(ISBLANK(K30),AND(ISNUMBER(K30),K30&gt;=0)),OR(ISBLANK(L30),AND(ISNUMBER(L30),L30&gt;=0))),60*IF(ISBLANK(K30),0,K30)+IF(ISBLANK(L30),0,L30),"")))</f>
        <v/>
      </c>
      <c r="W30" s="97" t="str">
        <f aca="false">IF(ISBLANK($C30),"",IF(M30=Constants!$B$2, TRUE(), IF(M30=Constants!$B$3, FALSE(), TRUE())))</f>
        <v/>
      </c>
      <c r="X30" s="97" t="str">
        <f aca="false">IF(ISBLANK($C30),"",IF(N30=Constants!$B$2, TRUE(), IF(N30=Constants!$B$3, FALSE(), TRUE())))</f>
        <v/>
      </c>
      <c r="Y30" s="97" t="str">
        <f aca="false">IF(ISBLANK($C30),"",IF(O30=Constants!$B$2, TRUE(), IF(O30=Constants!$B$3, FALSE(), FALSE())))</f>
        <v/>
      </c>
      <c r="Z30" s="97" t="str">
        <f aca="false">IF(ISBLANK($C30),"",AND(S30&lt;&gt;"",Q30))</f>
        <v/>
      </c>
      <c r="AA30" s="97" t="str">
        <f aca="false">IF(ISBLANK($C30),"",AND(V30&lt;&gt;"",Q30))</f>
        <v/>
      </c>
      <c r="AB30" s="97" t="str">
        <f aca="false">IF(ISBLANK($C30),"",IF(Y30,Constants!$B$4,IF(COUNTA(E30:N30)=0,Constants!$B$5,IF(NOT(Q30),Constants!$B$6,IF(AND(NOT(Z30),NOT(AA30)),Constants!$B$6,Constants!$B$7)))))</f>
        <v/>
      </c>
      <c r="AC30" s="97" t="str">
        <f aca="false">IF(ISBLANK($C30),"",IF($AB30&lt;&gt;Constants!$B$7,$AB30,Constants!$B$20))</f>
        <v/>
      </c>
      <c r="AD30" s="97" t="str">
        <f aca="false">IF($AB30=Constants!$B$7,IF(Z30,S30,Constants!$B$13),"")</f>
        <v/>
      </c>
      <c r="AE30" s="97" t="str">
        <f aca="false">IF($AB30=Constants!$B$7,IF(Z30,R30*IF(T30, 1, Constants!$B$11)*IF(U30, 1, Constants!$B$12),Constants!$B$13),"")</f>
        <v/>
      </c>
      <c r="AF30" s="97" t="str">
        <f aca="false">IF($AB30=Constants!$B$7,AD30*AE30,"")</f>
        <v/>
      </c>
      <c r="AG30" s="97" t="str">
        <f aca="false">IF($AB30=Constants!$B$7,IF(AA30,V30,Constants!$B$13),"")</f>
        <v/>
      </c>
      <c r="AH30" s="97" t="str">
        <f aca="false">IF($AB30=Constants!$B$7,IF(AA30,R30*IF(W30, 1, Constants!$B$11)*IF(X30, 1, Constants!$B$12),Constants!$B$13),"")</f>
        <v/>
      </c>
      <c r="AI30" s="97" t="str">
        <f aca="false">IF($AB30=Constants!$B$7,AG30*AH30,"")</f>
        <v/>
      </c>
      <c r="AJ30" s="97" t="str">
        <f aca="false">IF($AB30=Constants!$B$7,IF(AI30&gt;AF30,2,1),"")</f>
        <v/>
      </c>
      <c r="AK30" s="97" t="str">
        <f aca="false">IF($AB30=Constants!$B$7,IF(AJ30=1,2,1),"")</f>
        <v/>
      </c>
      <c r="AL30" s="97" t="str">
        <f aca="false">IF(ISBLANK($C30),"",IF($AB30&lt;&gt;Constants!$B$7,$AB30,IF(AJ30=1,AF30,AI30)))</f>
        <v/>
      </c>
      <c r="AM30" s="97" t="str">
        <f aca="false">IF(ISBLANK($C30),"",IF($AB30=Constants!$B$7,IF(ISNUMBER(AL30),RANK(AL30,$AL$8:$AL$507),Constants!$B$14),$AB30))</f>
        <v/>
      </c>
      <c r="AN30" s="97" t="str">
        <f aca="false">IF(ISBLANK($C30),"",IF($AB30=Constants!$B$7,IF(AK30=1,AF30,AI30),""))</f>
        <v/>
      </c>
      <c r="AO30" s="97" t="str">
        <f aca="false">IF(ISBLANK($C30),"",IF($AB30=Constants!$B$7,RANK(AN30,$AN$8:$AN$507),$AB30))</f>
        <v/>
      </c>
      <c r="AP30" s="97" t="str">
        <f aca="false">IF(ISBLANK($C30),"",IF($AB30=Constants!$B$7,IF(ISNUMBER(AM30),COUNTIFS($AM$8:$AM$507,"&lt;"&amp;$AM30)+COUNTIFS($AM$8:$AM$507,$AM30,$AO$8:$AO$507,"&lt;"&amp;$AO30)+1,Constants!$B$14),$AB30))</f>
        <v/>
      </c>
      <c r="AQ30" s="97" t="str">
        <f aca="false">IF(ISBLANK($C30),"",IF($AB30=Constants!$B$7,IF(ISNUMBER(AM30),AM30-AP30,Constants!$B$14),$AB30))</f>
        <v/>
      </c>
      <c r="AR30" s="98"/>
      <c r="AS30" s="99" t="str">
        <f aca="false">IF(ISBLANK($C30),"",IF($AB30&lt;&gt;Constants!$B$7,"",AJ30))</f>
        <v/>
      </c>
      <c r="AT30" s="100" t="str">
        <f aca="false">IF(ISBLANK($C30),"",IF($AB30&lt;&gt;Constants!$B$7,"",IF(AJ30=1,AD30,AG30)))</f>
        <v/>
      </c>
      <c r="AU30" s="101" t="str">
        <f aca="false">IF(ISBLANK($C30),"",IF($AB30&lt;&gt;Constants!$B$7,"",IF(AJ30=1,AE30,AH30)))</f>
        <v/>
      </c>
      <c r="AV30" s="102" t="str">
        <f aca="false">IF(ISBLANK($C30),"",IF($AB30&lt;&gt;Constants!$B$7,$AB30,AL30))</f>
        <v/>
      </c>
      <c r="AW30" s="103" t="str">
        <f aca="false">IF(ISBLANK($C30),"",IF($AB30&lt;&gt;Constants!$B$7,$AB30,AC30))</f>
        <v/>
      </c>
      <c r="AX30" s="104" t="str">
        <f aca="false">IF(ISBLANK($C30),"",AQ30)</f>
        <v/>
      </c>
      <c r="AY30" s="104" t="str">
        <f aca="false">IF(ISBLANK($C30),"",AP30)</f>
        <v/>
      </c>
      <c r="AZ30" s="105" t="str">
        <f aca="false">IF(ISBLANK($C30),"",IF(AY30=Constants!$B$4,COUNTA($C$8:$C$507)+2,IF(AY30=Constants!$B$5,COUNTA($C$8:$C$507)+1,IF(AY30=Constants!$B$6,COUNTA($C$8:$C$507),AY30))))</f>
        <v/>
      </c>
      <c r="BA30" s="5"/>
      <c r="BB30" s="106" t="n">
        <f aca="false">IF(OR(ISNUMBER(AY30),AY30=Constants!$B$4,AY30=Constants!$B$6,AY30=Constants!$B$5),1,0)</f>
        <v>0</v>
      </c>
      <c r="BC30" s="106" t="n">
        <v>23</v>
      </c>
      <c r="BD30" s="106" t="str">
        <f aca="false">IF(ISBLANK($C30),"",IF(ISNUMBER(AZ30),AZ30+ROW($B30)/1000,""))</f>
        <v/>
      </c>
      <c r="BE30" s="106" t="str">
        <f aca="false">IF(ISNUMBER(BD30),RANK(BD30,$BD$8:$BD$507,1),"")</f>
        <v/>
      </c>
      <c r="BF30" s="106" t="str">
        <f aca="false">IF(ISBLANK($C30),"",$B30)</f>
        <v/>
      </c>
      <c r="BG30" s="106" t="str">
        <f aca="false">IF(ISBLANK($C30),"",$C30)</f>
        <v/>
      </c>
      <c r="BH30" s="106" t="str">
        <f aca="false">IF(ISBLANK($C30),"",$D30)</f>
        <v/>
      </c>
      <c r="BI30" s="107" t="str">
        <f aca="false">AW30</f>
        <v/>
      </c>
      <c r="BJ30" s="108" t="str">
        <f aca="false">AV30</f>
        <v/>
      </c>
      <c r="BK30" s="106" t="str">
        <f aca="false">IF(ISBLANK($C30),"",AY30)</f>
        <v/>
      </c>
      <c r="BL30" s="109" t="str">
        <f aca="false">IF($BC30&gt;$BB$7,"",VLOOKUP($BC30,$BE$8:$BK$507,7,FALSE()))</f>
        <v/>
      </c>
      <c r="BM30" s="110" t="str">
        <f aca="false">IF($BC30&gt;$BB$7,"",VLOOKUP($BC30,$BE$8:$BK$507,2,FALSE()))</f>
        <v/>
      </c>
      <c r="BN30" s="110" t="str">
        <f aca="false">IF($BC30&gt;$BB$7,"",VLOOKUP($BC30,$BE$8:$BK$507,3,FALSE()))</f>
        <v/>
      </c>
      <c r="BO30" s="110" t="str">
        <f aca="false">IF($BC30&gt;$BB$7,"",VLOOKUP($BC30,$BE$8:$BK$507,4,FALSE()))</f>
        <v/>
      </c>
      <c r="BP30" s="110" t="str">
        <f aca="false">IF($BC30&gt;$BB$7,"",VLOOKUP($BC30,$BE$8:$BK$507,5,FALSE()))</f>
        <v/>
      </c>
      <c r="BQ30" s="111" t="str">
        <f aca="false">IF($BC30&gt;$BB$7,"",VLOOKUP($BC30,$BE$8:$BK$507,6,FALSE()))</f>
        <v/>
      </c>
      <c r="BR30" s="54"/>
    </row>
    <row r="31" customFormat="false" ht="13.8" hidden="false" customHeight="false" outlineLevel="0" collapsed="false">
      <c r="A31" s="5"/>
      <c r="B31" s="120"/>
      <c r="C31" s="121"/>
      <c r="D31" s="112"/>
      <c r="E31" s="122"/>
      <c r="F31" s="91"/>
      <c r="G31" s="92"/>
      <c r="H31" s="93"/>
      <c r="I31" s="94"/>
      <c r="J31" s="91"/>
      <c r="K31" s="92"/>
      <c r="L31" s="93"/>
      <c r="M31" s="94"/>
      <c r="N31" s="91"/>
      <c r="O31" s="123"/>
      <c r="P31" s="96"/>
      <c r="Q31" s="97" t="str">
        <f aca="false">IF(ISBLANK($C31),"",IF(E31=Constants!$B$2, TRUE(), IF(E31=Constants!$B$3, FALSE(), TRUE())))</f>
        <v/>
      </c>
      <c r="R31" s="97" t="str">
        <f aca="false">IF(ISBLANK($C31),"",IF(F31=Constants!$B$16,Constants!$B$9,IF(F31=Constants!$B$17,Constants!$B$10,Constants!$B$8)))</f>
        <v/>
      </c>
      <c r="S31" s="97" t="str">
        <f aca="false">IF(ISBLANK($C31),"",IF(COUNTA(G31:H31)=0,"",IF(AND(OR(ISBLANK(G31),AND(ISNUMBER(G31),G31&gt;=0)),OR(ISBLANK(H31),AND(ISNUMBER(H31),H31&gt;=0))),60*IF(ISBLANK(G31),0,G31)+IF(ISBLANK(H31),0,H31),"")))</f>
        <v/>
      </c>
      <c r="T31" s="97" t="str">
        <f aca="false">IF(ISBLANK($C31),"",IF(I31=Constants!$B$2, TRUE(), IF(I31=Constants!$B$3, FALSE(), TRUE())))</f>
        <v/>
      </c>
      <c r="U31" s="97" t="str">
        <f aca="false">IF(ISBLANK($C31),"",IF(J31=Constants!$B$2, TRUE(), IF(J31=Constants!$B$3, FALSE(), TRUE())))</f>
        <v/>
      </c>
      <c r="V31" s="97" t="str">
        <f aca="false">IF(ISBLANK($C31),"",IF(COUNTA(K31:L31)=0,"",IF(AND(OR(ISBLANK(K31),AND(ISNUMBER(K31),K31&gt;=0)),OR(ISBLANK(L31),AND(ISNUMBER(L31),L31&gt;=0))),60*IF(ISBLANK(K31),0,K31)+IF(ISBLANK(L31),0,L31),"")))</f>
        <v/>
      </c>
      <c r="W31" s="97" t="str">
        <f aca="false">IF(ISBLANK($C31),"",IF(M31=Constants!$B$2, TRUE(), IF(M31=Constants!$B$3, FALSE(), TRUE())))</f>
        <v/>
      </c>
      <c r="X31" s="97" t="str">
        <f aca="false">IF(ISBLANK($C31),"",IF(N31=Constants!$B$2, TRUE(), IF(N31=Constants!$B$3, FALSE(), TRUE())))</f>
        <v/>
      </c>
      <c r="Y31" s="97" t="str">
        <f aca="false">IF(ISBLANK($C31),"",IF(O31=Constants!$B$2, TRUE(), IF(O31=Constants!$B$3, FALSE(), FALSE())))</f>
        <v/>
      </c>
      <c r="Z31" s="97" t="str">
        <f aca="false">IF(ISBLANK($C31),"",AND(S31&lt;&gt;"",Q31))</f>
        <v/>
      </c>
      <c r="AA31" s="97" t="str">
        <f aca="false">IF(ISBLANK($C31),"",AND(V31&lt;&gt;"",Q31))</f>
        <v/>
      </c>
      <c r="AB31" s="97" t="str">
        <f aca="false">IF(ISBLANK($C31),"",IF(Y31,Constants!$B$4,IF(COUNTA(E31:N31)=0,Constants!$B$5,IF(NOT(Q31),Constants!$B$6,IF(AND(NOT(Z31),NOT(AA31)),Constants!$B$6,Constants!$B$7)))))</f>
        <v/>
      </c>
      <c r="AC31" s="97" t="str">
        <f aca="false">IF(ISBLANK($C31),"",IF($AB31&lt;&gt;Constants!$B$7,$AB31,Constants!$B$20))</f>
        <v/>
      </c>
      <c r="AD31" s="97" t="str">
        <f aca="false">IF($AB31=Constants!$B$7,IF(Z31,S31,Constants!$B$13),"")</f>
        <v/>
      </c>
      <c r="AE31" s="97" t="str">
        <f aca="false">IF($AB31=Constants!$B$7,IF(Z31,R31*IF(T31, 1, Constants!$B$11)*IF(U31, 1, Constants!$B$12),Constants!$B$13),"")</f>
        <v/>
      </c>
      <c r="AF31" s="97" t="str">
        <f aca="false">IF($AB31=Constants!$B$7,AD31*AE31,"")</f>
        <v/>
      </c>
      <c r="AG31" s="97" t="str">
        <f aca="false">IF($AB31=Constants!$B$7,IF(AA31,V31,Constants!$B$13),"")</f>
        <v/>
      </c>
      <c r="AH31" s="97" t="str">
        <f aca="false">IF($AB31=Constants!$B$7,IF(AA31,R31*IF(W31, 1, Constants!$B$11)*IF(X31, 1, Constants!$B$12),Constants!$B$13),"")</f>
        <v/>
      </c>
      <c r="AI31" s="97" t="str">
        <f aca="false">IF($AB31=Constants!$B$7,AG31*AH31,"")</f>
        <v/>
      </c>
      <c r="AJ31" s="97" t="str">
        <f aca="false">IF($AB31=Constants!$B$7,IF(AI31&gt;AF31,2,1),"")</f>
        <v/>
      </c>
      <c r="AK31" s="97" t="str">
        <f aca="false">IF($AB31=Constants!$B$7,IF(AJ31=1,2,1),"")</f>
        <v/>
      </c>
      <c r="AL31" s="97" t="str">
        <f aca="false">IF(ISBLANK($C31),"",IF($AB31&lt;&gt;Constants!$B$7,$AB31,IF(AJ31=1,AF31,AI31)))</f>
        <v/>
      </c>
      <c r="AM31" s="97" t="str">
        <f aca="false">IF(ISBLANK($C31),"",IF($AB31=Constants!$B$7,IF(ISNUMBER(AL31),RANK(AL31,$AL$8:$AL$507),Constants!$B$14),$AB31))</f>
        <v/>
      </c>
      <c r="AN31" s="97" t="str">
        <f aca="false">IF(ISBLANK($C31),"",IF($AB31=Constants!$B$7,IF(AK31=1,AF31,AI31),""))</f>
        <v/>
      </c>
      <c r="AO31" s="97" t="str">
        <f aca="false">IF(ISBLANK($C31),"",IF($AB31=Constants!$B$7,RANK(AN31,$AN$8:$AN$507),$AB31))</f>
        <v/>
      </c>
      <c r="AP31" s="97" t="str">
        <f aca="false">IF(ISBLANK($C31),"",IF($AB31=Constants!$B$7,IF(ISNUMBER(AM31),COUNTIFS($AM$8:$AM$507,"&lt;"&amp;$AM31)+COUNTIFS($AM$8:$AM$507,$AM31,$AO$8:$AO$507,"&lt;"&amp;$AO31)+1,Constants!$B$14),$AB31))</f>
        <v/>
      </c>
      <c r="AQ31" s="97" t="str">
        <f aca="false">IF(ISBLANK($C31),"",IF($AB31=Constants!$B$7,IF(ISNUMBER(AM31),AM31-AP31,Constants!$B$14),$AB31))</f>
        <v/>
      </c>
      <c r="AR31" s="98"/>
      <c r="AS31" s="99" t="str">
        <f aca="false">IF(ISBLANK($C31),"",IF($AB31&lt;&gt;Constants!$B$7,"",AJ31))</f>
        <v/>
      </c>
      <c r="AT31" s="100" t="str">
        <f aca="false">IF(ISBLANK($C31),"",IF($AB31&lt;&gt;Constants!$B$7,"",IF(AJ31=1,AD31,AG31)))</f>
        <v/>
      </c>
      <c r="AU31" s="101" t="str">
        <f aca="false">IF(ISBLANK($C31),"",IF($AB31&lt;&gt;Constants!$B$7,"",IF(AJ31=1,AE31,AH31)))</f>
        <v/>
      </c>
      <c r="AV31" s="102" t="str">
        <f aca="false">IF(ISBLANK($C31),"",IF($AB31&lt;&gt;Constants!$B$7,$AB31,AL31))</f>
        <v/>
      </c>
      <c r="AW31" s="103" t="str">
        <f aca="false">IF(ISBLANK($C31),"",IF($AB31&lt;&gt;Constants!$B$7,$AB31,AC31))</f>
        <v/>
      </c>
      <c r="AX31" s="104" t="str">
        <f aca="false">IF(ISBLANK($C31),"",AQ31)</f>
        <v/>
      </c>
      <c r="AY31" s="104" t="str">
        <f aca="false">IF(ISBLANK($C31),"",AP31)</f>
        <v/>
      </c>
      <c r="AZ31" s="105" t="str">
        <f aca="false">IF(ISBLANK($C31),"",IF(AY31=Constants!$B$4,COUNTA($C$8:$C$507)+2,IF(AY31=Constants!$B$5,COUNTA($C$8:$C$507)+1,IF(AY31=Constants!$B$6,COUNTA($C$8:$C$507),AY31))))</f>
        <v/>
      </c>
      <c r="BA31" s="5"/>
      <c r="BB31" s="106" t="n">
        <f aca="false">IF(OR(ISNUMBER(AY31),AY31=Constants!$B$4,AY31=Constants!$B$6,AY31=Constants!$B$5),1,0)</f>
        <v>0</v>
      </c>
      <c r="BC31" s="106" t="n">
        <v>24</v>
      </c>
      <c r="BD31" s="106" t="str">
        <f aca="false">IF(ISBLANK($C31),"",IF(ISNUMBER(AZ31),AZ31+ROW($B31)/1000,""))</f>
        <v/>
      </c>
      <c r="BE31" s="106" t="str">
        <f aca="false">IF(ISNUMBER(BD31),RANK(BD31,$BD$8:$BD$507,1),"")</f>
        <v/>
      </c>
      <c r="BF31" s="106" t="str">
        <f aca="false">IF(ISBLANK($C31),"",$B31)</f>
        <v/>
      </c>
      <c r="BG31" s="106" t="str">
        <f aca="false">IF(ISBLANK($C31),"",$C31)</f>
        <v/>
      </c>
      <c r="BH31" s="106" t="str">
        <f aca="false">IF(ISBLANK($C31),"",$D31)</f>
        <v/>
      </c>
      <c r="BI31" s="107" t="str">
        <f aca="false">AW31</f>
        <v/>
      </c>
      <c r="BJ31" s="108" t="str">
        <f aca="false">AV31</f>
        <v/>
      </c>
      <c r="BK31" s="106" t="str">
        <f aca="false">IF(ISBLANK($C31),"",AY31)</f>
        <v/>
      </c>
      <c r="BL31" s="109" t="str">
        <f aca="false">IF($BC31&gt;$BB$7,"",VLOOKUP($BC31,$BE$8:$BK$507,7,FALSE()))</f>
        <v/>
      </c>
      <c r="BM31" s="110" t="str">
        <f aca="false">IF($BC31&gt;$BB$7,"",VLOOKUP($BC31,$BE$8:$BK$507,2,FALSE()))</f>
        <v/>
      </c>
      <c r="BN31" s="110" t="str">
        <f aca="false">IF($BC31&gt;$BB$7,"",VLOOKUP($BC31,$BE$8:$BK$507,3,FALSE()))</f>
        <v/>
      </c>
      <c r="BO31" s="110" t="str">
        <f aca="false">IF($BC31&gt;$BB$7,"",VLOOKUP($BC31,$BE$8:$BK$507,4,FALSE()))</f>
        <v/>
      </c>
      <c r="BP31" s="110" t="str">
        <f aca="false">IF($BC31&gt;$BB$7,"",VLOOKUP($BC31,$BE$8:$BK$507,5,FALSE()))</f>
        <v/>
      </c>
      <c r="BQ31" s="111" t="str">
        <f aca="false">IF($BC31&gt;$BB$7,"",VLOOKUP($BC31,$BE$8:$BK$507,6,FALSE()))</f>
        <v/>
      </c>
      <c r="BR31" s="54"/>
    </row>
    <row r="32" customFormat="false" ht="13.8" hidden="false" customHeight="false" outlineLevel="0" collapsed="false">
      <c r="A32" s="5"/>
      <c r="B32" s="124"/>
      <c r="C32" s="56"/>
      <c r="D32" s="57"/>
      <c r="E32" s="119"/>
      <c r="F32" s="59"/>
      <c r="G32" s="60"/>
      <c r="H32" s="61"/>
      <c r="I32" s="62"/>
      <c r="J32" s="59"/>
      <c r="K32" s="60"/>
      <c r="L32" s="61"/>
      <c r="M32" s="62"/>
      <c r="N32" s="59"/>
      <c r="O32" s="83"/>
      <c r="P32" s="64"/>
      <c r="Q32" s="66" t="str">
        <f aca="false">IF(ISBLANK($C32),"",IF(E32=Constants!$B$2, TRUE(), IF(E32=Constants!$B$3, FALSE(), TRUE())))</f>
        <v/>
      </c>
      <c r="R32" s="66" t="str">
        <f aca="false">IF(ISBLANK($C32),"",IF(F32=Constants!$B$16,Constants!$B$9,IF(F32=Constants!$B$17,Constants!$B$10,Constants!$B$8)))</f>
        <v/>
      </c>
      <c r="S32" s="66" t="str">
        <f aca="false">IF(ISBLANK($C32),"",IF(COUNTA(G32:H32)=0,"",IF(AND(OR(ISBLANK(G32),AND(ISNUMBER(G32),G32&gt;=0)),OR(ISBLANK(H32),AND(ISNUMBER(H32),H32&gt;=0))),60*IF(ISBLANK(G32),0,G32)+IF(ISBLANK(H32),0,H32),"")))</f>
        <v/>
      </c>
      <c r="T32" s="66" t="str">
        <f aca="false">IF(ISBLANK($C32),"",IF(I32=Constants!$B$2, TRUE(), IF(I32=Constants!$B$3, FALSE(), TRUE())))</f>
        <v/>
      </c>
      <c r="U32" s="66" t="str">
        <f aca="false">IF(ISBLANK($C32),"",IF(J32=Constants!$B$2, TRUE(), IF(J32=Constants!$B$3, FALSE(), TRUE())))</f>
        <v/>
      </c>
      <c r="V32" s="66" t="str">
        <f aca="false">IF(ISBLANK($C32),"",IF(COUNTA(K32:L32)=0,"",IF(AND(OR(ISBLANK(K32),AND(ISNUMBER(K32),K32&gt;=0)),OR(ISBLANK(L32),AND(ISNUMBER(L32),L32&gt;=0))),60*IF(ISBLANK(K32),0,K32)+IF(ISBLANK(L32),0,L32),"")))</f>
        <v/>
      </c>
      <c r="W32" s="66" t="str">
        <f aca="false">IF(ISBLANK($C32),"",IF(M32=Constants!$B$2, TRUE(), IF(M32=Constants!$B$3, FALSE(), TRUE())))</f>
        <v/>
      </c>
      <c r="X32" s="66" t="str">
        <f aca="false">IF(ISBLANK($C32),"",IF(N32=Constants!$B$2, TRUE(), IF(N32=Constants!$B$3, FALSE(), TRUE())))</f>
        <v/>
      </c>
      <c r="Y32" s="66" t="str">
        <f aca="false">IF(ISBLANK($C32),"",IF(O32=Constants!$B$2, TRUE(), IF(O32=Constants!$B$3, FALSE(), FALSE())))</f>
        <v/>
      </c>
      <c r="Z32" s="66" t="str">
        <f aca="false">IF(ISBLANK($C32),"",AND(S32&lt;&gt;"",Q32))</f>
        <v/>
      </c>
      <c r="AA32" s="66" t="str">
        <f aca="false">IF(ISBLANK($C32),"",AND(V32&lt;&gt;"",Q32))</f>
        <v/>
      </c>
      <c r="AB32" s="66" t="str">
        <f aca="false">IF(ISBLANK($C32),"",IF(Y32,Constants!$B$4,IF(COUNTA(E32:N32)=0,Constants!$B$5,IF(NOT(Q32),Constants!$B$6,IF(AND(NOT(Z32),NOT(AA32)),Constants!$B$6,Constants!$B$7)))))</f>
        <v/>
      </c>
      <c r="AC32" s="66" t="str">
        <f aca="false">IF(ISBLANK($C32),"",IF($AB32&lt;&gt;Constants!$B$7,$AB32,Constants!$B$20))</f>
        <v/>
      </c>
      <c r="AD32" s="66" t="str">
        <f aca="false">IF($AB32=Constants!$B$7,IF(Z32,S32,Constants!$B$13),"")</f>
        <v/>
      </c>
      <c r="AE32" s="66" t="str">
        <f aca="false">IF($AB32=Constants!$B$7,IF(Z32,R32*IF(T32, 1, Constants!$B$11)*IF(U32, 1, Constants!$B$12),Constants!$B$13),"")</f>
        <v/>
      </c>
      <c r="AF32" s="66" t="str">
        <f aca="false">IF($AB32=Constants!$B$7,AD32*AE32,"")</f>
        <v/>
      </c>
      <c r="AG32" s="66" t="str">
        <f aca="false">IF($AB32=Constants!$B$7,IF(AA32,V32,Constants!$B$13),"")</f>
        <v/>
      </c>
      <c r="AH32" s="66" t="str">
        <f aca="false">IF($AB32=Constants!$B$7,IF(AA32,R32*IF(W32, 1, Constants!$B$11)*IF(X32, 1, Constants!$B$12),Constants!$B$13),"")</f>
        <v/>
      </c>
      <c r="AI32" s="66" t="str">
        <f aca="false">IF($AB32=Constants!$B$7,AG32*AH32,"")</f>
        <v/>
      </c>
      <c r="AJ32" s="66" t="str">
        <f aca="false">IF($AB32=Constants!$B$7,IF(AI32&gt;AF32,2,1),"")</f>
        <v/>
      </c>
      <c r="AK32" s="66" t="str">
        <f aca="false">IF($AB32=Constants!$B$7,IF(AJ32=1,2,1),"")</f>
        <v/>
      </c>
      <c r="AL32" s="66" t="str">
        <f aca="false">IF(ISBLANK($C32),"",IF($AB32&lt;&gt;Constants!$B$7,$AB32,IF(AJ32=1,AF32,AI32)))</f>
        <v/>
      </c>
      <c r="AM32" s="66" t="str">
        <f aca="false">IF(ISBLANK($C32),"",IF($AB32=Constants!$B$7,IF(ISNUMBER(AL32),RANK(AL32,$AL$8:$AL$507),Constants!$B$14),$AB32))</f>
        <v/>
      </c>
      <c r="AN32" s="66" t="str">
        <f aca="false">IF(ISBLANK($C32),"",IF($AB32=Constants!$B$7,IF(AK32=1,AF32,AI32),""))</f>
        <v/>
      </c>
      <c r="AO32" s="66" t="str">
        <f aca="false">IF(ISBLANK($C32),"",IF($AB32=Constants!$B$7,RANK(AN32,$AN$8:$AN$507),$AB32))</f>
        <v/>
      </c>
      <c r="AP32" s="66" t="str">
        <f aca="false">IF(ISBLANK($C32),"",IF($AB32=Constants!$B$7,IF(ISNUMBER(AM32),COUNTIFS($AM$8:$AM$507,"&lt;"&amp;$AM32)+COUNTIFS($AM$8:$AM$507,$AM32,$AO$8:$AO$507,"&lt;"&amp;$AO32)+1,Constants!$B$14),$AB32))</f>
        <v/>
      </c>
      <c r="AQ32" s="66" t="str">
        <f aca="false">IF(ISBLANK($C32),"",IF($AB32=Constants!$B$7,IF(ISNUMBER(AM32),AM32-AP32,Constants!$B$14),$AB32))</f>
        <v/>
      </c>
      <c r="AR32" s="68"/>
      <c r="AS32" s="69" t="str">
        <f aca="false">IF(ISBLANK($C32),"",IF($AB32&lt;&gt;Constants!$B$7,"",AJ32))</f>
        <v/>
      </c>
      <c r="AT32" s="84" t="str">
        <f aca="false">IF(ISBLANK($C32),"",IF($AB32&lt;&gt;Constants!$B$7,"",IF(AJ32=1,AD32,AG32)))</f>
        <v/>
      </c>
      <c r="AU32" s="71" t="str">
        <f aca="false">IF(ISBLANK($C32),"",IF($AB32&lt;&gt;Constants!$B$7,"",IF(AJ32=1,AE32,AH32)))</f>
        <v/>
      </c>
      <c r="AV32" s="72" t="str">
        <f aca="false">IF(ISBLANK($C32),"",IF($AB32&lt;&gt;Constants!$B$7,$AB32,AL32))</f>
        <v/>
      </c>
      <c r="AW32" s="73" t="str">
        <f aca="false">IF(ISBLANK($C32),"",IF($AB32&lt;&gt;Constants!$B$7,$AB32,AC32))</f>
        <v/>
      </c>
      <c r="AX32" s="74" t="str">
        <f aca="false">IF(ISBLANK($C32),"",AQ32)</f>
        <v/>
      </c>
      <c r="AY32" s="74" t="str">
        <f aca="false">IF(ISBLANK($C32),"",AP32)</f>
        <v/>
      </c>
      <c r="AZ32" s="75" t="str">
        <f aca="false">IF(ISBLANK($C32),"",IF(AY32=Constants!$B$4,COUNTA($C$8:$C$507)+2,IF(AY32=Constants!$B$5,COUNTA($C$8:$C$507)+1,IF(AY32=Constants!$B$6,COUNTA($C$8:$C$507),AY32))))</f>
        <v/>
      </c>
      <c r="BA32" s="5"/>
      <c r="BB32" s="76" t="n">
        <f aca="false">IF(OR(ISNUMBER(AY32),AY32=Constants!$B$4,AY32=Constants!$B$6,AY32=Constants!$B$5),1,0)</f>
        <v>0</v>
      </c>
      <c r="BC32" s="76" t="n">
        <v>25</v>
      </c>
      <c r="BD32" s="76" t="str">
        <f aca="false">IF(ISBLANK($C32),"",IF(ISNUMBER(AZ32),AZ32+ROW($B32)/1000,""))</f>
        <v/>
      </c>
      <c r="BE32" s="76" t="str">
        <f aca="false">IF(ISNUMBER(BD32),RANK(BD32,$BD$8:$BD$507,1),"")</f>
        <v/>
      </c>
      <c r="BF32" s="76" t="str">
        <f aca="false">IF(ISBLANK($C32),"",$B32)</f>
        <v/>
      </c>
      <c r="BG32" s="76" t="str">
        <f aca="false">IF(ISBLANK($C32),"",$C32)</f>
        <v/>
      </c>
      <c r="BH32" s="76" t="str">
        <f aca="false">IF(ISBLANK($C32),"",$D32)</f>
        <v/>
      </c>
      <c r="BI32" s="77" t="str">
        <f aca="false">AW32</f>
        <v/>
      </c>
      <c r="BJ32" s="78" t="str">
        <f aca="false">AV32</f>
        <v/>
      </c>
      <c r="BK32" s="76" t="str">
        <f aca="false">IF(ISBLANK($C32),"",AY32)</f>
        <v/>
      </c>
      <c r="BL32" s="79" t="str">
        <f aca="false">IF($BC32&gt;$BB$7,"",VLOOKUP($BC32,$BE$8:$BK$507,7,FALSE()))</f>
        <v/>
      </c>
      <c r="BM32" s="80" t="str">
        <f aca="false">IF($BC32&gt;$BB$7,"",VLOOKUP($BC32,$BE$8:$BK$507,2,FALSE()))</f>
        <v/>
      </c>
      <c r="BN32" s="80" t="str">
        <f aca="false">IF($BC32&gt;$BB$7,"",VLOOKUP($BC32,$BE$8:$BK$507,3,FALSE()))</f>
        <v/>
      </c>
      <c r="BO32" s="80" t="str">
        <f aca="false">IF($BC32&gt;$BB$7,"",VLOOKUP($BC32,$BE$8:$BK$507,4,FALSE()))</f>
        <v/>
      </c>
      <c r="BP32" s="80" t="str">
        <f aca="false">IF($BC32&gt;$BB$7,"",VLOOKUP($BC32,$BE$8:$BK$507,5,FALSE()))</f>
        <v/>
      </c>
      <c r="BQ32" s="81" t="str">
        <f aca="false">IF($BC32&gt;$BB$7,"",VLOOKUP($BC32,$BE$8:$BK$507,6,FALSE()))</f>
        <v/>
      </c>
      <c r="BR32" s="54"/>
    </row>
    <row r="33" customFormat="false" ht="13.8" hidden="false" customHeight="false" outlineLevel="0" collapsed="false">
      <c r="A33" s="5"/>
      <c r="B33" s="124"/>
      <c r="C33" s="56"/>
      <c r="D33" s="57"/>
      <c r="E33" s="119"/>
      <c r="F33" s="59"/>
      <c r="G33" s="60"/>
      <c r="H33" s="61"/>
      <c r="I33" s="62"/>
      <c r="J33" s="59"/>
      <c r="K33" s="60"/>
      <c r="L33" s="61"/>
      <c r="M33" s="62"/>
      <c r="N33" s="59"/>
      <c r="O33" s="83"/>
      <c r="P33" s="64"/>
      <c r="Q33" s="66" t="str">
        <f aca="false">IF(ISBLANK($C33),"",IF(E33=Constants!$B$2, TRUE(), IF(E33=Constants!$B$3, FALSE(), TRUE())))</f>
        <v/>
      </c>
      <c r="R33" s="66" t="str">
        <f aca="false">IF(ISBLANK($C33),"",IF(F33=Constants!$B$16,Constants!$B$9,IF(F33=Constants!$B$17,Constants!$B$10,Constants!$B$8)))</f>
        <v/>
      </c>
      <c r="S33" s="66" t="str">
        <f aca="false">IF(ISBLANK($C33),"",IF(COUNTA(G33:H33)=0,"",IF(AND(OR(ISBLANK(G33),AND(ISNUMBER(G33),G33&gt;=0)),OR(ISBLANK(H33),AND(ISNUMBER(H33),H33&gt;=0))),60*IF(ISBLANK(G33),0,G33)+IF(ISBLANK(H33),0,H33),"")))</f>
        <v/>
      </c>
      <c r="T33" s="66" t="str">
        <f aca="false">IF(ISBLANK($C33),"",IF(I33=Constants!$B$2, TRUE(), IF(I33=Constants!$B$3, FALSE(), TRUE())))</f>
        <v/>
      </c>
      <c r="U33" s="66" t="str">
        <f aca="false">IF(ISBLANK($C33),"",IF(J33=Constants!$B$2, TRUE(), IF(J33=Constants!$B$3, FALSE(), TRUE())))</f>
        <v/>
      </c>
      <c r="V33" s="66" t="str">
        <f aca="false">IF(ISBLANK($C33),"",IF(COUNTA(K33:L33)=0,"",IF(AND(OR(ISBLANK(K33),AND(ISNUMBER(K33),K33&gt;=0)),OR(ISBLANK(L33),AND(ISNUMBER(L33),L33&gt;=0))),60*IF(ISBLANK(K33),0,K33)+IF(ISBLANK(L33),0,L33),"")))</f>
        <v/>
      </c>
      <c r="W33" s="66" t="str">
        <f aca="false">IF(ISBLANK($C33),"",IF(M33=Constants!$B$2, TRUE(), IF(M33=Constants!$B$3, FALSE(), TRUE())))</f>
        <v/>
      </c>
      <c r="X33" s="66" t="str">
        <f aca="false">IF(ISBLANK($C33),"",IF(N33=Constants!$B$2, TRUE(), IF(N33=Constants!$B$3, FALSE(), TRUE())))</f>
        <v/>
      </c>
      <c r="Y33" s="66" t="str">
        <f aca="false">IF(ISBLANK($C33),"",IF(O33=Constants!$B$2, TRUE(), IF(O33=Constants!$B$3, FALSE(), FALSE())))</f>
        <v/>
      </c>
      <c r="Z33" s="66" t="str">
        <f aca="false">IF(ISBLANK($C33),"",AND(S33&lt;&gt;"",Q33))</f>
        <v/>
      </c>
      <c r="AA33" s="66" t="str">
        <f aca="false">IF(ISBLANK($C33),"",AND(V33&lt;&gt;"",Q33))</f>
        <v/>
      </c>
      <c r="AB33" s="66" t="str">
        <f aca="false">IF(ISBLANK($C33),"",IF(Y33,Constants!$B$4,IF(COUNTA(E33:N33)=0,Constants!$B$5,IF(NOT(Q33),Constants!$B$6,IF(AND(NOT(Z33),NOT(AA33)),Constants!$B$6,Constants!$B$7)))))</f>
        <v/>
      </c>
      <c r="AC33" s="66" t="str">
        <f aca="false">IF(ISBLANK($C33),"",IF($AB33&lt;&gt;Constants!$B$7,$AB33,Constants!$B$20))</f>
        <v/>
      </c>
      <c r="AD33" s="66" t="str">
        <f aca="false">IF($AB33=Constants!$B$7,IF(Z33,S33,Constants!$B$13),"")</f>
        <v/>
      </c>
      <c r="AE33" s="66" t="str">
        <f aca="false">IF($AB33=Constants!$B$7,IF(Z33,R33*IF(T33, 1, Constants!$B$11)*IF(U33, 1, Constants!$B$12),Constants!$B$13),"")</f>
        <v/>
      </c>
      <c r="AF33" s="66" t="str">
        <f aca="false">IF($AB33=Constants!$B$7,AD33*AE33,"")</f>
        <v/>
      </c>
      <c r="AG33" s="66" t="str">
        <f aca="false">IF($AB33=Constants!$B$7,IF(AA33,V33,Constants!$B$13),"")</f>
        <v/>
      </c>
      <c r="AH33" s="66" t="str">
        <f aca="false">IF($AB33=Constants!$B$7,IF(AA33,R33*IF(W33, 1, Constants!$B$11)*IF(X33, 1, Constants!$B$12),Constants!$B$13),"")</f>
        <v/>
      </c>
      <c r="AI33" s="66" t="str">
        <f aca="false">IF($AB33=Constants!$B$7,AG33*AH33,"")</f>
        <v/>
      </c>
      <c r="AJ33" s="66" t="str">
        <f aca="false">IF($AB33=Constants!$B$7,IF(AI33&gt;AF33,2,1),"")</f>
        <v/>
      </c>
      <c r="AK33" s="66" t="str">
        <f aca="false">IF($AB33=Constants!$B$7,IF(AJ33=1,2,1),"")</f>
        <v/>
      </c>
      <c r="AL33" s="66" t="str">
        <f aca="false">IF(ISBLANK($C33),"",IF($AB33&lt;&gt;Constants!$B$7,$AB33,IF(AJ33=1,AF33,AI33)))</f>
        <v/>
      </c>
      <c r="AM33" s="66" t="str">
        <f aca="false">IF(ISBLANK($C33),"",IF($AB33=Constants!$B$7,IF(ISNUMBER(AL33),RANK(AL33,$AL$8:$AL$507),Constants!$B$14),$AB33))</f>
        <v/>
      </c>
      <c r="AN33" s="66" t="str">
        <f aca="false">IF(ISBLANK($C33),"",IF($AB33=Constants!$B$7,IF(AK33=1,AF33,AI33),""))</f>
        <v/>
      </c>
      <c r="AO33" s="66" t="str">
        <f aca="false">IF(ISBLANK($C33),"",IF($AB33=Constants!$B$7,RANK(AN33,$AN$8:$AN$507),$AB33))</f>
        <v/>
      </c>
      <c r="AP33" s="66" t="str">
        <f aca="false">IF(ISBLANK($C33),"",IF($AB33=Constants!$B$7,IF(ISNUMBER(AM33),COUNTIFS($AM$8:$AM$507,"&lt;"&amp;$AM33)+COUNTIFS($AM$8:$AM$507,$AM33,$AO$8:$AO$507,"&lt;"&amp;$AO33)+1,Constants!$B$14),$AB33))</f>
        <v/>
      </c>
      <c r="AQ33" s="66" t="str">
        <f aca="false">IF(ISBLANK($C33),"",IF($AB33=Constants!$B$7,IF(ISNUMBER(AM33),AM33-AP33,Constants!$B$14),$AB33))</f>
        <v/>
      </c>
      <c r="AR33" s="68"/>
      <c r="AS33" s="69" t="str">
        <f aca="false">IF(ISBLANK($C33),"",IF($AB33&lt;&gt;Constants!$B$7,"",AJ33))</f>
        <v/>
      </c>
      <c r="AT33" s="84" t="str">
        <f aca="false">IF(ISBLANK($C33),"",IF($AB33&lt;&gt;Constants!$B$7,"",IF(AJ33=1,AD33,AG33)))</f>
        <v/>
      </c>
      <c r="AU33" s="71" t="str">
        <f aca="false">IF(ISBLANK($C33),"",IF($AB33&lt;&gt;Constants!$B$7,"",IF(AJ33=1,AE33,AH33)))</f>
        <v/>
      </c>
      <c r="AV33" s="72" t="str">
        <f aca="false">IF(ISBLANK($C33),"",IF($AB33&lt;&gt;Constants!$B$7,$AB33,AL33))</f>
        <v/>
      </c>
      <c r="AW33" s="73" t="str">
        <f aca="false">IF(ISBLANK($C33),"",IF($AB33&lt;&gt;Constants!$B$7,$AB33,AC33))</f>
        <v/>
      </c>
      <c r="AX33" s="74" t="str">
        <f aca="false">IF(ISBLANK($C33),"",AQ33)</f>
        <v/>
      </c>
      <c r="AY33" s="74" t="str">
        <f aca="false">IF(ISBLANK($C33),"",AP33)</f>
        <v/>
      </c>
      <c r="AZ33" s="75" t="str">
        <f aca="false">IF(ISBLANK($C33),"",IF(AY33=Constants!$B$4,COUNTA($C$8:$C$507)+2,IF(AY33=Constants!$B$5,COUNTA($C$8:$C$507)+1,IF(AY33=Constants!$B$6,COUNTA($C$8:$C$507),AY33))))</f>
        <v/>
      </c>
      <c r="BA33" s="5"/>
      <c r="BB33" s="76" t="n">
        <f aca="false">IF(OR(ISNUMBER(AY33),AY33=Constants!$B$4,AY33=Constants!$B$6,AY33=Constants!$B$5),1,0)</f>
        <v>0</v>
      </c>
      <c r="BC33" s="76" t="n">
        <v>26</v>
      </c>
      <c r="BD33" s="76" t="str">
        <f aca="false">IF(ISBLANK($C33),"",IF(ISNUMBER(AZ33),AZ33+ROW($B33)/1000,""))</f>
        <v/>
      </c>
      <c r="BE33" s="76" t="str">
        <f aca="false">IF(ISNUMBER(BD33),RANK(BD33,$BD$8:$BD$507,1),"")</f>
        <v/>
      </c>
      <c r="BF33" s="76" t="str">
        <f aca="false">IF(ISBLANK($C33),"",$B33)</f>
        <v/>
      </c>
      <c r="BG33" s="76" t="str">
        <f aca="false">IF(ISBLANK($C33),"",$C33)</f>
        <v/>
      </c>
      <c r="BH33" s="76" t="str">
        <f aca="false">IF(ISBLANK($C33),"",$D33)</f>
        <v/>
      </c>
      <c r="BI33" s="77" t="str">
        <f aca="false">AW33</f>
        <v/>
      </c>
      <c r="BJ33" s="78" t="str">
        <f aca="false">AV33</f>
        <v/>
      </c>
      <c r="BK33" s="76" t="str">
        <f aca="false">IF(ISBLANK($C33),"",AY33)</f>
        <v/>
      </c>
      <c r="BL33" s="79" t="str">
        <f aca="false">IF($BC33&gt;$BB$7,"",VLOOKUP($BC33,$BE$8:$BK$507,7,FALSE()))</f>
        <v/>
      </c>
      <c r="BM33" s="80" t="str">
        <f aca="false">IF($BC33&gt;$BB$7,"",VLOOKUP($BC33,$BE$8:$BK$507,2,FALSE()))</f>
        <v/>
      </c>
      <c r="BN33" s="80" t="str">
        <f aca="false">IF($BC33&gt;$BB$7,"",VLOOKUP($BC33,$BE$8:$BK$507,3,FALSE()))</f>
        <v/>
      </c>
      <c r="BO33" s="80" t="str">
        <f aca="false">IF($BC33&gt;$BB$7,"",VLOOKUP($BC33,$BE$8:$BK$507,4,FALSE()))</f>
        <v/>
      </c>
      <c r="BP33" s="80" t="str">
        <f aca="false">IF($BC33&gt;$BB$7,"",VLOOKUP($BC33,$BE$8:$BK$507,5,FALSE()))</f>
        <v/>
      </c>
      <c r="BQ33" s="81" t="str">
        <f aca="false">IF($BC33&gt;$BB$7,"",VLOOKUP($BC33,$BE$8:$BK$507,6,FALSE()))</f>
        <v/>
      </c>
      <c r="BR33" s="54"/>
    </row>
    <row r="34" customFormat="false" ht="13.8" hidden="false" customHeight="false" outlineLevel="0" collapsed="false">
      <c r="A34" s="5"/>
      <c r="B34" s="124"/>
      <c r="C34" s="56"/>
      <c r="D34" s="57"/>
      <c r="E34" s="119"/>
      <c r="F34" s="59"/>
      <c r="G34" s="60"/>
      <c r="H34" s="61"/>
      <c r="I34" s="62"/>
      <c r="J34" s="59"/>
      <c r="K34" s="60"/>
      <c r="L34" s="61"/>
      <c r="M34" s="62"/>
      <c r="N34" s="59"/>
      <c r="O34" s="83"/>
      <c r="P34" s="64"/>
      <c r="Q34" s="66" t="str">
        <f aca="false">IF(ISBLANK($C34),"",IF(E34=Constants!$B$2, TRUE(), IF(E34=Constants!$B$3, FALSE(), TRUE())))</f>
        <v/>
      </c>
      <c r="R34" s="66" t="str">
        <f aca="false">IF(ISBLANK($C34),"",IF(F34=Constants!$B$16,Constants!$B$9,IF(F34=Constants!$B$17,Constants!$B$10,Constants!$B$8)))</f>
        <v/>
      </c>
      <c r="S34" s="66" t="str">
        <f aca="false">IF(ISBLANK($C34),"",IF(COUNTA(G34:H34)=0,"",IF(AND(OR(ISBLANK(G34),AND(ISNUMBER(G34),G34&gt;=0)),OR(ISBLANK(H34),AND(ISNUMBER(H34),H34&gt;=0))),60*IF(ISBLANK(G34),0,G34)+IF(ISBLANK(H34),0,H34),"")))</f>
        <v/>
      </c>
      <c r="T34" s="66" t="str">
        <f aca="false">IF(ISBLANK($C34),"",IF(I34=Constants!$B$2, TRUE(), IF(I34=Constants!$B$3, FALSE(), TRUE())))</f>
        <v/>
      </c>
      <c r="U34" s="66" t="str">
        <f aca="false">IF(ISBLANK($C34),"",IF(J34=Constants!$B$2, TRUE(), IF(J34=Constants!$B$3, FALSE(), TRUE())))</f>
        <v/>
      </c>
      <c r="V34" s="66" t="str">
        <f aca="false">IF(ISBLANK($C34),"",IF(COUNTA(K34:L34)=0,"",IF(AND(OR(ISBLANK(K34),AND(ISNUMBER(K34),K34&gt;=0)),OR(ISBLANK(L34),AND(ISNUMBER(L34),L34&gt;=0))),60*IF(ISBLANK(K34),0,K34)+IF(ISBLANK(L34),0,L34),"")))</f>
        <v/>
      </c>
      <c r="W34" s="66" t="str">
        <f aca="false">IF(ISBLANK($C34),"",IF(M34=Constants!$B$2, TRUE(), IF(M34=Constants!$B$3, FALSE(), TRUE())))</f>
        <v/>
      </c>
      <c r="X34" s="66" t="str">
        <f aca="false">IF(ISBLANK($C34),"",IF(N34=Constants!$B$2, TRUE(), IF(N34=Constants!$B$3, FALSE(), TRUE())))</f>
        <v/>
      </c>
      <c r="Y34" s="66" t="str">
        <f aca="false">IF(ISBLANK($C34),"",IF(O34=Constants!$B$2, TRUE(), IF(O34=Constants!$B$3, FALSE(), FALSE())))</f>
        <v/>
      </c>
      <c r="Z34" s="66" t="str">
        <f aca="false">IF(ISBLANK($C34),"",AND(S34&lt;&gt;"",Q34))</f>
        <v/>
      </c>
      <c r="AA34" s="66" t="str">
        <f aca="false">IF(ISBLANK($C34),"",AND(V34&lt;&gt;"",Q34))</f>
        <v/>
      </c>
      <c r="AB34" s="66" t="str">
        <f aca="false">IF(ISBLANK($C34),"",IF(Y34,Constants!$B$4,IF(COUNTA(E34:N34)=0,Constants!$B$5,IF(NOT(Q34),Constants!$B$6,IF(AND(NOT(Z34),NOT(AA34)),Constants!$B$6,Constants!$B$7)))))</f>
        <v/>
      </c>
      <c r="AC34" s="66" t="str">
        <f aca="false">IF(ISBLANK($C34),"",IF($AB34&lt;&gt;Constants!$B$7,$AB34,Constants!$B$20))</f>
        <v/>
      </c>
      <c r="AD34" s="66" t="str">
        <f aca="false">IF($AB34=Constants!$B$7,IF(Z34,S34,Constants!$B$13),"")</f>
        <v/>
      </c>
      <c r="AE34" s="66" t="str">
        <f aca="false">IF($AB34=Constants!$B$7,IF(Z34,R34*IF(T34, 1, Constants!$B$11)*IF(U34, 1, Constants!$B$12),Constants!$B$13),"")</f>
        <v/>
      </c>
      <c r="AF34" s="66" t="str">
        <f aca="false">IF($AB34=Constants!$B$7,AD34*AE34,"")</f>
        <v/>
      </c>
      <c r="AG34" s="66" t="str">
        <f aca="false">IF($AB34=Constants!$B$7,IF(AA34,V34,Constants!$B$13),"")</f>
        <v/>
      </c>
      <c r="AH34" s="66" t="str">
        <f aca="false">IF($AB34=Constants!$B$7,IF(AA34,R34*IF(W34, 1, Constants!$B$11)*IF(X34, 1, Constants!$B$12),Constants!$B$13),"")</f>
        <v/>
      </c>
      <c r="AI34" s="66" t="str">
        <f aca="false">IF($AB34=Constants!$B$7,AG34*AH34,"")</f>
        <v/>
      </c>
      <c r="AJ34" s="66" t="str">
        <f aca="false">IF($AB34=Constants!$B$7,IF(AI34&gt;AF34,2,1),"")</f>
        <v/>
      </c>
      <c r="AK34" s="66" t="str">
        <f aca="false">IF($AB34=Constants!$B$7,IF(AJ34=1,2,1),"")</f>
        <v/>
      </c>
      <c r="AL34" s="66" t="str">
        <f aca="false">IF(ISBLANK($C34),"",IF($AB34&lt;&gt;Constants!$B$7,$AB34,IF(AJ34=1,AF34,AI34)))</f>
        <v/>
      </c>
      <c r="AM34" s="66" t="str">
        <f aca="false">IF(ISBLANK($C34),"",IF($AB34=Constants!$B$7,IF(ISNUMBER(AL34),RANK(AL34,$AL$8:$AL$507),Constants!$B$14),$AB34))</f>
        <v/>
      </c>
      <c r="AN34" s="66" t="str">
        <f aca="false">IF(ISBLANK($C34),"",IF($AB34=Constants!$B$7,IF(AK34=1,AF34,AI34),""))</f>
        <v/>
      </c>
      <c r="AO34" s="66" t="str">
        <f aca="false">IF(ISBLANK($C34),"",IF($AB34=Constants!$B$7,RANK(AN34,$AN$8:$AN$507),$AB34))</f>
        <v/>
      </c>
      <c r="AP34" s="66" t="str">
        <f aca="false">IF(ISBLANK($C34),"",IF($AB34=Constants!$B$7,IF(ISNUMBER(AM34),COUNTIFS($AM$8:$AM$507,"&lt;"&amp;$AM34)+COUNTIFS($AM$8:$AM$507,$AM34,$AO$8:$AO$507,"&lt;"&amp;$AO34)+1,Constants!$B$14),$AB34))</f>
        <v/>
      </c>
      <c r="AQ34" s="66" t="str">
        <f aca="false">IF(ISBLANK($C34),"",IF($AB34=Constants!$B$7,IF(ISNUMBER(AM34),AM34-AP34,Constants!$B$14),$AB34))</f>
        <v/>
      </c>
      <c r="AR34" s="68"/>
      <c r="AS34" s="69" t="str">
        <f aca="false">IF(ISBLANK($C34),"",IF($AB34&lt;&gt;Constants!$B$7,"",AJ34))</f>
        <v/>
      </c>
      <c r="AT34" s="84" t="str">
        <f aca="false">IF(ISBLANK($C34),"",IF($AB34&lt;&gt;Constants!$B$7,"",IF(AJ34=1,AD34,AG34)))</f>
        <v/>
      </c>
      <c r="AU34" s="71" t="str">
        <f aca="false">IF(ISBLANK($C34),"",IF($AB34&lt;&gt;Constants!$B$7,"",IF(AJ34=1,AE34,AH34)))</f>
        <v/>
      </c>
      <c r="AV34" s="72" t="str">
        <f aca="false">IF(ISBLANK($C34),"",IF($AB34&lt;&gt;Constants!$B$7,$AB34,AL34))</f>
        <v/>
      </c>
      <c r="AW34" s="73" t="str">
        <f aca="false">IF(ISBLANK($C34),"",IF($AB34&lt;&gt;Constants!$B$7,$AB34,AC34))</f>
        <v/>
      </c>
      <c r="AX34" s="74" t="str">
        <f aca="false">IF(ISBLANK($C34),"",AQ34)</f>
        <v/>
      </c>
      <c r="AY34" s="74" t="str">
        <f aca="false">IF(ISBLANK($C34),"",AP34)</f>
        <v/>
      </c>
      <c r="AZ34" s="75" t="str">
        <f aca="false">IF(ISBLANK($C34),"",IF(AY34=Constants!$B$4,COUNTA($C$8:$C$507)+2,IF(AY34=Constants!$B$5,COUNTA($C$8:$C$507)+1,IF(AY34=Constants!$B$6,COUNTA($C$8:$C$507),AY34))))</f>
        <v/>
      </c>
      <c r="BA34" s="5"/>
      <c r="BB34" s="76" t="n">
        <f aca="false">IF(OR(ISNUMBER(AY34),AY34=Constants!$B$4,AY34=Constants!$B$6,AY34=Constants!$B$5),1,0)</f>
        <v>0</v>
      </c>
      <c r="BC34" s="76" t="n">
        <v>27</v>
      </c>
      <c r="BD34" s="76" t="str">
        <f aca="false">IF(ISBLANK($C34),"",IF(ISNUMBER(AZ34),AZ34+ROW($B34)/1000,""))</f>
        <v/>
      </c>
      <c r="BE34" s="76" t="str">
        <f aca="false">IF(ISNUMBER(BD34),RANK(BD34,$BD$8:$BD$507,1),"")</f>
        <v/>
      </c>
      <c r="BF34" s="76" t="str">
        <f aca="false">IF(ISBLANK($C34),"",$B34)</f>
        <v/>
      </c>
      <c r="BG34" s="76" t="str">
        <f aca="false">IF(ISBLANK($C34),"",$C34)</f>
        <v/>
      </c>
      <c r="BH34" s="76" t="str">
        <f aca="false">IF(ISBLANK($C34),"",$D34)</f>
        <v/>
      </c>
      <c r="BI34" s="77" t="str">
        <f aca="false">AW34</f>
        <v/>
      </c>
      <c r="BJ34" s="78" t="str">
        <f aca="false">AV34</f>
        <v/>
      </c>
      <c r="BK34" s="76" t="str">
        <f aca="false">IF(ISBLANK($C34),"",AY34)</f>
        <v/>
      </c>
      <c r="BL34" s="79" t="str">
        <f aca="false">IF($BC34&gt;$BB$7,"",VLOOKUP($BC34,$BE$8:$BK$507,7,FALSE()))</f>
        <v/>
      </c>
      <c r="BM34" s="80" t="str">
        <f aca="false">IF($BC34&gt;$BB$7,"",VLOOKUP($BC34,$BE$8:$BK$507,2,FALSE()))</f>
        <v/>
      </c>
      <c r="BN34" s="80" t="str">
        <f aca="false">IF($BC34&gt;$BB$7,"",VLOOKUP($BC34,$BE$8:$BK$507,3,FALSE()))</f>
        <v/>
      </c>
      <c r="BO34" s="80" t="str">
        <f aca="false">IF($BC34&gt;$BB$7,"",VLOOKUP($BC34,$BE$8:$BK$507,4,FALSE()))</f>
        <v/>
      </c>
      <c r="BP34" s="80" t="str">
        <f aca="false">IF($BC34&gt;$BB$7,"",VLOOKUP($BC34,$BE$8:$BK$507,5,FALSE()))</f>
        <v/>
      </c>
      <c r="BQ34" s="81" t="str">
        <f aca="false">IF($BC34&gt;$BB$7,"",VLOOKUP($BC34,$BE$8:$BK$507,6,FALSE()))</f>
        <v/>
      </c>
      <c r="BR34" s="54"/>
    </row>
    <row r="35" customFormat="false" ht="13.8" hidden="false" customHeight="false" outlineLevel="0" collapsed="false">
      <c r="A35" s="5"/>
      <c r="B35" s="120"/>
      <c r="C35" s="121"/>
      <c r="D35" s="112"/>
      <c r="E35" s="122"/>
      <c r="F35" s="91"/>
      <c r="G35" s="92"/>
      <c r="H35" s="93"/>
      <c r="I35" s="94"/>
      <c r="J35" s="91"/>
      <c r="K35" s="92"/>
      <c r="L35" s="93"/>
      <c r="M35" s="94"/>
      <c r="N35" s="91"/>
      <c r="O35" s="123"/>
      <c r="P35" s="96"/>
      <c r="Q35" s="97" t="str">
        <f aca="false">IF(ISBLANK($C35),"",IF(E35=Constants!$B$2, TRUE(), IF(E35=Constants!$B$3, FALSE(), TRUE())))</f>
        <v/>
      </c>
      <c r="R35" s="97" t="str">
        <f aca="false">IF(ISBLANK($C35),"",IF(F35=Constants!$B$16,Constants!$B$9,IF(F35=Constants!$B$17,Constants!$B$10,Constants!$B$8)))</f>
        <v/>
      </c>
      <c r="S35" s="97" t="str">
        <f aca="false">IF(ISBLANK($C35),"",IF(COUNTA(G35:H35)=0,"",IF(AND(OR(ISBLANK(G35),AND(ISNUMBER(G35),G35&gt;=0)),OR(ISBLANK(H35),AND(ISNUMBER(H35),H35&gt;=0))),60*IF(ISBLANK(G35),0,G35)+IF(ISBLANK(H35),0,H35),"")))</f>
        <v/>
      </c>
      <c r="T35" s="97" t="str">
        <f aca="false">IF(ISBLANK($C35),"",IF(I35=Constants!$B$2, TRUE(), IF(I35=Constants!$B$3, FALSE(), TRUE())))</f>
        <v/>
      </c>
      <c r="U35" s="97" t="str">
        <f aca="false">IF(ISBLANK($C35),"",IF(J35=Constants!$B$2, TRUE(), IF(J35=Constants!$B$3, FALSE(), TRUE())))</f>
        <v/>
      </c>
      <c r="V35" s="97" t="str">
        <f aca="false">IF(ISBLANK($C35),"",IF(COUNTA(K35:L35)=0,"",IF(AND(OR(ISBLANK(K35),AND(ISNUMBER(K35),K35&gt;=0)),OR(ISBLANK(L35),AND(ISNUMBER(L35),L35&gt;=0))),60*IF(ISBLANK(K35),0,K35)+IF(ISBLANK(L35),0,L35),"")))</f>
        <v/>
      </c>
      <c r="W35" s="97" t="str">
        <f aca="false">IF(ISBLANK($C35),"",IF(M35=Constants!$B$2, TRUE(), IF(M35=Constants!$B$3, FALSE(), TRUE())))</f>
        <v/>
      </c>
      <c r="X35" s="97" t="str">
        <f aca="false">IF(ISBLANK($C35),"",IF(N35=Constants!$B$2, TRUE(), IF(N35=Constants!$B$3, FALSE(), TRUE())))</f>
        <v/>
      </c>
      <c r="Y35" s="97" t="str">
        <f aca="false">IF(ISBLANK($C35),"",IF(O35=Constants!$B$2, TRUE(), IF(O35=Constants!$B$3, FALSE(), FALSE())))</f>
        <v/>
      </c>
      <c r="Z35" s="97" t="str">
        <f aca="false">IF(ISBLANK($C35),"",AND(S35&lt;&gt;"",Q35))</f>
        <v/>
      </c>
      <c r="AA35" s="97" t="str">
        <f aca="false">IF(ISBLANK($C35),"",AND(V35&lt;&gt;"",Q35))</f>
        <v/>
      </c>
      <c r="AB35" s="97" t="str">
        <f aca="false">IF(ISBLANK($C35),"",IF(Y35,Constants!$B$4,IF(COUNTA(E35:N35)=0,Constants!$B$5,IF(NOT(Q35),Constants!$B$6,IF(AND(NOT(Z35),NOT(AA35)),Constants!$B$6,Constants!$B$7)))))</f>
        <v/>
      </c>
      <c r="AC35" s="97" t="str">
        <f aca="false">IF(ISBLANK($C35),"",IF($AB35&lt;&gt;Constants!$B$7,$AB35,Constants!$B$20))</f>
        <v/>
      </c>
      <c r="AD35" s="97" t="str">
        <f aca="false">IF($AB35=Constants!$B$7,IF(Z35,S35,Constants!$B$13),"")</f>
        <v/>
      </c>
      <c r="AE35" s="97" t="str">
        <f aca="false">IF($AB35=Constants!$B$7,IF(Z35,R35*IF(T35, 1, Constants!$B$11)*IF(U35, 1, Constants!$B$12),Constants!$B$13),"")</f>
        <v/>
      </c>
      <c r="AF35" s="97" t="str">
        <f aca="false">IF($AB35=Constants!$B$7,AD35*AE35,"")</f>
        <v/>
      </c>
      <c r="AG35" s="97" t="str">
        <f aca="false">IF($AB35=Constants!$B$7,IF(AA35,V35,Constants!$B$13),"")</f>
        <v/>
      </c>
      <c r="AH35" s="97" t="str">
        <f aca="false">IF($AB35=Constants!$B$7,IF(AA35,R35*IF(W35, 1, Constants!$B$11)*IF(X35, 1, Constants!$B$12),Constants!$B$13),"")</f>
        <v/>
      </c>
      <c r="AI35" s="97" t="str">
        <f aca="false">IF($AB35=Constants!$B$7,AG35*AH35,"")</f>
        <v/>
      </c>
      <c r="AJ35" s="97" t="str">
        <f aca="false">IF($AB35=Constants!$B$7,IF(AI35&gt;AF35,2,1),"")</f>
        <v/>
      </c>
      <c r="AK35" s="97" t="str">
        <f aca="false">IF($AB35=Constants!$B$7,IF(AJ35=1,2,1),"")</f>
        <v/>
      </c>
      <c r="AL35" s="97" t="str">
        <f aca="false">IF(ISBLANK($C35),"",IF($AB35&lt;&gt;Constants!$B$7,$AB35,IF(AJ35=1,AF35,AI35)))</f>
        <v/>
      </c>
      <c r="AM35" s="97" t="str">
        <f aca="false">IF(ISBLANK($C35),"",IF($AB35=Constants!$B$7,IF(ISNUMBER(AL35),RANK(AL35,$AL$8:$AL$507),Constants!$B$14),$AB35))</f>
        <v/>
      </c>
      <c r="AN35" s="97" t="str">
        <f aca="false">IF(ISBLANK($C35),"",IF($AB35=Constants!$B$7,IF(AK35=1,AF35,AI35),""))</f>
        <v/>
      </c>
      <c r="AO35" s="97" t="str">
        <f aca="false">IF(ISBLANK($C35),"",IF($AB35=Constants!$B$7,RANK(AN35,$AN$8:$AN$507),$AB35))</f>
        <v/>
      </c>
      <c r="AP35" s="97" t="str">
        <f aca="false">IF(ISBLANK($C35),"",IF($AB35=Constants!$B$7,IF(ISNUMBER(AM35),COUNTIFS($AM$8:$AM$507,"&lt;"&amp;$AM35)+COUNTIFS($AM$8:$AM$507,$AM35,$AO$8:$AO$507,"&lt;"&amp;$AO35)+1,Constants!$B$14),$AB35))</f>
        <v/>
      </c>
      <c r="AQ35" s="97" t="str">
        <f aca="false">IF(ISBLANK($C35),"",IF($AB35=Constants!$B$7,IF(ISNUMBER(AM35),AM35-AP35,Constants!$B$14),$AB35))</f>
        <v/>
      </c>
      <c r="AR35" s="98"/>
      <c r="AS35" s="99" t="str">
        <f aca="false">IF(ISBLANK($C35),"",IF($AB35&lt;&gt;Constants!$B$7,"",AJ35))</f>
        <v/>
      </c>
      <c r="AT35" s="100" t="str">
        <f aca="false">IF(ISBLANK($C35),"",IF($AB35&lt;&gt;Constants!$B$7,"",IF(AJ35=1,AD35,AG35)))</f>
        <v/>
      </c>
      <c r="AU35" s="101" t="str">
        <f aca="false">IF(ISBLANK($C35),"",IF($AB35&lt;&gt;Constants!$B$7,"",IF(AJ35=1,AE35,AH35)))</f>
        <v/>
      </c>
      <c r="AV35" s="102" t="str">
        <f aca="false">IF(ISBLANK($C35),"",IF($AB35&lt;&gt;Constants!$B$7,$AB35,AL35))</f>
        <v/>
      </c>
      <c r="AW35" s="103" t="str">
        <f aca="false">IF(ISBLANK($C35),"",IF($AB35&lt;&gt;Constants!$B$7,$AB35,AC35))</f>
        <v/>
      </c>
      <c r="AX35" s="104" t="str">
        <f aca="false">IF(ISBLANK($C35),"",AQ35)</f>
        <v/>
      </c>
      <c r="AY35" s="104" t="str">
        <f aca="false">IF(ISBLANK($C35),"",AP35)</f>
        <v/>
      </c>
      <c r="AZ35" s="105" t="str">
        <f aca="false">IF(ISBLANK($C35),"",IF(AY35=Constants!$B$4,COUNTA($C$8:$C$507)+2,IF(AY35=Constants!$B$5,COUNTA($C$8:$C$507)+1,IF(AY35=Constants!$B$6,COUNTA($C$8:$C$507),AY35))))</f>
        <v/>
      </c>
      <c r="BA35" s="5"/>
      <c r="BB35" s="106" t="n">
        <f aca="false">IF(OR(ISNUMBER(AY35),AY35=Constants!$B$4,AY35=Constants!$B$6,AY35=Constants!$B$5),1,0)</f>
        <v>0</v>
      </c>
      <c r="BC35" s="106" t="n">
        <v>28</v>
      </c>
      <c r="BD35" s="106" t="str">
        <f aca="false">IF(ISBLANK($C35),"",IF(ISNUMBER(AZ35),AZ35+ROW($B35)/1000,""))</f>
        <v/>
      </c>
      <c r="BE35" s="106" t="str">
        <f aca="false">IF(ISNUMBER(BD35),RANK(BD35,$BD$8:$BD$507,1),"")</f>
        <v/>
      </c>
      <c r="BF35" s="106" t="str">
        <f aca="false">IF(ISBLANK($C35),"",$B35)</f>
        <v/>
      </c>
      <c r="BG35" s="106" t="str">
        <f aca="false">IF(ISBLANK($C35),"",$C35)</f>
        <v/>
      </c>
      <c r="BH35" s="106" t="str">
        <f aca="false">IF(ISBLANK($C35),"",$D35)</f>
        <v/>
      </c>
      <c r="BI35" s="107" t="str">
        <f aca="false">AW35</f>
        <v/>
      </c>
      <c r="BJ35" s="108" t="str">
        <f aca="false">AV35</f>
        <v/>
      </c>
      <c r="BK35" s="106" t="str">
        <f aca="false">IF(ISBLANK($C35),"",AY35)</f>
        <v/>
      </c>
      <c r="BL35" s="109" t="str">
        <f aca="false">IF($BC35&gt;$BB$7,"",VLOOKUP($BC35,$BE$8:$BK$507,7,FALSE()))</f>
        <v/>
      </c>
      <c r="BM35" s="110" t="str">
        <f aca="false">IF($BC35&gt;$BB$7,"",VLOOKUP($BC35,$BE$8:$BK$507,2,FALSE()))</f>
        <v/>
      </c>
      <c r="BN35" s="110" t="str">
        <f aca="false">IF($BC35&gt;$BB$7,"",VLOOKUP($BC35,$BE$8:$BK$507,3,FALSE()))</f>
        <v/>
      </c>
      <c r="BO35" s="110" t="str">
        <f aca="false">IF($BC35&gt;$BB$7,"",VLOOKUP($BC35,$BE$8:$BK$507,4,FALSE()))</f>
        <v/>
      </c>
      <c r="BP35" s="110" t="str">
        <f aca="false">IF($BC35&gt;$BB$7,"",VLOOKUP($BC35,$BE$8:$BK$507,5,FALSE()))</f>
        <v/>
      </c>
      <c r="BQ35" s="111" t="str">
        <f aca="false">IF($BC35&gt;$BB$7,"",VLOOKUP($BC35,$BE$8:$BK$507,6,FALSE()))</f>
        <v/>
      </c>
      <c r="BR35" s="54"/>
    </row>
    <row r="36" customFormat="false" ht="13.8" hidden="false" customHeight="false" outlineLevel="0" collapsed="false">
      <c r="A36" s="5"/>
      <c r="B36" s="120"/>
      <c r="C36" s="121"/>
      <c r="D36" s="112"/>
      <c r="E36" s="122"/>
      <c r="F36" s="91"/>
      <c r="G36" s="92"/>
      <c r="H36" s="93"/>
      <c r="I36" s="94"/>
      <c r="J36" s="91"/>
      <c r="K36" s="92"/>
      <c r="L36" s="93"/>
      <c r="M36" s="94"/>
      <c r="N36" s="91"/>
      <c r="O36" s="123"/>
      <c r="P36" s="96"/>
      <c r="Q36" s="97" t="str">
        <f aca="false">IF(ISBLANK($C36),"",IF(E36=Constants!$B$2, TRUE(), IF(E36=Constants!$B$3, FALSE(), TRUE())))</f>
        <v/>
      </c>
      <c r="R36" s="97" t="str">
        <f aca="false">IF(ISBLANK($C36),"",IF(F36=Constants!$B$16,Constants!$B$9,IF(F36=Constants!$B$17,Constants!$B$10,Constants!$B$8)))</f>
        <v/>
      </c>
      <c r="S36" s="97" t="str">
        <f aca="false">IF(ISBLANK($C36),"",IF(COUNTA(G36:H36)=0,"",IF(AND(OR(ISBLANK(G36),AND(ISNUMBER(G36),G36&gt;=0)),OR(ISBLANK(H36),AND(ISNUMBER(H36),H36&gt;=0))),60*IF(ISBLANK(G36),0,G36)+IF(ISBLANK(H36),0,H36),"")))</f>
        <v/>
      </c>
      <c r="T36" s="97" t="str">
        <f aca="false">IF(ISBLANK($C36),"",IF(I36=Constants!$B$2, TRUE(), IF(I36=Constants!$B$3, FALSE(), TRUE())))</f>
        <v/>
      </c>
      <c r="U36" s="97" t="str">
        <f aca="false">IF(ISBLANK($C36),"",IF(J36=Constants!$B$2, TRUE(), IF(J36=Constants!$B$3, FALSE(), TRUE())))</f>
        <v/>
      </c>
      <c r="V36" s="97" t="str">
        <f aca="false">IF(ISBLANK($C36),"",IF(COUNTA(K36:L36)=0,"",IF(AND(OR(ISBLANK(K36),AND(ISNUMBER(K36),K36&gt;=0)),OR(ISBLANK(L36),AND(ISNUMBER(L36),L36&gt;=0))),60*IF(ISBLANK(K36),0,K36)+IF(ISBLANK(L36),0,L36),"")))</f>
        <v/>
      </c>
      <c r="W36" s="97" t="str">
        <f aca="false">IF(ISBLANK($C36),"",IF(M36=Constants!$B$2, TRUE(), IF(M36=Constants!$B$3, FALSE(), TRUE())))</f>
        <v/>
      </c>
      <c r="X36" s="97" t="str">
        <f aca="false">IF(ISBLANK($C36),"",IF(N36=Constants!$B$2, TRUE(), IF(N36=Constants!$B$3, FALSE(), TRUE())))</f>
        <v/>
      </c>
      <c r="Y36" s="97" t="str">
        <f aca="false">IF(ISBLANK($C36),"",IF(O36=Constants!$B$2, TRUE(), IF(O36=Constants!$B$3, FALSE(), FALSE())))</f>
        <v/>
      </c>
      <c r="Z36" s="97" t="str">
        <f aca="false">IF(ISBLANK($C36),"",AND(S36&lt;&gt;"",Q36))</f>
        <v/>
      </c>
      <c r="AA36" s="97" t="str">
        <f aca="false">IF(ISBLANK($C36),"",AND(V36&lt;&gt;"",Q36))</f>
        <v/>
      </c>
      <c r="AB36" s="97" t="str">
        <f aca="false">IF(ISBLANK($C36),"",IF(Y36,Constants!$B$4,IF(COUNTA(E36:N36)=0,Constants!$B$5,IF(NOT(Q36),Constants!$B$6,IF(AND(NOT(Z36),NOT(AA36)),Constants!$B$6,Constants!$B$7)))))</f>
        <v/>
      </c>
      <c r="AC36" s="97" t="str">
        <f aca="false">IF(ISBLANK($C36),"",IF($AB36&lt;&gt;Constants!$B$7,$AB36,Constants!$B$20))</f>
        <v/>
      </c>
      <c r="AD36" s="97" t="str">
        <f aca="false">IF($AB36=Constants!$B$7,IF(Z36,S36,Constants!$B$13),"")</f>
        <v/>
      </c>
      <c r="AE36" s="97" t="str">
        <f aca="false">IF($AB36=Constants!$B$7,IF(Z36,R36*IF(T36, 1, Constants!$B$11)*IF(U36, 1, Constants!$B$12),Constants!$B$13),"")</f>
        <v/>
      </c>
      <c r="AF36" s="97" t="str">
        <f aca="false">IF($AB36=Constants!$B$7,AD36*AE36,"")</f>
        <v/>
      </c>
      <c r="AG36" s="97" t="str">
        <f aca="false">IF($AB36=Constants!$B$7,IF(AA36,V36,Constants!$B$13),"")</f>
        <v/>
      </c>
      <c r="AH36" s="97" t="str">
        <f aca="false">IF($AB36=Constants!$B$7,IF(AA36,R36*IF(W36, 1, Constants!$B$11)*IF(X36, 1, Constants!$B$12),Constants!$B$13),"")</f>
        <v/>
      </c>
      <c r="AI36" s="97" t="str">
        <f aca="false">IF($AB36=Constants!$B$7,AG36*AH36,"")</f>
        <v/>
      </c>
      <c r="AJ36" s="97" t="str">
        <f aca="false">IF($AB36=Constants!$B$7,IF(AI36&gt;AF36,2,1),"")</f>
        <v/>
      </c>
      <c r="AK36" s="97" t="str">
        <f aca="false">IF($AB36=Constants!$B$7,IF(AJ36=1,2,1),"")</f>
        <v/>
      </c>
      <c r="AL36" s="97" t="str">
        <f aca="false">IF(ISBLANK($C36),"",IF($AB36&lt;&gt;Constants!$B$7,$AB36,IF(AJ36=1,AF36,AI36)))</f>
        <v/>
      </c>
      <c r="AM36" s="97" t="str">
        <f aca="false">IF(ISBLANK($C36),"",IF($AB36=Constants!$B$7,IF(ISNUMBER(AL36),RANK(AL36,$AL$8:$AL$507),Constants!$B$14),$AB36))</f>
        <v/>
      </c>
      <c r="AN36" s="97" t="str">
        <f aca="false">IF(ISBLANK($C36),"",IF($AB36=Constants!$B$7,IF(AK36=1,AF36,AI36),""))</f>
        <v/>
      </c>
      <c r="AO36" s="97" t="str">
        <f aca="false">IF(ISBLANK($C36),"",IF($AB36=Constants!$B$7,RANK(AN36,$AN$8:$AN$507),$AB36))</f>
        <v/>
      </c>
      <c r="AP36" s="97" t="str">
        <f aca="false">IF(ISBLANK($C36),"",IF($AB36=Constants!$B$7,IF(ISNUMBER(AM36),COUNTIFS($AM$8:$AM$507,"&lt;"&amp;$AM36)+COUNTIFS($AM$8:$AM$507,$AM36,$AO$8:$AO$507,"&lt;"&amp;$AO36)+1,Constants!$B$14),$AB36))</f>
        <v/>
      </c>
      <c r="AQ36" s="97" t="str">
        <f aca="false">IF(ISBLANK($C36),"",IF($AB36=Constants!$B$7,IF(ISNUMBER(AM36),AM36-AP36,Constants!$B$14),$AB36))</f>
        <v/>
      </c>
      <c r="AR36" s="98"/>
      <c r="AS36" s="99" t="str">
        <f aca="false">IF(ISBLANK($C36),"",IF($AB36&lt;&gt;Constants!$B$7,"",AJ36))</f>
        <v/>
      </c>
      <c r="AT36" s="100" t="str">
        <f aca="false">IF(ISBLANK($C36),"",IF($AB36&lt;&gt;Constants!$B$7,"",IF(AJ36=1,AD36,AG36)))</f>
        <v/>
      </c>
      <c r="AU36" s="101" t="str">
        <f aca="false">IF(ISBLANK($C36),"",IF($AB36&lt;&gt;Constants!$B$7,"",IF(AJ36=1,AE36,AH36)))</f>
        <v/>
      </c>
      <c r="AV36" s="102" t="str">
        <f aca="false">IF(ISBLANK($C36),"",IF($AB36&lt;&gt;Constants!$B$7,$AB36,AL36))</f>
        <v/>
      </c>
      <c r="AW36" s="103" t="str">
        <f aca="false">IF(ISBLANK($C36),"",IF($AB36&lt;&gt;Constants!$B$7,$AB36,AC36))</f>
        <v/>
      </c>
      <c r="AX36" s="104" t="str">
        <f aca="false">IF(ISBLANK($C36),"",AQ36)</f>
        <v/>
      </c>
      <c r="AY36" s="104" t="str">
        <f aca="false">IF(ISBLANK($C36),"",AP36)</f>
        <v/>
      </c>
      <c r="AZ36" s="105" t="str">
        <f aca="false">IF(ISBLANK($C36),"",IF(AY36=Constants!$B$4,COUNTA($C$8:$C$507)+2,IF(AY36=Constants!$B$5,COUNTA($C$8:$C$507)+1,IF(AY36=Constants!$B$6,COUNTA($C$8:$C$507),AY36))))</f>
        <v/>
      </c>
      <c r="BA36" s="5"/>
      <c r="BB36" s="106" t="n">
        <f aca="false">IF(OR(ISNUMBER(AY36),AY36=Constants!$B$4,AY36=Constants!$B$6,AY36=Constants!$B$5),1,0)</f>
        <v>0</v>
      </c>
      <c r="BC36" s="106" t="n">
        <v>29</v>
      </c>
      <c r="BD36" s="106" t="str">
        <f aca="false">IF(ISBLANK($C36),"",IF(ISNUMBER(AZ36),AZ36+ROW($B36)/1000,""))</f>
        <v/>
      </c>
      <c r="BE36" s="106" t="str">
        <f aca="false">IF(ISNUMBER(BD36),RANK(BD36,$BD$8:$BD$507,1),"")</f>
        <v/>
      </c>
      <c r="BF36" s="106" t="str">
        <f aca="false">IF(ISBLANK($C36),"",$B36)</f>
        <v/>
      </c>
      <c r="BG36" s="106" t="str">
        <f aca="false">IF(ISBLANK($C36),"",$C36)</f>
        <v/>
      </c>
      <c r="BH36" s="106" t="str">
        <f aca="false">IF(ISBLANK($C36),"",$D36)</f>
        <v/>
      </c>
      <c r="BI36" s="107" t="str">
        <f aca="false">AW36</f>
        <v/>
      </c>
      <c r="BJ36" s="108" t="str">
        <f aca="false">AV36</f>
        <v/>
      </c>
      <c r="BK36" s="106" t="str">
        <f aca="false">IF(ISBLANK($C36),"",AY36)</f>
        <v/>
      </c>
      <c r="BL36" s="109" t="str">
        <f aca="false">IF($BC36&gt;$BB$7,"",VLOOKUP($BC36,$BE$8:$BK$507,7,FALSE()))</f>
        <v/>
      </c>
      <c r="BM36" s="110" t="str">
        <f aca="false">IF($BC36&gt;$BB$7,"",VLOOKUP($BC36,$BE$8:$BK$507,2,FALSE()))</f>
        <v/>
      </c>
      <c r="BN36" s="110" t="str">
        <f aca="false">IF($BC36&gt;$BB$7,"",VLOOKUP($BC36,$BE$8:$BK$507,3,FALSE()))</f>
        <v/>
      </c>
      <c r="BO36" s="110" t="str">
        <f aca="false">IF($BC36&gt;$BB$7,"",VLOOKUP($BC36,$BE$8:$BK$507,4,FALSE()))</f>
        <v/>
      </c>
      <c r="BP36" s="110" t="str">
        <f aca="false">IF($BC36&gt;$BB$7,"",VLOOKUP($BC36,$BE$8:$BK$507,5,FALSE()))</f>
        <v/>
      </c>
      <c r="BQ36" s="111" t="str">
        <f aca="false">IF($BC36&gt;$BB$7,"",VLOOKUP($BC36,$BE$8:$BK$507,6,FALSE()))</f>
        <v/>
      </c>
      <c r="BR36" s="54"/>
    </row>
    <row r="37" customFormat="false" ht="13.8" hidden="false" customHeight="false" outlineLevel="0" collapsed="false">
      <c r="A37" s="5"/>
      <c r="B37" s="120"/>
      <c r="C37" s="121"/>
      <c r="D37" s="112"/>
      <c r="E37" s="122"/>
      <c r="F37" s="91"/>
      <c r="G37" s="92"/>
      <c r="H37" s="93"/>
      <c r="I37" s="94"/>
      <c r="J37" s="91"/>
      <c r="K37" s="92"/>
      <c r="L37" s="93"/>
      <c r="M37" s="94"/>
      <c r="N37" s="91"/>
      <c r="O37" s="123"/>
      <c r="P37" s="96"/>
      <c r="Q37" s="97" t="str">
        <f aca="false">IF(ISBLANK($C37),"",IF(E37=Constants!$B$2, TRUE(), IF(E37=Constants!$B$3, FALSE(), TRUE())))</f>
        <v/>
      </c>
      <c r="R37" s="97" t="str">
        <f aca="false">IF(ISBLANK($C37),"",IF(F37=Constants!$B$16,Constants!$B$9,IF(F37=Constants!$B$17,Constants!$B$10,Constants!$B$8)))</f>
        <v/>
      </c>
      <c r="S37" s="97" t="str">
        <f aca="false">IF(ISBLANK($C37),"",IF(COUNTA(G37:H37)=0,"",IF(AND(OR(ISBLANK(G37),AND(ISNUMBER(G37),G37&gt;=0)),OR(ISBLANK(H37),AND(ISNUMBER(H37),H37&gt;=0))),60*IF(ISBLANK(G37),0,G37)+IF(ISBLANK(H37),0,H37),"")))</f>
        <v/>
      </c>
      <c r="T37" s="97" t="str">
        <f aca="false">IF(ISBLANK($C37),"",IF(I37=Constants!$B$2, TRUE(), IF(I37=Constants!$B$3, FALSE(), TRUE())))</f>
        <v/>
      </c>
      <c r="U37" s="97" t="str">
        <f aca="false">IF(ISBLANK($C37),"",IF(J37=Constants!$B$2, TRUE(), IF(J37=Constants!$B$3, FALSE(), TRUE())))</f>
        <v/>
      </c>
      <c r="V37" s="97" t="str">
        <f aca="false">IF(ISBLANK($C37),"",IF(COUNTA(K37:L37)=0,"",IF(AND(OR(ISBLANK(K37),AND(ISNUMBER(K37),K37&gt;=0)),OR(ISBLANK(L37),AND(ISNUMBER(L37),L37&gt;=0))),60*IF(ISBLANK(K37),0,K37)+IF(ISBLANK(L37),0,L37),"")))</f>
        <v/>
      </c>
      <c r="W37" s="97" t="str">
        <f aca="false">IF(ISBLANK($C37),"",IF(M37=Constants!$B$2, TRUE(), IF(M37=Constants!$B$3, FALSE(), TRUE())))</f>
        <v/>
      </c>
      <c r="X37" s="97" t="str">
        <f aca="false">IF(ISBLANK($C37),"",IF(N37=Constants!$B$2, TRUE(), IF(N37=Constants!$B$3, FALSE(), TRUE())))</f>
        <v/>
      </c>
      <c r="Y37" s="97" t="str">
        <f aca="false">IF(ISBLANK($C37),"",IF(O37=Constants!$B$2, TRUE(), IF(O37=Constants!$B$3, FALSE(), FALSE())))</f>
        <v/>
      </c>
      <c r="Z37" s="97" t="str">
        <f aca="false">IF(ISBLANK($C37),"",AND(S37&lt;&gt;"",Q37))</f>
        <v/>
      </c>
      <c r="AA37" s="97" t="str">
        <f aca="false">IF(ISBLANK($C37),"",AND(V37&lt;&gt;"",Q37))</f>
        <v/>
      </c>
      <c r="AB37" s="97" t="str">
        <f aca="false">IF(ISBLANK($C37),"",IF(Y37,Constants!$B$4,IF(COUNTA(E37:N37)=0,Constants!$B$5,IF(NOT(Q37),Constants!$B$6,IF(AND(NOT(Z37),NOT(AA37)),Constants!$B$6,Constants!$B$7)))))</f>
        <v/>
      </c>
      <c r="AC37" s="97" t="str">
        <f aca="false">IF(ISBLANK($C37),"",IF($AB37&lt;&gt;Constants!$B$7,$AB37,Constants!$B$20))</f>
        <v/>
      </c>
      <c r="AD37" s="97" t="str">
        <f aca="false">IF($AB37=Constants!$B$7,IF(Z37,S37,Constants!$B$13),"")</f>
        <v/>
      </c>
      <c r="AE37" s="97" t="str">
        <f aca="false">IF($AB37=Constants!$B$7,IF(Z37,R37*IF(T37, 1, Constants!$B$11)*IF(U37, 1, Constants!$B$12),Constants!$B$13),"")</f>
        <v/>
      </c>
      <c r="AF37" s="97" t="str">
        <f aca="false">IF($AB37=Constants!$B$7,AD37*AE37,"")</f>
        <v/>
      </c>
      <c r="AG37" s="97" t="str">
        <f aca="false">IF($AB37=Constants!$B$7,IF(AA37,V37,Constants!$B$13),"")</f>
        <v/>
      </c>
      <c r="AH37" s="97" t="str">
        <f aca="false">IF($AB37=Constants!$B$7,IF(AA37,R37*IF(W37, 1, Constants!$B$11)*IF(X37, 1, Constants!$B$12),Constants!$B$13),"")</f>
        <v/>
      </c>
      <c r="AI37" s="97" t="str">
        <f aca="false">IF($AB37=Constants!$B$7,AG37*AH37,"")</f>
        <v/>
      </c>
      <c r="AJ37" s="97" t="str">
        <f aca="false">IF($AB37=Constants!$B$7,IF(AI37&gt;AF37,2,1),"")</f>
        <v/>
      </c>
      <c r="AK37" s="97" t="str">
        <f aca="false">IF($AB37=Constants!$B$7,IF(AJ37=1,2,1),"")</f>
        <v/>
      </c>
      <c r="AL37" s="97" t="str">
        <f aca="false">IF(ISBLANK($C37),"",IF($AB37&lt;&gt;Constants!$B$7,$AB37,IF(AJ37=1,AF37,AI37)))</f>
        <v/>
      </c>
      <c r="AM37" s="97" t="str">
        <f aca="false">IF(ISBLANK($C37),"",IF($AB37=Constants!$B$7,IF(ISNUMBER(AL37),RANK(AL37,$AL$8:$AL$507),Constants!$B$14),$AB37))</f>
        <v/>
      </c>
      <c r="AN37" s="97" t="str">
        <f aca="false">IF(ISBLANK($C37),"",IF($AB37=Constants!$B$7,IF(AK37=1,AF37,AI37),""))</f>
        <v/>
      </c>
      <c r="AO37" s="97" t="str">
        <f aca="false">IF(ISBLANK($C37),"",IF($AB37=Constants!$B$7,RANK(AN37,$AN$8:$AN$507),$AB37))</f>
        <v/>
      </c>
      <c r="AP37" s="97" t="str">
        <f aca="false">IF(ISBLANK($C37),"",IF($AB37=Constants!$B$7,IF(ISNUMBER(AM37),COUNTIFS($AM$8:$AM$507,"&lt;"&amp;$AM37)+COUNTIFS($AM$8:$AM$507,$AM37,$AO$8:$AO$507,"&lt;"&amp;$AO37)+1,Constants!$B$14),$AB37))</f>
        <v/>
      </c>
      <c r="AQ37" s="97" t="str">
        <f aca="false">IF(ISBLANK($C37),"",IF($AB37=Constants!$B$7,IF(ISNUMBER(AM37),AM37-AP37,Constants!$B$14),$AB37))</f>
        <v/>
      </c>
      <c r="AR37" s="98"/>
      <c r="AS37" s="99" t="str">
        <f aca="false">IF(ISBLANK($C37),"",IF($AB37&lt;&gt;Constants!$B$7,"",AJ37))</f>
        <v/>
      </c>
      <c r="AT37" s="100" t="str">
        <f aca="false">IF(ISBLANK($C37),"",IF($AB37&lt;&gt;Constants!$B$7,"",IF(AJ37=1,AD37,AG37)))</f>
        <v/>
      </c>
      <c r="AU37" s="101" t="str">
        <f aca="false">IF(ISBLANK($C37),"",IF($AB37&lt;&gt;Constants!$B$7,"",IF(AJ37=1,AE37,AH37)))</f>
        <v/>
      </c>
      <c r="AV37" s="102" t="str">
        <f aca="false">IF(ISBLANK($C37),"",IF($AB37&lt;&gt;Constants!$B$7,$AB37,AL37))</f>
        <v/>
      </c>
      <c r="AW37" s="103" t="str">
        <f aca="false">IF(ISBLANK($C37),"",IF($AB37&lt;&gt;Constants!$B$7,$AB37,AC37))</f>
        <v/>
      </c>
      <c r="AX37" s="104" t="str">
        <f aca="false">IF(ISBLANK($C37),"",AQ37)</f>
        <v/>
      </c>
      <c r="AY37" s="104" t="str">
        <f aca="false">IF(ISBLANK($C37),"",AP37)</f>
        <v/>
      </c>
      <c r="AZ37" s="105" t="str">
        <f aca="false">IF(ISBLANK($C37),"",IF(AY37=Constants!$B$4,COUNTA($C$8:$C$507)+2,IF(AY37=Constants!$B$5,COUNTA($C$8:$C$507)+1,IF(AY37=Constants!$B$6,COUNTA($C$8:$C$507),AY37))))</f>
        <v/>
      </c>
      <c r="BA37" s="5"/>
      <c r="BB37" s="106" t="n">
        <f aca="false">IF(OR(ISNUMBER(AY37),AY37=Constants!$B$4,AY37=Constants!$B$6,AY37=Constants!$B$5),1,0)</f>
        <v>0</v>
      </c>
      <c r="BC37" s="106" t="n">
        <v>30</v>
      </c>
      <c r="BD37" s="106" t="str">
        <f aca="false">IF(ISBLANK($C37),"",IF(ISNUMBER(AZ37),AZ37+ROW($B37)/1000,""))</f>
        <v/>
      </c>
      <c r="BE37" s="106" t="str">
        <f aca="false">IF(ISNUMBER(BD37),RANK(BD37,$BD$8:$BD$507,1),"")</f>
        <v/>
      </c>
      <c r="BF37" s="106" t="str">
        <f aca="false">IF(ISBLANK($C37),"",$B37)</f>
        <v/>
      </c>
      <c r="BG37" s="106" t="str">
        <f aca="false">IF(ISBLANK($C37),"",$C37)</f>
        <v/>
      </c>
      <c r="BH37" s="106" t="str">
        <f aca="false">IF(ISBLANK($C37),"",$D37)</f>
        <v/>
      </c>
      <c r="BI37" s="107" t="str">
        <f aca="false">AW37</f>
        <v/>
      </c>
      <c r="BJ37" s="108" t="str">
        <f aca="false">AV37</f>
        <v/>
      </c>
      <c r="BK37" s="106" t="str">
        <f aca="false">IF(ISBLANK($C37),"",AY37)</f>
        <v/>
      </c>
      <c r="BL37" s="109" t="str">
        <f aca="false">IF($BC37&gt;$BB$7,"",VLOOKUP($BC37,$BE$8:$BK$507,7,FALSE()))</f>
        <v/>
      </c>
      <c r="BM37" s="110" t="str">
        <f aca="false">IF($BC37&gt;$BB$7,"",VLOOKUP($BC37,$BE$8:$BK$507,2,FALSE()))</f>
        <v/>
      </c>
      <c r="BN37" s="110" t="str">
        <f aca="false">IF($BC37&gt;$BB$7,"",VLOOKUP($BC37,$BE$8:$BK$507,3,FALSE()))</f>
        <v/>
      </c>
      <c r="BO37" s="110" t="str">
        <f aca="false">IF($BC37&gt;$BB$7,"",VLOOKUP($BC37,$BE$8:$BK$507,4,FALSE()))</f>
        <v/>
      </c>
      <c r="BP37" s="110" t="str">
        <f aca="false">IF($BC37&gt;$BB$7,"",VLOOKUP($BC37,$BE$8:$BK$507,5,FALSE()))</f>
        <v/>
      </c>
      <c r="BQ37" s="111" t="str">
        <f aca="false">IF($BC37&gt;$BB$7,"",VLOOKUP($BC37,$BE$8:$BK$507,6,FALSE()))</f>
        <v/>
      </c>
      <c r="BR37" s="54"/>
    </row>
    <row r="38" customFormat="false" ht="13.8" hidden="false" customHeight="false" outlineLevel="0" collapsed="false">
      <c r="A38" s="5"/>
      <c r="B38" s="124"/>
      <c r="C38" s="56"/>
      <c r="D38" s="57"/>
      <c r="E38" s="119"/>
      <c r="F38" s="59"/>
      <c r="G38" s="60"/>
      <c r="H38" s="61"/>
      <c r="I38" s="62"/>
      <c r="J38" s="59"/>
      <c r="K38" s="60"/>
      <c r="L38" s="61"/>
      <c r="M38" s="62"/>
      <c r="N38" s="59"/>
      <c r="O38" s="83"/>
      <c r="P38" s="64"/>
      <c r="Q38" s="66" t="str">
        <f aca="false">IF(ISBLANK($C38),"",IF(E38=Constants!$B$2, TRUE(), IF(E38=Constants!$B$3, FALSE(), TRUE())))</f>
        <v/>
      </c>
      <c r="R38" s="66" t="str">
        <f aca="false">IF(ISBLANK($C38),"",IF(F38=Constants!$B$16,Constants!$B$9,IF(F38=Constants!$B$17,Constants!$B$10,Constants!$B$8)))</f>
        <v/>
      </c>
      <c r="S38" s="66" t="str">
        <f aca="false">IF(ISBLANK($C38),"",IF(COUNTA(G38:H38)=0,"",IF(AND(OR(ISBLANK(G38),AND(ISNUMBER(G38),G38&gt;=0)),OR(ISBLANK(H38),AND(ISNUMBER(H38),H38&gt;=0))),60*IF(ISBLANK(G38),0,G38)+IF(ISBLANK(H38),0,H38),"")))</f>
        <v/>
      </c>
      <c r="T38" s="66" t="str">
        <f aca="false">IF(ISBLANK($C38),"",IF(I38=Constants!$B$2, TRUE(), IF(I38=Constants!$B$3, FALSE(), TRUE())))</f>
        <v/>
      </c>
      <c r="U38" s="66" t="str">
        <f aca="false">IF(ISBLANK($C38),"",IF(J38=Constants!$B$2, TRUE(), IF(J38=Constants!$B$3, FALSE(), TRUE())))</f>
        <v/>
      </c>
      <c r="V38" s="66" t="str">
        <f aca="false">IF(ISBLANK($C38),"",IF(COUNTA(K38:L38)=0,"",IF(AND(OR(ISBLANK(K38),AND(ISNUMBER(K38),K38&gt;=0)),OR(ISBLANK(L38),AND(ISNUMBER(L38),L38&gt;=0))),60*IF(ISBLANK(K38),0,K38)+IF(ISBLANK(L38),0,L38),"")))</f>
        <v/>
      </c>
      <c r="W38" s="66" t="str">
        <f aca="false">IF(ISBLANK($C38),"",IF(M38=Constants!$B$2, TRUE(), IF(M38=Constants!$B$3, FALSE(), TRUE())))</f>
        <v/>
      </c>
      <c r="X38" s="66" t="str">
        <f aca="false">IF(ISBLANK($C38),"",IF(N38=Constants!$B$2, TRUE(), IF(N38=Constants!$B$3, FALSE(), TRUE())))</f>
        <v/>
      </c>
      <c r="Y38" s="66" t="str">
        <f aca="false">IF(ISBLANK($C38),"",IF(O38=Constants!$B$2, TRUE(), IF(O38=Constants!$B$3, FALSE(), FALSE())))</f>
        <v/>
      </c>
      <c r="Z38" s="66" t="str">
        <f aca="false">IF(ISBLANK($C38),"",AND(S38&lt;&gt;"",Q38))</f>
        <v/>
      </c>
      <c r="AA38" s="66" t="str">
        <f aca="false">IF(ISBLANK($C38),"",AND(V38&lt;&gt;"",Q38))</f>
        <v/>
      </c>
      <c r="AB38" s="66" t="str">
        <f aca="false">IF(ISBLANK($C38),"",IF(Y38,Constants!$B$4,IF(COUNTA(E38:N38)=0,Constants!$B$5,IF(NOT(Q38),Constants!$B$6,IF(AND(NOT(Z38),NOT(AA38)),Constants!$B$6,Constants!$B$7)))))</f>
        <v/>
      </c>
      <c r="AC38" s="66" t="str">
        <f aca="false">IF(ISBLANK($C38),"",IF($AB38&lt;&gt;Constants!$B$7,$AB38,Constants!$B$20))</f>
        <v/>
      </c>
      <c r="AD38" s="66" t="str">
        <f aca="false">IF($AB38=Constants!$B$7,IF(Z38,S38,Constants!$B$13),"")</f>
        <v/>
      </c>
      <c r="AE38" s="66" t="str">
        <f aca="false">IF($AB38=Constants!$B$7,IF(Z38,R38*IF(T38, 1, Constants!$B$11)*IF(U38, 1, Constants!$B$12),Constants!$B$13),"")</f>
        <v/>
      </c>
      <c r="AF38" s="66" t="str">
        <f aca="false">IF($AB38=Constants!$B$7,AD38*AE38,"")</f>
        <v/>
      </c>
      <c r="AG38" s="66" t="str">
        <f aca="false">IF($AB38=Constants!$B$7,IF(AA38,V38,Constants!$B$13),"")</f>
        <v/>
      </c>
      <c r="AH38" s="66" t="str">
        <f aca="false">IF($AB38=Constants!$B$7,IF(AA38,R38*IF(W38, 1, Constants!$B$11)*IF(X38, 1, Constants!$B$12),Constants!$B$13),"")</f>
        <v/>
      </c>
      <c r="AI38" s="66" t="str">
        <f aca="false">IF($AB38=Constants!$B$7,AG38*AH38,"")</f>
        <v/>
      </c>
      <c r="AJ38" s="66" t="str">
        <f aca="false">IF($AB38=Constants!$B$7,IF(AI38&gt;AF38,2,1),"")</f>
        <v/>
      </c>
      <c r="AK38" s="66" t="str">
        <f aca="false">IF($AB38=Constants!$B$7,IF(AJ38=1,2,1),"")</f>
        <v/>
      </c>
      <c r="AL38" s="66" t="str">
        <f aca="false">IF(ISBLANK($C38),"",IF($AB38&lt;&gt;Constants!$B$7,$AB38,IF(AJ38=1,AF38,AI38)))</f>
        <v/>
      </c>
      <c r="AM38" s="66" t="str">
        <f aca="false">IF(ISBLANK($C38),"",IF($AB38=Constants!$B$7,IF(ISNUMBER(AL38),RANK(AL38,$AL$8:$AL$507),Constants!$B$14),$AB38))</f>
        <v/>
      </c>
      <c r="AN38" s="66" t="str">
        <f aca="false">IF(ISBLANK($C38),"",IF($AB38=Constants!$B$7,IF(AK38=1,AF38,AI38),""))</f>
        <v/>
      </c>
      <c r="AO38" s="66" t="str">
        <f aca="false">IF(ISBLANK($C38),"",IF($AB38=Constants!$B$7,RANK(AN38,$AN$8:$AN$507),$AB38))</f>
        <v/>
      </c>
      <c r="AP38" s="66" t="str">
        <f aca="false">IF(ISBLANK($C38),"",IF($AB38=Constants!$B$7,IF(ISNUMBER(AM38),COUNTIFS($AM$8:$AM$507,"&lt;"&amp;$AM38)+COUNTIFS($AM$8:$AM$507,$AM38,$AO$8:$AO$507,"&lt;"&amp;$AO38)+1,Constants!$B$14),$AB38))</f>
        <v/>
      </c>
      <c r="AQ38" s="66" t="str">
        <f aca="false">IF(ISBLANK($C38),"",IF($AB38=Constants!$B$7,IF(ISNUMBER(AM38),AM38-AP38,Constants!$B$14),$AB38))</f>
        <v/>
      </c>
      <c r="AR38" s="68"/>
      <c r="AS38" s="69" t="str">
        <f aca="false">IF(ISBLANK($C38),"",IF($AB38&lt;&gt;Constants!$B$7,"",AJ38))</f>
        <v/>
      </c>
      <c r="AT38" s="84" t="str">
        <f aca="false">IF(ISBLANK($C38),"",IF($AB38&lt;&gt;Constants!$B$7,"",IF(AJ38=1,AD38,AG38)))</f>
        <v/>
      </c>
      <c r="AU38" s="71" t="str">
        <f aca="false">IF(ISBLANK($C38),"",IF($AB38&lt;&gt;Constants!$B$7,"",IF(AJ38=1,AE38,AH38)))</f>
        <v/>
      </c>
      <c r="AV38" s="72" t="str">
        <f aca="false">IF(ISBLANK($C38),"",IF($AB38&lt;&gt;Constants!$B$7,$AB38,AL38))</f>
        <v/>
      </c>
      <c r="AW38" s="73" t="str">
        <f aca="false">IF(ISBLANK($C38),"",IF($AB38&lt;&gt;Constants!$B$7,$AB38,AC38))</f>
        <v/>
      </c>
      <c r="AX38" s="74" t="str">
        <f aca="false">IF(ISBLANK($C38),"",AQ38)</f>
        <v/>
      </c>
      <c r="AY38" s="74" t="str">
        <f aca="false">IF(ISBLANK($C38),"",AP38)</f>
        <v/>
      </c>
      <c r="AZ38" s="75" t="str">
        <f aca="false">IF(ISBLANK($C38),"",IF(AY38=Constants!$B$4,COUNTA($C$8:$C$507)+2,IF(AY38=Constants!$B$5,COUNTA($C$8:$C$507)+1,IF(AY38=Constants!$B$6,COUNTA($C$8:$C$507),AY38))))</f>
        <v/>
      </c>
      <c r="BA38" s="5"/>
      <c r="BB38" s="76" t="n">
        <f aca="false">IF(OR(ISNUMBER(AY38),AY38=Constants!$B$4,AY38=Constants!$B$6,AY38=Constants!$B$5),1,0)</f>
        <v>0</v>
      </c>
      <c r="BC38" s="76" t="n">
        <v>31</v>
      </c>
      <c r="BD38" s="76" t="str">
        <f aca="false">IF(ISBLANK($C38),"",IF(ISNUMBER(AZ38),AZ38+ROW($B38)/1000,""))</f>
        <v/>
      </c>
      <c r="BE38" s="76" t="str">
        <f aca="false">IF(ISNUMBER(BD38),RANK(BD38,$BD$8:$BD$507,1),"")</f>
        <v/>
      </c>
      <c r="BF38" s="76" t="str">
        <f aca="false">IF(ISBLANK($C38),"",$B38)</f>
        <v/>
      </c>
      <c r="BG38" s="76" t="str">
        <f aca="false">IF(ISBLANK($C38),"",$C38)</f>
        <v/>
      </c>
      <c r="BH38" s="76" t="str">
        <f aca="false">IF(ISBLANK($C38),"",$D38)</f>
        <v/>
      </c>
      <c r="BI38" s="77" t="str">
        <f aca="false">AW38</f>
        <v/>
      </c>
      <c r="BJ38" s="78" t="str">
        <f aca="false">AV38</f>
        <v/>
      </c>
      <c r="BK38" s="76" t="str">
        <f aca="false">IF(ISBLANK($C38),"",AY38)</f>
        <v/>
      </c>
      <c r="BL38" s="79" t="str">
        <f aca="false">IF($BC38&gt;$BB$7,"",VLOOKUP($BC38,$BE$8:$BK$507,7,FALSE()))</f>
        <v/>
      </c>
      <c r="BM38" s="80" t="str">
        <f aca="false">IF($BC38&gt;$BB$7,"",VLOOKUP($BC38,$BE$8:$BK$507,2,FALSE()))</f>
        <v/>
      </c>
      <c r="BN38" s="80" t="str">
        <f aca="false">IF($BC38&gt;$BB$7,"",VLOOKUP($BC38,$BE$8:$BK$507,3,FALSE()))</f>
        <v/>
      </c>
      <c r="BO38" s="80" t="str">
        <f aca="false">IF($BC38&gt;$BB$7,"",VLOOKUP($BC38,$BE$8:$BK$507,4,FALSE()))</f>
        <v/>
      </c>
      <c r="BP38" s="80" t="str">
        <f aca="false">IF($BC38&gt;$BB$7,"",VLOOKUP($BC38,$BE$8:$BK$507,5,FALSE()))</f>
        <v/>
      </c>
      <c r="BQ38" s="81" t="str">
        <f aca="false">IF($BC38&gt;$BB$7,"",VLOOKUP($BC38,$BE$8:$BK$507,6,FALSE()))</f>
        <v/>
      </c>
      <c r="BR38" s="54"/>
    </row>
    <row r="39" customFormat="false" ht="13.8" hidden="false" customHeight="false" outlineLevel="0" collapsed="false">
      <c r="A39" s="5"/>
      <c r="B39" s="124"/>
      <c r="C39" s="56"/>
      <c r="D39" s="57"/>
      <c r="E39" s="83"/>
      <c r="F39" s="59"/>
      <c r="G39" s="60"/>
      <c r="H39" s="61"/>
      <c r="I39" s="62"/>
      <c r="J39" s="59"/>
      <c r="K39" s="60"/>
      <c r="L39" s="61"/>
      <c r="M39" s="62"/>
      <c r="N39" s="59"/>
      <c r="O39" s="83"/>
      <c r="P39" s="64"/>
      <c r="Q39" s="66" t="str">
        <f aca="false">IF(ISBLANK($C39),"",IF(E39=Constants!$B$2, TRUE(), IF(E39=Constants!$B$3, FALSE(), TRUE())))</f>
        <v/>
      </c>
      <c r="R39" s="66" t="str">
        <f aca="false">IF(ISBLANK($C39),"",IF(F39=Constants!$B$16,Constants!$B$9,IF(F39=Constants!$B$17,Constants!$B$10,Constants!$B$8)))</f>
        <v/>
      </c>
      <c r="S39" s="66" t="str">
        <f aca="false">IF(ISBLANK($C39),"",IF(COUNTA(G39:H39)=0,"",IF(AND(OR(ISBLANK(G39),AND(ISNUMBER(G39),G39&gt;=0)),OR(ISBLANK(H39),AND(ISNUMBER(H39),H39&gt;=0))),60*IF(ISBLANK(G39),0,G39)+IF(ISBLANK(H39),0,H39),"")))</f>
        <v/>
      </c>
      <c r="T39" s="66" t="str">
        <f aca="false">IF(ISBLANK($C39),"",IF(I39=Constants!$B$2, TRUE(), IF(I39=Constants!$B$3, FALSE(), TRUE())))</f>
        <v/>
      </c>
      <c r="U39" s="66" t="str">
        <f aca="false">IF(ISBLANK($C39),"",IF(J39=Constants!$B$2, TRUE(), IF(J39=Constants!$B$3, FALSE(), TRUE())))</f>
        <v/>
      </c>
      <c r="V39" s="66" t="str">
        <f aca="false">IF(ISBLANK($C39),"",IF(COUNTA(K39:L39)=0,"",IF(AND(OR(ISBLANK(K39),AND(ISNUMBER(K39),K39&gt;=0)),OR(ISBLANK(L39),AND(ISNUMBER(L39),L39&gt;=0))),60*IF(ISBLANK(K39),0,K39)+IF(ISBLANK(L39),0,L39),"")))</f>
        <v/>
      </c>
      <c r="W39" s="66" t="str">
        <f aca="false">IF(ISBLANK($C39),"",IF(M39=Constants!$B$2, TRUE(), IF(M39=Constants!$B$3, FALSE(), TRUE())))</f>
        <v/>
      </c>
      <c r="X39" s="66" t="str">
        <f aca="false">IF(ISBLANK($C39),"",IF(N39=Constants!$B$2, TRUE(), IF(N39=Constants!$B$3, FALSE(), TRUE())))</f>
        <v/>
      </c>
      <c r="Y39" s="66" t="str">
        <f aca="false">IF(ISBLANK($C39),"",IF(O39=Constants!$B$2, TRUE(), IF(O39=Constants!$B$3, FALSE(), FALSE())))</f>
        <v/>
      </c>
      <c r="Z39" s="66" t="str">
        <f aca="false">IF(ISBLANK($C39),"",AND(S39&lt;&gt;"",Q39))</f>
        <v/>
      </c>
      <c r="AA39" s="66" t="str">
        <f aca="false">IF(ISBLANK($C39),"",AND(V39&lt;&gt;"",Q39))</f>
        <v/>
      </c>
      <c r="AB39" s="66" t="str">
        <f aca="false">IF(ISBLANK($C39),"",IF(Y39,Constants!$B$4,IF(COUNTA(E39:N39)=0,Constants!$B$5,IF(NOT(Q39),Constants!$B$6,IF(AND(NOT(Z39),NOT(AA39)),Constants!$B$6,Constants!$B$7)))))</f>
        <v/>
      </c>
      <c r="AC39" s="66" t="str">
        <f aca="false">IF(ISBLANK($C39),"",IF($AB39&lt;&gt;Constants!$B$7,$AB39,Constants!$B$20))</f>
        <v/>
      </c>
      <c r="AD39" s="66" t="str">
        <f aca="false">IF($AB39=Constants!$B$7,IF(Z39,S39,Constants!$B$13),"")</f>
        <v/>
      </c>
      <c r="AE39" s="66" t="str">
        <f aca="false">IF($AB39=Constants!$B$7,IF(Z39,R39*IF(T39, 1, Constants!$B$11)*IF(U39, 1, Constants!$B$12),Constants!$B$13),"")</f>
        <v/>
      </c>
      <c r="AF39" s="66" t="str">
        <f aca="false">IF($AB39=Constants!$B$7,AD39*AE39,"")</f>
        <v/>
      </c>
      <c r="AG39" s="66" t="str">
        <f aca="false">IF($AB39=Constants!$B$7,IF(AA39,V39,Constants!$B$13),"")</f>
        <v/>
      </c>
      <c r="AH39" s="66" t="str">
        <f aca="false">IF($AB39=Constants!$B$7,IF(AA39,R39*IF(W39, 1, Constants!$B$11)*IF(X39, 1, Constants!$B$12),Constants!$B$13),"")</f>
        <v/>
      </c>
      <c r="AI39" s="66" t="str">
        <f aca="false">IF($AB39=Constants!$B$7,AG39*AH39,"")</f>
        <v/>
      </c>
      <c r="AJ39" s="66" t="str">
        <f aca="false">IF($AB39=Constants!$B$7,IF(AI39&gt;AF39,2,1),"")</f>
        <v/>
      </c>
      <c r="AK39" s="66" t="str">
        <f aca="false">IF($AB39=Constants!$B$7,IF(AJ39=1,2,1),"")</f>
        <v/>
      </c>
      <c r="AL39" s="66" t="str">
        <f aca="false">IF(ISBLANK($C39),"",IF($AB39&lt;&gt;Constants!$B$7,$AB39,IF(AJ39=1,AF39,AI39)))</f>
        <v/>
      </c>
      <c r="AM39" s="66" t="str">
        <f aca="false">IF(ISBLANK($C39),"",IF($AB39=Constants!$B$7,IF(ISNUMBER(AL39),RANK(AL39,$AL$8:$AL$507),Constants!$B$14),$AB39))</f>
        <v/>
      </c>
      <c r="AN39" s="66" t="str">
        <f aca="false">IF(ISBLANK($C39),"",IF($AB39=Constants!$B$7,IF(AK39=1,AF39,AI39),""))</f>
        <v/>
      </c>
      <c r="AO39" s="66" t="str">
        <f aca="false">IF(ISBLANK($C39),"",IF($AB39=Constants!$B$7,RANK(AN39,$AN$8:$AN$507),$AB39))</f>
        <v/>
      </c>
      <c r="AP39" s="66" t="str">
        <f aca="false">IF(ISBLANK($C39),"",IF($AB39=Constants!$B$7,IF(ISNUMBER(AM39),COUNTIFS($AM$8:$AM$507,"&lt;"&amp;$AM39)+COUNTIFS($AM$8:$AM$507,$AM39,$AO$8:$AO$507,"&lt;"&amp;$AO39)+1,Constants!$B$14),$AB39))</f>
        <v/>
      </c>
      <c r="AQ39" s="66" t="str">
        <f aca="false">IF(ISBLANK($C39),"",IF($AB39=Constants!$B$7,IF(ISNUMBER(AM39),AM39-AP39,Constants!$B$14),$AB39))</f>
        <v/>
      </c>
      <c r="AR39" s="68"/>
      <c r="AS39" s="69" t="str">
        <f aca="false">IF(ISBLANK($C39),"",IF($AB39&lt;&gt;Constants!$B$7,"",AJ39))</f>
        <v/>
      </c>
      <c r="AT39" s="84" t="str">
        <f aca="false">IF(ISBLANK($C39),"",IF($AB39&lt;&gt;Constants!$B$7,"",IF(AJ39=1,AD39,AG39)))</f>
        <v/>
      </c>
      <c r="AU39" s="71" t="str">
        <f aca="false">IF(ISBLANK($C39),"",IF($AB39&lt;&gt;Constants!$B$7,"",IF(AJ39=1,AE39,AH39)))</f>
        <v/>
      </c>
      <c r="AV39" s="72" t="str">
        <f aca="false">IF(ISBLANK($C39),"",IF($AB39&lt;&gt;Constants!$B$7,$AB39,AL39))</f>
        <v/>
      </c>
      <c r="AW39" s="73" t="str">
        <f aca="false">IF(ISBLANK($C39),"",IF($AB39&lt;&gt;Constants!$B$7,$AB39,AC39))</f>
        <v/>
      </c>
      <c r="AX39" s="74" t="str">
        <f aca="false">IF(ISBLANK($C39),"",AQ39)</f>
        <v/>
      </c>
      <c r="AY39" s="74" t="str">
        <f aca="false">IF(ISBLANK($C39),"",AP39)</f>
        <v/>
      </c>
      <c r="AZ39" s="75" t="str">
        <f aca="false">IF(ISBLANK($C39),"",IF(AY39=Constants!$B$4,COUNTA($C$8:$C$507)+2,IF(AY39=Constants!$B$5,COUNTA($C$8:$C$507)+1,IF(AY39=Constants!$B$6,COUNTA($C$8:$C$507),AY39))))</f>
        <v/>
      </c>
      <c r="BA39" s="5"/>
      <c r="BB39" s="76" t="n">
        <f aca="false">IF(OR(ISNUMBER(AY39),AY39=Constants!$B$4,AY39=Constants!$B$6,AY39=Constants!$B$5),1,0)</f>
        <v>0</v>
      </c>
      <c r="BC39" s="76" t="n">
        <v>32</v>
      </c>
      <c r="BD39" s="76" t="str">
        <f aca="false">IF(ISBLANK($C39),"",IF(ISNUMBER(AZ39),AZ39+ROW($B39)/1000,""))</f>
        <v/>
      </c>
      <c r="BE39" s="76" t="str">
        <f aca="false">IF(ISNUMBER(BD39),RANK(BD39,$BD$8:$BD$507,1),"")</f>
        <v/>
      </c>
      <c r="BF39" s="76" t="str">
        <f aca="false">IF(ISBLANK($C39),"",$B39)</f>
        <v/>
      </c>
      <c r="BG39" s="76" t="str">
        <f aca="false">IF(ISBLANK($C39),"",$C39)</f>
        <v/>
      </c>
      <c r="BH39" s="76" t="str">
        <f aca="false">IF(ISBLANK($C39),"",$D39)</f>
        <v/>
      </c>
      <c r="BI39" s="77" t="str">
        <f aca="false">AW39</f>
        <v/>
      </c>
      <c r="BJ39" s="78" t="str">
        <f aca="false">AV39</f>
        <v/>
      </c>
      <c r="BK39" s="76" t="str">
        <f aca="false">IF(ISBLANK($C39),"",AY39)</f>
        <v/>
      </c>
      <c r="BL39" s="79" t="str">
        <f aca="false">IF($BC39&gt;$BB$7,"",VLOOKUP($BC39,$BE$8:$BK$507,7,FALSE()))</f>
        <v/>
      </c>
      <c r="BM39" s="80" t="str">
        <f aca="false">IF($BC39&gt;$BB$7,"",VLOOKUP($BC39,$BE$8:$BK$507,2,FALSE()))</f>
        <v/>
      </c>
      <c r="BN39" s="80" t="str">
        <f aca="false">IF($BC39&gt;$BB$7,"",VLOOKUP($BC39,$BE$8:$BK$507,3,FALSE()))</f>
        <v/>
      </c>
      <c r="BO39" s="80" t="str">
        <f aca="false">IF($BC39&gt;$BB$7,"",VLOOKUP($BC39,$BE$8:$BK$507,4,FALSE()))</f>
        <v/>
      </c>
      <c r="BP39" s="80" t="str">
        <f aca="false">IF($BC39&gt;$BB$7,"",VLOOKUP($BC39,$BE$8:$BK$507,5,FALSE()))</f>
        <v/>
      </c>
      <c r="BQ39" s="81" t="str">
        <f aca="false">IF($BC39&gt;$BB$7,"",VLOOKUP($BC39,$BE$8:$BK$507,6,FALSE()))</f>
        <v/>
      </c>
      <c r="BR39" s="54"/>
    </row>
    <row r="40" customFormat="false" ht="13.8" hidden="false" customHeight="false" outlineLevel="0" collapsed="false">
      <c r="A40" s="5"/>
      <c r="B40" s="124"/>
      <c r="C40" s="56"/>
      <c r="D40" s="57"/>
      <c r="E40" s="83"/>
      <c r="F40" s="59"/>
      <c r="G40" s="60"/>
      <c r="H40" s="61"/>
      <c r="I40" s="62"/>
      <c r="J40" s="59"/>
      <c r="K40" s="60"/>
      <c r="L40" s="61"/>
      <c r="M40" s="62"/>
      <c r="N40" s="59"/>
      <c r="O40" s="83"/>
      <c r="P40" s="64"/>
      <c r="Q40" s="66" t="str">
        <f aca="false">IF(ISBLANK($C40),"",IF(E40=Constants!$B$2, TRUE(), IF(E40=Constants!$B$3, FALSE(), TRUE())))</f>
        <v/>
      </c>
      <c r="R40" s="66" t="str">
        <f aca="false">IF(ISBLANK($C40),"",IF(F40=Constants!$B$16,Constants!$B$9,IF(F40=Constants!$B$17,Constants!$B$10,Constants!$B$8)))</f>
        <v/>
      </c>
      <c r="S40" s="66" t="str">
        <f aca="false">IF(ISBLANK($C40),"",IF(COUNTA(G40:H40)=0,"",IF(AND(OR(ISBLANK(G40),AND(ISNUMBER(G40),G40&gt;=0)),OR(ISBLANK(H40),AND(ISNUMBER(H40),H40&gt;=0))),60*IF(ISBLANK(G40),0,G40)+IF(ISBLANK(H40),0,H40),"")))</f>
        <v/>
      </c>
      <c r="T40" s="66" t="str">
        <f aca="false">IF(ISBLANK($C40),"",IF(I40=Constants!$B$2, TRUE(), IF(I40=Constants!$B$3, FALSE(), TRUE())))</f>
        <v/>
      </c>
      <c r="U40" s="66" t="str">
        <f aca="false">IF(ISBLANK($C40),"",IF(J40=Constants!$B$2, TRUE(), IF(J40=Constants!$B$3, FALSE(), TRUE())))</f>
        <v/>
      </c>
      <c r="V40" s="66" t="str">
        <f aca="false">IF(ISBLANK($C40),"",IF(COUNTA(K40:L40)=0,"",IF(AND(OR(ISBLANK(K40),AND(ISNUMBER(K40),K40&gt;=0)),OR(ISBLANK(L40),AND(ISNUMBER(L40),L40&gt;=0))),60*IF(ISBLANK(K40),0,K40)+IF(ISBLANK(L40),0,L40),"")))</f>
        <v/>
      </c>
      <c r="W40" s="66" t="str">
        <f aca="false">IF(ISBLANK($C40),"",IF(M40=Constants!$B$2, TRUE(), IF(M40=Constants!$B$3, FALSE(), TRUE())))</f>
        <v/>
      </c>
      <c r="X40" s="66" t="str">
        <f aca="false">IF(ISBLANK($C40),"",IF(N40=Constants!$B$2, TRUE(), IF(N40=Constants!$B$3, FALSE(), TRUE())))</f>
        <v/>
      </c>
      <c r="Y40" s="66" t="str">
        <f aca="false">IF(ISBLANK($C40),"",IF(O40=Constants!$B$2, TRUE(), IF(O40=Constants!$B$3, FALSE(), FALSE())))</f>
        <v/>
      </c>
      <c r="Z40" s="66" t="str">
        <f aca="false">IF(ISBLANK($C40),"",AND(S40&lt;&gt;"",Q40))</f>
        <v/>
      </c>
      <c r="AA40" s="66" t="str">
        <f aca="false">IF(ISBLANK($C40),"",AND(V40&lt;&gt;"",Q40))</f>
        <v/>
      </c>
      <c r="AB40" s="66" t="str">
        <f aca="false">IF(ISBLANK($C40),"",IF(Y40,Constants!$B$4,IF(COUNTA(E40:N40)=0,Constants!$B$5,IF(NOT(Q40),Constants!$B$6,IF(AND(NOT(Z40),NOT(AA40)),Constants!$B$6,Constants!$B$7)))))</f>
        <v/>
      </c>
      <c r="AC40" s="66" t="str">
        <f aca="false">IF(ISBLANK($C40),"",IF($AB40&lt;&gt;Constants!$B$7,$AB40,Constants!$B$20))</f>
        <v/>
      </c>
      <c r="AD40" s="66" t="str">
        <f aca="false">IF($AB40=Constants!$B$7,IF(Z40,S40,Constants!$B$13),"")</f>
        <v/>
      </c>
      <c r="AE40" s="66" t="str">
        <f aca="false">IF($AB40=Constants!$B$7,IF(Z40,R40*IF(T40, 1, Constants!$B$11)*IF(U40, 1, Constants!$B$12),Constants!$B$13),"")</f>
        <v/>
      </c>
      <c r="AF40" s="66" t="str">
        <f aca="false">IF($AB40=Constants!$B$7,AD40*AE40,"")</f>
        <v/>
      </c>
      <c r="AG40" s="66" t="str">
        <f aca="false">IF($AB40=Constants!$B$7,IF(AA40,V40,Constants!$B$13),"")</f>
        <v/>
      </c>
      <c r="AH40" s="66" t="str">
        <f aca="false">IF($AB40=Constants!$B$7,IF(AA40,R40*IF(W40, 1, Constants!$B$11)*IF(X40, 1, Constants!$B$12),Constants!$B$13),"")</f>
        <v/>
      </c>
      <c r="AI40" s="66" t="str">
        <f aca="false">IF($AB40=Constants!$B$7,AG40*AH40,"")</f>
        <v/>
      </c>
      <c r="AJ40" s="66" t="str">
        <f aca="false">IF($AB40=Constants!$B$7,IF(AI40&gt;AF40,2,1),"")</f>
        <v/>
      </c>
      <c r="AK40" s="66" t="str">
        <f aca="false">IF($AB40=Constants!$B$7,IF(AJ40=1,2,1),"")</f>
        <v/>
      </c>
      <c r="AL40" s="66" t="str">
        <f aca="false">IF(ISBLANK($C40),"",IF($AB40&lt;&gt;Constants!$B$7,$AB40,IF(AJ40=1,AF40,AI40)))</f>
        <v/>
      </c>
      <c r="AM40" s="66" t="str">
        <f aca="false">IF(ISBLANK($C40),"",IF($AB40=Constants!$B$7,IF(ISNUMBER(AL40),RANK(AL40,$AL$8:$AL$507),Constants!$B$14),$AB40))</f>
        <v/>
      </c>
      <c r="AN40" s="66" t="str">
        <f aca="false">IF(ISBLANK($C40),"",IF($AB40=Constants!$B$7,IF(AK40=1,AF40,AI40),""))</f>
        <v/>
      </c>
      <c r="AO40" s="66" t="str">
        <f aca="false">IF(ISBLANK($C40),"",IF($AB40=Constants!$B$7,RANK(AN40,$AN$8:$AN$507),$AB40))</f>
        <v/>
      </c>
      <c r="AP40" s="66" t="str">
        <f aca="false">IF(ISBLANK($C40),"",IF($AB40=Constants!$B$7,IF(ISNUMBER(AM40),COUNTIFS($AM$8:$AM$507,"&lt;"&amp;$AM40)+COUNTIFS($AM$8:$AM$507,$AM40,$AO$8:$AO$507,"&lt;"&amp;$AO40)+1,Constants!$B$14),$AB40))</f>
        <v/>
      </c>
      <c r="AQ40" s="66" t="str">
        <f aca="false">IF(ISBLANK($C40),"",IF($AB40=Constants!$B$7,IF(ISNUMBER(AM40),AM40-AP40,Constants!$B$14),$AB40))</f>
        <v/>
      </c>
      <c r="AR40" s="68"/>
      <c r="AS40" s="69" t="str">
        <f aca="false">IF(ISBLANK($C40),"",IF($AB40&lt;&gt;Constants!$B$7,"",AJ40))</f>
        <v/>
      </c>
      <c r="AT40" s="84" t="str">
        <f aca="false">IF(ISBLANK($C40),"",IF($AB40&lt;&gt;Constants!$B$7,"",IF(AJ40=1,AD40,AG40)))</f>
        <v/>
      </c>
      <c r="AU40" s="71" t="str">
        <f aca="false">IF(ISBLANK($C40),"",IF($AB40&lt;&gt;Constants!$B$7,"",IF(AJ40=1,AE40,AH40)))</f>
        <v/>
      </c>
      <c r="AV40" s="72" t="str">
        <f aca="false">IF(ISBLANK($C40),"",IF($AB40&lt;&gt;Constants!$B$7,$AB40,AL40))</f>
        <v/>
      </c>
      <c r="AW40" s="73" t="str">
        <f aca="false">IF(ISBLANK($C40),"",IF($AB40&lt;&gt;Constants!$B$7,$AB40,AC40))</f>
        <v/>
      </c>
      <c r="AX40" s="74" t="str">
        <f aca="false">IF(ISBLANK($C40),"",AQ40)</f>
        <v/>
      </c>
      <c r="AY40" s="74" t="str">
        <f aca="false">IF(ISBLANK($C40),"",AP40)</f>
        <v/>
      </c>
      <c r="AZ40" s="75" t="str">
        <f aca="false">IF(ISBLANK($C40),"",IF(AY40=Constants!$B$4,COUNTA($C$8:$C$507)+2,IF(AY40=Constants!$B$5,COUNTA($C$8:$C$507)+1,IF(AY40=Constants!$B$6,COUNTA($C$8:$C$507),AY40))))</f>
        <v/>
      </c>
      <c r="BA40" s="5"/>
      <c r="BB40" s="76" t="n">
        <f aca="false">IF(OR(ISNUMBER(AY40),AY40=Constants!$B$4,AY40=Constants!$B$6,AY40=Constants!$B$5),1,0)</f>
        <v>0</v>
      </c>
      <c r="BC40" s="76" t="n">
        <v>33</v>
      </c>
      <c r="BD40" s="76" t="str">
        <f aca="false">IF(ISBLANK($C40),"",IF(ISNUMBER(AZ40),AZ40+ROW($B40)/1000,""))</f>
        <v/>
      </c>
      <c r="BE40" s="76" t="str">
        <f aca="false">IF(ISNUMBER(BD40),RANK(BD40,$BD$8:$BD$507,1),"")</f>
        <v/>
      </c>
      <c r="BF40" s="76" t="str">
        <f aca="false">IF(ISBLANK($C40),"",$B40)</f>
        <v/>
      </c>
      <c r="BG40" s="76" t="str">
        <f aca="false">IF(ISBLANK($C40),"",$C40)</f>
        <v/>
      </c>
      <c r="BH40" s="76" t="str">
        <f aca="false">IF(ISBLANK($C40),"",$D40)</f>
        <v/>
      </c>
      <c r="BI40" s="77" t="str">
        <f aca="false">AW40</f>
        <v/>
      </c>
      <c r="BJ40" s="78" t="str">
        <f aca="false">AV40</f>
        <v/>
      </c>
      <c r="BK40" s="76" t="str">
        <f aca="false">IF(ISBLANK($C40),"",AY40)</f>
        <v/>
      </c>
      <c r="BL40" s="79" t="str">
        <f aca="false">IF($BC40&gt;$BB$7,"",VLOOKUP($BC40,$BE$8:$BK$507,7,FALSE()))</f>
        <v/>
      </c>
      <c r="BM40" s="80" t="str">
        <f aca="false">IF($BC40&gt;$BB$7,"",VLOOKUP($BC40,$BE$8:$BK$507,2,FALSE()))</f>
        <v/>
      </c>
      <c r="BN40" s="80" t="str">
        <f aca="false">IF($BC40&gt;$BB$7,"",VLOOKUP($BC40,$BE$8:$BK$507,3,FALSE()))</f>
        <v/>
      </c>
      <c r="BO40" s="80" t="str">
        <f aca="false">IF($BC40&gt;$BB$7,"",VLOOKUP($BC40,$BE$8:$BK$507,4,FALSE()))</f>
        <v/>
      </c>
      <c r="BP40" s="80" t="str">
        <f aca="false">IF($BC40&gt;$BB$7,"",VLOOKUP($BC40,$BE$8:$BK$507,5,FALSE()))</f>
        <v/>
      </c>
      <c r="BQ40" s="81" t="str">
        <f aca="false">IF($BC40&gt;$BB$7,"",VLOOKUP($BC40,$BE$8:$BK$507,6,FALSE()))</f>
        <v/>
      </c>
      <c r="BR40" s="54"/>
    </row>
    <row r="41" customFormat="false" ht="13.8" hidden="false" customHeight="false" outlineLevel="0" collapsed="false">
      <c r="A41" s="5"/>
      <c r="B41" s="120"/>
      <c r="C41" s="121"/>
      <c r="D41" s="112"/>
      <c r="E41" s="123"/>
      <c r="F41" s="91"/>
      <c r="G41" s="92"/>
      <c r="H41" s="93"/>
      <c r="I41" s="94"/>
      <c r="J41" s="91"/>
      <c r="K41" s="92"/>
      <c r="L41" s="93"/>
      <c r="M41" s="94"/>
      <c r="N41" s="91"/>
      <c r="O41" s="123"/>
      <c r="P41" s="96"/>
      <c r="Q41" s="97" t="str">
        <f aca="false">IF(ISBLANK($C41),"",IF(E41=Constants!$B$2, TRUE(), IF(E41=Constants!$B$3, FALSE(), TRUE())))</f>
        <v/>
      </c>
      <c r="R41" s="97" t="str">
        <f aca="false">IF(ISBLANK($C41),"",IF(F41=Constants!$B$16,Constants!$B$9,IF(F41=Constants!$B$17,Constants!$B$10,Constants!$B$8)))</f>
        <v/>
      </c>
      <c r="S41" s="97" t="str">
        <f aca="false">IF(ISBLANK($C41),"",IF(COUNTA(G41:H41)=0,"",IF(AND(OR(ISBLANK(G41),AND(ISNUMBER(G41),G41&gt;=0)),OR(ISBLANK(H41),AND(ISNUMBER(H41),H41&gt;=0))),60*IF(ISBLANK(G41),0,G41)+IF(ISBLANK(H41),0,H41),"")))</f>
        <v/>
      </c>
      <c r="T41" s="97" t="str">
        <f aca="false">IF(ISBLANK($C41),"",IF(I41=Constants!$B$2, TRUE(), IF(I41=Constants!$B$3, FALSE(), TRUE())))</f>
        <v/>
      </c>
      <c r="U41" s="97" t="str">
        <f aca="false">IF(ISBLANK($C41),"",IF(J41=Constants!$B$2, TRUE(), IF(J41=Constants!$B$3, FALSE(), TRUE())))</f>
        <v/>
      </c>
      <c r="V41" s="97" t="str">
        <f aca="false">IF(ISBLANK($C41),"",IF(COUNTA(K41:L41)=0,"",IF(AND(OR(ISBLANK(K41),AND(ISNUMBER(K41),K41&gt;=0)),OR(ISBLANK(L41),AND(ISNUMBER(L41),L41&gt;=0))),60*IF(ISBLANK(K41),0,K41)+IF(ISBLANK(L41),0,L41),"")))</f>
        <v/>
      </c>
      <c r="W41" s="97" t="str">
        <f aca="false">IF(ISBLANK($C41),"",IF(M41=Constants!$B$2, TRUE(), IF(M41=Constants!$B$3, FALSE(), TRUE())))</f>
        <v/>
      </c>
      <c r="X41" s="97" t="str">
        <f aca="false">IF(ISBLANK($C41),"",IF(N41=Constants!$B$2, TRUE(), IF(N41=Constants!$B$3, FALSE(), TRUE())))</f>
        <v/>
      </c>
      <c r="Y41" s="97" t="str">
        <f aca="false">IF(ISBLANK($C41),"",IF(O41=Constants!$B$2, TRUE(), IF(O41=Constants!$B$3, FALSE(), FALSE())))</f>
        <v/>
      </c>
      <c r="Z41" s="97" t="str">
        <f aca="false">IF(ISBLANK($C41),"",AND(S41&lt;&gt;"",Q41))</f>
        <v/>
      </c>
      <c r="AA41" s="97" t="str">
        <f aca="false">IF(ISBLANK($C41),"",AND(V41&lt;&gt;"",Q41))</f>
        <v/>
      </c>
      <c r="AB41" s="97" t="str">
        <f aca="false">IF(ISBLANK($C41),"",IF(Y41,Constants!$B$4,IF(COUNTA(E41:N41)=0,Constants!$B$5,IF(NOT(Q41),Constants!$B$6,IF(AND(NOT(Z41),NOT(AA41)),Constants!$B$6,Constants!$B$7)))))</f>
        <v/>
      </c>
      <c r="AC41" s="97" t="str">
        <f aca="false">IF(ISBLANK($C41),"",IF($AB41&lt;&gt;Constants!$B$7,$AB41,Constants!$B$20))</f>
        <v/>
      </c>
      <c r="AD41" s="97" t="str">
        <f aca="false">IF($AB41=Constants!$B$7,IF(Z41,S41,Constants!$B$13),"")</f>
        <v/>
      </c>
      <c r="AE41" s="97" t="str">
        <f aca="false">IF($AB41=Constants!$B$7,IF(Z41,R41*IF(T41, 1, Constants!$B$11)*IF(U41, 1, Constants!$B$12),Constants!$B$13),"")</f>
        <v/>
      </c>
      <c r="AF41" s="97" t="str">
        <f aca="false">IF($AB41=Constants!$B$7,AD41*AE41,"")</f>
        <v/>
      </c>
      <c r="AG41" s="97" t="str">
        <f aca="false">IF($AB41=Constants!$B$7,IF(AA41,V41,Constants!$B$13),"")</f>
        <v/>
      </c>
      <c r="AH41" s="97" t="str">
        <f aca="false">IF($AB41=Constants!$B$7,IF(AA41,R41*IF(W41, 1, Constants!$B$11)*IF(X41, 1, Constants!$B$12),Constants!$B$13),"")</f>
        <v/>
      </c>
      <c r="AI41" s="97" t="str">
        <f aca="false">IF($AB41=Constants!$B$7,AG41*AH41,"")</f>
        <v/>
      </c>
      <c r="AJ41" s="97" t="str">
        <f aca="false">IF($AB41=Constants!$B$7,IF(AI41&gt;AF41,2,1),"")</f>
        <v/>
      </c>
      <c r="AK41" s="97" t="str">
        <f aca="false">IF($AB41=Constants!$B$7,IF(AJ41=1,2,1),"")</f>
        <v/>
      </c>
      <c r="AL41" s="97" t="str">
        <f aca="false">IF(ISBLANK($C41),"",IF($AB41&lt;&gt;Constants!$B$7,$AB41,IF(AJ41=1,AF41,AI41)))</f>
        <v/>
      </c>
      <c r="AM41" s="97" t="str">
        <f aca="false">IF(ISBLANK($C41),"",IF($AB41=Constants!$B$7,IF(ISNUMBER(AL41),RANK(AL41,$AL$8:$AL$507),Constants!$B$14),$AB41))</f>
        <v/>
      </c>
      <c r="AN41" s="97" t="str">
        <f aca="false">IF(ISBLANK($C41),"",IF($AB41=Constants!$B$7,IF(AK41=1,AF41,AI41),""))</f>
        <v/>
      </c>
      <c r="AO41" s="97" t="str">
        <f aca="false">IF(ISBLANK($C41),"",IF($AB41=Constants!$B$7,RANK(AN41,$AN$8:$AN$507),$AB41))</f>
        <v/>
      </c>
      <c r="AP41" s="97" t="str">
        <f aca="false">IF(ISBLANK($C41),"",IF($AB41=Constants!$B$7,IF(ISNUMBER(AM41),COUNTIFS($AM$8:$AM$507,"&lt;"&amp;$AM41)+COUNTIFS($AM$8:$AM$507,$AM41,$AO$8:$AO$507,"&lt;"&amp;$AO41)+1,Constants!$B$14),$AB41))</f>
        <v/>
      </c>
      <c r="AQ41" s="97" t="str">
        <f aca="false">IF(ISBLANK($C41),"",IF($AB41=Constants!$B$7,IF(ISNUMBER(AM41),AM41-AP41,Constants!$B$14),$AB41))</f>
        <v/>
      </c>
      <c r="AR41" s="98"/>
      <c r="AS41" s="99" t="str">
        <f aca="false">IF(ISBLANK($C41),"",IF($AB41&lt;&gt;Constants!$B$7,"",AJ41))</f>
        <v/>
      </c>
      <c r="AT41" s="100" t="str">
        <f aca="false">IF(ISBLANK($C41),"",IF($AB41&lt;&gt;Constants!$B$7,"",IF(AJ41=1,AD41,AG41)))</f>
        <v/>
      </c>
      <c r="AU41" s="101" t="str">
        <f aca="false">IF(ISBLANK($C41),"",IF($AB41&lt;&gt;Constants!$B$7,"",IF(AJ41=1,AE41,AH41)))</f>
        <v/>
      </c>
      <c r="AV41" s="102" t="str">
        <f aca="false">IF(ISBLANK($C41),"",IF($AB41&lt;&gt;Constants!$B$7,$AB41,AL41))</f>
        <v/>
      </c>
      <c r="AW41" s="103" t="str">
        <f aca="false">IF(ISBLANK($C41),"",IF($AB41&lt;&gt;Constants!$B$7,$AB41,AC41))</f>
        <v/>
      </c>
      <c r="AX41" s="104" t="str">
        <f aca="false">IF(ISBLANK($C41),"",AQ41)</f>
        <v/>
      </c>
      <c r="AY41" s="104" t="str">
        <f aca="false">IF(ISBLANK($C41),"",AP41)</f>
        <v/>
      </c>
      <c r="AZ41" s="105" t="str">
        <f aca="false">IF(ISBLANK($C41),"",IF(AY41=Constants!$B$4,COUNTA($C$8:$C$507)+2,IF(AY41=Constants!$B$5,COUNTA($C$8:$C$507)+1,IF(AY41=Constants!$B$6,COUNTA($C$8:$C$507),AY41))))</f>
        <v/>
      </c>
      <c r="BA41" s="5"/>
      <c r="BB41" s="106" t="n">
        <f aca="false">IF(OR(ISNUMBER(AY41),AY41=Constants!$B$4,AY41=Constants!$B$6,AY41=Constants!$B$5),1,0)</f>
        <v>0</v>
      </c>
      <c r="BC41" s="106" t="n">
        <v>34</v>
      </c>
      <c r="BD41" s="106" t="str">
        <f aca="false">IF(ISBLANK($C41),"",IF(ISNUMBER(AZ41),AZ41+ROW($B41)/1000,""))</f>
        <v/>
      </c>
      <c r="BE41" s="106" t="str">
        <f aca="false">IF(ISNUMBER(BD41),RANK(BD41,$BD$8:$BD$507,1),"")</f>
        <v/>
      </c>
      <c r="BF41" s="106" t="str">
        <f aca="false">IF(ISBLANK($C41),"",$B41)</f>
        <v/>
      </c>
      <c r="BG41" s="106" t="str">
        <f aca="false">IF(ISBLANK($C41),"",$C41)</f>
        <v/>
      </c>
      <c r="BH41" s="106" t="str">
        <f aca="false">IF(ISBLANK($C41),"",$D41)</f>
        <v/>
      </c>
      <c r="BI41" s="107" t="str">
        <f aca="false">AW41</f>
        <v/>
      </c>
      <c r="BJ41" s="108" t="str">
        <f aca="false">AV41</f>
        <v/>
      </c>
      <c r="BK41" s="106" t="str">
        <f aca="false">IF(ISBLANK($C41),"",AY41)</f>
        <v/>
      </c>
      <c r="BL41" s="109" t="str">
        <f aca="false">IF($BC41&gt;$BB$7,"",VLOOKUP($BC41,$BE$8:$BK$507,7,FALSE()))</f>
        <v/>
      </c>
      <c r="BM41" s="110" t="str">
        <f aca="false">IF($BC41&gt;$BB$7,"",VLOOKUP($BC41,$BE$8:$BK$507,2,FALSE()))</f>
        <v/>
      </c>
      <c r="BN41" s="110" t="str">
        <f aca="false">IF($BC41&gt;$BB$7,"",VLOOKUP($BC41,$BE$8:$BK$507,3,FALSE()))</f>
        <v/>
      </c>
      <c r="BO41" s="110" t="str">
        <f aca="false">IF($BC41&gt;$BB$7,"",VLOOKUP($BC41,$BE$8:$BK$507,4,FALSE()))</f>
        <v/>
      </c>
      <c r="BP41" s="110" t="str">
        <f aca="false">IF($BC41&gt;$BB$7,"",VLOOKUP($BC41,$BE$8:$BK$507,5,FALSE()))</f>
        <v/>
      </c>
      <c r="BQ41" s="111" t="str">
        <f aca="false">IF($BC41&gt;$BB$7,"",VLOOKUP($BC41,$BE$8:$BK$507,6,FALSE()))</f>
        <v/>
      </c>
      <c r="BR41" s="54"/>
    </row>
    <row r="42" customFormat="false" ht="13.8" hidden="false" customHeight="false" outlineLevel="0" collapsed="false">
      <c r="A42" s="5"/>
      <c r="B42" s="120"/>
      <c r="C42" s="121"/>
      <c r="D42" s="112"/>
      <c r="E42" s="123"/>
      <c r="F42" s="91"/>
      <c r="G42" s="92"/>
      <c r="H42" s="93"/>
      <c r="I42" s="94"/>
      <c r="J42" s="91"/>
      <c r="K42" s="92"/>
      <c r="L42" s="93"/>
      <c r="M42" s="94"/>
      <c r="N42" s="91"/>
      <c r="O42" s="123"/>
      <c r="P42" s="96"/>
      <c r="Q42" s="97" t="str">
        <f aca="false">IF(ISBLANK($C42),"",IF(E42=Constants!$B$2, TRUE(), IF(E42=Constants!$B$3, FALSE(), TRUE())))</f>
        <v/>
      </c>
      <c r="R42" s="97" t="str">
        <f aca="false">IF(ISBLANK($C42),"",IF(F42=Constants!$B$16,Constants!$B$9,IF(F42=Constants!$B$17,Constants!$B$10,Constants!$B$8)))</f>
        <v/>
      </c>
      <c r="S42" s="97" t="str">
        <f aca="false">IF(ISBLANK($C42),"",IF(COUNTA(G42:H42)=0,"",IF(AND(OR(ISBLANK(G42),AND(ISNUMBER(G42),G42&gt;=0)),OR(ISBLANK(H42),AND(ISNUMBER(H42),H42&gt;=0))),60*IF(ISBLANK(G42),0,G42)+IF(ISBLANK(H42),0,H42),"")))</f>
        <v/>
      </c>
      <c r="T42" s="97" t="str">
        <f aca="false">IF(ISBLANK($C42),"",IF(I42=Constants!$B$2, TRUE(), IF(I42=Constants!$B$3, FALSE(), TRUE())))</f>
        <v/>
      </c>
      <c r="U42" s="97" t="str">
        <f aca="false">IF(ISBLANK($C42),"",IF(J42=Constants!$B$2, TRUE(), IF(J42=Constants!$B$3, FALSE(), TRUE())))</f>
        <v/>
      </c>
      <c r="V42" s="97" t="str">
        <f aca="false">IF(ISBLANK($C42),"",IF(COUNTA(K42:L42)=0,"",IF(AND(OR(ISBLANK(K42),AND(ISNUMBER(K42),K42&gt;=0)),OR(ISBLANK(L42),AND(ISNUMBER(L42),L42&gt;=0))),60*IF(ISBLANK(K42),0,K42)+IF(ISBLANK(L42),0,L42),"")))</f>
        <v/>
      </c>
      <c r="W42" s="97" t="str">
        <f aca="false">IF(ISBLANK($C42),"",IF(M42=Constants!$B$2, TRUE(), IF(M42=Constants!$B$3, FALSE(), TRUE())))</f>
        <v/>
      </c>
      <c r="X42" s="97" t="str">
        <f aca="false">IF(ISBLANK($C42),"",IF(N42=Constants!$B$2, TRUE(), IF(N42=Constants!$B$3, FALSE(), TRUE())))</f>
        <v/>
      </c>
      <c r="Y42" s="97" t="str">
        <f aca="false">IF(ISBLANK($C42),"",IF(O42=Constants!$B$2, TRUE(), IF(O42=Constants!$B$3, FALSE(), FALSE())))</f>
        <v/>
      </c>
      <c r="Z42" s="97" t="str">
        <f aca="false">IF(ISBLANK($C42),"",AND(S42&lt;&gt;"",Q42))</f>
        <v/>
      </c>
      <c r="AA42" s="97" t="str">
        <f aca="false">IF(ISBLANK($C42),"",AND(V42&lt;&gt;"",Q42))</f>
        <v/>
      </c>
      <c r="AB42" s="97" t="str">
        <f aca="false">IF(ISBLANK($C42),"",IF(Y42,Constants!$B$4,IF(COUNTA(E42:N42)=0,Constants!$B$5,IF(NOT(Q42),Constants!$B$6,IF(AND(NOT(Z42),NOT(AA42)),Constants!$B$6,Constants!$B$7)))))</f>
        <v/>
      </c>
      <c r="AC42" s="97" t="str">
        <f aca="false">IF(ISBLANK($C42),"",IF($AB42&lt;&gt;Constants!$B$7,$AB42,Constants!$B$20))</f>
        <v/>
      </c>
      <c r="AD42" s="97" t="str">
        <f aca="false">IF($AB42=Constants!$B$7,IF(Z42,S42,Constants!$B$13),"")</f>
        <v/>
      </c>
      <c r="AE42" s="97" t="str">
        <f aca="false">IF($AB42=Constants!$B$7,IF(Z42,R42*IF(T42, 1, Constants!$B$11)*IF(U42, 1, Constants!$B$12),Constants!$B$13),"")</f>
        <v/>
      </c>
      <c r="AF42" s="97" t="str">
        <f aca="false">IF($AB42=Constants!$B$7,AD42*AE42,"")</f>
        <v/>
      </c>
      <c r="AG42" s="97" t="str">
        <f aca="false">IF($AB42=Constants!$B$7,IF(AA42,V42,Constants!$B$13),"")</f>
        <v/>
      </c>
      <c r="AH42" s="97" t="str">
        <f aca="false">IF($AB42=Constants!$B$7,IF(AA42,R42*IF(W42, 1, Constants!$B$11)*IF(X42, 1, Constants!$B$12),Constants!$B$13),"")</f>
        <v/>
      </c>
      <c r="AI42" s="97" t="str">
        <f aca="false">IF($AB42=Constants!$B$7,AG42*AH42,"")</f>
        <v/>
      </c>
      <c r="AJ42" s="97" t="str">
        <f aca="false">IF($AB42=Constants!$B$7,IF(AI42&gt;AF42,2,1),"")</f>
        <v/>
      </c>
      <c r="AK42" s="97" t="str">
        <f aca="false">IF($AB42=Constants!$B$7,IF(AJ42=1,2,1),"")</f>
        <v/>
      </c>
      <c r="AL42" s="97" t="str">
        <f aca="false">IF(ISBLANK($C42),"",IF($AB42&lt;&gt;Constants!$B$7,$AB42,IF(AJ42=1,AF42,AI42)))</f>
        <v/>
      </c>
      <c r="AM42" s="97" t="str">
        <f aca="false">IF(ISBLANK($C42),"",IF($AB42=Constants!$B$7,IF(ISNUMBER(AL42),RANK(AL42,$AL$8:$AL$507),Constants!$B$14),$AB42))</f>
        <v/>
      </c>
      <c r="AN42" s="97" t="str">
        <f aca="false">IF(ISBLANK($C42),"",IF($AB42=Constants!$B$7,IF(AK42=1,AF42,AI42),""))</f>
        <v/>
      </c>
      <c r="AO42" s="97" t="str">
        <f aca="false">IF(ISBLANK($C42),"",IF($AB42=Constants!$B$7,RANK(AN42,$AN$8:$AN$507),$AB42))</f>
        <v/>
      </c>
      <c r="AP42" s="97" t="str">
        <f aca="false">IF(ISBLANK($C42),"",IF($AB42=Constants!$B$7,IF(ISNUMBER(AM42),COUNTIFS($AM$8:$AM$507,"&lt;"&amp;$AM42)+COUNTIFS($AM$8:$AM$507,$AM42,$AO$8:$AO$507,"&lt;"&amp;$AO42)+1,Constants!$B$14),$AB42))</f>
        <v/>
      </c>
      <c r="AQ42" s="97" t="str">
        <f aca="false">IF(ISBLANK($C42),"",IF($AB42=Constants!$B$7,IF(ISNUMBER(AM42),AM42-AP42,Constants!$B$14),$AB42))</f>
        <v/>
      </c>
      <c r="AR42" s="98"/>
      <c r="AS42" s="99" t="str">
        <f aca="false">IF(ISBLANK($C42),"",IF($AB42&lt;&gt;Constants!$B$7,"",AJ42))</f>
        <v/>
      </c>
      <c r="AT42" s="100" t="str">
        <f aca="false">IF(ISBLANK($C42),"",IF($AB42&lt;&gt;Constants!$B$7,"",IF(AJ42=1,AD42,AG42)))</f>
        <v/>
      </c>
      <c r="AU42" s="101" t="str">
        <f aca="false">IF(ISBLANK($C42),"",IF($AB42&lt;&gt;Constants!$B$7,"",IF(AJ42=1,AE42,AH42)))</f>
        <v/>
      </c>
      <c r="AV42" s="102" t="str">
        <f aca="false">IF(ISBLANK($C42),"",IF($AB42&lt;&gt;Constants!$B$7,$AB42,AL42))</f>
        <v/>
      </c>
      <c r="AW42" s="103" t="str">
        <f aca="false">IF(ISBLANK($C42),"",IF($AB42&lt;&gt;Constants!$B$7,$AB42,AC42))</f>
        <v/>
      </c>
      <c r="AX42" s="104" t="str">
        <f aca="false">IF(ISBLANK($C42),"",AQ42)</f>
        <v/>
      </c>
      <c r="AY42" s="104" t="str">
        <f aca="false">IF(ISBLANK($C42),"",AP42)</f>
        <v/>
      </c>
      <c r="AZ42" s="105" t="str">
        <f aca="false">IF(ISBLANK($C42),"",IF(AY42=Constants!$B$4,COUNTA($C$8:$C$507)+2,IF(AY42=Constants!$B$5,COUNTA($C$8:$C$507)+1,IF(AY42=Constants!$B$6,COUNTA($C$8:$C$507),AY42))))</f>
        <v/>
      </c>
      <c r="BA42" s="5"/>
      <c r="BB42" s="106" t="n">
        <f aca="false">IF(OR(ISNUMBER(AY42),AY42=Constants!$B$4,AY42=Constants!$B$6,AY42=Constants!$B$5),1,0)</f>
        <v>0</v>
      </c>
      <c r="BC42" s="106" t="n">
        <v>35</v>
      </c>
      <c r="BD42" s="106" t="str">
        <f aca="false">IF(ISBLANK($C42),"",IF(ISNUMBER(AZ42),AZ42+ROW($B42)/1000,""))</f>
        <v/>
      </c>
      <c r="BE42" s="106" t="str">
        <f aca="false">IF(ISNUMBER(BD42),RANK(BD42,$BD$8:$BD$507,1),"")</f>
        <v/>
      </c>
      <c r="BF42" s="106" t="str">
        <f aca="false">IF(ISBLANK($C42),"",$B42)</f>
        <v/>
      </c>
      <c r="BG42" s="106" t="str">
        <f aca="false">IF(ISBLANK($C42),"",$C42)</f>
        <v/>
      </c>
      <c r="BH42" s="106" t="str">
        <f aca="false">IF(ISBLANK($C42),"",$D42)</f>
        <v/>
      </c>
      <c r="BI42" s="107" t="str">
        <f aca="false">AW42</f>
        <v/>
      </c>
      <c r="BJ42" s="108" t="str">
        <f aca="false">AV42</f>
        <v/>
      </c>
      <c r="BK42" s="106" t="str">
        <f aca="false">IF(ISBLANK($C42),"",AY42)</f>
        <v/>
      </c>
      <c r="BL42" s="109" t="str">
        <f aca="false">IF($BC42&gt;$BB$7,"",VLOOKUP($BC42,$BE$8:$BK$507,7,FALSE()))</f>
        <v/>
      </c>
      <c r="BM42" s="110" t="str">
        <f aca="false">IF($BC42&gt;$BB$7,"",VLOOKUP($BC42,$BE$8:$BK$507,2,FALSE()))</f>
        <v/>
      </c>
      <c r="BN42" s="110" t="str">
        <f aca="false">IF($BC42&gt;$BB$7,"",VLOOKUP($BC42,$BE$8:$BK$507,3,FALSE()))</f>
        <v/>
      </c>
      <c r="BO42" s="110" t="str">
        <f aca="false">IF($BC42&gt;$BB$7,"",VLOOKUP($BC42,$BE$8:$BK$507,4,FALSE()))</f>
        <v/>
      </c>
      <c r="BP42" s="110" t="str">
        <f aca="false">IF($BC42&gt;$BB$7,"",VLOOKUP($BC42,$BE$8:$BK$507,5,FALSE()))</f>
        <v/>
      </c>
      <c r="BQ42" s="111" t="str">
        <f aca="false">IF($BC42&gt;$BB$7,"",VLOOKUP($BC42,$BE$8:$BK$507,6,FALSE()))</f>
        <v/>
      </c>
      <c r="BR42" s="54"/>
    </row>
    <row r="43" customFormat="false" ht="13.8" hidden="false" customHeight="false" outlineLevel="0" collapsed="false">
      <c r="A43" s="5"/>
      <c r="B43" s="120"/>
      <c r="C43" s="121"/>
      <c r="D43" s="112"/>
      <c r="E43" s="123"/>
      <c r="F43" s="91"/>
      <c r="G43" s="92"/>
      <c r="H43" s="93"/>
      <c r="I43" s="94"/>
      <c r="J43" s="91"/>
      <c r="K43" s="92"/>
      <c r="L43" s="93"/>
      <c r="M43" s="94"/>
      <c r="N43" s="91"/>
      <c r="O43" s="123"/>
      <c r="P43" s="96"/>
      <c r="Q43" s="97" t="str">
        <f aca="false">IF(ISBLANK($C43),"",IF(E43=Constants!$B$2, TRUE(), IF(E43=Constants!$B$3, FALSE(), TRUE())))</f>
        <v/>
      </c>
      <c r="R43" s="97" t="str">
        <f aca="false">IF(ISBLANK($C43),"",IF(F43=Constants!$B$16,Constants!$B$9,IF(F43=Constants!$B$17,Constants!$B$10,Constants!$B$8)))</f>
        <v/>
      </c>
      <c r="S43" s="97" t="str">
        <f aca="false">IF(ISBLANK($C43),"",IF(COUNTA(G43:H43)=0,"",IF(AND(OR(ISBLANK(G43),AND(ISNUMBER(G43),G43&gt;=0)),OR(ISBLANK(H43),AND(ISNUMBER(H43),H43&gt;=0))),60*IF(ISBLANK(G43),0,G43)+IF(ISBLANK(H43),0,H43),"")))</f>
        <v/>
      </c>
      <c r="T43" s="97" t="str">
        <f aca="false">IF(ISBLANK($C43),"",IF(I43=Constants!$B$2, TRUE(), IF(I43=Constants!$B$3, FALSE(), TRUE())))</f>
        <v/>
      </c>
      <c r="U43" s="97" t="str">
        <f aca="false">IF(ISBLANK($C43),"",IF(J43=Constants!$B$2, TRUE(), IF(J43=Constants!$B$3, FALSE(), TRUE())))</f>
        <v/>
      </c>
      <c r="V43" s="97" t="str">
        <f aca="false">IF(ISBLANK($C43),"",IF(COUNTA(K43:L43)=0,"",IF(AND(OR(ISBLANK(K43),AND(ISNUMBER(K43),K43&gt;=0)),OR(ISBLANK(L43),AND(ISNUMBER(L43),L43&gt;=0))),60*IF(ISBLANK(K43),0,K43)+IF(ISBLANK(L43),0,L43),"")))</f>
        <v/>
      </c>
      <c r="W43" s="97" t="str">
        <f aca="false">IF(ISBLANK($C43),"",IF(M43=Constants!$B$2, TRUE(), IF(M43=Constants!$B$3, FALSE(), TRUE())))</f>
        <v/>
      </c>
      <c r="X43" s="97" t="str">
        <f aca="false">IF(ISBLANK($C43),"",IF(N43=Constants!$B$2, TRUE(), IF(N43=Constants!$B$3, FALSE(), TRUE())))</f>
        <v/>
      </c>
      <c r="Y43" s="97" t="str">
        <f aca="false">IF(ISBLANK($C43),"",IF(O43=Constants!$B$2, TRUE(), IF(O43=Constants!$B$3, FALSE(), FALSE())))</f>
        <v/>
      </c>
      <c r="Z43" s="97" t="str">
        <f aca="false">IF(ISBLANK($C43),"",AND(S43&lt;&gt;"",Q43))</f>
        <v/>
      </c>
      <c r="AA43" s="97" t="str">
        <f aca="false">IF(ISBLANK($C43),"",AND(V43&lt;&gt;"",Q43))</f>
        <v/>
      </c>
      <c r="AB43" s="97" t="str">
        <f aca="false">IF(ISBLANK($C43),"",IF(Y43,Constants!$B$4,IF(COUNTA(E43:N43)=0,Constants!$B$5,IF(NOT(Q43),Constants!$B$6,IF(AND(NOT(Z43),NOT(AA43)),Constants!$B$6,Constants!$B$7)))))</f>
        <v/>
      </c>
      <c r="AC43" s="97" t="str">
        <f aca="false">IF(ISBLANK($C43),"",IF($AB43&lt;&gt;Constants!$B$7,$AB43,Constants!$B$20))</f>
        <v/>
      </c>
      <c r="AD43" s="97" t="str">
        <f aca="false">IF($AB43=Constants!$B$7,IF(Z43,S43,Constants!$B$13),"")</f>
        <v/>
      </c>
      <c r="AE43" s="97" t="str">
        <f aca="false">IF($AB43=Constants!$B$7,IF(Z43,R43*IF(T43, 1, Constants!$B$11)*IF(U43, 1, Constants!$B$12),Constants!$B$13),"")</f>
        <v/>
      </c>
      <c r="AF43" s="97" t="str">
        <f aca="false">IF($AB43=Constants!$B$7,AD43*AE43,"")</f>
        <v/>
      </c>
      <c r="AG43" s="97" t="str">
        <f aca="false">IF($AB43=Constants!$B$7,IF(AA43,V43,Constants!$B$13),"")</f>
        <v/>
      </c>
      <c r="AH43" s="97" t="str">
        <f aca="false">IF($AB43=Constants!$B$7,IF(AA43,R43*IF(W43, 1, Constants!$B$11)*IF(X43, 1, Constants!$B$12),Constants!$B$13),"")</f>
        <v/>
      </c>
      <c r="AI43" s="97" t="str">
        <f aca="false">IF($AB43=Constants!$B$7,AG43*AH43,"")</f>
        <v/>
      </c>
      <c r="AJ43" s="97" t="str">
        <f aca="false">IF($AB43=Constants!$B$7,IF(AI43&gt;AF43,2,1),"")</f>
        <v/>
      </c>
      <c r="AK43" s="97" t="str">
        <f aca="false">IF($AB43=Constants!$B$7,IF(AJ43=1,2,1),"")</f>
        <v/>
      </c>
      <c r="AL43" s="97" t="str">
        <f aca="false">IF(ISBLANK($C43),"",IF($AB43&lt;&gt;Constants!$B$7,$AB43,IF(AJ43=1,AF43,AI43)))</f>
        <v/>
      </c>
      <c r="AM43" s="97" t="str">
        <f aca="false">IF(ISBLANK($C43),"",IF($AB43=Constants!$B$7,IF(ISNUMBER(AL43),RANK(AL43,$AL$8:$AL$507),Constants!$B$14),$AB43))</f>
        <v/>
      </c>
      <c r="AN43" s="97" t="str">
        <f aca="false">IF(ISBLANK($C43),"",IF($AB43=Constants!$B$7,IF(AK43=1,AF43,AI43),""))</f>
        <v/>
      </c>
      <c r="AO43" s="97" t="str">
        <f aca="false">IF(ISBLANK($C43),"",IF($AB43=Constants!$B$7,RANK(AN43,$AN$8:$AN$507),$AB43))</f>
        <v/>
      </c>
      <c r="AP43" s="97" t="str">
        <f aca="false">IF(ISBLANK($C43),"",IF($AB43=Constants!$B$7,IF(ISNUMBER(AM43),COUNTIFS($AM$8:$AM$507,"&lt;"&amp;$AM43)+COUNTIFS($AM$8:$AM$507,$AM43,$AO$8:$AO$507,"&lt;"&amp;$AO43)+1,Constants!$B$14),$AB43))</f>
        <v/>
      </c>
      <c r="AQ43" s="97" t="str">
        <f aca="false">IF(ISBLANK($C43),"",IF($AB43=Constants!$B$7,IF(ISNUMBER(AM43),AM43-AP43,Constants!$B$14),$AB43))</f>
        <v/>
      </c>
      <c r="AR43" s="98"/>
      <c r="AS43" s="99" t="str">
        <f aca="false">IF(ISBLANK($C43),"",IF($AB43&lt;&gt;Constants!$B$7,"",AJ43))</f>
        <v/>
      </c>
      <c r="AT43" s="100" t="str">
        <f aca="false">IF(ISBLANK($C43),"",IF($AB43&lt;&gt;Constants!$B$7,"",IF(AJ43=1,AD43,AG43)))</f>
        <v/>
      </c>
      <c r="AU43" s="101" t="str">
        <f aca="false">IF(ISBLANK($C43),"",IF($AB43&lt;&gt;Constants!$B$7,"",IF(AJ43=1,AE43,AH43)))</f>
        <v/>
      </c>
      <c r="AV43" s="102" t="str">
        <f aca="false">IF(ISBLANK($C43),"",IF($AB43&lt;&gt;Constants!$B$7,$AB43,AL43))</f>
        <v/>
      </c>
      <c r="AW43" s="103" t="str">
        <f aca="false">IF(ISBLANK($C43),"",IF($AB43&lt;&gt;Constants!$B$7,$AB43,AC43))</f>
        <v/>
      </c>
      <c r="AX43" s="104" t="str">
        <f aca="false">IF(ISBLANK($C43),"",AQ43)</f>
        <v/>
      </c>
      <c r="AY43" s="104" t="str">
        <f aca="false">IF(ISBLANK($C43),"",AP43)</f>
        <v/>
      </c>
      <c r="AZ43" s="105" t="str">
        <f aca="false">IF(ISBLANK($C43),"",IF(AY43=Constants!$B$4,COUNTA($C$8:$C$507)+2,IF(AY43=Constants!$B$5,COUNTA($C$8:$C$507)+1,IF(AY43=Constants!$B$6,COUNTA($C$8:$C$507),AY43))))</f>
        <v/>
      </c>
      <c r="BA43" s="5"/>
      <c r="BB43" s="106" t="n">
        <f aca="false">IF(OR(ISNUMBER(AY43),AY43=Constants!$B$4,AY43=Constants!$B$6,AY43=Constants!$B$5),1,0)</f>
        <v>0</v>
      </c>
      <c r="BC43" s="106" t="n">
        <v>36</v>
      </c>
      <c r="BD43" s="106" t="str">
        <f aca="false">IF(ISBLANK($C43),"",IF(ISNUMBER(AZ43),AZ43+ROW($B43)/1000,""))</f>
        <v/>
      </c>
      <c r="BE43" s="106" t="str">
        <f aca="false">IF(ISNUMBER(BD43),RANK(BD43,$BD$8:$BD$507,1),"")</f>
        <v/>
      </c>
      <c r="BF43" s="106" t="str">
        <f aca="false">IF(ISBLANK($C43),"",$B43)</f>
        <v/>
      </c>
      <c r="BG43" s="106" t="str">
        <f aca="false">IF(ISBLANK($C43),"",$C43)</f>
        <v/>
      </c>
      <c r="BH43" s="106" t="str">
        <f aca="false">IF(ISBLANK($C43),"",$D43)</f>
        <v/>
      </c>
      <c r="BI43" s="107" t="str">
        <f aca="false">AW43</f>
        <v/>
      </c>
      <c r="BJ43" s="108" t="str">
        <f aca="false">AV43</f>
        <v/>
      </c>
      <c r="BK43" s="106" t="str">
        <f aca="false">IF(ISBLANK($C43),"",AY43)</f>
        <v/>
      </c>
      <c r="BL43" s="109" t="str">
        <f aca="false">IF($BC43&gt;$BB$7,"",VLOOKUP($BC43,$BE$8:$BK$507,7,FALSE()))</f>
        <v/>
      </c>
      <c r="BM43" s="110" t="str">
        <f aca="false">IF($BC43&gt;$BB$7,"",VLOOKUP($BC43,$BE$8:$BK$507,2,FALSE()))</f>
        <v/>
      </c>
      <c r="BN43" s="110" t="str">
        <f aca="false">IF($BC43&gt;$BB$7,"",VLOOKUP($BC43,$BE$8:$BK$507,3,FALSE()))</f>
        <v/>
      </c>
      <c r="BO43" s="110" t="str">
        <f aca="false">IF($BC43&gt;$BB$7,"",VLOOKUP($BC43,$BE$8:$BK$507,4,FALSE()))</f>
        <v/>
      </c>
      <c r="BP43" s="110" t="str">
        <f aca="false">IF($BC43&gt;$BB$7,"",VLOOKUP($BC43,$BE$8:$BK$507,5,FALSE()))</f>
        <v/>
      </c>
      <c r="BQ43" s="111" t="str">
        <f aca="false">IF($BC43&gt;$BB$7,"",VLOOKUP($BC43,$BE$8:$BK$507,6,FALSE()))</f>
        <v/>
      </c>
      <c r="BR43" s="54"/>
    </row>
    <row r="44" customFormat="false" ht="13.8" hidden="false" customHeight="false" outlineLevel="0" collapsed="false">
      <c r="A44" s="5"/>
      <c r="B44" s="124"/>
      <c r="C44" s="56"/>
      <c r="D44" s="57"/>
      <c r="E44" s="83"/>
      <c r="F44" s="59"/>
      <c r="G44" s="60"/>
      <c r="H44" s="61"/>
      <c r="I44" s="62"/>
      <c r="J44" s="59"/>
      <c r="K44" s="60"/>
      <c r="L44" s="61"/>
      <c r="M44" s="62"/>
      <c r="N44" s="59"/>
      <c r="O44" s="83"/>
      <c r="P44" s="64"/>
      <c r="Q44" s="66" t="str">
        <f aca="false">IF(ISBLANK($C44),"",IF(E44=Constants!$B$2, TRUE(), IF(E44=Constants!$B$3, FALSE(), TRUE())))</f>
        <v/>
      </c>
      <c r="R44" s="66" t="str">
        <f aca="false">IF(ISBLANK($C44),"",IF(F44=Constants!$B$16,Constants!$B$9,IF(F44=Constants!$B$17,Constants!$B$10,Constants!$B$8)))</f>
        <v/>
      </c>
      <c r="S44" s="66" t="str">
        <f aca="false">IF(ISBLANK($C44),"",IF(COUNTA(G44:H44)=0,"",IF(AND(OR(ISBLANK(G44),AND(ISNUMBER(G44),G44&gt;=0)),OR(ISBLANK(H44),AND(ISNUMBER(H44),H44&gt;=0))),60*IF(ISBLANK(G44),0,G44)+IF(ISBLANK(H44),0,H44),"")))</f>
        <v/>
      </c>
      <c r="T44" s="66" t="str">
        <f aca="false">IF(ISBLANK($C44),"",IF(I44=Constants!$B$2, TRUE(), IF(I44=Constants!$B$3, FALSE(), TRUE())))</f>
        <v/>
      </c>
      <c r="U44" s="66" t="str">
        <f aca="false">IF(ISBLANK($C44),"",IF(J44=Constants!$B$2, TRUE(), IF(J44=Constants!$B$3, FALSE(), TRUE())))</f>
        <v/>
      </c>
      <c r="V44" s="66" t="str">
        <f aca="false">IF(ISBLANK($C44),"",IF(COUNTA(K44:L44)=0,"",IF(AND(OR(ISBLANK(K44),AND(ISNUMBER(K44),K44&gt;=0)),OR(ISBLANK(L44),AND(ISNUMBER(L44),L44&gt;=0))),60*IF(ISBLANK(K44),0,K44)+IF(ISBLANK(L44),0,L44),"")))</f>
        <v/>
      </c>
      <c r="W44" s="66" t="str">
        <f aca="false">IF(ISBLANK($C44),"",IF(M44=Constants!$B$2, TRUE(), IF(M44=Constants!$B$3, FALSE(), TRUE())))</f>
        <v/>
      </c>
      <c r="X44" s="66" t="str">
        <f aca="false">IF(ISBLANK($C44),"",IF(N44=Constants!$B$2, TRUE(), IF(N44=Constants!$B$3, FALSE(), TRUE())))</f>
        <v/>
      </c>
      <c r="Y44" s="66" t="str">
        <f aca="false">IF(ISBLANK($C44),"",IF(O44=Constants!$B$2, TRUE(), IF(O44=Constants!$B$3, FALSE(), FALSE())))</f>
        <v/>
      </c>
      <c r="Z44" s="66" t="str">
        <f aca="false">IF(ISBLANK($C44),"",AND(S44&lt;&gt;"",Q44))</f>
        <v/>
      </c>
      <c r="AA44" s="66" t="str">
        <f aca="false">IF(ISBLANK($C44),"",AND(V44&lt;&gt;"",Q44))</f>
        <v/>
      </c>
      <c r="AB44" s="66" t="str">
        <f aca="false">IF(ISBLANK($C44),"",IF(Y44,Constants!$B$4,IF(COUNTA(E44:N44)=0,Constants!$B$5,IF(NOT(Q44),Constants!$B$6,IF(AND(NOT(Z44),NOT(AA44)),Constants!$B$6,Constants!$B$7)))))</f>
        <v/>
      </c>
      <c r="AC44" s="66" t="str">
        <f aca="false">IF(ISBLANK($C44),"",IF($AB44&lt;&gt;Constants!$B$7,$AB44,Constants!$B$20))</f>
        <v/>
      </c>
      <c r="AD44" s="66" t="str">
        <f aca="false">IF($AB44=Constants!$B$7,IF(Z44,S44,Constants!$B$13),"")</f>
        <v/>
      </c>
      <c r="AE44" s="66" t="str">
        <f aca="false">IF($AB44=Constants!$B$7,IF(Z44,R44*IF(T44, 1, Constants!$B$11)*IF(U44, 1, Constants!$B$12),Constants!$B$13),"")</f>
        <v/>
      </c>
      <c r="AF44" s="66" t="str">
        <f aca="false">IF($AB44=Constants!$B$7,AD44*AE44,"")</f>
        <v/>
      </c>
      <c r="AG44" s="66" t="str">
        <f aca="false">IF($AB44=Constants!$B$7,IF(AA44,V44,Constants!$B$13),"")</f>
        <v/>
      </c>
      <c r="AH44" s="66" t="str">
        <f aca="false">IF($AB44=Constants!$B$7,IF(AA44,R44*IF(W44, 1, Constants!$B$11)*IF(X44, 1, Constants!$B$12),Constants!$B$13),"")</f>
        <v/>
      </c>
      <c r="AI44" s="66" t="str">
        <f aca="false">IF($AB44=Constants!$B$7,AG44*AH44,"")</f>
        <v/>
      </c>
      <c r="AJ44" s="66" t="str">
        <f aca="false">IF($AB44=Constants!$B$7,IF(AI44&gt;AF44,2,1),"")</f>
        <v/>
      </c>
      <c r="AK44" s="66" t="str">
        <f aca="false">IF($AB44=Constants!$B$7,IF(AJ44=1,2,1),"")</f>
        <v/>
      </c>
      <c r="AL44" s="66" t="str">
        <f aca="false">IF(ISBLANK($C44),"",IF($AB44&lt;&gt;Constants!$B$7,$AB44,IF(AJ44=1,AF44,AI44)))</f>
        <v/>
      </c>
      <c r="AM44" s="66" t="str">
        <f aca="false">IF(ISBLANK($C44),"",IF($AB44=Constants!$B$7,IF(ISNUMBER(AL44),RANK(AL44,$AL$8:$AL$507),Constants!$B$14),$AB44))</f>
        <v/>
      </c>
      <c r="AN44" s="66" t="str">
        <f aca="false">IF(ISBLANK($C44),"",IF($AB44=Constants!$B$7,IF(AK44=1,AF44,AI44),""))</f>
        <v/>
      </c>
      <c r="AO44" s="66" t="str">
        <f aca="false">IF(ISBLANK($C44),"",IF($AB44=Constants!$B$7,RANK(AN44,$AN$8:$AN$507),$AB44))</f>
        <v/>
      </c>
      <c r="AP44" s="66" t="str">
        <f aca="false">IF(ISBLANK($C44),"",IF($AB44=Constants!$B$7,IF(ISNUMBER(AM44),COUNTIFS($AM$8:$AM$507,"&lt;"&amp;$AM44)+COUNTIFS($AM$8:$AM$507,$AM44,$AO$8:$AO$507,"&lt;"&amp;$AO44)+1,Constants!$B$14),$AB44))</f>
        <v/>
      </c>
      <c r="AQ44" s="66" t="str">
        <f aca="false">IF(ISBLANK($C44),"",IF($AB44=Constants!$B$7,IF(ISNUMBER(AM44),AM44-AP44,Constants!$B$14),$AB44))</f>
        <v/>
      </c>
      <c r="AR44" s="68"/>
      <c r="AS44" s="69" t="str">
        <f aca="false">IF(ISBLANK($C44),"",IF($AB44&lt;&gt;Constants!$B$7,"",AJ44))</f>
        <v/>
      </c>
      <c r="AT44" s="84" t="str">
        <f aca="false">IF(ISBLANK($C44),"",IF($AB44&lt;&gt;Constants!$B$7,"",IF(AJ44=1,AD44,AG44)))</f>
        <v/>
      </c>
      <c r="AU44" s="71" t="str">
        <f aca="false">IF(ISBLANK($C44),"",IF($AB44&lt;&gt;Constants!$B$7,"",IF(AJ44=1,AE44,AH44)))</f>
        <v/>
      </c>
      <c r="AV44" s="72" t="str">
        <f aca="false">IF(ISBLANK($C44),"",IF($AB44&lt;&gt;Constants!$B$7,$AB44,AL44))</f>
        <v/>
      </c>
      <c r="AW44" s="73" t="str">
        <f aca="false">IF(ISBLANK($C44),"",IF($AB44&lt;&gt;Constants!$B$7,$AB44,AC44))</f>
        <v/>
      </c>
      <c r="AX44" s="74" t="str">
        <f aca="false">IF(ISBLANK($C44),"",AQ44)</f>
        <v/>
      </c>
      <c r="AY44" s="74" t="str">
        <f aca="false">IF(ISBLANK($C44),"",AP44)</f>
        <v/>
      </c>
      <c r="AZ44" s="75" t="str">
        <f aca="false">IF(ISBLANK($C44),"",IF(AY44=Constants!$B$4,COUNTA($C$8:$C$507)+2,IF(AY44=Constants!$B$5,COUNTA($C$8:$C$507)+1,IF(AY44=Constants!$B$6,COUNTA($C$8:$C$507),AY44))))</f>
        <v/>
      </c>
      <c r="BA44" s="5"/>
      <c r="BB44" s="76" t="n">
        <f aca="false">IF(OR(ISNUMBER(AY44),AY44=Constants!$B$4,AY44=Constants!$B$6,AY44=Constants!$B$5),1,0)</f>
        <v>0</v>
      </c>
      <c r="BC44" s="76" t="n">
        <v>37</v>
      </c>
      <c r="BD44" s="76" t="str">
        <f aca="false">IF(ISBLANK($C44),"",IF(ISNUMBER(AZ44),AZ44+ROW($B44)/1000,""))</f>
        <v/>
      </c>
      <c r="BE44" s="76" t="str">
        <f aca="false">IF(ISNUMBER(BD44),RANK(BD44,$BD$8:$BD$507,1),"")</f>
        <v/>
      </c>
      <c r="BF44" s="76" t="str">
        <f aca="false">IF(ISBLANK($C44),"",$B44)</f>
        <v/>
      </c>
      <c r="BG44" s="76" t="str">
        <f aca="false">IF(ISBLANK($C44),"",$C44)</f>
        <v/>
      </c>
      <c r="BH44" s="76" t="str">
        <f aca="false">IF(ISBLANK($C44),"",$D44)</f>
        <v/>
      </c>
      <c r="BI44" s="77" t="str">
        <f aca="false">AW44</f>
        <v/>
      </c>
      <c r="BJ44" s="78" t="str">
        <f aca="false">AV44</f>
        <v/>
      </c>
      <c r="BK44" s="76" t="str">
        <f aca="false">IF(ISBLANK($C44),"",AY44)</f>
        <v/>
      </c>
      <c r="BL44" s="79" t="str">
        <f aca="false">IF($BC44&gt;$BB$7,"",VLOOKUP($BC44,$BE$8:$BK$507,7,FALSE()))</f>
        <v/>
      </c>
      <c r="BM44" s="80" t="str">
        <f aca="false">IF($BC44&gt;$BB$7,"",VLOOKUP($BC44,$BE$8:$BK$507,2,FALSE()))</f>
        <v/>
      </c>
      <c r="BN44" s="80" t="str">
        <f aca="false">IF($BC44&gt;$BB$7,"",VLOOKUP($BC44,$BE$8:$BK$507,3,FALSE()))</f>
        <v/>
      </c>
      <c r="BO44" s="80" t="str">
        <f aca="false">IF($BC44&gt;$BB$7,"",VLOOKUP($BC44,$BE$8:$BK$507,4,FALSE()))</f>
        <v/>
      </c>
      <c r="BP44" s="80" t="str">
        <f aca="false">IF($BC44&gt;$BB$7,"",VLOOKUP($BC44,$BE$8:$BK$507,5,FALSE()))</f>
        <v/>
      </c>
      <c r="BQ44" s="81" t="str">
        <f aca="false">IF($BC44&gt;$BB$7,"",VLOOKUP($BC44,$BE$8:$BK$507,6,FALSE()))</f>
        <v/>
      </c>
      <c r="BR44" s="54"/>
    </row>
    <row r="45" customFormat="false" ht="13.8" hidden="false" customHeight="false" outlineLevel="0" collapsed="false">
      <c r="A45" s="5"/>
      <c r="B45" s="124"/>
      <c r="C45" s="56"/>
      <c r="D45" s="57"/>
      <c r="E45" s="83"/>
      <c r="F45" s="59"/>
      <c r="G45" s="60"/>
      <c r="H45" s="61"/>
      <c r="I45" s="62"/>
      <c r="J45" s="59"/>
      <c r="K45" s="60"/>
      <c r="L45" s="61"/>
      <c r="M45" s="62"/>
      <c r="N45" s="59"/>
      <c r="O45" s="83"/>
      <c r="P45" s="64"/>
      <c r="Q45" s="66" t="str">
        <f aca="false">IF(ISBLANK($C45),"",IF(E45=Constants!$B$2, TRUE(), IF(E45=Constants!$B$3, FALSE(), TRUE())))</f>
        <v/>
      </c>
      <c r="R45" s="66" t="str">
        <f aca="false">IF(ISBLANK($C45),"",IF(F45=Constants!$B$16,Constants!$B$9,IF(F45=Constants!$B$17,Constants!$B$10,Constants!$B$8)))</f>
        <v/>
      </c>
      <c r="S45" s="66" t="str">
        <f aca="false">IF(ISBLANK($C45),"",IF(COUNTA(G45:H45)=0,"",IF(AND(OR(ISBLANK(G45),AND(ISNUMBER(G45),G45&gt;=0)),OR(ISBLANK(H45),AND(ISNUMBER(H45),H45&gt;=0))),60*IF(ISBLANK(G45),0,G45)+IF(ISBLANK(H45),0,H45),"")))</f>
        <v/>
      </c>
      <c r="T45" s="66" t="str">
        <f aca="false">IF(ISBLANK($C45),"",IF(I45=Constants!$B$2, TRUE(), IF(I45=Constants!$B$3, FALSE(), TRUE())))</f>
        <v/>
      </c>
      <c r="U45" s="66" t="str">
        <f aca="false">IF(ISBLANK($C45),"",IF(J45=Constants!$B$2, TRUE(), IF(J45=Constants!$B$3, FALSE(), TRUE())))</f>
        <v/>
      </c>
      <c r="V45" s="66" t="str">
        <f aca="false">IF(ISBLANK($C45),"",IF(COUNTA(K45:L45)=0,"",IF(AND(OR(ISBLANK(K45),AND(ISNUMBER(K45),K45&gt;=0)),OR(ISBLANK(L45),AND(ISNUMBER(L45),L45&gt;=0))),60*IF(ISBLANK(K45),0,K45)+IF(ISBLANK(L45),0,L45),"")))</f>
        <v/>
      </c>
      <c r="W45" s="66" t="str">
        <f aca="false">IF(ISBLANK($C45),"",IF(M45=Constants!$B$2, TRUE(), IF(M45=Constants!$B$3, FALSE(), TRUE())))</f>
        <v/>
      </c>
      <c r="X45" s="66" t="str">
        <f aca="false">IF(ISBLANK($C45),"",IF(N45=Constants!$B$2, TRUE(), IF(N45=Constants!$B$3, FALSE(), TRUE())))</f>
        <v/>
      </c>
      <c r="Y45" s="66" t="str">
        <f aca="false">IF(ISBLANK($C45),"",IF(O45=Constants!$B$2, TRUE(), IF(O45=Constants!$B$3, FALSE(), FALSE())))</f>
        <v/>
      </c>
      <c r="Z45" s="66" t="str">
        <f aca="false">IF(ISBLANK($C45),"",AND(S45&lt;&gt;"",Q45))</f>
        <v/>
      </c>
      <c r="AA45" s="66" t="str">
        <f aca="false">IF(ISBLANK($C45),"",AND(V45&lt;&gt;"",Q45))</f>
        <v/>
      </c>
      <c r="AB45" s="66" t="str">
        <f aca="false">IF(ISBLANK($C45),"",IF(Y45,Constants!$B$4,IF(COUNTA(E45:N45)=0,Constants!$B$5,IF(NOT(Q45),Constants!$B$6,IF(AND(NOT(Z45),NOT(AA45)),Constants!$B$6,Constants!$B$7)))))</f>
        <v/>
      </c>
      <c r="AC45" s="66" t="str">
        <f aca="false">IF(ISBLANK($C45),"",IF($AB45&lt;&gt;Constants!$B$7,$AB45,Constants!$B$20))</f>
        <v/>
      </c>
      <c r="AD45" s="66" t="str">
        <f aca="false">IF($AB45=Constants!$B$7,IF(Z45,S45,Constants!$B$13),"")</f>
        <v/>
      </c>
      <c r="AE45" s="66" t="str">
        <f aca="false">IF($AB45=Constants!$B$7,IF(Z45,R45*IF(T45, 1, Constants!$B$11)*IF(U45, 1, Constants!$B$12),Constants!$B$13),"")</f>
        <v/>
      </c>
      <c r="AF45" s="66" t="str">
        <f aca="false">IF($AB45=Constants!$B$7,AD45*AE45,"")</f>
        <v/>
      </c>
      <c r="AG45" s="66" t="str">
        <f aca="false">IF($AB45=Constants!$B$7,IF(AA45,V45,Constants!$B$13),"")</f>
        <v/>
      </c>
      <c r="AH45" s="66" t="str">
        <f aca="false">IF($AB45=Constants!$B$7,IF(AA45,R45*IF(W45, 1, Constants!$B$11)*IF(X45, 1, Constants!$B$12),Constants!$B$13),"")</f>
        <v/>
      </c>
      <c r="AI45" s="66" t="str">
        <f aca="false">IF($AB45=Constants!$B$7,AG45*AH45,"")</f>
        <v/>
      </c>
      <c r="AJ45" s="66" t="str">
        <f aca="false">IF($AB45=Constants!$B$7,IF(AI45&gt;AF45,2,1),"")</f>
        <v/>
      </c>
      <c r="AK45" s="66" t="str">
        <f aca="false">IF($AB45=Constants!$B$7,IF(AJ45=1,2,1),"")</f>
        <v/>
      </c>
      <c r="AL45" s="66" t="str">
        <f aca="false">IF(ISBLANK($C45),"",IF($AB45&lt;&gt;Constants!$B$7,$AB45,IF(AJ45=1,AF45,AI45)))</f>
        <v/>
      </c>
      <c r="AM45" s="66" t="str">
        <f aca="false">IF(ISBLANK($C45),"",IF($AB45=Constants!$B$7,IF(ISNUMBER(AL45),RANK(AL45,$AL$8:$AL$507),Constants!$B$14),$AB45))</f>
        <v/>
      </c>
      <c r="AN45" s="66" t="str">
        <f aca="false">IF(ISBLANK($C45),"",IF($AB45=Constants!$B$7,IF(AK45=1,AF45,AI45),""))</f>
        <v/>
      </c>
      <c r="AO45" s="66" t="str">
        <f aca="false">IF(ISBLANK($C45),"",IF($AB45=Constants!$B$7,RANK(AN45,$AN$8:$AN$507),$AB45))</f>
        <v/>
      </c>
      <c r="AP45" s="66" t="str">
        <f aca="false">IF(ISBLANK($C45),"",IF($AB45=Constants!$B$7,IF(ISNUMBER(AM45),COUNTIFS($AM$8:$AM$507,"&lt;"&amp;$AM45)+COUNTIFS($AM$8:$AM$507,$AM45,$AO$8:$AO$507,"&lt;"&amp;$AO45)+1,Constants!$B$14),$AB45))</f>
        <v/>
      </c>
      <c r="AQ45" s="66" t="str">
        <f aca="false">IF(ISBLANK($C45),"",IF($AB45=Constants!$B$7,IF(ISNUMBER(AM45),AM45-AP45,Constants!$B$14),$AB45))</f>
        <v/>
      </c>
      <c r="AR45" s="68"/>
      <c r="AS45" s="69" t="str">
        <f aca="false">IF(ISBLANK($C45),"",IF($AB45&lt;&gt;Constants!$B$7,"",AJ45))</f>
        <v/>
      </c>
      <c r="AT45" s="84" t="str">
        <f aca="false">IF(ISBLANK($C45),"",IF($AB45&lt;&gt;Constants!$B$7,"",IF(AJ45=1,AD45,AG45)))</f>
        <v/>
      </c>
      <c r="AU45" s="71" t="str">
        <f aca="false">IF(ISBLANK($C45),"",IF($AB45&lt;&gt;Constants!$B$7,"",IF(AJ45=1,AE45,AH45)))</f>
        <v/>
      </c>
      <c r="AV45" s="72" t="str">
        <f aca="false">IF(ISBLANK($C45),"",IF($AB45&lt;&gt;Constants!$B$7,$AB45,AL45))</f>
        <v/>
      </c>
      <c r="AW45" s="73" t="str">
        <f aca="false">IF(ISBLANK($C45),"",IF($AB45&lt;&gt;Constants!$B$7,$AB45,AC45))</f>
        <v/>
      </c>
      <c r="AX45" s="74" t="str">
        <f aca="false">IF(ISBLANK($C45),"",AQ45)</f>
        <v/>
      </c>
      <c r="AY45" s="74" t="str">
        <f aca="false">IF(ISBLANK($C45),"",AP45)</f>
        <v/>
      </c>
      <c r="AZ45" s="75" t="str">
        <f aca="false">IF(ISBLANK($C45),"",IF(AY45=Constants!$B$4,COUNTA($C$8:$C$507)+2,IF(AY45=Constants!$B$5,COUNTA($C$8:$C$507)+1,IF(AY45=Constants!$B$6,COUNTA($C$8:$C$507),AY45))))</f>
        <v/>
      </c>
      <c r="BA45" s="5"/>
      <c r="BB45" s="76" t="n">
        <f aca="false">IF(OR(ISNUMBER(AY45),AY45=Constants!$B$4,AY45=Constants!$B$6,AY45=Constants!$B$5),1,0)</f>
        <v>0</v>
      </c>
      <c r="BC45" s="76" t="n">
        <v>38</v>
      </c>
      <c r="BD45" s="76" t="str">
        <f aca="false">IF(ISBLANK($C45),"",IF(ISNUMBER(AZ45),AZ45+ROW($B45)/1000,""))</f>
        <v/>
      </c>
      <c r="BE45" s="76" t="str">
        <f aca="false">IF(ISNUMBER(BD45),RANK(BD45,$BD$8:$BD$507,1),"")</f>
        <v/>
      </c>
      <c r="BF45" s="76" t="str">
        <f aca="false">IF(ISBLANK($C45),"",$B45)</f>
        <v/>
      </c>
      <c r="BG45" s="76" t="str">
        <f aca="false">IF(ISBLANK($C45),"",$C45)</f>
        <v/>
      </c>
      <c r="BH45" s="76" t="str">
        <f aca="false">IF(ISBLANK($C45),"",$D45)</f>
        <v/>
      </c>
      <c r="BI45" s="77" t="str">
        <f aca="false">AW45</f>
        <v/>
      </c>
      <c r="BJ45" s="78" t="str">
        <f aca="false">AV45</f>
        <v/>
      </c>
      <c r="BK45" s="76" t="str">
        <f aca="false">IF(ISBLANK($C45),"",AY45)</f>
        <v/>
      </c>
      <c r="BL45" s="79" t="str">
        <f aca="false">IF($BC45&gt;$BB$7,"",VLOOKUP($BC45,$BE$8:$BK$507,7,FALSE()))</f>
        <v/>
      </c>
      <c r="BM45" s="80" t="str">
        <f aca="false">IF($BC45&gt;$BB$7,"",VLOOKUP($BC45,$BE$8:$BK$507,2,FALSE()))</f>
        <v/>
      </c>
      <c r="BN45" s="80" t="str">
        <f aca="false">IF($BC45&gt;$BB$7,"",VLOOKUP($BC45,$BE$8:$BK$507,3,FALSE()))</f>
        <v/>
      </c>
      <c r="BO45" s="80" t="str">
        <f aca="false">IF($BC45&gt;$BB$7,"",VLOOKUP($BC45,$BE$8:$BK$507,4,FALSE()))</f>
        <v/>
      </c>
      <c r="BP45" s="80" t="str">
        <f aca="false">IF($BC45&gt;$BB$7,"",VLOOKUP($BC45,$BE$8:$BK$507,5,FALSE()))</f>
        <v/>
      </c>
      <c r="BQ45" s="81" t="str">
        <f aca="false">IF($BC45&gt;$BB$7,"",VLOOKUP($BC45,$BE$8:$BK$507,6,FALSE()))</f>
        <v/>
      </c>
      <c r="BR45" s="54"/>
    </row>
    <row r="46" customFormat="false" ht="13.8" hidden="false" customHeight="false" outlineLevel="0" collapsed="false">
      <c r="A46" s="5"/>
      <c r="B46" s="124"/>
      <c r="C46" s="56"/>
      <c r="D46" s="57"/>
      <c r="E46" s="83"/>
      <c r="F46" s="59"/>
      <c r="G46" s="60"/>
      <c r="H46" s="61"/>
      <c r="I46" s="62"/>
      <c r="J46" s="59"/>
      <c r="K46" s="60"/>
      <c r="L46" s="61"/>
      <c r="M46" s="62"/>
      <c r="N46" s="59"/>
      <c r="O46" s="83"/>
      <c r="P46" s="64"/>
      <c r="Q46" s="66" t="str">
        <f aca="false">IF(ISBLANK($C46),"",IF(E46=Constants!$B$2, TRUE(), IF(E46=Constants!$B$3, FALSE(), TRUE())))</f>
        <v/>
      </c>
      <c r="R46" s="66" t="str">
        <f aca="false">IF(ISBLANK($C46),"",IF(F46=Constants!$B$16,Constants!$B$9,IF(F46=Constants!$B$17,Constants!$B$10,Constants!$B$8)))</f>
        <v/>
      </c>
      <c r="S46" s="66" t="str">
        <f aca="false">IF(ISBLANK($C46),"",IF(COUNTA(G46:H46)=0,"",IF(AND(OR(ISBLANK(G46),AND(ISNUMBER(G46),G46&gt;=0)),OR(ISBLANK(H46),AND(ISNUMBER(H46),H46&gt;=0))),60*IF(ISBLANK(G46),0,G46)+IF(ISBLANK(H46),0,H46),"")))</f>
        <v/>
      </c>
      <c r="T46" s="66" t="str">
        <f aca="false">IF(ISBLANK($C46),"",IF(I46=Constants!$B$2, TRUE(), IF(I46=Constants!$B$3, FALSE(), TRUE())))</f>
        <v/>
      </c>
      <c r="U46" s="66" t="str">
        <f aca="false">IF(ISBLANK($C46),"",IF(J46=Constants!$B$2, TRUE(), IF(J46=Constants!$B$3, FALSE(), TRUE())))</f>
        <v/>
      </c>
      <c r="V46" s="66" t="str">
        <f aca="false">IF(ISBLANK($C46),"",IF(COUNTA(K46:L46)=0,"",IF(AND(OR(ISBLANK(K46),AND(ISNUMBER(K46),K46&gt;=0)),OR(ISBLANK(L46),AND(ISNUMBER(L46),L46&gt;=0))),60*IF(ISBLANK(K46),0,K46)+IF(ISBLANK(L46),0,L46),"")))</f>
        <v/>
      </c>
      <c r="W46" s="66" t="str">
        <f aca="false">IF(ISBLANK($C46),"",IF(M46=Constants!$B$2, TRUE(), IF(M46=Constants!$B$3, FALSE(), TRUE())))</f>
        <v/>
      </c>
      <c r="X46" s="66" t="str">
        <f aca="false">IF(ISBLANK($C46),"",IF(N46=Constants!$B$2, TRUE(), IF(N46=Constants!$B$3, FALSE(), TRUE())))</f>
        <v/>
      </c>
      <c r="Y46" s="66" t="str">
        <f aca="false">IF(ISBLANK($C46),"",IF(O46=Constants!$B$2, TRUE(), IF(O46=Constants!$B$3, FALSE(), FALSE())))</f>
        <v/>
      </c>
      <c r="Z46" s="66" t="str">
        <f aca="false">IF(ISBLANK($C46),"",AND(S46&lt;&gt;"",Q46))</f>
        <v/>
      </c>
      <c r="AA46" s="66" t="str">
        <f aca="false">IF(ISBLANK($C46),"",AND(V46&lt;&gt;"",Q46))</f>
        <v/>
      </c>
      <c r="AB46" s="66" t="str">
        <f aca="false">IF(ISBLANK($C46),"",IF(Y46,Constants!$B$4,IF(COUNTA(E46:N46)=0,Constants!$B$5,IF(NOT(Q46),Constants!$B$6,IF(AND(NOT(Z46),NOT(AA46)),Constants!$B$6,Constants!$B$7)))))</f>
        <v/>
      </c>
      <c r="AC46" s="66" t="str">
        <f aca="false">IF(ISBLANK($C46),"",IF($AB46&lt;&gt;Constants!$B$7,$AB46,Constants!$B$20))</f>
        <v/>
      </c>
      <c r="AD46" s="66" t="str">
        <f aca="false">IF($AB46=Constants!$B$7,IF(Z46,S46,Constants!$B$13),"")</f>
        <v/>
      </c>
      <c r="AE46" s="66" t="str">
        <f aca="false">IF($AB46=Constants!$B$7,IF(Z46,R46*IF(T46, 1, Constants!$B$11)*IF(U46, 1, Constants!$B$12),Constants!$B$13),"")</f>
        <v/>
      </c>
      <c r="AF46" s="66" t="str">
        <f aca="false">IF($AB46=Constants!$B$7,AD46*AE46,"")</f>
        <v/>
      </c>
      <c r="AG46" s="66" t="str">
        <f aca="false">IF($AB46=Constants!$B$7,IF(AA46,V46,Constants!$B$13),"")</f>
        <v/>
      </c>
      <c r="AH46" s="66" t="str">
        <f aca="false">IF($AB46=Constants!$B$7,IF(AA46,R46*IF(W46, 1, Constants!$B$11)*IF(X46, 1, Constants!$B$12),Constants!$B$13),"")</f>
        <v/>
      </c>
      <c r="AI46" s="66" t="str">
        <f aca="false">IF($AB46=Constants!$B$7,AG46*AH46,"")</f>
        <v/>
      </c>
      <c r="AJ46" s="66" t="str">
        <f aca="false">IF($AB46=Constants!$B$7,IF(AI46&gt;AF46,2,1),"")</f>
        <v/>
      </c>
      <c r="AK46" s="66" t="str">
        <f aca="false">IF($AB46=Constants!$B$7,IF(AJ46=1,2,1),"")</f>
        <v/>
      </c>
      <c r="AL46" s="66" t="str">
        <f aca="false">IF(ISBLANK($C46),"",IF($AB46&lt;&gt;Constants!$B$7,$AB46,IF(AJ46=1,AF46,AI46)))</f>
        <v/>
      </c>
      <c r="AM46" s="66" t="str">
        <f aca="false">IF(ISBLANK($C46),"",IF($AB46=Constants!$B$7,IF(ISNUMBER(AL46),RANK(AL46,$AL$8:$AL$507),Constants!$B$14),$AB46))</f>
        <v/>
      </c>
      <c r="AN46" s="66" t="str">
        <f aca="false">IF(ISBLANK($C46),"",IF($AB46=Constants!$B$7,IF(AK46=1,AF46,AI46),""))</f>
        <v/>
      </c>
      <c r="AO46" s="66" t="str">
        <f aca="false">IF(ISBLANK($C46),"",IF($AB46=Constants!$B$7,RANK(AN46,$AN$8:$AN$507),$AB46))</f>
        <v/>
      </c>
      <c r="AP46" s="66" t="str">
        <f aca="false">IF(ISBLANK($C46),"",IF($AB46=Constants!$B$7,IF(ISNUMBER(AM46),COUNTIFS($AM$8:$AM$507,"&lt;"&amp;$AM46)+COUNTIFS($AM$8:$AM$507,$AM46,$AO$8:$AO$507,"&lt;"&amp;$AO46)+1,Constants!$B$14),$AB46))</f>
        <v/>
      </c>
      <c r="AQ46" s="66" t="str">
        <f aca="false">IF(ISBLANK($C46),"",IF($AB46=Constants!$B$7,IF(ISNUMBER(AM46),AM46-AP46,Constants!$B$14),$AB46))</f>
        <v/>
      </c>
      <c r="AR46" s="68"/>
      <c r="AS46" s="69" t="str">
        <f aca="false">IF(ISBLANK($C46),"",IF($AB46&lt;&gt;Constants!$B$7,"",AJ46))</f>
        <v/>
      </c>
      <c r="AT46" s="84" t="str">
        <f aca="false">IF(ISBLANK($C46),"",IF($AB46&lt;&gt;Constants!$B$7,"",IF(AJ46=1,AD46,AG46)))</f>
        <v/>
      </c>
      <c r="AU46" s="71" t="str">
        <f aca="false">IF(ISBLANK($C46),"",IF($AB46&lt;&gt;Constants!$B$7,"",IF(AJ46=1,AE46,AH46)))</f>
        <v/>
      </c>
      <c r="AV46" s="72" t="str">
        <f aca="false">IF(ISBLANK($C46),"",IF($AB46&lt;&gt;Constants!$B$7,$AB46,AL46))</f>
        <v/>
      </c>
      <c r="AW46" s="73" t="str">
        <f aca="false">IF(ISBLANK($C46),"",IF($AB46&lt;&gt;Constants!$B$7,$AB46,AC46))</f>
        <v/>
      </c>
      <c r="AX46" s="74" t="str">
        <f aca="false">IF(ISBLANK($C46),"",AQ46)</f>
        <v/>
      </c>
      <c r="AY46" s="74" t="str">
        <f aca="false">IF(ISBLANK($C46),"",AP46)</f>
        <v/>
      </c>
      <c r="AZ46" s="75" t="str">
        <f aca="false">IF(ISBLANK($C46),"",IF(AY46=Constants!$B$4,COUNTA($C$8:$C$507)+2,IF(AY46=Constants!$B$5,COUNTA($C$8:$C$507)+1,IF(AY46=Constants!$B$6,COUNTA($C$8:$C$507),AY46))))</f>
        <v/>
      </c>
      <c r="BA46" s="5"/>
      <c r="BB46" s="76" t="n">
        <f aca="false">IF(OR(ISNUMBER(AY46),AY46=Constants!$B$4,AY46=Constants!$B$6,AY46=Constants!$B$5),1,0)</f>
        <v>0</v>
      </c>
      <c r="BC46" s="76" t="n">
        <v>39</v>
      </c>
      <c r="BD46" s="76" t="str">
        <f aca="false">IF(ISBLANK($C46),"",IF(ISNUMBER(AZ46),AZ46+ROW($B46)/1000,""))</f>
        <v/>
      </c>
      <c r="BE46" s="76" t="str">
        <f aca="false">IF(ISNUMBER(BD46),RANK(BD46,$BD$8:$BD$507,1),"")</f>
        <v/>
      </c>
      <c r="BF46" s="76" t="str">
        <f aca="false">IF(ISBLANK($C46),"",$B46)</f>
        <v/>
      </c>
      <c r="BG46" s="76" t="str">
        <f aca="false">IF(ISBLANK($C46),"",$C46)</f>
        <v/>
      </c>
      <c r="BH46" s="76" t="str">
        <f aca="false">IF(ISBLANK($C46),"",$D46)</f>
        <v/>
      </c>
      <c r="BI46" s="77" t="str">
        <f aca="false">AW46</f>
        <v/>
      </c>
      <c r="BJ46" s="78" t="str">
        <f aca="false">AV46</f>
        <v/>
      </c>
      <c r="BK46" s="76" t="str">
        <f aca="false">IF(ISBLANK($C46),"",AY46)</f>
        <v/>
      </c>
      <c r="BL46" s="79" t="str">
        <f aca="false">IF($BC46&gt;$BB$7,"",VLOOKUP($BC46,$BE$8:$BK$507,7,FALSE()))</f>
        <v/>
      </c>
      <c r="BM46" s="80" t="str">
        <f aca="false">IF($BC46&gt;$BB$7,"",VLOOKUP($BC46,$BE$8:$BK$507,2,FALSE()))</f>
        <v/>
      </c>
      <c r="BN46" s="80" t="str">
        <f aca="false">IF($BC46&gt;$BB$7,"",VLOOKUP($BC46,$BE$8:$BK$507,3,FALSE()))</f>
        <v/>
      </c>
      <c r="BO46" s="80" t="str">
        <f aca="false">IF($BC46&gt;$BB$7,"",VLOOKUP($BC46,$BE$8:$BK$507,4,FALSE()))</f>
        <v/>
      </c>
      <c r="BP46" s="80" t="str">
        <f aca="false">IF($BC46&gt;$BB$7,"",VLOOKUP($BC46,$BE$8:$BK$507,5,FALSE()))</f>
        <v/>
      </c>
      <c r="BQ46" s="81" t="str">
        <f aca="false">IF($BC46&gt;$BB$7,"",VLOOKUP($BC46,$BE$8:$BK$507,6,FALSE()))</f>
        <v/>
      </c>
      <c r="BR46" s="54"/>
    </row>
    <row r="47" customFormat="false" ht="13.8" hidden="false" customHeight="false" outlineLevel="0" collapsed="false">
      <c r="A47" s="5"/>
      <c r="B47" s="120"/>
      <c r="C47" s="121"/>
      <c r="D47" s="112"/>
      <c r="E47" s="123"/>
      <c r="F47" s="91"/>
      <c r="G47" s="92"/>
      <c r="H47" s="93"/>
      <c r="I47" s="94"/>
      <c r="J47" s="91"/>
      <c r="K47" s="92"/>
      <c r="L47" s="93"/>
      <c r="M47" s="94"/>
      <c r="N47" s="91"/>
      <c r="O47" s="123"/>
      <c r="P47" s="96"/>
      <c r="Q47" s="97" t="str">
        <f aca="false">IF(ISBLANK($C47),"",IF(E47=Constants!$B$2, TRUE(), IF(E47=Constants!$B$3, FALSE(), TRUE())))</f>
        <v/>
      </c>
      <c r="R47" s="97" t="str">
        <f aca="false">IF(ISBLANK($C47),"",IF(F47=Constants!$B$16,Constants!$B$9,IF(F47=Constants!$B$17,Constants!$B$10,Constants!$B$8)))</f>
        <v/>
      </c>
      <c r="S47" s="97" t="str">
        <f aca="false">IF(ISBLANK($C47),"",IF(COUNTA(G47:H47)=0,"",IF(AND(OR(ISBLANK(G47),AND(ISNUMBER(G47),G47&gt;=0)),OR(ISBLANK(H47),AND(ISNUMBER(H47),H47&gt;=0))),60*IF(ISBLANK(G47),0,G47)+IF(ISBLANK(H47),0,H47),"")))</f>
        <v/>
      </c>
      <c r="T47" s="97" t="str">
        <f aca="false">IF(ISBLANK($C47),"",IF(I47=Constants!$B$2, TRUE(), IF(I47=Constants!$B$3, FALSE(), TRUE())))</f>
        <v/>
      </c>
      <c r="U47" s="97" t="str">
        <f aca="false">IF(ISBLANK($C47),"",IF(J47=Constants!$B$2, TRUE(), IF(J47=Constants!$B$3, FALSE(), TRUE())))</f>
        <v/>
      </c>
      <c r="V47" s="97" t="str">
        <f aca="false">IF(ISBLANK($C47),"",IF(COUNTA(K47:L47)=0,"",IF(AND(OR(ISBLANK(K47),AND(ISNUMBER(K47),K47&gt;=0)),OR(ISBLANK(L47),AND(ISNUMBER(L47),L47&gt;=0))),60*IF(ISBLANK(K47),0,K47)+IF(ISBLANK(L47),0,L47),"")))</f>
        <v/>
      </c>
      <c r="W47" s="97" t="str">
        <f aca="false">IF(ISBLANK($C47),"",IF(M47=Constants!$B$2, TRUE(), IF(M47=Constants!$B$3, FALSE(), TRUE())))</f>
        <v/>
      </c>
      <c r="X47" s="97" t="str">
        <f aca="false">IF(ISBLANK($C47),"",IF(N47=Constants!$B$2, TRUE(), IF(N47=Constants!$B$3, FALSE(), TRUE())))</f>
        <v/>
      </c>
      <c r="Y47" s="97" t="str">
        <f aca="false">IF(ISBLANK($C47),"",IF(O47=Constants!$B$2, TRUE(), IF(O47=Constants!$B$3, FALSE(), FALSE())))</f>
        <v/>
      </c>
      <c r="Z47" s="97" t="str">
        <f aca="false">IF(ISBLANK($C47),"",AND(S47&lt;&gt;"",Q47))</f>
        <v/>
      </c>
      <c r="AA47" s="97" t="str">
        <f aca="false">IF(ISBLANK($C47),"",AND(V47&lt;&gt;"",Q47))</f>
        <v/>
      </c>
      <c r="AB47" s="97" t="str">
        <f aca="false">IF(ISBLANK($C47),"",IF(Y47,Constants!$B$4,IF(COUNTA(E47:N47)=0,Constants!$B$5,IF(NOT(Q47),Constants!$B$6,IF(AND(NOT(Z47),NOT(AA47)),Constants!$B$6,Constants!$B$7)))))</f>
        <v/>
      </c>
      <c r="AC47" s="97" t="str">
        <f aca="false">IF(ISBLANK($C47),"",IF($AB47&lt;&gt;Constants!$B$7,$AB47,Constants!$B$20))</f>
        <v/>
      </c>
      <c r="AD47" s="97" t="str">
        <f aca="false">IF($AB47=Constants!$B$7,IF(Z47,S47,Constants!$B$13),"")</f>
        <v/>
      </c>
      <c r="AE47" s="97" t="str">
        <f aca="false">IF($AB47=Constants!$B$7,IF(Z47,R47*IF(T47, 1, Constants!$B$11)*IF(U47, 1, Constants!$B$12),Constants!$B$13),"")</f>
        <v/>
      </c>
      <c r="AF47" s="97" t="str">
        <f aca="false">IF($AB47=Constants!$B$7,AD47*AE47,"")</f>
        <v/>
      </c>
      <c r="AG47" s="97" t="str">
        <f aca="false">IF($AB47=Constants!$B$7,IF(AA47,V47,Constants!$B$13),"")</f>
        <v/>
      </c>
      <c r="AH47" s="97" t="str">
        <f aca="false">IF($AB47=Constants!$B$7,IF(AA47,R47*IF(W47, 1, Constants!$B$11)*IF(X47, 1, Constants!$B$12),Constants!$B$13),"")</f>
        <v/>
      </c>
      <c r="AI47" s="97" t="str">
        <f aca="false">IF($AB47=Constants!$B$7,AG47*AH47,"")</f>
        <v/>
      </c>
      <c r="AJ47" s="97" t="str">
        <f aca="false">IF($AB47=Constants!$B$7,IF(AI47&gt;AF47,2,1),"")</f>
        <v/>
      </c>
      <c r="AK47" s="97" t="str">
        <f aca="false">IF($AB47=Constants!$B$7,IF(AJ47=1,2,1),"")</f>
        <v/>
      </c>
      <c r="AL47" s="97" t="str">
        <f aca="false">IF(ISBLANK($C47),"",IF($AB47&lt;&gt;Constants!$B$7,$AB47,IF(AJ47=1,AF47,AI47)))</f>
        <v/>
      </c>
      <c r="AM47" s="97" t="str">
        <f aca="false">IF(ISBLANK($C47),"",IF($AB47=Constants!$B$7,IF(ISNUMBER(AL47),RANK(AL47,$AL$8:$AL$507),Constants!$B$14),$AB47))</f>
        <v/>
      </c>
      <c r="AN47" s="97" t="str">
        <f aca="false">IF(ISBLANK($C47),"",IF($AB47=Constants!$B$7,IF(AK47=1,AF47,AI47),""))</f>
        <v/>
      </c>
      <c r="AO47" s="97" t="str">
        <f aca="false">IF(ISBLANK($C47),"",IF($AB47=Constants!$B$7,RANK(AN47,$AN$8:$AN$507),$AB47))</f>
        <v/>
      </c>
      <c r="AP47" s="97" t="str">
        <f aca="false">IF(ISBLANK($C47),"",IF($AB47=Constants!$B$7,IF(ISNUMBER(AM47),COUNTIFS($AM$8:$AM$507,"&lt;"&amp;$AM47)+COUNTIFS($AM$8:$AM$507,$AM47,$AO$8:$AO$507,"&lt;"&amp;$AO47)+1,Constants!$B$14),$AB47))</f>
        <v/>
      </c>
      <c r="AQ47" s="97" t="str">
        <f aca="false">IF(ISBLANK($C47),"",IF($AB47=Constants!$B$7,IF(ISNUMBER(AM47),AM47-AP47,Constants!$B$14),$AB47))</f>
        <v/>
      </c>
      <c r="AR47" s="98"/>
      <c r="AS47" s="99" t="str">
        <f aca="false">IF(ISBLANK($C47),"",IF($AB47&lt;&gt;Constants!$B$7,"",AJ47))</f>
        <v/>
      </c>
      <c r="AT47" s="100" t="str">
        <f aca="false">IF(ISBLANK($C47),"",IF($AB47&lt;&gt;Constants!$B$7,"",IF(AJ47=1,AD47,AG47)))</f>
        <v/>
      </c>
      <c r="AU47" s="101" t="str">
        <f aca="false">IF(ISBLANK($C47),"",IF($AB47&lt;&gt;Constants!$B$7,"",IF(AJ47=1,AE47,AH47)))</f>
        <v/>
      </c>
      <c r="AV47" s="102" t="str">
        <f aca="false">IF(ISBLANK($C47),"",IF($AB47&lt;&gt;Constants!$B$7,$AB47,AL47))</f>
        <v/>
      </c>
      <c r="AW47" s="103" t="str">
        <f aca="false">IF(ISBLANK($C47),"",IF($AB47&lt;&gt;Constants!$B$7,$AB47,AC47))</f>
        <v/>
      </c>
      <c r="AX47" s="104" t="str">
        <f aca="false">IF(ISBLANK($C47),"",AQ47)</f>
        <v/>
      </c>
      <c r="AY47" s="104" t="str">
        <f aca="false">IF(ISBLANK($C47),"",AP47)</f>
        <v/>
      </c>
      <c r="AZ47" s="105" t="str">
        <f aca="false">IF(ISBLANK($C47),"",IF(AY47=Constants!$B$4,COUNTA($C$8:$C$507)+2,IF(AY47=Constants!$B$5,COUNTA($C$8:$C$507)+1,IF(AY47=Constants!$B$6,COUNTA($C$8:$C$507),AY47))))</f>
        <v/>
      </c>
      <c r="BA47" s="5"/>
      <c r="BB47" s="106" t="n">
        <f aca="false">IF(OR(ISNUMBER(AY47),AY47=Constants!$B$4,AY47=Constants!$B$6,AY47=Constants!$B$5),1,0)</f>
        <v>0</v>
      </c>
      <c r="BC47" s="106" t="n">
        <v>40</v>
      </c>
      <c r="BD47" s="106" t="str">
        <f aca="false">IF(ISBLANK($C47),"",IF(ISNUMBER(AZ47),AZ47+ROW($B47)/1000,""))</f>
        <v/>
      </c>
      <c r="BE47" s="106" t="str">
        <f aca="false">IF(ISNUMBER(BD47),RANK(BD47,$BD$8:$BD$507,1),"")</f>
        <v/>
      </c>
      <c r="BF47" s="106" t="str">
        <f aca="false">IF(ISBLANK($C47),"",$B47)</f>
        <v/>
      </c>
      <c r="BG47" s="106" t="str">
        <f aca="false">IF(ISBLANK($C47),"",$C47)</f>
        <v/>
      </c>
      <c r="BH47" s="106" t="str">
        <f aca="false">IF(ISBLANK($C47),"",$D47)</f>
        <v/>
      </c>
      <c r="BI47" s="107" t="str">
        <f aca="false">AW47</f>
        <v/>
      </c>
      <c r="BJ47" s="108" t="str">
        <f aca="false">AV47</f>
        <v/>
      </c>
      <c r="BK47" s="106" t="str">
        <f aca="false">IF(ISBLANK($C47),"",AY47)</f>
        <v/>
      </c>
      <c r="BL47" s="109" t="str">
        <f aca="false">IF($BC47&gt;$BB$7,"",VLOOKUP($BC47,$BE$8:$BK$507,7,FALSE()))</f>
        <v/>
      </c>
      <c r="BM47" s="110" t="str">
        <f aca="false">IF($BC47&gt;$BB$7,"",VLOOKUP($BC47,$BE$8:$BK$507,2,FALSE()))</f>
        <v/>
      </c>
      <c r="BN47" s="110" t="str">
        <f aca="false">IF($BC47&gt;$BB$7,"",VLOOKUP($BC47,$BE$8:$BK$507,3,FALSE()))</f>
        <v/>
      </c>
      <c r="BO47" s="110" t="str">
        <f aca="false">IF($BC47&gt;$BB$7,"",VLOOKUP($BC47,$BE$8:$BK$507,4,FALSE()))</f>
        <v/>
      </c>
      <c r="BP47" s="110" t="str">
        <f aca="false">IF($BC47&gt;$BB$7,"",VLOOKUP($BC47,$BE$8:$BK$507,5,FALSE()))</f>
        <v/>
      </c>
      <c r="BQ47" s="111" t="str">
        <f aca="false">IF($BC47&gt;$BB$7,"",VLOOKUP($BC47,$BE$8:$BK$507,6,FALSE()))</f>
        <v/>
      </c>
      <c r="BR47" s="54"/>
    </row>
    <row r="48" customFormat="false" ht="13.8" hidden="false" customHeight="false" outlineLevel="0" collapsed="false">
      <c r="A48" s="5"/>
      <c r="B48" s="120"/>
      <c r="C48" s="121"/>
      <c r="D48" s="112"/>
      <c r="E48" s="123"/>
      <c r="F48" s="91"/>
      <c r="G48" s="92"/>
      <c r="H48" s="93"/>
      <c r="I48" s="94"/>
      <c r="J48" s="91"/>
      <c r="K48" s="92"/>
      <c r="L48" s="93"/>
      <c r="M48" s="94"/>
      <c r="N48" s="91"/>
      <c r="O48" s="123"/>
      <c r="P48" s="96"/>
      <c r="Q48" s="97" t="str">
        <f aca="false">IF(ISBLANK($C48),"",IF(E48=Constants!$B$2, TRUE(), IF(E48=Constants!$B$3, FALSE(), TRUE())))</f>
        <v/>
      </c>
      <c r="R48" s="97" t="str">
        <f aca="false">IF(ISBLANK($C48),"",IF(F48=Constants!$B$16,Constants!$B$9,IF(F48=Constants!$B$17,Constants!$B$10,Constants!$B$8)))</f>
        <v/>
      </c>
      <c r="S48" s="97" t="str">
        <f aca="false">IF(ISBLANK($C48),"",IF(COUNTA(G48:H48)=0,"",IF(AND(OR(ISBLANK(G48),AND(ISNUMBER(G48),G48&gt;=0)),OR(ISBLANK(H48),AND(ISNUMBER(H48),H48&gt;=0))),60*IF(ISBLANK(G48),0,G48)+IF(ISBLANK(H48),0,H48),"")))</f>
        <v/>
      </c>
      <c r="T48" s="97" t="str">
        <f aca="false">IF(ISBLANK($C48),"",IF(I48=Constants!$B$2, TRUE(), IF(I48=Constants!$B$3, FALSE(), TRUE())))</f>
        <v/>
      </c>
      <c r="U48" s="97" t="str">
        <f aca="false">IF(ISBLANK($C48),"",IF(J48=Constants!$B$2, TRUE(), IF(J48=Constants!$B$3, FALSE(), TRUE())))</f>
        <v/>
      </c>
      <c r="V48" s="97" t="str">
        <f aca="false">IF(ISBLANK($C48),"",IF(COUNTA(K48:L48)=0,"",IF(AND(OR(ISBLANK(K48),AND(ISNUMBER(K48),K48&gt;=0)),OR(ISBLANK(L48),AND(ISNUMBER(L48),L48&gt;=0))),60*IF(ISBLANK(K48),0,K48)+IF(ISBLANK(L48),0,L48),"")))</f>
        <v/>
      </c>
      <c r="W48" s="97" t="str">
        <f aca="false">IF(ISBLANK($C48),"",IF(M48=Constants!$B$2, TRUE(), IF(M48=Constants!$B$3, FALSE(), TRUE())))</f>
        <v/>
      </c>
      <c r="X48" s="97" t="str">
        <f aca="false">IF(ISBLANK($C48),"",IF(N48=Constants!$B$2, TRUE(), IF(N48=Constants!$B$3, FALSE(), TRUE())))</f>
        <v/>
      </c>
      <c r="Y48" s="97" t="str">
        <f aca="false">IF(ISBLANK($C48),"",IF(O48=Constants!$B$2, TRUE(), IF(O48=Constants!$B$3, FALSE(), FALSE())))</f>
        <v/>
      </c>
      <c r="Z48" s="97" t="str">
        <f aca="false">IF(ISBLANK($C48),"",AND(S48&lt;&gt;"",Q48))</f>
        <v/>
      </c>
      <c r="AA48" s="97" t="str">
        <f aca="false">IF(ISBLANK($C48),"",AND(V48&lt;&gt;"",Q48))</f>
        <v/>
      </c>
      <c r="AB48" s="97" t="str">
        <f aca="false">IF(ISBLANK($C48),"",IF(Y48,Constants!$B$4,IF(COUNTA(E48:N48)=0,Constants!$B$5,IF(NOT(Q48),Constants!$B$6,IF(AND(NOT(Z48),NOT(AA48)),Constants!$B$6,Constants!$B$7)))))</f>
        <v/>
      </c>
      <c r="AC48" s="97" t="str">
        <f aca="false">IF(ISBLANK($C48),"",IF($AB48&lt;&gt;Constants!$B$7,$AB48,Constants!$B$20))</f>
        <v/>
      </c>
      <c r="AD48" s="97" t="str">
        <f aca="false">IF($AB48=Constants!$B$7,IF(Z48,S48,Constants!$B$13),"")</f>
        <v/>
      </c>
      <c r="AE48" s="97" t="str">
        <f aca="false">IF($AB48=Constants!$B$7,IF(Z48,R48*IF(T48, 1, Constants!$B$11)*IF(U48, 1, Constants!$B$12),Constants!$B$13),"")</f>
        <v/>
      </c>
      <c r="AF48" s="97" t="str">
        <f aca="false">IF($AB48=Constants!$B$7,AD48*AE48,"")</f>
        <v/>
      </c>
      <c r="AG48" s="97" t="str">
        <f aca="false">IF($AB48=Constants!$B$7,IF(AA48,V48,Constants!$B$13),"")</f>
        <v/>
      </c>
      <c r="AH48" s="97" t="str">
        <f aca="false">IF($AB48=Constants!$B$7,IF(AA48,R48*IF(W48, 1, Constants!$B$11)*IF(X48, 1, Constants!$B$12),Constants!$B$13),"")</f>
        <v/>
      </c>
      <c r="AI48" s="97" t="str">
        <f aca="false">IF($AB48=Constants!$B$7,AG48*AH48,"")</f>
        <v/>
      </c>
      <c r="AJ48" s="97" t="str">
        <f aca="false">IF($AB48=Constants!$B$7,IF(AI48&gt;AF48,2,1),"")</f>
        <v/>
      </c>
      <c r="AK48" s="97" t="str">
        <f aca="false">IF($AB48=Constants!$B$7,IF(AJ48=1,2,1),"")</f>
        <v/>
      </c>
      <c r="AL48" s="97" t="str">
        <f aca="false">IF(ISBLANK($C48),"",IF($AB48&lt;&gt;Constants!$B$7,$AB48,IF(AJ48=1,AF48,AI48)))</f>
        <v/>
      </c>
      <c r="AM48" s="97" t="str">
        <f aca="false">IF(ISBLANK($C48),"",IF($AB48=Constants!$B$7,IF(ISNUMBER(AL48),RANK(AL48,$AL$8:$AL$507),Constants!$B$14),$AB48))</f>
        <v/>
      </c>
      <c r="AN48" s="97" t="str">
        <f aca="false">IF(ISBLANK($C48),"",IF($AB48=Constants!$B$7,IF(AK48=1,AF48,AI48),""))</f>
        <v/>
      </c>
      <c r="AO48" s="97" t="str">
        <f aca="false">IF(ISBLANK($C48),"",IF($AB48=Constants!$B$7,RANK(AN48,$AN$8:$AN$507),$AB48))</f>
        <v/>
      </c>
      <c r="AP48" s="97" t="str">
        <f aca="false">IF(ISBLANK($C48),"",IF($AB48=Constants!$B$7,IF(ISNUMBER(AM48),COUNTIFS($AM$8:$AM$507,"&lt;"&amp;$AM48)+COUNTIFS($AM$8:$AM$507,$AM48,$AO$8:$AO$507,"&lt;"&amp;$AO48)+1,Constants!$B$14),$AB48))</f>
        <v/>
      </c>
      <c r="AQ48" s="97" t="str">
        <f aca="false">IF(ISBLANK($C48),"",IF($AB48=Constants!$B$7,IF(ISNUMBER(AM48),AM48-AP48,Constants!$B$14),$AB48))</f>
        <v/>
      </c>
      <c r="AR48" s="98"/>
      <c r="AS48" s="99" t="str">
        <f aca="false">IF(ISBLANK($C48),"",IF($AB48&lt;&gt;Constants!$B$7,"",AJ48))</f>
        <v/>
      </c>
      <c r="AT48" s="100" t="str">
        <f aca="false">IF(ISBLANK($C48),"",IF($AB48&lt;&gt;Constants!$B$7,"",IF(AJ48=1,AD48,AG48)))</f>
        <v/>
      </c>
      <c r="AU48" s="101" t="str">
        <f aca="false">IF(ISBLANK($C48),"",IF($AB48&lt;&gt;Constants!$B$7,"",IF(AJ48=1,AE48,AH48)))</f>
        <v/>
      </c>
      <c r="AV48" s="102" t="str">
        <f aca="false">IF(ISBLANK($C48),"",IF($AB48&lt;&gt;Constants!$B$7,$AB48,AL48))</f>
        <v/>
      </c>
      <c r="AW48" s="103" t="str">
        <f aca="false">IF(ISBLANK($C48),"",IF($AB48&lt;&gt;Constants!$B$7,$AB48,AC48))</f>
        <v/>
      </c>
      <c r="AX48" s="104" t="str">
        <f aca="false">IF(ISBLANK($C48),"",AQ48)</f>
        <v/>
      </c>
      <c r="AY48" s="104" t="str">
        <f aca="false">IF(ISBLANK($C48),"",AP48)</f>
        <v/>
      </c>
      <c r="AZ48" s="105" t="str">
        <f aca="false">IF(ISBLANK($C48),"",IF(AY48=Constants!$B$4,COUNTA($C$8:$C$507)+2,IF(AY48=Constants!$B$5,COUNTA($C$8:$C$507)+1,IF(AY48=Constants!$B$6,COUNTA($C$8:$C$507),AY48))))</f>
        <v/>
      </c>
      <c r="BA48" s="5"/>
      <c r="BB48" s="106" t="n">
        <f aca="false">IF(OR(ISNUMBER(AY48),AY48=Constants!$B$4,AY48=Constants!$B$6,AY48=Constants!$B$5),1,0)</f>
        <v>0</v>
      </c>
      <c r="BC48" s="106" t="n">
        <v>41</v>
      </c>
      <c r="BD48" s="106" t="str">
        <f aca="false">IF(ISBLANK($C48),"",IF(ISNUMBER(AZ48),AZ48+ROW($B48)/1000,""))</f>
        <v/>
      </c>
      <c r="BE48" s="106" t="str">
        <f aca="false">IF(ISNUMBER(BD48),RANK(BD48,$BD$8:$BD$507,1),"")</f>
        <v/>
      </c>
      <c r="BF48" s="106" t="str">
        <f aca="false">IF(ISBLANK($C48),"",$B48)</f>
        <v/>
      </c>
      <c r="BG48" s="106" t="str">
        <f aca="false">IF(ISBLANK($C48),"",$C48)</f>
        <v/>
      </c>
      <c r="BH48" s="106" t="str">
        <f aca="false">IF(ISBLANK($C48),"",$D48)</f>
        <v/>
      </c>
      <c r="BI48" s="107" t="str">
        <f aca="false">AW48</f>
        <v/>
      </c>
      <c r="BJ48" s="108" t="str">
        <f aca="false">AV48</f>
        <v/>
      </c>
      <c r="BK48" s="106" t="str">
        <f aca="false">IF(ISBLANK($C48),"",AY48)</f>
        <v/>
      </c>
      <c r="BL48" s="109" t="str">
        <f aca="false">IF($BC48&gt;$BB$7,"",VLOOKUP($BC48,$BE$8:$BK$507,7,FALSE()))</f>
        <v/>
      </c>
      <c r="BM48" s="110" t="str">
        <f aca="false">IF($BC48&gt;$BB$7,"",VLOOKUP($BC48,$BE$8:$BK$507,2,FALSE()))</f>
        <v/>
      </c>
      <c r="BN48" s="110" t="str">
        <f aca="false">IF($BC48&gt;$BB$7,"",VLOOKUP($BC48,$BE$8:$BK$507,3,FALSE()))</f>
        <v/>
      </c>
      <c r="BO48" s="110" t="str">
        <f aca="false">IF($BC48&gt;$BB$7,"",VLOOKUP($BC48,$BE$8:$BK$507,4,FALSE()))</f>
        <v/>
      </c>
      <c r="BP48" s="110" t="str">
        <f aca="false">IF($BC48&gt;$BB$7,"",VLOOKUP($BC48,$BE$8:$BK$507,5,FALSE()))</f>
        <v/>
      </c>
      <c r="BQ48" s="111" t="str">
        <f aca="false">IF($BC48&gt;$BB$7,"",VLOOKUP($BC48,$BE$8:$BK$507,6,FALSE()))</f>
        <v/>
      </c>
      <c r="BR48" s="54"/>
    </row>
    <row r="49" customFormat="false" ht="13.8" hidden="false" customHeight="false" outlineLevel="0" collapsed="false">
      <c r="A49" s="5"/>
      <c r="B49" s="120"/>
      <c r="C49" s="121"/>
      <c r="D49" s="112"/>
      <c r="E49" s="123"/>
      <c r="F49" s="91"/>
      <c r="G49" s="92"/>
      <c r="H49" s="93"/>
      <c r="I49" s="94"/>
      <c r="J49" s="91"/>
      <c r="K49" s="92"/>
      <c r="L49" s="93"/>
      <c r="M49" s="94"/>
      <c r="N49" s="91"/>
      <c r="O49" s="123"/>
      <c r="P49" s="96"/>
      <c r="Q49" s="97" t="str">
        <f aca="false">IF(ISBLANK($C49),"",IF(E49=Constants!$B$2, TRUE(), IF(E49=Constants!$B$3, FALSE(), TRUE())))</f>
        <v/>
      </c>
      <c r="R49" s="97" t="str">
        <f aca="false">IF(ISBLANK($C49),"",IF(F49=Constants!$B$16,Constants!$B$9,IF(F49=Constants!$B$17,Constants!$B$10,Constants!$B$8)))</f>
        <v/>
      </c>
      <c r="S49" s="97" t="str">
        <f aca="false">IF(ISBLANK($C49),"",IF(COUNTA(G49:H49)=0,"",IF(AND(OR(ISBLANK(G49),AND(ISNUMBER(G49),G49&gt;=0)),OR(ISBLANK(H49),AND(ISNUMBER(H49),H49&gt;=0))),60*IF(ISBLANK(G49),0,G49)+IF(ISBLANK(H49),0,H49),"")))</f>
        <v/>
      </c>
      <c r="T49" s="97" t="str">
        <f aca="false">IF(ISBLANK($C49),"",IF(I49=Constants!$B$2, TRUE(), IF(I49=Constants!$B$3, FALSE(), TRUE())))</f>
        <v/>
      </c>
      <c r="U49" s="97" t="str">
        <f aca="false">IF(ISBLANK($C49),"",IF(J49=Constants!$B$2, TRUE(), IF(J49=Constants!$B$3, FALSE(), TRUE())))</f>
        <v/>
      </c>
      <c r="V49" s="97" t="str">
        <f aca="false">IF(ISBLANK($C49),"",IF(COUNTA(K49:L49)=0,"",IF(AND(OR(ISBLANK(K49),AND(ISNUMBER(K49),K49&gt;=0)),OR(ISBLANK(L49),AND(ISNUMBER(L49),L49&gt;=0))),60*IF(ISBLANK(K49),0,K49)+IF(ISBLANK(L49),0,L49),"")))</f>
        <v/>
      </c>
      <c r="W49" s="97" t="str">
        <f aca="false">IF(ISBLANK($C49),"",IF(M49=Constants!$B$2, TRUE(), IF(M49=Constants!$B$3, FALSE(), TRUE())))</f>
        <v/>
      </c>
      <c r="X49" s="97" t="str">
        <f aca="false">IF(ISBLANK($C49),"",IF(N49=Constants!$B$2, TRUE(), IF(N49=Constants!$B$3, FALSE(), TRUE())))</f>
        <v/>
      </c>
      <c r="Y49" s="97" t="str">
        <f aca="false">IF(ISBLANK($C49),"",IF(O49=Constants!$B$2, TRUE(), IF(O49=Constants!$B$3, FALSE(), FALSE())))</f>
        <v/>
      </c>
      <c r="Z49" s="97" t="str">
        <f aca="false">IF(ISBLANK($C49),"",AND(S49&lt;&gt;"",Q49))</f>
        <v/>
      </c>
      <c r="AA49" s="97" t="str">
        <f aca="false">IF(ISBLANK($C49),"",AND(V49&lt;&gt;"",Q49))</f>
        <v/>
      </c>
      <c r="AB49" s="97" t="str">
        <f aca="false">IF(ISBLANK($C49),"",IF(Y49,Constants!$B$4,IF(COUNTA(E49:N49)=0,Constants!$B$5,IF(NOT(Q49),Constants!$B$6,IF(AND(NOT(Z49),NOT(AA49)),Constants!$B$6,Constants!$B$7)))))</f>
        <v/>
      </c>
      <c r="AC49" s="97" t="str">
        <f aca="false">IF(ISBLANK($C49),"",IF($AB49&lt;&gt;Constants!$B$7,$AB49,Constants!$B$20))</f>
        <v/>
      </c>
      <c r="AD49" s="97" t="str">
        <f aca="false">IF($AB49=Constants!$B$7,IF(Z49,S49,Constants!$B$13),"")</f>
        <v/>
      </c>
      <c r="AE49" s="97" t="str">
        <f aca="false">IF($AB49=Constants!$B$7,IF(Z49,R49*IF(T49, 1, Constants!$B$11)*IF(U49, 1, Constants!$B$12),Constants!$B$13),"")</f>
        <v/>
      </c>
      <c r="AF49" s="97" t="str">
        <f aca="false">IF($AB49=Constants!$B$7,AD49*AE49,"")</f>
        <v/>
      </c>
      <c r="AG49" s="97" t="str">
        <f aca="false">IF($AB49=Constants!$B$7,IF(AA49,V49,Constants!$B$13),"")</f>
        <v/>
      </c>
      <c r="AH49" s="97" t="str">
        <f aca="false">IF($AB49=Constants!$B$7,IF(AA49,R49*IF(W49, 1, Constants!$B$11)*IF(X49, 1, Constants!$B$12),Constants!$B$13),"")</f>
        <v/>
      </c>
      <c r="AI49" s="97" t="str">
        <f aca="false">IF($AB49=Constants!$B$7,AG49*AH49,"")</f>
        <v/>
      </c>
      <c r="AJ49" s="97" t="str">
        <f aca="false">IF($AB49=Constants!$B$7,IF(AI49&gt;AF49,2,1),"")</f>
        <v/>
      </c>
      <c r="AK49" s="97" t="str">
        <f aca="false">IF($AB49=Constants!$B$7,IF(AJ49=1,2,1),"")</f>
        <v/>
      </c>
      <c r="AL49" s="97" t="str">
        <f aca="false">IF(ISBLANK($C49),"",IF($AB49&lt;&gt;Constants!$B$7,$AB49,IF(AJ49=1,AF49,AI49)))</f>
        <v/>
      </c>
      <c r="AM49" s="97" t="str">
        <f aca="false">IF(ISBLANK($C49),"",IF($AB49=Constants!$B$7,IF(ISNUMBER(AL49),RANK(AL49,$AL$8:$AL$507),Constants!$B$14),$AB49))</f>
        <v/>
      </c>
      <c r="AN49" s="97" t="str">
        <f aca="false">IF(ISBLANK($C49),"",IF($AB49=Constants!$B$7,IF(AK49=1,AF49,AI49),""))</f>
        <v/>
      </c>
      <c r="AO49" s="97" t="str">
        <f aca="false">IF(ISBLANK($C49),"",IF($AB49=Constants!$B$7,RANK(AN49,$AN$8:$AN$507),$AB49))</f>
        <v/>
      </c>
      <c r="AP49" s="97" t="str">
        <f aca="false">IF(ISBLANK($C49),"",IF($AB49=Constants!$B$7,IF(ISNUMBER(AM49),COUNTIFS($AM$8:$AM$507,"&lt;"&amp;$AM49)+COUNTIFS($AM$8:$AM$507,$AM49,$AO$8:$AO$507,"&lt;"&amp;$AO49)+1,Constants!$B$14),$AB49))</f>
        <v/>
      </c>
      <c r="AQ49" s="97" t="str">
        <f aca="false">IF(ISBLANK($C49),"",IF($AB49=Constants!$B$7,IF(ISNUMBER(AM49),AM49-AP49,Constants!$B$14),$AB49))</f>
        <v/>
      </c>
      <c r="AR49" s="98"/>
      <c r="AS49" s="99" t="str">
        <f aca="false">IF(ISBLANK($C49),"",IF($AB49&lt;&gt;Constants!$B$7,"",AJ49))</f>
        <v/>
      </c>
      <c r="AT49" s="100" t="str">
        <f aca="false">IF(ISBLANK($C49),"",IF($AB49&lt;&gt;Constants!$B$7,"",IF(AJ49=1,AD49,AG49)))</f>
        <v/>
      </c>
      <c r="AU49" s="101" t="str">
        <f aca="false">IF(ISBLANK($C49),"",IF($AB49&lt;&gt;Constants!$B$7,"",IF(AJ49=1,AE49,AH49)))</f>
        <v/>
      </c>
      <c r="AV49" s="102" t="str">
        <f aca="false">IF(ISBLANK($C49),"",IF($AB49&lt;&gt;Constants!$B$7,$AB49,AL49))</f>
        <v/>
      </c>
      <c r="AW49" s="103" t="str">
        <f aca="false">IF(ISBLANK($C49),"",IF($AB49&lt;&gt;Constants!$B$7,$AB49,AC49))</f>
        <v/>
      </c>
      <c r="AX49" s="104" t="str">
        <f aca="false">IF(ISBLANK($C49),"",AQ49)</f>
        <v/>
      </c>
      <c r="AY49" s="104" t="str">
        <f aca="false">IF(ISBLANK($C49),"",AP49)</f>
        <v/>
      </c>
      <c r="AZ49" s="105" t="str">
        <f aca="false">IF(ISBLANK($C49),"",IF(AY49=Constants!$B$4,COUNTA($C$8:$C$507)+2,IF(AY49=Constants!$B$5,COUNTA($C$8:$C$507)+1,IF(AY49=Constants!$B$6,COUNTA($C$8:$C$507),AY49))))</f>
        <v/>
      </c>
      <c r="BA49" s="5"/>
      <c r="BB49" s="106" t="n">
        <f aca="false">IF(OR(ISNUMBER(AY49),AY49=Constants!$B$4,AY49=Constants!$B$6,AY49=Constants!$B$5),1,0)</f>
        <v>0</v>
      </c>
      <c r="BC49" s="106" t="n">
        <v>42</v>
      </c>
      <c r="BD49" s="106" t="str">
        <f aca="false">IF(ISBLANK($C49),"",IF(ISNUMBER(AZ49),AZ49+ROW($B49)/1000,""))</f>
        <v/>
      </c>
      <c r="BE49" s="106" t="str">
        <f aca="false">IF(ISNUMBER(BD49),RANK(BD49,$BD$8:$BD$507,1),"")</f>
        <v/>
      </c>
      <c r="BF49" s="106" t="str">
        <f aca="false">IF(ISBLANK($C49),"",$B49)</f>
        <v/>
      </c>
      <c r="BG49" s="106" t="str">
        <f aca="false">IF(ISBLANK($C49),"",$C49)</f>
        <v/>
      </c>
      <c r="BH49" s="106" t="str">
        <f aca="false">IF(ISBLANK($C49),"",$D49)</f>
        <v/>
      </c>
      <c r="BI49" s="107" t="str">
        <f aca="false">AW49</f>
        <v/>
      </c>
      <c r="BJ49" s="108" t="str">
        <f aca="false">AV49</f>
        <v/>
      </c>
      <c r="BK49" s="106" t="str">
        <f aca="false">IF(ISBLANK($C49),"",AY49)</f>
        <v/>
      </c>
      <c r="BL49" s="109" t="str">
        <f aca="false">IF($BC49&gt;$BB$7,"",VLOOKUP($BC49,$BE$8:$BK$507,7,FALSE()))</f>
        <v/>
      </c>
      <c r="BM49" s="110" t="str">
        <f aca="false">IF($BC49&gt;$BB$7,"",VLOOKUP($BC49,$BE$8:$BK$507,2,FALSE()))</f>
        <v/>
      </c>
      <c r="BN49" s="110" t="str">
        <f aca="false">IF($BC49&gt;$BB$7,"",VLOOKUP($BC49,$BE$8:$BK$507,3,FALSE()))</f>
        <v/>
      </c>
      <c r="BO49" s="110" t="str">
        <f aca="false">IF($BC49&gt;$BB$7,"",VLOOKUP($BC49,$BE$8:$BK$507,4,FALSE()))</f>
        <v/>
      </c>
      <c r="BP49" s="110" t="str">
        <f aca="false">IF($BC49&gt;$BB$7,"",VLOOKUP($BC49,$BE$8:$BK$507,5,FALSE()))</f>
        <v/>
      </c>
      <c r="BQ49" s="111" t="str">
        <f aca="false">IF($BC49&gt;$BB$7,"",VLOOKUP($BC49,$BE$8:$BK$507,6,FALSE()))</f>
        <v/>
      </c>
      <c r="BR49" s="54"/>
    </row>
    <row r="50" customFormat="false" ht="13.8" hidden="false" customHeight="false" outlineLevel="0" collapsed="false">
      <c r="A50" s="5"/>
      <c r="B50" s="124"/>
      <c r="C50" s="56"/>
      <c r="D50" s="57"/>
      <c r="E50" s="83"/>
      <c r="F50" s="59"/>
      <c r="G50" s="60"/>
      <c r="H50" s="61"/>
      <c r="I50" s="62"/>
      <c r="J50" s="59"/>
      <c r="K50" s="60"/>
      <c r="L50" s="61"/>
      <c r="M50" s="62"/>
      <c r="N50" s="59"/>
      <c r="O50" s="83"/>
      <c r="P50" s="64"/>
      <c r="Q50" s="66" t="str">
        <f aca="false">IF(ISBLANK($C50),"",IF(E50=Constants!$B$2, TRUE(), IF(E50=Constants!$B$3, FALSE(), TRUE())))</f>
        <v/>
      </c>
      <c r="R50" s="66" t="str">
        <f aca="false">IF(ISBLANK($C50),"",IF(F50=Constants!$B$16,Constants!$B$9,IF(F50=Constants!$B$17,Constants!$B$10,Constants!$B$8)))</f>
        <v/>
      </c>
      <c r="S50" s="66" t="str">
        <f aca="false">IF(ISBLANK($C50),"",IF(COUNTA(G50:H50)=0,"",IF(AND(OR(ISBLANK(G50),AND(ISNUMBER(G50),G50&gt;=0)),OR(ISBLANK(H50),AND(ISNUMBER(H50),H50&gt;=0))),60*IF(ISBLANK(G50),0,G50)+IF(ISBLANK(H50),0,H50),"")))</f>
        <v/>
      </c>
      <c r="T50" s="66" t="str">
        <f aca="false">IF(ISBLANK($C50),"",IF(I50=Constants!$B$2, TRUE(), IF(I50=Constants!$B$3, FALSE(), TRUE())))</f>
        <v/>
      </c>
      <c r="U50" s="66" t="str">
        <f aca="false">IF(ISBLANK($C50),"",IF(J50=Constants!$B$2, TRUE(), IF(J50=Constants!$B$3, FALSE(), TRUE())))</f>
        <v/>
      </c>
      <c r="V50" s="66" t="str">
        <f aca="false">IF(ISBLANK($C50),"",IF(COUNTA(K50:L50)=0,"",IF(AND(OR(ISBLANK(K50),AND(ISNUMBER(K50),K50&gt;=0)),OR(ISBLANK(L50),AND(ISNUMBER(L50),L50&gt;=0))),60*IF(ISBLANK(K50),0,K50)+IF(ISBLANK(L50),0,L50),"")))</f>
        <v/>
      </c>
      <c r="W50" s="66" t="str">
        <f aca="false">IF(ISBLANK($C50),"",IF(M50=Constants!$B$2, TRUE(), IF(M50=Constants!$B$3, FALSE(), TRUE())))</f>
        <v/>
      </c>
      <c r="X50" s="66" t="str">
        <f aca="false">IF(ISBLANK($C50),"",IF(N50=Constants!$B$2, TRUE(), IF(N50=Constants!$B$3, FALSE(), TRUE())))</f>
        <v/>
      </c>
      <c r="Y50" s="66" t="str">
        <f aca="false">IF(ISBLANK($C50),"",IF(O50=Constants!$B$2, TRUE(), IF(O50=Constants!$B$3, FALSE(), FALSE())))</f>
        <v/>
      </c>
      <c r="Z50" s="66" t="str">
        <f aca="false">IF(ISBLANK($C50),"",AND(S50&lt;&gt;"",Q50))</f>
        <v/>
      </c>
      <c r="AA50" s="66" t="str">
        <f aca="false">IF(ISBLANK($C50),"",AND(V50&lt;&gt;"",Q50))</f>
        <v/>
      </c>
      <c r="AB50" s="66" t="str">
        <f aca="false">IF(ISBLANK($C50),"",IF(Y50,Constants!$B$4,IF(COUNTA(E50:N50)=0,Constants!$B$5,IF(NOT(Q50),Constants!$B$6,IF(AND(NOT(Z50),NOT(AA50)),Constants!$B$6,Constants!$B$7)))))</f>
        <v/>
      </c>
      <c r="AC50" s="66" t="str">
        <f aca="false">IF(ISBLANK($C50),"",IF($AB50&lt;&gt;Constants!$B$7,$AB50,Constants!$B$20))</f>
        <v/>
      </c>
      <c r="AD50" s="66" t="str">
        <f aca="false">IF($AB50=Constants!$B$7,IF(Z50,S50,Constants!$B$13),"")</f>
        <v/>
      </c>
      <c r="AE50" s="66" t="str">
        <f aca="false">IF($AB50=Constants!$B$7,IF(Z50,R50*IF(T50, 1, Constants!$B$11)*IF(U50, 1, Constants!$B$12),Constants!$B$13),"")</f>
        <v/>
      </c>
      <c r="AF50" s="66" t="str">
        <f aca="false">IF($AB50=Constants!$B$7,AD50*AE50,"")</f>
        <v/>
      </c>
      <c r="AG50" s="66" t="str">
        <f aca="false">IF($AB50=Constants!$B$7,IF(AA50,V50,Constants!$B$13),"")</f>
        <v/>
      </c>
      <c r="AH50" s="66" t="str">
        <f aca="false">IF($AB50=Constants!$B$7,IF(AA50,R50*IF(W50, 1, Constants!$B$11)*IF(X50, 1, Constants!$B$12),Constants!$B$13),"")</f>
        <v/>
      </c>
      <c r="AI50" s="66" t="str">
        <f aca="false">IF($AB50=Constants!$B$7,AG50*AH50,"")</f>
        <v/>
      </c>
      <c r="AJ50" s="66" t="str">
        <f aca="false">IF($AB50=Constants!$B$7,IF(AI50&gt;AF50,2,1),"")</f>
        <v/>
      </c>
      <c r="AK50" s="66" t="str">
        <f aca="false">IF($AB50=Constants!$B$7,IF(AJ50=1,2,1),"")</f>
        <v/>
      </c>
      <c r="AL50" s="66" t="str">
        <f aca="false">IF(ISBLANK($C50),"",IF($AB50&lt;&gt;Constants!$B$7,$AB50,IF(AJ50=1,AF50,AI50)))</f>
        <v/>
      </c>
      <c r="AM50" s="66" t="str">
        <f aca="false">IF(ISBLANK($C50),"",IF($AB50=Constants!$B$7,IF(ISNUMBER(AL50),RANK(AL50,$AL$8:$AL$507),Constants!$B$14),$AB50))</f>
        <v/>
      </c>
      <c r="AN50" s="66" t="str">
        <f aca="false">IF(ISBLANK($C50),"",IF($AB50=Constants!$B$7,IF(AK50=1,AF50,AI50),""))</f>
        <v/>
      </c>
      <c r="AO50" s="66" t="str">
        <f aca="false">IF(ISBLANK($C50),"",IF($AB50=Constants!$B$7,RANK(AN50,$AN$8:$AN$507),$AB50))</f>
        <v/>
      </c>
      <c r="AP50" s="66" t="str">
        <f aca="false">IF(ISBLANK($C50),"",IF($AB50=Constants!$B$7,IF(ISNUMBER(AM50),COUNTIFS($AM$8:$AM$507,"&lt;"&amp;$AM50)+COUNTIFS($AM$8:$AM$507,$AM50,$AO$8:$AO$507,"&lt;"&amp;$AO50)+1,Constants!$B$14),$AB50))</f>
        <v/>
      </c>
      <c r="AQ50" s="66" t="str">
        <f aca="false">IF(ISBLANK($C50),"",IF($AB50=Constants!$B$7,IF(ISNUMBER(AM50),AM50-AP50,Constants!$B$14),$AB50))</f>
        <v/>
      </c>
      <c r="AR50" s="68"/>
      <c r="AS50" s="69" t="str">
        <f aca="false">IF(ISBLANK($C50),"",IF($AB50&lt;&gt;Constants!$B$7,"",AJ50))</f>
        <v/>
      </c>
      <c r="AT50" s="84" t="str">
        <f aca="false">IF(ISBLANK($C50),"",IF($AB50&lt;&gt;Constants!$B$7,"",IF(AJ50=1,AD50,AG50)))</f>
        <v/>
      </c>
      <c r="AU50" s="71" t="str">
        <f aca="false">IF(ISBLANK($C50),"",IF($AB50&lt;&gt;Constants!$B$7,"",IF(AJ50=1,AE50,AH50)))</f>
        <v/>
      </c>
      <c r="AV50" s="72" t="str">
        <f aca="false">IF(ISBLANK($C50),"",IF($AB50&lt;&gt;Constants!$B$7,$AB50,AL50))</f>
        <v/>
      </c>
      <c r="AW50" s="73" t="str">
        <f aca="false">IF(ISBLANK($C50),"",IF($AB50&lt;&gt;Constants!$B$7,$AB50,AC50))</f>
        <v/>
      </c>
      <c r="AX50" s="74" t="str">
        <f aca="false">IF(ISBLANK($C50),"",AQ50)</f>
        <v/>
      </c>
      <c r="AY50" s="74" t="str">
        <f aca="false">IF(ISBLANK($C50),"",AP50)</f>
        <v/>
      </c>
      <c r="AZ50" s="75" t="str">
        <f aca="false">IF(ISBLANK($C50),"",IF(AY50=Constants!$B$4,COUNTA($C$8:$C$507)+2,IF(AY50=Constants!$B$5,COUNTA($C$8:$C$507)+1,IF(AY50=Constants!$B$6,COUNTA($C$8:$C$507),AY50))))</f>
        <v/>
      </c>
      <c r="BA50" s="5"/>
      <c r="BB50" s="76" t="n">
        <f aca="false">IF(OR(ISNUMBER(AY50),AY50=Constants!$B$4,AY50=Constants!$B$6,AY50=Constants!$B$5),1,0)</f>
        <v>0</v>
      </c>
      <c r="BC50" s="76" t="n">
        <v>43</v>
      </c>
      <c r="BD50" s="76" t="str">
        <f aca="false">IF(ISBLANK($C50),"",IF(ISNUMBER(AZ50),AZ50+ROW($B50)/1000,""))</f>
        <v/>
      </c>
      <c r="BE50" s="76" t="str">
        <f aca="false">IF(ISNUMBER(BD50),RANK(BD50,$BD$8:$BD$507,1),"")</f>
        <v/>
      </c>
      <c r="BF50" s="76" t="str">
        <f aca="false">IF(ISBLANK($C50),"",$B50)</f>
        <v/>
      </c>
      <c r="BG50" s="76" t="str">
        <f aca="false">IF(ISBLANK($C50),"",$C50)</f>
        <v/>
      </c>
      <c r="BH50" s="76" t="str">
        <f aca="false">IF(ISBLANK($C50),"",$D50)</f>
        <v/>
      </c>
      <c r="BI50" s="77" t="str">
        <f aca="false">AW50</f>
        <v/>
      </c>
      <c r="BJ50" s="78" t="str">
        <f aca="false">AV50</f>
        <v/>
      </c>
      <c r="BK50" s="76" t="str">
        <f aca="false">IF(ISBLANK($C50),"",AY50)</f>
        <v/>
      </c>
      <c r="BL50" s="79" t="str">
        <f aca="false">IF($BC50&gt;$BB$7,"",VLOOKUP($BC50,$BE$8:$BK$507,7,FALSE()))</f>
        <v/>
      </c>
      <c r="BM50" s="80" t="str">
        <f aca="false">IF($BC50&gt;$BB$7,"",VLOOKUP($BC50,$BE$8:$BK$507,2,FALSE()))</f>
        <v/>
      </c>
      <c r="BN50" s="80" t="str">
        <f aca="false">IF($BC50&gt;$BB$7,"",VLOOKUP($BC50,$BE$8:$BK$507,3,FALSE()))</f>
        <v/>
      </c>
      <c r="BO50" s="80" t="str">
        <f aca="false">IF($BC50&gt;$BB$7,"",VLOOKUP($BC50,$BE$8:$BK$507,4,FALSE()))</f>
        <v/>
      </c>
      <c r="BP50" s="80" t="str">
        <f aca="false">IF($BC50&gt;$BB$7,"",VLOOKUP($BC50,$BE$8:$BK$507,5,FALSE()))</f>
        <v/>
      </c>
      <c r="BQ50" s="81" t="str">
        <f aca="false">IF($BC50&gt;$BB$7,"",VLOOKUP($BC50,$BE$8:$BK$507,6,FALSE()))</f>
        <v/>
      </c>
      <c r="BR50" s="54"/>
    </row>
    <row r="51" customFormat="false" ht="13.8" hidden="false" customHeight="false" outlineLevel="0" collapsed="false">
      <c r="A51" s="5"/>
      <c r="B51" s="124"/>
      <c r="C51" s="56"/>
      <c r="D51" s="57"/>
      <c r="E51" s="83"/>
      <c r="F51" s="59"/>
      <c r="G51" s="60"/>
      <c r="H51" s="61"/>
      <c r="I51" s="62"/>
      <c r="J51" s="59"/>
      <c r="K51" s="60"/>
      <c r="L51" s="61"/>
      <c r="M51" s="62"/>
      <c r="N51" s="59"/>
      <c r="O51" s="83"/>
      <c r="P51" s="64"/>
      <c r="Q51" s="66" t="str">
        <f aca="false">IF(ISBLANK($C51),"",IF(E51=Constants!$B$2, TRUE(), IF(E51=Constants!$B$3, FALSE(), TRUE())))</f>
        <v/>
      </c>
      <c r="R51" s="66" t="str">
        <f aca="false">IF(ISBLANK($C51),"",IF(F51=Constants!$B$16,Constants!$B$9,IF(F51=Constants!$B$17,Constants!$B$10,Constants!$B$8)))</f>
        <v/>
      </c>
      <c r="S51" s="66" t="str">
        <f aca="false">IF(ISBLANK($C51),"",IF(COUNTA(G51:H51)=0,"",IF(AND(OR(ISBLANK(G51),AND(ISNUMBER(G51),G51&gt;=0)),OR(ISBLANK(H51),AND(ISNUMBER(H51),H51&gt;=0))),60*IF(ISBLANK(G51),0,G51)+IF(ISBLANK(H51),0,H51),"")))</f>
        <v/>
      </c>
      <c r="T51" s="66" t="str">
        <f aca="false">IF(ISBLANK($C51),"",IF(I51=Constants!$B$2, TRUE(), IF(I51=Constants!$B$3, FALSE(), TRUE())))</f>
        <v/>
      </c>
      <c r="U51" s="66" t="str">
        <f aca="false">IF(ISBLANK($C51),"",IF(J51=Constants!$B$2, TRUE(), IF(J51=Constants!$B$3, FALSE(), TRUE())))</f>
        <v/>
      </c>
      <c r="V51" s="66" t="str">
        <f aca="false">IF(ISBLANK($C51),"",IF(COUNTA(K51:L51)=0,"",IF(AND(OR(ISBLANK(K51),AND(ISNUMBER(K51),K51&gt;=0)),OR(ISBLANK(L51),AND(ISNUMBER(L51),L51&gt;=0))),60*IF(ISBLANK(K51),0,K51)+IF(ISBLANK(L51),0,L51),"")))</f>
        <v/>
      </c>
      <c r="W51" s="66" t="str">
        <f aca="false">IF(ISBLANK($C51),"",IF(M51=Constants!$B$2, TRUE(), IF(M51=Constants!$B$3, FALSE(), TRUE())))</f>
        <v/>
      </c>
      <c r="X51" s="66" t="str">
        <f aca="false">IF(ISBLANK($C51),"",IF(N51=Constants!$B$2, TRUE(), IF(N51=Constants!$B$3, FALSE(), TRUE())))</f>
        <v/>
      </c>
      <c r="Y51" s="66" t="str">
        <f aca="false">IF(ISBLANK($C51),"",IF(O51=Constants!$B$2, TRUE(), IF(O51=Constants!$B$3, FALSE(), FALSE())))</f>
        <v/>
      </c>
      <c r="Z51" s="66" t="str">
        <f aca="false">IF(ISBLANK($C51),"",AND(S51&lt;&gt;"",Q51))</f>
        <v/>
      </c>
      <c r="AA51" s="66" t="str">
        <f aca="false">IF(ISBLANK($C51),"",AND(V51&lt;&gt;"",Q51))</f>
        <v/>
      </c>
      <c r="AB51" s="66" t="str">
        <f aca="false">IF(ISBLANK($C51),"",IF(Y51,Constants!$B$4,IF(COUNTA(E51:N51)=0,Constants!$B$5,IF(NOT(Q51),Constants!$B$6,IF(AND(NOT(Z51),NOT(AA51)),Constants!$B$6,Constants!$B$7)))))</f>
        <v/>
      </c>
      <c r="AC51" s="66" t="str">
        <f aca="false">IF(ISBLANK($C51),"",IF($AB51&lt;&gt;Constants!$B$7,$AB51,Constants!$B$20))</f>
        <v/>
      </c>
      <c r="AD51" s="66" t="str">
        <f aca="false">IF($AB51=Constants!$B$7,IF(Z51,S51,Constants!$B$13),"")</f>
        <v/>
      </c>
      <c r="AE51" s="66" t="str">
        <f aca="false">IF($AB51=Constants!$B$7,IF(Z51,R51*IF(T51, 1, Constants!$B$11)*IF(U51, 1, Constants!$B$12),Constants!$B$13),"")</f>
        <v/>
      </c>
      <c r="AF51" s="66" t="str">
        <f aca="false">IF($AB51=Constants!$B$7,AD51*AE51,"")</f>
        <v/>
      </c>
      <c r="AG51" s="66" t="str">
        <f aca="false">IF($AB51=Constants!$B$7,IF(AA51,V51,Constants!$B$13),"")</f>
        <v/>
      </c>
      <c r="AH51" s="66" t="str">
        <f aca="false">IF($AB51=Constants!$B$7,IF(AA51,R51*IF(W51, 1, Constants!$B$11)*IF(X51, 1, Constants!$B$12),Constants!$B$13),"")</f>
        <v/>
      </c>
      <c r="AI51" s="66" t="str">
        <f aca="false">IF($AB51=Constants!$B$7,AG51*AH51,"")</f>
        <v/>
      </c>
      <c r="AJ51" s="66" t="str">
        <f aca="false">IF($AB51=Constants!$B$7,IF(AI51&gt;AF51,2,1),"")</f>
        <v/>
      </c>
      <c r="AK51" s="66" t="str">
        <f aca="false">IF($AB51=Constants!$B$7,IF(AJ51=1,2,1),"")</f>
        <v/>
      </c>
      <c r="AL51" s="66" t="str">
        <f aca="false">IF(ISBLANK($C51),"",IF($AB51&lt;&gt;Constants!$B$7,$AB51,IF(AJ51=1,AF51,AI51)))</f>
        <v/>
      </c>
      <c r="AM51" s="66" t="str">
        <f aca="false">IF(ISBLANK($C51),"",IF($AB51=Constants!$B$7,IF(ISNUMBER(AL51),RANK(AL51,$AL$8:$AL$507),Constants!$B$14),$AB51))</f>
        <v/>
      </c>
      <c r="AN51" s="66" t="str">
        <f aca="false">IF(ISBLANK($C51),"",IF($AB51=Constants!$B$7,IF(AK51=1,AF51,AI51),""))</f>
        <v/>
      </c>
      <c r="AO51" s="66" t="str">
        <f aca="false">IF(ISBLANK($C51),"",IF($AB51=Constants!$B$7,RANK(AN51,$AN$8:$AN$507),$AB51))</f>
        <v/>
      </c>
      <c r="AP51" s="66" t="str">
        <f aca="false">IF(ISBLANK($C51),"",IF($AB51=Constants!$B$7,IF(ISNUMBER(AM51),COUNTIFS($AM$8:$AM$507,"&lt;"&amp;$AM51)+COUNTIFS($AM$8:$AM$507,$AM51,$AO$8:$AO$507,"&lt;"&amp;$AO51)+1,Constants!$B$14),$AB51))</f>
        <v/>
      </c>
      <c r="AQ51" s="66" t="str">
        <f aca="false">IF(ISBLANK($C51),"",IF($AB51=Constants!$B$7,IF(ISNUMBER(AM51),AM51-AP51,Constants!$B$14),$AB51))</f>
        <v/>
      </c>
      <c r="AR51" s="68"/>
      <c r="AS51" s="69" t="str">
        <f aca="false">IF(ISBLANK($C51),"",IF($AB51&lt;&gt;Constants!$B$7,"",AJ51))</f>
        <v/>
      </c>
      <c r="AT51" s="84" t="str">
        <f aca="false">IF(ISBLANK($C51),"",IF($AB51&lt;&gt;Constants!$B$7,"",IF(AJ51=1,AD51,AG51)))</f>
        <v/>
      </c>
      <c r="AU51" s="71" t="str">
        <f aca="false">IF(ISBLANK($C51),"",IF($AB51&lt;&gt;Constants!$B$7,"",IF(AJ51=1,AE51,AH51)))</f>
        <v/>
      </c>
      <c r="AV51" s="72" t="str">
        <f aca="false">IF(ISBLANK($C51),"",IF($AB51&lt;&gt;Constants!$B$7,$AB51,AL51))</f>
        <v/>
      </c>
      <c r="AW51" s="73" t="str">
        <f aca="false">IF(ISBLANK($C51),"",IF($AB51&lt;&gt;Constants!$B$7,$AB51,AC51))</f>
        <v/>
      </c>
      <c r="AX51" s="74" t="str">
        <f aca="false">IF(ISBLANK($C51),"",AQ51)</f>
        <v/>
      </c>
      <c r="AY51" s="74" t="str">
        <f aca="false">IF(ISBLANK($C51),"",AP51)</f>
        <v/>
      </c>
      <c r="AZ51" s="75" t="str">
        <f aca="false">IF(ISBLANK($C51),"",IF(AY51=Constants!$B$4,COUNTA($C$8:$C$507)+2,IF(AY51=Constants!$B$5,COUNTA($C$8:$C$507)+1,IF(AY51=Constants!$B$6,COUNTA($C$8:$C$507),AY51))))</f>
        <v/>
      </c>
      <c r="BA51" s="5"/>
      <c r="BB51" s="76" t="n">
        <f aca="false">IF(OR(ISNUMBER(AY51),AY51=Constants!$B$4,AY51=Constants!$B$6,AY51=Constants!$B$5),1,0)</f>
        <v>0</v>
      </c>
      <c r="BC51" s="76" t="n">
        <v>44</v>
      </c>
      <c r="BD51" s="76" t="str">
        <f aca="false">IF(ISBLANK($C51),"",IF(ISNUMBER(AZ51),AZ51+ROW($B51)/1000,""))</f>
        <v/>
      </c>
      <c r="BE51" s="76" t="str">
        <f aca="false">IF(ISNUMBER(BD51),RANK(BD51,$BD$8:$BD$507,1),"")</f>
        <v/>
      </c>
      <c r="BF51" s="76" t="str">
        <f aca="false">IF(ISBLANK($C51),"",$B51)</f>
        <v/>
      </c>
      <c r="BG51" s="76" t="str">
        <f aca="false">IF(ISBLANK($C51),"",$C51)</f>
        <v/>
      </c>
      <c r="BH51" s="76" t="str">
        <f aca="false">IF(ISBLANK($C51),"",$D51)</f>
        <v/>
      </c>
      <c r="BI51" s="77" t="str">
        <f aca="false">AW51</f>
        <v/>
      </c>
      <c r="BJ51" s="78" t="str">
        <f aca="false">AV51</f>
        <v/>
      </c>
      <c r="BK51" s="76" t="str">
        <f aca="false">IF(ISBLANK($C51),"",AY51)</f>
        <v/>
      </c>
      <c r="BL51" s="79" t="str">
        <f aca="false">IF($BC51&gt;$BB$7,"",VLOOKUP($BC51,$BE$8:$BK$507,7,FALSE()))</f>
        <v/>
      </c>
      <c r="BM51" s="80" t="str">
        <f aca="false">IF($BC51&gt;$BB$7,"",VLOOKUP($BC51,$BE$8:$BK$507,2,FALSE()))</f>
        <v/>
      </c>
      <c r="BN51" s="80" t="str">
        <f aca="false">IF($BC51&gt;$BB$7,"",VLOOKUP($BC51,$BE$8:$BK$507,3,FALSE()))</f>
        <v/>
      </c>
      <c r="BO51" s="80" t="str">
        <f aca="false">IF($BC51&gt;$BB$7,"",VLOOKUP($BC51,$BE$8:$BK$507,4,FALSE()))</f>
        <v/>
      </c>
      <c r="BP51" s="80" t="str">
        <f aca="false">IF($BC51&gt;$BB$7,"",VLOOKUP($BC51,$BE$8:$BK$507,5,FALSE()))</f>
        <v/>
      </c>
      <c r="BQ51" s="81" t="str">
        <f aca="false">IF($BC51&gt;$BB$7,"",VLOOKUP($BC51,$BE$8:$BK$507,6,FALSE()))</f>
        <v/>
      </c>
      <c r="BR51" s="54"/>
    </row>
    <row r="52" customFormat="false" ht="13.8" hidden="false" customHeight="false" outlineLevel="0" collapsed="false">
      <c r="A52" s="5"/>
      <c r="B52" s="124"/>
      <c r="C52" s="56"/>
      <c r="D52" s="57"/>
      <c r="E52" s="83"/>
      <c r="F52" s="59"/>
      <c r="G52" s="60"/>
      <c r="H52" s="61"/>
      <c r="I52" s="62"/>
      <c r="J52" s="59"/>
      <c r="K52" s="60"/>
      <c r="L52" s="61"/>
      <c r="M52" s="62"/>
      <c r="N52" s="59"/>
      <c r="O52" s="83"/>
      <c r="P52" s="64"/>
      <c r="Q52" s="66" t="str">
        <f aca="false">IF(ISBLANK($C52),"",IF(E52=Constants!$B$2, TRUE(), IF(E52=Constants!$B$3, FALSE(), TRUE())))</f>
        <v/>
      </c>
      <c r="R52" s="66" t="str">
        <f aca="false">IF(ISBLANK($C52),"",IF(F52=Constants!$B$16,Constants!$B$9,IF(F52=Constants!$B$17,Constants!$B$10,Constants!$B$8)))</f>
        <v/>
      </c>
      <c r="S52" s="66" t="str">
        <f aca="false">IF(ISBLANK($C52),"",IF(COUNTA(G52:H52)=0,"",IF(AND(OR(ISBLANK(G52),AND(ISNUMBER(G52),G52&gt;=0)),OR(ISBLANK(H52),AND(ISNUMBER(H52),H52&gt;=0))),60*IF(ISBLANK(G52),0,G52)+IF(ISBLANK(H52),0,H52),"")))</f>
        <v/>
      </c>
      <c r="T52" s="66" t="str">
        <f aca="false">IF(ISBLANK($C52),"",IF(I52=Constants!$B$2, TRUE(), IF(I52=Constants!$B$3, FALSE(), TRUE())))</f>
        <v/>
      </c>
      <c r="U52" s="66" t="str">
        <f aca="false">IF(ISBLANK($C52),"",IF(J52=Constants!$B$2, TRUE(), IF(J52=Constants!$B$3, FALSE(), TRUE())))</f>
        <v/>
      </c>
      <c r="V52" s="66" t="str">
        <f aca="false">IF(ISBLANK($C52),"",IF(COUNTA(K52:L52)=0,"",IF(AND(OR(ISBLANK(K52),AND(ISNUMBER(K52),K52&gt;=0)),OR(ISBLANK(L52),AND(ISNUMBER(L52),L52&gt;=0))),60*IF(ISBLANK(K52),0,K52)+IF(ISBLANK(L52),0,L52),"")))</f>
        <v/>
      </c>
      <c r="W52" s="66" t="str">
        <f aca="false">IF(ISBLANK($C52),"",IF(M52=Constants!$B$2, TRUE(), IF(M52=Constants!$B$3, FALSE(), TRUE())))</f>
        <v/>
      </c>
      <c r="X52" s="66" t="str">
        <f aca="false">IF(ISBLANK($C52),"",IF(N52=Constants!$B$2, TRUE(), IF(N52=Constants!$B$3, FALSE(), TRUE())))</f>
        <v/>
      </c>
      <c r="Y52" s="66" t="str">
        <f aca="false">IF(ISBLANK($C52),"",IF(O52=Constants!$B$2, TRUE(), IF(O52=Constants!$B$3, FALSE(), FALSE())))</f>
        <v/>
      </c>
      <c r="Z52" s="66" t="str">
        <f aca="false">IF(ISBLANK($C52),"",AND(S52&lt;&gt;"",Q52))</f>
        <v/>
      </c>
      <c r="AA52" s="66" t="str">
        <f aca="false">IF(ISBLANK($C52),"",AND(V52&lt;&gt;"",Q52))</f>
        <v/>
      </c>
      <c r="AB52" s="66" t="str">
        <f aca="false">IF(ISBLANK($C52),"",IF(Y52,Constants!$B$4,IF(COUNTA(E52:N52)=0,Constants!$B$5,IF(NOT(Q52),Constants!$B$6,IF(AND(NOT(Z52),NOT(AA52)),Constants!$B$6,Constants!$B$7)))))</f>
        <v/>
      </c>
      <c r="AC52" s="66" t="str">
        <f aca="false">IF(ISBLANK($C52),"",IF($AB52&lt;&gt;Constants!$B$7,$AB52,Constants!$B$20))</f>
        <v/>
      </c>
      <c r="AD52" s="66" t="str">
        <f aca="false">IF($AB52=Constants!$B$7,IF(Z52,S52,Constants!$B$13),"")</f>
        <v/>
      </c>
      <c r="AE52" s="66" t="str">
        <f aca="false">IF($AB52=Constants!$B$7,IF(Z52,R52*IF(T52, 1, Constants!$B$11)*IF(U52, 1, Constants!$B$12),Constants!$B$13),"")</f>
        <v/>
      </c>
      <c r="AF52" s="66" t="str">
        <f aca="false">IF($AB52=Constants!$B$7,AD52*AE52,"")</f>
        <v/>
      </c>
      <c r="AG52" s="66" t="str">
        <f aca="false">IF($AB52=Constants!$B$7,IF(AA52,V52,Constants!$B$13),"")</f>
        <v/>
      </c>
      <c r="AH52" s="66" t="str">
        <f aca="false">IF($AB52=Constants!$B$7,IF(AA52,R52*IF(W52, 1, Constants!$B$11)*IF(X52, 1, Constants!$B$12),Constants!$B$13),"")</f>
        <v/>
      </c>
      <c r="AI52" s="66" t="str">
        <f aca="false">IF($AB52=Constants!$B$7,AG52*AH52,"")</f>
        <v/>
      </c>
      <c r="AJ52" s="66" t="str">
        <f aca="false">IF($AB52=Constants!$B$7,IF(AI52&gt;AF52,2,1),"")</f>
        <v/>
      </c>
      <c r="AK52" s="66" t="str">
        <f aca="false">IF($AB52=Constants!$B$7,IF(AJ52=1,2,1),"")</f>
        <v/>
      </c>
      <c r="AL52" s="66" t="str">
        <f aca="false">IF(ISBLANK($C52),"",IF($AB52&lt;&gt;Constants!$B$7,$AB52,IF(AJ52=1,AF52,AI52)))</f>
        <v/>
      </c>
      <c r="AM52" s="66" t="str">
        <f aca="false">IF(ISBLANK($C52),"",IF($AB52=Constants!$B$7,IF(ISNUMBER(AL52),RANK(AL52,$AL$8:$AL$507),Constants!$B$14),$AB52))</f>
        <v/>
      </c>
      <c r="AN52" s="66" t="str">
        <f aca="false">IF(ISBLANK($C52),"",IF($AB52=Constants!$B$7,IF(AK52=1,AF52,AI52),""))</f>
        <v/>
      </c>
      <c r="AO52" s="66" t="str">
        <f aca="false">IF(ISBLANK($C52),"",IF($AB52=Constants!$B$7,RANK(AN52,$AN$8:$AN$507),$AB52))</f>
        <v/>
      </c>
      <c r="AP52" s="66" t="str">
        <f aca="false">IF(ISBLANK($C52),"",IF($AB52=Constants!$B$7,IF(ISNUMBER(AM52),COUNTIFS($AM$8:$AM$507,"&lt;"&amp;$AM52)+COUNTIFS($AM$8:$AM$507,$AM52,$AO$8:$AO$507,"&lt;"&amp;$AO52)+1,Constants!$B$14),$AB52))</f>
        <v/>
      </c>
      <c r="AQ52" s="66" t="str">
        <f aca="false">IF(ISBLANK($C52),"",IF($AB52=Constants!$B$7,IF(ISNUMBER(AM52),AM52-AP52,Constants!$B$14),$AB52))</f>
        <v/>
      </c>
      <c r="AR52" s="68"/>
      <c r="AS52" s="69" t="str">
        <f aca="false">IF(ISBLANK($C52),"",IF($AB52&lt;&gt;Constants!$B$7,"",AJ52))</f>
        <v/>
      </c>
      <c r="AT52" s="84" t="str">
        <f aca="false">IF(ISBLANK($C52),"",IF($AB52&lt;&gt;Constants!$B$7,"",IF(AJ52=1,AD52,AG52)))</f>
        <v/>
      </c>
      <c r="AU52" s="71" t="str">
        <f aca="false">IF(ISBLANK($C52),"",IF($AB52&lt;&gt;Constants!$B$7,"",IF(AJ52=1,AE52,AH52)))</f>
        <v/>
      </c>
      <c r="AV52" s="72" t="str">
        <f aca="false">IF(ISBLANK($C52),"",IF($AB52&lt;&gt;Constants!$B$7,$AB52,AL52))</f>
        <v/>
      </c>
      <c r="AW52" s="73" t="str">
        <f aca="false">IF(ISBLANK($C52),"",IF($AB52&lt;&gt;Constants!$B$7,$AB52,AC52))</f>
        <v/>
      </c>
      <c r="AX52" s="74" t="str">
        <f aca="false">IF(ISBLANK($C52),"",AQ52)</f>
        <v/>
      </c>
      <c r="AY52" s="74" t="str">
        <f aca="false">IF(ISBLANK($C52),"",AP52)</f>
        <v/>
      </c>
      <c r="AZ52" s="75" t="str">
        <f aca="false">IF(ISBLANK($C52),"",IF(AY52=Constants!$B$4,COUNTA($C$8:$C$507)+2,IF(AY52=Constants!$B$5,COUNTA($C$8:$C$507)+1,IF(AY52=Constants!$B$6,COUNTA($C$8:$C$507),AY52))))</f>
        <v/>
      </c>
      <c r="BA52" s="5"/>
      <c r="BB52" s="76" t="n">
        <f aca="false">IF(OR(ISNUMBER(AY52),AY52=Constants!$B$4,AY52=Constants!$B$6,AY52=Constants!$B$5),1,0)</f>
        <v>0</v>
      </c>
      <c r="BC52" s="76" t="n">
        <v>45</v>
      </c>
      <c r="BD52" s="76" t="str">
        <f aca="false">IF(ISBLANK($C52),"",IF(ISNUMBER(AZ52),AZ52+ROW($B52)/1000,""))</f>
        <v/>
      </c>
      <c r="BE52" s="76" t="str">
        <f aca="false">IF(ISNUMBER(BD52),RANK(BD52,$BD$8:$BD$507,1),"")</f>
        <v/>
      </c>
      <c r="BF52" s="76" t="str">
        <f aca="false">IF(ISBLANK($C52),"",$B52)</f>
        <v/>
      </c>
      <c r="BG52" s="76" t="str">
        <f aca="false">IF(ISBLANK($C52),"",$C52)</f>
        <v/>
      </c>
      <c r="BH52" s="76" t="str">
        <f aca="false">IF(ISBLANK($C52),"",$D52)</f>
        <v/>
      </c>
      <c r="BI52" s="77" t="str">
        <f aca="false">AW52</f>
        <v/>
      </c>
      <c r="BJ52" s="78" t="str">
        <f aca="false">AV52</f>
        <v/>
      </c>
      <c r="BK52" s="76" t="str">
        <f aca="false">IF(ISBLANK($C52),"",AY52)</f>
        <v/>
      </c>
      <c r="BL52" s="79" t="str">
        <f aca="false">IF($BC52&gt;$BB$7,"",VLOOKUP($BC52,$BE$8:$BK$507,7,FALSE()))</f>
        <v/>
      </c>
      <c r="BM52" s="80" t="str">
        <f aca="false">IF($BC52&gt;$BB$7,"",VLOOKUP($BC52,$BE$8:$BK$507,2,FALSE()))</f>
        <v/>
      </c>
      <c r="BN52" s="80" t="str">
        <f aca="false">IF($BC52&gt;$BB$7,"",VLOOKUP($BC52,$BE$8:$BK$507,3,FALSE()))</f>
        <v/>
      </c>
      <c r="BO52" s="80" t="str">
        <f aca="false">IF($BC52&gt;$BB$7,"",VLOOKUP($BC52,$BE$8:$BK$507,4,FALSE()))</f>
        <v/>
      </c>
      <c r="BP52" s="80" t="str">
        <f aca="false">IF($BC52&gt;$BB$7,"",VLOOKUP($BC52,$BE$8:$BK$507,5,FALSE()))</f>
        <v/>
      </c>
      <c r="BQ52" s="81" t="str">
        <f aca="false">IF($BC52&gt;$BB$7,"",VLOOKUP($BC52,$BE$8:$BK$507,6,FALSE()))</f>
        <v/>
      </c>
      <c r="BR52" s="54"/>
    </row>
    <row r="53" customFormat="false" ht="13.8" hidden="false" customHeight="false" outlineLevel="0" collapsed="false">
      <c r="A53" s="5"/>
      <c r="B53" s="120"/>
      <c r="C53" s="121"/>
      <c r="D53" s="112"/>
      <c r="E53" s="123"/>
      <c r="F53" s="91"/>
      <c r="G53" s="92"/>
      <c r="H53" s="93"/>
      <c r="I53" s="94"/>
      <c r="J53" s="91"/>
      <c r="K53" s="92"/>
      <c r="L53" s="93"/>
      <c r="M53" s="94"/>
      <c r="N53" s="91"/>
      <c r="O53" s="123"/>
      <c r="P53" s="96"/>
      <c r="Q53" s="97" t="str">
        <f aca="false">IF(ISBLANK($C53),"",IF(E53=Constants!$B$2, TRUE(), IF(E53=Constants!$B$3, FALSE(), TRUE())))</f>
        <v/>
      </c>
      <c r="R53" s="97" t="str">
        <f aca="false">IF(ISBLANK($C53),"",IF(F53=Constants!$B$16,Constants!$B$9,IF(F53=Constants!$B$17,Constants!$B$10,Constants!$B$8)))</f>
        <v/>
      </c>
      <c r="S53" s="97" t="str">
        <f aca="false">IF(ISBLANK($C53),"",IF(COUNTA(G53:H53)=0,"",IF(AND(OR(ISBLANK(G53),AND(ISNUMBER(G53),G53&gt;=0)),OR(ISBLANK(H53),AND(ISNUMBER(H53),H53&gt;=0))),60*IF(ISBLANK(G53),0,G53)+IF(ISBLANK(H53),0,H53),"")))</f>
        <v/>
      </c>
      <c r="T53" s="97" t="str">
        <f aca="false">IF(ISBLANK($C53),"",IF(I53=Constants!$B$2, TRUE(), IF(I53=Constants!$B$3, FALSE(), TRUE())))</f>
        <v/>
      </c>
      <c r="U53" s="97" t="str">
        <f aca="false">IF(ISBLANK($C53),"",IF(J53=Constants!$B$2, TRUE(), IF(J53=Constants!$B$3, FALSE(), TRUE())))</f>
        <v/>
      </c>
      <c r="V53" s="97" t="str">
        <f aca="false">IF(ISBLANK($C53),"",IF(COUNTA(K53:L53)=0,"",IF(AND(OR(ISBLANK(K53),AND(ISNUMBER(K53),K53&gt;=0)),OR(ISBLANK(L53),AND(ISNUMBER(L53),L53&gt;=0))),60*IF(ISBLANK(K53),0,K53)+IF(ISBLANK(L53),0,L53),"")))</f>
        <v/>
      </c>
      <c r="W53" s="97" t="str">
        <f aca="false">IF(ISBLANK($C53),"",IF(M53=Constants!$B$2, TRUE(), IF(M53=Constants!$B$3, FALSE(), TRUE())))</f>
        <v/>
      </c>
      <c r="X53" s="97" t="str">
        <f aca="false">IF(ISBLANK($C53),"",IF(N53=Constants!$B$2, TRUE(), IF(N53=Constants!$B$3, FALSE(), TRUE())))</f>
        <v/>
      </c>
      <c r="Y53" s="97" t="str">
        <f aca="false">IF(ISBLANK($C53),"",IF(O53=Constants!$B$2, TRUE(), IF(O53=Constants!$B$3, FALSE(), FALSE())))</f>
        <v/>
      </c>
      <c r="Z53" s="97" t="str">
        <f aca="false">IF(ISBLANK($C53),"",AND(S53&lt;&gt;"",Q53))</f>
        <v/>
      </c>
      <c r="AA53" s="97" t="str">
        <f aca="false">IF(ISBLANK($C53),"",AND(V53&lt;&gt;"",Q53))</f>
        <v/>
      </c>
      <c r="AB53" s="97" t="str">
        <f aca="false">IF(ISBLANK($C53),"",IF(Y53,Constants!$B$4,IF(COUNTA(E53:N53)=0,Constants!$B$5,IF(NOT(Q53),Constants!$B$6,IF(AND(NOT(Z53),NOT(AA53)),Constants!$B$6,Constants!$B$7)))))</f>
        <v/>
      </c>
      <c r="AC53" s="97" t="str">
        <f aca="false">IF(ISBLANK($C53),"",IF($AB53&lt;&gt;Constants!$B$7,$AB53,Constants!$B$20))</f>
        <v/>
      </c>
      <c r="AD53" s="97" t="str">
        <f aca="false">IF($AB53=Constants!$B$7,IF(Z53,S53,Constants!$B$13),"")</f>
        <v/>
      </c>
      <c r="AE53" s="97" t="str">
        <f aca="false">IF($AB53=Constants!$B$7,IF(Z53,R53*IF(T53, 1, Constants!$B$11)*IF(U53, 1, Constants!$B$12),Constants!$B$13),"")</f>
        <v/>
      </c>
      <c r="AF53" s="97" t="str">
        <f aca="false">IF($AB53=Constants!$B$7,AD53*AE53,"")</f>
        <v/>
      </c>
      <c r="AG53" s="97" t="str">
        <f aca="false">IF($AB53=Constants!$B$7,IF(AA53,V53,Constants!$B$13),"")</f>
        <v/>
      </c>
      <c r="AH53" s="97" t="str">
        <f aca="false">IF($AB53=Constants!$B$7,IF(AA53,R53*IF(W53, 1, Constants!$B$11)*IF(X53, 1, Constants!$B$12),Constants!$B$13),"")</f>
        <v/>
      </c>
      <c r="AI53" s="97" t="str">
        <f aca="false">IF($AB53=Constants!$B$7,AG53*AH53,"")</f>
        <v/>
      </c>
      <c r="AJ53" s="97" t="str">
        <f aca="false">IF($AB53=Constants!$B$7,IF(AI53&gt;AF53,2,1),"")</f>
        <v/>
      </c>
      <c r="AK53" s="97" t="str">
        <f aca="false">IF($AB53=Constants!$B$7,IF(AJ53=1,2,1),"")</f>
        <v/>
      </c>
      <c r="AL53" s="97" t="str">
        <f aca="false">IF(ISBLANK($C53),"",IF($AB53&lt;&gt;Constants!$B$7,$AB53,IF(AJ53=1,AF53,AI53)))</f>
        <v/>
      </c>
      <c r="AM53" s="97" t="str">
        <f aca="false">IF(ISBLANK($C53),"",IF($AB53=Constants!$B$7,IF(ISNUMBER(AL53),RANK(AL53,$AL$8:$AL$507),Constants!$B$14),$AB53))</f>
        <v/>
      </c>
      <c r="AN53" s="97" t="str">
        <f aca="false">IF(ISBLANK($C53),"",IF($AB53=Constants!$B$7,IF(AK53=1,AF53,AI53),""))</f>
        <v/>
      </c>
      <c r="AO53" s="97" t="str">
        <f aca="false">IF(ISBLANK($C53),"",IF($AB53=Constants!$B$7,RANK(AN53,$AN$8:$AN$507),$AB53))</f>
        <v/>
      </c>
      <c r="AP53" s="97" t="str">
        <f aca="false">IF(ISBLANK($C53),"",IF($AB53=Constants!$B$7,IF(ISNUMBER(AM53),COUNTIFS($AM$8:$AM$507,"&lt;"&amp;$AM53)+COUNTIFS($AM$8:$AM$507,$AM53,$AO$8:$AO$507,"&lt;"&amp;$AO53)+1,Constants!$B$14),$AB53))</f>
        <v/>
      </c>
      <c r="AQ53" s="97" t="str">
        <f aca="false">IF(ISBLANK($C53),"",IF($AB53=Constants!$B$7,IF(ISNUMBER(AM53),AM53-AP53,Constants!$B$14),$AB53))</f>
        <v/>
      </c>
      <c r="AR53" s="98"/>
      <c r="AS53" s="99" t="str">
        <f aca="false">IF(ISBLANK($C53),"",IF($AB53&lt;&gt;Constants!$B$7,"",AJ53))</f>
        <v/>
      </c>
      <c r="AT53" s="100" t="str">
        <f aca="false">IF(ISBLANK($C53),"",IF($AB53&lt;&gt;Constants!$B$7,"",IF(AJ53=1,AD53,AG53)))</f>
        <v/>
      </c>
      <c r="AU53" s="101" t="str">
        <f aca="false">IF(ISBLANK($C53),"",IF($AB53&lt;&gt;Constants!$B$7,"",IF(AJ53=1,AE53,AH53)))</f>
        <v/>
      </c>
      <c r="AV53" s="102" t="str">
        <f aca="false">IF(ISBLANK($C53),"",IF($AB53&lt;&gt;Constants!$B$7,$AB53,AL53))</f>
        <v/>
      </c>
      <c r="AW53" s="103" t="str">
        <f aca="false">IF(ISBLANK($C53),"",IF($AB53&lt;&gt;Constants!$B$7,$AB53,AC53))</f>
        <v/>
      </c>
      <c r="AX53" s="104" t="str">
        <f aca="false">IF(ISBLANK($C53),"",AQ53)</f>
        <v/>
      </c>
      <c r="AY53" s="104" t="str">
        <f aca="false">IF(ISBLANK($C53),"",AP53)</f>
        <v/>
      </c>
      <c r="AZ53" s="105" t="str">
        <f aca="false">IF(ISBLANK($C53),"",IF(AY53=Constants!$B$4,COUNTA($C$8:$C$507)+2,IF(AY53=Constants!$B$5,COUNTA($C$8:$C$507)+1,IF(AY53=Constants!$B$6,COUNTA($C$8:$C$507),AY53))))</f>
        <v/>
      </c>
      <c r="BA53" s="5"/>
      <c r="BB53" s="106" t="n">
        <f aca="false">IF(OR(ISNUMBER(AY53),AY53=Constants!$B$4,AY53=Constants!$B$6,AY53=Constants!$B$5),1,0)</f>
        <v>0</v>
      </c>
      <c r="BC53" s="106" t="n">
        <v>46</v>
      </c>
      <c r="BD53" s="106" t="str">
        <f aca="false">IF(ISBLANK($C53),"",IF(ISNUMBER(AZ53),AZ53+ROW($B53)/1000,""))</f>
        <v/>
      </c>
      <c r="BE53" s="106" t="str">
        <f aca="false">IF(ISNUMBER(BD53),RANK(BD53,$BD$8:$BD$507,1),"")</f>
        <v/>
      </c>
      <c r="BF53" s="106" t="str">
        <f aca="false">IF(ISBLANK($C53),"",$B53)</f>
        <v/>
      </c>
      <c r="BG53" s="106" t="str">
        <f aca="false">IF(ISBLANK($C53),"",$C53)</f>
        <v/>
      </c>
      <c r="BH53" s="106" t="str">
        <f aca="false">IF(ISBLANK($C53),"",$D53)</f>
        <v/>
      </c>
      <c r="BI53" s="107" t="str">
        <f aca="false">AW53</f>
        <v/>
      </c>
      <c r="BJ53" s="108" t="str">
        <f aca="false">AV53</f>
        <v/>
      </c>
      <c r="BK53" s="106" t="str">
        <f aca="false">IF(ISBLANK($C53),"",AY53)</f>
        <v/>
      </c>
      <c r="BL53" s="109" t="str">
        <f aca="false">IF($BC53&gt;$BB$7,"",VLOOKUP($BC53,$BE$8:$BK$507,7,FALSE()))</f>
        <v/>
      </c>
      <c r="BM53" s="110" t="str">
        <f aca="false">IF($BC53&gt;$BB$7,"",VLOOKUP($BC53,$BE$8:$BK$507,2,FALSE()))</f>
        <v/>
      </c>
      <c r="BN53" s="110" t="str">
        <f aca="false">IF($BC53&gt;$BB$7,"",VLOOKUP($BC53,$BE$8:$BK$507,3,FALSE()))</f>
        <v/>
      </c>
      <c r="BO53" s="110" t="str">
        <f aca="false">IF($BC53&gt;$BB$7,"",VLOOKUP($BC53,$BE$8:$BK$507,4,FALSE()))</f>
        <v/>
      </c>
      <c r="BP53" s="110" t="str">
        <f aca="false">IF($BC53&gt;$BB$7,"",VLOOKUP($BC53,$BE$8:$BK$507,5,FALSE()))</f>
        <v/>
      </c>
      <c r="BQ53" s="111" t="str">
        <f aca="false">IF($BC53&gt;$BB$7,"",VLOOKUP($BC53,$BE$8:$BK$507,6,FALSE()))</f>
        <v/>
      </c>
      <c r="BR53" s="54"/>
    </row>
    <row r="54" customFormat="false" ht="13.8" hidden="false" customHeight="false" outlineLevel="0" collapsed="false">
      <c r="A54" s="5"/>
      <c r="B54" s="120"/>
      <c r="C54" s="121"/>
      <c r="D54" s="112"/>
      <c r="E54" s="123"/>
      <c r="F54" s="91"/>
      <c r="G54" s="92"/>
      <c r="H54" s="93"/>
      <c r="I54" s="94"/>
      <c r="J54" s="91"/>
      <c r="K54" s="92"/>
      <c r="L54" s="93"/>
      <c r="M54" s="94"/>
      <c r="N54" s="91"/>
      <c r="O54" s="123"/>
      <c r="P54" s="96"/>
      <c r="Q54" s="97" t="str">
        <f aca="false">IF(ISBLANK($C54),"",IF(E54=Constants!$B$2, TRUE(), IF(E54=Constants!$B$3, FALSE(), TRUE())))</f>
        <v/>
      </c>
      <c r="R54" s="97" t="str">
        <f aca="false">IF(ISBLANK($C54),"",IF(F54=Constants!$B$16,Constants!$B$9,IF(F54=Constants!$B$17,Constants!$B$10,Constants!$B$8)))</f>
        <v/>
      </c>
      <c r="S54" s="97" t="str">
        <f aca="false">IF(ISBLANK($C54),"",IF(COUNTA(G54:H54)=0,"",IF(AND(OR(ISBLANK(G54),AND(ISNUMBER(G54),G54&gt;=0)),OR(ISBLANK(H54),AND(ISNUMBER(H54),H54&gt;=0))),60*IF(ISBLANK(G54),0,G54)+IF(ISBLANK(H54),0,H54),"")))</f>
        <v/>
      </c>
      <c r="T54" s="97" t="str">
        <f aca="false">IF(ISBLANK($C54),"",IF(I54=Constants!$B$2, TRUE(), IF(I54=Constants!$B$3, FALSE(), TRUE())))</f>
        <v/>
      </c>
      <c r="U54" s="97" t="str">
        <f aca="false">IF(ISBLANK($C54),"",IF(J54=Constants!$B$2, TRUE(), IF(J54=Constants!$B$3, FALSE(), TRUE())))</f>
        <v/>
      </c>
      <c r="V54" s="97" t="str">
        <f aca="false">IF(ISBLANK($C54),"",IF(COUNTA(K54:L54)=0,"",IF(AND(OR(ISBLANK(K54),AND(ISNUMBER(K54),K54&gt;=0)),OR(ISBLANK(L54),AND(ISNUMBER(L54),L54&gt;=0))),60*IF(ISBLANK(K54),0,K54)+IF(ISBLANK(L54),0,L54),"")))</f>
        <v/>
      </c>
      <c r="W54" s="97" t="str">
        <f aca="false">IF(ISBLANK($C54),"",IF(M54=Constants!$B$2, TRUE(), IF(M54=Constants!$B$3, FALSE(), TRUE())))</f>
        <v/>
      </c>
      <c r="X54" s="97" t="str">
        <f aca="false">IF(ISBLANK($C54),"",IF(N54=Constants!$B$2, TRUE(), IF(N54=Constants!$B$3, FALSE(), TRUE())))</f>
        <v/>
      </c>
      <c r="Y54" s="97" t="str">
        <f aca="false">IF(ISBLANK($C54),"",IF(O54=Constants!$B$2, TRUE(), IF(O54=Constants!$B$3, FALSE(), FALSE())))</f>
        <v/>
      </c>
      <c r="Z54" s="97" t="str">
        <f aca="false">IF(ISBLANK($C54),"",AND(S54&lt;&gt;"",Q54))</f>
        <v/>
      </c>
      <c r="AA54" s="97" t="str">
        <f aca="false">IF(ISBLANK($C54),"",AND(V54&lt;&gt;"",Q54))</f>
        <v/>
      </c>
      <c r="AB54" s="97" t="str">
        <f aca="false">IF(ISBLANK($C54),"",IF(Y54,Constants!$B$4,IF(COUNTA(E54:N54)=0,Constants!$B$5,IF(NOT(Q54),Constants!$B$6,IF(AND(NOT(Z54),NOT(AA54)),Constants!$B$6,Constants!$B$7)))))</f>
        <v/>
      </c>
      <c r="AC54" s="97" t="str">
        <f aca="false">IF(ISBLANK($C54),"",IF($AB54&lt;&gt;Constants!$B$7,$AB54,Constants!$B$20))</f>
        <v/>
      </c>
      <c r="AD54" s="97" t="str">
        <f aca="false">IF($AB54=Constants!$B$7,IF(Z54,S54,Constants!$B$13),"")</f>
        <v/>
      </c>
      <c r="AE54" s="97" t="str">
        <f aca="false">IF($AB54=Constants!$B$7,IF(Z54,R54*IF(T54, 1, Constants!$B$11)*IF(U54, 1, Constants!$B$12),Constants!$B$13),"")</f>
        <v/>
      </c>
      <c r="AF54" s="97" t="str">
        <f aca="false">IF($AB54=Constants!$B$7,AD54*AE54,"")</f>
        <v/>
      </c>
      <c r="AG54" s="97" t="str">
        <f aca="false">IF($AB54=Constants!$B$7,IF(AA54,V54,Constants!$B$13),"")</f>
        <v/>
      </c>
      <c r="AH54" s="97" t="str">
        <f aca="false">IF($AB54=Constants!$B$7,IF(AA54,R54*IF(W54, 1, Constants!$B$11)*IF(X54, 1, Constants!$B$12),Constants!$B$13),"")</f>
        <v/>
      </c>
      <c r="AI54" s="97" t="str">
        <f aca="false">IF($AB54=Constants!$B$7,AG54*AH54,"")</f>
        <v/>
      </c>
      <c r="AJ54" s="97" t="str">
        <f aca="false">IF($AB54=Constants!$B$7,IF(AI54&gt;AF54,2,1),"")</f>
        <v/>
      </c>
      <c r="AK54" s="97" t="str">
        <f aca="false">IF($AB54=Constants!$B$7,IF(AJ54=1,2,1),"")</f>
        <v/>
      </c>
      <c r="AL54" s="97" t="str">
        <f aca="false">IF(ISBLANK($C54),"",IF($AB54&lt;&gt;Constants!$B$7,$AB54,IF(AJ54=1,AF54,AI54)))</f>
        <v/>
      </c>
      <c r="AM54" s="97" t="str">
        <f aca="false">IF(ISBLANK($C54),"",IF($AB54=Constants!$B$7,IF(ISNUMBER(AL54),RANK(AL54,$AL$8:$AL$507),Constants!$B$14),$AB54))</f>
        <v/>
      </c>
      <c r="AN54" s="97" t="str">
        <f aca="false">IF(ISBLANK($C54),"",IF($AB54=Constants!$B$7,IF(AK54=1,AF54,AI54),""))</f>
        <v/>
      </c>
      <c r="AO54" s="97" t="str">
        <f aca="false">IF(ISBLANK($C54),"",IF($AB54=Constants!$B$7,RANK(AN54,$AN$8:$AN$507),$AB54))</f>
        <v/>
      </c>
      <c r="AP54" s="97" t="str">
        <f aca="false">IF(ISBLANK($C54),"",IF($AB54=Constants!$B$7,IF(ISNUMBER(AM54),COUNTIFS($AM$8:$AM$507,"&lt;"&amp;$AM54)+COUNTIFS($AM$8:$AM$507,$AM54,$AO$8:$AO$507,"&lt;"&amp;$AO54)+1,Constants!$B$14),$AB54))</f>
        <v/>
      </c>
      <c r="AQ54" s="97" t="str">
        <f aca="false">IF(ISBLANK($C54),"",IF($AB54=Constants!$B$7,IF(ISNUMBER(AM54),AM54-AP54,Constants!$B$14),$AB54))</f>
        <v/>
      </c>
      <c r="AR54" s="98"/>
      <c r="AS54" s="99" t="str">
        <f aca="false">IF(ISBLANK($C54),"",IF($AB54&lt;&gt;Constants!$B$7,"",AJ54))</f>
        <v/>
      </c>
      <c r="AT54" s="100" t="str">
        <f aca="false">IF(ISBLANK($C54),"",IF($AB54&lt;&gt;Constants!$B$7,"",IF(AJ54=1,AD54,AG54)))</f>
        <v/>
      </c>
      <c r="AU54" s="101" t="str">
        <f aca="false">IF(ISBLANK($C54),"",IF($AB54&lt;&gt;Constants!$B$7,"",IF(AJ54=1,AE54,AH54)))</f>
        <v/>
      </c>
      <c r="AV54" s="102" t="str">
        <f aca="false">IF(ISBLANK($C54),"",IF($AB54&lt;&gt;Constants!$B$7,$AB54,AL54))</f>
        <v/>
      </c>
      <c r="AW54" s="103" t="str">
        <f aca="false">IF(ISBLANK($C54),"",IF($AB54&lt;&gt;Constants!$B$7,$AB54,AC54))</f>
        <v/>
      </c>
      <c r="AX54" s="104" t="str">
        <f aca="false">IF(ISBLANK($C54),"",AQ54)</f>
        <v/>
      </c>
      <c r="AY54" s="104" t="str">
        <f aca="false">IF(ISBLANK($C54),"",AP54)</f>
        <v/>
      </c>
      <c r="AZ54" s="105" t="str">
        <f aca="false">IF(ISBLANK($C54),"",IF(AY54=Constants!$B$4,COUNTA($C$8:$C$507)+2,IF(AY54=Constants!$B$5,COUNTA($C$8:$C$507)+1,IF(AY54=Constants!$B$6,COUNTA($C$8:$C$507),AY54))))</f>
        <v/>
      </c>
      <c r="BA54" s="5"/>
      <c r="BB54" s="106" t="n">
        <f aca="false">IF(OR(ISNUMBER(AY54),AY54=Constants!$B$4,AY54=Constants!$B$6,AY54=Constants!$B$5),1,0)</f>
        <v>0</v>
      </c>
      <c r="BC54" s="106" t="n">
        <v>47</v>
      </c>
      <c r="BD54" s="106" t="str">
        <f aca="false">IF(ISBLANK($C54),"",IF(ISNUMBER(AZ54),AZ54+ROW($B54)/1000,""))</f>
        <v/>
      </c>
      <c r="BE54" s="106" t="str">
        <f aca="false">IF(ISNUMBER(BD54),RANK(BD54,$BD$8:$BD$507,1),"")</f>
        <v/>
      </c>
      <c r="BF54" s="106" t="str">
        <f aca="false">IF(ISBLANK($C54),"",$B54)</f>
        <v/>
      </c>
      <c r="BG54" s="106" t="str">
        <f aca="false">IF(ISBLANK($C54),"",$C54)</f>
        <v/>
      </c>
      <c r="BH54" s="106" t="str">
        <f aca="false">IF(ISBLANK($C54),"",$D54)</f>
        <v/>
      </c>
      <c r="BI54" s="107" t="str">
        <f aca="false">AW54</f>
        <v/>
      </c>
      <c r="BJ54" s="108" t="str">
        <f aca="false">AV54</f>
        <v/>
      </c>
      <c r="BK54" s="106" t="str">
        <f aca="false">IF(ISBLANK($C54),"",AY54)</f>
        <v/>
      </c>
      <c r="BL54" s="109" t="str">
        <f aca="false">IF($BC54&gt;$BB$7,"",VLOOKUP($BC54,$BE$8:$BK$507,7,FALSE()))</f>
        <v/>
      </c>
      <c r="BM54" s="110" t="str">
        <f aca="false">IF($BC54&gt;$BB$7,"",VLOOKUP($BC54,$BE$8:$BK$507,2,FALSE()))</f>
        <v/>
      </c>
      <c r="BN54" s="110" t="str">
        <f aca="false">IF($BC54&gt;$BB$7,"",VLOOKUP($BC54,$BE$8:$BK$507,3,FALSE()))</f>
        <v/>
      </c>
      <c r="BO54" s="110" t="str">
        <f aca="false">IF($BC54&gt;$BB$7,"",VLOOKUP($BC54,$BE$8:$BK$507,4,FALSE()))</f>
        <v/>
      </c>
      <c r="BP54" s="110" t="str">
        <f aca="false">IF($BC54&gt;$BB$7,"",VLOOKUP($BC54,$BE$8:$BK$507,5,FALSE()))</f>
        <v/>
      </c>
      <c r="BQ54" s="111" t="str">
        <f aca="false">IF($BC54&gt;$BB$7,"",VLOOKUP($BC54,$BE$8:$BK$507,6,FALSE()))</f>
        <v/>
      </c>
      <c r="BR54" s="54"/>
    </row>
    <row r="55" customFormat="false" ht="13.8" hidden="false" customHeight="false" outlineLevel="0" collapsed="false">
      <c r="A55" s="5"/>
      <c r="B55" s="120"/>
      <c r="C55" s="121"/>
      <c r="D55" s="112"/>
      <c r="E55" s="123"/>
      <c r="F55" s="91"/>
      <c r="G55" s="92"/>
      <c r="H55" s="93"/>
      <c r="I55" s="94"/>
      <c r="J55" s="91"/>
      <c r="K55" s="92"/>
      <c r="L55" s="93"/>
      <c r="M55" s="94"/>
      <c r="N55" s="91"/>
      <c r="O55" s="123"/>
      <c r="P55" s="96"/>
      <c r="Q55" s="97" t="str">
        <f aca="false">IF(ISBLANK($C55),"",IF(E55=Constants!$B$2, TRUE(), IF(E55=Constants!$B$3, FALSE(), TRUE())))</f>
        <v/>
      </c>
      <c r="R55" s="97" t="str">
        <f aca="false">IF(ISBLANK($C55),"",IF(F55=Constants!$B$16,Constants!$B$9,IF(F55=Constants!$B$17,Constants!$B$10,Constants!$B$8)))</f>
        <v/>
      </c>
      <c r="S55" s="97" t="str">
        <f aca="false">IF(ISBLANK($C55),"",IF(COUNTA(G55:H55)=0,"",IF(AND(OR(ISBLANK(G55),AND(ISNUMBER(G55),G55&gt;=0)),OR(ISBLANK(H55),AND(ISNUMBER(H55),H55&gt;=0))),60*IF(ISBLANK(G55),0,G55)+IF(ISBLANK(H55),0,H55),"")))</f>
        <v/>
      </c>
      <c r="T55" s="97" t="str">
        <f aca="false">IF(ISBLANK($C55),"",IF(I55=Constants!$B$2, TRUE(), IF(I55=Constants!$B$3, FALSE(), TRUE())))</f>
        <v/>
      </c>
      <c r="U55" s="97" t="str">
        <f aca="false">IF(ISBLANK($C55),"",IF(J55=Constants!$B$2, TRUE(), IF(J55=Constants!$B$3, FALSE(), TRUE())))</f>
        <v/>
      </c>
      <c r="V55" s="97" t="str">
        <f aca="false">IF(ISBLANK($C55),"",IF(COUNTA(K55:L55)=0,"",IF(AND(OR(ISBLANK(K55),AND(ISNUMBER(K55),K55&gt;=0)),OR(ISBLANK(L55),AND(ISNUMBER(L55),L55&gt;=0))),60*IF(ISBLANK(K55),0,K55)+IF(ISBLANK(L55),0,L55),"")))</f>
        <v/>
      </c>
      <c r="W55" s="97" t="str">
        <f aca="false">IF(ISBLANK($C55),"",IF(M55=Constants!$B$2, TRUE(), IF(M55=Constants!$B$3, FALSE(), TRUE())))</f>
        <v/>
      </c>
      <c r="X55" s="97" t="str">
        <f aca="false">IF(ISBLANK($C55),"",IF(N55=Constants!$B$2, TRUE(), IF(N55=Constants!$B$3, FALSE(), TRUE())))</f>
        <v/>
      </c>
      <c r="Y55" s="97" t="str">
        <f aca="false">IF(ISBLANK($C55),"",IF(O55=Constants!$B$2, TRUE(), IF(O55=Constants!$B$3, FALSE(), FALSE())))</f>
        <v/>
      </c>
      <c r="Z55" s="97" t="str">
        <f aca="false">IF(ISBLANK($C55),"",AND(S55&lt;&gt;"",Q55))</f>
        <v/>
      </c>
      <c r="AA55" s="97" t="str">
        <f aca="false">IF(ISBLANK($C55),"",AND(V55&lt;&gt;"",Q55))</f>
        <v/>
      </c>
      <c r="AB55" s="97" t="str">
        <f aca="false">IF(ISBLANK($C55),"",IF(Y55,Constants!$B$4,IF(COUNTA(E55:N55)=0,Constants!$B$5,IF(NOT(Q55),Constants!$B$6,IF(AND(NOT(Z55),NOT(AA55)),Constants!$B$6,Constants!$B$7)))))</f>
        <v/>
      </c>
      <c r="AC55" s="97" t="str">
        <f aca="false">IF(ISBLANK($C55),"",IF($AB55&lt;&gt;Constants!$B$7,$AB55,Constants!$B$20))</f>
        <v/>
      </c>
      <c r="AD55" s="97" t="str">
        <f aca="false">IF($AB55=Constants!$B$7,IF(Z55,S55,Constants!$B$13),"")</f>
        <v/>
      </c>
      <c r="AE55" s="97" t="str">
        <f aca="false">IF($AB55=Constants!$B$7,IF(Z55,R55*IF(T55, 1, Constants!$B$11)*IF(U55, 1, Constants!$B$12),Constants!$B$13),"")</f>
        <v/>
      </c>
      <c r="AF55" s="97" t="str">
        <f aca="false">IF($AB55=Constants!$B$7,AD55*AE55,"")</f>
        <v/>
      </c>
      <c r="AG55" s="97" t="str">
        <f aca="false">IF($AB55=Constants!$B$7,IF(AA55,V55,Constants!$B$13),"")</f>
        <v/>
      </c>
      <c r="AH55" s="97" t="str">
        <f aca="false">IF($AB55=Constants!$B$7,IF(AA55,R55*IF(W55, 1, Constants!$B$11)*IF(X55, 1, Constants!$B$12),Constants!$B$13),"")</f>
        <v/>
      </c>
      <c r="AI55" s="97" t="str">
        <f aca="false">IF($AB55=Constants!$B$7,AG55*AH55,"")</f>
        <v/>
      </c>
      <c r="AJ55" s="97" t="str">
        <f aca="false">IF($AB55=Constants!$B$7,IF(AI55&gt;AF55,2,1),"")</f>
        <v/>
      </c>
      <c r="AK55" s="97" t="str">
        <f aca="false">IF($AB55=Constants!$B$7,IF(AJ55=1,2,1),"")</f>
        <v/>
      </c>
      <c r="AL55" s="97" t="str">
        <f aca="false">IF(ISBLANK($C55),"",IF($AB55&lt;&gt;Constants!$B$7,$AB55,IF(AJ55=1,AF55,AI55)))</f>
        <v/>
      </c>
      <c r="AM55" s="97" t="str">
        <f aca="false">IF(ISBLANK($C55),"",IF($AB55=Constants!$B$7,IF(ISNUMBER(AL55),RANK(AL55,$AL$8:$AL$507),Constants!$B$14),$AB55))</f>
        <v/>
      </c>
      <c r="AN55" s="97" t="str">
        <f aca="false">IF(ISBLANK($C55),"",IF($AB55=Constants!$B$7,IF(AK55=1,AF55,AI55),""))</f>
        <v/>
      </c>
      <c r="AO55" s="97" t="str">
        <f aca="false">IF(ISBLANK($C55),"",IF($AB55=Constants!$B$7,RANK(AN55,$AN$8:$AN$507),$AB55))</f>
        <v/>
      </c>
      <c r="AP55" s="97" t="str">
        <f aca="false">IF(ISBLANK($C55),"",IF($AB55=Constants!$B$7,IF(ISNUMBER(AM55),COUNTIFS($AM$8:$AM$507,"&lt;"&amp;$AM55)+COUNTIFS($AM$8:$AM$507,$AM55,$AO$8:$AO$507,"&lt;"&amp;$AO55)+1,Constants!$B$14),$AB55))</f>
        <v/>
      </c>
      <c r="AQ55" s="97" t="str">
        <f aca="false">IF(ISBLANK($C55),"",IF($AB55=Constants!$B$7,IF(ISNUMBER(AM55),AM55-AP55,Constants!$B$14),$AB55))</f>
        <v/>
      </c>
      <c r="AR55" s="98"/>
      <c r="AS55" s="99" t="str">
        <f aca="false">IF(ISBLANK($C55),"",IF($AB55&lt;&gt;Constants!$B$7,"",AJ55))</f>
        <v/>
      </c>
      <c r="AT55" s="100" t="str">
        <f aca="false">IF(ISBLANK($C55),"",IF($AB55&lt;&gt;Constants!$B$7,"",IF(AJ55=1,AD55,AG55)))</f>
        <v/>
      </c>
      <c r="AU55" s="101" t="str">
        <f aca="false">IF(ISBLANK($C55),"",IF($AB55&lt;&gt;Constants!$B$7,"",IF(AJ55=1,AE55,AH55)))</f>
        <v/>
      </c>
      <c r="AV55" s="102" t="str">
        <f aca="false">IF(ISBLANK($C55),"",IF($AB55&lt;&gt;Constants!$B$7,$AB55,AL55))</f>
        <v/>
      </c>
      <c r="AW55" s="103" t="str">
        <f aca="false">IF(ISBLANK($C55),"",IF($AB55&lt;&gt;Constants!$B$7,$AB55,AC55))</f>
        <v/>
      </c>
      <c r="AX55" s="104" t="str">
        <f aca="false">IF(ISBLANK($C55),"",AQ55)</f>
        <v/>
      </c>
      <c r="AY55" s="104" t="str">
        <f aca="false">IF(ISBLANK($C55),"",AP55)</f>
        <v/>
      </c>
      <c r="AZ55" s="105" t="str">
        <f aca="false">IF(ISBLANK($C55),"",IF(AY55=Constants!$B$4,COUNTA($C$8:$C$507)+2,IF(AY55=Constants!$B$5,COUNTA($C$8:$C$507)+1,IF(AY55=Constants!$B$6,COUNTA($C$8:$C$507),AY55))))</f>
        <v/>
      </c>
      <c r="BA55" s="5"/>
      <c r="BB55" s="106" t="n">
        <f aca="false">IF(OR(ISNUMBER(AY55),AY55=Constants!$B$4,AY55=Constants!$B$6,AY55=Constants!$B$5),1,0)</f>
        <v>0</v>
      </c>
      <c r="BC55" s="106" t="n">
        <v>48</v>
      </c>
      <c r="BD55" s="106" t="str">
        <f aca="false">IF(ISBLANK($C55),"",IF(ISNUMBER(AZ55),AZ55+ROW($B55)/1000,""))</f>
        <v/>
      </c>
      <c r="BE55" s="106" t="str">
        <f aca="false">IF(ISNUMBER(BD55),RANK(BD55,$BD$8:$BD$507,1),"")</f>
        <v/>
      </c>
      <c r="BF55" s="106" t="str">
        <f aca="false">IF(ISBLANK($C55),"",$B55)</f>
        <v/>
      </c>
      <c r="BG55" s="106" t="str">
        <f aca="false">IF(ISBLANK($C55),"",$C55)</f>
        <v/>
      </c>
      <c r="BH55" s="106" t="str">
        <f aca="false">IF(ISBLANK($C55),"",$D55)</f>
        <v/>
      </c>
      <c r="BI55" s="107" t="str">
        <f aca="false">AW55</f>
        <v/>
      </c>
      <c r="BJ55" s="108" t="str">
        <f aca="false">AV55</f>
        <v/>
      </c>
      <c r="BK55" s="106" t="str">
        <f aca="false">IF(ISBLANK($C55),"",AY55)</f>
        <v/>
      </c>
      <c r="BL55" s="109" t="str">
        <f aca="false">IF($BC55&gt;$BB$7,"",VLOOKUP($BC55,$BE$8:$BK$507,7,FALSE()))</f>
        <v/>
      </c>
      <c r="BM55" s="110" t="str">
        <f aca="false">IF($BC55&gt;$BB$7,"",VLOOKUP($BC55,$BE$8:$BK$507,2,FALSE()))</f>
        <v/>
      </c>
      <c r="BN55" s="110" t="str">
        <f aca="false">IF($BC55&gt;$BB$7,"",VLOOKUP($BC55,$BE$8:$BK$507,3,FALSE()))</f>
        <v/>
      </c>
      <c r="BO55" s="110" t="str">
        <f aca="false">IF($BC55&gt;$BB$7,"",VLOOKUP($BC55,$BE$8:$BK$507,4,FALSE()))</f>
        <v/>
      </c>
      <c r="BP55" s="110" t="str">
        <f aca="false">IF($BC55&gt;$BB$7,"",VLOOKUP($BC55,$BE$8:$BK$507,5,FALSE()))</f>
        <v/>
      </c>
      <c r="BQ55" s="111" t="str">
        <f aca="false">IF($BC55&gt;$BB$7,"",VLOOKUP($BC55,$BE$8:$BK$507,6,FALSE()))</f>
        <v/>
      </c>
      <c r="BR55" s="54"/>
    </row>
    <row r="56" customFormat="false" ht="13.8" hidden="false" customHeight="false" outlineLevel="0" collapsed="false">
      <c r="A56" s="5"/>
      <c r="B56" s="124"/>
      <c r="C56" s="56"/>
      <c r="D56" s="57"/>
      <c r="E56" s="83"/>
      <c r="F56" s="59"/>
      <c r="G56" s="60"/>
      <c r="H56" s="61"/>
      <c r="I56" s="62"/>
      <c r="J56" s="59"/>
      <c r="K56" s="60"/>
      <c r="L56" s="61"/>
      <c r="M56" s="62"/>
      <c r="N56" s="59"/>
      <c r="O56" s="83"/>
      <c r="P56" s="64"/>
      <c r="Q56" s="66" t="str">
        <f aca="false">IF(ISBLANK($C56),"",IF(E56=Constants!$B$2, TRUE(), IF(E56=Constants!$B$3, FALSE(), TRUE())))</f>
        <v/>
      </c>
      <c r="R56" s="66" t="str">
        <f aca="false">IF(ISBLANK($C56),"",IF(F56=Constants!$B$16,Constants!$B$9,IF(F56=Constants!$B$17,Constants!$B$10,Constants!$B$8)))</f>
        <v/>
      </c>
      <c r="S56" s="66" t="str">
        <f aca="false">IF(ISBLANK($C56),"",IF(COUNTA(G56:H56)=0,"",IF(AND(OR(ISBLANK(G56),AND(ISNUMBER(G56),G56&gt;=0)),OR(ISBLANK(H56),AND(ISNUMBER(H56),H56&gt;=0))),60*IF(ISBLANK(G56),0,G56)+IF(ISBLANK(H56),0,H56),"")))</f>
        <v/>
      </c>
      <c r="T56" s="66" t="str">
        <f aca="false">IF(ISBLANK($C56),"",IF(I56=Constants!$B$2, TRUE(), IF(I56=Constants!$B$3, FALSE(), TRUE())))</f>
        <v/>
      </c>
      <c r="U56" s="66" t="str">
        <f aca="false">IF(ISBLANK($C56),"",IF(J56=Constants!$B$2, TRUE(), IF(J56=Constants!$B$3, FALSE(), TRUE())))</f>
        <v/>
      </c>
      <c r="V56" s="66" t="str">
        <f aca="false">IF(ISBLANK($C56),"",IF(COUNTA(K56:L56)=0,"",IF(AND(OR(ISBLANK(K56),AND(ISNUMBER(K56),K56&gt;=0)),OR(ISBLANK(L56),AND(ISNUMBER(L56),L56&gt;=0))),60*IF(ISBLANK(K56),0,K56)+IF(ISBLANK(L56),0,L56),"")))</f>
        <v/>
      </c>
      <c r="W56" s="66" t="str">
        <f aca="false">IF(ISBLANK($C56),"",IF(M56=Constants!$B$2, TRUE(), IF(M56=Constants!$B$3, FALSE(), TRUE())))</f>
        <v/>
      </c>
      <c r="X56" s="66" t="str">
        <f aca="false">IF(ISBLANK($C56),"",IF(N56=Constants!$B$2, TRUE(), IF(N56=Constants!$B$3, FALSE(), TRUE())))</f>
        <v/>
      </c>
      <c r="Y56" s="66" t="str">
        <f aca="false">IF(ISBLANK($C56),"",IF(O56=Constants!$B$2, TRUE(), IF(O56=Constants!$B$3, FALSE(), FALSE())))</f>
        <v/>
      </c>
      <c r="Z56" s="66" t="str">
        <f aca="false">IF(ISBLANK($C56),"",AND(S56&lt;&gt;"",Q56))</f>
        <v/>
      </c>
      <c r="AA56" s="66" t="str">
        <f aca="false">IF(ISBLANK($C56),"",AND(V56&lt;&gt;"",Q56))</f>
        <v/>
      </c>
      <c r="AB56" s="66" t="str">
        <f aca="false">IF(ISBLANK($C56),"",IF(Y56,Constants!$B$4,IF(COUNTA(E56:N56)=0,Constants!$B$5,IF(NOT(Q56),Constants!$B$6,IF(AND(NOT(Z56),NOT(AA56)),Constants!$B$6,Constants!$B$7)))))</f>
        <v/>
      </c>
      <c r="AC56" s="66" t="str">
        <f aca="false">IF(ISBLANK($C56),"",IF($AB56&lt;&gt;Constants!$B$7,$AB56,Constants!$B$20))</f>
        <v/>
      </c>
      <c r="AD56" s="66" t="str">
        <f aca="false">IF($AB56=Constants!$B$7,IF(Z56,S56,Constants!$B$13),"")</f>
        <v/>
      </c>
      <c r="AE56" s="66" t="str">
        <f aca="false">IF($AB56=Constants!$B$7,IF(Z56,R56*IF(T56, 1, Constants!$B$11)*IF(U56, 1, Constants!$B$12),Constants!$B$13),"")</f>
        <v/>
      </c>
      <c r="AF56" s="66" t="str">
        <f aca="false">IF($AB56=Constants!$B$7,AD56*AE56,"")</f>
        <v/>
      </c>
      <c r="AG56" s="66" t="str">
        <f aca="false">IF($AB56=Constants!$B$7,IF(AA56,V56,Constants!$B$13),"")</f>
        <v/>
      </c>
      <c r="AH56" s="66" t="str">
        <f aca="false">IF($AB56=Constants!$B$7,IF(AA56,R56*IF(W56, 1, Constants!$B$11)*IF(X56, 1, Constants!$B$12),Constants!$B$13),"")</f>
        <v/>
      </c>
      <c r="AI56" s="66" t="str">
        <f aca="false">IF($AB56=Constants!$B$7,AG56*AH56,"")</f>
        <v/>
      </c>
      <c r="AJ56" s="66" t="str">
        <f aca="false">IF($AB56=Constants!$B$7,IF(AI56&gt;AF56,2,1),"")</f>
        <v/>
      </c>
      <c r="AK56" s="66" t="str">
        <f aca="false">IF($AB56=Constants!$B$7,IF(AJ56=1,2,1),"")</f>
        <v/>
      </c>
      <c r="AL56" s="66" t="str">
        <f aca="false">IF(ISBLANK($C56),"",IF($AB56&lt;&gt;Constants!$B$7,$AB56,IF(AJ56=1,AF56,AI56)))</f>
        <v/>
      </c>
      <c r="AM56" s="66" t="str">
        <f aca="false">IF(ISBLANK($C56),"",IF($AB56=Constants!$B$7,IF(ISNUMBER(AL56),RANK(AL56,$AL$8:$AL$507),Constants!$B$14),$AB56))</f>
        <v/>
      </c>
      <c r="AN56" s="66" t="str">
        <f aca="false">IF(ISBLANK($C56),"",IF($AB56=Constants!$B$7,IF(AK56=1,AF56,AI56),""))</f>
        <v/>
      </c>
      <c r="AO56" s="66" t="str">
        <f aca="false">IF(ISBLANK($C56),"",IF($AB56=Constants!$B$7,RANK(AN56,$AN$8:$AN$507),$AB56))</f>
        <v/>
      </c>
      <c r="AP56" s="66" t="str">
        <f aca="false">IF(ISBLANK($C56),"",IF($AB56=Constants!$B$7,IF(ISNUMBER(AM56),COUNTIFS($AM$8:$AM$507,"&lt;"&amp;$AM56)+COUNTIFS($AM$8:$AM$507,$AM56,$AO$8:$AO$507,"&lt;"&amp;$AO56)+1,Constants!$B$14),$AB56))</f>
        <v/>
      </c>
      <c r="AQ56" s="66" t="str">
        <f aca="false">IF(ISBLANK($C56),"",IF($AB56=Constants!$B$7,IF(ISNUMBER(AM56),AM56-AP56,Constants!$B$14),$AB56))</f>
        <v/>
      </c>
      <c r="AR56" s="68"/>
      <c r="AS56" s="69" t="str">
        <f aca="false">IF(ISBLANK($C56),"",IF($AB56&lt;&gt;Constants!$B$7,"",AJ56))</f>
        <v/>
      </c>
      <c r="AT56" s="84" t="str">
        <f aca="false">IF(ISBLANK($C56),"",IF($AB56&lt;&gt;Constants!$B$7,"",IF(AJ56=1,AD56,AG56)))</f>
        <v/>
      </c>
      <c r="AU56" s="71" t="str">
        <f aca="false">IF(ISBLANK($C56),"",IF($AB56&lt;&gt;Constants!$B$7,"",IF(AJ56=1,AE56,AH56)))</f>
        <v/>
      </c>
      <c r="AV56" s="72" t="str">
        <f aca="false">IF(ISBLANK($C56),"",IF($AB56&lt;&gt;Constants!$B$7,$AB56,AL56))</f>
        <v/>
      </c>
      <c r="AW56" s="73" t="str">
        <f aca="false">IF(ISBLANK($C56),"",IF($AB56&lt;&gt;Constants!$B$7,$AB56,AC56))</f>
        <v/>
      </c>
      <c r="AX56" s="74" t="str">
        <f aca="false">IF(ISBLANK($C56),"",AQ56)</f>
        <v/>
      </c>
      <c r="AY56" s="74" t="str">
        <f aca="false">IF(ISBLANK($C56),"",AP56)</f>
        <v/>
      </c>
      <c r="AZ56" s="75" t="str">
        <f aca="false">IF(ISBLANK($C56),"",IF(AY56=Constants!$B$4,COUNTA($C$8:$C$507)+2,IF(AY56=Constants!$B$5,COUNTA($C$8:$C$507)+1,IF(AY56=Constants!$B$6,COUNTA($C$8:$C$507),AY56))))</f>
        <v/>
      </c>
      <c r="BA56" s="5"/>
      <c r="BB56" s="76" t="n">
        <f aca="false">IF(OR(ISNUMBER(AY56),AY56=Constants!$B$4,AY56=Constants!$B$6,AY56=Constants!$B$5),1,0)</f>
        <v>0</v>
      </c>
      <c r="BC56" s="76" t="n">
        <v>49</v>
      </c>
      <c r="BD56" s="76" t="str">
        <f aca="false">IF(ISBLANK($C56),"",IF(ISNUMBER(AZ56),AZ56+ROW($B56)/1000,""))</f>
        <v/>
      </c>
      <c r="BE56" s="76" t="str">
        <f aca="false">IF(ISNUMBER(BD56),RANK(BD56,$BD$8:$BD$507,1),"")</f>
        <v/>
      </c>
      <c r="BF56" s="76" t="str">
        <f aca="false">IF(ISBLANK($C56),"",$B56)</f>
        <v/>
      </c>
      <c r="BG56" s="76" t="str">
        <f aca="false">IF(ISBLANK($C56),"",$C56)</f>
        <v/>
      </c>
      <c r="BH56" s="76" t="str">
        <f aca="false">IF(ISBLANK($C56),"",$D56)</f>
        <v/>
      </c>
      <c r="BI56" s="77" t="str">
        <f aca="false">AW56</f>
        <v/>
      </c>
      <c r="BJ56" s="78" t="str">
        <f aca="false">AV56</f>
        <v/>
      </c>
      <c r="BK56" s="76" t="str">
        <f aca="false">IF(ISBLANK($C56),"",AY56)</f>
        <v/>
      </c>
      <c r="BL56" s="79" t="str">
        <f aca="false">IF($BC56&gt;$BB$7,"",VLOOKUP($BC56,$BE$8:$BK$507,7,FALSE()))</f>
        <v/>
      </c>
      <c r="BM56" s="80" t="str">
        <f aca="false">IF($BC56&gt;$BB$7,"",VLOOKUP($BC56,$BE$8:$BK$507,2,FALSE()))</f>
        <v/>
      </c>
      <c r="BN56" s="80" t="str">
        <f aca="false">IF($BC56&gt;$BB$7,"",VLOOKUP($BC56,$BE$8:$BK$507,3,FALSE()))</f>
        <v/>
      </c>
      <c r="BO56" s="80" t="str">
        <f aca="false">IF($BC56&gt;$BB$7,"",VLOOKUP($BC56,$BE$8:$BK$507,4,FALSE()))</f>
        <v/>
      </c>
      <c r="BP56" s="80" t="str">
        <f aca="false">IF($BC56&gt;$BB$7,"",VLOOKUP($BC56,$BE$8:$BK$507,5,FALSE()))</f>
        <v/>
      </c>
      <c r="BQ56" s="81" t="str">
        <f aca="false">IF($BC56&gt;$BB$7,"",VLOOKUP($BC56,$BE$8:$BK$507,6,FALSE()))</f>
        <v/>
      </c>
      <c r="BR56" s="54"/>
    </row>
    <row r="57" customFormat="false" ht="13.8" hidden="false" customHeight="false" outlineLevel="0" collapsed="false">
      <c r="A57" s="5"/>
      <c r="B57" s="124"/>
      <c r="C57" s="56"/>
      <c r="D57" s="57"/>
      <c r="E57" s="83"/>
      <c r="F57" s="59"/>
      <c r="G57" s="60"/>
      <c r="H57" s="61"/>
      <c r="I57" s="62"/>
      <c r="J57" s="59"/>
      <c r="K57" s="60"/>
      <c r="L57" s="61"/>
      <c r="M57" s="62"/>
      <c r="N57" s="59"/>
      <c r="O57" s="83"/>
      <c r="P57" s="64"/>
      <c r="Q57" s="66" t="str">
        <f aca="false">IF(ISBLANK($C57),"",IF(E57=Constants!$B$2, TRUE(), IF(E57=Constants!$B$3, FALSE(), TRUE())))</f>
        <v/>
      </c>
      <c r="R57" s="66" t="str">
        <f aca="false">IF(ISBLANK($C57),"",IF(F57=Constants!$B$16,Constants!$B$9,IF(F57=Constants!$B$17,Constants!$B$10,Constants!$B$8)))</f>
        <v/>
      </c>
      <c r="S57" s="66" t="str">
        <f aca="false">IF(ISBLANK($C57),"",IF(COUNTA(G57:H57)=0,"",IF(AND(OR(ISBLANK(G57),AND(ISNUMBER(G57),G57&gt;=0)),OR(ISBLANK(H57),AND(ISNUMBER(H57),H57&gt;=0))),60*IF(ISBLANK(G57),0,G57)+IF(ISBLANK(H57),0,H57),"")))</f>
        <v/>
      </c>
      <c r="T57" s="66" t="str">
        <f aca="false">IF(ISBLANK($C57),"",IF(I57=Constants!$B$2, TRUE(), IF(I57=Constants!$B$3, FALSE(), TRUE())))</f>
        <v/>
      </c>
      <c r="U57" s="66" t="str">
        <f aca="false">IF(ISBLANK($C57),"",IF(J57=Constants!$B$2, TRUE(), IF(J57=Constants!$B$3, FALSE(), TRUE())))</f>
        <v/>
      </c>
      <c r="V57" s="66" t="str">
        <f aca="false">IF(ISBLANK($C57),"",IF(COUNTA(K57:L57)=0,"",IF(AND(OR(ISBLANK(K57),AND(ISNUMBER(K57),K57&gt;=0)),OR(ISBLANK(L57),AND(ISNUMBER(L57),L57&gt;=0))),60*IF(ISBLANK(K57),0,K57)+IF(ISBLANK(L57),0,L57),"")))</f>
        <v/>
      </c>
      <c r="W57" s="66" t="str">
        <f aca="false">IF(ISBLANK($C57),"",IF(M57=Constants!$B$2, TRUE(), IF(M57=Constants!$B$3, FALSE(), TRUE())))</f>
        <v/>
      </c>
      <c r="X57" s="66" t="str">
        <f aca="false">IF(ISBLANK($C57),"",IF(N57=Constants!$B$2, TRUE(), IF(N57=Constants!$B$3, FALSE(), TRUE())))</f>
        <v/>
      </c>
      <c r="Y57" s="66" t="str">
        <f aca="false">IF(ISBLANK($C57),"",IF(O57=Constants!$B$2, TRUE(), IF(O57=Constants!$B$3, FALSE(), FALSE())))</f>
        <v/>
      </c>
      <c r="Z57" s="66" t="str">
        <f aca="false">IF(ISBLANK($C57),"",AND(S57&lt;&gt;"",Q57))</f>
        <v/>
      </c>
      <c r="AA57" s="66" t="str">
        <f aca="false">IF(ISBLANK($C57),"",AND(V57&lt;&gt;"",Q57))</f>
        <v/>
      </c>
      <c r="AB57" s="66" t="str">
        <f aca="false">IF(ISBLANK($C57),"",IF(Y57,Constants!$B$4,IF(COUNTA(E57:N57)=0,Constants!$B$5,IF(NOT(Q57),Constants!$B$6,IF(AND(NOT(Z57),NOT(AA57)),Constants!$B$6,Constants!$B$7)))))</f>
        <v/>
      </c>
      <c r="AC57" s="66" t="str">
        <f aca="false">IF(ISBLANK($C57),"",IF($AB57&lt;&gt;Constants!$B$7,$AB57,Constants!$B$20))</f>
        <v/>
      </c>
      <c r="AD57" s="66" t="str">
        <f aca="false">IF($AB57=Constants!$B$7,IF(Z57,S57,Constants!$B$13),"")</f>
        <v/>
      </c>
      <c r="AE57" s="66" t="str">
        <f aca="false">IF($AB57=Constants!$B$7,IF(Z57,R57*IF(T57, 1, Constants!$B$11)*IF(U57, 1, Constants!$B$12),Constants!$B$13),"")</f>
        <v/>
      </c>
      <c r="AF57" s="66" t="str">
        <f aca="false">IF($AB57=Constants!$B$7,AD57*AE57,"")</f>
        <v/>
      </c>
      <c r="AG57" s="66" t="str">
        <f aca="false">IF($AB57=Constants!$B$7,IF(AA57,V57,Constants!$B$13),"")</f>
        <v/>
      </c>
      <c r="AH57" s="66" t="str">
        <f aca="false">IF($AB57=Constants!$B$7,IF(AA57,R57*IF(W57, 1, Constants!$B$11)*IF(X57, 1, Constants!$B$12),Constants!$B$13),"")</f>
        <v/>
      </c>
      <c r="AI57" s="66" t="str">
        <f aca="false">IF($AB57=Constants!$B$7,AG57*AH57,"")</f>
        <v/>
      </c>
      <c r="AJ57" s="66" t="str">
        <f aca="false">IF($AB57=Constants!$B$7,IF(AI57&gt;AF57,2,1),"")</f>
        <v/>
      </c>
      <c r="AK57" s="66" t="str">
        <f aca="false">IF($AB57=Constants!$B$7,IF(AJ57=1,2,1),"")</f>
        <v/>
      </c>
      <c r="AL57" s="66" t="str">
        <f aca="false">IF(ISBLANK($C57),"",IF($AB57&lt;&gt;Constants!$B$7,$AB57,IF(AJ57=1,AF57,AI57)))</f>
        <v/>
      </c>
      <c r="AM57" s="66" t="str">
        <f aca="false">IF(ISBLANK($C57),"",IF($AB57=Constants!$B$7,IF(ISNUMBER(AL57),RANK(AL57,$AL$8:$AL$507),Constants!$B$14),$AB57))</f>
        <v/>
      </c>
      <c r="AN57" s="66" t="str">
        <f aca="false">IF(ISBLANK($C57),"",IF($AB57=Constants!$B$7,IF(AK57=1,AF57,AI57),""))</f>
        <v/>
      </c>
      <c r="AO57" s="66" t="str">
        <f aca="false">IF(ISBLANK($C57),"",IF($AB57=Constants!$B$7,RANK(AN57,$AN$8:$AN$507),$AB57))</f>
        <v/>
      </c>
      <c r="AP57" s="66" t="str">
        <f aca="false">IF(ISBLANK($C57),"",IF($AB57=Constants!$B$7,IF(ISNUMBER(AM57),COUNTIFS($AM$8:$AM$507,"&lt;"&amp;$AM57)+COUNTIFS($AM$8:$AM$507,$AM57,$AO$8:$AO$507,"&lt;"&amp;$AO57)+1,Constants!$B$14),$AB57))</f>
        <v/>
      </c>
      <c r="AQ57" s="66" t="str">
        <f aca="false">IF(ISBLANK($C57),"",IF($AB57=Constants!$B$7,IF(ISNUMBER(AM57),AM57-AP57,Constants!$B$14),$AB57))</f>
        <v/>
      </c>
      <c r="AR57" s="68"/>
      <c r="AS57" s="69" t="str">
        <f aca="false">IF(ISBLANK($C57),"",IF($AB57&lt;&gt;Constants!$B$7,"",AJ57))</f>
        <v/>
      </c>
      <c r="AT57" s="84" t="str">
        <f aca="false">IF(ISBLANK($C57),"",IF($AB57&lt;&gt;Constants!$B$7,"",IF(AJ57=1,AD57,AG57)))</f>
        <v/>
      </c>
      <c r="AU57" s="71" t="str">
        <f aca="false">IF(ISBLANK($C57),"",IF($AB57&lt;&gt;Constants!$B$7,"",IF(AJ57=1,AE57,AH57)))</f>
        <v/>
      </c>
      <c r="AV57" s="72" t="str">
        <f aca="false">IF(ISBLANK($C57),"",IF($AB57&lt;&gt;Constants!$B$7,$AB57,AL57))</f>
        <v/>
      </c>
      <c r="AW57" s="73" t="str">
        <f aca="false">IF(ISBLANK($C57),"",IF($AB57&lt;&gt;Constants!$B$7,$AB57,AC57))</f>
        <v/>
      </c>
      <c r="AX57" s="74" t="str">
        <f aca="false">IF(ISBLANK($C57),"",AQ57)</f>
        <v/>
      </c>
      <c r="AY57" s="74" t="str">
        <f aca="false">IF(ISBLANK($C57),"",AP57)</f>
        <v/>
      </c>
      <c r="AZ57" s="75" t="str">
        <f aca="false">IF(ISBLANK($C57),"",IF(AY57=Constants!$B$4,COUNTA($C$8:$C$507)+2,IF(AY57=Constants!$B$5,COUNTA($C$8:$C$507)+1,IF(AY57=Constants!$B$6,COUNTA($C$8:$C$507),AY57))))</f>
        <v/>
      </c>
      <c r="BA57" s="5"/>
      <c r="BB57" s="76" t="n">
        <f aca="false">IF(OR(ISNUMBER(AY57),AY57=Constants!$B$4,AY57=Constants!$B$6,AY57=Constants!$B$5),1,0)</f>
        <v>0</v>
      </c>
      <c r="BC57" s="76" t="n">
        <v>50</v>
      </c>
      <c r="BD57" s="76" t="str">
        <f aca="false">IF(ISBLANK($C57),"",IF(ISNUMBER(AZ57),AZ57+ROW($B57)/1000,""))</f>
        <v/>
      </c>
      <c r="BE57" s="76" t="str">
        <f aca="false">IF(ISNUMBER(BD57),RANK(BD57,$BD$8:$BD$507,1),"")</f>
        <v/>
      </c>
      <c r="BF57" s="76" t="str">
        <f aca="false">IF(ISBLANK($C57),"",$B57)</f>
        <v/>
      </c>
      <c r="BG57" s="76" t="str">
        <f aca="false">IF(ISBLANK($C57),"",$C57)</f>
        <v/>
      </c>
      <c r="BH57" s="76" t="str">
        <f aca="false">IF(ISBLANK($C57),"",$D57)</f>
        <v/>
      </c>
      <c r="BI57" s="77" t="str">
        <f aca="false">AW57</f>
        <v/>
      </c>
      <c r="BJ57" s="78" t="str">
        <f aca="false">AV57</f>
        <v/>
      </c>
      <c r="BK57" s="76" t="str">
        <f aca="false">IF(ISBLANK($C57),"",AY57)</f>
        <v/>
      </c>
      <c r="BL57" s="79" t="str">
        <f aca="false">IF($BC57&gt;$BB$7,"",VLOOKUP($BC57,$BE$8:$BK$507,7,FALSE()))</f>
        <v/>
      </c>
      <c r="BM57" s="80" t="str">
        <f aca="false">IF($BC57&gt;$BB$7,"",VLOOKUP($BC57,$BE$8:$BK$507,2,FALSE()))</f>
        <v/>
      </c>
      <c r="BN57" s="80" t="str">
        <f aca="false">IF($BC57&gt;$BB$7,"",VLOOKUP($BC57,$BE$8:$BK$507,3,FALSE()))</f>
        <v/>
      </c>
      <c r="BO57" s="80" t="str">
        <f aca="false">IF($BC57&gt;$BB$7,"",VLOOKUP($BC57,$BE$8:$BK$507,4,FALSE()))</f>
        <v/>
      </c>
      <c r="BP57" s="80" t="str">
        <f aca="false">IF($BC57&gt;$BB$7,"",VLOOKUP($BC57,$BE$8:$BK$507,5,FALSE()))</f>
        <v/>
      </c>
      <c r="BQ57" s="81" t="str">
        <f aca="false">IF($BC57&gt;$BB$7,"",VLOOKUP($BC57,$BE$8:$BK$507,6,FALSE()))</f>
        <v/>
      </c>
      <c r="BR57" s="54"/>
    </row>
    <row r="58" customFormat="false" ht="13.8" hidden="false" customHeight="false" outlineLevel="0" collapsed="false">
      <c r="A58" s="5"/>
      <c r="B58" s="124"/>
      <c r="C58" s="56"/>
      <c r="D58" s="57"/>
      <c r="E58" s="83"/>
      <c r="F58" s="59"/>
      <c r="G58" s="60"/>
      <c r="H58" s="61"/>
      <c r="I58" s="62"/>
      <c r="J58" s="59"/>
      <c r="K58" s="60"/>
      <c r="L58" s="61"/>
      <c r="M58" s="62"/>
      <c r="N58" s="59"/>
      <c r="O58" s="83"/>
      <c r="P58" s="64"/>
      <c r="Q58" s="66" t="str">
        <f aca="false">IF(ISBLANK($C58),"",IF(E58=Constants!$B$2, TRUE(), IF(E58=Constants!$B$3, FALSE(), TRUE())))</f>
        <v/>
      </c>
      <c r="R58" s="66" t="str">
        <f aca="false">IF(ISBLANK($C58),"",IF(F58=Constants!$B$16,Constants!$B$9,IF(F58=Constants!$B$17,Constants!$B$10,Constants!$B$8)))</f>
        <v/>
      </c>
      <c r="S58" s="66" t="str">
        <f aca="false">IF(ISBLANK($C58),"",IF(COUNTA(G58:H58)=0,"",IF(AND(OR(ISBLANK(G58),AND(ISNUMBER(G58),G58&gt;=0)),OR(ISBLANK(H58),AND(ISNUMBER(H58),H58&gt;=0))),60*IF(ISBLANK(G58),0,G58)+IF(ISBLANK(H58),0,H58),"")))</f>
        <v/>
      </c>
      <c r="T58" s="66" t="str">
        <f aca="false">IF(ISBLANK($C58),"",IF(I58=Constants!$B$2, TRUE(), IF(I58=Constants!$B$3, FALSE(), TRUE())))</f>
        <v/>
      </c>
      <c r="U58" s="66" t="str">
        <f aca="false">IF(ISBLANK($C58),"",IF(J58=Constants!$B$2, TRUE(), IF(J58=Constants!$B$3, FALSE(), TRUE())))</f>
        <v/>
      </c>
      <c r="V58" s="66" t="str">
        <f aca="false">IF(ISBLANK($C58),"",IF(COUNTA(K58:L58)=0,"",IF(AND(OR(ISBLANK(K58),AND(ISNUMBER(K58),K58&gt;=0)),OR(ISBLANK(L58),AND(ISNUMBER(L58),L58&gt;=0))),60*IF(ISBLANK(K58),0,K58)+IF(ISBLANK(L58),0,L58),"")))</f>
        <v/>
      </c>
      <c r="W58" s="66" t="str">
        <f aca="false">IF(ISBLANK($C58),"",IF(M58=Constants!$B$2, TRUE(), IF(M58=Constants!$B$3, FALSE(), TRUE())))</f>
        <v/>
      </c>
      <c r="X58" s="66" t="str">
        <f aca="false">IF(ISBLANK($C58),"",IF(N58=Constants!$B$2, TRUE(), IF(N58=Constants!$B$3, FALSE(), TRUE())))</f>
        <v/>
      </c>
      <c r="Y58" s="66" t="str">
        <f aca="false">IF(ISBLANK($C58),"",IF(O58=Constants!$B$2, TRUE(), IF(O58=Constants!$B$3, FALSE(), FALSE())))</f>
        <v/>
      </c>
      <c r="Z58" s="66" t="str">
        <f aca="false">IF(ISBLANK($C58),"",AND(S58&lt;&gt;"",Q58))</f>
        <v/>
      </c>
      <c r="AA58" s="66" t="str">
        <f aca="false">IF(ISBLANK($C58),"",AND(V58&lt;&gt;"",Q58))</f>
        <v/>
      </c>
      <c r="AB58" s="66" t="str">
        <f aca="false">IF(ISBLANK($C58),"",IF(Y58,Constants!$B$4,IF(COUNTA(E58:N58)=0,Constants!$B$5,IF(NOT(Q58),Constants!$B$6,IF(AND(NOT(Z58),NOT(AA58)),Constants!$B$6,Constants!$B$7)))))</f>
        <v/>
      </c>
      <c r="AC58" s="66" t="str">
        <f aca="false">IF(ISBLANK($C58),"",IF($AB58&lt;&gt;Constants!$B$7,$AB58,Constants!$B$20))</f>
        <v/>
      </c>
      <c r="AD58" s="66" t="str">
        <f aca="false">IF($AB58=Constants!$B$7,IF(Z58,S58,Constants!$B$13),"")</f>
        <v/>
      </c>
      <c r="AE58" s="66" t="str">
        <f aca="false">IF($AB58=Constants!$B$7,IF(Z58,R58*IF(T58, 1, Constants!$B$11)*IF(U58, 1, Constants!$B$12),Constants!$B$13),"")</f>
        <v/>
      </c>
      <c r="AF58" s="66" t="str">
        <f aca="false">IF($AB58=Constants!$B$7,AD58*AE58,"")</f>
        <v/>
      </c>
      <c r="AG58" s="66" t="str">
        <f aca="false">IF($AB58=Constants!$B$7,IF(AA58,V58,Constants!$B$13),"")</f>
        <v/>
      </c>
      <c r="AH58" s="66" t="str">
        <f aca="false">IF($AB58=Constants!$B$7,IF(AA58,R58*IF(W58, 1, Constants!$B$11)*IF(X58, 1, Constants!$B$12),Constants!$B$13),"")</f>
        <v/>
      </c>
      <c r="AI58" s="66" t="str">
        <f aca="false">IF($AB58=Constants!$B$7,AG58*AH58,"")</f>
        <v/>
      </c>
      <c r="AJ58" s="66" t="str">
        <f aca="false">IF($AB58=Constants!$B$7,IF(AI58&gt;AF58,2,1),"")</f>
        <v/>
      </c>
      <c r="AK58" s="66" t="str">
        <f aca="false">IF($AB58=Constants!$B$7,IF(AJ58=1,2,1),"")</f>
        <v/>
      </c>
      <c r="AL58" s="66" t="str">
        <f aca="false">IF(ISBLANK($C58),"",IF($AB58&lt;&gt;Constants!$B$7,$AB58,IF(AJ58=1,AF58,AI58)))</f>
        <v/>
      </c>
      <c r="AM58" s="66" t="str">
        <f aca="false">IF(ISBLANK($C58),"",IF($AB58=Constants!$B$7,IF(ISNUMBER(AL58),RANK(AL58,$AL$8:$AL$507),Constants!$B$14),$AB58))</f>
        <v/>
      </c>
      <c r="AN58" s="66" t="str">
        <f aca="false">IF(ISBLANK($C58),"",IF($AB58=Constants!$B$7,IF(AK58=1,AF58,AI58),""))</f>
        <v/>
      </c>
      <c r="AO58" s="66" t="str">
        <f aca="false">IF(ISBLANK($C58),"",IF($AB58=Constants!$B$7,RANK(AN58,$AN$8:$AN$507),$AB58))</f>
        <v/>
      </c>
      <c r="AP58" s="66" t="str">
        <f aca="false">IF(ISBLANK($C58),"",IF($AB58=Constants!$B$7,IF(ISNUMBER(AM58),COUNTIFS($AM$8:$AM$507,"&lt;"&amp;$AM58)+COUNTIFS($AM$8:$AM$507,$AM58,$AO$8:$AO$507,"&lt;"&amp;$AO58)+1,Constants!$B$14),$AB58))</f>
        <v/>
      </c>
      <c r="AQ58" s="66" t="str">
        <f aca="false">IF(ISBLANK($C58),"",IF($AB58=Constants!$B$7,IF(ISNUMBER(AM58),AM58-AP58,Constants!$B$14),$AB58))</f>
        <v/>
      </c>
      <c r="AR58" s="68"/>
      <c r="AS58" s="69" t="str">
        <f aca="false">IF(ISBLANK($C58),"",IF($AB58&lt;&gt;Constants!$B$7,"",AJ58))</f>
        <v/>
      </c>
      <c r="AT58" s="84" t="str">
        <f aca="false">IF(ISBLANK($C58),"",IF($AB58&lt;&gt;Constants!$B$7,"",IF(AJ58=1,AD58,AG58)))</f>
        <v/>
      </c>
      <c r="AU58" s="71" t="str">
        <f aca="false">IF(ISBLANK($C58),"",IF($AB58&lt;&gt;Constants!$B$7,"",IF(AJ58=1,AE58,AH58)))</f>
        <v/>
      </c>
      <c r="AV58" s="72" t="str">
        <f aca="false">IF(ISBLANK($C58),"",IF($AB58&lt;&gt;Constants!$B$7,$AB58,AL58))</f>
        <v/>
      </c>
      <c r="AW58" s="73" t="str">
        <f aca="false">IF(ISBLANK($C58),"",IF($AB58&lt;&gt;Constants!$B$7,$AB58,AC58))</f>
        <v/>
      </c>
      <c r="AX58" s="74" t="str">
        <f aca="false">IF(ISBLANK($C58),"",AQ58)</f>
        <v/>
      </c>
      <c r="AY58" s="74" t="str">
        <f aca="false">IF(ISBLANK($C58),"",AP58)</f>
        <v/>
      </c>
      <c r="AZ58" s="75" t="str">
        <f aca="false">IF(ISBLANK($C58),"",IF(AY58=Constants!$B$4,COUNTA($C$8:$C$507)+2,IF(AY58=Constants!$B$5,COUNTA($C$8:$C$507)+1,IF(AY58=Constants!$B$6,COUNTA($C$8:$C$507),AY58))))</f>
        <v/>
      </c>
      <c r="BA58" s="5"/>
      <c r="BB58" s="76" t="n">
        <f aca="false">IF(OR(ISNUMBER(AY58),AY58=Constants!$B$4,AY58=Constants!$B$6,AY58=Constants!$B$5),1,0)</f>
        <v>0</v>
      </c>
      <c r="BC58" s="76" t="n">
        <v>51</v>
      </c>
      <c r="BD58" s="76" t="str">
        <f aca="false">IF(ISBLANK($C58),"",IF(ISNUMBER(AZ58),AZ58+ROW($B58)/1000,""))</f>
        <v/>
      </c>
      <c r="BE58" s="76" t="str">
        <f aca="false">IF(ISNUMBER(BD58),RANK(BD58,$BD$8:$BD$507,1),"")</f>
        <v/>
      </c>
      <c r="BF58" s="76" t="str">
        <f aca="false">IF(ISBLANK($C58),"",$B58)</f>
        <v/>
      </c>
      <c r="BG58" s="76" t="str">
        <f aca="false">IF(ISBLANK($C58),"",$C58)</f>
        <v/>
      </c>
      <c r="BH58" s="76" t="str">
        <f aca="false">IF(ISBLANK($C58),"",$D58)</f>
        <v/>
      </c>
      <c r="BI58" s="77" t="str">
        <f aca="false">AW58</f>
        <v/>
      </c>
      <c r="BJ58" s="78" t="str">
        <f aca="false">AV58</f>
        <v/>
      </c>
      <c r="BK58" s="76" t="str">
        <f aca="false">IF(ISBLANK($C58),"",AY58)</f>
        <v/>
      </c>
      <c r="BL58" s="79" t="str">
        <f aca="false">IF($BC58&gt;$BB$7,"",VLOOKUP($BC58,$BE$8:$BK$507,7,FALSE()))</f>
        <v/>
      </c>
      <c r="BM58" s="80" t="str">
        <f aca="false">IF($BC58&gt;$BB$7,"",VLOOKUP($BC58,$BE$8:$BK$507,2,FALSE()))</f>
        <v/>
      </c>
      <c r="BN58" s="80" t="str">
        <f aca="false">IF($BC58&gt;$BB$7,"",VLOOKUP($BC58,$BE$8:$BK$507,3,FALSE()))</f>
        <v/>
      </c>
      <c r="BO58" s="80" t="str">
        <f aca="false">IF($BC58&gt;$BB$7,"",VLOOKUP($BC58,$BE$8:$BK$507,4,FALSE()))</f>
        <v/>
      </c>
      <c r="BP58" s="80" t="str">
        <f aca="false">IF($BC58&gt;$BB$7,"",VLOOKUP($BC58,$BE$8:$BK$507,5,FALSE()))</f>
        <v/>
      </c>
      <c r="BQ58" s="81" t="str">
        <f aca="false">IF($BC58&gt;$BB$7,"",VLOOKUP($BC58,$BE$8:$BK$507,6,FALSE()))</f>
        <v/>
      </c>
      <c r="BR58" s="54"/>
    </row>
    <row r="59" customFormat="false" ht="13.8" hidden="false" customHeight="false" outlineLevel="0" collapsed="false">
      <c r="A59" s="5"/>
      <c r="B59" s="120"/>
      <c r="C59" s="121"/>
      <c r="D59" s="112"/>
      <c r="E59" s="123"/>
      <c r="F59" s="91"/>
      <c r="G59" s="92"/>
      <c r="H59" s="93"/>
      <c r="I59" s="94"/>
      <c r="J59" s="91"/>
      <c r="K59" s="92"/>
      <c r="L59" s="93"/>
      <c r="M59" s="94"/>
      <c r="N59" s="91"/>
      <c r="O59" s="123"/>
      <c r="P59" s="96"/>
      <c r="Q59" s="97" t="str">
        <f aca="false">IF(ISBLANK($C59),"",IF(E59=Constants!$B$2, TRUE(), IF(E59=Constants!$B$3, FALSE(), TRUE())))</f>
        <v/>
      </c>
      <c r="R59" s="97" t="str">
        <f aca="false">IF(ISBLANK($C59),"",IF(F59=Constants!$B$16,Constants!$B$9,IF(F59=Constants!$B$17,Constants!$B$10,Constants!$B$8)))</f>
        <v/>
      </c>
      <c r="S59" s="97" t="str">
        <f aca="false">IF(ISBLANK($C59),"",IF(COUNTA(G59:H59)=0,"",IF(AND(OR(ISBLANK(G59),AND(ISNUMBER(G59),G59&gt;=0)),OR(ISBLANK(H59),AND(ISNUMBER(H59),H59&gt;=0))),60*IF(ISBLANK(G59),0,G59)+IF(ISBLANK(H59),0,H59),"")))</f>
        <v/>
      </c>
      <c r="T59" s="97" t="str">
        <f aca="false">IF(ISBLANK($C59),"",IF(I59=Constants!$B$2, TRUE(), IF(I59=Constants!$B$3, FALSE(), TRUE())))</f>
        <v/>
      </c>
      <c r="U59" s="97" t="str">
        <f aca="false">IF(ISBLANK($C59),"",IF(J59=Constants!$B$2, TRUE(), IF(J59=Constants!$B$3, FALSE(), TRUE())))</f>
        <v/>
      </c>
      <c r="V59" s="97" t="str">
        <f aca="false">IF(ISBLANK($C59),"",IF(COUNTA(K59:L59)=0,"",IF(AND(OR(ISBLANK(K59),AND(ISNUMBER(K59),K59&gt;=0)),OR(ISBLANK(L59),AND(ISNUMBER(L59),L59&gt;=0))),60*IF(ISBLANK(K59),0,K59)+IF(ISBLANK(L59),0,L59),"")))</f>
        <v/>
      </c>
      <c r="W59" s="97" t="str">
        <f aca="false">IF(ISBLANK($C59),"",IF(M59=Constants!$B$2, TRUE(), IF(M59=Constants!$B$3, FALSE(), TRUE())))</f>
        <v/>
      </c>
      <c r="X59" s="97" t="str">
        <f aca="false">IF(ISBLANK($C59),"",IF(N59=Constants!$B$2, TRUE(), IF(N59=Constants!$B$3, FALSE(), TRUE())))</f>
        <v/>
      </c>
      <c r="Y59" s="97" t="str">
        <f aca="false">IF(ISBLANK($C59),"",IF(O59=Constants!$B$2, TRUE(), IF(O59=Constants!$B$3, FALSE(), FALSE())))</f>
        <v/>
      </c>
      <c r="Z59" s="97" t="str">
        <f aca="false">IF(ISBLANK($C59),"",AND(S59&lt;&gt;"",Q59))</f>
        <v/>
      </c>
      <c r="AA59" s="97" t="str">
        <f aca="false">IF(ISBLANK($C59),"",AND(V59&lt;&gt;"",Q59))</f>
        <v/>
      </c>
      <c r="AB59" s="97" t="str">
        <f aca="false">IF(ISBLANK($C59),"",IF(Y59,Constants!$B$4,IF(COUNTA(E59:N59)=0,Constants!$B$5,IF(NOT(Q59),Constants!$B$6,IF(AND(NOT(Z59),NOT(AA59)),Constants!$B$6,Constants!$B$7)))))</f>
        <v/>
      </c>
      <c r="AC59" s="97" t="str">
        <f aca="false">IF(ISBLANK($C59),"",IF($AB59&lt;&gt;Constants!$B$7,$AB59,Constants!$B$20))</f>
        <v/>
      </c>
      <c r="AD59" s="97" t="str">
        <f aca="false">IF($AB59=Constants!$B$7,IF(Z59,S59,Constants!$B$13),"")</f>
        <v/>
      </c>
      <c r="AE59" s="97" t="str">
        <f aca="false">IF($AB59=Constants!$B$7,IF(Z59,R59*IF(T59, 1, Constants!$B$11)*IF(U59, 1, Constants!$B$12),Constants!$B$13),"")</f>
        <v/>
      </c>
      <c r="AF59" s="97" t="str">
        <f aca="false">IF($AB59=Constants!$B$7,AD59*AE59,"")</f>
        <v/>
      </c>
      <c r="AG59" s="97" t="str">
        <f aca="false">IF($AB59=Constants!$B$7,IF(AA59,V59,Constants!$B$13),"")</f>
        <v/>
      </c>
      <c r="AH59" s="97" t="str">
        <f aca="false">IF($AB59=Constants!$B$7,IF(AA59,R59*IF(W59, 1, Constants!$B$11)*IF(X59, 1, Constants!$B$12),Constants!$B$13),"")</f>
        <v/>
      </c>
      <c r="AI59" s="97" t="str">
        <f aca="false">IF($AB59=Constants!$B$7,AG59*AH59,"")</f>
        <v/>
      </c>
      <c r="AJ59" s="97" t="str">
        <f aca="false">IF($AB59=Constants!$B$7,IF(AI59&gt;AF59,2,1),"")</f>
        <v/>
      </c>
      <c r="AK59" s="97" t="str">
        <f aca="false">IF($AB59=Constants!$B$7,IF(AJ59=1,2,1),"")</f>
        <v/>
      </c>
      <c r="AL59" s="97" t="str">
        <f aca="false">IF(ISBLANK($C59),"",IF($AB59&lt;&gt;Constants!$B$7,$AB59,IF(AJ59=1,AF59,AI59)))</f>
        <v/>
      </c>
      <c r="AM59" s="97" t="str">
        <f aca="false">IF(ISBLANK($C59),"",IF($AB59=Constants!$B$7,IF(ISNUMBER(AL59),RANK(AL59,$AL$8:$AL$507),Constants!$B$14),$AB59))</f>
        <v/>
      </c>
      <c r="AN59" s="97" t="str">
        <f aca="false">IF(ISBLANK($C59),"",IF($AB59=Constants!$B$7,IF(AK59=1,AF59,AI59),""))</f>
        <v/>
      </c>
      <c r="AO59" s="97" t="str">
        <f aca="false">IF(ISBLANK($C59),"",IF($AB59=Constants!$B$7,RANK(AN59,$AN$8:$AN$507),$AB59))</f>
        <v/>
      </c>
      <c r="AP59" s="97" t="str">
        <f aca="false">IF(ISBLANK($C59),"",IF($AB59=Constants!$B$7,IF(ISNUMBER(AM59),COUNTIFS($AM$8:$AM$507,"&lt;"&amp;$AM59)+COUNTIFS($AM$8:$AM$507,$AM59,$AO$8:$AO$507,"&lt;"&amp;$AO59)+1,Constants!$B$14),$AB59))</f>
        <v/>
      </c>
      <c r="AQ59" s="97" t="str">
        <f aca="false">IF(ISBLANK($C59),"",IF($AB59=Constants!$B$7,IF(ISNUMBER(AM59),AM59-AP59,Constants!$B$14),$AB59))</f>
        <v/>
      </c>
      <c r="AR59" s="98"/>
      <c r="AS59" s="99" t="str">
        <f aca="false">IF(ISBLANK($C59),"",IF($AB59&lt;&gt;Constants!$B$7,"",AJ59))</f>
        <v/>
      </c>
      <c r="AT59" s="100" t="str">
        <f aca="false">IF(ISBLANK($C59),"",IF($AB59&lt;&gt;Constants!$B$7,"",IF(AJ59=1,AD59,AG59)))</f>
        <v/>
      </c>
      <c r="AU59" s="101" t="str">
        <f aca="false">IF(ISBLANK($C59),"",IF($AB59&lt;&gt;Constants!$B$7,"",IF(AJ59=1,AE59,AH59)))</f>
        <v/>
      </c>
      <c r="AV59" s="102" t="str">
        <f aca="false">IF(ISBLANK($C59),"",IF($AB59&lt;&gt;Constants!$B$7,$AB59,AL59))</f>
        <v/>
      </c>
      <c r="AW59" s="103" t="str">
        <f aca="false">IF(ISBLANK($C59),"",IF($AB59&lt;&gt;Constants!$B$7,$AB59,AC59))</f>
        <v/>
      </c>
      <c r="AX59" s="104" t="str">
        <f aca="false">IF(ISBLANK($C59),"",AQ59)</f>
        <v/>
      </c>
      <c r="AY59" s="104" t="str">
        <f aca="false">IF(ISBLANK($C59),"",AP59)</f>
        <v/>
      </c>
      <c r="AZ59" s="105" t="str">
        <f aca="false">IF(ISBLANK($C59),"",IF(AY59=Constants!$B$4,COUNTA($C$8:$C$507)+2,IF(AY59=Constants!$B$5,COUNTA($C$8:$C$507)+1,IF(AY59=Constants!$B$6,COUNTA($C$8:$C$507),AY59))))</f>
        <v/>
      </c>
      <c r="BA59" s="5"/>
      <c r="BB59" s="106" t="n">
        <f aca="false">IF(OR(ISNUMBER(AY59),AY59=Constants!$B$4,AY59=Constants!$B$6,AY59=Constants!$B$5),1,0)</f>
        <v>0</v>
      </c>
      <c r="BC59" s="106" t="n">
        <v>52</v>
      </c>
      <c r="BD59" s="106" t="str">
        <f aca="false">IF(ISBLANK($C59),"",IF(ISNUMBER(AZ59),AZ59+ROW($B59)/1000,""))</f>
        <v/>
      </c>
      <c r="BE59" s="106" t="str">
        <f aca="false">IF(ISNUMBER(BD59),RANK(BD59,$BD$8:$BD$507,1),"")</f>
        <v/>
      </c>
      <c r="BF59" s="106" t="str">
        <f aca="false">IF(ISBLANK($C59),"",$B59)</f>
        <v/>
      </c>
      <c r="BG59" s="106" t="str">
        <f aca="false">IF(ISBLANK($C59),"",$C59)</f>
        <v/>
      </c>
      <c r="BH59" s="106" t="str">
        <f aca="false">IF(ISBLANK($C59),"",$D59)</f>
        <v/>
      </c>
      <c r="BI59" s="107" t="str">
        <f aca="false">AW59</f>
        <v/>
      </c>
      <c r="BJ59" s="108" t="str">
        <f aca="false">AV59</f>
        <v/>
      </c>
      <c r="BK59" s="106" t="str">
        <f aca="false">IF(ISBLANK($C59),"",AY59)</f>
        <v/>
      </c>
      <c r="BL59" s="109" t="str">
        <f aca="false">IF($BC59&gt;$BB$7,"",VLOOKUP($BC59,$BE$8:$BK$507,7,FALSE()))</f>
        <v/>
      </c>
      <c r="BM59" s="110" t="str">
        <f aca="false">IF($BC59&gt;$BB$7,"",VLOOKUP($BC59,$BE$8:$BK$507,2,FALSE()))</f>
        <v/>
      </c>
      <c r="BN59" s="110" t="str">
        <f aca="false">IF($BC59&gt;$BB$7,"",VLOOKUP($BC59,$BE$8:$BK$507,3,FALSE()))</f>
        <v/>
      </c>
      <c r="BO59" s="110" t="str">
        <f aca="false">IF($BC59&gt;$BB$7,"",VLOOKUP($BC59,$BE$8:$BK$507,4,FALSE()))</f>
        <v/>
      </c>
      <c r="BP59" s="110" t="str">
        <f aca="false">IF($BC59&gt;$BB$7,"",VLOOKUP($BC59,$BE$8:$BK$507,5,FALSE()))</f>
        <v/>
      </c>
      <c r="BQ59" s="111" t="str">
        <f aca="false">IF($BC59&gt;$BB$7,"",VLOOKUP($BC59,$BE$8:$BK$507,6,FALSE()))</f>
        <v/>
      </c>
      <c r="BR59" s="54"/>
    </row>
    <row r="60" customFormat="false" ht="13.8" hidden="false" customHeight="false" outlineLevel="0" collapsed="false">
      <c r="A60" s="5"/>
      <c r="B60" s="120"/>
      <c r="C60" s="121"/>
      <c r="D60" s="112"/>
      <c r="E60" s="123"/>
      <c r="F60" s="91"/>
      <c r="G60" s="92"/>
      <c r="H60" s="93"/>
      <c r="I60" s="94"/>
      <c r="J60" s="91"/>
      <c r="K60" s="92"/>
      <c r="L60" s="93"/>
      <c r="M60" s="94"/>
      <c r="N60" s="91"/>
      <c r="O60" s="123"/>
      <c r="P60" s="96"/>
      <c r="Q60" s="97" t="str">
        <f aca="false">IF(ISBLANK($C60),"",IF(E60=Constants!$B$2, TRUE(), IF(E60=Constants!$B$3, FALSE(), TRUE())))</f>
        <v/>
      </c>
      <c r="R60" s="97" t="str">
        <f aca="false">IF(ISBLANK($C60),"",IF(F60=Constants!$B$16,Constants!$B$9,IF(F60=Constants!$B$17,Constants!$B$10,Constants!$B$8)))</f>
        <v/>
      </c>
      <c r="S60" s="97" t="str">
        <f aca="false">IF(ISBLANK($C60),"",IF(COUNTA(G60:H60)=0,"",IF(AND(OR(ISBLANK(G60),AND(ISNUMBER(G60),G60&gt;=0)),OR(ISBLANK(H60),AND(ISNUMBER(H60),H60&gt;=0))),60*IF(ISBLANK(G60),0,G60)+IF(ISBLANK(H60),0,H60),"")))</f>
        <v/>
      </c>
      <c r="T60" s="97" t="str">
        <f aca="false">IF(ISBLANK($C60),"",IF(I60=Constants!$B$2, TRUE(), IF(I60=Constants!$B$3, FALSE(), TRUE())))</f>
        <v/>
      </c>
      <c r="U60" s="97" t="str">
        <f aca="false">IF(ISBLANK($C60),"",IF(J60=Constants!$B$2, TRUE(), IF(J60=Constants!$B$3, FALSE(), TRUE())))</f>
        <v/>
      </c>
      <c r="V60" s="97" t="str">
        <f aca="false">IF(ISBLANK($C60),"",IF(COUNTA(K60:L60)=0,"",IF(AND(OR(ISBLANK(K60),AND(ISNUMBER(K60),K60&gt;=0)),OR(ISBLANK(L60),AND(ISNUMBER(L60),L60&gt;=0))),60*IF(ISBLANK(K60),0,K60)+IF(ISBLANK(L60),0,L60),"")))</f>
        <v/>
      </c>
      <c r="W60" s="97" t="str">
        <f aca="false">IF(ISBLANK($C60),"",IF(M60=Constants!$B$2, TRUE(), IF(M60=Constants!$B$3, FALSE(), TRUE())))</f>
        <v/>
      </c>
      <c r="X60" s="97" t="str">
        <f aca="false">IF(ISBLANK($C60),"",IF(N60=Constants!$B$2, TRUE(), IF(N60=Constants!$B$3, FALSE(), TRUE())))</f>
        <v/>
      </c>
      <c r="Y60" s="97" t="str">
        <f aca="false">IF(ISBLANK($C60),"",IF(O60=Constants!$B$2, TRUE(), IF(O60=Constants!$B$3, FALSE(), FALSE())))</f>
        <v/>
      </c>
      <c r="Z60" s="97" t="str">
        <f aca="false">IF(ISBLANK($C60),"",AND(S60&lt;&gt;"",Q60))</f>
        <v/>
      </c>
      <c r="AA60" s="97" t="str">
        <f aca="false">IF(ISBLANK($C60),"",AND(V60&lt;&gt;"",Q60))</f>
        <v/>
      </c>
      <c r="AB60" s="97" t="str">
        <f aca="false">IF(ISBLANK($C60),"",IF(Y60,Constants!$B$4,IF(COUNTA(E60:N60)=0,Constants!$B$5,IF(NOT(Q60),Constants!$B$6,IF(AND(NOT(Z60),NOT(AA60)),Constants!$B$6,Constants!$B$7)))))</f>
        <v/>
      </c>
      <c r="AC60" s="97" t="str">
        <f aca="false">IF(ISBLANK($C60),"",IF($AB60&lt;&gt;Constants!$B$7,$AB60,Constants!$B$20))</f>
        <v/>
      </c>
      <c r="AD60" s="97" t="str">
        <f aca="false">IF($AB60=Constants!$B$7,IF(Z60,S60,Constants!$B$13),"")</f>
        <v/>
      </c>
      <c r="AE60" s="97" t="str">
        <f aca="false">IF($AB60=Constants!$B$7,IF(Z60,R60*IF(T60, 1, Constants!$B$11)*IF(U60, 1, Constants!$B$12),Constants!$B$13),"")</f>
        <v/>
      </c>
      <c r="AF60" s="97" t="str">
        <f aca="false">IF($AB60=Constants!$B$7,AD60*AE60,"")</f>
        <v/>
      </c>
      <c r="AG60" s="97" t="str">
        <f aca="false">IF($AB60=Constants!$B$7,IF(AA60,V60,Constants!$B$13),"")</f>
        <v/>
      </c>
      <c r="AH60" s="97" t="str">
        <f aca="false">IF($AB60=Constants!$B$7,IF(AA60,R60*IF(W60, 1, Constants!$B$11)*IF(X60, 1, Constants!$B$12),Constants!$B$13),"")</f>
        <v/>
      </c>
      <c r="AI60" s="97" t="str">
        <f aca="false">IF($AB60=Constants!$B$7,AG60*AH60,"")</f>
        <v/>
      </c>
      <c r="AJ60" s="97" t="str">
        <f aca="false">IF($AB60=Constants!$B$7,IF(AI60&gt;AF60,2,1),"")</f>
        <v/>
      </c>
      <c r="AK60" s="97" t="str">
        <f aca="false">IF($AB60=Constants!$B$7,IF(AJ60=1,2,1),"")</f>
        <v/>
      </c>
      <c r="AL60" s="97" t="str">
        <f aca="false">IF(ISBLANK($C60),"",IF($AB60&lt;&gt;Constants!$B$7,$AB60,IF(AJ60=1,AF60,AI60)))</f>
        <v/>
      </c>
      <c r="AM60" s="97" t="str">
        <f aca="false">IF(ISBLANK($C60),"",IF($AB60=Constants!$B$7,IF(ISNUMBER(AL60),RANK(AL60,$AL$8:$AL$507),Constants!$B$14),$AB60))</f>
        <v/>
      </c>
      <c r="AN60" s="97" t="str">
        <f aca="false">IF(ISBLANK($C60),"",IF($AB60=Constants!$B$7,IF(AK60=1,AF60,AI60),""))</f>
        <v/>
      </c>
      <c r="AO60" s="97" t="str">
        <f aca="false">IF(ISBLANK($C60),"",IF($AB60=Constants!$B$7,RANK(AN60,$AN$8:$AN$507),$AB60))</f>
        <v/>
      </c>
      <c r="AP60" s="97" t="str">
        <f aca="false">IF(ISBLANK($C60),"",IF($AB60=Constants!$B$7,IF(ISNUMBER(AM60),COUNTIFS($AM$8:$AM$507,"&lt;"&amp;$AM60)+COUNTIFS($AM$8:$AM$507,$AM60,$AO$8:$AO$507,"&lt;"&amp;$AO60)+1,Constants!$B$14),$AB60))</f>
        <v/>
      </c>
      <c r="AQ60" s="97" t="str">
        <f aca="false">IF(ISBLANK($C60),"",IF($AB60=Constants!$B$7,IF(ISNUMBER(AM60),AM60-AP60,Constants!$B$14),$AB60))</f>
        <v/>
      </c>
      <c r="AR60" s="98"/>
      <c r="AS60" s="99" t="str">
        <f aca="false">IF(ISBLANK($C60),"",IF($AB60&lt;&gt;Constants!$B$7,"",AJ60))</f>
        <v/>
      </c>
      <c r="AT60" s="100" t="str">
        <f aca="false">IF(ISBLANK($C60),"",IF($AB60&lt;&gt;Constants!$B$7,"",IF(AJ60=1,AD60,AG60)))</f>
        <v/>
      </c>
      <c r="AU60" s="101" t="str">
        <f aca="false">IF(ISBLANK($C60),"",IF($AB60&lt;&gt;Constants!$B$7,"",IF(AJ60=1,AE60,AH60)))</f>
        <v/>
      </c>
      <c r="AV60" s="102" t="str">
        <f aca="false">IF(ISBLANK($C60),"",IF($AB60&lt;&gt;Constants!$B$7,$AB60,AL60))</f>
        <v/>
      </c>
      <c r="AW60" s="103" t="str">
        <f aca="false">IF(ISBLANK($C60),"",IF($AB60&lt;&gt;Constants!$B$7,$AB60,AC60))</f>
        <v/>
      </c>
      <c r="AX60" s="104" t="str">
        <f aca="false">IF(ISBLANK($C60),"",AQ60)</f>
        <v/>
      </c>
      <c r="AY60" s="104" t="str">
        <f aca="false">IF(ISBLANK($C60),"",AP60)</f>
        <v/>
      </c>
      <c r="AZ60" s="105" t="str">
        <f aca="false">IF(ISBLANK($C60),"",IF(AY60=Constants!$B$4,COUNTA($C$8:$C$507)+2,IF(AY60=Constants!$B$5,COUNTA($C$8:$C$507)+1,IF(AY60=Constants!$B$6,COUNTA($C$8:$C$507),AY60))))</f>
        <v/>
      </c>
      <c r="BA60" s="5"/>
      <c r="BB60" s="106" t="n">
        <f aca="false">IF(OR(ISNUMBER(AY60),AY60=Constants!$B$4,AY60=Constants!$B$6,AY60=Constants!$B$5),1,0)</f>
        <v>0</v>
      </c>
      <c r="BC60" s="106" t="n">
        <v>53</v>
      </c>
      <c r="BD60" s="106" t="str">
        <f aca="false">IF(ISBLANK($C60),"",IF(ISNUMBER(AZ60),AZ60+ROW($B60)/1000,""))</f>
        <v/>
      </c>
      <c r="BE60" s="106" t="str">
        <f aca="false">IF(ISNUMBER(BD60),RANK(BD60,$BD$8:$BD$507,1),"")</f>
        <v/>
      </c>
      <c r="BF60" s="106" t="str">
        <f aca="false">IF(ISBLANK($C60),"",$B60)</f>
        <v/>
      </c>
      <c r="BG60" s="106" t="str">
        <f aca="false">IF(ISBLANK($C60),"",$C60)</f>
        <v/>
      </c>
      <c r="BH60" s="106" t="str">
        <f aca="false">IF(ISBLANK($C60),"",$D60)</f>
        <v/>
      </c>
      <c r="BI60" s="107" t="str">
        <f aca="false">AW60</f>
        <v/>
      </c>
      <c r="BJ60" s="108" t="str">
        <f aca="false">AV60</f>
        <v/>
      </c>
      <c r="BK60" s="106" t="str">
        <f aca="false">IF(ISBLANK($C60),"",AY60)</f>
        <v/>
      </c>
      <c r="BL60" s="109" t="str">
        <f aca="false">IF($BC60&gt;$BB$7,"",VLOOKUP($BC60,$BE$8:$BK$507,7,FALSE()))</f>
        <v/>
      </c>
      <c r="BM60" s="110" t="str">
        <f aca="false">IF($BC60&gt;$BB$7,"",VLOOKUP($BC60,$BE$8:$BK$507,2,FALSE()))</f>
        <v/>
      </c>
      <c r="BN60" s="110" t="str">
        <f aca="false">IF($BC60&gt;$BB$7,"",VLOOKUP($BC60,$BE$8:$BK$507,3,FALSE()))</f>
        <v/>
      </c>
      <c r="BO60" s="110" t="str">
        <f aca="false">IF($BC60&gt;$BB$7,"",VLOOKUP($BC60,$BE$8:$BK$507,4,FALSE()))</f>
        <v/>
      </c>
      <c r="BP60" s="110" t="str">
        <f aca="false">IF($BC60&gt;$BB$7,"",VLOOKUP($BC60,$BE$8:$BK$507,5,FALSE()))</f>
        <v/>
      </c>
      <c r="BQ60" s="111" t="str">
        <f aca="false">IF($BC60&gt;$BB$7,"",VLOOKUP($BC60,$BE$8:$BK$507,6,FALSE()))</f>
        <v/>
      </c>
      <c r="BR60" s="54"/>
    </row>
    <row r="61" customFormat="false" ht="13.8" hidden="false" customHeight="false" outlineLevel="0" collapsed="false">
      <c r="A61" s="5"/>
      <c r="B61" s="120"/>
      <c r="C61" s="121"/>
      <c r="D61" s="112"/>
      <c r="E61" s="123"/>
      <c r="F61" s="91"/>
      <c r="G61" s="92"/>
      <c r="H61" s="93"/>
      <c r="I61" s="94"/>
      <c r="J61" s="91"/>
      <c r="K61" s="92"/>
      <c r="L61" s="93"/>
      <c r="M61" s="94"/>
      <c r="N61" s="91"/>
      <c r="O61" s="123"/>
      <c r="P61" s="96"/>
      <c r="Q61" s="97" t="str">
        <f aca="false">IF(ISBLANK($C61),"",IF(E61=Constants!$B$2, TRUE(), IF(E61=Constants!$B$3, FALSE(), TRUE())))</f>
        <v/>
      </c>
      <c r="R61" s="97" t="str">
        <f aca="false">IF(ISBLANK($C61),"",IF(F61=Constants!$B$16,Constants!$B$9,IF(F61=Constants!$B$17,Constants!$B$10,Constants!$B$8)))</f>
        <v/>
      </c>
      <c r="S61" s="97" t="str">
        <f aca="false">IF(ISBLANK($C61),"",IF(COUNTA(G61:H61)=0,"",IF(AND(OR(ISBLANK(G61),AND(ISNUMBER(G61),G61&gt;=0)),OR(ISBLANK(H61),AND(ISNUMBER(H61),H61&gt;=0))),60*IF(ISBLANK(G61),0,G61)+IF(ISBLANK(H61),0,H61),"")))</f>
        <v/>
      </c>
      <c r="T61" s="97" t="str">
        <f aca="false">IF(ISBLANK($C61),"",IF(I61=Constants!$B$2, TRUE(), IF(I61=Constants!$B$3, FALSE(), TRUE())))</f>
        <v/>
      </c>
      <c r="U61" s="97" t="str">
        <f aca="false">IF(ISBLANK($C61),"",IF(J61=Constants!$B$2, TRUE(), IF(J61=Constants!$B$3, FALSE(), TRUE())))</f>
        <v/>
      </c>
      <c r="V61" s="97" t="str">
        <f aca="false">IF(ISBLANK($C61),"",IF(COUNTA(K61:L61)=0,"",IF(AND(OR(ISBLANK(K61),AND(ISNUMBER(K61),K61&gt;=0)),OR(ISBLANK(L61),AND(ISNUMBER(L61),L61&gt;=0))),60*IF(ISBLANK(K61),0,K61)+IF(ISBLANK(L61),0,L61),"")))</f>
        <v/>
      </c>
      <c r="W61" s="97" t="str">
        <f aca="false">IF(ISBLANK($C61),"",IF(M61=Constants!$B$2, TRUE(), IF(M61=Constants!$B$3, FALSE(), TRUE())))</f>
        <v/>
      </c>
      <c r="X61" s="97" t="str">
        <f aca="false">IF(ISBLANK($C61),"",IF(N61=Constants!$B$2, TRUE(), IF(N61=Constants!$B$3, FALSE(), TRUE())))</f>
        <v/>
      </c>
      <c r="Y61" s="97" t="str">
        <f aca="false">IF(ISBLANK($C61),"",IF(O61=Constants!$B$2, TRUE(), IF(O61=Constants!$B$3, FALSE(), FALSE())))</f>
        <v/>
      </c>
      <c r="Z61" s="97" t="str">
        <f aca="false">IF(ISBLANK($C61),"",AND(S61&lt;&gt;"",Q61))</f>
        <v/>
      </c>
      <c r="AA61" s="97" t="str">
        <f aca="false">IF(ISBLANK($C61),"",AND(V61&lt;&gt;"",Q61))</f>
        <v/>
      </c>
      <c r="AB61" s="97" t="str">
        <f aca="false">IF(ISBLANK($C61),"",IF(Y61,Constants!$B$4,IF(COUNTA(E61:N61)=0,Constants!$B$5,IF(NOT(Q61),Constants!$B$6,IF(AND(NOT(Z61),NOT(AA61)),Constants!$B$6,Constants!$B$7)))))</f>
        <v/>
      </c>
      <c r="AC61" s="97" t="str">
        <f aca="false">IF(ISBLANK($C61),"",IF($AB61&lt;&gt;Constants!$B$7,$AB61,Constants!$B$20))</f>
        <v/>
      </c>
      <c r="AD61" s="97" t="str">
        <f aca="false">IF($AB61=Constants!$B$7,IF(Z61,S61,Constants!$B$13),"")</f>
        <v/>
      </c>
      <c r="AE61" s="97" t="str">
        <f aca="false">IF($AB61=Constants!$B$7,IF(Z61,R61*IF(T61, 1, Constants!$B$11)*IF(U61, 1, Constants!$B$12),Constants!$B$13),"")</f>
        <v/>
      </c>
      <c r="AF61" s="97" t="str">
        <f aca="false">IF($AB61=Constants!$B$7,AD61*AE61,"")</f>
        <v/>
      </c>
      <c r="AG61" s="97" t="str">
        <f aca="false">IF($AB61=Constants!$B$7,IF(AA61,V61,Constants!$B$13),"")</f>
        <v/>
      </c>
      <c r="AH61" s="97" t="str">
        <f aca="false">IF($AB61=Constants!$B$7,IF(AA61,R61*IF(W61, 1, Constants!$B$11)*IF(X61, 1, Constants!$B$12),Constants!$B$13),"")</f>
        <v/>
      </c>
      <c r="AI61" s="97" t="str">
        <f aca="false">IF($AB61=Constants!$B$7,AG61*AH61,"")</f>
        <v/>
      </c>
      <c r="AJ61" s="97" t="str">
        <f aca="false">IF($AB61=Constants!$B$7,IF(AI61&gt;AF61,2,1),"")</f>
        <v/>
      </c>
      <c r="AK61" s="97" t="str">
        <f aca="false">IF($AB61=Constants!$B$7,IF(AJ61=1,2,1),"")</f>
        <v/>
      </c>
      <c r="AL61" s="97" t="str">
        <f aca="false">IF(ISBLANK($C61),"",IF($AB61&lt;&gt;Constants!$B$7,$AB61,IF(AJ61=1,AF61,AI61)))</f>
        <v/>
      </c>
      <c r="AM61" s="97" t="str">
        <f aca="false">IF(ISBLANK($C61),"",IF($AB61=Constants!$B$7,IF(ISNUMBER(AL61),RANK(AL61,$AL$8:$AL$507),Constants!$B$14),$AB61))</f>
        <v/>
      </c>
      <c r="AN61" s="97" t="str">
        <f aca="false">IF(ISBLANK($C61),"",IF($AB61=Constants!$B$7,IF(AK61=1,AF61,AI61),""))</f>
        <v/>
      </c>
      <c r="AO61" s="97" t="str">
        <f aca="false">IF(ISBLANK($C61),"",IF($AB61=Constants!$B$7,RANK(AN61,$AN$8:$AN$507),$AB61))</f>
        <v/>
      </c>
      <c r="AP61" s="97" t="str">
        <f aca="false">IF(ISBLANK($C61),"",IF($AB61=Constants!$B$7,IF(ISNUMBER(AM61),COUNTIFS($AM$8:$AM$507,"&lt;"&amp;$AM61)+COUNTIFS($AM$8:$AM$507,$AM61,$AO$8:$AO$507,"&lt;"&amp;$AO61)+1,Constants!$B$14),$AB61))</f>
        <v/>
      </c>
      <c r="AQ61" s="97" t="str">
        <f aca="false">IF(ISBLANK($C61),"",IF($AB61=Constants!$B$7,IF(ISNUMBER(AM61),AM61-AP61,Constants!$B$14),$AB61))</f>
        <v/>
      </c>
      <c r="AR61" s="98"/>
      <c r="AS61" s="99" t="str">
        <f aca="false">IF(ISBLANK($C61),"",IF($AB61&lt;&gt;Constants!$B$7,"",AJ61))</f>
        <v/>
      </c>
      <c r="AT61" s="100" t="str">
        <f aca="false">IF(ISBLANK($C61),"",IF($AB61&lt;&gt;Constants!$B$7,"",IF(AJ61=1,AD61,AG61)))</f>
        <v/>
      </c>
      <c r="AU61" s="101" t="str">
        <f aca="false">IF(ISBLANK($C61),"",IF($AB61&lt;&gt;Constants!$B$7,"",IF(AJ61=1,AE61,AH61)))</f>
        <v/>
      </c>
      <c r="AV61" s="102" t="str">
        <f aca="false">IF(ISBLANK($C61),"",IF($AB61&lt;&gt;Constants!$B$7,$AB61,AL61))</f>
        <v/>
      </c>
      <c r="AW61" s="103" t="str">
        <f aca="false">IF(ISBLANK($C61),"",IF($AB61&lt;&gt;Constants!$B$7,$AB61,AC61))</f>
        <v/>
      </c>
      <c r="AX61" s="104" t="str">
        <f aca="false">IF(ISBLANK($C61),"",AQ61)</f>
        <v/>
      </c>
      <c r="AY61" s="104" t="str">
        <f aca="false">IF(ISBLANK($C61),"",AP61)</f>
        <v/>
      </c>
      <c r="AZ61" s="105" t="str">
        <f aca="false">IF(ISBLANK($C61),"",IF(AY61=Constants!$B$4,COUNTA($C$8:$C$507)+2,IF(AY61=Constants!$B$5,COUNTA($C$8:$C$507)+1,IF(AY61=Constants!$B$6,COUNTA($C$8:$C$507),AY61))))</f>
        <v/>
      </c>
      <c r="BA61" s="5"/>
      <c r="BB61" s="106" t="n">
        <f aca="false">IF(OR(ISNUMBER(AY61),AY61=Constants!$B$4,AY61=Constants!$B$6,AY61=Constants!$B$5),1,0)</f>
        <v>0</v>
      </c>
      <c r="BC61" s="106" t="n">
        <v>54</v>
      </c>
      <c r="BD61" s="106" t="str">
        <f aca="false">IF(ISBLANK($C61),"",IF(ISNUMBER(AZ61),AZ61+ROW($B61)/1000,""))</f>
        <v/>
      </c>
      <c r="BE61" s="106" t="str">
        <f aca="false">IF(ISNUMBER(BD61),RANK(BD61,$BD$8:$BD$507,1),"")</f>
        <v/>
      </c>
      <c r="BF61" s="106" t="str">
        <f aca="false">IF(ISBLANK($C61),"",$B61)</f>
        <v/>
      </c>
      <c r="BG61" s="106" t="str">
        <f aca="false">IF(ISBLANK($C61),"",$C61)</f>
        <v/>
      </c>
      <c r="BH61" s="106" t="str">
        <f aca="false">IF(ISBLANK($C61),"",$D61)</f>
        <v/>
      </c>
      <c r="BI61" s="107" t="str">
        <f aca="false">AW61</f>
        <v/>
      </c>
      <c r="BJ61" s="108" t="str">
        <f aca="false">AV61</f>
        <v/>
      </c>
      <c r="BK61" s="106" t="str">
        <f aca="false">IF(ISBLANK($C61),"",AY61)</f>
        <v/>
      </c>
      <c r="BL61" s="109" t="str">
        <f aca="false">IF($BC61&gt;$BB$7,"",VLOOKUP($BC61,$BE$8:$BK$507,7,FALSE()))</f>
        <v/>
      </c>
      <c r="BM61" s="110" t="str">
        <f aca="false">IF($BC61&gt;$BB$7,"",VLOOKUP($BC61,$BE$8:$BK$507,2,FALSE()))</f>
        <v/>
      </c>
      <c r="BN61" s="110" t="str">
        <f aca="false">IF($BC61&gt;$BB$7,"",VLOOKUP($BC61,$BE$8:$BK$507,3,FALSE()))</f>
        <v/>
      </c>
      <c r="BO61" s="110" t="str">
        <f aca="false">IF($BC61&gt;$BB$7,"",VLOOKUP($BC61,$BE$8:$BK$507,4,FALSE()))</f>
        <v/>
      </c>
      <c r="BP61" s="110" t="str">
        <f aca="false">IF($BC61&gt;$BB$7,"",VLOOKUP($BC61,$BE$8:$BK$507,5,FALSE()))</f>
        <v/>
      </c>
      <c r="BQ61" s="111" t="str">
        <f aca="false">IF($BC61&gt;$BB$7,"",VLOOKUP($BC61,$BE$8:$BK$507,6,FALSE()))</f>
        <v/>
      </c>
      <c r="BR61" s="54"/>
    </row>
    <row r="62" customFormat="false" ht="13.8" hidden="false" customHeight="false" outlineLevel="0" collapsed="false">
      <c r="A62" s="5"/>
      <c r="B62" s="124"/>
      <c r="C62" s="56"/>
      <c r="D62" s="57"/>
      <c r="E62" s="83"/>
      <c r="F62" s="59"/>
      <c r="G62" s="60"/>
      <c r="H62" s="61"/>
      <c r="I62" s="62"/>
      <c r="J62" s="59"/>
      <c r="K62" s="60"/>
      <c r="L62" s="61"/>
      <c r="M62" s="62"/>
      <c r="N62" s="59"/>
      <c r="O62" s="83"/>
      <c r="P62" s="64"/>
      <c r="Q62" s="66" t="str">
        <f aca="false">IF(ISBLANK($C62),"",IF(E62=Constants!$B$2, TRUE(), IF(E62=Constants!$B$3, FALSE(), TRUE())))</f>
        <v/>
      </c>
      <c r="R62" s="66" t="str">
        <f aca="false">IF(ISBLANK($C62),"",IF(F62=Constants!$B$16,Constants!$B$9,IF(F62=Constants!$B$17,Constants!$B$10,Constants!$B$8)))</f>
        <v/>
      </c>
      <c r="S62" s="66" t="str">
        <f aca="false">IF(ISBLANK($C62),"",IF(COUNTA(G62:H62)=0,"",IF(AND(OR(ISBLANK(G62),AND(ISNUMBER(G62),G62&gt;=0)),OR(ISBLANK(H62),AND(ISNUMBER(H62),H62&gt;=0))),60*IF(ISBLANK(G62),0,G62)+IF(ISBLANK(H62),0,H62),"")))</f>
        <v/>
      </c>
      <c r="T62" s="66" t="str">
        <f aca="false">IF(ISBLANK($C62),"",IF(I62=Constants!$B$2, TRUE(), IF(I62=Constants!$B$3, FALSE(), TRUE())))</f>
        <v/>
      </c>
      <c r="U62" s="66" t="str">
        <f aca="false">IF(ISBLANK($C62),"",IF(J62=Constants!$B$2, TRUE(), IF(J62=Constants!$B$3, FALSE(), TRUE())))</f>
        <v/>
      </c>
      <c r="V62" s="66" t="str">
        <f aca="false">IF(ISBLANK($C62),"",IF(COUNTA(K62:L62)=0,"",IF(AND(OR(ISBLANK(K62),AND(ISNUMBER(K62),K62&gt;=0)),OR(ISBLANK(L62),AND(ISNUMBER(L62),L62&gt;=0))),60*IF(ISBLANK(K62),0,K62)+IF(ISBLANK(L62),0,L62),"")))</f>
        <v/>
      </c>
      <c r="W62" s="66" t="str">
        <f aca="false">IF(ISBLANK($C62),"",IF(M62=Constants!$B$2, TRUE(), IF(M62=Constants!$B$3, FALSE(), TRUE())))</f>
        <v/>
      </c>
      <c r="X62" s="66" t="str">
        <f aca="false">IF(ISBLANK($C62),"",IF(N62=Constants!$B$2, TRUE(), IF(N62=Constants!$B$3, FALSE(), TRUE())))</f>
        <v/>
      </c>
      <c r="Y62" s="66" t="str">
        <f aca="false">IF(ISBLANK($C62),"",IF(O62=Constants!$B$2, TRUE(), IF(O62=Constants!$B$3, FALSE(), FALSE())))</f>
        <v/>
      </c>
      <c r="Z62" s="66" t="str">
        <f aca="false">IF(ISBLANK($C62),"",AND(S62&lt;&gt;"",Q62))</f>
        <v/>
      </c>
      <c r="AA62" s="66" t="str">
        <f aca="false">IF(ISBLANK($C62),"",AND(V62&lt;&gt;"",Q62))</f>
        <v/>
      </c>
      <c r="AB62" s="66" t="str">
        <f aca="false">IF(ISBLANK($C62),"",IF(Y62,Constants!$B$4,IF(COUNTA(E62:N62)=0,Constants!$B$5,IF(NOT(Q62),Constants!$B$6,IF(AND(NOT(Z62),NOT(AA62)),Constants!$B$6,Constants!$B$7)))))</f>
        <v/>
      </c>
      <c r="AC62" s="66" t="str">
        <f aca="false">IF(ISBLANK($C62),"",IF($AB62&lt;&gt;Constants!$B$7,$AB62,Constants!$B$20))</f>
        <v/>
      </c>
      <c r="AD62" s="66" t="str">
        <f aca="false">IF($AB62=Constants!$B$7,IF(Z62,S62,Constants!$B$13),"")</f>
        <v/>
      </c>
      <c r="AE62" s="66" t="str">
        <f aca="false">IF($AB62=Constants!$B$7,IF(Z62,R62*IF(T62, 1, Constants!$B$11)*IF(U62, 1, Constants!$B$12),Constants!$B$13),"")</f>
        <v/>
      </c>
      <c r="AF62" s="66" t="str">
        <f aca="false">IF($AB62=Constants!$B$7,AD62*AE62,"")</f>
        <v/>
      </c>
      <c r="AG62" s="66" t="str">
        <f aca="false">IF($AB62=Constants!$B$7,IF(AA62,V62,Constants!$B$13),"")</f>
        <v/>
      </c>
      <c r="AH62" s="66" t="str">
        <f aca="false">IF($AB62=Constants!$B$7,IF(AA62,R62*IF(W62, 1, Constants!$B$11)*IF(X62, 1, Constants!$B$12),Constants!$B$13),"")</f>
        <v/>
      </c>
      <c r="AI62" s="66" t="str">
        <f aca="false">IF($AB62=Constants!$B$7,AG62*AH62,"")</f>
        <v/>
      </c>
      <c r="AJ62" s="66" t="str">
        <f aca="false">IF($AB62=Constants!$B$7,IF(AI62&gt;AF62,2,1),"")</f>
        <v/>
      </c>
      <c r="AK62" s="66" t="str">
        <f aca="false">IF($AB62=Constants!$B$7,IF(AJ62=1,2,1),"")</f>
        <v/>
      </c>
      <c r="AL62" s="66" t="str">
        <f aca="false">IF(ISBLANK($C62),"",IF($AB62&lt;&gt;Constants!$B$7,$AB62,IF(AJ62=1,AF62,AI62)))</f>
        <v/>
      </c>
      <c r="AM62" s="66" t="str">
        <f aca="false">IF(ISBLANK($C62),"",IF($AB62=Constants!$B$7,IF(ISNUMBER(AL62),RANK(AL62,$AL$8:$AL$507),Constants!$B$14),$AB62))</f>
        <v/>
      </c>
      <c r="AN62" s="66" t="str">
        <f aca="false">IF(ISBLANK($C62),"",IF($AB62=Constants!$B$7,IF(AK62=1,AF62,AI62),""))</f>
        <v/>
      </c>
      <c r="AO62" s="66" t="str">
        <f aca="false">IF(ISBLANK($C62),"",IF($AB62=Constants!$B$7,RANK(AN62,$AN$8:$AN$507),$AB62))</f>
        <v/>
      </c>
      <c r="AP62" s="66" t="str">
        <f aca="false">IF(ISBLANK($C62),"",IF($AB62=Constants!$B$7,IF(ISNUMBER(AM62),COUNTIFS($AM$8:$AM$507,"&lt;"&amp;$AM62)+COUNTIFS($AM$8:$AM$507,$AM62,$AO$8:$AO$507,"&lt;"&amp;$AO62)+1,Constants!$B$14),$AB62))</f>
        <v/>
      </c>
      <c r="AQ62" s="66" t="str">
        <f aca="false">IF(ISBLANK($C62),"",IF($AB62=Constants!$B$7,IF(ISNUMBER(AM62),AM62-AP62,Constants!$B$14),$AB62))</f>
        <v/>
      </c>
      <c r="AR62" s="68"/>
      <c r="AS62" s="69" t="str">
        <f aca="false">IF(ISBLANK($C62),"",IF($AB62&lt;&gt;Constants!$B$7,"",AJ62))</f>
        <v/>
      </c>
      <c r="AT62" s="84" t="str">
        <f aca="false">IF(ISBLANK($C62),"",IF($AB62&lt;&gt;Constants!$B$7,"",IF(AJ62=1,AD62,AG62)))</f>
        <v/>
      </c>
      <c r="AU62" s="71" t="str">
        <f aca="false">IF(ISBLANK($C62),"",IF($AB62&lt;&gt;Constants!$B$7,"",IF(AJ62=1,AE62,AH62)))</f>
        <v/>
      </c>
      <c r="AV62" s="72" t="str">
        <f aca="false">IF(ISBLANK($C62),"",IF($AB62&lt;&gt;Constants!$B$7,$AB62,AL62))</f>
        <v/>
      </c>
      <c r="AW62" s="73" t="str">
        <f aca="false">IF(ISBLANK($C62),"",IF($AB62&lt;&gt;Constants!$B$7,$AB62,AC62))</f>
        <v/>
      </c>
      <c r="AX62" s="74" t="str">
        <f aca="false">IF(ISBLANK($C62),"",AQ62)</f>
        <v/>
      </c>
      <c r="AY62" s="74" t="str">
        <f aca="false">IF(ISBLANK($C62),"",AP62)</f>
        <v/>
      </c>
      <c r="AZ62" s="75" t="str">
        <f aca="false">IF(ISBLANK($C62),"",IF(AY62=Constants!$B$4,COUNTA($C$8:$C$507)+2,IF(AY62=Constants!$B$5,COUNTA($C$8:$C$507)+1,IF(AY62=Constants!$B$6,COUNTA($C$8:$C$507),AY62))))</f>
        <v/>
      </c>
      <c r="BA62" s="5"/>
      <c r="BB62" s="76" t="n">
        <f aca="false">IF(OR(ISNUMBER(AY62),AY62=Constants!$B$4,AY62=Constants!$B$6,AY62=Constants!$B$5),1,0)</f>
        <v>0</v>
      </c>
      <c r="BC62" s="76" t="n">
        <v>55</v>
      </c>
      <c r="BD62" s="76" t="str">
        <f aca="false">IF(ISBLANK($C62),"",IF(ISNUMBER(AZ62),AZ62+ROW($B62)/1000,""))</f>
        <v/>
      </c>
      <c r="BE62" s="76" t="str">
        <f aca="false">IF(ISNUMBER(BD62),RANK(BD62,$BD$8:$BD$507,1),"")</f>
        <v/>
      </c>
      <c r="BF62" s="76" t="str">
        <f aca="false">IF(ISBLANK($C62),"",$B62)</f>
        <v/>
      </c>
      <c r="BG62" s="76" t="str">
        <f aca="false">IF(ISBLANK($C62),"",$C62)</f>
        <v/>
      </c>
      <c r="BH62" s="76" t="str">
        <f aca="false">IF(ISBLANK($C62),"",$D62)</f>
        <v/>
      </c>
      <c r="BI62" s="77" t="str">
        <f aca="false">AW62</f>
        <v/>
      </c>
      <c r="BJ62" s="78" t="str">
        <f aca="false">AV62</f>
        <v/>
      </c>
      <c r="BK62" s="76" t="str">
        <f aca="false">IF(ISBLANK($C62),"",AY62)</f>
        <v/>
      </c>
      <c r="BL62" s="79" t="str">
        <f aca="false">IF($BC62&gt;$BB$7,"",VLOOKUP($BC62,$BE$8:$BK$507,7,FALSE()))</f>
        <v/>
      </c>
      <c r="BM62" s="80" t="str">
        <f aca="false">IF($BC62&gt;$BB$7,"",VLOOKUP($BC62,$BE$8:$BK$507,2,FALSE()))</f>
        <v/>
      </c>
      <c r="BN62" s="80" t="str">
        <f aca="false">IF($BC62&gt;$BB$7,"",VLOOKUP($BC62,$BE$8:$BK$507,3,FALSE()))</f>
        <v/>
      </c>
      <c r="BO62" s="80" t="str">
        <f aca="false">IF($BC62&gt;$BB$7,"",VLOOKUP($BC62,$BE$8:$BK$507,4,FALSE()))</f>
        <v/>
      </c>
      <c r="BP62" s="80" t="str">
        <f aca="false">IF($BC62&gt;$BB$7,"",VLOOKUP($BC62,$BE$8:$BK$507,5,FALSE()))</f>
        <v/>
      </c>
      <c r="BQ62" s="81" t="str">
        <f aca="false">IF($BC62&gt;$BB$7,"",VLOOKUP($BC62,$BE$8:$BK$507,6,FALSE()))</f>
        <v/>
      </c>
      <c r="BR62" s="54"/>
    </row>
    <row r="63" customFormat="false" ht="13.8" hidden="false" customHeight="false" outlineLevel="0" collapsed="false">
      <c r="A63" s="5"/>
      <c r="B63" s="124"/>
      <c r="C63" s="56"/>
      <c r="D63" s="57"/>
      <c r="E63" s="83"/>
      <c r="F63" s="59"/>
      <c r="G63" s="60"/>
      <c r="H63" s="61"/>
      <c r="I63" s="62"/>
      <c r="J63" s="59"/>
      <c r="K63" s="60"/>
      <c r="L63" s="61"/>
      <c r="M63" s="62"/>
      <c r="N63" s="59"/>
      <c r="O63" s="83"/>
      <c r="P63" s="64"/>
      <c r="Q63" s="66" t="str">
        <f aca="false">IF(ISBLANK($C63),"",IF(E63=Constants!$B$2, TRUE(), IF(E63=Constants!$B$3, FALSE(), TRUE())))</f>
        <v/>
      </c>
      <c r="R63" s="66" t="str">
        <f aca="false">IF(ISBLANK($C63),"",IF(F63=Constants!$B$16,Constants!$B$9,IF(F63=Constants!$B$17,Constants!$B$10,Constants!$B$8)))</f>
        <v/>
      </c>
      <c r="S63" s="66" t="str">
        <f aca="false">IF(ISBLANK($C63),"",IF(COUNTA(G63:H63)=0,"",IF(AND(OR(ISBLANK(G63),AND(ISNUMBER(G63),G63&gt;=0)),OR(ISBLANK(H63),AND(ISNUMBER(H63),H63&gt;=0))),60*IF(ISBLANK(G63),0,G63)+IF(ISBLANK(H63),0,H63),"")))</f>
        <v/>
      </c>
      <c r="T63" s="66" t="str">
        <f aca="false">IF(ISBLANK($C63),"",IF(I63=Constants!$B$2, TRUE(), IF(I63=Constants!$B$3, FALSE(), TRUE())))</f>
        <v/>
      </c>
      <c r="U63" s="66" t="str">
        <f aca="false">IF(ISBLANK($C63),"",IF(J63=Constants!$B$2, TRUE(), IF(J63=Constants!$B$3, FALSE(), TRUE())))</f>
        <v/>
      </c>
      <c r="V63" s="66" t="str">
        <f aca="false">IF(ISBLANK($C63),"",IF(COUNTA(K63:L63)=0,"",IF(AND(OR(ISBLANK(K63),AND(ISNUMBER(K63),K63&gt;=0)),OR(ISBLANK(L63),AND(ISNUMBER(L63),L63&gt;=0))),60*IF(ISBLANK(K63),0,K63)+IF(ISBLANK(L63),0,L63),"")))</f>
        <v/>
      </c>
      <c r="W63" s="66" t="str">
        <f aca="false">IF(ISBLANK($C63),"",IF(M63=Constants!$B$2, TRUE(), IF(M63=Constants!$B$3, FALSE(), TRUE())))</f>
        <v/>
      </c>
      <c r="X63" s="66" t="str">
        <f aca="false">IF(ISBLANK($C63),"",IF(N63=Constants!$B$2, TRUE(), IF(N63=Constants!$B$3, FALSE(), TRUE())))</f>
        <v/>
      </c>
      <c r="Y63" s="66" t="str">
        <f aca="false">IF(ISBLANK($C63),"",IF(O63=Constants!$B$2, TRUE(), IF(O63=Constants!$B$3, FALSE(), FALSE())))</f>
        <v/>
      </c>
      <c r="Z63" s="66" t="str">
        <f aca="false">IF(ISBLANK($C63),"",AND(S63&lt;&gt;"",Q63))</f>
        <v/>
      </c>
      <c r="AA63" s="66" t="str">
        <f aca="false">IF(ISBLANK($C63),"",AND(V63&lt;&gt;"",Q63))</f>
        <v/>
      </c>
      <c r="AB63" s="66" t="str">
        <f aca="false">IF(ISBLANK($C63),"",IF(Y63,Constants!$B$4,IF(COUNTA(E63:N63)=0,Constants!$B$5,IF(NOT(Q63),Constants!$B$6,IF(AND(NOT(Z63),NOT(AA63)),Constants!$B$6,Constants!$B$7)))))</f>
        <v/>
      </c>
      <c r="AC63" s="66" t="str">
        <f aca="false">IF(ISBLANK($C63),"",IF($AB63&lt;&gt;Constants!$B$7,$AB63,Constants!$B$20))</f>
        <v/>
      </c>
      <c r="AD63" s="66" t="str">
        <f aca="false">IF($AB63=Constants!$B$7,IF(Z63,S63,Constants!$B$13),"")</f>
        <v/>
      </c>
      <c r="AE63" s="66" t="str">
        <f aca="false">IF($AB63=Constants!$B$7,IF(Z63,R63*IF(T63, 1, Constants!$B$11)*IF(U63, 1, Constants!$B$12),Constants!$B$13),"")</f>
        <v/>
      </c>
      <c r="AF63" s="66" t="str">
        <f aca="false">IF($AB63=Constants!$B$7,AD63*AE63,"")</f>
        <v/>
      </c>
      <c r="AG63" s="66" t="str">
        <f aca="false">IF($AB63=Constants!$B$7,IF(AA63,V63,Constants!$B$13),"")</f>
        <v/>
      </c>
      <c r="AH63" s="66" t="str">
        <f aca="false">IF($AB63=Constants!$B$7,IF(AA63,R63*IF(W63, 1, Constants!$B$11)*IF(X63, 1, Constants!$B$12),Constants!$B$13),"")</f>
        <v/>
      </c>
      <c r="AI63" s="66" t="str">
        <f aca="false">IF($AB63=Constants!$B$7,AG63*AH63,"")</f>
        <v/>
      </c>
      <c r="AJ63" s="66" t="str">
        <f aca="false">IF($AB63=Constants!$B$7,IF(AI63&gt;AF63,2,1),"")</f>
        <v/>
      </c>
      <c r="AK63" s="66" t="str">
        <f aca="false">IF($AB63=Constants!$B$7,IF(AJ63=1,2,1),"")</f>
        <v/>
      </c>
      <c r="AL63" s="66" t="str">
        <f aca="false">IF(ISBLANK($C63),"",IF($AB63&lt;&gt;Constants!$B$7,$AB63,IF(AJ63=1,AF63,AI63)))</f>
        <v/>
      </c>
      <c r="AM63" s="66" t="str">
        <f aca="false">IF(ISBLANK($C63),"",IF($AB63=Constants!$B$7,IF(ISNUMBER(AL63),RANK(AL63,$AL$8:$AL$507),Constants!$B$14),$AB63))</f>
        <v/>
      </c>
      <c r="AN63" s="66" t="str">
        <f aca="false">IF(ISBLANK($C63),"",IF($AB63=Constants!$B$7,IF(AK63=1,AF63,AI63),""))</f>
        <v/>
      </c>
      <c r="AO63" s="66" t="str">
        <f aca="false">IF(ISBLANK($C63),"",IF($AB63=Constants!$B$7,RANK(AN63,$AN$8:$AN$507),$AB63))</f>
        <v/>
      </c>
      <c r="AP63" s="66" t="str">
        <f aca="false">IF(ISBLANK($C63),"",IF($AB63=Constants!$B$7,IF(ISNUMBER(AM63),COUNTIFS($AM$8:$AM$507,"&lt;"&amp;$AM63)+COUNTIFS($AM$8:$AM$507,$AM63,$AO$8:$AO$507,"&lt;"&amp;$AO63)+1,Constants!$B$14),$AB63))</f>
        <v/>
      </c>
      <c r="AQ63" s="66" t="str">
        <f aca="false">IF(ISBLANK($C63),"",IF($AB63=Constants!$B$7,IF(ISNUMBER(AM63),AM63-AP63,Constants!$B$14),$AB63))</f>
        <v/>
      </c>
      <c r="AR63" s="68"/>
      <c r="AS63" s="69" t="str">
        <f aca="false">IF(ISBLANK($C63),"",IF($AB63&lt;&gt;Constants!$B$7,"",AJ63))</f>
        <v/>
      </c>
      <c r="AT63" s="84" t="str">
        <f aca="false">IF(ISBLANK($C63),"",IF($AB63&lt;&gt;Constants!$B$7,"",IF(AJ63=1,AD63,AG63)))</f>
        <v/>
      </c>
      <c r="AU63" s="71" t="str">
        <f aca="false">IF(ISBLANK($C63),"",IF($AB63&lt;&gt;Constants!$B$7,"",IF(AJ63=1,AE63,AH63)))</f>
        <v/>
      </c>
      <c r="AV63" s="72" t="str">
        <f aca="false">IF(ISBLANK($C63),"",IF($AB63&lt;&gt;Constants!$B$7,$AB63,AL63))</f>
        <v/>
      </c>
      <c r="AW63" s="73" t="str">
        <f aca="false">IF(ISBLANK($C63),"",IF($AB63&lt;&gt;Constants!$B$7,$AB63,AC63))</f>
        <v/>
      </c>
      <c r="AX63" s="74" t="str">
        <f aca="false">IF(ISBLANK($C63),"",AQ63)</f>
        <v/>
      </c>
      <c r="AY63" s="74" t="str">
        <f aca="false">IF(ISBLANK($C63),"",AP63)</f>
        <v/>
      </c>
      <c r="AZ63" s="75" t="str">
        <f aca="false">IF(ISBLANK($C63),"",IF(AY63=Constants!$B$4,COUNTA($C$8:$C$507)+2,IF(AY63=Constants!$B$5,COUNTA($C$8:$C$507)+1,IF(AY63=Constants!$B$6,COUNTA($C$8:$C$507),AY63))))</f>
        <v/>
      </c>
      <c r="BA63" s="5"/>
      <c r="BB63" s="76" t="n">
        <f aca="false">IF(OR(ISNUMBER(AY63),AY63=Constants!$B$4,AY63=Constants!$B$6,AY63=Constants!$B$5),1,0)</f>
        <v>0</v>
      </c>
      <c r="BC63" s="76" t="n">
        <v>56</v>
      </c>
      <c r="BD63" s="76" t="str">
        <f aca="false">IF(ISBLANK($C63),"",IF(ISNUMBER(AZ63),AZ63+ROW($B63)/1000,""))</f>
        <v/>
      </c>
      <c r="BE63" s="76" t="str">
        <f aca="false">IF(ISNUMBER(BD63),RANK(BD63,$BD$8:$BD$507,1),"")</f>
        <v/>
      </c>
      <c r="BF63" s="76" t="str">
        <f aca="false">IF(ISBLANK($C63),"",$B63)</f>
        <v/>
      </c>
      <c r="BG63" s="76" t="str">
        <f aca="false">IF(ISBLANK($C63),"",$C63)</f>
        <v/>
      </c>
      <c r="BH63" s="76" t="str">
        <f aca="false">IF(ISBLANK($C63),"",$D63)</f>
        <v/>
      </c>
      <c r="BI63" s="77" t="str">
        <f aca="false">AW63</f>
        <v/>
      </c>
      <c r="BJ63" s="78" t="str">
        <f aca="false">AV63</f>
        <v/>
      </c>
      <c r="BK63" s="76" t="str">
        <f aca="false">IF(ISBLANK($C63),"",AY63)</f>
        <v/>
      </c>
      <c r="BL63" s="79" t="str">
        <f aca="false">IF($BC63&gt;$BB$7,"",VLOOKUP($BC63,$BE$8:$BK$507,7,FALSE()))</f>
        <v/>
      </c>
      <c r="BM63" s="80" t="str">
        <f aca="false">IF($BC63&gt;$BB$7,"",VLOOKUP($BC63,$BE$8:$BK$507,2,FALSE()))</f>
        <v/>
      </c>
      <c r="BN63" s="80" t="str">
        <f aca="false">IF($BC63&gt;$BB$7,"",VLOOKUP($BC63,$BE$8:$BK$507,3,FALSE()))</f>
        <v/>
      </c>
      <c r="BO63" s="80" t="str">
        <f aca="false">IF($BC63&gt;$BB$7,"",VLOOKUP($BC63,$BE$8:$BK$507,4,FALSE()))</f>
        <v/>
      </c>
      <c r="BP63" s="80" t="str">
        <f aca="false">IF($BC63&gt;$BB$7,"",VLOOKUP($BC63,$BE$8:$BK$507,5,FALSE()))</f>
        <v/>
      </c>
      <c r="BQ63" s="81" t="str">
        <f aca="false">IF($BC63&gt;$BB$7,"",VLOOKUP($BC63,$BE$8:$BK$507,6,FALSE()))</f>
        <v/>
      </c>
      <c r="BR63" s="54"/>
    </row>
    <row r="64" customFormat="false" ht="13.8" hidden="false" customHeight="false" outlineLevel="0" collapsed="false">
      <c r="A64" s="5"/>
      <c r="B64" s="124"/>
      <c r="C64" s="56"/>
      <c r="D64" s="57"/>
      <c r="E64" s="83"/>
      <c r="F64" s="59"/>
      <c r="G64" s="60"/>
      <c r="H64" s="61"/>
      <c r="I64" s="62"/>
      <c r="J64" s="59"/>
      <c r="K64" s="60"/>
      <c r="L64" s="61"/>
      <c r="M64" s="62"/>
      <c r="N64" s="59"/>
      <c r="O64" s="83"/>
      <c r="P64" s="64"/>
      <c r="Q64" s="66" t="str">
        <f aca="false">IF(ISBLANK($C64),"",IF(E64=Constants!$B$2, TRUE(), IF(E64=Constants!$B$3, FALSE(), TRUE())))</f>
        <v/>
      </c>
      <c r="R64" s="66" t="str">
        <f aca="false">IF(ISBLANK($C64),"",IF(F64=Constants!$B$16,Constants!$B$9,IF(F64=Constants!$B$17,Constants!$B$10,Constants!$B$8)))</f>
        <v/>
      </c>
      <c r="S64" s="66" t="str">
        <f aca="false">IF(ISBLANK($C64),"",IF(COUNTA(G64:H64)=0,"",IF(AND(OR(ISBLANK(G64),AND(ISNUMBER(G64),G64&gt;=0)),OR(ISBLANK(H64),AND(ISNUMBER(H64),H64&gt;=0))),60*IF(ISBLANK(G64),0,G64)+IF(ISBLANK(H64),0,H64),"")))</f>
        <v/>
      </c>
      <c r="T64" s="66" t="str">
        <f aca="false">IF(ISBLANK($C64),"",IF(I64=Constants!$B$2, TRUE(), IF(I64=Constants!$B$3, FALSE(), TRUE())))</f>
        <v/>
      </c>
      <c r="U64" s="66" t="str">
        <f aca="false">IF(ISBLANK($C64),"",IF(J64=Constants!$B$2, TRUE(), IF(J64=Constants!$B$3, FALSE(), TRUE())))</f>
        <v/>
      </c>
      <c r="V64" s="66" t="str">
        <f aca="false">IF(ISBLANK($C64),"",IF(COUNTA(K64:L64)=0,"",IF(AND(OR(ISBLANK(K64),AND(ISNUMBER(K64),K64&gt;=0)),OR(ISBLANK(L64),AND(ISNUMBER(L64),L64&gt;=0))),60*IF(ISBLANK(K64),0,K64)+IF(ISBLANK(L64),0,L64),"")))</f>
        <v/>
      </c>
      <c r="W64" s="66" t="str">
        <f aca="false">IF(ISBLANK($C64),"",IF(M64=Constants!$B$2, TRUE(), IF(M64=Constants!$B$3, FALSE(), TRUE())))</f>
        <v/>
      </c>
      <c r="X64" s="66" t="str">
        <f aca="false">IF(ISBLANK($C64),"",IF(N64=Constants!$B$2, TRUE(), IF(N64=Constants!$B$3, FALSE(), TRUE())))</f>
        <v/>
      </c>
      <c r="Y64" s="66" t="str">
        <f aca="false">IF(ISBLANK($C64),"",IF(O64=Constants!$B$2, TRUE(), IF(O64=Constants!$B$3, FALSE(), FALSE())))</f>
        <v/>
      </c>
      <c r="Z64" s="66" t="str">
        <f aca="false">IF(ISBLANK($C64),"",AND(S64&lt;&gt;"",Q64))</f>
        <v/>
      </c>
      <c r="AA64" s="66" t="str">
        <f aca="false">IF(ISBLANK($C64),"",AND(V64&lt;&gt;"",Q64))</f>
        <v/>
      </c>
      <c r="AB64" s="66" t="str">
        <f aca="false">IF(ISBLANK($C64),"",IF(Y64,Constants!$B$4,IF(COUNTA(E64:N64)=0,Constants!$B$5,IF(NOT(Q64),Constants!$B$6,IF(AND(NOT(Z64),NOT(AA64)),Constants!$B$6,Constants!$B$7)))))</f>
        <v/>
      </c>
      <c r="AC64" s="66" t="str">
        <f aca="false">IF(ISBLANK($C64),"",IF($AB64&lt;&gt;Constants!$B$7,$AB64,Constants!$B$20))</f>
        <v/>
      </c>
      <c r="AD64" s="66" t="str">
        <f aca="false">IF($AB64=Constants!$B$7,IF(Z64,S64,Constants!$B$13),"")</f>
        <v/>
      </c>
      <c r="AE64" s="66" t="str">
        <f aca="false">IF($AB64=Constants!$B$7,IF(Z64,R64*IF(T64, 1, Constants!$B$11)*IF(U64, 1, Constants!$B$12),Constants!$B$13),"")</f>
        <v/>
      </c>
      <c r="AF64" s="66" t="str">
        <f aca="false">IF($AB64=Constants!$B$7,AD64*AE64,"")</f>
        <v/>
      </c>
      <c r="AG64" s="66" t="str">
        <f aca="false">IF($AB64=Constants!$B$7,IF(AA64,V64,Constants!$B$13),"")</f>
        <v/>
      </c>
      <c r="AH64" s="66" t="str">
        <f aca="false">IF($AB64=Constants!$B$7,IF(AA64,R64*IF(W64, 1, Constants!$B$11)*IF(X64, 1, Constants!$B$12),Constants!$B$13),"")</f>
        <v/>
      </c>
      <c r="AI64" s="66" t="str">
        <f aca="false">IF($AB64=Constants!$B$7,AG64*AH64,"")</f>
        <v/>
      </c>
      <c r="AJ64" s="66" t="str">
        <f aca="false">IF($AB64=Constants!$B$7,IF(AI64&gt;AF64,2,1),"")</f>
        <v/>
      </c>
      <c r="AK64" s="66" t="str">
        <f aca="false">IF($AB64=Constants!$B$7,IF(AJ64=1,2,1),"")</f>
        <v/>
      </c>
      <c r="AL64" s="66" t="str">
        <f aca="false">IF(ISBLANK($C64),"",IF($AB64&lt;&gt;Constants!$B$7,$AB64,IF(AJ64=1,AF64,AI64)))</f>
        <v/>
      </c>
      <c r="AM64" s="66" t="str">
        <f aca="false">IF(ISBLANK($C64),"",IF($AB64=Constants!$B$7,IF(ISNUMBER(AL64),RANK(AL64,$AL$8:$AL$507),Constants!$B$14),$AB64))</f>
        <v/>
      </c>
      <c r="AN64" s="66" t="str">
        <f aca="false">IF(ISBLANK($C64),"",IF($AB64=Constants!$B$7,IF(AK64=1,AF64,AI64),""))</f>
        <v/>
      </c>
      <c r="AO64" s="66" t="str">
        <f aca="false">IF(ISBLANK($C64),"",IF($AB64=Constants!$B$7,RANK(AN64,$AN$8:$AN$507),$AB64))</f>
        <v/>
      </c>
      <c r="AP64" s="66" t="str">
        <f aca="false">IF(ISBLANK($C64),"",IF($AB64=Constants!$B$7,IF(ISNUMBER(AM64),COUNTIFS($AM$8:$AM$507,"&lt;"&amp;$AM64)+COUNTIFS($AM$8:$AM$507,$AM64,$AO$8:$AO$507,"&lt;"&amp;$AO64)+1,Constants!$B$14),$AB64))</f>
        <v/>
      </c>
      <c r="AQ64" s="66" t="str">
        <f aca="false">IF(ISBLANK($C64),"",IF($AB64=Constants!$B$7,IF(ISNUMBER(AM64),AM64-AP64,Constants!$B$14),$AB64))</f>
        <v/>
      </c>
      <c r="AR64" s="68"/>
      <c r="AS64" s="69" t="str">
        <f aca="false">IF(ISBLANK($C64),"",IF($AB64&lt;&gt;Constants!$B$7,"",AJ64))</f>
        <v/>
      </c>
      <c r="AT64" s="84" t="str">
        <f aca="false">IF(ISBLANK($C64),"",IF($AB64&lt;&gt;Constants!$B$7,"",IF(AJ64=1,AD64,AG64)))</f>
        <v/>
      </c>
      <c r="AU64" s="71" t="str">
        <f aca="false">IF(ISBLANK($C64),"",IF($AB64&lt;&gt;Constants!$B$7,"",IF(AJ64=1,AE64,AH64)))</f>
        <v/>
      </c>
      <c r="AV64" s="72" t="str">
        <f aca="false">IF(ISBLANK($C64),"",IF($AB64&lt;&gt;Constants!$B$7,$AB64,AL64))</f>
        <v/>
      </c>
      <c r="AW64" s="73" t="str">
        <f aca="false">IF(ISBLANK($C64),"",IF($AB64&lt;&gt;Constants!$B$7,$AB64,AC64))</f>
        <v/>
      </c>
      <c r="AX64" s="74" t="str">
        <f aca="false">IF(ISBLANK($C64),"",AQ64)</f>
        <v/>
      </c>
      <c r="AY64" s="74" t="str">
        <f aca="false">IF(ISBLANK($C64),"",AP64)</f>
        <v/>
      </c>
      <c r="AZ64" s="75" t="str">
        <f aca="false">IF(ISBLANK($C64),"",IF(AY64=Constants!$B$4,COUNTA($C$8:$C$507)+2,IF(AY64=Constants!$B$5,COUNTA($C$8:$C$507)+1,IF(AY64=Constants!$B$6,COUNTA($C$8:$C$507),AY64))))</f>
        <v/>
      </c>
      <c r="BA64" s="5"/>
      <c r="BB64" s="76" t="n">
        <f aca="false">IF(OR(ISNUMBER(AY64),AY64=Constants!$B$4,AY64=Constants!$B$6,AY64=Constants!$B$5),1,0)</f>
        <v>0</v>
      </c>
      <c r="BC64" s="76" t="n">
        <v>57</v>
      </c>
      <c r="BD64" s="76" t="str">
        <f aca="false">IF(ISBLANK($C64),"",IF(ISNUMBER(AZ64),AZ64+ROW($B64)/1000,""))</f>
        <v/>
      </c>
      <c r="BE64" s="76" t="str">
        <f aca="false">IF(ISNUMBER(BD64),RANK(BD64,$BD$8:$BD$507,1),"")</f>
        <v/>
      </c>
      <c r="BF64" s="76" t="str">
        <f aca="false">IF(ISBLANK($C64),"",$B64)</f>
        <v/>
      </c>
      <c r="BG64" s="76" t="str">
        <f aca="false">IF(ISBLANK($C64),"",$C64)</f>
        <v/>
      </c>
      <c r="BH64" s="76" t="str">
        <f aca="false">IF(ISBLANK($C64),"",$D64)</f>
        <v/>
      </c>
      <c r="BI64" s="77" t="str">
        <f aca="false">AW64</f>
        <v/>
      </c>
      <c r="BJ64" s="78" t="str">
        <f aca="false">AV64</f>
        <v/>
      </c>
      <c r="BK64" s="76" t="str">
        <f aca="false">IF(ISBLANK($C64),"",AY64)</f>
        <v/>
      </c>
      <c r="BL64" s="79" t="str">
        <f aca="false">IF($BC64&gt;$BB$7,"",VLOOKUP($BC64,$BE$8:$BK$507,7,FALSE()))</f>
        <v/>
      </c>
      <c r="BM64" s="80" t="str">
        <f aca="false">IF($BC64&gt;$BB$7,"",VLOOKUP($BC64,$BE$8:$BK$507,2,FALSE()))</f>
        <v/>
      </c>
      <c r="BN64" s="80" t="str">
        <f aca="false">IF($BC64&gt;$BB$7,"",VLOOKUP($BC64,$BE$8:$BK$507,3,FALSE()))</f>
        <v/>
      </c>
      <c r="BO64" s="80" t="str">
        <f aca="false">IF($BC64&gt;$BB$7,"",VLOOKUP($BC64,$BE$8:$BK$507,4,FALSE()))</f>
        <v/>
      </c>
      <c r="BP64" s="80" t="str">
        <f aca="false">IF($BC64&gt;$BB$7,"",VLOOKUP($BC64,$BE$8:$BK$507,5,FALSE()))</f>
        <v/>
      </c>
      <c r="BQ64" s="81" t="str">
        <f aca="false">IF($BC64&gt;$BB$7,"",VLOOKUP($BC64,$BE$8:$BK$507,6,FALSE()))</f>
        <v/>
      </c>
      <c r="BR64" s="54"/>
    </row>
    <row r="65" customFormat="false" ht="13.8" hidden="false" customHeight="false" outlineLevel="0" collapsed="false">
      <c r="A65" s="5"/>
      <c r="B65" s="120"/>
      <c r="C65" s="121"/>
      <c r="D65" s="112"/>
      <c r="E65" s="123"/>
      <c r="F65" s="91"/>
      <c r="G65" s="92"/>
      <c r="H65" s="93"/>
      <c r="I65" s="94"/>
      <c r="J65" s="91"/>
      <c r="K65" s="92"/>
      <c r="L65" s="93"/>
      <c r="M65" s="94"/>
      <c r="N65" s="91"/>
      <c r="O65" s="123"/>
      <c r="P65" s="96"/>
      <c r="Q65" s="97" t="str">
        <f aca="false">IF(ISBLANK($C65),"",IF(E65=Constants!$B$2, TRUE(), IF(E65=Constants!$B$3, FALSE(), TRUE())))</f>
        <v/>
      </c>
      <c r="R65" s="97" t="str">
        <f aca="false">IF(ISBLANK($C65),"",IF(F65=Constants!$B$16,Constants!$B$9,IF(F65=Constants!$B$17,Constants!$B$10,Constants!$B$8)))</f>
        <v/>
      </c>
      <c r="S65" s="97" t="str">
        <f aca="false">IF(ISBLANK($C65),"",IF(COUNTA(G65:H65)=0,"",IF(AND(OR(ISBLANK(G65),AND(ISNUMBER(G65),G65&gt;=0)),OR(ISBLANK(H65),AND(ISNUMBER(H65),H65&gt;=0))),60*IF(ISBLANK(G65),0,G65)+IF(ISBLANK(H65),0,H65),"")))</f>
        <v/>
      </c>
      <c r="T65" s="97" t="str">
        <f aca="false">IF(ISBLANK($C65),"",IF(I65=Constants!$B$2, TRUE(), IF(I65=Constants!$B$3, FALSE(), TRUE())))</f>
        <v/>
      </c>
      <c r="U65" s="97" t="str">
        <f aca="false">IF(ISBLANK($C65),"",IF(J65=Constants!$B$2, TRUE(), IF(J65=Constants!$B$3, FALSE(), TRUE())))</f>
        <v/>
      </c>
      <c r="V65" s="97" t="str">
        <f aca="false">IF(ISBLANK($C65),"",IF(COUNTA(K65:L65)=0,"",IF(AND(OR(ISBLANK(K65),AND(ISNUMBER(K65),K65&gt;=0)),OR(ISBLANK(L65),AND(ISNUMBER(L65),L65&gt;=0))),60*IF(ISBLANK(K65),0,K65)+IF(ISBLANK(L65),0,L65),"")))</f>
        <v/>
      </c>
      <c r="W65" s="97" t="str">
        <f aca="false">IF(ISBLANK($C65),"",IF(M65=Constants!$B$2, TRUE(), IF(M65=Constants!$B$3, FALSE(), TRUE())))</f>
        <v/>
      </c>
      <c r="X65" s="97" t="str">
        <f aca="false">IF(ISBLANK($C65),"",IF(N65=Constants!$B$2, TRUE(), IF(N65=Constants!$B$3, FALSE(), TRUE())))</f>
        <v/>
      </c>
      <c r="Y65" s="97" t="str">
        <f aca="false">IF(ISBLANK($C65),"",IF(O65=Constants!$B$2, TRUE(), IF(O65=Constants!$B$3, FALSE(), FALSE())))</f>
        <v/>
      </c>
      <c r="Z65" s="97" t="str">
        <f aca="false">IF(ISBLANK($C65),"",AND(S65&lt;&gt;"",Q65))</f>
        <v/>
      </c>
      <c r="AA65" s="97" t="str">
        <f aca="false">IF(ISBLANK($C65),"",AND(V65&lt;&gt;"",Q65))</f>
        <v/>
      </c>
      <c r="AB65" s="97" t="str">
        <f aca="false">IF(ISBLANK($C65),"",IF(Y65,Constants!$B$4,IF(COUNTA(E65:N65)=0,Constants!$B$5,IF(NOT(Q65),Constants!$B$6,IF(AND(NOT(Z65),NOT(AA65)),Constants!$B$6,Constants!$B$7)))))</f>
        <v/>
      </c>
      <c r="AC65" s="97" t="str">
        <f aca="false">IF(ISBLANK($C65),"",IF($AB65&lt;&gt;Constants!$B$7,$AB65,Constants!$B$20))</f>
        <v/>
      </c>
      <c r="AD65" s="97" t="str">
        <f aca="false">IF($AB65=Constants!$B$7,IF(Z65,S65,Constants!$B$13),"")</f>
        <v/>
      </c>
      <c r="AE65" s="97" t="str">
        <f aca="false">IF($AB65=Constants!$B$7,IF(Z65,R65*IF(T65, 1, Constants!$B$11)*IF(U65, 1, Constants!$B$12),Constants!$B$13),"")</f>
        <v/>
      </c>
      <c r="AF65" s="97" t="str">
        <f aca="false">IF($AB65=Constants!$B$7,AD65*AE65,"")</f>
        <v/>
      </c>
      <c r="AG65" s="97" t="str">
        <f aca="false">IF($AB65=Constants!$B$7,IF(AA65,V65,Constants!$B$13),"")</f>
        <v/>
      </c>
      <c r="AH65" s="97" t="str">
        <f aca="false">IF($AB65=Constants!$B$7,IF(AA65,R65*IF(W65, 1, Constants!$B$11)*IF(X65, 1, Constants!$B$12),Constants!$B$13),"")</f>
        <v/>
      </c>
      <c r="AI65" s="97" t="str">
        <f aca="false">IF($AB65=Constants!$B$7,AG65*AH65,"")</f>
        <v/>
      </c>
      <c r="AJ65" s="97" t="str">
        <f aca="false">IF($AB65=Constants!$B$7,IF(AI65&gt;AF65,2,1),"")</f>
        <v/>
      </c>
      <c r="AK65" s="97" t="str">
        <f aca="false">IF($AB65=Constants!$B$7,IF(AJ65=1,2,1),"")</f>
        <v/>
      </c>
      <c r="AL65" s="97" t="str">
        <f aca="false">IF(ISBLANK($C65),"",IF($AB65&lt;&gt;Constants!$B$7,$AB65,IF(AJ65=1,AF65,AI65)))</f>
        <v/>
      </c>
      <c r="AM65" s="97" t="str">
        <f aca="false">IF(ISBLANK($C65),"",IF($AB65=Constants!$B$7,IF(ISNUMBER(AL65),RANK(AL65,$AL$8:$AL$507),Constants!$B$14),$AB65))</f>
        <v/>
      </c>
      <c r="AN65" s="97" t="str">
        <f aca="false">IF(ISBLANK($C65),"",IF($AB65=Constants!$B$7,IF(AK65=1,AF65,AI65),""))</f>
        <v/>
      </c>
      <c r="AO65" s="97" t="str">
        <f aca="false">IF(ISBLANK($C65),"",IF($AB65=Constants!$B$7,RANK(AN65,$AN$8:$AN$507),$AB65))</f>
        <v/>
      </c>
      <c r="AP65" s="97" t="str">
        <f aca="false">IF(ISBLANK($C65),"",IF($AB65=Constants!$B$7,IF(ISNUMBER(AM65),COUNTIFS($AM$8:$AM$507,"&lt;"&amp;$AM65)+COUNTIFS($AM$8:$AM$507,$AM65,$AO$8:$AO$507,"&lt;"&amp;$AO65)+1,Constants!$B$14),$AB65))</f>
        <v/>
      </c>
      <c r="AQ65" s="97" t="str">
        <f aca="false">IF(ISBLANK($C65),"",IF($AB65=Constants!$B$7,IF(ISNUMBER(AM65),AM65-AP65,Constants!$B$14),$AB65))</f>
        <v/>
      </c>
      <c r="AR65" s="98"/>
      <c r="AS65" s="99" t="str">
        <f aca="false">IF(ISBLANK($C65),"",IF($AB65&lt;&gt;Constants!$B$7,"",AJ65))</f>
        <v/>
      </c>
      <c r="AT65" s="100" t="str">
        <f aca="false">IF(ISBLANK($C65),"",IF($AB65&lt;&gt;Constants!$B$7,"",IF(AJ65=1,AD65,AG65)))</f>
        <v/>
      </c>
      <c r="AU65" s="101" t="str">
        <f aca="false">IF(ISBLANK($C65),"",IF($AB65&lt;&gt;Constants!$B$7,"",IF(AJ65=1,AE65,AH65)))</f>
        <v/>
      </c>
      <c r="AV65" s="102" t="str">
        <f aca="false">IF(ISBLANK($C65),"",IF($AB65&lt;&gt;Constants!$B$7,$AB65,AL65))</f>
        <v/>
      </c>
      <c r="AW65" s="103" t="str">
        <f aca="false">IF(ISBLANK($C65),"",IF($AB65&lt;&gt;Constants!$B$7,$AB65,AC65))</f>
        <v/>
      </c>
      <c r="AX65" s="104" t="str">
        <f aca="false">IF(ISBLANK($C65),"",AQ65)</f>
        <v/>
      </c>
      <c r="AY65" s="104" t="str">
        <f aca="false">IF(ISBLANK($C65),"",AP65)</f>
        <v/>
      </c>
      <c r="AZ65" s="105" t="str">
        <f aca="false">IF(ISBLANK($C65),"",IF(AY65=Constants!$B$4,COUNTA($C$8:$C$507)+2,IF(AY65=Constants!$B$5,COUNTA($C$8:$C$507)+1,IF(AY65=Constants!$B$6,COUNTA($C$8:$C$507),AY65))))</f>
        <v/>
      </c>
      <c r="BA65" s="5"/>
      <c r="BB65" s="106" t="n">
        <f aca="false">IF(OR(ISNUMBER(AY65),AY65=Constants!$B$4,AY65=Constants!$B$6,AY65=Constants!$B$5),1,0)</f>
        <v>0</v>
      </c>
      <c r="BC65" s="106" t="n">
        <v>58</v>
      </c>
      <c r="BD65" s="106" t="str">
        <f aca="false">IF(ISBLANK($C65),"",IF(ISNUMBER(AZ65),AZ65+ROW($B65)/1000,""))</f>
        <v/>
      </c>
      <c r="BE65" s="106" t="str">
        <f aca="false">IF(ISNUMBER(BD65),RANK(BD65,$BD$8:$BD$507,1),"")</f>
        <v/>
      </c>
      <c r="BF65" s="106" t="str">
        <f aca="false">IF(ISBLANK($C65),"",$B65)</f>
        <v/>
      </c>
      <c r="BG65" s="106" t="str">
        <f aca="false">IF(ISBLANK($C65),"",$C65)</f>
        <v/>
      </c>
      <c r="BH65" s="106" t="str">
        <f aca="false">IF(ISBLANK($C65),"",$D65)</f>
        <v/>
      </c>
      <c r="BI65" s="107" t="str">
        <f aca="false">AW65</f>
        <v/>
      </c>
      <c r="BJ65" s="108" t="str">
        <f aca="false">AV65</f>
        <v/>
      </c>
      <c r="BK65" s="106" t="str">
        <f aca="false">IF(ISBLANK($C65),"",AY65)</f>
        <v/>
      </c>
      <c r="BL65" s="109" t="str">
        <f aca="false">IF($BC65&gt;$BB$7,"",VLOOKUP($BC65,$BE$8:$BK$507,7,FALSE()))</f>
        <v/>
      </c>
      <c r="BM65" s="110" t="str">
        <f aca="false">IF($BC65&gt;$BB$7,"",VLOOKUP($BC65,$BE$8:$BK$507,2,FALSE()))</f>
        <v/>
      </c>
      <c r="BN65" s="110" t="str">
        <f aca="false">IF($BC65&gt;$BB$7,"",VLOOKUP($BC65,$BE$8:$BK$507,3,FALSE()))</f>
        <v/>
      </c>
      <c r="BO65" s="110" t="str">
        <f aca="false">IF($BC65&gt;$BB$7,"",VLOOKUP($BC65,$BE$8:$BK$507,4,FALSE()))</f>
        <v/>
      </c>
      <c r="BP65" s="110" t="str">
        <f aca="false">IF($BC65&gt;$BB$7,"",VLOOKUP($BC65,$BE$8:$BK$507,5,FALSE()))</f>
        <v/>
      </c>
      <c r="BQ65" s="111" t="str">
        <f aca="false">IF($BC65&gt;$BB$7,"",VLOOKUP($BC65,$BE$8:$BK$507,6,FALSE()))</f>
        <v/>
      </c>
      <c r="BR65" s="54"/>
    </row>
    <row r="66" customFormat="false" ht="13.8" hidden="false" customHeight="false" outlineLevel="0" collapsed="false">
      <c r="A66" s="5"/>
      <c r="B66" s="120"/>
      <c r="C66" s="121"/>
      <c r="D66" s="112"/>
      <c r="E66" s="123"/>
      <c r="F66" s="91"/>
      <c r="G66" s="92"/>
      <c r="H66" s="93"/>
      <c r="I66" s="94"/>
      <c r="J66" s="91"/>
      <c r="K66" s="92"/>
      <c r="L66" s="93"/>
      <c r="M66" s="94"/>
      <c r="N66" s="91"/>
      <c r="O66" s="123"/>
      <c r="P66" s="96"/>
      <c r="Q66" s="97" t="str">
        <f aca="false">IF(ISBLANK($C66),"",IF(E66=Constants!$B$2, TRUE(), IF(E66=Constants!$B$3, FALSE(), TRUE())))</f>
        <v/>
      </c>
      <c r="R66" s="97" t="str">
        <f aca="false">IF(ISBLANK($C66),"",IF(F66=Constants!$B$16,Constants!$B$9,IF(F66=Constants!$B$17,Constants!$B$10,Constants!$B$8)))</f>
        <v/>
      </c>
      <c r="S66" s="97" t="str">
        <f aca="false">IF(ISBLANK($C66),"",IF(COUNTA(G66:H66)=0,"",IF(AND(OR(ISBLANK(G66),AND(ISNUMBER(G66),G66&gt;=0)),OR(ISBLANK(H66),AND(ISNUMBER(H66),H66&gt;=0))),60*IF(ISBLANK(G66),0,G66)+IF(ISBLANK(H66),0,H66),"")))</f>
        <v/>
      </c>
      <c r="T66" s="97" t="str">
        <f aca="false">IF(ISBLANK($C66),"",IF(I66=Constants!$B$2, TRUE(), IF(I66=Constants!$B$3, FALSE(), TRUE())))</f>
        <v/>
      </c>
      <c r="U66" s="97" t="str">
        <f aca="false">IF(ISBLANK($C66),"",IF(J66=Constants!$B$2, TRUE(), IF(J66=Constants!$B$3, FALSE(), TRUE())))</f>
        <v/>
      </c>
      <c r="V66" s="97" t="str">
        <f aca="false">IF(ISBLANK($C66),"",IF(COUNTA(K66:L66)=0,"",IF(AND(OR(ISBLANK(K66),AND(ISNUMBER(K66),K66&gt;=0)),OR(ISBLANK(L66),AND(ISNUMBER(L66),L66&gt;=0))),60*IF(ISBLANK(K66),0,K66)+IF(ISBLANK(L66),0,L66),"")))</f>
        <v/>
      </c>
      <c r="W66" s="97" t="str">
        <f aca="false">IF(ISBLANK($C66),"",IF(M66=Constants!$B$2, TRUE(), IF(M66=Constants!$B$3, FALSE(), TRUE())))</f>
        <v/>
      </c>
      <c r="X66" s="97" t="str">
        <f aca="false">IF(ISBLANK($C66),"",IF(N66=Constants!$B$2, TRUE(), IF(N66=Constants!$B$3, FALSE(), TRUE())))</f>
        <v/>
      </c>
      <c r="Y66" s="97" t="str">
        <f aca="false">IF(ISBLANK($C66),"",IF(O66=Constants!$B$2, TRUE(), IF(O66=Constants!$B$3, FALSE(), FALSE())))</f>
        <v/>
      </c>
      <c r="Z66" s="97" t="str">
        <f aca="false">IF(ISBLANK($C66),"",AND(S66&lt;&gt;"",Q66))</f>
        <v/>
      </c>
      <c r="AA66" s="97" t="str">
        <f aca="false">IF(ISBLANK($C66),"",AND(V66&lt;&gt;"",Q66))</f>
        <v/>
      </c>
      <c r="AB66" s="97" t="str">
        <f aca="false">IF(ISBLANK($C66),"",IF(Y66,Constants!$B$4,IF(COUNTA(E66:N66)=0,Constants!$B$5,IF(NOT(Q66),Constants!$B$6,IF(AND(NOT(Z66),NOT(AA66)),Constants!$B$6,Constants!$B$7)))))</f>
        <v/>
      </c>
      <c r="AC66" s="97" t="str">
        <f aca="false">IF(ISBLANK($C66),"",IF($AB66&lt;&gt;Constants!$B$7,$AB66,Constants!$B$20))</f>
        <v/>
      </c>
      <c r="AD66" s="97" t="str">
        <f aca="false">IF($AB66=Constants!$B$7,IF(Z66,S66,Constants!$B$13),"")</f>
        <v/>
      </c>
      <c r="AE66" s="97" t="str">
        <f aca="false">IF($AB66=Constants!$B$7,IF(Z66,R66*IF(T66, 1, Constants!$B$11)*IF(U66, 1, Constants!$B$12),Constants!$B$13),"")</f>
        <v/>
      </c>
      <c r="AF66" s="97" t="str">
        <f aca="false">IF($AB66=Constants!$B$7,AD66*AE66,"")</f>
        <v/>
      </c>
      <c r="AG66" s="97" t="str">
        <f aca="false">IF($AB66=Constants!$B$7,IF(AA66,V66,Constants!$B$13),"")</f>
        <v/>
      </c>
      <c r="AH66" s="97" t="str">
        <f aca="false">IF($AB66=Constants!$B$7,IF(AA66,R66*IF(W66, 1, Constants!$B$11)*IF(X66, 1, Constants!$B$12),Constants!$B$13),"")</f>
        <v/>
      </c>
      <c r="AI66" s="97" t="str">
        <f aca="false">IF($AB66=Constants!$B$7,AG66*AH66,"")</f>
        <v/>
      </c>
      <c r="AJ66" s="97" t="str">
        <f aca="false">IF($AB66=Constants!$B$7,IF(AI66&gt;AF66,2,1),"")</f>
        <v/>
      </c>
      <c r="AK66" s="97" t="str">
        <f aca="false">IF($AB66=Constants!$B$7,IF(AJ66=1,2,1),"")</f>
        <v/>
      </c>
      <c r="AL66" s="97" t="str">
        <f aca="false">IF(ISBLANK($C66),"",IF($AB66&lt;&gt;Constants!$B$7,$AB66,IF(AJ66=1,AF66,AI66)))</f>
        <v/>
      </c>
      <c r="AM66" s="97" t="str">
        <f aca="false">IF(ISBLANK($C66),"",IF($AB66=Constants!$B$7,IF(ISNUMBER(AL66),RANK(AL66,$AL$8:$AL$507),Constants!$B$14),$AB66))</f>
        <v/>
      </c>
      <c r="AN66" s="97" t="str">
        <f aca="false">IF(ISBLANK($C66),"",IF($AB66=Constants!$B$7,IF(AK66=1,AF66,AI66),""))</f>
        <v/>
      </c>
      <c r="AO66" s="97" t="str">
        <f aca="false">IF(ISBLANK($C66),"",IF($AB66=Constants!$B$7,RANK(AN66,$AN$8:$AN$507),$AB66))</f>
        <v/>
      </c>
      <c r="AP66" s="97" t="str">
        <f aca="false">IF(ISBLANK($C66),"",IF($AB66=Constants!$B$7,IF(ISNUMBER(AM66),COUNTIFS($AM$8:$AM$507,"&lt;"&amp;$AM66)+COUNTIFS($AM$8:$AM$507,$AM66,$AO$8:$AO$507,"&lt;"&amp;$AO66)+1,Constants!$B$14),$AB66))</f>
        <v/>
      </c>
      <c r="AQ66" s="97" t="str">
        <f aca="false">IF(ISBLANK($C66),"",IF($AB66=Constants!$B$7,IF(ISNUMBER(AM66),AM66-AP66,Constants!$B$14),$AB66))</f>
        <v/>
      </c>
      <c r="AR66" s="98"/>
      <c r="AS66" s="99" t="str">
        <f aca="false">IF(ISBLANK($C66),"",IF($AB66&lt;&gt;Constants!$B$7,"",AJ66))</f>
        <v/>
      </c>
      <c r="AT66" s="100" t="str">
        <f aca="false">IF(ISBLANK($C66),"",IF($AB66&lt;&gt;Constants!$B$7,"",IF(AJ66=1,AD66,AG66)))</f>
        <v/>
      </c>
      <c r="AU66" s="101" t="str">
        <f aca="false">IF(ISBLANK($C66),"",IF($AB66&lt;&gt;Constants!$B$7,"",IF(AJ66=1,AE66,AH66)))</f>
        <v/>
      </c>
      <c r="AV66" s="102" t="str">
        <f aca="false">IF(ISBLANK($C66),"",IF($AB66&lt;&gt;Constants!$B$7,$AB66,AL66))</f>
        <v/>
      </c>
      <c r="AW66" s="103" t="str">
        <f aca="false">IF(ISBLANK($C66),"",IF($AB66&lt;&gt;Constants!$B$7,$AB66,AC66))</f>
        <v/>
      </c>
      <c r="AX66" s="104" t="str">
        <f aca="false">IF(ISBLANK($C66),"",AQ66)</f>
        <v/>
      </c>
      <c r="AY66" s="104" t="str">
        <f aca="false">IF(ISBLANK($C66),"",AP66)</f>
        <v/>
      </c>
      <c r="AZ66" s="105" t="str">
        <f aca="false">IF(ISBLANK($C66),"",IF(AY66=Constants!$B$4,COUNTA($C$8:$C$507)+2,IF(AY66=Constants!$B$5,COUNTA($C$8:$C$507)+1,IF(AY66=Constants!$B$6,COUNTA($C$8:$C$507),AY66))))</f>
        <v/>
      </c>
      <c r="BA66" s="5"/>
      <c r="BB66" s="106" t="n">
        <f aca="false">IF(OR(ISNUMBER(AY66),AY66=Constants!$B$4,AY66=Constants!$B$6,AY66=Constants!$B$5),1,0)</f>
        <v>0</v>
      </c>
      <c r="BC66" s="106" t="n">
        <v>59</v>
      </c>
      <c r="BD66" s="106" t="str">
        <f aca="false">IF(ISBLANK($C66),"",IF(ISNUMBER(AZ66),AZ66+ROW($B66)/1000,""))</f>
        <v/>
      </c>
      <c r="BE66" s="106" t="str">
        <f aca="false">IF(ISNUMBER(BD66),RANK(BD66,$BD$8:$BD$507,1),"")</f>
        <v/>
      </c>
      <c r="BF66" s="106" t="str">
        <f aca="false">IF(ISBLANK($C66),"",$B66)</f>
        <v/>
      </c>
      <c r="BG66" s="106" t="str">
        <f aca="false">IF(ISBLANK($C66),"",$C66)</f>
        <v/>
      </c>
      <c r="BH66" s="106" t="str">
        <f aca="false">IF(ISBLANK($C66),"",$D66)</f>
        <v/>
      </c>
      <c r="BI66" s="107" t="str">
        <f aca="false">AW66</f>
        <v/>
      </c>
      <c r="BJ66" s="108" t="str">
        <f aca="false">AV66</f>
        <v/>
      </c>
      <c r="BK66" s="106" t="str">
        <f aca="false">IF(ISBLANK($C66),"",AY66)</f>
        <v/>
      </c>
      <c r="BL66" s="109" t="str">
        <f aca="false">IF($BC66&gt;$BB$7,"",VLOOKUP($BC66,$BE$8:$BK$507,7,FALSE()))</f>
        <v/>
      </c>
      <c r="BM66" s="110" t="str">
        <f aca="false">IF($BC66&gt;$BB$7,"",VLOOKUP($BC66,$BE$8:$BK$507,2,FALSE()))</f>
        <v/>
      </c>
      <c r="BN66" s="110" t="str">
        <f aca="false">IF($BC66&gt;$BB$7,"",VLOOKUP($BC66,$BE$8:$BK$507,3,FALSE()))</f>
        <v/>
      </c>
      <c r="BO66" s="110" t="str">
        <f aca="false">IF($BC66&gt;$BB$7,"",VLOOKUP($BC66,$BE$8:$BK$507,4,FALSE()))</f>
        <v/>
      </c>
      <c r="BP66" s="110" t="str">
        <f aca="false">IF($BC66&gt;$BB$7,"",VLOOKUP($BC66,$BE$8:$BK$507,5,FALSE()))</f>
        <v/>
      </c>
      <c r="BQ66" s="111" t="str">
        <f aca="false">IF($BC66&gt;$BB$7,"",VLOOKUP($BC66,$BE$8:$BK$507,6,FALSE()))</f>
        <v/>
      </c>
      <c r="BR66" s="54"/>
    </row>
    <row r="67" customFormat="false" ht="13.8" hidden="false" customHeight="false" outlineLevel="0" collapsed="false">
      <c r="A67" s="5"/>
      <c r="B67" s="120"/>
      <c r="C67" s="121"/>
      <c r="D67" s="112"/>
      <c r="E67" s="123"/>
      <c r="F67" s="91"/>
      <c r="G67" s="92"/>
      <c r="H67" s="93"/>
      <c r="I67" s="94"/>
      <c r="J67" s="91"/>
      <c r="K67" s="92"/>
      <c r="L67" s="93"/>
      <c r="M67" s="94"/>
      <c r="N67" s="91"/>
      <c r="O67" s="123"/>
      <c r="P67" s="96"/>
      <c r="Q67" s="97" t="str">
        <f aca="false">IF(ISBLANK($C67),"",IF(E67=Constants!$B$2, TRUE(), IF(E67=Constants!$B$3, FALSE(), TRUE())))</f>
        <v/>
      </c>
      <c r="R67" s="97" t="str">
        <f aca="false">IF(ISBLANK($C67),"",IF(F67=Constants!$B$16,Constants!$B$9,IF(F67=Constants!$B$17,Constants!$B$10,Constants!$B$8)))</f>
        <v/>
      </c>
      <c r="S67" s="97" t="str">
        <f aca="false">IF(ISBLANK($C67),"",IF(COUNTA(G67:H67)=0,"",IF(AND(OR(ISBLANK(G67),AND(ISNUMBER(G67),G67&gt;=0)),OR(ISBLANK(H67),AND(ISNUMBER(H67),H67&gt;=0))),60*IF(ISBLANK(G67),0,G67)+IF(ISBLANK(H67),0,H67),"")))</f>
        <v/>
      </c>
      <c r="T67" s="97" t="str">
        <f aca="false">IF(ISBLANK($C67),"",IF(I67=Constants!$B$2, TRUE(), IF(I67=Constants!$B$3, FALSE(), TRUE())))</f>
        <v/>
      </c>
      <c r="U67" s="97" t="str">
        <f aca="false">IF(ISBLANK($C67),"",IF(J67=Constants!$B$2, TRUE(), IF(J67=Constants!$B$3, FALSE(), TRUE())))</f>
        <v/>
      </c>
      <c r="V67" s="97" t="str">
        <f aca="false">IF(ISBLANK($C67),"",IF(COUNTA(K67:L67)=0,"",IF(AND(OR(ISBLANK(K67),AND(ISNUMBER(K67),K67&gt;=0)),OR(ISBLANK(L67),AND(ISNUMBER(L67),L67&gt;=0))),60*IF(ISBLANK(K67),0,K67)+IF(ISBLANK(L67),0,L67),"")))</f>
        <v/>
      </c>
      <c r="W67" s="97" t="str">
        <f aca="false">IF(ISBLANK($C67),"",IF(M67=Constants!$B$2, TRUE(), IF(M67=Constants!$B$3, FALSE(), TRUE())))</f>
        <v/>
      </c>
      <c r="X67" s="97" t="str">
        <f aca="false">IF(ISBLANK($C67),"",IF(N67=Constants!$B$2, TRUE(), IF(N67=Constants!$B$3, FALSE(), TRUE())))</f>
        <v/>
      </c>
      <c r="Y67" s="97" t="str">
        <f aca="false">IF(ISBLANK($C67),"",IF(O67=Constants!$B$2, TRUE(), IF(O67=Constants!$B$3, FALSE(), FALSE())))</f>
        <v/>
      </c>
      <c r="Z67" s="97" t="str">
        <f aca="false">IF(ISBLANK($C67),"",AND(S67&lt;&gt;"",Q67))</f>
        <v/>
      </c>
      <c r="AA67" s="97" t="str">
        <f aca="false">IF(ISBLANK($C67),"",AND(V67&lt;&gt;"",Q67))</f>
        <v/>
      </c>
      <c r="AB67" s="97" t="str">
        <f aca="false">IF(ISBLANK($C67),"",IF(Y67,Constants!$B$4,IF(COUNTA(E67:N67)=0,Constants!$B$5,IF(NOT(Q67),Constants!$B$6,IF(AND(NOT(Z67),NOT(AA67)),Constants!$B$6,Constants!$B$7)))))</f>
        <v/>
      </c>
      <c r="AC67" s="97" t="str">
        <f aca="false">IF(ISBLANK($C67),"",IF($AB67&lt;&gt;Constants!$B$7,$AB67,Constants!$B$20))</f>
        <v/>
      </c>
      <c r="AD67" s="97" t="str">
        <f aca="false">IF($AB67=Constants!$B$7,IF(Z67,S67,Constants!$B$13),"")</f>
        <v/>
      </c>
      <c r="AE67" s="97" t="str">
        <f aca="false">IF($AB67=Constants!$B$7,IF(Z67,R67*IF(T67, 1, Constants!$B$11)*IF(U67, 1, Constants!$B$12),Constants!$B$13),"")</f>
        <v/>
      </c>
      <c r="AF67" s="97" t="str">
        <f aca="false">IF($AB67=Constants!$B$7,AD67*AE67,"")</f>
        <v/>
      </c>
      <c r="AG67" s="97" t="str">
        <f aca="false">IF($AB67=Constants!$B$7,IF(AA67,V67,Constants!$B$13),"")</f>
        <v/>
      </c>
      <c r="AH67" s="97" t="str">
        <f aca="false">IF($AB67=Constants!$B$7,IF(AA67,R67*IF(W67, 1, Constants!$B$11)*IF(X67, 1, Constants!$B$12),Constants!$B$13),"")</f>
        <v/>
      </c>
      <c r="AI67" s="97" t="str">
        <f aca="false">IF($AB67=Constants!$B$7,AG67*AH67,"")</f>
        <v/>
      </c>
      <c r="AJ67" s="97" t="str">
        <f aca="false">IF($AB67=Constants!$B$7,IF(AI67&gt;AF67,2,1),"")</f>
        <v/>
      </c>
      <c r="AK67" s="97" t="str">
        <f aca="false">IF($AB67=Constants!$B$7,IF(AJ67=1,2,1),"")</f>
        <v/>
      </c>
      <c r="AL67" s="97" t="str">
        <f aca="false">IF(ISBLANK($C67),"",IF($AB67&lt;&gt;Constants!$B$7,$AB67,IF(AJ67=1,AF67,AI67)))</f>
        <v/>
      </c>
      <c r="AM67" s="97" t="str">
        <f aca="false">IF(ISBLANK($C67),"",IF($AB67=Constants!$B$7,IF(ISNUMBER(AL67),RANK(AL67,$AL$8:$AL$507),Constants!$B$14),$AB67))</f>
        <v/>
      </c>
      <c r="AN67" s="97" t="str">
        <f aca="false">IF(ISBLANK($C67),"",IF($AB67=Constants!$B$7,IF(AK67=1,AF67,AI67),""))</f>
        <v/>
      </c>
      <c r="AO67" s="97" t="str">
        <f aca="false">IF(ISBLANK($C67),"",IF($AB67=Constants!$B$7,RANK(AN67,$AN$8:$AN$507),$AB67))</f>
        <v/>
      </c>
      <c r="AP67" s="97" t="str">
        <f aca="false">IF(ISBLANK($C67),"",IF($AB67=Constants!$B$7,IF(ISNUMBER(AM67),COUNTIFS($AM$8:$AM$507,"&lt;"&amp;$AM67)+COUNTIFS($AM$8:$AM$507,$AM67,$AO$8:$AO$507,"&lt;"&amp;$AO67)+1,Constants!$B$14),$AB67))</f>
        <v/>
      </c>
      <c r="AQ67" s="97" t="str">
        <f aca="false">IF(ISBLANK($C67),"",IF($AB67=Constants!$B$7,IF(ISNUMBER(AM67),AM67-AP67,Constants!$B$14),$AB67))</f>
        <v/>
      </c>
      <c r="AR67" s="98"/>
      <c r="AS67" s="99" t="str">
        <f aca="false">IF(ISBLANK($C67),"",IF($AB67&lt;&gt;Constants!$B$7,"",AJ67))</f>
        <v/>
      </c>
      <c r="AT67" s="100" t="str">
        <f aca="false">IF(ISBLANK($C67),"",IF($AB67&lt;&gt;Constants!$B$7,"",IF(AJ67=1,AD67,AG67)))</f>
        <v/>
      </c>
      <c r="AU67" s="101" t="str">
        <f aca="false">IF(ISBLANK($C67),"",IF($AB67&lt;&gt;Constants!$B$7,"",IF(AJ67=1,AE67,AH67)))</f>
        <v/>
      </c>
      <c r="AV67" s="102" t="str">
        <f aca="false">IF(ISBLANK($C67),"",IF($AB67&lt;&gt;Constants!$B$7,$AB67,AL67))</f>
        <v/>
      </c>
      <c r="AW67" s="103" t="str">
        <f aca="false">IF(ISBLANK($C67),"",IF($AB67&lt;&gt;Constants!$B$7,$AB67,AC67))</f>
        <v/>
      </c>
      <c r="AX67" s="104" t="str">
        <f aca="false">IF(ISBLANK($C67),"",AQ67)</f>
        <v/>
      </c>
      <c r="AY67" s="104" t="str">
        <f aca="false">IF(ISBLANK($C67),"",AP67)</f>
        <v/>
      </c>
      <c r="AZ67" s="105" t="str">
        <f aca="false">IF(ISBLANK($C67),"",IF(AY67=Constants!$B$4,COUNTA($C$8:$C$507)+2,IF(AY67=Constants!$B$5,COUNTA($C$8:$C$507)+1,IF(AY67=Constants!$B$6,COUNTA($C$8:$C$507),AY67))))</f>
        <v/>
      </c>
      <c r="BA67" s="5"/>
      <c r="BB67" s="106" t="n">
        <f aca="false">IF(OR(ISNUMBER(AY67),AY67=Constants!$B$4,AY67=Constants!$B$6,AY67=Constants!$B$5),1,0)</f>
        <v>0</v>
      </c>
      <c r="BC67" s="106" t="n">
        <v>60</v>
      </c>
      <c r="BD67" s="106" t="str">
        <f aca="false">IF(ISBLANK($C67),"",IF(ISNUMBER(AZ67),AZ67+ROW($B67)/1000,""))</f>
        <v/>
      </c>
      <c r="BE67" s="106" t="str">
        <f aca="false">IF(ISNUMBER(BD67),RANK(BD67,$BD$8:$BD$507,1),"")</f>
        <v/>
      </c>
      <c r="BF67" s="106" t="str">
        <f aca="false">IF(ISBLANK($C67),"",$B67)</f>
        <v/>
      </c>
      <c r="BG67" s="106" t="str">
        <f aca="false">IF(ISBLANK($C67),"",$C67)</f>
        <v/>
      </c>
      <c r="BH67" s="106" t="str">
        <f aca="false">IF(ISBLANK($C67),"",$D67)</f>
        <v/>
      </c>
      <c r="BI67" s="107" t="str">
        <f aca="false">AW67</f>
        <v/>
      </c>
      <c r="BJ67" s="108" t="str">
        <f aca="false">AV67</f>
        <v/>
      </c>
      <c r="BK67" s="106" t="str">
        <f aca="false">IF(ISBLANK($C67),"",AY67)</f>
        <v/>
      </c>
      <c r="BL67" s="109" t="str">
        <f aca="false">IF($BC67&gt;$BB$7,"",VLOOKUP($BC67,$BE$8:$BK$507,7,FALSE()))</f>
        <v/>
      </c>
      <c r="BM67" s="110" t="str">
        <f aca="false">IF($BC67&gt;$BB$7,"",VLOOKUP($BC67,$BE$8:$BK$507,2,FALSE()))</f>
        <v/>
      </c>
      <c r="BN67" s="110" t="str">
        <f aca="false">IF($BC67&gt;$BB$7,"",VLOOKUP($BC67,$BE$8:$BK$507,3,FALSE()))</f>
        <v/>
      </c>
      <c r="BO67" s="110" t="str">
        <f aca="false">IF($BC67&gt;$BB$7,"",VLOOKUP($BC67,$BE$8:$BK$507,4,FALSE()))</f>
        <v/>
      </c>
      <c r="BP67" s="110" t="str">
        <f aca="false">IF($BC67&gt;$BB$7,"",VLOOKUP($BC67,$BE$8:$BK$507,5,FALSE()))</f>
        <v/>
      </c>
      <c r="BQ67" s="111" t="str">
        <f aca="false">IF($BC67&gt;$BB$7,"",VLOOKUP($BC67,$BE$8:$BK$507,6,FALSE()))</f>
        <v/>
      </c>
      <c r="BR67" s="54"/>
    </row>
    <row r="68" customFormat="false" ht="13.8" hidden="false" customHeight="false" outlineLevel="0" collapsed="false">
      <c r="A68" s="5"/>
      <c r="B68" s="124"/>
      <c r="C68" s="56"/>
      <c r="D68" s="57"/>
      <c r="E68" s="83"/>
      <c r="F68" s="59"/>
      <c r="G68" s="60"/>
      <c r="H68" s="61"/>
      <c r="I68" s="62"/>
      <c r="J68" s="59"/>
      <c r="K68" s="60"/>
      <c r="L68" s="61"/>
      <c r="M68" s="62"/>
      <c r="N68" s="59"/>
      <c r="O68" s="83"/>
      <c r="P68" s="64"/>
      <c r="Q68" s="66" t="str">
        <f aca="false">IF(ISBLANK($C68),"",IF(E68=Constants!$B$2, TRUE(), IF(E68=Constants!$B$3, FALSE(), TRUE())))</f>
        <v/>
      </c>
      <c r="R68" s="66" t="str">
        <f aca="false">IF(ISBLANK($C68),"",IF(F68=Constants!$B$16,Constants!$B$9,IF(F68=Constants!$B$17,Constants!$B$10,Constants!$B$8)))</f>
        <v/>
      </c>
      <c r="S68" s="66" t="str">
        <f aca="false">IF(ISBLANK($C68),"",IF(COUNTA(G68:H68)=0,"",IF(AND(OR(ISBLANK(G68),AND(ISNUMBER(G68),G68&gt;=0)),OR(ISBLANK(H68),AND(ISNUMBER(H68),H68&gt;=0))),60*IF(ISBLANK(G68),0,G68)+IF(ISBLANK(H68),0,H68),"")))</f>
        <v/>
      </c>
      <c r="T68" s="66" t="str">
        <f aca="false">IF(ISBLANK($C68),"",IF(I68=Constants!$B$2, TRUE(), IF(I68=Constants!$B$3, FALSE(), TRUE())))</f>
        <v/>
      </c>
      <c r="U68" s="66" t="str">
        <f aca="false">IF(ISBLANK($C68),"",IF(J68=Constants!$B$2, TRUE(), IF(J68=Constants!$B$3, FALSE(), TRUE())))</f>
        <v/>
      </c>
      <c r="V68" s="66" t="str">
        <f aca="false">IF(ISBLANK($C68),"",IF(COUNTA(K68:L68)=0,"",IF(AND(OR(ISBLANK(K68),AND(ISNUMBER(K68),K68&gt;=0)),OR(ISBLANK(L68),AND(ISNUMBER(L68),L68&gt;=0))),60*IF(ISBLANK(K68),0,K68)+IF(ISBLANK(L68),0,L68),"")))</f>
        <v/>
      </c>
      <c r="W68" s="66" t="str">
        <f aca="false">IF(ISBLANK($C68),"",IF(M68=Constants!$B$2, TRUE(), IF(M68=Constants!$B$3, FALSE(), TRUE())))</f>
        <v/>
      </c>
      <c r="X68" s="66" t="str">
        <f aca="false">IF(ISBLANK($C68),"",IF(N68=Constants!$B$2, TRUE(), IF(N68=Constants!$B$3, FALSE(), TRUE())))</f>
        <v/>
      </c>
      <c r="Y68" s="66" t="str">
        <f aca="false">IF(ISBLANK($C68),"",IF(O68=Constants!$B$2, TRUE(), IF(O68=Constants!$B$3, FALSE(), FALSE())))</f>
        <v/>
      </c>
      <c r="Z68" s="66" t="str">
        <f aca="false">IF(ISBLANK($C68),"",AND(S68&lt;&gt;"",Q68))</f>
        <v/>
      </c>
      <c r="AA68" s="66" t="str">
        <f aca="false">IF(ISBLANK($C68),"",AND(V68&lt;&gt;"",Q68))</f>
        <v/>
      </c>
      <c r="AB68" s="66" t="str">
        <f aca="false">IF(ISBLANK($C68),"",IF(Y68,Constants!$B$4,IF(COUNTA(E68:N68)=0,Constants!$B$5,IF(NOT(Q68),Constants!$B$6,IF(AND(NOT(Z68),NOT(AA68)),Constants!$B$6,Constants!$B$7)))))</f>
        <v/>
      </c>
      <c r="AC68" s="66" t="str">
        <f aca="false">IF(ISBLANK($C68),"",IF($AB68&lt;&gt;Constants!$B$7,$AB68,Constants!$B$20))</f>
        <v/>
      </c>
      <c r="AD68" s="66" t="str">
        <f aca="false">IF($AB68=Constants!$B$7,IF(Z68,S68,Constants!$B$13),"")</f>
        <v/>
      </c>
      <c r="AE68" s="66" t="str">
        <f aca="false">IF($AB68=Constants!$B$7,IF(Z68,R68*IF(T68, 1, Constants!$B$11)*IF(U68, 1, Constants!$B$12),Constants!$B$13),"")</f>
        <v/>
      </c>
      <c r="AF68" s="66" t="str">
        <f aca="false">IF($AB68=Constants!$B$7,AD68*AE68,"")</f>
        <v/>
      </c>
      <c r="AG68" s="66" t="str">
        <f aca="false">IF($AB68=Constants!$B$7,IF(AA68,V68,Constants!$B$13),"")</f>
        <v/>
      </c>
      <c r="AH68" s="66" t="str">
        <f aca="false">IF($AB68=Constants!$B$7,IF(AA68,R68*IF(W68, 1, Constants!$B$11)*IF(X68, 1, Constants!$B$12),Constants!$B$13),"")</f>
        <v/>
      </c>
      <c r="AI68" s="66" t="str">
        <f aca="false">IF($AB68=Constants!$B$7,AG68*AH68,"")</f>
        <v/>
      </c>
      <c r="AJ68" s="66" t="str">
        <f aca="false">IF($AB68=Constants!$B$7,IF(AI68&gt;AF68,2,1),"")</f>
        <v/>
      </c>
      <c r="AK68" s="66" t="str">
        <f aca="false">IF($AB68=Constants!$B$7,IF(AJ68=1,2,1),"")</f>
        <v/>
      </c>
      <c r="AL68" s="66" t="str">
        <f aca="false">IF(ISBLANK($C68),"",IF($AB68&lt;&gt;Constants!$B$7,$AB68,IF(AJ68=1,AF68,AI68)))</f>
        <v/>
      </c>
      <c r="AM68" s="66" t="str">
        <f aca="false">IF(ISBLANK($C68),"",IF($AB68=Constants!$B$7,IF(ISNUMBER(AL68),RANK(AL68,$AL$8:$AL$507),Constants!$B$14),$AB68))</f>
        <v/>
      </c>
      <c r="AN68" s="66" t="str">
        <f aca="false">IF(ISBLANK($C68),"",IF($AB68=Constants!$B$7,IF(AK68=1,AF68,AI68),""))</f>
        <v/>
      </c>
      <c r="AO68" s="66" t="str">
        <f aca="false">IF(ISBLANK($C68),"",IF($AB68=Constants!$B$7,RANK(AN68,$AN$8:$AN$507),$AB68))</f>
        <v/>
      </c>
      <c r="AP68" s="66" t="str">
        <f aca="false">IF(ISBLANK($C68),"",IF($AB68=Constants!$B$7,IF(ISNUMBER(AM68),COUNTIFS($AM$8:$AM$507,"&lt;"&amp;$AM68)+COUNTIFS($AM$8:$AM$507,$AM68,$AO$8:$AO$507,"&lt;"&amp;$AO68)+1,Constants!$B$14),$AB68))</f>
        <v/>
      </c>
      <c r="AQ68" s="66" t="str">
        <f aca="false">IF(ISBLANK($C68),"",IF($AB68=Constants!$B$7,IF(ISNUMBER(AM68),AM68-AP68,Constants!$B$14),$AB68))</f>
        <v/>
      </c>
      <c r="AR68" s="68"/>
      <c r="AS68" s="69" t="str">
        <f aca="false">IF(ISBLANK($C68),"",IF($AB68&lt;&gt;Constants!$B$7,"",AJ68))</f>
        <v/>
      </c>
      <c r="AT68" s="84" t="str">
        <f aca="false">IF(ISBLANK($C68),"",IF($AB68&lt;&gt;Constants!$B$7,"",IF(AJ68=1,AD68,AG68)))</f>
        <v/>
      </c>
      <c r="AU68" s="71" t="str">
        <f aca="false">IF(ISBLANK($C68),"",IF($AB68&lt;&gt;Constants!$B$7,"",IF(AJ68=1,AE68,AH68)))</f>
        <v/>
      </c>
      <c r="AV68" s="72" t="str">
        <f aca="false">IF(ISBLANK($C68),"",IF($AB68&lt;&gt;Constants!$B$7,$AB68,AL68))</f>
        <v/>
      </c>
      <c r="AW68" s="73" t="str">
        <f aca="false">IF(ISBLANK($C68),"",IF($AB68&lt;&gt;Constants!$B$7,$AB68,AC68))</f>
        <v/>
      </c>
      <c r="AX68" s="74" t="str">
        <f aca="false">IF(ISBLANK($C68),"",AQ68)</f>
        <v/>
      </c>
      <c r="AY68" s="74" t="str">
        <f aca="false">IF(ISBLANK($C68),"",AP68)</f>
        <v/>
      </c>
      <c r="AZ68" s="75" t="str">
        <f aca="false">IF(ISBLANK($C68),"",IF(AY68=Constants!$B$4,COUNTA($C$8:$C$507)+2,IF(AY68=Constants!$B$5,COUNTA($C$8:$C$507)+1,IF(AY68=Constants!$B$6,COUNTA($C$8:$C$507),AY68))))</f>
        <v/>
      </c>
      <c r="BA68" s="5"/>
      <c r="BB68" s="76" t="n">
        <f aca="false">IF(OR(ISNUMBER(AY68),AY68=Constants!$B$4,AY68=Constants!$B$6,AY68=Constants!$B$5),1,0)</f>
        <v>0</v>
      </c>
      <c r="BC68" s="76" t="n">
        <v>61</v>
      </c>
      <c r="BD68" s="76" t="str">
        <f aca="false">IF(ISBLANK($C68),"",IF(ISNUMBER(AZ68),AZ68+ROW($B68)/1000,""))</f>
        <v/>
      </c>
      <c r="BE68" s="76" t="str">
        <f aca="false">IF(ISNUMBER(BD68),RANK(BD68,$BD$8:$BD$507,1),"")</f>
        <v/>
      </c>
      <c r="BF68" s="76" t="str">
        <f aca="false">IF(ISBLANK($C68),"",$B68)</f>
        <v/>
      </c>
      <c r="BG68" s="76" t="str">
        <f aca="false">IF(ISBLANK($C68),"",$C68)</f>
        <v/>
      </c>
      <c r="BH68" s="76" t="str">
        <f aca="false">IF(ISBLANK($C68),"",$D68)</f>
        <v/>
      </c>
      <c r="BI68" s="77" t="str">
        <f aca="false">AW68</f>
        <v/>
      </c>
      <c r="BJ68" s="78" t="str">
        <f aca="false">AV68</f>
        <v/>
      </c>
      <c r="BK68" s="76" t="str">
        <f aca="false">IF(ISBLANK($C68),"",AY68)</f>
        <v/>
      </c>
      <c r="BL68" s="79" t="str">
        <f aca="false">IF($BC68&gt;$BB$7,"",VLOOKUP($BC68,$BE$8:$BK$507,7,FALSE()))</f>
        <v/>
      </c>
      <c r="BM68" s="80" t="str">
        <f aca="false">IF($BC68&gt;$BB$7,"",VLOOKUP($BC68,$BE$8:$BK$507,2,FALSE()))</f>
        <v/>
      </c>
      <c r="BN68" s="80" t="str">
        <f aca="false">IF($BC68&gt;$BB$7,"",VLOOKUP($BC68,$BE$8:$BK$507,3,FALSE()))</f>
        <v/>
      </c>
      <c r="BO68" s="80" t="str">
        <f aca="false">IF($BC68&gt;$BB$7,"",VLOOKUP($BC68,$BE$8:$BK$507,4,FALSE()))</f>
        <v/>
      </c>
      <c r="BP68" s="80" t="str">
        <f aca="false">IF($BC68&gt;$BB$7,"",VLOOKUP($BC68,$BE$8:$BK$507,5,FALSE()))</f>
        <v/>
      </c>
      <c r="BQ68" s="81" t="str">
        <f aca="false">IF($BC68&gt;$BB$7,"",VLOOKUP($BC68,$BE$8:$BK$507,6,FALSE()))</f>
        <v/>
      </c>
      <c r="BR68" s="54"/>
    </row>
    <row r="69" customFormat="false" ht="13.8" hidden="false" customHeight="false" outlineLevel="0" collapsed="false">
      <c r="A69" s="5"/>
      <c r="B69" s="124"/>
      <c r="C69" s="56"/>
      <c r="D69" s="57"/>
      <c r="E69" s="83"/>
      <c r="F69" s="59"/>
      <c r="G69" s="60"/>
      <c r="H69" s="61"/>
      <c r="I69" s="62"/>
      <c r="J69" s="59"/>
      <c r="K69" s="60"/>
      <c r="L69" s="61"/>
      <c r="M69" s="62"/>
      <c r="N69" s="59"/>
      <c r="O69" s="83"/>
      <c r="P69" s="64"/>
      <c r="Q69" s="66" t="str">
        <f aca="false">IF(ISBLANK($C69),"",IF(E69=Constants!$B$2, TRUE(), IF(E69=Constants!$B$3, FALSE(), TRUE())))</f>
        <v/>
      </c>
      <c r="R69" s="66" t="str">
        <f aca="false">IF(ISBLANK($C69),"",IF(F69=Constants!$B$16,Constants!$B$9,IF(F69=Constants!$B$17,Constants!$B$10,Constants!$B$8)))</f>
        <v/>
      </c>
      <c r="S69" s="66" t="str">
        <f aca="false">IF(ISBLANK($C69),"",IF(COUNTA(G69:H69)=0,"",IF(AND(OR(ISBLANK(G69),AND(ISNUMBER(G69),G69&gt;=0)),OR(ISBLANK(H69),AND(ISNUMBER(H69),H69&gt;=0))),60*IF(ISBLANK(G69),0,G69)+IF(ISBLANK(H69),0,H69),"")))</f>
        <v/>
      </c>
      <c r="T69" s="66" t="str">
        <f aca="false">IF(ISBLANK($C69),"",IF(I69=Constants!$B$2, TRUE(), IF(I69=Constants!$B$3, FALSE(), TRUE())))</f>
        <v/>
      </c>
      <c r="U69" s="66" t="str">
        <f aca="false">IF(ISBLANK($C69),"",IF(J69=Constants!$B$2, TRUE(), IF(J69=Constants!$B$3, FALSE(), TRUE())))</f>
        <v/>
      </c>
      <c r="V69" s="66" t="str">
        <f aca="false">IF(ISBLANK($C69),"",IF(COUNTA(K69:L69)=0,"",IF(AND(OR(ISBLANK(K69),AND(ISNUMBER(K69),K69&gt;=0)),OR(ISBLANK(L69),AND(ISNUMBER(L69),L69&gt;=0))),60*IF(ISBLANK(K69),0,K69)+IF(ISBLANK(L69),0,L69),"")))</f>
        <v/>
      </c>
      <c r="W69" s="66" t="str">
        <f aca="false">IF(ISBLANK($C69),"",IF(M69=Constants!$B$2, TRUE(), IF(M69=Constants!$B$3, FALSE(), TRUE())))</f>
        <v/>
      </c>
      <c r="X69" s="66" t="str">
        <f aca="false">IF(ISBLANK($C69),"",IF(N69=Constants!$B$2, TRUE(), IF(N69=Constants!$B$3, FALSE(), TRUE())))</f>
        <v/>
      </c>
      <c r="Y69" s="66" t="str">
        <f aca="false">IF(ISBLANK($C69),"",IF(O69=Constants!$B$2, TRUE(), IF(O69=Constants!$B$3, FALSE(), FALSE())))</f>
        <v/>
      </c>
      <c r="Z69" s="66" t="str">
        <f aca="false">IF(ISBLANK($C69),"",AND(S69&lt;&gt;"",Q69))</f>
        <v/>
      </c>
      <c r="AA69" s="66" t="str">
        <f aca="false">IF(ISBLANK($C69),"",AND(V69&lt;&gt;"",Q69))</f>
        <v/>
      </c>
      <c r="AB69" s="66" t="str">
        <f aca="false">IF(ISBLANK($C69),"",IF(Y69,Constants!$B$4,IF(COUNTA(E69:N69)=0,Constants!$B$5,IF(NOT(Q69),Constants!$B$6,IF(AND(NOT(Z69),NOT(AA69)),Constants!$B$6,Constants!$B$7)))))</f>
        <v/>
      </c>
      <c r="AC69" s="66" t="str">
        <f aca="false">IF(ISBLANK($C69),"",IF($AB69&lt;&gt;Constants!$B$7,$AB69,Constants!$B$20))</f>
        <v/>
      </c>
      <c r="AD69" s="66" t="str">
        <f aca="false">IF($AB69=Constants!$B$7,IF(Z69,S69,Constants!$B$13),"")</f>
        <v/>
      </c>
      <c r="AE69" s="66" t="str">
        <f aca="false">IF($AB69=Constants!$B$7,IF(Z69,R69*IF(T69, 1, Constants!$B$11)*IF(U69, 1, Constants!$B$12),Constants!$B$13),"")</f>
        <v/>
      </c>
      <c r="AF69" s="66" t="str">
        <f aca="false">IF($AB69=Constants!$B$7,AD69*AE69,"")</f>
        <v/>
      </c>
      <c r="AG69" s="66" t="str">
        <f aca="false">IF($AB69=Constants!$B$7,IF(AA69,V69,Constants!$B$13),"")</f>
        <v/>
      </c>
      <c r="AH69" s="66" t="str">
        <f aca="false">IF($AB69=Constants!$B$7,IF(AA69,R69*IF(W69, 1, Constants!$B$11)*IF(X69, 1, Constants!$B$12),Constants!$B$13),"")</f>
        <v/>
      </c>
      <c r="AI69" s="66" t="str">
        <f aca="false">IF($AB69=Constants!$B$7,AG69*AH69,"")</f>
        <v/>
      </c>
      <c r="AJ69" s="66" t="str">
        <f aca="false">IF($AB69=Constants!$B$7,IF(AI69&gt;AF69,2,1),"")</f>
        <v/>
      </c>
      <c r="AK69" s="66" t="str">
        <f aca="false">IF($AB69=Constants!$B$7,IF(AJ69=1,2,1),"")</f>
        <v/>
      </c>
      <c r="AL69" s="66" t="str">
        <f aca="false">IF(ISBLANK($C69),"",IF($AB69&lt;&gt;Constants!$B$7,$AB69,IF(AJ69=1,AF69,AI69)))</f>
        <v/>
      </c>
      <c r="AM69" s="66" t="str">
        <f aca="false">IF(ISBLANK($C69),"",IF($AB69=Constants!$B$7,IF(ISNUMBER(AL69),RANK(AL69,$AL$8:$AL$507),Constants!$B$14),$AB69))</f>
        <v/>
      </c>
      <c r="AN69" s="66" t="str">
        <f aca="false">IF(ISBLANK($C69),"",IF($AB69=Constants!$B$7,IF(AK69=1,AF69,AI69),""))</f>
        <v/>
      </c>
      <c r="AO69" s="66" t="str">
        <f aca="false">IF(ISBLANK($C69),"",IF($AB69=Constants!$B$7,RANK(AN69,$AN$8:$AN$507),$AB69))</f>
        <v/>
      </c>
      <c r="AP69" s="66" t="str">
        <f aca="false">IF(ISBLANK($C69),"",IF($AB69=Constants!$B$7,IF(ISNUMBER(AM69),COUNTIFS($AM$8:$AM$507,"&lt;"&amp;$AM69)+COUNTIFS($AM$8:$AM$507,$AM69,$AO$8:$AO$507,"&lt;"&amp;$AO69)+1,Constants!$B$14),$AB69))</f>
        <v/>
      </c>
      <c r="AQ69" s="66" t="str">
        <f aca="false">IF(ISBLANK($C69),"",IF($AB69=Constants!$B$7,IF(ISNUMBER(AM69),AM69-AP69,Constants!$B$14),$AB69))</f>
        <v/>
      </c>
      <c r="AR69" s="68"/>
      <c r="AS69" s="69" t="str">
        <f aca="false">IF(ISBLANK($C69),"",IF($AB69&lt;&gt;Constants!$B$7,"",AJ69))</f>
        <v/>
      </c>
      <c r="AT69" s="84" t="str">
        <f aca="false">IF(ISBLANK($C69),"",IF($AB69&lt;&gt;Constants!$B$7,"",IF(AJ69=1,AD69,AG69)))</f>
        <v/>
      </c>
      <c r="AU69" s="71" t="str">
        <f aca="false">IF(ISBLANK($C69),"",IF($AB69&lt;&gt;Constants!$B$7,"",IF(AJ69=1,AE69,AH69)))</f>
        <v/>
      </c>
      <c r="AV69" s="72" t="str">
        <f aca="false">IF(ISBLANK($C69),"",IF($AB69&lt;&gt;Constants!$B$7,$AB69,AL69))</f>
        <v/>
      </c>
      <c r="AW69" s="73" t="str">
        <f aca="false">IF(ISBLANK($C69),"",IF($AB69&lt;&gt;Constants!$B$7,$AB69,AC69))</f>
        <v/>
      </c>
      <c r="AX69" s="74" t="str">
        <f aca="false">IF(ISBLANK($C69),"",AQ69)</f>
        <v/>
      </c>
      <c r="AY69" s="74" t="str">
        <f aca="false">IF(ISBLANK($C69),"",AP69)</f>
        <v/>
      </c>
      <c r="AZ69" s="75" t="str">
        <f aca="false">IF(ISBLANK($C69),"",IF(AY69=Constants!$B$4,COUNTA($C$8:$C$507)+2,IF(AY69=Constants!$B$5,COUNTA($C$8:$C$507)+1,IF(AY69=Constants!$B$6,COUNTA($C$8:$C$507),AY69))))</f>
        <v/>
      </c>
      <c r="BA69" s="5"/>
      <c r="BB69" s="76" t="n">
        <f aca="false">IF(OR(ISNUMBER(AY69),AY69=Constants!$B$4,AY69=Constants!$B$6,AY69=Constants!$B$5),1,0)</f>
        <v>0</v>
      </c>
      <c r="BC69" s="76" t="n">
        <v>62</v>
      </c>
      <c r="BD69" s="76" t="str">
        <f aca="false">IF(ISBLANK($C69),"",IF(ISNUMBER(AZ69),AZ69+ROW($B69)/1000,""))</f>
        <v/>
      </c>
      <c r="BE69" s="76" t="str">
        <f aca="false">IF(ISNUMBER(BD69),RANK(BD69,$BD$8:$BD$507,1),"")</f>
        <v/>
      </c>
      <c r="BF69" s="76" t="str">
        <f aca="false">IF(ISBLANK($C69),"",$B69)</f>
        <v/>
      </c>
      <c r="BG69" s="76" t="str">
        <f aca="false">IF(ISBLANK($C69),"",$C69)</f>
        <v/>
      </c>
      <c r="BH69" s="76" t="str">
        <f aca="false">IF(ISBLANK($C69),"",$D69)</f>
        <v/>
      </c>
      <c r="BI69" s="77" t="str">
        <f aca="false">AW69</f>
        <v/>
      </c>
      <c r="BJ69" s="78" t="str">
        <f aca="false">AV69</f>
        <v/>
      </c>
      <c r="BK69" s="76" t="str">
        <f aca="false">IF(ISBLANK($C69),"",AY69)</f>
        <v/>
      </c>
      <c r="BL69" s="79" t="str">
        <f aca="false">IF($BC69&gt;$BB$7,"",VLOOKUP($BC69,$BE$8:$BK$507,7,FALSE()))</f>
        <v/>
      </c>
      <c r="BM69" s="80" t="str">
        <f aca="false">IF($BC69&gt;$BB$7,"",VLOOKUP($BC69,$BE$8:$BK$507,2,FALSE()))</f>
        <v/>
      </c>
      <c r="BN69" s="80" t="str">
        <f aca="false">IF($BC69&gt;$BB$7,"",VLOOKUP($BC69,$BE$8:$BK$507,3,FALSE()))</f>
        <v/>
      </c>
      <c r="BO69" s="80" t="str">
        <f aca="false">IF($BC69&gt;$BB$7,"",VLOOKUP($BC69,$BE$8:$BK$507,4,FALSE()))</f>
        <v/>
      </c>
      <c r="BP69" s="80" t="str">
        <f aca="false">IF($BC69&gt;$BB$7,"",VLOOKUP($BC69,$BE$8:$BK$507,5,FALSE()))</f>
        <v/>
      </c>
      <c r="BQ69" s="81" t="str">
        <f aca="false">IF($BC69&gt;$BB$7,"",VLOOKUP($BC69,$BE$8:$BK$507,6,FALSE()))</f>
        <v/>
      </c>
      <c r="BR69" s="54"/>
    </row>
    <row r="70" customFormat="false" ht="13.8" hidden="false" customHeight="false" outlineLevel="0" collapsed="false">
      <c r="A70" s="5"/>
      <c r="B70" s="124"/>
      <c r="C70" s="56"/>
      <c r="D70" s="57"/>
      <c r="E70" s="83"/>
      <c r="F70" s="59"/>
      <c r="G70" s="60"/>
      <c r="H70" s="61"/>
      <c r="I70" s="62"/>
      <c r="J70" s="59"/>
      <c r="K70" s="60"/>
      <c r="L70" s="61"/>
      <c r="M70" s="62"/>
      <c r="N70" s="59"/>
      <c r="O70" s="83"/>
      <c r="P70" s="64"/>
      <c r="Q70" s="66" t="str">
        <f aca="false">IF(ISBLANK($C70),"",IF(E70=Constants!$B$2, TRUE(), IF(E70=Constants!$B$3, FALSE(), TRUE())))</f>
        <v/>
      </c>
      <c r="R70" s="66" t="str">
        <f aca="false">IF(ISBLANK($C70),"",IF(F70=Constants!$B$16,Constants!$B$9,IF(F70=Constants!$B$17,Constants!$B$10,Constants!$B$8)))</f>
        <v/>
      </c>
      <c r="S70" s="66" t="str">
        <f aca="false">IF(ISBLANK($C70),"",IF(COUNTA(G70:H70)=0,"",IF(AND(OR(ISBLANK(G70),AND(ISNUMBER(G70),G70&gt;=0)),OR(ISBLANK(H70),AND(ISNUMBER(H70),H70&gt;=0))),60*IF(ISBLANK(G70),0,G70)+IF(ISBLANK(H70),0,H70),"")))</f>
        <v/>
      </c>
      <c r="T70" s="66" t="str">
        <f aca="false">IF(ISBLANK($C70),"",IF(I70=Constants!$B$2, TRUE(), IF(I70=Constants!$B$3, FALSE(), TRUE())))</f>
        <v/>
      </c>
      <c r="U70" s="66" t="str">
        <f aca="false">IF(ISBLANK($C70),"",IF(J70=Constants!$B$2, TRUE(), IF(J70=Constants!$B$3, FALSE(), TRUE())))</f>
        <v/>
      </c>
      <c r="V70" s="66" t="str">
        <f aca="false">IF(ISBLANK($C70),"",IF(COUNTA(K70:L70)=0,"",IF(AND(OR(ISBLANK(K70),AND(ISNUMBER(K70),K70&gt;=0)),OR(ISBLANK(L70),AND(ISNUMBER(L70),L70&gt;=0))),60*IF(ISBLANK(K70),0,K70)+IF(ISBLANK(L70),0,L70),"")))</f>
        <v/>
      </c>
      <c r="W70" s="66" t="str">
        <f aca="false">IF(ISBLANK($C70),"",IF(M70=Constants!$B$2, TRUE(), IF(M70=Constants!$B$3, FALSE(), TRUE())))</f>
        <v/>
      </c>
      <c r="X70" s="66" t="str">
        <f aca="false">IF(ISBLANK($C70),"",IF(N70=Constants!$B$2, TRUE(), IF(N70=Constants!$B$3, FALSE(), TRUE())))</f>
        <v/>
      </c>
      <c r="Y70" s="66" t="str">
        <f aca="false">IF(ISBLANK($C70),"",IF(O70=Constants!$B$2, TRUE(), IF(O70=Constants!$B$3, FALSE(), FALSE())))</f>
        <v/>
      </c>
      <c r="Z70" s="66" t="str">
        <f aca="false">IF(ISBLANK($C70),"",AND(S70&lt;&gt;"",Q70))</f>
        <v/>
      </c>
      <c r="AA70" s="66" t="str">
        <f aca="false">IF(ISBLANK($C70),"",AND(V70&lt;&gt;"",Q70))</f>
        <v/>
      </c>
      <c r="AB70" s="66" t="str">
        <f aca="false">IF(ISBLANK($C70),"",IF(Y70,Constants!$B$4,IF(COUNTA(E70:N70)=0,Constants!$B$5,IF(NOT(Q70),Constants!$B$6,IF(AND(NOT(Z70),NOT(AA70)),Constants!$B$6,Constants!$B$7)))))</f>
        <v/>
      </c>
      <c r="AC70" s="66" t="str">
        <f aca="false">IF(ISBLANK($C70),"",IF($AB70&lt;&gt;Constants!$B$7,$AB70,Constants!$B$20))</f>
        <v/>
      </c>
      <c r="AD70" s="66" t="str">
        <f aca="false">IF($AB70=Constants!$B$7,IF(Z70,S70,Constants!$B$13),"")</f>
        <v/>
      </c>
      <c r="AE70" s="66" t="str">
        <f aca="false">IF($AB70=Constants!$B$7,IF(Z70,R70*IF(T70, 1, Constants!$B$11)*IF(U70, 1, Constants!$B$12),Constants!$B$13),"")</f>
        <v/>
      </c>
      <c r="AF70" s="66" t="str">
        <f aca="false">IF($AB70=Constants!$B$7,AD70*AE70,"")</f>
        <v/>
      </c>
      <c r="AG70" s="66" t="str">
        <f aca="false">IF($AB70=Constants!$B$7,IF(AA70,V70,Constants!$B$13),"")</f>
        <v/>
      </c>
      <c r="AH70" s="66" t="str">
        <f aca="false">IF($AB70=Constants!$B$7,IF(AA70,R70*IF(W70, 1, Constants!$B$11)*IF(X70, 1, Constants!$B$12),Constants!$B$13),"")</f>
        <v/>
      </c>
      <c r="AI70" s="66" t="str">
        <f aca="false">IF($AB70=Constants!$B$7,AG70*AH70,"")</f>
        <v/>
      </c>
      <c r="AJ70" s="66" t="str">
        <f aca="false">IF($AB70=Constants!$B$7,IF(AI70&gt;AF70,2,1),"")</f>
        <v/>
      </c>
      <c r="AK70" s="66" t="str">
        <f aca="false">IF($AB70=Constants!$B$7,IF(AJ70=1,2,1),"")</f>
        <v/>
      </c>
      <c r="AL70" s="66" t="str">
        <f aca="false">IF(ISBLANK($C70),"",IF($AB70&lt;&gt;Constants!$B$7,$AB70,IF(AJ70=1,AF70,AI70)))</f>
        <v/>
      </c>
      <c r="AM70" s="66" t="str">
        <f aca="false">IF(ISBLANK($C70),"",IF($AB70=Constants!$B$7,IF(ISNUMBER(AL70),RANK(AL70,$AL$8:$AL$507),Constants!$B$14),$AB70))</f>
        <v/>
      </c>
      <c r="AN70" s="66" t="str">
        <f aca="false">IF(ISBLANK($C70),"",IF($AB70=Constants!$B$7,IF(AK70=1,AF70,AI70),""))</f>
        <v/>
      </c>
      <c r="AO70" s="66" t="str">
        <f aca="false">IF(ISBLANK($C70),"",IF($AB70=Constants!$B$7,RANK(AN70,$AN$8:$AN$507),$AB70))</f>
        <v/>
      </c>
      <c r="AP70" s="66" t="str">
        <f aca="false">IF(ISBLANK($C70),"",IF($AB70=Constants!$B$7,IF(ISNUMBER(AM70),COUNTIFS($AM$8:$AM$507,"&lt;"&amp;$AM70)+COUNTIFS($AM$8:$AM$507,$AM70,$AO$8:$AO$507,"&lt;"&amp;$AO70)+1,Constants!$B$14),$AB70))</f>
        <v/>
      </c>
      <c r="AQ70" s="66" t="str">
        <f aca="false">IF(ISBLANK($C70),"",IF($AB70=Constants!$B$7,IF(ISNUMBER(AM70),AM70-AP70,Constants!$B$14),$AB70))</f>
        <v/>
      </c>
      <c r="AR70" s="68"/>
      <c r="AS70" s="69" t="str">
        <f aca="false">IF(ISBLANK($C70),"",IF($AB70&lt;&gt;Constants!$B$7,"",AJ70))</f>
        <v/>
      </c>
      <c r="AT70" s="84" t="str">
        <f aca="false">IF(ISBLANK($C70),"",IF($AB70&lt;&gt;Constants!$B$7,"",IF(AJ70=1,AD70,AG70)))</f>
        <v/>
      </c>
      <c r="AU70" s="71" t="str">
        <f aca="false">IF(ISBLANK($C70),"",IF($AB70&lt;&gt;Constants!$B$7,"",IF(AJ70=1,AE70,AH70)))</f>
        <v/>
      </c>
      <c r="AV70" s="72" t="str">
        <f aca="false">IF(ISBLANK($C70),"",IF($AB70&lt;&gt;Constants!$B$7,$AB70,AL70))</f>
        <v/>
      </c>
      <c r="AW70" s="73" t="str">
        <f aca="false">IF(ISBLANK($C70),"",IF($AB70&lt;&gt;Constants!$B$7,$AB70,AC70))</f>
        <v/>
      </c>
      <c r="AX70" s="74" t="str">
        <f aca="false">IF(ISBLANK($C70),"",AQ70)</f>
        <v/>
      </c>
      <c r="AY70" s="74" t="str">
        <f aca="false">IF(ISBLANK($C70),"",AP70)</f>
        <v/>
      </c>
      <c r="AZ70" s="75" t="str">
        <f aca="false">IF(ISBLANK($C70),"",IF(AY70=Constants!$B$4,COUNTA($C$8:$C$507)+2,IF(AY70=Constants!$B$5,COUNTA($C$8:$C$507)+1,IF(AY70=Constants!$B$6,COUNTA($C$8:$C$507),AY70))))</f>
        <v/>
      </c>
      <c r="BA70" s="5"/>
      <c r="BB70" s="76" t="n">
        <f aca="false">IF(OR(ISNUMBER(AY70),AY70=Constants!$B$4,AY70=Constants!$B$6,AY70=Constants!$B$5),1,0)</f>
        <v>0</v>
      </c>
      <c r="BC70" s="76" t="n">
        <v>63</v>
      </c>
      <c r="BD70" s="76" t="str">
        <f aca="false">IF(ISBLANK($C70),"",IF(ISNUMBER(AZ70),AZ70+ROW($B70)/1000,""))</f>
        <v/>
      </c>
      <c r="BE70" s="76" t="str">
        <f aca="false">IF(ISNUMBER(BD70),RANK(BD70,$BD$8:$BD$507,1),"")</f>
        <v/>
      </c>
      <c r="BF70" s="76" t="str">
        <f aca="false">IF(ISBLANK($C70),"",$B70)</f>
        <v/>
      </c>
      <c r="BG70" s="76" t="str">
        <f aca="false">IF(ISBLANK($C70),"",$C70)</f>
        <v/>
      </c>
      <c r="BH70" s="76" t="str">
        <f aca="false">IF(ISBLANK($C70),"",$D70)</f>
        <v/>
      </c>
      <c r="BI70" s="77" t="str">
        <f aca="false">AW70</f>
        <v/>
      </c>
      <c r="BJ70" s="78" t="str">
        <f aca="false">AV70</f>
        <v/>
      </c>
      <c r="BK70" s="76" t="str">
        <f aca="false">IF(ISBLANK($C70),"",AY70)</f>
        <v/>
      </c>
      <c r="BL70" s="79" t="str">
        <f aca="false">IF($BC70&gt;$BB$7,"",VLOOKUP($BC70,$BE$8:$BK$507,7,FALSE()))</f>
        <v/>
      </c>
      <c r="BM70" s="80" t="str">
        <f aca="false">IF($BC70&gt;$BB$7,"",VLOOKUP($BC70,$BE$8:$BK$507,2,FALSE()))</f>
        <v/>
      </c>
      <c r="BN70" s="80" t="str">
        <f aca="false">IF($BC70&gt;$BB$7,"",VLOOKUP($BC70,$BE$8:$BK$507,3,FALSE()))</f>
        <v/>
      </c>
      <c r="BO70" s="80" t="str">
        <f aca="false">IF($BC70&gt;$BB$7,"",VLOOKUP($BC70,$BE$8:$BK$507,4,FALSE()))</f>
        <v/>
      </c>
      <c r="BP70" s="80" t="str">
        <f aca="false">IF($BC70&gt;$BB$7,"",VLOOKUP($BC70,$BE$8:$BK$507,5,FALSE()))</f>
        <v/>
      </c>
      <c r="BQ70" s="81" t="str">
        <f aca="false">IF($BC70&gt;$BB$7,"",VLOOKUP($BC70,$BE$8:$BK$507,6,FALSE()))</f>
        <v/>
      </c>
      <c r="BR70" s="54"/>
    </row>
    <row r="71" customFormat="false" ht="13.8" hidden="false" customHeight="false" outlineLevel="0" collapsed="false">
      <c r="A71" s="5"/>
      <c r="B71" s="120"/>
      <c r="C71" s="121"/>
      <c r="D71" s="112"/>
      <c r="E71" s="123"/>
      <c r="F71" s="91"/>
      <c r="G71" s="92"/>
      <c r="H71" s="93"/>
      <c r="I71" s="94"/>
      <c r="J71" s="91"/>
      <c r="K71" s="92"/>
      <c r="L71" s="93"/>
      <c r="M71" s="94"/>
      <c r="N71" s="91"/>
      <c r="O71" s="123"/>
      <c r="P71" s="96"/>
      <c r="Q71" s="97" t="str">
        <f aca="false">IF(ISBLANK($C71),"",IF(E71=Constants!$B$2, TRUE(), IF(E71=Constants!$B$3, FALSE(), TRUE())))</f>
        <v/>
      </c>
      <c r="R71" s="97" t="str">
        <f aca="false">IF(ISBLANK($C71),"",IF(F71=Constants!$B$16,Constants!$B$9,IF(F71=Constants!$B$17,Constants!$B$10,Constants!$B$8)))</f>
        <v/>
      </c>
      <c r="S71" s="97" t="str">
        <f aca="false">IF(ISBLANK($C71),"",IF(COUNTA(G71:H71)=0,"",IF(AND(OR(ISBLANK(G71),AND(ISNUMBER(G71),G71&gt;=0)),OR(ISBLANK(H71),AND(ISNUMBER(H71),H71&gt;=0))),60*IF(ISBLANK(G71),0,G71)+IF(ISBLANK(H71),0,H71),"")))</f>
        <v/>
      </c>
      <c r="T71" s="97" t="str">
        <f aca="false">IF(ISBLANK($C71),"",IF(I71=Constants!$B$2, TRUE(), IF(I71=Constants!$B$3, FALSE(), TRUE())))</f>
        <v/>
      </c>
      <c r="U71" s="97" t="str">
        <f aca="false">IF(ISBLANK($C71),"",IF(J71=Constants!$B$2, TRUE(), IF(J71=Constants!$B$3, FALSE(), TRUE())))</f>
        <v/>
      </c>
      <c r="V71" s="97" t="str">
        <f aca="false">IF(ISBLANK($C71),"",IF(COUNTA(K71:L71)=0,"",IF(AND(OR(ISBLANK(K71),AND(ISNUMBER(K71),K71&gt;=0)),OR(ISBLANK(L71),AND(ISNUMBER(L71),L71&gt;=0))),60*IF(ISBLANK(K71),0,K71)+IF(ISBLANK(L71),0,L71),"")))</f>
        <v/>
      </c>
      <c r="W71" s="97" t="str">
        <f aca="false">IF(ISBLANK($C71),"",IF(M71=Constants!$B$2, TRUE(), IF(M71=Constants!$B$3, FALSE(), TRUE())))</f>
        <v/>
      </c>
      <c r="X71" s="97" t="str">
        <f aca="false">IF(ISBLANK($C71),"",IF(N71=Constants!$B$2, TRUE(), IF(N71=Constants!$B$3, FALSE(), TRUE())))</f>
        <v/>
      </c>
      <c r="Y71" s="97" t="str">
        <f aca="false">IF(ISBLANK($C71),"",IF(O71=Constants!$B$2, TRUE(), IF(O71=Constants!$B$3, FALSE(), FALSE())))</f>
        <v/>
      </c>
      <c r="Z71" s="97" t="str">
        <f aca="false">IF(ISBLANK($C71),"",AND(S71&lt;&gt;"",Q71))</f>
        <v/>
      </c>
      <c r="AA71" s="97" t="str">
        <f aca="false">IF(ISBLANK($C71),"",AND(V71&lt;&gt;"",Q71))</f>
        <v/>
      </c>
      <c r="AB71" s="97" t="str">
        <f aca="false">IF(ISBLANK($C71),"",IF(Y71,Constants!$B$4,IF(COUNTA(E71:N71)=0,Constants!$B$5,IF(NOT(Q71),Constants!$B$6,IF(AND(NOT(Z71),NOT(AA71)),Constants!$B$6,Constants!$B$7)))))</f>
        <v/>
      </c>
      <c r="AC71" s="97" t="str">
        <f aca="false">IF(ISBLANK($C71),"",IF($AB71&lt;&gt;Constants!$B$7,$AB71,Constants!$B$20))</f>
        <v/>
      </c>
      <c r="AD71" s="97" t="str">
        <f aca="false">IF($AB71=Constants!$B$7,IF(Z71,S71,Constants!$B$13),"")</f>
        <v/>
      </c>
      <c r="AE71" s="97" t="str">
        <f aca="false">IF($AB71=Constants!$B$7,IF(Z71,R71*IF(T71, 1, Constants!$B$11)*IF(U71, 1, Constants!$B$12),Constants!$B$13),"")</f>
        <v/>
      </c>
      <c r="AF71" s="97" t="str">
        <f aca="false">IF($AB71=Constants!$B$7,AD71*AE71,"")</f>
        <v/>
      </c>
      <c r="AG71" s="97" t="str">
        <f aca="false">IF($AB71=Constants!$B$7,IF(AA71,V71,Constants!$B$13),"")</f>
        <v/>
      </c>
      <c r="AH71" s="97" t="str">
        <f aca="false">IF($AB71=Constants!$B$7,IF(AA71,R71*IF(W71, 1, Constants!$B$11)*IF(X71, 1, Constants!$B$12),Constants!$B$13),"")</f>
        <v/>
      </c>
      <c r="AI71" s="97" t="str">
        <f aca="false">IF($AB71=Constants!$B$7,AG71*AH71,"")</f>
        <v/>
      </c>
      <c r="AJ71" s="97" t="str">
        <f aca="false">IF($AB71=Constants!$B$7,IF(AI71&gt;AF71,2,1),"")</f>
        <v/>
      </c>
      <c r="AK71" s="97" t="str">
        <f aca="false">IF($AB71=Constants!$B$7,IF(AJ71=1,2,1),"")</f>
        <v/>
      </c>
      <c r="AL71" s="97" t="str">
        <f aca="false">IF(ISBLANK($C71),"",IF($AB71&lt;&gt;Constants!$B$7,$AB71,IF(AJ71=1,AF71,AI71)))</f>
        <v/>
      </c>
      <c r="AM71" s="97" t="str">
        <f aca="false">IF(ISBLANK($C71),"",IF($AB71=Constants!$B$7,IF(ISNUMBER(AL71),RANK(AL71,$AL$8:$AL$507),Constants!$B$14),$AB71))</f>
        <v/>
      </c>
      <c r="AN71" s="97" t="str">
        <f aca="false">IF(ISBLANK($C71),"",IF($AB71=Constants!$B$7,IF(AK71=1,AF71,AI71),""))</f>
        <v/>
      </c>
      <c r="AO71" s="97" t="str">
        <f aca="false">IF(ISBLANK($C71),"",IF($AB71=Constants!$B$7,RANK(AN71,$AN$8:$AN$507),$AB71))</f>
        <v/>
      </c>
      <c r="AP71" s="97" t="str">
        <f aca="false">IF(ISBLANK($C71),"",IF($AB71=Constants!$B$7,IF(ISNUMBER(AM71),COUNTIFS($AM$8:$AM$507,"&lt;"&amp;$AM71)+COUNTIFS($AM$8:$AM$507,$AM71,$AO$8:$AO$507,"&lt;"&amp;$AO71)+1,Constants!$B$14),$AB71))</f>
        <v/>
      </c>
      <c r="AQ71" s="97" t="str">
        <f aca="false">IF(ISBLANK($C71),"",IF($AB71=Constants!$B$7,IF(ISNUMBER(AM71),AM71-AP71,Constants!$B$14),$AB71))</f>
        <v/>
      </c>
      <c r="AR71" s="98"/>
      <c r="AS71" s="99" t="str">
        <f aca="false">IF(ISBLANK($C71),"",IF($AB71&lt;&gt;Constants!$B$7,"",AJ71))</f>
        <v/>
      </c>
      <c r="AT71" s="100" t="str">
        <f aca="false">IF(ISBLANK($C71),"",IF($AB71&lt;&gt;Constants!$B$7,"",IF(AJ71=1,AD71,AG71)))</f>
        <v/>
      </c>
      <c r="AU71" s="101" t="str">
        <f aca="false">IF(ISBLANK($C71),"",IF($AB71&lt;&gt;Constants!$B$7,"",IF(AJ71=1,AE71,AH71)))</f>
        <v/>
      </c>
      <c r="AV71" s="102" t="str">
        <f aca="false">IF(ISBLANK($C71),"",IF($AB71&lt;&gt;Constants!$B$7,$AB71,AL71))</f>
        <v/>
      </c>
      <c r="AW71" s="103" t="str">
        <f aca="false">IF(ISBLANK($C71),"",IF($AB71&lt;&gt;Constants!$B$7,$AB71,AC71))</f>
        <v/>
      </c>
      <c r="AX71" s="104" t="str">
        <f aca="false">IF(ISBLANK($C71),"",AQ71)</f>
        <v/>
      </c>
      <c r="AY71" s="104" t="str">
        <f aca="false">IF(ISBLANK($C71),"",AP71)</f>
        <v/>
      </c>
      <c r="AZ71" s="105" t="str">
        <f aca="false">IF(ISBLANK($C71),"",IF(AY71=Constants!$B$4,COUNTA($C$8:$C$507)+2,IF(AY71=Constants!$B$5,COUNTA($C$8:$C$507)+1,IF(AY71=Constants!$B$6,COUNTA($C$8:$C$507),AY71))))</f>
        <v/>
      </c>
      <c r="BA71" s="5"/>
      <c r="BB71" s="106" t="n">
        <f aca="false">IF(OR(ISNUMBER(AY71),AY71=Constants!$B$4,AY71=Constants!$B$6,AY71=Constants!$B$5),1,0)</f>
        <v>0</v>
      </c>
      <c r="BC71" s="106" t="n">
        <v>64</v>
      </c>
      <c r="BD71" s="106" t="str">
        <f aca="false">IF(ISBLANK($C71),"",IF(ISNUMBER(AZ71),AZ71+ROW($B71)/1000,""))</f>
        <v/>
      </c>
      <c r="BE71" s="106" t="str">
        <f aca="false">IF(ISNUMBER(BD71),RANK(BD71,$BD$8:$BD$507,1),"")</f>
        <v/>
      </c>
      <c r="BF71" s="106" t="str">
        <f aca="false">IF(ISBLANK($C71),"",$B71)</f>
        <v/>
      </c>
      <c r="BG71" s="106" t="str">
        <f aca="false">IF(ISBLANK($C71),"",$C71)</f>
        <v/>
      </c>
      <c r="BH71" s="106" t="str">
        <f aca="false">IF(ISBLANK($C71),"",$D71)</f>
        <v/>
      </c>
      <c r="BI71" s="107" t="str">
        <f aca="false">AW71</f>
        <v/>
      </c>
      <c r="BJ71" s="108" t="str">
        <f aca="false">AV71</f>
        <v/>
      </c>
      <c r="BK71" s="106" t="str">
        <f aca="false">IF(ISBLANK($C71),"",AY71)</f>
        <v/>
      </c>
      <c r="BL71" s="109" t="str">
        <f aca="false">IF($BC71&gt;$BB$7,"",VLOOKUP($BC71,$BE$8:$BK$507,7,FALSE()))</f>
        <v/>
      </c>
      <c r="BM71" s="110" t="str">
        <f aca="false">IF($BC71&gt;$BB$7,"",VLOOKUP($BC71,$BE$8:$BK$507,2,FALSE()))</f>
        <v/>
      </c>
      <c r="BN71" s="110" t="str">
        <f aca="false">IF($BC71&gt;$BB$7,"",VLOOKUP($BC71,$BE$8:$BK$507,3,FALSE()))</f>
        <v/>
      </c>
      <c r="BO71" s="110" t="str">
        <f aca="false">IF($BC71&gt;$BB$7,"",VLOOKUP($BC71,$BE$8:$BK$507,4,FALSE()))</f>
        <v/>
      </c>
      <c r="BP71" s="110" t="str">
        <f aca="false">IF($BC71&gt;$BB$7,"",VLOOKUP($BC71,$BE$8:$BK$507,5,FALSE()))</f>
        <v/>
      </c>
      <c r="BQ71" s="111" t="str">
        <f aca="false">IF($BC71&gt;$BB$7,"",VLOOKUP($BC71,$BE$8:$BK$507,6,FALSE()))</f>
        <v/>
      </c>
      <c r="BR71" s="54"/>
    </row>
    <row r="72" customFormat="false" ht="13.8" hidden="false" customHeight="false" outlineLevel="0" collapsed="false">
      <c r="A72" s="5"/>
      <c r="B72" s="120"/>
      <c r="C72" s="121"/>
      <c r="D72" s="112"/>
      <c r="E72" s="123"/>
      <c r="F72" s="91"/>
      <c r="G72" s="92"/>
      <c r="H72" s="93"/>
      <c r="I72" s="94"/>
      <c r="J72" s="91"/>
      <c r="K72" s="92"/>
      <c r="L72" s="93"/>
      <c r="M72" s="94"/>
      <c r="N72" s="91"/>
      <c r="O72" s="123"/>
      <c r="P72" s="96"/>
      <c r="Q72" s="97" t="str">
        <f aca="false">IF(ISBLANK($C72),"",IF(E72=Constants!$B$2, TRUE(), IF(E72=Constants!$B$3, FALSE(), TRUE())))</f>
        <v/>
      </c>
      <c r="R72" s="97" t="str">
        <f aca="false">IF(ISBLANK($C72),"",IF(F72=Constants!$B$16,Constants!$B$9,IF(F72=Constants!$B$17,Constants!$B$10,Constants!$B$8)))</f>
        <v/>
      </c>
      <c r="S72" s="97" t="str">
        <f aca="false">IF(ISBLANK($C72),"",IF(COUNTA(G72:H72)=0,"",IF(AND(OR(ISBLANK(G72),AND(ISNUMBER(G72),G72&gt;=0)),OR(ISBLANK(H72),AND(ISNUMBER(H72),H72&gt;=0))),60*IF(ISBLANK(G72),0,G72)+IF(ISBLANK(H72),0,H72),"")))</f>
        <v/>
      </c>
      <c r="T72" s="97" t="str">
        <f aca="false">IF(ISBLANK($C72),"",IF(I72=Constants!$B$2, TRUE(), IF(I72=Constants!$B$3, FALSE(), TRUE())))</f>
        <v/>
      </c>
      <c r="U72" s="97" t="str">
        <f aca="false">IF(ISBLANK($C72),"",IF(J72=Constants!$B$2, TRUE(), IF(J72=Constants!$B$3, FALSE(), TRUE())))</f>
        <v/>
      </c>
      <c r="V72" s="97" t="str">
        <f aca="false">IF(ISBLANK($C72),"",IF(COUNTA(K72:L72)=0,"",IF(AND(OR(ISBLANK(K72),AND(ISNUMBER(K72),K72&gt;=0)),OR(ISBLANK(L72),AND(ISNUMBER(L72),L72&gt;=0))),60*IF(ISBLANK(K72),0,K72)+IF(ISBLANK(L72),0,L72),"")))</f>
        <v/>
      </c>
      <c r="W72" s="97" t="str">
        <f aca="false">IF(ISBLANK($C72),"",IF(M72=Constants!$B$2, TRUE(), IF(M72=Constants!$B$3, FALSE(), TRUE())))</f>
        <v/>
      </c>
      <c r="X72" s="97" t="str">
        <f aca="false">IF(ISBLANK($C72),"",IF(N72=Constants!$B$2, TRUE(), IF(N72=Constants!$B$3, FALSE(), TRUE())))</f>
        <v/>
      </c>
      <c r="Y72" s="97" t="str">
        <f aca="false">IF(ISBLANK($C72),"",IF(O72=Constants!$B$2, TRUE(), IF(O72=Constants!$B$3, FALSE(), FALSE())))</f>
        <v/>
      </c>
      <c r="Z72" s="97" t="str">
        <f aca="false">IF(ISBLANK($C72),"",AND(S72&lt;&gt;"",Q72))</f>
        <v/>
      </c>
      <c r="AA72" s="97" t="str">
        <f aca="false">IF(ISBLANK($C72),"",AND(V72&lt;&gt;"",Q72))</f>
        <v/>
      </c>
      <c r="AB72" s="97" t="str">
        <f aca="false">IF(ISBLANK($C72),"",IF(Y72,Constants!$B$4,IF(COUNTA(E72:N72)=0,Constants!$B$5,IF(NOT(Q72),Constants!$B$6,IF(AND(NOT(Z72),NOT(AA72)),Constants!$B$6,Constants!$B$7)))))</f>
        <v/>
      </c>
      <c r="AC72" s="97" t="str">
        <f aca="false">IF(ISBLANK($C72),"",IF($AB72&lt;&gt;Constants!$B$7,$AB72,Constants!$B$20))</f>
        <v/>
      </c>
      <c r="AD72" s="97" t="str">
        <f aca="false">IF($AB72=Constants!$B$7,IF(Z72,S72,Constants!$B$13),"")</f>
        <v/>
      </c>
      <c r="AE72" s="97" t="str">
        <f aca="false">IF($AB72=Constants!$B$7,IF(Z72,R72*IF(T72, 1, Constants!$B$11)*IF(U72, 1, Constants!$B$12),Constants!$B$13),"")</f>
        <v/>
      </c>
      <c r="AF72" s="97" t="str">
        <f aca="false">IF($AB72=Constants!$B$7,AD72*AE72,"")</f>
        <v/>
      </c>
      <c r="AG72" s="97" t="str">
        <f aca="false">IF($AB72=Constants!$B$7,IF(AA72,V72,Constants!$B$13),"")</f>
        <v/>
      </c>
      <c r="AH72" s="97" t="str">
        <f aca="false">IF($AB72=Constants!$B$7,IF(AA72,R72*IF(W72, 1, Constants!$B$11)*IF(X72, 1, Constants!$B$12),Constants!$B$13),"")</f>
        <v/>
      </c>
      <c r="AI72" s="97" t="str">
        <f aca="false">IF($AB72=Constants!$B$7,AG72*AH72,"")</f>
        <v/>
      </c>
      <c r="AJ72" s="97" t="str">
        <f aca="false">IF($AB72=Constants!$B$7,IF(AI72&gt;AF72,2,1),"")</f>
        <v/>
      </c>
      <c r="AK72" s="97" t="str">
        <f aca="false">IF($AB72=Constants!$B$7,IF(AJ72=1,2,1),"")</f>
        <v/>
      </c>
      <c r="AL72" s="97" t="str">
        <f aca="false">IF(ISBLANK($C72),"",IF($AB72&lt;&gt;Constants!$B$7,$AB72,IF(AJ72=1,AF72,AI72)))</f>
        <v/>
      </c>
      <c r="AM72" s="97" t="str">
        <f aca="false">IF(ISBLANK($C72),"",IF($AB72=Constants!$B$7,IF(ISNUMBER(AL72),RANK(AL72,$AL$8:$AL$507),Constants!$B$14),$AB72))</f>
        <v/>
      </c>
      <c r="AN72" s="97" t="str">
        <f aca="false">IF(ISBLANK($C72),"",IF($AB72=Constants!$B$7,IF(AK72=1,AF72,AI72),""))</f>
        <v/>
      </c>
      <c r="AO72" s="97" t="str">
        <f aca="false">IF(ISBLANK($C72),"",IF($AB72=Constants!$B$7,RANK(AN72,$AN$8:$AN$507),$AB72))</f>
        <v/>
      </c>
      <c r="AP72" s="97" t="str">
        <f aca="false">IF(ISBLANK($C72),"",IF($AB72=Constants!$B$7,IF(ISNUMBER(AM72),COUNTIFS($AM$8:$AM$507,"&lt;"&amp;$AM72)+COUNTIFS($AM$8:$AM$507,$AM72,$AO$8:$AO$507,"&lt;"&amp;$AO72)+1,Constants!$B$14),$AB72))</f>
        <v/>
      </c>
      <c r="AQ72" s="97" t="str">
        <f aca="false">IF(ISBLANK($C72),"",IF($AB72=Constants!$B$7,IF(ISNUMBER(AM72),AM72-AP72,Constants!$B$14),$AB72))</f>
        <v/>
      </c>
      <c r="AR72" s="98"/>
      <c r="AS72" s="99" t="str">
        <f aca="false">IF(ISBLANK($C72),"",IF($AB72&lt;&gt;Constants!$B$7,"",AJ72))</f>
        <v/>
      </c>
      <c r="AT72" s="100" t="str">
        <f aca="false">IF(ISBLANK($C72),"",IF($AB72&lt;&gt;Constants!$B$7,"",IF(AJ72=1,AD72,AG72)))</f>
        <v/>
      </c>
      <c r="AU72" s="101" t="str">
        <f aca="false">IF(ISBLANK($C72),"",IF($AB72&lt;&gt;Constants!$B$7,"",IF(AJ72=1,AE72,AH72)))</f>
        <v/>
      </c>
      <c r="AV72" s="102" t="str">
        <f aca="false">IF(ISBLANK($C72),"",IF($AB72&lt;&gt;Constants!$B$7,$AB72,AL72))</f>
        <v/>
      </c>
      <c r="AW72" s="103" t="str">
        <f aca="false">IF(ISBLANK($C72),"",IF($AB72&lt;&gt;Constants!$B$7,$AB72,AC72))</f>
        <v/>
      </c>
      <c r="AX72" s="104" t="str">
        <f aca="false">IF(ISBLANK($C72),"",AQ72)</f>
        <v/>
      </c>
      <c r="AY72" s="104" t="str">
        <f aca="false">IF(ISBLANK($C72),"",AP72)</f>
        <v/>
      </c>
      <c r="AZ72" s="105" t="str">
        <f aca="false">IF(ISBLANK($C72),"",IF(AY72=Constants!$B$4,COUNTA($C$8:$C$507)+2,IF(AY72=Constants!$B$5,COUNTA($C$8:$C$507)+1,IF(AY72=Constants!$B$6,COUNTA($C$8:$C$507),AY72))))</f>
        <v/>
      </c>
      <c r="BA72" s="5"/>
      <c r="BB72" s="106" t="n">
        <f aca="false">IF(OR(ISNUMBER(AY72),AY72=Constants!$B$4,AY72=Constants!$B$6,AY72=Constants!$B$5),1,0)</f>
        <v>0</v>
      </c>
      <c r="BC72" s="106" t="n">
        <v>65</v>
      </c>
      <c r="BD72" s="106" t="str">
        <f aca="false">IF(ISBLANK($C72),"",IF(ISNUMBER(AZ72),AZ72+ROW($B72)/1000,""))</f>
        <v/>
      </c>
      <c r="BE72" s="106" t="str">
        <f aca="false">IF(ISNUMBER(BD72),RANK(BD72,$BD$8:$BD$507,1),"")</f>
        <v/>
      </c>
      <c r="BF72" s="106" t="str">
        <f aca="false">IF(ISBLANK($C72),"",$B72)</f>
        <v/>
      </c>
      <c r="BG72" s="106" t="str">
        <f aca="false">IF(ISBLANK($C72),"",$C72)</f>
        <v/>
      </c>
      <c r="BH72" s="106" t="str">
        <f aca="false">IF(ISBLANK($C72),"",$D72)</f>
        <v/>
      </c>
      <c r="BI72" s="107" t="str">
        <f aca="false">AW72</f>
        <v/>
      </c>
      <c r="BJ72" s="108" t="str">
        <f aca="false">AV72</f>
        <v/>
      </c>
      <c r="BK72" s="106" t="str">
        <f aca="false">IF(ISBLANK($C72),"",AY72)</f>
        <v/>
      </c>
      <c r="BL72" s="109" t="str">
        <f aca="false">IF($BC72&gt;$BB$7,"",VLOOKUP($BC72,$BE$8:$BK$507,7,FALSE()))</f>
        <v/>
      </c>
      <c r="BM72" s="110" t="str">
        <f aca="false">IF($BC72&gt;$BB$7,"",VLOOKUP($BC72,$BE$8:$BK$507,2,FALSE()))</f>
        <v/>
      </c>
      <c r="BN72" s="110" t="str">
        <f aca="false">IF($BC72&gt;$BB$7,"",VLOOKUP($BC72,$BE$8:$BK$507,3,FALSE()))</f>
        <v/>
      </c>
      <c r="BO72" s="110" t="str">
        <f aca="false">IF($BC72&gt;$BB$7,"",VLOOKUP($BC72,$BE$8:$BK$507,4,FALSE()))</f>
        <v/>
      </c>
      <c r="BP72" s="110" t="str">
        <f aca="false">IF($BC72&gt;$BB$7,"",VLOOKUP($BC72,$BE$8:$BK$507,5,FALSE()))</f>
        <v/>
      </c>
      <c r="BQ72" s="111" t="str">
        <f aca="false">IF($BC72&gt;$BB$7,"",VLOOKUP($BC72,$BE$8:$BK$507,6,FALSE()))</f>
        <v/>
      </c>
      <c r="BR72" s="54"/>
    </row>
    <row r="73" customFormat="false" ht="13.8" hidden="false" customHeight="false" outlineLevel="0" collapsed="false">
      <c r="A73" s="5"/>
      <c r="B73" s="120"/>
      <c r="C73" s="121"/>
      <c r="D73" s="112"/>
      <c r="E73" s="123"/>
      <c r="F73" s="91"/>
      <c r="G73" s="92"/>
      <c r="H73" s="93"/>
      <c r="I73" s="94"/>
      <c r="J73" s="91"/>
      <c r="K73" s="92"/>
      <c r="L73" s="93"/>
      <c r="M73" s="94"/>
      <c r="N73" s="91"/>
      <c r="O73" s="123"/>
      <c r="P73" s="96"/>
      <c r="Q73" s="97" t="str">
        <f aca="false">IF(ISBLANK($C73),"",IF(E73=Constants!$B$2, TRUE(), IF(E73=Constants!$B$3, FALSE(), TRUE())))</f>
        <v/>
      </c>
      <c r="R73" s="97" t="str">
        <f aca="false">IF(ISBLANK($C73),"",IF(F73=Constants!$B$16,Constants!$B$9,IF(F73=Constants!$B$17,Constants!$B$10,Constants!$B$8)))</f>
        <v/>
      </c>
      <c r="S73" s="97" t="str">
        <f aca="false">IF(ISBLANK($C73),"",IF(COUNTA(G73:H73)=0,"",IF(AND(OR(ISBLANK(G73),AND(ISNUMBER(G73),G73&gt;=0)),OR(ISBLANK(H73),AND(ISNUMBER(H73),H73&gt;=0))),60*IF(ISBLANK(G73),0,G73)+IF(ISBLANK(H73),0,H73),"")))</f>
        <v/>
      </c>
      <c r="T73" s="97" t="str">
        <f aca="false">IF(ISBLANK($C73),"",IF(I73=Constants!$B$2, TRUE(), IF(I73=Constants!$B$3, FALSE(), TRUE())))</f>
        <v/>
      </c>
      <c r="U73" s="97" t="str">
        <f aca="false">IF(ISBLANK($C73),"",IF(J73=Constants!$B$2, TRUE(), IF(J73=Constants!$B$3, FALSE(), TRUE())))</f>
        <v/>
      </c>
      <c r="V73" s="97" t="str">
        <f aca="false">IF(ISBLANK($C73),"",IF(COUNTA(K73:L73)=0,"",IF(AND(OR(ISBLANK(K73),AND(ISNUMBER(K73),K73&gt;=0)),OR(ISBLANK(L73),AND(ISNUMBER(L73),L73&gt;=0))),60*IF(ISBLANK(K73),0,K73)+IF(ISBLANK(L73),0,L73),"")))</f>
        <v/>
      </c>
      <c r="W73" s="97" t="str">
        <f aca="false">IF(ISBLANK($C73),"",IF(M73=Constants!$B$2, TRUE(), IF(M73=Constants!$B$3, FALSE(), TRUE())))</f>
        <v/>
      </c>
      <c r="X73" s="97" t="str">
        <f aca="false">IF(ISBLANK($C73),"",IF(N73=Constants!$B$2, TRUE(), IF(N73=Constants!$B$3, FALSE(), TRUE())))</f>
        <v/>
      </c>
      <c r="Y73" s="97" t="str">
        <f aca="false">IF(ISBLANK($C73),"",IF(O73=Constants!$B$2, TRUE(), IF(O73=Constants!$B$3, FALSE(), FALSE())))</f>
        <v/>
      </c>
      <c r="Z73" s="97" t="str">
        <f aca="false">IF(ISBLANK($C73),"",AND(S73&lt;&gt;"",Q73))</f>
        <v/>
      </c>
      <c r="AA73" s="97" t="str">
        <f aca="false">IF(ISBLANK($C73),"",AND(V73&lt;&gt;"",Q73))</f>
        <v/>
      </c>
      <c r="AB73" s="97" t="str">
        <f aca="false">IF(ISBLANK($C73),"",IF(Y73,Constants!$B$4,IF(COUNTA(E73:N73)=0,Constants!$B$5,IF(NOT(Q73),Constants!$B$6,IF(AND(NOT(Z73),NOT(AA73)),Constants!$B$6,Constants!$B$7)))))</f>
        <v/>
      </c>
      <c r="AC73" s="97" t="str">
        <f aca="false">IF(ISBLANK($C73),"",IF($AB73&lt;&gt;Constants!$B$7,$AB73,Constants!$B$20))</f>
        <v/>
      </c>
      <c r="AD73" s="97" t="str">
        <f aca="false">IF($AB73=Constants!$B$7,IF(Z73,S73,Constants!$B$13),"")</f>
        <v/>
      </c>
      <c r="AE73" s="97" t="str">
        <f aca="false">IF($AB73=Constants!$B$7,IF(Z73,R73*IF(T73, 1, Constants!$B$11)*IF(U73, 1, Constants!$B$12),Constants!$B$13),"")</f>
        <v/>
      </c>
      <c r="AF73" s="97" t="str">
        <f aca="false">IF($AB73=Constants!$B$7,AD73*AE73,"")</f>
        <v/>
      </c>
      <c r="AG73" s="97" t="str">
        <f aca="false">IF($AB73=Constants!$B$7,IF(AA73,V73,Constants!$B$13),"")</f>
        <v/>
      </c>
      <c r="AH73" s="97" t="str">
        <f aca="false">IF($AB73=Constants!$B$7,IF(AA73,R73*IF(W73, 1, Constants!$B$11)*IF(X73, 1, Constants!$B$12),Constants!$B$13),"")</f>
        <v/>
      </c>
      <c r="AI73" s="97" t="str">
        <f aca="false">IF($AB73=Constants!$B$7,AG73*AH73,"")</f>
        <v/>
      </c>
      <c r="AJ73" s="97" t="str">
        <f aca="false">IF($AB73=Constants!$B$7,IF(AI73&gt;AF73,2,1),"")</f>
        <v/>
      </c>
      <c r="AK73" s="97" t="str">
        <f aca="false">IF($AB73=Constants!$B$7,IF(AJ73=1,2,1),"")</f>
        <v/>
      </c>
      <c r="AL73" s="97" t="str">
        <f aca="false">IF(ISBLANK($C73),"",IF($AB73&lt;&gt;Constants!$B$7,$AB73,IF(AJ73=1,AF73,AI73)))</f>
        <v/>
      </c>
      <c r="AM73" s="97" t="str">
        <f aca="false">IF(ISBLANK($C73),"",IF($AB73=Constants!$B$7,IF(ISNUMBER(AL73),RANK(AL73,$AL$8:$AL$507),Constants!$B$14),$AB73))</f>
        <v/>
      </c>
      <c r="AN73" s="97" t="str">
        <f aca="false">IF(ISBLANK($C73),"",IF($AB73=Constants!$B$7,IF(AK73=1,AF73,AI73),""))</f>
        <v/>
      </c>
      <c r="AO73" s="97" t="str">
        <f aca="false">IF(ISBLANK($C73),"",IF($AB73=Constants!$B$7,RANK(AN73,$AN$8:$AN$507),$AB73))</f>
        <v/>
      </c>
      <c r="AP73" s="97" t="str">
        <f aca="false">IF(ISBLANK($C73),"",IF($AB73=Constants!$B$7,IF(ISNUMBER(AM73),COUNTIFS($AM$8:$AM$507,"&lt;"&amp;$AM73)+COUNTIFS($AM$8:$AM$507,$AM73,$AO$8:$AO$507,"&lt;"&amp;$AO73)+1,Constants!$B$14),$AB73))</f>
        <v/>
      </c>
      <c r="AQ73" s="97" t="str">
        <f aca="false">IF(ISBLANK($C73),"",IF($AB73=Constants!$B$7,IF(ISNUMBER(AM73),AM73-AP73,Constants!$B$14),$AB73))</f>
        <v/>
      </c>
      <c r="AR73" s="98"/>
      <c r="AS73" s="99" t="str">
        <f aca="false">IF(ISBLANK($C73),"",IF($AB73&lt;&gt;Constants!$B$7,"",AJ73))</f>
        <v/>
      </c>
      <c r="AT73" s="100" t="str">
        <f aca="false">IF(ISBLANK($C73),"",IF($AB73&lt;&gt;Constants!$B$7,"",IF(AJ73=1,AD73,AG73)))</f>
        <v/>
      </c>
      <c r="AU73" s="101" t="str">
        <f aca="false">IF(ISBLANK($C73),"",IF($AB73&lt;&gt;Constants!$B$7,"",IF(AJ73=1,AE73,AH73)))</f>
        <v/>
      </c>
      <c r="AV73" s="102" t="str">
        <f aca="false">IF(ISBLANK($C73),"",IF($AB73&lt;&gt;Constants!$B$7,$AB73,AL73))</f>
        <v/>
      </c>
      <c r="AW73" s="103" t="str">
        <f aca="false">IF(ISBLANK($C73),"",IF($AB73&lt;&gt;Constants!$B$7,$AB73,AC73))</f>
        <v/>
      </c>
      <c r="AX73" s="104" t="str">
        <f aca="false">IF(ISBLANK($C73),"",AQ73)</f>
        <v/>
      </c>
      <c r="AY73" s="104" t="str">
        <f aca="false">IF(ISBLANK($C73),"",AP73)</f>
        <v/>
      </c>
      <c r="AZ73" s="105" t="str">
        <f aca="false">IF(ISBLANK($C73),"",IF(AY73=Constants!$B$4,COUNTA($C$8:$C$507)+2,IF(AY73=Constants!$B$5,COUNTA($C$8:$C$507)+1,IF(AY73=Constants!$B$6,COUNTA($C$8:$C$507),AY73))))</f>
        <v/>
      </c>
      <c r="BA73" s="5"/>
      <c r="BB73" s="106" t="n">
        <f aca="false">IF(OR(ISNUMBER(AY73),AY73=Constants!$B$4,AY73=Constants!$B$6,AY73=Constants!$B$5),1,0)</f>
        <v>0</v>
      </c>
      <c r="BC73" s="106" t="n">
        <v>66</v>
      </c>
      <c r="BD73" s="106" t="str">
        <f aca="false">IF(ISBLANK($C73),"",IF(ISNUMBER(AZ73),AZ73+ROW($B73)/1000,""))</f>
        <v/>
      </c>
      <c r="BE73" s="106" t="str">
        <f aca="false">IF(ISNUMBER(BD73),RANK(BD73,$BD$8:$BD$507,1),"")</f>
        <v/>
      </c>
      <c r="BF73" s="106" t="str">
        <f aca="false">IF(ISBLANK($C73),"",$B73)</f>
        <v/>
      </c>
      <c r="BG73" s="106" t="str">
        <f aca="false">IF(ISBLANK($C73),"",$C73)</f>
        <v/>
      </c>
      <c r="BH73" s="106" t="str">
        <f aca="false">IF(ISBLANK($C73),"",$D73)</f>
        <v/>
      </c>
      <c r="BI73" s="107" t="str">
        <f aca="false">AW73</f>
        <v/>
      </c>
      <c r="BJ73" s="108" t="str">
        <f aca="false">AV73</f>
        <v/>
      </c>
      <c r="BK73" s="106" t="str">
        <f aca="false">IF(ISBLANK($C73),"",AY73)</f>
        <v/>
      </c>
      <c r="BL73" s="109" t="str">
        <f aca="false">IF($BC73&gt;$BB$7,"",VLOOKUP($BC73,$BE$8:$BK$507,7,FALSE()))</f>
        <v/>
      </c>
      <c r="BM73" s="110" t="str">
        <f aca="false">IF($BC73&gt;$BB$7,"",VLOOKUP($BC73,$BE$8:$BK$507,2,FALSE()))</f>
        <v/>
      </c>
      <c r="BN73" s="110" t="str">
        <f aca="false">IF($BC73&gt;$BB$7,"",VLOOKUP($BC73,$BE$8:$BK$507,3,FALSE()))</f>
        <v/>
      </c>
      <c r="BO73" s="110" t="str">
        <f aca="false">IF($BC73&gt;$BB$7,"",VLOOKUP($BC73,$BE$8:$BK$507,4,FALSE()))</f>
        <v/>
      </c>
      <c r="BP73" s="110" t="str">
        <f aca="false">IF($BC73&gt;$BB$7,"",VLOOKUP($BC73,$BE$8:$BK$507,5,FALSE()))</f>
        <v/>
      </c>
      <c r="BQ73" s="111" t="str">
        <f aca="false">IF($BC73&gt;$BB$7,"",VLOOKUP($BC73,$BE$8:$BK$507,6,FALSE()))</f>
        <v/>
      </c>
      <c r="BR73" s="54"/>
    </row>
    <row r="74" customFormat="false" ht="13.8" hidden="false" customHeight="false" outlineLevel="0" collapsed="false">
      <c r="A74" s="5"/>
      <c r="B74" s="124"/>
      <c r="C74" s="56"/>
      <c r="D74" s="57"/>
      <c r="E74" s="83"/>
      <c r="F74" s="59"/>
      <c r="G74" s="60"/>
      <c r="H74" s="61"/>
      <c r="I74" s="62"/>
      <c r="J74" s="59"/>
      <c r="K74" s="60"/>
      <c r="L74" s="61"/>
      <c r="M74" s="62"/>
      <c r="N74" s="59"/>
      <c r="O74" s="83"/>
      <c r="P74" s="64"/>
      <c r="Q74" s="66" t="str">
        <f aca="false">IF(ISBLANK($C74),"",IF(E74=Constants!$B$2, TRUE(), IF(E74=Constants!$B$3, FALSE(), TRUE())))</f>
        <v/>
      </c>
      <c r="R74" s="66" t="str">
        <f aca="false">IF(ISBLANK($C74),"",IF(F74=Constants!$B$16,Constants!$B$9,IF(F74=Constants!$B$17,Constants!$B$10,Constants!$B$8)))</f>
        <v/>
      </c>
      <c r="S74" s="66" t="str">
        <f aca="false">IF(ISBLANK($C74),"",IF(COUNTA(G74:H74)=0,"",IF(AND(OR(ISBLANK(G74),AND(ISNUMBER(G74),G74&gt;=0)),OR(ISBLANK(H74),AND(ISNUMBER(H74),H74&gt;=0))),60*IF(ISBLANK(G74),0,G74)+IF(ISBLANK(H74),0,H74),"")))</f>
        <v/>
      </c>
      <c r="T74" s="66" t="str">
        <f aca="false">IF(ISBLANK($C74),"",IF(I74=Constants!$B$2, TRUE(), IF(I74=Constants!$B$3, FALSE(), TRUE())))</f>
        <v/>
      </c>
      <c r="U74" s="66" t="str">
        <f aca="false">IF(ISBLANK($C74),"",IF(J74=Constants!$B$2, TRUE(), IF(J74=Constants!$B$3, FALSE(), TRUE())))</f>
        <v/>
      </c>
      <c r="V74" s="66" t="str">
        <f aca="false">IF(ISBLANK($C74),"",IF(COUNTA(K74:L74)=0,"",IF(AND(OR(ISBLANK(K74),AND(ISNUMBER(K74),K74&gt;=0)),OR(ISBLANK(L74),AND(ISNUMBER(L74),L74&gt;=0))),60*IF(ISBLANK(K74),0,K74)+IF(ISBLANK(L74),0,L74),"")))</f>
        <v/>
      </c>
      <c r="W74" s="66" t="str">
        <f aca="false">IF(ISBLANK($C74),"",IF(M74=Constants!$B$2, TRUE(), IF(M74=Constants!$B$3, FALSE(), TRUE())))</f>
        <v/>
      </c>
      <c r="X74" s="66" t="str">
        <f aca="false">IF(ISBLANK($C74),"",IF(N74=Constants!$B$2, TRUE(), IF(N74=Constants!$B$3, FALSE(), TRUE())))</f>
        <v/>
      </c>
      <c r="Y74" s="66" t="str">
        <f aca="false">IF(ISBLANK($C74),"",IF(O74=Constants!$B$2, TRUE(), IF(O74=Constants!$B$3, FALSE(), FALSE())))</f>
        <v/>
      </c>
      <c r="Z74" s="66" t="str">
        <f aca="false">IF(ISBLANK($C74),"",AND(S74&lt;&gt;"",Q74))</f>
        <v/>
      </c>
      <c r="AA74" s="66" t="str">
        <f aca="false">IF(ISBLANK($C74),"",AND(V74&lt;&gt;"",Q74))</f>
        <v/>
      </c>
      <c r="AB74" s="66" t="str">
        <f aca="false">IF(ISBLANK($C74),"",IF(Y74,Constants!$B$4,IF(COUNTA(E74:N74)=0,Constants!$B$5,IF(NOT(Q74),Constants!$B$6,IF(AND(NOT(Z74),NOT(AA74)),Constants!$B$6,Constants!$B$7)))))</f>
        <v/>
      </c>
      <c r="AC74" s="66" t="str">
        <f aca="false">IF(ISBLANK($C74),"",IF($AB74&lt;&gt;Constants!$B$7,$AB74,Constants!$B$20))</f>
        <v/>
      </c>
      <c r="AD74" s="66" t="str">
        <f aca="false">IF($AB74=Constants!$B$7,IF(Z74,S74,Constants!$B$13),"")</f>
        <v/>
      </c>
      <c r="AE74" s="66" t="str">
        <f aca="false">IF($AB74=Constants!$B$7,IF(Z74,R74*IF(T74, 1, Constants!$B$11)*IF(U74, 1, Constants!$B$12),Constants!$B$13),"")</f>
        <v/>
      </c>
      <c r="AF74" s="66" t="str">
        <f aca="false">IF($AB74=Constants!$B$7,AD74*AE74,"")</f>
        <v/>
      </c>
      <c r="AG74" s="66" t="str">
        <f aca="false">IF($AB74=Constants!$B$7,IF(AA74,V74,Constants!$B$13),"")</f>
        <v/>
      </c>
      <c r="AH74" s="66" t="str">
        <f aca="false">IF($AB74=Constants!$B$7,IF(AA74,R74*IF(W74, 1, Constants!$B$11)*IF(X74, 1, Constants!$B$12),Constants!$B$13),"")</f>
        <v/>
      </c>
      <c r="AI74" s="66" t="str">
        <f aca="false">IF($AB74=Constants!$B$7,AG74*AH74,"")</f>
        <v/>
      </c>
      <c r="AJ74" s="66" t="str">
        <f aca="false">IF($AB74=Constants!$B$7,IF(AI74&gt;AF74,2,1),"")</f>
        <v/>
      </c>
      <c r="AK74" s="66" t="str">
        <f aca="false">IF($AB74=Constants!$B$7,IF(AJ74=1,2,1),"")</f>
        <v/>
      </c>
      <c r="AL74" s="66" t="str">
        <f aca="false">IF(ISBLANK($C74),"",IF($AB74&lt;&gt;Constants!$B$7,$AB74,IF(AJ74=1,AF74,AI74)))</f>
        <v/>
      </c>
      <c r="AM74" s="66" t="str">
        <f aca="false">IF(ISBLANK($C74),"",IF($AB74=Constants!$B$7,IF(ISNUMBER(AL74),RANK(AL74,$AL$8:$AL$507),Constants!$B$14),$AB74))</f>
        <v/>
      </c>
      <c r="AN74" s="66" t="str">
        <f aca="false">IF(ISBLANK($C74),"",IF($AB74=Constants!$B$7,IF(AK74=1,AF74,AI74),""))</f>
        <v/>
      </c>
      <c r="AO74" s="66" t="str">
        <f aca="false">IF(ISBLANK($C74),"",IF($AB74=Constants!$B$7,RANK(AN74,$AN$8:$AN$507),$AB74))</f>
        <v/>
      </c>
      <c r="AP74" s="66" t="str">
        <f aca="false">IF(ISBLANK($C74),"",IF($AB74=Constants!$B$7,IF(ISNUMBER(AM74),COUNTIFS($AM$8:$AM$507,"&lt;"&amp;$AM74)+COUNTIFS($AM$8:$AM$507,$AM74,$AO$8:$AO$507,"&lt;"&amp;$AO74)+1,Constants!$B$14),$AB74))</f>
        <v/>
      </c>
      <c r="AQ74" s="66" t="str">
        <f aca="false">IF(ISBLANK($C74),"",IF($AB74=Constants!$B$7,IF(ISNUMBER(AM74),AM74-AP74,Constants!$B$14),$AB74))</f>
        <v/>
      </c>
      <c r="AR74" s="68"/>
      <c r="AS74" s="69" t="str">
        <f aca="false">IF(ISBLANK($C74),"",IF($AB74&lt;&gt;Constants!$B$7,"",AJ74))</f>
        <v/>
      </c>
      <c r="AT74" s="84" t="str">
        <f aca="false">IF(ISBLANK($C74),"",IF($AB74&lt;&gt;Constants!$B$7,"",IF(AJ74=1,AD74,AG74)))</f>
        <v/>
      </c>
      <c r="AU74" s="71" t="str">
        <f aca="false">IF(ISBLANK($C74),"",IF($AB74&lt;&gt;Constants!$B$7,"",IF(AJ74=1,AE74,AH74)))</f>
        <v/>
      </c>
      <c r="AV74" s="72" t="str">
        <f aca="false">IF(ISBLANK($C74),"",IF($AB74&lt;&gt;Constants!$B$7,$AB74,AL74))</f>
        <v/>
      </c>
      <c r="AW74" s="73" t="str">
        <f aca="false">IF(ISBLANK($C74),"",IF($AB74&lt;&gt;Constants!$B$7,$AB74,AC74))</f>
        <v/>
      </c>
      <c r="AX74" s="74" t="str">
        <f aca="false">IF(ISBLANK($C74),"",AQ74)</f>
        <v/>
      </c>
      <c r="AY74" s="74" t="str">
        <f aca="false">IF(ISBLANK($C74),"",AP74)</f>
        <v/>
      </c>
      <c r="AZ74" s="75" t="str">
        <f aca="false">IF(ISBLANK($C74),"",IF(AY74=Constants!$B$4,COUNTA($C$8:$C$507)+2,IF(AY74=Constants!$B$5,COUNTA($C$8:$C$507)+1,IF(AY74=Constants!$B$6,COUNTA($C$8:$C$507),AY74))))</f>
        <v/>
      </c>
      <c r="BA74" s="5"/>
      <c r="BB74" s="76" t="n">
        <f aca="false">IF(OR(ISNUMBER(AY74),AY74=Constants!$B$4,AY74=Constants!$B$6,AY74=Constants!$B$5),1,0)</f>
        <v>0</v>
      </c>
      <c r="BC74" s="76" t="n">
        <v>67</v>
      </c>
      <c r="BD74" s="76" t="str">
        <f aca="false">IF(ISBLANK($C74),"",IF(ISNUMBER(AZ74),AZ74+ROW($B74)/1000,""))</f>
        <v/>
      </c>
      <c r="BE74" s="76" t="str">
        <f aca="false">IF(ISNUMBER(BD74),RANK(BD74,$BD$8:$BD$507,1),"")</f>
        <v/>
      </c>
      <c r="BF74" s="76" t="str">
        <f aca="false">IF(ISBLANK($C74),"",$B74)</f>
        <v/>
      </c>
      <c r="BG74" s="76" t="str">
        <f aca="false">IF(ISBLANK($C74),"",$C74)</f>
        <v/>
      </c>
      <c r="BH74" s="76" t="str">
        <f aca="false">IF(ISBLANK($C74),"",$D74)</f>
        <v/>
      </c>
      <c r="BI74" s="77" t="str">
        <f aca="false">AW74</f>
        <v/>
      </c>
      <c r="BJ74" s="78" t="str">
        <f aca="false">AV74</f>
        <v/>
      </c>
      <c r="BK74" s="76" t="str">
        <f aca="false">IF(ISBLANK($C74),"",AY74)</f>
        <v/>
      </c>
      <c r="BL74" s="79" t="str">
        <f aca="false">IF($BC74&gt;$BB$7,"",VLOOKUP($BC74,$BE$8:$BK$507,7,FALSE()))</f>
        <v/>
      </c>
      <c r="BM74" s="80" t="str">
        <f aca="false">IF($BC74&gt;$BB$7,"",VLOOKUP($BC74,$BE$8:$BK$507,2,FALSE()))</f>
        <v/>
      </c>
      <c r="BN74" s="80" t="str">
        <f aca="false">IF($BC74&gt;$BB$7,"",VLOOKUP($BC74,$BE$8:$BK$507,3,FALSE()))</f>
        <v/>
      </c>
      <c r="BO74" s="80" t="str">
        <f aca="false">IF($BC74&gt;$BB$7,"",VLOOKUP($BC74,$BE$8:$BK$507,4,FALSE()))</f>
        <v/>
      </c>
      <c r="BP74" s="80" t="str">
        <f aca="false">IF($BC74&gt;$BB$7,"",VLOOKUP($BC74,$BE$8:$BK$507,5,FALSE()))</f>
        <v/>
      </c>
      <c r="BQ74" s="81" t="str">
        <f aca="false">IF($BC74&gt;$BB$7,"",VLOOKUP($BC74,$BE$8:$BK$507,6,FALSE()))</f>
        <v/>
      </c>
      <c r="BR74" s="54"/>
    </row>
    <row r="75" customFormat="false" ht="13.8" hidden="false" customHeight="false" outlineLevel="0" collapsed="false">
      <c r="A75" s="5"/>
      <c r="B75" s="124"/>
      <c r="C75" s="56"/>
      <c r="D75" s="57"/>
      <c r="E75" s="83"/>
      <c r="F75" s="59"/>
      <c r="G75" s="60"/>
      <c r="H75" s="61"/>
      <c r="I75" s="62"/>
      <c r="J75" s="59"/>
      <c r="K75" s="60"/>
      <c r="L75" s="61"/>
      <c r="M75" s="62"/>
      <c r="N75" s="59"/>
      <c r="O75" s="83"/>
      <c r="P75" s="64"/>
      <c r="Q75" s="66" t="str">
        <f aca="false">IF(ISBLANK($C75),"",IF(E75=Constants!$B$2, TRUE(), IF(E75=Constants!$B$3, FALSE(), TRUE())))</f>
        <v/>
      </c>
      <c r="R75" s="66" t="str">
        <f aca="false">IF(ISBLANK($C75),"",IF(F75=Constants!$B$16,Constants!$B$9,IF(F75=Constants!$B$17,Constants!$B$10,Constants!$B$8)))</f>
        <v/>
      </c>
      <c r="S75" s="66" t="str">
        <f aca="false">IF(ISBLANK($C75),"",IF(COUNTA(G75:H75)=0,"",IF(AND(OR(ISBLANK(G75),AND(ISNUMBER(G75),G75&gt;=0)),OR(ISBLANK(H75),AND(ISNUMBER(H75),H75&gt;=0))),60*IF(ISBLANK(G75),0,G75)+IF(ISBLANK(H75),0,H75),"")))</f>
        <v/>
      </c>
      <c r="T75" s="66" t="str">
        <f aca="false">IF(ISBLANK($C75),"",IF(I75=Constants!$B$2, TRUE(), IF(I75=Constants!$B$3, FALSE(), TRUE())))</f>
        <v/>
      </c>
      <c r="U75" s="66" t="str">
        <f aca="false">IF(ISBLANK($C75),"",IF(J75=Constants!$B$2, TRUE(), IF(J75=Constants!$B$3, FALSE(), TRUE())))</f>
        <v/>
      </c>
      <c r="V75" s="66" t="str">
        <f aca="false">IF(ISBLANK($C75),"",IF(COUNTA(K75:L75)=0,"",IF(AND(OR(ISBLANK(K75),AND(ISNUMBER(K75),K75&gt;=0)),OR(ISBLANK(L75),AND(ISNUMBER(L75),L75&gt;=0))),60*IF(ISBLANK(K75),0,K75)+IF(ISBLANK(L75),0,L75),"")))</f>
        <v/>
      </c>
      <c r="W75" s="66" t="str">
        <f aca="false">IF(ISBLANK($C75),"",IF(M75=Constants!$B$2, TRUE(), IF(M75=Constants!$B$3, FALSE(), TRUE())))</f>
        <v/>
      </c>
      <c r="X75" s="66" t="str">
        <f aca="false">IF(ISBLANK($C75),"",IF(N75=Constants!$B$2, TRUE(), IF(N75=Constants!$B$3, FALSE(), TRUE())))</f>
        <v/>
      </c>
      <c r="Y75" s="66" t="str">
        <f aca="false">IF(ISBLANK($C75),"",IF(O75=Constants!$B$2, TRUE(), IF(O75=Constants!$B$3, FALSE(), FALSE())))</f>
        <v/>
      </c>
      <c r="Z75" s="66" t="str">
        <f aca="false">IF(ISBLANK($C75),"",AND(S75&lt;&gt;"",Q75))</f>
        <v/>
      </c>
      <c r="AA75" s="66" t="str">
        <f aca="false">IF(ISBLANK($C75),"",AND(V75&lt;&gt;"",Q75))</f>
        <v/>
      </c>
      <c r="AB75" s="66" t="str">
        <f aca="false">IF(ISBLANK($C75),"",IF(Y75,Constants!$B$4,IF(COUNTA(E75:N75)=0,Constants!$B$5,IF(NOT(Q75),Constants!$B$6,IF(AND(NOT(Z75),NOT(AA75)),Constants!$B$6,Constants!$B$7)))))</f>
        <v/>
      </c>
      <c r="AC75" s="66" t="str">
        <f aca="false">IF(ISBLANK($C75),"",IF($AB75&lt;&gt;Constants!$B$7,$AB75,Constants!$B$20))</f>
        <v/>
      </c>
      <c r="AD75" s="66" t="str">
        <f aca="false">IF($AB75=Constants!$B$7,IF(Z75,S75,Constants!$B$13),"")</f>
        <v/>
      </c>
      <c r="AE75" s="66" t="str">
        <f aca="false">IF($AB75=Constants!$B$7,IF(Z75,R75*IF(T75, 1, Constants!$B$11)*IF(U75, 1, Constants!$B$12),Constants!$B$13),"")</f>
        <v/>
      </c>
      <c r="AF75" s="66" t="str">
        <f aca="false">IF($AB75=Constants!$B$7,AD75*AE75,"")</f>
        <v/>
      </c>
      <c r="AG75" s="66" t="str">
        <f aca="false">IF($AB75=Constants!$B$7,IF(AA75,V75,Constants!$B$13),"")</f>
        <v/>
      </c>
      <c r="AH75" s="66" t="str">
        <f aca="false">IF($AB75=Constants!$B$7,IF(AA75,R75*IF(W75, 1, Constants!$B$11)*IF(X75, 1, Constants!$B$12),Constants!$B$13),"")</f>
        <v/>
      </c>
      <c r="AI75" s="66" t="str">
        <f aca="false">IF($AB75=Constants!$B$7,AG75*AH75,"")</f>
        <v/>
      </c>
      <c r="AJ75" s="66" t="str">
        <f aca="false">IF($AB75=Constants!$B$7,IF(AI75&gt;AF75,2,1),"")</f>
        <v/>
      </c>
      <c r="AK75" s="66" t="str">
        <f aca="false">IF($AB75=Constants!$B$7,IF(AJ75=1,2,1),"")</f>
        <v/>
      </c>
      <c r="AL75" s="66" t="str">
        <f aca="false">IF(ISBLANK($C75),"",IF($AB75&lt;&gt;Constants!$B$7,$AB75,IF(AJ75=1,AF75,AI75)))</f>
        <v/>
      </c>
      <c r="AM75" s="66" t="str">
        <f aca="false">IF(ISBLANK($C75),"",IF($AB75=Constants!$B$7,IF(ISNUMBER(AL75),RANK(AL75,$AL$8:$AL$507),Constants!$B$14),$AB75))</f>
        <v/>
      </c>
      <c r="AN75" s="66" t="str">
        <f aca="false">IF(ISBLANK($C75),"",IF($AB75=Constants!$B$7,IF(AK75=1,AF75,AI75),""))</f>
        <v/>
      </c>
      <c r="AO75" s="66" t="str">
        <f aca="false">IF(ISBLANK($C75),"",IF($AB75=Constants!$B$7,RANK(AN75,$AN$8:$AN$507),$AB75))</f>
        <v/>
      </c>
      <c r="AP75" s="66" t="str">
        <f aca="false">IF(ISBLANK($C75),"",IF($AB75=Constants!$B$7,IF(ISNUMBER(AM75),COUNTIFS($AM$8:$AM$507,"&lt;"&amp;$AM75)+COUNTIFS($AM$8:$AM$507,$AM75,$AO$8:$AO$507,"&lt;"&amp;$AO75)+1,Constants!$B$14),$AB75))</f>
        <v/>
      </c>
      <c r="AQ75" s="66" t="str">
        <f aca="false">IF(ISBLANK($C75),"",IF($AB75=Constants!$B$7,IF(ISNUMBER(AM75),AM75-AP75,Constants!$B$14),$AB75))</f>
        <v/>
      </c>
      <c r="AR75" s="68"/>
      <c r="AS75" s="69" t="str">
        <f aca="false">IF(ISBLANK($C75),"",IF($AB75&lt;&gt;Constants!$B$7,"",AJ75))</f>
        <v/>
      </c>
      <c r="AT75" s="84" t="str">
        <f aca="false">IF(ISBLANK($C75),"",IF($AB75&lt;&gt;Constants!$B$7,"",IF(AJ75=1,AD75,AG75)))</f>
        <v/>
      </c>
      <c r="AU75" s="71" t="str">
        <f aca="false">IF(ISBLANK($C75),"",IF($AB75&lt;&gt;Constants!$B$7,"",IF(AJ75=1,AE75,AH75)))</f>
        <v/>
      </c>
      <c r="AV75" s="72" t="str">
        <f aca="false">IF(ISBLANK($C75),"",IF($AB75&lt;&gt;Constants!$B$7,$AB75,AL75))</f>
        <v/>
      </c>
      <c r="AW75" s="73" t="str">
        <f aca="false">IF(ISBLANK($C75),"",IF($AB75&lt;&gt;Constants!$B$7,$AB75,AC75))</f>
        <v/>
      </c>
      <c r="AX75" s="74" t="str">
        <f aca="false">IF(ISBLANK($C75),"",AQ75)</f>
        <v/>
      </c>
      <c r="AY75" s="74" t="str">
        <f aca="false">IF(ISBLANK($C75),"",AP75)</f>
        <v/>
      </c>
      <c r="AZ75" s="75" t="str">
        <f aca="false">IF(ISBLANK($C75),"",IF(AY75=Constants!$B$4,COUNTA($C$8:$C$507)+2,IF(AY75=Constants!$B$5,COUNTA($C$8:$C$507)+1,IF(AY75=Constants!$B$6,COUNTA($C$8:$C$507),AY75))))</f>
        <v/>
      </c>
      <c r="BA75" s="5"/>
      <c r="BB75" s="76" t="n">
        <f aca="false">IF(OR(ISNUMBER(AY75),AY75=Constants!$B$4,AY75=Constants!$B$6,AY75=Constants!$B$5),1,0)</f>
        <v>0</v>
      </c>
      <c r="BC75" s="76" t="n">
        <v>68</v>
      </c>
      <c r="BD75" s="76" t="str">
        <f aca="false">IF(ISBLANK($C75),"",IF(ISNUMBER(AZ75),AZ75+ROW($B75)/1000,""))</f>
        <v/>
      </c>
      <c r="BE75" s="76" t="str">
        <f aca="false">IF(ISNUMBER(BD75),RANK(BD75,$BD$8:$BD$507,1),"")</f>
        <v/>
      </c>
      <c r="BF75" s="76" t="str">
        <f aca="false">IF(ISBLANK($C75),"",$B75)</f>
        <v/>
      </c>
      <c r="BG75" s="76" t="str">
        <f aca="false">IF(ISBLANK($C75),"",$C75)</f>
        <v/>
      </c>
      <c r="BH75" s="76" t="str">
        <f aca="false">IF(ISBLANK($C75),"",$D75)</f>
        <v/>
      </c>
      <c r="BI75" s="77" t="str">
        <f aca="false">AW75</f>
        <v/>
      </c>
      <c r="BJ75" s="78" t="str">
        <f aca="false">AV75</f>
        <v/>
      </c>
      <c r="BK75" s="76" t="str">
        <f aca="false">IF(ISBLANK($C75),"",AY75)</f>
        <v/>
      </c>
      <c r="BL75" s="79" t="str">
        <f aca="false">IF($BC75&gt;$BB$7,"",VLOOKUP($BC75,$BE$8:$BK$507,7,FALSE()))</f>
        <v/>
      </c>
      <c r="BM75" s="80" t="str">
        <f aca="false">IF($BC75&gt;$BB$7,"",VLOOKUP($BC75,$BE$8:$BK$507,2,FALSE()))</f>
        <v/>
      </c>
      <c r="BN75" s="80" t="str">
        <f aca="false">IF($BC75&gt;$BB$7,"",VLOOKUP($BC75,$BE$8:$BK$507,3,FALSE()))</f>
        <v/>
      </c>
      <c r="BO75" s="80" t="str">
        <f aca="false">IF($BC75&gt;$BB$7,"",VLOOKUP($BC75,$BE$8:$BK$507,4,FALSE()))</f>
        <v/>
      </c>
      <c r="BP75" s="80" t="str">
        <f aca="false">IF($BC75&gt;$BB$7,"",VLOOKUP($BC75,$BE$8:$BK$507,5,FALSE()))</f>
        <v/>
      </c>
      <c r="BQ75" s="81" t="str">
        <f aca="false">IF($BC75&gt;$BB$7,"",VLOOKUP($BC75,$BE$8:$BK$507,6,FALSE()))</f>
        <v/>
      </c>
      <c r="BR75" s="54"/>
    </row>
    <row r="76" customFormat="false" ht="13.8" hidden="false" customHeight="false" outlineLevel="0" collapsed="false">
      <c r="A76" s="5"/>
      <c r="B76" s="124"/>
      <c r="C76" s="56"/>
      <c r="D76" s="57"/>
      <c r="E76" s="83"/>
      <c r="F76" s="59"/>
      <c r="G76" s="60"/>
      <c r="H76" s="61"/>
      <c r="I76" s="62"/>
      <c r="J76" s="59"/>
      <c r="K76" s="60"/>
      <c r="L76" s="61"/>
      <c r="M76" s="62"/>
      <c r="N76" s="59"/>
      <c r="O76" s="83"/>
      <c r="P76" s="64"/>
      <c r="Q76" s="66" t="str">
        <f aca="false">IF(ISBLANK($C76),"",IF(E76=Constants!$B$2, TRUE(), IF(E76=Constants!$B$3, FALSE(), TRUE())))</f>
        <v/>
      </c>
      <c r="R76" s="66" t="str">
        <f aca="false">IF(ISBLANK($C76),"",IF(F76=Constants!$B$16,Constants!$B$9,IF(F76=Constants!$B$17,Constants!$B$10,Constants!$B$8)))</f>
        <v/>
      </c>
      <c r="S76" s="66" t="str">
        <f aca="false">IF(ISBLANK($C76),"",IF(COUNTA(G76:H76)=0,"",IF(AND(OR(ISBLANK(G76),AND(ISNUMBER(G76),G76&gt;=0)),OR(ISBLANK(H76),AND(ISNUMBER(H76),H76&gt;=0))),60*IF(ISBLANK(G76),0,G76)+IF(ISBLANK(H76),0,H76),"")))</f>
        <v/>
      </c>
      <c r="T76" s="66" t="str">
        <f aca="false">IF(ISBLANK($C76),"",IF(I76=Constants!$B$2, TRUE(), IF(I76=Constants!$B$3, FALSE(), TRUE())))</f>
        <v/>
      </c>
      <c r="U76" s="66" t="str">
        <f aca="false">IF(ISBLANK($C76),"",IF(J76=Constants!$B$2, TRUE(), IF(J76=Constants!$B$3, FALSE(), TRUE())))</f>
        <v/>
      </c>
      <c r="V76" s="66" t="str">
        <f aca="false">IF(ISBLANK($C76),"",IF(COUNTA(K76:L76)=0,"",IF(AND(OR(ISBLANK(K76),AND(ISNUMBER(K76),K76&gt;=0)),OR(ISBLANK(L76),AND(ISNUMBER(L76),L76&gt;=0))),60*IF(ISBLANK(K76),0,K76)+IF(ISBLANK(L76),0,L76),"")))</f>
        <v/>
      </c>
      <c r="W76" s="66" t="str">
        <f aca="false">IF(ISBLANK($C76),"",IF(M76=Constants!$B$2, TRUE(), IF(M76=Constants!$B$3, FALSE(), TRUE())))</f>
        <v/>
      </c>
      <c r="X76" s="66" t="str">
        <f aca="false">IF(ISBLANK($C76),"",IF(N76=Constants!$B$2, TRUE(), IF(N76=Constants!$B$3, FALSE(), TRUE())))</f>
        <v/>
      </c>
      <c r="Y76" s="66" t="str">
        <f aca="false">IF(ISBLANK($C76),"",IF(O76=Constants!$B$2, TRUE(), IF(O76=Constants!$B$3, FALSE(), FALSE())))</f>
        <v/>
      </c>
      <c r="Z76" s="66" t="str">
        <f aca="false">IF(ISBLANK($C76),"",AND(S76&lt;&gt;"",Q76))</f>
        <v/>
      </c>
      <c r="AA76" s="66" t="str">
        <f aca="false">IF(ISBLANK($C76),"",AND(V76&lt;&gt;"",Q76))</f>
        <v/>
      </c>
      <c r="AB76" s="66" t="str">
        <f aca="false">IF(ISBLANK($C76),"",IF(Y76,Constants!$B$4,IF(COUNTA(E76:N76)=0,Constants!$B$5,IF(NOT(Q76),Constants!$B$6,IF(AND(NOT(Z76),NOT(AA76)),Constants!$B$6,Constants!$B$7)))))</f>
        <v/>
      </c>
      <c r="AC76" s="66" t="str">
        <f aca="false">IF(ISBLANK($C76),"",IF($AB76&lt;&gt;Constants!$B$7,$AB76,Constants!$B$20))</f>
        <v/>
      </c>
      <c r="AD76" s="66" t="str">
        <f aca="false">IF($AB76=Constants!$B$7,IF(Z76,S76,Constants!$B$13),"")</f>
        <v/>
      </c>
      <c r="AE76" s="66" t="str">
        <f aca="false">IF($AB76=Constants!$B$7,IF(Z76,R76*IF(T76, 1, Constants!$B$11)*IF(U76, 1, Constants!$B$12),Constants!$B$13),"")</f>
        <v/>
      </c>
      <c r="AF76" s="66" t="str">
        <f aca="false">IF($AB76=Constants!$B$7,AD76*AE76,"")</f>
        <v/>
      </c>
      <c r="AG76" s="66" t="str">
        <f aca="false">IF($AB76=Constants!$B$7,IF(AA76,V76,Constants!$B$13),"")</f>
        <v/>
      </c>
      <c r="AH76" s="66" t="str">
        <f aca="false">IF($AB76=Constants!$B$7,IF(AA76,R76*IF(W76, 1, Constants!$B$11)*IF(X76, 1, Constants!$B$12),Constants!$B$13),"")</f>
        <v/>
      </c>
      <c r="AI76" s="66" t="str">
        <f aca="false">IF($AB76=Constants!$B$7,AG76*AH76,"")</f>
        <v/>
      </c>
      <c r="AJ76" s="66" t="str">
        <f aca="false">IF($AB76=Constants!$B$7,IF(AI76&gt;AF76,2,1),"")</f>
        <v/>
      </c>
      <c r="AK76" s="66" t="str">
        <f aca="false">IF($AB76=Constants!$B$7,IF(AJ76=1,2,1),"")</f>
        <v/>
      </c>
      <c r="AL76" s="66" t="str">
        <f aca="false">IF(ISBLANK($C76),"",IF($AB76&lt;&gt;Constants!$B$7,$AB76,IF(AJ76=1,AF76,AI76)))</f>
        <v/>
      </c>
      <c r="AM76" s="66" t="str">
        <f aca="false">IF(ISBLANK($C76),"",IF($AB76=Constants!$B$7,IF(ISNUMBER(AL76),RANK(AL76,$AL$8:$AL$507),Constants!$B$14),$AB76))</f>
        <v/>
      </c>
      <c r="AN76" s="66" t="str">
        <f aca="false">IF(ISBLANK($C76),"",IF($AB76=Constants!$B$7,IF(AK76=1,AF76,AI76),""))</f>
        <v/>
      </c>
      <c r="AO76" s="66" t="str">
        <f aca="false">IF(ISBLANK($C76),"",IF($AB76=Constants!$B$7,RANK(AN76,$AN$8:$AN$507),$AB76))</f>
        <v/>
      </c>
      <c r="AP76" s="66" t="str">
        <f aca="false">IF(ISBLANK($C76),"",IF($AB76=Constants!$B$7,IF(ISNUMBER(AM76),COUNTIFS($AM$8:$AM$507,"&lt;"&amp;$AM76)+COUNTIFS($AM$8:$AM$507,$AM76,$AO$8:$AO$507,"&lt;"&amp;$AO76)+1,Constants!$B$14),$AB76))</f>
        <v/>
      </c>
      <c r="AQ76" s="66" t="str">
        <f aca="false">IF(ISBLANK($C76),"",IF($AB76=Constants!$B$7,IF(ISNUMBER(AM76),AM76-AP76,Constants!$B$14),$AB76))</f>
        <v/>
      </c>
      <c r="AR76" s="68"/>
      <c r="AS76" s="69" t="str">
        <f aca="false">IF(ISBLANK($C76),"",IF($AB76&lt;&gt;Constants!$B$7,"",AJ76))</f>
        <v/>
      </c>
      <c r="AT76" s="84" t="str">
        <f aca="false">IF(ISBLANK($C76),"",IF($AB76&lt;&gt;Constants!$B$7,"",IF(AJ76=1,AD76,AG76)))</f>
        <v/>
      </c>
      <c r="AU76" s="71" t="str">
        <f aca="false">IF(ISBLANK($C76),"",IF($AB76&lt;&gt;Constants!$B$7,"",IF(AJ76=1,AE76,AH76)))</f>
        <v/>
      </c>
      <c r="AV76" s="72" t="str">
        <f aca="false">IF(ISBLANK($C76),"",IF($AB76&lt;&gt;Constants!$B$7,$AB76,AL76))</f>
        <v/>
      </c>
      <c r="AW76" s="73" t="str">
        <f aca="false">IF(ISBLANK($C76),"",IF($AB76&lt;&gt;Constants!$B$7,$AB76,AC76))</f>
        <v/>
      </c>
      <c r="AX76" s="74" t="str">
        <f aca="false">IF(ISBLANK($C76),"",AQ76)</f>
        <v/>
      </c>
      <c r="AY76" s="74" t="str">
        <f aca="false">IF(ISBLANK($C76),"",AP76)</f>
        <v/>
      </c>
      <c r="AZ76" s="75" t="str">
        <f aca="false">IF(ISBLANK($C76),"",IF(AY76=Constants!$B$4,COUNTA($C$8:$C$507)+2,IF(AY76=Constants!$B$5,COUNTA($C$8:$C$507)+1,IF(AY76=Constants!$B$6,COUNTA($C$8:$C$507),AY76))))</f>
        <v/>
      </c>
      <c r="BA76" s="5"/>
      <c r="BB76" s="76" t="n">
        <f aca="false">IF(OR(ISNUMBER(AY76),AY76=Constants!$B$4,AY76=Constants!$B$6,AY76=Constants!$B$5),1,0)</f>
        <v>0</v>
      </c>
      <c r="BC76" s="76" t="n">
        <v>69</v>
      </c>
      <c r="BD76" s="76" t="str">
        <f aca="false">IF(ISBLANK($C76),"",IF(ISNUMBER(AZ76),AZ76+ROW($B76)/1000,""))</f>
        <v/>
      </c>
      <c r="BE76" s="76" t="str">
        <f aca="false">IF(ISNUMBER(BD76),RANK(BD76,$BD$8:$BD$507,1),"")</f>
        <v/>
      </c>
      <c r="BF76" s="76" t="str">
        <f aca="false">IF(ISBLANK($C76),"",$B76)</f>
        <v/>
      </c>
      <c r="BG76" s="76" t="str">
        <f aca="false">IF(ISBLANK($C76),"",$C76)</f>
        <v/>
      </c>
      <c r="BH76" s="76" t="str">
        <f aca="false">IF(ISBLANK($C76),"",$D76)</f>
        <v/>
      </c>
      <c r="BI76" s="77" t="str">
        <f aca="false">AW76</f>
        <v/>
      </c>
      <c r="BJ76" s="78" t="str">
        <f aca="false">AV76</f>
        <v/>
      </c>
      <c r="BK76" s="76" t="str">
        <f aca="false">IF(ISBLANK($C76),"",AY76)</f>
        <v/>
      </c>
      <c r="BL76" s="79" t="str">
        <f aca="false">IF($BC76&gt;$BB$7,"",VLOOKUP($BC76,$BE$8:$BK$507,7,FALSE()))</f>
        <v/>
      </c>
      <c r="BM76" s="80" t="str">
        <f aca="false">IF($BC76&gt;$BB$7,"",VLOOKUP($BC76,$BE$8:$BK$507,2,FALSE()))</f>
        <v/>
      </c>
      <c r="BN76" s="80" t="str">
        <f aca="false">IF($BC76&gt;$BB$7,"",VLOOKUP($BC76,$BE$8:$BK$507,3,FALSE()))</f>
        <v/>
      </c>
      <c r="BO76" s="80" t="str">
        <f aca="false">IF($BC76&gt;$BB$7,"",VLOOKUP($BC76,$BE$8:$BK$507,4,FALSE()))</f>
        <v/>
      </c>
      <c r="BP76" s="80" t="str">
        <f aca="false">IF($BC76&gt;$BB$7,"",VLOOKUP($BC76,$BE$8:$BK$507,5,FALSE()))</f>
        <v/>
      </c>
      <c r="BQ76" s="81" t="str">
        <f aca="false">IF($BC76&gt;$BB$7,"",VLOOKUP($BC76,$BE$8:$BK$507,6,FALSE()))</f>
        <v/>
      </c>
      <c r="BR76" s="54"/>
    </row>
    <row r="77" customFormat="false" ht="13.8" hidden="false" customHeight="false" outlineLevel="0" collapsed="false">
      <c r="A77" s="5"/>
      <c r="B77" s="120"/>
      <c r="C77" s="121"/>
      <c r="D77" s="112"/>
      <c r="E77" s="123"/>
      <c r="F77" s="91"/>
      <c r="G77" s="92"/>
      <c r="H77" s="93"/>
      <c r="I77" s="94"/>
      <c r="J77" s="91"/>
      <c r="K77" s="92"/>
      <c r="L77" s="93"/>
      <c r="M77" s="94"/>
      <c r="N77" s="91"/>
      <c r="O77" s="123"/>
      <c r="P77" s="96"/>
      <c r="Q77" s="97" t="str">
        <f aca="false">IF(ISBLANK($C77),"",IF(E77=Constants!$B$2, TRUE(), IF(E77=Constants!$B$3, FALSE(), TRUE())))</f>
        <v/>
      </c>
      <c r="R77" s="97" t="str">
        <f aca="false">IF(ISBLANK($C77),"",IF(F77=Constants!$B$16,Constants!$B$9,IF(F77=Constants!$B$17,Constants!$B$10,Constants!$B$8)))</f>
        <v/>
      </c>
      <c r="S77" s="97" t="str">
        <f aca="false">IF(ISBLANK($C77),"",IF(COUNTA(G77:H77)=0,"",IF(AND(OR(ISBLANK(G77),AND(ISNUMBER(G77),G77&gt;=0)),OR(ISBLANK(H77),AND(ISNUMBER(H77),H77&gt;=0))),60*IF(ISBLANK(G77),0,G77)+IF(ISBLANK(H77),0,H77),"")))</f>
        <v/>
      </c>
      <c r="T77" s="97" t="str">
        <f aca="false">IF(ISBLANK($C77),"",IF(I77=Constants!$B$2, TRUE(), IF(I77=Constants!$B$3, FALSE(), TRUE())))</f>
        <v/>
      </c>
      <c r="U77" s="97" t="str">
        <f aca="false">IF(ISBLANK($C77),"",IF(J77=Constants!$B$2, TRUE(), IF(J77=Constants!$B$3, FALSE(), TRUE())))</f>
        <v/>
      </c>
      <c r="V77" s="97" t="str">
        <f aca="false">IF(ISBLANK($C77),"",IF(COUNTA(K77:L77)=0,"",IF(AND(OR(ISBLANK(K77),AND(ISNUMBER(K77),K77&gt;=0)),OR(ISBLANK(L77),AND(ISNUMBER(L77),L77&gt;=0))),60*IF(ISBLANK(K77),0,K77)+IF(ISBLANK(L77),0,L77),"")))</f>
        <v/>
      </c>
      <c r="W77" s="97" t="str">
        <f aca="false">IF(ISBLANK($C77),"",IF(M77=Constants!$B$2, TRUE(), IF(M77=Constants!$B$3, FALSE(), TRUE())))</f>
        <v/>
      </c>
      <c r="X77" s="97" t="str">
        <f aca="false">IF(ISBLANK($C77),"",IF(N77=Constants!$B$2, TRUE(), IF(N77=Constants!$B$3, FALSE(), TRUE())))</f>
        <v/>
      </c>
      <c r="Y77" s="97" t="str">
        <f aca="false">IF(ISBLANK($C77),"",IF(O77=Constants!$B$2, TRUE(), IF(O77=Constants!$B$3, FALSE(), FALSE())))</f>
        <v/>
      </c>
      <c r="Z77" s="97" t="str">
        <f aca="false">IF(ISBLANK($C77),"",AND(S77&lt;&gt;"",Q77))</f>
        <v/>
      </c>
      <c r="AA77" s="97" t="str">
        <f aca="false">IF(ISBLANK($C77),"",AND(V77&lt;&gt;"",Q77))</f>
        <v/>
      </c>
      <c r="AB77" s="97" t="str">
        <f aca="false">IF(ISBLANK($C77),"",IF(Y77,Constants!$B$4,IF(COUNTA(E77:N77)=0,Constants!$B$5,IF(NOT(Q77),Constants!$B$6,IF(AND(NOT(Z77),NOT(AA77)),Constants!$B$6,Constants!$B$7)))))</f>
        <v/>
      </c>
      <c r="AC77" s="97" t="str">
        <f aca="false">IF(ISBLANK($C77),"",IF($AB77&lt;&gt;Constants!$B$7,$AB77,Constants!$B$20))</f>
        <v/>
      </c>
      <c r="AD77" s="97" t="str">
        <f aca="false">IF($AB77=Constants!$B$7,IF(Z77,S77,Constants!$B$13),"")</f>
        <v/>
      </c>
      <c r="AE77" s="97" t="str">
        <f aca="false">IF($AB77=Constants!$B$7,IF(Z77,R77*IF(T77, 1, Constants!$B$11)*IF(U77, 1, Constants!$B$12),Constants!$B$13),"")</f>
        <v/>
      </c>
      <c r="AF77" s="97" t="str">
        <f aca="false">IF($AB77=Constants!$B$7,AD77*AE77,"")</f>
        <v/>
      </c>
      <c r="AG77" s="97" t="str">
        <f aca="false">IF($AB77=Constants!$B$7,IF(AA77,V77,Constants!$B$13),"")</f>
        <v/>
      </c>
      <c r="AH77" s="97" t="str">
        <f aca="false">IF($AB77=Constants!$B$7,IF(AA77,R77*IF(W77, 1, Constants!$B$11)*IF(X77, 1, Constants!$B$12),Constants!$B$13),"")</f>
        <v/>
      </c>
      <c r="AI77" s="97" t="str">
        <f aca="false">IF($AB77=Constants!$B$7,AG77*AH77,"")</f>
        <v/>
      </c>
      <c r="AJ77" s="97" t="str">
        <f aca="false">IF($AB77=Constants!$B$7,IF(AI77&gt;AF77,2,1),"")</f>
        <v/>
      </c>
      <c r="AK77" s="97" t="str">
        <f aca="false">IF($AB77=Constants!$B$7,IF(AJ77=1,2,1),"")</f>
        <v/>
      </c>
      <c r="AL77" s="97" t="str">
        <f aca="false">IF(ISBLANK($C77),"",IF($AB77&lt;&gt;Constants!$B$7,$AB77,IF(AJ77=1,AF77,AI77)))</f>
        <v/>
      </c>
      <c r="AM77" s="97" t="str">
        <f aca="false">IF(ISBLANK($C77),"",IF($AB77=Constants!$B$7,IF(ISNUMBER(AL77),RANK(AL77,$AL$8:$AL$507),Constants!$B$14),$AB77))</f>
        <v/>
      </c>
      <c r="AN77" s="97" t="str">
        <f aca="false">IF(ISBLANK($C77),"",IF($AB77=Constants!$B$7,IF(AK77=1,AF77,AI77),""))</f>
        <v/>
      </c>
      <c r="AO77" s="97" t="str">
        <f aca="false">IF(ISBLANK($C77),"",IF($AB77=Constants!$B$7,RANK(AN77,$AN$8:$AN$507),$AB77))</f>
        <v/>
      </c>
      <c r="AP77" s="97" t="str">
        <f aca="false">IF(ISBLANK($C77),"",IF($AB77=Constants!$B$7,IF(ISNUMBER(AM77),COUNTIFS($AM$8:$AM$507,"&lt;"&amp;$AM77)+COUNTIFS($AM$8:$AM$507,$AM77,$AO$8:$AO$507,"&lt;"&amp;$AO77)+1,Constants!$B$14),$AB77))</f>
        <v/>
      </c>
      <c r="AQ77" s="97" t="str">
        <f aca="false">IF(ISBLANK($C77),"",IF($AB77=Constants!$B$7,IF(ISNUMBER(AM77),AM77-AP77,Constants!$B$14),$AB77))</f>
        <v/>
      </c>
      <c r="AR77" s="98"/>
      <c r="AS77" s="99" t="str">
        <f aca="false">IF(ISBLANK($C77),"",IF($AB77&lt;&gt;Constants!$B$7,"",AJ77))</f>
        <v/>
      </c>
      <c r="AT77" s="100" t="str">
        <f aca="false">IF(ISBLANK($C77),"",IF($AB77&lt;&gt;Constants!$B$7,"",IF(AJ77=1,AD77,AG77)))</f>
        <v/>
      </c>
      <c r="AU77" s="101" t="str">
        <f aca="false">IF(ISBLANK($C77),"",IF($AB77&lt;&gt;Constants!$B$7,"",IF(AJ77=1,AE77,AH77)))</f>
        <v/>
      </c>
      <c r="AV77" s="102" t="str">
        <f aca="false">IF(ISBLANK($C77),"",IF($AB77&lt;&gt;Constants!$B$7,$AB77,AL77))</f>
        <v/>
      </c>
      <c r="AW77" s="103" t="str">
        <f aca="false">IF(ISBLANK($C77),"",IF($AB77&lt;&gt;Constants!$B$7,$AB77,AC77))</f>
        <v/>
      </c>
      <c r="AX77" s="104" t="str">
        <f aca="false">IF(ISBLANK($C77),"",AQ77)</f>
        <v/>
      </c>
      <c r="AY77" s="104" t="str">
        <f aca="false">IF(ISBLANK($C77),"",AP77)</f>
        <v/>
      </c>
      <c r="AZ77" s="105" t="str">
        <f aca="false">IF(ISBLANK($C77),"",IF(AY77=Constants!$B$4,COUNTA($C$8:$C$507)+2,IF(AY77=Constants!$B$5,COUNTA($C$8:$C$507)+1,IF(AY77=Constants!$B$6,COUNTA($C$8:$C$507),AY77))))</f>
        <v/>
      </c>
      <c r="BA77" s="5"/>
      <c r="BB77" s="106" t="n">
        <f aca="false">IF(OR(ISNUMBER(AY77),AY77=Constants!$B$4,AY77=Constants!$B$6,AY77=Constants!$B$5),1,0)</f>
        <v>0</v>
      </c>
      <c r="BC77" s="106" t="n">
        <v>70</v>
      </c>
      <c r="BD77" s="106" t="str">
        <f aca="false">IF(ISBLANK($C77),"",IF(ISNUMBER(AZ77),AZ77+ROW($B77)/1000,""))</f>
        <v/>
      </c>
      <c r="BE77" s="106" t="str">
        <f aca="false">IF(ISNUMBER(BD77),RANK(BD77,$BD$8:$BD$507,1),"")</f>
        <v/>
      </c>
      <c r="BF77" s="106" t="str">
        <f aca="false">IF(ISBLANK($C77),"",$B77)</f>
        <v/>
      </c>
      <c r="BG77" s="106" t="str">
        <f aca="false">IF(ISBLANK($C77),"",$C77)</f>
        <v/>
      </c>
      <c r="BH77" s="106" t="str">
        <f aca="false">IF(ISBLANK($C77),"",$D77)</f>
        <v/>
      </c>
      <c r="BI77" s="107" t="str">
        <f aca="false">AW77</f>
        <v/>
      </c>
      <c r="BJ77" s="108" t="str">
        <f aca="false">AV77</f>
        <v/>
      </c>
      <c r="BK77" s="106" t="str">
        <f aca="false">IF(ISBLANK($C77),"",AY77)</f>
        <v/>
      </c>
      <c r="BL77" s="109" t="str">
        <f aca="false">IF($BC77&gt;$BB$7,"",VLOOKUP($BC77,$BE$8:$BK$507,7,FALSE()))</f>
        <v/>
      </c>
      <c r="BM77" s="110" t="str">
        <f aca="false">IF($BC77&gt;$BB$7,"",VLOOKUP($BC77,$BE$8:$BK$507,2,FALSE()))</f>
        <v/>
      </c>
      <c r="BN77" s="110" t="str">
        <f aca="false">IF($BC77&gt;$BB$7,"",VLOOKUP($BC77,$BE$8:$BK$507,3,FALSE()))</f>
        <v/>
      </c>
      <c r="BO77" s="110" t="str">
        <f aca="false">IF($BC77&gt;$BB$7,"",VLOOKUP($BC77,$BE$8:$BK$507,4,FALSE()))</f>
        <v/>
      </c>
      <c r="BP77" s="110" t="str">
        <f aca="false">IF($BC77&gt;$BB$7,"",VLOOKUP($BC77,$BE$8:$BK$507,5,FALSE()))</f>
        <v/>
      </c>
      <c r="BQ77" s="111" t="str">
        <f aca="false">IF($BC77&gt;$BB$7,"",VLOOKUP($BC77,$BE$8:$BK$507,6,FALSE()))</f>
        <v/>
      </c>
      <c r="BR77" s="54"/>
    </row>
    <row r="78" customFormat="false" ht="13.8" hidden="false" customHeight="false" outlineLevel="0" collapsed="false">
      <c r="A78" s="5"/>
      <c r="B78" s="120"/>
      <c r="C78" s="121"/>
      <c r="D78" s="112"/>
      <c r="E78" s="123"/>
      <c r="F78" s="91"/>
      <c r="G78" s="92"/>
      <c r="H78" s="93"/>
      <c r="I78" s="94"/>
      <c r="J78" s="91"/>
      <c r="K78" s="92"/>
      <c r="L78" s="93"/>
      <c r="M78" s="94"/>
      <c r="N78" s="91"/>
      <c r="O78" s="123"/>
      <c r="P78" s="96"/>
      <c r="Q78" s="97" t="str">
        <f aca="false">IF(ISBLANK($C78),"",IF(E78=Constants!$B$2, TRUE(), IF(E78=Constants!$B$3, FALSE(), TRUE())))</f>
        <v/>
      </c>
      <c r="R78" s="97" t="str">
        <f aca="false">IF(ISBLANK($C78),"",IF(F78=Constants!$B$16,Constants!$B$9,IF(F78=Constants!$B$17,Constants!$B$10,Constants!$B$8)))</f>
        <v/>
      </c>
      <c r="S78" s="97" t="str">
        <f aca="false">IF(ISBLANK($C78),"",IF(COUNTA(G78:H78)=0,"",IF(AND(OR(ISBLANK(G78),AND(ISNUMBER(G78),G78&gt;=0)),OR(ISBLANK(H78),AND(ISNUMBER(H78),H78&gt;=0))),60*IF(ISBLANK(G78),0,G78)+IF(ISBLANK(H78),0,H78),"")))</f>
        <v/>
      </c>
      <c r="T78" s="97" t="str">
        <f aca="false">IF(ISBLANK($C78),"",IF(I78=Constants!$B$2, TRUE(), IF(I78=Constants!$B$3, FALSE(), TRUE())))</f>
        <v/>
      </c>
      <c r="U78" s="97" t="str">
        <f aca="false">IF(ISBLANK($C78),"",IF(J78=Constants!$B$2, TRUE(), IF(J78=Constants!$B$3, FALSE(), TRUE())))</f>
        <v/>
      </c>
      <c r="V78" s="97" t="str">
        <f aca="false">IF(ISBLANK($C78),"",IF(COUNTA(K78:L78)=0,"",IF(AND(OR(ISBLANK(K78),AND(ISNUMBER(K78),K78&gt;=0)),OR(ISBLANK(L78),AND(ISNUMBER(L78),L78&gt;=0))),60*IF(ISBLANK(K78),0,K78)+IF(ISBLANK(L78),0,L78),"")))</f>
        <v/>
      </c>
      <c r="W78" s="97" t="str">
        <f aca="false">IF(ISBLANK($C78),"",IF(M78=Constants!$B$2, TRUE(), IF(M78=Constants!$B$3, FALSE(), TRUE())))</f>
        <v/>
      </c>
      <c r="X78" s="97" t="str">
        <f aca="false">IF(ISBLANK($C78),"",IF(N78=Constants!$B$2, TRUE(), IF(N78=Constants!$B$3, FALSE(), TRUE())))</f>
        <v/>
      </c>
      <c r="Y78" s="97" t="str">
        <f aca="false">IF(ISBLANK($C78),"",IF(O78=Constants!$B$2, TRUE(), IF(O78=Constants!$B$3, FALSE(), FALSE())))</f>
        <v/>
      </c>
      <c r="Z78" s="97" t="str">
        <f aca="false">IF(ISBLANK($C78),"",AND(S78&lt;&gt;"",Q78))</f>
        <v/>
      </c>
      <c r="AA78" s="97" t="str">
        <f aca="false">IF(ISBLANK($C78),"",AND(V78&lt;&gt;"",Q78))</f>
        <v/>
      </c>
      <c r="AB78" s="97" t="str">
        <f aca="false">IF(ISBLANK($C78),"",IF(Y78,Constants!$B$4,IF(COUNTA(E78:N78)=0,Constants!$B$5,IF(NOT(Q78),Constants!$B$6,IF(AND(NOT(Z78),NOT(AA78)),Constants!$B$6,Constants!$B$7)))))</f>
        <v/>
      </c>
      <c r="AC78" s="97" t="str">
        <f aca="false">IF(ISBLANK($C78),"",IF($AB78&lt;&gt;Constants!$B$7,$AB78,Constants!$B$20))</f>
        <v/>
      </c>
      <c r="AD78" s="97" t="str">
        <f aca="false">IF($AB78=Constants!$B$7,IF(Z78,S78,Constants!$B$13),"")</f>
        <v/>
      </c>
      <c r="AE78" s="97" t="str">
        <f aca="false">IF($AB78=Constants!$B$7,IF(Z78,R78*IF(T78, 1, Constants!$B$11)*IF(U78, 1, Constants!$B$12),Constants!$B$13),"")</f>
        <v/>
      </c>
      <c r="AF78" s="97" t="str">
        <f aca="false">IF($AB78=Constants!$B$7,AD78*AE78,"")</f>
        <v/>
      </c>
      <c r="AG78" s="97" t="str">
        <f aca="false">IF($AB78=Constants!$B$7,IF(AA78,V78,Constants!$B$13),"")</f>
        <v/>
      </c>
      <c r="AH78" s="97" t="str">
        <f aca="false">IF($AB78=Constants!$B$7,IF(AA78,R78*IF(W78, 1, Constants!$B$11)*IF(X78, 1, Constants!$B$12),Constants!$B$13),"")</f>
        <v/>
      </c>
      <c r="AI78" s="97" t="str">
        <f aca="false">IF($AB78=Constants!$B$7,AG78*AH78,"")</f>
        <v/>
      </c>
      <c r="AJ78" s="97" t="str">
        <f aca="false">IF($AB78=Constants!$B$7,IF(AI78&gt;AF78,2,1),"")</f>
        <v/>
      </c>
      <c r="AK78" s="97" t="str">
        <f aca="false">IF($AB78=Constants!$B$7,IF(AJ78=1,2,1),"")</f>
        <v/>
      </c>
      <c r="AL78" s="97" t="str">
        <f aca="false">IF(ISBLANK($C78),"",IF($AB78&lt;&gt;Constants!$B$7,$AB78,IF(AJ78=1,AF78,AI78)))</f>
        <v/>
      </c>
      <c r="AM78" s="97" t="str">
        <f aca="false">IF(ISBLANK($C78),"",IF($AB78=Constants!$B$7,IF(ISNUMBER(AL78),RANK(AL78,$AL$8:$AL$507),Constants!$B$14),$AB78))</f>
        <v/>
      </c>
      <c r="AN78" s="97" t="str">
        <f aca="false">IF(ISBLANK($C78),"",IF($AB78=Constants!$B$7,IF(AK78=1,AF78,AI78),""))</f>
        <v/>
      </c>
      <c r="AO78" s="97" t="str">
        <f aca="false">IF(ISBLANK($C78),"",IF($AB78=Constants!$B$7,RANK(AN78,$AN$8:$AN$507),$AB78))</f>
        <v/>
      </c>
      <c r="AP78" s="97" t="str">
        <f aca="false">IF(ISBLANK($C78),"",IF($AB78=Constants!$B$7,IF(ISNUMBER(AM78),COUNTIFS($AM$8:$AM$507,"&lt;"&amp;$AM78)+COUNTIFS($AM$8:$AM$507,$AM78,$AO$8:$AO$507,"&lt;"&amp;$AO78)+1,Constants!$B$14),$AB78))</f>
        <v/>
      </c>
      <c r="AQ78" s="97" t="str">
        <f aca="false">IF(ISBLANK($C78),"",IF($AB78=Constants!$B$7,IF(ISNUMBER(AM78),AM78-AP78,Constants!$B$14),$AB78))</f>
        <v/>
      </c>
      <c r="AR78" s="98"/>
      <c r="AS78" s="99" t="str">
        <f aca="false">IF(ISBLANK($C78),"",IF($AB78&lt;&gt;Constants!$B$7,"",AJ78))</f>
        <v/>
      </c>
      <c r="AT78" s="100" t="str">
        <f aca="false">IF(ISBLANK($C78),"",IF($AB78&lt;&gt;Constants!$B$7,"",IF(AJ78=1,AD78,AG78)))</f>
        <v/>
      </c>
      <c r="AU78" s="101" t="str">
        <f aca="false">IF(ISBLANK($C78),"",IF($AB78&lt;&gt;Constants!$B$7,"",IF(AJ78=1,AE78,AH78)))</f>
        <v/>
      </c>
      <c r="AV78" s="102" t="str">
        <f aca="false">IF(ISBLANK($C78),"",IF($AB78&lt;&gt;Constants!$B$7,$AB78,AL78))</f>
        <v/>
      </c>
      <c r="AW78" s="103" t="str">
        <f aca="false">IF(ISBLANK($C78),"",IF($AB78&lt;&gt;Constants!$B$7,$AB78,AC78))</f>
        <v/>
      </c>
      <c r="AX78" s="104" t="str">
        <f aca="false">IF(ISBLANK($C78),"",AQ78)</f>
        <v/>
      </c>
      <c r="AY78" s="104" t="str">
        <f aca="false">IF(ISBLANK($C78),"",AP78)</f>
        <v/>
      </c>
      <c r="AZ78" s="105" t="str">
        <f aca="false">IF(ISBLANK($C78),"",IF(AY78=Constants!$B$4,COUNTA($C$8:$C$507)+2,IF(AY78=Constants!$B$5,COUNTA($C$8:$C$507)+1,IF(AY78=Constants!$B$6,COUNTA($C$8:$C$507),AY78))))</f>
        <v/>
      </c>
      <c r="BA78" s="5"/>
      <c r="BB78" s="106" t="n">
        <f aca="false">IF(OR(ISNUMBER(AY78),AY78=Constants!$B$4,AY78=Constants!$B$6,AY78=Constants!$B$5),1,0)</f>
        <v>0</v>
      </c>
      <c r="BC78" s="106" t="n">
        <v>71</v>
      </c>
      <c r="BD78" s="106" t="str">
        <f aca="false">IF(ISBLANK($C78),"",IF(ISNUMBER(AZ78),AZ78+ROW($B78)/1000,""))</f>
        <v/>
      </c>
      <c r="BE78" s="106" t="str">
        <f aca="false">IF(ISNUMBER(BD78),RANK(BD78,$BD$8:$BD$507,1),"")</f>
        <v/>
      </c>
      <c r="BF78" s="106" t="str">
        <f aca="false">IF(ISBLANK($C78),"",$B78)</f>
        <v/>
      </c>
      <c r="BG78" s="106" t="str">
        <f aca="false">IF(ISBLANK($C78),"",$C78)</f>
        <v/>
      </c>
      <c r="BH78" s="106" t="str">
        <f aca="false">IF(ISBLANK($C78),"",$D78)</f>
        <v/>
      </c>
      <c r="BI78" s="107" t="str">
        <f aca="false">AW78</f>
        <v/>
      </c>
      <c r="BJ78" s="108" t="str">
        <f aca="false">AV78</f>
        <v/>
      </c>
      <c r="BK78" s="106" t="str">
        <f aca="false">IF(ISBLANK($C78),"",AY78)</f>
        <v/>
      </c>
      <c r="BL78" s="109" t="str">
        <f aca="false">IF($BC78&gt;$BB$7,"",VLOOKUP($BC78,$BE$8:$BK$507,7,FALSE()))</f>
        <v/>
      </c>
      <c r="BM78" s="110" t="str">
        <f aca="false">IF($BC78&gt;$BB$7,"",VLOOKUP($BC78,$BE$8:$BK$507,2,FALSE()))</f>
        <v/>
      </c>
      <c r="BN78" s="110" t="str">
        <f aca="false">IF($BC78&gt;$BB$7,"",VLOOKUP($BC78,$BE$8:$BK$507,3,FALSE()))</f>
        <v/>
      </c>
      <c r="BO78" s="110" t="str">
        <f aca="false">IF($BC78&gt;$BB$7,"",VLOOKUP($BC78,$BE$8:$BK$507,4,FALSE()))</f>
        <v/>
      </c>
      <c r="BP78" s="110" t="str">
        <f aca="false">IF($BC78&gt;$BB$7,"",VLOOKUP($BC78,$BE$8:$BK$507,5,FALSE()))</f>
        <v/>
      </c>
      <c r="BQ78" s="111" t="str">
        <f aca="false">IF($BC78&gt;$BB$7,"",VLOOKUP($BC78,$BE$8:$BK$507,6,FALSE()))</f>
        <v/>
      </c>
      <c r="BR78" s="54"/>
    </row>
    <row r="79" customFormat="false" ht="13.8" hidden="false" customHeight="false" outlineLevel="0" collapsed="false">
      <c r="A79" s="5"/>
      <c r="B79" s="120"/>
      <c r="C79" s="121"/>
      <c r="D79" s="112"/>
      <c r="E79" s="123"/>
      <c r="F79" s="91"/>
      <c r="G79" s="92"/>
      <c r="H79" s="93"/>
      <c r="I79" s="94"/>
      <c r="J79" s="91"/>
      <c r="K79" s="92"/>
      <c r="L79" s="93"/>
      <c r="M79" s="94"/>
      <c r="N79" s="91"/>
      <c r="O79" s="123"/>
      <c r="P79" s="96"/>
      <c r="Q79" s="97" t="str">
        <f aca="false">IF(ISBLANK($C79),"",IF(E79=Constants!$B$2, TRUE(), IF(E79=Constants!$B$3, FALSE(), TRUE())))</f>
        <v/>
      </c>
      <c r="R79" s="97" t="str">
        <f aca="false">IF(ISBLANK($C79),"",IF(F79=Constants!$B$16,Constants!$B$9,IF(F79=Constants!$B$17,Constants!$B$10,Constants!$B$8)))</f>
        <v/>
      </c>
      <c r="S79" s="97" t="str">
        <f aca="false">IF(ISBLANK($C79),"",IF(COUNTA(G79:H79)=0,"",IF(AND(OR(ISBLANK(G79),AND(ISNUMBER(G79),G79&gt;=0)),OR(ISBLANK(H79),AND(ISNUMBER(H79),H79&gt;=0))),60*IF(ISBLANK(G79),0,G79)+IF(ISBLANK(H79),0,H79),"")))</f>
        <v/>
      </c>
      <c r="T79" s="97" t="str">
        <f aca="false">IF(ISBLANK($C79),"",IF(I79=Constants!$B$2, TRUE(), IF(I79=Constants!$B$3, FALSE(), TRUE())))</f>
        <v/>
      </c>
      <c r="U79" s="97" t="str">
        <f aca="false">IF(ISBLANK($C79),"",IF(J79=Constants!$B$2, TRUE(), IF(J79=Constants!$B$3, FALSE(), TRUE())))</f>
        <v/>
      </c>
      <c r="V79" s="97" t="str">
        <f aca="false">IF(ISBLANK($C79),"",IF(COUNTA(K79:L79)=0,"",IF(AND(OR(ISBLANK(K79),AND(ISNUMBER(K79),K79&gt;=0)),OR(ISBLANK(L79),AND(ISNUMBER(L79),L79&gt;=0))),60*IF(ISBLANK(K79),0,K79)+IF(ISBLANK(L79),0,L79),"")))</f>
        <v/>
      </c>
      <c r="W79" s="97" t="str">
        <f aca="false">IF(ISBLANK($C79),"",IF(M79=Constants!$B$2, TRUE(), IF(M79=Constants!$B$3, FALSE(), TRUE())))</f>
        <v/>
      </c>
      <c r="X79" s="97" t="str">
        <f aca="false">IF(ISBLANK($C79),"",IF(N79=Constants!$B$2, TRUE(), IF(N79=Constants!$B$3, FALSE(), TRUE())))</f>
        <v/>
      </c>
      <c r="Y79" s="97" t="str">
        <f aca="false">IF(ISBLANK($C79),"",IF(O79=Constants!$B$2, TRUE(), IF(O79=Constants!$B$3, FALSE(), FALSE())))</f>
        <v/>
      </c>
      <c r="Z79" s="97" t="str">
        <f aca="false">IF(ISBLANK($C79),"",AND(S79&lt;&gt;"",Q79))</f>
        <v/>
      </c>
      <c r="AA79" s="97" t="str">
        <f aca="false">IF(ISBLANK($C79),"",AND(V79&lt;&gt;"",Q79))</f>
        <v/>
      </c>
      <c r="AB79" s="97" t="str">
        <f aca="false">IF(ISBLANK($C79),"",IF(Y79,Constants!$B$4,IF(COUNTA(E79:N79)=0,Constants!$B$5,IF(NOT(Q79),Constants!$B$6,IF(AND(NOT(Z79),NOT(AA79)),Constants!$B$6,Constants!$B$7)))))</f>
        <v/>
      </c>
      <c r="AC79" s="97" t="str">
        <f aca="false">IF(ISBLANK($C79),"",IF($AB79&lt;&gt;Constants!$B$7,$AB79,Constants!$B$20))</f>
        <v/>
      </c>
      <c r="AD79" s="97" t="str">
        <f aca="false">IF($AB79=Constants!$B$7,IF(Z79,S79,Constants!$B$13),"")</f>
        <v/>
      </c>
      <c r="AE79" s="97" t="str">
        <f aca="false">IF($AB79=Constants!$B$7,IF(Z79,R79*IF(T79, 1, Constants!$B$11)*IF(U79, 1, Constants!$B$12),Constants!$B$13),"")</f>
        <v/>
      </c>
      <c r="AF79" s="97" t="str">
        <f aca="false">IF($AB79=Constants!$B$7,AD79*AE79,"")</f>
        <v/>
      </c>
      <c r="AG79" s="97" t="str">
        <f aca="false">IF($AB79=Constants!$B$7,IF(AA79,V79,Constants!$B$13),"")</f>
        <v/>
      </c>
      <c r="AH79" s="97" t="str">
        <f aca="false">IF($AB79=Constants!$B$7,IF(AA79,R79*IF(W79, 1, Constants!$B$11)*IF(X79, 1, Constants!$B$12),Constants!$B$13),"")</f>
        <v/>
      </c>
      <c r="AI79" s="97" t="str">
        <f aca="false">IF($AB79=Constants!$B$7,AG79*AH79,"")</f>
        <v/>
      </c>
      <c r="AJ79" s="97" t="str">
        <f aca="false">IF($AB79=Constants!$B$7,IF(AI79&gt;AF79,2,1),"")</f>
        <v/>
      </c>
      <c r="AK79" s="97" t="str">
        <f aca="false">IF($AB79=Constants!$B$7,IF(AJ79=1,2,1),"")</f>
        <v/>
      </c>
      <c r="AL79" s="97" t="str">
        <f aca="false">IF(ISBLANK($C79),"",IF($AB79&lt;&gt;Constants!$B$7,$AB79,IF(AJ79=1,AF79,AI79)))</f>
        <v/>
      </c>
      <c r="AM79" s="97" t="str">
        <f aca="false">IF(ISBLANK($C79),"",IF($AB79=Constants!$B$7,IF(ISNUMBER(AL79),RANK(AL79,$AL$8:$AL$507),Constants!$B$14),$AB79))</f>
        <v/>
      </c>
      <c r="AN79" s="97" t="str">
        <f aca="false">IF(ISBLANK($C79),"",IF($AB79=Constants!$B$7,IF(AK79=1,AF79,AI79),""))</f>
        <v/>
      </c>
      <c r="AO79" s="97" t="str">
        <f aca="false">IF(ISBLANK($C79),"",IF($AB79=Constants!$B$7,RANK(AN79,$AN$8:$AN$507),$AB79))</f>
        <v/>
      </c>
      <c r="AP79" s="97" t="str">
        <f aca="false">IF(ISBLANK($C79),"",IF($AB79=Constants!$B$7,IF(ISNUMBER(AM79),COUNTIFS($AM$8:$AM$507,"&lt;"&amp;$AM79)+COUNTIFS($AM$8:$AM$507,$AM79,$AO$8:$AO$507,"&lt;"&amp;$AO79)+1,Constants!$B$14),$AB79))</f>
        <v/>
      </c>
      <c r="AQ79" s="97" t="str">
        <f aca="false">IF(ISBLANK($C79),"",IF($AB79=Constants!$B$7,IF(ISNUMBER(AM79),AM79-AP79,Constants!$B$14),$AB79))</f>
        <v/>
      </c>
      <c r="AR79" s="98"/>
      <c r="AS79" s="99" t="str">
        <f aca="false">IF(ISBLANK($C79),"",IF($AB79&lt;&gt;Constants!$B$7,"",AJ79))</f>
        <v/>
      </c>
      <c r="AT79" s="100" t="str">
        <f aca="false">IF(ISBLANK($C79),"",IF($AB79&lt;&gt;Constants!$B$7,"",IF(AJ79=1,AD79,AG79)))</f>
        <v/>
      </c>
      <c r="AU79" s="101" t="str">
        <f aca="false">IF(ISBLANK($C79),"",IF($AB79&lt;&gt;Constants!$B$7,"",IF(AJ79=1,AE79,AH79)))</f>
        <v/>
      </c>
      <c r="AV79" s="102" t="str">
        <f aca="false">IF(ISBLANK($C79),"",IF($AB79&lt;&gt;Constants!$B$7,$AB79,AL79))</f>
        <v/>
      </c>
      <c r="AW79" s="103" t="str">
        <f aca="false">IF(ISBLANK($C79),"",IF($AB79&lt;&gt;Constants!$B$7,$AB79,AC79))</f>
        <v/>
      </c>
      <c r="AX79" s="104" t="str">
        <f aca="false">IF(ISBLANK($C79),"",AQ79)</f>
        <v/>
      </c>
      <c r="AY79" s="104" t="str">
        <f aca="false">IF(ISBLANK($C79),"",AP79)</f>
        <v/>
      </c>
      <c r="AZ79" s="105" t="str">
        <f aca="false">IF(ISBLANK($C79),"",IF(AY79=Constants!$B$4,COUNTA($C$8:$C$507)+2,IF(AY79=Constants!$B$5,COUNTA($C$8:$C$507)+1,IF(AY79=Constants!$B$6,COUNTA($C$8:$C$507),AY79))))</f>
        <v/>
      </c>
      <c r="BA79" s="5"/>
      <c r="BB79" s="106" t="n">
        <f aca="false">IF(OR(ISNUMBER(AY79),AY79=Constants!$B$4,AY79=Constants!$B$6,AY79=Constants!$B$5),1,0)</f>
        <v>0</v>
      </c>
      <c r="BC79" s="106" t="n">
        <v>72</v>
      </c>
      <c r="BD79" s="106" t="str">
        <f aca="false">IF(ISBLANK($C79),"",IF(ISNUMBER(AZ79),AZ79+ROW($B79)/1000,""))</f>
        <v/>
      </c>
      <c r="BE79" s="106" t="str">
        <f aca="false">IF(ISNUMBER(BD79),RANK(BD79,$BD$8:$BD$507,1),"")</f>
        <v/>
      </c>
      <c r="BF79" s="106" t="str">
        <f aca="false">IF(ISBLANK($C79),"",$B79)</f>
        <v/>
      </c>
      <c r="BG79" s="106" t="str">
        <f aca="false">IF(ISBLANK($C79),"",$C79)</f>
        <v/>
      </c>
      <c r="BH79" s="106" t="str">
        <f aca="false">IF(ISBLANK($C79),"",$D79)</f>
        <v/>
      </c>
      <c r="BI79" s="107" t="str">
        <f aca="false">AW79</f>
        <v/>
      </c>
      <c r="BJ79" s="108" t="str">
        <f aca="false">AV79</f>
        <v/>
      </c>
      <c r="BK79" s="106" t="str">
        <f aca="false">IF(ISBLANK($C79),"",AY79)</f>
        <v/>
      </c>
      <c r="BL79" s="109" t="str">
        <f aca="false">IF($BC79&gt;$BB$7,"",VLOOKUP($BC79,$BE$8:$BK$507,7,FALSE()))</f>
        <v/>
      </c>
      <c r="BM79" s="110" t="str">
        <f aca="false">IF($BC79&gt;$BB$7,"",VLOOKUP($BC79,$BE$8:$BK$507,2,FALSE()))</f>
        <v/>
      </c>
      <c r="BN79" s="110" t="str">
        <f aca="false">IF($BC79&gt;$BB$7,"",VLOOKUP($BC79,$BE$8:$BK$507,3,FALSE()))</f>
        <v/>
      </c>
      <c r="BO79" s="110" t="str">
        <f aca="false">IF($BC79&gt;$BB$7,"",VLOOKUP($BC79,$BE$8:$BK$507,4,FALSE()))</f>
        <v/>
      </c>
      <c r="BP79" s="110" t="str">
        <f aca="false">IF($BC79&gt;$BB$7,"",VLOOKUP($BC79,$BE$8:$BK$507,5,FALSE()))</f>
        <v/>
      </c>
      <c r="BQ79" s="111" t="str">
        <f aca="false">IF($BC79&gt;$BB$7,"",VLOOKUP($BC79,$BE$8:$BK$507,6,FALSE()))</f>
        <v/>
      </c>
      <c r="BR79" s="54"/>
    </row>
    <row r="80" customFormat="false" ht="13.8" hidden="false" customHeight="false" outlineLevel="0" collapsed="false">
      <c r="A80" s="5"/>
      <c r="B80" s="124"/>
      <c r="C80" s="56"/>
      <c r="D80" s="57"/>
      <c r="E80" s="83"/>
      <c r="F80" s="59"/>
      <c r="G80" s="60"/>
      <c r="H80" s="61"/>
      <c r="I80" s="62"/>
      <c r="J80" s="59"/>
      <c r="K80" s="60"/>
      <c r="L80" s="61"/>
      <c r="M80" s="62"/>
      <c r="N80" s="59"/>
      <c r="O80" s="83"/>
      <c r="P80" s="64"/>
      <c r="Q80" s="66" t="str">
        <f aca="false">IF(ISBLANK($C80),"",IF(E80=Constants!$B$2, TRUE(), IF(E80=Constants!$B$3, FALSE(), TRUE())))</f>
        <v/>
      </c>
      <c r="R80" s="66" t="str">
        <f aca="false">IF(ISBLANK($C80),"",IF(F80=Constants!$B$16,Constants!$B$9,IF(F80=Constants!$B$17,Constants!$B$10,Constants!$B$8)))</f>
        <v/>
      </c>
      <c r="S80" s="66" t="str">
        <f aca="false">IF(ISBLANK($C80),"",IF(COUNTA(G80:H80)=0,"",IF(AND(OR(ISBLANK(G80),AND(ISNUMBER(G80),G80&gt;=0)),OR(ISBLANK(H80),AND(ISNUMBER(H80),H80&gt;=0))),60*IF(ISBLANK(G80),0,G80)+IF(ISBLANK(H80),0,H80),"")))</f>
        <v/>
      </c>
      <c r="T80" s="66" t="str">
        <f aca="false">IF(ISBLANK($C80),"",IF(I80=Constants!$B$2, TRUE(), IF(I80=Constants!$B$3, FALSE(), TRUE())))</f>
        <v/>
      </c>
      <c r="U80" s="66" t="str">
        <f aca="false">IF(ISBLANK($C80),"",IF(J80=Constants!$B$2, TRUE(), IF(J80=Constants!$B$3, FALSE(), TRUE())))</f>
        <v/>
      </c>
      <c r="V80" s="66" t="str">
        <f aca="false">IF(ISBLANK($C80),"",IF(COUNTA(K80:L80)=0,"",IF(AND(OR(ISBLANK(K80),AND(ISNUMBER(K80),K80&gt;=0)),OR(ISBLANK(L80),AND(ISNUMBER(L80),L80&gt;=0))),60*IF(ISBLANK(K80),0,K80)+IF(ISBLANK(L80),0,L80),"")))</f>
        <v/>
      </c>
      <c r="W80" s="66" t="str">
        <f aca="false">IF(ISBLANK($C80),"",IF(M80=Constants!$B$2, TRUE(), IF(M80=Constants!$B$3, FALSE(), TRUE())))</f>
        <v/>
      </c>
      <c r="X80" s="66" t="str">
        <f aca="false">IF(ISBLANK($C80),"",IF(N80=Constants!$B$2, TRUE(), IF(N80=Constants!$B$3, FALSE(), TRUE())))</f>
        <v/>
      </c>
      <c r="Y80" s="66" t="str">
        <f aca="false">IF(ISBLANK($C80),"",IF(O80=Constants!$B$2, TRUE(), IF(O80=Constants!$B$3, FALSE(), FALSE())))</f>
        <v/>
      </c>
      <c r="Z80" s="66" t="str">
        <f aca="false">IF(ISBLANK($C80),"",AND(S80&lt;&gt;"",Q80))</f>
        <v/>
      </c>
      <c r="AA80" s="66" t="str">
        <f aca="false">IF(ISBLANK($C80),"",AND(V80&lt;&gt;"",Q80))</f>
        <v/>
      </c>
      <c r="AB80" s="66" t="str">
        <f aca="false">IF(ISBLANK($C80),"",IF(Y80,Constants!$B$4,IF(COUNTA(E80:N80)=0,Constants!$B$5,IF(NOT(Q80),Constants!$B$6,IF(AND(NOT(Z80),NOT(AA80)),Constants!$B$6,Constants!$B$7)))))</f>
        <v/>
      </c>
      <c r="AC80" s="66" t="str">
        <f aca="false">IF(ISBLANK($C80),"",IF($AB80&lt;&gt;Constants!$B$7,$AB80,Constants!$B$20))</f>
        <v/>
      </c>
      <c r="AD80" s="66" t="str">
        <f aca="false">IF($AB80=Constants!$B$7,IF(Z80,S80,Constants!$B$13),"")</f>
        <v/>
      </c>
      <c r="AE80" s="66" t="str">
        <f aca="false">IF($AB80=Constants!$B$7,IF(Z80,R80*IF(T80, 1, Constants!$B$11)*IF(U80, 1, Constants!$B$12),Constants!$B$13),"")</f>
        <v/>
      </c>
      <c r="AF80" s="66" t="str">
        <f aca="false">IF($AB80=Constants!$B$7,AD80*AE80,"")</f>
        <v/>
      </c>
      <c r="AG80" s="66" t="str">
        <f aca="false">IF($AB80=Constants!$B$7,IF(AA80,V80,Constants!$B$13),"")</f>
        <v/>
      </c>
      <c r="AH80" s="66" t="str">
        <f aca="false">IF($AB80=Constants!$B$7,IF(AA80,R80*IF(W80, 1, Constants!$B$11)*IF(X80, 1, Constants!$B$12),Constants!$B$13),"")</f>
        <v/>
      </c>
      <c r="AI80" s="66" t="str">
        <f aca="false">IF($AB80=Constants!$B$7,AG80*AH80,"")</f>
        <v/>
      </c>
      <c r="AJ80" s="66" t="str">
        <f aca="false">IF($AB80=Constants!$B$7,IF(AI80&gt;AF80,2,1),"")</f>
        <v/>
      </c>
      <c r="AK80" s="66" t="str">
        <f aca="false">IF($AB80=Constants!$B$7,IF(AJ80=1,2,1),"")</f>
        <v/>
      </c>
      <c r="AL80" s="66" t="str">
        <f aca="false">IF(ISBLANK($C80),"",IF($AB80&lt;&gt;Constants!$B$7,$AB80,IF(AJ80=1,AF80,AI80)))</f>
        <v/>
      </c>
      <c r="AM80" s="66" t="str">
        <f aca="false">IF(ISBLANK($C80),"",IF($AB80=Constants!$B$7,IF(ISNUMBER(AL80),RANK(AL80,$AL$8:$AL$507),Constants!$B$14),$AB80))</f>
        <v/>
      </c>
      <c r="AN80" s="66" t="str">
        <f aca="false">IF(ISBLANK($C80),"",IF($AB80=Constants!$B$7,IF(AK80=1,AF80,AI80),""))</f>
        <v/>
      </c>
      <c r="AO80" s="66" t="str">
        <f aca="false">IF(ISBLANK($C80),"",IF($AB80=Constants!$B$7,RANK(AN80,$AN$8:$AN$507),$AB80))</f>
        <v/>
      </c>
      <c r="AP80" s="66" t="str">
        <f aca="false">IF(ISBLANK($C80),"",IF($AB80=Constants!$B$7,IF(ISNUMBER(AM80),COUNTIFS($AM$8:$AM$507,"&lt;"&amp;$AM80)+COUNTIFS($AM$8:$AM$507,$AM80,$AO$8:$AO$507,"&lt;"&amp;$AO80)+1,Constants!$B$14),$AB80))</f>
        <v/>
      </c>
      <c r="AQ80" s="66" t="str">
        <f aca="false">IF(ISBLANK($C80),"",IF($AB80=Constants!$B$7,IF(ISNUMBER(AM80),AM80-AP80,Constants!$B$14),$AB80))</f>
        <v/>
      </c>
      <c r="AR80" s="68"/>
      <c r="AS80" s="69" t="str">
        <f aca="false">IF(ISBLANK($C80),"",IF($AB80&lt;&gt;Constants!$B$7,"",AJ80))</f>
        <v/>
      </c>
      <c r="AT80" s="84" t="str">
        <f aca="false">IF(ISBLANK($C80),"",IF($AB80&lt;&gt;Constants!$B$7,"",IF(AJ80=1,AD80,AG80)))</f>
        <v/>
      </c>
      <c r="AU80" s="71" t="str">
        <f aca="false">IF(ISBLANK($C80),"",IF($AB80&lt;&gt;Constants!$B$7,"",IF(AJ80=1,AE80,AH80)))</f>
        <v/>
      </c>
      <c r="AV80" s="72" t="str">
        <f aca="false">IF(ISBLANK($C80),"",IF($AB80&lt;&gt;Constants!$B$7,$AB80,AL80))</f>
        <v/>
      </c>
      <c r="AW80" s="73" t="str">
        <f aca="false">IF(ISBLANK($C80),"",IF($AB80&lt;&gt;Constants!$B$7,$AB80,AC80))</f>
        <v/>
      </c>
      <c r="AX80" s="74" t="str">
        <f aca="false">IF(ISBLANK($C80),"",AQ80)</f>
        <v/>
      </c>
      <c r="AY80" s="74" t="str">
        <f aca="false">IF(ISBLANK($C80),"",AP80)</f>
        <v/>
      </c>
      <c r="AZ80" s="75" t="str">
        <f aca="false">IF(ISBLANK($C80),"",IF(AY80=Constants!$B$4,COUNTA($C$8:$C$507)+2,IF(AY80=Constants!$B$5,COUNTA($C$8:$C$507)+1,IF(AY80=Constants!$B$6,COUNTA($C$8:$C$507),AY80))))</f>
        <v/>
      </c>
      <c r="BA80" s="5"/>
      <c r="BB80" s="76" t="n">
        <f aca="false">IF(OR(ISNUMBER(AY80),AY80=Constants!$B$4,AY80=Constants!$B$6,AY80=Constants!$B$5),1,0)</f>
        <v>0</v>
      </c>
      <c r="BC80" s="76" t="n">
        <v>73</v>
      </c>
      <c r="BD80" s="76" t="str">
        <f aca="false">IF(ISBLANK($C80),"",IF(ISNUMBER(AZ80),AZ80+ROW($B80)/1000,""))</f>
        <v/>
      </c>
      <c r="BE80" s="76" t="str">
        <f aca="false">IF(ISNUMBER(BD80),RANK(BD80,$BD$8:$BD$507,1),"")</f>
        <v/>
      </c>
      <c r="BF80" s="76" t="str">
        <f aca="false">IF(ISBLANK($C80),"",$B80)</f>
        <v/>
      </c>
      <c r="BG80" s="76" t="str">
        <f aca="false">IF(ISBLANK($C80),"",$C80)</f>
        <v/>
      </c>
      <c r="BH80" s="76" t="str">
        <f aca="false">IF(ISBLANK($C80),"",$D80)</f>
        <v/>
      </c>
      <c r="BI80" s="77" t="str">
        <f aca="false">AW80</f>
        <v/>
      </c>
      <c r="BJ80" s="78" t="str">
        <f aca="false">AV80</f>
        <v/>
      </c>
      <c r="BK80" s="76" t="str">
        <f aca="false">IF(ISBLANK($C80),"",AY80)</f>
        <v/>
      </c>
      <c r="BL80" s="79" t="str">
        <f aca="false">IF($BC80&gt;$BB$7,"",VLOOKUP($BC80,$BE$8:$BK$507,7,FALSE()))</f>
        <v/>
      </c>
      <c r="BM80" s="80" t="str">
        <f aca="false">IF($BC80&gt;$BB$7,"",VLOOKUP($BC80,$BE$8:$BK$507,2,FALSE()))</f>
        <v/>
      </c>
      <c r="BN80" s="80" t="str">
        <f aca="false">IF($BC80&gt;$BB$7,"",VLOOKUP($BC80,$BE$8:$BK$507,3,FALSE()))</f>
        <v/>
      </c>
      <c r="BO80" s="80" t="str">
        <f aca="false">IF($BC80&gt;$BB$7,"",VLOOKUP($BC80,$BE$8:$BK$507,4,FALSE()))</f>
        <v/>
      </c>
      <c r="BP80" s="80" t="str">
        <f aca="false">IF($BC80&gt;$BB$7,"",VLOOKUP($BC80,$BE$8:$BK$507,5,FALSE()))</f>
        <v/>
      </c>
      <c r="BQ80" s="81" t="str">
        <f aca="false">IF($BC80&gt;$BB$7,"",VLOOKUP($BC80,$BE$8:$BK$507,6,FALSE()))</f>
        <v/>
      </c>
      <c r="BR80" s="54"/>
    </row>
    <row r="81" customFormat="false" ht="13.8" hidden="false" customHeight="false" outlineLevel="0" collapsed="false">
      <c r="A81" s="5"/>
      <c r="B81" s="124"/>
      <c r="C81" s="56"/>
      <c r="D81" s="57"/>
      <c r="E81" s="83"/>
      <c r="F81" s="59"/>
      <c r="G81" s="60"/>
      <c r="H81" s="61"/>
      <c r="I81" s="62"/>
      <c r="J81" s="59"/>
      <c r="K81" s="60"/>
      <c r="L81" s="61"/>
      <c r="M81" s="62"/>
      <c r="N81" s="59"/>
      <c r="O81" s="83"/>
      <c r="P81" s="64"/>
      <c r="Q81" s="66" t="str">
        <f aca="false">IF(ISBLANK($C81),"",IF(E81=Constants!$B$2, TRUE(), IF(E81=Constants!$B$3, FALSE(), TRUE())))</f>
        <v/>
      </c>
      <c r="R81" s="66" t="str">
        <f aca="false">IF(ISBLANK($C81),"",IF(F81=Constants!$B$16,Constants!$B$9,IF(F81=Constants!$B$17,Constants!$B$10,Constants!$B$8)))</f>
        <v/>
      </c>
      <c r="S81" s="66" t="str">
        <f aca="false">IF(ISBLANK($C81),"",IF(COUNTA(G81:H81)=0,"",IF(AND(OR(ISBLANK(G81),AND(ISNUMBER(G81),G81&gt;=0)),OR(ISBLANK(H81),AND(ISNUMBER(H81),H81&gt;=0))),60*IF(ISBLANK(G81),0,G81)+IF(ISBLANK(H81),0,H81),"")))</f>
        <v/>
      </c>
      <c r="T81" s="66" t="str">
        <f aca="false">IF(ISBLANK($C81),"",IF(I81=Constants!$B$2, TRUE(), IF(I81=Constants!$B$3, FALSE(), TRUE())))</f>
        <v/>
      </c>
      <c r="U81" s="66" t="str">
        <f aca="false">IF(ISBLANK($C81),"",IF(J81=Constants!$B$2, TRUE(), IF(J81=Constants!$B$3, FALSE(), TRUE())))</f>
        <v/>
      </c>
      <c r="V81" s="66" t="str">
        <f aca="false">IF(ISBLANK($C81),"",IF(COUNTA(K81:L81)=0,"",IF(AND(OR(ISBLANK(K81),AND(ISNUMBER(K81),K81&gt;=0)),OR(ISBLANK(L81),AND(ISNUMBER(L81),L81&gt;=0))),60*IF(ISBLANK(K81),0,K81)+IF(ISBLANK(L81),0,L81),"")))</f>
        <v/>
      </c>
      <c r="W81" s="66" t="str">
        <f aca="false">IF(ISBLANK($C81),"",IF(M81=Constants!$B$2, TRUE(), IF(M81=Constants!$B$3, FALSE(), TRUE())))</f>
        <v/>
      </c>
      <c r="X81" s="66" t="str">
        <f aca="false">IF(ISBLANK($C81),"",IF(N81=Constants!$B$2, TRUE(), IF(N81=Constants!$B$3, FALSE(), TRUE())))</f>
        <v/>
      </c>
      <c r="Y81" s="66" t="str">
        <f aca="false">IF(ISBLANK($C81),"",IF(O81=Constants!$B$2, TRUE(), IF(O81=Constants!$B$3, FALSE(), FALSE())))</f>
        <v/>
      </c>
      <c r="Z81" s="66" t="str">
        <f aca="false">IF(ISBLANK($C81),"",AND(S81&lt;&gt;"",Q81))</f>
        <v/>
      </c>
      <c r="AA81" s="66" t="str">
        <f aca="false">IF(ISBLANK($C81),"",AND(V81&lt;&gt;"",Q81))</f>
        <v/>
      </c>
      <c r="AB81" s="66" t="str">
        <f aca="false">IF(ISBLANK($C81),"",IF(Y81,Constants!$B$4,IF(COUNTA(E81:N81)=0,Constants!$B$5,IF(NOT(Q81),Constants!$B$6,IF(AND(NOT(Z81),NOT(AA81)),Constants!$B$6,Constants!$B$7)))))</f>
        <v/>
      </c>
      <c r="AC81" s="66" t="str">
        <f aca="false">IF(ISBLANK($C81),"",IF($AB81&lt;&gt;Constants!$B$7,$AB81,Constants!$B$20))</f>
        <v/>
      </c>
      <c r="AD81" s="66" t="str">
        <f aca="false">IF($AB81=Constants!$B$7,IF(Z81,S81,Constants!$B$13),"")</f>
        <v/>
      </c>
      <c r="AE81" s="66" t="str">
        <f aca="false">IF($AB81=Constants!$B$7,IF(Z81,R81*IF(T81, 1, Constants!$B$11)*IF(U81, 1, Constants!$B$12),Constants!$B$13),"")</f>
        <v/>
      </c>
      <c r="AF81" s="66" t="str">
        <f aca="false">IF($AB81=Constants!$B$7,AD81*AE81,"")</f>
        <v/>
      </c>
      <c r="AG81" s="66" t="str">
        <f aca="false">IF($AB81=Constants!$B$7,IF(AA81,V81,Constants!$B$13),"")</f>
        <v/>
      </c>
      <c r="AH81" s="66" t="str">
        <f aca="false">IF($AB81=Constants!$B$7,IF(AA81,R81*IF(W81, 1, Constants!$B$11)*IF(X81, 1, Constants!$B$12),Constants!$B$13),"")</f>
        <v/>
      </c>
      <c r="AI81" s="66" t="str">
        <f aca="false">IF($AB81=Constants!$B$7,AG81*AH81,"")</f>
        <v/>
      </c>
      <c r="AJ81" s="66" t="str">
        <f aca="false">IF($AB81=Constants!$B$7,IF(AI81&gt;AF81,2,1),"")</f>
        <v/>
      </c>
      <c r="AK81" s="66" t="str">
        <f aca="false">IF($AB81=Constants!$B$7,IF(AJ81=1,2,1),"")</f>
        <v/>
      </c>
      <c r="AL81" s="66" t="str">
        <f aca="false">IF(ISBLANK($C81),"",IF($AB81&lt;&gt;Constants!$B$7,$AB81,IF(AJ81=1,AF81,AI81)))</f>
        <v/>
      </c>
      <c r="AM81" s="66" t="str">
        <f aca="false">IF(ISBLANK($C81),"",IF($AB81=Constants!$B$7,IF(ISNUMBER(AL81),RANK(AL81,$AL$8:$AL$507),Constants!$B$14),$AB81))</f>
        <v/>
      </c>
      <c r="AN81" s="66" t="str">
        <f aca="false">IF(ISBLANK($C81),"",IF($AB81=Constants!$B$7,IF(AK81=1,AF81,AI81),""))</f>
        <v/>
      </c>
      <c r="AO81" s="66" t="str">
        <f aca="false">IF(ISBLANK($C81),"",IF($AB81=Constants!$B$7,RANK(AN81,$AN$8:$AN$507),$AB81))</f>
        <v/>
      </c>
      <c r="AP81" s="66" t="str">
        <f aca="false">IF(ISBLANK($C81),"",IF($AB81=Constants!$B$7,IF(ISNUMBER(AM81),COUNTIFS($AM$8:$AM$507,"&lt;"&amp;$AM81)+COUNTIFS($AM$8:$AM$507,$AM81,$AO$8:$AO$507,"&lt;"&amp;$AO81)+1,Constants!$B$14),$AB81))</f>
        <v/>
      </c>
      <c r="AQ81" s="66" t="str">
        <f aca="false">IF(ISBLANK($C81),"",IF($AB81=Constants!$B$7,IF(ISNUMBER(AM81),AM81-AP81,Constants!$B$14),$AB81))</f>
        <v/>
      </c>
      <c r="AR81" s="68"/>
      <c r="AS81" s="69" t="str">
        <f aca="false">IF(ISBLANK($C81),"",IF($AB81&lt;&gt;Constants!$B$7,"",AJ81))</f>
        <v/>
      </c>
      <c r="AT81" s="84" t="str">
        <f aca="false">IF(ISBLANK($C81),"",IF($AB81&lt;&gt;Constants!$B$7,"",IF(AJ81=1,AD81,AG81)))</f>
        <v/>
      </c>
      <c r="AU81" s="71" t="str">
        <f aca="false">IF(ISBLANK($C81),"",IF($AB81&lt;&gt;Constants!$B$7,"",IF(AJ81=1,AE81,AH81)))</f>
        <v/>
      </c>
      <c r="AV81" s="72" t="str">
        <f aca="false">IF(ISBLANK($C81),"",IF($AB81&lt;&gt;Constants!$B$7,$AB81,AL81))</f>
        <v/>
      </c>
      <c r="AW81" s="73" t="str">
        <f aca="false">IF(ISBLANK($C81),"",IF($AB81&lt;&gt;Constants!$B$7,$AB81,AC81))</f>
        <v/>
      </c>
      <c r="AX81" s="74" t="str">
        <f aca="false">IF(ISBLANK($C81),"",AQ81)</f>
        <v/>
      </c>
      <c r="AY81" s="74" t="str">
        <f aca="false">IF(ISBLANK($C81),"",AP81)</f>
        <v/>
      </c>
      <c r="AZ81" s="75" t="str">
        <f aca="false">IF(ISBLANK($C81),"",IF(AY81=Constants!$B$4,COUNTA($C$8:$C$507)+2,IF(AY81=Constants!$B$5,COUNTA($C$8:$C$507)+1,IF(AY81=Constants!$B$6,COUNTA($C$8:$C$507),AY81))))</f>
        <v/>
      </c>
      <c r="BA81" s="5"/>
      <c r="BB81" s="76" t="n">
        <f aca="false">IF(OR(ISNUMBER(AY81),AY81=Constants!$B$4,AY81=Constants!$B$6,AY81=Constants!$B$5),1,0)</f>
        <v>0</v>
      </c>
      <c r="BC81" s="76" t="n">
        <v>74</v>
      </c>
      <c r="BD81" s="76" t="str">
        <f aca="false">IF(ISBLANK($C81),"",IF(ISNUMBER(AZ81),AZ81+ROW($B81)/1000,""))</f>
        <v/>
      </c>
      <c r="BE81" s="76" t="str">
        <f aca="false">IF(ISNUMBER(BD81),RANK(BD81,$BD$8:$BD$507,1),"")</f>
        <v/>
      </c>
      <c r="BF81" s="76" t="str">
        <f aca="false">IF(ISBLANK($C81),"",$B81)</f>
        <v/>
      </c>
      <c r="BG81" s="76" t="str">
        <f aca="false">IF(ISBLANK($C81),"",$C81)</f>
        <v/>
      </c>
      <c r="BH81" s="76" t="str">
        <f aca="false">IF(ISBLANK($C81),"",$D81)</f>
        <v/>
      </c>
      <c r="BI81" s="77" t="str">
        <f aca="false">AW81</f>
        <v/>
      </c>
      <c r="BJ81" s="78" t="str">
        <f aca="false">AV81</f>
        <v/>
      </c>
      <c r="BK81" s="76" t="str">
        <f aca="false">IF(ISBLANK($C81),"",AY81)</f>
        <v/>
      </c>
      <c r="BL81" s="79" t="str">
        <f aca="false">IF($BC81&gt;$BB$7,"",VLOOKUP($BC81,$BE$8:$BK$507,7,FALSE()))</f>
        <v/>
      </c>
      <c r="BM81" s="80" t="str">
        <f aca="false">IF($BC81&gt;$BB$7,"",VLOOKUP($BC81,$BE$8:$BK$507,2,FALSE()))</f>
        <v/>
      </c>
      <c r="BN81" s="80" t="str">
        <f aca="false">IF($BC81&gt;$BB$7,"",VLOOKUP($BC81,$BE$8:$BK$507,3,FALSE()))</f>
        <v/>
      </c>
      <c r="BO81" s="80" t="str">
        <f aca="false">IF($BC81&gt;$BB$7,"",VLOOKUP($BC81,$BE$8:$BK$507,4,FALSE()))</f>
        <v/>
      </c>
      <c r="BP81" s="80" t="str">
        <f aca="false">IF($BC81&gt;$BB$7,"",VLOOKUP($BC81,$BE$8:$BK$507,5,FALSE()))</f>
        <v/>
      </c>
      <c r="BQ81" s="81" t="str">
        <f aca="false">IF($BC81&gt;$BB$7,"",VLOOKUP($BC81,$BE$8:$BK$507,6,FALSE()))</f>
        <v/>
      </c>
      <c r="BR81" s="54"/>
    </row>
    <row r="82" customFormat="false" ht="13.8" hidden="false" customHeight="false" outlineLevel="0" collapsed="false">
      <c r="A82" s="5"/>
      <c r="B82" s="124"/>
      <c r="C82" s="56"/>
      <c r="D82" s="57"/>
      <c r="E82" s="83"/>
      <c r="F82" s="59"/>
      <c r="G82" s="60"/>
      <c r="H82" s="61"/>
      <c r="I82" s="62"/>
      <c r="J82" s="59"/>
      <c r="K82" s="60"/>
      <c r="L82" s="61"/>
      <c r="M82" s="62"/>
      <c r="N82" s="59"/>
      <c r="O82" s="83"/>
      <c r="P82" s="64"/>
      <c r="Q82" s="66" t="str">
        <f aca="false">IF(ISBLANK($C82),"",IF(E82=Constants!$B$2, TRUE(), IF(E82=Constants!$B$3, FALSE(), TRUE())))</f>
        <v/>
      </c>
      <c r="R82" s="66" t="str">
        <f aca="false">IF(ISBLANK($C82),"",IF(F82=Constants!$B$16,Constants!$B$9,IF(F82=Constants!$B$17,Constants!$B$10,Constants!$B$8)))</f>
        <v/>
      </c>
      <c r="S82" s="66" t="str">
        <f aca="false">IF(ISBLANK($C82),"",IF(COUNTA(G82:H82)=0,"",IF(AND(OR(ISBLANK(G82),AND(ISNUMBER(G82),G82&gt;=0)),OR(ISBLANK(H82),AND(ISNUMBER(H82),H82&gt;=0))),60*IF(ISBLANK(G82),0,G82)+IF(ISBLANK(H82),0,H82),"")))</f>
        <v/>
      </c>
      <c r="T82" s="66" t="str">
        <f aca="false">IF(ISBLANK($C82),"",IF(I82=Constants!$B$2, TRUE(), IF(I82=Constants!$B$3, FALSE(), TRUE())))</f>
        <v/>
      </c>
      <c r="U82" s="66" t="str">
        <f aca="false">IF(ISBLANK($C82),"",IF(J82=Constants!$B$2, TRUE(), IF(J82=Constants!$B$3, FALSE(), TRUE())))</f>
        <v/>
      </c>
      <c r="V82" s="66" t="str">
        <f aca="false">IF(ISBLANK($C82),"",IF(COUNTA(K82:L82)=0,"",IF(AND(OR(ISBLANK(K82),AND(ISNUMBER(K82),K82&gt;=0)),OR(ISBLANK(L82),AND(ISNUMBER(L82),L82&gt;=0))),60*IF(ISBLANK(K82),0,K82)+IF(ISBLANK(L82),0,L82),"")))</f>
        <v/>
      </c>
      <c r="W82" s="66" t="str">
        <f aca="false">IF(ISBLANK($C82),"",IF(M82=Constants!$B$2, TRUE(), IF(M82=Constants!$B$3, FALSE(), TRUE())))</f>
        <v/>
      </c>
      <c r="X82" s="66" t="str">
        <f aca="false">IF(ISBLANK($C82),"",IF(N82=Constants!$B$2, TRUE(), IF(N82=Constants!$B$3, FALSE(), TRUE())))</f>
        <v/>
      </c>
      <c r="Y82" s="66" t="str">
        <f aca="false">IF(ISBLANK($C82),"",IF(O82=Constants!$B$2, TRUE(), IF(O82=Constants!$B$3, FALSE(), FALSE())))</f>
        <v/>
      </c>
      <c r="Z82" s="66" t="str">
        <f aca="false">IF(ISBLANK($C82),"",AND(S82&lt;&gt;"",Q82))</f>
        <v/>
      </c>
      <c r="AA82" s="66" t="str">
        <f aca="false">IF(ISBLANK($C82),"",AND(V82&lt;&gt;"",Q82))</f>
        <v/>
      </c>
      <c r="AB82" s="66" t="str">
        <f aca="false">IF(ISBLANK($C82),"",IF(Y82,Constants!$B$4,IF(COUNTA(E82:N82)=0,Constants!$B$5,IF(NOT(Q82),Constants!$B$6,IF(AND(NOT(Z82),NOT(AA82)),Constants!$B$6,Constants!$B$7)))))</f>
        <v/>
      </c>
      <c r="AC82" s="66" t="str">
        <f aca="false">IF(ISBLANK($C82),"",IF($AB82&lt;&gt;Constants!$B$7,$AB82,Constants!$B$20))</f>
        <v/>
      </c>
      <c r="AD82" s="66" t="str">
        <f aca="false">IF($AB82=Constants!$B$7,IF(Z82,S82,Constants!$B$13),"")</f>
        <v/>
      </c>
      <c r="AE82" s="66" t="str">
        <f aca="false">IF($AB82=Constants!$B$7,IF(Z82,R82*IF(T82, 1, Constants!$B$11)*IF(U82, 1, Constants!$B$12),Constants!$B$13),"")</f>
        <v/>
      </c>
      <c r="AF82" s="66" t="str">
        <f aca="false">IF($AB82=Constants!$B$7,AD82*AE82,"")</f>
        <v/>
      </c>
      <c r="AG82" s="66" t="str">
        <f aca="false">IF($AB82=Constants!$B$7,IF(AA82,V82,Constants!$B$13),"")</f>
        <v/>
      </c>
      <c r="AH82" s="66" t="str">
        <f aca="false">IF($AB82=Constants!$B$7,IF(AA82,R82*IF(W82, 1, Constants!$B$11)*IF(X82, 1, Constants!$B$12),Constants!$B$13),"")</f>
        <v/>
      </c>
      <c r="AI82" s="66" t="str">
        <f aca="false">IF($AB82=Constants!$B$7,AG82*AH82,"")</f>
        <v/>
      </c>
      <c r="AJ82" s="66" t="str">
        <f aca="false">IF($AB82=Constants!$B$7,IF(AI82&gt;AF82,2,1),"")</f>
        <v/>
      </c>
      <c r="AK82" s="66" t="str">
        <f aca="false">IF($AB82=Constants!$B$7,IF(AJ82=1,2,1),"")</f>
        <v/>
      </c>
      <c r="AL82" s="66" t="str">
        <f aca="false">IF(ISBLANK($C82),"",IF($AB82&lt;&gt;Constants!$B$7,$AB82,IF(AJ82=1,AF82,AI82)))</f>
        <v/>
      </c>
      <c r="AM82" s="66" t="str">
        <f aca="false">IF(ISBLANK($C82),"",IF($AB82=Constants!$B$7,IF(ISNUMBER(AL82),RANK(AL82,$AL$8:$AL$507),Constants!$B$14),$AB82))</f>
        <v/>
      </c>
      <c r="AN82" s="66" t="str">
        <f aca="false">IF(ISBLANK($C82),"",IF($AB82=Constants!$B$7,IF(AK82=1,AF82,AI82),""))</f>
        <v/>
      </c>
      <c r="AO82" s="66" t="str">
        <f aca="false">IF(ISBLANK($C82),"",IF($AB82=Constants!$B$7,RANK(AN82,$AN$8:$AN$507),$AB82))</f>
        <v/>
      </c>
      <c r="AP82" s="66" t="str">
        <f aca="false">IF(ISBLANK($C82),"",IF($AB82=Constants!$B$7,IF(ISNUMBER(AM82),COUNTIFS($AM$8:$AM$507,"&lt;"&amp;$AM82)+COUNTIFS($AM$8:$AM$507,$AM82,$AO$8:$AO$507,"&lt;"&amp;$AO82)+1,Constants!$B$14),$AB82))</f>
        <v/>
      </c>
      <c r="AQ82" s="66" t="str">
        <f aca="false">IF(ISBLANK($C82),"",IF($AB82=Constants!$B$7,IF(ISNUMBER(AM82),AM82-AP82,Constants!$B$14),$AB82))</f>
        <v/>
      </c>
      <c r="AR82" s="68"/>
      <c r="AS82" s="69" t="str">
        <f aca="false">IF(ISBLANK($C82),"",IF($AB82&lt;&gt;Constants!$B$7,"",AJ82))</f>
        <v/>
      </c>
      <c r="AT82" s="84" t="str">
        <f aca="false">IF(ISBLANK($C82),"",IF($AB82&lt;&gt;Constants!$B$7,"",IF(AJ82=1,AD82,AG82)))</f>
        <v/>
      </c>
      <c r="AU82" s="71" t="str">
        <f aca="false">IF(ISBLANK($C82),"",IF($AB82&lt;&gt;Constants!$B$7,"",IF(AJ82=1,AE82,AH82)))</f>
        <v/>
      </c>
      <c r="AV82" s="72" t="str">
        <f aca="false">IF(ISBLANK($C82),"",IF($AB82&lt;&gt;Constants!$B$7,$AB82,AL82))</f>
        <v/>
      </c>
      <c r="AW82" s="73" t="str">
        <f aca="false">IF(ISBLANK($C82),"",IF($AB82&lt;&gt;Constants!$B$7,$AB82,AC82))</f>
        <v/>
      </c>
      <c r="AX82" s="74" t="str">
        <f aca="false">IF(ISBLANK($C82),"",AQ82)</f>
        <v/>
      </c>
      <c r="AY82" s="74" t="str">
        <f aca="false">IF(ISBLANK($C82),"",AP82)</f>
        <v/>
      </c>
      <c r="AZ82" s="75" t="str">
        <f aca="false">IF(ISBLANK($C82),"",IF(AY82=Constants!$B$4,COUNTA($C$8:$C$507)+2,IF(AY82=Constants!$B$5,COUNTA($C$8:$C$507)+1,IF(AY82=Constants!$B$6,COUNTA($C$8:$C$507),AY82))))</f>
        <v/>
      </c>
      <c r="BA82" s="5"/>
      <c r="BB82" s="76" t="n">
        <f aca="false">IF(OR(ISNUMBER(AY82),AY82=Constants!$B$4,AY82=Constants!$B$6,AY82=Constants!$B$5),1,0)</f>
        <v>0</v>
      </c>
      <c r="BC82" s="76" t="n">
        <v>75</v>
      </c>
      <c r="BD82" s="76" t="str">
        <f aca="false">IF(ISBLANK($C82),"",IF(ISNUMBER(AZ82),AZ82+ROW($B82)/1000,""))</f>
        <v/>
      </c>
      <c r="BE82" s="76" t="str">
        <f aca="false">IF(ISNUMBER(BD82),RANK(BD82,$BD$8:$BD$507,1),"")</f>
        <v/>
      </c>
      <c r="BF82" s="76" t="str">
        <f aca="false">IF(ISBLANK($C82),"",$B82)</f>
        <v/>
      </c>
      <c r="BG82" s="76" t="str">
        <f aca="false">IF(ISBLANK($C82),"",$C82)</f>
        <v/>
      </c>
      <c r="BH82" s="76" t="str">
        <f aca="false">IF(ISBLANK($C82),"",$D82)</f>
        <v/>
      </c>
      <c r="BI82" s="77" t="str">
        <f aca="false">AW82</f>
        <v/>
      </c>
      <c r="BJ82" s="78" t="str">
        <f aca="false">AV82</f>
        <v/>
      </c>
      <c r="BK82" s="76" t="str">
        <f aca="false">IF(ISBLANK($C82),"",AY82)</f>
        <v/>
      </c>
      <c r="BL82" s="79" t="str">
        <f aca="false">IF($BC82&gt;$BB$7,"",VLOOKUP($BC82,$BE$8:$BK$507,7,FALSE()))</f>
        <v/>
      </c>
      <c r="BM82" s="80" t="str">
        <f aca="false">IF($BC82&gt;$BB$7,"",VLOOKUP($BC82,$BE$8:$BK$507,2,FALSE()))</f>
        <v/>
      </c>
      <c r="BN82" s="80" t="str">
        <f aca="false">IF($BC82&gt;$BB$7,"",VLOOKUP($BC82,$BE$8:$BK$507,3,FALSE()))</f>
        <v/>
      </c>
      <c r="BO82" s="80" t="str">
        <f aca="false">IF($BC82&gt;$BB$7,"",VLOOKUP($BC82,$BE$8:$BK$507,4,FALSE()))</f>
        <v/>
      </c>
      <c r="BP82" s="80" t="str">
        <f aca="false">IF($BC82&gt;$BB$7,"",VLOOKUP($BC82,$BE$8:$BK$507,5,FALSE()))</f>
        <v/>
      </c>
      <c r="BQ82" s="81" t="str">
        <f aca="false">IF($BC82&gt;$BB$7,"",VLOOKUP($BC82,$BE$8:$BK$507,6,FALSE()))</f>
        <v/>
      </c>
      <c r="BR82" s="54"/>
    </row>
    <row r="83" customFormat="false" ht="13.8" hidden="false" customHeight="false" outlineLevel="0" collapsed="false">
      <c r="A83" s="5"/>
      <c r="B83" s="120"/>
      <c r="C83" s="121"/>
      <c r="D83" s="112"/>
      <c r="E83" s="123"/>
      <c r="F83" s="91"/>
      <c r="G83" s="92"/>
      <c r="H83" s="93"/>
      <c r="I83" s="94"/>
      <c r="J83" s="91"/>
      <c r="K83" s="92"/>
      <c r="L83" s="93"/>
      <c r="M83" s="94"/>
      <c r="N83" s="91"/>
      <c r="O83" s="123"/>
      <c r="P83" s="96"/>
      <c r="Q83" s="97" t="str">
        <f aca="false">IF(ISBLANK($C83),"",IF(E83=Constants!$B$2, TRUE(), IF(E83=Constants!$B$3, FALSE(), TRUE())))</f>
        <v/>
      </c>
      <c r="R83" s="97" t="str">
        <f aca="false">IF(ISBLANK($C83),"",IF(F83=Constants!$B$16,Constants!$B$9,IF(F83=Constants!$B$17,Constants!$B$10,Constants!$B$8)))</f>
        <v/>
      </c>
      <c r="S83" s="97" t="str">
        <f aca="false">IF(ISBLANK($C83),"",IF(COUNTA(G83:H83)=0,"",IF(AND(OR(ISBLANK(G83),AND(ISNUMBER(G83),G83&gt;=0)),OR(ISBLANK(H83),AND(ISNUMBER(H83),H83&gt;=0))),60*IF(ISBLANK(G83),0,G83)+IF(ISBLANK(H83),0,H83),"")))</f>
        <v/>
      </c>
      <c r="T83" s="97" t="str">
        <f aca="false">IF(ISBLANK($C83),"",IF(I83=Constants!$B$2, TRUE(), IF(I83=Constants!$B$3, FALSE(), TRUE())))</f>
        <v/>
      </c>
      <c r="U83" s="97" t="str">
        <f aca="false">IF(ISBLANK($C83),"",IF(J83=Constants!$B$2, TRUE(), IF(J83=Constants!$B$3, FALSE(), TRUE())))</f>
        <v/>
      </c>
      <c r="V83" s="97" t="str">
        <f aca="false">IF(ISBLANK($C83),"",IF(COUNTA(K83:L83)=0,"",IF(AND(OR(ISBLANK(K83),AND(ISNUMBER(K83),K83&gt;=0)),OR(ISBLANK(L83),AND(ISNUMBER(L83),L83&gt;=0))),60*IF(ISBLANK(K83),0,K83)+IF(ISBLANK(L83),0,L83),"")))</f>
        <v/>
      </c>
      <c r="W83" s="97" t="str">
        <f aca="false">IF(ISBLANK($C83),"",IF(M83=Constants!$B$2, TRUE(), IF(M83=Constants!$B$3, FALSE(), TRUE())))</f>
        <v/>
      </c>
      <c r="X83" s="97" t="str">
        <f aca="false">IF(ISBLANK($C83),"",IF(N83=Constants!$B$2, TRUE(), IF(N83=Constants!$B$3, FALSE(), TRUE())))</f>
        <v/>
      </c>
      <c r="Y83" s="97" t="str">
        <f aca="false">IF(ISBLANK($C83),"",IF(O83=Constants!$B$2, TRUE(), IF(O83=Constants!$B$3, FALSE(), FALSE())))</f>
        <v/>
      </c>
      <c r="Z83" s="97" t="str">
        <f aca="false">IF(ISBLANK($C83),"",AND(S83&lt;&gt;"",Q83))</f>
        <v/>
      </c>
      <c r="AA83" s="97" t="str">
        <f aca="false">IF(ISBLANK($C83),"",AND(V83&lt;&gt;"",Q83))</f>
        <v/>
      </c>
      <c r="AB83" s="97" t="str">
        <f aca="false">IF(ISBLANK($C83),"",IF(Y83,Constants!$B$4,IF(COUNTA(E83:N83)=0,Constants!$B$5,IF(NOT(Q83),Constants!$B$6,IF(AND(NOT(Z83),NOT(AA83)),Constants!$B$6,Constants!$B$7)))))</f>
        <v/>
      </c>
      <c r="AC83" s="97" t="str">
        <f aca="false">IF(ISBLANK($C83),"",IF($AB83&lt;&gt;Constants!$B$7,$AB83,Constants!$B$20))</f>
        <v/>
      </c>
      <c r="AD83" s="97" t="str">
        <f aca="false">IF($AB83=Constants!$B$7,IF(Z83,S83,Constants!$B$13),"")</f>
        <v/>
      </c>
      <c r="AE83" s="97" t="str">
        <f aca="false">IF($AB83=Constants!$B$7,IF(Z83,R83*IF(T83, 1, Constants!$B$11)*IF(U83, 1, Constants!$B$12),Constants!$B$13),"")</f>
        <v/>
      </c>
      <c r="AF83" s="97" t="str">
        <f aca="false">IF($AB83=Constants!$B$7,AD83*AE83,"")</f>
        <v/>
      </c>
      <c r="AG83" s="97" t="str">
        <f aca="false">IF($AB83=Constants!$B$7,IF(AA83,V83,Constants!$B$13),"")</f>
        <v/>
      </c>
      <c r="AH83" s="97" t="str">
        <f aca="false">IF($AB83=Constants!$B$7,IF(AA83,R83*IF(W83, 1, Constants!$B$11)*IF(X83, 1, Constants!$B$12),Constants!$B$13),"")</f>
        <v/>
      </c>
      <c r="AI83" s="97" t="str">
        <f aca="false">IF($AB83=Constants!$B$7,AG83*AH83,"")</f>
        <v/>
      </c>
      <c r="AJ83" s="97" t="str">
        <f aca="false">IF($AB83=Constants!$B$7,IF(AI83&gt;AF83,2,1),"")</f>
        <v/>
      </c>
      <c r="AK83" s="97" t="str">
        <f aca="false">IF($AB83=Constants!$B$7,IF(AJ83=1,2,1),"")</f>
        <v/>
      </c>
      <c r="AL83" s="97" t="str">
        <f aca="false">IF(ISBLANK($C83),"",IF($AB83&lt;&gt;Constants!$B$7,$AB83,IF(AJ83=1,AF83,AI83)))</f>
        <v/>
      </c>
      <c r="AM83" s="97" t="str">
        <f aca="false">IF(ISBLANK($C83),"",IF($AB83=Constants!$B$7,IF(ISNUMBER(AL83),RANK(AL83,$AL$8:$AL$507),Constants!$B$14),$AB83))</f>
        <v/>
      </c>
      <c r="AN83" s="97" t="str">
        <f aca="false">IF(ISBLANK($C83),"",IF($AB83=Constants!$B$7,IF(AK83=1,AF83,AI83),""))</f>
        <v/>
      </c>
      <c r="AO83" s="97" t="str">
        <f aca="false">IF(ISBLANK($C83),"",IF($AB83=Constants!$B$7,RANK(AN83,$AN$8:$AN$507),$AB83))</f>
        <v/>
      </c>
      <c r="AP83" s="97" t="str">
        <f aca="false">IF(ISBLANK($C83),"",IF($AB83=Constants!$B$7,IF(ISNUMBER(AM83),COUNTIFS($AM$8:$AM$507,"&lt;"&amp;$AM83)+COUNTIFS($AM$8:$AM$507,$AM83,$AO$8:$AO$507,"&lt;"&amp;$AO83)+1,Constants!$B$14),$AB83))</f>
        <v/>
      </c>
      <c r="AQ83" s="97" t="str">
        <f aca="false">IF(ISBLANK($C83),"",IF($AB83=Constants!$B$7,IF(ISNUMBER(AM83),AM83-AP83,Constants!$B$14),$AB83))</f>
        <v/>
      </c>
      <c r="AR83" s="98"/>
      <c r="AS83" s="99" t="str">
        <f aca="false">IF(ISBLANK($C83),"",IF($AB83&lt;&gt;Constants!$B$7,"",AJ83))</f>
        <v/>
      </c>
      <c r="AT83" s="100" t="str">
        <f aca="false">IF(ISBLANK($C83),"",IF($AB83&lt;&gt;Constants!$B$7,"",IF(AJ83=1,AD83,AG83)))</f>
        <v/>
      </c>
      <c r="AU83" s="101" t="str">
        <f aca="false">IF(ISBLANK($C83),"",IF($AB83&lt;&gt;Constants!$B$7,"",IF(AJ83=1,AE83,AH83)))</f>
        <v/>
      </c>
      <c r="AV83" s="102" t="str">
        <f aca="false">IF(ISBLANK($C83),"",IF($AB83&lt;&gt;Constants!$B$7,$AB83,AL83))</f>
        <v/>
      </c>
      <c r="AW83" s="103" t="str">
        <f aca="false">IF(ISBLANK($C83),"",IF($AB83&lt;&gt;Constants!$B$7,$AB83,AC83))</f>
        <v/>
      </c>
      <c r="AX83" s="104" t="str">
        <f aca="false">IF(ISBLANK($C83),"",AQ83)</f>
        <v/>
      </c>
      <c r="AY83" s="104" t="str">
        <f aca="false">IF(ISBLANK($C83),"",AP83)</f>
        <v/>
      </c>
      <c r="AZ83" s="105" t="str">
        <f aca="false">IF(ISBLANK($C83),"",IF(AY83=Constants!$B$4,COUNTA($C$8:$C$507)+2,IF(AY83=Constants!$B$5,COUNTA($C$8:$C$507)+1,IF(AY83=Constants!$B$6,COUNTA($C$8:$C$507),AY83))))</f>
        <v/>
      </c>
      <c r="BA83" s="5"/>
      <c r="BB83" s="106" t="n">
        <f aca="false">IF(OR(ISNUMBER(AY83),AY83=Constants!$B$4,AY83=Constants!$B$6,AY83=Constants!$B$5),1,0)</f>
        <v>0</v>
      </c>
      <c r="BC83" s="106" t="n">
        <v>76</v>
      </c>
      <c r="BD83" s="106" t="str">
        <f aca="false">IF(ISBLANK($C83),"",IF(ISNUMBER(AZ83),AZ83+ROW($B83)/1000,""))</f>
        <v/>
      </c>
      <c r="BE83" s="106" t="str">
        <f aca="false">IF(ISNUMBER(BD83),RANK(BD83,$BD$8:$BD$507,1),"")</f>
        <v/>
      </c>
      <c r="BF83" s="106" t="str">
        <f aca="false">IF(ISBLANK($C83),"",$B83)</f>
        <v/>
      </c>
      <c r="BG83" s="106" t="str">
        <f aca="false">IF(ISBLANK($C83),"",$C83)</f>
        <v/>
      </c>
      <c r="BH83" s="106" t="str">
        <f aca="false">IF(ISBLANK($C83),"",$D83)</f>
        <v/>
      </c>
      <c r="BI83" s="107" t="str">
        <f aca="false">AW83</f>
        <v/>
      </c>
      <c r="BJ83" s="108" t="str">
        <f aca="false">AV83</f>
        <v/>
      </c>
      <c r="BK83" s="106" t="str">
        <f aca="false">IF(ISBLANK($C83),"",AY83)</f>
        <v/>
      </c>
      <c r="BL83" s="109" t="str">
        <f aca="false">IF($BC83&gt;$BB$7,"",VLOOKUP($BC83,$BE$8:$BK$507,7,FALSE()))</f>
        <v/>
      </c>
      <c r="BM83" s="110" t="str">
        <f aca="false">IF($BC83&gt;$BB$7,"",VLOOKUP($BC83,$BE$8:$BK$507,2,FALSE()))</f>
        <v/>
      </c>
      <c r="BN83" s="110" t="str">
        <f aca="false">IF($BC83&gt;$BB$7,"",VLOOKUP($BC83,$BE$8:$BK$507,3,FALSE()))</f>
        <v/>
      </c>
      <c r="BO83" s="110" t="str">
        <f aca="false">IF($BC83&gt;$BB$7,"",VLOOKUP($BC83,$BE$8:$BK$507,4,FALSE()))</f>
        <v/>
      </c>
      <c r="BP83" s="110" t="str">
        <f aca="false">IF($BC83&gt;$BB$7,"",VLOOKUP($BC83,$BE$8:$BK$507,5,FALSE()))</f>
        <v/>
      </c>
      <c r="BQ83" s="111" t="str">
        <f aca="false">IF($BC83&gt;$BB$7,"",VLOOKUP($BC83,$BE$8:$BK$507,6,FALSE()))</f>
        <v/>
      </c>
      <c r="BR83" s="54"/>
    </row>
    <row r="84" customFormat="false" ht="13.8" hidden="false" customHeight="false" outlineLevel="0" collapsed="false">
      <c r="A84" s="5"/>
      <c r="B84" s="120"/>
      <c r="C84" s="121"/>
      <c r="D84" s="112"/>
      <c r="E84" s="123"/>
      <c r="F84" s="91"/>
      <c r="G84" s="92"/>
      <c r="H84" s="93"/>
      <c r="I84" s="94"/>
      <c r="J84" s="91"/>
      <c r="K84" s="92"/>
      <c r="L84" s="93"/>
      <c r="M84" s="94"/>
      <c r="N84" s="91"/>
      <c r="O84" s="123"/>
      <c r="P84" s="96"/>
      <c r="Q84" s="97" t="str">
        <f aca="false">IF(ISBLANK($C84),"",IF(E84=Constants!$B$2, TRUE(), IF(E84=Constants!$B$3, FALSE(), TRUE())))</f>
        <v/>
      </c>
      <c r="R84" s="97" t="str">
        <f aca="false">IF(ISBLANK($C84),"",IF(F84=Constants!$B$16,Constants!$B$9,IF(F84=Constants!$B$17,Constants!$B$10,Constants!$B$8)))</f>
        <v/>
      </c>
      <c r="S84" s="97" t="str">
        <f aca="false">IF(ISBLANK($C84),"",IF(COUNTA(G84:H84)=0,"",IF(AND(OR(ISBLANK(G84),AND(ISNUMBER(G84),G84&gt;=0)),OR(ISBLANK(H84),AND(ISNUMBER(H84),H84&gt;=0))),60*IF(ISBLANK(G84),0,G84)+IF(ISBLANK(H84),0,H84),"")))</f>
        <v/>
      </c>
      <c r="T84" s="97" t="str">
        <f aca="false">IF(ISBLANK($C84),"",IF(I84=Constants!$B$2, TRUE(), IF(I84=Constants!$B$3, FALSE(), TRUE())))</f>
        <v/>
      </c>
      <c r="U84" s="97" t="str">
        <f aca="false">IF(ISBLANK($C84),"",IF(J84=Constants!$B$2, TRUE(), IF(J84=Constants!$B$3, FALSE(), TRUE())))</f>
        <v/>
      </c>
      <c r="V84" s="97" t="str">
        <f aca="false">IF(ISBLANK($C84),"",IF(COUNTA(K84:L84)=0,"",IF(AND(OR(ISBLANK(K84),AND(ISNUMBER(K84),K84&gt;=0)),OR(ISBLANK(L84),AND(ISNUMBER(L84),L84&gt;=0))),60*IF(ISBLANK(K84),0,K84)+IF(ISBLANK(L84),0,L84),"")))</f>
        <v/>
      </c>
      <c r="W84" s="97" t="str">
        <f aca="false">IF(ISBLANK($C84),"",IF(M84=Constants!$B$2, TRUE(), IF(M84=Constants!$B$3, FALSE(), TRUE())))</f>
        <v/>
      </c>
      <c r="X84" s="97" t="str">
        <f aca="false">IF(ISBLANK($C84),"",IF(N84=Constants!$B$2, TRUE(), IF(N84=Constants!$B$3, FALSE(), TRUE())))</f>
        <v/>
      </c>
      <c r="Y84" s="97" t="str">
        <f aca="false">IF(ISBLANK($C84),"",IF(O84=Constants!$B$2, TRUE(), IF(O84=Constants!$B$3, FALSE(), FALSE())))</f>
        <v/>
      </c>
      <c r="Z84" s="97" t="str">
        <f aca="false">IF(ISBLANK($C84),"",AND(S84&lt;&gt;"",Q84))</f>
        <v/>
      </c>
      <c r="AA84" s="97" t="str">
        <f aca="false">IF(ISBLANK($C84),"",AND(V84&lt;&gt;"",Q84))</f>
        <v/>
      </c>
      <c r="AB84" s="97" t="str">
        <f aca="false">IF(ISBLANK($C84),"",IF(Y84,Constants!$B$4,IF(COUNTA(E84:N84)=0,Constants!$B$5,IF(NOT(Q84),Constants!$B$6,IF(AND(NOT(Z84),NOT(AA84)),Constants!$B$6,Constants!$B$7)))))</f>
        <v/>
      </c>
      <c r="AC84" s="97" t="str">
        <f aca="false">IF(ISBLANK($C84),"",IF($AB84&lt;&gt;Constants!$B$7,$AB84,Constants!$B$20))</f>
        <v/>
      </c>
      <c r="AD84" s="97" t="str">
        <f aca="false">IF($AB84=Constants!$B$7,IF(Z84,S84,Constants!$B$13),"")</f>
        <v/>
      </c>
      <c r="AE84" s="97" t="str">
        <f aca="false">IF($AB84=Constants!$B$7,IF(Z84,R84*IF(T84, 1, Constants!$B$11)*IF(U84, 1, Constants!$B$12),Constants!$B$13),"")</f>
        <v/>
      </c>
      <c r="AF84" s="97" t="str">
        <f aca="false">IF($AB84=Constants!$B$7,AD84*AE84,"")</f>
        <v/>
      </c>
      <c r="AG84" s="97" t="str">
        <f aca="false">IF($AB84=Constants!$B$7,IF(AA84,V84,Constants!$B$13),"")</f>
        <v/>
      </c>
      <c r="AH84" s="97" t="str">
        <f aca="false">IF($AB84=Constants!$B$7,IF(AA84,R84*IF(W84, 1, Constants!$B$11)*IF(X84, 1, Constants!$B$12),Constants!$B$13),"")</f>
        <v/>
      </c>
      <c r="AI84" s="97" t="str">
        <f aca="false">IF($AB84=Constants!$B$7,AG84*AH84,"")</f>
        <v/>
      </c>
      <c r="AJ84" s="97" t="str">
        <f aca="false">IF($AB84=Constants!$B$7,IF(AI84&gt;AF84,2,1),"")</f>
        <v/>
      </c>
      <c r="AK84" s="97" t="str">
        <f aca="false">IF($AB84=Constants!$B$7,IF(AJ84=1,2,1),"")</f>
        <v/>
      </c>
      <c r="AL84" s="97" t="str">
        <f aca="false">IF(ISBLANK($C84),"",IF($AB84&lt;&gt;Constants!$B$7,$AB84,IF(AJ84=1,AF84,AI84)))</f>
        <v/>
      </c>
      <c r="AM84" s="97" t="str">
        <f aca="false">IF(ISBLANK($C84),"",IF($AB84=Constants!$B$7,IF(ISNUMBER(AL84),RANK(AL84,$AL$8:$AL$507),Constants!$B$14),$AB84))</f>
        <v/>
      </c>
      <c r="AN84" s="97" t="str">
        <f aca="false">IF(ISBLANK($C84),"",IF($AB84=Constants!$B$7,IF(AK84=1,AF84,AI84),""))</f>
        <v/>
      </c>
      <c r="AO84" s="97" t="str">
        <f aca="false">IF(ISBLANK($C84),"",IF($AB84=Constants!$B$7,RANK(AN84,$AN$8:$AN$507),$AB84))</f>
        <v/>
      </c>
      <c r="AP84" s="97" t="str">
        <f aca="false">IF(ISBLANK($C84),"",IF($AB84=Constants!$B$7,IF(ISNUMBER(AM84),COUNTIFS($AM$8:$AM$507,"&lt;"&amp;$AM84)+COUNTIFS($AM$8:$AM$507,$AM84,$AO$8:$AO$507,"&lt;"&amp;$AO84)+1,Constants!$B$14),$AB84))</f>
        <v/>
      </c>
      <c r="AQ84" s="97" t="str">
        <f aca="false">IF(ISBLANK($C84),"",IF($AB84=Constants!$B$7,IF(ISNUMBER(AM84),AM84-AP84,Constants!$B$14),$AB84))</f>
        <v/>
      </c>
      <c r="AR84" s="98"/>
      <c r="AS84" s="99" t="str">
        <f aca="false">IF(ISBLANK($C84),"",IF($AB84&lt;&gt;Constants!$B$7,"",AJ84))</f>
        <v/>
      </c>
      <c r="AT84" s="100" t="str">
        <f aca="false">IF(ISBLANK($C84),"",IF($AB84&lt;&gt;Constants!$B$7,"",IF(AJ84=1,AD84,AG84)))</f>
        <v/>
      </c>
      <c r="AU84" s="101" t="str">
        <f aca="false">IF(ISBLANK($C84),"",IF($AB84&lt;&gt;Constants!$B$7,"",IF(AJ84=1,AE84,AH84)))</f>
        <v/>
      </c>
      <c r="AV84" s="102" t="str">
        <f aca="false">IF(ISBLANK($C84),"",IF($AB84&lt;&gt;Constants!$B$7,$AB84,AL84))</f>
        <v/>
      </c>
      <c r="AW84" s="103" t="str">
        <f aca="false">IF(ISBLANK($C84),"",IF($AB84&lt;&gt;Constants!$B$7,$AB84,AC84))</f>
        <v/>
      </c>
      <c r="AX84" s="104" t="str">
        <f aca="false">IF(ISBLANK($C84),"",AQ84)</f>
        <v/>
      </c>
      <c r="AY84" s="104" t="str">
        <f aca="false">IF(ISBLANK($C84),"",AP84)</f>
        <v/>
      </c>
      <c r="AZ84" s="105" t="str">
        <f aca="false">IF(ISBLANK($C84),"",IF(AY84=Constants!$B$4,COUNTA($C$8:$C$507)+2,IF(AY84=Constants!$B$5,COUNTA($C$8:$C$507)+1,IF(AY84=Constants!$B$6,COUNTA($C$8:$C$507),AY84))))</f>
        <v/>
      </c>
      <c r="BA84" s="5"/>
      <c r="BB84" s="106" t="n">
        <f aca="false">IF(OR(ISNUMBER(AY84),AY84=Constants!$B$4,AY84=Constants!$B$6,AY84=Constants!$B$5),1,0)</f>
        <v>0</v>
      </c>
      <c r="BC84" s="106" t="n">
        <v>77</v>
      </c>
      <c r="BD84" s="106" t="str">
        <f aca="false">IF(ISBLANK($C84),"",IF(ISNUMBER(AZ84),AZ84+ROW($B84)/1000,""))</f>
        <v/>
      </c>
      <c r="BE84" s="106" t="str">
        <f aca="false">IF(ISNUMBER(BD84),RANK(BD84,$BD$8:$BD$507,1),"")</f>
        <v/>
      </c>
      <c r="BF84" s="106" t="str">
        <f aca="false">IF(ISBLANK($C84),"",$B84)</f>
        <v/>
      </c>
      <c r="BG84" s="106" t="str">
        <f aca="false">IF(ISBLANK($C84),"",$C84)</f>
        <v/>
      </c>
      <c r="BH84" s="106" t="str">
        <f aca="false">IF(ISBLANK($C84),"",$D84)</f>
        <v/>
      </c>
      <c r="BI84" s="107" t="str">
        <f aca="false">AW84</f>
        <v/>
      </c>
      <c r="BJ84" s="108" t="str">
        <f aca="false">AV84</f>
        <v/>
      </c>
      <c r="BK84" s="106" t="str">
        <f aca="false">IF(ISBLANK($C84),"",AY84)</f>
        <v/>
      </c>
      <c r="BL84" s="109" t="str">
        <f aca="false">IF($BC84&gt;$BB$7,"",VLOOKUP($BC84,$BE$8:$BK$507,7,FALSE()))</f>
        <v/>
      </c>
      <c r="BM84" s="110" t="str">
        <f aca="false">IF($BC84&gt;$BB$7,"",VLOOKUP($BC84,$BE$8:$BK$507,2,FALSE()))</f>
        <v/>
      </c>
      <c r="BN84" s="110" t="str">
        <f aca="false">IF($BC84&gt;$BB$7,"",VLOOKUP($BC84,$BE$8:$BK$507,3,FALSE()))</f>
        <v/>
      </c>
      <c r="BO84" s="110" t="str">
        <f aca="false">IF($BC84&gt;$BB$7,"",VLOOKUP($BC84,$BE$8:$BK$507,4,FALSE()))</f>
        <v/>
      </c>
      <c r="BP84" s="110" t="str">
        <f aca="false">IF($BC84&gt;$BB$7,"",VLOOKUP($BC84,$BE$8:$BK$507,5,FALSE()))</f>
        <v/>
      </c>
      <c r="BQ84" s="111" t="str">
        <f aca="false">IF($BC84&gt;$BB$7,"",VLOOKUP($BC84,$BE$8:$BK$507,6,FALSE()))</f>
        <v/>
      </c>
      <c r="BR84" s="54"/>
    </row>
    <row r="85" customFormat="false" ht="13.8" hidden="false" customHeight="false" outlineLevel="0" collapsed="false">
      <c r="A85" s="5"/>
      <c r="B85" s="120"/>
      <c r="C85" s="121"/>
      <c r="D85" s="112"/>
      <c r="E85" s="123"/>
      <c r="F85" s="91"/>
      <c r="G85" s="92"/>
      <c r="H85" s="93"/>
      <c r="I85" s="94"/>
      <c r="J85" s="91"/>
      <c r="K85" s="92"/>
      <c r="L85" s="93"/>
      <c r="M85" s="94"/>
      <c r="N85" s="91"/>
      <c r="O85" s="123"/>
      <c r="P85" s="96"/>
      <c r="Q85" s="97" t="str">
        <f aca="false">IF(ISBLANK($C85),"",IF(E85=Constants!$B$2, TRUE(), IF(E85=Constants!$B$3, FALSE(), TRUE())))</f>
        <v/>
      </c>
      <c r="R85" s="97" t="str">
        <f aca="false">IF(ISBLANK($C85),"",IF(F85=Constants!$B$16,Constants!$B$9,IF(F85=Constants!$B$17,Constants!$B$10,Constants!$B$8)))</f>
        <v/>
      </c>
      <c r="S85" s="97" t="str">
        <f aca="false">IF(ISBLANK($C85),"",IF(COUNTA(G85:H85)=0,"",IF(AND(OR(ISBLANK(G85),AND(ISNUMBER(G85),G85&gt;=0)),OR(ISBLANK(H85),AND(ISNUMBER(H85),H85&gt;=0))),60*IF(ISBLANK(G85),0,G85)+IF(ISBLANK(H85),0,H85),"")))</f>
        <v/>
      </c>
      <c r="T85" s="97" t="str">
        <f aca="false">IF(ISBLANK($C85),"",IF(I85=Constants!$B$2, TRUE(), IF(I85=Constants!$B$3, FALSE(), TRUE())))</f>
        <v/>
      </c>
      <c r="U85" s="97" t="str">
        <f aca="false">IF(ISBLANK($C85),"",IF(J85=Constants!$B$2, TRUE(), IF(J85=Constants!$B$3, FALSE(), TRUE())))</f>
        <v/>
      </c>
      <c r="V85" s="97" t="str">
        <f aca="false">IF(ISBLANK($C85),"",IF(COUNTA(K85:L85)=0,"",IF(AND(OR(ISBLANK(K85),AND(ISNUMBER(K85),K85&gt;=0)),OR(ISBLANK(L85),AND(ISNUMBER(L85),L85&gt;=0))),60*IF(ISBLANK(K85),0,K85)+IF(ISBLANK(L85),0,L85),"")))</f>
        <v/>
      </c>
      <c r="W85" s="97" t="str">
        <f aca="false">IF(ISBLANK($C85),"",IF(M85=Constants!$B$2, TRUE(), IF(M85=Constants!$B$3, FALSE(), TRUE())))</f>
        <v/>
      </c>
      <c r="X85" s="97" t="str">
        <f aca="false">IF(ISBLANK($C85),"",IF(N85=Constants!$B$2, TRUE(), IF(N85=Constants!$B$3, FALSE(), TRUE())))</f>
        <v/>
      </c>
      <c r="Y85" s="97" t="str">
        <f aca="false">IF(ISBLANK($C85),"",IF(O85=Constants!$B$2, TRUE(), IF(O85=Constants!$B$3, FALSE(), FALSE())))</f>
        <v/>
      </c>
      <c r="Z85" s="97" t="str">
        <f aca="false">IF(ISBLANK($C85),"",AND(S85&lt;&gt;"",Q85))</f>
        <v/>
      </c>
      <c r="AA85" s="97" t="str">
        <f aca="false">IF(ISBLANK($C85),"",AND(V85&lt;&gt;"",Q85))</f>
        <v/>
      </c>
      <c r="AB85" s="97" t="str">
        <f aca="false">IF(ISBLANK($C85),"",IF(Y85,Constants!$B$4,IF(COUNTA(E85:N85)=0,Constants!$B$5,IF(NOT(Q85),Constants!$B$6,IF(AND(NOT(Z85),NOT(AA85)),Constants!$B$6,Constants!$B$7)))))</f>
        <v/>
      </c>
      <c r="AC85" s="97" t="str">
        <f aca="false">IF(ISBLANK($C85),"",IF($AB85&lt;&gt;Constants!$B$7,$AB85,Constants!$B$20))</f>
        <v/>
      </c>
      <c r="AD85" s="97" t="str">
        <f aca="false">IF($AB85=Constants!$B$7,IF(Z85,S85,Constants!$B$13),"")</f>
        <v/>
      </c>
      <c r="AE85" s="97" t="str">
        <f aca="false">IF($AB85=Constants!$B$7,IF(Z85,R85*IF(T85, 1, Constants!$B$11)*IF(U85, 1, Constants!$B$12),Constants!$B$13),"")</f>
        <v/>
      </c>
      <c r="AF85" s="97" t="str">
        <f aca="false">IF($AB85=Constants!$B$7,AD85*AE85,"")</f>
        <v/>
      </c>
      <c r="AG85" s="97" t="str">
        <f aca="false">IF($AB85=Constants!$B$7,IF(AA85,V85,Constants!$B$13),"")</f>
        <v/>
      </c>
      <c r="AH85" s="97" t="str">
        <f aca="false">IF($AB85=Constants!$B$7,IF(AA85,R85*IF(W85, 1, Constants!$B$11)*IF(X85, 1, Constants!$B$12),Constants!$B$13),"")</f>
        <v/>
      </c>
      <c r="AI85" s="97" t="str">
        <f aca="false">IF($AB85=Constants!$B$7,AG85*AH85,"")</f>
        <v/>
      </c>
      <c r="AJ85" s="97" t="str">
        <f aca="false">IF($AB85=Constants!$B$7,IF(AI85&gt;AF85,2,1),"")</f>
        <v/>
      </c>
      <c r="AK85" s="97" t="str">
        <f aca="false">IF($AB85=Constants!$B$7,IF(AJ85=1,2,1),"")</f>
        <v/>
      </c>
      <c r="AL85" s="97" t="str">
        <f aca="false">IF(ISBLANK($C85),"",IF($AB85&lt;&gt;Constants!$B$7,$AB85,IF(AJ85=1,AF85,AI85)))</f>
        <v/>
      </c>
      <c r="AM85" s="97" t="str">
        <f aca="false">IF(ISBLANK($C85),"",IF($AB85=Constants!$B$7,IF(ISNUMBER(AL85),RANK(AL85,$AL$8:$AL$507),Constants!$B$14),$AB85))</f>
        <v/>
      </c>
      <c r="AN85" s="97" t="str">
        <f aca="false">IF(ISBLANK($C85),"",IF($AB85=Constants!$B$7,IF(AK85=1,AF85,AI85),""))</f>
        <v/>
      </c>
      <c r="AO85" s="97" t="str">
        <f aca="false">IF(ISBLANK($C85),"",IF($AB85=Constants!$B$7,RANK(AN85,$AN$8:$AN$507),$AB85))</f>
        <v/>
      </c>
      <c r="AP85" s="97" t="str">
        <f aca="false">IF(ISBLANK($C85),"",IF($AB85=Constants!$B$7,IF(ISNUMBER(AM85),COUNTIFS($AM$8:$AM$507,"&lt;"&amp;$AM85)+COUNTIFS($AM$8:$AM$507,$AM85,$AO$8:$AO$507,"&lt;"&amp;$AO85)+1,Constants!$B$14),$AB85))</f>
        <v/>
      </c>
      <c r="AQ85" s="97" t="str">
        <f aca="false">IF(ISBLANK($C85),"",IF($AB85=Constants!$B$7,IF(ISNUMBER(AM85),AM85-AP85,Constants!$B$14),$AB85))</f>
        <v/>
      </c>
      <c r="AR85" s="98"/>
      <c r="AS85" s="99" t="str">
        <f aca="false">IF(ISBLANK($C85),"",IF($AB85&lt;&gt;Constants!$B$7,"",AJ85))</f>
        <v/>
      </c>
      <c r="AT85" s="100" t="str">
        <f aca="false">IF(ISBLANK($C85),"",IF($AB85&lt;&gt;Constants!$B$7,"",IF(AJ85=1,AD85,AG85)))</f>
        <v/>
      </c>
      <c r="AU85" s="101" t="str">
        <f aca="false">IF(ISBLANK($C85),"",IF($AB85&lt;&gt;Constants!$B$7,"",IF(AJ85=1,AE85,AH85)))</f>
        <v/>
      </c>
      <c r="AV85" s="102" t="str">
        <f aca="false">IF(ISBLANK($C85),"",IF($AB85&lt;&gt;Constants!$B$7,$AB85,AL85))</f>
        <v/>
      </c>
      <c r="AW85" s="103" t="str">
        <f aca="false">IF(ISBLANK($C85),"",IF($AB85&lt;&gt;Constants!$B$7,$AB85,AC85))</f>
        <v/>
      </c>
      <c r="AX85" s="104" t="str">
        <f aca="false">IF(ISBLANK($C85),"",AQ85)</f>
        <v/>
      </c>
      <c r="AY85" s="104" t="str">
        <f aca="false">IF(ISBLANK($C85),"",AP85)</f>
        <v/>
      </c>
      <c r="AZ85" s="105" t="str">
        <f aca="false">IF(ISBLANK($C85),"",IF(AY85=Constants!$B$4,COUNTA($C$8:$C$507)+2,IF(AY85=Constants!$B$5,COUNTA($C$8:$C$507)+1,IF(AY85=Constants!$B$6,COUNTA($C$8:$C$507),AY85))))</f>
        <v/>
      </c>
      <c r="BA85" s="5"/>
      <c r="BB85" s="106" t="n">
        <f aca="false">IF(OR(ISNUMBER(AY85),AY85=Constants!$B$4,AY85=Constants!$B$6,AY85=Constants!$B$5),1,0)</f>
        <v>0</v>
      </c>
      <c r="BC85" s="106" t="n">
        <v>78</v>
      </c>
      <c r="BD85" s="106" t="str">
        <f aca="false">IF(ISBLANK($C85),"",IF(ISNUMBER(AZ85),AZ85+ROW($B85)/1000,""))</f>
        <v/>
      </c>
      <c r="BE85" s="106" t="str">
        <f aca="false">IF(ISNUMBER(BD85),RANK(BD85,$BD$8:$BD$507,1),"")</f>
        <v/>
      </c>
      <c r="BF85" s="106" t="str">
        <f aca="false">IF(ISBLANK($C85),"",$B85)</f>
        <v/>
      </c>
      <c r="BG85" s="106" t="str">
        <f aca="false">IF(ISBLANK($C85),"",$C85)</f>
        <v/>
      </c>
      <c r="BH85" s="106" t="str">
        <f aca="false">IF(ISBLANK($C85),"",$D85)</f>
        <v/>
      </c>
      <c r="BI85" s="107" t="str">
        <f aca="false">AW85</f>
        <v/>
      </c>
      <c r="BJ85" s="108" t="str">
        <f aca="false">AV85</f>
        <v/>
      </c>
      <c r="BK85" s="106" t="str">
        <f aca="false">IF(ISBLANK($C85),"",AY85)</f>
        <v/>
      </c>
      <c r="BL85" s="109" t="str">
        <f aca="false">IF($BC85&gt;$BB$7,"",VLOOKUP($BC85,$BE$8:$BK$507,7,FALSE()))</f>
        <v/>
      </c>
      <c r="BM85" s="110" t="str">
        <f aca="false">IF($BC85&gt;$BB$7,"",VLOOKUP($BC85,$BE$8:$BK$507,2,FALSE()))</f>
        <v/>
      </c>
      <c r="BN85" s="110" t="str">
        <f aca="false">IF($BC85&gt;$BB$7,"",VLOOKUP($BC85,$BE$8:$BK$507,3,FALSE()))</f>
        <v/>
      </c>
      <c r="BO85" s="110" t="str">
        <f aca="false">IF($BC85&gt;$BB$7,"",VLOOKUP($BC85,$BE$8:$BK$507,4,FALSE()))</f>
        <v/>
      </c>
      <c r="BP85" s="110" t="str">
        <f aca="false">IF($BC85&gt;$BB$7,"",VLOOKUP($BC85,$BE$8:$BK$507,5,FALSE()))</f>
        <v/>
      </c>
      <c r="BQ85" s="111" t="str">
        <f aca="false">IF($BC85&gt;$BB$7,"",VLOOKUP($BC85,$BE$8:$BK$507,6,FALSE()))</f>
        <v/>
      </c>
      <c r="BR85" s="54"/>
    </row>
    <row r="86" customFormat="false" ht="13.8" hidden="false" customHeight="false" outlineLevel="0" collapsed="false">
      <c r="A86" s="5"/>
      <c r="B86" s="124"/>
      <c r="C86" s="56"/>
      <c r="D86" s="57"/>
      <c r="E86" s="83"/>
      <c r="F86" s="59"/>
      <c r="G86" s="60"/>
      <c r="H86" s="61"/>
      <c r="I86" s="62"/>
      <c r="J86" s="59"/>
      <c r="K86" s="60"/>
      <c r="L86" s="61"/>
      <c r="M86" s="62"/>
      <c r="N86" s="59"/>
      <c r="O86" s="83"/>
      <c r="P86" s="64"/>
      <c r="Q86" s="66" t="str">
        <f aca="false">IF(ISBLANK($C86),"",IF(E86=Constants!$B$2, TRUE(), IF(E86=Constants!$B$3, FALSE(), TRUE())))</f>
        <v/>
      </c>
      <c r="R86" s="66" t="str">
        <f aca="false">IF(ISBLANK($C86),"",IF(F86=Constants!$B$16,Constants!$B$9,IF(F86=Constants!$B$17,Constants!$B$10,Constants!$B$8)))</f>
        <v/>
      </c>
      <c r="S86" s="66" t="str">
        <f aca="false">IF(ISBLANK($C86),"",IF(COUNTA(G86:H86)=0,"",IF(AND(OR(ISBLANK(G86),AND(ISNUMBER(G86),G86&gt;=0)),OR(ISBLANK(H86),AND(ISNUMBER(H86),H86&gt;=0))),60*IF(ISBLANK(G86),0,G86)+IF(ISBLANK(H86),0,H86),"")))</f>
        <v/>
      </c>
      <c r="T86" s="66" t="str">
        <f aca="false">IF(ISBLANK($C86),"",IF(I86=Constants!$B$2, TRUE(), IF(I86=Constants!$B$3, FALSE(), TRUE())))</f>
        <v/>
      </c>
      <c r="U86" s="66" t="str">
        <f aca="false">IF(ISBLANK($C86),"",IF(J86=Constants!$B$2, TRUE(), IF(J86=Constants!$B$3, FALSE(), TRUE())))</f>
        <v/>
      </c>
      <c r="V86" s="66" t="str">
        <f aca="false">IF(ISBLANK($C86),"",IF(COUNTA(K86:L86)=0,"",IF(AND(OR(ISBLANK(K86),AND(ISNUMBER(K86),K86&gt;=0)),OR(ISBLANK(L86),AND(ISNUMBER(L86),L86&gt;=0))),60*IF(ISBLANK(K86),0,K86)+IF(ISBLANK(L86),0,L86),"")))</f>
        <v/>
      </c>
      <c r="W86" s="66" t="str">
        <f aca="false">IF(ISBLANK($C86),"",IF(M86=Constants!$B$2, TRUE(), IF(M86=Constants!$B$3, FALSE(), TRUE())))</f>
        <v/>
      </c>
      <c r="X86" s="66" t="str">
        <f aca="false">IF(ISBLANK($C86),"",IF(N86=Constants!$B$2, TRUE(), IF(N86=Constants!$B$3, FALSE(), TRUE())))</f>
        <v/>
      </c>
      <c r="Y86" s="66" t="str">
        <f aca="false">IF(ISBLANK($C86),"",IF(O86=Constants!$B$2, TRUE(), IF(O86=Constants!$B$3, FALSE(), FALSE())))</f>
        <v/>
      </c>
      <c r="Z86" s="66" t="str">
        <f aca="false">IF(ISBLANK($C86),"",AND(S86&lt;&gt;"",Q86))</f>
        <v/>
      </c>
      <c r="AA86" s="66" t="str">
        <f aca="false">IF(ISBLANK($C86),"",AND(V86&lt;&gt;"",Q86))</f>
        <v/>
      </c>
      <c r="AB86" s="66" t="str">
        <f aca="false">IF(ISBLANK($C86),"",IF(Y86,Constants!$B$4,IF(COUNTA(E86:N86)=0,Constants!$B$5,IF(NOT(Q86),Constants!$B$6,IF(AND(NOT(Z86),NOT(AA86)),Constants!$B$6,Constants!$B$7)))))</f>
        <v/>
      </c>
      <c r="AC86" s="66" t="str">
        <f aca="false">IF(ISBLANK($C86),"",IF($AB86&lt;&gt;Constants!$B$7,$AB86,Constants!$B$20))</f>
        <v/>
      </c>
      <c r="AD86" s="66" t="str">
        <f aca="false">IF($AB86=Constants!$B$7,IF(Z86,S86,Constants!$B$13),"")</f>
        <v/>
      </c>
      <c r="AE86" s="66" t="str">
        <f aca="false">IF($AB86=Constants!$B$7,IF(Z86,R86*IF(T86, 1, Constants!$B$11)*IF(U86, 1, Constants!$B$12),Constants!$B$13),"")</f>
        <v/>
      </c>
      <c r="AF86" s="66" t="str">
        <f aca="false">IF($AB86=Constants!$B$7,AD86*AE86,"")</f>
        <v/>
      </c>
      <c r="AG86" s="66" t="str">
        <f aca="false">IF($AB86=Constants!$B$7,IF(AA86,V86,Constants!$B$13),"")</f>
        <v/>
      </c>
      <c r="AH86" s="66" t="str">
        <f aca="false">IF($AB86=Constants!$B$7,IF(AA86,R86*IF(W86, 1, Constants!$B$11)*IF(X86, 1, Constants!$B$12),Constants!$B$13),"")</f>
        <v/>
      </c>
      <c r="AI86" s="66" t="str">
        <f aca="false">IF($AB86=Constants!$B$7,AG86*AH86,"")</f>
        <v/>
      </c>
      <c r="AJ86" s="66" t="str">
        <f aca="false">IF($AB86=Constants!$B$7,IF(AI86&gt;AF86,2,1),"")</f>
        <v/>
      </c>
      <c r="AK86" s="66" t="str">
        <f aca="false">IF($AB86=Constants!$B$7,IF(AJ86=1,2,1),"")</f>
        <v/>
      </c>
      <c r="AL86" s="66" t="str">
        <f aca="false">IF(ISBLANK($C86),"",IF($AB86&lt;&gt;Constants!$B$7,$AB86,IF(AJ86=1,AF86,AI86)))</f>
        <v/>
      </c>
      <c r="AM86" s="66" t="str">
        <f aca="false">IF(ISBLANK($C86),"",IF($AB86=Constants!$B$7,IF(ISNUMBER(AL86),RANK(AL86,$AL$8:$AL$507),Constants!$B$14),$AB86))</f>
        <v/>
      </c>
      <c r="AN86" s="66" t="str">
        <f aca="false">IF(ISBLANK($C86),"",IF($AB86=Constants!$B$7,IF(AK86=1,AF86,AI86),""))</f>
        <v/>
      </c>
      <c r="AO86" s="66" t="str">
        <f aca="false">IF(ISBLANK($C86),"",IF($AB86=Constants!$B$7,RANK(AN86,$AN$8:$AN$507),$AB86))</f>
        <v/>
      </c>
      <c r="AP86" s="66" t="str">
        <f aca="false">IF(ISBLANK($C86),"",IF($AB86=Constants!$B$7,IF(ISNUMBER(AM86),COUNTIFS($AM$8:$AM$507,"&lt;"&amp;$AM86)+COUNTIFS($AM$8:$AM$507,$AM86,$AO$8:$AO$507,"&lt;"&amp;$AO86)+1,Constants!$B$14),$AB86))</f>
        <v/>
      </c>
      <c r="AQ86" s="66" t="str">
        <f aca="false">IF(ISBLANK($C86),"",IF($AB86=Constants!$B$7,IF(ISNUMBER(AM86),AM86-AP86,Constants!$B$14),$AB86))</f>
        <v/>
      </c>
      <c r="AR86" s="68"/>
      <c r="AS86" s="69" t="str">
        <f aca="false">IF(ISBLANK($C86),"",IF($AB86&lt;&gt;Constants!$B$7,"",AJ86))</f>
        <v/>
      </c>
      <c r="AT86" s="84" t="str">
        <f aca="false">IF(ISBLANK($C86),"",IF($AB86&lt;&gt;Constants!$B$7,"",IF(AJ86=1,AD86,AG86)))</f>
        <v/>
      </c>
      <c r="AU86" s="71" t="str">
        <f aca="false">IF(ISBLANK($C86),"",IF($AB86&lt;&gt;Constants!$B$7,"",IF(AJ86=1,AE86,AH86)))</f>
        <v/>
      </c>
      <c r="AV86" s="72" t="str">
        <f aca="false">IF(ISBLANK($C86),"",IF($AB86&lt;&gt;Constants!$B$7,$AB86,AL86))</f>
        <v/>
      </c>
      <c r="AW86" s="73" t="str">
        <f aca="false">IF(ISBLANK($C86),"",IF($AB86&lt;&gt;Constants!$B$7,$AB86,AC86))</f>
        <v/>
      </c>
      <c r="AX86" s="74" t="str">
        <f aca="false">IF(ISBLANK($C86),"",AQ86)</f>
        <v/>
      </c>
      <c r="AY86" s="74" t="str">
        <f aca="false">IF(ISBLANK($C86),"",AP86)</f>
        <v/>
      </c>
      <c r="AZ86" s="75" t="str">
        <f aca="false">IF(ISBLANK($C86),"",IF(AY86=Constants!$B$4,COUNTA($C$8:$C$507)+2,IF(AY86=Constants!$B$5,COUNTA($C$8:$C$507)+1,IF(AY86=Constants!$B$6,COUNTA($C$8:$C$507),AY86))))</f>
        <v/>
      </c>
      <c r="BA86" s="5"/>
      <c r="BB86" s="76" t="n">
        <f aca="false">IF(OR(ISNUMBER(AY86),AY86=Constants!$B$4,AY86=Constants!$B$6,AY86=Constants!$B$5),1,0)</f>
        <v>0</v>
      </c>
      <c r="BC86" s="76" t="n">
        <v>79</v>
      </c>
      <c r="BD86" s="76" t="str">
        <f aca="false">IF(ISBLANK($C86),"",IF(ISNUMBER(AZ86),AZ86+ROW($B86)/1000,""))</f>
        <v/>
      </c>
      <c r="BE86" s="76" t="str">
        <f aca="false">IF(ISNUMBER(BD86),RANK(BD86,$BD$8:$BD$507,1),"")</f>
        <v/>
      </c>
      <c r="BF86" s="76" t="str">
        <f aca="false">IF(ISBLANK($C86),"",$B86)</f>
        <v/>
      </c>
      <c r="BG86" s="76" t="str">
        <f aca="false">IF(ISBLANK($C86),"",$C86)</f>
        <v/>
      </c>
      <c r="BH86" s="76" t="str">
        <f aca="false">IF(ISBLANK($C86),"",$D86)</f>
        <v/>
      </c>
      <c r="BI86" s="77" t="str">
        <f aca="false">AW86</f>
        <v/>
      </c>
      <c r="BJ86" s="78" t="str">
        <f aca="false">AV86</f>
        <v/>
      </c>
      <c r="BK86" s="76" t="str">
        <f aca="false">IF(ISBLANK($C86),"",AY86)</f>
        <v/>
      </c>
      <c r="BL86" s="79" t="str">
        <f aca="false">IF($BC86&gt;$BB$7,"",VLOOKUP($BC86,$BE$8:$BK$507,7,FALSE()))</f>
        <v/>
      </c>
      <c r="BM86" s="80" t="str">
        <f aca="false">IF($BC86&gt;$BB$7,"",VLOOKUP($BC86,$BE$8:$BK$507,2,FALSE()))</f>
        <v/>
      </c>
      <c r="BN86" s="80" t="str">
        <f aca="false">IF($BC86&gt;$BB$7,"",VLOOKUP($BC86,$BE$8:$BK$507,3,FALSE()))</f>
        <v/>
      </c>
      <c r="BO86" s="80" t="str">
        <f aca="false">IF($BC86&gt;$BB$7,"",VLOOKUP($BC86,$BE$8:$BK$507,4,FALSE()))</f>
        <v/>
      </c>
      <c r="BP86" s="80" t="str">
        <f aca="false">IF($BC86&gt;$BB$7,"",VLOOKUP($BC86,$BE$8:$BK$507,5,FALSE()))</f>
        <v/>
      </c>
      <c r="BQ86" s="81" t="str">
        <f aca="false">IF($BC86&gt;$BB$7,"",VLOOKUP($BC86,$BE$8:$BK$507,6,FALSE()))</f>
        <v/>
      </c>
      <c r="BR86" s="54"/>
    </row>
    <row r="87" customFormat="false" ht="13.8" hidden="false" customHeight="false" outlineLevel="0" collapsed="false">
      <c r="A87" s="5"/>
      <c r="B87" s="124"/>
      <c r="C87" s="56"/>
      <c r="D87" s="57"/>
      <c r="E87" s="83"/>
      <c r="F87" s="59"/>
      <c r="G87" s="60"/>
      <c r="H87" s="61"/>
      <c r="I87" s="62"/>
      <c r="J87" s="59"/>
      <c r="K87" s="60"/>
      <c r="L87" s="61"/>
      <c r="M87" s="62"/>
      <c r="N87" s="59"/>
      <c r="O87" s="83"/>
      <c r="P87" s="64"/>
      <c r="Q87" s="66" t="str">
        <f aca="false">IF(ISBLANK($C87),"",IF(E87=Constants!$B$2, TRUE(), IF(E87=Constants!$B$3, FALSE(), TRUE())))</f>
        <v/>
      </c>
      <c r="R87" s="66" t="str">
        <f aca="false">IF(ISBLANK($C87),"",IF(F87=Constants!$B$16,Constants!$B$9,IF(F87=Constants!$B$17,Constants!$B$10,Constants!$B$8)))</f>
        <v/>
      </c>
      <c r="S87" s="66" t="str">
        <f aca="false">IF(ISBLANK($C87),"",IF(COUNTA(G87:H87)=0,"",IF(AND(OR(ISBLANK(G87),AND(ISNUMBER(G87),G87&gt;=0)),OR(ISBLANK(H87),AND(ISNUMBER(H87),H87&gt;=0))),60*IF(ISBLANK(G87),0,G87)+IF(ISBLANK(H87),0,H87),"")))</f>
        <v/>
      </c>
      <c r="T87" s="66" t="str">
        <f aca="false">IF(ISBLANK($C87),"",IF(I87=Constants!$B$2, TRUE(), IF(I87=Constants!$B$3, FALSE(), TRUE())))</f>
        <v/>
      </c>
      <c r="U87" s="66" t="str">
        <f aca="false">IF(ISBLANK($C87),"",IF(J87=Constants!$B$2, TRUE(), IF(J87=Constants!$B$3, FALSE(), TRUE())))</f>
        <v/>
      </c>
      <c r="V87" s="66" t="str">
        <f aca="false">IF(ISBLANK($C87),"",IF(COUNTA(K87:L87)=0,"",IF(AND(OR(ISBLANK(K87),AND(ISNUMBER(K87),K87&gt;=0)),OR(ISBLANK(L87),AND(ISNUMBER(L87),L87&gt;=0))),60*IF(ISBLANK(K87),0,K87)+IF(ISBLANK(L87),0,L87),"")))</f>
        <v/>
      </c>
      <c r="W87" s="66" t="str">
        <f aca="false">IF(ISBLANK($C87),"",IF(M87=Constants!$B$2, TRUE(), IF(M87=Constants!$B$3, FALSE(), TRUE())))</f>
        <v/>
      </c>
      <c r="X87" s="66" t="str">
        <f aca="false">IF(ISBLANK($C87),"",IF(N87=Constants!$B$2, TRUE(), IF(N87=Constants!$B$3, FALSE(), TRUE())))</f>
        <v/>
      </c>
      <c r="Y87" s="66" t="str">
        <f aca="false">IF(ISBLANK($C87),"",IF(O87=Constants!$B$2, TRUE(), IF(O87=Constants!$B$3, FALSE(), FALSE())))</f>
        <v/>
      </c>
      <c r="Z87" s="66" t="str">
        <f aca="false">IF(ISBLANK($C87),"",AND(S87&lt;&gt;"",Q87))</f>
        <v/>
      </c>
      <c r="AA87" s="66" t="str">
        <f aca="false">IF(ISBLANK($C87),"",AND(V87&lt;&gt;"",Q87))</f>
        <v/>
      </c>
      <c r="AB87" s="66" t="str">
        <f aca="false">IF(ISBLANK($C87),"",IF(Y87,Constants!$B$4,IF(COUNTA(E87:N87)=0,Constants!$B$5,IF(NOT(Q87),Constants!$B$6,IF(AND(NOT(Z87),NOT(AA87)),Constants!$B$6,Constants!$B$7)))))</f>
        <v/>
      </c>
      <c r="AC87" s="66" t="str">
        <f aca="false">IF(ISBLANK($C87),"",IF($AB87&lt;&gt;Constants!$B$7,$AB87,Constants!$B$20))</f>
        <v/>
      </c>
      <c r="AD87" s="66" t="str">
        <f aca="false">IF($AB87=Constants!$B$7,IF(Z87,S87,Constants!$B$13),"")</f>
        <v/>
      </c>
      <c r="AE87" s="66" t="str">
        <f aca="false">IF($AB87=Constants!$B$7,IF(Z87,R87*IF(T87, 1, Constants!$B$11)*IF(U87, 1, Constants!$B$12),Constants!$B$13),"")</f>
        <v/>
      </c>
      <c r="AF87" s="66" t="str">
        <f aca="false">IF($AB87=Constants!$B$7,AD87*AE87,"")</f>
        <v/>
      </c>
      <c r="AG87" s="66" t="str">
        <f aca="false">IF($AB87=Constants!$B$7,IF(AA87,V87,Constants!$B$13),"")</f>
        <v/>
      </c>
      <c r="AH87" s="66" t="str">
        <f aca="false">IF($AB87=Constants!$B$7,IF(AA87,R87*IF(W87, 1, Constants!$B$11)*IF(X87, 1, Constants!$B$12),Constants!$B$13),"")</f>
        <v/>
      </c>
      <c r="AI87" s="66" t="str">
        <f aca="false">IF($AB87=Constants!$B$7,AG87*AH87,"")</f>
        <v/>
      </c>
      <c r="AJ87" s="66" t="str">
        <f aca="false">IF($AB87=Constants!$B$7,IF(AI87&gt;AF87,2,1),"")</f>
        <v/>
      </c>
      <c r="AK87" s="66" t="str">
        <f aca="false">IF($AB87=Constants!$B$7,IF(AJ87=1,2,1),"")</f>
        <v/>
      </c>
      <c r="AL87" s="66" t="str">
        <f aca="false">IF(ISBLANK($C87),"",IF($AB87&lt;&gt;Constants!$B$7,$AB87,IF(AJ87=1,AF87,AI87)))</f>
        <v/>
      </c>
      <c r="AM87" s="66" t="str">
        <f aca="false">IF(ISBLANK($C87),"",IF($AB87=Constants!$B$7,IF(ISNUMBER(AL87),RANK(AL87,$AL$8:$AL$507),Constants!$B$14),$AB87))</f>
        <v/>
      </c>
      <c r="AN87" s="66" t="str">
        <f aca="false">IF(ISBLANK($C87),"",IF($AB87=Constants!$B$7,IF(AK87=1,AF87,AI87),""))</f>
        <v/>
      </c>
      <c r="AO87" s="66" t="str">
        <f aca="false">IF(ISBLANK($C87),"",IF($AB87=Constants!$B$7,RANK(AN87,$AN$8:$AN$507),$AB87))</f>
        <v/>
      </c>
      <c r="AP87" s="66" t="str">
        <f aca="false">IF(ISBLANK($C87),"",IF($AB87=Constants!$B$7,IF(ISNUMBER(AM87),COUNTIFS($AM$8:$AM$507,"&lt;"&amp;$AM87)+COUNTIFS($AM$8:$AM$507,$AM87,$AO$8:$AO$507,"&lt;"&amp;$AO87)+1,Constants!$B$14),$AB87))</f>
        <v/>
      </c>
      <c r="AQ87" s="66" t="str">
        <f aca="false">IF(ISBLANK($C87),"",IF($AB87=Constants!$B$7,IF(ISNUMBER(AM87),AM87-AP87,Constants!$B$14),$AB87))</f>
        <v/>
      </c>
      <c r="AR87" s="68"/>
      <c r="AS87" s="69" t="str">
        <f aca="false">IF(ISBLANK($C87),"",IF($AB87&lt;&gt;Constants!$B$7,"",AJ87))</f>
        <v/>
      </c>
      <c r="AT87" s="84" t="str">
        <f aca="false">IF(ISBLANK($C87),"",IF($AB87&lt;&gt;Constants!$B$7,"",IF(AJ87=1,AD87,AG87)))</f>
        <v/>
      </c>
      <c r="AU87" s="71" t="str">
        <f aca="false">IF(ISBLANK($C87),"",IF($AB87&lt;&gt;Constants!$B$7,"",IF(AJ87=1,AE87,AH87)))</f>
        <v/>
      </c>
      <c r="AV87" s="72" t="str">
        <f aca="false">IF(ISBLANK($C87),"",IF($AB87&lt;&gt;Constants!$B$7,$AB87,AL87))</f>
        <v/>
      </c>
      <c r="AW87" s="73" t="str">
        <f aca="false">IF(ISBLANK($C87),"",IF($AB87&lt;&gt;Constants!$B$7,$AB87,AC87))</f>
        <v/>
      </c>
      <c r="AX87" s="74" t="str">
        <f aca="false">IF(ISBLANK($C87),"",AQ87)</f>
        <v/>
      </c>
      <c r="AY87" s="74" t="str">
        <f aca="false">IF(ISBLANK($C87),"",AP87)</f>
        <v/>
      </c>
      <c r="AZ87" s="75" t="str">
        <f aca="false">IF(ISBLANK($C87),"",IF(AY87=Constants!$B$4,COUNTA($C$8:$C$507)+2,IF(AY87=Constants!$B$5,COUNTA($C$8:$C$507)+1,IF(AY87=Constants!$B$6,COUNTA($C$8:$C$507),AY87))))</f>
        <v/>
      </c>
      <c r="BA87" s="5"/>
      <c r="BB87" s="76" t="n">
        <f aca="false">IF(OR(ISNUMBER(AY87),AY87=Constants!$B$4,AY87=Constants!$B$6,AY87=Constants!$B$5),1,0)</f>
        <v>0</v>
      </c>
      <c r="BC87" s="76" t="n">
        <v>80</v>
      </c>
      <c r="BD87" s="76" t="str">
        <f aca="false">IF(ISBLANK($C87),"",IF(ISNUMBER(AZ87),AZ87+ROW($B87)/1000,""))</f>
        <v/>
      </c>
      <c r="BE87" s="76" t="str">
        <f aca="false">IF(ISNUMBER(BD87),RANK(BD87,$BD$8:$BD$507,1),"")</f>
        <v/>
      </c>
      <c r="BF87" s="76" t="str">
        <f aca="false">IF(ISBLANK($C87),"",$B87)</f>
        <v/>
      </c>
      <c r="BG87" s="76" t="str">
        <f aca="false">IF(ISBLANK($C87),"",$C87)</f>
        <v/>
      </c>
      <c r="BH87" s="76" t="str">
        <f aca="false">IF(ISBLANK($C87),"",$D87)</f>
        <v/>
      </c>
      <c r="BI87" s="77" t="str">
        <f aca="false">AW87</f>
        <v/>
      </c>
      <c r="BJ87" s="78" t="str">
        <f aca="false">AV87</f>
        <v/>
      </c>
      <c r="BK87" s="76" t="str">
        <f aca="false">IF(ISBLANK($C87),"",AY87)</f>
        <v/>
      </c>
      <c r="BL87" s="79" t="str">
        <f aca="false">IF($BC87&gt;$BB$7,"",VLOOKUP($BC87,$BE$8:$BK$507,7,FALSE()))</f>
        <v/>
      </c>
      <c r="BM87" s="80" t="str">
        <f aca="false">IF($BC87&gt;$BB$7,"",VLOOKUP($BC87,$BE$8:$BK$507,2,FALSE()))</f>
        <v/>
      </c>
      <c r="BN87" s="80" t="str">
        <f aca="false">IF($BC87&gt;$BB$7,"",VLOOKUP($BC87,$BE$8:$BK$507,3,FALSE()))</f>
        <v/>
      </c>
      <c r="BO87" s="80" t="str">
        <f aca="false">IF($BC87&gt;$BB$7,"",VLOOKUP($BC87,$BE$8:$BK$507,4,FALSE()))</f>
        <v/>
      </c>
      <c r="BP87" s="80" t="str">
        <f aca="false">IF($BC87&gt;$BB$7,"",VLOOKUP($BC87,$BE$8:$BK$507,5,FALSE()))</f>
        <v/>
      </c>
      <c r="BQ87" s="81" t="str">
        <f aca="false">IF($BC87&gt;$BB$7,"",VLOOKUP($BC87,$BE$8:$BK$507,6,FALSE()))</f>
        <v/>
      </c>
      <c r="BR87" s="54"/>
    </row>
    <row r="88" customFormat="false" ht="13.8" hidden="false" customHeight="false" outlineLevel="0" collapsed="false">
      <c r="A88" s="5"/>
      <c r="B88" s="124"/>
      <c r="C88" s="56"/>
      <c r="D88" s="57"/>
      <c r="E88" s="83"/>
      <c r="F88" s="59"/>
      <c r="G88" s="60"/>
      <c r="H88" s="61"/>
      <c r="I88" s="62"/>
      <c r="J88" s="59"/>
      <c r="K88" s="60"/>
      <c r="L88" s="61"/>
      <c r="M88" s="62"/>
      <c r="N88" s="59"/>
      <c r="O88" s="83"/>
      <c r="P88" s="64"/>
      <c r="Q88" s="66" t="str">
        <f aca="false">IF(ISBLANK($C88),"",IF(E88=Constants!$B$2, TRUE(), IF(E88=Constants!$B$3, FALSE(), TRUE())))</f>
        <v/>
      </c>
      <c r="R88" s="66" t="str">
        <f aca="false">IF(ISBLANK($C88),"",IF(F88=Constants!$B$16,Constants!$B$9,IF(F88=Constants!$B$17,Constants!$B$10,Constants!$B$8)))</f>
        <v/>
      </c>
      <c r="S88" s="66" t="str">
        <f aca="false">IF(ISBLANK($C88),"",IF(COUNTA(G88:H88)=0,"",IF(AND(OR(ISBLANK(G88),AND(ISNUMBER(G88),G88&gt;=0)),OR(ISBLANK(H88),AND(ISNUMBER(H88),H88&gt;=0))),60*IF(ISBLANK(G88),0,G88)+IF(ISBLANK(H88),0,H88),"")))</f>
        <v/>
      </c>
      <c r="T88" s="66" t="str">
        <f aca="false">IF(ISBLANK($C88),"",IF(I88=Constants!$B$2, TRUE(), IF(I88=Constants!$B$3, FALSE(), TRUE())))</f>
        <v/>
      </c>
      <c r="U88" s="66" t="str">
        <f aca="false">IF(ISBLANK($C88),"",IF(J88=Constants!$B$2, TRUE(), IF(J88=Constants!$B$3, FALSE(), TRUE())))</f>
        <v/>
      </c>
      <c r="V88" s="66" t="str">
        <f aca="false">IF(ISBLANK($C88),"",IF(COUNTA(K88:L88)=0,"",IF(AND(OR(ISBLANK(K88),AND(ISNUMBER(K88),K88&gt;=0)),OR(ISBLANK(L88),AND(ISNUMBER(L88),L88&gt;=0))),60*IF(ISBLANK(K88),0,K88)+IF(ISBLANK(L88),0,L88),"")))</f>
        <v/>
      </c>
      <c r="W88" s="66" t="str">
        <f aca="false">IF(ISBLANK($C88),"",IF(M88=Constants!$B$2, TRUE(), IF(M88=Constants!$B$3, FALSE(), TRUE())))</f>
        <v/>
      </c>
      <c r="X88" s="66" t="str">
        <f aca="false">IF(ISBLANK($C88),"",IF(N88=Constants!$B$2, TRUE(), IF(N88=Constants!$B$3, FALSE(), TRUE())))</f>
        <v/>
      </c>
      <c r="Y88" s="66" t="str">
        <f aca="false">IF(ISBLANK($C88),"",IF(O88=Constants!$B$2, TRUE(), IF(O88=Constants!$B$3, FALSE(), FALSE())))</f>
        <v/>
      </c>
      <c r="Z88" s="66" t="str">
        <f aca="false">IF(ISBLANK($C88),"",AND(S88&lt;&gt;"",Q88))</f>
        <v/>
      </c>
      <c r="AA88" s="66" t="str">
        <f aca="false">IF(ISBLANK($C88),"",AND(V88&lt;&gt;"",Q88))</f>
        <v/>
      </c>
      <c r="AB88" s="66" t="str">
        <f aca="false">IF(ISBLANK($C88),"",IF(Y88,Constants!$B$4,IF(COUNTA(E88:N88)=0,Constants!$B$5,IF(NOT(Q88),Constants!$B$6,IF(AND(NOT(Z88),NOT(AA88)),Constants!$B$6,Constants!$B$7)))))</f>
        <v/>
      </c>
      <c r="AC88" s="66" t="str">
        <f aca="false">IF(ISBLANK($C88),"",IF($AB88&lt;&gt;Constants!$B$7,$AB88,Constants!$B$20))</f>
        <v/>
      </c>
      <c r="AD88" s="66" t="str">
        <f aca="false">IF($AB88=Constants!$B$7,IF(Z88,S88,Constants!$B$13),"")</f>
        <v/>
      </c>
      <c r="AE88" s="66" t="str">
        <f aca="false">IF($AB88=Constants!$B$7,IF(Z88,R88*IF(T88, 1, Constants!$B$11)*IF(U88, 1, Constants!$B$12),Constants!$B$13),"")</f>
        <v/>
      </c>
      <c r="AF88" s="66" t="str">
        <f aca="false">IF($AB88=Constants!$B$7,AD88*AE88,"")</f>
        <v/>
      </c>
      <c r="AG88" s="66" t="str">
        <f aca="false">IF($AB88=Constants!$B$7,IF(AA88,V88,Constants!$B$13),"")</f>
        <v/>
      </c>
      <c r="AH88" s="66" t="str">
        <f aca="false">IF($AB88=Constants!$B$7,IF(AA88,R88*IF(W88, 1, Constants!$B$11)*IF(X88, 1, Constants!$B$12),Constants!$B$13),"")</f>
        <v/>
      </c>
      <c r="AI88" s="66" t="str">
        <f aca="false">IF($AB88=Constants!$B$7,AG88*AH88,"")</f>
        <v/>
      </c>
      <c r="AJ88" s="66" t="str">
        <f aca="false">IF($AB88=Constants!$B$7,IF(AI88&gt;AF88,2,1),"")</f>
        <v/>
      </c>
      <c r="AK88" s="66" t="str">
        <f aca="false">IF($AB88=Constants!$B$7,IF(AJ88=1,2,1),"")</f>
        <v/>
      </c>
      <c r="AL88" s="66" t="str">
        <f aca="false">IF(ISBLANK($C88),"",IF($AB88&lt;&gt;Constants!$B$7,$AB88,IF(AJ88=1,AF88,AI88)))</f>
        <v/>
      </c>
      <c r="AM88" s="66" t="str">
        <f aca="false">IF(ISBLANK($C88),"",IF($AB88=Constants!$B$7,IF(ISNUMBER(AL88),RANK(AL88,$AL$8:$AL$507),Constants!$B$14),$AB88))</f>
        <v/>
      </c>
      <c r="AN88" s="66" t="str">
        <f aca="false">IF(ISBLANK($C88),"",IF($AB88=Constants!$B$7,IF(AK88=1,AF88,AI88),""))</f>
        <v/>
      </c>
      <c r="AO88" s="66" t="str">
        <f aca="false">IF(ISBLANK($C88),"",IF($AB88=Constants!$B$7,RANK(AN88,$AN$8:$AN$507),$AB88))</f>
        <v/>
      </c>
      <c r="AP88" s="66" t="str">
        <f aca="false">IF(ISBLANK($C88),"",IF($AB88=Constants!$B$7,IF(ISNUMBER(AM88),COUNTIFS($AM$8:$AM$507,"&lt;"&amp;$AM88)+COUNTIFS($AM$8:$AM$507,$AM88,$AO$8:$AO$507,"&lt;"&amp;$AO88)+1,Constants!$B$14),$AB88))</f>
        <v/>
      </c>
      <c r="AQ88" s="66" t="str">
        <f aca="false">IF(ISBLANK($C88),"",IF($AB88=Constants!$B$7,IF(ISNUMBER(AM88),AM88-AP88,Constants!$B$14),$AB88))</f>
        <v/>
      </c>
      <c r="AR88" s="68"/>
      <c r="AS88" s="69" t="str">
        <f aca="false">IF(ISBLANK($C88),"",IF($AB88&lt;&gt;Constants!$B$7,"",AJ88))</f>
        <v/>
      </c>
      <c r="AT88" s="84" t="str">
        <f aca="false">IF(ISBLANK($C88),"",IF($AB88&lt;&gt;Constants!$B$7,"",IF(AJ88=1,AD88,AG88)))</f>
        <v/>
      </c>
      <c r="AU88" s="71" t="str">
        <f aca="false">IF(ISBLANK($C88),"",IF($AB88&lt;&gt;Constants!$B$7,"",IF(AJ88=1,AE88,AH88)))</f>
        <v/>
      </c>
      <c r="AV88" s="72" t="str">
        <f aca="false">IF(ISBLANK($C88),"",IF($AB88&lt;&gt;Constants!$B$7,$AB88,AL88))</f>
        <v/>
      </c>
      <c r="AW88" s="73" t="str">
        <f aca="false">IF(ISBLANK($C88),"",IF($AB88&lt;&gt;Constants!$B$7,$AB88,AC88))</f>
        <v/>
      </c>
      <c r="AX88" s="74" t="str">
        <f aca="false">IF(ISBLANK($C88),"",AQ88)</f>
        <v/>
      </c>
      <c r="AY88" s="74" t="str">
        <f aca="false">IF(ISBLANK($C88),"",AP88)</f>
        <v/>
      </c>
      <c r="AZ88" s="75" t="str">
        <f aca="false">IF(ISBLANK($C88),"",IF(AY88=Constants!$B$4,COUNTA($C$8:$C$507)+2,IF(AY88=Constants!$B$5,COUNTA($C$8:$C$507)+1,IF(AY88=Constants!$B$6,COUNTA($C$8:$C$507),AY88))))</f>
        <v/>
      </c>
      <c r="BA88" s="5"/>
      <c r="BB88" s="76" t="n">
        <f aca="false">IF(OR(ISNUMBER(AY88),AY88=Constants!$B$4,AY88=Constants!$B$6,AY88=Constants!$B$5),1,0)</f>
        <v>0</v>
      </c>
      <c r="BC88" s="76" t="n">
        <v>81</v>
      </c>
      <c r="BD88" s="76" t="str">
        <f aca="false">IF(ISBLANK($C88),"",IF(ISNUMBER(AZ88),AZ88+ROW($B88)/1000,""))</f>
        <v/>
      </c>
      <c r="BE88" s="76" t="str">
        <f aca="false">IF(ISNUMBER(BD88),RANK(BD88,$BD$8:$BD$507,1),"")</f>
        <v/>
      </c>
      <c r="BF88" s="76" t="str">
        <f aca="false">IF(ISBLANK($C88),"",$B88)</f>
        <v/>
      </c>
      <c r="BG88" s="76" t="str">
        <f aca="false">IF(ISBLANK($C88),"",$C88)</f>
        <v/>
      </c>
      <c r="BH88" s="76" t="str">
        <f aca="false">IF(ISBLANK($C88),"",$D88)</f>
        <v/>
      </c>
      <c r="BI88" s="77" t="str">
        <f aca="false">AW88</f>
        <v/>
      </c>
      <c r="BJ88" s="78" t="str">
        <f aca="false">AV88</f>
        <v/>
      </c>
      <c r="BK88" s="76" t="str">
        <f aca="false">IF(ISBLANK($C88),"",AY88)</f>
        <v/>
      </c>
      <c r="BL88" s="79" t="str">
        <f aca="false">IF($BC88&gt;$BB$7,"",VLOOKUP($BC88,$BE$8:$BK$507,7,FALSE()))</f>
        <v/>
      </c>
      <c r="BM88" s="80" t="str">
        <f aca="false">IF($BC88&gt;$BB$7,"",VLOOKUP($BC88,$BE$8:$BK$507,2,FALSE()))</f>
        <v/>
      </c>
      <c r="BN88" s="80" t="str">
        <f aca="false">IF($BC88&gt;$BB$7,"",VLOOKUP($BC88,$BE$8:$BK$507,3,FALSE()))</f>
        <v/>
      </c>
      <c r="BO88" s="80" t="str">
        <f aca="false">IF($BC88&gt;$BB$7,"",VLOOKUP($BC88,$BE$8:$BK$507,4,FALSE()))</f>
        <v/>
      </c>
      <c r="BP88" s="80" t="str">
        <f aca="false">IF($BC88&gt;$BB$7,"",VLOOKUP($BC88,$BE$8:$BK$507,5,FALSE()))</f>
        <v/>
      </c>
      <c r="BQ88" s="81" t="str">
        <f aca="false">IF($BC88&gt;$BB$7,"",VLOOKUP($BC88,$BE$8:$BK$507,6,FALSE()))</f>
        <v/>
      </c>
      <c r="BR88" s="54"/>
    </row>
    <row r="89" customFormat="false" ht="13.8" hidden="false" customHeight="false" outlineLevel="0" collapsed="false">
      <c r="A89" s="5"/>
      <c r="B89" s="120"/>
      <c r="C89" s="121"/>
      <c r="D89" s="112"/>
      <c r="E89" s="123"/>
      <c r="F89" s="91"/>
      <c r="G89" s="92"/>
      <c r="H89" s="93"/>
      <c r="I89" s="94"/>
      <c r="J89" s="91"/>
      <c r="K89" s="92"/>
      <c r="L89" s="93"/>
      <c r="M89" s="94"/>
      <c r="N89" s="91"/>
      <c r="O89" s="123"/>
      <c r="P89" s="96"/>
      <c r="Q89" s="97" t="str">
        <f aca="false">IF(ISBLANK($C89),"",IF(E89=Constants!$B$2, TRUE(), IF(E89=Constants!$B$3, FALSE(), TRUE())))</f>
        <v/>
      </c>
      <c r="R89" s="97" t="str">
        <f aca="false">IF(ISBLANK($C89),"",IF(F89=Constants!$B$16,Constants!$B$9,IF(F89=Constants!$B$17,Constants!$B$10,Constants!$B$8)))</f>
        <v/>
      </c>
      <c r="S89" s="97" t="str">
        <f aca="false">IF(ISBLANK($C89),"",IF(COUNTA(G89:H89)=0,"",IF(AND(OR(ISBLANK(G89),AND(ISNUMBER(G89),G89&gt;=0)),OR(ISBLANK(H89),AND(ISNUMBER(H89),H89&gt;=0))),60*IF(ISBLANK(G89),0,G89)+IF(ISBLANK(H89),0,H89),"")))</f>
        <v/>
      </c>
      <c r="T89" s="97" t="str">
        <f aca="false">IF(ISBLANK($C89),"",IF(I89=Constants!$B$2, TRUE(), IF(I89=Constants!$B$3, FALSE(), TRUE())))</f>
        <v/>
      </c>
      <c r="U89" s="97" t="str">
        <f aca="false">IF(ISBLANK($C89),"",IF(J89=Constants!$B$2, TRUE(), IF(J89=Constants!$B$3, FALSE(), TRUE())))</f>
        <v/>
      </c>
      <c r="V89" s="97" t="str">
        <f aca="false">IF(ISBLANK($C89),"",IF(COUNTA(K89:L89)=0,"",IF(AND(OR(ISBLANK(K89),AND(ISNUMBER(K89),K89&gt;=0)),OR(ISBLANK(L89),AND(ISNUMBER(L89),L89&gt;=0))),60*IF(ISBLANK(K89),0,K89)+IF(ISBLANK(L89),0,L89),"")))</f>
        <v/>
      </c>
      <c r="W89" s="97" t="str">
        <f aca="false">IF(ISBLANK($C89),"",IF(M89=Constants!$B$2, TRUE(), IF(M89=Constants!$B$3, FALSE(), TRUE())))</f>
        <v/>
      </c>
      <c r="X89" s="97" t="str">
        <f aca="false">IF(ISBLANK($C89),"",IF(N89=Constants!$B$2, TRUE(), IF(N89=Constants!$B$3, FALSE(), TRUE())))</f>
        <v/>
      </c>
      <c r="Y89" s="97" t="str">
        <f aca="false">IF(ISBLANK($C89),"",IF(O89=Constants!$B$2, TRUE(), IF(O89=Constants!$B$3, FALSE(), FALSE())))</f>
        <v/>
      </c>
      <c r="Z89" s="97" t="str">
        <f aca="false">IF(ISBLANK($C89),"",AND(S89&lt;&gt;"",Q89))</f>
        <v/>
      </c>
      <c r="AA89" s="97" t="str">
        <f aca="false">IF(ISBLANK($C89),"",AND(V89&lt;&gt;"",Q89))</f>
        <v/>
      </c>
      <c r="AB89" s="97" t="str">
        <f aca="false">IF(ISBLANK($C89),"",IF(Y89,Constants!$B$4,IF(COUNTA(E89:N89)=0,Constants!$B$5,IF(NOT(Q89),Constants!$B$6,IF(AND(NOT(Z89),NOT(AA89)),Constants!$B$6,Constants!$B$7)))))</f>
        <v/>
      </c>
      <c r="AC89" s="97" t="str">
        <f aca="false">IF(ISBLANK($C89),"",IF($AB89&lt;&gt;Constants!$B$7,$AB89,Constants!$B$20))</f>
        <v/>
      </c>
      <c r="AD89" s="97" t="str">
        <f aca="false">IF($AB89=Constants!$B$7,IF(Z89,S89,Constants!$B$13),"")</f>
        <v/>
      </c>
      <c r="AE89" s="97" t="str">
        <f aca="false">IF($AB89=Constants!$B$7,IF(Z89,R89*IF(T89, 1, Constants!$B$11)*IF(U89, 1, Constants!$B$12),Constants!$B$13),"")</f>
        <v/>
      </c>
      <c r="AF89" s="97" t="str">
        <f aca="false">IF($AB89=Constants!$B$7,AD89*AE89,"")</f>
        <v/>
      </c>
      <c r="AG89" s="97" t="str">
        <f aca="false">IF($AB89=Constants!$B$7,IF(AA89,V89,Constants!$B$13),"")</f>
        <v/>
      </c>
      <c r="AH89" s="97" t="str">
        <f aca="false">IF($AB89=Constants!$B$7,IF(AA89,R89*IF(W89, 1, Constants!$B$11)*IF(X89, 1, Constants!$B$12),Constants!$B$13),"")</f>
        <v/>
      </c>
      <c r="AI89" s="97" t="str">
        <f aca="false">IF($AB89=Constants!$B$7,AG89*AH89,"")</f>
        <v/>
      </c>
      <c r="AJ89" s="97" t="str">
        <f aca="false">IF($AB89=Constants!$B$7,IF(AI89&gt;AF89,2,1),"")</f>
        <v/>
      </c>
      <c r="AK89" s="97" t="str">
        <f aca="false">IF($AB89=Constants!$B$7,IF(AJ89=1,2,1),"")</f>
        <v/>
      </c>
      <c r="AL89" s="97" t="str">
        <f aca="false">IF(ISBLANK($C89),"",IF($AB89&lt;&gt;Constants!$B$7,$AB89,IF(AJ89=1,AF89,AI89)))</f>
        <v/>
      </c>
      <c r="AM89" s="97" t="str">
        <f aca="false">IF(ISBLANK($C89),"",IF($AB89=Constants!$B$7,IF(ISNUMBER(AL89),RANK(AL89,$AL$8:$AL$507),Constants!$B$14),$AB89))</f>
        <v/>
      </c>
      <c r="AN89" s="97" t="str">
        <f aca="false">IF(ISBLANK($C89),"",IF($AB89=Constants!$B$7,IF(AK89=1,AF89,AI89),""))</f>
        <v/>
      </c>
      <c r="AO89" s="97" t="str">
        <f aca="false">IF(ISBLANK($C89),"",IF($AB89=Constants!$B$7,RANK(AN89,$AN$8:$AN$507),$AB89))</f>
        <v/>
      </c>
      <c r="AP89" s="97" t="str">
        <f aca="false">IF(ISBLANK($C89),"",IF($AB89=Constants!$B$7,IF(ISNUMBER(AM89),COUNTIFS($AM$8:$AM$507,"&lt;"&amp;$AM89)+COUNTIFS($AM$8:$AM$507,$AM89,$AO$8:$AO$507,"&lt;"&amp;$AO89)+1,Constants!$B$14),$AB89))</f>
        <v/>
      </c>
      <c r="AQ89" s="97" t="str">
        <f aca="false">IF(ISBLANK($C89),"",IF($AB89=Constants!$B$7,IF(ISNUMBER(AM89),AM89-AP89,Constants!$B$14),$AB89))</f>
        <v/>
      </c>
      <c r="AR89" s="98"/>
      <c r="AS89" s="99" t="str">
        <f aca="false">IF(ISBLANK($C89),"",IF($AB89&lt;&gt;Constants!$B$7,"",AJ89))</f>
        <v/>
      </c>
      <c r="AT89" s="100" t="str">
        <f aca="false">IF(ISBLANK($C89),"",IF($AB89&lt;&gt;Constants!$B$7,"",IF(AJ89=1,AD89,AG89)))</f>
        <v/>
      </c>
      <c r="AU89" s="101" t="str">
        <f aca="false">IF(ISBLANK($C89),"",IF($AB89&lt;&gt;Constants!$B$7,"",IF(AJ89=1,AE89,AH89)))</f>
        <v/>
      </c>
      <c r="AV89" s="102" t="str">
        <f aca="false">IF(ISBLANK($C89),"",IF($AB89&lt;&gt;Constants!$B$7,$AB89,AL89))</f>
        <v/>
      </c>
      <c r="AW89" s="103" t="str">
        <f aca="false">IF(ISBLANK($C89),"",IF($AB89&lt;&gt;Constants!$B$7,$AB89,AC89))</f>
        <v/>
      </c>
      <c r="AX89" s="104" t="str">
        <f aca="false">IF(ISBLANK($C89),"",AQ89)</f>
        <v/>
      </c>
      <c r="AY89" s="104" t="str">
        <f aca="false">IF(ISBLANK($C89),"",AP89)</f>
        <v/>
      </c>
      <c r="AZ89" s="105" t="str">
        <f aca="false">IF(ISBLANK($C89),"",IF(AY89=Constants!$B$4,COUNTA($C$8:$C$507)+2,IF(AY89=Constants!$B$5,COUNTA($C$8:$C$507)+1,IF(AY89=Constants!$B$6,COUNTA($C$8:$C$507),AY89))))</f>
        <v/>
      </c>
      <c r="BA89" s="5"/>
      <c r="BB89" s="106" t="n">
        <f aca="false">IF(OR(ISNUMBER(AY89),AY89=Constants!$B$4,AY89=Constants!$B$6,AY89=Constants!$B$5),1,0)</f>
        <v>0</v>
      </c>
      <c r="BC89" s="106" t="n">
        <v>82</v>
      </c>
      <c r="BD89" s="106" t="str">
        <f aca="false">IF(ISBLANK($C89),"",IF(ISNUMBER(AZ89),AZ89+ROW($B89)/1000,""))</f>
        <v/>
      </c>
      <c r="BE89" s="106" t="str">
        <f aca="false">IF(ISNUMBER(BD89),RANK(BD89,$BD$8:$BD$507,1),"")</f>
        <v/>
      </c>
      <c r="BF89" s="106" t="str">
        <f aca="false">IF(ISBLANK($C89),"",$B89)</f>
        <v/>
      </c>
      <c r="BG89" s="106" t="str">
        <f aca="false">IF(ISBLANK($C89),"",$C89)</f>
        <v/>
      </c>
      <c r="BH89" s="106" t="str">
        <f aca="false">IF(ISBLANK($C89),"",$D89)</f>
        <v/>
      </c>
      <c r="BI89" s="107" t="str">
        <f aca="false">AW89</f>
        <v/>
      </c>
      <c r="BJ89" s="108" t="str">
        <f aca="false">AV89</f>
        <v/>
      </c>
      <c r="BK89" s="106" t="str">
        <f aca="false">IF(ISBLANK($C89),"",AY89)</f>
        <v/>
      </c>
      <c r="BL89" s="109" t="str">
        <f aca="false">IF($BC89&gt;$BB$7,"",VLOOKUP($BC89,$BE$8:$BK$507,7,FALSE()))</f>
        <v/>
      </c>
      <c r="BM89" s="110" t="str">
        <f aca="false">IF($BC89&gt;$BB$7,"",VLOOKUP($BC89,$BE$8:$BK$507,2,FALSE()))</f>
        <v/>
      </c>
      <c r="BN89" s="110" t="str">
        <f aca="false">IF($BC89&gt;$BB$7,"",VLOOKUP($BC89,$BE$8:$BK$507,3,FALSE()))</f>
        <v/>
      </c>
      <c r="BO89" s="110" t="str">
        <f aca="false">IF($BC89&gt;$BB$7,"",VLOOKUP($BC89,$BE$8:$BK$507,4,FALSE()))</f>
        <v/>
      </c>
      <c r="BP89" s="110" t="str">
        <f aca="false">IF($BC89&gt;$BB$7,"",VLOOKUP($BC89,$BE$8:$BK$507,5,FALSE()))</f>
        <v/>
      </c>
      <c r="BQ89" s="111" t="str">
        <f aca="false">IF($BC89&gt;$BB$7,"",VLOOKUP($BC89,$BE$8:$BK$507,6,FALSE()))</f>
        <v/>
      </c>
      <c r="BR89" s="54"/>
    </row>
    <row r="90" customFormat="false" ht="13.8" hidden="false" customHeight="false" outlineLevel="0" collapsed="false">
      <c r="A90" s="5"/>
      <c r="B90" s="120"/>
      <c r="C90" s="121"/>
      <c r="D90" s="112"/>
      <c r="E90" s="123"/>
      <c r="F90" s="91"/>
      <c r="G90" s="92"/>
      <c r="H90" s="93"/>
      <c r="I90" s="94"/>
      <c r="J90" s="91"/>
      <c r="K90" s="92"/>
      <c r="L90" s="93"/>
      <c r="M90" s="94"/>
      <c r="N90" s="91"/>
      <c r="O90" s="123"/>
      <c r="P90" s="96"/>
      <c r="Q90" s="97" t="str">
        <f aca="false">IF(ISBLANK($C90),"",IF(E90=Constants!$B$2, TRUE(), IF(E90=Constants!$B$3, FALSE(), TRUE())))</f>
        <v/>
      </c>
      <c r="R90" s="97" t="str">
        <f aca="false">IF(ISBLANK($C90),"",IF(F90=Constants!$B$16,Constants!$B$9,IF(F90=Constants!$B$17,Constants!$B$10,Constants!$B$8)))</f>
        <v/>
      </c>
      <c r="S90" s="97" t="str">
        <f aca="false">IF(ISBLANK($C90),"",IF(COUNTA(G90:H90)=0,"",IF(AND(OR(ISBLANK(G90),AND(ISNUMBER(G90),G90&gt;=0)),OR(ISBLANK(H90),AND(ISNUMBER(H90),H90&gt;=0))),60*IF(ISBLANK(G90),0,G90)+IF(ISBLANK(H90),0,H90),"")))</f>
        <v/>
      </c>
      <c r="T90" s="97" t="str">
        <f aca="false">IF(ISBLANK($C90),"",IF(I90=Constants!$B$2, TRUE(), IF(I90=Constants!$B$3, FALSE(), TRUE())))</f>
        <v/>
      </c>
      <c r="U90" s="97" t="str">
        <f aca="false">IF(ISBLANK($C90),"",IF(J90=Constants!$B$2, TRUE(), IF(J90=Constants!$B$3, FALSE(), TRUE())))</f>
        <v/>
      </c>
      <c r="V90" s="97" t="str">
        <f aca="false">IF(ISBLANK($C90),"",IF(COUNTA(K90:L90)=0,"",IF(AND(OR(ISBLANK(K90),AND(ISNUMBER(K90),K90&gt;=0)),OR(ISBLANK(L90),AND(ISNUMBER(L90),L90&gt;=0))),60*IF(ISBLANK(K90),0,K90)+IF(ISBLANK(L90),0,L90),"")))</f>
        <v/>
      </c>
      <c r="W90" s="97" t="str">
        <f aca="false">IF(ISBLANK($C90),"",IF(M90=Constants!$B$2, TRUE(), IF(M90=Constants!$B$3, FALSE(), TRUE())))</f>
        <v/>
      </c>
      <c r="X90" s="97" t="str">
        <f aca="false">IF(ISBLANK($C90),"",IF(N90=Constants!$B$2, TRUE(), IF(N90=Constants!$B$3, FALSE(), TRUE())))</f>
        <v/>
      </c>
      <c r="Y90" s="97" t="str">
        <f aca="false">IF(ISBLANK($C90),"",IF(O90=Constants!$B$2, TRUE(), IF(O90=Constants!$B$3, FALSE(), FALSE())))</f>
        <v/>
      </c>
      <c r="Z90" s="97" t="str">
        <f aca="false">IF(ISBLANK($C90),"",AND(S90&lt;&gt;"",Q90))</f>
        <v/>
      </c>
      <c r="AA90" s="97" t="str">
        <f aca="false">IF(ISBLANK($C90),"",AND(V90&lt;&gt;"",Q90))</f>
        <v/>
      </c>
      <c r="AB90" s="97" t="str">
        <f aca="false">IF(ISBLANK($C90),"",IF(Y90,Constants!$B$4,IF(COUNTA(E90:N90)=0,Constants!$B$5,IF(NOT(Q90),Constants!$B$6,IF(AND(NOT(Z90),NOT(AA90)),Constants!$B$6,Constants!$B$7)))))</f>
        <v/>
      </c>
      <c r="AC90" s="97" t="str">
        <f aca="false">IF(ISBLANK($C90),"",IF($AB90&lt;&gt;Constants!$B$7,$AB90,Constants!$B$20))</f>
        <v/>
      </c>
      <c r="AD90" s="97" t="str">
        <f aca="false">IF($AB90=Constants!$B$7,IF(Z90,S90,Constants!$B$13),"")</f>
        <v/>
      </c>
      <c r="AE90" s="97" t="str">
        <f aca="false">IF($AB90=Constants!$B$7,IF(Z90,R90*IF(T90, 1, Constants!$B$11)*IF(U90, 1, Constants!$B$12),Constants!$B$13),"")</f>
        <v/>
      </c>
      <c r="AF90" s="97" t="str">
        <f aca="false">IF($AB90=Constants!$B$7,AD90*AE90,"")</f>
        <v/>
      </c>
      <c r="AG90" s="97" t="str">
        <f aca="false">IF($AB90=Constants!$B$7,IF(AA90,V90,Constants!$B$13),"")</f>
        <v/>
      </c>
      <c r="AH90" s="97" t="str">
        <f aca="false">IF($AB90=Constants!$B$7,IF(AA90,R90*IF(W90, 1, Constants!$B$11)*IF(X90, 1, Constants!$B$12),Constants!$B$13),"")</f>
        <v/>
      </c>
      <c r="AI90" s="97" t="str">
        <f aca="false">IF($AB90=Constants!$B$7,AG90*AH90,"")</f>
        <v/>
      </c>
      <c r="AJ90" s="97" t="str">
        <f aca="false">IF($AB90=Constants!$B$7,IF(AI90&gt;AF90,2,1),"")</f>
        <v/>
      </c>
      <c r="AK90" s="97" t="str">
        <f aca="false">IF($AB90=Constants!$B$7,IF(AJ90=1,2,1),"")</f>
        <v/>
      </c>
      <c r="AL90" s="97" t="str">
        <f aca="false">IF(ISBLANK($C90),"",IF($AB90&lt;&gt;Constants!$B$7,$AB90,IF(AJ90=1,AF90,AI90)))</f>
        <v/>
      </c>
      <c r="AM90" s="97" t="str">
        <f aca="false">IF(ISBLANK($C90),"",IF($AB90=Constants!$B$7,IF(ISNUMBER(AL90),RANK(AL90,$AL$8:$AL$507),Constants!$B$14),$AB90))</f>
        <v/>
      </c>
      <c r="AN90" s="97" t="str">
        <f aca="false">IF(ISBLANK($C90),"",IF($AB90=Constants!$B$7,IF(AK90=1,AF90,AI90),""))</f>
        <v/>
      </c>
      <c r="AO90" s="97" t="str">
        <f aca="false">IF(ISBLANK($C90),"",IF($AB90=Constants!$B$7,RANK(AN90,$AN$8:$AN$507),$AB90))</f>
        <v/>
      </c>
      <c r="AP90" s="97" t="str">
        <f aca="false">IF(ISBLANK($C90),"",IF($AB90=Constants!$B$7,IF(ISNUMBER(AM90),COUNTIFS($AM$8:$AM$507,"&lt;"&amp;$AM90)+COUNTIFS($AM$8:$AM$507,$AM90,$AO$8:$AO$507,"&lt;"&amp;$AO90)+1,Constants!$B$14),$AB90))</f>
        <v/>
      </c>
      <c r="AQ90" s="97" t="str">
        <f aca="false">IF(ISBLANK($C90),"",IF($AB90=Constants!$B$7,IF(ISNUMBER(AM90),AM90-AP90,Constants!$B$14),$AB90))</f>
        <v/>
      </c>
      <c r="AR90" s="98"/>
      <c r="AS90" s="99" t="str">
        <f aca="false">IF(ISBLANK($C90),"",IF($AB90&lt;&gt;Constants!$B$7,"",AJ90))</f>
        <v/>
      </c>
      <c r="AT90" s="100" t="str">
        <f aca="false">IF(ISBLANK($C90),"",IF($AB90&lt;&gt;Constants!$B$7,"",IF(AJ90=1,AD90,AG90)))</f>
        <v/>
      </c>
      <c r="AU90" s="101" t="str">
        <f aca="false">IF(ISBLANK($C90),"",IF($AB90&lt;&gt;Constants!$B$7,"",IF(AJ90=1,AE90,AH90)))</f>
        <v/>
      </c>
      <c r="AV90" s="102" t="str">
        <f aca="false">IF(ISBLANK($C90),"",IF($AB90&lt;&gt;Constants!$B$7,$AB90,AL90))</f>
        <v/>
      </c>
      <c r="AW90" s="103" t="str">
        <f aca="false">IF(ISBLANK($C90),"",IF($AB90&lt;&gt;Constants!$B$7,$AB90,AC90))</f>
        <v/>
      </c>
      <c r="AX90" s="104" t="str">
        <f aca="false">IF(ISBLANK($C90),"",AQ90)</f>
        <v/>
      </c>
      <c r="AY90" s="104" t="str">
        <f aca="false">IF(ISBLANK($C90),"",AP90)</f>
        <v/>
      </c>
      <c r="AZ90" s="105" t="str">
        <f aca="false">IF(ISBLANK($C90),"",IF(AY90=Constants!$B$4,COUNTA($C$8:$C$507)+2,IF(AY90=Constants!$B$5,COUNTA($C$8:$C$507)+1,IF(AY90=Constants!$B$6,COUNTA($C$8:$C$507),AY90))))</f>
        <v/>
      </c>
      <c r="BA90" s="5"/>
      <c r="BB90" s="106" t="n">
        <f aca="false">IF(OR(ISNUMBER(AY90),AY90=Constants!$B$4,AY90=Constants!$B$6,AY90=Constants!$B$5),1,0)</f>
        <v>0</v>
      </c>
      <c r="BC90" s="106" t="n">
        <v>83</v>
      </c>
      <c r="BD90" s="106" t="str">
        <f aca="false">IF(ISBLANK($C90),"",IF(ISNUMBER(AZ90),AZ90+ROW($B90)/1000,""))</f>
        <v/>
      </c>
      <c r="BE90" s="106" t="str">
        <f aca="false">IF(ISNUMBER(BD90),RANK(BD90,$BD$8:$BD$507,1),"")</f>
        <v/>
      </c>
      <c r="BF90" s="106" t="str">
        <f aca="false">IF(ISBLANK($C90),"",$B90)</f>
        <v/>
      </c>
      <c r="BG90" s="106" t="str">
        <f aca="false">IF(ISBLANK($C90),"",$C90)</f>
        <v/>
      </c>
      <c r="BH90" s="106" t="str">
        <f aca="false">IF(ISBLANK($C90),"",$D90)</f>
        <v/>
      </c>
      <c r="BI90" s="107" t="str">
        <f aca="false">AW90</f>
        <v/>
      </c>
      <c r="BJ90" s="108" t="str">
        <f aca="false">AV90</f>
        <v/>
      </c>
      <c r="BK90" s="106" t="str">
        <f aca="false">IF(ISBLANK($C90),"",AY90)</f>
        <v/>
      </c>
      <c r="BL90" s="109" t="str">
        <f aca="false">IF($BC90&gt;$BB$7,"",VLOOKUP($BC90,$BE$8:$BK$507,7,FALSE()))</f>
        <v/>
      </c>
      <c r="BM90" s="110" t="str">
        <f aca="false">IF($BC90&gt;$BB$7,"",VLOOKUP($BC90,$BE$8:$BK$507,2,FALSE()))</f>
        <v/>
      </c>
      <c r="BN90" s="110" t="str">
        <f aca="false">IF($BC90&gt;$BB$7,"",VLOOKUP($BC90,$BE$8:$BK$507,3,FALSE()))</f>
        <v/>
      </c>
      <c r="BO90" s="110" t="str">
        <f aca="false">IF($BC90&gt;$BB$7,"",VLOOKUP($BC90,$BE$8:$BK$507,4,FALSE()))</f>
        <v/>
      </c>
      <c r="BP90" s="110" t="str">
        <f aca="false">IF($BC90&gt;$BB$7,"",VLOOKUP($BC90,$BE$8:$BK$507,5,FALSE()))</f>
        <v/>
      </c>
      <c r="BQ90" s="111" t="str">
        <f aca="false">IF($BC90&gt;$BB$7,"",VLOOKUP($BC90,$BE$8:$BK$507,6,FALSE()))</f>
        <v/>
      </c>
      <c r="BR90" s="54"/>
    </row>
    <row r="91" customFormat="false" ht="13.8" hidden="false" customHeight="false" outlineLevel="0" collapsed="false">
      <c r="A91" s="5"/>
      <c r="B91" s="120"/>
      <c r="C91" s="121"/>
      <c r="D91" s="112"/>
      <c r="E91" s="123"/>
      <c r="F91" s="91"/>
      <c r="G91" s="92"/>
      <c r="H91" s="93"/>
      <c r="I91" s="94"/>
      <c r="J91" s="91"/>
      <c r="K91" s="92"/>
      <c r="L91" s="93"/>
      <c r="M91" s="94"/>
      <c r="N91" s="91"/>
      <c r="O91" s="123"/>
      <c r="P91" s="96"/>
      <c r="Q91" s="97" t="str">
        <f aca="false">IF(ISBLANK($C91),"",IF(E91=Constants!$B$2, TRUE(), IF(E91=Constants!$B$3, FALSE(), TRUE())))</f>
        <v/>
      </c>
      <c r="R91" s="97" t="str">
        <f aca="false">IF(ISBLANK($C91),"",IF(F91=Constants!$B$16,Constants!$B$9,IF(F91=Constants!$B$17,Constants!$B$10,Constants!$B$8)))</f>
        <v/>
      </c>
      <c r="S91" s="97" t="str">
        <f aca="false">IF(ISBLANK($C91),"",IF(COUNTA(G91:H91)=0,"",IF(AND(OR(ISBLANK(G91),AND(ISNUMBER(G91),G91&gt;=0)),OR(ISBLANK(H91),AND(ISNUMBER(H91),H91&gt;=0))),60*IF(ISBLANK(G91),0,G91)+IF(ISBLANK(H91),0,H91),"")))</f>
        <v/>
      </c>
      <c r="T91" s="97" t="str">
        <f aca="false">IF(ISBLANK($C91),"",IF(I91=Constants!$B$2, TRUE(), IF(I91=Constants!$B$3, FALSE(), TRUE())))</f>
        <v/>
      </c>
      <c r="U91" s="97" t="str">
        <f aca="false">IF(ISBLANK($C91),"",IF(J91=Constants!$B$2, TRUE(), IF(J91=Constants!$B$3, FALSE(), TRUE())))</f>
        <v/>
      </c>
      <c r="V91" s="97" t="str">
        <f aca="false">IF(ISBLANK($C91),"",IF(COUNTA(K91:L91)=0,"",IF(AND(OR(ISBLANK(K91),AND(ISNUMBER(K91),K91&gt;=0)),OR(ISBLANK(L91),AND(ISNUMBER(L91),L91&gt;=0))),60*IF(ISBLANK(K91),0,K91)+IF(ISBLANK(L91),0,L91),"")))</f>
        <v/>
      </c>
      <c r="W91" s="97" t="str">
        <f aca="false">IF(ISBLANK($C91),"",IF(M91=Constants!$B$2, TRUE(), IF(M91=Constants!$B$3, FALSE(), TRUE())))</f>
        <v/>
      </c>
      <c r="X91" s="97" t="str">
        <f aca="false">IF(ISBLANK($C91),"",IF(N91=Constants!$B$2, TRUE(), IF(N91=Constants!$B$3, FALSE(), TRUE())))</f>
        <v/>
      </c>
      <c r="Y91" s="97" t="str">
        <f aca="false">IF(ISBLANK($C91),"",IF(O91=Constants!$B$2, TRUE(), IF(O91=Constants!$B$3, FALSE(), FALSE())))</f>
        <v/>
      </c>
      <c r="Z91" s="97" t="str">
        <f aca="false">IF(ISBLANK($C91),"",AND(S91&lt;&gt;"",Q91))</f>
        <v/>
      </c>
      <c r="AA91" s="97" t="str">
        <f aca="false">IF(ISBLANK($C91),"",AND(V91&lt;&gt;"",Q91))</f>
        <v/>
      </c>
      <c r="AB91" s="97" t="str">
        <f aca="false">IF(ISBLANK($C91),"",IF(Y91,Constants!$B$4,IF(COUNTA(E91:N91)=0,Constants!$B$5,IF(NOT(Q91),Constants!$B$6,IF(AND(NOT(Z91),NOT(AA91)),Constants!$B$6,Constants!$B$7)))))</f>
        <v/>
      </c>
      <c r="AC91" s="97" t="str">
        <f aca="false">IF(ISBLANK($C91),"",IF($AB91&lt;&gt;Constants!$B$7,$AB91,Constants!$B$20))</f>
        <v/>
      </c>
      <c r="AD91" s="97" t="str">
        <f aca="false">IF($AB91=Constants!$B$7,IF(Z91,S91,Constants!$B$13),"")</f>
        <v/>
      </c>
      <c r="AE91" s="97" t="str">
        <f aca="false">IF($AB91=Constants!$B$7,IF(Z91,R91*IF(T91, 1, Constants!$B$11)*IF(U91, 1, Constants!$B$12),Constants!$B$13),"")</f>
        <v/>
      </c>
      <c r="AF91" s="97" t="str">
        <f aca="false">IF($AB91=Constants!$B$7,AD91*AE91,"")</f>
        <v/>
      </c>
      <c r="AG91" s="97" t="str">
        <f aca="false">IF($AB91=Constants!$B$7,IF(AA91,V91,Constants!$B$13),"")</f>
        <v/>
      </c>
      <c r="AH91" s="97" t="str">
        <f aca="false">IF($AB91=Constants!$B$7,IF(AA91,R91*IF(W91, 1, Constants!$B$11)*IF(X91, 1, Constants!$B$12),Constants!$B$13),"")</f>
        <v/>
      </c>
      <c r="AI91" s="97" t="str">
        <f aca="false">IF($AB91=Constants!$B$7,AG91*AH91,"")</f>
        <v/>
      </c>
      <c r="AJ91" s="97" t="str">
        <f aca="false">IF($AB91=Constants!$B$7,IF(AI91&gt;AF91,2,1),"")</f>
        <v/>
      </c>
      <c r="AK91" s="97" t="str">
        <f aca="false">IF($AB91=Constants!$B$7,IF(AJ91=1,2,1),"")</f>
        <v/>
      </c>
      <c r="AL91" s="97" t="str">
        <f aca="false">IF(ISBLANK($C91),"",IF($AB91&lt;&gt;Constants!$B$7,$AB91,IF(AJ91=1,AF91,AI91)))</f>
        <v/>
      </c>
      <c r="AM91" s="97" t="str">
        <f aca="false">IF(ISBLANK($C91),"",IF($AB91=Constants!$B$7,IF(ISNUMBER(AL91),RANK(AL91,$AL$8:$AL$507),Constants!$B$14),$AB91))</f>
        <v/>
      </c>
      <c r="AN91" s="97" t="str">
        <f aca="false">IF(ISBLANK($C91),"",IF($AB91=Constants!$B$7,IF(AK91=1,AF91,AI91),""))</f>
        <v/>
      </c>
      <c r="AO91" s="97" t="str">
        <f aca="false">IF(ISBLANK($C91),"",IF($AB91=Constants!$B$7,RANK(AN91,$AN$8:$AN$507),$AB91))</f>
        <v/>
      </c>
      <c r="AP91" s="97" t="str">
        <f aca="false">IF(ISBLANK($C91),"",IF($AB91=Constants!$B$7,IF(ISNUMBER(AM91),COUNTIFS($AM$8:$AM$507,"&lt;"&amp;$AM91)+COUNTIFS($AM$8:$AM$507,$AM91,$AO$8:$AO$507,"&lt;"&amp;$AO91)+1,Constants!$B$14),$AB91))</f>
        <v/>
      </c>
      <c r="AQ91" s="97" t="str">
        <f aca="false">IF(ISBLANK($C91),"",IF($AB91=Constants!$B$7,IF(ISNUMBER(AM91),AM91-AP91,Constants!$B$14),$AB91))</f>
        <v/>
      </c>
      <c r="AR91" s="98"/>
      <c r="AS91" s="99" t="str">
        <f aca="false">IF(ISBLANK($C91),"",IF($AB91&lt;&gt;Constants!$B$7,"",AJ91))</f>
        <v/>
      </c>
      <c r="AT91" s="100" t="str">
        <f aca="false">IF(ISBLANK($C91),"",IF($AB91&lt;&gt;Constants!$B$7,"",IF(AJ91=1,AD91,AG91)))</f>
        <v/>
      </c>
      <c r="AU91" s="101" t="str">
        <f aca="false">IF(ISBLANK($C91),"",IF($AB91&lt;&gt;Constants!$B$7,"",IF(AJ91=1,AE91,AH91)))</f>
        <v/>
      </c>
      <c r="AV91" s="102" t="str">
        <f aca="false">IF(ISBLANK($C91),"",IF($AB91&lt;&gt;Constants!$B$7,$AB91,AL91))</f>
        <v/>
      </c>
      <c r="AW91" s="103" t="str">
        <f aca="false">IF(ISBLANK($C91),"",IF($AB91&lt;&gt;Constants!$B$7,$AB91,AC91))</f>
        <v/>
      </c>
      <c r="AX91" s="104" t="str">
        <f aca="false">IF(ISBLANK($C91),"",AQ91)</f>
        <v/>
      </c>
      <c r="AY91" s="104" t="str">
        <f aca="false">IF(ISBLANK($C91),"",AP91)</f>
        <v/>
      </c>
      <c r="AZ91" s="105" t="str">
        <f aca="false">IF(ISBLANK($C91),"",IF(AY91=Constants!$B$4,COUNTA($C$8:$C$507)+2,IF(AY91=Constants!$B$5,COUNTA($C$8:$C$507)+1,IF(AY91=Constants!$B$6,COUNTA($C$8:$C$507),AY91))))</f>
        <v/>
      </c>
      <c r="BA91" s="5"/>
      <c r="BB91" s="106" t="n">
        <f aca="false">IF(OR(ISNUMBER(AY91),AY91=Constants!$B$4,AY91=Constants!$B$6,AY91=Constants!$B$5),1,0)</f>
        <v>0</v>
      </c>
      <c r="BC91" s="106" t="n">
        <v>84</v>
      </c>
      <c r="BD91" s="106" t="str">
        <f aca="false">IF(ISBLANK($C91),"",IF(ISNUMBER(AZ91),AZ91+ROW($B91)/1000,""))</f>
        <v/>
      </c>
      <c r="BE91" s="106" t="str">
        <f aca="false">IF(ISNUMBER(BD91),RANK(BD91,$BD$8:$BD$507,1),"")</f>
        <v/>
      </c>
      <c r="BF91" s="106" t="str">
        <f aca="false">IF(ISBLANK($C91),"",$B91)</f>
        <v/>
      </c>
      <c r="BG91" s="106" t="str">
        <f aca="false">IF(ISBLANK($C91),"",$C91)</f>
        <v/>
      </c>
      <c r="BH91" s="106" t="str">
        <f aca="false">IF(ISBLANK($C91),"",$D91)</f>
        <v/>
      </c>
      <c r="BI91" s="107" t="str">
        <f aca="false">AW91</f>
        <v/>
      </c>
      <c r="BJ91" s="108" t="str">
        <f aca="false">AV91</f>
        <v/>
      </c>
      <c r="BK91" s="106" t="str">
        <f aca="false">IF(ISBLANK($C91),"",AY91)</f>
        <v/>
      </c>
      <c r="BL91" s="109" t="str">
        <f aca="false">IF($BC91&gt;$BB$7,"",VLOOKUP($BC91,$BE$8:$BK$507,7,FALSE()))</f>
        <v/>
      </c>
      <c r="BM91" s="110" t="str">
        <f aca="false">IF($BC91&gt;$BB$7,"",VLOOKUP($BC91,$BE$8:$BK$507,2,FALSE()))</f>
        <v/>
      </c>
      <c r="BN91" s="110" t="str">
        <f aca="false">IF($BC91&gt;$BB$7,"",VLOOKUP($BC91,$BE$8:$BK$507,3,FALSE()))</f>
        <v/>
      </c>
      <c r="BO91" s="110" t="str">
        <f aca="false">IF($BC91&gt;$BB$7,"",VLOOKUP($BC91,$BE$8:$BK$507,4,FALSE()))</f>
        <v/>
      </c>
      <c r="BP91" s="110" t="str">
        <f aca="false">IF($BC91&gt;$BB$7,"",VLOOKUP($BC91,$BE$8:$BK$507,5,FALSE()))</f>
        <v/>
      </c>
      <c r="BQ91" s="111" t="str">
        <f aca="false">IF($BC91&gt;$BB$7,"",VLOOKUP($BC91,$BE$8:$BK$507,6,FALSE()))</f>
        <v/>
      </c>
      <c r="BR91" s="54"/>
    </row>
    <row r="92" customFormat="false" ht="13.8" hidden="false" customHeight="false" outlineLevel="0" collapsed="false">
      <c r="A92" s="5"/>
      <c r="B92" s="124"/>
      <c r="C92" s="56"/>
      <c r="D92" s="57"/>
      <c r="E92" s="83"/>
      <c r="F92" s="59"/>
      <c r="G92" s="60"/>
      <c r="H92" s="61"/>
      <c r="I92" s="62"/>
      <c r="J92" s="59"/>
      <c r="K92" s="60"/>
      <c r="L92" s="61"/>
      <c r="M92" s="62"/>
      <c r="N92" s="59"/>
      <c r="O92" s="83"/>
      <c r="P92" s="64"/>
      <c r="Q92" s="66" t="str">
        <f aca="false">IF(ISBLANK($C92),"",IF(E92=Constants!$B$2, TRUE(), IF(E92=Constants!$B$3, FALSE(), TRUE())))</f>
        <v/>
      </c>
      <c r="R92" s="66" t="str">
        <f aca="false">IF(ISBLANK($C92),"",IF(F92=Constants!$B$16,Constants!$B$9,IF(F92=Constants!$B$17,Constants!$B$10,Constants!$B$8)))</f>
        <v/>
      </c>
      <c r="S92" s="66" t="str">
        <f aca="false">IF(ISBLANK($C92),"",IF(COUNTA(G92:H92)=0,"",IF(AND(OR(ISBLANK(G92),AND(ISNUMBER(G92),G92&gt;=0)),OR(ISBLANK(H92),AND(ISNUMBER(H92),H92&gt;=0))),60*IF(ISBLANK(G92),0,G92)+IF(ISBLANK(H92),0,H92),"")))</f>
        <v/>
      </c>
      <c r="T92" s="66" t="str">
        <f aca="false">IF(ISBLANK($C92),"",IF(I92=Constants!$B$2, TRUE(), IF(I92=Constants!$B$3, FALSE(), TRUE())))</f>
        <v/>
      </c>
      <c r="U92" s="66" t="str">
        <f aca="false">IF(ISBLANK($C92),"",IF(J92=Constants!$B$2, TRUE(), IF(J92=Constants!$B$3, FALSE(), TRUE())))</f>
        <v/>
      </c>
      <c r="V92" s="66" t="str">
        <f aca="false">IF(ISBLANK($C92),"",IF(COUNTA(K92:L92)=0,"",IF(AND(OR(ISBLANK(K92),AND(ISNUMBER(K92),K92&gt;=0)),OR(ISBLANK(L92),AND(ISNUMBER(L92),L92&gt;=0))),60*IF(ISBLANK(K92),0,K92)+IF(ISBLANK(L92),0,L92),"")))</f>
        <v/>
      </c>
      <c r="W92" s="66" t="str">
        <f aca="false">IF(ISBLANK($C92),"",IF(M92=Constants!$B$2, TRUE(), IF(M92=Constants!$B$3, FALSE(), TRUE())))</f>
        <v/>
      </c>
      <c r="X92" s="66" t="str">
        <f aca="false">IF(ISBLANK($C92),"",IF(N92=Constants!$B$2, TRUE(), IF(N92=Constants!$B$3, FALSE(), TRUE())))</f>
        <v/>
      </c>
      <c r="Y92" s="66" t="str">
        <f aca="false">IF(ISBLANK($C92),"",IF(O92=Constants!$B$2, TRUE(), IF(O92=Constants!$B$3, FALSE(), FALSE())))</f>
        <v/>
      </c>
      <c r="Z92" s="66" t="str">
        <f aca="false">IF(ISBLANK($C92),"",AND(S92&lt;&gt;"",Q92))</f>
        <v/>
      </c>
      <c r="AA92" s="66" t="str">
        <f aca="false">IF(ISBLANK($C92),"",AND(V92&lt;&gt;"",Q92))</f>
        <v/>
      </c>
      <c r="AB92" s="66" t="str">
        <f aca="false">IF(ISBLANK($C92),"",IF(Y92,Constants!$B$4,IF(COUNTA(E92:N92)=0,Constants!$B$5,IF(NOT(Q92),Constants!$B$6,IF(AND(NOT(Z92),NOT(AA92)),Constants!$B$6,Constants!$B$7)))))</f>
        <v/>
      </c>
      <c r="AC92" s="66" t="str">
        <f aca="false">IF(ISBLANK($C92),"",IF($AB92&lt;&gt;Constants!$B$7,$AB92,Constants!$B$20))</f>
        <v/>
      </c>
      <c r="AD92" s="66" t="str">
        <f aca="false">IF($AB92=Constants!$B$7,IF(Z92,S92,Constants!$B$13),"")</f>
        <v/>
      </c>
      <c r="AE92" s="66" t="str">
        <f aca="false">IF($AB92=Constants!$B$7,IF(Z92,R92*IF(T92, 1, Constants!$B$11)*IF(U92, 1, Constants!$B$12),Constants!$B$13),"")</f>
        <v/>
      </c>
      <c r="AF92" s="66" t="str">
        <f aca="false">IF($AB92=Constants!$B$7,AD92*AE92,"")</f>
        <v/>
      </c>
      <c r="AG92" s="66" t="str">
        <f aca="false">IF($AB92=Constants!$B$7,IF(AA92,V92,Constants!$B$13),"")</f>
        <v/>
      </c>
      <c r="AH92" s="66" t="str">
        <f aca="false">IF($AB92=Constants!$B$7,IF(AA92,R92*IF(W92, 1, Constants!$B$11)*IF(X92, 1, Constants!$B$12),Constants!$B$13),"")</f>
        <v/>
      </c>
      <c r="AI92" s="66" t="str">
        <f aca="false">IF($AB92=Constants!$B$7,AG92*AH92,"")</f>
        <v/>
      </c>
      <c r="AJ92" s="66" t="str">
        <f aca="false">IF($AB92=Constants!$B$7,IF(AI92&gt;AF92,2,1),"")</f>
        <v/>
      </c>
      <c r="AK92" s="66" t="str">
        <f aca="false">IF($AB92=Constants!$B$7,IF(AJ92=1,2,1),"")</f>
        <v/>
      </c>
      <c r="AL92" s="66" t="str">
        <f aca="false">IF(ISBLANK($C92),"",IF($AB92&lt;&gt;Constants!$B$7,$AB92,IF(AJ92=1,AF92,AI92)))</f>
        <v/>
      </c>
      <c r="AM92" s="66" t="str">
        <f aca="false">IF(ISBLANK($C92),"",IF($AB92=Constants!$B$7,IF(ISNUMBER(AL92),RANK(AL92,$AL$8:$AL$507),Constants!$B$14),$AB92))</f>
        <v/>
      </c>
      <c r="AN92" s="66" t="str">
        <f aca="false">IF(ISBLANK($C92),"",IF($AB92=Constants!$B$7,IF(AK92=1,AF92,AI92),""))</f>
        <v/>
      </c>
      <c r="AO92" s="66" t="str">
        <f aca="false">IF(ISBLANK($C92),"",IF($AB92=Constants!$B$7,RANK(AN92,$AN$8:$AN$507),$AB92))</f>
        <v/>
      </c>
      <c r="AP92" s="66" t="str">
        <f aca="false">IF(ISBLANK($C92),"",IF($AB92=Constants!$B$7,IF(ISNUMBER(AM92),COUNTIFS($AM$8:$AM$507,"&lt;"&amp;$AM92)+COUNTIFS($AM$8:$AM$507,$AM92,$AO$8:$AO$507,"&lt;"&amp;$AO92)+1,Constants!$B$14),$AB92))</f>
        <v/>
      </c>
      <c r="AQ92" s="66" t="str">
        <f aca="false">IF(ISBLANK($C92),"",IF($AB92=Constants!$B$7,IF(ISNUMBER(AM92),AM92-AP92,Constants!$B$14),$AB92))</f>
        <v/>
      </c>
      <c r="AR92" s="68"/>
      <c r="AS92" s="69" t="str">
        <f aca="false">IF(ISBLANK($C92),"",IF($AB92&lt;&gt;Constants!$B$7,"",AJ92))</f>
        <v/>
      </c>
      <c r="AT92" s="84" t="str">
        <f aca="false">IF(ISBLANK($C92),"",IF($AB92&lt;&gt;Constants!$B$7,"",IF(AJ92=1,AD92,AG92)))</f>
        <v/>
      </c>
      <c r="AU92" s="71" t="str">
        <f aca="false">IF(ISBLANK($C92),"",IF($AB92&lt;&gt;Constants!$B$7,"",IF(AJ92=1,AE92,AH92)))</f>
        <v/>
      </c>
      <c r="AV92" s="72" t="str">
        <f aca="false">IF(ISBLANK($C92),"",IF($AB92&lt;&gt;Constants!$B$7,$AB92,AL92))</f>
        <v/>
      </c>
      <c r="AW92" s="73" t="str">
        <f aca="false">IF(ISBLANK($C92),"",IF($AB92&lt;&gt;Constants!$B$7,$AB92,AC92))</f>
        <v/>
      </c>
      <c r="AX92" s="74" t="str">
        <f aca="false">IF(ISBLANK($C92),"",AQ92)</f>
        <v/>
      </c>
      <c r="AY92" s="74" t="str">
        <f aca="false">IF(ISBLANK($C92),"",AP92)</f>
        <v/>
      </c>
      <c r="AZ92" s="75" t="str">
        <f aca="false">IF(ISBLANK($C92),"",IF(AY92=Constants!$B$4,COUNTA($C$8:$C$507)+2,IF(AY92=Constants!$B$5,COUNTA($C$8:$C$507)+1,IF(AY92=Constants!$B$6,COUNTA($C$8:$C$507),AY92))))</f>
        <v/>
      </c>
      <c r="BA92" s="5"/>
      <c r="BB92" s="76" t="n">
        <f aca="false">IF(OR(ISNUMBER(AY92),AY92=Constants!$B$4,AY92=Constants!$B$6,AY92=Constants!$B$5),1,0)</f>
        <v>0</v>
      </c>
      <c r="BC92" s="76" t="n">
        <v>85</v>
      </c>
      <c r="BD92" s="76" t="str">
        <f aca="false">IF(ISBLANK($C92),"",IF(ISNUMBER(AZ92),AZ92+ROW($B92)/1000,""))</f>
        <v/>
      </c>
      <c r="BE92" s="76" t="str">
        <f aca="false">IF(ISNUMBER(BD92),RANK(BD92,$BD$8:$BD$507,1),"")</f>
        <v/>
      </c>
      <c r="BF92" s="76" t="str">
        <f aca="false">IF(ISBLANK($C92),"",$B92)</f>
        <v/>
      </c>
      <c r="BG92" s="76" t="str">
        <f aca="false">IF(ISBLANK($C92),"",$C92)</f>
        <v/>
      </c>
      <c r="BH92" s="76" t="str">
        <f aca="false">IF(ISBLANK($C92),"",$D92)</f>
        <v/>
      </c>
      <c r="BI92" s="77" t="str">
        <f aca="false">AW92</f>
        <v/>
      </c>
      <c r="BJ92" s="78" t="str">
        <f aca="false">AV92</f>
        <v/>
      </c>
      <c r="BK92" s="76" t="str">
        <f aca="false">IF(ISBLANK($C92),"",AY92)</f>
        <v/>
      </c>
      <c r="BL92" s="79" t="str">
        <f aca="false">IF($BC92&gt;$BB$7,"",VLOOKUP($BC92,$BE$8:$BK$507,7,FALSE()))</f>
        <v/>
      </c>
      <c r="BM92" s="80" t="str">
        <f aca="false">IF($BC92&gt;$BB$7,"",VLOOKUP($BC92,$BE$8:$BK$507,2,FALSE()))</f>
        <v/>
      </c>
      <c r="BN92" s="80" t="str">
        <f aca="false">IF($BC92&gt;$BB$7,"",VLOOKUP($BC92,$BE$8:$BK$507,3,FALSE()))</f>
        <v/>
      </c>
      <c r="BO92" s="80" t="str">
        <f aca="false">IF($BC92&gt;$BB$7,"",VLOOKUP($BC92,$BE$8:$BK$507,4,FALSE()))</f>
        <v/>
      </c>
      <c r="BP92" s="80" t="str">
        <f aca="false">IF($BC92&gt;$BB$7,"",VLOOKUP($BC92,$BE$8:$BK$507,5,FALSE()))</f>
        <v/>
      </c>
      <c r="BQ92" s="81" t="str">
        <f aca="false">IF($BC92&gt;$BB$7,"",VLOOKUP($BC92,$BE$8:$BK$507,6,FALSE()))</f>
        <v/>
      </c>
      <c r="BR92" s="54"/>
    </row>
    <row r="93" customFormat="false" ht="13.8" hidden="false" customHeight="false" outlineLevel="0" collapsed="false">
      <c r="A93" s="5"/>
      <c r="B93" s="124"/>
      <c r="C93" s="56"/>
      <c r="D93" s="57"/>
      <c r="E93" s="83"/>
      <c r="F93" s="59"/>
      <c r="G93" s="60"/>
      <c r="H93" s="61"/>
      <c r="I93" s="62"/>
      <c r="J93" s="59"/>
      <c r="K93" s="60"/>
      <c r="L93" s="61"/>
      <c r="M93" s="62"/>
      <c r="N93" s="59"/>
      <c r="O93" s="83"/>
      <c r="P93" s="64"/>
      <c r="Q93" s="66" t="str">
        <f aca="false">IF(ISBLANK($C93),"",IF(E93=Constants!$B$2, TRUE(), IF(E93=Constants!$B$3, FALSE(), TRUE())))</f>
        <v/>
      </c>
      <c r="R93" s="66" t="str">
        <f aca="false">IF(ISBLANK($C93),"",IF(F93=Constants!$B$16,Constants!$B$9,IF(F93=Constants!$B$17,Constants!$B$10,Constants!$B$8)))</f>
        <v/>
      </c>
      <c r="S93" s="66" t="str">
        <f aca="false">IF(ISBLANK($C93),"",IF(COUNTA(G93:H93)=0,"",IF(AND(OR(ISBLANK(G93),AND(ISNUMBER(G93),G93&gt;=0)),OR(ISBLANK(H93),AND(ISNUMBER(H93),H93&gt;=0))),60*IF(ISBLANK(G93),0,G93)+IF(ISBLANK(H93),0,H93),"")))</f>
        <v/>
      </c>
      <c r="T93" s="66" t="str">
        <f aca="false">IF(ISBLANK($C93),"",IF(I93=Constants!$B$2, TRUE(), IF(I93=Constants!$B$3, FALSE(), TRUE())))</f>
        <v/>
      </c>
      <c r="U93" s="66" t="str">
        <f aca="false">IF(ISBLANK($C93),"",IF(J93=Constants!$B$2, TRUE(), IF(J93=Constants!$B$3, FALSE(), TRUE())))</f>
        <v/>
      </c>
      <c r="V93" s="66" t="str">
        <f aca="false">IF(ISBLANK($C93),"",IF(COUNTA(K93:L93)=0,"",IF(AND(OR(ISBLANK(K93),AND(ISNUMBER(K93),K93&gt;=0)),OR(ISBLANK(L93),AND(ISNUMBER(L93),L93&gt;=0))),60*IF(ISBLANK(K93),0,K93)+IF(ISBLANK(L93),0,L93),"")))</f>
        <v/>
      </c>
      <c r="W93" s="66" t="str">
        <f aca="false">IF(ISBLANK($C93),"",IF(M93=Constants!$B$2, TRUE(), IF(M93=Constants!$B$3, FALSE(), TRUE())))</f>
        <v/>
      </c>
      <c r="X93" s="66" t="str">
        <f aca="false">IF(ISBLANK($C93),"",IF(N93=Constants!$B$2, TRUE(), IF(N93=Constants!$B$3, FALSE(), TRUE())))</f>
        <v/>
      </c>
      <c r="Y93" s="66" t="str">
        <f aca="false">IF(ISBLANK($C93),"",IF(O93=Constants!$B$2, TRUE(), IF(O93=Constants!$B$3, FALSE(), FALSE())))</f>
        <v/>
      </c>
      <c r="Z93" s="66" t="str">
        <f aca="false">IF(ISBLANK($C93),"",AND(S93&lt;&gt;"",Q93))</f>
        <v/>
      </c>
      <c r="AA93" s="66" t="str">
        <f aca="false">IF(ISBLANK($C93),"",AND(V93&lt;&gt;"",Q93))</f>
        <v/>
      </c>
      <c r="AB93" s="66" t="str">
        <f aca="false">IF(ISBLANK($C93),"",IF(Y93,Constants!$B$4,IF(COUNTA(E93:N93)=0,Constants!$B$5,IF(NOT(Q93),Constants!$B$6,IF(AND(NOT(Z93),NOT(AA93)),Constants!$B$6,Constants!$B$7)))))</f>
        <v/>
      </c>
      <c r="AC93" s="66" t="str">
        <f aca="false">IF(ISBLANK($C93),"",IF($AB93&lt;&gt;Constants!$B$7,$AB93,Constants!$B$20))</f>
        <v/>
      </c>
      <c r="AD93" s="66" t="str">
        <f aca="false">IF($AB93=Constants!$B$7,IF(Z93,S93,Constants!$B$13),"")</f>
        <v/>
      </c>
      <c r="AE93" s="66" t="str">
        <f aca="false">IF($AB93=Constants!$B$7,IF(Z93,R93*IF(T93, 1, Constants!$B$11)*IF(U93, 1, Constants!$B$12),Constants!$B$13),"")</f>
        <v/>
      </c>
      <c r="AF93" s="66" t="str">
        <f aca="false">IF($AB93=Constants!$B$7,AD93*AE93,"")</f>
        <v/>
      </c>
      <c r="AG93" s="66" t="str">
        <f aca="false">IF($AB93=Constants!$B$7,IF(AA93,V93,Constants!$B$13),"")</f>
        <v/>
      </c>
      <c r="AH93" s="66" t="str">
        <f aca="false">IF($AB93=Constants!$B$7,IF(AA93,R93*IF(W93, 1, Constants!$B$11)*IF(X93, 1, Constants!$B$12),Constants!$B$13),"")</f>
        <v/>
      </c>
      <c r="AI93" s="66" t="str">
        <f aca="false">IF($AB93=Constants!$B$7,AG93*AH93,"")</f>
        <v/>
      </c>
      <c r="AJ93" s="66" t="str">
        <f aca="false">IF($AB93=Constants!$B$7,IF(AI93&gt;AF93,2,1),"")</f>
        <v/>
      </c>
      <c r="AK93" s="66" t="str">
        <f aca="false">IF($AB93=Constants!$B$7,IF(AJ93=1,2,1),"")</f>
        <v/>
      </c>
      <c r="AL93" s="66" t="str">
        <f aca="false">IF(ISBLANK($C93),"",IF($AB93&lt;&gt;Constants!$B$7,$AB93,IF(AJ93=1,AF93,AI93)))</f>
        <v/>
      </c>
      <c r="AM93" s="66" t="str">
        <f aca="false">IF(ISBLANK($C93),"",IF($AB93=Constants!$B$7,IF(ISNUMBER(AL93),RANK(AL93,$AL$8:$AL$507),Constants!$B$14),$AB93))</f>
        <v/>
      </c>
      <c r="AN93" s="66" t="str">
        <f aca="false">IF(ISBLANK($C93),"",IF($AB93=Constants!$B$7,IF(AK93=1,AF93,AI93),""))</f>
        <v/>
      </c>
      <c r="AO93" s="66" t="str">
        <f aca="false">IF(ISBLANK($C93),"",IF($AB93=Constants!$B$7,RANK(AN93,$AN$8:$AN$507),$AB93))</f>
        <v/>
      </c>
      <c r="AP93" s="66" t="str">
        <f aca="false">IF(ISBLANK($C93),"",IF($AB93=Constants!$B$7,IF(ISNUMBER(AM93),COUNTIFS($AM$8:$AM$507,"&lt;"&amp;$AM93)+COUNTIFS($AM$8:$AM$507,$AM93,$AO$8:$AO$507,"&lt;"&amp;$AO93)+1,Constants!$B$14),$AB93))</f>
        <v/>
      </c>
      <c r="AQ93" s="66" t="str">
        <f aca="false">IF(ISBLANK($C93),"",IF($AB93=Constants!$B$7,IF(ISNUMBER(AM93),AM93-AP93,Constants!$B$14),$AB93))</f>
        <v/>
      </c>
      <c r="AR93" s="68"/>
      <c r="AS93" s="69" t="str">
        <f aca="false">IF(ISBLANK($C93),"",IF($AB93&lt;&gt;Constants!$B$7,"",AJ93))</f>
        <v/>
      </c>
      <c r="AT93" s="84" t="str">
        <f aca="false">IF(ISBLANK($C93),"",IF($AB93&lt;&gt;Constants!$B$7,"",IF(AJ93=1,AD93,AG93)))</f>
        <v/>
      </c>
      <c r="AU93" s="71" t="str">
        <f aca="false">IF(ISBLANK($C93),"",IF($AB93&lt;&gt;Constants!$B$7,"",IF(AJ93=1,AE93,AH93)))</f>
        <v/>
      </c>
      <c r="AV93" s="72" t="str">
        <f aca="false">IF(ISBLANK($C93),"",IF($AB93&lt;&gt;Constants!$B$7,$AB93,AL93))</f>
        <v/>
      </c>
      <c r="AW93" s="73" t="str">
        <f aca="false">IF(ISBLANK($C93),"",IF($AB93&lt;&gt;Constants!$B$7,$AB93,AC93))</f>
        <v/>
      </c>
      <c r="AX93" s="74" t="str">
        <f aca="false">IF(ISBLANK($C93),"",AQ93)</f>
        <v/>
      </c>
      <c r="AY93" s="74" t="str">
        <f aca="false">IF(ISBLANK($C93),"",AP93)</f>
        <v/>
      </c>
      <c r="AZ93" s="75" t="str">
        <f aca="false">IF(ISBLANK($C93),"",IF(AY93=Constants!$B$4,COUNTA($C$8:$C$507)+2,IF(AY93=Constants!$B$5,COUNTA($C$8:$C$507)+1,IF(AY93=Constants!$B$6,COUNTA($C$8:$C$507),AY93))))</f>
        <v/>
      </c>
      <c r="BA93" s="5"/>
      <c r="BB93" s="76" t="n">
        <f aca="false">IF(OR(ISNUMBER(AY93),AY93=Constants!$B$4,AY93=Constants!$B$6,AY93=Constants!$B$5),1,0)</f>
        <v>0</v>
      </c>
      <c r="BC93" s="76" t="n">
        <v>86</v>
      </c>
      <c r="BD93" s="76" t="str">
        <f aca="false">IF(ISBLANK($C93),"",IF(ISNUMBER(AZ93),AZ93+ROW($B93)/1000,""))</f>
        <v/>
      </c>
      <c r="BE93" s="76" t="str">
        <f aca="false">IF(ISNUMBER(BD93),RANK(BD93,$BD$8:$BD$507,1),"")</f>
        <v/>
      </c>
      <c r="BF93" s="76" t="str">
        <f aca="false">IF(ISBLANK($C93),"",$B93)</f>
        <v/>
      </c>
      <c r="BG93" s="76" t="str">
        <f aca="false">IF(ISBLANK($C93),"",$C93)</f>
        <v/>
      </c>
      <c r="BH93" s="76" t="str">
        <f aca="false">IF(ISBLANK($C93),"",$D93)</f>
        <v/>
      </c>
      <c r="BI93" s="77" t="str">
        <f aca="false">AW93</f>
        <v/>
      </c>
      <c r="BJ93" s="78" t="str">
        <f aca="false">AV93</f>
        <v/>
      </c>
      <c r="BK93" s="76" t="str">
        <f aca="false">IF(ISBLANK($C93),"",AY93)</f>
        <v/>
      </c>
      <c r="BL93" s="79" t="str">
        <f aca="false">IF($BC93&gt;$BB$7,"",VLOOKUP($BC93,$BE$8:$BK$507,7,FALSE()))</f>
        <v/>
      </c>
      <c r="BM93" s="80" t="str">
        <f aca="false">IF($BC93&gt;$BB$7,"",VLOOKUP($BC93,$BE$8:$BK$507,2,FALSE()))</f>
        <v/>
      </c>
      <c r="BN93" s="80" t="str">
        <f aca="false">IF($BC93&gt;$BB$7,"",VLOOKUP($BC93,$BE$8:$BK$507,3,FALSE()))</f>
        <v/>
      </c>
      <c r="BO93" s="80" t="str">
        <f aca="false">IF($BC93&gt;$BB$7,"",VLOOKUP($BC93,$BE$8:$BK$507,4,FALSE()))</f>
        <v/>
      </c>
      <c r="BP93" s="80" t="str">
        <f aca="false">IF($BC93&gt;$BB$7,"",VLOOKUP($BC93,$BE$8:$BK$507,5,FALSE()))</f>
        <v/>
      </c>
      <c r="BQ93" s="81" t="str">
        <f aca="false">IF($BC93&gt;$BB$7,"",VLOOKUP($BC93,$BE$8:$BK$507,6,FALSE()))</f>
        <v/>
      </c>
      <c r="BR93" s="54"/>
    </row>
    <row r="94" customFormat="false" ht="13.8" hidden="false" customHeight="false" outlineLevel="0" collapsed="false">
      <c r="A94" s="5"/>
      <c r="B94" s="124"/>
      <c r="C94" s="56"/>
      <c r="D94" s="57"/>
      <c r="E94" s="83"/>
      <c r="F94" s="59"/>
      <c r="G94" s="60"/>
      <c r="H94" s="61"/>
      <c r="I94" s="62"/>
      <c r="J94" s="59"/>
      <c r="K94" s="60"/>
      <c r="L94" s="61"/>
      <c r="M94" s="62"/>
      <c r="N94" s="59"/>
      <c r="O94" s="83"/>
      <c r="P94" s="64"/>
      <c r="Q94" s="66" t="str">
        <f aca="false">IF(ISBLANK($C94),"",IF(E94=Constants!$B$2, TRUE(), IF(E94=Constants!$B$3, FALSE(), TRUE())))</f>
        <v/>
      </c>
      <c r="R94" s="66" t="str">
        <f aca="false">IF(ISBLANK($C94),"",IF(F94=Constants!$B$16,Constants!$B$9,IF(F94=Constants!$B$17,Constants!$B$10,Constants!$B$8)))</f>
        <v/>
      </c>
      <c r="S94" s="66" t="str">
        <f aca="false">IF(ISBLANK($C94),"",IF(COUNTA(G94:H94)=0,"",IF(AND(OR(ISBLANK(G94),AND(ISNUMBER(G94),G94&gt;=0)),OR(ISBLANK(H94),AND(ISNUMBER(H94),H94&gt;=0))),60*IF(ISBLANK(G94),0,G94)+IF(ISBLANK(H94),0,H94),"")))</f>
        <v/>
      </c>
      <c r="T94" s="66" t="str">
        <f aca="false">IF(ISBLANK($C94),"",IF(I94=Constants!$B$2, TRUE(), IF(I94=Constants!$B$3, FALSE(), TRUE())))</f>
        <v/>
      </c>
      <c r="U94" s="66" t="str">
        <f aca="false">IF(ISBLANK($C94),"",IF(J94=Constants!$B$2, TRUE(), IF(J94=Constants!$B$3, FALSE(), TRUE())))</f>
        <v/>
      </c>
      <c r="V94" s="66" t="str">
        <f aca="false">IF(ISBLANK($C94),"",IF(COUNTA(K94:L94)=0,"",IF(AND(OR(ISBLANK(K94),AND(ISNUMBER(K94),K94&gt;=0)),OR(ISBLANK(L94),AND(ISNUMBER(L94),L94&gt;=0))),60*IF(ISBLANK(K94),0,K94)+IF(ISBLANK(L94),0,L94),"")))</f>
        <v/>
      </c>
      <c r="W94" s="66" t="str">
        <f aca="false">IF(ISBLANK($C94),"",IF(M94=Constants!$B$2, TRUE(), IF(M94=Constants!$B$3, FALSE(), TRUE())))</f>
        <v/>
      </c>
      <c r="X94" s="66" t="str">
        <f aca="false">IF(ISBLANK($C94),"",IF(N94=Constants!$B$2, TRUE(), IF(N94=Constants!$B$3, FALSE(), TRUE())))</f>
        <v/>
      </c>
      <c r="Y94" s="66" t="str">
        <f aca="false">IF(ISBLANK($C94),"",IF(O94=Constants!$B$2, TRUE(), IF(O94=Constants!$B$3, FALSE(), FALSE())))</f>
        <v/>
      </c>
      <c r="Z94" s="66" t="str">
        <f aca="false">IF(ISBLANK($C94),"",AND(S94&lt;&gt;"",Q94))</f>
        <v/>
      </c>
      <c r="AA94" s="66" t="str">
        <f aca="false">IF(ISBLANK($C94),"",AND(V94&lt;&gt;"",Q94))</f>
        <v/>
      </c>
      <c r="AB94" s="66" t="str">
        <f aca="false">IF(ISBLANK($C94),"",IF(Y94,Constants!$B$4,IF(COUNTA(E94:N94)=0,Constants!$B$5,IF(NOT(Q94),Constants!$B$6,IF(AND(NOT(Z94),NOT(AA94)),Constants!$B$6,Constants!$B$7)))))</f>
        <v/>
      </c>
      <c r="AC94" s="66" t="str">
        <f aca="false">IF(ISBLANK($C94),"",IF($AB94&lt;&gt;Constants!$B$7,$AB94,Constants!$B$20))</f>
        <v/>
      </c>
      <c r="AD94" s="66" t="str">
        <f aca="false">IF($AB94=Constants!$B$7,IF(Z94,S94,Constants!$B$13),"")</f>
        <v/>
      </c>
      <c r="AE94" s="66" t="str">
        <f aca="false">IF($AB94=Constants!$B$7,IF(Z94,R94*IF(T94, 1, Constants!$B$11)*IF(U94, 1, Constants!$B$12),Constants!$B$13),"")</f>
        <v/>
      </c>
      <c r="AF94" s="66" t="str">
        <f aca="false">IF($AB94=Constants!$B$7,AD94*AE94,"")</f>
        <v/>
      </c>
      <c r="AG94" s="66" t="str">
        <f aca="false">IF($AB94=Constants!$B$7,IF(AA94,V94,Constants!$B$13),"")</f>
        <v/>
      </c>
      <c r="AH94" s="66" t="str">
        <f aca="false">IF($AB94=Constants!$B$7,IF(AA94,R94*IF(W94, 1, Constants!$B$11)*IF(X94, 1, Constants!$B$12),Constants!$B$13),"")</f>
        <v/>
      </c>
      <c r="AI94" s="66" t="str">
        <f aca="false">IF($AB94=Constants!$B$7,AG94*AH94,"")</f>
        <v/>
      </c>
      <c r="AJ94" s="66" t="str">
        <f aca="false">IF($AB94=Constants!$B$7,IF(AI94&gt;AF94,2,1),"")</f>
        <v/>
      </c>
      <c r="AK94" s="66" t="str">
        <f aca="false">IF($AB94=Constants!$B$7,IF(AJ94=1,2,1),"")</f>
        <v/>
      </c>
      <c r="AL94" s="66" t="str">
        <f aca="false">IF(ISBLANK($C94),"",IF($AB94&lt;&gt;Constants!$B$7,$AB94,IF(AJ94=1,AF94,AI94)))</f>
        <v/>
      </c>
      <c r="AM94" s="66" t="str">
        <f aca="false">IF(ISBLANK($C94),"",IF($AB94=Constants!$B$7,IF(ISNUMBER(AL94),RANK(AL94,$AL$8:$AL$507),Constants!$B$14),$AB94))</f>
        <v/>
      </c>
      <c r="AN94" s="66" t="str">
        <f aca="false">IF(ISBLANK($C94),"",IF($AB94=Constants!$B$7,IF(AK94=1,AF94,AI94),""))</f>
        <v/>
      </c>
      <c r="AO94" s="66" t="str">
        <f aca="false">IF(ISBLANK($C94),"",IF($AB94=Constants!$B$7,RANK(AN94,$AN$8:$AN$507),$AB94))</f>
        <v/>
      </c>
      <c r="AP94" s="66" t="str">
        <f aca="false">IF(ISBLANK($C94),"",IF($AB94=Constants!$B$7,IF(ISNUMBER(AM94),COUNTIFS($AM$8:$AM$507,"&lt;"&amp;$AM94)+COUNTIFS($AM$8:$AM$507,$AM94,$AO$8:$AO$507,"&lt;"&amp;$AO94)+1,Constants!$B$14),$AB94))</f>
        <v/>
      </c>
      <c r="AQ94" s="66" t="str">
        <f aca="false">IF(ISBLANK($C94),"",IF($AB94=Constants!$B$7,IF(ISNUMBER(AM94),AM94-AP94,Constants!$B$14),$AB94))</f>
        <v/>
      </c>
      <c r="AR94" s="68"/>
      <c r="AS94" s="69" t="str">
        <f aca="false">IF(ISBLANK($C94),"",IF($AB94&lt;&gt;Constants!$B$7,"",AJ94))</f>
        <v/>
      </c>
      <c r="AT94" s="84" t="str">
        <f aca="false">IF(ISBLANK($C94),"",IF($AB94&lt;&gt;Constants!$B$7,"",IF(AJ94=1,AD94,AG94)))</f>
        <v/>
      </c>
      <c r="AU94" s="71" t="str">
        <f aca="false">IF(ISBLANK($C94),"",IF($AB94&lt;&gt;Constants!$B$7,"",IF(AJ94=1,AE94,AH94)))</f>
        <v/>
      </c>
      <c r="AV94" s="72" t="str">
        <f aca="false">IF(ISBLANK($C94),"",IF($AB94&lt;&gt;Constants!$B$7,$AB94,AL94))</f>
        <v/>
      </c>
      <c r="AW94" s="73" t="str">
        <f aca="false">IF(ISBLANK($C94),"",IF($AB94&lt;&gt;Constants!$B$7,$AB94,AC94))</f>
        <v/>
      </c>
      <c r="AX94" s="74" t="str">
        <f aca="false">IF(ISBLANK($C94),"",AQ94)</f>
        <v/>
      </c>
      <c r="AY94" s="74" t="str">
        <f aca="false">IF(ISBLANK($C94),"",AP94)</f>
        <v/>
      </c>
      <c r="AZ94" s="75" t="str">
        <f aca="false">IF(ISBLANK($C94),"",IF(AY94=Constants!$B$4,COUNTA($C$8:$C$507)+2,IF(AY94=Constants!$B$5,COUNTA($C$8:$C$507)+1,IF(AY94=Constants!$B$6,COUNTA($C$8:$C$507),AY94))))</f>
        <v/>
      </c>
      <c r="BA94" s="5"/>
      <c r="BB94" s="76" t="n">
        <f aca="false">IF(OR(ISNUMBER(AY94),AY94=Constants!$B$4,AY94=Constants!$B$6,AY94=Constants!$B$5),1,0)</f>
        <v>0</v>
      </c>
      <c r="BC94" s="76" t="n">
        <v>87</v>
      </c>
      <c r="BD94" s="76" t="str">
        <f aca="false">IF(ISBLANK($C94),"",IF(ISNUMBER(AZ94),AZ94+ROW($B94)/1000,""))</f>
        <v/>
      </c>
      <c r="BE94" s="76" t="str">
        <f aca="false">IF(ISNUMBER(BD94),RANK(BD94,$BD$8:$BD$507,1),"")</f>
        <v/>
      </c>
      <c r="BF94" s="76" t="str">
        <f aca="false">IF(ISBLANK($C94),"",$B94)</f>
        <v/>
      </c>
      <c r="BG94" s="76" t="str">
        <f aca="false">IF(ISBLANK($C94),"",$C94)</f>
        <v/>
      </c>
      <c r="BH94" s="76" t="str">
        <f aca="false">IF(ISBLANK($C94),"",$D94)</f>
        <v/>
      </c>
      <c r="BI94" s="77" t="str">
        <f aca="false">AW94</f>
        <v/>
      </c>
      <c r="BJ94" s="78" t="str">
        <f aca="false">AV94</f>
        <v/>
      </c>
      <c r="BK94" s="76" t="str">
        <f aca="false">IF(ISBLANK($C94),"",AY94)</f>
        <v/>
      </c>
      <c r="BL94" s="79" t="str">
        <f aca="false">IF($BC94&gt;$BB$7,"",VLOOKUP($BC94,$BE$8:$BK$507,7,FALSE()))</f>
        <v/>
      </c>
      <c r="BM94" s="80" t="str">
        <f aca="false">IF($BC94&gt;$BB$7,"",VLOOKUP($BC94,$BE$8:$BK$507,2,FALSE()))</f>
        <v/>
      </c>
      <c r="BN94" s="80" t="str">
        <f aca="false">IF($BC94&gt;$BB$7,"",VLOOKUP($BC94,$BE$8:$BK$507,3,FALSE()))</f>
        <v/>
      </c>
      <c r="BO94" s="80" t="str">
        <f aca="false">IF($BC94&gt;$BB$7,"",VLOOKUP($BC94,$BE$8:$BK$507,4,FALSE()))</f>
        <v/>
      </c>
      <c r="BP94" s="80" t="str">
        <f aca="false">IF($BC94&gt;$BB$7,"",VLOOKUP($BC94,$BE$8:$BK$507,5,FALSE()))</f>
        <v/>
      </c>
      <c r="BQ94" s="81" t="str">
        <f aca="false">IF($BC94&gt;$BB$7,"",VLOOKUP($BC94,$BE$8:$BK$507,6,FALSE()))</f>
        <v/>
      </c>
      <c r="BR94" s="54"/>
    </row>
    <row r="95" customFormat="false" ht="13.8" hidden="false" customHeight="false" outlineLevel="0" collapsed="false">
      <c r="A95" s="5"/>
      <c r="B95" s="120"/>
      <c r="C95" s="121"/>
      <c r="D95" s="112"/>
      <c r="E95" s="123"/>
      <c r="F95" s="91"/>
      <c r="G95" s="92"/>
      <c r="H95" s="93"/>
      <c r="I95" s="94"/>
      <c r="J95" s="91"/>
      <c r="K95" s="92"/>
      <c r="L95" s="93"/>
      <c r="M95" s="94"/>
      <c r="N95" s="91"/>
      <c r="O95" s="123"/>
      <c r="P95" s="96"/>
      <c r="Q95" s="97" t="str">
        <f aca="false">IF(ISBLANK($C95),"",IF(E95=Constants!$B$2, TRUE(), IF(E95=Constants!$B$3, FALSE(), TRUE())))</f>
        <v/>
      </c>
      <c r="R95" s="97" t="str">
        <f aca="false">IF(ISBLANK($C95),"",IF(F95=Constants!$B$16,Constants!$B$9,IF(F95=Constants!$B$17,Constants!$B$10,Constants!$B$8)))</f>
        <v/>
      </c>
      <c r="S95" s="97" t="str">
        <f aca="false">IF(ISBLANK($C95),"",IF(COUNTA(G95:H95)=0,"",IF(AND(OR(ISBLANK(G95),AND(ISNUMBER(G95),G95&gt;=0)),OR(ISBLANK(H95),AND(ISNUMBER(H95),H95&gt;=0))),60*IF(ISBLANK(G95),0,G95)+IF(ISBLANK(H95),0,H95),"")))</f>
        <v/>
      </c>
      <c r="T95" s="97" t="str">
        <f aca="false">IF(ISBLANK($C95),"",IF(I95=Constants!$B$2, TRUE(), IF(I95=Constants!$B$3, FALSE(), TRUE())))</f>
        <v/>
      </c>
      <c r="U95" s="97" t="str">
        <f aca="false">IF(ISBLANK($C95),"",IF(J95=Constants!$B$2, TRUE(), IF(J95=Constants!$B$3, FALSE(), TRUE())))</f>
        <v/>
      </c>
      <c r="V95" s="97" t="str">
        <f aca="false">IF(ISBLANK($C95),"",IF(COUNTA(K95:L95)=0,"",IF(AND(OR(ISBLANK(K95),AND(ISNUMBER(K95),K95&gt;=0)),OR(ISBLANK(L95),AND(ISNUMBER(L95),L95&gt;=0))),60*IF(ISBLANK(K95),0,K95)+IF(ISBLANK(L95),0,L95),"")))</f>
        <v/>
      </c>
      <c r="W95" s="97" t="str">
        <f aca="false">IF(ISBLANK($C95),"",IF(M95=Constants!$B$2, TRUE(), IF(M95=Constants!$B$3, FALSE(), TRUE())))</f>
        <v/>
      </c>
      <c r="X95" s="97" t="str">
        <f aca="false">IF(ISBLANK($C95),"",IF(N95=Constants!$B$2, TRUE(), IF(N95=Constants!$B$3, FALSE(), TRUE())))</f>
        <v/>
      </c>
      <c r="Y95" s="97" t="str">
        <f aca="false">IF(ISBLANK($C95),"",IF(O95=Constants!$B$2, TRUE(), IF(O95=Constants!$B$3, FALSE(), FALSE())))</f>
        <v/>
      </c>
      <c r="Z95" s="97" t="str">
        <f aca="false">IF(ISBLANK($C95),"",AND(S95&lt;&gt;"",Q95))</f>
        <v/>
      </c>
      <c r="AA95" s="97" t="str">
        <f aca="false">IF(ISBLANK($C95),"",AND(V95&lt;&gt;"",Q95))</f>
        <v/>
      </c>
      <c r="AB95" s="97" t="str">
        <f aca="false">IF(ISBLANK($C95),"",IF(Y95,Constants!$B$4,IF(COUNTA(E95:N95)=0,Constants!$B$5,IF(NOT(Q95),Constants!$B$6,IF(AND(NOT(Z95),NOT(AA95)),Constants!$B$6,Constants!$B$7)))))</f>
        <v/>
      </c>
      <c r="AC95" s="97" t="str">
        <f aca="false">IF(ISBLANK($C95),"",IF($AB95&lt;&gt;Constants!$B$7,$AB95,Constants!$B$20))</f>
        <v/>
      </c>
      <c r="AD95" s="97" t="str">
        <f aca="false">IF($AB95=Constants!$B$7,IF(Z95,S95,Constants!$B$13),"")</f>
        <v/>
      </c>
      <c r="AE95" s="97" t="str">
        <f aca="false">IF($AB95=Constants!$B$7,IF(Z95,R95*IF(T95, 1, Constants!$B$11)*IF(U95, 1, Constants!$B$12),Constants!$B$13),"")</f>
        <v/>
      </c>
      <c r="AF95" s="97" t="str">
        <f aca="false">IF($AB95=Constants!$B$7,AD95*AE95,"")</f>
        <v/>
      </c>
      <c r="AG95" s="97" t="str">
        <f aca="false">IF($AB95=Constants!$B$7,IF(AA95,V95,Constants!$B$13),"")</f>
        <v/>
      </c>
      <c r="AH95" s="97" t="str">
        <f aca="false">IF($AB95=Constants!$B$7,IF(AA95,R95*IF(W95, 1, Constants!$B$11)*IF(X95, 1, Constants!$B$12),Constants!$B$13),"")</f>
        <v/>
      </c>
      <c r="AI95" s="97" t="str">
        <f aca="false">IF($AB95=Constants!$B$7,AG95*AH95,"")</f>
        <v/>
      </c>
      <c r="AJ95" s="97" t="str">
        <f aca="false">IF($AB95=Constants!$B$7,IF(AI95&gt;AF95,2,1),"")</f>
        <v/>
      </c>
      <c r="AK95" s="97" t="str">
        <f aca="false">IF($AB95=Constants!$B$7,IF(AJ95=1,2,1),"")</f>
        <v/>
      </c>
      <c r="AL95" s="97" t="str">
        <f aca="false">IF(ISBLANK($C95),"",IF($AB95&lt;&gt;Constants!$B$7,$AB95,IF(AJ95=1,AF95,AI95)))</f>
        <v/>
      </c>
      <c r="AM95" s="97" t="str">
        <f aca="false">IF(ISBLANK($C95),"",IF($AB95=Constants!$B$7,IF(ISNUMBER(AL95),RANK(AL95,$AL$8:$AL$507),Constants!$B$14),$AB95))</f>
        <v/>
      </c>
      <c r="AN95" s="97" t="str">
        <f aca="false">IF(ISBLANK($C95),"",IF($AB95=Constants!$B$7,IF(AK95=1,AF95,AI95),""))</f>
        <v/>
      </c>
      <c r="AO95" s="97" t="str">
        <f aca="false">IF(ISBLANK($C95),"",IF($AB95=Constants!$B$7,RANK(AN95,$AN$8:$AN$507),$AB95))</f>
        <v/>
      </c>
      <c r="AP95" s="97" t="str">
        <f aca="false">IF(ISBLANK($C95),"",IF($AB95=Constants!$B$7,IF(ISNUMBER(AM95),COUNTIFS($AM$8:$AM$507,"&lt;"&amp;$AM95)+COUNTIFS($AM$8:$AM$507,$AM95,$AO$8:$AO$507,"&lt;"&amp;$AO95)+1,Constants!$B$14),$AB95))</f>
        <v/>
      </c>
      <c r="AQ95" s="97" t="str">
        <f aca="false">IF(ISBLANK($C95),"",IF($AB95=Constants!$B$7,IF(ISNUMBER(AM95),AM95-AP95,Constants!$B$14),$AB95))</f>
        <v/>
      </c>
      <c r="AR95" s="98"/>
      <c r="AS95" s="99" t="str">
        <f aca="false">IF(ISBLANK($C95),"",IF($AB95&lt;&gt;Constants!$B$7,"",AJ95))</f>
        <v/>
      </c>
      <c r="AT95" s="100" t="str">
        <f aca="false">IF(ISBLANK($C95),"",IF($AB95&lt;&gt;Constants!$B$7,"",IF(AJ95=1,AD95,AG95)))</f>
        <v/>
      </c>
      <c r="AU95" s="101" t="str">
        <f aca="false">IF(ISBLANK($C95),"",IF($AB95&lt;&gt;Constants!$B$7,"",IF(AJ95=1,AE95,AH95)))</f>
        <v/>
      </c>
      <c r="AV95" s="102" t="str">
        <f aca="false">IF(ISBLANK($C95),"",IF($AB95&lt;&gt;Constants!$B$7,$AB95,AL95))</f>
        <v/>
      </c>
      <c r="AW95" s="103" t="str">
        <f aca="false">IF(ISBLANK($C95),"",IF($AB95&lt;&gt;Constants!$B$7,$AB95,AC95))</f>
        <v/>
      </c>
      <c r="AX95" s="104" t="str">
        <f aca="false">IF(ISBLANK($C95),"",AQ95)</f>
        <v/>
      </c>
      <c r="AY95" s="104" t="str">
        <f aca="false">IF(ISBLANK($C95),"",AP95)</f>
        <v/>
      </c>
      <c r="AZ95" s="105" t="str">
        <f aca="false">IF(ISBLANK($C95),"",IF(AY95=Constants!$B$4,COUNTA($C$8:$C$507)+2,IF(AY95=Constants!$B$5,COUNTA($C$8:$C$507)+1,IF(AY95=Constants!$B$6,COUNTA($C$8:$C$507),AY95))))</f>
        <v/>
      </c>
      <c r="BA95" s="5"/>
      <c r="BB95" s="106" t="n">
        <f aca="false">IF(OR(ISNUMBER(AY95),AY95=Constants!$B$4,AY95=Constants!$B$6,AY95=Constants!$B$5),1,0)</f>
        <v>0</v>
      </c>
      <c r="BC95" s="106" t="n">
        <v>88</v>
      </c>
      <c r="BD95" s="106" t="str">
        <f aca="false">IF(ISBLANK($C95),"",IF(ISNUMBER(AZ95),AZ95+ROW($B95)/1000,""))</f>
        <v/>
      </c>
      <c r="BE95" s="106" t="str">
        <f aca="false">IF(ISNUMBER(BD95),RANK(BD95,$BD$8:$BD$507,1),"")</f>
        <v/>
      </c>
      <c r="BF95" s="106" t="str">
        <f aca="false">IF(ISBLANK($C95),"",$B95)</f>
        <v/>
      </c>
      <c r="BG95" s="106" t="str">
        <f aca="false">IF(ISBLANK($C95),"",$C95)</f>
        <v/>
      </c>
      <c r="BH95" s="106" t="str">
        <f aca="false">IF(ISBLANK($C95),"",$D95)</f>
        <v/>
      </c>
      <c r="BI95" s="107" t="str">
        <f aca="false">AW95</f>
        <v/>
      </c>
      <c r="BJ95" s="108" t="str">
        <f aca="false">AV95</f>
        <v/>
      </c>
      <c r="BK95" s="106" t="str">
        <f aca="false">IF(ISBLANK($C95),"",AY95)</f>
        <v/>
      </c>
      <c r="BL95" s="109" t="str">
        <f aca="false">IF($BC95&gt;$BB$7,"",VLOOKUP($BC95,$BE$8:$BK$507,7,FALSE()))</f>
        <v/>
      </c>
      <c r="BM95" s="110" t="str">
        <f aca="false">IF($BC95&gt;$BB$7,"",VLOOKUP($BC95,$BE$8:$BK$507,2,FALSE()))</f>
        <v/>
      </c>
      <c r="BN95" s="110" t="str">
        <f aca="false">IF($BC95&gt;$BB$7,"",VLOOKUP($BC95,$BE$8:$BK$507,3,FALSE()))</f>
        <v/>
      </c>
      <c r="BO95" s="110" t="str">
        <f aca="false">IF($BC95&gt;$BB$7,"",VLOOKUP($BC95,$BE$8:$BK$507,4,FALSE()))</f>
        <v/>
      </c>
      <c r="BP95" s="110" t="str">
        <f aca="false">IF($BC95&gt;$BB$7,"",VLOOKUP($BC95,$BE$8:$BK$507,5,FALSE()))</f>
        <v/>
      </c>
      <c r="BQ95" s="111" t="str">
        <f aca="false">IF($BC95&gt;$BB$7,"",VLOOKUP($BC95,$BE$8:$BK$507,6,FALSE()))</f>
        <v/>
      </c>
      <c r="BR95" s="54"/>
    </row>
    <row r="96" customFormat="false" ht="13.8" hidden="false" customHeight="false" outlineLevel="0" collapsed="false">
      <c r="A96" s="5"/>
      <c r="B96" s="120"/>
      <c r="C96" s="121"/>
      <c r="D96" s="112"/>
      <c r="E96" s="123"/>
      <c r="F96" s="91"/>
      <c r="G96" s="92"/>
      <c r="H96" s="93"/>
      <c r="I96" s="94"/>
      <c r="J96" s="91"/>
      <c r="K96" s="92"/>
      <c r="L96" s="93"/>
      <c r="M96" s="94"/>
      <c r="N96" s="91"/>
      <c r="O96" s="123"/>
      <c r="P96" s="96"/>
      <c r="Q96" s="97" t="str">
        <f aca="false">IF(ISBLANK($C96),"",IF(E96=Constants!$B$2, TRUE(), IF(E96=Constants!$B$3, FALSE(), TRUE())))</f>
        <v/>
      </c>
      <c r="R96" s="97" t="str">
        <f aca="false">IF(ISBLANK($C96),"",IF(F96=Constants!$B$16,Constants!$B$9,IF(F96=Constants!$B$17,Constants!$B$10,Constants!$B$8)))</f>
        <v/>
      </c>
      <c r="S96" s="97" t="str">
        <f aca="false">IF(ISBLANK($C96),"",IF(COUNTA(G96:H96)=0,"",IF(AND(OR(ISBLANK(G96),AND(ISNUMBER(G96),G96&gt;=0)),OR(ISBLANK(H96),AND(ISNUMBER(H96),H96&gt;=0))),60*IF(ISBLANK(G96),0,G96)+IF(ISBLANK(H96),0,H96),"")))</f>
        <v/>
      </c>
      <c r="T96" s="97" t="str">
        <f aca="false">IF(ISBLANK($C96),"",IF(I96=Constants!$B$2, TRUE(), IF(I96=Constants!$B$3, FALSE(), TRUE())))</f>
        <v/>
      </c>
      <c r="U96" s="97" t="str">
        <f aca="false">IF(ISBLANK($C96),"",IF(J96=Constants!$B$2, TRUE(), IF(J96=Constants!$B$3, FALSE(), TRUE())))</f>
        <v/>
      </c>
      <c r="V96" s="97" t="str">
        <f aca="false">IF(ISBLANK($C96),"",IF(COUNTA(K96:L96)=0,"",IF(AND(OR(ISBLANK(K96),AND(ISNUMBER(K96),K96&gt;=0)),OR(ISBLANK(L96),AND(ISNUMBER(L96),L96&gt;=0))),60*IF(ISBLANK(K96),0,K96)+IF(ISBLANK(L96),0,L96),"")))</f>
        <v/>
      </c>
      <c r="W96" s="97" t="str">
        <f aca="false">IF(ISBLANK($C96),"",IF(M96=Constants!$B$2, TRUE(), IF(M96=Constants!$B$3, FALSE(), TRUE())))</f>
        <v/>
      </c>
      <c r="X96" s="97" t="str">
        <f aca="false">IF(ISBLANK($C96),"",IF(N96=Constants!$B$2, TRUE(), IF(N96=Constants!$B$3, FALSE(), TRUE())))</f>
        <v/>
      </c>
      <c r="Y96" s="97" t="str">
        <f aca="false">IF(ISBLANK($C96),"",IF(O96=Constants!$B$2, TRUE(), IF(O96=Constants!$B$3, FALSE(), FALSE())))</f>
        <v/>
      </c>
      <c r="Z96" s="97" t="str">
        <f aca="false">IF(ISBLANK($C96),"",AND(S96&lt;&gt;"",Q96))</f>
        <v/>
      </c>
      <c r="AA96" s="97" t="str">
        <f aca="false">IF(ISBLANK($C96),"",AND(V96&lt;&gt;"",Q96))</f>
        <v/>
      </c>
      <c r="AB96" s="97" t="str">
        <f aca="false">IF(ISBLANK($C96),"",IF(Y96,Constants!$B$4,IF(COUNTA(E96:N96)=0,Constants!$B$5,IF(NOT(Q96),Constants!$B$6,IF(AND(NOT(Z96),NOT(AA96)),Constants!$B$6,Constants!$B$7)))))</f>
        <v/>
      </c>
      <c r="AC96" s="97" t="str">
        <f aca="false">IF(ISBLANK($C96),"",IF($AB96&lt;&gt;Constants!$B$7,$AB96,Constants!$B$20))</f>
        <v/>
      </c>
      <c r="AD96" s="97" t="str">
        <f aca="false">IF($AB96=Constants!$B$7,IF(Z96,S96,Constants!$B$13),"")</f>
        <v/>
      </c>
      <c r="AE96" s="97" t="str">
        <f aca="false">IF($AB96=Constants!$B$7,IF(Z96,R96*IF(T96, 1, Constants!$B$11)*IF(U96, 1, Constants!$B$12),Constants!$B$13),"")</f>
        <v/>
      </c>
      <c r="AF96" s="97" t="str">
        <f aca="false">IF($AB96=Constants!$B$7,AD96*AE96,"")</f>
        <v/>
      </c>
      <c r="AG96" s="97" t="str">
        <f aca="false">IF($AB96=Constants!$B$7,IF(AA96,V96,Constants!$B$13),"")</f>
        <v/>
      </c>
      <c r="AH96" s="97" t="str">
        <f aca="false">IF($AB96=Constants!$B$7,IF(AA96,R96*IF(W96, 1, Constants!$B$11)*IF(X96, 1, Constants!$B$12),Constants!$B$13),"")</f>
        <v/>
      </c>
      <c r="AI96" s="97" t="str">
        <f aca="false">IF($AB96=Constants!$B$7,AG96*AH96,"")</f>
        <v/>
      </c>
      <c r="AJ96" s="97" t="str">
        <f aca="false">IF($AB96=Constants!$B$7,IF(AI96&gt;AF96,2,1),"")</f>
        <v/>
      </c>
      <c r="AK96" s="97" t="str">
        <f aca="false">IF($AB96=Constants!$B$7,IF(AJ96=1,2,1),"")</f>
        <v/>
      </c>
      <c r="AL96" s="97" t="str">
        <f aca="false">IF(ISBLANK($C96),"",IF($AB96&lt;&gt;Constants!$B$7,$AB96,IF(AJ96=1,AF96,AI96)))</f>
        <v/>
      </c>
      <c r="AM96" s="97" t="str">
        <f aca="false">IF(ISBLANK($C96),"",IF($AB96=Constants!$B$7,IF(ISNUMBER(AL96),RANK(AL96,$AL$8:$AL$507),Constants!$B$14),$AB96))</f>
        <v/>
      </c>
      <c r="AN96" s="97" t="str">
        <f aca="false">IF(ISBLANK($C96),"",IF($AB96=Constants!$B$7,IF(AK96=1,AF96,AI96),""))</f>
        <v/>
      </c>
      <c r="AO96" s="97" t="str">
        <f aca="false">IF(ISBLANK($C96),"",IF($AB96=Constants!$B$7,RANK(AN96,$AN$8:$AN$507),$AB96))</f>
        <v/>
      </c>
      <c r="AP96" s="97" t="str">
        <f aca="false">IF(ISBLANK($C96),"",IF($AB96=Constants!$B$7,IF(ISNUMBER(AM96),COUNTIFS($AM$8:$AM$507,"&lt;"&amp;$AM96)+COUNTIFS($AM$8:$AM$507,$AM96,$AO$8:$AO$507,"&lt;"&amp;$AO96)+1,Constants!$B$14),$AB96))</f>
        <v/>
      </c>
      <c r="AQ96" s="97" t="str">
        <f aca="false">IF(ISBLANK($C96),"",IF($AB96=Constants!$B$7,IF(ISNUMBER(AM96),AM96-AP96,Constants!$B$14),$AB96))</f>
        <v/>
      </c>
      <c r="AR96" s="98"/>
      <c r="AS96" s="99" t="str">
        <f aca="false">IF(ISBLANK($C96),"",IF($AB96&lt;&gt;Constants!$B$7,"",AJ96))</f>
        <v/>
      </c>
      <c r="AT96" s="100" t="str">
        <f aca="false">IF(ISBLANK($C96),"",IF($AB96&lt;&gt;Constants!$B$7,"",IF(AJ96=1,AD96,AG96)))</f>
        <v/>
      </c>
      <c r="AU96" s="101" t="str">
        <f aca="false">IF(ISBLANK($C96),"",IF($AB96&lt;&gt;Constants!$B$7,"",IF(AJ96=1,AE96,AH96)))</f>
        <v/>
      </c>
      <c r="AV96" s="102" t="str">
        <f aca="false">IF(ISBLANK($C96),"",IF($AB96&lt;&gt;Constants!$B$7,$AB96,AL96))</f>
        <v/>
      </c>
      <c r="AW96" s="103" t="str">
        <f aca="false">IF(ISBLANK($C96),"",IF($AB96&lt;&gt;Constants!$B$7,$AB96,AC96))</f>
        <v/>
      </c>
      <c r="AX96" s="104" t="str">
        <f aca="false">IF(ISBLANK($C96),"",AQ96)</f>
        <v/>
      </c>
      <c r="AY96" s="104" t="str">
        <f aca="false">IF(ISBLANK($C96),"",AP96)</f>
        <v/>
      </c>
      <c r="AZ96" s="105" t="str">
        <f aca="false">IF(ISBLANK($C96),"",IF(AY96=Constants!$B$4,COUNTA($C$8:$C$507)+2,IF(AY96=Constants!$B$5,COUNTA($C$8:$C$507)+1,IF(AY96=Constants!$B$6,COUNTA($C$8:$C$507),AY96))))</f>
        <v/>
      </c>
      <c r="BA96" s="5"/>
      <c r="BB96" s="106" t="n">
        <f aca="false">IF(OR(ISNUMBER(AY96),AY96=Constants!$B$4,AY96=Constants!$B$6,AY96=Constants!$B$5),1,0)</f>
        <v>0</v>
      </c>
      <c r="BC96" s="106" t="n">
        <v>89</v>
      </c>
      <c r="BD96" s="106" t="str">
        <f aca="false">IF(ISBLANK($C96),"",IF(ISNUMBER(AZ96),AZ96+ROW($B96)/1000,""))</f>
        <v/>
      </c>
      <c r="BE96" s="106" t="str">
        <f aca="false">IF(ISNUMBER(BD96),RANK(BD96,$BD$8:$BD$507,1),"")</f>
        <v/>
      </c>
      <c r="BF96" s="106" t="str">
        <f aca="false">IF(ISBLANK($C96),"",$B96)</f>
        <v/>
      </c>
      <c r="BG96" s="106" t="str">
        <f aca="false">IF(ISBLANK($C96),"",$C96)</f>
        <v/>
      </c>
      <c r="BH96" s="106" t="str">
        <f aca="false">IF(ISBLANK($C96),"",$D96)</f>
        <v/>
      </c>
      <c r="BI96" s="107" t="str">
        <f aca="false">AW96</f>
        <v/>
      </c>
      <c r="BJ96" s="108" t="str">
        <f aca="false">AV96</f>
        <v/>
      </c>
      <c r="BK96" s="106" t="str">
        <f aca="false">IF(ISBLANK($C96),"",AY96)</f>
        <v/>
      </c>
      <c r="BL96" s="109" t="str">
        <f aca="false">IF($BC96&gt;$BB$7,"",VLOOKUP($BC96,$BE$8:$BK$507,7,FALSE()))</f>
        <v/>
      </c>
      <c r="BM96" s="110" t="str">
        <f aca="false">IF($BC96&gt;$BB$7,"",VLOOKUP($BC96,$BE$8:$BK$507,2,FALSE()))</f>
        <v/>
      </c>
      <c r="BN96" s="110" t="str">
        <f aca="false">IF($BC96&gt;$BB$7,"",VLOOKUP($BC96,$BE$8:$BK$507,3,FALSE()))</f>
        <v/>
      </c>
      <c r="BO96" s="110" t="str">
        <f aca="false">IF($BC96&gt;$BB$7,"",VLOOKUP($BC96,$BE$8:$BK$507,4,FALSE()))</f>
        <v/>
      </c>
      <c r="BP96" s="110" t="str">
        <f aca="false">IF($BC96&gt;$BB$7,"",VLOOKUP($BC96,$BE$8:$BK$507,5,FALSE()))</f>
        <v/>
      </c>
      <c r="BQ96" s="111" t="str">
        <f aca="false">IF($BC96&gt;$BB$7,"",VLOOKUP($BC96,$BE$8:$BK$507,6,FALSE()))</f>
        <v/>
      </c>
      <c r="BR96" s="54"/>
    </row>
    <row r="97" customFormat="false" ht="13.8" hidden="false" customHeight="false" outlineLevel="0" collapsed="false">
      <c r="A97" s="5"/>
      <c r="B97" s="120"/>
      <c r="C97" s="121"/>
      <c r="D97" s="112"/>
      <c r="E97" s="123"/>
      <c r="F97" s="91"/>
      <c r="G97" s="92"/>
      <c r="H97" s="93"/>
      <c r="I97" s="94"/>
      <c r="J97" s="91"/>
      <c r="K97" s="92"/>
      <c r="L97" s="93"/>
      <c r="M97" s="94"/>
      <c r="N97" s="91"/>
      <c r="O97" s="123"/>
      <c r="P97" s="96"/>
      <c r="Q97" s="97" t="str">
        <f aca="false">IF(ISBLANK($C97),"",IF(E97=Constants!$B$2, TRUE(), IF(E97=Constants!$B$3, FALSE(), TRUE())))</f>
        <v/>
      </c>
      <c r="R97" s="97" t="str">
        <f aca="false">IF(ISBLANK($C97),"",IF(F97=Constants!$B$16,Constants!$B$9,IF(F97=Constants!$B$17,Constants!$B$10,Constants!$B$8)))</f>
        <v/>
      </c>
      <c r="S97" s="97" t="str">
        <f aca="false">IF(ISBLANK($C97),"",IF(COUNTA(G97:H97)=0,"",IF(AND(OR(ISBLANK(G97),AND(ISNUMBER(G97),G97&gt;=0)),OR(ISBLANK(H97),AND(ISNUMBER(H97),H97&gt;=0))),60*IF(ISBLANK(G97),0,G97)+IF(ISBLANK(H97),0,H97),"")))</f>
        <v/>
      </c>
      <c r="T97" s="97" t="str">
        <f aca="false">IF(ISBLANK($C97),"",IF(I97=Constants!$B$2, TRUE(), IF(I97=Constants!$B$3, FALSE(), TRUE())))</f>
        <v/>
      </c>
      <c r="U97" s="97" t="str">
        <f aca="false">IF(ISBLANK($C97),"",IF(J97=Constants!$B$2, TRUE(), IF(J97=Constants!$B$3, FALSE(), TRUE())))</f>
        <v/>
      </c>
      <c r="V97" s="97" t="str">
        <f aca="false">IF(ISBLANK($C97),"",IF(COUNTA(K97:L97)=0,"",IF(AND(OR(ISBLANK(K97),AND(ISNUMBER(K97),K97&gt;=0)),OR(ISBLANK(L97),AND(ISNUMBER(L97),L97&gt;=0))),60*IF(ISBLANK(K97),0,K97)+IF(ISBLANK(L97),0,L97),"")))</f>
        <v/>
      </c>
      <c r="W97" s="97" t="str">
        <f aca="false">IF(ISBLANK($C97),"",IF(M97=Constants!$B$2, TRUE(), IF(M97=Constants!$B$3, FALSE(), TRUE())))</f>
        <v/>
      </c>
      <c r="X97" s="97" t="str">
        <f aca="false">IF(ISBLANK($C97),"",IF(N97=Constants!$B$2, TRUE(), IF(N97=Constants!$B$3, FALSE(), TRUE())))</f>
        <v/>
      </c>
      <c r="Y97" s="97" t="str">
        <f aca="false">IF(ISBLANK($C97),"",IF(O97=Constants!$B$2, TRUE(), IF(O97=Constants!$B$3, FALSE(), FALSE())))</f>
        <v/>
      </c>
      <c r="Z97" s="97" t="str">
        <f aca="false">IF(ISBLANK($C97),"",AND(S97&lt;&gt;"",Q97))</f>
        <v/>
      </c>
      <c r="AA97" s="97" t="str">
        <f aca="false">IF(ISBLANK($C97),"",AND(V97&lt;&gt;"",Q97))</f>
        <v/>
      </c>
      <c r="AB97" s="97" t="str">
        <f aca="false">IF(ISBLANK($C97),"",IF(Y97,Constants!$B$4,IF(COUNTA(E97:N97)=0,Constants!$B$5,IF(NOT(Q97),Constants!$B$6,IF(AND(NOT(Z97),NOT(AA97)),Constants!$B$6,Constants!$B$7)))))</f>
        <v/>
      </c>
      <c r="AC97" s="97" t="str">
        <f aca="false">IF(ISBLANK($C97),"",IF($AB97&lt;&gt;Constants!$B$7,$AB97,Constants!$B$20))</f>
        <v/>
      </c>
      <c r="AD97" s="97" t="str">
        <f aca="false">IF($AB97=Constants!$B$7,IF(Z97,S97,Constants!$B$13),"")</f>
        <v/>
      </c>
      <c r="AE97" s="97" t="str">
        <f aca="false">IF($AB97=Constants!$B$7,IF(Z97,R97*IF(T97, 1, Constants!$B$11)*IF(U97, 1, Constants!$B$12),Constants!$B$13),"")</f>
        <v/>
      </c>
      <c r="AF97" s="97" t="str">
        <f aca="false">IF($AB97=Constants!$B$7,AD97*AE97,"")</f>
        <v/>
      </c>
      <c r="AG97" s="97" t="str">
        <f aca="false">IF($AB97=Constants!$B$7,IF(AA97,V97,Constants!$B$13),"")</f>
        <v/>
      </c>
      <c r="AH97" s="97" t="str">
        <f aca="false">IF($AB97=Constants!$B$7,IF(AA97,R97*IF(W97, 1, Constants!$B$11)*IF(X97, 1, Constants!$B$12),Constants!$B$13),"")</f>
        <v/>
      </c>
      <c r="AI97" s="97" t="str">
        <f aca="false">IF($AB97=Constants!$B$7,AG97*AH97,"")</f>
        <v/>
      </c>
      <c r="AJ97" s="97" t="str">
        <f aca="false">IF($AB97=Constants!$B$7,IF(AI97&gt;AF97,2,1),"")</f>
        <v/>
      </c>
      <c r="AK97" s="97" t="str">
        <f aca="false">IF($AB97=Constants!$B$7,IF(AJ97=1,2,1),"")</f>
        <v/>
      </c>
      <c r="AL97" s="97" t="str">
        <f aca="false">IF(ISBLANK($C97),"",IF($AB97&lt;&gt;Constants!$B$7,$AB97,IF(AJ97=1,AF97,AI97)))</f>
        <v/>
      </c>
      <c r="AM97" s="97" t="str">
        <f aca="false">IF(ISBLANK($C97),"",IF($AB97=Constants!$B$7,IF(ISNUMBER(AL97),RANK(AL97,$AL$8:$AL$507),Constants!$B$14),$AB97))</f>
        <v/>
      </c>
      <c r="AN97" s="97" t="str">
        <f aca="false">IF(ISBLANK($C97),"",IF($AB97=Constants!$B$7,IF(AK97=1,AF97,AI97),""))</f>
        <v/>
      </c>
      <c r="AO97" s="97" t="str">
        <f aca="false">IF(ISBLANK($C97),"",IF($AB97=Constants!$B$7,RANK(AN97,$AN$8:$AN$507),$AB97))</f>
        <v/>
      </c>
      <c r="AP97" s="97" t="str">
        <f aca="false">IF(ISBLANK($C97),"",IF($AB97=Constants!$B$7,IF(ISNUMBER(AM97),COUNTIFS($AM$8:$AM$507,"&lt;"&amp;$AM97)+COUNTIFS($AM$8:$AM$507,$AM97,$AO$8:$AO$507,"&lt;"&amp;$AO97)+1,Constants!$B$14),$AB97))</f>
        <v/>
      </c>
      <c r="AQ97" s="97" t="str">
        <f aca="false">IF(ISBLANK($C97),"",IF($AB97=Constants!$B$7,IF(ISNUMBER(AM97),AM97-AP97,Constants!$B$14),$AB97))</f>
        <v/>
      </c>
      <c r="AR97" s="98"/>
      <c r="AS97" s="99" t="str">
        <f aca="false">IF(ISBLANK($C97),"",IF($AB97&lt;&gt;Constants!$B$7,"",AJ97))</f>
        <v/>
      </c>
      <c r="AT97" s="100" t="str">
        <f aca="false">IF(ISBLANK($C97),"",IF($AB97&lt;&gt;Constants!$B$7,"",IF(AJ97=1,AD97,AG97)))</f>
        <v/>
      </c>
      <c r="AU97" s="101" t="str">
        <f aca="false">IF(ISBLANK($C97),"",IF($AB97&lt;&gt;Constants!$B$7,"",IF(AJ97=1,AE97,AH97)))</f>
        <v/>
      </c>
      <c r="AV97" s="102" t="str">
        <f aca="false">IF(ISBLANK($C97),"",IF($AB97&lt;&gt;Constants!$B$7,$AB97,AL97))</f>
        <v/>
      </c>
      <c r="AW97" s="103" t="str">
        <f aca="false">IF(ISBLANK($C97),"",IF($AB97&lt;&gt;Constants!$B$7,$AB97,AC97))</f>
        <v/>
      </c>
      <c r="AX97" s="104" t="str">
        <f aca="false">IF(ISBLANK($C97),"",AQ97)</f>
        <v/>
      </c>
      <c r="AY97" s="104" t="str">
        <f aca="false">IF(ISBLANK($C97),"",AP97)</f>
        <v/>
      </c>
      <c r="AZ97" s="105" t="str">
        <f aca="false">IF(ISBLANK($C97),"",IF(AY97=Constants!$B$4,COUNTA($C$8:$C$507)+2,IF(AY97=Constants!$B$5,COUNTA($C$8:$C$507)+1,IF(AY97=Constants!$B$6,COUNTA($C$8:$C$507),AY97))))</f>
        <v/>
      </c>
      <c r="BA97" s="5"/>
      <c r="BB97" s="106" t="n">
        <f aca="false">IF(OR(ISNUMBER(AY97),AY97=Constants!$B$4,AY97=Constants!$B$6,AY97=Constants!$B$5),1,0)</f>
        <v>0</v>
      </c>
      <c r="BC97" s="106" t="n">
        <v>90</v>
      </c>
      <c r="BD97" s="106" t="str">
        <f aca="false">IF(ISBLANK($C97),"",IF(ISNUMBER(AZ97),AZ97+ROW($B97)/1000,""))</f>
        <v/>
      </c>
      <c r="BE97" s="106" t="str">
        <f aca="false">IF(ISNUMBER(BD97),RANK(BD97,$BD$8:$BD$507,1),"")</f>
        <v/>
      </c>
      <c r="BF97" s="106" t="str">
        <f aca="false">IF(ISBLANK($C97),"",$B97)</f>
        <v/>
      </c>
      <c r="BG97" s="106" t="str">
        <f aca="false">IF(ISBLANK($C97),"",$C97)</f>
        <v/>
      </c>
      <c r="BH97" s="106" t="str">
        <f aca="false">IF(ISBLANK($C97),"",$D97)</f>
        <v/>
      </c>
      <c r="BI97" s="107" t="str">
        <f aca="false">AW97</f>
        <v/>
      </c>
      <c r="BJ97" s="108" t="str">
        <f aca="false">AV97</f>
        <v/>
      </c>
      <c r="BK97" s="106" t="str">
        <f aca="false">IF(ISBLANK($C97),"",AY97)</f>
        <v/>
      </c>
      <c r="BL97" s="109" t="str">
        <f aca="false">IF($BC97&gt;$BB$7,"",VLOOKUP($BC97,$BE$8:$BK$507,7,FALSE()))</f>
        <v/>
      </c>
      <c r="BM97" s="110" t="str">
        <f aca="false">IF($BC97&gt;$BB$7,"",VLOOKUP($BC97,$BE$8:$BK$507,2,FALSE()))</f>
        <v/>
      </c>
      <c r="BN97" s="110" t="str">
        <f aca="false">IF($BC97&gt;$BB$7,"",VLOOKUP($BC97,$BE$8:$BK$507,3,FALSE()))</f>
        <v/>
      </c>
      <c r="BO97" s="110" t="str">
        <f aca="false">IF($BC97&gt;$BB$7,"",VLOOKUP($BC97,$BE$8:$BK$507,4,FALSE()))</f>
        <v/>
      </c>
      <c r="BP97" s="110" t="str">
        <f aca="false">IF($BC97&gt;$BB$7,"",VLOOKUP($BC97,$BE$8:$BK$507,5,FALSE()))</f>
        <v/>
      </c>
      <c r="BQ97" s="111" t="str">
        <f aca="false">IF($BC97&gt;$BB$7,"",VLOOKUP($BC97,$BE$8:$BK$507,6,FALSE()))</f>
        <v/>
      </c>
      <c r="BR97" s="54"/>
    </row>
    <row r="98" customFormat="false" ht="13.8" hidden="false" customHeight="false" outlineLevel="0" collapsed="false">
      <c r="A98" s="5"/>
      <c r="B98" s="124"/>
      <c r="C98" s="56"/>
      <c r="D98" s="57"/>
      <c r="E98" s="83"/>
      <c r="F98" s="59"/>
      <c r="G98" s="60"/>
      <c r="H98" s="61"/>
      <c r="I98" s="62"/>
      <c r="J98" s="59"/>
      <c r="K98" s="60"/>
      <c r="L98" s="61"/>
      <c r="M98" s="62"/>
      <c r="N98" s="59"/>
      <c r="O98" s="83"/>
      <c r="P98" s="64"/>
      <c r="Q98" s="66" t="str">
        <f aca="false">IF(ISBLANK($C98),"",IF(E98=Constants!$B$2, TRUE(), IF(E98=Constants!$B$3, FALSE(), TRUE())))</f>
        <v/>
      </c>
      <c r="R98" s="66" t="str">
        <f aca="false">IF(ISBLANK($C98),"",IF(F98=Constants!$B$16,Constants!$B$9,IF(F98=Constants!$B$17,Constants!$B$10,Constants!$B$8)))</f>
        <v/>
      </c>
      <c r="S98" s="66" t="str">
        <f aca="false">IF(ISBLANK($C98),"",IF(COUNTA(G98:H98)=0,"",IF(AND(OR(ISBLANK(G98),AND(ISNUMBER(G98),G98&gt;=0)),OR(ISBLANK(H98),AND(ISNUMBER(H98),H98&gt;=0))),60*IF(ISBLANK(G98),0,G98)+IF(ISBLANK(H98),0,H98),"")))</f>
        <v/>
      </c>
      <c r="T98" s="66" t="str">
        <f aca="false">IF(ISBLANK($C98),"",IF(I98=Constants!$B$2, TRUE(), IF(I98=Constants!$B$3, FALSE(), TRUE())))</f>
        <v/>
      </c>
      <c r="U98" s="66" t="str">
        <f aca="false">IF(ISBLANK($C98),"",IF(J98=Constants!$B$2, TRUE(), IF(J98=Constants!$B$3, FALSE(), TRUE())))</f>
        <v/>
      </c>
      <c r="V98" s="66" t="str">
        <f aca="false">IF(ISBLANK($C98),"",IF(COUNTA(K98:L98)=0,"",IF(AND(OR(ISBLANK(K98),AND(ISNUMBER(K98),K98&gt;=0)),OR(ISBLANK(L98),AND(ISNUMBER(L98),L98&gt;=0))),60*IF(ISBLANK(K98),0,K98)+IF(ISBLANK(L98),0,L98),"")))</f>
        <v/>
      </c>
      <c r="W98" s="66" t="str">
        <f aca="false">IF(ISBLANK($C98),"",IF(M98=Constants!$B$2, TRUE(), IF(M98=Constants!$B$3, FALSE(), TRUE())))</f>
        <v/>
      </c>
      <c r="X98" s="66" t="str">
        <f aca="false">IF(ISBLANK($C98),"",IF(N98=Constants!$B$2, TRUE(), IF(N98=Constants!$B$3, FALSE(), TRUE())))</f>
        <v/>
      </c>
      <c r="Y98" s="66" t="str">
        <f aca="false">IF(ISBLANK($C98),"",IF(O98=Constants!$B$2, TRUE(), IF(O98=Constants!$B$3, FALSE(), FALSE())))</f>
        <v/>
      </c>
      <c r="Z98" s="66" t="str">
        <f aca="false">IF(ISBLANK($C98),"",AND(S98&lt;&gt;"",Q98))</f>
        <v/>
      </c>
      <c r="AA98" s="66" t="str">
        <f aca="false">IF(ISBLANK($C98),"",AND(V98&lt;&gt;"",Q98))</f>
        <v/>
      </c>
      <c r="AB98" s="66" t="str">
        <f aca="false">IF(ISBLANK($C98),"",IF(Y98,Constants!$B$4,IF(COUNTA(E98:N98)=0,Constants!$B$5,IF(NOT(Q98),Constants!$B$6,IF(AND(NOT(Z98),NOT(AA98)),Constants!$B$6,Constants!$B$7)))))</f>
        <v/>
      </c>
      <c r="AC98" s="66" t="str">
        <f aca="false">IF(ISBLANK($C98),"",IF($AB98&lt;&gt;Constants!$B$7,$AB98,Constants!$B$20))</f>
        <v/>
      </c>
      <c r="AD98" s="66" t="str">
        <f aca="false">IF($AB98=Constants!$B$7,IF(Z98,S98,Constants!$B$13),"")</f>
        <v/>
      </c>
      <c r="AE98" s="66" t="str">
        <f aca="false">IF($AB98=Constants!$B$7,IF(Z98,R98*IF(T98, 1, Constants!$B$11)*IF(U98, 1, Constants!$B$12),Constants!$B$13),"")</f>
        <v/>
      </c>
      <c r="AF98" s="66" t="str">
        <f aca="false">IF($AB98=Constants!$B$7,AD98*AE98,"")</f>
        <v/>
      </c>
      <c r="AG98" s="66" t="str">
        <f aca="false">IF($AB98=Constants!$B$7,IF(AA98,V98,Constants!$B$13),"")</f>
        <v/>
      </c>
      <c r="AH98" s="66" t="str">
        <f aca="false">IF($AB98=Constants!$B$7,IF(AA98,R98*IF(W98, 1, Constants!$B$11)*IF(X98, 1, Constants!$B$12),Constants!$B$13),"")</f>
        <v/>
      </c>
      <c r="AI98" s="66" t="str">
        <f aca="false">IF($AB98=Constants!$B$7,AG98*AH98,"")</f>
        <v/>
      </c>
      <c r="AJ98" s="66" t="str">
        <f aca="false">IF($AB98=Constants!$B$7,IF(AI98&gt;AF98,2,1),"")</f>
        <v/>
      </c>
      <c r="AK98" s="66" t="str">
        <f aca="false">IF($AB98=Constants!$B$7,IF(AJ98=1,2,1),"")</f>
        <v/>
      </c>
      <c r="AL98" s="66" t="str">
        <f aca="false">IF(ISBLANK($C98),"",IF($AB98&lt;&gt;Constants!$B$7,$AB98,IF(AJ98=1,AF98,AI98)))</f>
        <v/>
      </c>
      <c r="AM98" s="66" t="str">
        <f aca="false">IF(ISBLANK($C98),"",IF($AB98=Constants!$B$7,IF(ISNUMBER(AL98),RANK(AL98,$AL$8:$AL$507),Constants!$B$14),$AB98))</f>
        <v/>
      </c>
      <c r="AN98" s="66" t="str">
        <f aca="false">IF(ISBLANK($C98),"",IF($AB98=Constants!$B$7,IF(AK98=1,AF98,AI98),""))</f>
        <v/>
      </c>
      <c r="AO98" s="66" t="str">
        <f aca="false">IF(ISBLANK($C98),"",IF($AB98=Constants!$B$7,RANK(AN98,$AN$8:$AN$507),$AB98))</f>
        <v/>
      </c>
      <c r="AP98" s="66" t="str">
        <f aca="false">IF(ISBLANK($C98),"",IF($AB98=Constants!$B$7,IF(ISNUMBER(AM98),COUNTIFS($AM$8:$AM$507,"&lt;"&amp;$AM98)+COUNTIFS($AM$8:$AM$507,$AM98,$AO$8:$AO$507,"&lt;"&amp;$AO98)+1,Constants!$B$14),$AB98))</f>
        <v/>
      </c>
      <c r="AQ98" s="66" t="str">
        <f aca="false">IF(ISBLANK($C98),"",IF($AB98=Constants!$B$7,IF(ISNUMBER(AM98),AM98-AP98,Constants!$B$14),$AB98))</f>
        <v/>
      </c>
      <c r="AR98" s="68"/>
      <c r="AS98" s="69" t="str">
        <f aca="false">IF(ISBLANK($C98),"",IF($AB98&lt;&gt;Constants!$B$7,"",AJ98))</f>
        <v/>
      </c>
      <c r="AT98" s="84" t="str">
        <f aca="false">IF(ISBLANK($C98),"",IF($AB98&lt;&gt;Constants!$B$7,"",IF(AJ98=1,AD98,AG98)))</f>
        <v/>
      </c>
      <c r="AU98" s="71" t="str">
        <f aca="false">IF(ISBLANK($C98),"",IF($AB98&lt;&gt;Constants!$B$7,"",IF(AJ98=1,AE98,AH98)))</f>
        <v/>
      </c>
      <c r="AV98" s="72" t="str">
        <f aca="false">IF(ISBLANK($C98),"",IF($AB98&lt;&gt;Constants!$B$7,$AB98,AL98))</f>
        <v/>
      </c>
      <c r="AW98" s="73" t="str">
        <f aca="false">IF(ISBLANK($C98),"",IF($AB98&lt;&gt;Constants!$B$7,$AB98,AC98))</f>
        <v/>
      </c>
      <c r="AX98" s="74" t="str">
        <f aca="false">IF(ISBLANK($C98),"",AQ98)</f>
        <v/>
      </c>
      <c r="AY98" s="74" t="str">
        <f aca="false">IF(ISBLANK($C98),"",AP98)</f>
        <v/>
      </c>
      <c r="AZ98" s="75" t="str">
        <f aca="false">IF(ISBLANK($C98),"",IF(AY98=Constants!$B$4,COUNTA($C$8:$C$507)+2,IF(AY98=Constants!$B$5,COUNTA($C$8:$C$507)+1,IF(AY98=Constants!$B$6,COUNTA($C$8:$C$507),AY98))))</f>
        <v/>
      </c>
      <c r="BA98" s="5"/>
      <c r="BB98" s="76" t="n">
        <f aca="false">IF(OR(ISNUMBER(AY98),AY98=Constants!$B$4,AY98=Constants!$B$6,AY98=Constants!$B$5),1,0)</f>
        <v>0</v>
      </c>
      <c r="BC98" s="76" t="n">
        <v>91</v>
      </c>
      <c r="BD98" s="76" t="str">
        <f aca="false">IF(ISBLANK($C98),"",IF(ISNUMBER(AZ98),AZ98+ROW($B98)/1000,""))</f>
        <v/>
      </c>
      <c r="BE98" s="76" t="str">
        <f aca="false">IF(ISNUMBER(BD98),RANK(BD98,$BD$8:$BD$507,1),"")</f>
        <v/>
      </c>
      <c r="BF98" s="76" t="str">
        <f aca="false">IF(ISBLANK($C98),"",$B98)</f>
        <v/>
      </c>
      <c r="BG98" s="76" t="str">
        <f aca="false">IF(ISBLANK($C98),"",$C98)</f>
        <v/>
      </c>
      <c r="BH98" s="76" t="str">
        <f aca="false">IF(ISBLANK($C98),"",$D98)</f>
        <v/>
      </c>
      <c r="BI98" s="77" t="str">
        <f aca="false">AW98</f>
        <v/>
      </c>
      <c r="BJ98" s="78" t="str">
        <f aca="false">AV98</f>
        <v/>
      </c>
      <c r="BK98" s="76" t="str">
        <f aca="false">IF(ISBLANK($C98),"",AY98)</f>
        <v/>
      </c>
      <c r="BL98" s="79" t="str">
        <f aca="false">IF($BC98&gt;$BB$7,"",VLOOKUP($BC98,$BE$8:$BK$507,7,FALSE()))</f>
        <v/>
      </c>
      <c r="BM98" s="80" t="str">
        <f aca="false">IF($BC98&gt;$BB$7,"",VLOOKUP($BC98,$BE$8:$BK$507,2,FALSE()))</f>
        <v/>
      </c>
      <c r="BN98" s="80" t="str">
        <f aca="false">IF($BC98&gt;$BB$7,"",VLOOKUP($BC98,$BE$8:$BK$507,3,FALSE()))</f>
        <v/>
      </c>
      <c r="BO98" s="80" t="str">
        <f aca="false">IF($BC98&gt;$BB$7,"",VLOOKUP($BC98,$BE$8:$BK$507,4,FALSE()))</f>
        <v/>
      </c>
      <c r="BP98" s="80" t="str">
        <f aca="false">IF($BC98&gt;$BB$7,"",VLOOKUP($BC98,$BE$8:$BK$507,5,FALSE()))</f>
        <v/>
      </c>
      <c r="BQ98" s="81" t="str">
        <f aca="false">IF($BC98&gt;$BB$7,"",VLOOKUP($BC98,$BE$8:$BK$507,6,FALSE()))</f>
        <v/>
      </c>
      <c r="BR98" s="54"/>
    </row>
    <row r="99" customFormat="false" ht="13.8" hidden="false" customHeight="false" outlineLevel="0" collapsed="false">
      <c r="A99" s="5"/>
      <c r="B99" s="124"/>
      <c r="C99" s="56"/>
      <c r="D99" s="57"/>
      <c r="E99" s="83"/>
      <c r="F99" s="59"/>
      <c r="G99" s="60"/>
      <c r="H99" s="61"/>
      <c r="I99" s="62"/>
      <c r="J99" s="59"/>
      <c r="K99" s="60"/>
      <c r="L99" s="61"/>
      <c r="M99" s="62"/>
      <c r="N99" s="59"/>
      <c r="O99" s="83"/>
      <c r="P99" s="64"/>
      <c r="Q99" s="66" t="str">
        <f aca="false">IF(ISBLANK($C99),"",IF(E99=Constants!$B$2, TRUE(), IF(E99=Constants!$B$3, FALSE(), TRUE())))</f>
        <v/>
      </c>
      <c r="R99" s="66" t="str">
        <f aca="false">IF(ISBLANK($C99),"",IF(F99=Constants!$B$16,Constants!$B$9,IF(F99=Constants!$B$17,Constants!$B$10,Constants!$B$8)))</f>
        <v/>
      </c>
      <c r="S99" s="66" t="str">
        <f aca="false">IF(ISBLANK($C99),"",IF(COUNTA(G99:H99)=0,"",IF(AND(OR(ISBLANK(G99),AND(ISNUMBER(G99),G99&gt;=0)),OR(ISBLANK(H99),AND(ISNUMBER(H99),H99&gt;=0))),60*IF(ISBLANK(G99),0,G99)+IF(ISBLANK(H99),0,H99),"")))</f>
        <v/>
      </c>
      <c r="T99" s="66" t="str">
        <f aca="false">IF(ISBLANK($C99),"",IF(I99=Constants!$B$2, TRUE(), IF(I99=Constants!$B$3, FALSE(), TRUE())))</f>
        <v/>
      </c>
      <c r="U99" s="66" t="str">
        <f aca="false">IF(ISBLANK($C99),"",IF(J99=Constants!$B$2, TRUE(), IF(J99=Constants!$B$3, FALSE(), TRUE())))</f>
        <v/>
      </c>
      <c r="V99" s="66" t="str">
        <f aca="false">IF(ISBLANK($C99),"",IF(COUNTA(K99:L99)=0,"",IF(AND(OR(ISBLANK(K99),AND(ISNUMBER(K99),K99&gt;=0)),OR(ISBLANK(L99),AND(ISNUMBER(L99),L99&gt;=0))),60*IF(ISBLANK(K99),0,K99)+IF(ISBLANK(L99),0,L99),"")))</f>
        <v/>
      </c>
      <c r="W99" s="66" t="str">
        <f aca="false">IF(ISBLANK($C99),"",IF(M99=Constants!$B$2, TRUE(), IF(M99=Constants!$B$3, FALSE(), TRUE())))</f>
        <v/>
      </c>
      <c r="X99" s="66" t="str">
        <f aca="false">IF(ISBLANK($C99),"",IF(N99=Constants!$B$2, TRUE(), IF(N99=Constants!$B$3, FALSE(), TRUE())))</f>
        <v/>
      </c>
      <c r="Y99" s="66" t="str">
        <f aca="false">IF(ISBLANK($C99),"",IF(O99=Constants!$B$2, TRUE(), IF(O99=Constants!$B$3, FALSE(), FALSE())))</f>
        <v/>
      </c>
      <c r="Z99" s="66" t="str">
        <f aca="false">IF(ISBLANK($C99),"",AND(S99&lt;&gt;"",Q99))</f>
        <v/>
      </c>
      <c r="AA99" s="66" t="str">
        <f aca="false">IF(ISBLANK($C99),"",AND(V99&lt;&gt;"",Q99))</f>
        <v/>
      </c>
      <c r="AB99" s="66" t="str">
        <f aca="false">IF(ISBLANK($C99),"",IF(Y99,Constants!$B$4,IF(COUNTA(E99:N99)=0,Constants!$B$5,IF(NOT(Q99),Constants!$B$6,IF(AND(NOT(Z99),NOT(AA99)),Constants!$B$6,Constants!$B$7)))))</f>
        <v/>
      </c>
      <c r="AC99" s="66" t="str">
        <f aca="false">IF(ISBLANK($C99),"",IF($AB99&lt;&gt;Constants!$B$7,$AB99,Constants!$B$20))</f>
        <v/>
      </c>
      <c r="AD99" s="66" t="str">
        <f aca="false">IF($AB99=Constants!$B$7,IF(Z99,S99,Constants!$B$13),"")</f>
        <v/>
      </c>
      <c r="AE99" s="66" t="str">
        <f aca="false">IF($AB99=Constants!$B$7,IF(Z99,R99*IF(T99, 1, Constants!$B$11)*IF(U99, 1, Constants!$B$12),Constants!$B$13),"")</f>
        <v/>
      </c>
      <c r="AF99" s="66" t="str">
        <f aca="false">IF($AB99=Constants!$B$7,AD99*AE99,"")</f>
        <v/>
      </c>
      <c r="AG99" s="66" t="str">
        <f aca="false">IF($AB99=Constants!$B$7,IF(AA99,V99,Constants!$B$13),"")</f>
        <v/>
      </c>
      <c r="AH99" s="66" t="str">
        <f aca="false">IF($AB99=Constants!$B$7,IF(AA99,R99*IF(W99, 1, Constants!$B$11)*IF(X99, 1, Constants!$B$12),Constants!$B$13),"")</f>
        <v/>
      </c>
      <c r="AI99" s="66" t="str">
        <f aca="false">IF($AB99=Constants!$B$7,AG99*AH99,"")</f>
        <v/>
      </c>
      <c r="AJ99" s="66" t="str">
        <f aca="false">IF($AB99=Constants!$B$7,IF(AI99&gt;AF99,2,1),"")</f>
        <v/>
      </c>
      <c r="AK99" s="66" t="str">
        <f aca="false">IF($AB99=Constants!$B$7,IF(AJ99=1,2,1),"")</f>
        <v/>
      </c>
      <c r="AL99" s="66" t="str">
        <f aca="false">IF(ISBLANK($C99),"",IF($AB99&lt;&gt;Constants!$B$7,$AB99,IF(AJ99=1,AF99,AI99)))</f>
        <v/>
      </c>
      <c r="AM99" s="66" t="str">
        <f aca="false">IF(ISBLANK($C99),"",IF($AB99=Constants!$B$7,IF(ISNUMBER(AL99),RANK(AL99,$AL$8:$AL$507),Constants!$B$14),$AB99))</f>
        <v/>
      </c>
      <c r="AN99" s="66" t="str">
        <f aca="false">IF(ISBLANK($C99),"",IF($AB99=Constants!$B$7,IF(AK99=1,AF99,AI99),""))</f>
        <v/>
      </c>
      <c r="AO99" s="66" t="str">
        <f aca="false">IF(ISBLANK($C99),"",IF($AB99=Constants!$B$7,RANK(AN99,$AN$8:$AN$507),$AB99))</f>
        <v/>
      </c>
      <c r="AP99" s="66" t="str">
        <f aca="false">IF(ISBLANK($C99),"",IF($AB99=Constants!$B$7,IF(ISNUMBER(AM99),COUNTIFS($AM$8:$AM$507,"&lt;"&amp;$AM99)+COUNTIFS($AM$8:$AM$507,$AM99,$AO$8:$AO$507,"&lt;"&amp;$AO99)+1,Constants!$B$14),$AB99))</f>
        <v/>
      </c>
      <c r="AQ99" s="66" t="str">
        <f aca="false">IF(ISBLANK($C99),"",IF($AB99=Constants!$B$7,IF(ISNUMBER(AM99),AM99-AP99,Constants!$B$14),$AB99))</f>
        <v/>
      </c>
      <c r="AR99" s="68"/>
      <c r="AS99" s="69" t="str">
        <f aca="false">IF(ISBLANK($C99),"",IF($AB99&lt;&gt;Constants!$B$7,"",AJ99))</f>
        <v/>
      </c>
      <c r="AT99" s="84" t="str">
        <f aca="false">IF(ISBLANK($C99),"",IF($AB99&lt;&gt;Constants!$B$7,"",IF(AJ99=1,AD99,AG99)))</f>
        <v/>
      </c>
      <c r="AU99" s="71" t="str">
        <f aca="false">IF(ISBLANK($C99),"",IF($AB99&lt;&gt;Constants!$B$7,"",IF(AJ99=1,AE99,AH99)))</f>
        <v/>
      </c>
      <c r="AV99" s="72" t="str">
        <f aca="false">IF(ISBLANK($C99),"",IF($AB99&lt;&gt;Constants!$B$7,$AB99,AL99))</f>
        <v/>
      </c>
      <c r="AW99" s="73" t="str">
        <f aca="false">IF(ISBLANK($C99),"",IF($AB99&lt;&gt;Constants!$B$7,$AB99,AC99))</f>
        <v/>
      </c>
      <c r="AX99" s="74" t="str">
        <f aca="false">IF(ISBLANK($C99),"",AQ99)</f>
        <v/>
      </c>
      <c r="AY99" s="74" t="str">
        <f aca="false">IF(ISBLANK($C99),"",AP99)</f>
        <v/>
      </c>
      <c r="AZ99" s="75" t="str">
        <f aca="false">IF(ISBLANK($C99),"",IF(AY99=Constants!$B$4,COUNTA($C$8:$C$507)+2,IF(AY99=Constants!$B$5,COUNTA($C$8:$C$507)+1,IF(AY99=Constants!$B$6,COUNTA($C$8:$C$507),AY99))))</f>
        <v/>
      </c>
      <c r="BA99" s="5"/>
      <c r="BB99" s="76" t="n">
        <f aca="false">IF(OR(ISNUMBER(AY99),AY99=Constants!$B$4,AY99=Constants!$B$6,AY99=Constants!$B$5),1,0)</f>
        <v>0</v>
      </c>
      <c r="BC99" s="76" t="n">
        <v>92</v>
      </c>
      <c r="BD99" s="76" t="str">
        <f aca="false">IF(ISBLANK($C99),"",IF(ISNUMBER(AZ99),AZ99+ROW($B99)/1000,""))</f>
        <v/>
      </c>
      <c r="BE99" s="76" t="str">
        <f aca="false">IF(ISNUMBER(BD99),RANK(BD99,$BD$8:$BD$507,1),"")</f>
        <v/>
      </c>
      <c r="BF99" s="76" t="str">
        <f aca="false">IF(ISBLANK($C99),"",$B99)</f>
        <v/>
      </c>
      <c r="BG99" s="76" t="str">
        <f aca="false">IF(ISBLANK($C99),"",$C99)</f>
        <v/>
      </c>
      <c r="BH99" s="76" t="str">
        <f aca="false">IF(ISBLANK($C99),"",$D99)</f>
        <v/>
      </c>
      <c r="BI99" s="77" t="str">
        <f aca="false">AW99</f>
        <v/>
      </c>
      <c r="BJ99" s="78" t="str">
        <f aca="false">AV99</f>
        <v/>
      </c>
      <c r="BK99" s="76" t="str">
        <f aca="false">IF(ISBLANK($C99),"",AY99)</f>
        <v/>
      </c>
      <c r="BL99" s="79" t="str">
        <f aca="false">IF($BC99&gt;$BB$7,"",VLOOKUP($BC99,$BE$8:$BK$507,7,FALSE()))</f>
        <v/>
      </c>
      <c r="BM99" s="80" t="str">
        <f aca="false">IF($BC99&gt;$BB$7,"",VLOOKUP($BC99,$BE$8:$BK$507,2,FALSE()))</f>
        <v/>
      </c>
      <c r="BN99" s="80" t="str">
        <f aca="false">IF($BC99&gt;$BB$7,"",VLOOKUP($BC99,$BE$8:$BK$507,3,FALSE()))</f>
        <v/>
      </c>
      <c r="BO99" s="80" t="str">
        <f aca="false">IF($BC99&gt;$BB$7,"",VLOOKUP($BC99,$BE$8:$BK$507,4,FALSE()))</f>
        <v/>
      </c>
      <c r="BP99" s="80" t="str">
        <f aca="false">IF($BC99&gt;$BB$7,"",VLOOKUP($BC99,$BE$8:$BK$507,5,FALSE()))</f>
        <v/>
      </c>
      <c r="BQ99" s="81" t="str">
        <f aca="false">IF($BC99&gt;$BB$7,"",VLOOKUP($BC99,$BE$8:$BK$507,6,FALSE()))</f>
        <v/>
      </c>
      <c r="BR99" s="54"/>
    </row>
    <row r="100" customFormat="false" ht="13.8" hidden="false" customHeight="false" outlineLevel="0" collapsed="false">
      <c r="A100" s="5"/>
      <c r="B100" s="124"/>
      <c r="C100" s="56"/>
      <c r="D100" s="57"/>
      <c r="E100" s="83"/>
      <c r="F100" s="59"/>
      <c r="G100" s="60"/>
      <c r="H100" s="61"/>
      <c r="I100" s="62"/>
      <c r="J100" s="59"/>
      <c r="K100" s="60"/>
      <c r="L100" s="61"/>
      <c r="M100" s="62"/>
      <c r="N100" s="59"/>
      <c r="O100" s="83"/>
      <c r="P100" s="64"/>
      <c r="Q100" s="66" t="str">
        <f aca="false">IF(ISBLANK($C100),"",IF(E100=Constants!$B$2, TRUE(), IF(E100=Constants!$B$3, FALSE(), TRUE())))</f>
        <v/>
      </c>
      <c r="R100" s="66" t="str">
        <f aca="false">IF(ISBLANK($C100),"",IF(F100=Constants!$B$16,Constants!$B$9,IF(F100=Constants!$B$17,Constants!$B$10,Constants!$B$8)))</f>
        <v/>
      </c>
      <c r="S100" s="66" t="str">
        <f aca="false">IF(ISBLANK($C100),"",IF(COUNTA(G100:H100)=0,"",IF(AND(OR(ISBLANK(G100),AND(ISNUMBER(G100),G100&gt;=0)),OR(ISBLANK(H100),AND(ISNUMBER(H100),H100&gt;=0))),60*IF(ISBLANK(G100),0,G100)+IF(ISBLANK(H100),0,H100),"")))</f>
        <v/>
      </c>
      <c r="T100" s="66" t="str">
        <f aca="false">IF(ISBLANK($C100),"",IF(I100=Constants!$B$2, TRUE(), IF(I100=Constants!$B$3, FALSE(), TRUE())))</f>
        <v/>
      </c>
      <c r="U100" s="66" t="str">
        <f aca="false">IF(ISBLANK($C100),"",IF(J100=Constants!$B$2, TRUE(), IF(J100=Constants!$B$3, FALSE(), TRUE())))</f>
        <v/>
      </c>
      <c r="V100" s="66" t="str">
        <f aca="false">IF(ISBLANK($C100),"",IF(COUNTA(K100:L100)=0,"",IF(AND(OR(ISBLANK(K100),AND(ISNUMBER(K100),K100&gt;=0)),OR(ISBLANK(L100),AND(ISNUMBER(L100),L100&gt;=0))),60*IF(ISBLANK(K100),0,K100)+IF(ISBLANK(L100),0,L100),"")))</f>
        <v/>
      </c>
      <c r="W100" s="66" t="str">
        <f aca="false">IF(ISBLANK($C100),"",IF(M100=Constants!$B$2, TRUE(), IF(M100=Constants!$B$3, FALSE(), TRUE())))</f>
        <v/>
      </c>
      <c r="X100" s="66" t="str">
        <f aca="false">IF(ISBLANK($C100),"",IF(N100=Constants!$B$2, TRUE(), IF(N100=Constants!$B$3, FALSE(), TRUE())))</f>
        <v/>
      </c>
      <c r="Y100" s="66" t="str">
        <f aca="false">IF(ISBLANK($C100),"",IF(O100=Constants!$B$2, TRUE(), IF(O100=Constants!$B$3, FALSE(), FALSE())))</f>
        <v/>
      </c>
      <c r="Z100" s="66" t="str">
        <f aca="false">IF(ISBLANK($C100),"",AND(S100&lt;&gt;"",Q100))</f>
        <v/>
      </c>
      <c r="AA100" s="66" t="str">
        <f aca="false">IF(ISBLANK($C100),"",AND(V100&lt;&gt;"",Q100))</f>
        <v/>
      </c>
      <c r="AB100" s="66" t="str">
        <f aca="false">IF(ISBLANK($C100),"",IF(Y100,Constants!$B$4,IF(COUNTA(E100:N100)=0,Constants!$B$5,IF(NOT(Q100),Constants!$B$6,IF(AND(NOT(Z100),NOT(AA100)),Constants!$B$6,Constants!$B$7)))))</f>
        <v/>
      </c>
      <c r="AC100" s="66" t="str">
        <f aca="false">IF(ISBLANK($C100),"",IF($AB100&lt;&gt;Constants!$B$7,$AB100,Constants!$B$20))</f>
        <v/>
      </c>
      <c r="AD100" s="66" t="str">
        <f aca="false">IF($AB100=Constants!$B$7,IF(Z100,S100,Constants!$B$13),"")</f>
        <v/>
      </c>
      <c r="AE100" s="66" t="str">
        <f aca="false">IF($AB100=Constants!$B$7,IF(Z100,R100*IF(T100, 1, Constants!$B$11)*IF(U100, 1, Constants!$B$12),Constants!$B$13),"")</f>
        <v/>
      </c>
      <c r="AF100" s="66" t="str">
        <f aca="false">IF($AB100=Constants!$B$7,AD100*AE100,"")</f>
        <v/>
      </c>
      <c r="AG100" s="66" t="str">
        <f aca="false">IF($AB100=Constants!$B$7,IF(AA100,V100,Constants!$B$13),"")</f>
        <v/>
      </c>
      <c r="AH100" s="66" t="str">
        <f aca="false">IF($AB100=Constants!$B$7,IF(AA100,R100*IF(W100, 1, Constants!$B$11)*IF(X100, 1, Constants!$B$12),Constants!$B$13),"")</f>
        <v/>
      </c>
      <c r="AI100" s="66" t="str">
        <f aca="false">IF($AB100=Constants!$B$7,AG100*AH100,"")</f>
        <v/>
      </c>
      <c r="AJ100" s="66" t="str">
        <f aca="false">IF($AB100=Constants!$B$7,IF(AI100&gt;AF100,2,1),"")</f>
        <v/>
      </c>
      <c r="AK100" s="66" t="str">
        <f aca="false">IF($AB100=Constants!$B$7,IF(AJ100=1,2,1),"")</f>
        <v/>
      </c>
      <c r="AL100" s="66" t="str">
        <f aca="false">IF(ISBLANK($C100),"",IF($AB100&lt;&gt;Constants!$B$7,$AB100,IF(AJ100=1,AF100,AI100)))</f>
        <v/>
      </c>
      <c r="AM100" s="66" t="str">
        <f aca="false">IF(ISBLANK($C100),"",IF($AB100=Constants!$B$7,IF(ISNUMBER(AL100),RANK(AL100,$AL$8:$AL$507),Constants!$B$14),$AB100))</f>
        <v/>
      </c>
      <c r="AN100" s="66" t="str">
        <f aca="false">IF(ISBLANK($C100),"",IF($AB100=Constants!$B$7,IF(AK100=1,AF100,AI100),""))</f>
        <v/>
      </c>
      <c r="AO100" s="66" t="str">
        <f aca="false">IF(ISBLANK($C100),"",IF($AB100=Constants!$B$7,RANK(AN100,$AN$8:$AN$507),$AB100))</f>
        <v/>
      </c>
      <c r="AP100" s="66" t="str">
        <f aca="false">IF(ISBLANK($C100),"",IF($AB100=Constants!$B$7,IF(ISNUMBER(AM100),COUNTIFS($AM$8:$AM$507,"&lt;"&amp;$AM100)+COUNTIFS($AM$8:$AM$507,$AM100,$AO$8:$AO$507,"&lt;"&amp;$AO100)+1,Constants!$B$14),$AB100))</f>
        <v/>
      </c>
      <c r="AQ100" s="66" t="str">
        <f aca="false">IF(ISBLANK($C100),"",IF($AB100=Constants!$B$7,IF(ISNUMBER(AM100),AM100-AP100,Constants!$B$14),$AB100))</f>
        <v/>
      </c>
      <c r="AR100" s="68"/>
      <c r="AS100" s="69" t="str">
        <f aca="false">IF(ISBLANK($C100),"",IF($AB100&lt;&gt;Constants!$B$7,"",AJ100))</f>
        <v/>
      </c>
      <c r="AT100" s="84" t="str">
        <f aca="false">IF(ISBLANK($C100),"",IF($AB100&lt;&gt;Constants!$B$7,"",IF(AJ100=1,AD100,AG100)))</f>
        <v/>
      </c>
      <c r="AU100" s="71" t="str">
        <f aca="false">IF(ISBLANK($C100),"",IF($AB100&lt;&gt;Constants!$B$7,"",IF(AJ100=1,AE100,AH100)))</f>
        <v/>
      </c>
      <c r="AV100" s="72" t="str">
        <f aca="false">IF(ISBLANK($C100),"",IF($AB100&lt;&gt;Constants!$B$7,$AB100,AL100))</f>
        <v/>
      </c>
      <c r="AW100" s="73" t="str">
        <f aca="false">IF(ISBLANK($C100),"",IF($AB100&lt;&gt;Constants!$B$7,$AB100,AC100))</f>
        <v/>
      </c>
      <c r="AX100" s="74" t="str">
        <f aca="false">IF(ISBLANK($C100),"",AQ100)</f>
        <v/>
      </c>
      <c r="AY100" s="74" t="str">
        <f aca="false">IF(ISBLANK($C100),"",AP100)</f>
        <v/>
      </c>
      <c r="AZ100" s="75" t="str">
        <f aca="false">IF(ISBLANK($C100),"",IF(AY100=Constants!$B$4,COUNTA($C$8:$C$507)+2,IF(AY100=Constants!$B$5,COUNTA($C$8:$C$507)+1,IF(AY100=Constants!$B$6,COUNTA($C$8:$C$507),AY100))))</f>
        <v/>
      </c>
      <c r="BA100" s="5"/>
      <c r="BB100" s="76" t="n">
        <f aca="false">IF(OR(ISNUMBER(AY100),AY100=Constants!$B$4,AY100=Constants!$B$6,AY100=Constants!$B$5),1,0)</f>
        <v>0</v>
      </c>
      <c r="BC100" s="76" t="n">
        <v>93</v>
      </c>
      <c r="BD100" s="76" t="str">
        <f aca="false">IF(ISBLANK($C100),"",IF(ISNUMBER(AZ100),AZ100+ROW($B100)/1000,""))</f>
        <v/>
      </c>
      <c r="BE100" s="76" t="str">
        <f aca="false">IF(ISNUMBER(BD100),RANK(BD100,$BD$8:$BD$507,1),"")</f>
        <v/>
      </c>
      <c r="BF100" s="76" t="str">
        <f aca="false">IF(ISBLANK($C100),"",$B100)</f>
        <v/>
      </c>
      <c r="BG100" s="76" t="str">
        <f aca="false">IF(ISBLANK($C100),"",$C100)</f>
        <v/>
      </c>
      <c r="BH100" s="76" t="str">
        <f aca="false">IF(ISBLANK($C100),"",$D100)</f>
        <v/>
      </c>
      <c r="BI100" s="77" t="str">
        <f aca="false">AW100</f>
        <v/>
      </c>
      <c r="BJ100" s="78" t="str">
        <f aca="false">AV100</f>
        <v/>
      </c>
      <c r="BK100" s="76" t="str">
        <f aca="false">IF(ISBLANK($C100),"",AY100)</f>
        <v/>
      </c>
      <c r="BL100" s="79" t="str">
        <f aca="false">IF($BC100&gt;$BB$7,"",VLOOKUP($BC100,$BE$8:$BK$507,7,FALSE()))</f>
        <v/>
      </c>
      <c r="BM100" s="80" t="str">
        <f aca="false">IF($BC100&gt;$BB$7,"",VLOOKUP($BC100,$BE$8:$BK$507,2,FALSE()))</f>
        <v/>
      </c>
      <c r="BN100" s="80" t="str">
        <f aca="false">IF($BC100&gt;$BB$7,"",VLOOKUP($BC100,$BE$8:$BK$507,3,FALSE()))</f>
        <v/>
      </c>
      <c r="BO100" s="80" t="str">
        <f aca="false">IF($BC100&gt;$BB$7,"",VLOOKUP($BC100,$BE$8:$BK$507,4,FALSE()))</f>
        <v/>
      </c>
      <c r="BP100" s="80" t="str">
        <f aca="false">IF($BC100&gt;$BB$7,"",VLOOKUP($BC100,$BE$8:$BK$507,5,FALSE()))</f>
        <v/>
      </c>
      <c r="BQ100" s="81" t="str">
        <f aca="false">IF($BC100&gt;$BB$7,"",VLOOKUP($BC100,$BE$8:$BK$507,6,FALSE()))</f>
        <v/>
      </c>
      <c r="BR100" s="54"/>
    </row>
    <row r="101" customFormat="false" ht="13.8" hidden="false" customHeight="false" outlineLevel="0" collapsed="false">
      <c r="A101" s="5"/>
      <c r="B101" s="120"/>
      <c r="C101" s="121"/>
      <c r="D101" s="112"/>
      <c r="E101" s="123"/>
      <c r="F101" s="91"/>
      <c r="G101" s="92"/>
      <c r="H101" s="93"/>
      <c r="I101" s="94"/>
      <c r="J101" s="91"/>
      <c r="K101" s="92"/>
      <c r="L101" s="93"/>
      <c r="M101" s="94"/>
      <c r="N101" s="91"/>
      <c r="O101" s="123"/>
      <c r="P101" s="96"/>
      <c r="Q101" s="97" t="str">
        <f aca="false">IF(ISBLANK($C101),"",IF(E101=Constants!$B$2, TRUE(), IF(E101=Constants!$B$3, FALSE(), TRUE())))</f>
        <v/>
      </c>
      <c r="R101" s="97" t="str">
        <f aca="false">IF(ISBLANK($C101),"",IF(F101=Constants!$B$16,Constants!$B$9,IF(F101=Constants!$B$17,Constants!$B$10,Constants!$B$8)))</f>
        <v/>
      </c>
      <c r="S101" s="97" t="str">
        <f aca="false">IF(ISBLANK($C101),"",IF(COUNTA(G101:H101)=0,"",IF(AND(OR(ISBLANK(G101),AND(ISNUMBER(G101),G101&gt;=0)),OR(ISBLANK(H101),AND(ISNUMBER(H101),H101&gt;=0))),60*IF(ISBLANK(G101),0,G101)+IF(ISBLANK(H101),0,H101),"")))</f>
        <v/>
      </c>
      <c r="T101" s="97" t="str">
        <f aca="false">IF(ISBLANK($C101),"",IF(I101=Constants!$B$2, TRUE(), IF(I101=Constants!$B$3, FALSE(), TRUE())))</f>
        <v/>
      </c>
      <c r="U101" s="97" t="str">
        <f aca="false">IF(ISBLANK($C101),"",IF(J101=Constants!$B$2, TRUE(), IF(J101=Constants!$B$3, FALSE(), TRUE())))</f>
        <v/>
      </c>
      <c r="V101" s="97" t="str">
        <f aca="false">IF(ISBLANK($C101),"",IF(COUNTA(K101:L101)=0,"",IF(AND(OR(ISBLANK(K101),AND(ISNUMBER(K101),K101&gt;=0)),OR(ISBLANK(L101),AND(ISNUMBER(L101),L101&gt;=0))),60*IF(ISBLANK(K101),0,K101)+IF(ISBLANK(L101),0,L101),"")))</f>
        <v/>
      </c>
      <c r="W101" s="97" t="str">
        <f aca="false">IF(ISBLANK($C101),"",IF(M101=Constants!$B$2, TRUE(), IF(M101=Constants!$B$3, FALSE(), TRUE())))</f>
        <v/>
      </c>
      <c r="X101" s="97" t="str">
        <f aca="false">IF(ISBLANK($C101),"",IF(N101=Constants!$B$2, TRUE(), IF(N101=Constants!$B$3, FALSE(), TRUE())))</f>
        <v/>
      </c>
      <c r="Y101" s="97" t="str">
        <f aca="false">IF(ISBLANK($C101),"",IF(O101=Constants!$B$2, TRUE(), IF(O101=Constants!$B$3, FALSE(), FALSE())))</f>
        <v/>
      </c>
      <c r="Z101" s="97" t="str">
        <f aca="false">IF(ISBLANK($C101),"",AND(S101&lt;&gt;"",Q101))</f>
        <v/>
      </c>
      <c r="AA101" s="97" t="str">
        <f aca="false">IF(ISBLANK($C101),"",AND(V101&lt;&gt;"",Q101))</f>
        <v/>
      </c>
      <c r="AB101" s="97" t="str">
        <f aca="false">IF(ISBLANK($C101),"",IF(Y101,Constants!$B$4,IF(COUNTA(E101:N101)=0,Constants!$B$5,IF(NOT(Q101),Constants!$B$6,IF(AND(NOT(Z101),NOT(AA101)),Constants!$B$6,Constants!$B$7)))))</f>
        <v/>
      </c>
      <c r="AC101" s="97" t="str">
        <f aca="false">IF(ISBLANK($C101),"",IF($AB101&lt;&gt;Constants!$B$7,$AB101,Constants!$B$20))</f>
        <v/>
      </c>
      <c r="AD101" s="97" t="str">
        <f aca="false">IF($AB101=Constants!$B$7,IF(Z101,S101,Constants!$B$13),"")</f>
        <v/>
      </c>
      <c r="AE101" s="97" t="str">
        <f aca="false">IF($AB101=Constants!$B$7,IF(Z101,R101*IF(T101, 1, Constants!$B$11)*IF(U101, 1, Constants!$B$12),Constants!$B$13),"")</f>
        <v/>
      </c>
      <c r="AF101" s="97" t="str">
        <f aca="false">IF($AB101=Constants!$B$7,AD101*AE101,"")</f>
        <v/>
      </c>
      <c r="AG101" s="97" t="str">
        <f aca="false">IF($AB101=Constants!$B$7,IF(AA101,V101,Constants!$B$13),"")</f>
        <v/>
      </c>
      <c r="AH101" s="97" t="str">
        <f aca="false">IF($AB101=Constants!$B$7,IF(AA101,R101*IF(W101, 1, Constants!$B$11)*IF(X101, 1, Constants!$B$12),Constants!$B$13),"")</f>
        <v/>
      </c>
      <c r="AI101" s="97" t="str">
        <f aca="false">IF($AB101=Constants!$B$7,AG101*AH101,"")</f>
        <v/>
      </c>
      <c r="AJ101" s="97" t="str">
        <f aca="false">IF($AB101=Constants!$B$7,IF(AI101&gt;AF101,2,1),"")</f>
        <v/>
      </c>
      <c r="AK101" s="97" t="str">
        <f aca="false">IF($AB101=Constants!$B$7,IF(AJ101=1,2,1),"")</f>
        <v/>
      </c>
      <c r="AL101" s="97" t="str">
        <f aca="false">IF(ISBLANK($C101),"",IF($AB101&lt;&gt;Constants!$B$7,$AB101,IF(AJ101=1,AF101,AI101)))</f>
        <v/>
      </c>
      <c r="AM101" s="97" t="str">
        <f aca="false">IF(ISBLANK($C101),"",IF($AB101=Constants!$B$7,IF(ISNUMBER(AL101),RANK(AL101,$AL$8:$AL$507),Constants!$B$14),$AB101))</f>
        <v/>
      </c>
      <c r="AN101" s="97" t="str">
        <f aca="false">IF(ISBLANK($C101),"",IF($AB101=Constants!$B$7,IF(AK101=1,AF101,AI101),""))</f>
        <v/>
      </c>
      <c r="AO101" s="97" t="str">
        <f aca="false">IF(ISBLANK($C101),"",IF($AB101=Constants!$B$7,RANK(AN101,$AN$8:$AN$507),$AB101))</f>
        <v/>
      </c>
      <c r="AP101" s="97" t="str">
        <f aca="false">IF(ISBLANK($C101),"",IF($AB101=Constants!$B$7,IF(ISNUMBER(AM101),COUNTIFS($AM$8:$AM$507,"&lt;"&amp;$AM101)+COUNTIFS($AM$8:$AM$507,$AM101,$AO$8:$AO$507,"&lt;"&amp;$AO101)+1,Constants!$B$14),$AB101))</f>
        <v/>
      </c>
      <c r="AQ101" s="97" t="str">
        <f aca="false">IF(ISBLANK($C101),"",IF($AB101=Constants!$B$7,IF(ISNUMBER(AM101),AM101-AP101,Constants!$B$14),$AB101))</f>
        <v/>
      </c>
      <c r="AR101" s="98"/>
      <c r="AS101" s="99" t="str">
        <f aca="false">IF(ISBLANK($C101),"",IF($AB101&lt;&gt;Constants!$B$7,"",AJ101))</f>
        <v/>
      </c>
      <c r="AT101" s="100" t="str">
        <f aca="false">IF(ISBLANK($C101),"",IF($AB101&lt;&gt;Constants!$B$7,"",IF(AJ101=1,AD101,AG101)))</f>
        <v/>
      </c>
      <c r="AU101" s="101" t="str">
        <f aca="false">IF(ISBLANK($C101),"",IF($AB101&lt;&gt;Constants!$B$7,"",IF(AJ101=1,AE101,AH101)))</f>
        <v/>
      </c>
      <c r="AV101" s="102" t="str">
        <f aca="false">IF(ISBLANK($C101),"",IF($AB101&lt;&gt;Constants!$B$7,$AB101,AL101))</f>
        <v/>
      </c>
      <c r="AW101" s="103" t="str">
        <f aca="false">IF(ISBLANK($C101),"",IF($AB101&lt;&gt;Constants!$B$7,$AB101,AC101))</f>
        <v/>
      </c>
      <c r="AX101" s="104" t="str">
        <f aca="false">IF(ISBLANK($C101),"",AQ101)</f>
        <v/>
      </c>
      <c r="AY101" s="104" t="str">
        <f aca="false">IF(ISBLANK($C101),"",AP101)</f>
        <v/>
      </c>
      <c r="AZ101" s="105" t="str">
        <f aca="false">IF(ISBLANK($C101),"",IF(AY101=Constants!$B$4,COUNTA($C$8:$C$507)+2,IF(AY101=Constants!$B$5,COUNTA($C$8:$C$507)+1,IF(AY101=Constants!$B$6,COUNTA($C$8:$C$507),AY101))))</f>
        <v/>
      </c>
      <c r="BA101" s="5"/>
      <c r="BB101" s="106" t="n">
        <f aca="false">IF(OR(ISNUMBER(AY101),AY101=Constants!$B$4,AY101=Constants!$B$6,AY101=Constants!$B$5),1,0)</f>
        <v>0</v>
      </c>
      <c r="BC101" s="106" t="n">
        <v>94</v>
      </c>
      <c r="BD101" s="106" t="str">
        <f aca="false">IF(ISBLANK($C101),"",IF(ISNUMBER(AZ101),AZ101+ROW($B101)/1000,""))</f>
        <v/>
      </c>
      <c r="BE101" s="106" t="str">
        <f aca="false">IF(ISNUMBER(BD101),RANK(BD101,$BD$8:$BD$507,1),"")</f>
        <v/>
      </c>
      <c r="BF101" s="106" t="str">
        <f aca="false">IF(ISBLANK($C101),"",$B101)</f>
        <v/>
      </c>
      <c r="BG101" s="106" t="str">
        <f aca="false">IF(ISBLANK($C101),"",$C101)</f>
        <v/>
      </c>
      <c r="BH101" s="106" t="str">
        <f aca="false">IF(ISBLANK($C101),"",$D101)</f>
        <v/>
      </c>
      <c r="BI101" s="107" t="str">
        <f aca="false">AW101</f>
        <v/>
      </c>
      <c r="BJ101" s="108" t="str">
        <f aca="false">AV101</f>
        <v/>
      </c>
      <c r="BK101" s="106" t="str">
        <f aca="false">IF(ISBLANK($C101),"",AY101)</f>
        <v/>
      </c>
      <c r="BL101" s="109" t="str">
        <f aca="false">IF($BC101&gt;$BB$7,"",VLOOKUP($BC101,$BE$8:$BK$507,7,FALSE()))</f>
        <v/>
      </c>
      <c r="BM101" s="110" t="str">
        <f aca="false">IF($BC101&gt;$BB$7,"",VLOOKUP($BC101,$BE$8:$BK$507,2,FALSE()))</f>
        <v/>
      </c>
      <c r="BN101" s="110" t="str">
        <f aca="false">IF($BC101&gt;$BB$7,"",VLOOKUP($BC101,$BE$8:$BK$507,3,FALSE()))</f>
        <v/>
      </c>
      <c r="BO101" s="110" t="str">
        <f aca="false">IF($BC101&gt;$BB$7,"",VLOOKUP($BC101,$BE$8:$BK$507,4,FALSE()))</f>
        <v/>
      </c>
      <c r="BP101" s="110" t="str">
        <f aca="false">IF($BC101&gt;$BB$7,"",VLOOKUP($BC101,$BE$8:$BK$507,5,FALSE()))</f>
        <v/>
      </c>
      <c r="BQ101" s="111" t="str">
        <f aca="false">IF($BC101&gt;$BB$7,"",VLOOKUP($BC101,$BE$8:$BK$507,6,FALSE()))</f>
        <v/>
      </c>
      <c r="BR101" s="54"/>
    </row>
    <row r="102" customFormat="false" ht="13.8" hidden="false" customHeight="false" outlineLevel="0" collapsed="false">
      <c r="A102" s="5"/>
      <c r="B102" s="120"/>
      <c r="C102" s="121"/>
      <c r="D102" s="112"/>
      <c r="E102" s="123"/>
      <c r="F102" s="91"/>
      <c r="G102" s="92"/>
      <c r="H102" s="93"/>
      <c r="I102" s="94"/>
      <c r="J102" s="91"/>
      <c r="K102" s="92"/>
      <c r="L102" s="93"/>
      <c r="M102" s="94"/>
      <c r="N102" s="91"/>
      <c r="O102" s="123"/>
      <c r="P102" s="96"/>
      <c r="Q102" s="97" t="str">
        <f aca="false">IF(ISBLANK($C102),"",IF(E102=Constants!$B$2, TRUE(), IF(E102=Constants!$B$3, FALSE(), TRUE())))</f>
        <v/>
      </c>
      <c r="R102" s="97" t="str">
        <f aca="false">IF(ISBLANK($C102),"",IF(F102=Constants!$B$16,Constants!$B$9,IF(F102=Constants!$B$17,Constants!$B$10,Constants!$B$8)))</f>
        <v/>
      </c>
      <c r="S102" s="97" t="str">
        <f aca="false">IF(ISBLANK($C102),"",IF(COUNTA(G102:H102)=0,"",IF(AND(OR(ISBLANK(G102),AND(ISNUMBER(G102),G102&gt;=0)),OR(ISBLANK(H102),AND(ISNUMBER(H102),H102&gt;=0))),60*IF(ISBLANK(G102),0,G102)+IF(ISBLANK(H102),0,H102),"")))</f>
        <v/>
      </c>
      <c r="T102" s="97" t="str">
        <f aca="false">IF(ISBLANK($C102),"",IF(I102=Constants!$B$2, TRUE(), IF(I102=Constants!$B$3, FALSE(), TRUE())))</f>
        <v/>
      </c>
      <c r="U102" s="97" t="str">
        <f aca="false">IF(ISBLANK($C102),"",IF(J102=Constants!$B$2, TRUE(), IF(J102=Constants!$B$3, FALSE(), TRUE())))</f>
        <v/>
      </c>
      <c r="V102" s="97" t="str">
        <f aca="false">IF(ISBLANK($C102),"",IF(COUNTA(K102:L102)=0,"",IF(AND(OR(ISBLANK(K102),AND(ISNUMBER(K102),K102&gt;=0)),OR(ISBLANK(L102),AND(ISNUMBER(L102),L102&gt;=0))),60*IF(ISBLANK(K102),0,K102)+IF(ISBLANK(L102),0,L102),"")))</f>
        <v/>
      </c>
      <c r="W102" s="97" t="str">
        <f aca="false">IF(ISBLANK($C102),"",IF(M102=Constants!$B$2, TRUE(), IF(M102=Constants!$B$3, FALSE(), TRUE())))</f>
        <v/>
      </c>
      <c r="X102" s="97" t="str">
        <f aca="false">IF(ISBLANK($C102),"",IF(N102=Constants!$B$2, TRUE(), IF(N102=Constants!$B$3, FALSE(), TRUE())))</f>
        <v/>
      </c>
      <c r="Y102" s="97" t="str">
        <f aca="false">IF(ISBLANK($C102),"",IF(O102=Constants!$B$2, TRUE(), IF(O102=Constants!$B$3, FALSE(), FALSE())))</f>
        <v/>
      </c>
      <c r="Z102" s="97" t="str">
        <f aca="false">IF(ISBLANK($C102),"",AND(S102&lt;&gt;"",Q102))</f>
        <v/>
      </c>
      <c r="AA102" s="97" t="str">
        <f aca="false">IF(ISBLANK($C102),"",AND(V102&lt;&gt;"",Q102))</f>
        <v/>
      </c>
      <c r="AB102" s="97" t="str">
        <f aca="false">IF(ISBLANK($C102),"",IF(Y102,Constants!$B$4,IF(COUNTA(E102:N102)=0,Constants!$B$5,IF(NOT(Q102),Constants!$B$6,IF(AND(NOT(Z102),NOT(AA102)),Constants!$B$6,Constants!$B$7)))))</f>
        <v/>
      </c>
      <c r="AC102" s="97" t="str">
        <f aca="false">IF(ISBLANK($C102),"",IF($AB102&lt;&gt;Constants!$B$7,$AB102,Constants!$B$20))</f>
        <v/>
      </c>
      <c r="AD102" s="97" t="str">
        <f aca="false">IF($AB102=Constants!$B$7,IF(Z102,S102,Constants!$B$13),"")</f>
        <v/>
      </c>
      <c r="AE102" s="97" t="str">
        <f aca="false">IF($AB102=Constants!$B$7,IF(Z102,R102*IF(T102, 1, Constants!$B$11)*IF(U102, 1, Constants!$B$12),Constants!$B$13),"")</f>
        <v/>
      </c>
      <c r="AF102" s="97" t="str">
        <f aca="false">IF($AB102=Constants!$B$7,AD102*AE102,"")</f>
        <v/>
      </c>
      <c r="AG102" s="97" t="str">
        <f aca="false">IF($AB102=Constants!$B$7,IF(AA102,V102,Constants!$B$13),"")</f>
        <v/>
      </c>
      <c r="AH102" s="97" t="str">
        <f aca="false">IF($AB102=Constants!$B$7,IF(AA102,R102*IF(W102, 1, Constants!$B$11)*IF(X102, 1, Constants!$B$12),Constants!$B$13),"")</f>
        <v/>
      </c>
      <c r="AI102" s="97" t="str">
        <f aca="false">IF($AB102=Constants!$B$7,AG102*AH102,"")</f>
        <v/>
      </c>
      <c r="AJ102" s="97" t="str">
        <f aca="false">IF($AB102=Constants!$B$7,IF(AI102&gt;AF102,2,1),"")</f>
        <v/>
      </c>
      <c r="AK102" s="97" t="str">
        <f aca="false">IF($AB102=Constants!$B$7,IF(AJ102=1,2,1),"")</f>
        <v/>
      </c>
      <c r="AL102" s="97" t="str">
        <f aca="false">IF(ISBLANK($C102),"",IF($AB102&lt;&gt;Constants!$B$7,$AB102,IF(AJ102=1,AF102,AI102)))</f>
        <v/>
      </c>
      <c r="AM102" s="97" t="str">
        <f aca="false">IF(ISBLANK($C102),"",IF($AB102=Constants!$B$7,IF(ISNUMBER(AL102),RANK(AL102,$AL$8:$AL$507),Constants!$B$14),$AB102))</f>
        <v/>
      </c>
      <c r="AN102" s="97" t="str">
        <f aca="false">IF(ISBLANK($C102),"",IF($AB102=Constants!$B$7,IF(AK102=1,AF102,AI102),""))</f>
        <v/>
      </c>
      <c r="AO102" s="97" t="str">
        <f aca="false">IF(ISBLANK($C102),"",IF($AB102=Constants!$B$7,RANK(AN102,$AN$8:$AN$507),$AB102))</f>
        <v/>
      </c>
      <c r="AP102" s="97" t="str">
        <f aca="false">IF(ISBLANK($C102),"",IF($AB102=Constants!$B$7,IF(ISNUMBER(AM102),COUNTIFS($AM$8:$AM$507,"&lt;"&amp;$AM102)+COUNTIFS($AM$8:$AM$507,$AM102,$AO$8:$AO$507,"&lt;"&amp;$AO102)+1,Constants!$B$14),$AB102))</f>
        <v/>
      </c>
      <c r="AQ102" s="97" t="str">
        <f aca="false">IF(ISBLANK($C102),"",IF($AB102=Constants!$B$7,IF(ISNUMBER(AM102),AM102-AP102,Constants!$B$14),$AB102))</f>
        <v/>
      </c>
      <c r="AR102" s="98"/>
      <c r="AS102" s="99" t="str">
        <f aca="false">IF(ISBLANK($C102),"",IF($AB102&lt;&gt;Constants!$B$7,"",AJ102))</f>
        <v/>
      </c>
      <c r="AT102" s="100" t="str">
        <f aca="false">IF(ISBLANK($C102),"",IF($AB102&lt;&gt;Constants!$B$7,"",IF(AJ102=1,AD102,AG102)))</f>
        <v/>
      </c>
      <c r="AU102" s="101" t="str">
        <f aca="false">IF(ISBLANK($C102),"",IF($AB102&lt;&gt;Constants!$B$7,"",IF(AJ102=1,AE102,AH102)))</f>
        <v/>
      </c>
      <c r="AV102" s="102" t="str">
        <f aca="false">IF(ISBLANK($C102),"",IF($AB102&lt;&gt;Constants!$B$7,$AB102,AL102))</f>
        <v/>
      </c>
      <c r="AW102" s="103" t="str">
        <f aca="false">IF(ISBLANK($C102),"",IF($AB102&lt;&gt;Constants!$B$7,$AB102,AC102))</f>
        <v/>
      </c>
      <c r="AX102" s="104" t="str">
        <f aca="false">IF(ISBLANK($C102),"",AQ102)</f>
        <v/>
      </c>
      <c r="AY102" s="104" t="str">
        <f aca="false">IF(ISBLANK($C102),"",AP102)</f>
        <v/>
      </c>
      <c r="AZ102" s="105" t="str">
        <f aca="false">IF(ISBLANK($C102),"",IF(AY102=Constants!$B$4,COUNTA($C$8:$C$507)+2,IF(AY102=Constants!$B$5,COUNTA($C$8:$C$507)+1,IF(AY102=Constants!$B$6,COUNTA($C$8:$C$507),AY102))))</f>
        <v/>
      </c>
      <c r="BA102" s="5"/>
      <c r="BB102" s="106" t="n">
        <f aca="false">IF(OR(ISNUMBER(AY102),AY102=Constants!$B$4,AY102=Constants!$B$6,AY102=Constants!$B$5),1,0)</f>
        <v>0</v>
      </c>
      <c r="BC102" s="106" t="n">
        <v>95</v>
      </c>
      <c r="BD102" s="106" t="str">
        <f aca="false">IF(ISBLANK($C102),"",IF(ISNUMBER(AZ102),AZ102+ROW($B102)/1000,""))</f>
        <v/>
      </c>
      <c r="BE102" s="106" t="str">
        <f aca="false">IF(ISNUMBER(BD102),RANK(BD102,$BD$8:$BD$507,1),"")</f>
        <v/>
      </c>
      <c r="BF102" s="106" t="str">
        <f aca="false">IF(ISBLANK($C102),"",$B102)</f>
        <v/>
      </c>
      <c r="BG102" s="106" t="str">
        <f aca="false">IF(ISBLANK($C102),"",$C102)</f>
        <v/>
      </c>
      <c r="BH102" s="106" t="str">
        <f aca="false">IF(ISBLANK($C102),"",$D102)</f>
        <v/>
      </c>
      <c r="BI102" s="107" t="str">
        <f aca="false">AW102</f>
        <v/>
      </c>
      <c r="BJ102" s="108" t="str">
        <f aca="false">AV102</f>
        <v/>
      </c>
      <c r="BK102" s="106" t="str">
        <f aca="false">IF(ISBLANK($C102),"",AY102)</f>
        <v/>
      </c>
      <c r="BL102" s="109" t="str">
        <f aca="false">IF($BC102&gt;$BB$7,"",VLOOKUP($BC102,$BE$8:$BK$507,7,FALSE()))</f>
        <v/>
      </c>
      <c r="BM102" s="110" t="str">
        <f aca="false">IF($BC102&gt;$BB$7,"",VLOOKUP($BC102,$BE$8:$BK$507,2,FALSE()))</f>
        <v/>
      </c>
      <c r="BN102" s="110" t="str">
        <f aca="false">IF($BC102&gt;$BB$7,"",VLOOKUP($BC102,$BE$8:$BK$507,3,FALSE()))</f>
        <v/>
      </c>
      <c r="BO102" s="110" t="str">
        <f aca="false">IF($BC102&gt;$BB$7,"",VLOOKUP($BC102,$BE$8:$BK$507,4,FALSE()))</f>
        <v/>
      </c>
      <c r="BP102" s="110" t="str">
        <f aca="false">IF($BC102&gt;$BB$7,"",VLOOKUP($BC102,$BE$8:$BK$507,5,FALSE()))</f>
        <v/>
      </c>
      <c r="BQ102" s="111" t="str">
        <f aca="false">IF($BC102&gt;$BB$7,"",VLOOKUP($BC102,$BE$8:$BK$507,6,FALSE()))</f>
        <v/>
      </c>
      <c r="BR102" s="54"/>
    </row>
    <row r="103" customFormat="false" ht="13.8" hidden="false" customHeight="false" outlineLevel="0" collapsed="false">
      <c r="A103" s="5"/>
      <c r="B103" s="120"/>
      <c r="C103" s="121"/>
      <c r="D103" s="112"/>
      <c r="E103" s="123"/>
      <c r="F103" s="91"/>
      <c r="G103" s="92"/>
      <c r="H103" s="93"/>
      <c r="I103" s="94"/>
      <c r="J103" s="91"/>
      <c r="K103" s="92"/>
      <c r="L103" s="93"/>
      <c r="M103" s="94"/>
      <c r="N103" s="91"/>
      <c r="O103" s="123"/>
      <c r="P103" s="96"/>
      <c r="Q103" s="97" t="str">
        <f aca="false">IF(ISBLANK($C103),"",IF(E103=Constants!$B$2, TRUE(), IF(E103=Constants!$B$3, FALSE(), TRUE())))</f>
        <v/>
      </c>
      <c r="R103" s="97" t="str">
        <f aca="false">IF(ISBLANK($C103),"",IF(F103=Constants!$B$16,Constants!$B$9,IF(F103=Constants!$B$17,Constants!$B$10,Constants!$B$8)))</f>
        <v/>
      </c>
      <c r="S103" s="97" t="str">
        <f aca="false">IF(ISBLANK($C103),"",IF(COUNTA(G103:H103)=0,"",IF(AND(OR(ISBLANK(G103),AND(ISNUMBER(G103),G103&gt;=0)),OR(ISBLANK(H103),AND(ISNUMBER(H103),H103&gt;=0))),60*IF(ISBLANK(G103),0,G103)+IF(ISBLANK(H103),0,H103),"")))</f>
        <v/>
      </c>
      <c r="T103" s="97" t="str">
        <f aca="false">IF(ISBLANK($C103),"",IF(I103=Constants!$B$2, TRUE(), IF(I103=Constants!$B$3, FALSE(), TRUE())))</f>
        <v/>
      </c>
      <c r="U103" s="97" t="str">
        <f aca="false">IF(ISBLANK($C103),"",IF(J103=Constants!$B$2, TRUE(), IF(J103=Constants!$B$3, FALSE(), TRUE())))</f>
        <v/>
      </c>
      <c r="V103" s="97" t="str">
        <f aca="false">IF(ISBLANK($C103),"",IF(COUNTA(K103:L103)=0,"",IF(AND(OR(ISBLANK(K103),AND(ISNUMBER(K103),K103&gt;=0)),OR(ISBLANK(L103),AND(ISNUMBER(L103),L103&gt;=0))),60*IF(ISBLANK(K103),0,K103)+IF(ISBLANK(L103),0,L103),"")))</f>
        <v/>
      </c>
      <c r="W103" s="97" t="str">
        <f aca="false">IF(ISBLANK($C103),"",IF(M103=Constants!$B$2, TRUE(), IF(M103=Constants!$B$3, FALSE(), TRUE())))</f>
        <v/>
      </c>
      <c r="X103" s="97" t="str">
        <f aca="false">IF(ISBLANK($C103),"",IF(N103=Constants!$B$2, TRUE(), IF(N103=Constants!$B$3, FALSE(), TRUE())))</f>
        <v/>
      </c>
      <c r="Y103" s="97" t="str">
        <f aca="false">IF(ISBLANK($C103),"",IF(O103=Constants!$B$2, TRUE(), IF(O103=Constants!$B$3, FALSE(), FALSE())))</f>
        <v/>
      </c>
      <c r="Z103" s="97" t="str">
        <f aca="false">IF(ISBLANK($C103),"",AND(S103&lt;&gt;"",Q103))</f>
        <v/>
      </c>
      <c r="AA103" s="97" t="str">
        <f aca="false">IF(ISBLANK($C103),"",AND(V103&lt;&gt;"",Q103))</f>
        <v/>
      </c>
      <c r="AB103" s="97" t="str">
        <f aca="false">IF(ISBLANK($C103),"",IF(Y103,Constants!$B$4,IF(COUNTA(E103:N103)=0,Constants!$B$5,IF(NOT(Q103),Constants!$B$6,IF(AND(NOT(Z103),NOT(AA103)),Constants!$B$6,Constants!$B$7)))))</f>
        <v/>
      </c>
      <c r="AC103" s="97" t="str">
        <f aca="false">IF(ISBLANK($C103),"",IF($AB103&lt;&gt;Constants!$B$7,$AB103,Constants!$B$20))</f>
        <v/>
      </c>
      <c r="AD103" s="97" t="str">
        <f aca="false">IF($AB103=Constants!$B$7,IF(Z103,S103,Constants!$B$13),"")</f>
        <v/>
      </c>
      <c r="AE103" s="97" t="str">
        <f aca="false">IF($AB103=Constants!$B$7,IF(Z103,R103*IF(T103, 1, Constants!$B$11)*IF(U103, 1, Constants!$B$12),Constants!$B$13),"")</f>
        <v/>
      </c>
      <c r="AF103" s="97" t="str">
        <f aca="false">IF($AB103=Constants!$B$7,AD103*AE103,"")</f>
        <v/>
      </c>
      <c r="AG103" s="97" t="str">
        <f aca="false">IF($AB103=Constants!$B$7,IF(AA103,V103,Constants!$B$13),"")</f>
        <v/>
      </c>
      <c r="AH103" s="97" t="str">
        <f aca="false">IF($AB103=Constants!$B$7,IF(AA103,R103*IF(W103, 1, Constants!$B$11)*IF(X103, 1, Constants!$B$12),Constants!$B$13),"")</f>
        <v/>
      </c>
      <c r="AI103" s="97" t="str">
        <f aca="false">IF($AB103=Constants!$B$7,AG103*AH103,"")</f>
        <v/>
      </c>
      <c r="AJ103" s="97" t="str">
        <f aca="false">IF($AB103=Constants!$B$7,IF(AI103&gt;AF103,2,1),"")</f>
        <v/>
      </c>
      <c r="AK103" s="97" t="str">
        <f aca="false">IF($AB103=Constants!$B$7,IF(AJ103=1,2,1),"")</f>
        <v/>
      </c>
      <c r="AL103" s="97" t="str">
        <f aca="false">IF(ISBLANK($C103),"",IF($AB103&lt;&gt;Constants!$B$7,$AB103,IF(AJ103=1,AF103,AI103)))</f>
        <v/>
      </c>
      <c r="AM103" s="97" t="str">
        <f aca="false">IF(ISBLANK($C103),"",IF($AB103=Constants!$B$7,IF(ISNUMBER(AL103),RANK(AL103,$AL$8:$AL$507),Constants!$B$14),$AB103))</f>
        <v/>
      </c>
      <c r="AN103" s="97" t="str">
        <f aca="false">IF(ISBLANK($C103),"",IF($AB103=Constants!$B$7,IF(AK103=1,AF103,AI103),""))</f>
        <v/>
      </c>
      <c r="AO103" s="97" t="str">
        <f aca="false">IF(ISBLANK($C103),"",IF($AB103=Constants!$B$7,RANK(AN103,$AN$8:$AN$507),$AB103))</f>
        <v/>
      </c>
      <c r="AP103" s="97" t="str">
        <f aca="false">IF(ISBLANK($C103),"",IF($AB103=Constants!$B$7,IF(ISNUMBER(AM103),COUNTIFS($AM$8:$AM$507,"&lt;"&amp;$AM103)+COUNTIFS($AM$8:$AM$507,$AM103,$AO$8:$AO$507,"&lt;"&amp;$AO103)+1,Constants!$B$14),$AB103))</f>
        <v/>
      </c>
      <c r="AQ103" s="97" t="str">
        <f aca="false">IF(ISBLANK($C103),"",IF($AB103=Constants!$B$7,IF(ISNUMBER(AM103),AM103-AP103,Constants!$B$14),$AB103))</f>
        <v/>
      </c>
      <c r="AR103" s="98"/>
      <c r="AS103" s="99" t="str">
        <f aca="false">IF(ISBLANK($C103),"",IF($AB103&lt;&gt;Constants!$B$7,"",AJ103))</f>
        <v/>
      </c>
      <c r="AT103" s="100" t="str">
        <f aca="false">IF(ISBLANK($C103),"",IF($AB103&lt;&gt;Constants!$B$7,"",IF(AJ103=1,AD103,AG103)))</f>
        <v/>
      </c>
      <c r="AU103" s="101" t="str">
        <f aca="false">IF(ISBLANK($C103),"",IF($AB103&lt;&gt;Constants!$B$7,"",IF(AJ103=1,AE103,AH103)))</f>
        <v/>
      </c>
      <c r="AV103" s="102" t="str">
        <f aca="false">IF(ISBLANK($C103),"",IF($AB103&lt;&gt;Constants!$B$7,$AB103,AL103))</f>
        <v/>
      </c>
      <c r="AW103" s="103" t="str">
        <f aca="false">IF(ISBLANK($C103),"",IF($AB103&lt;&gt;Constants!$B$7,$AB103,AC103))</f>
        <v/>
      </c>
      <c r="AX103" s="104" t="str">
        <f aca="false">IF(ISBLANK($C103),"",AQ103)</f>
        <v/>
      </c>
      <c r="AY103" s="104" t="str">
        <f aca="false">IF(ISBLANK($C103),"",AP103)</f>
        <v/>
      </c>
      <c r="AZ103" s="105" t="str">
        <f aca="false">IF(ISBLANK($C103),"",IF(AY103=Constants!$B$4,COUNTA($C$8:$C$507)+2,IF(AY103=Constants!$B$5,COUNTA($C$8:$C$507)+1,IF(AY103=Constants!$B$6,COUNTA($C$8:$C$507),AY103))))</f>
        <v/>
      </c>
      <c r="BA103" s="5"/>
      <c r="BB103" s="106" t="n">
        <f aca="false">IF(OR(ISNUMBER(AY103),AY103=Constants!$B$4,AY103=Constants!$B$6,AY103=Constants!$B$5),1,0)</f>
        <v>0</v>
      </c>
      <c r="BC103" s="106" t="n">
        <v>96</v>
      </c>
      <c r="BD103" s="106" t="str">
        <f aca="false">IF(ISBLANK($C103),"",IF(ISNUMBER(AZ103),AZ103+ROW($B103)/1000,""))</f>
        <v/>
      </c>
      <c r="BE103" s="106" t="str">
        <f aca="false">IF(ISNUMBER(BD103),RANK(BD103,$BD$8:$BD$507,1),"")</f>
        <v/>
      </c>
      <c r="BF103" s="106" t="str">
        <f aca="false">IF(ISBLANK($C103),"",$B103)</f>
        <v/>
      </c>
      <c r="BG103" s="106" t="str">
        <f aca="false">IF(ISBLANK($C103),"",$C103)</f>
        <v/>
      </c>
      <c r="BH103" s="106" t="str">
        <f aca="false">IF(ISBLANK($C103),"",$D103)</f>
        <v/>
      </c>
      <c r="BI103" s="107" t="str">
        <f aca="false">AW103</f>
        <v/>
      </c>
      <c r="BJ103" s="108" t="str">
        <f aca="false">AV103</f>
        <v/>
      </c>
      <c r="BK103" s="106" t="str">
        <f aca="false">IF(ISBLANK($C103),"",AY103)</f>
        <v/>
      </c>
      <c r="BL103" s="109" t="str">
        <f aca="false">IF($BC103&gt;$BB$7,"",VLOOKUP($BC103,$BE$8:$BK$507,7,FALSE()))</f>
        <v/>
      </c>
      <c r="BM103" s="110" t="str">
        <f aca="false">IF($BC103&gt;$BB$7,"",VLOOKUP($BC103,$BE$8:$BK$507,2,FALSE()))</f>
        <v/>
      </c>
      <c r="BN103" s="110" t="str">
        <f aca="false">IF($BC103&gt;$BB$7,"",VLOOKUP($BC103,$BE$8:$BK$507,3,FALSE()))</f>
        <v/>
      </c>
      <c r="BO103" s="110" t="str">
        <f aca="false">IF($BC103&gt;$BB$7,"",VLOOKUP($BC103,$BE$8:$BK$507,4,FALSE()))</f>
        <v/>
      </c>
      <c r="BP103" s="110" t="str">
        <f aca="false">IF($BC103&gt;$BB$7,"",VLOOKUP($BC103,$BE$8:$BK$507,5,FALSE()))</f>
        <v/>
      </c>
      <c r="BQ103" s="111" t="str">
        <f aca="false">IF($BC103&gt;$BB$7,"",VLOOKUP($BC103,$BE$8:$BK$507,6,FALSE()))</f>
        <v/>
      </c>
      <c r="BR103" s="54"/>
    </row>
    <row r="104" customFormat="false" ht="13.8" hidden="false" customHeight="false" outlineLevel="0" collapsed="false">
      <c r="A104" s="5"/>
      <c r="B104" s="124"/>
      <c r="C104" s="56"/>
      <c r="D104" s="57"/>
      <c r="E104" s="83"/>
      <c r="F104" s="59"/>
      <c r="G104" s="60"/>
      <c r="H104" s="61"/>
      <c r="I104" s="62"/>
      <c r="J104" s="59"/>
      <c r="K104" s="60"/>
      <c r="L104" s="61"/>
      <c r="M104" s="62"/>
      <c r="N104" s="59"/>
      <c r="O104" s="83"/>
      <c r="P104" s="64"/>
      <c r="Q104" s="66" t="str">
        <f aca="false">IF(ISBLANK($C104),"",IF(E104=Constants!$B$2, TRUE(), IF(E104=Constants!$B$3, FALSE(), TRUE())))</f>
        <v/>
      </c>
      <c r="R104" s="66" t="str">
        <f aca="false">IF(ISBLANK($C104),"",IF(F104=Constants!$B$16,Constants!$B$9,IF(F104=Constants!$B$17,Constants!$B$10,Constants!$B$8)))</f>
        <v/>
      </c>
      <c r="S104" s="66" t="str">
        <f aca="false">IF(ISBLANK($C104),"",IF(COUNTA(G104:H104)=0,"",IF(AND(OR(ISBLANK(G104),AND(ISNUMBER(G104),G104&gt;=0)),OR(ISBLANK(H104),AND(ISNUMBER(H104),H104&gt;=0))),60*IF(ISBLANK(G104),0,G104)+IF(ISBLANK(H104),0,H104),"")))</f>
        <v/>
      </c>
      <c r="T104" s="66" t="str">
        <f aca="false">IF(ISBLANK($C104),"",IF(I104=Constants!$B$2, TRUE(), IF(I104=Constants!$B$3, FALSE(), TRUE())))</f>
        <v/>
      </c>
      <c r="U104" s="66" t="str">
        <f aca="false">IF(ISBLANK($C104),"",IF(J104=Constants!$B$2, TRUE(), IF(J104=Constants!$B$3, FALSE(), TRUE())))</f>
        <v/>
      </c>
      <c r="V104" s="66" t="str">
        <f aca="false">IF(ISBLANK($C104),"",IF(COUNTA(K104:L104)=0,"",IF(AND(OR(ISBLANK(K104),AND(ISNUMBER(K104),K104&gt;=0)),OR(ISBLANK(L104),AND(ISNUMBER(L104),L104&gt;=0))),60*IF(ISBLANK(K104),0,K104)+IF(ISBLANK(L104),0,L104),"")))</f>
        <v/>
      </c>
      <c r="W104" s="66" t="str">
        <f aca="false">IF(ISBLANK($C104),"",IF(M104=Constants!$B$2, TRUE(), IF(M104=Constants!$B$3, FALSE(), TRUE())))</f>
        <v/>
      </c>
      <c r="X104" s="66" t="str">
        <f aca="false">IF(ISBLANK($C104),"",IF(N104=Constants!$B$2, TRUE(), IF(N104=Constants!$B$3, FALSE(), TRUE())))</f>
        <v/>
      </c>
      <c r="Y104" s="66" t="str">
        <f aca="false">IF(ISBLANK($C104),"",IF(O104=Constants!$B$2, TRUE(), IF(O104=Constants!$B$3, FALSE(), FALSE())))</f>
        <v/>
      </c>
      <c r="Z104" s="66" t="str">
        <f aca="false">IF(ISBLANK($C104),"",AND(S104&lt;&gt;"",Q104))</f>
        <v/>
      </c>
      <c r="AA104" s="66" t="str">
        <f aca="false">IF(ISBLANK($C104),"",AND(V104&lt;&gt;"",Q104))</f>
        <v/>
      </c>
      <c r="AB104" s="66" t="str">
        <f aca="false">IF(ISBLANK($C104),"",IF(Y104,Constants!$B$4,IF(COUNTA(E104:N104)=0,Constants!$B$5,IF(NOT(Q104),Constants!$B$6,IF(AND(NOT(Z104),NOT(AA104)),Constants!$B$6,Constants!$B$7)))))</f>
        <v/>
      </c>
      <c r="AC104" s="66" t="str">
        <f aca="false">IF(ISBLANK($C104),"",IF($AB104&lt;&gt;Constants!$B$7,$AB104,Constants!$B$20))</f>
        <v/>
      </c>
      <c r="AD104" s="66" t="str">
        <f aca="false">IF($AB104=Constants!$B$7,IF(Z104,S104,Constants!$B$13),"")</f>
        <v/>
      </c>
      <c r="AE104" s="66" t="str">
        <f aca="false">IF($AB104=Constants!$B$7,IF(Z104,R104*IF(T104, 1, Constants!$B$11)*IF(U104, 1, Constants!$B$12),Constants!$B$13),"")</f>
        <v/>
      </c>
      <c r="AF104" s="66" t="str">
        <f aca="false">IF($AB104=Constants!$B$7,AD104*AE104,"")</f>
        <v/>
      </c>
      <c r="AG104" s="66" t="str">
        <f aca="false">IF($AB104=Constants!$B$7,IF(AA104,V104,Constants!$B$13),"")</f>
        <v/>
      </c>
      <c r="AH104" s="66" t="str">
        <f aca="false">IF($AB104=Constants!$B$7,IF(AA104,R104*IF(W104, 1, Constants!$B$11)*IF(X104, 1, Constants!$B$12),Constants!$B$13),"")</f>
        <v/>
      </c>
      <c r="AI104" s="66" t="str">
        <f aca="false">IF($AB104=Constants!$B$7,AG104*AH104,"")</f>
        <v/>
      </c>
      <c r="AJ104" s="66" t="str">
        <f aca="false">IF($AB104=Constants!$B$7,IF(AI104&gt;AF104,2,1),"")</f>
        <v/>
      </c>
      <c r="AK104" s="66" t="str">
        <f aca="false">IF($AB104=Constants!$B$7,IF(AJ104=1,2,1),"")</f>
        <v/>
      </c>
      <c r="AL104" s="66" t="str">
        <f aca="false">IF(ISBLANK($C104),"",IF($AB104&lt;&gt;Constants!$B$7,$AB104,IF(AJ104=1,AF104,AI104)))</f>
        <v/>
      </c>
      <c r="AM104" s="66" t="str">
        <f aca="false">IF(ISBLANK($C104),"",IF($AB104=Constants!$B$7,IF(ISNUMBER(AL104),RANK(AL104,$AL$8:$AL$507),Constants!$B$14),$AB104))</f>
        <v/>
      </c>
      <c r="AN104" s="66" t="str">
        <f aca="false">IF(ISBLANK($C104),"",IF($AB104=Constants!$B$7,IF(AK104=1,AF104,AI104),""))</f>
        <v/>
      </c>
      <c r="AO104" s="66" t="str">
        <f aca="false">IF(ISBLANK($C104),"",IF($AB104=Constants!$B$7,RANK(AN104,$AN$8:$AN$507),$AB104))</f>
        <v/>
      </c>
      <c r="AP104" s="66" t="str">
        <f aca="false">IF(ISBLANK($C104),"",IF($AB104=Constants!$B$7,IF(ISNUMBER(AM104),COUNTIFS($AM$8:$AM$507,"&lt;"&amp;$AM104)+COUNTIFS($AM$8:$AM$507,$AM104,$AO$8:$AO$507,"&lt;"&amp;$AO104)+1,Constants!$B$14),$AB104))</f>
        <v/>
      </c>
      <c r="AQ104" s="66" t="str">
        <f aca="false">IF(ISBLANK($C104),"",IF($AB104=Constants!$B$7,IF(ISNUMBER(AM104),AM104-AP104,Constants!$B$14),$AB104))</f>
        <v/>
      </c>
      <c r="AR104" s="68"/>
      <c r="AS104" s="69" t="str">
        <f aca="false">IF(ISBLANK($C104),"",IF($AB104&lt;&gt;Constants!$B$7,"",AJ104))</f>
        <v/>
      </c>
      <c r="AT104" s="84" t="str">
        <f aca="false">IF(ISBLANK($C104),"",IF($AB104&lt;&gt;Constants!$B$7,"",IF(AJ104=1,AD104,AG104)))</f>
        <v/>
      </c>
      <c r="AU104" s="71" t="str">
        <f aca="false">IF(ISBLANK($C104),"",IF($AB104&lt;&gt;Constants!$B$7,"",IF(AJ104=1,AE104,AH104)))</f>
        <v/>
      </c>
      <c r="AV104" s="72" t="str">
        <f aca="false">IF(ISBLANK($C104),"",IF($AB104&lt;&gt;Constants!$B$7,$AB104,AL104))</f>
        <v/>
      </c>
      <c r="AW104" s="73" t="str">
        <f aca="false">IF(ISBLANK($C104),"",IF($AB104&lt;&gt;Constants!$B$7,$AB104,AC104))</f>
        <v/>
      </c>
      <c r="AX104" s="74" t="str">
        <f aca="false">IF(ISBLANK($C104),"",AQ104)</f>
        <v/>
      </c>
      <c r="AY104" s="74" t="str">
        <f aca="false">IF(ISBLANK($C104),"",AP104)</f>
        <v/>
      </c>
      <c r="AZ104" s="75" t="str">
        <f aca="false">IF(ISBLANK($C104),"",IF(AY104=Constants!$B$4,COUNTA($C$8:$C$507)+2,IF(AY104=Constants!$B$5,COUNTA($C$8:$C$507)+1,IF(AY104=Constants!$B$6,COUNTA($C$8:$C$507),AY104))))</f>
        <v/>
      </c>
      <c r="BA104" s="5"/>
      <c r="BB104" s="76" t="n">
        <f aca="false">IF(OR(ISNUMBER(AY104),AY104=Constants!$B$4,AY104=Constants!$B$6,AY104=Constants!$B$5),1,0)</f>
        <v>0</v>
      </c>
      <c r="BC104" s="76" t="n">
        <v>97</v>
      </c>
      <c r="BD104" s="76" t="str">
        <f aca="false">IF(ISBLANK($C104),"",IF(ISNUMBER(AZ104),AZ104+ROW($B104)/1000,""))</f>
        <v/>
      </c>
      <c r="BE104" s="76" t="str">
        <f aca="false">IF(ISNUMBER(BD104),RANK(BD104,$BD$8:$BD$507,1),"")</f>
        <v/>
      </c>
      <c r="BF104" s="76" t="str">
        <f aca="false">IF(ISBLANK($C104),"",$B104)</f>
        <v/>
      </c>
      <c r="BG104" s="76" t="str">
        <f aca="false">IF(ISBLANK($C104),"",$C104)</f>
        <v/>
      </c>
      <c r="BH104" s="76" t="str">
        <f aca="false">IF(ISBLANK($C104),"",$D104)</f>
        <v/>
      </c>
      <c r="BI104" s="77" t="str">
        <f aca="false">AW104</f>
        <v/>
      </c>
      <c r="BJ104" s="78" t="str">
        <f aca="false">AV104</f>
        <v/>
      </c>
      <c r="BK104" s="76" t="str">
        <f aca="false">IF(ISBLANK($C104),"",AY104)</f>
        <v/>
      </c>
      <c r="BL104" s="79" t="str">
        <f aca="false">IF($BC104&gt;$BB$7,"",VLOOKUP($BC104,$BE$8:$BK$507,7,FALSE()))</f>
        <v/>
      </c>
      <c r="BM104" s="80" t="str">
        <f aca="false">IF($BC104&gt;$BB$7,"",VLOOKUP($BC104,$BE$8:$BK$507,2,FALSE()))</f>
        <v/>
      </c>
      <c r="BN104" s="80" t="str">
        <f aca="false">IF($BC104&gt;$BB$7,"",VLOOKUP($BC104,$BE$8:$BK$507,3,FALSE()))</f>
        <v/>
      </c>
      <c r="BO104" s="80" t="str">
        <f aca="false">IF($BC104&gt;$BB$7,"",VLOOKUP($BC104,$BE$8:$BK$507,4,FALSE()))</f>
        <v/>
      </c>
      <c r="BP104" s="80" t="str">
        <f aca="false">IF($BC104&gt;$BB$7,"",VLOOKUP($BC104,$BE$8:$BK$507,5,FALSE()))</f>
        <v/>
      </c>
      <c r="BQ104" s="81" t="str">
        <f aca="false">IF($BC104&gt;$BB$7,"",VLOOKUP($BC104,$BE$8:$BK$507,6,FALSE()))</f>
        <v/>
      </c>
      <c r="BR104" s="54"/>
    </row>
    <row r="105" customFormat="false" ht="13.8" hidden="false" customHeight="false" outlineLevel="0" collapsed="false">
      <c r="A105" s="5"/>
      <c r="B105" s="124"/>
      <c r="C105" s="56"/>
      <c r="D105" s="57"/>
      <c r="E105" s="83"/>
      <c r="F105" s="59"/>
      <c r="G105" s="60"/>
      <c r="H105" s="61"/>
      <c r="I105" s="62"/>
      <c r="J105" s="59"/>
      <c r="K105" s="60"/>
      <c r="L105" s="61"/>
      <c r="M105" s="62"/>
      <c r="N105" s="59"/>
      <c r="O105" s="83"/>
      <c r="P105" s="64"/>
      <c r="Q105" s="66" t="str">
        <f aca="false">IF(ISBLANK($C105),"",IF(E105=Constants!$B$2, TRUE(), IF(E105=Constants!$B$3, FALSE(), TRUE())))</f>
        <v/>
      </c>
      <c r="R105" s="66" t="str">
        <f aca="false">IF(ISBLANK($C105),"",IF(F105=Constants!$B$16,Constants!$B$9,IF(F105=Constants!$B$17,Constants!$B$10,Constants!$B$8)))</f>
        <v/>
      </c>
      <c r="S105" s="66" t="str">
        <f aca="false">IF(ISBLANK($C105),"",IF(COUNTA(G105:H105)=0,"",IF(AND(OR(ISBLANK(G105),AND(ISNUMBER(G105),G105&gt;=0)),OR(ISBLANK(H105),AND(ISNUMBER(H105),H105&gt;=0))),60*IF(ISBLANK(G105),0,G105)+IF(ISBLANK(H105),0,H105),"")))</f>
        <v/>
      </c>
      <c r="T105" s="66" t="str">
        <f aca="false">IF(ISBLANK($C105),"",IF(I105=Constants!$B$2, TRUE(), IF(I105=Constants!$B$3, FALSE(), TRUE())))</f>
        <v/>
      </c>
      <c r="U105" s="66" t="str">
        <f aca="false">IF(ISBLANK($C105),"",IF(J105=Constants!$B$2, TRUE(), IF(J105=Constants!$B$3, FALSE(), TRUE())))</f>
        <v/>
      </c>
      <c r="V105" s="66" t="str">
        <f aca="false">IF(ISBLANK($C105),"",IF(COUNTA(K105:L105)=0,"",IF(AND(OR(ISBLANK(K105),AND(ISNUMBER(K105),K105&gt;=0)),OR(ISBLANK(L105),AND(ISNUMBER(L105),L105&gt;=0))),60*IF(ISBLANK(K105),0,K105)+IF(ISBLANK(L105),0,L105),"")))</f>
        <v/>
      </c>
      <c r="W105" s="66" t="str">
        <f aca="false">IF(ISBLANK($C105),"",IF(M105=Constants!$B$2, TRUE(), IF(M105=Constants!$B$3, FALSE(), TRUE())))</f>
        <v/>
      </c>
      <c r="X105" s="66" t="str">
        <f aca="false">IF(ISBLANK($C105),"",IF(N105=Constants!$B$2, TRUE(), IF(N105=Constants!$B$3, FALSE(), TRUE())))</f>
        <v/>
      </c>
      <c r="Y105" s="66" t="str">
        <f aca="false">IF(ISBLANK($C105),"",IF(O105=Constants!$B$2, TRUE(), IF(O105=Constants!$B$3, FALSE(), FALSE())))</f>
        <v/>
      </c>
      <c r="Z105" s="66" t="str">
        <f aca="false">IF(ISBLANK($C105),"",AND(S105&lt;&gt;"",Q105))</f>
        <v/>
      </c>
      <c r="AA105" s="66" t="str">
        <f aca="false">IF(ISBLANK($C105),"",AND(V105&lt;&gt;"",Q105))</f>
        <v/>
      </c>
      <c r="AB105" s="66" t="str">
        <f aca="false">IF(ISBLANK($C105),"",IF(Y105,Constants!$B$4,IF(COUNTA(E105:N105)=0,Constants!$B$5,IF(NOT(Q105),Constants!$B$6,IF(AND(NOT(Z105),NOT(AA105)),Constants!$B$6,Constants!$B$7)))))</f>
        <v/>
      </c>
      <c r="AC105" s="66" t="str">
        <f aca="false">IF(ISBLANK($C105),"",IF($AB105&lt;&gt;Constants!$B$7,$AB105,Constants!$B$20))</f>
        <v/>
      </c>
      <c r="AD105" s="66" t="str">
        <f aca="false">IF($AB105=Constants!$B$7,IF(Z105,S105,Constants!$B$13),"")</f>
        <v/>
      </c>
      <c r="AE105" s="66" t="str">
        <f aca="false">IF($AB105=Constants!$B$7,IF(Z105,R105*IF(T105, 1, Constants!$B$11)*IF(U105, 1, Constants!$B$12),Constants!$B$13),"")</f>
        <v/>
      </c>
      <c r="AF105" s="66" t="str">
        <f aca="false">IF($AB105=Constants!$B$7,AD105*AE105,"")</f>
        <v/>
      </c>
      <c r="AG105" s="66" t="str">
        <f aca="false">IF($AB105=Constants!$B$7,IF(AA105,V105,Constants!$B$13),"")</f>
        <v/>
      </c>
      <c r="AH105" s="66" t="str">
        <f aca="false">IF($AB105=Constants!$B$7,IF(AA105,R105*IF(W105, 1, Constants!$B$11)*IF(X105, 1, Constants!$B$12),Constants!$B$13),"")</f>
        <v/>
      </c>
      <c r="AI105" s="66" t="str">
        <f aca="false">IF($AB105=Constants!$B$7,AG105*AH105,"")</f>
        <v/>
      </c>
      <c r="AJ105" s="66" t="str">
        <f aca="false">IF($AB105=Constants!$B$7,IF(AI105&gt;AF105,2,1),"")</f>
        <v/>
      </c>
      <c r="AK105" s="66" t="str">
        <f aca="false">IF($AB105=Constants!$B$7,IF(AJ105=1,2,1),"")</f>
        <v/>
      </c>
      <c r="AL105" s="66" t="str">
        <f aca="false">IF(ISBLANK($C105),"",IF($AB105&lt;&gt;Constants!$B$7,$AB105,IF(AJ105=1,AF105,AI105)))</f>
        <v/>
      </c>
      <c r="AM105" s="66" t="str">
        <f aca="false">IF(ISBLANK($C105),"",IF($AB105=Constants!$B$7,IF(ISNUMBER(AL105),RANK(AL105,$AL$8:$AL$507),Constants!$B$14),$AB105))</f>
        <v/>
      </c>
      <c r="AN105" s="66" t="str">
        <f aca="false">IF(ISBLANK($C105),"",IF($AB105=Constants!$B$7,IF(AK105=1,AF105,AI105),""))</f>
        <v/>
      </c>
      <c r="AO105" s="66" t="str">
        <f aca="false">IF(ISBLANK($C105),"",IF($AB105=Constants!$B$7,RANK(AN105,$AN$8:$AN$507),$AB105))</f>
        <v/>
      </c>
      <c r="AP105" s="66" t="str">
        <f aca="false">IF(ISBLANK($C105),"",IF($AB105=Constants!$B$7,IF(ISNUMBER(AM105),COUNTIFS($AM$8:$AM$507,"&lt;"&amp;$AM105)+COUNTIFS($AM$8:$AM$507,$AM105,$AO$8:$AO$507,"&lt;"&amp;$AO105)+1,Constants!$B$14),$AB105))</f>
        <v/>
      </c>
      <c r="AQ105" s="66" t="str">
        <f aca="false">IF(ISBLANK($C105),"",IF($AB105=Constants!$B$7,IF(ISNUMBER(AM105),AM105-AP105,Constants!$B$14),$AB105))</f>
        <v/>
      </c>
      <c r="AR105" s="68"/>
      <c r="AS105" s="69" t="str">
        <f aca="false">IF(ISBLANK($C105),"",IF($AB105&lt;&gt;Constants!$B$7,"",AJ105))</f>
        <v/>
      </c>
      <c r="AT105" s="84" t="str">
        <f aca="false">IF(ISBLANK($C105),"",IF($AB105&lt;&gt;Constants!$B$7,"",IF(AJ105=1,AD105,AG105)))</f>
        <v/>
      </c>
      <c r="AU105" s="71" t="str">
        <f aca="false">IF(ISBLANK($C105),"",IF($AB105&lt;&gt;Constants!$B$7,"",IF(AJ105=1,AE105,AH105)))</f>
        <v/>
      </c>
      <c r="AV105" s="72" t="str">
        <f aca="false">IF(ISBLANK($C105),"",IF($AB105&lt;&gt;Constants!$B$7,$AB105,AL105))</f>
        <v/>
      </c>
      <c r="AW105" s="73" t="str">
        <f aca="false">IF(ISBLANK($C105),"",IF($AB105&lt;&gt;Constants!$B$7,$AB105,AC105))</f>
        <v/>
      </c>
      <c r="AX105" s="74" t="str">
        <f aca="false">IF(ISBLANK($C105),"",AQ105)</f>
        <v/>
      </c>
      <c r="AY105" s="74" t="str">
        <f aca="false">IF(ISBLANK($C105),"",AP105)</f>
        <v/>
      </c>
      <c r="AZ105" s="75" t="str">
        <f aca="false">IF(ISBLANK($C105),"",IF(AY105=Constants!$B$4,COUNTA($C$8:$C$507)+2,IF(AY105=Constants!$B$5,COUNTA($C$8:$C$507)+1,IF(AY105=Constants!$B$6,COUNTA($C$8:$C$507),AY105))))</f>
        <v/>
      </c>
      <c r="BA105" s="5"/>
      <c r="BB105" s="76" t="n">
        <f aca="false">IF(OR(ISNUMBER(AY105),AY105=Constants!$B$4,AY105=Constants!$B$6,AY105=Constants!$B$5),1,0)</f>
        <v>0</v>
      </c>
      <c r="BC105" s="76" t="n">
        <v>98</v>
      </c>
      <c r="BD105" s="76" t="str">
        <f aca="false">IF(ISBLANK($C105),"",IF(ISNUMBER(AZ105),AZ105+ROW($B105)/1000,""))</f>
        <v/>
      </c>
      <c r="BE105" s="76" t="str">
        <f aca="false">IF(ISNUMBER(BD105),RANK(BD105,$BD$8:$BD$507,1),"")</f>
        <v/>
      </c>
      <c r="BF105" s="76" t="str">
        <f aca="false">IF(ISBLANK($C105),"",$B105)</f>
        <v/>
      </c>
      <c r="BG105" s="76" t="str">
        <f aca="false">IF(ISBLANK($C105),"",$C105)</f>
        <v/>
      </c>
      <c r="BH105" s="76" t="str">
        <f aca="false">IF(ISBLANK($C105),"",$D105)</f>
        <v/>
      </c>
      <c r="BI105" s="77" t="str">
        <f aca="false">AW105</f>
        <v/>
      </c>
      <c r="BJ105" s="78" t="str">
        <f aca="false">AV105</f>
        <v/>
      </c>
      <c r="BK105" s="76" t="str">
        <f aca="false">IF(ISBLANK($C105),"",AY105)</f>
        <v/>
      </c>
      <c r="BL105" s="79" t="str">
        <f aca="false">IF($BC105&gt;$BB$7,"",VLOOKUP($BC105,$BE$8:$BK$507,7,FALSE()))</f>
        <v/>
      </c>
      <c r="BM105" s="80" t="str">
        <f aca="false">IF($BC105&gt;$BB$7,"",VLOOKUP($BC105,$BE$8:$BK$507,2,FALSE()))</f>
        <v/>
      </c>
      <c r="BN105" s="80" t="str">
        <f aca="false">IF($BC105&gt;$BB$7,"",VLOOKUP($BC105,$BE$8:$BK$507,3,FALSE()))</f>
        <v/>
      </c>
      <c r="BO105" s="80" t="str">
        <f aca="false">IF($BC105&gt;$BB$7,"",VLOOKUP($BC105,$BE$8:$BK$507,4,FALSE()))</f>
        <v/>
      </c>
      <c r="BP105" s="80" t="str">
        <f aca="false">IF($BC105&gt;$BB$7,"",VLOOKUP($BC105,$BE$8:$BK$507,5,FALSE()))</f>
        <v/>
      </c>
      <c r="BQ105" s="81" t="str">
        <f aca="false">IF($BC105&gt;$BB$7,"",VLOOKUP($BC105,$BE$8:$BK$507,6,FALSE()))</f>
        <v/>
      </c>
      <c r="BR105" s="54"/>
    </row>
    <row r="106" customFormat="false" ht="13.8" hidden="false" customHeight="false" outlineLevel="0" collapsed="false">
      <c r="A106" s="5"/>
      <c r="B106" s="124"/>
      <c r="C106" s="56"/>
      <c r="D106" s="57"/>
      <c r="E106" s="83"/>
      <c r="F106" s="59"/>
      <c r="G106" s="60"/>
      <c r="H106" s="61"/>
      <c r="I106" s="62"/>
      <c r="J106" s="59"/>
      <c r="K106" s="60"/>
      <c r="L106" s="61"/>
      <c r="M106" s="62"/>
      <c r="N106" s="59"/>
      <c r="O106" s="83"/>
      <c r="P106" s="64"/>
      <c r="Q106" s="66" t="str">
        <f aca="false">IF(ISBLANK($C106),"",IF(E106=Constants!$B$2, TRUE(), IF(E106=Constants!$B$3, FALSE(), TRUE())))</f>
        <v/>
      </c>
      <c r="R106" s="66" t="str">
        <f aca="false">IF(ISBLANK($C106),"",IF(F106=Constants!$B$16,Constants!$B$9,IF(F106=Constants!$B$17,Constants!$B$10,Constants!$B$8)))</f>
        <v/>
      </c>
      <c r="S106" s="66" t="str">
        <f aca="false">IF(ISBLANK($C106),"",IF(COUNTA(G106:H106)=0,"",IF(AND(OR(ISBLANK(G106),AND(ISNUMBER(G106),G106&gt;=0)),OR(ISBLANK(H106),AND(ISNUMBER(H106),H106&gt;=0))),60*IF(ISBLANK(G106),0,G106)+IF(ISBLANK(H106),0,H106),"")))</f>
        <v/>
      </c>
      <c r="T106" s="66" t="str">
        <f aca="false">IF(ISBLANK($C106),"",IF(I106=Constants!$B$2, TRUE(), IF(I106=Constants!$B$3, FALSE(), TRUE())))</f>
        <v/>
      </c>
      <c r="U106" s="66" t="str">
        <f aca="false">IF(ISBLANK($C106),"",IF(J106=Constants!$B$2, TRUE(), IF(J106=Constants!$B$3, FALSE(), TRUE())))</f>
        <v/>
      </c>
      <c r="V106" s="66" t="str">
        <f aca="false">IF(ISBLANK($C106),"",IF(COUNTA(K106:L106)=0,"",IF(AND(OR(ISBLANK(K106),AND(ISNUMBER(K106),K106&gt;=0)),OR(ISBLANK(L106),AND(ISNUMBER(L106),L106&gt;=0))),60*IF(ISBLANK(K106),0,K106)+IF(ISBLANK(L106),0,L106),"")))</f>
        <v/>
      </c>
      <c r="W106" s="66" t="str">
        <f aca="false">IF(ISBLANK($C106),"",IF(M106=Constants!$B$2, TRUE(), IF(M106=Constants!$B$3, FALSE(), TRUE())))</f>
        <v/>
      </c>
      <c r="X106" s="66" t="str">
        <f aca="false">IF(ISBLANK($C106),"",IF(N106=Constants!$B$2, TRUE(), IF(N106=Constants!$B$3, FALSE(), TRUE())))</f>
        <v/>
      </c>
      <c r="Y106" s="66" t="str">
        <f aca="false">IF(ISBLANK($C106),"",IF(O106=Constants!$B$2, TRUE(), IF(O106=Constants!$B$3, FALSE(), FALSE())))</f>
        <v/>
      </c>
      <c r="Z106" s="66" t="str">
        <f aca="false">IF(ISBLANK($C106),"",AND(S106&lt;&gt;"",Q106))</f>
        <v/>
      </c>
      <c r="AA106" s="66" t="str">
        <f aca="false">IF(ISBLANK($C106),"",AND(V106&lt;&gt;"",Q106))</f>
        <v/>
      </c>
      <c r="AB106" s="66" t="str">
        <f aca="false">IF(ISBLANK($C106),"",IF(Y106,Constants!$B$4,IF(COUNTA(E106:N106)=0,Constants!$B$5,IF(NOT(Q106),Constants!$B$6,IF(AND(NOT(Z106),NOT(AA106)),Constants!$B$6,Constants!$B$7)))))</f>
        <v/>
      </c>
      <c r="AC106" s="66" t="str">
        <f aca="false">IF(ISBLANK($C106),"",IF($AB106&lt;&gt;Constants!$B$7,$AB106,Constants!$B$20))</f>
        <v/>
      </c>
      <c r="AD106" s="66" t="str">
        <f aca="false">IF($AB106=Constants!$B$7,IF(Z106,S106,Constants!$B$13),"")</f>
        <v/>
      </c>
      <c r="AE106" s="66" t="str">
        <f aca="false">IF($AB106=Constants!$B$7,IF(Z106,R106*IF(T106, 1, Constants!$B$11)*IF(U106, 1, Constants!$B$12),Constants!$B$13),"")</f>
        <v/>
      </c>
      <c r="AF106" s="66" t="str">
        <f aca="false">IF($AB106=Constants!$B$7,AD106*AE106,"")</f>
        <v/>
      </c>
      <c r="AG106" s="66" t="str">
        <f aca="false">IF($AB106=Constants!$B$7,IF(AA106,V106,Constants!$B$13),"")</f>
        <v/>
      </c>
      <c r="AH106" s="66" t="str">
        <f aca="false">IF($AB106=Constants!$B$7,IF(AA106,R106*IF(W106, 1, Constants!$B$11)*IF(X106, 1, Constants!$B$12),Constants!$B$13),"")</f>
        <v/>
      </c>
      <c r="AI106" s="66" t="str">
        <f aca="false">IF($AB106=Constants!$B$7,AG106*AH106,"")</f>
        <v/>
      </c>
      <c r="AJ106" s="66" t="str">
        <f aca="false">IF($AB106=Constants!$B$7,IF(AI106&gt;AF106,2,1),"")</f>
        <v/>
      </c>
      <c r="AK106" s="66" t="str">
        <f aca="false">IF($AB106=Constants!$B$7,IF(AJ106=1,2,1),"")</f>
        <v/>
      </c>
      <c r="AL106" s="66" t="str">
        <f aca="false">IF(ISBLANK($C106),"",IF($AB106&lt;&gt;Constants!$B$7,$AB106,IF(AJ106=1,AF106,AI106)))</f>
        <v/>
      </c>
      <c r="AM106" s="66" t="str">
        <f aca="false">IF(ISBLANK($C106),"",IF($AB106=Constants!$B$7,IF(ISNUMBER(AL106),RANK(AL106,$AL$8:$AL$507),Constants!$B$14),$AB106))</f>
        <v/>
      </c>
      <c r="AN106" s="66" t="str">
        <f aca="false">IF(ISBLANK($C106),"",IF($AB106=Constants!$B$7,IF(AK106=1,AF106,AI106),""))</f>
        <v/>
      </c>
      <c r="AO106" s="66" t="str">
        <f aca="false">IF(ISBLANK($C106),"",IF($AB106=Constants!$B$7,RANK(AN106,$AN$8:$AN$507),$AB106))</f>
        <v/>
      </c>
      <c r="AP106" s="66" t="str">
        <f aca="false">IF(ISBLANK($C106),"",IF($AB106=Constants!$B$7,IF(ISNUMBER(AM106),COUNTIFS($AM$8:$AM$507,"&lt;"&amp;$AM106)+COUNTIFS($AM$8:$AM$507,$AM106,$AO$8:$AO$507,"&lt;"&amp;$AO106)+1,Constants!$B$14),$AB106))</f>
        <v/>
      </c>
      <c r="AQ106" s="66" t="str">
        <f aca="false">IF(ISBLANK($C106),"",IF($AB106=Constants!$B$7,IF(ISNUMBER(AM106),AM106-AP106,Constants!$B$14),$AB106))</f>
        <v/>
      </c>
      <c r="AR106" s="68"/>
      <c r="AS106" s="69" t="str">
        <f aca="false">IF(ISBLANK($C106),"",IF($AB106&lt;&gt;Constants!$B$7,"",AJ106))</f>
        <v/>
      </c>
      <c r="AT106" s="84" t="str">
        <f aca="false">IF(ISBLANK($C106),"",IF($AB106&lt;&gt;Constants!$B$7,"",IF(AJ106=1,AD106,AG106)))</f>
        <v/>
      </c>
      <c r="AU106" s="71" t="str">
        <f aca="false">IF(ISBLANK($C106),"",IF($AB106&lt;&gt;Constants!$B$7,"",IF(AJ106=1,AE106,AH106)))</f>
        <v/>
      </c>
      <c r="AV106" s="72" t="str">
        <f aca="false">IF(ISBLANK($C106),"",IF($AB106&lt;&gt;Constants!$B$7,$AB106,AL106))</f>
        <v/>
      </c>
      <c r="AW106" s="73" t="str">
        <f aca="false">IF(ISBLANK($C106),"",IF($AB106&lt;&gt;Constants!$B$7,$AB106,AC106))</f>
        <v/>
      </c>
      <c r="AX106" s="74" t="str">
        <f aca="false">IF(ISBLANK($C106),"",AQ106)</f>
        <v/>
      </c>
      <c r="AY106" s="74" t="str">
        <f aca="false">IF(ISBLANK($C106),"",AP106)</f>
        <v/>
      </c>
      <c r="AZ106" s="75" t="str">
        <f aca="false">IF(ISBLANK($C106),"",IF(AY106=Constants!$B$4,COUNTA($C$8:$C$507)+2,IF(AY106=Constants!$B$5,COUNTA($C$8:$C$507)+1,IF(AY106=Constants!$B$6,COUNTA($C$8:$C$507),AY106))))</f>
        <v/>
      </c>
      <c r="BA106" s="5"/>
      <c r="BB106" s="76" t="n">
        <f aca="false">IF(OR(ISNUMBER(AY106),AY106=Constants!$B$4,AY106=Constants!$B$6,AY106=Constants!$B$5),1,0)</f>
        <v>0</v>
      </c>
      <c r="BC106" s="76" t="n">
        <v>99</v>
      </c>
      <c r="BD106" s="76" t="str">
        <f aca="false">IF(ISBLANK($C106),"",IF(ISNUMBER(AZ106),AZ106+ROW($B106)/1000,""))</f>
        <v/>
      </c>
      <c r="BE106" s="76" t="str">
        <f aca="false">IF(ISNUMBER(BD106),RANK(BD106,$BD$8:$BD$507,1),"")</f>
        <v/>
      </c>
      <c r="BF106" s="76" t="str">
        <f aca="false">IF(ISBLANK($C106),"",$B106)</f>
        <v/>
      </c>
      <c r="BG106" s="76" t="str">
        <f aca="false">IF(ISBLANK($C106),"",$C106)</f>
        <v/>
      </c>
      <c r="BH106" s="76" t="str">
        <f aca="false">IF(ISBLANK($C106),"",$D106)</f>
        <v/>
      </c>
      <c r="BI106" s="77" t="str">
        <f aca="false">AW106</f>
        <v/>
      </c>
      <c r="BJ106" s="78" t="str">
        <f aca="false">AV106</f>
        <v/>
      </c>
      <c r="BK106" s="76" t="str">
        <f aca="false">IF(ISBLANK($C106),"",AY106)</f>
        <v/>
      </c>
      <c r="BL106" s="79" t="str">
        <f aca="false">IF($BC106&gt;$BB$7,"",VLOOKUP($BC106,$BE$8:$BK$507,7,FALSE()))</f>
        <v/>
      </c>
      <c r="BM106" s="80" t="str">
        <f aca="false">IF($BC106&gt;$BB$7,"",VLOOKUP($BC106,$BE$8:$BK$507,2,FALSE()))</f>
        <v/>
      </c>
      <c r="BN106" s="80" t="str">
        <f aca="false">IF($BC106&gt;$BB$7,"",VLOOKUP($BC106,$BE$8:$BK$507,3,FALSE()))</f>
        <v/>
      </c>
      <c r="BO106" s="80" t="str">
        <f aca="false">IF($BC106&gt;$BB$7,"",VLOOKUP($BC106,$BE$8:$BK$507,4,FALSE()))</f>
        <v/>
      </c>
      <c r="BP106" s="80" t="str">
        <f aca="false">IF($BC106&gt;$BB$7,"",VLOOKUP($BC106,$BE$8:$BK$507,5,FALSE()))</f>
        <v/>
      </c>
      <c r="BQ106" s="81" t="str">
        <f aca="false">IF($BC106&gt;$BB$7,"",VLOOKUP($BC106,$BE$8:$BK$507,6,FALSE()))</f>
        <v/>
      </c>
      <c r="BR106" s="54"/>
    </row>
    <row r="107" customFormat="false" ht="13.8" hidden="false" customHeight="false" outlineLevel="0" collapsed="false">
      <c r="A107" s="5"/>
      <c r="B107" s="120"/>
      <c r="C107" s="121"/>
      <c r="D107" s="112"/>
      <c r="E107" s="123"/>
      <c r="F107" s="91"/>
      <c r="G107" s="92"/>
      <c r="H107" s="93"/>
      <c r="I107" s="94"/>
      <c r="J107" s="91"/>
      <c r="K107" s="92"/>
      <c r="L107" s="93"/>
      <c r="M107" s="94"/>
      <c r="N107" s="91"/>
      <c r="O107" s="123"/>
      <c r="P107" s="96"/>
      <c r="Q107" s="97" t="str">
        <f aca="false">IF(ISBLANK($C107),"",IF(E107=Constants!$B$2, TRUE(), IF(E107=Constants!$B$3, FALSE(), TRUE())))</f>
        <v/>
      </c>
      <c r="R107" s="97" t="str">
        <f aca="false">IF(ISBLANK($C107),"",IF(F107=Constants!$B$16,Constants!$B$9,IF(F107=Constants!$B$17,Constants!$B$10,Constants!$B$8)))</f>
        <v/>
      </c>
      <c r="S107" s="97" t="str">
        <f aca="false">IF(ISBLANK($C107),"",IF(COUNTA(G107:H107)=0,"",IF(AND(OR(ISBLANK(G107),AND(ISNUMBER(G107),G107&gt;=0)),OR(ISBLANK(H107),AND(ISNUMBER(H107),H107&gt;=0))),60*IF(ISBLANK(G107),0,G107)+IF(ISBLANK(H107),0,H107),"")))</f>
        <v/>
      </c>
      <c r="T107" s="97" t="str">
        <f aca="false">IF(ISBLANK($C107),"",IF(I107=Constants!$B$2, TRUE(), IF(I107=Constants!$B$3, FALSE(), TRUE())))</f>
        <v/>
      </c>
      <c r="U107" s="97" t="str">
        <f aca="false">IF(ISBLANK($C107),"",IF(J107=Constants!$B$2, TRUE(), IF(J107=Constants!$B$3, FALSE(), TRUE())))</f>
        <v/>
      </c>
      <c r="V107" s="97" t="str">
        <f aca="false">IF(ISBLANK($C107),"",IF(COUNTA(K107:L107)=0,"",IF(AND(OR(ISBLANK(K107),AND(ISNUMBER(K107),K107&gt;=0)),OR(ISBLANK(L107),AND(ISNUMBER(L107),L107&gt;=0))),60*IF(ISBLANK(K107),0,K107)+IF(ISBLANK(L107),0,L107),"")))</f>
        <v/>
      </c>
      <c r="W107" s="97" t="str">
        <f aca="false">IF(ISBLANK($C107),"",IF(M107=Constants!$B$2, TRUE(), IF(M107=Constants!$B$3, FALSE(), TRUE())))</f>
        <v/>
      </c>
      <c r="X107" s="97" t="str">
        <f aca="false">IF(ISBLANK($C107),"",IF(N107=Constants!$B$2, TRUE(), IF(N107=Constants!$B$3, FALSE(), TRUE())))</f>
        <v/>
      </c>
      <c r="Y107" s="97" t="str">
        <f aca="false">IF(ISBLANK($C107),"",IF(O107=Constants!$B$2, TRUE(), IF(O107=Constants!$B$3, FALSE(), FALSE())))</f>
        <v/>
      </c>
      <c r="Z107" s="97" t="str">
        <f aca="false">IF(ISBLANK($C107),"",AND(S107&lt;&gt;"",Q107))</f>
        <v/>
      </c>
      <c r="AA107" s="97" t="str">
        <f aca="false">IF(ISBLANK($C107),"",AND(V107&lt;&gt;"",Q107))</f>
        <v/>
      </c>
      <c r="AB107" s="97" t="str">
        <f aca="false">IF(ISBLANK($C107),"",IF(Y107,Constants!$B$4,IF(COUNTA(E107:N107)=0,Constants!$B$5,IF(NOT(Q107),Constants!$B$6,IF(AND(NOT(Z107),NOT(AA107)),Constants!$B$6,Constants!$B$7)))))</f>
        <v/>
      </c>
      <c r="AC107" s="97" t="str">
        <f aca="false">IF(ISBLANK($C107),"",IF($AB107&lt;&gt;Constants!$B$7,$AB107,Constants!$B$20))</f>
        <v/>
      </c>
      <c r="AD107" s="97" t="str">
        <f aca="false">IF($AB107=Constants!$B$7,IF(Z107,S107,Constants!$B$13),"")</f>
        <v/>
      </c>
      <c r="AE107" s="97" t="str">
        <f aca="false">IF($AB107=Constants!$B$7,IF(Z107,R107*IF(T107, 1, Constants!$B$11)*IF(U107, 1, Constants!$B$12),Constants!$B$13),"")</f>
        <v/>
      </c>
      <c r="AF107" s="97" t="str">
        <f aca="false">IF($AB107=Constants!$B$7,AD107*AE107,"")</f>
        <v/>
      </c>
      <c r="AG107" s="97" t="str">
        <f aca="false">IF($AB107=Constants!$B$7,IF(AA107,V107,Constants!$B$13),"")</f>
        <v/>
      </c>
      <c r="AH107" s="97" t="str">
        <f aca="false">IF($AB107=Constants!$B$7,IF(AA107,R107*IF(W107, 1, Constants!$B$11)*IF(X107, 1, Constants!$B$12),Constants!$B$13),"")</f>
        <v/>
      </c>
      <c r="AI107" s="97" t="str">
        <f aca="false">IF($AB107=Constants!$B$7,AG107*AH107,"")</f>
        <v/>
      </c>
      <c r="AJ107" s="97" t="str">
        <f aca="false">IF($AB107=Constants!$B$7,IF(AI107&gt;AF107,2,1),"")</f>
        <v/>
      </c>
      <c r="AK107" s="97" t="str">
        <f aca="false">IF($AB107=Constants!$B$7,IF(AJ107=1,2,1),"")</f>
        <v/>
      </c>
      <c r="AL107" s="97" t="str">
        <f aca="false">IF(ISBLANK($C107),"",IF($AB107&lt;&gt;Constants!$B$7,$AB107,IF(AJ107=1,AF107,AI107)))</f>
        <v/>
      </c>
      <c r="AM107" s="97" t="str">
        <f aca="false">IF(ISBLANK($C107),"",IF($AB107=Constants!$B$7,IF(ISNUMBER(AL107),RANK(AL107,$AL$8:$AL$507),Constants!$B$14),$AB107))</f>
        <v/>
      </c>
      <c r="AN107" s="97" t="str">
        <f aca="false">IF(ISBLANK($C107),"",IF($AB107=Constants!$B$7,IF(AK107=1,AF107,AI107),""))</f>
        <v/>
      </c>
      <c r="AO107" s="97" t="str">
        <f aca="false">IF(ISBLANK($C107),"",IF($AB107=Constants!$B$7,RANK(AN107,$AN$8:$AN$507),$AB107))</f>
        <v/>
      </c>
      <c r="AP107" s="97" t="str">
        <f aca="false">IF(ISBLANK($C107),"",IF($AB107=Constants!$B$7,IF(ISNUMBER(AM107),COUNTIFS($AM$8:$AM$507,"&lt;"&amp;$AM107)+COUNTIFS($AM$8:$AM$507,$AM107,$AO$8:$AO$507,"&lt;"&amp;$AO107)+1,Constants!$B$14),$AB107))</f>
        <v/>
      </c>
      <c r="AQ107" s="97" t="str">
        <f aca="false">IF(ISBLANK($C107),"",IF($AB107=Constants!$B$7,IF(ISNUMBER(AM107),AM107-AP107,Constants!$B$14),$AB107))</f>
        <v/>
      </c>
      <c r="AR107" s="98"/>
      <c r="AS107" s="99" t="str">
        <f aca="false">IF(ISBLANK($C107),"",IF($AB107&lt;&gt;Constants!$B$7,"",AJ107))</f>
        <v/>
      </c>
      <c r="AT107" s="100" t="str">
        <f aca="false">IF(ISBLANK($C107),"",IF($AB107&lt;&gt;Constants!$B$7,"",IF(AJ107=1,AD107,AG107)))</f>
        <v/>
      </c>
      <c r="AU107" s="101" t="str">
        <f aca="false">IF(ISBLANK($C107),"",IF($AB107&lt;&gt;Constants!$B$7,"",IF(AJ107=1,AE107,AH107)))</f>
        <v/>
      </c>
      <c r="AV107" s="102" t="str">
        <f aca="false">IF(ISBLANK($C107),"",IF($AB107&lt;&gt;Constants!$B$7,$AB107,AL107))</f>
        <v/>
      </c>
      <c r="AW107" s="103" t="str">
        <f aca="false">IF(ISBLANK($C107),"",IF($AB107&lt;&gt;Constants!$B$7,$AB107,AC107))</f>
        <v/>
      </c>
      <c r="AX107" s="104" t="str">
        <f aca="false">IF(ISBLANK($C107),"",AQ107)</f>
        <v/>
      </c>
      <c r="AY107" s="104" t="str">
        <f aca="false">IF(ISBLANK($C107),"",AP107)</f>
        <v/>
      </c>
      <c r="AZ107" s="105" t="str">
        <f aca="false">IF(ISBLANK($C107),"",IF(AY107=Constants!$B$4,COUNTA($C$8:$C$507)+2,IF(AY107=Constants!$B$5,COUNTA($C$8:$C$507)+1,IF(AY107=Constants!$B$6,COUNTA($C$8:$C$507),AY107))))</f>
        <v/>
      </c>
      <c r="BA107" s="5"/>
      <c r="BB107" s="106" t="n">
        <f aca="false">IF(OR(ISNUMBER(AY107),AY107=Constants!$B$4,AY107=Constants!$B$6,AY107=Constants!$B$5),1,0)</f>
        <v>0</v>
      </c>
      <c r="BC107" s="106" t="n">
        <v>100</v>
      </c>
      <c r="BD107" s="106" t="str">
        <f aca="false">IF(ISBLANK($C107),"",IF(ISNUMBER(AZ107),AZ107+ROW($B107)/1000,""))</f>
        <v/>
      </c>
      <c r="BE107" s="106" t="str">
        <f aca="false">IF(ISNUMBER(BD107),RANK(BD107,$BD$8:$BD$507,1),"")</f>
        <v/>
      </c>
      <c r="BF107" s="106" t="str">
        <f aca="false">IF(ISBLANK($C107),"",$B107)</f>
        <v/>
      </c>
      <c r="BG107" s="106" t="str">
        <f aca="false">IF(ISBLANK($C107),"",$C107)</f>
        <v/>
      </c>
      <c r="BH107" s="106" t="str">
        <f aca="false">IF(ISBLANK($C107),"",$D107)</f>
        <v/>
      </c>
      <c r="BI107" s="107" t="str">
        <f aca="false">AW107</f>
        <v/>
      </c>
      <c r="BJ107" s="108" t="str">
        <f aca="false">AV107</f>
        <v/>
      </c>
      <c r="BK107" s="106" t="str">
        <f aca="false">IF(ISBLANK($C107),"",AY107)</f>
        <v/>
      </c>
      <c r="BL107" s="109" t="str">
        <f aca="false">IF($BC107&gt;$BB$7,"",VLOOKUP($BC107,$BE$8:$BK$507,7,FALSE()))</f>
        <v/>
      </c>
      <c r="BM107" s="110" t="str">
        <f aca="false">IF($BC107&gt;$BB$7,"",VLOOKUP($BC107,$BE$8:$BK$507,2,FALSE()))</f>
        <v/>
      </c>
      <c r="BN107" s="110" t="str">
        <f aca="false">IF($BC107&gt;$BB$7,"",VLOOKUP($BC107,$BE$8:$BK$507,3,FALSE()))</f>
        <v/>
      </c>
      <c r="BO107" s="110" t="str">
        <f aca="false">IF($BC107&gt;$BB$7,"",VLOOKUP($BC107,$BE$8:$BK$507,4,FALSE()))</f>
        <v/>
      </c>
      <c r="BP107" s="110" t="str">
        <f aca="false">IF($BC107&gt;$BB$7,"",VLOOKUP($BC107,$BE$8:$BK$507,5,FALSE()))</f>
        <v/>
      </c>
      <c r="BQ107" s="111" t="str">
        <f aca="false">IF($BC107&gt;$BB$7,"",VLOOKUP($BC107,$BE$8:$BK$507,6,FALSE()))</f>
        <v/>
      </c>
      <c r="BR107" s="54"/>
    </row>
    <row r="108" customFormat="false" ht="13.8" hidden="false" customHeight="false" outlineLevel="0" collapsed="false">
      <c r="A108" s="5"/>
      <c r="B108" s="120"/>
      <c r="C108" s="121"/>
      <c r="D108" s="112"/>
      <c r="E108" s="123"/>
      <c r="F108" s="91"/>
      <c r="G108" s="92"/>
      <c r="H108" s="93"/>
      <c r="I108" s="94"/>
      <c r="J108" s="91"/>
      <c r="K108" s="92"/>
      <c r="L108" s="93"/>
      <c r="M108" s="94"/>
      <c r="N108" s="91"/>
      <c r="O108" s="123"/>
      <c r="P108" s="96"/>
      <c r="Q108" s="97" t="str">
        <f aca="false">IF(ISBLANK($C108),"",IF(E108=Constants!$B$2, TRUE(), IF(E108=Constants!$B$3, FALSE(), TRUE())))</f>
        <v/>
      </c>
      <c r="R108" s="97" t="str">
        <f aca="false">IF(ISBLANK($C108),"",IF(F108=Constants!$B$16,Constants!$B$9,IF(F108=Constants!$B$17,Constants!$B$10,Constants!$B$8)))</f>
        <v/>
      </c>
      <c r="S108" s="97" t="str">
        <f aca="false">IF(ISBLANK($C108),"",IF(COUNTA(G108:H108)=0,"",IF(AND(OR(ISBLANK(G108),AND(ISNUMBER(G108),G108&gt;=0)),OR(ISBLANK(H108),AND(ISNUMBER(H108),H108&gt;=0))),60*IF(ISBLANK(G108),0,G108)+IF(ISBLANK(H108),0,H108),"")))</f>
        <v/>
      </c>
      <c r="T108" s="97" t="str">
        <f aca="false">IF(ISBLANK($C108),"",IF(I108=Constants!$B$2, TRUE(), IF(I108=Constants!$B$3, FALSE(), TRUE())))</f>
        <v/>
      </c>
      <c r="U108" s="97" t="str">
        <f aca="false">IF(ISBLANK($C108),"",IF(J108=Constants!$B$2, TRUE(), IF(J108=Constants!$B$3, FALSE(), TRUE())))</f>
        <v/>
      </c>
      <c r="V108" s="97" t="str">
        <f aca="false">IF(ISBLANK($C108),"",IF(COUNTA(K108:L108)=0,"",IF(AND(OR(ISBLANK(K108),AND(ISNUMBER(K108),K108&gt;=0)),OR(ISBLANK(L108),AND(ISNUMBER(L108),L108&gt;=0))),60*IF(ISBLANK(K108),0,K108)+IF(ISBLANK(L108),0,L108),"")))</f>
        <v/>
      </c>
      <c r="W108" s="97" t="str">
        <f aca="false">IF(ISBLANK($C108),"",IF(M108=Constants!$B$2, TRUE(), IF(M108=Constants!$B$3, FALSE(), TRUE())))</f>
        <v/>
      </c>
      <c r="X108" s="97" t="str">
        <f aca="false">IF(ISBLANK($C108),"",IF(N108=Constants!$B$2, TRUE(), IF(N108=Constants!$B$3, FALSE(), TRUE())))</f>
        <v/>
      </c>
      <c r="Y108" s="97" t="str">
        <f aca="false">IF(ISBLANK($C108),"",IF(O108=Constants!$B$2, TRUE(), IF(O108=Constants!$B$3, FALSE(), FALSE())))</f>
        <v/>
      </c>
      <c r="Z108" s="97" t="str">
        <f aca="false">IF(ISBLANK($C108),"",AND(S108&lt;&gt;"",Q108))</f>
        <v/>
      </c>
      <c r="AA108" s="97" t="str">
        <f aca="false">IF(ISBLANK($C108),"",AND(V108&lt;&gt;"",Q108))</f>
        <v/>
      </c>
      <c r="AB108" s="97" t="str">
        <f aca="false">IF(ISBLANK($C108),"",IF(Y108,Constants!$B$4,IF(COUNTA(E108:N108)=0,Constants!$B$5,IF(NOT(Q108),Constants!$B$6,IF(AND(NOT(Z108),NOT(AA108)),Constants!$B$6,Constants!$B$7)))))</f>
        <v/>
      </c>
      <c r="AC108" s="97" t="str">
        <f aca="false">IF(ISBLANK($C108),"",IF($AB108&lt;&gt;Constants!$B$7,$AB108,Constants!$B$20))</f>
        <v/>
      </c>
      <c r="AD108" s="97" t="str">
        <f aca="false">IF($AB108=Constants!$B$7,IF(Z108,S108,Constants!$B$13),"")</f>
        <v/>
      </c>
      <c r="AE108" s="97" t="str">
        <f aca="false">IF($AB108=Constants!$B$7,IF(Z108,R108*IF(T108, 1, Constants!$B$11)*IF(U108, 1, Constants!$B$12),Constants!$B$13),"")</f>
        <v/>
      </c>
      <c r="AF108" s="97" t="str">
        <f aca="false">IF($AB108=Constants!$B$7,AD108*AE108,"")</f>
        <v/>
      </c>
      <c r="AG108" s="97" t="str">
        <f aca="false">IF($AB108=Constants!$B$7,IF(AA108,V108,Constants!$B$13),"")</f>
        <v/>
      </c>
      <c r="AH108" s="97" t="str">
        <f aca="false">IF($AB108=Constants!$B$7,IF(AA108,R108*IF(W108, 1, Constants!$B$11)*IF(X108, 1, Constants!$B$12),Constants!$B$13),"")</f>
        <v/>
      </c>
      <c r="AI108" s="97" t="str">
        <f aca="false">IF($AB108=Constants!$B$7,AG108*AH108,"")</f>
        <v/>
      </c>
      <c r="AJ108" s="97" t="str">
        <f aca="false">IF($AB108=Constants!$B$7,IF(AI108&gt;AF108,2,1),"")</f>
        <v/>
      </c>
      <c r="AK108" s="97" t="str">
        <f aca="false">IF($AB108=Constants!$B$7,IF(AJ108=1,2,1),"")</f>
        <v/>
      </c>
      <c r="AL108" s="97" t="str">
        <f aca="false">IF(ISBLANK($C108),"",IF($AB108&lt;&gt;Constants!$B$7,$AB108,IF(AJ108=1,AF108,AI108)))</f>
        <v/>
      </c>
      <c r="AM108" s="97" t="str">
        <f aca="false">IF(ISBLANK($C108),"",IF($AB108=Constants!$B$7,IF(ISNUMBER(AL108),RANK(AL108,$AL$8:$AL$507),Constants!$B$14),$AB108))</f>
        <v/>
      </c>
      <c r="AN108" s="97" t="str">
        <f aca="false">IF(ISBLANK($C108),"",IF($AB108=Constants!$B$7,IF(AK108=1,AF108,AI108),""))</f>
        <v/>
      </c>
      <c r="AO108" s="97" t="str">
        <f aca="false">IF(ISBLANK($C108),"",IF($AB108=Constants!$B$7,RANK(AN108,$AN$8:$AN$507),$AB108))</f>
        <v/>
      </c>
      <c r="AP108" s="97" t="str">
        <f aca="false">IF(ISBLANK($C108),"",IF($AB108=Constants!$B$7,IF(ISNUMBER(AM108),COUNTIFS($AM$8:$AM$507,"&lt;"&amp;$AM108)+COUNTIFS($AM$8:$AM$507,$AM108,$AO$8:$AO$507,"&lt;"&amp;$AO108)+1,Constants!$B$14),$AB108))</f>
        <v/>
      </c>
      <c r="AQ108" s="97" t="str">
        <f aca="false">IF(ISBLANK($C108),"",IF($AB108=Constants!$B$7,IF(ISNUMBER(AM108),AM108-AP108,Constants!$B$14),$AB108))</f>
        <v/>
      </c>
      <c r="AR108" s="98"/>
      <c r="AS108" s="99" t="str">
        <f aca="false">IF(ISBLANK($C108),"",IF($AB108&lt;&gt;Constants!$B$7,"",AJ108))</f>
        <v/>
      </c>
      <c r="AT108" s="100" t="str">
        <f aca="false">IF(ISBLANK($C108),"",IF($AB108&lt;&gt;Constants!$B$7,"",IF(AJ108=1,AD108,AG108)))</f>
        <v/>
      </c>
      <c r="AU108" s="101" t="str">
        <f aca="false">IF(ISBLANK($C108),"",IF($AB108&lt;&gt;Constants!$B$7,"",IF(AJ108=1,AE108,AH108)))</f>
        <v/>
      </c>
      <c r="AV108" s="102" t="str">
        <f aca="false">IF(ISBLANK($C108),"",IF($AB108&lt;&gt;Constants!$B$7,$AB108,AL108))</f>
        <v/>
      </c>
      <c r="AW108" s="103" t="str">
        <f aca="false">IF(ISBLANK($C108),"",IF($AB108&lt;&gt;Constants!$B$7,$AB108,AC108))</f>
        <v/>
      </c>
      <c r="AX108" s="104" t="str">
        <f aca="false">IF(ISBLANK($C108),"",AQ108)</f>
        <v/>
      </c>
      <c r="AY108" s="104" t="str">
        <f aca="false">IF(ISBLANK($C108),"",AP108)</f>
        <v/>
      </c>
      <c r="AZ108" s="105" t="str">
        <f aca="false">IF(ISBLANK($C108),"",IF(AY108=Constants!$B$4,COUNTA($C$8:$C$507)+2,IF(AY108=Constants!$B$5,COUNTA($C$8:$C$507)+1,IF(AY108=Constants!$B$6,COUNTA($C$8:$C$507),AY108))))</f>
        <v/>
      </c>
      <c r="BA108" s="5"/>
      <c r="BB108" s="106" t="n">
        <f aca="false">IF(OR(ISNUMBER(AY108),AY108=Constants!$B$4,AY108=Constants!$B$6,AY108=Constants!$B$5),1,0)</f>
        <v>0</v>
      </c>
      <c r="BC108" s="106" t="n">
        <v>101</v>
      </c>
      <c r="BD108" s="106" t="str">
        <f aca="false">IF(ISBLANK($C108),"",IF(ISNUMBER(AZ108),AZ108+ROW($B108)/1000,""))</f>
        <v/>
      </c>
      <c r="BE108" s="106" t="str">
        <f aca="false">IF(ISNUMBER(BD108),RANK(BD108,$BD$8:$BD$507,1),"")</f>
        <v/>
      </c>
      <c r="BF108" s="106" t="str">
        <f aca="false">IF(ISBLANK($C108),"",$B108)</f>
        <v/>
      </c>
      <c r="BG108" s="106" t="str">
        <f aca="false">IF(ISBLANK($C108),"",$C108)</f>
        <v/>
      </c>
      <c r="BH108" s="106" t="str">
        <f aca="false">IF(ISBLANK($C108),"",$D108)</f>
        <v/>
      </c>
      <c r="BI108" s="107" t="str">
        <f aca="false">AW108</f>
        <v/>
      </c>
      <c r="BJ108" s="108" t="str">
        <f aca="false">AV108</f>
        <v/>
      </c>
      <c r="BK108" s="106" t="str">
        <f aca="false">IF(ISBLANK($C108),"",AY108)</f>
        <v/>
      </c>
      <c r="BL108" s="109" t="str">
        <f aca="false">IF($BC108&gt;$BB$7,"",VLOOKUP($BC108,$BE$8:$BK$507,7,FALSE()))</f>
        <v/>
      </c>
      <c r="BM108" s="110" t="str">
        <f aca="false">IF($BC108&gt;$BB$7,"",VLOOKUP($BC108,$BE$8:$BK$507,2,FALSE()))</f>
        <v/>
      </c>
      <c r="BN108" s="110" t="str">
        <f aca="false">IF($BC108&gt;$BB$7,"",VLOOKUP($BC108,$BE$8:$BK$507,3,FALSE()))</f>
        <v/>
      </c>
      <c r="BO108" s="110" t="str">
        <f aca="false">IF($BC108&gt;$BB$7,"",VLOOKUP($BC108,$BE$8:$BK$507,4,FALSE()))</f>
        <v/>
      </c>
      <c r="BP108" s="110" t="str">
        <f aca="false">IF($BC108&gt;$BB$7,"",VLOOKUP($BC108,$BE$8:$BK$507,5,FALSE()))</f>
        <v/>
      </c>
      <c r="BQ108" s="111" t="str">
        <f aca="false">IF($BC108&gt;$BB$7,"",VLOOKUP($BC108,$BE$8:$BK$507,6,FALSE()))</f>
        <v/>
      </c>
      <c r="BR108" s="54"/>
    </row>
    <row r="109" customFormat="false" ht="13.8" hidden="false" customHeight="false" outlineLevel="0" collapsed="false">
      <c r="A109" s="5"/>
      <c r="B109" s="120"/>
      <c r="C109" s="121"/>
      <c r="D109" s="112"/>
      <c r="E109" s="123"/>
      <c r="F109" s="91"/>
      <c r="G109" s="92"/>
      <c r="H109" s="93"/>
      <c r="I109" s="94"/>
      <c r="J109" s="91"/>
      <c r="K109" s="92"/>
      <c r="L109" s="93"/>
      <c r="M109" s="94"/>
      <c r="N109" s="91"/>
      <c r="O109" s="123"/>
      <c r="P109" s="96"/>
      <c r="Q109" s="97" t="str">
        <f aca="false">IF(ISBLANK($C109),"",IF(E109=Constants!$B$2, TRUE(), IF(E109=Constants!$B$3, FALSE(), TRUE())))</f>
        <v/>
      </c>
      <c r="R109" s="97" t="str">
        <f aca="false">IF(ISBLANK($C109),"",IF(F109=Constants!$B$16,Constants!$B$9,IF(F109=Constants!$B$17,Constants!$B$10,Constants!$B$8)))</f>
        <v/>
      </c>
      <c r="S109" s="97" t="str">
        <f aca="false">IF(ISBLANK($C109),"",IF(COUNTA(G109:H109)=0,"",IF(AND(OR(ISBLANK(G109),AND(ISNUMBER(G109),G109&gt;=0)),OR(ISBLANK(H109),AND(ISNUMBER(H109),H109&gt;=0))),60*IF(ISBLANK(G109),0,G109)+IF(ISBLANK(H109),0,H109),"")))</f>
        <v/>
      </c>
      <c r="T109" s="97" t="str">
        <f aca="false">IF(ISBLANK($C109),"",IF(I109=Constants!$B$2, TRUE(), IF(I109=Constants!$B$3, FALSE(), TRUE())))</f>
        <v/>
      </c>
      <c r="U109" s="97" t="str">
        <f aca="false">IF(ISBLANK($C109),"",IF(J109=Constants!$B$2, TRUE(), IF(J109=Constants!$B$3, FALSE(), TRUE())))</f>
        <v/>
      </c>
      <c r="V109" s="97" t="str">
        <f aca="false">IF(ISBLANK($C109),"",IF(COUNTA(K109:L109)=0,"",IF(AND(OR(ISBLANK(K109),AND(ISNUMBER(K109),K109&gt;=0)),OR(ISBLANK(L109),AND(ISNUMBER(L109),L109&gt;=0))),60*IF(ISBLANK(K109),0,K109)+IF(ISBLANK(L109),0,L109),"")))</f>
        <v/>
      </c>
      <c r="W109" s="97" t="str">
        <f aca="false">IF(ISBLANK($C109),"",IF(M109=Constants!$B$2, TRUE(), IF(M109=Constants!$B$3, FALSE(), TRUE())))</f>
        <v/>
      </c>
      <c r="X109" s="97" t="str">
        <f aca="false">IF(ISBLANK($C109),"",IF(N109=Constants!$B$2, TRUE(), IF(N109=Constants!$B$3, FALSE(), TRUE())))</f>
        <v/>
      </c>
      <c r="Y109" s="97" t="str">
        <f aca="false">IF(ISBLANK($C109),"",IF(O109=Constants!$B$2, TRUE(), IF(O109=Constants!$B$3, FALSE(), FALSE())))</f>
        <v/>
      </c>
      <c r="Z109" s="97" t="str">
        <f aca="false">IF(ISBLANK($C109),"",AND(S109&lt;&gt;"",Q109))</f>
        <v/>
      </c>
      <c r="AA109" s="97" t="str">
        <f aca="false">IF(ISBLANK($C109),"",AND(V109&lt;&gt;"",Q109))</f>
        <v/>
      </c>
      <c r="AB109" s="97" t="str">
        <f aca="false">IF(ISBLANK($C109),"",IF(Y109,Constants!$B$4,IF(COUNTA(E109:N109)=0,Constants!$B$5,IF(NOT(Q109),Constants!$B$6,IF(AND(NOT(Z109),NOT(AA109)),Constants!$B$6,Constants!$B$7)))))</f>
        <v/>
      </c>
      <c r="AC109" s="97" t="str">
        <f aca="false">IF(ISBLANK($C109),"",IF($AB109&lt;&gt;Constants!$B$7,$AB109,Constants!$B$20))</f>
        <v/>
      </c>
      <c r="AD109" s="97" t="str">
        <f aca="false">IF($AB109=Constants!$B$7,IF(Z109,S109,Constants!$B$13),"")</f>
        <v/>
      </c>
      <c r="AE109" s="97" t="str">
        <f aca="false">IF($AB109=Constants!$B$7,IF(Z109,R109*IF(T109, 1, Constants!$B$11)*IF(U109, 1, Constants!$B$12),Constants!$B$13),"")</f>
        <v/>
      </c>
      <c r="AF109" s="97" t="str">
        <f aca="false">IF($AB109=Constants!$B$7,AD109*AE109,"")</f>
        <v/>
      </c>
      <c r="AG109" s="97" t="str">
        <f aca="false">IF($AB109=Constants!$B$7,IF(AA109,V109,Constants!$B$13),"")</f>
        <v/>
      </c>
      <c r="AH109" s="97" t="str">
        <f aca="false">IF($AB109=Constants!$B$7,IF(AA109,R109*IF(W109, 1, Constants!$B$11)*IF(X109, 1, Constants!$B$12),Constants!$B$13),"")</f>
        <v/>
      </c>
      <c r="AI109" s="97" t="str">
        <f aca="false">IF($AB109=Constants!$B$7,AG109*AH109,"")</f>
        <v/>
      </c>
      <c r="AJ109" s="97" t="str">
        <f aca="false">IF($AB109=Constants!$B$7,IF(AI109&gt;AF109,2,1),"")</f>
        <v/>
      </c>
      <c r="AK109" s="97" t="str">
        <f aca="false">IF($AB109=Constants!$B$7,IF(AJ109=1,2,1),"")</f>
        <v/>
      </c>
      <c r="AL109" s="97" t="str">
        <f aca="false">IF(ISBLANK($C109),"",IF($AB109&lt;&gt;Constants!$B$7,$AB109,IF(AJ109=1,AF109,AI109)))</f>
        <v/>
      </c>
      <c r="AM109" s="97" t="str">
        <f aca="false">IF(ISBLANK($C109),"",IF($AB109=Constants!$B$7,IF(ISNUMBER(AL109),RANK(AL109,$AL$8:$AL$507),Constants!$B$14),$AB109))</f>
        <v/>
      </c>
      <c r="AN109" s="97" t="str">
        <f aca="false">IF(ISBLANK($C109),"",IF($AB109=Constants!$B$7,IF(AK109=1,AF109,AI109),""))</f>
        <v/>
      </c>
      <c r="AO109" s="97" t="str">
        <f aca="false">IF(ISBLANK($C109),"",IF($AB109=Constants!$B$7,RANK(AN109,$AN$8:$AN$507),$AB109))</f>
        <v/>
      </c>
      <c r="AP109" s="97" t="str">
        <f aca="false">IF(ISBLANK($C109),"",IF($AB109=Constants!$B$7,IF(ISNUMBER(AM109),COUNTIFS($AM$8:$AM$507,"&lt;"&amp;$AM109)+COUNTIFS($AM$8:$AM$507,$AM109,$AO$8:$AO$507,"&lt;"&amp;$AO109)+1,Constants!$B$14),$AB109))</f>
        <v/>
      </c>
      <c r="AQ109" s="97" t="str">
        <f aca="false">IF(ISBLANK($C109),"",IF($AB109=Constants!$B$7,IF(ISNUMBER(AM109),AM109-AP109,Constants!$B$14),$AB109))</f>
        <v/>
      </c>
      <c r="AR109" s="98"/>
      <c r="AS109" s="99" t="str">
        <f aca="false">IF(ISBLANK($C109),"",IF($AB109&lt;&gt;Constants!$B$7,"",AJ109))</f>
        <v/>
      </c>
      <c r="AT109" s="100" t="str">
        <f aca="false">IF(ISBLANK($C109),"",IF($AB109&lt;&gt;Constants!$B$7,"",IF(AJ109=1,AD109,AG109)))</f>
        <v/>
      </c>
      <c r="AU109" s="101" t="str">
        <f aca="false">IF(ISBLANK($C109),"",IF($AB109&lt;&gt;Constants!$B$7,"",IF(AJ109=1,AE109,AH109)))</f>
        <v/>
      </c>
      <c r="AV109" s="102" t="str">
        <f aca="false">IF(ISBLANK($C109),"",IF($AB109&lt;&gt;Constants!$B$7,$AB109,AL109))</f>
        <v/>
      </c>
      <c r="AW109" s="103" t="str">
        <f aca="false">IF(ISBLANK($C109),"",IF($AB109&lt;&gt;Constants!$B$7,$AB109,AC109))</f>
        <v/>
      </c>
      <c r="AX109" s="104" t="str">
        <f aca="false">IF(ISBLANK($C109),"",AQ109)</f>
        <v/>
      </c>
      <c r="AY109" s="104" t="str">
        <f aca="false">IF(ISBLANK($C109),"",AP109)</f>
        <v/>
      </c>
      <c r="AZ109" s="105" t="str">
        <f aca="false">IF(ISBLANK($C109),"",IF(AY109=Constants!$B$4,COUNTA($C$8:$C$507)+2,IF(AY109=Constants!$B$5,COUNTA($C$8:$C$507)+1,IF(AY109=Constants!$B$6,COUNTA($C$8:$C$507),AY109))))</f>
        <v/>
      </c>
      <c r="BA109" s="5"/>
      <c r="BB109" s="106" t="n">
        <f aca="false">IF(OR(ISNUMBER(AY109),AY109=Constants!$B$4,AY109=Constants!$B$6,AY109=Constants!$B$5),1,0)</f>
        <v>0</v>
      </c>
      <c r="BC109" s="106" t="n">
        <v>102</v>
      </c>
      <c r="BD109" s="106" t="str">
        <f aca="false">IF(ISBLANK($C109),"",IF(ISNUMBER(AZ109),AZ109+ROW($B109)/1000,""))</f>
        <v/>
      </c>
      <c r="BE109" s="106" t="str">
        <f aca="false">IF(ISNUMBER(BD109),RANK(BD109,$BD$8:$BD$507,1),"")</f>
        <v/>
      </c>
      <c r="BF109" s="106" t="str">
        <f aca="false">IF(ISBLANK($C109),"",$B109)</f>
        <v/>
      </c>
      <c r="BG109" s="106" t="str">
        <f aca="false">IF(ISBLANK($C109),"",$C109)</f>
        <v/>
      </c>
      <c r="BH109" s="106" t="str">
        <f aca="false">IF(ISBLANK($C109),"",$D109)</f>
        <v/>
      </c>
      <c r="BI109" s="107" t="str">
        <f aca="false">AW109</f>
        <v/>
      </c>
      <c r="BJ109" s="108" t="str">
        <f aca="false">AV109</f>
        <v/>
      </c>
      <c r="BK109" s="106" t="str">
        <f aca="false">IF(ISBLANK($C109),"",AY109)</f>
        <v/>
      </c>
      <c r="BL109" s="109" t="str">
        <f aca="false">IF($BC109&gt;$BB$7,"",VLOOKUP($BC109,$BE$8:$BK$507,7,FALSE()))</f>
        <v/>
      </c>
      <c r="BM109" s="110" t="str">
        <f aca="false">IF($BC109&gt;$BB$7,"",VLOOKUP($BC109,$BE$8:$BK$507,2,FALSE()))</f>
        <v/>
      </c>
      <c r="BN109" s="110" t="str">
        <f aca="false">IF($BC109&gt;$BB$7,"",VLOOKUP($BC109,$BE$8:$BK$507,3,FALSE()))</f>
        <v/>
      </c>
      <c r="BO109" s="110" t="str">
        <f aca="false">IF($BC109&gt;$BB$7,"",VLOOKUP($BC109,$BE$8:$BK$507,4,FALSE()))</f>
        <v/>
      </c>
      <c r="BP109" s="110" t="str">
        <f aca="false">IF($BC109&gt;$BB$7,"",VLOOKUP($BC109,$BE$8:$BK$507,5,FALSE()))</f>
        <v/>
      </c>
      <c r="BQ109" s="111" t="str">
        <f aca="false">IF($BC109&gt;$BB$7,"",VLOOKUP($BC109,$BE$8:$BK$507,6,FALSE()))</f>
        <v/>
      </c>
      <c r="BR109" s="54"/>
    </row>
    <row r="110" customFormat="false" ht="13.8" hidden="false" customHeight="false" outlineLevel="0" collapsed="false">
      <c r="A110" s="5"/>
      <c r="B110" s="124"/>
      <c r="C110" s="56"/>
      <c r="D110" s="57"/>
      <c r="E110" s="83"/>
      <c r="F110" s="59"/>
      <c r="G110" s="60"/>
      <c r="H110" s="61"/>
      <c r="I110" s="62"/>
      <c r="J110" s="59"/>
      <c r="K110" s="60"/>
      <c r="L110" s="61"/>
      <c r="M110" s="62"/>
      <c r="N110" s="59"/>
      <c r="O110" s="83"/>
      <c r="P110" s="64"/>
      <c r="Q110" s="66" t="str">
        <f aca="false">IF(ISBLANK($C110),"",IF(E110=Constants!$B$2, TRUE(), IF(E110=Constants!$B$3, FALSE(), TRUE())))</f>
        <v/>
      </c>
      <c r="R110" s="66" t="str">
        <f aca="false">IF(ISBLANK($C110),"",IF(F110=Constants!$B$16,Constants!$B$9,IF(F110=Constants!$B$17,Constants!$B$10,Constants!$B$8)))</f>
        <v/>
      </c>
      <c r="S110" s="66" t="str">
        <f aca="false">IF(ISBLANK($C110),"",IF(COUNTA(G110:H110)=0,"",IF(AND(OR(ISBLANK(G110),AND(ISNUMBER(G110),G110&gt;=0)),OR(ISBLANK(H110),AND(ISNUMBER(H110),H110&gt;=0))),60*IF(ISBLANK(G110),0,G110)+IF(ISBLANK(H110),0,H110),"")))</f>
        <v/>
      </c>
      <c r="T110" s="66" t="str">
        <f aca="false">IF(ISBLANK($C110),"",IF(I110=Constants!$B$2, TRUE(), IF(I110=Constants!$B$3, FALSE(), TRUE())))</f>
        <v/>
      </c>
      <c r="U110" s="66" t="str">
        <f aca="false">IF(ISBLANK($C110),"",IF(J110=Constants!$B$2, TRUE(), IF(J110=Constants!$B$3, FALSE(), TRUE())))</f>
        <v/>
      </c>
      <c r="V110" s="66" t="str">
        <f aca="false">IF(ISBLANK($C110),"",IF(COUNTA(K110:L110)=0,"",IF(AND(OR(ISBLANK(K110),AND(ISNUMBER(K110),K110&gt;=0)),OR(ISBLANK(L110),AND(ISNUMBER(L110),L110&gt;=0))),60*IF(ISBLANK(K110),0,K110)+IF(ISBLANK(L110),0,L110),"")))</f>
        <v/>
      </c>
      <c r="W110" s="66" t="str">
        <f aca="false">IF(ISBLANK($C110),"",IF(M110=Constants!$B$2, TRUE(), IF(M110=Constants!$B$3, FALSE(), TRUE())))</f>
        <v/>
      </c>
      <c r="X110" s="66" t="str">
        <f aca="false">IF(ISBLANK($C110),"",IF(N110=Constants!$B$2, TRUE(), IF(N110=Constants!$B$3, FALSE(), TRUE())))</f>
        <v/>
      </c>
      <c r="Y110" s="66" t="str">
        <f aca="false">IF(ISBLANK($C110),"",IF(O110=Constants!$B$2, TRUE(), IF(O110=Constants!$B$3, FALSE(), FALSE())))</f>
        <v/>
      </c>
      <c r="Z110" s="66" t="str">
        <f aca="false">IF(ISBLANK($C110),"",AND(S110&lt;&gt;"",Q110))</f>
        <v/>
      </c>
      <c r="AA110" s="66" t="str">
        <f aca="false">IF(ISBLANK($C110),"",AND(V110&lt;&gt;"",Q110))</f>
        <v/>
      </c>
      <c r="AB110" s="66" t="str">
        <f aca="false">IF(ISBLANK($C110),"",IF(Y110,Constants!$B$4,IF(COUNTA(E110:N110)=0,Constants!$B$5,IF(NOT(Q110),Constants!$B$6,IF(AND(NOT(Z110),NOT(AA110)),Constants!$B$6,Constants!$B$7)))))</f>
        <v/>
      </c>
      <c r="AC110" s="66" t="str">
        <f aca="false">IF(ISBLANK($C110),"",IF($AB110&lt;&gt;Constants!$B$7,$AB110,Constants!$B$20))</f>
        <v/>
      </c>
      <c r="AD110" s="66" t="str">
        <f aca="false">IF($AB110=Constants!$B$7,IF(Z110,S110,Constants!$B$13),"")</f>
        <v/>
      </c>
      <c r="AE110" s="66" t="str">
        <f aca="false">IF($AB110=Constants!$B$7,IF(Z110,R110*IF(T110, 1, Constants!$B$11)*IF(U110, 1, Constants!$B$12),Constants!$B$13),"")</f>
        <v/>
      </c>
      <c r="AF110" s="66" t="str">
        <f aca="false">IF($AB110=Constants!$B$7,AD110*AE110,"")</f>
        <v/>
      </c>
      <c r="AG110" s="66" t="str">
        <f aca="false">IF($AB110=Constants!$B$7,IF(AA110,V110,Constants!$B$13),"")</f>
        <v/>
      </c>
      <c r="AH110" s="66" t="str">
        <f aca="false">IF($AB110=Constants!$B$7,IF(AA110,R110*IF(W110, 1, Constants!$B$11)*IF(X110, 1, Constants!$B$12),Constants!$B$13),"")</f>
        <v/>
      </c>
      <c r="AI110" s="66" t="str">
        <f aca="false">IF($AB110=Constants!$B$7,AG110*AH110,"")</f>
        <v/>
      </c>
      <c r="AJ110" s="66" t="str">
        <f aca="false">IF($AB110=Constants!$B$7,IF(AI110&gt;AF110,2,1),"")</f>
        <v/>
      </c>
      <c r="AK110" s="66" t="str">
        <f aca="false">IF($AB110=Constants!$B$7,IF(AJ110=1,2,1),"")</f>
        <v/>
      </c>
      <c r="AL110" s="66" t="str">
        <f aca="false">IF(ISBLANK($C110),"",IF($AB110&lt;&gt;Constants!$B$7,$AB110,IF(AJ110=1,AF110,AI110)))</f>
        <v/>
      </c>
      <c r="AM110" s="66" t="str">
        <f aca="false">IF(ISBLANK($C110),"",IF($AB110=Constants!$B$7,IF(ISNUMBER(AL110),RANK(AL110,$AL$8:$AL$507),Constants!$B$14),$AB110))</f>
        <v/>
      </c>
      <c r="AN110" s="66" t="str">
        <f aca="false">IF(ISBLANK($C110),"",IF($AB110=Constants!$B$7,IF(AK110=1,AF110,AI110),""))</f>
        <v/>
      </c>
      <c r="AO110" s="66" t="str">
        <f aca="false">IF(ISBLANK($C110),"",IF($AB110=Constants!$B$7,RANK(AN110,$AN$8:$AN$507),$AB110))</f>
        <v/>
      </c>
      <c r="AP110" s="66" t="str">
        <f aca="false">IF(ISBLANK($C110),"",IF($AB110=Constants!$B$7,IF(ISNUMBER(AM110),COUNTIFS($AM$8:$AM$507,"&lt;"&amp;$AM110)+COUNTIFS($AM$8:$AM$507,$AM110,$AO$8:$AO$507,"&lt;"&amp;$AO110)+1,Constants!$B$14),$AB110))</f>
        <v/>
      </c>
      <c r="AQ110" s="66" t="str">
        <f aca="false">IF(ISBLANK($C110),"",IF($AB110=Constants!$B$7,IF(ISNUMBER(AM110),AM110-AP110,Constants!$B$14),$AB110))</f>
        <v/>
      </c>
      <c r="AR110" s="68"/>
      <c r="AS110" s="69" t="str">
        <f aca="false">IF(ISBLANK($C110),"",IF($AB110&lt;&gt;Constants!$B$7,"",AJ110))</f>
        <v/>
      </c>
      <c r="AT110" s="84" t="str">
        <f aca="false">IF(ISBLANK($C110),"",IF($AB110&lt;&gt;Constants!$B$7,"",IF(AJ110=1,AD110,AG110)))</f>
        <v/>
      </c>
      <c r="AU110" s="71" t="str">
        <f aca="false">IF(ISBLANK($C110),"",IF($AB110&lt;&gt;Constants!$B$7,"",IF(AJ110=1,AE110,AH110)))</f>
        <v/>
      </c>
      <c r="AV110" s="72" t="str">
        <f aca="false">IF(ISBLANK($C110),"",IF($AB110&lt;&gt;Constants!$B$7,$AB110,AL110))</f>
        <v/>
      </c>
      <c r="AW110" s="73" t="str">
        <f aca="false">IF(ISBLANK($C110),"",IF($AB110&lt;&gt;Constants!$B$7,$AB110,AC110))</f>
        <v/>
      </c>
      <c r="AX110" s="74" t="str">
        <f aca="false">IF(ISBLANK($C110),"",AQ110)</f>
        <v/>
      </c>
      <c r="AY110" s="74" t="str">
        <f aca="false">IF(ISBLANK($C110),"",AP110)</f>
        <v/>
      </c>
      <c r="AZ110" s="75" t="str">
        <f aca="false">IF(ISBLANK($C110),"",IF(AY110=Constants!$B$4,COUNTA($C$8:$C$507)+2,IF(AY110=Constants!$B$5,COUNTA($C$8:$C$507)+1,IF(AY110=Constants!$B$6,COUNTA($C$8:$C$507),AY110))))</f>
        <v/>
      </c>
      <c r="BA110" s="5"/>
      <c r="BB110" s="76" t="n">
        <f aca="false">IF(OR(ISNUMBER(AY110),AY110=Constants!$B$4,AY110=Constants!$B$6,AY110=Constants!$B$5),1,0)</f>
        <v>0</v>
      </c>
      <c r="BC110" s="76" t="n">
        <v>103</v>
      </c>
      <c r="BD110" s="76" t="str">
        <f aca="false">IF(ISBLANK($C110),"",IF(ISNUMBER(AZ110),AZ110+ROW($B110)/1000,""))</f>
        <v/>
      </c>
      <c r="BE110" s="76" t="str">
        <f aca="false">IF(ISNUMBER(BD110),RANK(BD110,$BD$8:$BD$507,1),"")</f>
        <v/>
      </c>
      <c r="BF110" s="76" t="str">
        <f aca="false">IF(ISBLANK($C110),"",$B110)</f>
        <v/>
      </c>
      <c r="BG110" s="76" t="str">
        <f aca="false">IF(ISBLANK($C110),"",$C110)</f>
        <v/>
      </c>
      <c r="BH110" s="76" t="str">
        <f aca="false">IF(ISBLANK($C110),"",$D110)</f>
        <v/>
      </c>
      <c r="BI110" s="77" t="str">
        <f aca="false">AW110</f>
        <v/>
      </c>
      <c r="BJ110" s="78" t="str">
        <f aca="false">AV110</f>
        <v/>
      </c>
      <c r="BK110" s="76" t="str">
        <f aca="false">IF(ISBLANK($C110),"",AY110)</f>
        <v/>
      </c>
      <c r="BL110" s="79" t="str">
        <f aca="false">IF($BC110&gt;$BB$7,"",VLOOKUP($BC110,$BE$8:$BK$507,7,FALSE()))</f>
        <v/>
      </c>
      <c r="BM110" s="80" t="str">
        <f aca="false">IF($BC110&gt;$BB$7,"",VLOOKUP($BC110,$BE$8:$BK$507,2,FALSE()))</f>
        <v/>
      </c>
      <c r="BN110" s="80" t="str">
        <f aca="false">IF($BC110&gt;$BB$7,"",VLOOKUP($BC110,$BE$8:$BK$507,3,FALSE()))</f>
        <v/>
      </c>
      <c r="BO110" s="80" t="str">
        <f aca="false">IF($BC110&gt;$BB$7,"",VLOOKUP($BC110,$BE$8:$BK$507,4,FALSE()))</f>
        <v/>
      </c>
      <c r="BP110" s="80" t="str">
        <f aca="false">IF($BC110&gt;$BB$7,"",VLOOKUP($BC110,$BE$8:$BK$507,5,FALSE()))</f>
        <v/>
      </c>
      <c r="BQ110" s="81" t="str">
        <f aca="false">IF($BC110&gt;$BB$7,"",VLOOKUP($BC110,$BE$8:$BK$507,6,FALSE()))</f>
        <v/>
      </c>
      <c r="BR110" s="54"/>
    </row>
    <row r="111" customFormat="false" ht="13.8" hidden="false" customHeight="false" outlineLevel="0" collapsed="false">
      <c r="A111" s="5"/>
      <c r="B111" s="124"/>
      <c r="C111" s="56"/>
      <c r="D111" s="57"/>
      <c r="E111" s="83"/>
      <c r="F111" s="59"/>
      <c r="G111" s="60"/>
      <c r="H111" s="61"/>
      <c r="I111" s="62"/>
      <c r="J111" s="59"/>
      <c r="K111" s="60"/>
      <c r="L111" s="61"/>
      <c r="M111" s="62"/>
      <c r="N111" s="59"/>
      <c r="O111" s="83"/>
      <c r="P111" s="64"/>
      <c r="Q111" s="66" t="str">
        <f aca="false">IF(ISBLANK($C111),"",IF(E111=Constants!$B$2, TRUE(), IF(E111=Constants!$B$3, FALSE(), TRUE())))</f>
        <v/>
      </c>
      <c r="R111" s="66" t="str">
        <f aca="false">IF(ISBLANK($C111),"",IF(F111=Constants!$B$16,Constants!$B$9,IF(F111=Constants!$B$17,Constants!$B$10,Constants!$B$8)))</f>
        <v/>
      </c>
      <c r="S111" s="66" t="str">
        <f aca="false">IF(ISBLANK($C111),"",IF(COUNTA(G111:H111)=0,"",IF(AND(OR(ISBLANK(G111),AND(ISNUMBER(G111),G111&gt;=0)),OR(ISBLANK(H111),AND(ISNUMBER(H111),H111&gt;=0))),60*IF(ISBLANK(G111),0,G111)+IF(ISBLANK(H111),0,H111),"")))</f>
        <v/>
      </c>
      <c r="T111" s="66" t="str">
        <f aca="false">IF(ISBLANK($C111),"",IF(I111=Constants!$B$2, TRUE(), IF(I111=Constants!$B$3, FALSE(), TRUE())))</f>
        <v/>
      </c>
      <c r="U111" s="66" t="str">
        <f aca="false">IF(ISBLANK($C111),"",IF(J111=Constants!$B$2, TRUE(), IF(J111=Constants!$B$3, FALSE(), TRUE())))</f>
        <v/>
      </c>
      <c r="V111" s="66" t="str">
        <f aca="false">IF(ISBLANK($C111),"",IF(COUNTA(K111:L111)=0,"",IF(AND(OR(ISBLANK(K111),AND(ISNUMBER(K111),K111&gt;=0)),OR(ISBLANK(L111),AND(ISNUMBER(L111),L111&gt;=0))),60*IF(ISBLANK(K111),0,K111)+IF(ISBLANK(L111),0,L111),"")))</f>
        <v/>
      </c>
      <c r="W111" s="66" t="str">
        <f aca="false">IF(ISBLANK($C111),"",IF(M111=Constants!$B$2, TRUE(), IF(M111=Constants!$B$3, FALSE(), TRUE())))</f>
        <v/>
      </c>
      <c r="X111" s="66" t="str">
        <f aca="false">IF(ISBLANK($C111),"",IF(N111=Constants!$B$2, TRUE(), IF(N111=Constants!$B$3, FALSE(), TRUE())))</f>
        <v/>
      </c>
      <c r="Y111" s="66" t="str">
        <f aca="false">IF(ISBLANK($C111),"",IF(O111=Constants!$B$2, TRUE(), IF(O111=Constants!$B$3, FALSE(), FALSE())))</f>
        <v/>
      </c>
      <c r="Z111" s="66" t="str">
        <f aca="false">IF(ISBLANK($C111),"",AND(S111&lt;&gt;"",Q111))</f>
        <v/>
      </c>
      <c r="AA111" s="66" t="str">
        <f aca="false">IF(ISBLANK($C111),"",AND(V111&lt;&gt;"",Q111))</f>
        <v/>
      </c>
      <c r="AB111" s="66" t="str">
        <f aca="false">IF(ISBLANK($C111),"",IF(Y111,Constants!$B$4,IF(COUNTA(E111:N111)=0,Constants!$B$5,IF(NOT(Q111),Constants!$B$6,IF(AND(NOT(Z111),NOT(AA111)),Constants!$B$6,Constants!$B$7)))))</f>
        <v/>
      </c>
      <c r="AC111" s="66" t="str">
        <f aca="false">IF(ISBLANK($C111),"",IF($AB111&lt;&gt;Constants!$B$7,$AB111,Constants!$B$20))</f>
        <v/>
      </c>
      <c r="AD111" s="66" t="str">
        <f aca="false">IF($AB111=Constants!$B$7,IF(Z111,S111,Constants!$B$13),"")</f>
        <v/>
      </c>
      <c r="AE111" s="66" t="str">
        <f aca="false">IF($AB111=Constants!$B$7,IF(Z111,R111*IF(T111, 1, Constants!$B$11)*IF(U111, 1, Constants!$B$12),Constants!$B$13),"")</f>
        <v/>
      </c>
      <c r="AF111" s="66" t="str">
        <f aca="false">IF($AB111=Constants!$B$7,AD111*AE111,"")</f>
        <v/>
      </c>
      <c r="AG111" s="66" t="str">
        <f aca="false">IF($AB111=Constants!$B$7,IF(AA111,V111,Constants!$B$13),"")</f>
        <v/>
      </c>
      <c r="AH111" s="66" t="str">
        <f aca="false">IF($AB111=Constants!$B$7,IF(AA111,R111*IF(W111, 1, Constants!$B$11)*IF(X111, 1, Constants!$B$12),Constants!$B$13),"")</f>
        <v/>
      </c>
      <c r="AI111" s="66" t="str">
        <f aca="false">IF($AB111=Constants!$B$7,AG111*AH111,"")</f>
        <v/>
      </c>
      <c r="AJ111" s="66" t="str">
        <f aca="false">IF($AB111=Constants!$B$7,IF(AI111&gt;AF111,2,1),"")</f>
        <v/>
      </c>
      <c r="AK111" s="66" t="str">
        <f aca="false">IF($AB111=Constants!$B$7,IF(AJ111=1,2,1),"")</f>
        <v/>
      </c>
      <c r="AL111" s="66" t="str">
        <f aca="false">IF(ISBLANK($C111),"",IF($AB111&lt;&gt;Constants!$B$7,$AB111,IF(AJ111=1,AF111,AI111)))</f>
        <v/>
      </c>
      <c r="AM111" s="66" t="str">
        <f aca="false">IF(ISBLANK($C111),"",IF($AB111=Constants!$B$7,IF(ISNUMBER(AL111),RANK(AL111,$AL$8:$AL$507),Constants!$B$14),$AB111))</f>
        <v/>
      </c>
      <c r="AN111" s="66" t="str">
        <f aca="false">IF(ISBLANK($C111),"",IF($AB111=Constants!$B$7,IF(AK111=1,AF111,AI111),""))</f>
        <v/>
      </c>
      <c r="AO111" s="66" t="str">
        <f aca="false">IF(ISBLANK($C111),"",IF($AB111=Constants!$B$7,RANK(AN111,$AN$8:$AN$507),$AB111))</f>
        <v/>
      </c>
      <c r="AP111" s="66" t="str">
        <f aca="false">IF(ISBLANK($C111),"",IF($AB111=Constants!$B$7,IF(ISNUMBER(AM111),COUNTIFS($AM$8:$AM$507,"&lt;"&amp;$AM111)+COUNTIFS($AM$8:$AM$507,$AM111,$AO$8:$AO$507,"&lt;"&amp;$AO111)+1,Constants!$B$14),$AB111))</f>
        <v/>
      </c>
      <c r="AQ111" s="66" t="str">
        <f aca="false">IF(ISBLANK($C111),"",IF($AB111=Constants!$B$7,IF(ISNUMBER(AM111),AM111-AP111,Constants!$B$14),$AB111))</f>
        <v/>
      </c>
      <c r="AR111" s="68"/>
      <c r="AS111" s="69" t="str">
        <f aca="false">IF(ISBLANK($C111),"",IF($AB111&lt;&gt;Constants!$B$7,"",AJ111))</f>
        <v/>
      </c>
      <c r="AT111" s="84" t="str">
        <f aca="false">IF(ISBLANK($C111),"",IF($AB111&lt;&gt;Constants!$B$7,"",IF(AJ111=1,AD111,AG111)))</f>
        <v/>
      </c>
      <c r="AU111" s="71" t="str">
        <f aca="false">IF(ISBLANK($C111),"",IF($AB111&lt;&gt;Constants!$B$7,"",IF(AJ111=1,AE111,AH111)))</f>
        <v/>
      </c>
      <c r="AV111" s="72" t="str">
        <f aca="false">IF(ISBLANK($C111),"",IF($AB111&lt;&gt;Constants!$B$7,$AB111,AL111))</f>
        <v/>
      </c>
      <c r="AW111" s="73" t="str">
        <f aca="false">IF(ISBLANK($C111),"",IF($AB111&lt;&gt;Constants!$B$7,$AB111,AC111))</f>
        <v/>
      </c>
      <c r="AX111" s="74" t="str">
        <f aca="false">IF(ISBLANK($C111),"",AQ111)</f>
        <v/>
      </c>
      <c r="AY111" s="74" t="str">
        <f aca="false">IF(ISBLANK($C111),"",AP111)</f>
        <v/>
      </c>
      <c r="AZ111" s="75" t="str">
        <f aca="false">IF(ISBLANK($C111),"",IF(AY111=Constants!$B$4,COUNTA($C$8:$C$507)+2,IF(AY111=Constants!$B$5,COUNTA($C$8:$C$507)+1,IF(AY111=Constants!$B$6,COUNTA($C$8:$C$507),AY111))))</f>
        <v/>
      </c>
      <c r="BA111" s="5"/>
      <c r="BB111" s="76" t="n">
        <f aca="false">IF(OR(ISNUMBER(AY111),AY111=Constants!$B$4,AY111=Constants!$B$6,AY111=Constants!$B$5),1,0)</f>
        <v>0</v>
      </c>
      <c r="BC111" s="76" t="n">
        <v>104</v>
      </c>
      <c r="BD111" s="76" t="str">
        <f aca="false">IF(ISBLANK($C111),"",IF(ISNUMBER(AZ111),AZ111+ROW($B111)/1000,""))</f>
        <v/>
      </c>
      <c r="BE111" s="76" t="str">
        <f aca="false">IF(ISNUMBER(BD111),RANK(BD111,$BD$8:$BD$507,1),"")</f>
        <v/>
      </c>
      <c r="BF111" s="76" t="str">
        <f aca="false">IF(ISBLANK($C111),"",$B111)</f>
        <v/>
      </c>
      <c r="BG111" s="76" t="str">
        <f aca="false">IF(ISBLANK($C111),"",$C111)</f>
        <v/>
      </c>
      <c r="BH111" s="76" t="str">
        <f aca="false">IF(ISBLANK($C111),"",$D111)</f>
        <v/>
      </c>
      <c r="BI111" s="77" t="str">
        <f aca="false">AW111</f>
        <v/>
      </c>
      <c r="BJ111" s="78" t="str">
        <f aca="false">AV111</f>
        <v/>
      </c>
      <c r="BK111" s="76" t="str">
        <f aca="false">IF(ISBLANK($C111),"",AY111)</f>
        <v/>
      </c>
      <c r="BL111" s="79" t="str">
        <f aca="false">IF($BC111&gt;$BB$7,"",VLOOKUP($BC111,$BE$8:$BK$507,7,FALSE()))</f>
        <v/>
      </c>
      <c r="BM111" s="80" t="str">
        <f aca="false">IF($BC111&gt;$BB$7,"",VLOOKUP($BC111,$BE$8:$BK$507,2,FALSE()))</f>
        <v/>
      </c>
      <c r="BN111" s="80" t="str">
        <f aca="false">IF($BC111&gt;$BB$7,"",VLOOKUP($BC111,$BE$8:$BK$507,3,FALSE()))</f>
        <v/>
      </c>
      <c r="BO111" s="80" t="str">
        <f aca="false">IF($BC111&gt;$BB$7,"",VLOOKUP($BC111,$BE$8:$BK$507,4,FALSE()))</f>
        <v/>
      </c>
      <c r="BP111" s="80" t="str">
        <f aca="false">IF($BC111&gt;$BB$7,"",VLOOKUP($BC111,$BE$8:$BK$507,5,FALSE()))</f>
        <v/>
      </c>
      <c r="BQ111" s="81" t="str">
        <f aca="false">IF($BC111&gt;$BB$7,"",VLOOKUP($BC111,$BE$8:$BK$507,6,FALSE()))</f>
        <v/>
      </c>
      <c r="BR111" s="54"/>
    </row>
    <row r="112" customFormat="false" ht="13.8" hidden="false" customHeight="false" outlineLevel="0" collapsed="false">
      <c r="A112" s="5"/>
      <c r="B112" s="124"/>
      <c r="C112" s="56"/>
      <c r="D112" s="57"/>
      <c r="E112" s="83"/>
      <c r="F112" s="59"/>
      <c r="G112" s="60"/>
      <c r="H112" s="61"/>
      <c r="I112" s="62"/>
      <c r="J112" s="59"/>
      <c r="K112" s="60"/>
      <c r="L112" s="61"/>
      <c r="M112" s="62"/>
      <c r="N112" s="59"/>
      <c r="O112" s="83"/>
      <c r="P112" s="64"/>
      <c r="Q112" s="66" t="str">
        <f aca="false">IF(ISBLANK($C112),"",IF(E112=Constants!$B$2, TRUE(), IF(E112=Constants!$B$3, FALSE(), TRUE())))</f>
        <v/>
      </c>
      <c r="R112" s="66" t="str">
        <f aca="false">IF(ISBLANK($C112),"",IF(F112=Constants!$B$16,Constants!$B$9,IF(F112=Constants!$B$17,Constants!$B$10,Constants!$B$8)))</f>
        <v/>
      </c>
      <c r="S112" s="66" t="str">
        <f aca="false">IF(ISBLANK($C112),"",IF(COUNTA(G112:H112)=0,"",IF(AND(OR(ISBLANK(G112),AND(ISNUMBER(G112),G112&gt;=0)),OR(ISBLANK(H112),AND(ISNUMBER(H112),H112&gt;=0))),60*IF(ISBLANK(G112),0,G112)+IF(ISBLANK(H112),0,H112),"")))</f>
        <v/>
      </c>
      <c r="T112" s="66" t="str">
        <f aca="false">IF(ISBLANK($C112),"",IF(I112=Constants!$B$2, TRUE(), IF(I112=Constants!$B$3, FALSE(), TRUE())))</f>
        <v/>
      </c>
      <c r="U112" s="66" t="str">
        <f aca="false">IF(ISBLANK($C112),"",IF(J112=Constants!$B$2, TRUE(), IF(J112=Constants!$B$3, FALSE(), TRUE())))</f>
        <v/>
      </c>
      <c r="V112" s="66" t="str">
        <f aca="false">IF(ISBLANK($C112),"",IF(COUNTA(K112:L112)=0,"",IF(AND(OR(ISBLANK(K112),AND(ISNUMBER(K112),K112&gt;=0)),OR(ISBLANK(L112),AND(ISNUMBER(L112),L112&gt;=0))),60*IF(ISBLANK(K112),0,K112)+IF(ISBLANK(L112),0,L112),"")))</f>
        <v/>
      </c>
      <c r="W112" s="66" t="str">
        <f aca="false">IF(ISBLANK($C112),"",IF(M112=Constants!$B$2, TRUE(), IF(M112=Constants!$B$3, FALSE(), TRUE())))</f>
        <v/>
      </c>
      <c r="X112" s="66" t="str">
        <f aca="false">IF(ISBLANK($C112),"",IF(N112=Constants!$B$2, TRUE(), IF(N112=Constants!$B$3, FALSE(), TRUE())))</f>
        <v/>
      </c>
      <c r="Y112" s="66" t="str">
        <f aca="false">IF(ISBLANK($C112),"",IF(O112=Constants!$B$2, TRUE(), IF(O112=Constants!$B$3, FALSE(), FALSE())))</f>
        <v/>
      </c>
      <c r="Z112" s="66" t="str">
        <f aca="false">IF(ISBLANK($C112),"",AND(S112&lt;&gt;"",Q112))</f>
        <v/>
      </c>
      <c r="AA112" s="66" t="str">
        <f aca="false">IF(ISBLANK($C112),"",AND(V112&lt;&gt;"",Q112))</f>
        <v/>
      </c>
      <c r="AB112" s="66" t="str">
        <f aca="false">IF(ISBLANK($C112),"",IF(Y112,Constants!$B$4,IF(COUNTA(E112:N112)=0,Constants!$B$5,IF(NOT(Q112),Constants!$B$6,IF(AND(NOT(Z112),NOT(AA112)),Constants!$B$6,Constants!$B$7)))))</f>
        <v/>
      </c>
      <c r="AC112" s="66" t="str">
        <f aca="false">IF(ISBLANK($C112),"",IF($AB112&lt;&gt;Constants!$B$7,$AB112,Constants!$B$20))</f>
        <v/>
      </c>
      <c r="AD112" s="66" t="str">
        <f aca="false">IF($AB112=Constants!$B$7,IF(Z112,S112,Constants!$B$13),"")</f>
        <v/>
      </c>
      <c r="AE112" s="66" t="str">
        <f aca="false">IF($AB112=Constants!$B$7,IF(Z112,R112*IF(T112, 1, Constants!$B$11)*IF(U112, 1, Constants!$B$12),Constants!$B$13),"")</f>
        <v/>
      </c>
      <c r="AF112" s="66" t="str">
        <f aca="false">IF($AB112=Constants!$B$7,AD112*AE112,"")</f>
        <v/>
      </c>
      <c r="AG112" s="66" t="str">
        <f aca="false">IF($AB112=Constants!$B$7,IF(AA112,V112,Constants!$B$13),"")</f>
        <v/>
      </c>
      <c r="AH112" s="66" t="str">
        <f aca="false">IF($AB112=Constants!$B$7,IF(AA112,R112*IF(W112, 1, Constants!$B$11)*IF(X112, 1, Constants!$B$12),Constants!$B$13),"")</f>
        <v/>
      </c>
      <c r="AI112" s="66" t="str">
        <f aca="false">IF($AB112=Constants!$B$7,AG112*AH112,"")</f>
        <v/>
      </c>
      <c r="AJ112" s="66" t="str">
        <f aca="false">IF($AB112=Constants!$B$7,IF(AI112&gt;AF112,2,1),"")</f>
        <v/>
      </c>
      <c r="AK112" s="66" t="str">
        <f aca="false">IF($AB112=Constants!$B$7,IF(AJ112=1,2,1),"")</f>
        <v/>
      </c>
      <c r="AL112" s="66" t="str">
        <f aca="false">IF(ISBLANK($C112),"",IF($AB112&lt;&gt;Constants!$B$7,$AB112,IF(AJ112=1,AF112,AI112)))</f>
        <v/>
      </c>
      <c r="AM112" s="66" t="str">
        <f aca="false">IF(ISBLANK($C112),"",IF($AB112=Constants!$B$7,IF(ISNUMBER(AL112),RANK(AL112,$AL$8:$AL$507),Constants!$B$14),$AB112))</f>
        <v/>
      </c>
      <c r="AN112" s="66" t="str">
        <f aca="false">IF(ISBLANK($C112),"",IF($AB112=Constants!$B$7,IF(AK112=1,AF112,AI112),""))</f>
        <v/>
      </c>
      <c r="AO112" s="66" t="str">
        <f aca="false">IF(ISBLANK($C112),"",IF($AB112=Constants!$B$7,RANK(AN112,$AN$8:$AN$507),$AB112))</f>
        <v/>
      </c>
      <c r="AP112" s="66" t="str">
        <f aca="false">IF(ISBLANK($C112),"",IF($AB112=Constants!$B$7,IF(ISNUMBER(AM112),COUNTIFS($AM$8:$AM$507,"&lt;"&amp;$AM112)+COUNTIFS($AM$8:$AM$507,$AM112,$AO$8:$AO$507,"&lt;"&amp;$AO112)+1,Constants!$B$14),$AB112))</f>
        <v/>
      </c>
      <c r="AQ112" s="66" t="str">
        <f aca="false">IF(ISBLANK($C112),"",IF($AB112=Constants!$B$7,IF(ISNUMBER(AM112),AM112-AP112,Constants!$B$14),$AB112))</f>
        <v/>
      </c>
      <c r="AR112" s="68"/>
      <c r="AS112" s="69" t="str">
        <f aca="false">IF(ISBLANK($C112),"",IF($AB112&lt;&gt;Constants!$B$7,"",AJ112))</f>
        <v/>
      </c>
      <c r="AT112" s="84" t="str">
        <f aca="false">IF(ISBLANK($C112),"",IF($AB112&lt;&gt;Constants!$B$7,"",IF(AJ112=1,AD112,AG112)))</f>
        <v/>
      </c>
      <c r="AU112" s="71" t="str">
        <f aca="false">IF(ISBLANK($C112),"",IF($AB112&lt;&gt;Constants!$B$7,"",IF(AJ112=1,AE112,AH112)))</f>
        <v/>
      </c>
      <c r="AV112" s="72" t="str">
        <f aca="false">IF(ISBLANK($C112),"",IF($AB112&lt;&gt;Constants!$B$7,$AB112,AL112))</f>
        <v/>
      </c>
      <c r="AW112" s="73" t="str">
        <f aca="false">IF(ISBLANK($C112),"",IF($AB112&lt;&gt;Constants!$B$7,$AB112,AC112))</f>
        <v/>
      </c>
      <c r="AX112" s="74" t="str">
        <f aca="false">IF(ISBLANK($C112),"",AQ112)</f>
        <v/>
      </c>
      <c r="AY112" s="74" t="str">
        <f aca="false">IF(ISBLANK($C112),"",AP112)</f>
        <v/>
      </c>
      <c r="AZ112" s="75" t="str">
        <f aca="false">IF(ISBLANK($C112),"",IF(AY112=Constants!$B$4,COUNTA($C$8:$C$507)+2,IF(AY112=Constants!$B$5,COUNTA($C$8:$C$507)+1,IF(AY112=Constants!$B$6,COUNTA($C$8:$C$507),AY112))))</f>
        <v/>
      </c>
      <c r="BA112" s="5"/>
      <c r="BB112" s="76" t="n">
        <f aca="false">IF(OR(ISNUMBER(AY112),AY112=Constants!$B$4,AY112=Constants!$B$6,AY112=Constants!$B$5),1,0)</f>
        <v>0</v>
      </c>
      <c r="BC112" s="76" t="n">
        <v>105</v>
      </c>
      <c r="BD112" s="76" t="str">
        <f aca="false">IF(ISBLANK($C112),"",IF(ISNUMBER(AZ112),AZ112+ROW($B112)/1000,""))</f>
        <v/>
      </c>
      <c r="BE112" s="76" t="str">
        <f aca="false">IF(ISNUMBER(BD112),RANK(BD112,$BD$8:$BD$507,1),"")</f>
        <v/>
      </c>
      <c r="BF112" s="76" t="str">
        <f aca="false">IF(ISBLANK($C112),"",$B112)</f>
        <v/>
      </c>
      <c r="BG112" s="76" t="str">
        <f aca="false">IF(ISBLANK($C112),"",$C112)</f>
        <v/>
      </c>
      <c r="BH112" s="76" t="str">
        <f aca="false">IF(ISBLANK($C112),"",$D112)</f>
        <v/>
      </c>
      <c r="BI112" s="77" t="str">
        <f aca="false">AW112</f>
        <v/>
      </c>
      <c r="BJ112" s="78" t="str">
        <f aca="false">AV112</f>
        <v/>
      </c>
      <c r="BK112" s="76" t="str">
        <f aca="false">IF(ISBLANK($C112),"",AY112)</f>
        <v/>
      </c>
      <c r="BL112" s="79" t="str">
        <f aca="false">IF($BC112&gt;$BB$7,"",VLOOKUP($BC112,$BE$8:$BK$507,7,FALSE()))</f>
        <v/>
      </c>
      <c r="BM112" s="80" t="str">
        <f aca="false">IF($BC112&gt;$BB$7,"",VLOOKUP($BC112,$BE$8:$BK$507,2,FALSE()))</f>
        <v/>
      </c>
      <c r="BN112" s="80" t="str">
        <f aca="false">IF($BC112&gt;$BB$7,"",VLOOKUP($BC112,$BE$8:$BK$507,3,FALSE()))</f>
        <v/>
      </c>
      <c r="BO112" s="80" t="str">
        <f aca="false">IF($BC112&gt;$BB$7,"",VLOOKUP($BC112,$BE$8:$BK$507,4,FALSE()))</f>
        <v/>
      </c>
      <c r="BP112" s="80" t="str">
        <f aca="false">IF($BC112&gt;$BB$7,"",VLOOKUP($BC112,$BE$8:$BK$507,5,FALSE()))</f>
        <v/>
      </c>
      <c r="BQ112" s="81" t="str">
        <f aca="false">IF($BC112&gt;$BB$7,"",VLOOKUP($BC112,$BE$8:$BK$507,6,FALSE()))</f>
        <v/>
      </c>
      <c r="BR112" s="54"/>
    </row>
    <row r="113" customFormat="false" ht="13.8" hidden="false" customHeight="false" outlineLevel="0" collapsed="false">
      <c r="A113" s="5"/>
      <c r="B113" s="120"/>
      <c r="C113" s="121"/>
      <c r="D113" s="112"/>
      <c r="E113" s="123"/>
      <c r="F113" s="91"/>
      <c r="G113" s="92"/>
      <c r="H113" s="93"/>
      <c r="I113" s="94"/>
      <c r="J113" s="91"/>
      <c r="K113" s="92"/>
      <c r="L113" s="93"/>
      <c r="M113" s="94"/>
      <c r="N113" s="91"/>
      <c r="O113" s="123"/>
      <c r="P113" s="96"/>
      <c r="Q113" s="97" t="str">
        <f aca="false">IF(ISBLANK($C113),"",IF(E113=Constants!$B$2, TRUE(), IF(E113=Constants!$B$3, FALSE(), TRUE())))</f>
        <v/>
      </c>
      <c r="R113" s="97" t="str">
        <f aca="false">IF(ISBLANK($C113),"",IF(F113=Constants!$B$16,Constants!$B$9,IF(F113=Constants!$B$17,Constants!$B$10,Constants!$B$8)))</f>
        <v/>
      </c>
      <c r="S113" s="97" t="str">
        <f aca="false">IF(ISBLANK($C113),"",IF(COUNTA(G113:H113)=0,"",IF(AND(OR(ISBLANK(G113),AND(ISNUMBER(G113),G113&gt;=0)),OR(ISBLANK(H113),AND(ISNUMBER(H113),H113&gt;=0))),60*IF(ISBLANK(G113),0,G113)+IF(ISBLANK(H113),0,H113),"")))</f>
        <v/>
      </c>
      <c r="T113" s="97" t="str">
        <f aca="false">IF(ISBLANK($C113),"",IF(I113=Constants!$B$2, TRUE(), IF(I113=Constants!$B$3, FALSE(), TRUE())))</f>
        <v/>
      </c>
      <c r="U113" s="97" t="str">
        <f aca="false">IF(ISBLANK($C113),"",IF(J113=Constants!$B$2, TRUE(), IF(J113=Constants!$B$3, FALSE(), TRUE())))</f>
        <v/>
      </c>
      <c r="V113" s="97" t="str">
        <f aca="false">IF(ISBLANK($C113),"",IF(COUNTA(K113:L113)=0,"",IF(AND(OR(ISBLANK(K113),AND(ISNUMBER(K113),K113&gt;=0)),OR(ISBLANK(L113),AND(ISNUMBER(L113),L113&gt;=0))),60*IF(ISBLANK(K113),0,K113)+IF(ISBLANK(L113),0,L113),"")))</f>
        <v/>
      </c>
      <c r="W113" s="97" t="str">
        <f aca="false">IF(ISBLANK($C113),"",IF(M113=Constants!$B$2, TRUE(), IF(M113=Constants!$B$3, FALSE(), TRUE())))</f>
        <v/>
      </c>
      <c r="X113" s="97" t="str">
        <f aca="false">IF(ISBLANK($C113),"",IF(N113=Constants!$B$2, TRUE(), IF(N113=Constants!$B$3, FALSE(), TRUE())))</f>
        <v/>
      </c>
      <c r="Y113" s="97" t="str">
        <f aca="false">IF(ISBLANK($C113),"",IF(O113=Constants!$B$2, TRUE(), IF(O113=Constants!$B$3, FALSE(), FALSE())))</f>
        <v/>
      </c>
      <c r="Z113" s="97" t="str">
        <f aca="false">IF(ISBLANK($C113),"",AND(S113&lt;&gt;"",Q113))</f>
        <v/>
      </c>
      <c r="AA113" s="97" t="str">
        <f aca="false">IF(ISBLANK($C113),"",AND(V113&lt;&gt;"",Q113))</f>
        <v/>
      </c>
      <c r="AB113" s="97" t="str">
        <f aca="false">IF(ISBLANK($C113),"",IF(Y113,Constants!$B$4,IF(COUNTA(E113:N113)=0,Constants!$B$5,IF(NOT(Q113),Constants!$B$6,IF(AND(NOT(Z113),NOT(AA113)),Constants!$B$6,Constants!$B$7)))))</f>
        <v/>
      </c>
      <c r="AC113" s="97" t="str">
        <f aca="false">IF(ISBLANK($C113),"",IF($AB113&lt;&gt;Constants!$B$7,$AB113,Constants!$B$20))</f>
        <v/>
      </c>
      <c r="AD113" s="97" t="str">
        <f aca="false">IF($AB113=Constants!$B$7,IF(Z113,S113,Constants!$B$13),"")</f>
        <v/>
      </c>
      <c r="AE113" s="97" t="str">
        <f aca="false">IF($AB113=Constants!$B$7,IF(Z113,R113*IF(T113, 1, Constants!$B$11)*IF(U113, 1, Constants!$B$12),Constants!$B$13),"")</f>
        <v/>
      </c>
      <c r="AF113" s="97" t="str">
        <f aca="false">IF($AB113=Constants!$B$7,AD113*AE113,"")</f>
        <v/>
      </c>
      <c r="AG113" s="97" t="str">
        <f aca="false">IF($AB113=Constants!$B$7,IF(AA113,V113,Constants!$B$13),"")</f>
        <v/>
      </c>
      <c r="AH113" s="97" t="str">
        <f aca="false">IF($AB113=Constants!$B$7,IF(AA113,R113*IF(W113, 1, Constants!$B$11)*IF(X113, 1, Constants!$B$12),Constants!$B$13),"")</f>
        <v/>
      </c>
      <c r="AI113" s="97" t="str">
        <f aca="false">IF($AB113=Constants!$B$7,AG113*AH113,"")</f>
        <v/>
      </c>
      <c r="AJ113" s="97" t="str">
        <f aca="false">IF($AB113=Constants!$B$7,IF(AI113&gt;AF113,2,1),"")</f>
        <v/>
      </c>
      <c r="AK113" s="97" t="str">
        <f aca="false">IF($AB113=Constants!$B$7,IF(AJ113=1,2,1),"")</f>
        <v/>
      </c>
      <c r="AL113" s="97" t="str">
        <f aca="false">IF(ISBLANK($C113),"",IF($AB113&lt;&gt;Constants!$B$7,$AB113,IF(AJ113=1,AF113,AI113)))</f>
        <v/>
      </c>
      <c r="AM113" s="97" t="str">
        <f aca="false">IF(ISBLANK($C113),"",IF($AB113=Constants!$B$7,IF(ISNUMBER(AL113),RANK(AL113,$AL$8:$AL$507),Constants!$B$14),$AB113))</f>
        <v/>
      </c>
      <c r="AN113" s="97" t="str">
        <f aca="false">IF(ISBLANK($C113),"",IF($AB113=Constants!$B$7,IF(AK113=1,AF113,AI113),""))</f>
        <v/>
      </c>
      <c r="AO113" s="97" t="str">
        <f aca="false">IF(ISBLANK($C113),"",IF($AB113=Constants!$B$7,RANK(AN113,$AN$8:$AN$507),$AB113))</f>
        <v/>
      </c>
      <c r="AP113" s="97" t="str">
        <f aca="false">IF(ISBLANK($C113),"",IF($AB113=Constants!$B$7,IF(ISNUMBER(AM113),COUNTIFS($AM$8:$AM$507,"&lt;"&amp;$AM113)+COUNTIFS($AM$8:$AM$507,$AM113,$AO$8:$AO$507,"&lt;"&amp;$AO113)+1,Constants!$B$14),$AB113))</f>
        <v/>
      </c>
      <c r="AQ113" s="97" t="str">
        <f aca="false">IF(ISBLANK($C113),"",IF($AB113=Constants!$B$7,IF(ISNUMBER(AM113),AM113-AP113,Constants!$B$14),$AB113))</f>
        <v/>
      </c>
      <c r="AR113" s="98"/>
      <c r="AS113" s="99" t="str">
        <f aca="false">IF(ISBLANK($C113),"",IF($AB113&lt;&gt;Constants!$B$7,"",AJ113))</f>
        <v/>
      </c>
      <c r="AT113" s="100" t="str">
        <f aca="false">IF(ISBLANK($C113),"",IF($AB113&lt;&gt;Constants!$B$7,"",IF(AJ113=1,AD113,AG113)))</f>
        <v/>
      </c>
      <c r="AU113" s="101" t="str">
        <f aca="false">IF(ISBLANK($C113),"",IF($AB113&lt;&gt;Constants!$B$7,"",IF(AJ113=1,AE113,AH113)))</f>
        <v/>
      </c>
      <c r="AV113" s="102" t="str">
        <f aca="false">IF(ISBLANK($C113),"",IF($AB113&lt;&gt;Constants!$B$7,$AB113,AL113))</f>
        <v/>
      </c>
      <c r="AW113" s="103" t="str">
        <f aca="false">IF(ISBLANK($C113),"",IF($AB113&lt;&gt;Constants!$B$7,$AB113,AC113))</f>
        <v/>
      </c>
      <c r="AX113" s="104" t="str">
        <f aca="false">IF(ISBLANK($C113),"",AQ113)</f>
        <v/>
      </c>
      <c r="AY113" s="104" t="str">
        <f aca="false">IF(ISBLANK($C113),"",AP113)</f>
        <v/>
      </c>
      <c r="AZ113" s="105" t="str">
        <f aca="false">IF(ISBLANK($C113),"",IF(AY113=Constants!$B$4,COUNTA($C$8:$C$507)+2,IF(AY113=Constants!$B$5,COUNTA($C$8:$C$507)+1,IF(AY113=Constants!$B$6,COUNTA($C$8:$C$507),AY113))))</f>
        <v/>
      </c>
      <c r="BA113" s="5"/>
      <c r="BB113" s="106" t="n">
        <f aca="false">IF(OR(ISNUMBER(AY113),AY113=Constants!$B$4,AY113=Constants!$B$6,AY113=Constants!$B$5),1,0)</f>
        <v>0</v>
      </c>
      <c r="BC113" s="106" t="n">
        <v>106</v>
      </c>
      <c r="BD113" s="106" t="str">
        <f aca="false">IF(ISBLANK($C113),"",IF(ISNUMBER(AZ113),AZ113+ROW($B113)/1000,""))</f>
        <v/>
      </c>
      <c r="BE113" s="106" t="str">
        <f aca="false">IF(ISNUMBER(BD113),RANK(BD113,$BD$8:$BD$507,1),"")</f>
        <v/>
      </c>
      <c r="BF113" s="106" t="str">
        <f aca="false">IF(ISBLANK($C113),"",$B113)</f>
        <v/>
      </c>
      <c r="BG113" s="106" t="str">
        <f aca="false">IF(ISBLANK($C113),"",$C113)</f>
        <v/>
      </c>
      <c r="BH113" s="106" t="str">
        <f aca="false">IF(ISBLANK($C113),"",$D113)</f>
        <v/>
      </c>
      <c r="BI113" s="107" t="str">
        <f aca="false">AW113</f>
        <v/>
      </c>
      <c r="BJ113" s="108" t="str">
        <f aca="false">AV113</f>
        <v/>
      </c>
      <c r="BK113" s="106" t="str">
        <f aca="false">IF(ISBLANK($C113),"",AY113)</f>
        <v/>
      </c>
      <c r="BL113" s="109" t="str">
        <f aca="false">IF($BC113&gt;$BB$7,"",VLOOKUP($BC113,$BE$8:$BK$507,7,FALSE()))</f>
        <v/>
      </c>
      <c r="BM113" s="110" t="str">
        <f aca="false">IF($BC113&gt;$BB$7,"",VLOOKUP($BC113,$BE$8:$BK$507,2,FALSE()))</f>
        <v/>
      </c>
      <c r="BN113" s="110" t="str">
        <f aca="false">IF($BC113&gt;$BB$7,"",VLOOKUP($BC113,$BE$8:$BK$507,3,FALSE()))</f>
        <v/>
      </c>
      <c r="BO113" s="110" t="str">
        <f aca="false">IF($BC113&gt;$BB$7,"",VLOOKUP($BC113,$BE$8:$BK$507,4,FALSE()))</f>
        <v/>
      </c>
      <c r="BP113" s="110" t="str">
        <f aca="false">IF($BC113&gt;$BB$7,"",VLOOKUP($BC113,$BE$8:$BK$507,5,FALSE()))</f>
        <v/>
      </c>
      <c r="BQ113" s="111" t="str">
        <f aca="false">IF($BC113&gt;$BB$7,"",VLOOKUP($BC113,$BE$8:$BK$507,6,FALSE()))</f>
        <v/>
      </c>
      <c r="BR113" s="54"/>
    </row>
    <row r="114" customFormat="false" ht="13.8" hidden="false" customHeight="false" outlineLevel="0" collapsed="false">
      <c r="A114" s="5"/>
      <c r="B114" s="120"/>
      <c r="C114" s="121"/>
      <c r="D114" s="112"/>
      <c r="E114" s="123"/>
      <c r="F114" s="91"/>
      <c r="G114" s="92"/>
      <c r="H114" s="93"/>
      <c r="I114" s="94"/>
      <c r="J114" s="91"/>
      <c r="K114" s="92"/>
      <c r="L114" s="93"/>
      <c r="M114" s="94"/>
      <c r="N114" s="91"/>
      <c r="O114" s="123"/>
      <c r="P114" s="96"/>
      <c r="Q114" s="97" t="str">
        <f aca="false">IF(ISBLANK($C114),"",IF(E114=Constants!$B$2, TRUE(), IF(E114=Constants!$B$3, FALSE(), TRUE())))</f>
        <v/>
      </c>
      <c r="R114" s="97" t="str">
        <f aca="false">IF(ISBLANK($C114),"",IF(F114=Constants!$B$16,Constants!$B$9,IF(F114=Constants!$B$17,Constants!$B$10,Constants!$B$8)))</f>
        <v/>
      </c>
      <c r="S114" s="97" t="str">
        <f aca="false">IF(ISBLANK($C114),"",IF(COUNTA(G114:H114)=0,"",IF(AND(OR(ISBLANK(G114),AND(ISNUMBER(G114),G114&gt;=0)),OR(ISBLANK(H114),AND(ISNUMBER(H114),H114&gt;=0))),60*IF(ISBLANK(G114),0,G114)+IF(ISBLANK(H114),0,H114),"")))</f>
        <v/>
      </c>
      <c r="T114" s="97" t="str">
        <f aca="false">IF(ISBLANK($C114),"",IF(I114=Constants!$B$2, TRUE(), IF(I114=Constants!$B$3, FALSE(), TRUE())))</f>
        <v/>
      </c>
      <c r="U114" s="97" t="str">
        <f aca="false">IF(ISBLANK($C114),"",IF(J114=Constants!$B$2, TRUE(), IF(J114=Constants!$B$3, FALSE(), TRUE())))</f>
        <v/>
      </c>
      <c r="V114" s="97" t="str">
        <f aca="false">IF(ISBLANK($C114),"",IF(COUNTA(K114:L114)=0,"",IF(AND(OR(ISBLANK(K114),AND(ISNUMBER(K114),K114&gt;=0)),OR(ISBLANK(L114),AND(ISNUMBER(L114),L114&gt;=0))),60*IF(ISBLANK(K114),0,K114)+IF(ISBLANK(L114),0,L114),"")))</f>
        <v/>
      </c>
      <c r="W114" s="97" t="str">
        <f aca="false">IF(ISBLANK($C114),"",IF(M114=Constants!$B$2, TRUE(), IF(M114=Constants!$B$3, FALSE(), TRUE())))</f>
        <v/>
      </c>
      <c r="X114" s="97" t="str">
        <f aca="false">IF(ISBLANK($C114),"",IF(N114=Constants!$B$2, TRUE(), IF(N114=Constants!$B$3, FALSE(), TRUE())))</f>
        <v/>
      </c>
      <c r="Y114" s="97" t="str">
        <f aca="false">IF(ISBLANK($C114),"",IF(O114=Constants!$B$2, TRUE(), IF(O114=Constants!$B$3, FALSE(), FALSE())))</f>
        <v/>
      </c>
      <c r="Z114" s="97" t="str">
        <f aca="false">IF(ISBLANK($C114),"",AND(S114&lt;&gt;"",Q114))</f>
        <v/>
      </c>
      <c r="AA114" s="97" t="str">
        <f aca="false">IF(ISBLANK($C114),"",AND(V114&lt;&gt;"",Q114))</f>
        <v/>
      </c>
      <c r="AB114" s="97" t="str">
        <f aca="false">IF(ISBLANK($C114),"",IF(Y114,Constants!$B$4,IF(COUNTA(E114:N114)=0,Constants!$B$5,IF(NOT(Q114),Constants!$B$6,IF(AND(NOT(Z114),NOT(AA114)),Constants!$B$6,Constants!$B$7)))))</f>
        <v/>
      </c>
      <c r="AC114" s="97" t="str">
        <f aca="false">IF(ISBLANK($C114),"",IF($AB114&lt;&gt;Constants!$B$7,$AB114,Constants!$B$20))</f>
        <v/>
      </c>
      <c r="AD114" s="97" t="str">
        <f aca="false">IF($AB114=Constants!$B$7,IF(Z114,S114,Constants!$B$13),"")</f>
        <v/>
      </c>
      <c r="AE114" s="97" t="str">
        <f aca="false">IF($AB114=Constants!$B$7,IF(Z114,R114*IF(T114, 1, Constants!$B$11)*IF(U114, 1, Constants!$B$12),Constants!$B$13),"")</f>
        <v/>
      </c>
      <c r="AF114" s="97" t="str">
        <f aca="false">IF($AB114=Constants!$B$7,AD114*AE114,"")</f>
        <v/>
      </c>
      <c r="AG114" s="97" t="str">
        <f aca="false">IF($AB114=Constants!$B$7,IF(AA114,V114,Constants!$B$13),"")</f>
        <v/>
      </c>
      <c r="AH114" s="97" t="str">
        <f aca="false">IF($AB114=Constants!$B$7,IF(AA114,R114*IF(W114, 1, Constants!$B$11)*IF(X114, 1, Constants!$B$12),Constants!$B$13),"")</f>
        <v/>
      </c>
      <c r="AI114" s="97" t="str">
        <f aca="false">IF($AB114=Constants!$B$7,AG114*AH114,"")</f>
        <v/>
      </c>
      <c r="AJ114" s="97" t="str">
        <f aca="false">IF($AB114=Constants!$B$7,IF(AI114&gt;AF114,2,1),"")</f>
        <v/>
      </c>
      <c r="AK114" s="97" t="str">
        <f aca="false">IF($AB114=Constants!$B$7,IF(AJ114=1,2,1),"")</f>
        <v/>
      </c>
      <c r="AL114" s="97" t="str">
        <f aca="false">IF(ISBLANK($C114),"",IF($AB114&lt;&gt;Constants!$B$7,$AB114,IF(AJ114=1,AF114,AI114)))</f>
        <v/>
      </c>
      <c r="AM114" s="97" t="str">
        <f aca="false">IF(ISBLANK($C114),"",IF($AB114=Constants!$B$7,IF(ISNUMBER(AL114),RANK(AL114,$AL$8:$AL$507),Constants!$B$14),$AB114))</f>
        <v/>
      </c>
      <c r="AN114" s="97" t="str">
        <f aca="false">IF(ISBLANK($C114),"",IF($AB114=Constants!$B$7,IF(AK114=1,AF114,AI114),""))</f>
        <v/>
      </c>
      <c r="AO114" s="97" t="str">
        <f aca="false">IF(ISBLANK($C114),"",IF($AB114=Constants!$B$7,RANK(AN114,$AN$8:$AN$507),$AB114))</f>
        <v/>
      </c>
      <c r="AP114" s="97" t="str">
        <f aca="false">IF(ISBLANK($C114),"",IF($AB114=Constants!$B$7,IF(ISNUMBER(AM114),COUNTIFS($AM$8:$AM$507,"&lt;"&amp;$AM114)+COUNTIFS($AM$8:$AM$507,$AM114,$AO$8:$AO$507,"&lt;"&amp;$AO114)+1,Constants!$B$14),$AB114))</f>
        <v/>
      </c>
      <c r="AQ114" s="97" t="str">
        <f aca="false">IF(ISBLANK($C114),"",IF($AB114=Constants!$B$7,IF(ISNUMBER(AM114),AM114-AP114,Constants!$B$14),$AB114))</f>
        <v/>
      </c>
      <c r="AR114" s="98"/>
      <c r="AS114" s="99" t="str">
        <f aca="false">IF(ISBLANK($C114),"",IF($AB114&lt;&gt;Constants!$B$7,"",AJ114))</f>
        <v/>
      </c>
      <c r="AT114" s="100" t="str">
        <f aca="false">IF(ISBLANK($C114),"",IF($AB114&lt;&gt;Constants!$B$7,"",IF(AJ114=1,AD114,AG114)))</f>
        <v/>
      </c>
      <c r="AU114" s="101" t="str">
        <f aca="false">IF(ISBLANK($C114),"",IF($AB114&lt;&gt;Constants!$B$7,"",IF(AJ114=1,AE114,AH114)))</f>
        <v/>
      </c>
      <c r="AV114" s="102" t="str">
        <f aca="false">IF(ISBLANK($C114),"",IF($AB114&lt;&gt;Constants!$B$7,$AB114,AL114))</f>
        <v/>
      </c>
      <c r="AW114" s="103" t="str">
        <f aca="false">IF(ISBLANK($C114),"",IF($AB114&lt;&gt;Constants!$B$7,$AB114,AC114))</f>
        <v/>
      </c>
      <c r="AX114" s="104" t="str">
        <f aca="false">IF(ISBLANK($C114),"",AQ114)</f>
        <v/>
      </c>
      <c r="AY114" s="104" t="str">
        <f aca="false">IF(ISBLANK($C114),"",AP114)</f>
        <v/>
      </c>
      <c r="AZ114" s="105" t="str">
        <f aca="false">IF(ISBLANK($C114),"",IF(AY114=Constants!$B$4,COUNTA($C$8:$C$507)+2,IF(AY114=Constants!$B$5,COUNTA($C$8:$C$507)+1,IF(AY114=Constants!$B$6,COUNTA($C$8:$C$507),AY114))))</f>
        <v/>
      </c>
      <c r="BA114" s="5"/>
      <c r="BB114" s="106" t="n">
        <f aca="false">IF(OR(ISNUMBER(AY114),AY114=Constants!$B$4,AY114=Constants!$B$6,AY114=Constants!$B$5),1,0)</f>
        <v>0</v>
      </c>
      <c r="BC114" s="106" t="n">
        <v>107</v>
      </c>
      <c r="BD114" s="106" t="str">
        <f aca="false">IF(ISBLANK($C114),"",IF(ISNUMBER(AZ114),AZ114+ROW($B114)/1000,""))</f>
        <v/>
      </c>
      <c r="BE114" s="106" t="str">
        <f aca="false">IF(ISNUMBER(BD114),RANK(BD114,$BD$8:$BD$507,1),"")</f>
        <v/>
      </c>
      <c r="BF114" s="106" t="str">
        <f aca="false">IF(ISBLANK($C114),"",$B114)</f>
        <v/>
      </c>
      <c r="BG114" s="106" t="str">
        <f aca="false">IF(ISBLANK($C114),"",$C114)</f>
        <v/>
      </c>
      <c r="BH114" s="106" t="str">
        <f aca="false">IF(ISBLANK($C114),"",$D114)</f>
        <v/>
      </c>
      <c r="BI114" s="107" t="str">
        <f aca="false">AW114</f>
        <v/>
      </c>
      <c r="BJ114" s="108" t="str">
        <f aca="false">AV114</f>
        <v/>
      </c>
      <c r="BK114" s="106" t="str">
        <f aca="false">IF(ISBLANK($C114),"",AY114)</f>
        <v/>
      </c>
      <c r="BL114" s="109" t="str">
        <f aca="false">IF($BC114&gt;$BB$7,"",VLOOKUP($BC114,$BE$8:$BK$507,7,FALSE()))</f>
        <v/>
      </c>
      <c r="BM114" s="110" t="str">
        <f aca="false">IF($BC114&gt;$BB$7,"",VLOOKUP($BC114,$BE$8:$BK$507,2,FALSE()))</f>
        <v/>
      </c>
      <c r="BN114" s="110" t="str">
        <f aca="false">IF($BC114&gt;$BB$7,"",VLOOKUP($BC114,$BE$8:$BK$507,3,FALSE()))</f>
        <v/>
      </c>
      <c r="BO114" s="110" t="str">
        <f aca="false">IF($BC114&gt;$BB$7,"",VLOOKUP($BC114,$BE$8:$BK$507,4,FALSE()))</f>
        <v/>
      </c>
      <c r="BP114" s="110" t="str">
        <f aca="false">IF($BC114&gt;$BB$7,"",VLOOKUP($BC114,$BE$8:$BK$507,5,FALSE()))</f>
        <v/>
      </c>
      <c r="BQ114" s="111" t="str">
        <f aca="false">IF($BC114&gt;$BB$7,"",VLOOKUP($BC114,$BE$8:$BK$507,6,FALSE()))</f>
        <v/>
      </c>
      <c r="BR114" s="54"/>
    </row>
    <row r="115" customFormat="false" ht="13.8" hidden="false" customHeight="false" outlineLevel="0" collapsed="false">
      <c r="A115" s="5"/>
      <c r="B115" s="120"/>
      <c r="C115" s="121"/>
      <c r="D115" s="112"/>
      <c r="E115" s="123"/>
      <c r="F115" s="91"/>
      <c r="G115" s="92"/>
      <c r="H115" s="93"/>
      <c r="I115" s="94"/>
      <c r="J115" s="91"/>
      <c r="K115" s="92"/>
      <c r="L115" s="93"/>
      <c r="M115" s="94"/>
      <c r="N115" s="91"/>
      <c r="O115" s="123"/>
      <c r="P115" s="96"/>
      <c r="Q115" s="97" t="str">
        <f aca="false">IF(ISBLANK($C115),"",IF(E115=Constants!$B$2, TRUE(), IF(E115=Constants!$B$3, FALSE(), TRUE())))</f>
        <v/>
      </c>
      <c r="R115" s="97" t="str">
        <f aca="false">IF(ISBLANK($C115),"",IF(F115=Constants!$B$16,Constants!$B$9,IF(F115=Constants!$B$17,Constants!$B$10,Constants!$B$8)))</f>
        <v/>
      </c>
      <c r="S115" s="97" t="str">
        <f aca="false">IF(ISBLANK($C115),"",IF(COUNTA(G115:H115)=0,"",IF(AND(OR(ISBLANK(G115),AND(ISNUMBER(G115),G115&gt;=0)),OR(ISBLANK(H115),AND(ISNUMBER(H115),H115&gt;=0))),60*IF(ISBLANK(G115),0,G115)+IF(ISBLANK(H115),0,H115),"")))</f>
        <v/>
      </c>
      <c r="T115" s="97" t="str">
        <f aca="false">IF(ISBLANK($C115),"",IF(I115=Constants!$B$2, TRUE(), IF(I115=Constants!$B$3, FALSE(), TRUE())))</f>
        <v/>
      </c>
      <c r="U115" s="97" t="str">
        <f aca="false">IF(ISBLANK($C115),"",IF(J115=Constants!$B$2, TRUE(), IF(J115=Constants!$B$3, FALSE(), TRUE())))</f>
        <v/>
      </c>
      <c r="V115" s="97" t="str">
        <f aca="false">IF(ISBLANK($C115),"",IF(COUNTA(K115:L115)=0,"",IF(AND(OR(ISBLANK(K115),AND(ISNUMBER(K115),K115&gt;=0)),OR(ISBLANK(L115),AND(ISNUMBER(L115),L115&gt;=0))),60*IF(ISBLANK(K115),0,K115)+IF(ISBLANK(L115),0,L115),"")))</f>
        <v/>
      </c>
      <c r="W115" s="97" t="str">
        <f aca="false">IF(ISBLANK($C115),"",IF(M115=Constants!$B$2, TRUE(), IF(M115=Constants!$B$3, FALSE(), TRUE())))</f>
        <v/>
      </c>
      <c r="X115" s="97" t="str">
        <f aca="false">IF(ISBLANK($C115),"",IF(N115=Constants!$B$2, TRUE(), IF(N115=Constants!$B$3, FALSE(), TRUE())))</f>
        <v/>
      </c>
      <c r="Y115" s="97" t="str">
        <f aca="false">IF(ISBLANK($C115),"",IF(O115=Constants!$B$2, TRUE(), IF(O115=Constants!$B$3, FALSE(), FALSE())))</f>
        <v/>
      </c>
      <c r="Z115" s="97" t="str">
        <f aca="false">IF(ISBLANK($C115),"",AND(S115&lt;&gt;"",Q115))</f>
        <v/>
      </c>
      <c r="AA115" s="97" t="str">
        <f aca="false">IF(ISBLANK($C115),"",AND(V115&lt;&gt;"",Q115))</f>
        <v/>
      </c>
      <c r="AB115" s="97" t="str">
        <f aca="false">IF(ISBLANK($C115),"",IF(Y115,Constants!$B$4,IF(COUNTA(E115:N115)=0,Constants!$B$5,IF(NOT(Q115),Constants!$B$6,IF(AND(NOT(Z115),NOT(AA115)),Constants!$B$6,Constants!$B$7)))))</f>
        <v/>
      </c>
      <c r="AC115" s="97" t="str">
        <f aca="false">IF(ISBLANK($C115),"",IF($AB115&lt;&gt;Constants!$B$7,$AB115,Constants!$B$20))</f>
        <v/>
      </c>
      <c r="AD115" s="97" t="str">
        <f aca="false">IF($AB115=Constants!$B$7,IF(Z115,S115,Constants!$B$13),"")</f>
        <v/>
      </c>
      <c r="AE115" s="97" t="str">
        <f aca="false">IF($AB115=Constants!$B$7,IF(Z115,R115*IF(T115, 1, Constants!$B$11)*IF(U115, 1, Constants!$B$12),Constants!$B$13),"")</f>
        <v/>
      </c>
      <c r="AF115" s="97" t="str">
        <f aca="false">IF($AB115=Constants!$B$7,AD115*AE115,"")</f>
        <v/>
      </c>
      <c r="AG115" s="97" t="str">
        <f aca="false">IF($AB115=Constants!$B$7,IF(AA115,V115,Constants!$B$13),"")</f>
        <v/>
      </c>
      <c r="AH115" s="97" t="str">
        <f aca="false">IF($AB115=Constants!$B$7,IF(AA115,R115*IF(W115, 1, Constants!$B$11)*IF(X115, 1, Constants!$B$12),Constants!$B$13),"")</f>
        <v/>
      </c>
      <c r="AI115" s="97" t="str">
        <f aca="false">IF($AB115=Constants!$B$7,AG115*AH115,"")</f>
        <v/>
      </c>
      <c r="AJ115" s="97" t="str">
        <f aca="false">IF($AB115=Constants!$B$7,IF(AI115&gt;AF115,2,1),"")</f>
        <v/>
      </c>
      <c r="AK115" s="97" t="str">
        <f aca="false">IF($AB115=Constants!$B$7,IF(AJ115=1,2,1),"")</f>
        <v/>
      </c>
      <c r="AL115" s="97" t="str">
        <f aca="false">IF(ISBLANK($C115),"",IF($AB115&lt;&gt;Constants!$B$7,$AB115,IF(AJ115=1,AF115,AI115)))</f>
        <v/>
      </c>
      <c r="AM115" s="97" t="str">
        <f aca="false">IF(ISBLANK($C115),"",IF($AB115=Constants!$B$7,IF(ISNUMBER(AL115),RANK(AL115,$AL$8:$AL$507),Constants!$B$14),$AB115))</f>
        <v/>
      </c>
      <c r="AN115" s="97" t="str">
        <f aca="false">IF(ISBLANK($C115),"",IF($AB115=Constants!$B$7,IF(AK115=1,AF115,AI115),""))</f>
        <v/>
      </c>
      <c r="AO115" s="97" t="str">
        <f aca="false">IF(ISBLANK($C115),"",IF($AB115=Constants!$B$7,RANK(AN115,$AN$8:$AN$507),$AB115))</f>
        <v/>
      </c>
      <c r="AP115" s="97" t="str">
        <f aca="false">IF(ISBLANK($C115),"",IF($AB115=Constants!$B$7,IF(ISNUMBER(AM115),COUNTIFS($AM$8:$AM$507,"&lt;"&amp;$AM115)+COUNTIFS($AM$8:$AM$507,$AM115,$AO$8:$AO$507,"&lt;"&amp;$AO115)+1,Constants!$B$14),$AB115))</f>
        <v/>
      </c>
      <c r="AQ115" s="97" t="str">
        <f aca="false">IF(ISBLANK($C115),"",IF($AB115=Constants!$B$7,IF(ISNUMBER(AM115),AM115-AP115,Constants!$B$14),$AB115))</f>
        <v/>
      </c>
      <c r="AR115" s="98"/>
      <c r="AS115" s="99" t="str">
        <f aca="false">IF(ISBLANK($C115),"",IF($AB115&lt;&gt;Constants!$B$7,"",AJ115))</f>
        <v/>
      </c>
      <c r="AT115" s="100" t="str">
        <f aca="false">IF(ISBLANK($C115),"",IF($AB115&lt;&gt;Constants!$B$7,"",IF(AJ115=1,AD115,AG115)))</f>
        <v/>
      </c>
      <c r="AU115" s="101" t="str">
        <f aca="false">IF(ISBLANK($C115),"",IF($AB115&lt;&gt;Constants!$B$7,"",IF(AJ115=1,AE115,AH115)))</f>
        <v/>
      </c>
      <c r="AV115" s="102" t="str">
        <f aca="false">IF(ISBLANK($C115),"",IF($AB115&lt;&gt;Constants!$B$7,$AB115,AL115))</f>
        <v/>
      </c>
      <c r="AW115" s="103" t="str">
        <f aca="false">IF(ISBLANK($C115),"",IF($AB115&lt;&gt;Constants!$B$7,$AB115,AC115))</f>
        <v/>
      </c>
      <c r="AX115" s="104" t="str">
        <f aca="false">IF(ISBLANK($C115),"",AQ115)</f>
        <v/>
      </c>
      <c r="AY115" s="104" t="str">
        <f aca="false">IF(ISBLANK($C115),"",AP115)</f>
        <v/>
      </c>
      <c r="AZ115" s="105" t="str">
        <f aca="false">IF(ISBLANK($C115),"",IF(AY115=Constants!$B$4,COUNTA($C$8:$C$507)+2,IF(AY115=Constants!$B$5,COUNTA($C$8:$C$507)+1,IF(AY115=Constants!$B$6,COUNTA($C$8:$C$507),AY115))))</f>
        <v/>
      </c>
      <c r="BA115" s="5"/>
      <c r="BB115" s="106" t="n">
        <f aca="false">IF(OR(ISNUMBER(AY115),AY115=Constants!$B$4,AY115=Constants!$B$6,AY115=Constants!$B$5),1,0)</f>
        <v>0</v>
      </c>
      <c r="BC115" s="106" t="n">
        <v>108</v>
      </c>
      <c r="BD115" s="106" t="str">
        <f aca="false">IF(ISBLANK($C115),"",IF(ISNUMBER(AZ115),AZ115+ROW($B115)/1000,""))</f>
        <v/>
      </c>
      <c r="BE115" s="106" t="str">
        <f aca="false">IF(ISNUMBER(BD115),RANK(BD115,$BD$8:$BD$507,1),"")</f>
        <v/>
      </c>
      <c r="BF115" s="106" t="str">
        <f aca="false">IF(ISBLANK($C115),"",$B115)</f>
        <v/>
      </c>
      <c r="BG115" s="106" t="str">
        <f aca="false">IF(ISBLANK($C115),"",$C115)</f>
        <v/>
      </c>
      <c r="BH115" s="106" t="str">
        <f aca="false">IF(ISBLANK($C115),"",$D115)</f>
        <v/>
      </c>
      <c r="BI115" s="107" t="str">
        <f aca="false">AW115</f>
        <v/>
      </c>
      <c r="BJ115" s="108" t="str">
        <f aca="false">AV115</f>
        <v/>
      </c>
      <c r="BK115" s="106" t="str">
        <f aca="false">IF(ISBLANK($C115),"",AY115)</f>
        <v/>
      </c>
      <c r="BL115" s="109" t="str">
        <f aca="false">IF($BC115&gt;$BB$7,"",VLOOKUP($BC115,$BE$8:$BK$507,7,FALSE()))</f>
        <v/>
      </c>
      <c r="BM115" s="110" t="str">
        <f aca="false">IF($BC115&gt;$BB$7,"",VLOOKUP($BC115,$BE$8:$BK$507,2,FALSE()))</f>
        <v/>
      </c>
      <c r="BN115" s="110" t="str">
        <f aca="false">IF($BC115&gt;$BB$7,"",VLOOKUP($BC115,$BE$8:$BK$507,3,FALSE()))</f>
        <v/>
      </c>
      <c r="BO115" s="110" t="str">
        <f aca="false">IF($BC115&gt;$BB$7,"",VLOOKUP($BC115,$BE$8:$BK$507,4,FALSE()))</f>
        <v/>
      </c>
      <c r="BP115" s="110" t="str">
        <f aca="false">IF($BC115&gt;$BB$7,"",VLOOKUP($BC115,$BE$8:$BK$507,5,FALSE()))</f>
        <v/>
      </c>
      <c r="BQ115" s="111" t="str">
        <f aca="false">IF($BC115&gt;$BB$7,"",VLOOKUP($BC115,$BE$8:$BK$507,6,FALSE()))</f>
        <v/>
      </c>
      <c r="BR115" s="54"/>
    </row>
    <row r="116" customFormat="false" ht="13.8" hidden="false" customHeight="false" outlineLevel="0" collapsed="false">
      <c r="A116" s="5"/>
      <c r="B116" s="124"/>
      <c r="C116" s="56"/>
      <c r="D116" s="57"/>
      <c r="E116" s="83"/>
      <c r="F116" s="59"/>
      <c r="G116" s="60"/>
      <c r="H116" s="61"/>
      <c r="I116" s="62"/>
      <c r="J116" s="59"/>
      <c r="K116" s="60"/>
      <c r="L116" s="61"/>
      <c r="M116" s="62"/>
      <c r="N116" s="59"/>
      <c r="O116" s="83"/>
      <c r="P116" s="64"/>
      <c r="Q116" s="66" t="str">
        <f aca="false">IF(ISBLANK($C116),"",IF(E116=Constants!$B$2, TRUE(), IF(E116=Constants!$B$3, FALSE(), TRUE())))</f>
        <v/>
      </c>
      <c r="R116" s="66" t="str">
        <f aca="false">IF(ISBLANK($C116),"",IF(F116=Constants!$B$16,Constants!$B$9,IF(F116=Constants!$B$17,Constants!$B$10,Constants!$B$8)))</f>
        <v/>
      </c>
      <c r="S116" s="66" t="str">
        <f aca="false">IF(ISBLANK($C116),"",IF(COUNTA(G116:H116)=0,"",IF(AND(OR(ISBLANK(G116),AND(ISNUMBER(G116),G116&gt;=0)),OR(ISBLANK(H116),AND(ISNUMBER(H116),H116&gt;=0))),60*IF(ISBLANK(G116),0,G116)+IF(ISBLANK(H116),0,H116),"")))</f>
        <v/>
      </c>
      <c r="T116" s="66" t="str">
        <f aca="false">IF(ISBLANK($C116),"",IF(I116=Constants!$B$2, TRUE(), IF(I116=Constants!$B$3, FALSE(), TRUE())))</f>
        <v/>
      </c>
      <c r="U116" s="66" t="str">
        <f aca="false">IF(ISBLANK($C116),"",IF(J116=Constants!$B$2, TRUE(), IF(J116=Constants!$B$3, FALSE(), TRUE())))</f>
        <v/>
      </c>
      <c r="V116" s="66" t="str">
        <f aca="false">IF(ISBLANK($C116),"",IF(COUNTA(K116:L116)=0,"",IF(AND(OR(ISBLANK(K116),AND(ISNUMBER(K116),K116&gt;=0)),OR(ISBLANK(L116),AND(ISNUMBER(L116),L116&gt;=0))),60*IF(ISBLANK(K116),0,K116)+IF(ISBLANK(L116),0,L116),"")))</f>
        <v/>
      </c>
      <c r="W116" s="66" t="str">
        <f aca="false">IF(ISBLANK($C116),"",IF(M116=Constants!$B$2, TRUE(), IF(M116=Constants!$B$3, FALSE(), TRUE())))</f>
        <v/>
      </c>
      <c r="X116" s="66" t="str">
        <f aca="false">IF(ISBLANK($C116),"",IF(N116=Constants!$B$2, TRUE(), IF(N116=Constants!$B$3, FALSE(), TRUE())))</f>
        <v/>
      </c>
      <c r="Y116" s="66" t="str">
        <f aca="false">IF(ISBLANK($C116),"",IF(O116=Constants!$B$2, TRUE(), IF(O116=Constants!$B$3, FALSE(), FALSE())))</f>
        <v/>
      </c>
      <c r="Z116" s="66" t="str">
        <f aca="false">IF(ISBLANK($C116),"",AND(S116&lt;&gt;"",Q116))</f>
        <v/>
      </c>
      <c r="AA116" s="66" t="str">
        <f aca="false">IF(ISBLANK($C116),"",AND(V116&lt;&gt;"",Q116))</f>
        <v/>
      </c>
      <c r="AB116" s="66" t="str">
        <f aca="false">IF(ISBLANK($C116),"",IF(Y116,Constants!$B$4,IF(COUNTA(E116:N116)=0,Constants!$B$5,IF(NOT(Q116),Constants!$B$6,IF(AND(NOT(Z116),NOT(AA116)),Constants!$B$6,Constants!$B$7)))))</f>
        <v/>
      </c>
      <c r="AC116" s="66" t="str">
        <f aca="false">IF(ISBLANK($C116),"",IF($AB116&lt;&gt;Constants!$B$7,$AB116,Constants!$B$20))</f>
        <v/>
      </c>
      <c r="AD116" s="66" t="str">
        <f aca="false">IF($AB116=Constants!$B$7,IF(Z116,S116,Constants!$B$13),"")</f>
        <v/>
      </c>
      <c r="AE116" s="66" t="str">
        <f aca="false">IF($AB116=Constants!$B$7,IF(Z116,R116*IF(T116, 1, Constants!$B$11)*IF(U116, 1, Constants!$B$12),Constants!$B$13),"")</f>
        <v/>
      </c>
      <c r="AF116" s="66" t="str">
        <f aca="false">IF($AB116=Constants!$B$7,AD116*AE116,"")</f>
        <v/>
      </c>
      <c r="AG116" s="66" t="str">
        <f aca="false">IF($AB116=Constants!$B$7,IF(AA116,V116,Constants!$B$13),"")</f>
        <v/>
      </c>
      <c r="AH116" s="66" t="str">
        <f aca="false">IF($AB116=Constants!$B$7,IF(AA116,R116*IF(W116, 1, Constants!$B$11)*IF(X116, 1, Constants!$B$12),Constants!$B$13),"")</f>
        <v/>
      </c>
      <c r="AI116" s="66" t="str">
        <f aca="false">IF($AB116=Constants!$B$7,AG116*AH116,"")</f>
        <v/>
      </c>
      <c r="AJ116" s="66" t="str">
        <f aca="false">IF($AB116=Constants!$B$7,IF(AI116&gt;AF116,2,1),"")</f>
        <v/>
      </c>
      <c r="AK116" s="66" t="str">
        <f aca="false">IF($AB116=Constants!$B$7,IF(AJ116=1,2,1),"")</f>
        <v/>
      </c>
      <c r="AL116" s="66" t="str">
        <f aca="false">IF(ISBLANK($C116),"",IF($AB116&lt;&gt;Constants!$B$7,$AB116,IF(AJ116=1,AF116,AI116)))</f>
        <v/>
      </c>
      <c r="AM116" s="66" t="str">
        <f aca="false">IF(ISBLANK($C116),"",IF($AB116=Constants!$B$7,IF(ISNUMBER(AL116),RANK(AL116,$AL$8:$AL$507),Constants!$B$14),$AB116))</f>
        <v/>
      </c>
      <c r="AN116" s="66" t="str">
        <f aca="false">IF(ISBLANK($C116),"",IF($AB116=Constants!$B$7,IF(AK116=1,AF116,AI116),""))</f>
        <v/>
      </c>
      <c r="AO116" s="66" t="str">
        <f aca="false">IF(ISBLANK($C116),"",IF($AB116=Constants!$B$7,RANK(AN116,$AN$8:$AN$507),$AB116))</f>
        <v/>
      </c>
      <c r="AP116" s="66" t="str">
        <f aca="false">IF(ISBLANK($C116),"",IF($AB116=Constants!$B$7,IF(ISNUMBER(AM116),COUNTIFS($AM$8:$AM$507,"&lt;"&amp;$AM116)+COUNTIFS($AM$8:$AM$507,$AM116,$AO$8:$AO$507,"&lt;"&amp;$AO116)+1,Constants!$B$14),$AB116))</f>
        <v/>
      </c>
      <c r="AQ116" s="66" t="str">
        <f aca="false">IF(ISBLANK($C116),"",IF($AB116=Constants!$B$7,IF(ISNUMBER(AM116),AM116-AP116,Constants!$B$14),$AB116))</f>
        <v/>
      </c>
      <c r="AR116" s="68"/>
      <c r="AS116" s="69" t="str">
        <f aca="false">IF(ISBLANK($C116),"",IF($AB116&lt;&gt;Constants!$B$7,"",AJ116))</f>
        <v/>
      </c>
      <c r="AT116" s="84" t="str">
        <f aca="false">IF(ISBLANK($C116),"",IF($AB116&lt;&gt;Constants!$B$7,"",IF(AJ116=1,AD116,AG116)))</f>
        <v/>
      </c>
      <c r="AU116" s="71" t="str">
        <f aca="false">IF(ISBLANK($C116),"",IF($AB116&lt;&gt;Constants!$B$7,"",IF(AJ116=1,AE116,AH116)))</f>
        <v/>
      </c>
      <c r="AV116" s="72" t="str">
        <f aca="false">IF(ISBLANK($C116),"",IF($AB116&lt;&gt;Constants!$B$7,$AB116,AL116))</f>
        <v/>
      </c>
      <c r="AW116" s="73" t="str">
        <f aca="false">IF(ISBLANK($C116),"",IF($AB116&lt;&gt;Constants!$B$7,$AB116,AC116))</f>
        <v/>
      </c>
      <c r="AX116" s="74" t="str">
        <f aca="false">IF(ISBLANK($C116),"",AQ116)</f>
        <v/>
      </c>
      <c r="AY116" s="74" t="str">
        <f aca="false">IF(ISBLANK($C116),"",AP116)</f>
        <v/>
      </c>
      <c r="AZ116" s="75" t="str">
        <f aca="false">IF(ISBLANK($C116),"",IF(AY116=Constants!$B$4,COUNTA($C$8:$C$507)+2,IF(AY116=Constants!$B$5,COUNTA($C$8:$C$507)+1,IF(AY116=Constants!$B$6,COUNTA($C$8:$C$507),AY116))))</f>
        <v/>
      </c>
      <c r="BA116" s="5"/>
      <c r="BB116" s="76" t="n">
        <f aca="false">IF(OR(ISNUMBER(AY116),AY116=Constants!$B$4,AY116=Constants!$B$6,AY116=Constants!$B$5),1,0)</f>
        <v>0</v>
      </c>
      <c r="BC116" s="76" t="n">
        <v>109</v>
      </c>
      <c r="BD116" s="76" t="str">
        <f aca="false">IF(ISBLANK($C116),"",IF(ISNUMBER(AZ116),AZ116+ROW($B116)/1000,""))</f>
        <v/>
      </c>
      <c r="BE116" s="76" t="str">
        <f aca="false">IF(ISNUMBER(BD116),RANK(BD116,$BD$8:$BD$507,1),"")</f>
        <v/>
      </c>
      <c r="BF116" s="76" t="str">
        <f aca="false">IF(ISBLANK($C116),"",$B116)</f>
        <v/>
      </c>
      <c r="BG116" s="76" t="str">
        <f aca="false">IF(ISBLANK($C116),"",$C116)</f>
        <v/>
      </c>
      <c r="BH116" s="76" t="str">
        <f aca="false">IF(ISBLANK($C116),"",$D116)</f>
        <v/>
      </c>
      <c r="BI116" s="77" t="str">
        <f aca="false">AW116</f>
        <v/>
      </c>
      <c r="BJ116" s="78" t="str">
        <f aca="false">AV116</f>
        <v/>
      </c>
      <c r="BK116" s="76" t="str">
        <f aca="false">IF(ISBLANK($C116),"",AY116)</f>
        <v/>
      </c>
      <c r="BL116" s="79" t="str">
        <f aca="false">IF($BC116&gt;$BB$7,"",VLOOKUP($BC116,$BE$8:$BK$507,7,FALSE()))</f>
        <v/>
      </c>
      <c r="BM116" s="80" t="str">
        <f aca="false">IF($BC116&gt;$BB$7,"",VLOOKUP($BC116,$BE$8:$BK$507,2,FALSE()))</f>
        <v/>
      </c>
      <c r="BN116" s="80" t="str">
        <f aca="false">IF($BC116&gt;$BB$7,"",VLOOKUP($BC116,$BE$8:$BK$507,3,FALSE()))</f>
        <v/>
      </c>
      <c r="BO116" s="80" t="str">
        <f aca="false">IF($BC116&gt;$BB$7,"",VLOOKUP($BC116,$BE$8:$BK$507,4,FALSE()))</f>
        <v/>
      </c>
      <c r="BP116" s="80" t="str">
        <f aca="false">IF($BC116&gt;$BB$7,"",VLOOKUP($BC116,$BE$8:$BK$507,5,FALSE()))</f>
        <v/>
      </c>
      <c r="BQ116" s="81" t="str">
        <f aca="false">IF($BC116&gt;$BB$7,"",VLOOKUP($BC116,$BE$8:$BK$507,6,FALSE()))</f>
        <v/>
      </c>
      <c r="BR116" s="54"/>
    </row>
    <row r="117" customFormat="false" ht="13.8" hidden="false" customHeight="false" outlineLevel="0" collapsed="false">
      <c r="A117" s="5"/>
      <c r="B117" s="124"/>
      <c r="C117" s="56"/>
      <c r="D117" s="57"/>
      <c r="E117" s="83"/>
      <c r="F117" s="59"/>
      <c r="G117" s="60"/>
      <c r="H117" s="61"/>
      <c r="I117" s="62"/>
      <c r="J117" s="59"/>
      <c r="K117" s="60"/>
      <c r="L117" s="61"/>
      <c r="M117" s="62"/>
      <c r="N117" s="59"/>
      <c r="O117" s="83"/>
      <c r="P117" s="64"/>
      <c r="Q117" s="66" t="str">
        <f aca="false">IF(ISBLANK($C117),"",IF(E117=Constants!$B$2, TRUE(), IF(E117=Constants!$B$3, FALSE(), TRUE())))</f>
        <v/>
      </c>
      <c r="R117" s="66" t="str">
        <f aca="false">IF(ISBLANK($C117),"",IF(F117=Constants!$B$16,Constants!$B$9,IF(F117=Constants!$B$17,Constants!$B$10,Constants!$B$8)))</f>
        <v/>
      </c>
      <c r="S117" s="66" t="str">
        <f aca="false">IF(ISBLANK($C117),"",IF(COUNTA(G117:H117)=0,"",IF(AND(OR(ISBLANK(G117),AND(ISNUMBER(G117),G117&gt;=0)),OR(ISBLANK(H117),AND(ISNUMBER(H117),H117&gt;=0))),60*IF(ISBLANK(G117),0,G117)+IF(ISBLANK(H117),0,H117),"")))</f>
        <v/>
      </c>
      <c r="T117" s="66" t="str">
        <f aca="false">IF(ISBLANK($C117),"",IF(I117=Constants!$B$2, TRUE(), IF(I117=Constants!$B$3, FALSE(), TRUE())))</f>
        <v/>
      </c>
      <c r="U117" s="66" t="str">
        <f aca="false">IF(ISBLANK($C117),"",IF(J117=Constants!$B$2, TRUE(), IF(J117=Constants!$B$3, FALSE(), TRUE())))</f>
        <v/>
      </c>
      <c r="V117" s="66" t="str">
        <f aca="false">IF(ISBLANK($C117),"",IF(COUNTA(K117:L117)=0,"",IF(AND(OR(ISBLANK(K117),AND(ISNUMBER(K117),K117&gt;=0)),OR(ISBLANK(L117),AND(ISNUMBER(L117),L117&gt;=0))),60*IF(ISBLANK(K117),0,K117)+IF(ISBLANK(L117),0,L117),"")))</f>
        <v/>
      </c>
      <c r="W117" s="66" t="str">
        <f aca="false">IF(ISBLANK($C117),"",IF(M117=Constants!$B$2, TRUE(), IF(M117=Constants!$B$3, FALSE(), TRUE())))</f>
        <v/>
      </c>
      <c r="X117" s="66" t="str">
        <f aca="false">IF(ISBLANK($C117),"",IF(N117=Constants!$B$2, TRUE(), IF(N117=Constants!$B$3, FALSE(), TRUE())))</f>
        <v/>
      </c>
      <c r="Y117" s="66" t="str">
        <f aca="false">IF(ISBLANK($C117),"",IF(O117=Constants!$B$2, TRUE(), IF(O117=Constants!$B$3, FALSE(), FALSE())))</f>
        <v/>
      </c>
      <c r="Z117" s="66" t="str">
        <f aca="false">IF(ISBLANK($C117),"",AND(S117&lt;&gt;"",Q117))</f>
        <v/>
      </c>
      <c r="AA117" s="66" t="str">
        <f aca="false">IF(ISBLANK($C117),"",AND(V117&lt;&gt;"",Q117))</f>
        <v/>
      </c>
      <c r="AB117" s="66" t="str">
        <f aca="false">IF(ISBLANK($C117),"",IF(Y117,Constants!$B$4,IF(COUNTA(E117:N117)=0,Constants!$B$5,IF(NOT(Q117),Constants!$B$6,IF(AND(NOT(Z117),NOT(AA117)),Constants!$B$6,Constants!$B$7)))))</f>
        <v/>
      </c>
      <c r="AC117" s="66" t="str">
        <f aca="false">IF(ISBLANK($C117),"",IF($AB117&lt;&gt;Constants!$B$7,$AB117,Constants!$B$20))</f>
        <v/>
      </c>
      <c r="AD117" s="66" t="str">
        <f aca="false">IF($AB117=Constants!$B$7,IF(Z117,S117,Constants!$B$13),"")</f>
        <v/>
      </c>
      <c r="AE117" s="66" t="str">
        <f aca="false">IF($AB117=Constants!$B$7,IF(Z117,R117*IF(T117, 1, Constants!$B$11)*IF(U117, 1, Constants!$B$12),Constants!$B$13),"")</f>
        <v/>
      </c>
      <c r="AF117" s="66" t="str">
        <f aca="false">IF($AB117=Constants!$B$7,AD117*AE117,"")</f>
        <v/>
      </c>
      <c r="AG117" s="66" t="str">
        <f aca="false">IF($AB117=Constants!$B$7,IF(AA117,V117,Constants!$B$13),"")</f>
        <v/>
      </c>
      <c r="AH117" s="66" t="str">
        <f aca="false">IF($AB117=Constants!$B$7,IF(AA117,R117*IF(W117, 1, Constants!$B$11)*IF(X117, 1, Constants!$B$12),Constants!$B$13),"")</f>
        <v/>
      </c>
      <c r="AI117" s="66" t="str">
        <f aca="false">IF($AB117=Constants!$B$7,AG117*AH117,"")</f>
        <v/>
      </c>
      <c r="AJ117" s="66" t="str">
        <f aca="false">IF($AB117=Constants!$B$7,IF(AI117&gt;AF117,2,1),"")</f>
        <v/>
      </c>
      <c r="AK117" s="66" t="str">
        <f aca="false">IF($AB117=Constants!$B$7,IF(AJ117=1,2,1),"")</f>
        <v/>
      </c>
      <c r="AL117" s="66" t="str">
        <f aca="false">IF(ISBLANK($C117),"",IF($AB117&lt;&gt;Constants!$B$7,$AB117,IF(AJ117=1,AF117,AI117)))</f>
        <v/>
      </c>
      <c r="AM117" s="66" t="str">
        <f aca="false">IF(ISBLANK($C117),"",IF($AB117=Constants!$B$7,IF(ISNUMBER(AL117),RANK(AL117,$AL$8:$AL$507),Constants!$B$14),$AB117))</f>
        <v/>
      </c>
      <c r="AN117" s="66" t="str">
        <f aca="false">IF(ISBLANK($C117),"",IF($AB117=Constants!$B$7,IF(AK117=1,AF117,AI117),""))</f>
        <v/>
      </c>
      <c r="AO117" s="66" t="str">
        <f aca="false">IF(ISBLANK($C117),"",IF($AB117=Constants!$B$7,RANK(AN117,$AN$8:$AN$507),$AB117))</f>
        <v/>
      </c>
      <c r="AP117" s="66" t="str">
        <f aca="false">IF(ISBLANK($C117),"",IF($AB117=Constants!$B$7,IF(ISNUMBER(AM117),COUNTIFS($AM$8:$AM$507,"&lt;"&amp;$AM117)+COUNTIFS($AM$8:$AM$507,$AM117,$AO$8:$AO$507,"&lt;"&amp;$AO117)+1,Constants!$B$14),$AB117))</f>
        <v/>
      </c>
      <c r="AQ117" s="66" t="str">
        <f aca="false">IF(ISBLANK($C117),"",IF($AB117=Constants!$B$7,IF(ISNUMBER(AM117),AM117-AP117,Constants!$B$14),$AB117))</f>
        <v/>
      </c>
      <c r="AR117" s="68"/>
      <c r="AS117" s="69" t="str">
        <f aca="false">IF(ISBLANK($C117),"",IF($AB117&lt;&gt;Constants!$B$7,"",AJ117))</f>
        <v/>
      </c>
      <c r="AT117" s="84" t="str">
        <f aca="false">IF(ISBLANK($C117),"",IF($AB117&lt;&gt;Constants!$B$7,"",IF(AJ117=1,AD117,AG117)))</f>
        <v/>
      </c>
      <c r="AU117" s="71" t="str">
        <f aca="false">IF(ISBLANK($C117),"",IF($AB117&lt;&gt;Constants!$B$7,"",IF(AJ117=1,AE117,AH117)))</f>
        <v/>
      </c>
      <c r="AV117" s="72" t="str">
        <f aca="false">IF(ISBLANK($C117),"",IF($AB117&lt;&gt;Constants!$B$7,$AB117,AL117))</f>
        <v/>
      </c>
      <c r="AW117" s="73" t="str">
        <f aca="false">IF(ISBLANK($C117),"",IF($AB117&lt;&gt;Constants!$B$7,$AB117,AC117))</f>
        <v/>
      </c>
      <c r="AX117" s="74" t="str">
        <f aca="false">IF(ISBLANK($C117),"",AQ117)</f>
        <v/>
      </c>
      <c r="AY117" s="74" t="str">
        <f aca="false">IF(ISBLANK($C117),"",AP117)</f>
        <v/>
      </c>
      <c r="AZ117" s="75" t="str">
        <f aca="false">IF(ISBLANK($C117),"",IF(AY117=Constants!$B$4,COUNTA($C$8:$C$507)+2,IF(AY117=Constants!$B$5,COUNTA($C$8:$C$507)+1,IF(AY117=Constants!$B$6,COUNTA($C$8:$C$507),AY117))))</f>
        <v/>
      </c>
      <c r="BA117" s="5"/>
      <c r="BB117" s="76" t="n">
        <f aca="false">IF(OR(ISNUMBER(AY117),AY117=Constants!$B$4,AY117=Constants!$B$6,AY117=Constants!$B$5),1,0)</f>
        <v>0</v>
      </c>
      <c r="BC117" s="76" t="n">
        <v>110</v>
      </c>
      <c r="BD117" s="76" t="str">
        <f aca="false">IF(ISBLANK($C117),"",IF(ISNUMBER(AZ117),AZ117+ROW($B117)/1000,""))</f>
        <v/>
      </c>
      <c r="BE117" s="76" t="str">
        <f aca="false">IF(ISNUMBER(BD117),RANK(BD117,$BD$8:$BD$507,1),"")</f>
        <v/>
      </c>
      <c r="BF117" s="76" t="str">
        <f aca="false">IF(ISBLANK($C117),"",$B117)</f>
        <v/>
      </c>
      <c r="BG117" s="76" t="str">
        <f aca="false">IF(ISBLANK($C117),"",$C117)</f>
        <v/>
      </c>
      <c r="BH117" s="76" t="str">
        <f aca="false">IF(ISBLANK($C117),"",$D117)</f>
        <v/>
      </c>
      <c r="BI117" s="77" t="str">
        <f aca="false">AW117</f>
        <v/>
      </c>
      <c r="BJ117" s="78" t="str">
        <f aca="false">AV117</f>
        <v/>
      </c>
      <c r="BK117" s="76" t="str">
        <f aca="false">IF(ISBLANK($C117),"",AY117)</f>
        <v/>
      </c>
      <c r="BL117" s="79" t="str">
        <f aca="false">IF($BC117&gt;$BB$7,"",VLOOKUP($BC117,$BE$8:$BK$507,7,FALSE()))</f>
        <v/>
      </c>
      <c r="BM117" s="80" t="str">
        <f aca="false">IF($BC117&gt;$BB$7,"",VLOOKUP($BC117,$BE$8:$BK$507,2,FALSE()))</f>
        <v/>
      </c>
      <c r="BN117" s="80" t="str">
        <f aca="false">IF($BC117&gt;$BB$7,"",VLOOKUP($BC117,$BE$8:$BK$507,3,FALSE()))</f>
        <v/>
      </c>
      <c r="BO117" s="80" t="str">
        <f aca="false">IF($BC117&gt;$BB$7,"",VLOOKUP($BC117,$BE$8:$BK$507,4,FALSE()))</f>
        <v/>
      </c>
      <c r="BP117" s="80" t="str">
        <f aca="false">IF($BC117&gt;$BB$7,"",VLOOKUP($BC117,$BE$8:$BK$507,5,FALSE()))</f>
        <v/>
      </c>
      <c r="BQ117" s="81" t="str">
        <f aca="false">IF($BC117&gt;$BB$7,"",VLOOKUP($BC117,$BE$8:$BK$507,6,FALSE()))</f>
        <v/>
      </c>
      <c r="BR117" s="54"/>
    </row>
    <row r="118" customFormat="false" ht="13.8" hidden="false" customHeight="false" outlineLevel="0" collapsed="false">
      <c r="A118" s="5"/>
      <c r="B118" s="124"/>
      <c r="C118" s="56"/>
      <c r="D118" s="57"/>
      <c r="E118" s="83"/>
      <c r="F118" s="59"/>
      <c r="G118" s="60"/>
      <c r="H118" s="61"/>
      <c r="I118" s="62"/>
      <c r="J118" s="59"/>
      <c r="K118" s="60"/>
      <c r="L118" s="61"/>
      <c r="M118" s="62"/>
      <c r="N118" s="59"/>
      <c r="O118" s="83"/>
      <c r="P118" s="64"/>
      <c r="Q118" s="66" t="str">
        <f aca="false">IF(ISBLANK($C118),"",IF(E118=Constants!$B$2, TRUE(), IF(E118=Constants!$B$3, FALSE(), TRUE())))</f>
        <v/>
      </c>
      <c r="R118" s="66" t="str">
        <f aca="false">IF(ISBLANK($C118),"",IF(F118=Constants!$B$16,Constants!$B$9,IF(F118=Constants!$B$17,Constants!$B$10,Constants!$B$8)))</f>
        <v/>
      </c>
      <c r="S118" s="66" t="str">
        <f aca="false">IF(ISBLANK($C118),"",IF(COUNTA(G118:H118)=0,"",IF(AND(OR(ISBLANK(G118),AND(ISNUMBER(G118),G118&gt;=0)),OR(ISBLANK(H118),AND(ISNUMBER(H118),H118&gt;=0))),60*IF(ISBLANK(G118),0,G118)+IF(ISBLANK(H118),0,H118),"")))</f>
        <v/>
      </c>
      <c r="T118" s="66" t="str">
        <f aca="false">IF(ISBLANK($C118),"",IF(I118=Constants!$B$2, TRUE(), IF(I118=Constants!$B$3, FALSE(), TRUE())))</f>
        <v/>
      </c>
      <c r="U118" s="66" t="str">
        <f aca="false">IF(ISBLANK($C118),"",IF(J118=Constants!$B$2, TRUE(), IF(J118=Constants!$B$3, FALSE(), TRUE())))</f>
        <v/>
      </c>
      <c r="V118" s="66" t="str">
        <f aca="false">IF(ISBLANK($C118),"",IF(COUNTA(K118:L118)=0,"",IF(AND(OR(ISBLANK(K118),AND(ISNUMBER(K118),K118&gt;=0)),OR(ISBLANK(L118),AND(ISNUMBER(L118),L118&gt;=0))),60*IF(ISBLANK(K118),0,K118)+IF(ISBLANK(L118),0,L118),"")))</f>
        <v/>
      </c>
      <c r="W118" s="66" t="str">
        <f aca="false">IF(ISBLANK($C118),"",IF(M118=Constants!$B$2, TRUE(), IF(M118=Constants!$B$3, FALSE(), TRUE())))</f>
        <v/>
      </c>
      <c r="X118" s="66" t="str">
        <f aca="false">IF(ISBLANK($C118),"",IF(N118=Constants!$B$2, TRUE(), IF(N118=Constants!$B$3, FALSE(), TRUE())))</f>
        <v/>
      </c>
      <c r="Y118" s="66" t="str">
        <f aca="false">IF(ISBLANK($C118),"",IF(O118=Constants!$B$2, TRUE(), IF(O118=Constants!$B$3, FALSE(), FALSE())))</f>
        <v/>
      </c>
      <c r="Z118" s="66" t="str">
        <f aca="false">IF(ISBLANK($C118),"",AND(S118&lt;&gt;"",Q118))</f>
        <v/>
      </c>
      <c r="AA118" s="66" t="str">
        <f aca="false">IF(ISBLANK($C118),"",AND(V118&lt;&gt;"",Q118))</f>
        <v/>
      </c>
      <c r="AB118" s="66" t="str">
        <f aca="false">IF(ISBLANK($C118),"",IF(Y118,Constants!$B$4,IF(COUNTA(E118:N118)=0,Constants!$B$5,IF(NOT(Q118),Constants!$B$6,IF(AND(NOT(Z118),NOT(AA118)),Constants!$B$6,Constants!$B$7)))))</f>
        <v/>
      </c>
      <c r="AC118" s="66" t="str">
        <f aca="false">IF(ISBLANK($C118),"",IF($AB118&lt;&gt;Constants!$B$7,$AB118,Constants!$B$20))</f>
        <v/>
      </c>
      <c r="AD118" s="66" t="str">
        <f aca="false">IF($AB118=Constants!$B$7,IF(Z118,S118,Constants!$B$13),"")</f>
        <v/>
      </c>
      <c r="AE118" s="66" t="str">
        <f aca="false">IF($AB118=Constants!$B$7,IF(Z118,R118*IF(T118, 1, Constants!$B$11)*IF(U118, 1, Constants!$B$12),Constants!$B$13),"")</f>
        <v/>
      </c>
      <c r="AF118" s="66" t="str">
        <f aca="false">IF($AB118=Constants!$B$7,AD118*AE118,"")</f>
        <v/>
      </c>
      <c r="AG118" s="66" t="str">
        <f aca="false">IF($AB118=Constants!$B$7,IF(AA118,V118,Constants!$B$13),"")</f>
        <v/>
      </c>
      <c r="AH118" s="66" t="str">
        <f aca="false">IF($AB118=Constants!$B$7,IF(AA118,R118*IF(W118, 1, Constants!$B$11)*IF(X118, 1, Constants!$B$12),Constants!$B$13),"")</f>
        <v/>
      </c>
      <c r="AI118" s="66" t="str">
        <f aca="false">IF($AB118=Constants!$B$7,AG118*AH118,"")</f>
        <v/>
      </c>
      <c r="AJ118" s="66" t="str">
        <f aca="false">IF($AB118=Constants!$B$7,IF(AI118&gt;AF118,2,1),"")</f>
        <v/>
      </c>
      <c r="AK118" s="66" t="str">
        <f aca="false">IF($AB118=Constants!$B$7,IF(AJ118=1,2,1),"")</f>
        <v/>
      </c>
      <c r="AL118" s="66" t="str">
        <f aca="false">IF(ISBLANK($C118),"",IF($AB118&lt;&gt;Constants!$B$7,$AB118,IF(AJ118=1,AF118,AI118)))</f>
        <v/>
      </c>
      <c r="AM118" s="66" t="str">
        <f aca="false">IF(ISBLANK($C118),"",IF($AB118=Constants!$B$7,IF(ISNUMBER(AL118),RANK(AL118,$AL$8:$AL$507),Constants!$B$14),$AB118))</f>
        <v/>
      </c>
      <c r="AN118" s="66" t="str">
        <f aca="false">IF(ISBLANK($C118),"",IF($AB118=Constants!$B$7,IF(AK118=1,AF118,AI118),""))</f>
        <v/>
      </c>
      <c r="AO118" s="66" t="str">
        <f aca="false">IF(ISBLANK($C118),"",IF($AB118=Constants!$B$7,RANK(AN118,$AN$8:$AN$507),$AB118))</f>
        <v/>
      </c>
      <c r="AP118" s="66" t="str">
        <f aca="false">IF(ISBLANK($C118),"",IF($AB118=Constants!$B$7,IF(ISNUMBER(AM118),COUNTIFS($AM$8:$AM$507,"&lt;"&amp;$AM118)+COUNTIFS($AM$8:$AM$507,$AM118,$AO$8:$AO$507,"&lt;"&amp;$AO118)+1,Constants!$B$14),$AB118))</f>
        <v/>
      </c>
      <c r="AQ118" s="66" t="str">
        <f aca="false">IF(ISBLANK($C118),"",IF($AB118=Constants!$B$7,IF(ISNUMBER(AM118),AM118-AP118,Constants!$B$14),$AB118))</f>
        <v/>
      </c>
      <c r="AR118" s="68"/>
      <c r="AS118" s="69" t="str">
        <f aca="false">IF(ISBLANK($C118),"",IF($AB118&lt;&gt;Constants!$B$7,"",AJ118))</f>
        <v/>
      </c>
      <c r="AT118" s="84" t="str">
        <f aca="false">IF(ISBLANK($C118),"",IF($AB118&lt;&gt;Constants!$B$7,"",IF(AJ118=1,AD118,AG118)))</f>
        <v/>
      </c>
      <c r="AU118" s="71" t="str">
        <f aca="false">IF(ISBLANK($C118),"",IF($AB118&lt;&gt;Constants!$B$7,"",IF(AJ118=1,AE118,AH118)))</f>
        <v/>
      </c>
      <c r="AV118" s="72" t="str">
        <f aca="false">IF(ISBLANK($C118),"",IF($AB118&lt;&gt;Constants!$B$7,$AB118,AL118))</f>
        <v/>
      </c>
      <c r="AW118" s="73" t="str">
        <f aca="false">IF(ISBLANK($C118),"",IF($AB118&lt;&gt;Constants!$B$7,$AB118,AC118))</f>
        <v/>
      </c>
      <c r="AX118" s="74" t="str">
        <f aca="false">IF(ISBLANK($C118),"",AQ118)</f>
        <v/>
      </c>
      <c r="AY118" s="74" t="str">
        <f aca="false">IF(ISBLANK($C118),"",AP118)</f>
        <v/>
      </c>
      <c r="AZ118" s="75" t="str">
        <f aca="false">IF(ISBLANK($C118),"",IF(AY118=Constants!$B$4,COUNTA($C$8:$C$507)+2,IF(AY118=Constants!$B$5,COUNTA($C$8:$C$507)+1,IF(AY118=Constants!$B$6,COUNTA($C$8:$C$507),AY118))))</f>
        <v/>
      </c>
      <c r="BA118" s="5"/>
      <c r="BB118" s="76" t="n">
        <f aca="false">IF(OR(ISNUMBER(AY118),AY118=Constants!$B$4,AY118=Constants!$B$6,AY118=Constants!$B$5),1,0)</f>
        <v>0</v>
      </c>
      <c r="BC118" s="76" t="n">
        <v>111</v>
      </c>
      <c r="BD118" s="76" t="str">
        <f aca="false">IF(ISBLANK($C118),"",IF(ISNUMBER(AZ118),AZ118+ROW($B118)/1000,""))</f>
        <v/>
      </c>
      <c r="BE118" s="76" t="str">
        <f aca="false">IF(ISNUMBER(BD118),RANK(BD118,$BD$8:$BD$507,1),"")</f>
        <v/>
      </c>
      <c r="BF118" s="76" t="str">
        <f aca="false">IF(ISBLANK($C118),"",$B118)</f>
        <v/>
      </c>
      <c r="BG118" s="76" t="str">
        <f aca="false">IF(ISBLANK($C118),"",$C118)</f>
        <v/>
      </c>
      <c r="BH118" s="76" t="str">
        <f aca="false">IF(ISBLANK($C118),"",$D118)</f>
        <v/>
      </c>
      <c r="BI118" s="77" t="str">
        <f aca="false">AW118</f>
        <v/>
      </c>
      <c r="BJ118" s="78" t="str">
        <f aca="false">AV118</f>
        <v/>
      </c>
      <c r="BK118" s="76" t="str">
        <f aca="false">IF(ISBLANK($C118),"",AY118)</f>
        <v/>
      </c>
      <c r="BL118" s="79" t="str">
        <f aca="false">IF($BC118&gt;$BB$7,"",VLOOKUP($BC118,$BE$8:$BK$507,7,FALSE()))</f>
        <v/>
      </c>
      <c r="BM118" s="80" t="str">
        <f aca="false">IF($BC118&gt;$BB$7,"",VLOOKUP($BC118,$BE$8:$BK$507,2,FALSE()))</f>
        <v/>
      </c>
      <c r="BN118" s="80" t="str">
        <f aca="false">IF($BC118&gt;$BB$7,"",VLOOKUP($BC118,$BE$8:$BK$507,3,FALSE()))</f>
        <v/>
      </c>
      <c r="BO118" s="80" t="str">
        <f aca="false">IF($BC118&gt;$BB$7,"",VLOOKUP($BC118,$BE$8:$BK$507,4,FALSE()))</f>
        <v/>
      </c>
      <c r="BP118" s="80" t="str">
        <f aca="false">IF($BC118&gt;$BB$7,"",VLOOKUP($BC118,$BE$8:$BK$507,5,FALSE()))</f>
        <v/>
      </c>
      <c r="BQ118" s="81" t="str">
        <f aca="false">IF($BC118&gt;$BB$7,"",VLOOKUP($BC118,$BE$8:$BK$507,6,FALSE()))</f>
        <v/>
      </c>
      <c r="BR118" s="54"/>
    </row>
    <row r="119" customFormat="false" ht="13.8" hidden="false" customHeight="false" outlineLevel="0" collapsed="false">
      <c r="A119" s="5"/>
      <c r="B119" s="120"/>
      <c r="C119" s="121"/>
      <c r="D119" s="112"/>
      <c r="E119" s="123"/>
      <c r="F119" s="91"/>
      <c r="G119" s="92"/>
      <c r="H119" s="93"/>
      <c r="I119" s="94"/>
      <c r="J119" s="91"/>
      <c r="K119" s="92"/>
      <c r="L119" s="93"/>
      <c r="M119" s="94"/>
      <c r="N119" s="91"/>
      <c r="O119" s="123"/>
      <c r="P119" s="96"/>
      <c r="Q119" s="97" t="str">
        <f aca="false">IF(ISBLANK($C119),"",IF(E119=Constants!$B$2, TRUE(), IF(E119=Constants!$B$3, FALSE(), TRUE())))</f>
        <v/>
      </c>
      <c r="R119" s="97" t="str">
        <f aca="false">IF(ISBLANK($C119),"",IF(F119=Constants!$B$16,Constants!$B$9,IF(F119=Constants!$B$17,Constants!$B$10,Constants!$B$8)))</f>
        <v/>
      </c>
      <c r="S119" s="97" t="str">
        <f aca="false">IF(ISBLANK($C119),"",IF(COUNTA(G119:H119)=0,"",IF(AND(OR(ISBLANK(G119),AND(ISNUMBER(G119),G119&gt;=0)),OR(ISBLANK(H119),AND(ISNUMBER(H119),H119&gt;=0))),60*IF(ISBLANK(G119),0,G119)+IF(ISBLANK(H119),0,H119),"")))</f>
        <v/>
      </c>
      <c r="T119" s="97" t="str">
        <f aca="false">IF(ISBLANK($C119),"",IF(I119=Constants!$B$2, TRUE(), IF(I119=Constants!$B$3, FALSE(), TRUE())))</f>
        <v/>
      </c>
      <c r="U119" s="97" t="str">
        <f aca="false">IF(ISBLANK($C119),"",IF(J119=Constants!$B$2, TRUE(), IF(J119=Constants!$B$3, FALSE(), TRUE())))</f>
        <v/>
      </c>
      <c r="V119" s="97" t="str">
        <f aca="false">IF(ISBLANK($C119),"",IF(COUNTA(K119:L119)=0,"",IF(AND(OR(ISBLANK(K119),AND(ISNUMBER(K119),K119&gt;=0)),OR(ISBLANK(L119),AND(ISNUMBER(L119),L119&gt;=0))),60*IF(ISBLANK(K119),0,K119)+IF(ISBLANK(L119),0,L119),"")))</f>
        <v/>
      </c>
      <c r="W119" s="97" t="str">
        <f aca="false">IF(ISBLANK($C119),"",IF(M119=Constants!$B$2, TRUE(), IF(M119=Constants!$B$3, FALSE(), TRUE())))</f>
        <v/>
      </c>
      <c r="X119" s="97" t="str">
        <f aca="false">IF(ISBLANK($C119),"",IF(N119=Constants!$B$2, TRUE(), IF(N119=Constants!$B$3, FALSE(), TRUE())))</f>
        <v/>
      </c>
      <c r="Y119" s="97" t="str">
        <f aca="false">IF(ISBLANK($C119),"",IF(O119=Constants!$B$2, TRUE(), IF(O119=Constants!$B$3, FALSE(), FALSE())))</f>
        <v/>
      </c>
      <c r="Z119" s="97" t="str">
        <f aca="false">IF(ISBLANK($C119),"",AND(S119&lt;&gt;"",Q119))</f>
        <v/>
      </c>
      <c r="AA119" s="97" t="str">
        <f aca="false">IF(ISBLANK($C119),"",AND(V119&lt;&gt;"",Q119))</f>
        <v/>
      </c>
      <c r="AB119" s="97" t="str">
        <f aca="false">IF(ISBLANK($C119),"",IF(Y119,Constants!$B$4,IF(COUNTA(E119:N119)=0,Constants!$B$5,IF(NOT(Q119),Constants!$B$6,IF(AND(NOT(Z119),NOT(AA119)),Constants!$B$6,Constants!$B$7)))))</f>
        <v/>
      </c>
      <c r="AC119" s="97" t="str">
        <f aca="false">IF(ISBLANK($C119),"",IF($AB119&lt;&gt;Constants!$B$7,$AB119,Constants!$B$20))</f>
        <v/>
      </c>
      <c r="AD119" s="97" t="str">
        <f aca="false">IF($AB119=Constants!$B$7,IF(Z119,S119,Constants!$B$13),"")</f>
        <v/>
      </c>
      <c r="AE119" s="97" t="str">
        <f aca="false">IF($AB119=Constants!$B$7,IF(Z119,R119*IF(T119, 1, Constants!$B$11)*IF(U119, 1, Constants!$B$12),Constants!$B$13),"")</f>
        <v/>
      </c>
      <c r="AF119" s="97" t="str">
        <f aca="false">IF($AB119=Constants!$B$7,AD119*AE119,"")</f>
        <v/>
      </c>
      <c r="AG119" s="97" t="str">
        <f aca="false">IF($AB119=Constants!$B$7,IF(AA119,V119,Constants!$B$13),"")</f>
        <v/>
      </c>
      <c r="AH119" s="97" t="str">
        <f aca="false">IF($AB119=Constants!$B$7,IF(AA119,R119*IF(W119, 1, Constants!$B$11)*IF(X119, 1, Constants!$B$12),Constants!$B$13),"")</f>
        <v/>
      </c>
      <c r="AI119" s="97" t="str">
        <f aca="false">IF($AB119=Constants!$B$7,AG119*AH119,"")</f>
        <v/>
      </c>
      <c r="AJ119" s="97" t="str">
        <f aca="false">IF($AB119=Constants!$B$7,IF(AI119&gt;AF119,2,1),"")</f>
        <v/>
      </c>
      <c r="AK119" s="97" t="str">
        <f aca="false">IF($AB119=Constants!$B$7,IF(AJ119=1,2,1),"")</f>
        <v/>
      </c>
      <c r="AL119" s="97" t="str">
        <f aca="false">IF(ISBLANK($C119),"",IF($AB119&lt;&gt;Constants!$B$7,$AB119,IF(AJ119=1,AF119,AI119)))</f>
        <v/>
      </c>
      <c r="AM119" s="97" t="str">
        <f aca="false">IF(ISBLANK($C119),"",IF($AB119=Constants!$B$7,IF(ISNUMBER(AL119),RANK(AL119,$AL$8:$AL$507),Constants!$B$14),$AB119))</f>
        <v/>
      </c>
      <c r="AN119" s="97" t="str">
        <f aca="false">IF(ISBLANK($C119),"",IF($AB119=Constants!$B$7,IF(AK119=1,AF119,AI119),""))</f>
        <v/>
      </c>
      <c r="AO119" s="97" t="str">
        <f aca="false">IF(ISBLANK($C119),"",IF($AB119=Constants!$B$7,RANK(AN119,$AN$8:$AN$507),$AB119))</f>
        <v/>
      </c>
      <c r="AP119" s="97" t="str">
        <f aca="false">IF(ISBLANK($C119),"",IF($AB119=Constants!$B$7,IF(ISNUMBER(AM119),COUNTIFS($AM$8:$AM$507,"&lt;"&amp;$AM119)+COUNTIFS($AM$8:$AM$507,$AM119,$AO$8:$AO$507,"&lt;"&amp;$AO119)+1,Constants!$B$14),$AB119))</f>
        <v/>
      </c>
      <c r="AQ119" s="97" t="str">
        <f aca="false">IF(ISBLANK($C119),"",IF($AB119=Constants!$B$7,IF(ISNUMBER(AM119),AM119-AP119,Constants!$B$14),$AB119))</f>
        <v/>
      </c>
      <c r="AR119" s="98"/>
      <c r="AS119" s="99" t="str">
        <f aca="false">IF(ISBLANK($C119),"",IF($AB119&lt;&gt;Constants!$B$7,"",AJ119))</f>
        <v/>
      </c>
      <c r="AT119" s="100" t="str">
        <f aca="false">IF(ISBLANK($C119),"",IF($AB119&lt;&gt;Constants!$B$7,"",IF(AJ119=1,AD119,AG119)))</f>
        <v/>
      </c>
      <c r="AU119" s="101" t="str">
        <f aca="false">IF(ISBLANK($C119),"",IF($AB119&lt;&gt;Constants!$B$7,"",IF(AJ119=1,AE119,AH119)))</f>
        <v/>
      </c>
      <c r="AV119" s="102" t="str">
        <f aca="false">IF(ISBLANK($C119),"",IF($AB119&lt;&gt;Constants!$B$7,$AB119,AL119))</f>
        <v/>
      </c>
      <c r="AW119" s="103" t="str">
        <f aca="false">IF(ISBLANK($C119),"",IF($AB119&lt;&gt;Constants!$B$7,$AB119,AC119))</f>
        <v/>
      </c>
      <c r="AX119" s="104" t="str">
        <f aca="false">IF(ISBLANK($C119),"",AQ119)</f>
        <v/>
      </c>
      <c r="AY119" s="104" t="str">
        <f aca="false">IF(ISBLANK($C119),"",AP119)</f>
        <v/>
      </c>
      <c r="AZ119" s="105" t="str">
        <f aca="false">IF(ISBLANK($C119),"",IF(AY119=Constants!$B$4,COUNTA($C$8:$C$507)+2,IF(AY119=Constants!$B$5,COUNTA($C$8:$C$507)+1,IF(AY119=Constants!$B$6,COUNTA($C$8:$C$507),AY119))))</f>
        <v/>
      </c>
      <c r="BA119" s="5"/>
      <c r="BB119" s="106" t="n">
        <f aca="false">IF(OR(ISNUMBER(AY119),AY119=Constants!$B$4,AY119=Constants!$B$6,AY119=Constants!$B$5),1,0)</f>
        <v>0</v>
      </c>
      <c r="BC119" s="106" t="n">
        <v>112</v>
      </c>
      <c r="BD119" s="106" t="str">
        <f aca="false">IF(ISBLANK($C119),"",IF(ISNUMBER(AZ119),AZ119+ROW($B119)/1000,""))</f>
        <v/>
      </c>
      <c r="BE119" s="106" t="str">
        <f aca="false">IF(ISNUMBER(BD119),RANK(BD119,$BD$8:$BD$507,1),"")</f>
        <v/>
      </c>
      <c r="BF119" s="106" t="str">
        <f aca="false">IF(ISBLANK($C119),"",$B119)</f>
        <v/>
      </c>
      <c r="BG119" s="106" t="str">
        <f aca="false">IF(ISBLANK($C119),"",$C119)</f>
        <v/>
      </c>
      <c r="BH119" s="106" t="str">
        <f aca="false">IF(ISBLANK($C119),"",$D119)</f>
        <v/>
      </c>
      <c r="BI119" s="107" t="str">
        <f aca="false">AW119</f>
        <v/>
      </c>
      <c r="BJ119" s="108" t="str">
        <f aca="false">AV119</f>
        <v/>
      </c>
      <c r="BK119" s="106" t="str">
        <f aca="false">IF(ISBLANK($C119),"",AY119)</f>
        <v/>
      </c>
      <c r="BL119" s="109" t="str">
        <f aca="false">IF($BC119&gt;$BB$7,"",VLOOKUP($BC119,$BE$8:$BK$507,7,FALSE()))</f>
        <v/>
      </c>
      <c r="BM119" s="110" t="str">
        <f aca="false">IF($BC119&gt;$BB$7,"",VLOOKUP($BC119,$BE$8:$BK$507,2,FALSE()))</f>
        <v/>
      </c>
      <c r="BN119" s="110" t="str">
        <f aca="false">IF($BC119&gt;$BB$7,"",VLOOKUP($BC119,$BE$8:$BK$507,3,FALSE()))</f>
        <v/>
      </c>
      <c r="BO119" s="110" t="str">
        <f aca="false">IF($BC119&gt;$BB$7,"",VLOOKUP($BC119,$BE$8:$BK$507,4,FALSE()))</f>
        <v/>
      </c>
      <c r="BP119" s="110" t="str">
        <f aca="false">IF($BC119&gt;$BB$7,"",VLOOKUP($BC119,$BE$8:$BK$507,5,FALSE()))</f>
        <v/>
      </c>
      <c r="BQ119" s="111" t="str">
        <f aca="false">IF($BC119&gt;$BB$7,"",VLOOKUP($BC119,$BE$8:$BK$507,6,FALSE()))</f>
        <v/>
      </c>
      <c r="BR119" s="54"/>
    </row>
    <row r="120" customFormat="false" ht="13.8" hidden="false" customHeight="false" outlineLevel="0" collapsed="false">
      <c r="A120" s="5"/>
      <c r="B120" s="120"/>
      <c r="C120" s="121"/>
      <c r="D120" s="112"/>
      <c r="E120" s="123"/>
      <c r="F120" s="91"/>
      <c r="G120" s="92"/>
      <c r="H120" s="93"/>
      <c r="I120" s="94"/>
      <c r="J120" s="91"/>
      <c r="K120" s="92"/>
      <c r="L120" s="93"/>
      <c r="M120" s="94"/>
      <c r="N120" s="91"/>
      <c r="O120" s="123"/>
      <c r="P120" s="96"/>
      <c r="Q120" s="97" t="str">
        <f aca="false">IF(ISBLANK($C120),"",IF(E120=Constants!$B$2, TRUE(), IF(E120=Constants!$B$3, FALSE(), TRUE())))</f>
        <v/>
      </c>
      <c r="R120" s="97" t="str">
        <f aca="false">IF(ISBLANK($C120),"",IF(F120=Constants!$B$16,Constants!$B$9,IF(F120=Constants!$B$17,Constants!$B$10,Constants!$B$8)))</f>
        <v/>
      </c>
      <c r="S120" s="97" t="str">
        <f aca="false">IF(ISBLANK($C120),"",IF(COUNTA(G120:H120)=0,"",IF(AND(OR(ISBLANK(G120),AND(ISNUMBER(G120),G120&gt;=0)),OR(ISBLANK(H120),AND(ISNUMBER(H120),H120&gt;=0))),60*IF(ISBLANK(G120),0,G120)+IF(ISBLANK(H120),0,H120),"")))</f>
        <v/>
      </c>
      <c r="T120" s="97" t="str">
        <f aca="false">IF(ISBLANK($C120),"",IF(I120=Constants!$B$2, TRUE(), IF(I120=Constants!$B$3, FALSE(), TRUE())))</f>
        <v/>
      </c>
      <c r="U120" s="97" t="str">
        <f aca="false">IF(ISBLANK($C120),"",IF(J120=Constants!$B$2, TRUE(), IF(J120=Constants!$B$3, FALSE(), TRUE())))</f>
        <v/>
      </c>
      <c r="V120" s="97" t="str">
        <f aca="false">IF(ISBLANK($C120),"",IF(COUNTA(K120:L120)=0,"",IF(AND(OR(ISBLANK(K120),AND(ISNUMBER(K120),K120&gt;=0)),OR(ISBLANK(L120),AND(ISNUMBER(L120),L120&gt;=0))),60*IF(ISBLANK(K120),0,K120)+IF(ISBLANK(L120),0,L120),"")))</f>
        <v/>
      </c>
      <c r="W120" s="97" t="str">
        <f aca="false">IF(ISBLANK($C120),"",IF(M120=Constants!$B$2, TRUE(), IF(M120=Constants!$B$3, FALSE(), TRUE())))</f>
        <v/>
      </c>
      <c r="X120" s="97" t="str">
        <f aca="false">IF(ISBLANK($C120),"",IF(N120=Constants!$B$2, TRUE(), IF(N120=Constants!$B$3, FALSE(), TRUE())))</f>
        <v/>
      </c>
      <c r="Y120" s="97" t="str">
        <f aca="false">IF(ISBLANK($C120),"",IF(O120=Constants!$B$2, TRUE(), IF(O120=Constants!$B$3, FALSE(), FALSE())))</f>
        <v/>
      </c>
      <c r="Z120" s="97" t="str">
        <f aca="false">IF(ISBLANK($C120),"",AND(S120&lt;&gt;"",Q120))</f>
        <v/>
      </c>
      <c r="AA120" s="97" t="str">
        <f aca="false">IF(ISBLANK($C120),"",AND(V120&lt;&gt;"",Q120))</f>
        <v/>
      </c>
      <c r="AB120" s="97" t="str">
        <f aca="false">IF(ISBLANK($C120),"",IF(Y120,Constants!$B$4,IF(COUNTA(E120:N120)=0,Constants!$B$5,IF(NOT(Q120),Constants!$B$6,IF(AND(NOT(Z120),NOT(AA120)),Constants!$B$6,Constants!$B$7)))))</f>
        <v/>
      </c>
      <c r="AC120" s="97" t="str">
        <f aca="false">IF(ISBLANK($C120),"",IF($AB120&lt;&gt;Constants!$B$7,$AB120,Constants!$B$20))</f>
        <v/>
      </c>
      <c r="AD120" s="97" t="str">
        <f aca="false">IF($AB120=Constants!$B$7,IF(Z120,S120,Constants!$B$13),"")</f>
        <v/>
      </c>
      <c r="AE120" s="97" t="str">
        <f aca="false">IF($AB120=Constants!$B$7,IF(Z120,R120*IF(T120, 1, Constants!$B$11)*IF(U120, 1, Constants!$B$12),Constants!$B$13),"")</f>
        <v/>
      </c>
      <c r="AF120" s="97" t="str">
        <f aca="false">IF($AB120=Constants!$B$7,AD120*AE120,"")</f>
        <v/>
      </c>
      <c r="AG120" s="97" t="str">
        <f aca="false">IF($AB120=Constants!$B$7,IF(AA120,V120,Constants!$B$13),"")</f>
        <v/>
      </c>
      <c r="AH120" s="97" t="str">
        <f aca="false">IF($AB120=Constants!$B$7,IF(AA120,R120*IF(W120, 1, Constants!$B$11)*IF(X120, 1, Constants!$B$12),Constants!$B$13),"")</f>
        <v/>
      </c>
      <c r="AI120" s="97" t="str">
        <f aca="false">IF($AB120=Constants!$B$7,AG120*AH120,"")</f>
        <v/>
      </c>
      <c r="AJ120" s="97" t="str">
        <f aca="false">IF($AB120=Constants!$B$7,IF(AI120&gt;AF120,2,1),"")</f>
        <v/>
      </c>
      <c r="AK120" s="97" t="str">
        <f aca="false">IF($AB120=Constants!$B$7,IF(AJ120=1,2,1),"")</f>
        <v/>
      </c>
      <c r="AL120" s="97" t="str">
        <f aca="false">IF(ISBLANK($C120),"",IF($AB120&lt;&gt;Constants!$B$7,$AB120,IF(AJ120=1,AF120,AI120)))</f>
        <v/>
      </c>
      <c r="AM120" s="97" t="str">
        <f aca="false">IF(ISBLANK($C120),"",IF($AB120=Constants!$B$7,IF(ISNUMBER(AL120),RANK(AL120,$AL$8:$AL$507),Constants!$B$14),$AB120))</f>
        <v/>
      </c>
      <c r="AN120" s="97" t="str">
        <f aca="false">IF(ISBLANK($C120),"",IF($AB120=Constants!$B$7,IF(AK120=1,AF120,AI120),""))</f>
        <v/>
      </c>
      <c r="AO120" s="97" t="str">
        <f aca="false">IF(ISBLANK($C120),"",IF($AB120=Constants!$B$7,RANK(AN120,$AN$8:$AN$507),$AB120))</f>
        <v/>
      </c>
      <c r="AP120" s="97" t="str">
        <f aca="false">IF(ISBLANK($C120),"",IF($AB120=Constants!$B$7,IF(ISNUMBER(AM120),COUNTIFS($AM$8:$AM$507,"&lt;"&amp;$AM120)+COUNTIFS($AM$8:$AM$507,$AM120,$AO$8:$AO$507,"&lt;"&amp;$AO120)+1,Constants!$B$14),$AB120))</f>
        <v/>
      </c>
      <c r="AQ120" s="97" t="str">
        <f aca="false">IF(ISBLANK($C120),"",IF($AB120=Constants!$B$7,IF(ISNUMBER(AM120),AM120-AP120,Constants!$B$14),$AB120))</f>
        <v/>
      </c>
      <c r="AR120" s="98"/>
      <c r="AS120" s="99" t="str">
        <f aca="false">IF(ISBLANK($C120),"",IF($AB120&lt;&gt;Constants!$B$7,"",AJ120))</f>
        <v/>
      </c>
      <c r="AT120" s="100" t="str">
        <f aca="false">IF(ISBLANK($C120),"",IF($AB120&lt;&gt;Constants!$B$7,"",IF(AJ120=1,AD120,AG120)))</f>
        <v/>
      </c>
      <c r="AU120" s="101" t="str">
        <f aca="false">IF(ISBLANK($C120),"",IF($AB120&lt;&gt;Constants!$B$7,"",IF(AJ120=1,AE120,AH120)))</f>
        <v/>
      </c>
      <c r="AV120" s="102" t="str">
        <f aca="false">IF(ISBLANK($C120),"",IF($AB120&lt;&gt;Constants!$B$7,$AB120,AL120))</f>
        <v/>
      </c>
      <c r="AW120" s="103" t="str">
        <f aca="false">IF(ISBLANK($C120),"",IF($AB120&lt;&gt;Constants!$B$7,$AB120,AC120))</f>
        <v/>
      </c>
      <c r="AX120" s="104" t="str">
        <f aca="false">IF(ISBLANK($C120),"",AQ120)</f>
        <v/>
      </c>
      <c r="AY120" s="104" t="str">
        <f aca="false">IF(ISBLANK($C120),"",AP120)</f>
        <v/>
      </c>
      <c r="AZ120" s="105" t="str">
        <f aca="false">IF(ISBLANK($C120),"",IF(AY120=Constants!$B$4,COUNTA($C$8:$C$507)+2,IF(AY120=Constants!$B$5,COUNTA($C$8:$C$507)+1,IF(AY120=Constants!$B$6,COUNTA($C$8:$C$507),AY120))))</f>
        <v/>
      </c>
      <c r="BA120" s="5"/>
      <c r="BB120" s="106" t="n">
        <f aca="false">IF(OR(ISNUMBER(AY120),AY120=Constants!$B$4,AY120=Constants!$B$6,AY120=Constants!$B$5),1,0)</f>
        <v>0</v>
      </c>
      <c r="BC120" s="106" t="n">
        <v>113</v>
      </c>
      <c r="BD120" s="106" t="str">
        <f aca="false">IF(ISBLANK($C120),"",IF(ISNUMBER(AZ120),AZ120+ROW($B120)/1000,""))</f>
        <v/>
      </c>
      <c r="BE120" s="106" t="str">
        <f aca="false">IF(ISNUMBER(BD120),RANK(BD120,$BD$8:$BD$507,1),"")</f>
        <v/>
      </c>
      <c r="BF120" s="106" t="str">
        <f aca="false">IF(ISBLANK($C120),"",$B120)</f>
        <v/>
      </c>
      <c r="BG120" s="106" t="str">
        <f aca="false">IF(ISBLANK($C120),"",$C120)</f>
        <v/>
      </c>
      <c r="BH120" s="106" t="str">
        <f aca="false">IF(ISBLANK($C120),"",$D120)</f>
        <v/>
      </c>
      <c r="BI120" s="107" t="str">
        <f aca="false">AW120</f>
        <v/>
      </c>
      <c r="BJ120" s="108" t="str">
        <f aca="false">AV120</f>
        <v/>
      </c>
      <c r="BK120" s="106" t="str">
        <f aca="false">IF(ISBLANK($C120),"",AY120)</f>
        <v/>
      </c>
      <c r="BL120" s="109" t="str">
        <f aca="false">IF($BC120&gt;$BB$7,"",VLOOKUP($BC120,$BE$8:$BK$507,7,FALSE()))</f>
        <v/>
      </c>
      <c r="BM120" s="110" t="str">
        <f aca="false">IF($BC120&gt;$BB$7,"",VLOOKUP($BC120,$BE$8:$BK$507,2,FALSE()))</f>
        <v/>
      </c>
      <c r="BN120" s="110" t="str">
        <f aca="false">IF($BC120&gt;$BB$7,"",VLOOKUP($BC120,$BE$8:$BK$507,3,FALSE()))</f>
        <v/>
      </c>
      <c r="BO120" s="110" t="str">
        <f aca="false">IF($BC120&gt;$BB$7,"",VLOOKUP($BC120,$BE$8:$BK$507,4,FALSE()))</f>
        <v/>
      </c>
      <c r="BP120" s="110" t="str">
        <f aca="false">IF($BC120&gt;$BB$7,"",VLOOKUP($BC120,$BE$8:$BK$507,5,FALSE()))</f>
        <v/>
      </c>
      <c r="BQ120" s="111" t="str">
        <f aca="false">IF($BC120&gt;$BB$7,"",VLOOKUP($BC120,$BE$8:$BK$507,6,FALSE()))</f>
        <v/>
      </c>
      <c r="BR120" s="54"/>
    </row>
    <row r="121" customFormat="false" ht="13.8" hidden="false" customHeight="false" outlineLevel="0" collapsed="false">
      <c r="A121" s="5"/>
      <c r="B121" s="120"/>
      <c r="C121" s="121"/>
      <c r="D121" s="112"/>
      <c r="E121" s="123"/>
      <c r="F121" s="91"/>
      <c r="G121" s="92"/>
      <c r="H121" s="93"/>
      <c r="I121" s="94"/>
      <c r="J121" s="91"/>
      <c r="K121" s="92"/>
      <c r="L121" s="93"/>
      <c r="M121" s="94"/>
      <c r="N121" s="91"/>
      <c r="O121" s="123"/>
      <c r="P121" s="96"/>
      <c r="Q121" s="97" t="str">
        <f aca="false">IF(ISBLANK($C121),"",IF(E121=Constants!$B$2, TRUE(), IF(E121=Constants!$B$3, FALSE(), TRUE())))</f>
        <v/>
      </c>
      <c r="R121" s="97" t="str">
        <f aca="false">IF(ISBLANK($C121),"",IF(F121=Constants!$B$16,Constants!$B$9,IF(F121=Constants!$B$17,Constants!$B$10,Constants!$B$8)))</f>
        <v/>
      </c>
      <c r="S121" s="97" t="str">
        <f aca="false">IF(ISBLANK($C121),"",IF(COUNTA(G121:H121)=0,"",IF(AND(OR(ISBLANK(G121),AND(ISNUMBER(G121),G121&gt;=0)),OR(ISBLANK(H121),AND(ISNUMBER(H121),H121&gt;=0))),60*IF(ISBLANK(G121),0,G121)+IF(ISBLANK(H121),0,H121),"")))</f>
        <v/>
      </c>
      <c r="T121" s="97" t="str">
        <f aca="false">IF(ISBLANK($C121),"",IF(I121=Constants!$B$2, TRUE(), IF(I121=Constants!$B$3, FALSE(), TRUE())))</f>
        <v/>
      </c>
      <c r="U121" s="97" t="str">
        <f aca="false">IF(ISBLANK($C121),"",IF(J121=Constants!$B$2, TRUE(), IF(J121=Constants!$B$3, FALSE(), TRUE())))</f>
        <v/>
      </c>
      <c r="V121" s="97" t="str">
        <f aca="false">IF(ISBLANK($C121),"",IF(COUNTA(K121:L121)=0,"",IF(AND(OR(ISBLANK(K121),AND(ISNUMBER(K121),K121&gt;=0)),OR(ISBLANK(L121),AND(ISNUMBER(L121),L121&gt;=0))),60*IF(ISBLANK(K121),0,K121)+IF(ISBLANK(L121),0,L121),"")))</f>
        <v/>
      </c>
      <c r="W121" s="97" t="str">
        <f aca="false">IF(ISBLANK($C121),"",IF(M121=Constants!$B$2, TRUE(), IF(M121=Constants!$B$3, FALSE(), TRUE())))</f>
        <v/>
      </c>
      <c r="X121" s="97" t="str">
        <f aca="false">IF(ISBLANK($C121),"",IF(N121=Constants!$B$2, TRUE(), IF(N121=Constants!$B$3, FALSE(), TRUE())))</f>
        <v/>
      </c>
      <c r="Y121" s="97" t="str">
        <f aca="false">IF(ISBLANK($C121),"",IF(O121=Constants!$B$2, TRUE(), IF(O121=Constants!$B$3, FALSE(), FALSE())))</f>
        <v/>
      </c>
      <c r="Z121" s="97" t="str">
        <f aca="false">IF(ISBLANK($C121),"",AND(S121&lt;&gt;"",Q121))</f>
        <v/>
      </c>
      <c r="AA121" s="97" t="str">
        <f aca="false">IF(ISBLANK($C121),"",AND(V121&lt;&gt;"",Q121))</f>
        <v/>
      </c>
      <c r="AB121" s="97" t="str">
        <f aca="false">IF(ISBLANK($C121),"",IF(Y121,Constants!$B$4,IF(COUNTA(E121:N121)=0,Constants!$B$5,IF(NOT(Q121),Constants!$B$6,IF(AND(NOT(Z121),NOT(AA121)),Constants!$B$6,Constants!$B$7)))))</f>
        <v/>
      </c>
      <c r="AC121" s="97" t="str">
        <f aca="false">IF(ISBLANK($C121),"",IF($AB121&lt;&gt;Constants!$B$7,$AB121,Constants!$B$20))</f>
        <v/>
      </c>
      <c r="AD121" s="97" t="str">
        <f aca="false">IF($AB121=Constants!$B$7,IF(Z121,S121,Constants!$B$13),"")</f>
        <v/>
      </c>
      <c r="AE121" s="97" t="str">
        <f aca="false">IF($AB121=Constants!$B$7,IF(Z121,R121*IF(T121, 1, Constants!$B$11)*IF(U121, 1, Constants!$B$12),Constants!$B$13),"")</f>
        <v/>
      </c>
      <c r="AF121" s="97" t="str">
        <f aca="false">IF($AB121=Constants!$B$7,AD121*AE121,"")</f>
        <v/>
      </c>
      <c r="AG121" s="97" t="str">
        <f aca="false">IF($AB121=Constants!$B$7,IF(AA121,V121,Constants!$B$13),"")</f>
        <v/>
      </c>
      <c r="AH121" s="97" t="str">
        <f aca="false">IF($AB121=Constants!$B$7,IF(AA121,R121*IF(W121, 1, Constants!$B$11)*IF(X121, 1, Constants!$B$12),Constants!$B$13),"")</f>
        <v/>
      </c>
      <c r="AI121" s="97" t="str">
        <f aca="false">IF($AB121=Constants!$B$7,AG121*AH121,"")</f>
        <v/>
      </c>
      <c r="AJ121" s="97" t="str">
        <f aca="false">IF($AB121=Constants!$B$7,IF(AI121&gt;AF121,2,1),"")</f>
        <v/>
      </c>
      <c r="AK121" s="97" t="str">
        <f aca="false">IF($AB121=Constants!$B$7,IF(AJ121=1,2,1),"")</f>
        <v/>
      </c>
      <c r="AL121" s="97" t="str">
        <f aca="false">IF(ISBLANK($C121),"",IF($AB121&lt;&gt;Constants!$B$7,$AB121,IF(AJ121=1,AF121,AI121)))</f>
        <v/>
      </c>
      <c r="AM121" s="97" t="str">
        <f aca="false">IF(ISBLANK($C121),"",IF($AB121=Constants!$B$7,IF(ISNUMBER(AL121),RANK(AL121,$AL$8:$AL$507),Constants!$B$14),$AB121))</f>
        <v/>
      </c>
      <c r="AN121" s="97" t="str">
        <f aca="false">IF(ISBLANK($C121),"",IF($AB121=Constants!$B$7,IF(AK121=1,AF121,AI121),""))</f>
        <v/>
      </c>
      <c r="AO121" s="97" t="str">
        <f aca="false">IF(ISBLANK($C121),"",IF($AB121=Constants!$B$7,RANK(AN121,$AN$8:$AN$507),$AB121))</f>
        <v/>
      </c>
      <c r="AP121" s="97" t="str">
        <f aca="false">IF(ISBLANK($C121),"",IF($AB121=Constants!$B$7,IF(ISNUMBER(AM121),COUNTIFS($AM$8:$AM$507,"&lt;"&amp;$AM121)+COUNTIFS($AM$8:$AM$507,$AM121,$AO$8:$AO$507,"&lt;"&amp;$AO121)+1,Constants!$B$14),$AB121))</f>
        <v/>
      </c>
      <c r="AQ121" s="97" t="str">
        <f aca="false">IF(ISBLANK($C121),"",IF($AB121=Constants!$B$7,IF(ISNUMBER(AM121),AM121-AP121,Constants!$B$14),$AB121))</f>
        <v/>
      </c>
      <c r="AR121" s="98"/>
      <c r="AS121" s="99" t="str">
        <f aca="false">IF(ISBLANK($C121),"",IF($AB121&lt;&gt;Constants!$B$7,"",AJ121))</f>
        <v/>
      </c>
      <c r="AT121" s="100" t="str">
        <f aca="false">IF(ISBLANK($C121),"",IF($AB121&lt;&gt;Constants!$B$7,"",IF(AJ121=1,AD121,AG121)))</f>
        <v/>
      </c>
      <c r="AU121" s="101" t="str">
        <f aca="false">IF(ISBLANK($C121),"",IF($AB121&lt;&gt;Constants!$B$7,"",IF(AJ121=1,AE121,AH121)))</f>
        <v/>
      </c>
      <c r="AV121" s="102" t="str">
        <f aca="false">IF(ISBLANK($C121),"",IF($AB121&lt;&gt;Constants!$B$7,$AB121,AL121))</f>
        <v/>
      </c>
      <c r="AW121" s="103" t="str">
        <f aca="false">IF(ISBLANK($C121),"",IF($AB121&lt;&gt;Constants!$B$7,$AB121,AC121))</f>
        <v/>
      </c>
      <c r="AX121" s="104" t="str">
        <f aca="false">IF(ISBLANK($C121),"",AQ121)</f>
        <v/>
      </c>
      <c r="AY121" s="104" t="str">
        <f aca="false">IF(ISBLANK($C121),"",AP121)</f>
        <v/>
      </c>
      <c r="AZ121" s="105" t="str">
        <f aca="false">IF(ISBLANK($C121),"",IF(AY121=Constants!$B$4,COUNTA($C$8:$C$507)+2,IF(AY121=Constants!$B$5,COUNTA($C$8:$C$507)+1,IF(AY121=Constants!$B$6,COUNTA($C$8:$C$507),AY121))))</f>
        <v/>
      </c>
      <c r="BA121" s="5"/>
      <c r="BB121" s="106" t="n">
        <f aca="false">IF(OR(ISNUMBER(AY121),AY121=Constants!$B$4,AY121=Constants!$B$6,AY121=Constants!$B$5),1,0)</f>
        <v>0</v>
      </c>
      <c r="BC121" s="106" t="n">
        <v>114</v>
      </c>
      <c r="BD121" s="106" t="str">
        <f aca="false">IF(ISBLANK($C121),"",IF(ISNUMBER(AZ121),AZ121+ROW($B121)/1000,""))</f>
        <v/>
      </c>
      <c r="BE121" s="106" t="str">
        <f aca="false">IF(ISNUMBER(BD121),RANK(BD121,$BD$8:$BD$507,1),"")</f>
        <v/>
      </c>
      <c r="BF121" s="106" t="str">
        <f aca="false">IF(ISBLANK($C121),"",$B121)</f>
        <v/>
      </c>
      <c r="BG121" s="106" t="str">
        <f aca="false">IF(ISBLANK($C121),"",$C121)</f>
        <v/>
      </c>
      <c r="BH121" s="106" t="str">
        <f aca="false">IF(ISBLANK($C121),"",$D121)</f>
        <v/>
      </c>
      <c r="BI121" s="107" t="str">
        <f aca="false">AW121</f>
        <v/>
      </c>
      <c r="BJ121" s="108" t="str">
        <f aca="false">AV121</f>
        <v/>
      </c>
      <c r="BK121" s="106" t="str">
        <f aca="false">IF(ISBLANK($C121),"",AY121)</f>
        <v/>
      </c>
      <c r="BL121" s="109" t="str">
        <f aca="false">IF($BC121&gt;$BB$7,"",VLOOKUP($BC121,$BE$8:$BK$507,7,FALSE()))</f>
        <v/>
      </c>
      <c r="BM121" s="110" t="str">
        <f aca="false">IF($BC121&gt;$BB$7,"",VLOOKUP($BC121,$BE$8:$BK$507,2,FALSE()))</f>
        <v/>
      </c>
      <c r="BN121" s="110" t="str">
        <f aca="false">IF($BC121&gt;$BB$7,"",VLOOKUP($BC121,$BE$8:$BK$507,3,FALSE()))</f>
        <v/>
      </c>
      <c r="BO121" s="110" t="str">
        <f aca="false">IF($BC121&gt;$BB$7,"",VLOOKUP($BC121,$BE$8:$BK$507,4,FALSE()))</f>
        <v/>
      </c>
      <c r="BP121" s="110" t="str">
        <f aca="false">IF($BC121&gt;$BB$7,"",VLOOKUP($BC121,$BE$8:$BK$507,5,FALSE()))</f>
        <v/>
      </c>
      <c r="BQ121" s="111" t="str">
        <f aca="false">IF($BC121&gt;$BB$7,"",VLOOKUP($BC121,$BE$8:$BK$507,6,FALSE()))</f>
        <v/>
      </c>
      <c r="BR121" s="54"/>
    </row>
    <row r="122" customFormat="false" ht="13.8" hidden="false" customHeight="false" outlineLevel="0" collapsed="false">
      <c r="A122" s="5"/>
      <c r="B122" s="124"/>
      <c r="C122" s="56"/>
      <c r="D122" s="57"/>
      <c r="E122" s="83"/>
      <c r="F122" s="59"/>
      <c r="G122" s="60"/>
      <c r="H122" s="61"/>
      <c r="I122" s="62"/>
      <c r="J122" s="59"/>
      <c r="K122" s="60"/>
      <c r="L122" s="61"/>
      <c r="M122" s="62"/>
      <c r="N122" s="59"/>
      <c r="O122" s="83"/>
      <c r="P122" s="64"/>
      <c r="Q122" s="66" t="str">
        <f aca="false">IF(ISBLANK($C122),"",IF(E122=Constants!$B$2, TRUE(), IF(E122=Constants!$B$3, FALSE(), TRUE())))</f>
        <v/>
      </c>
      <c r="R122" s="66" t="str">
        <f aca="false">IF(ISBLANK($C122),"",IF(F122=Constants!$B$16,Constants!$B$9,IF(F122=Constants!$B$17,Constants!$B$10,Constants!$B$8)))</f>
        <v/>
      </c>
      <c r="S122" s="66" t="str">
        <f aca="false">IF(ISBLANK($C122),"",IF(COUNTA(G122:H122)=0,"",IF(AND(OR(ISBLANK(G122),AND(ISNUMBER(G122),G122&gt;=0)),OR(ISBLANK(H122),AND(ISNUMBER(H122),H122&gt;=0))),60*IF(ISBLANK(G122),0,G122)+IF(ISBLANK(H122),0,H122),"")))</f>
        <v/>
      </c>
      <c r="T122" s="66" t="str">
        <f aca="false">IF(ISBLANK($C122),"",IF(I122=Constants!$B$2, TRUE(), IF(I122=Constants!$B$3, FALSE(), TRUE())))</f>
        <v/>
      </c>
      <c r="U122" s="66" t="str">
        <f aca="false">IF(ISBLANK($C122),"",IF(J122=Constants!$B$2, TRUE(), IF(J122=Constants!$B$3, FALSE(), TRUE())))</f>
        <v/>
      </c>
      <c r="V122" s="66" t="str">
        <f aca="false">IF(ISBLANK($C122),"",IF(COUNTA(K122:L122)=0,"",IF(AND(OR(ISBLANK(K122),AND(ISNUMBER(K122),K122&gt;=0)),OR(ISBLANK(L122),AND(ISNUMBER(L122),L122&gt;=0))),60*IF(ISBLANK(K122),0,K122)+IF(ISBLANK(L122),0,L122),"")))</f>
        <v/>
      </c>
      <c r="W122" s="66" t="str">
        <f aca="false">IF(ISBLANK($C122),"",IF(M122=Constants!$B$2, TRUE(), IF(M122=Constants!$B$3, FALSE(), TRUE())))</f>
        <v/>
      </c>
      <c r="X122" s="66" t="str">
        <f aca="false">IF(ISBLANK($C122),"",IF(N122=Constants!$B$2, TRUE(), IF(N122=Constants!$B$3, FALSE(), TRUE())))</f>
        <v/>
      </c>
      <c r="Y122" s="66" t="str">
        <f aca="false">IF(ISBLANK($C122),"",IF(O122=Constants!$B$2, TRUE(), IF(O122=Constants!$B$3, FALSE(), FALSE())))</f>
        <v/>
      </c>
      <c r="Z122" s="66" t="str">
        <f aca="false">IF(ISBLANK($C122),"",AND(S122&lt;&gt;"",Q122))</f>
        <v/>
      </c>
      <c r="AA122" s="66" t="str">
        <f aca="false">IF(ISBLANK($C122),"",AND(V122&lt;&gt;"",Q122))</f>
        <v/>
      </c>
      <c r="AB122" s="66" t="str">
        <f aca="false">IF(ISBLANK($C122),"",IF(Y122,Constants!$B$4,IF(COUNTA(E122:N122)=0,Constants!$B$5,IF(NOT(Q122),Constants!$B$6,IF(AND(NOT(Z122),NOT(AA122)),Constants!$B$6,Constants!$B$7)))))</f>
        <v/>
      </c>
      <c r="AC122" s="66" t="str">
        <f aca="false">IF(ISBLANK($C122),"",IF($AB122&lt;&gt;Constants!$B$7,$AB122,Constants!$B$20))</f>
        <v/>
      </c>
      <c r="AD122" s="66" t="str">
        <f aca="false">IF($AB122=Constants!$B$7,IF(Z122,S122,Constants!$B$13),"")</f>
        <v/>
      </c>
      <c r="AE122" s="66" t="str">
        <f aca="false">IF($AB122=Constants!$B$7,IF(Z122,R122*IF(T122, 1, Constants!$B$11)*IF(U122, 1, Constants!$B$12),Constants!$B$13),"")</f>
        <v/>
      </c>
      <c r="AF122" s="66" t="str">
        <f aca="false">IF($AB122=Constants!$B$7,AD122*AE122,"")</f>
        <v/>
      </c>
      <c r="AG122" s="66" t="str">
        <f aca="false">IF($AB122=Constants!$B$7,IF(AA122,V122,Constants!$B$13),"")</f>
        <v/>
      </c>
      <c r="AH122" s="66" t="str">
        <f aca="false">IF($AB122=Constants!$B$7,IF(AA122,R122*IF(W122, 1, Constants!$B$11)*IF(X122, 1, Constants!$B$12),Constants!$B$13),"")</f>
        <v/>
      </c>
      <c r="AI122" s="66" t="str">
        <f aca="false">IF($AB122=Constants!$B$7,AG122*AH122,"")</f>
        <v/>
      </c>
      <c r="AJ122" s="66" t="str">
        <f aca="false">IF($AB122=Constants!$B$7,IF(AI122&gt;AF122,2,1),"")</f>
        <v/>
      </c>
      <c r="AK122" s="66" t="str">
        <f aca="false">IF($AB122=Constants!$B$7,IF(AJ122=1,2,1),"")</f>
        <v/>
      </c>
      <c r="AL122" s="66" t="str">
        <f aca="false">IF(ISBLANK($C122),"",IF($AB122&lt;&gt;Constants!$B$7,$AB122,IF(AJ122=1,AF122,AI122)))</f>
        <v/>
      </c>
      <c r="AM122" s="66" t="str">
        <f aca="false">IF(ISBLANK($C122),"",IF($AB122=Constants!$B$7,IF(ISNUMBER(AL122),RANK(AL122,$AL$8:$AL$507),Constants!$B$14),$AB122))</f>
        <v/>
      </c>
      <c r="AN122" s="66" t="str">
        <f aca="false">IF(ISBLANK($C122),"",IF($AB122=Constants!$B$7,IF(AK122=1,AF122,AI122),""))</f>
        <v/>
      </c>
      <c r="AO122" s="66" t="str">
        <f aca="false">IF(ISBLANK($C122),"",IF($AB122=Constants!$B$7,RANK(AN122,$AN$8:$AN$507),$AB122))</f>
        <v/>
      </c>
      <c r="AP122" s="66" t="str">
        <f aca="false">IF(ISBLANK($C122),"",IF($AB122=Constants!$B$7,IF(ISNUMBER(AM122),COUNTIFS($AM$8:$AM$507,"&lt;"&amp;$AM122)+COUNTIFS($AM$8:$AM$507,$AM122,$AO$8:$AO$507,"&lt;"&amp;$AO122)+1,Constants!$B$14),$AB122))</f>
        <v/>
      </c>
      <c r="AQ122" s="66" t="str">
        <f aca="false">IF(ISBLANK($C122),"",IF($AB122=Constants!$B$7,IF(ISNUMBER(AM122),AM122-AP122,Constants!$B$14),$AB122))</f>
        <v/>
      </c>
      <c r="AR122" s="68"/>
      <c r="AS122" s="69" t="str">
        <f aca="false">IF(ISBLANK($C122),"",IF($AB122&lt;&gt;Constants!$B$7,"",AJ122))</f>
        <v/>
      </c>
      <c r="AT122" s="84" t="str">
        <f aca="false">IF(ISBLANK($C122),"",IF($AB122&lt;&gt;Constants!$B$7,"",IF(AJ122=1,AD122,AG122)))</f>
        <v/>
      </c>
      <c r="AU122" s="71" t="str">
        <f aca="false">IF(ISBLANK($C122),"",IF($AB122&lt;&gt;Constants!$B$7,"",IF(AJ122=1,AE122,AH122)))</f>
        <v/>
      </c>
      <c r="AV122" s="72" t="str">
        <f aca="false">IF(ISBLANK($C122),"",IF($AB122&lt;&gt;Constants!$B$7,$AB122,AL122))</f>
        <v/>
      </c>
      <c r="AW122" s="73" t="str">
        <f aca="false">IF(ISBLANK($C122),"",IF($AB122&lt;&gt;Constants!$B$7,$AB122,AC122))</f>
        <v/>
      </c>
      <c r="AX122" s="74" t="str">
        <f aca="false">IF(ISBLANK($C122),"",AQ122)</f>
        <v/>
      </c>
      <c r="AY122" s="74" t="str">
        <f aca="false">IF(ISBLANK($C122),"",AP122)</f>
        <v/>
      </c>
      <c r="AZ122" s="75" t="str">
        <f aca="false">IF(ISBLANK($C122),"",IF(AY122=Constants!$B$4,COUNTA($C$8:$C$507)+2,IF(AY122=Constants!$B$5,COUNTA($C$8:$C$507)+1,IF(AY122=Constants!$B$6,COUNTA($C$8:$C$507),AY122))))</f>
        <v/>
      </c>
      <c r="BA122" s="5"/>
      <c r="BB122" s="76" t="n">
        <f aca="false">IF(OR(ISNUMBER(AY122),AY122=Constants!$B$4,AY122=Constants!$B$6,AY122=Constants!$B$5),1,0)</f>
        <v>0</v>
      </c>
      <c r="BC122" s="76" t="n">
        <v>115</v>
      </c>
      <c r="BD122" s="76" t="str">
        <f aca="false">IF(ISBLANK($C122),"",IF(ISNUMBER(AZ122),AZ122+ROW($B122)/1000,""))</f>
        <v/>
      </c>
      <c r="BE122" s="76" t="str">
        <f aca="false">IF(ISNUMBER(BD122),RANK(BD122,$BD$8:$BD$507,1),"")</f>
        <v/>
      </c>
      <c r="BF122" s="76" t="str">
        <f aca="false">IF(ISBLANK($C122),"",$B122)</f>
        <v/>
      </c>
      <c r="BG122" s="76" t="str">
        <f aca="false">IF(ISBLANK($C122),"",$C122)</f>
        <v/>
      </c>
      <c r="BH122" s="76" t="str">
        <f aca="false">IF(ISBLANK($C122),"",$D122)</f>
        <v/>
      </c>
      <c r="BI122" s="77" t="str">
        <f aca="false">AW122</f>
        <v/>
      </c>
      <c r="BJ122" s="78" t="str">
        <f aca="false">AV122</f>
        <v/>
      </c>
      <c r="BK122" s="76" t="str">
        <f aca="false">IF(ISBLANK($C122),"",AY122)</f>
        <v/>
      </c>
      <c r="BL122" s="79" t="str">
        <f aca="false">IF($BC122&gt;$BB$7,"",VLOOKUP($BC122,$BE$8:$BK$507,7,FALSE()))</f>
        <v/>
      </c>
      <c r="BM122" s="80" t="str">
        <f aca="false">IF($BC122&gt;$BB$7,"",VLOOKUP($BC122,$BE$8:$BK$507,2,FALSE()))</f>
        <v/>
      </c>
      <c r="BN122" s="80" t="str">
        <f aca="false">IF($BC122&gt;$BB$7,"",VLOOKUP($BC122,$BE$8:$BK$507,3,FALSE()))</f>
        <v/>
      </c>
      <c r="BO122" s="80" t="str">
        <f aca="false">IF($BC122&gt;$BB$7,"",VLOOKUP($BC122,$BE$8:$BK$507,4,FALSE()))</f>
        <v/>
      </c>
      <c r="BP122" s="80" t="str">
        <f aca="false">IF($BC122&gt;$BB$7,"",VLOOKUP($BC122,$BE$8:$BK$507,5,FALSE()))</f>
        <v/>
      </c>
      <c r="BQ122" s="81" t="str">
        <f aca="false">IF($BC122&gt;$BB$7,"",VLOOKUP($BC122,$BE$8:$BK$507,6,FALSE()))</f>
        <v/>
      </c>
      <c r="BR122" s="54"/>
    </row>
    <row r="123" customFormat="false" ht="13.8" hidden="false" customHeight="false" outlineLevel="0" collapsed="false">
      <c r="A123" s="5"/>
      <c r="B123" s="124"/>
      <c r="C123" s="56"/>
      <c r="D123" s="57"/>
      <c r="E123" s="83"/>
      <c r="F123" s="59"/>
      <c r="G123" s="60"/>
      <c r="H123" s="61"/>
      <c r="I123" s="62"/>
      <c r="J123" s="59"/>
      <c r="K123" s="60"/>
      <c r="L123" s="61"/>
      <c r="M123" s="62"/>
      <c r="N123" s="59"/>
      <c r="O123" s="83"/>
      <c r="P123" s="64"/>
      <c r="Q123" s="66" t="str">
        <f aca="false">IF(ISBLANK($C123),"",IF(E123=Constants!$B$2, TRUE(), IF(E123=Constants!$B$3, FALSE(), TRUE())))</f>
        <v/>
      </c>
      <c r="R123" s="66" t="str">
        <f aca="false">IF(ISBLANK($C123),"",IF(F123=Constants!$B$16,Constants!$B$9,IF(F123=Constants!$B$17,Constants!$B$10,Constants!$B$8)))</f>
        <v/>
      </c>
      <c r="S123" s="66" t="str">
        <f aca="false">IF(ISBLANK($C123),"",IF(COUNTA(G123:H123)=0,"",IF(AND(OR(ISBLANK(G123),AND(ISNUMBER(G123),G123&gt;=0)),OR(ISBLANK(H123),AND(ISNUMBER(H123),H123&gt;=0))),60*IF(ISBLANK(G123),0,G123)+IF(ISBLANK(H123),0,H123),"")))</f>
        <v/>
      </c>
      <c r="T123" s="66" t="str">
        <f aca="false">IF(ISBLANK($C123),"",IF(I123=Constants!$B$2, TRUE(), IF(I123=Constants!$B$3, FALSE(), TRUE())))</f>
        <v/>
      </c>
      <c r="U123" s="66" t="str">
        <f aca="false">IF(ISBLANK($C123),"",IF(J123=Constants!$B$2, TRUE(), IF(J123=Constants!$B$3, FALSE(), TRUE())))</f>
        <v/>
      </c>
      <c r="V123" s="66" t="str">
        <f aca="false">IF(ISBLANK($C123),"",IF(COUNTA(K123:L123)=0,"",IF(AND(OR(ISBLANK(K123),AND(ISNUMBER(K123),K123&gt;=0)),OR(ISBLANK(L123),AND(ISNUMBER(L123),L123&gt;=0))),60*IF(ISBLANK(K123),0,K123)+IF(ISBLANK(L123),0,L123),"")))</f>
        <v/>
      </c>
      <c r="W123" s="66" t="str">
        <f aca="false">IF(ISBLANK($C123),"",IF(M123=Constants!$B$2, TRUE(), IF(M123=Constants!$B$3, FALSE(), TRUE())))</f>
        <v/>
      </c>
      <c r="X123" s="66" t="str">
        <f aca="false">IF(ISBLANK($C123),"",IF(N123=Constants!$B$2, TRUE(), IF(N123=Constants!$B$3, FALSE(), TRUE())))</f>
        <v/>
      </c>
      <c r="Y123" s="66" t="str">
        <f aca="false">IF(ISBLANK($C123),"",IF(O123=Constants!$B$2, TRUE(), IF(O123=Constants!$B$3, FALSE(), FALSE())))</f>
        <v/>
      </c>
      <c r="Z123" s="66" t="str">
        <f aca="false">IF(ISBLANK($C123),"",AND(S123&lt;&gt;"",Q123))</f>
        <v/>
      </c>
      <c r="AA123" s="66" t="str">
        <f aca="false">IF(ISBLANK($C123),"",AND(V123&lt;&gt;"",Q123))</f>
        <v/>
      </c>
      <c r="AB123" s="66" t="str">
        <f aca="false">IF(ISBLANK($C123),"",IF(Y123,Constants!$B$4,IF(COUNTA(E123:N123)=0,Constants!$B$5,IF(NOT(Q123),Constants!$B$6,IF(AND(NOT(Z123),NOT(AA123)),Constants!$B$6,Constants!$B$7)))))</f>
        <v/>
      </c>
      <c r="AC123" s="66" t="str">
        <f aca="false">IF(ISBLANK($C123),"",IF($AB123&lt;&gt;Constants!$B$7,$AB123,Constants!$B$20))</f>
        <v/>
      </c>
      <c r="AD123" s="66" t="str">
        <f aca="false">IF($AB123=Constants!$B$7,IF(Z123,S123,Constants!$B$13),"")</f>
        <v/>
      </c>
      <c r="AE123" s="66" t="str">
        <f aca="false">IF($AB123=Constants!$B$7,IF(Z123,R123*IF(T123, 1, Constants!$B$11)*IF(U123, 1, Constants!$B$12),Constants!$B$13),"")</f>
        <v/>
      </c>
      <c r="AF123" s="66" t="str">
        <f aca="false">IF($AB123=Constants!$B$7,AD123*AE123,"")</f>
        <v/>
      </c>
      <c r="AG123" s="66" t="str">
        <f aca="false">IF($AB123=Constants!$B$7,IF(AA123,V123,Constants!$B$13),"")</f>
        <v/>
      </c>
      <c r="AH123" s="66" t="str">
        <f aca="false">IF($AB123=Constants!$B$7,IF(AA123,R123*IF(W123, 1, Constants!$B$11)*IF(X123, 1, Constants!$B$12),Constants!$B$13),"")</f>
        <v/>
      </c>
      <c r="AI123" s="66" t="str">
        <f aca="false">IF($AB123=Constants!$B$7,AG123*AH123,"")</f>
        <v/>
      </c>
      <c r="AJ123" s="66" t="str">
        <f aca="false">IF($AB123=Constants!$B$7,IF(AI123&gt;AF123,2,1),"")</f>
        <v/>
      </c>
      <c r="AK123" s="66" t="str">
        <f aca="false">IF($AB123=Constants!$B$7,IF(AJ123=1,2,1),"")</f>
        <v/>
      </c>
      <c r="AL123" s="66" t="str">
        <f aca="false">IF(ISBLANK($C123),"",IF($AB123&lt;&gt;Constants!$B$7,$AB123,IF(AJ123=1,AF123,AI123)))</f>
        <v/>
      </c>
      <c r="AM123" s="66" t="str">
        <f aca="false">IF(ISBLANK($C123),"",IF($AB123=Constants!$B$7,IF(ISNUMBER(AL123),RANK(AL123,$AL$8:$AL$507),Constants!$B$14),$AB123))</f>
        <v/>
      </c>
      <c r="AN123" s="66" t="str">
        <f aca="false">IF(ISBLANK($C123),"",IF($AB123=Constants!$B$7,IF(AK123=1,AF123,AI123),""))</f>
        <v/>
      </c>
      <c r="AO123" s="66" t="str">
        <f aca="false">IF(ISBLANK($C123),"",IF($AB123=Constants!$B$7,RANK(AN123,$AN$8:$AN$507),$AB123))</f>
        <v/>
      </c>
      <c r="AP123" s="66" t="str">
        <f aca="false">IF(ISBLANK($C123),"",IF($AB123=Constants!$B$7,IF(ISNUMBER(AM123),COUNTIFS($AM$8:$AM$507,"&lt;"&amp;$AM123)+COUNTIFS($AM$8:$AM$507,$AM123,$AO$8:$AO$507,"&lt;"&amp;$AO123)+1,Constants!$B$14),$AB123))</f>
        <v/>
      </c>
      <c r="AQ123" s="66" t="str">
        <f aca="false">IF(ISBLANK($C123),"",IF($AB123=Constants!$B$7,IF(ISNUMBER(AM123),AM123-AP123,Constants!$B$14),$AB123))</f>
        <v/>
      </c>
      <c r="AR123" s="68"/>
      <c r="AS123" s="69" t="str">
        <f aca="false">IF(ISBLANK($C123),"",IF($AB123&lt;&gt;Constants!$B$7,"",AJ123))</f>
        <v/>
      </c>
      <c r="AT123" s="84" t="str">
        <f aca="false">IF(ISBLANK($C123),"",IF($AB123&lt;&gt;Constants!$B$7,"",IF(AJ123=1,AD123,AG123)))</f>
        <v/>
      </c>
      <c r="AU123" s="71" t="str">
        <f aca="false">IF(ISBLANK($C123),"",IF($AB123&lt;&gt;Constants!$B$7,"",IF(AJ123=1,AE123,AH123)))</f>
        <v/>
      </c>
      <c r="AV123" s="72" t="str">
        <f aca="false">IF(ISBLANK($C123),"",IF($AB123&lt;&gt;Constants!$B$7,$AB123,AL123))</f>
        <v/>
      </c>
      <c r="AW123" s="73" t="str">
        <f aca="false">IF(ISBLANK($C123),"",IF($AB123&lt;&gt;Constants!$B$7,$AB123,AC123))</f>
        <v/>
      </c>
      <c r="AX123" s="74" t="str">
        <f aca="false">IF(ISBLANK($C123),"",AQ123)</f>
        <v/>
      </c>
      <c r="AY123" s="74" t="str">
        <f aca="false">IF(ISBLANK($C123),"",AP123)</f>
        <v/>
      </c>
      <c r="AZ123" s="75" t="str">
        <f aca="false">IF(ISBLANK($C123),"",IF(AY123=Constants!$B$4,COUNTA($C$8:$C$507)+2,IF(AY123=Constants!$B$5,COUNTA($C$8:$C$507)+1,IF(AY123=Constants!$B$6,COUNTA($C$8:$C$507),AY123))))</f>
        <v/>
      </c>
      <c r="BA123" s="5"/>
      <c r="BB123" s="76" t="n">
        <f aca="false">IF(OR(ISNUMBER(AY123),AY123=Constants!$B$4,AY123=Constants!$B$6,AY123=Constants!$B$5),1,0)</f>
        <v>0</v>
      </c>
      <c r="BC123" s="76" t="n">
        <v>116</v>
      </c>
      <c r="BD123" s="76" t="str">
        <f aca="false">IF(ISBLANK($C123),"",IF(ISNUMBER(AZ123),AZ123+ROW($B123)/1000,""))</f>
        <v/>
      </c>
      <c r="BE123" s="76" t="str">
        <f aca="false">IF(ISNUMBER(BD123),RANK(BD123,$BD$8:$BD$507,1),"")</f>
        <v/>
      </c>
      <c r="BF123" s="76" t="str">
        <f aca="false">IF(ISBLANK($C123),"",$B123)</f>
        <v/>
      </c>
      <c r="BG123" s="76" t="str">
        <f aca="false">IF(ISBLANK($C123),"",$C123)</f>
        <v/>
      </c>
      <c r="BH123" s="76" t="str">
        <f aca="false">IF(ISBLANK($C123),"",$D123)</f>
        <v/>
      </c>
      <c r="BI123" s="77" t="str">
        <f aca="false">AW123</f>
        <v/>
      </c>
      <c r="BJ123" s="78" t="str">
        <f aca="false">AV123</f>
        <v/>
      </c>
      <c r="BK123" s="76" t="str">
        <f aca="false">IF(ISBLANK($C123),"",AY123)</f>
        <v/>
      </c>
      <c r="BL123" s="79" t="str">
        <f aca="false">IF($BC123&gt;$BB$7,"",VLOOKUP($BC123,$BE$8:$BK$507,7,FALSE()))</f>
        <v/>
      </c>
      <c r="BM123" s="80" t="str">
        <f aca="false">IF($BC123&gt;$BB$7,"",VLOOKUP($BC123,$BE$8:$BK$507,2,FALSE()))</f>
        <v/>
      </c>
      <c r="BN123" s="80" t="str">
        <f aca="false">IF($BC123&gt;$BB$7,"",VLOOKUP($BC123,$BE$8:$BK$507,3,FALSE()))</f>
        <v/>
      </c>
      <c r="BO123" s="80" t="str">
        <f aca="false">IF($BC123&gt;$BB$7,"",VLOOKUP($BC123,$BE$8:$BK$507,4,FALSE()))</f>
        <v/>
      </c>
      <c r="BP123" s="80" t="str">
        <f aca="false">IF($BC123&gt;$BB$7,"",VLOOKUP($BC123,$BE$8:$BK$507,5,FALSE()))</f>
        <v/>
      </c>
      <c r="BQ123" s="81" t="str">
        <f aca="false">IF($BC123&gt;$BB$7,"",VLOOKUP($BC123,$BE$8:$BK$507,6,FALSE()))</f>
        <v/>
      </c>
      <c r="BR123" s="54"/>
    </row>
    <row r="124" customFormat="false" ht="13.8" hidden="false" customHeight="false" outlineLevel="0" collapsed="false">
      <c r="A124" s="5"/>
      <c r="B124" s="124"/>
      <c r="C124" s="56"/>
      <c r="D124" s="57"/>
      <c r="E124" s="83"/>
      <c r="F124" s="59"/>
      <c r="G124" s="60"/>
      <c r="H124" s="61"/>
      <c r="I124" s="62"/>
      <c r="J124" s="59"/>
      <c r="K124" s="60"/>
      <c r="L124" s="61"/>
      <c r="M124" s="62"/>
      <c r="N124" s="59"/>
      <c r="O124" s="83"/>
      <c r="P124" s="64"/>
      <c r="Q124" s="66" t="str">
        <f aca="false">IF(ISBLANK($C124),"",IF(E124=Constants!$B$2, TRUE(), IF(E124=Constants!$B$3, FALSE(), TRUE())))</f>
        <v/>
      </c>
      <c r="R124" s="66" t="str">
        <f aca="false">IF(ISBLANK($C124),"",IF(F124=Constants!$B$16,Constants!$B$9,IF(F124=Constants!$B$17,Constants!$B$10,Constants!$B$8)))</f>
        <v/>
      </c>
      <c r="S124" s="66" t="str">
        <f aca="false">IF(ISBLANK($C124),"",IF(COUNTA(G124:H124)=0,"",IF(AND(OR(ISBLANK(G124),AND(ISNUMBER(G124),G124&gt;=0)),OR(ISBLANK(H124),AND(ISNUMBER(H124),H124&gt;=0))),60*IF(ISBLANK(G124),0,G124)+IF(ISBLANK(H124),0,H124),"")))</f>
        <v/>
      </c>
      <c r="T124" s="66" t="str">
        <f aca="false">IF(ISBLANK($C124),"",IF(I124=Constants!$B$2, TRUE(), IF(I124=Constants!$B$3, FALSE(), TRUE())))</f>
        <v/>
      </c>
      <c r="U124" s="66" t="str">
        <f aca="false">IF(ISBLANK($C124),"",IF(J124=Constants!$B$2, TRUE(), IF(J124=Constants!$B$3, FALSE(), TRUE())))</f>
        <v/>
      </c>
      <c r="V124" s="66" t="str">
        <f aca="false">IF(ISBLANK($C124),"",IF(COUNTA(K124:L124)=0,"",IF(AND(OR(ISBLANK(K124),AND(ISNUMBER(K124),K124&gt;=0)),OR(ISBLANK(L124),AND(ISNUMBER(L124),L124&gt;=0))),60*IF(ISBLANK(K124),0,K124)+IF(ISBLANK(L124),0,L124),"")))</f>
        <v/>
      </c>
      <c r="W124" s="66" t="str">
        <f aca="false">IF(ISBLANK($C124),"",IF(M124=Constants!$B$2, TRUE(), IF(M124=Constants!$B$3, FALSE(), TRUE())))</f>
        <v/>
      </c>
      <c r="X124" s="66" t="str">
        <f aca="false">IF(ISBLANK($C124),"",IF(N124=Constants!$B$2, TRUE(), IF(N124=Constants!$B$3, FALSE(), TRUE())))</f>
        <v/>
      </c>
      <c r="Y124" s="66" t="str">
        <f aca="false">IF(ISBLANK($C124),"",IF(O124=Constants!$B$2, TRUE(), IF(O124=Constants!$B$3, FALSE(), FALSE())))</f>
        <v/>
      </c>
      <c r="Z124" s="66" t="str">
        <f aca="false">IF(ISBLANK($C124),"",AND(S124&lt;&gt;"",Q124))</f>
        <v/>
      </c>
      <c r="AA124" s="66" t="str">
        <f aca="false">IF(ISBLANK($C124),"",AND(V124&lt;&gt;"",Q124))</f>
        <v/>
      </c>
      <c r="AB124" s="66" t="str">
        <f aca="false">IF(ISBLANK($C124),"",IF(Y124,Constants!$B$4,IF(COUNTA(E124:N124)=0,Constants!$B$5,IF(NOT(Q124),Constants!$B$6,IF(AND(NOT(Z124),NOT(AA124)),Constants!$B$6,Constants!$B$7)))))</f>
        <v/>
      </c>
      <c r="AC124" s="66" t="str">
        <f aca="false">IF(ISBLANK($C124),"",IF($AB124&lt;&gt;Constants!$B$7,$AB124,Constants!$B$20))</f>
        <v/>
      </c>
      <c r="AD124" s="66" t="str">
        <f aca="false">IF($AB124=Constants!$B$7,IF(Z124,S124,Constants!$B$13),"")</f>
        <v/>
      </c>
      <c r="AE124" s="66" t="str">
        <f aca="false">IF($AB124=Constants!$B$7,IF(Z124,R124*IF(T124, 1, Constants!$B$11)*IF(U124, 1, Constants!$B$12),Constants!$B$13),"")</f>
        <v/>
      </c>
      <c r="AF124" s="66" t="str">
        <f aca="false">IF($AB124=Constants!$B$7,AD124*AE124,"")</f>
        <v/>
      </c>
      <c r="AG124" s="66" t="str">
        <f aca="false">IF($AB124=Constants!$B$7,IF(AA124,V124,Constants!$B$13),"")</f>
        <v/>
      </c>
      <c r="AH124" s="66" t="str">
        <f aca="false">IF($AB124=Constants!$B$7,IF(AA124,R124*IF(W124, 1, Constants!$B$11)*IF(X124, 1, Constants!$B$12),Constants!$B$13),"")</f>
        <v/>
      </c>
      <c r="AI124" s="66" t="str">
        <f aca="false">IF($AB124=Constants!$B$7,AG124*AH124,"")</f>
        <v/>
      </c>
      <c r="AJ124" s="66" t="str">
        <f aca="false">IF($AB124=Constants!$B$7,IF(AI124&gt;AF124,2,1),"")</f>
        <v/>
      </c>
      <c r="AK124" s="66" t="str">
        <f aca="false">IF($AB124=Constants!$B$7,IF(AJ124=1,2,1),"")</f>
        <v/>
      </c>
      <c r="AL124" s="66" t="str">
        <f aca="false">IF(ISBLANK($C124),"",IF($AB124&lt;&gt;Constants!$B$7,$AB124,IF(AJ124=1,AF124,AI124)))</f>
        <v/>
      </c>
      <c r="AM124" s="66" t="str">
        <f aca="false">IF(ISBLANK($C124),"",IF($AB124=Constants!$B$7,IF(ISNUMBER(AL124),RANK(AL124,$AL$8:$AL$507),Constants!$B$14),$AB124))</f>
        <v/>
      </c>
      <c r="AN124" s="66" t="str">
        <f aca="false">IF(ISBLANK($C124),"",IF($AB124=Constants!$B$7,IF(AK124=1,AF124,AI124),""))</f>
        <v/>
      </c>
      <c r="AO124" s="66" t="str">
        <f aca="false">IF(ISBLANK($C124),"",IF($AB124=Constants!$B$7,RANK(AN124,$AN$8:$AN$507),$AB124))</f>
        <v/>
      </c>
      <c r="AP124" s="66" t="str">
        <f aca="false">IF(ISBLANK($C124),"",IF($AB124=Constants!$B$7,IF(ISNUMBER(AM124),COUNTIFS($AM$8:$AM$507,"&lt;"&amp;$AM124)+COUNTIFS($AM$8:$AM$507,$AM124,$AO$8:$AO$507,"&lt;"&amp;$AO124)+1,Constants!$B$14),$AB124))</f>
        <v/>
      </c>
      <c r="AQ124" s="66" t="str">
        <f aca="false">IF(ISBLANK($C124),"",IF($AB124=Constants!$B$7,IF(ISNUMBER(AM124),AM124-AP124,Constants!$B$14),$AB124))</f>
        <v/>
      </c>
      <c r="AR124" s="68"/>
      <c r="AS124" s="69" t="str">
        <f aca="false">IF(ISBLANK($C124),"",IF($AB124&lt;&gt;Constants!$B$7,"",AJ124))</f>
        <v/>
      </c>
      <c r="AT124" s="84" t="str">
        <f aca="false">IF(ISBLANK($C124),"",IF($AB124&lt;&gt;Constants!$B$7,"",IF(AJ124=1,AD124,AG124)))</f>
        <v/>
      </c>
      <c r="AU124" s="71" t="str">
        <f aca="false">IF(ISBLANK($C124),"",IF($AB124&lt;&gt;Constants!$B$7,"",IF(AJ124=1,AE124,AH124)))</f>
        <v/>
      </c>
      <c r="AV124" s="72" t="str">
        <f aca="false">IF(ISBLANK($C124),"",IF($AB124&lt;&gt;Constants!$B$7,$AB124,AL124))</f>
        <v/>
      </c>
      <c r="AW124" s="73" t="str">
        <f aca="false">IF(ISBLANK($C124),"",IF($AB124&lt;&gt;Constants!$B$7,$AB124,AC124))</f>
        <v/>
      </c>
      <c r="AX124" s="74" t="str">
        <f aca="false">IF(ISBLANK($C124),"",AQ124)</f>
        <v/>
      </c>
      <c r="AY124" s="74" t="str">
        <f aca="false">IF(ISBLANK($C124),"",AP124)</f>
        <v/>
      </c>
      <c r="AZ124" s="75" t="str">
        <f aca="false">IF(ISBLANK($C124),"",IF(AY124=Constants!$B$4,COUNTA($C$8:$C$507)+2,IF(AY124=Constants!$B$5,COUNTA($C$8:$C$507)+1,IF(AY124=Constants!$B$6,COUNTA($C$8:$C$507),AY124))))</f>
        <v/>
      </c>
      <c r="BA124" s="5"/>
      <c r="BB124" s="76" t="n">
        <f aca="false">IF(OR(ISNUMBER(AY124),AY124=Constants!$B$4,AY124=Constants!$B$6,AY124=Constants!$B$5),1,0)</f>
        <v>0</v>
      </c>
      <c r="BC124" s="76" t="n">
        <v>117</v>
      </c>
      <c r="BD124" s="76" t="str">
        <f aca="false">IF(ISBLANK($C124),"",IF(ISNUMBER(AZ124),AZ124+ROW($B124)/1000,""))</f>
        <v/>
      </c>
      <c r="BE124" s="76" t="str">
        <f aca="false">IF(ISNUMBER(BD124),RANK(BD124,$BD$8:$BD$507,1),"")</f>
        <v/>
      </c>
      <c r="BF124" s="76" t="str">
        <f aca="false">IF(ISBLANK($C124),"",$B124)</f>
        <v/>
      </c>
      <c r="BG124" s="76" t="str">
        <f aca="false">IF(ISBLANK($C124),"",$C124)</f>
        <v/>
      </c>
      <c r="BH124" s="76" t="str">
        <f aca="false">IF(ISBLANK($C124),"",$D124)</f>
        <v/>
      </c>
      <c r="BI124" s="77" t="str">
        <f aca="false">AW124</f>
        <v/>
      </c>
      <c r="BJ124" s="78" t="str">
        <f aca="false">AV124</f>
        <v/>
      </c>
      <c r="BK124" s="76" t="str">
        <f aca="false">IF(ISBLANK($C124),"",AY124)</f>
        <v/>
      </c>
      <c r="BL124" s="79" t="str">
        <f aca="false">IF($BC124&gt;$BB$7,"",VLOOKUP($BC124,$BE$8:$BK$507,7,FALSE()))</f>
        <v/>
      </c>
      <c r="BM124" s="80" t="str">
        <f aca="false">IF($BC124&gt;$BB$7,"",VLOOKUP($BC124,$BE$8:$BK$507,2,FALSE()))</f>
        <v/>
      </c>
      <c r="BN124" s="80" t="str">
        <f aca="false">IF($BC124&gt;$BB$7,"",VLOOKUP($BC124,$BE$8:$BK$507,3,FALSE()))</f>
        <v/>
      </c>
      <c r="BO124" s="80" t="str">
        <f aca="false">IF($BC124&gt;$BB$7,"",VLOOKUP($BC124,$BE$8:$BK$507,4,FALSE()))</f>
        <v/>
      </c>
      <c r="BP124" s="80" t="str">
        <f aca="false">IF($BC124&gt;$BB$7,"",VLOOKUP($BC124,$BE$8:$BK$507,5,FALSE()))</f>
        <v/>
      </c>
      <c r="BQ124" s="81" t="str">
        <f aca="false">IF($BC124&gt;$BB$7,"",VLOOKUP($BC124,$BE$8:$BK$507,6,FALSE()))</f>
        <v/>
      </c>
      <c r="BR124" s="54"/>
    </row>
    <row r="125" customFormat="false" ht="13.8" hidden="false" customHeight="false" outlineLevel="0" collapsed="false">
      <c r="A125" s="5"/>
      <c r="B125" s="120"/>
      <c r="C125" s="121"/>
      <c r="D125" s="112"/>
      <c r="E125" s="123"/>
      <c r="F125" s="91"/>
      <c r="G125" s="92"/>
      <c r="H125" s="93"/>
      <c r="I125" s="94"/>
      <c r="J125" s="91"/>
      <c r="K125" s="92"/>
      <c r="L125" s="93"/>
      <c r="M125" s="94"/>
      <c r="N125" s="91"/>
      <c r="O125" s="123"/>
      <c r="P125" s="96"/>
      <c r="Q125" s="97" t="str">
        <f aca="false">IF(ISBLANK($C125),"",IF(E125=Constants!$B$2, TRUE(), IF(E125=Constants!$B$3, FALSE(), TRUE())))</f>
        <v/>
      </c>
      <c r="R125" s="97" t="str">
        <f aca="false">IF(ISBLANK($C125),"",IF(F125=Constants!$B$16,Constants!$B$9,IF(F125=Constants!$B$17,Constants!$B$10,Constants!$B$8)))</f>
        <v/>
      </c>
      <c r="S125" s="97" t="str">
        <f aca="false">IF(ISBLANK($C125),"",IF(COUNTA(G125:H125)=0,"",IF(AND(OR(ISBLANK(G125),AND(ISNUMBER(G125),G125&gt;=0)),OR(ISBLANK(H125),AND(ISNUMBER(H125),H125&gt;=0))),60*IF(ISBLANK(G125),0,G125)+IF(ISBLANK(H125),0,H125),"")))</f>
        <v/>
      </c>
      <c r="T125" s="97" t="str">
        <f aca="false">IF(ISBLANK($C125),"",IF(I125=Constants!$B$2, TRUE(), IF(I125=Constants!$B$3, FALSE(), TRUE())))</f>
        <v/>
      </c>
      <c r="U125" s="97" t="str">
        <f aca="false">IF(ISBLANK($C125),"",IF(J125=Constants!$B$2, TRUE(), IF(J125=Constants!$B$3, FALSE(), TRUE())))</f>
        <v/>
      </c>
      <c r="V125" s="97" t="str">
        <f aca="false">IF(ISBLANK($C125),"",IF(COUNTA(K125:L125)=0,"",IF(AND(OR(ISBLANK(K125),AND(ISNUMBER(K125),K125&gt;=0)),OR(ISBLANK(L125),AND(ISNUMBER(L125),L125&gt;=0))),60*IF(ISBLANK(K125),0,K125)+IF(ISBLANK(L125),0,L125),"")))</f>
        <v/>
      </c>
      <c r="W125" s="97" t="str">
        <f aca="false">IF(ISBLANK($C125),"",IF(M125=Constants!$B$2, TRUE(), IF(M125=Constants!$B$3, FALSE(), TRUE())))</f>
        <v/>
      </c>
      <c r="X125" s="97" t="str">
        <f aca="false">IF(ISBLANK($C125),"",IF(N125=Constants!$B$2, TRUE(), IF(N125=Constants!$B$3, FALSE(), TRUE())))</f>
        <v/>
      </c>
      <c r="Y125" s="97" t="str">
        <f aca="false">IF(ISBLANK($C125),"",IF(O125=Constants!$B$2, TRUE(), IF(O125=Constants!$B$3, FALSE(), FALSE())))</f>
        <v/>
      </c>
      <c r="Z125" s="97" t="str">
        <f aca="false">IF(ISBLANK($C125),"",AND(S125&lt;&gt;"",Q125))</f>
        <v/>
      </c>
      <c r="AA125" s="97" t="str">
        <f aca="false">IF(ISBLANK($C125),"",AND(V125&lt;&gt;"",Q125))</f>
        <v/>
      </c>
      <c r="AB125" s="97" t="str">
        <f aca="false">IF(ISBLANK($C125),"",IF(Y125,Constants!$B$4,IF(COUNTA(E125:N125)=0,Constants!$B$5,IF(NOT(Q125),Constants!$B$6,IF(AND(NOT(Z125),NOT(AA125)),Constants!$B$6,Constants!$B$7)))))</f>
        <v/>
      </c>
      <c r="AC125" s="97" t="str">
        <f aca="false">IF(ISBLANK($C125),"",IF($AB125&lt;&gt;Constants!$B$7,$AB125,Constants!$B$20))</f>
        <v/>
      </c>
      <c r="AD125" s="97" t="str">
        <f aca="false">IF($AB125=Constants!$B$7,IF(Z125,S125,Constants!$B$13),"")</f>
        <v/>
      </c>
      <c r="AE125" s="97" t="str">
        <f aca="false">IF($AB125=Constants!$B$7,IF(Z125,R125*IF(T125, 1, Constants!$B$11)*IF(U125, 1, Constants!$B$12),Constants!$B$13),"")</f>
        <v/>
      </c>
      <c r="AF125" s="97" t="str">
        <f aca="false">IF($AB125=Constants!$B$7,AD125*AE125,"")</f>
        <v/>
      </c>
      <c r="AG125" s="97" t="str">
        <f aca="false">IF($AB125=Constants!$B$7,IF(AA125,V125,Constants!$B$13),"")</f>
        <v/>
      </c>
      <c r="AH125" s="97" t="str">
        <f aca="false">IF($AB125=Constants!$B$7,IF(AA125,R125*IF(W125, 1, Constants!$B$11)*IF(X125, 1, Constants!$B$12),Constants!$B$13),"")</f>
        <v/>
      </c>
      <c r="AI125" s="97" t="str">
        <f aca="false">IF($AB125=Constants!$B$7,AG125*AH125,"")</f>
        <v/>
      </c>
      <c r="AJ125" s="97" t="str">
        <f aca="false">IF($AB125=Constants!$B$7,IF(AI125&gt;AF125,2,1),"")</f>
        <v/>
      </c>
      <c r="AK125" s="97" t="str">
        <f aca="false">IF($AB125=Constants!$B$7,IF(AJ125=1,2,1),"")</f>
        <v/>
      </c>
      <c r="AL125" s="97" t="str">
        <f aca="false">IF(ISBLANK($C125),"",IF($AB125&lt;&gt;Constants!$B$7,$AB125,IF(AJ125=1,AF125,AI125)))</f>
        <v/>
      </c>
      <c r="AM125" s="97" t="str">
        <f aca="false">IF(ISBLANK($C125),"",IF($AB125=Constants!$B$7,IF(ISNUMBER(AL125),RANK(AL125,$AL$8:$AL$507),Constants!$B$14),$AB125))</f>
        <v/>
      </c>
      <c r="AN125" s="97" t="str">
        <f aca="false">IF(ISBLANK($C125),"",IF($AB125=Constants!$B$7,IF(AK125=1,AF125,AI125),""))</f>
        <v/>
      </c>
      <c r="AO125" s="97" t="str">
        <f aca="false">IF(ISBLANK($C125),"",IF($AB125=Constants!$B$7,RANK(AN125,$AN$8:$AN$507),$AB125))</f>
        <v/>
      </c>
      <c r="AP125" s="97" t="str">
        <f aca="false">IF(ISBLANK($C125),"",IF($AB125=Constants!$B$7,IF(ISNUMBER(AM125),COUNTIFS($AM$8:$AM$507,"&lt;"&amp;$AM125)+COUNTIFS($AM$8:$AM$507,$AM125,$AO$8:$AO$507,"&lt;"&amp;$AO125)+1,Constants!$B$14),$AB125))</f>
        <v/>
      </c>
      <c r="AQ125" s="97" t="str">
        <f aca="false">IF(ISBLANK($C125),"",IF($AB125=Constants!$B$7,IF(ISNUMBER(AM125),AM125-AP125,Constants!$B$14),$AB125))</f>
        <v/>
      </c>
      <c r="AR125" s="98"/>
      <c r="AS125" s="99" t="str">
        <f aca="false">IF(ISBLANK($C125),"",IF($AB125&lt;&gt;Constants!$B$7,"",AJ125))</f>
        <v/>
      </c>
      <c r="AT125" s="100" t="str">
        <f aca="false">IF(ISBLANK($C125),"",IF($AB125&lt;&gt;Constants!$B$7,"",IF(AJ125=1,AD125,AG125)))</f>
        <v/>
      </c>
      <c r="AU125" s="101" t="str">
        <f aca="false">IF(ISBLANK($C125),"",IF($AB125&lt;&gt;Constants!$B$7,"",IF(AJ125=1,AE125,AH125)))</f>
        <v/>
      </c>
      <c r="AV125" s="102" t="str">
        <f aca="false">IF(ISBLANK($C125),"",IF($AB125&lt;&gt;Constants!$B$7,$AB125,AL125))</f>
        <v/>
      </c>
      <c r="AW125" s="103" t="str">
        <f aca="false">IF(ISBLANK($C125),"",IF($AB125&lt;&gt;Constants!$B$7,$AB125,AC125))</f>
        <v/>
      </c>
      <c r="AX125" s="104" t="str">
        <f aca="false">IF(ISBLANK($C125),"",AQ125)</f>
        <v/>
      </c>
      <c r="AY125" s="104" t="str">
        <f aca="false">IF(ISBLANK($C125),"",AP125)</f>
        <v/>
      </c>
      <c r="AZ125" s="105" t="str">
        <f aca="false">IF(ISBLANK($C125),"",IF(AY125=Constants!$B$4,COUNTA($C$8:$C$507)+2,IF(AY125=Constants!$B$5,COUNTA($C$8:$C$507)+1,IF(AY125=Constants!$B$6,COUNTA($C$8:$C$507),AY125))))</f>
        <v/>
      </c>
      <c r="BA125" s="5"/>
      <c r="BB125" s="106" t="n">
        <f aca="false">IF(OR(ISNUMBER(AY125),AY125=Constants!$B$4,AY125=Constants!$B$6,AY125=Constants!$B$5),1,0)</f>
        <v>0</v>
      </c>
      <c r="BC125" s="106" t="n">
        <v>118</v>
      </c>
      <c r="BD125" s="106" t="str">
        <f aca="false">IF(ISBLANK($C125),"",IF(ISNUMBER(AZ125),AZ125+ROW($B125)/1000,""))</f>
        <v/>
      </c>
      <c r="BE125" s="106" t="str">
        <f aca="false">IF(ISNUMBER(BD125),RANK(BD125,$BD$8:$BD$507,1),"")</f>
        <v/>
      </c>
      <c r="BF125" s="106" t="str">
        <f aca="false">IF(ISBLANK($C125),"",$B125)</f>
        <v/>
      </c>
      <c r="BG125" s="106" t="str">
        <f aca="false">IF(ISBLANK($C125),"",$C125)</f>
        <v/>
      </c>
      <c r="BH125" s="106" t="str">
        <f aca="false">IF(ISBLANK($C125),"",$D125)</f>
        <v/>
      </c>
      <c r="BI125" s="107" t="str">
        <f aca="false">AW125</f>
        <v/>
      </c>
      <c r="BJ125" s="108" t="str">
        <f aca="false">AV125</f>
        <v/>
      </c>
      <c r="BK125" s="106" t="str">
        <f aca="false">IF(ISBLANK($C125),"",AY125)</f>
        <v/>
      </c>
      <c r="BL125" s="109" t="str">
        <f aca="false">IF($BC125&gt;$BB$7,"",VLOOKUP($BC125,$BE$8:$BK$507,7,FALSE()))</f>
        <v/>
      </c>
      <c r="BM125" s="110" t="str">
        <f aca="false">IF($BC125&gt;$BB$7,"",VLOOKUP($BC125,$BE$8:$BK$507,2,FALSE()))</f>
        <v/>
      </c>
      <c r="BN125" s="110" t="str">
        <f aca="false">IF($BC125&gt;$BB$7,"",VLOOKUP($BC125,$BE$8:$BK$507,3,FALSE()))</f>
        <v/>
      </c>
      <c r="BO125" s="110" t="str">
        <f aca="false">IF($BC125&gt;$BB$7,"",VLOOKUP($BC125,$BE$8:$BK$507,4,FALSE()))</f>
        <v/>
      </c>
      <c r="BP125" s="110" t="str">
        <f aca="false">IF($BC125&gt;$BB$7,"",VLOOKUP($BC125,$BE$8:$BK$507,5,FALSE()))</f>
        <v/>
      </c>
      <c r="BQ125" s="111" t="str">
        <f aca="false">IF($BC125&gt;$BB$7,"",VLOOKUP($BC125,$BE$8:$BK$507,6,FALSE()))</f>
        <v/>
      </c>
      <c r="BR125" s="54"/>
    </row>
    <row r="126" customFormat="false" ht="13.8" hidden="false" customHeight="false" outlineLevel="0" collapsed="false">
      <c r="A126" s="5"/>
      <c r="B126" s="120"/>
      <c r="C126" s="121"/>
      <c r="D126" s="112"/>
      <c r="E126" s="123"/>
      <c r="F126" s="91"/>
      <c r="G126" s="92"/>
      <c r="H126" s="93"/>
      <c r="I126" s="94"/>
      <c r="J126" s="91"/>
      <c r="K126" s="92"/>
      <c r="L126" s="93"/>
      <c r="M126" s="94"/>
      <c r="N126" s="91"/>
      <c r="O126" s="123"/>
      <c r="P126" s="96"/>
      <c r="Q126" s="97" t="str">
        <f aca="false">IF(ISBLANK($C126),"",IF(E126=Constants!$B$2, TRUE(), IF(E126=Constants!$B$3, FALSE(), TRUE())))</f>
        <v/>
      </c>
      <c r="R126" s="97" t="str">
        <f aca="false">IF(ISBLANK($C126),"",IF(F126=Constants!$B$16,Constants!$B$9,IF(F126=Constants!$B$17,Constants!$B$10,Constants!$B$8)))</f>
        <v/>
      </c>
      <c r="S126" s="97" t="str">
        <f aca="false">IF(ISBLANK($C126),"",IF(COUNTA(G126:H126)=0,"",IF(AND(OR(ISBLANK(G126),AND(ISNUMBER(G126),G126&gt;=0)),OR(ISBLANK(H126),AND(ISNUMBER(H126),H126&gt;=0))),60*IF(ISBLANK(G126),0,G126)+IF(ISBLANK(H126),0,H126),"")))</f>
        <v/>
      </c>
      <c r="T126" s="97" t="str">
        <f aca="false">IF(ISBLANK($C126),"",IF(I126=Constants!$B$2, TRUE(), IF(I126=Constants!$B$3, FALSE(), TRUE())))</f>
        <v/>
      </c>
      <c r="U126" s="97" t="str">
        <f aca="false">IF(ISBLANK($C126),"",IF(J126=Constants!$B$2, TRUE(), IF(J126=Constants!$B$3, FALSE(), TRUE())))</f>
        <v/>
      </c>
      <c r="V126" s="97" t="str">
        <f aca="false">IF(ISBLANK($C126),"",IF(COUNTA(K126:L126)=0,"",IF(AND(OR(ISBLANK(K126),AND(ISNUMBER(K126),K126&gt;=0)),OR(ISBLANK(L126),AND(ISNUMBER(L126),L126&gt;=0))),60*IF(ISBLANK(K126),0,K126)+IF(ISBLANK(L126),0,L126),"")))</f>
        <v/>
      </c>
      <c r="W126" s="97" t="str">
        <f aca="false">IF(ISBLANK($C126),"",IF(M126=Constants!$B$2, TRUE(), IF(M126=Constants!$B$3, FALSE(), TRUE())))</f>
        <v/>
      </c>
      <c r="X126" s="97" t="str">
        <f aca="false">IF(ISBLANK($C126),"",IF(N126=Constants!$B$2, TRUE(), IF(N126=Constants!$B$3, FALSE(), TRUE())))</f>
        <v/>
      </c>
      <c r="Y126" s="97" t="str">
        <f aca="false">IF(ISBLANK($C126),"",IF(O126=Constants!$B$2, TRUE(), IF(O126=Constants!$B$3, FALSE(), FALSE())))</f>
        <v/>
      </c>
      <c r="Z126" s="97" t="str">
        <f aca="false">IF(ISBLANK($C126),"",AND(S126&lt;&gt;"",Q126))</f>
        <v/>
      </c>
      <c r="AA126" s="97" t="str">
        <f aca="false">IF(ISBLANK($C126),"",AND(V126&lt;&gt;"",Q126))</f>
        <v/>
      </c>
      <c r="AB126" s="97" t="str">
        <f aca="false">IF(ISBLANK($C126),"",IF(Y126,Constants!$B$4,IF(COUNTA(E126:N126)=0,Constants!$B$5,IF(NOT(Q126),Constants!$B$6,IF(AND(NOT(Z126),NOT(AA126)),Constants!$B$6,Constants!$B$7)))))</f>
        <v/>
      </c>
      <c r="AC126" s="97" t="str">
        <f aca="false">IF(ISBLANK($C126),"",IF($AB126&lt;&gt;Constants!$B$7,$AB126,Constants!$B$20))</f>
        <v/>
      </c>
      <c r="AD126" s="97" t="str">
        <f aca="false">IF($AB126=Constants!$B$7,IF(Z126,S126,Constants!$B$13),"")</f>
        <v/>
      </c>
      <c r="AE126" s="97" t="str">
        <f aca="false">IF($AB126=Constants!$B$7,IF(Z126,R126*IF(T126, 1, Constants!$B$11)*IF(U126, 1, Constants!$B$12),Constants!$B$13),"")</f>
        <v/>
      </c>
      <c r="AF126" s="97" t="str">
        <f aca="false">IF($AB126=Constants!$B$7,AD126*AE126,"")</f>
        <v/>
      </c>
      <c r="AG126" s="97" t="str">
        <f aca="false">IF($AB126=Constants!$B$7,IF(AA126,V126,Constants!$B$13),"")</f>
        <v/>
      </c>
      <c r="AH126" s="97" t="str">
        <f aca="false">IF($AB126=Constants!$B$7,IF(AA126,R126*IF(W126, 1, Constants!$B$11)*IF(X126, 1, Constants!$B$12),Constants!$B$13),"")</f>
        <v/>
      </c>
      <c r="AI126" s="97" t="str">
        <f aca="false">IF($AB126=Constants!$B$7,AG126*AH126,"")</f>
        <v/>
      </c>
      <c r="AJ126" s="97" t="str">
        <f aca="false">IF($AB126=Constants!$B$7,IF(AI126&gt;AF126,2,1),"")</f>
        <v/>
      </c>
      <c r="AK126" s="97" t="str">
        <f aca="false">IF($AB126=Constants!$B$7,IF(AJ126=1,2,1),"")</f>
        <v/>
      </c>
      <c r="AL126" s="97" t="str">
        <f aca="false">IF(ISBLANK($C126),"",IF($AB126&lt;&gt;Constants!$B$7,$AB126,IF(AJ126=1,AF126,AI126)))</f>
        <v/>
      </c>
      <c r="AM126" s="97" t="str">
        <f aca="false">IF(ISBLANK($C126),"",IF($AB126=Constants!$B$7,IF(ISNUMBER(AL126),RANK(AL126,$AL$8:$AL$507),Constants!$B$14),$AB126))</f>
        <v/>
      </c>
      <c r="AN126" s="97" t="str">
        <f aca="false">IF(ISBLANK($C126),"",IF($AB126=Constants!$B$7,IF(AK126=1,AF126,AI126),""))</f>
        <v/>
      </c>
      <c r="AO126" s="97" t="str">
        <f aca="false">IF(ISBLANK($C126),"",IF($AB126=Constants!$B$7,RANK(AN126,$AN$8:$AN$507),$AB126))</f>
        <v/>
      </c>
      <c r="AP126" s="97" t="str">
        <f aca="false">IF(ISBLANK($C126),"",IF($AB126=Constants!$B$7,IF(ISNUMBER(AM126),COUNTIFS($AM$8:$AM$507,"&lt;"&amp;$AM126)+COUNTIFS($AM$8:$AM$507,$AM126,$AO$8:$AO$507,"&lt;"&amp;$AO126)+1,Constants!$B$14),$AB126))</f>
        <v/>
      </c>
      <c r="AQ126" s="97" t="str">
        <f aca="false">IF(ISBLANK($C126),"",IF($AB126=Constants!$B$7,IF(ISNUMBER(AM126),AM126-AP126,Constants!$B$14),$AB126))</f>
        <v/>
      </c>
      <c r="AR126" s="98"/>
      <c r="AS126" s="99" t="str">
        <f aca="false">IF(ISBLANK($C126),"",IF($AB126&lt;&gt;Constants!$B$7,"",AJ126))</f>
        <v/>
      </c>
      <c r="AT126" s="100" t="str">
        <f aca="false">IF(ISBLANK($C126),"",IF($AB126&lt;&gt;Constants!$B$7,"",IF(AJ126=1,AD126,AG126)))</f>
        <v/>
      </c>
      <c r="AU126" s="101" t="str">
        <f aca="false">IF(ISBLANK($C126),"",IF($AB126&lt;&gt;Constants!$B$7,"",IF(AJ126=1,AE126,AH126)))</f>
        <v/>
      </c>
      <c r="AV126" s="102" t="str">
        <f aca="false">IF(ISBLANK($C126),"",IF($AB126&lt;&gt;Constants!$B$7,$AB126,AL126))</f>
        <v/>
      </c>
      <c r="AW126" s="103" t="str">
        <f aca="false">IF(ISBLANK($C126),"",IF($AB126&lt;&gt;Constants!$B$7,$AB126,AC126))</f>
        <v/>
      </c>
      <c r="AX126" s="104" t="str">
        <f aca="false">IF(ISBLANK($C126),"",AQ126)</f>
        <v/>
      </c>
      <c r="AY126" s="104" t="str">
        <f aca="false">IF(ISBLANK($C126),"",AP126)</f>
        <v/>
      </c>
      <c r="AZ126" s="105" t="str">
        <f aca="false">IF(ISBLANK($C126),"",IF(AY126=Constants!$B$4,COUNTA($C$8:$C$507)+2,IF(AY126=Constants!$B$5,COUNTA($C$8:$C$507)+1,IF(AY126=Constants!$B$6,COUNTA($C$8:$C$507),AY126))))</f>
        <v/>
      </c>
      <c r="BA126" s="5"/>
      <c r="BB126" s="106" t="n">
        <f aca="false">IF(OR(ISNUMBER(AY126),AY126=Constants!$B$4,AY126=Constants!$B$6,AY126=Constants!$B$5),1,0)</f>
        <v>0</v>
      </c>
      <c r="BC126" s="106" t="n">
        <v>119</v>
      </c>
      <c r="BD126" s="106" t="str">
        <f aca="false">IF(ISBLANK($C126),"",IF(ISNUMBER(AZ126),AZ126+ROW($B126)/1000,""))</f>
        <v/>
      </c>
      <c r="BE126" s="106" t="str">
        <f aca="false">IF(ISNUMBER(BD126),RANK(BD126,$BD$8:$BD$507,1),"")</f>
        <v/>
      </c>
      <c r="BF126" s="106" t="str">
        <f aca="false">IF(ISBLANK($C126),"",$B126)</f>
        <v/>
      </c>
      <c r="BG126" s="106" t="str">
        <f aca="false">IF(ISBLANK($C126),"",$C126)</f>
        <v/>
      </c>
      <c r="BH126" s="106" t="str">
        <f aca="false">IF(ISBLANK($C126),"",$D126)</f>
        <v/>
      </c>
      <c r="BI126" s="107" t="str">
        <f aca="false">AW126</f>
        <v/>
      </c>
      <c r="BJ126" s="108" t="str">
        <f aca="false">AV126</f>
        <v/>
      </c>
      <c r="BK126" s="106" t="str">
        <f aca="false">IF(ISBLANK($C126),"",AY126)</f>
        <v/>
      </c>
      <c r="BL126" s="109" t="str">
        <f aca="false">IF($BC126&gt;$BB$7,"",VLOOKUP($BC126,$BE$8:$BK$507,7,FALSE()))</f>
        <v/>
      </c>
      <c r="BM126" s="110" t="str">
        <f aca="false">IF($BC126&gt;$BB$7,"",VLOOKUP($BC126,$BE$8:$BK$507,2,FALSE()))</f>
        <v/>
      </c>
      <c r="BN126" s="110" t="str">
        <f aca="false">IF($BC126&gt;$BB$7,"",VLOOKUP($BC126,$BE$8:$BK$507,3,FALSE()))</f>
        <v/>
      </c>
      <c r="BO126" s="110" t="str">
        <f aca="false">IF($BC126&gt;$BB$7,"",VLOOKUP($BC126,$BE$8:$BK$507,4,FALSE()))</f>
        <v/>
      </c>
      <c r="BP126" s="110" t="str">
        <f aca="false">IF($BC126&gt;$BB$7,"",VLOOKUP($BC126,$BE$8:$BK$507,5,FALSE()))</f>
        <v/>
      </c>
      <c r="BQ126" s="111" t="str">
        <f aca="false">IF($BC126&gt;$BB$7,"",VLOOKUP($BC126,$BE$8:$BK$507,6,FALSE()))</f>
        <v/>
      </c>
      <c r="BR126" s="54"/>
    </row>
    <row r="127" customFormat="false" ht="13.8" hidden="false" customHeight="false" outlineLevel="0" collapsed="false">
      <c r="A127" s="5"/>
      <c r="B127" s="120"/>
      <c r="C127" s="121"/>
      <c r="D127" s="112"/>
      <c r="E127" s="123"/>
      <c r="F127" s="91"/>
      <c r="G127" s="92"/>
      <c r="H127" s="93"/>
      <c r="I127" s="94"/>
      <c r="J127" s="91"/>
      <c r="K127" s="92"/>
      <c r="L127" s="93"/>
      <c r="M127" s="94"/>
      <c r="N127" s="91"/>
      <c r="O127" s="123"/>
      <c r="P127" s="96"/>
      <c r="Q127" s="97" t="str">
        <f aca="false">IF(ISBLANK($C127),"",IF(E127=Constants!$B$2, TRUE(), IF(E127=Constants!$B$3, FALSE(), TRUE())))</f>
        <v/>
      </c>
      <c r="R127" s="97" t="str">
        <f aca="false">IF(ISBLANK($C127),"",IF(F127=Constants!$B$16,Constants!$B$9,IF(F127=Constants!$B$17,Constants!$B$10,Constants!$B$8)))</f>
        <v/>
      </c>
      <c r="S127" s="97" t="str">
        <f aca="false">IF(ISBLANK($C127),"",IF(COUNTA(G127:H127)=0,"",IF(AND(OR(ISBLANK(G127),AND(ISNUMBER(G127),G127&gt;=0)),OR(ISBLANK(H127),AND(ISNUMBER(H127),H127&gt;=0))),60*IF(ISBLANK(G127),0,G127)+IF(ISBLANK(H127),0,H127),"")))</f>
        <v/>
      </c>
      <c r="T127" s="97" t="str">
        <f aca="false">IF(ISBLANK($C127),"",IF(I127=Constants!$B$2, TRUE(), IF(I127=Constants!$B$3, FALSE(), TRUE())))</f>
        <v/>
      </c>
      <c r="U127" s="97" t="str">
        <f aca="false">IF(ISBLANK($C127),"",IF(J127=Constants!$B$2, TRUE(), IF(J127=Constants!$B$3, FALSE(), TRUE())))</f>
        <v/>
      </c>
      <c r="V127" s="97" t="str">
        <f aca="false">IF(ISBLANK($C127),"",IF(COUNTA(K127:L127)=0,"",IF(AND(OR(ISBLANK(K127),AND(ISNUMBER(K127),K127&gt;=0)),OR(ISBLANK(L127),AND(ISNUMBER(L127),L127&gt;=0))),60*IF(ISBLANK(K127),0,K127)+IF(ISBLANK(L127),0,L127),"")))</f>
        <v/>
      </c>
      <c r="W127" s="97" t="str">
        <f aca="false">IF(ISBLANK($C127),"",IF(M127=Constants!$B$2, TRUE(), IF(M127=Constants!$B$3, FALSE(), TRUE())))</f>
        <v/>
      </c>
      <c r="X127" s="97" t="str">
        <f aca="false">IF(ISBLANK($C127),"",IF(N127=Constants!$B$2, TRUE(), IF(N127=Constants!$B$3, FALSE(), TRUE())))</f>
        <v/>
      </c>
      <c r="Y127" s="97" t="str">
        <f aca="false">IF(ISBLANK($C127),"",IF(O127=Constants!$B$2, TRUE(), IF(O127=Constants!$B$3, FALSE(), FALSE())))</f>
        <v/>
      </c>
      <c r="Z127" s="97" t="str">
        <f aca="false">IF(ISBLANK($C127),"",AND(S127&lt;&gt;"",Q127))</f>
        <v/>
      </c>
      <c r="AA127" s="97" t="str">
        <f aca="false">IF(ISBLANK($C127),"",AND(V127&lt;&gt;"",Q127))</f>
        <v/>
      </c>
      <c r="AB127" s="97" t="str">
        <f aca="false">IF(ISBLANK($C127),"",IF(Y127,Constants!$B$4,IF(COUNTA(E127:N127)=0,Constants!$B$5,IF(NOT(Q127),Constants!$B$6,IF(AND(NOT(Z127),NOT(AA127)),Constants!$B$6,Constants!$B$7)))))</f>
        <v/>
      </c>
      <c r="AC127" s="97" t="str">
        <f aca="false">IF(ISBLANK($C127),"",IF($AB127&lt;&gt;Constants!$B$7,$AB127,Constants!$B$20))</f>
        <v/>
      </c>
      <c r="AD127" s="97" t="str">
        <f aca="false">IF($AB127=Constants!$B$7,IF(Z127,S127,Constants!$B$13),"")</f>
        <v/>
      </c>
      <c r="AE127" s="97" t="str">
        <f aca="false">IF($AB127=Constants!$B$7,IF(Z127,R127*IF(T127, 1, Constants!$B$11)*IF(U127, 1, Constants!$B$12),Constants!$B$13),"")</f>
        <v/>
      </c>
      <c r="AF127" s="97" t="str">
        <f aca="false">IF($AB127=Constants!$B$7,AD127*AE127,"")</f>
        <v/>
      </c>
      <c r="AG127" s="97" t="str">
        <f aca="false">IF($AB127=Constants!$B$7,IF(AA127,V127,Constants!$B$13),"")</f>
        <v/>
      </c>
      <c r="AH127" s="97" t="str">
        <f aca="false">IF($AB127=Constants!$B$7,IF(AA127,R127*IF(W127, 1, Constants!$B$11)*IF(X127, 1, Constants!$B$12),Constants!$B$13),"")</f>
        <v/>
      </c>
      <c r="AI127" s="97" t="str">
        <f aca="false">IF($AB127=Constants!$B$7,AG127*AH127,"")</f>
        <v/>
      </c>
      <c r="AJ127" s="97" t="str">
        <f aca="false">IF($AB127=Constants!$B$7,IF(AI127&gt;AF127,2,1),"")</f>
        <v/>
      </c>
      <c r="AK127" s="97" t="str">
        <f aca="false">IF($AB127=Constants!$B$7,IF(AJ127=1,2,1),"")</f>
        <v/>
      </c>
      <c r="AL127" s="97" t="str">
        <f aca="false">IF(ISBLANK($C127),"",IF($AB127&lt;&gt;Constants!$B$7,$AB127,IF(AJ127=1,AF127,AI127)))</f>
        <v/>
      </c>
      <c r="AM127" s="97" t="str">
        <f aca="false">IF(ISBLANK($C127),"",IF($AB127=Constants!$B$7,IF(ISNUMBER(AL127),RANK(AL127,$AL$8:$AL$507),Constants!$B$14),$AB127))</f>
        <v/>
      </c>
      <c r="AN127" s="97" t="str">
        <f aca="false">IF(ISBLANK($C127),"",IF($AB127=Constants!$B$7,IF(AK127=1,AF127,AI127),""))</f>
        <v/>
      </c>
      <c r="AO127" s="97" t="str">
        <f aca="false">IF(ISBLANK($C127),"",IF($AB127=Constants!$B$7,RANK(AN127,$AN$8:$AN$507),$AB127))</f>
        <v/>
      </c>
      <c r="AP127" s="97" t="str">
        <f aca="false">IF(ISBLANK($C127),"",IF($AB127=Constants!$B$7,IF(ISNUMBER(AM127),COUNTIFS($AM$8:$AM$507,"&lt;"&amp;$AM127)+COUNTIFS($AM$8:$AM$507,$AM127,$AO$8:$AO$507,"&lt;"&amp;$AO127)+1,Constants!$B$14),$AB127))</f>
        <v/>
      </c>
      <c r="AQ127" s="97" t="str">
        <f aca="false">IF(ISBLANK($C127),"",IF($AB127=Constants!$B$7,IF(ISNUMBER(AM127),AM127-AP127,Constants!$B$14),$AB127))</f>
        <v/>
      </c>
      <c r="AR127" s="98"/>
      <c r="AS127" s="99" t="str">
        <f aca="false">IF(ISBLANK($C127),"",IF($AB127&lt;&gt;Constants!$B$7,"",AJ127))</f>
        <v/>
      </c>
      <c r="AT127" s="100" t="str">
        <f aca="false">IF(ISBLANK($C127),"",IF($AB127&lt;&gt;Constants!$B$7,"",IF(AJ127=1,AD127,AG127)))</f>
        <v/>
      </c>
      <c r="AU127" s="101" t="str">
        <f aca="false">IF(ISBLANK($C127),"",IF($AB127&lt;&gt;Constants!$B$7,"",IF(AJ127=1,AE127,AH127)))</f>
        <v/>
      </c>
      <c r="AV127" s="102" t="str">
        <f aca="false">IF(ISBLANK($C127),"",IF($AB127&lt;&gt;Constants!$B$7,$AB127,AL127))</f>
        <v/>
      </c>
      <c r="AW127" s="103" t="str">
        <f aca="false">IF(ISBLANK($C127),"",IF($AB127&lt;&gt;Constants!$B$7,$AB127,AC127))</f>
        <v/>
      </c>
      <c r="AX127" s="104" t="str">
        <f aca="false">IF(ISBLANK($C127),"",AQ127)</f>
        <v/>
      </c>
      <c r="AY127" s="104" t="str">
        <f aca="false">IF(ISBLANK($C127),"",AP127)</f>
        <v/>
      </c>
      <c r="AZ127" s="105" t="str">
        <f aca="false">IF(ISBLANK($C127),"",IF(AY127=Constants!$B$4,COUNTA($C$8:$C$507)+2,IF(AY127=Constants!$B$5,COUNTA($C$8:$C$507)+1,IF(AY127=Constants!$B$6,COUNTA($C$8:$C$507),AY127))))</f>
        <v/>
      </c>
      <c r="BA127" s="5"/>
      <c r="BB127" s="106" t="n">
        <f aca="false">IF(OR(ISNUMBER(AY127),AY127=Constants!$B$4,AY127=Constants!$B$6,AY127=Constants!$B$5),1,0)</f>
        <v>0</v>
      </c>
      <c r="BC127" s="106" t="n">
        <v>120</v>
      </c>
      <c r="BD127" s="106" t="str">
        <f aca="false">IF(ISBLANK($C127),"",IF(ISNUMBER(AZ127),AZ127+ROW($B127)/1000,""))</f>
        <v/>
      </c>
      <c r="BE127" s="106" t="str">
        <f aca="false">IF(ISNUMBER(BD127),RANK(BD127,$BD$8:$BD$507,1),"")</f>
        <v/>
      </c>
      <c r="BF127" s="106" t="str">
        <f aca="false">IF(ISBLANK($C127),"",$B127)</f>
        <v/>
      </c>
      <c r="BG127" s="106" t="str">
        <f aca="false">IF(ISBLANK($C127),"",$C127)</f>
        <v/>
      </c>
      <c r="BH127" s="106" t="str">
        <f aca="false">IF(ISBLANK($C127),"",$D127)</f>
        <v/>
      </c>
      <c r="BI127" s="107" t="str">
        <f aca="false">AW127</f>
        <v/>
      </c>
      <c r="BJ127" s="108" t="str">
        <f aca="false">AV127</f>
        <v/>
      </c>
      <c r="BK127" s="106" t="str">
        <f aca="false">IF(ISBLANK($C127),"",AY127)</f>
        <v/>
      </c>
      <c r="BL127" s="109" t="str">
        <f aca="false">IF($BC127&gt;$BB$7,"",VLOOKUP($BC127,$BE$8:$BK$507,7,FALSE()))</f>
        <v/>
      </c>
      <c r="BM127" s="110" t="str">
        <f aca="false">IF($BC127&gt;$BB$7,"",VLOOKUP($BC127,$BE$8:$BK$507,2,FALSE()))</f>
        <v/>
      </c>
      <c r="BN127" s="110" t="str">
        <f aca="false">IF($BC127&gt;$BB$7,"",VLOOKUP($BC127,$BE$8:$BK$507,3,FALSE()))</f>
        <v/>
      </c>
      <c r="BO127" s="110" t="str">
        <f aca="false">IF($BC127&gt;$BB$7,"",VLOOKUP($BC127,$BE$8:$BK$507,4,FALSE()))</f>
        <v/>
      </c>
      <c r="BP127" s="110" t="str">
        <f aca="false">IF($BC127&gt;$BB$7,"",VLOOKUP($BC127,$BE$8:$BK$507,5,FALSE()))</f>
        <v/>
      </c>
      <c r="BQ127" s="111" t="str">
        <f aca="false">IF($BC127&gt;$BB$7,"",VLOOKUP($BC127,$BE$8:$BK$507,6,FALSE()))</f>
        <v/>
      </c>
      <c r="BR127" s="54"/>
    </row>
    <row r="128" customFormat="false" ht="13.8" hidden="false" customHeight="false" outlineLevel="0" collapsed="false">
      <c r="A128" s="5"/>
      <c r="B128" s="124"/>
      <c r="C128" s="56"/>
      <c r="D128" s="57"/>
      <c r="E128" s="83"/>
      <c r="F128" s="59"/>
      <c r="G128" s="60"/>
      <c r="H128" s="61"/>
      <c r="I128" s="62"/>
      <c r="J128" s="59"/>
      <c r="K128" s="60"/>
      <c r="L128" s="61"/>
      <c r="M128" s="62"/>
      <c r="N128" s="59"/>
      <c r="O128" s="83"/>
      <c r="P128" s="64"/>
      <c r="Q128" s="66" t="str">
        <f aca="false">IF(ISBLANK($C128),"",IF(E128=Constants!$B$2, TRUE(), IF(E128=Constants!$B$3, FALSE(), TRUE())))</f>
        <v/>
      </c>
      <c r="R128" s="66" t="str">
        <f aca="false">IF(ISBLANK($C128),"",IF(F128=Constants!$B$16,Constants!$B$9,IF(F128=Constants!$B$17,Constants!$B$10,Constants!$B$8)))</f>
        <v/>
      </c>
      <c r="S128" s="66" t="str">
        <f aca="false">IF(ISBLANK($C128),"",IF(COUNTA(G128:H128)=0,"",IF(AND(OR(ISBLANK(G128),AND(ISNUMBER(G128),G128&gt;=0)),OR(ISBLANK(H128),AND(ISNUMBER(H128),H128&gt;=0))),60*IF(ISBLANK(G128),0,G128)+IF(ISBLANK(H128),0,H128),"")))</f>
        <v/>
      </c>
      <c r="T128" s="66" t="str">
        <f aca="false">IF(ISBLANK($C128),"",IF(I128=Constants!$B$2, TRUE(), IF(I128=Constants!$B$3, FALSE(), TRUE())))</f>
        <v/>
      </c>
      <c r="U128" s="66" t="str">
        <f aca="false">IF(ISBLANK($C128),"",IF(J128=Constants!$B$2, TRUE(), IF(J128=Constants!$B$3, FALSE(), TRUE())))</f>
        <v/>
      </c>
      <c r="V128" s="66" t="str">
        <f aca="false">IF(ISBLANK($C128),"",IF(COUNTA(K128:L128)=0,"",IF(AND(OR(ISBLANK(K128),AND(ISNUMBER(K128),K128&gt;=0)),OR(ISBLANK(L128),AND(ISNUMBER(L128),L128&gt;=0))),60*IF(ISBLANK(K128),0,K128)+IF(ISBLANK(L128),0,L128),"")))</f>
        <v/>
      </c>
      <c r="W128" s="66" t="str">
        <f aca="false">IF(ISBLANK($C128),"",IF(M128=Constants!$B$2, TRUE(), IF(M128=Constants!$B$3, FALSE(), TRUE())))</f>
        <v/>
      </c>
      <c r="X128" s="66" t="str">
        <f aca="false">IF(ISBLANK($C128),"",IF(N128=Constants!$B$2, TRUE(), IF(N128=Constants!$B$3, FALSE(), TRUE())))</f>
        <v/>
      </c>
      <c r="Y128" s="66" t="str">
        <f aca="false">IF(ISBLANK($C128),"",IF(O128=Constants!$B$2, TRUE(), IF(O128=Constants!$B$3, FALSE(), FALSE())))</f>
        <v/>
      </c>
      <c r="Z128" s="66" t="str">
        <f aca="false">IF(ISBLANK($C128),"",AND(S128&lt;&gt;"",Q128))</f>
        <v/>
      </c>
      <c r="AA128" s="66" t="str">
        <f aca="false">IF(ISBLANK($C128),"",AND(V128&lt;&gt;"",Q128))</f>
        <v/>
      </c>
      <c r="AB128" s="66" t="str">
        <f aca="false">IF(ISBLANK($C128),"",IF(Y128,Constants!$B$4,IF(COUNTA(E128:N128)=0,Constants!$B$5,IF(NOT(Q128),Constants!$B$6,IF(AND(NOT(Z128),NOT(AA128)),Constants!$B$6,Constants!$B$7)))))</f>
        <v/>
      </c>
      <c r="AC128" s="66" t="str">
        <f aca="false">IF(ISBLANK($C128),"",IF($AB128&lt;&gt;Constants!$B$7,$AB128,Constants!$B$20))</f>
        <v/>
      </c>
      <c r="AD128" s="66" t="str">
        <f aca="false">IF($AB128=Constants!$B$7,IF(Z128,S128,Constants!$B$13),"")</f>
        <v/>
      </c>
      <c r="AE128" s="66" t="str">
        <f aca="false">IF($AB128=Constants!$B$7,IF(Z128,R128*IF(T128, 1, Constants!$B$11)*IF(U128, 1, Constants!$B$12),Constants!$B$13),"")</f>
        <v/>
      </c>
      <c r="AF128" s="66" t="str">
        <f aca="false">IF($AB128=Constants!$B$7,AD128*AE128,"")</f>
        <v/>
      </c>
      <c r="AG128" s="66" t="str">
        <f aca="false">IF($AB128=Constants!$B$7,IF(AA128,V128,Constants!$B$13),"")</f>
        <v/>
      </c>
      <c r="AH128" s="66" t="str">
        <f aca="false">IF($AB128=Constants!$B$7,IF(AA128,R128*IF(W128, 1, Constants!$B$11)*IF(X128, 1, Constants!$B$12),Constants!$B$13),"")</f>
        <v/>
      </c>
      <c r="AI128" s="66" t="str">
        <f aca="false">IF($AB128=Constants!$B$7,AG128*AH128,"")</f>
        <v/>
      </c>
      <c r="AJ128" s="66" t="str">
        <f aca="false">IF($AB128=Constants!$B$7,IF(AI128&gt;AF128,2,1),"")</f>
        <v/>
      </c>
      <c r="AK128" s="66" t="str">
        <f aca="false">IF($AB128=Constants!$B$7,IF(AJ128=1,2,1),"")</f>
        <v/>
      </c>
      <c r="AL128" s="66" t="str">
        <f aca="false">IF(ISBLANK($C128),"",IF($AB128&lt;&gt;Constants!$B$7,$AB128,IF(AJ128=1,AF128,AI128)))</f>
        <v/>
      </c>
      <c r="AM128" s="66" t="str">
        <f aca="false">IF(ISBLANK($C128),"",IF($AB128=Constants!$B$7,IF(ISNUMBER(AL128),RANK(AL128,$AL$8:$AL$507),Constants!$B$14),$AB128))</f>
        <v/>
      </c>
      <c r="AN128" s="66" t="str">
        <f aca="false">IF(ISBLANK($C128),"",IF($AB128=Constants!$B$7,IF(AK128=1,AF128,AI128),""))</f>
        <v/>
      </c>
      <c r="AO128" s="66" t="str">
        <f aca="false">IF(ISBLANK($C128),"",IF($AB128=Constants!$B$7,RANK(AN128,$AN$8:$AN$507),$AB128))</f>
        <v/>
      </c>
      <c r="AP128" s="66" t="str">
        <f aca="false">IF(ISBLANK($C128),"",IF($AB128=Constants!$B$7,IF(ISNUMBER(AM128),COUNTIFS($AM$8:$AM$507,"&lt;"&amp;$AM128)+COUNTIFS($AM$8:$AM$507,$AM128,$AO$8:$AO$507,"&lt;"&amp;$AO128)+1,Constants!$B$14),$AB128))</f>
        <v/>
      </c>
      <c r="AQ128" s="66" t="str">
        <f aca="false">IF(ISBLANK($C128),"",IF($AB128=Constants!$B$7,IF(ISNUMBER(AM128),AM128-AP128,Constants!$B$14),$AB128))</f>
        <v/>
      </c>
      <c r="AR128" s="68"/>
      <c r="AS128" s="69" t="str">
        <f aca="false">IF(ISBLANK($C128),"",IF($AB128&lt;&gt;Constants!$B$7,"",AJ128))</f>
        <v/>
      </c>
      <c r="AT128" s="84" t="str">
        <f aca="false">IF(ISBLANK($C128),"",IF($AB128&lt;&gt;Constants!$B$7,"",IF(AJ128=1,AD128,AG128)))</f>
        <v/>
      </c>
      <c r="AU128" s="71" t="str">
        <f aca="false">IF(ISBLANK($C128),"",IF($AB128&lt;&gt;Constants!$B$7,"",IF(AJ128=1,AE128,AH128)))</f>
        <v/>
      </c>
      <c r="AV128" s="72" t="str">
        <f aca="false">IF(ISBLANK($C128),"",IF($AB128&lt;&gt;Constants!$B$7,$AB128,AL128))</f>
        <v/>
      </c>
      <c r="AW128" s="73" t="str">
        <f aca="false">IF(ISBLANK($C128),"",IF($AB128&lt;&gt;Constants!$B$7,$AB128,AC128))</f>
        <v/>
      </c>
      <c r="AX128" s="74" t="str">
        <f aca="false">IF(ISBLANK($C128),"",AQ128)</f>
        <v/>
      </c>
      <c r="AY128" s="74" t="str">
        <f aca="false">IF(ISBLANK($C128),"",AP128)</f>
        <v/>
      </c>
      <c r="AZ128" s="75" t="str">
        <f aca="false">IF(ISBLANK($C128),"",IF(AY128=Constants!$B$4,COUNTA($C$8:$C$507)+2,IF(AY128=Constants!$B$5,COUNTA($C$8:$C$507)+1,IF(AY128=Constants!$B$6,COUNTA($C$8:$C$507),AY128))))</f>
        <v/>
      </c>
      <c r="BA128" s="5"/>
      <c r="BB128" s="76" t="n">
        <f aca="false">IF(OR(ISNUMBER(AY128),AY128=Constants!$B$4,AY128=Constants!$B$6,AY128=Constants!$B$5),1,0)</f>
        <v>0</v>
      </c>
      <c r="BC128" s="76" t="n">
        <v>121</v>
      </c>
      <c r="BD128" s="76" t="str">
        <f aca="false">IF(ISBLANK($C128),"",IF(ISNUMBER(AZ128),AZ128+ROW($B128)/1000,""))</f>
        <v/>
      </c>
      <c r="BE128" s="76" t="str">
        <f aca="false">IF(ISNUMBER(BD128),RANK(BD128,$BD$8:$BD$507,1),"")</f>
        <v/>
      </c>
      <c r="BF128" s="76" t="str">
        <f aca="false">IF(ISBLANK($C128),"",$B128)</f>
        <v/>
      </c>
      <c r="BG128" s="76" t="str">
        <f aca="false">IF(ISBLANK($C128),"",$C128)</f>
        <v/>
      </c>
      <c r="BH128" s="76" t="str">
        <f aca="false">IF(ISBLANK($C128),"",$D128)</f>
        <v/>
      </c>
      <c r="BI128" s="77" t="str">
        <f aca="false">AW128</f>
        <v/>
      </c>
      <c r="BJ128" s="78" t="str">
        <f aca="false">AV128</f>
        <v/>
      </c>
      <c r="BK128" s="76" t="str">
        <f aca="false">IF(ISBLANK($C128),"",AY128)</f>
        <v/>
      </c>
      <c r="BL128" s="79" t="str">
        <f aca="false">IF($BC128&gt;$BB$7,"",VLOOKUP($BC128,$BE$8:$BK$507,7,FALSE()))</f>
        <v/>
      </c>
      <c r="BM128" s="80" t="str">
        <f aca="false">IF($BC128&gt;$BB$7,"",VLOOKUP($BC128,$BE$8:$BK$507,2,FALSE()))</f>
        <v/>
      </c>
      <c r="BN128" s="80" t="str">
        <f aca="false">IF($BC128&gt;$BB$7,"",VLOOKUP($BC128,$BE$8:$BK$507,3,FALSE()))</f>
        <v/>
      </c>
      <c r="BO128" s="80" t="str">
        <f aca="false">IF($BC128&gt;$BB$7,"",VLOOKUP($BC128,$BE$8:$BK$507,4,FALSE()))</f>
        <v/>
      </c>
      <c r="BP128" s="80" t="str">
        <f aca="false">IF($BC128&gt;$BB$7,"",VLOOKUP($BC128,$BE$8:$BK$507,5,FALSE()))</f>
        <v/>
      </c>
      <c r="BQ128" s="81" t="str">
        <f aca="false">IF($BC128&gt;$BB$7,"",VLOOKUP($BC128,$BE$8:$BK$507,6,FALSE()))</f>
        <v/>
      </c>
      <c r="BR128" s="54"/>
    </row>
    <row r="129" customFormat="false" ht="13.8" hidden="false" customHeight="false" outlineLevel="0" collapsed="false">
      <c r="A129" s="5"/>
      <c r="B129" s="124"/>
      <c r="C129" s="56"/>
      <c r="D129" s="57"/>
      <c r="E129" s="83"/>
      <c r="F129" s="59"/>
      <c r="G129" s="60"/>
      <c r="H129" s="61"/>
      <c r="I129" s="62"/>
      <c r="J129" s="59"/>
      <c r="K129" s="60"/>
      <c r="L129" s="61"/>
      <c r="M129" s="62"/>
      <c r="N129" s="59"/>
      <c r="O129" s="83"/>
      <c r="P129" s="64"/>
      <c r="Q129" s="66" t="str">
        <f aca="false">IF(ISBLANK($C129),"",IF(E129=Constants!$B$2, TRUE(), IF(E129=Constants!$B$3, FALSE(), TRUE())))</f>
        <v/>
      </c>
      <c r="R129" s="66" t="str">
        <f aca="false">IF(ISBLANK($C129),"",IF(F129=Constants!$B$16,Constants!$B$9,IF(F129=Constants!$B$17,Constants!$B$10,Constants!$B$8)))</f>
        <v/>
      </c>
      <c r="S129" s="66" t="str">
        <f aca="false">IF(ISBLANK($C129),"",IF(COUNTA(G129:H129)=0,"",IF(AND(OR(ISBLANK(G129),AND(ISNUMBER(G129),G129&gt;=0)),OR(ISBLANK(H129),AND(ISNUMBER(H129),H129&gt;=0))),60*IF(ISBLANK(G129),0,G129)+IF(ISBLANK(H129),0,H129),"")))</f>
        <v/>
      </c>
      <c r="T129" s="66" t="str">
        <f aca="false">IF(ISBLANK($C129),"",IF(I129=Constants!$B$2, TRUE(), IF(I129=Constants!$B$3, FALSE(), TRUE())))</f>
        <v/>
      </c>
      <c r="U129" s="66" t="str">
        <f aca="false">IF(ISBLANK($C129),"",IF(J129=Constants!$B$2, TRUE(), IF(J129=Constants!$B$3, FALSE(), TRUE())))</f>
        <v/>
      </c>
      <c r="V129" s="66" t="str">
        <f aca="false">IF(ISBLANK($C129),"",IF(COUNTA(K129:L129)=0,"",IF(AND(OR(ISBLANK(K129),AND(ISNUMBER(K129),K129&gt;=0)),OR(ISBLANK(L129),AND(ISNUMBER(L129),L129&gt;=0))),60*IF(ISBLANK(K129),0,K129)+IF(ISBLANK(L129),0,L129),"")))</f>
        <v/>
      </c>
      <c r="W129" s="66" t="str">
        <f aca="false">IF(ISBLANK($C129),"",IF(M129=Constants!$B$2, TRUE(), IF(M129=Constants!$B$3, FALSE(), TRUE())))</f>
        <v/>
      </c>
      <c r="X129" s="66" t="str">
        <f aca="false">IF(ISBLANK($C129),"",IF(N129=Constants!$B$2, TRUE(), IF(N129=Constants!$B$3, FALSE(), TRUE())))</f>
        <v/>
      </c>
      <c r="Y129" s="66" t="str">
        <f aca="false">IF(ISBLANK($C129),"",IF(O129=Constants!$B$2, TRUE(), IF(O129=Constants!$B$3, FALSE(), FALSE())))</f>
        <v/>
      </c>
      <c r="Z129" s="66" t="str">
        <f aca="false">IF(ISBLANK($C129),"",AND(S129&lt;&gt;"",Q129))</f>
        <v/>
      </c>
      <c r="AA129" s="66" t="str">
        <f aca="false">IF(ISBLANK($C129),"",AND(V129&lt;&gt;"",Q129))</f>
        <v/>
      </c>
      <c r="AB129" s="66" t="str">
        <f aca="false">IF(ISBLANK($C129),"",IF(Y129,Constants!$B$4,IF(COUNTA(E129:N129)=0,Constants!$B$5,IF(NOT(Q129),Constants!$B$6,IF(AND(NOT(Z129),NOT(AA129)),Constants!$B$6,Constants!$B$7)))))</f>
        <v/>
      </c>
      <c r="AC129" s="66" t="str">
        <f aca="false">IF(ISBLANK($C129),"",IF($AB129&lt;&gt;Constants!$B$7,$AB129,Constants!$B$20))</f>
        <v/>
      </c>
      <c r="AD129" s="66" t="str">
        <f aca="false">IF($AB129=Constants!$B$7,IF(Z129,S129,Constants!$B$13),"")</f>
        <v/>
      </c>
      <c r="AE129" s="66" t="str">
        <f aca="false">IF($AB129=Constants!$B$7,IF(Z129,R129*IF(T129, 1, Constants!$B$11)*IF(U129, 1, Constants!$B$12),Constants!$B$13),"")</f>
        <v/>
      </c>
      <c r="AF129" s="66" t="str">
        <f aca="false">IF($AB129=Constants!$B$7,AD129*AE129,"")</f>
        <v/>
      </c>
      <c r="AG129" s="66" t="str">
        <f aca="false">IF($AB129=Constants!$B$7,IF(AA129,V129,Constants!$B$13),"")</f>
        <v/>
      </c>
      <c r="AH129" s="66" t="str">
        <f aca="false">IF($AB129=Constants!$B$7,IF(AA129,R129*IF(W129, 1, Constants!$B$11)*IF(X129, 1, Constants!$B$12),Constants!$B$13),"")</f>
        <v/>
      </c>
      <c r="AI129" s="66" t="str">
        <f aca="false">IF($AB129=Constants!$B$7,AG129*AH129,"")</f>
        <v/>
      </c>
      <c r="AJ129" s="66" t="str">
        <f aca="false">IF($AB129=Constants!$B$7,IF(AI129&gt;AF129,2,1),"")</f>
        <v/>
      </c>
      <c r="AK129" s="66" t="str">
        <f aca="false">IF($AB129=Constants!$B$7,IF(AJ129=1,2,1),"")</f>
        <v/>
      </c>
      <c r="AL129" s="66" t="str">
        <f aca="false">IF(ISBLANK($C129),"",IF($AB129&lt;&gt;Constants!$B$7,$AB129,IF(AJ129=1,AF129,AI129)))</f>
        <v/>
      </c>
      <c r="AM129" s="66" t="str">
        <f aca="false">IF(ISBLANK($C129),"",IF($AB129=Constants!$B$7,IF(ISNUMBER(AL129),RANK(AL129,$AL$8:$AL$507),Constants!$B$14),$AB129))</f>
        <v/>
      </c>
      <c r="AN129" s="66" t="str">
        <f aca="false">IF(ISBLANK($C129),"",IF($AB129=Constants!$B$7,IF(AK129=1,AF129,AI129),""))</f>
        <v/>
      </c>
      <c r="AO129" s="66" t="str">
        <f aca="false">IF(ISBLANK($C129),"",IF($AB129=Constants!$B$7,RANK(AN129,$AN$8:$AN$507),$AB129))</f>
        <v/>
      </c>
      <c r="AP129" s="66" t="str">
        <f aca="false">IF(ISBLANK($C129),"",IF($AB129=Constants!$B$7,IF(ISNUMBER(AM129),COUNTIFS($AM$8:$AM$507,"&lt;"&amp;$AM129)+COUNTIFS($AM$8:$AM$507,$AM129,$AO$8:$AO$507,"&lt;"&amp;$AO129)+1,Constants!$B$14),$AB129))</f>
        <v/>
      </c>
      <c r="AQ129" s="66" t="str">
        <f aca="false">IF(ISBLANK($C129),"",IF($AB129=Constants!$B$7,IF(ISNUMBER(AM129),AM129-AP129,Constants!$B$14),$AB129))</f>
        <v/>
      </c>
      <c r="AR129" s="68"/>
      <c r="AS129" s="69" t="str">
        <f aca="false">IF(ISBLANK($C129),"",IF($AB129&lt;&gt;Constants!$B$7,"",AJ129))</f>
        <v/>
      </c>
      <c r="AT129" s="84" t="str">
        <f aca="false">IF(ISBLANK($C129),"",IF($AB129&lt;&gt;Constants!$B$7,"",IF(AJ129=1,AD129,AG129)))</f>
        <v/>
      </c>
      <c r="AU129" s="71" t="str">
        <f aca="false">IF(ISBLANK($C129),"",IF($AB129&lt;&gt;Constants!$B$7,"",IF(AJ129=1,AE129,AH129)))</f>
        <v/>
      </c>
      <c r="AV129" s="72" t="str">
        <f aca="false">IF(ISBLANK($C129),"",IF($AB129&lt;&gt;Constants!$B$7,$AB129,AL129))</f>
        <v/>
      </c>
      <c r="AW129" s="73" t="str">
        <f aca="false">IF(ISBLANK($C129),"",IF($AB129&lt;&gt;Constants!$B$7,$AB129,AC129))</f>
        <v/>
      </c>
      <c r="AX129" s="74" t="str">
        <f aca="false">IF(ISBLANK($C129),"",AQ129)</f>
        <v/>
      </c>
      <c r="AY129" s="74" t="str">
        <f aca="false">IF(ISBLANK($C129),"",AP129)</f>
        <v/>
      </c>
      <c r="AZ129" s="75" t="str">
        <f aca="false">IF(ISBLANK($C129),"",IF(AY129=Constants!$B$4,COUNTA($C$8:$C$507)+2,IF(AY129=Constants!$B$5,COUNTA($C$8:$C$507)+1,IF(AY129=Constants!$B$6,COUNTA($C$8:$C$507),AY129))))</f>
        <v/>
      </c>
      <c r="BA129" s="5"/>
      <c r="BB129" s="76" t="n">
        <f aca="false">IF(OR(ISNUMBER(AY129),AY129=Constants!$B$4,AY129=Constants!$B$6,AY129=Constants!$B$5),1,0)</f>
        <v>0</v>
      </c>
      <c r="BC129" s="76" t="n">
        <v>122</v>
      </c>
      <c r="BD129" s="76" t="str">
        <f aca="false">IF(ISBLANK($C129),"",IF(ISNUMBER(AZ129),AZ129+ROW($B129)/1000,""))</f>
        <v/>
      </c>
      <c r="BE129" s="76" t="str">
        <f aca="false">IF(ISNUMBER(BD129),RANK(BD129,$BD$8:$BD$507,1),"")</f>
        <v/>
      </c>
      <c r="BF129" s="76" t="str">
        <f aca="false">IF(ISBLANK($C129),"",$B129)</f>
        <v/>
      </c>
      <c r="BG129" s="76" t="str">
        <f aca="false">IF(ISBLANK($C129),"",$C129)</f>
        <v/>
      </c>
      <c r="BH129" s="76" t="str">
        <f aca="false">IF(ISBLANK($C129),"",$D129)</f>
        <v/>
      </c>
      <c r="BI129" s="77" t="str">
        <f aca="false">AW129</f>
        <v/>
      </c>
      <c r="BJ129" s="78" t="str">
        <f aca="false">AV129</f>
        <v/>
      </c>
      <c r="BK129" s="76" t="str">
        <f aca="false">IF(ISBLANK($C129),"",AY129)</f>
        <v/>
      </c>
      <c r="BL129" s="79" t="str">
        <f aca="false">IF($BC129&gt;$BB$7,"",VLOOKUP($BC129,$BE$8:$BK$507,7,FALSE()))</f>
        <v/>
      </c>
      <c r="BM129" s="80" t="str">
        <f aca="false">IF($BC129&gt;$BB$7,"",VLOOKUP($BC129,$BE$8:$BK$507,2,FALSE()))</f>
        <v/>
      </c>
      <c r="BN129" s="80" t="str">
        <f aca="false">IF($BC129&gt;$BB$7,"",VLOOKUP($BC129,$BE$8:$BK$507,3,FALSE()))</f>
        <v/>
      </c>
      <c r="BO129" s="80" t="str">
        <f aca="false">IF($BC129&gt;$BB$7,"",VLOOKUP($BC129,$BE$8:$BK$507,4,FALSE()))</f>
        <v/>
      </c>
      <c r="BP129" s="80" t="str">
        <f aca="false">IF($BC129&gt;$BB$7,"",VLOOKUP($BC129,$BE$8:$BK$507,5,FALSE()))</f>
        <v/>
      </c>
      <c r="BQ129" s="81" t="str">
        <f aca="false">IF($BC129&gt;$BB$7,"",VLOOKUP($BC129,$BE$8:$BK$507,6,FALSE()))</f>
        <v/>
      </c>
      <c r="BR129" s="54"/>
    </row>
    <row r="130" customFormat="false" ht="13.8" hidden="false" customHeight="false" outlineLevel="0" collapsed="false">
      <c r="A130" s="5"/>
      <c r="B130" s="124"/>
      <c r="C130" s="56"/>
      <c r="D130" s="57"/>
      <c r="E130" s="83"/>
      <c r="F130" s="59"/>
      <c r="G130" s="60"/>
      <c r="H130" s="61"/>
      <c r="I130" s="62"/>
      <c r="J130" s="59"/>
      <c r="K130" s="60"/>
      <c r="L130" s="61"/>
      <c r="M130" s="62"/>
      <c r="N130" s="59"/>
      <c r="O130" s="83"/>
      <c r="P130" s="64"/>
      <c r="Q130" s="66" t="str">
        <f aca="false">IF(ISBLANK($C130),"",IF(E130=Constants!$B$2, TRUE(), IF(E130=Constants!$B$3, FALSE(), TRUE())))</f>
        <v/>
      </c>
      <c r="R130" s="66" t="str">
        <f aca="false">IF(ISBLANK($C130),"",IF(F130=Constants!$B$16,Constants!$B$9,IF(F130=Constants!$B$17,Constants!$B$10,Constants!$B$8)))</f>
        <v/>
      </c>
      <c r="S130" s="66" t="str">
        <f aca="false">IF(ISBLANK($C130),"",IF(COUNTA(G130:H130)=0,"",IF(AND(OR(ISBLANK(G130),AND(ISNUMBER(G130),G130&gt;=0)),OR(ISBLANK(H130),AND(ISNUMBER(H130),H130&gt;=0))),60*IF(ISBLANK(G130),0,G130)+IF(ISBLANK(H130),0,H130),"")))</f>
        <v/>
      </c>
      <c r="T130" s="66" t="str">
        <f aca="false">IF(ISBLANK($C130),"",IF(I130=Constants!$B$2, TRUE(), IF(I130=Constants!$B$3, FALSE(), TRUE())))</f>
        <v/>
      </c>
      <c r="U130" s="66" t="str">
        <f aca="false">IF(ISBLANK($C130),"",IF(J130=Constants!$B$2, TRUE(), IF(J130=Constants!$B$3, FALSE(), TRUE())))</f>
        <v/>
      </c>
      <c r="V130" s="66" t="str">
        <f aca="false">IF(ISBLANK($C130),"",IF(COUNTA(K130:L130)=0,"",IF(AND(OR(ISBLANK(K130),AND(ISNUMBER(K130),K130&gt;=0)),OR(ISBLANK(L130),AND(ISNUMBER(L130),L130&gt;=0))),60*IF(ISBLANK(K130),0,K130)+IF(ISBLANK(L130),0,L130),"")))</f>
        <v/>
      </c>
      <c r="W130" s="66" t="str">
        <f aca="false">IF(ISBLANK($C130),"",IF(M130=Constants!$B$2, TRUE(), IF(M130=Constants!$B$3, FALSE(), TRUE())))</f>
        <v/>
      </c>
      <c r="X130" s="66" t="str">
        <f aca="false">IF(ISBLANK($C130),"",IF(N130=Constants!$B$2, TRUE(), IF(N130=Constants!$B$3, FALSE(), TRUE())))</f>
        <v/>
      </c>
      <c r="Y130" s="66" t="str">
        <f aca="false">IF(ISBLANK($C130),"",IF(O130=Constants!$B$2, TRUE(), IF(O130=Constants!$B$3, FALSE(), FALSE())))</f>
        <v/>
      </c>
      <c r="Z130" s="66" t="str">
        <f aca="false">IF(ISBLANK($C130),"",AND(S130&lt;&gt;"",Q130))</f>
        <v/>
      </c>
      <c r="AA130" s="66" t="str">
        <f aca="false">IF(ISBLANK($C130),"",AND(V130&lt;&gt;"",Q130))</f>
        <v/>
      </c>
      <c r="AB130" s="66" t="str">
        <f aca="false">IF(ISBLANK($C130),"",IF(Y130,Constants!$B$4,IF(COUNTA(E130:N130)=0,Constants!$B$5,IF(NOT(Q130),Constants!$B$6,IF(AND(NOT(Z130),NOT(AA130)),Constants!$B$6,Constants!$B$7)))))</f>
        <v/>
      </c>
      <c r="AC130" s="66" t="str">
        <f aca="false">IF(ISBLANK($C130),"",IF($AB130&lt;&gt;Constants!$B$7,$AB130,Constants!$B$20))</f>
        <v/>
      </c>
      <c r="AD130" s="66" t="str">
        <f aca="false">IF($AB130=Constants!$B$7,IF(Z130,S130,Constants!$B$13),"")</f>
        <v/>
      </c>
      <c r="AE130" s="66" t="str">
        <f aca="false">IF($AB130=Constants!$B$7,IF(Z130,R130*IF(T130, 1, Constants!$B$11)*IF(U130, 1, Constants!$B$12),Constants!$B$13),"")</f>
        <v/>
      </c>
      <c r="AF130" s="66" t="str">
        <f aca="false">IF($AB130=Constants!$B$7,AD130*AE130,"")</f>
        <v/>
      </c>
      <c r="AG130" s="66" t="str">
        <f aca="false">IF($AB130=Constants!$B$7,IF(AA130,V130,Constants!$B$13),"")</f>
        <v/>
      </c>
      <c r="AH130" s="66" t="str">
        <f aca="false">IF($AB130=Constants!$B$7,IF(AA130,R130*IF(W130, 1, Constants!$B$11)*IF(X130, 1, Constants!$B$12),Constants!$B$13),"")</f>
        <v/>
      </c>
      <c r="AI130" s="66" t="str">
        <f aca="false">IF($AB130=Constants!$B$7,AG130*AH130,"")</f>
        <v/>
      </c>
      <c r="AJ130" s="66" t="str">
        <f aca="false">IF($AB130=Constants!$B$7,IF(AI130&gt;AF130,2,1),"")</f>
        <v/>
      </c>
      <c r="AK130" s="66" t="str">
        <f aca="false">IF($AB130=Constants!$B$7,IF(AJ130=1,2,1),"")</f>
        <v/>
      </c>
      <c r="AL130" s="66" t="str">
        <f aca="false">IF(ISBLANK($C130),"",IF($AB130&lt;&gt;Constants!$B$7,$AB130,IF(AJ130=1,AF130,AI130)))</f>
        <v/>
      </c>
      <c r="AM130" s="66" t="str">
        <f aca="false">IF(ISBLANK($C130),"",IF($AB130=Constants!$B$7,IF(ISNUMBER(AL130),RANK(AL130,$AL$8:$AL$507),Constants!$B$14),$AB130))</f>
        <v/>
      </c>
      <c r="AN130" s="66" t="str">
        <f aca="false">IF(ISBLANK($C130),"",IF($AB130=Constants!$B$7,IF(AK130=1,AF130,AI130),""))</f>
        <v/>
      </c>
      <c r="AO130" s="66" t="str">
        <f aca="false">IF(ISBLANK($C130),"",IF($AB130=Constants!$B$7,RANK(AN130,$AN$8:$AN$507),$AB130))</f>
        <v/>
      </c>
      <c r="AP130" s="66" t="str">
        <f aca="false">IF(ISBLANK($C130),"",IF($AB130=Constants!$B$7,IF(ISNUMBER(AM130),COUNTIFS($AM$8:$AM$507,"&lt;"&amp;$AM130)+COUNTIFS($AM$8:$AM$507,$AM130,$AO$8:$AO$507,"&lt;"&amp;$AO130)+1,Constants!$B$14),$AB130))</f>
        <v/>
      </c>
      <c r="AQ130" s="66" t="str">
        <f aca="false">IF(ISBLANK($C130),"",IF($AB130=Constants!$B$7,IF(ISNUMBER(AM130),AM130-AP130,Constants!$B$14),$AB130))</f>
        <v/>
      </c>
      <c r="AR130" s="68"/>
      <c r="AS130" s="69" t="str">
        <f aca="false">IF(ISBLANK($C130),"",IF($AB130&lt;&gt;Constants!$B$7,"",AJ130))</f>
        <v/>
      </c>
      <c r="AT130" s="84" t="str">
        <f aca="false">IF(ISBLANK($C130),"",IF($AB130&lt;&gt;Constants!$B$7,"",IF(AJ130=1,AD130,AG130)))</f>
        <v/>
      </c>
      <c r="AU130" s="71" t="str">
        <f aca="false">IF(ISBLANK($C130),"",IF($AB130&lt;&gt;Constants!$B$7,"",IF(AJ130=1,AE130,AH130)))</f>
        <v/>
      </c>
      <c r="AV130" s="72" t="str">
        <f aca="false">IF(ISBLANK($C130),"",IF($AB130&lt;&gt;Constants!$B$7,$AB130,AL130))</f>
        <v/>
      </c>
      <c r="AW130" s="73" t="str">
        <f aca="false">IF(ISBLANK($C130),"",IF($AB130&lt;&gt;Constants!$B$7,$AB130,AC130))</f>
        <v/>
      </c>
      <c r="AX130" s="74" t="str">
        <f aca="false">IF(ISBLANK($C130),"",AQ130)</f>
        <v/>
      </c>
      <c r="AY130" s="74" t="str">
        <f aca="false">IF(ISBLANK($C130),"",AP130)</f>
        <v/>
      </c>
      <c r="AZ130" s="75" t="str">
        <f aca="false">IF(ISBLANK($C130),"",IF(AY130=Constants!$B$4,COUNTA($C$8:$C$507)+2,IF(AY130=Constants!$B$5,COUNTA($C$8:$C$507)+1,IF(AY130=Constants!$B$6,COUNTA($C$8:$C$507),AY130))))</f>
        <v/>
      </c>
      <c r="BA130" s="5"/>
      <c r="BB130" s="76" t="n">
        <f aca="false">IF(OR(ISNUMBER(AY130),AY130=Constants!$B$4,AY130=Constants!$B$6,AY130=Constants!$B$5),1,0)</f>
        <v>0</v>
      </c>
      <c r="BC130" s="76" t="n">
        <v>123</v>
      </c>
      <c r="BD130" s="76" t="str">
        <f aca="false">IF(ISBLANK($C130),"",IF(ISNUMBER(AZ130),AZ130+ROW($B130)/1000,""))</f>
        <v/>
      </c>
      <c r="BE130" s="76" t="str">
        <f aca="false">IF(ISNUMBER(BD130),RANK(BD130,$BD$8:$BD$507,1),"")</f>
        <v/>
      </c>
      <c r="BF130" s="76" t="str">
        <f aca="false">IF(ISBLANK($C130),"",$B130)</f>
        <v/>
      </c>
      <c r="BG130" s="76" t="str">
        <f aca="false">IF(ISBLANK($C130),"",$C130)</f>
        <v/>
      </c>
      <c r="BH130" s="76" t="str">
        <f aca="false">IF(ISBLANK($C130),"",$D130)</f>
        <v/>
      </c>
      <c r="BI130" s="77" t="str">
        <f aca="false">AW130</f>
        <v/>
      </c>
      <c r="BJ130" s="78" t="str">
        <f aca="false">AV130</f>
        <v/>
      </c>
      <c r="BK130" s="76" t="str">
        <f aca="false">IF(ISBLANK($C130),"",AY130)</f>
        <v/>
      </c>
      <c r="BL130" s="79" t="str">
        <f aca="false">IF($BC130&gt;$BB$7,"",VLOOKUP($BC130,$BE$8:$BK$507,7,FALSE()))</f>
        <v/>
      </c>
      <c r="BM130" s="80" t="str">
        <f aca="false">IF($BC130&gt;$BB$7,"",VLOOKUP($BC130,$BE$8:$BK$507,2,FALSE()))</f>
        <v/>
      </c>
      <c r="BN130" s="80" t="str">
        <f aca="false">IF($BC130&gt;$BB$7,"",VLOOKUP($BC130,$BE$8:$BK$507,3,FALSE()))</f>
        <v/>
      </c>
      <c r="BO130" s="80" t="str">
        <f aca="false">IF($BC130&gt;$BB$7,"",VLOOKUP($BC130,$BE$8:$BK$507,4,FALSE()))</f>
        <v/>
      </c>
      <c r="BP130" s="80" t="str">
        <f aca="false">IF($BC130&gt;$BB$7,"",VLOOKUP($BC130,$BE$8:$BK$507,5,FALSE()))</f>
        <v/>
      </c>
      <c r="BQ130" s="81" t="str">
        <f aca="false">IF($BC130&gt;$BB$7,"",VLOOKUP($BC130,$BE$8:$BK$507,6,FALSE()))</f>
        <v/>
      </c>
      <c r="BR130" s="54"/>
    </row>
    <row r="131" customFormat="false" ht="13.8" hidden="false" customHeight="false" outlineLevel="0" collapsed="false">
      <c r="A131" s="5"/>
      <c r="B131" s="120"/>
      <c r="C131" s="121"/>
      <c r="D131" s="112"/>
      <c r="E131" s="123"/>
      <c r="F131" s="91"/>
      <c r="G131" s="92"/>
      <c r="H131" s="93"/>
      <c r="I131" s="94"/>
      <c r="J131" s="91"/>
      <c r="K131" s="92"/>
      <c r="L131" s="93"/>
      <c r="M131" s="94"/>
      <c r="N131" s="91"/>
      <c r="O131" s="123"/>
      <c r="P131" s="96"/>
      <c r="Q131" s="97" t="str">
        <f aca="false">IF(ISBLANK($C131),"",IF(E131=Constants!$B$2, TRUE(), IF(E131=Constants!$B$3, FALSE(), TRUE())))</f>
        <v/>
      </c>
      <c r="R131" s="97" t="str">
        <f aca="false">IF(ISBLANK($C131),"",IF(F131=Constants!$B$16,Constants!$B$9,IF(F131=Constants!$B$17,Constants!$B$10,Constants!$B$8)))</f>
        <v/>
      </c>
      <c r="S131" s="97" t="str">
        <f aca="false">IF(ISBLANK($C131),"",IF(COUNTA(G131:H131)=0,"",IF(AND(OR(ISBLANK(G131),AND(ISNUMBER(G131),G131&gt;=0)),OR(ISBLANK(H131),AND(ISNUMBER(H131),H131&gt;=0))),60*IF(ISBLANK(G131),0,G131)+IF(ISBLANK(H131),0,H131),"")))</f>
        <v/>
      </c>
      <c r="T131" s="97" t="str">
        <f aca="false">IF(ISBLANK($C131),"",IF(I131=Constants!$B$2, TRUE(), IF(I131=Constants!$B$3, FALSE(), TRUE())))</f>
        <v/>
      </c>
      <c r="U131" s="97" t="str">
        <f aca="false">IF(ISBLANK($C131),"",IF(J131=Constants!$B$2, TRUE(), IF(J131=Constants!$B$3, FALSE(), TRUE())))</f>
        <v/>
      </c>
      <c r="V131" s="97" t="str">
        <f aca="false">IF(ISBLANK($C131),"",IF(COUNTA(K131:L131)=0,"",IF(AND(OR(ISBLANK(K131),AND(ISNUMBER(K131),K131&gt;=0)),OR(ISBLANK(L131),AND(ISNUMBER(L131),L131&gt;=0))),60*IF(ISBLANK(K131),0,K131)+IF(ISBLANK(L131),0,L131),"")))</f>
        <v/>
      </c>
      <c r="W131" s="97" t="str">
        <f aca="false">IF(ISBLANK($C131),"",IF(M131=Constants!$B$2, TRUE(), IF(M131=Constants!$B$3, FALSE(), TRUE())))</f>
        <v/>
      </c>
      <c r="X131" s="97" t="str">
        <f aca="false">IF(ISBLANK($C131),"",IF(N131=Constants!$B$2, TRUE(), IF(N131=Constants!$B$3, FALSE(), TRUE())))</f>
        <v/>
      </c>
      <c r="Y131" s="97" t="str">
        <f aca="false">IF(ISBLANK($C131),"",IF(O131=Constants!$B$2, TRUE(), IF(O131=Constants!$B$3, FALSE(), FALSE())))</f>
        <v/>
      </c>
      <c r="Z131" s="97" t="str">
        <f aca="false">IF(ISBLANK($C131),"",AND(S131&lt;&gt;"",Q131))</f>
        <v/>
      </c>
      <c r="AA131" s="97" t="str">
        <f aca="false">IF(ISBLANK($C131),"",AND(V131&lt;&gt;"",Q131))</f>
        <v/>
      </c>
      <c r="AB131" s="97" t="str">
        <f aca="false">IF(ISBLANK($C131),"",IF(Y131,Constants!$B$4,IF(COUNTA(E131:N131)=0,Constants!$B$5,IF(NOT(Q131),Constants!$B$6,IF(AND(NOT(Z131),NOT(AA131)),Constants!$B$6,Constants!$B$7)))))</f>
        <v/>
      </c>
      <c r="AC131" s="97" t="str">
        <f aca="false">IF(ISBLANK($C131),"",IF($AB131&lt;&gt;Constants!$B$7,$AB131,Constants!$B$20))</f>
        <v/>
      </c>
      <c r="AD131" s="97" t="str">
        <f aca="false">IF($AB131=Constants!$B$7,IF(Z131,S131,Constants!$B$13),"")</f>
        <v/>
      </c>
      <c r="AE131" s="97" t="str">
        <f aca="false">IF($AB131=Constants!$B$7,IF(Z131,R131*IF(T131, 1, Constants!$B$11)*IF(U131, 1, Constants!$B$12),Constants!$B$13),"")</f>
        <v/>
      </c>
      <c r="AF131" s="97" t="str">
        <f aca="false">IF($AB131=Constants!$B$7,AD131*AE131,"")</f>
        <v/>
      </c>
      <c r="AG131" s="97" t="str">
        <f aca="false">IF($AB131=Constants!$B$7,IF(AA131,V131,Constants!$B$13),"")</f>
        <v/>
      </c>
      <c r="AH131" s="97" t="str">
        <f aca="false">IF($AB131=Constants!$B$7,IF(AA131,R131*IF(W131, 1, Constants!$B$11)*IF(X131, 1, Constants!$B$12),Constants!$B$13),"")</f>
        <v/>
      </c>
      <c r="AI131" s="97" t="str">
        <f aca="false">IF($AB131=Constants!$B$7,AG131*AH131,"")</f>
        <v/>
      </c>
      <c r="AJ131" s="97" t="str">
        <f aca="false">IF($AB131=Constants!$B$7,IF(AI131&gt;AF131,2,1),"")</f>
        <v/>
      </c>
      <c r="AK131" s="97" t="str">
        <f aca="false">IF($AB131=Constants!$B$7,IF(AJ131=1,2,1),"")</f>
        <v/>
      </c>
      <c r="AL131" s="97" t="str">
        <f aca="false">IF(ISBLANK($C131),"",IF($AB131&lt;&gt;Constants!$B$7,$AB131,IF(AJ131=1,AF131,AI131)))</f>
        <v/>
      </c>
      <c r="AM131" s="97" t="str">
        <f aca="false">IF(ISBLANK($C131),"",IF($AB131=Constants!$B$7,IF(ISNUMBER(AL131),RANK(AL131,$AL$8:$AL$507),Constants!$B$14),$AB131))</f>
        <v/>
      </c>
      <c r="AN131" s="97" t="str">
        <f aca="false">IF(ISBLANK($C131),"",IF($AB131=Constants!$B$7,IF(AK131=1,AF131,AI131),""))</f>
        <v/>
      </c>
      <c r="AO131" s="97" t="str">
        <f aca="false">IF(ISBLANK($C131),"",IF($AB131=Constants!$B$7,RANK(AN131,$AN$8:$AN$507),$AB131))</f>
        <v/>
      </c>
      <c r="AP131" s="97" t="str">
        <f aca="false">IF(ISBLANK($C131),"",IF($AB131=Constants!$B$7,IF(ISNUMBER(AM131),COUNTIFS($AM$8:$AM$507,"&lt;"&amp;$AM131)+COUNTIFS($AM$8:$AM$507,$AM131,$AO$8:$AO$507,"&lt;"&amp;$AO131)+1,Constants!$B$14),$AB131))</f>
        <v/>
      </c>
      <c r="AQ131" s="97" t="str">
        <f aca="false">IF(ISBLANK($C131),"",IF($AB131=Constants!$B$7,IF(ISNUMBER(AM131),AM131-AP131,Constants!$B$14),$AB131))</f>
        <v/>
      </c>
      <c r="AR131" s="98"/>
      <c r="AS131" s="99" t="str">
        <f aca="false">IF(ISBLANK($C131),"",IF($AB131&lt;&gt;Constants!$B$7,"",AJ131))</f>
        <v/>
      </c>
      <c r="AT131" s="100" t="str">
        <f aca="false">IF(ISBLANK($C131),"",IF($AB131&lt;&gt;Constants!$B$7,"",IF(AJ131=1,AD131,AG131)))</f>
        <v/>
      </c>
      <c r="AU131" s="101" t="str">
        <f aca="false">IF(ISBLANK($C131),"",IF($AB131&lt;&gt;Constants!$B$7,"",IF(AJ131=1,AE131,AH131)))</f>
        <v/>
      </c>
      <c r="AV131" s="102" t="str">
        <f aca="false">IF(ISBLANK($C131),"",IF($AB131&lt;&gt;Constants!$B$7,$AB131,AL131))</f>
        <v/>
      </c>
      <c r="AW131" s="103" t="str">
        <f aca="false">IF(ISBLANK($C131),"",IF($AB131&lt;&gt;Constants!$B$7,$AB131,AC131))</f>
        <v/>
      </c>
      <c r="AX131" s="104" t="str">
        <f aca="false">IF(ISBLANK($C131),"",AQ131)</f>
        <v/>
      </c>
      <c r="AY131" s="104" t="str">
        <f aca="false">IF(ISBLANK($C131),"",AP131)</f>
        <v/>
      </c>
      <c r="AZ131" s="105" t="str">
        <f aca="false">IF(ISBLANK($C131),"",IF(AY131=Constants!$B$4,COUNTA($C$8:$C$507)+2,IF(AY131=Constants!$B$5,COUNTA($C$8:$C$507)+1,IF(AY131=Constants!$B$6,COUNTA($C$8:$C$507),AY131))))</f>
        <v/>
      </c>
      <c r="BA131" s="5"/>
      <c r="BB131" s="106" t="n">
        <f aca="false">IF(OR(ISNUMBER(AY131),AY131=Constants!$B$4,AY131=Constants!$B$6,AY131=Constants!$B$5),1,0)</f>
        <v>0</v>
      </c>
      <c r="BC131" s="106" t="n">
        <v>124</v>
      </c>
      <c r="BD131" s="106" t="str">
        <f aca="false">IF(ISBLANK($C131),"",IF(ISNUMBER(AZ131),AZ131+ROW($B131)/1000,""))</f>
        <v/>
      </c>
      <c r="BE131" s="106" t="str">
        <f aca="false">IF(ISNUMBER(BD131),RANK(BD131,$BD$8:$BD$507,1),"")</f>
        <v/>
      </c>
      <c r="BF131" s="106" t="str">
        <f aca="false">IF(ISBLANK($C131),"",$B131)</f>
        <v/>
      </c>
      <c r="BG131" s="106" t="str">
        <f aca="false">IF(ISBLANK($C131),"",$C131)</f>
        <v/>
      </c>
      <c r="BH131" s="106" t="str">
        <f aca="false">IF(ISBLANK($C131),"",$D131)</f>
        <v/>
      </c>
      <c r="BI131" s="107" t="str">
        <f aca="false">AW131</f>
        <v/>
      </c>
      <c r="BJ131" s="108" t="str">
        <f aca="false">AV131</f>
        <v/>
      </c>
      <c r="BK131" s="106" t="str">
        <f aca="false">IF(ISBLANK($C131),"",AY131)</f>
        <v/>
      </c>
      <c r="BL131" s="109" t="str">
        <f aca="false">IF($BC131&gt;$BB$7,"",VLOOKUP($BC131,$BE$8:$BK$507,7,FALSE()))</f>
        <v/>
      </c>
      <c r="BM131" s="110" t="str">
        <f aca="false">IF($BC131&gt;$BB$7,"",VLOOKUP($BC131,$BE$8:$BK$507,2,FALSE()))</f>
        <v/>
      </c>
      <c r="BN131" s="110" t="str">
        <f aca="false">IF($BC131&gt;$BB$7,"",VLOOKUP($BC131,$BE$8:$BK$507,3,FALSE()))</f>
        <v/>
      </c>
      <c r="BO131" s="110" t="str">
        <f aca="false">IF($BC131&gt;$BB$7,"",VLOOKUP($BC131,$BE$8:$BK$507,4,FALSE()))</f>
        <v/>
      </c>
      <c r="BP131" s="110" t="str">
        <f aca="false">IF($BC131&gt;$BB$7,"",VLOOKUP($BC131,$BE$8:$BK$507,5,FALSE()))</f>
        <v/>
      </c>
      <c r="BQ131" s="111" t="str">
        <f aca="false">IF($BC131&gt;$BB$7,"",VLOOKUP($BC131,$BE$8:$BK$507,6,FALSE()))</f>
        <v/>
      </c>
      <c r="BR131" s="54"/>
    </row>
    <row r="132" customFormat="false" ht="13.8" hidden="false" customHeight="false" outlineLevel="0" collapsed="false">
      <c r="A132" s="5"/>
      <c r="B132" s="120"/>
      <c r="C132" s="121"/>
      <c r="D132" s="112"/>
      <c r="E132" s="123"/>
      <c r="F132" s="91"/>
      <c r="G132" s="92"/>
      <c r="H132" s="93"/>
      <c r="I132" s="94"/>
      <c r="J132" s="91"/>
      <c r="K132" s="92"/>
      <c r="L132" s="93"/>
      <c r="M132" s="94"/>
      <c r="N132" s="91"/>
      <c r="O132" s="123"/>
      <c r="P132" s="96"/>
      <c r="Q132" s="97" t="str">
        <f aca="false">IF(ISBLANK($C132),"",IF(E132=Constants!$B$2, TRUE(), IF(E132=Constants!$B$3, FALSE(), TRUE())))</f>
        <v/>
      </c>
      <c r="R132" s="97" t="str">
        <f aca="false">IF(ISBLANK($C132),"",IF(F132=Constants!$B$16,Constants!$B$9,IF(F132=Constants!$B$17,Constants!$B$10,Constants!$B$8)))</f>
        <v/>
      </c>
      <c r="S132" s="97" t="str">
        <f aca="false">IF(ISBLANK($C132),"",IF(COUNTA(G132:H132)=0,"",IF(AND(OR(ISBLANK(G132),AND(ISNUMBER(G132),G132&gt;=0)),OR(ISBLANK(H132),AND(ISNUMBER(H132),H132&gt;=0))),60*IF(ISBLANK(G132),0,G132)+IF(ISBLANK(H132),0,H132),"")))</f>
        <v/>
      </c>
      <c r="T132" s="97" t="str">
        <f aca="false">IF(ISBLANK($C132),"",IF(I132=Constants!$B$2, TRUE(), IF(I132=Constants!$B$3, FALSE(), TRUE())))</f>
        <v/>
      </c>
      <c r="U132" s="97" t="str">
        <f aca="false">IF(ISBLANK($C132),"",IF(J132=Constants!$B$2, TRUE(), IF(J132=Constants!$B$3, FALSE(), TRUE())))</f>
        <v/>
      </c>
      <c r="V132" s="97" t="str">
        <f aca="false">IF(ISBLANK($C132),"",IF(COUNTA(K132:L132)=0,"",IF(AND(OR(ISBLANK(K132),AND(ISNUMBER(K132),K132&gt;=0)),OR(ISBLANK(L132),AND(ISNUMBER(L132),L132&gt;=0))),60*IF(ISBLANK(K132),0,K132)+IF(ISBLANK(L132),0,L132),"")))</f>
        <v/>
      </c>
      <c r="W132" s="97" t="str">
        <f aca="false">IF(ISBLANK($C132),"",IF(M132=Constants!$B$2, TRUE(), IF(M132=Constants!$B$3, FALSE(), TRUE())))</f>
        <v/>
      </c>
      <c r="X132" s="97" t="str">
        <f aca="false">IF(ISBLANK($C132),"",IF(N132=Constants!$B$2, TRUE(), IF(N132=Constants!$B$3, FALSE(), TRUE())))</f>
        <v/>
      </c>
      <c r="Y132" s="97" t="str">
        <f aca="false">IF(ISBLANK($C132),"",IF(O132=Constants!$B$2, TRUE(), IF(O132=Constants!$B$3, FALSE(), FALSE())))</f>
        <v/>
      </c>
      <c r="Z132" s="97" t="str">
        <f aca="false">IF(ISBLANK($C132),"",AND(S132&lt;&gt;"",Q132))</f>
        <v/>
      </c>
      <c r="AA132" s="97" t="str">
        <f aca="false">IF(ISBLANK($C132),"",AND(V132&lt;&gt;"",Q132))</f>
        <v/>
      </c>
      <c r="AB132" s="97" t="str">
        <f aca="false">IF(ISBLANK($C132),"",IF(Y132,Constants!$B$4,IF(COUNTA(E132:N132)=0,Constants!$B$5,IF(NOT(Q132),Constants!$B$6,IF(AND(NOT(Z132),NOT(AA132)),Constants!$B$6,Constants!$B$7)))))</f>
        <v/>
      </c>
      <c r="AC132" s="97" t="str">
        <f aca="false">IF(ISBLANK($C132),"",IF($AB132&lt;&gt;Constants!$B$7,$AB132,Constants!$B$20))</f>
        <v/>
      </c>
      <c r="AD132" s="97" t="str">
        <f aca="false">IF($AB132=Constants!$B$7,IF(Z132,S132,Constants!$B$13),"")</f>
        <v/>
      </c>
      <c r="AE132" s="97" t="str">
        <f aca="false">IF($AB132=Constants!$B$7,IF(Z132,R132*IF(T132, 1, Constants!$B$11)*IF(U132, 1, Constants!$B$12),Constants!$B$13),"")</f>
        <v/>
      </c>
      <c r="AF132" s="97" t="str">
        <f aca="false">IF($AB132=Constants!$B$7,AD132*AE132,"")</f>
        <v/>
      </c>
      <c r="AG132" s="97" t="str">
        <f aca="false">IF($AB132=Constants!$B$7,IF(AA132,V132,Constants!$B$13),"")</f>
        <v/>
      </c>
      <c r="AH132" s="97" t="str">
        <f aca="false">IF($AB132=Constants!$B$7,IF(AA132,R132*IF(W132, 1, Constants!$B$11)*IF(X132, 1, Constants!$B$12),Constants!$B$13),"")</f>
        <v/>
      </c>
      <c r="AI132" s="97" t="str">
        <f aca="false">IF($AB132=Constants!$B$7,AG132*AH132,"")</f>
        <v/>
      </c>
      <c r="AJ132" s="97" t="str">
        <f aca="false">IF($AB132=Constants!$B$7,IF(AI132&gt;AF132,2,1),"")</f>
        <v/>
      </c>
      <c r="AK132" s="97" t="str">
        <f aca="false">IF($AB132=Constants!$B$7,IF(AJ132=1,2,1),"")</f>
        <v/>
      </c>
      <c r="AL132" s="97" t="str">
        <f aca="false">IF(ISBLANK($C132),"",IF($AB132&lt;&gt;Constants!$B$7,$AB132,IF(AJ132=1,AF132,AI132)))</f>
        <v/>
      </c>
      <c r="AM132" s="97" t="str">
        <f aca="false">IF(ISBLANK($C132),"",IF($AB132=Constants!$B$7,IF(ISNUMBER(AL132),RANK(AL132,$AL$8:$AL$507),Constants!$B$14),$AB132))</f>
        <v/>
      </c>
      <c r="AN132" s="97" t="str">
        <f aca="false">IF(ISBLANK($C132),"",IF($AB132=Constants!$B$7,IF(AK132=1,AF132,AI132),""))</f>
        <v/>
      </c>
      <c r="AO132" s="97" t="str">
        <f aca="false">IF(ISBLANK($C132),"",IF($AB132=Constants!$B$7,RANK(AN132,$AN$8:$AN$507),$AB132))</f>
        <v/>
      </c>
      <c r="AP132" s="97" t="str">
        <f aca="false">IF(ISBLANK($C132),"",IF($AB132=Constants!$B$7,IF(ISNUMBER(AM132),COUNTIFS($AM$8:$AM$507,"&lt;"&amp;$AM132)+COUNTIFS($AM$8:$AM$507,$AM132,$AO$8:$AO$507,"&lt;"&amp;$AO132)+1,Constants!$B$14),$AB132))</f>
        <v/>
      </c>
      <c r="AQ132" s="97" t="str">
        <f aca="false">IF(ISBLANK($C132),"",IF($AB132=Constants!$B$7,IF(ISNUMBER(AM132),AM132-AP132,Constants!$B$14),$AB132))</f>
        <v/>
      </c>
      <c r="AR132" s="98"/>
      <c r="AS132" s="99" t="str">
        <f aca="false">IF(ISBLANK($C132),"",IF($AB132&lt;&gt;Constants!$B$7,"",AJ132))</f>
        <v/>
      </c>
      <c r="AT132" s="100" t="str">
        <f aca="false">IF(ISBLANK($C132),"",IF($AB132&lt;&gt;Constants!$B$7,"",IF(AJ132=1,AD132,AG132)))</f>
        <v/>
      </c>
      <c r="AU132" s="101" t="str">
        <f aca="false">IF(ISBLANK($C132),"",IF($AB132&lt;&gt;Constants!$B$7,"",IF(AJ132=1,AE132,AH132)))</f>
        <v/>
      </c>
      <c r="AV132" s="102" t="str">
        <f aca="false">IF(ISBLANK($C132),"",IF($AB132&lt;&gt;Constants!$B$7,$AB132,AL132))</f>
        <v/>
      </c>
      <c r="AW132" s="103" t="str">
        <f aca="false">IF(ISBLANK($C132),"",IF($AB132&lt;&gt;Constants!$B$7,$AB132,AC132))</f>
        <v/>
      </c>
      <c r="AX132" s="104" t="str">
        <f aca="false">IF(ISBLANK($C132),"",AQ132)</f>
        <v/>
      </c>
      <c r="AY132" s="104" t="str">
        <f aca="false">IF(ISBLANK($C132),"",AP132)</f>
        <v/>
      </c>
      <c r="AZ132" s="105" t="str">
        <f aca="false">IF(ISBLANK($C132),"",IF(AY132=Constants!$B$4,COUNTA($C$8:$C$507)+2,IF(AY132=Constants!$B$5,COUNTA($C$8:$C$507)+1,IF(AY132=Constants!$B$6,COUNTA($C$8:$C$507),AY132))))</f>
        <v/>
      </c>
      <c r="BA132" s="5"/>
      <c r="BB132" s="106" t="n">
        <f aca="false">IF(OR(ISNUMBER(AY132),AY132=Constants!$B$4,AY132=Constants!$B$6,AY132=Constants!$B$5),1,0)</f>
        <v>0</v>
      </c>
      <c r="BC132" s="106" t="n">
        <v>125</v>
      </c>
      <c r="BD132" s="106" t="str">
        <f aca="false">IF(ISBLANK($C132),"",IF(ISNUMBER(AZ132),AZ132+ROW($B132)/1000,""))</f>
        <v/>
      </c>
      <c r="BE132" s="106" t="str">
        <f aca="false">IF(ISNUMBER(BD132),RANK(BD132,$BD$8:$BD$507,1),"")</f>
        <v/>
      </c>
      <c r="BF132" s="106" t="str">
        <f aca="false">IF(ISBLANK($C132),"",$B132)</f>
        <v/>
      </c>
      <c r="BG132" s="106" t="str">
        <f aca="false">IF(ISBLANK($C132),"",$C132)</f>
        <v/>
      </c>
      <c r="BH132" s="106" t="str">
        <f aca="false">IF(ISBLANK($C132),"",$D132)</f>
        <v/>
      </c>
      <c r="BI132" s="107" t="str">
        <f aca="false">AW132</f>
        <v/>
      </c>
      <c r="BJ132" s="108" t="str">
        <f aca="false">AV132</f>
        <v/>
      </c>
      <c r="BK132" s="106" t="str">
        <f aca="false">IF(ISBLANK($C132),"",AY132)</f>
        <v/>
      </c>
      <c r="BL132" s="109" t="str">
        <f aca="false">IF($BC132&gt;$BB$7,"",VLOOKUP($BC132,$BE$8:$BK$507,7,FALSE()))</f>
        <v/>
      </c>
      <c r="BM132" s="110" t="str">
        <f aca="false">IF($BC132&gt;$BB$7,"",VLOOKUP($BC132,$BE$8:$BK$507,2,FALSE()))</f>
        <v/>
      </c>
      <c r="BN132" s="110" t="str">
        <f aca="false">IF($BC132&gt;$BB$7,"",VLOOKUP($BC132,$BE$8:$BK$507,3,FALSE()))</f>
        <v/>
      </c>
      <c r="BO132" s="110" t="str">
        <f aca="false">IF($BC132&gt;$BB$7,"",VLOOKUP($BC132,$BE$8:$BK$507,4,FALSE()))</f>
        <v/>
      </c>
      <c r="BP132" s="110" t="str">
        <f aca="false">IF($BC132&gt;$BB$7,"",VLOOKUP($BC132,$BE$8:$BK$507,5,FALSE()))</f>
        <v/>
      </c>
      <c r="BQ132" s="111" t="str">
        <f aca="false">IF($BC132&gt;$BB$7,"",VLOOKUP($BC132,$BE$8:$BK$507,6,FALSE()))</f>
        <v/>
      </c>
      <c r="BR132" s="54"/>
    </row>
    <row r="133" customFormat="false" ht="13.8" hidden="false" customHeight="false" outlineLevel="0" collapsed="false">
      <c r="A133" s="5"/>
      <c r="B133" s="120"/>
      <c r="C133" s="121"/>
      <c r="D133" s="112"/>
      <c r="E133" s="123"/>
      <c r="F133" s="91"/>
      <c r="G133" s="92"/>
      <c r="H133" s="93"/>
      <c r="I133" s="94"/>
      <c r="J133" s="91"/>
      <c r="K133" s="92"/>
      <c r="L133" s="93"/>
      <c r="M133" s="94"/>
      <c r="N133" s="91"/>
      <c r="O133" s="123"/>
      <c r="P133" s="96"/>
      <c r="Q133" s="97" t="str">
        <f aca="false">IF(ISBLANK($C133),"",IF(E133=Constants!$B$2, TRUE(), IF(E133=Constants!$B$3, FALSE(), TRUE())))</f>
        <v/>
      </c>
      <c r="R133" s="97" t="str">
        <f aca="false">IF(ISBLANK($C133),"",IF(F133=Constants!$B$16,Constants!$B$9,IF(F133=Constants!$B$17,Constants!$B$10,Constants!$B$8)))</f>
        <v/>
      </c>
      <c r="S133" s="97" t="str">
        <f aca="false">IF(ISBLANK($C133),"",IF(COUNTA(G133:H133)=0,"",IF(AND(OR(ISBLANK(G133),AND(ISNUMBER(G133),G133&gt;=0)),OR(ISBLANK(H133),AND(ISNUMBER(H133),H133&gt;=0))),60*IF(ISBLANK(G133),0,G133)+IF(ISBLANK(H133),0,H133),"")))</f>
        <v/>
      </c>
      <c r="T133" s="97" t="str">
        <f aca="false">IF(ISBLANK($C133),"",IF(I133=Constants!$B$2, TRUE(), IF(I133=Constants!$B$3, FALSE(), TRUE())))</f>
        <v/>
      </c>
      <c r="U133" s="97" t="str">
        <f aca="false">IF(ISBLANK($C133),"",IF(J133=Constants!$B$2, TRUE(), IF(J133=Constants!$B$3, FALSE(), TRUE())))</f>
        <v/>
      </c>
      <c r="V133" s="97" t="str">
        <f aca="false">IF(ISBLANK($C133),"",IF(COUNTA(K133:L133)=0,"",IF(AND(OR(ISBLANK(K133),AND(ISNUMBER(K133),K133&gt;=0)),OR(ISBLANK(L133),AND(ISNUMBER(L133),L133&gt;=0))),60*IF(ISBLANK(K133),0,K133)+IF(ISBLANK(L133),0,L133),"")))</f>
        <v/>
      </c>
      <c r="W133" s="97" t="str">
        <f aca="false">IF(ISBLANK($C133),"",IF(M133=Constants!$B$2, TRUE(), IF(M133=Constants!$B$3, FALSE(), TRUE())))</f>
        <v/>
      </c>
      <c r="X133" s="97" t="str">
        <f aca="false">IF(ISBLANK($C133),"",IF(N133=Constants!$B$2, TRUE(), IF(N133=Constants!$B$3, FALSE(), TRUE())))</f>
        <v/>
      </c>
      <c r="Y133" s="97" t="str">
        <f aca="false">IF(ISBLANK($C133),"",IF(O133=Constants!$B$2, TRUE(), IF(O133=Constants!$B$3, FALSE(), FALSE())))</f>
        <v/>
      </c>
      <c r="Z133" s="97" t="str">
        <f aca="false">IF(ISBLANK($C133),"",AND(S133&lt;&gt;"",Q133))</f>
        <v/>
      </c>
      <c r="AA133" s="97" t="str">
        <f aca="false">IF(ISBLANK($C133),"",AND(V133&lt;&gt;"",Q133))</f>
        <v/>
      </c>
      <c r="AB133" s="97" t="str">
        <f aca="false">IF(ISBLANK($C133),"",IF(Y133,Constants!$B$4,IF(COUNTA(E133:N133)=0,Constants!$B$5,IF(NOT(Q133),Constants!$B$6,IF(AND(NOT(Z133),NOT(AA133)),Constants!$B$6,Constants!$B$7)))))</f>
        <v/>
      </c>
      <c r="AC133" s="97" t="str">
        <f aca="false">IF(ISBLANK($C133),"",IF($AB133&lt;&gt;Constants!$B$7,$AB133,Constants!$B$20))</f>
        <v/>
      </c>
      <c r="AD133" s="97" t="str">
        <f aca="false">IF($AB133=Constants!$B$7,IF(Z133,S133,Constants!$B$13),"")</f>
        <v/>
      </c>
      <c r="AE133" s="97" t="str">
        <f aca="false">IF($AB133=Constants!$B$7,IF(Z133,R133*IF(T133, 1, Constants!$B$11)*IF(U133, 1, Constants!$B$12),Constants!$B$13),"")</f>
        <v/>
      </c>
      <c r="AF133" s="97" t="str">
        <f aca="false">IF($AB133=Constants!$B$7,AD133*AE133,"")</f>
        <v/>
      </c>
      <c r="AG133" s="97" t="str">
        <f aca="false">IF($AB133=Constants!$B$7,IF(AA133,V133,Constants!$B$13),"")</f>
        <v/>
      </c>
      <c r="AH133" s="97" t="str">
        <f aca="false">IF($AB133=Constants!$B$7,IF(AA133,R133*IF(W133, 1, Constants!$B$11)*IF(X133, 1, Constants!$B$12),Constants!$B$13),"")</f>
        <v/>
      </c>
      <c r="AI133" s="97" t="str">
        <f aca="false">IF($AB133=Constants!$B$7,AG133*AH133,"")</f>
        <v/>
      </c>
      <c r="AJ133" s="97" t="str">
        <f aca="false">IF($AB133=Constants!$B$7,IF(AI133&gt;AF133,2,1),"")</f>
        <v/>
      </c>
      <c r="AK133" s="97" t="str">
        <f aca="false">IF($AB133=Constants!$B$7,IF(AJ133=1,2,1),"")</f>
        <v/>
      </c>
      <c r="AL133" s="97" t="str">
        <f aca="false">IF(ISBLANK($C133),"",IF($AB133&lt;&gt;Constants!$B$7,$AB133,IF(AJ133=1,AF133,AI133)))</f>
        <v/>
      </c>
      <c r="AM133" s="97" t="str">
        <f aca="false">IF(ISBLANK($C133),"",IF($AB133=Constants!$B$7,IF(ISNUMBER(AL133),RANK(AL133,$AL$8:$AL$507),Constants!$B$14),$AB133))</f>
        <v/>
      </c>
      <c r="AN133" s="97" t="str">
        <f aca="false">IF(ISBLANK($C133),"",IF($AB133=Constants!$B$7,IF(AK133=1,AF133,AI133),""))</f>
        <v/>
      </c>
      <c r="AO133" s="97" t="str">
        <f aca="false">IF(ISBLANK($C133),"",IF($AB133=Constants!$B$7,RANK(AN133,$AN$8:$AN$507),$AB133))</f>
        <v/>
      </c>
      <c r="AP133" s="97" t="str">
        <f aca="false">IF(ISBLANK($C133),"",IF($AB133=Constants!$B$7,IF(ISNUMBER(AM133),COUNTIFS($AM$8:$AM$507,"&lt;"&amp;$AM133)+COUNTIFS($AM$8:$AM$507,$AM133,$AO$8:$AO$507,"&lt;"&amp;$AO133)+1,Constants!$B$14),$AB133))</f>
        <v/>
      </c>
      <c r="AQ133" s="97" t="str">
        <f aca="false">IF(ISBLANK($C133),"",IF($AB133=Constants!$B$7,IF(ISNUMBER(AM133),AM133-AP133,Constants!$B$14),$AB133))</f>
        <v/>
      </c>
      <c r="AR133" s="98"/>
      <c r="AS133" s="99" t="str">
        <f aca="false">IF(ISBLANK($C133),"",IF($AB133&lt;&gt;Constants!$B$7,"",AJ133))</f>
        <v/>
      </c>
      <c r="AT133" s="100" t="str">
        <f aca="false">IF(ISBLANK($C133),"",IF($AB133&lt;&gt;Constants!$B$7,"",IF(AJ133=1,AD133,AG133)))</f>
        <v/>
      </c>
      <c r="AU133" s="101" t="str">
        <f aca="false">IF(ISBLANK($C133),"",IF($AB133&lt;&gt;Constants!$B$7,"",IF(AJ133=1,AE133,AH133)))</f>
        <v/>
      </c>
      <c r="AV133" s="102" t="str">
        <f aca="false">IF(ISBLANK($C133),"",IF($AB133&lt;&gt;Constants!$B$7,$AB133,AL133))</f>
        <v/>
      </c>
      <c r="AW133" s="103" t="str">
        <f aca="false">IF(ISBLANK($C133),"",IF($AB133&lt;&gt;Constants!$B$7,$AB133,AC133))</f>
        <v/>
      </c>
      <c r="AX133" s="104" t="str">
        <f aca="false">IF(ISBLANK($C133),"",AQ133)</f>
        <v/>
      </c>
      <c r="AY133" s="104" t="str">
        <f aca="false">IF(ISBLANK($C133),"",AP133)</f>
        <v/>
      </c>
      <c r="AZ133" s="105" t="str">
        <f aca="false">IF(ISBLANK($C133),"",IF(AY133=Constants!$B$4,COUNTA($C$8:$C$507)+2,IF(AY133=Constants!$B$5,COUNTA($C$8:$C$507)+1,IF(AY133=Constants!$B$6,COUNTA($C$8:$C$507),AY133))))</f>
        <v/>
      </c>
      <c r="BA133" s="5"/>
      <c r="BB133" s="106" t="n">
        <f aca="false">IF(OR(ISNUMBER(AY133),AY133=Constants!$B$4,AY133=Constants!$B$6,AY133=Constants!$B$5),1,0)</f>
        <v>0</v>
      </c>
      <c r="BC133" s="106" t="n">
        <v>126</v>
      </c>
      <c r="BD133" s="106" t="str">
        <f aca="false">IF(ISBLANK($C133),"",IF(ISNUMBER(AZ133),AZ133+ROW($B133)/1000,""))</f>
        <v/>
      </c>
      <c r="BE133" s="106" t="str">
        <f aca="false">IF(ISNUMBER(BD133),RANK(BD133,$BD$8:$BD$507,1),"")</f>
        <v/>
      </c>
      <c r="BF133" s="106" t="str">
        <f aca="false">IF(ISBLANK($C133),"",$B133)</f>
        <v/>
      </c>
      <c r="BG133" s="106" t="str">
        <f aca="false">IF(ISBLANK($C133),"",$C133)</f>
        <v/>
      </c>
      <c r="BH133" s="106" t="str">
        <f aca="false">IF(ISBLANK($C133),"",$D133)</f>
        <v/>
      </c>
      <c r="BI133" s="107" t="str">
        <f aca="false">AW133</f>
        <v/>
      </c>
      <c r="BJ133" s="108" t="str">
        <f aca="false">AV133</f>
        <v/>
      </c>
      <c r="BK133" s="106" t="str">
        <f aca="false">IF(ISBLANK($C133),"",AY133)</f>
        <v/>
      </c>
      <c r="BL133" s="109" t="str">
        <f aca="false">IF($BC133&gt;$BB$7,"",VLOOKUP($BC133,$BE$8:$BK$507,7,FALSE()))</f>
        <v/>
      </c>
      <c r="BM133" s="110" t="str">
        <f aca="false">IF($BC133&gt;$BB$7,"",VLOOKUP($BC133,$BE$8:$BK$507,2,FALSE()))</f>
        <v/>
      </c>
      <c r="BN133" s="110" t="str">
        <f aca="false">IF($BC133&gt;$BB$7,"",VLOOKUP($BC133,$BE$8:$BK$507,3,FALSE()))</f>
        <v/>
      </c>
      <c r="BO133" s="110" t="str">
        <f aca="false">IF($BC133&gt;$BB$7,"",VLOOKUP($BC133,$BE$8:$BK$507,4,FALSE()))</f>
        <v/>
      </c>
      <c r="BP133" s="110" t="str">
        <f aca="false">IF($BC133&gt;$BB$7,"",VLOOKUP($BC133,$BE$8:$BK$507,5,FALSE()))</f>
        <v/>
      </c>
      <c r="BQ133" s="111" t="str">
        <f aca="false">IF($BC133&gt;$BB$7,"",VLOOKUP($BC133,$BE$8:$BK$507,6,FALSE()))</f>
        <v/>
      </c>
      <c r="BR133" s="54"/>
    </row>
    <row r="134" customFormat="false" ht="13.8" hidden="false" customHeight="false" outlineLevel="0" collapsed="false">
      <c r="A134" s="5"/>
      <c r="B134" s="124"/>
      <c r="C134" s="56"/>
      <c r="D134" s="57"/>
      <c r="E134" s="83"/>
      <c r="F134" s="59"/>
      <c r="G134" s="60"/>
      <c r="H134" s="61"/>
      <c r="I134" s="62"/>
      <c r="J134" s="59"/>
      <c r="K134" s="60"/>
      <c r="L134" s="61"/>
      <c r="M134" s="62"/>
      <c r="N134" s="59"/>
      <c r="O134" s="83"/>
      <c r="P134" s="64"/>
      <c r="Q134" s="66" t="str">
        <f aca="false">IF(ISBLANK($C134),"",IF(E134=Constants!$B$2, TRUE(), IF(E134=Constants!$B$3, FALSE(), TRUE())))</f>
        <v/>
      </c>
      <c r="R134" s="66" t="str">
        <f aca="false">IF(ISBLANK($C134),"",IF(F134=Constants!$B$16,Constants!$B$9,IF(F134=Constants!$B$17,Constants!$B$10,Constants!$B$8)))</f>
        <v/>
      </c>
      <c r="S134" s="66" t="str">
        <f aca="false">IF(ISBLANK($C134),"",IF(COUNTA(G134:H134)=0,"",IF(AND(OR(ISBLANK(G134),AND(ISNUMBER(G134),G134&gt;=0)),OR(ISBLANK(H134),AND(ISNUMBER(H134),H134&gt;=0))),60*IF(ISBLANK(G134),0,G134)+IF(ISBLANK(H134),0,H134),"")))</f>
        <v/>
      </c>
      <c r="T134" s="66" t="str">
        <f aca="false">IF(ISBLANK($C134),"",IF(I134=Constants!$B$2, TRUE(), IF(I134=Constants!$B$3, FALSE(), TRUE())))</f>
        <v/>
      </c>
      <c r="U134" s="66" t="str">
        <f aca="false">IF(ISBLANK($C134),"",IF(J134=Constants!$B$2, TRUE(), IF(J134=Constants!$B$3, FALSE(), TRUE())))</f>
        <v/>
      </c>
      <c r="V134" s="66" t="str">
        <f aca="false">IF(ISBLANK($C134),"",IF(COUNTA(K134:L134)=0,"",IF(AND(OR(ISBLANK(K134),AND(ISNUMBER(K134),K134&gt;=0)),OR(ISBLANK(L134),AND(ISNUMBER(L134),L134&gt;=0))),60*IF(ISBLANK(K134),0,K134)+IF(ISBLANK(L134),0,L134),"")))</f>
        <v/>
      </c>
      <c r="W134" s="66" t="str">
        <f aca="false">IF(ISBLANK($C134),"",IF(M134=Constants!$B$2, TRUE(), IF(M134=Constants!$B$3, FALSE(), TRUE())))</f>
        <v/>
      </c>
      <c r="X134" s="66" t="str">
        <f aca="false">IF(ISBLANK($C134),"",IF(N134=Constants!$B$2, TRUE(), IF(N134=Constants!$B$3, FALSE(), TRUE())))</f>
        <v/>
      </c>
      <c r="Y134" s="66" t="str">
        <f aca="false">IF(ISBLANK($C134),"",IF(O134=Constants!$B$2, TRUE(), IF(O134=Constants!$B$3, FALSE(), FALSE())))</f>
        <v/>
      </c>
      <c r="Z134" s="66" t="str">
        <f aca="false">IF(ISBLANK($C134),"",AND(S134&lt;&gt;"",Q134))</f>
        <v/>
      </c>
      <c r="AA134" s="66" t="str">
        <f aca="false">IF(ISBLANK($C134),"",AND(V134&lt;&gt;"",Q134))</f>
        <v/>
      </c>
      <c r="AB134" s="66" t="str">
        <f aca="false">IF(ISBLANK($C134),"",IF(Y134,Constants!$B$4,IF(COUNTA(E134:N134)=0,Constants!$B$5,IF(NOT(Q134),Constants!$B$6,IF(AND(NOT(Z134),NOT(AA134)),Constants!$B$6,Constants!$B$7)))))</f>
        <v/>
      </c>
      <c r="AC134" s="66" t="str">
        <f aca="false">IF(ISBLANK($C134),"",IF($AB134&lt;&gt;Constants!$B$7,$AB134,Constants!$B$20))</f>
        <v/>
      </c>
      <c r="AD134" s="66" t="str">
        <f aca="false">IF($AB134=Constants!$B$7,IF(Z134,S134,Constants!$B$13),"")</f>
        <v/>
      </c>
      <c r="AE134" s="66" t="str">
        <f aca="false">IF($AB134=Constants!$B$7,IF(Z134,R134*IF(T134, 1, Constants!$B$11)*IF(U134, 1, Constants!$B$12),Constants!$B$13),"")</f>
        <v/>
      </c>
      <c r="AF134" s="66" t="str">
        <f aca="false">IF($AB134=Constants!$B$7,AD134*AE134,"")</f>
        <v/>
      </c>
      <c r="AG134" s="66" t="str">
        <f aca="false">IF($AB134=Constants!$B$7,IF(AA134,V134,Constants!$B$13),"")</f>
        <v/>
      </c>
      <c r="AH134" s="66" t="str">
        <f aca="false">IF($AB134=Constants!$B$7,IF(AA134,R134*IF(W134, 1, Constants!$B$11)*IF(X134, 1, Constants!$B$12),Constants!$B$13),"")</f>
        <v/>
      </c>
      <c r="AI134" s="66" t="str">
        <f aca="false">IF($AB134=Constants!$B$7,AG134*AH134,"")</f>
        <v/>
      </c>
      <c r="AJ134" s="66" t="str">
        <f aca="false">IF($AB134=Constants!$B$7,IF(AI134&gt;AF134,2,1),"")</f>
        <v/>
      </c>
      <c r="AK134" s="66" t="str">
        <f aca="false">IF($AB134=Constants!$B$7,IF(AJ134=1,2,1),"")</f>
        <v/>
      </c>
      <c r="AL134" s="66" t="str">
        <f aca="false">IF(ISBLANK($C134),"",IF($AB134&lt;&gt;Constants!$B$7,$AB134,IF(AJ134=1,AF134,AI134)))</f>
        <v/>
      </c>
      <c r="AM134" s="66" t="str">
        <f aca="false">IF(ISBLANK($C134),"",IF($AB134=Constants!$B$7,IF(ISNUMBER(AL134),RANK(AL134,$AL$8:$AL$507),Constants!$B$14),$AB134))</f>
        <v/>
      </c>
      <c r="AN134" s="66" t="str">
        <f aca="false">IF(ISBLANK($C134),"",IF($AB134=Constants!$B$7,IF(AK134=1,AF134,AI134),""))</f>
        <v/>
      </c>
      <c r="AO134" s="66" t="str">
        <f aca="false">IF(ISBLANK($C134),"",IF($AB134=Constants!$B$7,RANK(AN134,$AN$8:$AN$507),$AB134))</f>
        <v/>
      </c>
      <c r="AP134" s="66" t="str">
        <f aca="false">IF(ISBLANK($C134),"",IF($AB134=Constants!$B$7,IF(ISNUMBER(AM134),COUNTIFS($AM$8:$AM$507,"&lt;"&amp;$AM134)+COUNTIFS($AM$8:$AM$507,$AM134,$AO$8:$AO$507,"&lt;"&amp;$AO134)+1,Constants!$B$14),$AB134))</f>
        <v/>
      </c>
      <c r="AQ134" s="66" t="str">
        <f aca="false">IF(ISBLANK($C134),"",IF($AB134=Constants!$B$7,IF(ISNUMBER(AM134),AM134-AP134,Constants!$B$14),$AB134))</f>
        <v/>
      </c>
      <c r="AR134" s="68"/>
      <c r="AS134" s="69" t="str">
        <f aca="false">IF(ISBLANK($C134),"",IF($AB134&lt;&gt;Constants!$B$7,"",AJ134))</f>
        <v/>
      </c>
      <c r="AT134" s="84" t="str">
        <f aca="false">IF(ISBLANK($C134),"",IF($AB134&lt;&gt;Constants!$B$7,"",IF(AJ134=1,AD134,AG134)))</f>
        <v/>
      </c>
      <c r="AU134" s="71" t="str">
        <f aca="false">IF(ISBLANK($C134),"",IF($AB134&lt;&gt;Constants!$B$7,"",IF(AJ134=1,AE134,AH134)))</f>
        <v/>
      </c>
      <c r="AV134" s="72" t="str">
        <f aca="false">IF(ISBLANK($C134),"",IF($AB134&lt;&gt;Constants!$B$7,$AB134,AL134))</f>
        <v/>
      </c>
      <c r="AW134" s="73" t="str">
        <f aca="false">IF(ISBLANK($C134),"",IF($AB134&lt;&gt;Constants!$B$7,$AB134,AC134))</f>
        <v/>
      </c>
      <c r="AX134" s="74" t="str">
        <f aca="false">IF(ISBLANK($C134),"",AQ134)</f>
        <v/>
      </c>
      <c r="AY134" s="74" t="str">
        <f aca="false">IF(ISBLANK($C134),"",AP134)</f>
        <v/>
      </c>
      <c r="AZ134" s="75" t="str">
        <f aca="false">IF(ISBLANK($C134),"",IF(AY134=Constants!$B$4,COUNTA($C$8:$C$507)+2,IF(AY134=Constants!$B$5,COUNTA($C$8:$C$507)+1,IF(AY134=Constants!$B$6,COUNTA($C$8:$C$507),AY134))))</f>
        <v/>
      </c>
      <c r="BA134" s="5"/>
      <c r="BB134" s="76" t="n">
        <f aca="false">IF(OR(ISNUMBER(AY134),AY134=Constants!$B$4,AY134=Constants!$B$6,AY134=Constants!$B$5),1,0)</f>
        <v>0</v>
      </c>
      <c r="BC134" s="76" t="n">
        <v>127</v>
      </c>
      <c r="BD134" s="76" t="str">
        <f aca="false">IF(ISBLANK($C134),"",IF(ISNUMBER(AZ134),AZ134+ROW($B134)/1000,""))</f>
        <v/>
      </c>
      <c r="BE134" s="76" t="str">
        <f aca="false">IF(ISNUMBER(BD134),RANK(BD134,$BD$8:$BD$507,1),"")</f>
        <v/>
      </c>
      <c r="BF134" s="76" t="str">
        <f aca="false">IF(ISBLANK($C134),"",$B134)</f>
        <v/>
      </c>
      <c r="BG134" s="76" t="str">
        <f aca="false">IF(ISBLANK($C134),"",$C134)</f>
        <v/>
      </c>
      <c r="BH134" s="76" t="str">
        <f aca="false">IF(ISBLANK($C134),"",$D134)</f>
        <v/>
      </c>
      <c r="BI134" s="77" t="str">
        <f aca="false">AW134</f>
        <v/>
      </c>
      <c r="BJ134" s="78" t="str">
        <f aca="false">AV134</f>
        <v/>
      </c>
      <c r="BK134" s="76" t="str">
        <f aca="false">IF(ISBLANK($C134),"",AY134)</f>
        <v/>
      </c>
      <c r="BL134" s="79" t="str">
        <f aca="false">IF($BC134&gt;$BB$7,"",VLOOKUP($BC134,$BE$8:$BK$507,7,FALSE()))</f>
        <v/>
      </c>
      <c r="BM134" s="80" t="str">
        <f aca="false">IF($BC134&gt;$BB$7,"",VLOOKUP($BC134,$BE$8:$BK$507,2,FALSE()))</f>
        <v/>
      </c>
      <c r="BN134" s="80" t="str">
        <f aca="false">IF($BC134&gt;$BB$7,"",VLOOKUP($BC134,$BE$8:$BK$507,3,FALSE()))</f>
        <v/>
      </c>
      <c r="BO134" s="80" t="str">
        <f aca="false">IF($BC134&gt;$BB$7,"",VLOOKUP($BC134,$BE$8:$BK$507,4,FALSE()))</f>
        <v/>
      </c>
      <c r="BP134" s="80" t="str">
        <f aca="false">IF($BC134&gt;$BB$7,"",VLOOKUP($BC134,$BE$8:$BK$507,5,FALSE()))</f>
        <v/>
      </c>
      <c r="BQ134" s="81" t="str">
        <f aca="false">IF($BC134&gt;$BB$7,"",VLOOKUP($BC134,$BE$8:$BK$507,6,FALSE()))</f>
        <v/>
      </c>
      <c r="BR134" s="54"/>
    </row>
    <row r="135" customFormat="false" ht="13.8" hidden="false" customHeight="false" outlineLevel="0" collapsed="false">
      <c r="A135" s="5"/>
      <c r="B135" s="124"/>
      <c r="C135" s="56"/>
      <c r="D135" s="57"/>
      <c r="E135" s="83"/>
      <c r="F135" s="59"/>
      <c r="G135" s="60"/>
      <c r="H135" s="61"/>
      <c r="I135" s="62"/>
      <c r="J135" s="59"/>
      <c r="K135" s="60"/>
      <c r="L135" s="61"/>
      <c r="M135" s="62"/>
      <c r="N135" s="59"/>
      <c r="O135" s="83"/>
      <c r="P135" s="64"/>
      <c r="Q135" s="66" t="str">
        <f aca="false">IF(ISBLANK($C135),"",IF(E135=Constants!$B$2, TRUE(), IF(E135=Constants!$B$3, FALSE(), TRUE())))</f>
        <v/>
      </c>
      <c r="R135" s="66" t="str">
        <f aca="false">IF(ISBLANK($C135),"",IF(F135=Constants!$B$16,Constants!$B$9,IF(F135=Constants!$B$17,Constants!$B$10,Constants!$B$8)))</f>
        <v/>
      </c>
      <c r="S135" s="66" t="str">
        <f aca="false">IF(ISBLANK($C135),"",IF(COUNTA(G135:H135)=0,"",IF(AND(OR(ISBLANK(G135),AND(ISNUMBER(G135),G135&gt;=0)),OR(ISBLANK(H135),AND(ISNUMBER(H135),H135&gt;=0))),60*IF(ISBLANK(G135),0,G135)+IF(ISBLANK(H135),0,H135),"")))</f>
        <v/>
      </c>
      <c r="T135" s="66" t="str">
        <f aca="false">IF(ISBLANK($C135),"",IF(I135=Constants!$B$2, TRUE(), IF(I135=Constants!$B$3, FALSE(), TRUE())))</f>
        <v/>
      </c>
      <c r="U135" s="66" t="str">
        <f aca="false">IF(ISBLANK($C135),"",IF(J135=Constants!$B$2, TRUE(), IF(J135=Constants!$B$3, FALSE(), TRUE())))</f>
        <v/>
      </c>
      <c r="V135" s="66" t="str">
        <f aca="false">IF(ISBLANK($C135),"",IF(COUNTA(K135:L135)=0,"",IF(AND(OR(ISBLANK(K135),AND(ISNUMBER(K135),K135&gt;=0)),OR(ISBLANK(L135),AND(ISNUMBER(L135),L135&gt;=0))),60*IF(ISBLANK(K135),0,K135)+IF(ISBLANK(L135),0,L135),"")))</f>
        <v/>
      </c>
      <c r="W135" s="66" t="str">
        <f aca="false">IF(ISBLANK($C135),"",IF(M135=Constants!$B$2, TRUE(), IF(M135=Constants!$B$3, FALSE(), TRUE())))</f>
        <v/>
      </c>
      <c r="X135" s="66" t="str">
        <f aca="false">IF(ISBLANK($C135),"",IF(N135=Constants!$B$2, TRUE(), IF(N135=Constants!$B$3, FALSE(), TRUE())))</f>
        <v/>
      </c>
      <c r="Y135" s="66" t="str">
        <f aca="false">IF(ISBLANK($C135),"",IF(O135=Constants!$B$2, TRUE(), IF(O135=Constants!$B$3, FALSE(), FALSE())))</f>
        <v/>
      </c>
      <c r="Z135" s="66" t="str">
        <f aca="false">IF(ISBLANK($C135),"",AND(S135&lt;&gt;"",Q135))</f>
        <v/>
      </c>
      <c r="AA135" s="66" t="str">
        <f aca="false">IF(ISBLANK($C135),"",AND(V135&lt;&gt;"",Q135))</f>
        <v/>
      </c>
      <c r="AB135" s="66" t="str">
        <f aca="false">IF(ISBLANK($C135),"",IF(Y135,Constants!$B$4,IF(COUNTA(E135:N135)=0,Constants!$B$5,IF(NOT(Q135),Constants!$B$6,IF(AND(NOT(Z135),NOT(AA135)),Constants!$B$6,Constants!$B$7)))))</f>
        <v/>
      </c>
      <c r="AC135" s="66" t="str">
        <f aca="false">IF(ISBLANK($C135),"",IF($AB135&lt;&gt;Constants!$B$7,$AB135,Constants!$B$20))</f>
        <v/>
      </c>
      <c r="AD135" s="66" t="str">
        <f aca="false">IF($AB135=Constants!$B$7,IF(Z135,S135,Constants!$B$13),"")</f>
        <v/>
      </c>
      <c r="AE135" s="66" t="str">
        <f aca="false">IF($AB135=Constants!$B$7,IF(Z135,R135*IF(T135, 1, Constants!$B$11)*IF(U135, 1, Constants!$B$12),Constants!$B$13),"")</f>
        <v/>
      </c>
      <c r="AF135" s="66" t="str">
        <f aca="false">IF($AB135=Constants!$B$7,AD135*AE135,"")</f>
        <v/>
      </c>
      <c r="AG135" s="66" t="str">
        <f aca="false">IF($AB135=Constants!$B$7,IF(AA135,V135,Constants!$B$13),"")</f>
        <v/>
      </c>
      <c r="AH135" s="66" t="str">
        <f aca="false">IF($AB135=Constants!$B$7,IF(AA135,R135*IF(W135, 1, Constants!$B$11)*IF(X135, 1, Constants!$B$12),Constants!$B$13),"")</f>
        <v/>
      </c>
      <c r="AI135" s="66" t="str">
        <f aca="false">IF($AB135=Constants!$B$7,AG135*AH135,"")</f>
        <v/>
      </c>
      <c r="AJ135" s="66" t="str">
        <f aca="false">IF($AB135=Constants!$B$7,IF(AI135&gt;AF135,2,1),"")</f>
        <v/>
      </c>
      <c r="AK135" s="66" t="str">
        <f aca="false">IF($AB135=Constants!$B$7,IF(AJ135=1,2,1),"")</f>
        <v/>
      </c>
      <c r="AL135" s="66" t="str">
        <f aca="false">IF(ISBLANK($C135),"",IF($AB135&lt;&gt;Constants!$B$7,$AB135,IF(AJ135=1,AF135,AI135)))</f>
        <v/>
      </c>
      <c r="AM135" s="66" t="str">
        <f aca="false">IF(ISBLANK($C135),"",IF($AB135=Constants!$B$7,IF(ISNUMBER(AL135),RANK(AL135,$AL$8:$AL$507),Constants!$B$14),$AB135))</f>
        <v/>
      </c>
      <c r="AN135" s="66" t="str">
        <f aca="false">IF(ISBLANK($C135),"",IF($AB135=Constants!$B$7,IF(AK135=1,AF135,AI135),""))</f>
        <v/>
      </c>
      <c r="AO135" s="66" t="str">
        <f aca="false">IF(ISBLANK($C135),"",IF($AB135=Constants!$B$7,RANK(AN135,$AN$8:$AN$507),$AB135))</f>
        <v/>
      </c>
      <c r="AP135" s="66" t="str">
        <f aca="false">IF(ISBLANK($C135),"",IF($AB135=Constants!$B$7,IF(ISNUMBER(AM135),COUNTIFS($AM$8:$AM$507,"&lt;"&amp;$AM135)+COUNTIFS($AM$8:$AM$507,$AM135,$AO$8:$AO$507,"&lt;"&amp;$AO135)+1,Constants!$B$14),$AB135))</f>
        <v/>
      </c>
      <c r="AQ135" s="66" t="str">
        <f aca="false">IF(ISBLANK($C135),"",IF($AB135=Constants!$B$7,IF(ISNUMBER(AM135),AM135-AP135,Constants!$B$14),$AB135))</f>
        <v/>
      </c>
      <c r="AR135" s="68"/>
      <c r="AS135" s="69" t="str">
        <f aca="false">IF(ISBLANK($C135),"",IF($AB135&lt;&gt;Constants!$B$7,"",AJ135))</f>
        <v/>
      </c>
      <c r="AT135" s="84" t="str">
        <f aca="false">IF(ISBLANK($C135),"",IF($AB135&lt;&gt;Constants!$B$7,"",IF(AJ135=1,AD135,AG135)))</f>
        <v/>
      </c>
      <c r="AU135" s="71" t="str">
        <f aca="false">IF(ISBLANK($C135),"",IF($AB135&lt;&gt;Constants!$B$7,"",IF(AJ135=1,AE135,AH135)))</f>
        <v/>
      </c>
      <c r="AV135" s="72" t="str">
        <f aca="false">IF(ISBLANK($C135),"",IF($AB135&lt;&gt;Constants!$B$7,$AB135,AL135))</f>
        <v/>
      </c>
      <c r="AW135" s="73" t="str">
        <f aca="false">IF(ISBLANK($C135),"",IF($AB135&lt;&gt;Constants!$B$7,$AB135,AC135))</f>
        <v/>
      </c>
      <c r="AX135" s="74" t="str">
        <f aca="false">IF(ISBLANK($C135),"",AQ135)</f>
        <v/>
      </c>
      <c r="AY135" s="74" t="str">
        <f aca="false">IF(ISBLANK($C135),"",AP135)</f>
        <v/>
      </c>
      <c r="AZ135" s="75" t="str">
        <f aca="false">IF(ISBLANK($C135),"",IF(AY135=Constants!$B$4,COUNTA($C$8:$C$507)+2,IF(AY135=Constants!$B$5,COUNTA($C$8:$C$507)+1,IF(AY135=Constants!$B$6,COUNTA($C$8:$C$507),AY135))))</f>
        <v/>
      </c>
      <c r="BA135" s="5"/>
      <c r="BB135" s="76" t="n">
        <f aca="false">IF(OR(ISNUMBER(AY135),AY135=Constants!$B$4,AY135=Constants!$B$6,AY135=Constants!$B$5),1,0)</f>
        <v>0</v>
      </c>
      <c r="BC135" s="76" t="n">
        <v>128</v>
      </c>
      <c r="BD135" s="76" t="str">
        <f aca="false">IF(ISBLANK($C135),"",IF(ISNUMBER(AZ135),AZ135+ROW($B135)/1000,""))</f>
        <v/>
      </c>
      <c r="BE135" s="76" t="str">
        <f aca="false">IF(ISNUMBER(BD135),RANK(BD135,$BD$8:$BD$507,1),"")</f>
        <v/>
      </c>
      <c r="BF135" s="76" t="str">
        <f aca="false">IF(ISBLANK($C135),"",$B135)</f>
        <v/>
      </c>
      <c r="BG135" s="76" t="str">
        <f aca="false">IF(ISBLANK($C135),"",$C135)</f>
        <v/>
      </c>
      <c r="BH135" s="76" t="str">
        <f aca="false">IF(ISBLANK($C135),"",$D135)</f>
        <v/>
      </c>
      <c r="BI135" s="77" t="str">
        <f aca="false">AW135</f>
        <v/>
      </c>
      <c r="BJ135" s="78" t="str">
        <f aca="false">AV135</f>
        <v/>
      </c>
      <c r="BK135" s="76" t="str">
        <f aca="false">IF(ISBLANK($C135),"",AY135)</f>
        <v/>
      </c>
      <c r="BL135" s="79" t="str">
        <f aca="false">IF($BC135&gt;$BB$7,"",VLOOKUP($BC135,$BE$8:$BK$507,7,FALSE()))</f>
        <v/>
      </c>
      <c r="BM135" s="80" t="str">
        <f aca="false">IF($BC135&gt;$BB$7,"",VLOOKUP($BC135,$BE$8:$BK$507,2,FALSE()))</f>
        <v/>
      </c>
      <c r="BN135" s="80" t="str">
        <f aca="false">IF($BC135&gt;$BB$7,"",VLOOKUP($BC135,$BE$8:$BK$507,3,FALSE()))</f>
        <v/>
      </c>
      <c r="BO135" s="80" t="str">
        <f aca="false">IF($BC135&gt;$BB$7,"",VLOOKUP($BC135,$BE$8:$BK$507,4,FALSE()))</f>
        <v/>
      </c>
      <c r="BP135" s="80" t="str">
        <f aca="false">IF($BC135&gt;$BB$7,"",VLOOKUP($BC135,$BE$8:$BK$507,5,FALSE()))</f>
        <v/>
      </c>
      <c r="BQ135" s="81" t="str">
        <f aca="false">IF($BC135&gt;$BB$7,"",VLOOKUP($BC135,$BE$8:$BK$507,6,FALSE()))</f>
        <v/>
      </c>
      <c r="BR135" s="54"/>
    </row>
    <row r="136" customFormat="false" ht="13.8" hidden="false" customHeight="false" outlineLevel="0" collapsed="false">
      <c r="A136" s="5"/>
      <c r="B136" s="124"/>
      <c r="C136" s="56"/>
      <c r="D136" s="57"/>
      <c r="E136" s="83"/>
      <c r="F136" s="59"/>
      <c r="G136" s="60"/>
      <c r="H136" s="61"/>
      <c r="I136" s="62"/>
      <c r="J136" s="59"/>
      <c r="K136" s="60"/>
      <c r="L136" s="61"/>
      <c r="M136" s="62"/>
      <c r="N136" s="59"/>
      <c r="O136" s="83"/>
      <c r="P136" s="64"/>
      <c r="Q136" s="66" t="str">
        <f aca="false">IF(ISBLANK($C136),"",IF(E136=Constants!$B$2, TRUE(), IF(E136=Constants!$B$3, FALSE(), TRUE())))</f>
        <v/>
      </c>
      <c r="R136" s="66" t="str">
        <f aca="false">IF(ISBLANK($C136),"",IF(F136=Constants!$B$16,Constants!$B$9,IF(F136=Constants!$B$17,Constants!$B$10,Constants!$B$8)))</f>
        <v/>
      </c>
      <c r="S136" s="66" t="str">
        <f aca="false">IF(ISBLANK($C136),"",IF(COUNTA(G136:H136)=0,"",IF(AND(OR(ISBLANK(G136),AND(ISNUMBER(G136),G136&gt;=0)),OR(ISBLANK(H136),AND(ISNUMBER(H136),H136&gt;=0))),60*IF(ISBLANK(G136),0,G136)+IF(ISBLANK(H136),0,H136),"")))</f>
        <v/>
      </c>
      <c r="T136" s="66" t="str">
        <f aca="false">IF(ISBLANK($C136),"",IF(I136=Constants!$B$2, TRUE(), IF(I136=Constants!$B$3, FALSE(), TRUE())))</f>
        <v/>
      </c>
      <c r="U136" s="66" t="str">
        <f aca="false">IF(ISBLANK($C136),"",IF(J136=Constants!$B$2, TRUE(), IF(J136=Constants!$B$3, FALSE(), TRUE())))</f>
        <v/>
      </c>
      <c r="V136" s="66" t="str">
        <f aca="false">IF(ISBLANK($C136),"",IF(COUNTA(K136:L136)=0,"",IF(AND(OR(ISBLANK(K136),AND(ISNUMBER(K136),K136&gt;=0)),OR(ISBLANK(L136),AND(ISNUMBER(L136),L136&gt;=0))),60*IF(ISBLANK(K136),0,K136)+IF(ISBLANK(L136),0,L136),"")))</f>
        <v/>
      </c>
      <c r="W136" s="66" t="str">
        <f aca="false">IF(ISBLANK($C136),"",IF(M136=Constants!$B$2, TRUE(), IF(M136=Constants!$B$3, FALSE(), TRUE())))</f>
        <v/>
      </c>
      <c r="X136" s="66" t="str">
        <f aca="false">IF(ISBLANK($C136),"",IF(N136=Constants!$B$2, TRUE(), IF(N136=Constants!$B$3, FALSE(), TRUE())))</f>
        <v/>
      </c>
      <c r="Y136" s="66" t="str">
        <f aca="false">IF(ISBLANK($C136),"",IF(O136=Constants!$B$2, TRUE(), IF(O136=Constants!$B$3, FALSE(), FALSE())))</f>
        <v/>
      </c>
      <c r="Z136" s="66" t="str">
        <f aca="false">IF(ISBLANK($C136),"",AND(S136&lt;&gt;"",Q136))</f>
        <v/>
      </c>
      <c r="AA136" s="66" t="str">
        <f aca="false">IF(ISBLANK($C136),"",AND(V136&lt;&gt;"",Q136))</f>
        <v/>
      </c>
      <c r="AB136" s="66" t="str">
        <f aca="false">IF(ISBLANK($C136),"",IF(Y136,Constants!$B$4,IF(COUNTA(E136:N136)=0,Constants!$B$5,IF(NOT(Q136),Constants!$B$6,IF(AND(NOT(Z136),NOT(AA136)),Constants!$B$6,Constants!$B$7)))))</f>
        <v/>
      </c>
      <c r="AC136" s="66" t="str">
        <f aca="false">IF(ISBLANK($C136),"",IF($AB136&lt;&gt;Constants!$B$7,$AB136,Constants!$B$20))</f>
        <v/>
      </c>
      <c r="AD136" s="66" t="str">
        <f aca="false">IF($AB136=Constants!$B$7,IF(Z136,S136,Constants!$B$13),"")</f>
        <v/>
      </c>
      <c r="AE136" s="66" t="str">
        <f aca="false">IF($AB136=Constants!$B$7,IF(Z136,R136*IF(T136, 1, Constants!$B$11)*IF(U136, 1, Constants!$B$12),Constants!$B$13),"")</f>
        <v/>
      </c>
      <c r="AF136" s="66" t="str">
        <f aca="false">IF($AB136=Constants!$B$7,AD136*AE136,"")</f>
        <v/>
      </c>
      <c r="AG136" s="66" t="str">
        <f aca="false">IF($AB136=Constants!$B$7,IF(AA136,V136,Constants!$B$13),"")</f>
        <v/>
      </c>
      <c r="AH136" s="66" t="str">
        <f aca="false">IF($AB136=Constants!$B$7,IF(AA136,R136*IF(W136, 1, Constants!$B$11)*IF(X136, 1, Constants!$B$12),Constants!$B$13),"")</f>
        <v/>
      </c>
      <c r="AI136" s="66" t="str">
        <f aca="false">IF($AB136=Constants!$B$7,AG136*AH136,"")</f>
        <v/>
      </c>
      <c r="AJ136" s="66" t="str">
        <f aca="false">IF($AB136=Constants!$B$7,IF(AI136&gt;AF136,2,1),"")</f>
        <v/>
      </c>
      <c r="AK136" s="66" t="str">
        <f aca="false">IF($AB136=Constants!$B$7,IF(AJ136=1,2,1),"")</f>
        <v/>
      </c>
      <c r="AL136" s="66" t="str">
        <f aca="false">IF(ISBLANK($C136),"",IF($AB136&lt;&gt;Constants!$B$7,$AB136,IF(AJ136=1,AF136,AI136)))</f>
        <v/>
      </c>
      <c r="AM136" s="66" t="str">
        <f aca="false">IF(ISBLANK($C136),"",IF($AB136=Constants!$B$7,IF(ISNUMBER(AL136),RANK(AL136,$AL$8:$AL$507),Constants!$B$14),$AB136))</f>
        <v/>
      </c>
      <c r="AN136" s="66" t="str">
        <f aca="false">IF(ISBLANK($C136),"",IF($AB136=Constants!$B$7,IF(AK136=1,AF136,AI136),""))</f>
        <v/>
      </c>
      <c r="AO136" s="66" t="str">
        <f aca="false">IF(ISBLANK($C136),"",IF($AB136=Constants!$B$7,RANK(AN136,$AN$8:$AN$507),$AB136))</f>
        <v/>
      </c>
      <c r="AP136" s="66" t="str">
        <f aca="false">IF(ISBLANK($C136),"",IF($AB136=Constants!$B$7,IF(ISNUMBER(AM136),COUNTIFS($AM$8:$AM$507,"&lt;"&amp;$AM136)+COUNTIFS($AM$8:$AM$507,$AM136,$AO$8:$AO$507,"&lt;"&amp;$AO136)+1,Constants!$B$14),$AB136))</f>
        <v/>
      </c>
      <c r="AQ136" s="66" t="str">
        <f aca="false">IF(ISBLANK($C136),"",IF($AB136=Constants!$B$7,IF(ISNUMBER(AM136),AM136-AP136,Constants!$B$14),$AB136))</f>
        <v/>
      </c>
      <c r="AR136" s="68"/>
      <c r="AS136" s="69" t="str">
        <f aca="false">IF(ISBLANK($C136),"",IF($AB136&lt;&gt;Constants!$B$7,"",AJ136))</f>
        <v/>
      </c>
      <c r="AT136" s="84" t="str">
        <f aca="false">IF(ISBLANK($C136),"",IF($AB136&lt;&gt;Constants!$B$7,"",IF(AJ136=1,AD136,AG136)))</f>
        <v/>
      </c>
      <c r="AU136" s="71" t="str">
        <f aca="false">IF(ISBLANK($C136),"",IF($AB136&lt;&gt;Constants!$B$7,"",IF(AJ136=1,AE136,AH136)))</f>
        <v/>
      </c>
      <c r="AV136" s="72" t="str">
        <f aca="false">IF(ISBLANK($C136),"",IF($AB136&lt;&gt;Constants!$B$7,$AB136,AL136))</f>
        <v/>
      </c>
      <c r="AW136" s="73" t="str">
        <f aca="false">IF(ISBLANK($C136),"",IF($AB136&lt;&gt;Constants!$B$7,$AB136,AC136))</f>
        <v/>
      </c>
      <c r="AX136" s="74" t="str">
        <f aca="false">IF(ISBLANK($C136),"",AQ136)</f>
        <v/>
      </c>
      <c r="AY136" s="74" t="str">
        <f aca="false">IF(ISBLANK($C136),"",AP136)</f>
        <v/>
      </c>
      <c r="AZ136" s="75" t="str">
        <f aca="false">IF(ISBLANK($C136),"",IF(AY136=Constants!$B$4,COUNTA($C$8:$C$507)+2,IF(AY136=Constants!$B$5,COUNTA($C$8:$C$507)+1,IF(AY136=Constants!$B$6,COUNTA($C$8:$C$507),AY136))))</f>
        <v/>
      </c>
      <c r="BA136" s="5"/>
      <c r="BB136" s="76" t="n">
        <f aca="false">IF(OR(ISNUMBER(AY136),AY136=Constants!$B$4,AY136=Constants!$B$6,AY136=Constants!$B$5),1,0)</f>
        <v>0</v>
      </c>
      <c r="BC136" s="76" t="n">
        <v>129</v>
      </c>
      <c r="BD136" s="76" t="str">
        <f aca="false">IF(ISBLANK($C136),"",IF(ISNUMBER(AZ136),AZ136+ROW($B136)/1000,""))</f>
        <v/>
      </c>
      <c r="BE136" s="76" t="str">
        <f aca="false">IF(ISNUMBER(BD136),RANK(BD136,$BD$8:$BD$507,1),"")</f>
        <v/>
      </c>
      <c r="BF136" s="76" t="str">
        <f aca="false">IF(ISBLANK($C136),"",$B136)</f>
        <v/>
      </c>
      <c r="BG136" s="76" t="str">
        <f aca="false">IF(ISBLANK($C136),"",$C136)</f>
        <v/>
      </c>
      <c r="BH136" s="76" t="str">
        <f aca="false">IF(ISBLANK($C136),"",$D136)</f>
        <v/>
      </c>
      <c r="BI136" s="77" t="str">
        <f aca="false">AW136</f>
        <v/>
      </c>
      <c r="BJ136" s="78" t="str">
        <f aca="false">AV136</f>
        <v/>
      </c>
      <c r="BK136" s="76" t="str">
        <f aca="false">IF(ISBLANK($C136),"",AY136)</f>
        <v/>
      </c>
      <c r="BL136" s="79" t="str">
        <f aca="false">IF($BC136&gt;$BB$7,"",VLOOKUP($BC136,$BE$8:$BK$507,7,FALSE()))</f>
        <v/>
      </c>
      <c r="BM136" s="80" t="str">
        <f aca="false">IF($BC136&gt;$BB$7,"",VLOOKUP($BC136,$BE$8:$BK$507,2,FALSE()))</f>
        <v/>
      </c>
      <c r="BN136" s="80" t="str">
        <f aca="false">IF($BC136&gt;$BB$7,"",VLOOKUP($BC136,$BE$8:$BK$507,3,FALSE()))</f>
        <v/>
      </c>
      <c r="BO136" s="80" t="str">
        <f aca="false">IF($BC136&gt;$BB$7,"",VLOOKUP($BC136,$BE$8:$BK$507,4,FALSE()))</f>
        <v/>
      </c>
      <c r="BP136" s="80" t="str">
        <f aca="false">IF($BC136&gt;$BB$7,"",VLOOKUP($BC136,$BE$8:$BK$507,5,FALSE()))</f>
        <v/>
      </c>
      <c r="BQ136" s="81" t="str">
        <f aca="false">IF($BC136&gt;$BB$7,"",VLOOKUP($BC136,$BE$8:$BK$507,6,FALSE()))</f>
        <v/>
      </c>
      <c r="BR136" s="54"/>
    </row>
    <row r="137" customFormat="false" ht="13.8" hidden="false" customHeight="false" outlineLevel="0" collapsed="false">
      <c r="A137" s="5"/>
      <c r="B137" s="120"/>
      <c r="C137" s="121"/>
      <c r="D137" s="112"/>
      <c r="E137" s="123"/>
      <c r="F137" s="91"/>
      <c r="G137" s="92"/>
      <c r="H137" s="93"/>
      <c r="I137" s="94"/>
      <c r="J137" s="91"/>
      <c r="K137" s="92"/>
      <c r="L137" s="93"/>
      <c r="M137" s="94"/>
      <c r="N137" s="91"/>
      <c r="O137" s="123"/>
      <c r="P137" s="96"/>
      <c r="Q137" s="97" t="str">
        <f aca="false">IF(ISBLANK($C137),"",IF(E137=Constants!$B$2, TRUE(), IF(E137=Constants!$B$3, FALSE(), TRUE())))</f>
        <v/>
      </c>
      <c r="R137" s="97" t="str">
        <f aca="false">IF(ISBLANK($C137),"",IF(F137=Constants!$B$16,Constants!$B$9,IF(F137=Constants!$B$17,Constants!$B$10,Constants!$B$8)))</f>
        <v/>
      </c>
      <c r="S137" s="97" t="str">
        <f aca="false">IF(ISBLANK($C137),"",IF(COUNTA(G137:H137)=0,"",IF(AND(OR(ISBLANK(G137),AND(ISNUMBER(G137),G137&gt;=0)),OR(ISBLANK(H137),AND(ISNUMBER(H137),H137&gt;=0))),60*IF(ISBLANK(G137),0,G137)+IF(ISBLANK(H137),0,H137),"")))</f>
        <v/>
      </c>
      <c r="T137" s="97" t="str">
        <f aca="false">IF(ISBLANK($C137),"",IF(I137=Constants!$B$2, TRUE(), IF(I137=Constants!$B$3, FALSE(), TRUE())))</f>
        <v/>
      </c>
      <c r="U137" s="97" t="str">
        <f aca="false">IF(ISBLANK($C137),"",IF(J137=Constants!$B$2, TRUE(), IF(J137=Constants!$B$3, FALSE(), TRUE())))</f>
        <v/>
      </c>
      <c r="V137" s="97" t="str">
        <f aca="false">IF(ISBLANK($C137),"",IF(COUNTA(K137:L137)=0,"",IF(AND(OR(ISBLANK(K137),AND(ISNUMBER(K137),K137&gt;=0)),OR(ISBLANK(L137),AND(ISNUMBER(L137),L137&gt;=0))),60*IF(ISBLANK(K137),0,K137)+IF(ISBLANK(L137),0,L137),"")))</f>
        <v/>
      </c>
      <c r="W137" s="97" t="str">
        <f aca="false">IF(ISBLANK($C137),"",IF(M137=Constants!$B$2, TRUE(), IF(M137=Constants!$B$3, FALSE(), TRUE())))</f>
        <v/>
      </c>
      <c r="X137" s="97" t="str">
        <f aca="false">IF(ISBLANK($C137),"",IF(N137=Constants!$B$2, TRUE(), IF(N137=Constants!$B$3, FALSE(), TRUE())))</f>
        <v/>
      </c>
      <c r="Y137" s="97" t="str">
        <f aca="false">IF(ISBLANK($C137),"",IF(O137=Constants!$B$2, TRUE(), IF(O137=Constants!$B$3, FALSE(), FALSE())))</f>
        <v/>
      </c>
      <c r="Z137" s="97" t="str">
        <f aca="false">IF(ISBLANK($C137),"",AND(S137&lt;&gt;"",Q137))</f>
        <v/>
      </c>
      <c r="AA137" s="97" t="str">
        <f aca="false">IF(ISBLANK($C137),"",AND(V137&lt;&gt;"",Q137))</f>
        <v/>
      </c>
      <c r="AB137" s="97" t="str">
        <f aca="false">IF(ISBLANK($C137),"",IF(Y137,Constants!$B$4,IF(COUNTA(E137:N137)=0,Constants!$B$5,IF(NOT(Q137),Constants!$B$6,IF(AND(NOT(Z137),NOT(AA137)),Constants!$B$6,Constants!$B$7)))))</f>
        <v/>
      </c>
      <c r="AC137" s="97" t="str">
        <f aca="false">IF(ISBLANK($C137),"",IF($AB137&lt;&gt;Constants!$B$7,$AB137,Constants!$B$20))</f>
        <v/>
      </c>
      <c r="AD137" s="97" t="str">
        <f aca="false">IF($AB137=Constants!$B$7,IF(Z137,S137,Constants!$B$13),"")</f>
        <v/>
      </c>
      <c r="AE137" s="97" t="str">
        <f aca="false">IF($AB137=Constants!$B$7,IF(Z137,R137*IF(T137, 1, Constants!$B$11)*IF(U137, 1, Constants!$B$12),Constants!$B$13),"")</f>
        <v/>
      </c>
      <c r="AF137" s="97" t="str">
        <f aca="false">IF($AB137=Constants!$B$7,AD137*AE137,"")</f>
        <v/>
      </c>
      <c r="AG137" s="97" t="str">
        <f aca="false">IF($AB137=Constants!$B$7,IF(AA137,V137,Constants!$B$13),"")</f>
        <v/>
      </c>
      <c r="AH137" s="97" t="str">
        <f aca="false">IF($AB137=Constants!$B$7,IF(AA137,R137*IF(W137, 1, Constants!$B$11)*IF(X137, 1, Constants!$B$12),Constants!$B$13),"")</f>
        <v/>
      </c>
      <c r="AI137" s="97" t="str">
        <f aca="false">IF($AB137=Constants!$B$7,AG137*AH137,"")</f>
        <v/>
      </c>
      <c r="AJ137" s="97" t="str">
        <f aca="false">IF($AB137=Constants!$B$7,IF(AI137&gt;AF137,2,1),"")</f>
        <v/>
      </c>
      <c r="AK137" s="97" t="str">
        <f aca="false">IF($AB137=Constants!$B$7,IF(AJ137=1,2,1),"")</f>
        <v/>
      </c>
      <c r="AL137" s="97" t="str">
        <f aca="false">IF(ISBLANK($C137),"",IF($AB137&lt;&gt;Constants!$B$7,$AB137,IF(AJ137=1,AF137,AI137)))</f>
        <v/>
      </c>
      <c r="AM137" s="97" t="str">
        <f aca="false">IF(ISBLANK($C137),"",IF($AB137=Constants!$B$7,IF(ISNUMBER(AL137),RANK(AL137,$AL$8:$AL$507),Constants!$B$14),$AB137))</f>
        <v/>
      </c>
      <c r="AN137" s="97" t="str">
        <f aca="false">IF(ISBLANK($C137),"",IF($AB137=Constants!$B$7,IF(AK137=1,AF137,AI137),""))</f>
        <v/>
      </c>
      <c r="AO137" s="97" t="str">
        <f aca="false">IF(ISBLANK($C137),"",IF($AB137=Constants!$B$7,RANK(AN137,$AN$8:$AN$507),$AB137))</f>
        <v/>
      </c>
      <c r="AP137" s="97" t="str">
        <f aca="false">IF(ISBLANK($C137),"",IF($AB137=Constants!$B$7,IF(ISNUMBER(AM137),COUNTIFS($AM$8:$AM$507,"&lt;"&amp;$AM137)+COUNTIFS($AM$8:$AM$507,$AM137,$AO$8:$AO$507,"&lt;"&amp;$AO137)+1,Constants!$B$14),$AB137))</f>
        <v/>
      </c>
      <c r="AQ137" s="97" t="str">
        <f aca="false">IF(ISBLANK($C137),"",IF($AB137=Constants!$B$7,IF(ISNUMBER(AM137),AM137-AP137,Constants!$B$14),$AB137))</f>
        <v/>
      </c>
      <c r="AR137" s="98"/>
      <c r="AS137" s="99" t="str">
        <f aca="false">IF(ISBLANK($C137),"",IF($AB137&lt;&gt;Constants!$B$7,"",AJ137))</f>
        <v/>
      </c>
      <c r="AT137" s="100" t="str">
        <f aca="false">IF(ISBLANK($C137),"",IF($AB137&lt;&gt;Constants!$B$7,"",IF(AJ137=1,AD137,AG137)))</f>
        <v/>
      </c>
      <c r="AU137" s="101" t="str">
        <f aca="false">IF(ISBLANK($C137),"",IF($AB137&lt;&gt;Constants!$B$7,"",IF(AJ137=1,AE137,AH137)))</f>
        <v/>
      </c>
      <c r="AV137" s="102" t="str">
        <f aca="false">IF(ISBLANK($C137),"",IF($AB137&lt;&gt;Constants!$B$7,$AB137,AL137))</f>
        <v/>
      </c>
      <c r="AW137" s="103" t="str">
        <f aca="false">IF(ISBLANK($C137),"",IF($AB137&lt;&gt;Constants!$B$7,$AB137,AC137))</f>
        <v/>
      </c>
      <c r="AX137" s="104" t="str">
        <f aca="false">IF(ISBLANK($C137),"",AQ137)</f>
        <v/>
      </c>
      <c r="AY137" s="104" t="str">
        <f aca="false">IF(ISBLANK($C137),"",AP137)</f>
        <v/>
      </c>
      <c r="AZ137" s="105" t="str">
        <f aca="false">IF(ISBLANK($C137),"",IF(AY137=Constants!$B$4,COUNTA($C$8:$C$507)+2,IF(AY137=Constants!$B$5,COUNTA($C$8:$C$507)+1,IF(AY137=Constants!$B$6,COUNTA($C$8:$C$507),AY137))))</f>
        <v/>
      </c>
      <c r="BA137" s="5"/>
      <c r="BB137" s="106" t="n">
        <f aca="false">IF(OR(ISNUMBER(AY137),AY137=Constants!$B$4,AY137=Constants!$B$6,AY137=Constants!$B$5),1,0)</f>
        <v>0</v>
      </c>
      <c r="BC137" s="106" t="n">
        <v>130</v>
      </c>
      <c r="BD137" s="106" t="str">
        <f aca="false">IF(ISBLANK($C137),"",IF(ISNUMBER(AZ137),AZ137+ROW($B137)/1000,""))</f>
        <v/>
      </c>
      <c r="BE137" s="106" t="str">
        <f aca="false">IF(ISNUMBER(BD137),RANK(BD137,$BD$8:$BD$507,1),"")</f>
        <v/>
      </c>
      <c r="BF137" s="106" t="str">
        <f aca="false">IF(ISBLANK($C137),"",$B137)</f>
        <v/>
      </c>
      <c r="BG137" s="106" t="str">
        <f aca="false">IF(ISBLANK($C137),"",$C137)</f>
        <v/>
      </c>
      <c r="BH137" s="106" t="str">
        <f aca="false">IF(ISBLANK($C137),"",$D137)</f>
        <v/>
      </c>
      <c r="BI137" s="107" t="str">
        <f aca="false">AW137</f>
        <v/>
      </c>
      <c r="BJ137" s="108" t="str">
        <f aca="false">AV137</f>
        <v/>
      </c>
      <c r="BK137" s="106" t="str">
        <f aca="false">IF(ISBLANK($C137),"",AY137)</f>
        <v/>
      </c>
      <c r="BL137" s="109" t="str">
        <f aca="false">IF($BC137&gt;$BB$7,"",VLOOKUP($BC137,$BE$8:$BK$507,7,FALSE()))</f>
        <v/>
      </c>
      <c r="BM137" s="110" t="str">
        <f aca="false">IF($BC137&gt;$BB$7,"",VLOOKUP($BC137,$BE$8:$BK$507,2,FALSE()))</f>
        <v/>
      </c>
      <c r="BN137" s="110" t="str">
        <f aca="false">IF($BC137&gt;$BB$7,"",VLOOKUP($BC137,$BE$8:$BK$507,3,FALSE()))</f>
        <v/>
      </c>
      <c r="BO137" s="110" t="str">
        <f aca="false">IF($BC137&gt;$BB$7,"",VLOOKUP($BC137,$BE$8:$BK$507,4,FALSE()))</f>
        <v/>
      </c>
      <c r="BP137" s="110" t="str">
        <f aca="false">IF($BC137&gt;$BB$7,"",VLOOKUP($BC137,$BE$8:$BK$507,5,FALSE()))</f>
        <v/>
      </c>
      <c r="BQ137" s="111" t="str">
        <f aca="false">IF($BC137&gt;$BB$7,"",VLOOKUP($BC137,$BE$8:$BK$507,6,FALSE()))</f>
        <v/>
      </c>
      <c r="BR137" s="54"/>
    </row>
    <row r="138" customFormat="false" ht="13.8" hidden="false" customHeight="false" outlineLevel="0" collapsed="false">
      <c r="A138" s="5"/>
      <c r="B138" s="120"/>
      <c r="C138" s="121"/>
      <c r="D138" s="112"/>
      <c r="E138" s="123"/>
      <c r="F138" s="91"/>
      <c r="G138" s="92"/>
      <c r="H138" s="93"/>
      <c r="I138" s="94"/>
      <c r="J138" s="91"/>
      <c r="K138" s="92"/>
      <c r="L138" s="93"/>
      <c r="M138" s="94"/>
      <c r="N138" s="91"/>
      <c r="O138" s="123"/>
      <c r="P138" s="96"/>
      <c r="Q138" s="97" t="str">
        <f aca="false">IF(ISBLANK($C138),"",IF(E138=Constants!$B$2, TRUE(), IF(E138=Constants!$B$3, FALSE(), TRUE())))</f>
        <v/>
      </c>
      <c r="R138" s="97" t="str">
        <f aca="false">IF(ISBLANK($C138),"",IF(F138=Constants!$B$16,Constants!$B$9,IF(F138=Constants!$B$17,Constants!$B$10,Constants!$B$8)))</f>
        <v/>
      </c>
      <c r="S138" s="97" t="str">
        <f aca="false">IF(ISBLANK($C138),"",IF(COUNTA(G138:H138)=0,"",IF(AND(OR(ISBLANK(G138),AND(ISNUMBER(G138),G138&gt;=0)),OR(ISBLANK(H138),AND(ISNUMBER(H138),H138&gt;=0))),60*IF(ISBLANK(G138),0,G138)+IF(ISBLANK(H138),0,H138),"")))</f>
        <v/>
      </c>
      <c r="T138" s="97" t="str">
        <f aca="false">IF(ISBLANK($C138),"",IF(I138=Constants!$B$2, TRUE(), IF(I138=Constants!$B$3, FALSE(), TRUE())))</f>
        <v/>
      </c>
      <c r="U138" s="97" t="str">
        <f aca="false">IF(ISBLANK($C138),"",IF(J138=Constants!$B$2, TRUE(), IF(J138=Constants!$B$3, FALSE(), TRUE())))</f>
        <v/>
      </c>
      <c r="V138" s="97" t="str">
        <f aca="false">IF(ISBLANK($C138),"",IF(COUNTA(K138:L138)=0,"",IF(AND(OR(ISBLANK(K138),AND(ISNUMBER(K138),K138&gt;=0)),OR(ISBLANK(L138),AND(ISNUMBER(L138),L138&gt;=0))),60*IF(ISBLANK(K138),0,K138)+IF(ISBLANK(L138),0,L138),"")))</f>
        <v/>
      </c>
      <c r="W138" s="97" t="str">
        <f aca="false">IF(ISBLANK($C138),"",IF(M138=Constants!$B$2, TRUE(), IF(M138=Constants!$B$3, FALSE(), TRUE())))</f>
        <v/>
      </c>
      <c r="X138" s="97" t="str">
        <f aca="false">IF(ISBLANK($C138),"",IF(N138=Constants!$B$2, TRUE(), IF(N138=Constants!$B$3, FALSE(), TRUE())))</f>
        <v/>
      </c>
      <c r="Y138" s="97" t="str">
        <f aca="false">IF(ISBLANK($C138),"",IF(O138=Constants!$B$2, TRUE(), IF(O138=Constants!$B$3, FALSE(), FALSE())))</f>
        <v/>
      </c>
      <c r="Z138" s="97" t="str">
        <f aca="false">IF(ISBLANK($C138),"",AND(S138&lt;&gt;"",Q138))</f>
        <v/>
      </c>
      <c r="AA138" s="97" t="str">
        <f aca="false">IF(ISBLANK($C138),"",AND(V138&lt;&gt;"",Q138))</f>
        <v/>
      </c>
      <c r="AB138" s="97" t="str">
        <f aca="false">IF(ISBLANK($C138),"",IF(Y138,Constants!$B$4,IF(COUNTA(E138:N138)=0,Constants!$B$5,IF(NOT(Q138),Constants!$B$6,IF(AND(NOT(Z138),NOT(AA138)),Constants!$B$6,Constants!$B$7)))))</f>
        <v/>
      </c>
      <c r="AC138" s="97" t="str">
        <f aca="false">IF(ISBLANK($C138),"",IF($AB138&lt;&gt;Constants!$B$7,$AB138,Constants!$B$20))</f>
        <v/>
      </c>
      <c r="AD138" s="97" t="str">
        <f aca="false">IF($AB138=Constants!$B$7,IF(Z138,S138,Constants!$B$13),"")</f>
        <v/>
      </c>
      <c r="AE138" s="97" t="str">
        <f aca="false">IF($AB138=Constants!$B$7,IF(Z138,R138*IF(T138, 1, Constants!$B$11)*IF(U138, 1, Constants!$B$12),Constants!$B$13),"")</f>
        <v/>
      </c>
      <c r="AF138" s="97" t="str">
        <f aca="false">IF($AB138=Constants!$B$7,AD138*AE138,"")</f>
        <v/>
      </c>
      <c r="AG138" s="97" t="str">
        <f aca="false">IF($AB138=Constants!$B$7,IF(AA138,V138,Constants!$B$13),"")</f>
        <v/>
      </c>
      <c r="AH138" s="97" t="str">
        <f aca="false">IF($AB138=Constants!$B$7,IF(AA138,R138*IF(W138, 1, Constants!$B$11)*IF(X138, 1, Constants!$B$12),Constants!$B$13),"")</f>
        <v/>
      </c>
      <c r="AI138" s="97" t="str">
        <f aca="false">IF($AB138=Constants!$B$7,AG138*AH138,"")</f>
        <v/>
      </c>
      <c r="AJ138" s="97" t="str">
        <f aca="false">IF($AB138=Constants!$B$7,IF(AI138&gt;AF138,2,1),"")</f>
        <v/>
      </c>
      <c r="AK138" s="97" t="str">
        <f aca="false">IF($AB138=Constants!$B$7,IF(AJ138=1,2,1),"")</f>
        <v/>
      </c>
      <c r="AL138" s="97" t="str">
        <f aca="false">IF(ISBLANK($C138),"",IF($AB138&lt;&gt;Constants!$B$7,$AB138,IF(AJ138=1,AF138,AI138)))</f>
        <v/>
      </c>
      <c r="AM138" s="97" t="str">
        <f aca="false">IF(ISBLANK($C138),"",IF($AB138=Constants!$B$7,IF(ISNUMBER(AL138),RANK(AL138,$AL$8:$AL$507),Constants!$B$14),$AB138))</f>
        <v/>
      </c>
      <c r="AN138" s="97" t="str">
        <f aca="false">IF(ISBLANK($C138),"",IF($AB138=Constants!$B$7,IF(AK138=1,AF138,AI138),""))</f>
        <v/>
      </c>
      <c r="AO138" s="97" t="str">
        <f aca="false">IF(ISBLANK($C138),"",IF($AB138=Constants!$B$7,RANK(AN138,$AN$8:$AN$507),$AB138))</f>
        <v/>
      </c>
      <c r="AP138" s="97" t="str">
        <f aca="false">IF(ISBLANK($C138),"",IF($AB138=Constants!$B$7,IF(ISNUMBER(AM138),COUNTIFS($AM$8:$AM$507,"&lt;"&amp;$AM138)+COUNTIFS($AM$8:$AM$507,$AM138,$AO$8:$AO$507,"&lt;"&amp;$AO138)+1,Constants!$B$14),$AB138))</f>
        <v/>
      </c>
      <c r="AQ138" s="97" t="str">
        <f aca="false">IF(ISBLANK($C138),"",IF($AB138=Constants!$B$7,IF(ISNUMBER(AM138),AM138-AP138,Constants!$B$14),$AB138))</f>
        <v/>
      </c>
      <c r="AR138" s="98"/>
      <c r="AS138" s="99" t="str">
        <f aca="false">IF(ISBLANK($C138),"",IF($AB138&lt;&gt;Constants!$B$7,"",AJ138))</f>
        <v/>
      </c>
      <c r="AT138" s="100" t="str">
        <f aca="false">IF(ISBLANK($C138),"",IF($AB138&lt;&gt;Constants!$B$7,"",IF(AJ138=1,AD138,AG138)))</f>
        <v/>
      </c>
      <c r="AU138" s="101" t="str">
        <f aca="false">IF(ISBLANK($C138),"",IF($AB138&lt;&gt;Constants!$B$7,"",IF(AJ138=1,AE138,AH138)))</f>
        <v/>
      </c>
      <c r="AV138" s="102" t="str">
        <f aca="false">IF(ISBLANK($C138),"",IF($AB138&lt;&gt;Constants!$B$7,$AB138,AL138))</f>
        <v/>
      </c>
      <c r="AW138" s="103" t="str">
        <f aca="false">IF(ISBLANK($C138),"",IF($AB138&lt;&gt;Constants!$B$7,$AB138,AC138))</f>
        <v/>
      </c>
      <c r="AX138" s="104" t="str">
        <f aca="false">IF(ISBLANK($C138),"",AQ138)</f>
        <v/>
      </c>
      <c r="AY138" s="104" t="str">
        <f aca="false">IF(ISBLANK($C138),"",AP138)</f>
        <v/>
      </c>
      <c r="AZ138" s="105" t="str">
        <f aca="false">IF(ISBLANK($C138),"",IF(AY138=Constants!$B$4,COUNTA($C$8:$C$507)+2,IF(AY138=Constants!$B$5,COUNTA($C$8:$C$507)+1,IF(AY138=Constants!$B$6,COUNTA($C$8:$C$507),AY138))))</f>
        <v/>
      </c>
      <c r="BA138" s="5"/>
      <c r="BB138" s="106" t="n">
        <f aca="false">IF(OR(ISNUMBER(AY138),AY138=Constants!$B$4,AY138=Constants!$B$6,AY138=Constants!$B$5),1,0)</f>
        <v>0</v>
      </c>
      <c r="BC138" s="106" t="n">
        <v>131</v>
      </c>
      <c r="BD138" s="106" t="str">
        <f aca="false">IF(ISBLANK($C138),"",IF(ISNUMBER(AZ138),AZ138+ROW($B138)/1000,""))</f>
        <v/>
      </c>
      <c r="BE138" s="106" t="str">
        <f aca="false">IF(ISNUMBER(BD138),RANK(BD138,$BD$8:$BD$507,1),"")</f>
        <v/>
      </c>
      <c r="BF138" s="106" t="str">
        <f aca="false">IF(ISBLANK($C138),"",$B138)</f>
        <v/>
      </c>
      <c r="BG138" s="106" t="str">
        <f aca="false">IF(ISBLANK($C138),"",$C138)</f>
        <v/>
      </c>
      <c r="BH138" s="106" t="str">
        <f aca="false">IF(ISBLANK($C138),"",$D138)</f>
        <v/>
      </c>
      <c r="BI138" s="107" t="str">
        <f aca="false">AW138</f>
        <v/>
      </c>
      <c r="BJ138" s="108" t="str">
        <f aca="false">AV138</f>
        <v/>
      </c>
      <c r="BK138" s="106" t="str">
        <f aca="false">IF(ISBLANK($C138),"",AY138)</f>
        <v/>
      </c>
      <c r="BL138" s="109" t="str">
        <f aca="false">IF($BC138&gt;$BB$7,"",VLOOKUP($BC138,$BE$8:$BK$507,7,FALSE()))</f>
        <v/>
      </c>
      <c r="BM138" s="110" t="str">
        <f aca="false">IF($BC138&gt;$BB$7,"",VLOOKUP($BC138,$BE$8:$BK$507,2,FALSE()))</f>
        <v/>
      </c>
      <c r="BN138" s="110" t="str">
        <f aca="false">IF($BC138&gt;$BB$7,"",VLOOKUP($BC138,$BE$8:$BK$507,3,FALSE()))</f>
        <v/>
      </c>
      <c r="BO138" s="110" t="str">
        <f aca="false">IF($BC138&gt;$BB$7,"",VLOOKUP($BC138,$BE$8:$BK$507,4,FALSE()))</f>
        <v/>
      </c>
      <c r="BP138" s="110" t="str">
        <f aca="false">IF($BC138&gt;$BB$7,"",VLOOKUP($BC138,$BE$8:$BK$507,5,FALSE()))</f>
        <v/>
      </c>
      <c r="BQ138" s="111" t="str">
        <f aca="false">IF($BC138&gt;$BB$7,"",VLOOKUP($BC138,$BE$8:$BK$507,6,FALSE()))</f>
        <v/>
      </c>
      <c r="BR138" s="54"/>
    </row>
    <row r="139" customFormat="false" ht="13.8" hidden="false" customHeight="false" outlineLevel="0" collapsed="false">
      <c r="A139" s="5"/>
      <c r="B139" s="120"/>
      <c r="C139" s="121"/>
      <c r="D139" s="112"/>
      <c r="E139" s="123"/>
      <c r="F139" s="91"/>
      <c r="G139" s="92"/>
      <c r="H139" s="93"/>
      <c r="I139" s="94"/>
      <c r="J139" s="91"/>
      <c r="K139" s="92"/>
      <c r="L139" s="93"/>
      <c r="M139" s="94"/>
      <c r="N139" s="91"/>
      <c r="O139" s="123"/>
      <c r="P139" s="96"/>
      <c r="Q139" s="97" t="str">
        <f aca="false">IF(ISBLANK($C139),"",IF(E139=Constants!$B$2, TRUE(), IF(E139=Constants!$B$3, FALSE(), TRUE())))</f>
        <v/>
      </c>
      <c r="R139" s="97" t="str">
        <f aca="false">IF(ISBLANK($C139),"",IF(F139=Constants!$B$16,Constants!$B$9,IF(F139=Constants!$B$17,Constants!$B$10,Constants!$B$8)))</f>
        <v/>
      </c>
      <c r="S139" s="97" t="str">
        <f aca="false">IF(ISBLANK($C139),"",IF(COUNTA(G139:H139)=0,"",IF(AND(OR(ISBLANK(G139),AND(ISNUMBER(G139),G139&gt;=0)),OR(ISBLANK(H139),AND(ISNUMBER(H139),H139&gt;=0))),60*IF(ISBLANK(G139),0,G139)+IF(ISBLANK(H139),0,H139),"")))</f>
        <v/>
      </c>
      <c r="T139" s="97" t="str">
        <f aca="false">IF(ISBLANK($C139),"",IF(I139=Constants!$B$2, TRUE(), IF(I139=Constants!$B$3, FALSE(), TRUE())))</f>
        <v/>
      </c>
      <c r="U139" s="97" t="str">
        <f aca="false">IF(ISBLANK($C139),"",IF(J139=Constants!$B$2, TRUE(), IF(J139=Constants!$B$3, FALSE(), TRUE())))</f>
        <v/>
      </c>
      <c r="V139" s="97" t="str">
        <f aca="false">IF(ISBLANK($C139),"",IF(COUNTA(K139:L139)=0,"",IF(AND(OR(ISBLANK(K139),AND(ISNUMBER(K139),K139&gt;=0)),OR(ISBLANK(L139),AND(ISNUMBER(L139),L139&gt;=0))),60*IF(ISBLANK(K139),0,K139)+IF(ISBLANK(L139),0,L139),"")))</f>
        <v/>
      </c>
      <c r="W139" s="97" t="str">
        <f aca="false">IF(ISBLANK($C139),"",IF(M139=Constants!$B$2, TRUE(), IF(M139=Constants!$B$3, FALSE(), TRUE())))</f>
        <v/>
      </c>
      <c r="X139" s="97" t="str">
        <f aca="false">IF(ISBLANK($C139),"",IF(N139=Constants!$B$2, TRUE(), IF(N139=Constants!$B$3, FALSE(), TRUE())))</f>
        <v/>
      </c>
      <c r="Y139" s="97" t="str">
        <f aca="false">IF(ISBLANK($C139),"",IF(O139=Constants!$B$2, TRUE(), IF(O139=Constants!$B$3, FALSE(), FALSE())))</f>
        <v/>
      </c>
      <c r="Z139" s="97" t="str">
        <f aca="false">IF(ISBLANK($C139),"",AND(S139&lt;&gt;"",Q139))</f>
        <v/>
      </c>
      <c r="AA139" s="97" t="str">
        <f aca="false">IF(ISBLANK($C139),"",AND(V139&lt;&gt;"",Q139))</f>
        <v/>
      </c>
      <c r="AB139" s="97" t="str">
        <f aca="false">IF(ISBLANK($C139),"",IF(Y139,Constants!$B$4,IF(COUNTA(E139:N139)=0,Constants!$B$5,IF(NOT(Q139),Constants!$B$6,IF(AND(NOT(Z139),NOT(AA139)),Constants!$B$6,Constants!$B$7)))))</f>
        <v/>
      </c>
      <c r="AC139" s="97" t="str">
        <f aca="false">IF(ISBLANK($C139),"",IF($AB139&lt;&gt;Constants!$B$7,$AB139,Constants!$B$20))</f>
        <v/>
      </c>
      <c r="AD139" s="97" t="str">
        <f aca="false">IF($AB139=Constants!$B$7,IF(Z139,S139,Constants!$B$13),"")</f>
        <v/>
      </c>
      <c r="AE139" s="97" t="str">
        <f aca="false">IF($AB139=Constants!$B$7,IF(Z139,R139*IF(T139, 1, Constants!$B$11)*IF(U139, 1, Constants!$B$12),Constants!$B$13),"")</f>
        <v/>
      </c>
      <c r="AF139" s="97" t="str">
        <f aca="false">IF($AB139=Constants!$B$7,AD139*AE139,"")</f>
        <v/>
      </c>
      <c r="AG139" s="97" t="str">
        <f aca="false">IF($AB139=Constants!$B$7,IF(AA139,V139,Constants!$B$13),"")</f>
        <v/>
      </c>
      <c r="AH139" s="97" t="str">
        <f aca="false">IF($AB139=Constants!$B$7,IF(AA139,R139*IF(W139, 1, Constants!$B$11)*IF(X139, 1, Constants!$B$12),Constants!$B$13),"")</f>
        <v/>
      </c>
      <c r="AI139" s="97" t="str">
        <f aca="false">IF($AB139=Constants!$B$7,AG139*AH139,"")</f>
        <v/>
      </c>
      <c r="AJ139" s="97" t="str">
        <f aca="false">IF($AB139=Constants!$B$7,IF(AI139&gt;AF139,2,1),"")</f>
        <v/>
      </c>
      <c r="AK139" s="97" t="str">
        <f aca="false">IF($AB139=Constants!$B$7,IF(AJ139=1,2,1),"")</f>
        <v/>
      </c>
      <c r="AL139" s="97" t="str">
        <f aca="false">IF(ISBLANK($C139),"",IF($AB139&lt;&gt;Constants!$B$7,$AB139,IF(AJ139=1,AF139,AI139)))</f>
        <v/>
      </c>
      <c r="AM139" s="97" t="str">
        <f aca="false">IF(ISBLANK($C139),"",IF($AB139=Constants!$B$7,IF(ISNUMBER(AL139),RANK(AL139,$AL$8:$AL$507),Constants!$B$14),$AB139))</f>
        <v/>
      </c>
      <c r="AN139" s="97" t="str">
        <f aca="false">IF(ISBLANK($C139),"",IF($AB139=Constants!$B$7,IF(AK139=1,AF139,AI139),""))</f>
        <v/>
      </c>
      <c r="AO139" s="97" t="str">
        <f aca="false">IF(ISBLANK($C139),"",IF($AB139=Constants!$B$7,RANK(AN139,$AN$8:$AN$507),$AB139))</f>
        <v/>
      </c>
      <c r="AP139" s="97" t="str">
        <f aca="false">IF(ISBLANK($C139),"",IF($AB139=Constants!$B$7,IF(ISNUMBER(AM139),COUNTIFS($AM$8:$AM$507,"&lt;"&amp;$AM139)+COUNTIFS($AM$8:$AM$507,$AM139,$AO$8:$AO$507,"&lt;"&amp;$AO139)+1,Constants!$B$14),$AB139))</f>
        <v/>
      </c>
      <c r="AQ139" s="97" t="str">
        <f aca="false">IF(ISBLANK($C139),"",IF($AB139=Constants!$B$7,IF(ISNUMBER(AM139),AM139-AP139,Constants!$B$14),$AB139))</f>
        <v/>
      </c>
      <c r="AR139" s="98"/>
      <c r="AS139" s="99" t="str">
        <f aca="false">IF(ISBLANK($C139),"",IF($AB139&lt;&gt;Constants!$B$7,"",AJ139))</f>
        <v/>
      </c>
      <c r="AT139" s="100" t="str">
        <f aca="false">IF(ISBLANK($C139),"",IF($AB139&lt;&gt;Constants!$B$7,"",IF(AJ139=1,AD139,AG139)))</f>
        <v/>
      </c>
      <c r="AU139" s="101" t="str">
        <f aca="false">IF(ISBLANK($C139),"",IF($AB139&lt;&gt;Constants!$B$7,"",IF(AJ139=1,AE139,AH139)))</f>
        <v/>
      </c>
      <c r="AV139" s="102" t="str">
        <f aca="false">IF(ISBLANK($C139),"",IF($AB139&lt;&gt;Constants!$B$7,$AB139,AL139))</f>
        <v/>
      </c>
      <c r="AW139" s="103" t="str">
        <f aca="false">IF(ISBLANK($C139),"",IF($AB139&lt;&gt;Constants!$B$7,$AB139,AC139))</f>
        <v/>
      </c>
      <c r="AX139" s="104" t="str">
        <f aca="false">IF(ISBLANK($C139),"",AQ139)</f>
        <v/>
      </c>
      <c r="AY139" s="104" t="str">
        <f aca="false">IF(ISBLANK($C139),"",AP139)</f>
        <v/>
      </c>
      <c r="AZ139" s="105" t="str">
        <f aca="false">IF(ISBLANK($C139),"",IF(AY139=Constants!$B$4,COUNTA($C$8:$C$507)+2,IF(AY139=Constants!$B$5,COUNTA($C$8:$C$507)+1,IF(AY139=Constants!$B$6,COUNTA($C$8:$C$507),AY139))))</f>
        <v/>
      </c>
      <c r="BA139" s="5"/>
      <c r="BB139" s="106" t="n">
        <f aca="false">IF(OR(ISNUMBER(AY139),AY139=Constants!$B$4,AY139=Constants!$B$6,AY139=Constants!$B$5),1,0)</f>
        <v>0</v>
      </c>
      <c r="BC139" s="106" t="n">
        <v>132</v>
      </c>
      <c r="BD139" s="106" t="str">
        <f aca="false">IF(ISBLANK($C139),"",IF(ISNUMBER(AZ139),AZ139+ROW($B139)/1000,""))</f>
        <v/>
      </c>
      <c r="BE139" s="106" t="str">
        <f aca="false">IF(ISNUMBER(BD139),RANK(BD139,$BD$8:$BD$507,1),"")</f>
        <v/>
      </c>
      <c r="BF139" s="106" t="str">
        <f aca="false">IF(ISBLANK($C139),"",$B139)</f>
        <v/>
      </c>
      <c r="BG139" s="106" t="str">
        <f aca="false">IF(ISBLANK($C139),"",$C139)</f>
        <v/>
      </c>
      <c r="BH139" s="106" t="str">
        <f aca="false">IF(ISBLANK($C139),"",$D139)</f>
        <v/>
      </c>
      <c r="BI139" s="107" t="str">
        <f aca="false">AW139</f>
        <v/>
      </c>
      <c r="BJ139" s="108" t="str">
        <f aca="false">AV139</f>
        <v/>
      </c>
      <c r="BK139" s="106" t="str">
        <f aca="false">IF(ISBLANK($C139),"",AY139)</f>
        <v/>
      </c>
      <c r="BL139" s="109" t="str">
        <f aca="false">IF($BC139&gt;$BB$7,"",VLOOKUP($BC139,$BE$8:$BK$507,7,FALSE()))</f>
        <v/>
      </c>
      <c r="BM139" s="110" t="str">
        <f aca="false">IF($BC139&gt;$BB$7,"",VLOOKUP($BC139,$BE$8:$BK$507,2,FALSE()))</f>
        <v/>
      </c>
      <c r="BN139" s="110" t="str">
        <f aca="false">IF($BC139&gt;$BB$7,"",VLOOKUP($BC139,$BE$8:$BK$507,3,FALSE()))</f>
        <v/>
      </c>
      <c r="BO139" s="110" t="str">
        <f aca="false">IF($BC139&gt;$BB$7,"",VLOOKUP($BC139,$BE$8:$BK$507,4,FALSE()))</f>
        <v/>
      </c>
      <c r="BP139" s="110" t="str">
        <f aca="false">IF($BC139&gt;$BB$7,"",VLOOKUP($BC139,$BE$8:$BK$507,5,FALSE()))</f>
        <v/>
      </c>
      <c r="BQ139" s="111" t="str">
        <f aca="false">IF($BC139&gt;$BB$7,"",VLOOKUP($BC139,$BE$8:$BK$507,6,FALSE()))</f>
        <v/>
      </c>
      <c r="BR139" s="54"/>
    </row>
    <row r="140" customFormat="false" ht="13.8" hidden="false" customHeight="false" outlineLevel="0" collapsed="false">
      <c r="A140" s="5"/>
      <c r="B140" s="124"/>
      <c r="C140" s="56"/>
      <c r="D140" s="57"/>
      <c r="E140" s="83"/>
      <c r="F140" s="59"/>
      <c r="G140" s="60"/>
      <c r="H140" s="61"/>
      <c r="I140" s="62"/>
      <c r="J140" s="59"/>
      <c r="K140" s="60"/>
      <c r="L140" s="61"/>
      <c r="M140" s="62"/>
      <c r="N140" s="59"/>
      <c r="O140" s="83"/>
      <c r="P140" s="64"/>
      <c r="Q140" s="66" t="str">
        <f aca="false">IF(ISBLANK($C140),"",IF(E140=Constants!$B$2, TRUE(), IF(E140=Constants!$B$3, FALSE(), TRUE())))</f>
        <v/>
      </c>
      <c r="R140" s="66" t="str">
        <f aca="false">IF(ISBLANK($C140),"",IF(F140=Constants!$B$16,Constants!$B$9,IF(F140=Constants!$B$17,Constants!$B$10,Constants!$B$8)))</f>
        <v/>
      </c>
      <c r="S140" s="66" t="str">
        <f aca="false">IF(ISBLANK($C140),"",IF(COUNTA(G140:H140)=0,"",IF(AND(OR(ISBLANK(G140),AND(ISNUMBER(G140),G140&gt;=0)),OR(ISBLANK(H140),AND(ISNUMBER(H140),H140&gt;=0))),60*IF(ISBLANK(G140),0,G140)+IF(ISBLANK(H140),0,H140),"")))</f>
        <v/>
      </c>
      <c r="T140" s="66" t="str">
        <f aca="false">IF(ISBLANK($C140),"",IF(I140=Constants!$B$2, TRUE(), IF(I140=Constants!$B$3, FALSE(), TRUE())))</f>
        <v/>
      </c>
      <c r="U140" s="66" t="str">
        <f aca="false">IF(ISBLANK($C140),"",IF(J140=Constants!$B$2, TRUE(), IF(J140=Constants!$B$3, FALSE(), TRUE())))</f>
        <v/>
      </c>
      <c r="V140" s="66" t="str">
        <f aca="false">IF(ISBLANK($C140),"",IF(COUNTA(K140:L140)=0,"",IF(AND(OR(ISBLANK(K140),AND(ISNUMBER(K140),K140&gt;=0)),OR(ISBLANK(L140),AND(ISNUMBER(L140),L140&gt;=0))),60*IF(ISBLANK(K140),0,K140)+IF(ISBLANK(L140),0,L140),"")))</f>
        <v/>
      </c>
      <c r="W140" s="66" t="str">
        <f aca="false">IF(ISBLANK($C140),"",IF(M140=Constants!$B$2, TRUE(), IF(M140=Constants!$B$3, FALSE(), TRUE())))</f>
        <v/>
      </c>
      <c r="X140" s="66" t="str">
        <f aca="false">IF(ISBLANK($C140),"",IF(N140=Constants!$B$2, TRUE(), IF(N140=Constants!$B$3, FALSE(), TRUE())))</f>
        <v/>
      </c>
      <c r="Y140" s="66" t="str">
        <f aca="false">IF(ISBLANK($C140),"",IF(O140=Constants!$B$2, TRUE(), IF(O140=Constants!$B$3, FALSE(), FALSE())))</f>
        <v/>
      </c>
      <c r="Z140" s="66" t="str">
        <f aca="false">IF(ISBLANK($C140),"",AND(S140&lt;&gt;"",Q140))</f>
        <v/>
      </c>
      <c r="AA140" s="66" t="str">
        <f aca="false">IF(ISBLANK($C140),"",AND(V140&lt;&gt;"",Q140))</f>
        <v/>
      </c>
      <c r="AB140" s="66" t="str">
        <f aca="false">IF(ISBLANK($C140),"",IF(Y140,Constants!$B$4,IF(COUNTA(E140:N140)=0,Constants!$B$5,IF(NOT(Q140),Constants!$B$6,IF(AND(NOT(Z140),NOT(AA140)),Constants!$B$6,Constants!$B$7)))))</f>
        <v/>
      </c>
      <c r="AC140" s="66" t="str">
        <f aca="false">IF(ISBLANK($C140),"",IF($AB140&lt;&gt;Constants!$B$7,$AB140,Constants!$B$20))</f>
        <v/>
      </c>
      <c r="AD140" s="66" t="str">
        <f aca="false">IF($AB140=Constants!$B$7,IF(Z140,S140,Constants!$B$13),"")</f>
        <v/>
      </c>
      <c r="AE140" s="66" t="str">
        <f aca="false">IF($AB140=Constants!$B$7,IF(Z140,R140*IF(T140, 1, Constants!$B$11)*IF(U140, 1, Constants!$B$12),Constants!$B$13),"")</f>
        <v/>
      </c>
      <c r="AF140" s="66" t="str">
        <f aca="false">IF($AB140=Constants!$B$7,AD140*AE140,"")</f>
        <v/>
      </c>
      <c r="AG140" s="66" t="str">
        <f aca="false">IF($AB140=Constants!$B$7,IF(AA140,V140,Constants!$B$13),"")</f>
        <v/>
      </c>
      <c r="AH140" s="66" t="str">
        <f aca="false">IF($AB140=Constants!$B$7,IF(AA140,R140*IF(W140, 1, Constants!$B$11)*IF(X140, 1, Constants!$B$12),Constants!$B$13),"")</f>
        <v/>
      </c>
      <c r="AI140" s="66" t="str">
        <f aca="false">IF($AB140=Constants!$B$7,AG140*AH140,"")</f>
        <v/>
      </c>
      <c r="AJ140" s="66" t="str">
        <f aca="false">IF($AB140=Constants!$B$7,IF(AI140&gt;AF140,2,1),"")</f>
        <v/>
      </c>
      <c r="AK140" s="66" t="str">
        <f aca="false">IF($AB140=Constants!$B$7,IF(AJ140=1,2,1),"")</f>
        <v/>
      </c>
      <c r="AL140" s="66" t="str">
        <f aca="false">IF(ISBLANK($C140),"",IF($AB140&lt;&gt;Constants!$B$7,$AB140,IF(AJ140=1,AF140,AI140)))</f>
        <v/>
      </c>
      <c r="AM140" s="66" t="str">
        <f aca="false">IF(ISBLANK($C140),"",IF($AB140=Constants!$B$7,IF(ISNUMBER(AL140),RANK(AL140,$AL$8:$AL$507),Constants!$B$14),$AB140))</f>
        <v/>
      </c>
      <c r="AN140" s="66" t="str">
        <f aca="false">IF(ISBLANK($C140),"",IF($AB140=Constants!$B$7,IF(AK140=1,AF140,AI140),""))</f>
        <v/>
      </c>
      <c r="AO140" s="66" t="str">
        <f aca="false">IF(ISBLANK($C140),"",IF($AB140=Constants!$B$7,RANK(AN140,$AN$8:$AN$507),$AB140))</f>
        <v/>
      </c>
      <c r="AP140" s="66" t="str">
        <f aca="false">IF(ISBLANK($C140),"",IF($AB140=Constants!$B$7,IF(ISNUMBER(AM140),COUNTIFS($AM$8:$AM$507,"&lt;"&amp;$AM140)+COUNTIFS($AM$8:$AM$507,$AM140,$AO$8:$AO$507,"&lt;"&amp;$AO140)+1,Constants!$B$14),$AB140))</f>
        <v/>
      </c>
      <c r="AQ140" s="66" t="str">
        <f aca="false">IF(ISBLANK($C140),"",IF($AB140=Constants!$B$7,IF(ISNUMBER(AM140),AM140-AP140,Constants!$B$14),$AB140))</f>
        <v/>
      </c>
      <c r="AR140" s="68"/>
      <c r="AS140" s="69" t="str">
        <f aca="false">IF(ISBLANK($C140),"",IF($AB140&lt;&gt;Constants!$B$7,"",AJ140))</f>
        <v/>
      </c>
      <c r="AT140" s="84" t="str">
        <f aca="false">IF(ISBLANK($C140),"",IF($AB140&lt;&gt;Constants!$B$7,"",IF(AJ140=1,AD140,AG140)))</f>
        <v/>
      </c>
      <c r="AU140" s="71" t="str">
        <f aca="false">IF(ISBLANK($C140),"",IF($AB140&lt;&gt;Constants!$B$7,"",IF(AJ140=1,AE140,AH140)))</f>
        <v/>
      </c>
      <c r="AV140" s="72" t="str">
        <f aca="false">IF(ISBLANK($C140),"",IF($AB140&lt;&gt;Constants!$B$7,$AB140,AL140))</f>
        <v/>
      </c>
      <c r="AW140" s="73" t="str">
        <f aca="false">IF(ISBLANK($C140),"",IF($AB140&lt;&gt;Constants!$B$7,$AB140,AC140))</f>
        <v/>
      </c>
      <c r="AX140" s="74" t="str">
        <f aca="false">IF(ISBLANK($C140),"",AQ140)</f>
        <v/>
      </c>
      <c r="AY140" s="74" t="str">
        <f aca="false">IF(ISBLANK($C140),"",AP140)</f>
        <v/>
      </c>
      <c r="AZ140" s="75" t="str">
        <f aca="false">IF(ISBLANK($C140),"",IF(AY140=Constants!$B$4,COUNTA($C$8:$C$507)+2,IF(AY140=Constants!$B$5,COUNTA($C$8:$C$507)+1,IF(AY140=Constants!$B$6,COUNTA($C$8:$C$507),AY140))))</f>
        <v/>
      </c>
      <c r="BA140" s="5"/>
      <c r="BB140" s="76" t="n">
        <f aca="false">IF(OR(ISNUMBER(AY140),AY140=Constants!$B$4,AY140=Constants!$B$6,AY140=Constants!$B$5),1,0)</f>
        <v>0</v>
      </c>
      <c r="BC140" s="76" t="n">
        <v>133</v>
      </c>
      <c r="BD140" s="76" t="str">
        <f aca="false">IF(ISBLANK($C140),"",IF(ISNUMBER(AZ140),AZ140+ROW($B140)/1000,""))</f>
        <v/>
      </c>
      <c r="BE140" s="76" t="str">
        <f aca="false">IF(ISNUMBER(BD140),RANK(BD140,$BD$8:$BD$507,1),"")</f>
        <v/>
      </c>
      <c r="BF140" s="76" t="str">
        <f aca="false">IF(ISBLANK($C140),"",$B140)</f>
        <v/>
      </c>
      <c r="BG140" s="76" t="str">
        <f aca="false">IF(ISBLANK($C140),"",$C140)</f>
        <v/>
      </c>
      <c r="BH140" s="76" t="str">
        <f aca="false">IF(ISBLANK($C140),"",$D140)</f>
        <v/>
      </c>
      <c r="BI140" s="77" t="str">
        <f aca="false">AW140</f>
        <v/>
      </c>
      <c r="BJ140" s="78" t="str">
        <f aca="false">AV140</f>
        <v/>
      </c>
      <c r="BK140" s="76" t="str">
        <f aca="false">IF(ISBLANK($C140),"",AY140)</f>
        <v/>
      </c>
      <c r="BL140" s="79" t="str">
        <f aca="false">IF($BC140&gt;$BB$7,"",VLOOKUP($BC140,$BE$8:$BK$507,7,FALSE()))</f>
        <v/>
      </c>
      <c r="BM140" s="80" t="str">
        <f aca="false">IF($BC140&gt;$BB$7,"",VLOOKUP($BC140,$BE$8:$BK$507,2,FALSE()))</f>
        <v/>
      </c>
      <c r="BN140" s="80" t="str">
        <f aca="false">IF($BC140&gt;$BB$7,"",VLOOKUP($BC140,$BE$8:$BK$507,3,FALSE()))</f>
        <v/>
      </c>
      <c r="BO140" s="80" t="str">
        <f aca="false">IF($BC140&gt;$BB$7,"",VLOOKUP($BC140,$BE$8:$BK$507,4,FALSE()))</f>
        <v/>
      </c>
      <c r="BP140" s="80" t="str">
        <f aca="false">IF($BC140&gt;$BB$7,"",VLOOKUP($BC140,$BE$8:$BK$507,5,FALSE()))</f>
        <v/>
      </c>
      <c r="BQ140" s="81" t="str">
        <f aca="false">IF($BC140&gt;$BB$7,"",VLOOKUP($BC140,$BE$8:$BK$507,6,FALSE()))</f>
        <v/>
      </c>
      <c r="BR140" s="54"/>
    </row>
    <row r="141" customFormat="false" ht="13.8" hidden="false" customHeight="false" outlineLevel="0" collapsed="false">
      <c r="A141" s="5"/>
      <c r="B141" s="124"/>
      <c r="C141" s="56"/>
      <c r="D141" s="57"/>
      <c r="E141" s="83"/>
      <c r="F141" s="59"/>
      <c r="G141" s="60"/>
      <c r="H141" s="61"/>
      <c r="I141" s="62"/>
      <c r="J141" s="59"/>
      <c r="K141" s="60"/>
      <c r="L141" s="61"/>
      <c r="M141" s="62"/>
      <c r="N141" s="59"/>
      <c r="O141" s="83"/>
      <c r="P141" s="64"/>
      <c r="Q141" s="66" t="str">
        <f aca="false">IF(ISBLANK($C141),"",IF(E141=Constants!$B$2, TRUE(), IF(E141=Constants!$B$3, FALSE(), TRUE())))</f>
        <v/>
      </c>
      <c r="R141" s="66" t="str">
        <f aca="false">IF(ISBLANK($C141),"",IF(F141=Constants!$B$16,Constants!$B$9,IF(F141=Constants!$B$17,Constants!$B$10,Constants!$B$8)))</f>
        <v/>
      </c>
      <c r="S141" s="66" t="str">
        <f aca="false">IF(ISBLANK($C141),"",IF(COUNTA(G141:H141)=0,"",IF(AND(OR(ISBLANK(G141),AND(ISNUMBER(G141),G141&gt;=0)),OR(ISBLANK(H141),AND(ISNUMBER(H141),H141&gt;=0))),60*IF(ISBLANK(G141),0,G141)+IF(ISBLANK(H141),0,H141),"")))</f>
        <v/>
      </c>
      <c r="T141" s="66" t="str">
        <f aca="false">IF(ISBLANK($C141),"",IF(I141=Constants!$B$2, TRUE(), IF(I141=Constants!$B$3, FALSE(), TRUE())))</f>
        <v/>
      </c>
      <c r="U141" s="66" t="str">
        <f aca="false">IF(ISBLANK($C141),"",IF(J141=Constants!$B$2, TRUE(), IF(J141=Constants!$B$3, FALSE(), TRUE())))</f>
        <v/>
      </c>
      <c r="V141" s="66" t="str">
        <f aca="false">IF(ISBLANK($C141),"",IF(COUNTA(K141:L141)=0,"",IF(AND(OR(ISBLANK(K141),AND(ISNUMBER(K141),K141&gt;=0)),OR(ISBLANK(L141),AND(ISNUMBER(L141),L141&gt;=0))),60*IF(ISBLANK(K141),0,K141)+IF(ISBLANK(L141),0,L141),"")))</f>
        <v/>
      </c>
      <c r="W141" s="66" t="str">
        <f aca="false">IF(ISBLANK($C141),"",IF(M141=Constants!$B$2, TRUE(), IF(M141=Constants!$B$3, FALSE(), TRUE())))</f>
        <v/>
      </c>
      <c r="X141" s="66" t="str">
        <f aca="false">IF(ISBLANK($C141),"",IF(N141=Constants!$B$2, TRUE(), IF(N141=Constants!$B$3, FALSE(), TRUE())))</f>
        <v/>
      </c>
      <c r="Y141" s="66" t="str">
        <f aca="false">IF(ISBLANK($C141),"",IF(O141=Constants!$B$2, TRUE(), IF(O141=Constants!$B$3, FALSE(), FALSE())))</f>
        <v/>
      </c>
      <c r="Z141" s="66" t="str">
        <f aca="false">IF(ISBLANK($C141),"",AND(S141&lt;&gt;"",Q141))</f>
        <v/>
      </c>
      <c r="AA141" s="66" t="str">
        <f aca="false">IF(ISBLANK($C141),"",AND(V141&lt;&gt;"",Q141))</f>
        <v/>
      </c>
      <c r="AB141" s="66" t="str">
        <f aca="false">IF(ISBLANK($C141),"",IF(Y141,Constants!$B$4,IF(COUNTA(E141:N141)=0,Constants!$B$5,IF(NOT(Q141),Constants!$B$6,IF(AND(NOT(Z141),NOT(AA141)),Constants!$B$6,Constants!$B$7)))))</f>
        <v/>
      </c>
      <c r="AC141" s="66" t="str">
        <f aca="false">IF(ISBLANK($C141),"",IF($AB141&lt;&gt;Constants!$B$7,$AB141,Constants!$B$20))</f>
        <v/>
      </c>
      <c r="AD141" s="66" t="str">
        <f aca="false">IF($AB141=Constants!$B$7,IF(Z141,S141,Constants!$B$13),"")</f>
        <v/>
      </c>
      <c r="AE141" s="66" t="str">
        <f aca="false">IF($AB141=Constants!$B$7,IF(Z141,R141*IF(T141, 1, Constants!$B$11)*IF(U141, 1, Constants!$B$12),Constants!$B$13),"")</f>
        <v/>
      </c>
      <c r="AF141" s="66" t="str">
        <f aca="false">IF($AB141=Constants!$B$7,AD141*AE141,"")</f>
        <v/>
      </c>
      <c r="AG141" s="66" t="str">
        <f aca="false">IF($AB141=Constants!$B$7,IF(AA141,V141,Constants!$B$13),"")</f>
        <v/>
      </c>
      <c r="AH141" s="66" t="str">
        <f aca="false">IF($AB141=Constants!$B$7,IF(AA141,R141*IF(W141, 1, Constants!$B$11)*IF(X141, 1, Constants!$B$12),Constants!$B$13),"")</f>
        <v/>
      </c>
      <c r="AI141" s="66" t="str">
        <f aca="false">IF($AB141=Constants!$B$7,AG141*AH141,"")</f>
        <v/>
      </c>
      <c r="AJ141" s="66" t="str">
        <f aca="false">IF($AB141=Constants!$B$7,IF(AI141&gt;AF141,2,1),"")</f>
        <v/>
      </c>
      <c r="AK141" s="66" t="str">
        <f aca="false">IF($AB141=Constants!$B$7,IF(AJ141=1,2,1),"")</f>
        <v/>
      </c>
      <c r="AL141" s="66" t="str">
        <f aca="false">IF(ISBLANK($C141),"",IF($AB141&lt;&gt;Constants!$B$7,$AB141,IF(AJ141=1,AF141,AI141)))</f>
        <v/>
      </c>
      <c r="AM141" s="66" t="str">
        <f aca="false">IF(ISBLANK($C141),"",IF($AB141=Constants!$B$7,IF(ISNUMBER(AL141),RANK(AL141,$AL$8:$AL$507),Constants!$B$14),$AB141))</f>
        <v/>
      </c>
      <c r="AN141" s="66" t="str">
        <f aca="false">IF(ISBLANK($C141),"",IF($AB141=Constants!$B$7,IF(AK141=1,AF141,AI141),""))</f>
        <v/>
      </c>
      <c r="AO141" s="66" t="str">
        <f aca="false">IF(ISBLANK($C141),"",IF($AB141=Constants!$B$7,RANK(AN141,$AN$8:$AN$507),$AB141))</f>
        <v/>
      </c>
      <c r="AP141" s="66" t="str">
        <f aca="false">IF(ISBLANK($C141),"",IF($AB141=Constants!$B$7,IF(ISNUMBER(AM141),COUNTIFS($AM$8:$AM$507,"&lt;"&amp;$AM141)+COUNTIFS($AM$8:$AM$507,$AM141,$AO$8:$AO$507,"&lt;"&amp;$AO141)+1,Constants!$B$14),$AB141))</f>
        <v/>
      </c>
      <c r="AQ141" s="66" t="str">
        <f aca="false">IF(ISBLANK($C141),"",IF($AB141=Constants!$B$7,IF(ISNUMBER(AM141),AM141-AP141,Constants!$B$14),$AB141))</f>
        <v/>
      </c>
      <c r="AR141" s="68"/>
      <c r="AS141" s="69" t="str">
        <f aca="false">IF(ISBLANK($C141),"",IF($AB141&lt;&gt;Constants!$B$7,"",AJ141))</f>
        <v/>
      </c>
      <c r="AT141" s="84" t="str">
        <f aca="false">IF(ISBLANK($C141),"",IF($AB141&lt;&gt;Constants!$B$7,"",IF(AJ141=1,AD141,AG141)))</f>
        <v/>
      </c>
      <c r="AU141" s="71" t="str">
        <f aca="false">IF(ISBLANK($C141),"",IF($AB141&lt;&gt;Constants!$B$7,"",IF(AJ141=1,AE141,AH141)))</f>
        <v/>
      </c>
      <c r="AV141" s="72" t="str">
        <f aca="false">IF(ISBLANK($C141),"",IF($AB141&lt;&gt;Constants!$B$7,$AB141,AL141))</f>
        <v/>
      </c>
      <c r="AW141" s="73" t="str">
        <f aca="false">IF(ISBLANK($C141),"",IF($AB141&lt;&gt;Constants!$B$7,$AB141,AC141))</f>
        <v/>
      </c>
      <c r="AX141" s="74" t="str">
        <f aca="false">IF(ISBLANK($C141),"",AQ141)</f>
        <v/>
      </c>
      <c r="AY141" s="74" t="str">
        <f aca="false">IF(ISBLANK($C141),"",AP141)</f>
        <v/>
      </c>
      <c r="AZ141" s="75" t="str">
        <f aca="false">IF(ISBLANK($C141),"",IF(AY141=Constants!$B$4,COUNTA($C$8:$C$507)+2,IF(AY141=Constants!$B$5,COUNTA($C$8:$C$507)+1,IF(AY141=Constants!$B$6,COUNTA($C$8:$C$507),AY141))))</f>
        <v/>
      </c>
      <c r="BA141" s="5"/>
      <c r="BB141" s="76" t="n">
        <f aca="false">IF(OR(ISNUMBER(AY141),AY141=Constants!$B$4,AY141=Constants!$B$6,AY141=Constants!$B$5),1,0)</f>
        <v>0</v>
      </c>
      <c r="BC141" s="76" t="n">
        <v>134</v>
      </c>
      <c r="BD141" s="76" t="str">
        <f aca="false">IF(ISBLANK($C141),"",IF(ISNUMBER(AZ141),AZ141+ROW($B141)/1000,""))</f>
        <v/>
      </c>
      <c r="BE141" s="76" t="str">
        <f aca="false">IF(ISNUMBER(BD141),RANK(BD141,$BD$8:$BD$507,1),"")</f>
        <v/>
      </c>
      <c r="BF141" s="76" t="str">
        <f aca="false">IF(ISBLANK($C141),"",$B141)</f>
        <v/>
      </c>
      <c r="BG141" s="76" t="str">
        <f aca="false">IF(ISBLANK($C141),"",$C141)</f>
        <v/>
      </c>
      <c r="BH141" s="76" t="str">
        <f aca="false">IF(ISBLANK($C141),"",$D141)</f>
        <v/>
      </c>
      <c r="BI141" s="77" t="str">
        <f aca="false">AW141</f>
        <v/>
      </c>
      <c r="BJ141" s="78" t="str">
        <f aca="false">AV141</f>
        <v/>
      </c>
      <c r="BK141" s="76" t="str">
        <f aca="false">IF(ISBLANK($C141),"",AY141)</f>
        <v/>
      </c>
      <c r="BL141" s="79" t="str">
        <f aca="false">IF($BC141&gt;$BB$7,"",VLOOKUP($BC141,$BE$8:$BK$507,7,FALSE()))</f>
        <v/>
      </c>
      <c r="BM141" s="80" t="str">
        <f aca="false">IF($BC141&gt;$BB$7,"",VLOOKUP($BC141,$BE$8:$BK$507,2,FALSE()))</f>
        <v/>
      </c>
      <c r="BN141" s="80" t="str">
        <f aca="false">IF($BC141&gt;$BB$7,"",VLOOKUP($BC141,$BE$8:$BK$507,3,FALSE()))</f>
        <v/>
      </c>
      <c r="BO141" s="80" t="str">
        <f aca="false">IF($BC141&gt;$BB$7,"",VLOOKUP($BC141,$BE$8:$BK$507,4,FALSE()))</f>
        <v/>
      </c>
      <c r="BP141" s="80" t="str">
        <f aca="false">IF($BC141&gt;$BB$7,"",VLOOKUP($BC141,$BE$8:$BK$507,5,FALSE()))</f>
        <v/>
      </c>
      <c r="BQ141" s="81" t="str">
        <f aca="false">IF($BC141&gt;$BB$7,"",VLOOKUP($BC141,$BE$8:$BK$507,6,FALSE()))</f>
        <v/>
      </c>
      <c r="BR141" s="54"/>
    </row>
    <row r="142" customFormat="false" ht="13.8" hidden="false" customHeight="false" outlineLevel="0" collapsed="false">
      <c r="A142" s="5"/>
      <c r="B142" s="124"/>
      <c r="C142" s="56"/>
      <c r="D142" s="57"/>
      <c r="E142" s="83"/>
      <c r="F142" s="59"/>
      <c r="G142" s="60"/>
      <c r="H142" s="61"/>
      <c r="I142" s="62"/>
      <c r="J142" s="59"/>
      <c r="K142" s="60"/>
      <c r="L142" s="61"/>
      <c r="M142" s="62"/>
      <c r="N142" s="59"/>
      <c r="O142" s="83"/>
      <c r="P142" s="64"/>
      <c r="Q142" s="66" t="str">
        <f aca="false">IF(ISBLANK($C142),"",IF(E142=Constants!$B$2, TRUE(), IF(E142=Constants!$B$3, FALSE(), TRUE())))</f>
        <v/>
      </c>
      <c r="R142" s="66" t="str">
        <f aca="false">IF(ISBLANK($C142),"",IF(F142=Constants!$B$16,Constants!$B$9,IF(F142=Constants!$B$17,Constants!$B$10,Constants!$B$8)))</f>
        <v/>
      </c>
      <c r="S142" s="66" t="str">
        <f aca="false">IF(ISBLANK($C142),"",IF(COUNTA(G142:H142)=0,"",IF(AND(OR(ISBLANK(G142),AND(ISNUMBER(G142),G142&gt;=0)),OR(ISBLANK(H142),AND(ISNUMBER(H142),H142&gt;=0))),60*IF(ISBLANK(G142),0,G142)+IF(ISBLANK(H142),0,H142),"")))</f>
        <v/>
      </c>
      <c r="T142" s="66" t="str">
        <f aca="false">IF(ISBLANK($C142),"",IF(I142=Constants!$B$2, TRUE(), IF(I142=Constants!$B$3, FALSE(), TRUE())))</f>
        <v/>
      </c>
      <c r="U142" s="66" t="str">
        <f aca="false">IF(ISBLANK($C142),"",IF(J142=Constants!$B$2, TRUE(), IF(J142=Constants!$B$3, FALSE(), TRUE())))</f>
        <v/>
      </c>
      <c r="V142" s="66" t="str">
        <f aca="false">IF(ISBLANK($C142),"",IF(COUNTA(K142:L142)=0,"",IF(AND(OR(ISBLANK(K142),AND(ISNUMBER(K142),K142&gt;=0)),OR(ISBLANK(L142),AND(ISNUMBER(L142),L142&gt;=0))),60*IF(ISBLANK(K142),0,K142)+IF(ISBLANK(L142),0,L142),"")))</f>
        <v/>
      </c>
      <c r="W142" s="66" t="str">
        <f aca="false">IF(ISBLANK($C142),"",IF(M142=Constants!$B$2, TRUE(), IF(M142=Constants!$B$3, FALSE(), TRUE())))</f>
        <v/>
      </c>
      <c r="X142" s="66" t="str">
        <f aca="false">IF(ISBLANK($C142),"",IF(N142=Constants!$B$2, TRUE(), IF(N142=Constants!$B$3, FALSE(), TRUE())))</f>
        <v/>
      </c>
      <c r="Y142" s="66" t="str">
        <f aca="false">IF(ISBLANK($C142),"",IF(O142=Constants!$B$2, TRUE(), IF(O142=Constants!$B$3, FALSE(), FALSE())))</f>
        <v/>
      </c>
      <c r="Z142" s="66" t="str">
        <f aca="false">IF(ISBLANK($C142),"",AND(S142&lt;&gt;"",Q142))</f>
        <v/>
      </c>
      <c r="AA142" s="66" t="str">
        <f aca="false">IF(ISBLANK($C142),"",AND(V142&lt;&gt;"",Q142))</f>
        <v/>
      </c>
      <c r="AB142" s="66" t="str">
        <f aca="false">IF(ISBLANK($C142),"",IF(Y142,Constants!$B$4,IF(COUNTA(E142:N142)=0,Constants!$B$5,IF(NOT(Q142),Constants!$B$6,IF(AND(NOT(Z142),NOT(AA142)),Constants!$B$6,Constants!$B$7)))))</f>
        <v/>
      </c>
      <c r="AC142" s="66" t="str">
        <f aca="false">IF(ISBLANK($C142),"",IF($AB142&lt;&gt;Constants!$B$7,$AB142,Constants!$B$20))</f>
        <v/>
      </c>
      <c r="AD142" s="66" t="str">
        <f aca="false">IF($AB142=Constants!$B$7,IF(Z142,S142,Constants!$B$13),"")</f>
        <v/>
      </c>
      <c r="AE142" s="66" t="str">
        <f aca="false">IF($AB142=Constants!$B$7,IF(Z142,R142*IF(T142, 1, Constants!$B$11)*IF(U142, 1, Constants!$B$12),Constants!$B$13),"")</f>
        <v/>
      </c>
      <c r="AF142" s="66" t="str">
        <f aca="false">IF($AB142=Constants!$B$7,AD142*AE142,"")</f>
        <v/>
      </c>
      <c r="AG142" s="66" t="str">
        <f aca="false">IF($AB142=Constants!$B$7,IF(AA142,V142,Constants!$B$13),"")</f>
        <v/>
      </c>
      <c r="AH142" s="66" t="str">
        <f aca="false">IF($AB142=Constants!$B$7,IF(AA142,R142*IF(W142, 1, Constants!$B$11)*IF(X142, 1, Constants!$B$12),Constants!$B$13),"")</f>
        <v/>
      </c>
      <c r="AI142" s="66" t="str">
        <f aca="false">IF($AB142=Constants!$B$7,AG142*AH142,"")</f>
        <v/>
      </c>
      <c r="AJ142" s="66" t="str">
        <f aca="false">IF($AB142=Constants!$B$7,IF(AI142&gt;AF142,2,1),"")</f>
        <v/>
      </c>
      <c r="AK142" s="66" t="str">
        <f aca="false">IF($AB142=Constants!$B$7,IF(AJ142=1,2,1),"")</f>
        <v/>
      </c>
      <c r="AL142" s="66" t="str">
        <f aca="false">IF(ISBLANK($C142),"",IF($AB142&lt;&gt;Constants!$B$7,$AB142,IF(AJ142=1,AF142,AI142)))</f>
        <v/>
      </c>
      <c r="AM142" s="66" t="str">
        <f aca="false">IF(ISBLANK($C142),"",IF($AB142=Constants!$B$7,IF(ISNUMBER(AL142),RANK(AL142,$AL$8:$AL$507),Constants!$B$14),$AB142))</f>
        <v/>
      </c>
      <c r="AN142" s="66" t="str">
        <f aca="false">IF(ISBLANK($C142),"",IF($AB142=Constants!$B$7,IF(AK142=1,AF142,AI142),""))</f>
        <v/>
      </c>
      <c r="AO142" s="66" t="str">
        <f aca="false">IF(ISBLANK($C142),"",IF($AB142=Constants!$B$7,RANK(AN142,$AN$8:$AN$507),$AB142))</f>
        <v/>
      </c>
      <c r="AP142" s="66" t="str">
        <f aca="false">IF(ISBLANK($C142),"",IF($AB142=Constants!$B$7,IF(ISNUMBER(AM142),COUNTIFS($AM$8:$AM$507,"&lt;"&amp;$AM142)+COUNTIFS($AM$8:$AM$507,$AM142,$AO$8:$AO$507,"&lt;"&amp;$AO142)+1,Constants!$B$14),$AB142))</f>
        <v/>
      </c>
      <c r="AQ142" s="66" t="str">
        <f aca="false">IF(ISBLANK($C142),"",IF($AB142=Constants!$B$7,IF(ISNUMBER(AM142),AM142-AP142,Constants!$B$14),$AB142))</f>
        <v/>
      </c>
      <c r="AR142" s="68"/>
      <c r="AS142" s="69" t="str">
        <f aca="false">IF(ISBLANK($C142),"",IF($AB142&lt;&gt;Constants!$B$7,"",AJ142))</f>
        <v/>
      </c>
      <c r="AT142" s="84" t="str">
        <f aca="false">IF(ISBLANK($C142),"",IF($AB142&lt;&gt;Constants!$B$7,"",IF(AJ142=1,AD142,AG142)))</f>
        <v/>
      </c>
      <c r="AU142" s="71" t="str">
        <f aca="false">IF(ISBLANK($C142),"",IF($AB142&lt;&gt;Constants!$B$7,"",IF(AJ142=1,AE142,AH142)))</f>
        <v/>
      </c>
      <c r="AV142" s="72" t="str">
        <f aca="false">IF(ISBLANK($C142),"",IF($AB142&lt;&gt;Constants!$B$7,$AB142,AL142))</f>
        <v/>
      </c>
      <c r="AW142" s="73" t="str">
        <f aca="false">IF(ISBLANK($C142),"",IF($AB142&lt;&gt;Constants!$B$7,$AB142,AC142))</f>
        <v/>
      </c>
      <c r="AX142" s="74" t="str">
        <f aca="false">IF(ISBLANK($C142),"",AQ142)</f>
        <v/>
      </c>
      <c r="AY142" s="74" t="str">
        <f aca="false">IF(ISBLANK($C142),"",AP142)</f>
        <v/>
      </c>
      <c r="AZ142" s="75" t="str">
        <f aca="false">IF(ISBLANK($C142),"",IF(AY142=Constants!$B$4,COUNTA($C$8:$C$507)+2,IF(AY142=Constants!$B$5,COUNTA($C$8:$C$507)+1,IF(AY142=Constants!$B$6,COUNTA($C$8:$C$507),AY142))))</f>
        <v/>
      </c>
      <c r="BA142" s="5"/>
      <c r="BB142" s="76" t="n">
        <f aca="false">IF(OR(ISNUMBER(AY142),AY142=Constants!$B$4,AY142=Constants!$B$6,AY142=Constants!$B$5),1,0)</f>
        <v>0</v>
      </c>
      <c r="BC142" s="76" t="n">
        <v>135</v>
      </c>
      <c r="BD142" s="76" t="str">
        <f aca="false">IF(ISBLANK($C142),"",IF(ISNUMBER(AZ142),AZ142+ROW($B142)/1000,""))</f>
        <v/>
      </c>
      <c r="BE142" s="76" t="str">
        <f aca="false">IF(ISNUMBER(BD142),RANK(BD142,$BD$8:$BD$507,1),"")</f>
        <v/>
      </c>
      <c r="BF142" s="76" t="str">
        <f aca="false">IF(ISBLANK($C142),"",$B142)</f>
        <v/>
      </c>
      <c r="BG142" s="76" t="str">
        <f aca="false">IF(ISBLANK($C142),"",$C142)</f>
        <v/>
      </c>
      <c r="BH142" s="76" t="str">
        <f aca="false">IF(ISBLANK($C142),"",$D142)</f>
        <v/>
      </c>
      <c r="BI142" s="77" t="str">
        <f aca="false">AW142</f>
        <v/>
      </c>
      <c r="BJ142" s="78" t="str">
        <f aca="false">AV142</f>
        <v/>
      </c>
      <c r="BK142" s="76" t="str">
        <f aca="false">IF(ISBLANK($C142),"",AY142)</f>
        <v/>
      </c>
      <c r="BL142" s="79" t="str">
        <f aca="false">IF($BC142&gt;$BB$7,"",VLOOKUP($BC142,$BE$8:$BK$507,7,FALSE()))</f>
        <v/>
      </c>
      <c r="BM142" s="80" t="str">
        <f aca="false">IF($BC142&gt;$BB$7,"",VLOOKUP($BC142,$BE$8:$BK$507,2,FALSE()))</f>
        <v/>
      </c>
      <c r="BN142" s="80" t="str">
        <f aca="false">IF($BC142&gt;$BB$7,"",VLOOKUP($BC142,$BE$8:$BK$507,3,FALSE()))</f>
        <v/>
      </c>
      <c r="BO142" s="80" t="str">
        <f aca="false">IF($BC142&gt;$BB$7,"",VLOOKUP($BC142,$BE$8:$BK$507,4,FALSE()))</f>
        <v/>
      </c>
      <c r="BP142" s="80" t="str">
        <f aca="false">IF($BC142&gt;$BB$7,"",VLOOKUP($BC142,$BE$8:$BK$507,5,FALSE()))</f>
        <v/>
      </c>
      <c r="BQ142" s="81" t="str">
        <f aca="false">IF($BC142&gt;$BB$7,"",VLOOKUP($BC142,$BE$8:$BK$507,6,FALSE()))</f>
        <v/>
      </c>
      <c r="BR142" s="54"/>
    </row>
    <row r="143" customFormat="false" ht="13.8" hidden="false" customHeight="false" outlineLevel="0" collapsed="false">
      <c r="A143" s="5"/>
      <c r="B143" s="120"/>
      <c r="C143" s="121"/>
      <c r="D143" s="112"/>
      <c r="E143" s="123"/>
      <c r="F143" s="91"/>
      <c r="G143" s="92"/>
      <c r="H143" s="93"/>
      <c r="I143" s="94"/>
      <c r="J143" s="91"/>
      <c r="K143" s="92"/>
      <c r="L143" s="93"/>
      <c r="M143" s="94"/>
      <c r="N143" s="91"/>
      <c r="O143" s="123"/>
      <c r="P143" s="96"/>
      <c r="Q143" s="97" t="str">
        <f aca="false">IF(ISBLANK($C143),"",IF(E143=Constants!$B$2, TRUE(), IF(E143=Constants!$B$3, FALSE(), TRUE())))</f>
        <v/>
      </c>
      <c r="R143" s="97" t="str">
        <f aca="false">IF(ISBLANK($C143),"",IF(F143=Constants!$B$16,Constants!$B$9,IF(F143=Constants!$B$17,Constants!$B$10,Constants!$B$8)))</f>
        <v/>
      </c>
      <c r="S143" s="97" t="str">
        <f aca="false">IF(ISBLANK($C143),"",IF(COUNTA(G143:H143)=0,"",IF(AND(OR(ISBLANK(G143),AND(ISNUMBER(G143),G143&gt;=0)),OR(ISBLANK(H143),AND(ISNUMBER(H143),H143&gt;=0))),60*IF(ISBLANK(G143),0,G143)+IF(ISBLANK(H143),0,H143),"")))</f>
        <v/>
      </c>
      <c r="T143" s="97" t="str">
        <f aca="false">IF(ISBLANK($C143),"",IF(I143=Constants!$B$2, TRUE(), IF(I143=Constants!$B$3, FALSE(), TRUE())))</f>
        <v/>
      </c>
      <c r="U143" s="97" t="str">
        <f aca="false">IF(ISBLANK($C143),"",IF(J143=Constants!$B$2, TRUE(), IF(J143=Constants!$B$3, FALSE(), TRUE())))</f>
        <v/>
      </c>
      <c r="V143" s="97" t="str">
        <f aca="false">IF(ISBLANK($C143),"",IF(COUNTA(K143:L143)=0,"",IF(AND(OR(ISBLANK(K143),AND(ISNUMBER(K143),K143&gt;=0)),OR(ISBLANK(L143),AND(ISNUMBER(L143),L143&gt;=0))),60*IF(ISBLANK(K143),0,K143)+IF(ISBLANK(L143),0,L143),"")))</f>
        <v/>
      </c>
      <c r="W143" s="97" t="str">
        <f aca="false">IF(ISBLANK($C143),"",IF(M143=Constants!$B$2, TRUE(), IF(M143=Constants!$B$3, FALSE(), TRUE())))</f>
        <v/>
      </c>
      <c r="X143" s="97" t="str">
        <f aca="false">IF(ISBLANK($C143),"",IF(N143=Constants!$B$2, TRUE(), IF(N143=Constants!$B$3, FALSE(), TRUE())))</f>
        <v/>
      </c>
      <c r="Y143" s="97" t="str">
        <f aca="false">IF(ISBLANK($C143),"",IF(O143=Constants!$B$2, TRUE(), IF(O143=Constants!$B$3, FALSE(), FALSE())))</f>
        <v/>
      </c>
      <c r="Z143" s="97" t="str">
        <f aca="false">IF(ISBLANK($C143),"",AND(S143&lt;&gt;"",Q143))</f>
        <v/>
      </c>
      <c r="AA143" s="97" t="str">
        <f aca="false">IF(ISBLANK($C143),"",AND(V143&lt;&gt;"",Q143))</f>
        <v/>
      </c>
      <c r="AB143" s="97" t="str">
        <f aca="false">IF(ISBLANK($C143),"",IF(Y143,Constants!$B$4,IF(COUNTA(E143:N143)=0,Constants!$B$5,IF(NOT(Q143),Constants!$B$6,IF(AND(NOT(Z143),NOT(AA143)),Constants!$B$6,Constants!$B$7)))))</f>
        <v/>
      </c>
      <c r="AC143" s="97" t="str">
        <f aca="false">IF(ISBLANK($C143),"",IF($AB143&lt;&gt;Constants!$B$7,$AB143,Constants!$B$20))</f>
        <v/>
      </c>
      <c r="AD143" s="97" t="str">
        <f aca="false">IF($AB143=Constants!$B$7,IF(Z143,S143,Constants!$B$13),"")</f>
        <v/>
      </c>
      <c r="AE143" s="97" t="str">
        <f aca="false">IF($AB143=Constants!$B$7,IF(Z143,R143*IF(T143, 1, Constants!$B$11)*IF(U143, 1, Constants!$B$12),Constants!$B$13),"")</f>
        <v/>
      </c>
      <c r="AF143" s="97" t="str">
        <f aca="false">IF($AB143=Constants!$B$7,AD143*AE143,"")</f>
        <v/>
      </c>
      <c r="AG143" s="97" t="str">
        <f aca="false">IF($AB143=Constants!$B$7,IF(AA143,V143,Constants!$B$13),"")</f>
        <v/>
      </c>
      <c r="AH143" s="97" t="str">
        <f aca="false">IF($AB143=Constants!$B$7,IF(AA143,R143*IF(W143, 1, Constants!$B$11)*IF(X143, 1, Constants!$B$12),Constants!$B$13),"")</f>
        <v/>
      </c>
      <c r="AI143" s="97" t="str">
        <f aca="false">IF($AB143=Constants!$B$7,AG143*AH143,"")</f>
        <v/>
      </c>
      <c r="AJ143" s="97" t="str">
        <f aca="false">IF($AB143=Constants!$B$7,IF(AI143&gt;AF143,2,1),"")</f>
        <v/>
      </c>
      <c r="AK143" s="97" t="str">
        <f aca="false">IF($AB143=Constants!$B$7,IF(AJ143=1,2,1),"")</f>
        <v/>
      </c>
      <c r="AL143" s="97" t="str">
        <f aca="false">IF(ISBLANK($C143),"",IF($AB143&lt;&gt;Constants!$B$7,$AB143,IF(AJ143=1,AF143,AI143)))</f>
        <v/>
      </c>
      <c r="AM143" s="97" t="str">
        <f aca="false">IF(ISBLANK($C143),"",IF($AB143=Constants!$B$7,IF(ISNUMBER(AL143),RANK(AL143,$AL$8:$AL$507),Constants!$B$14),$AB143))</f>
        <v/>
      </c>
      <c r="AN143" s="97" t="str">
        <f aca="false">IF(ISBLANK($C143),"",IF($AB143=Constants!$B$7,IF(AK143=1,AF143,AI143),""))</f>
        <v/>
      </c>
      <c r="AO143" s="97" t="str">
        <f aca="false">IF(ISBLANK($C143),"",IF($AB143=Constants!$B$7,RANK(AN143,$AN$8:$AN$507),$AB143))</f>
        <v/>
      </c>
      <c r="AP143" s="97" t="str">
        <f aca="false">IF(ISBLANK($C143),"",IF($AB143=Constants!$B$7,IF(ISNUMBER(AM143),COUNTIFS($AM$8:$AM$507,"&lt;"&amp;$AM143)+COUNTIFS($AM$8:$AM$507,$AM143,$AO$8:$AO$507,"&lt;"&amp;$AO143)+1,Constants!$B$14),$AB143))</f>
        <v/>
      </c>
      <c r="AQ143" s="97" t="str">
        <f aca="false">IF(ISBLANK($C143),"",IF($AB143=Constants!$B$7,IF(ISNUMBER(AM143),AM143-AP143,Constants!$B$14),$AB143))</f>
        <v/>
      </c>
      <c r="AR143" s="98"/>
      <c r="AS143" s="99" t="str">
        <f aca="false">IF(ISBLANK($C143),"",IF($AB143&lt;&gt;Constants!$B$7,"",AJ143))</f>
        <v/>
      </c>
      <c r="AT143" s="100" t="str">
        <f aca="false">IF(ISBLANK($C143),"",IF($AB143&lt;&gt;Constants!$B$7,"",IF(AJ143=1,AD143,AG143)))</f>
        <v/>
      </c>
      <c r="AU143" s="101" t="str">
        <f aca="false">IF(ISBLANK($C143),"",IF($AB143&lt;&gt;Constants!$B$7,"",IF(AJ143=1,AE143,AH143)))</f>
        <v/>
      </c>
      <c r="AV143" s="102" t="str">
        <f aca="false">IF(ISBLANK($C143),"",IF($AB143&lt;&gt;Constants!$B$7,$AB143,AL143))</f>
        <v/>
      </c>
      <c r="AW143" s="103" t="str">
        <f aca="false">IF(ISBLANK($C143),"",IF($AB143&lt;&gt;Constants!$B$7,$AB143,AC143))</f>
        <v/>
      </c>
      <c r="AX143" s="104" t="str">
        <f aca="false">IF(ISBLANK($C143),"",AQ143)</f>
        <v/>
      </c>
      <c r="AY143" s="104" t="str">
        <f aca="false">IF(ISBLANK($C143),"",AP143)</f>
        <v/>
      </c>
      <c r="AZ143" s="105" t="str">
        <f aca="false">IF(ISBLANK($C143),"",IF(AY143=Constants!$B$4,COUNTA($C$8:$C$507)+2,IF(AY143=Constants!$B$5,COUNTA($C$8:$C$507)+1,IF(AY143=Constants!$B$6,COUNTA($C$8:$C$507),AY143))))</f>
        <v/>
      </c>
      <c r="BA143" s="5"/>
      <c r="BB143" s="106" t="n">
        <f aca="false">IF(OR(ISNUMBER(AY143),AY143=Constants!$B$4,AY143=Constants!$B$6,AY143=Constants!$B$5),1,0)</f>
        <v>0</v>
      </c>
      <c r="BC143" s="106" t="n">
        <v>136</v>
      </c>
      <c r="BD143" s="106" t="str">
        <f aca="false">IF(ISBLANK($C143),"",IF(ISNUMBER(AZ143),AZ143+ROW($B143)/1000,""))</f>
        <v/>
      </c>
      <c r="BE143" s="106" t="str">
        <f aca="false">IF(ISNUMBER(BD143),RANK(BD143,$BD$8:$BD$507,1),"")</f>
        <v/>
      </c>
      <c r="BF143" s="106" t="str">
        <f aca="false">IF(ISBLANK($C143),"",$B143)</f>
        <v/>
      </c>
      <c r="BG143" s="106" t="str">
        <f aca="false">IF(ISBLANK($C143),"",$C143)</f>
        <v/>
      </c>
      <c r="BH143" s="106" t="str">
        <f aca="false">IF(ISBLANK($C143),"",$D143)</f>
        <v/>
      </c>
      <c r="BI143" s="107" t="str">
        <f aca="false">AW143</f>
        <v/>
      </c>
      <c r="BJ143" s="108" t="str">
        <f aca="false">AV143</f>
        <v/>
      </c>
      <c r="BK143" s="106" t="str">
        <f aca="false">IF(ISBLANK($C143),"",AY143)</f>
        <v/>
      </c>
      <c r="BL143" s="109" t="str">
        <f aca="false">IF($BC143&gt;$BB$7,"",VLOOKUP($BC143,$BE$8:$BK$507,7,FALSE()))</f>
        <v/>
      </c>
      <c r="BM143" s="110" t="str">
        <f aca="false">IF($BC143&gt;$BB$7,"",VLOOKUP($BC143,$BE$8:$BK$507,2,FALSE()))</f>
        <v/>
      </c>
      <c r="BN143" s="110" t="str">
        <f aca="false">IF($BC143&gt;$BB$7,"",VLOOKUP($BC143,$BE$8:$BK$507,3,FALSE()))</f>
        <v/>
      </c>
      <c r="BO143" s="110" t="str">
        <f aca="false">IF($BC143&gt;$BB$7,"",VLOOKUP($BC143,$BE$8:$BK$507,4,FALSE()))</f>
        <v/>
      </c>
      <c r="BP143" s="110" t="str">
        <f aca="false">IF($BC143&gt;$BB$7,"",VLOOKUP($BC143,$BE$8:$BK$507,5,FALSE()))</f>
        <v/>
      </c>
      <c r="BQ143" s="111" t="str">
        <f aca="false">IF($BC143&gt;$BB$7,"",VLOOKUP($BC143,$BE$8:$BK$507,6,FALSE()))</f>
        <v/>
      </c>
      <c r="BR143" s="54"/>
    </row>
    <row r="144" customFormat="false" ht="13.8" hidden="false" customHeight="false" outlineLevel="0" collapsed="false">
      <c r="A144" s="5"/>
      <c r="B144" s="120"/>
      <c r="C144" s="121"/>
      <c r="D144" s="112"/>
      <c r="E144" s="123"/>
      <c r="F144" s="91"/>
      <c r="G144" s="92"/>
      <c r="H144" s="93"/>
      <c r="I144" s="94"/>
      <c r="J144" s="91"/>
      <c r="K144" s="92"/>
      <c r="L144" s="93"/>
      <c r="M144" s="94"/>
      <c r="N144" s="91"/>
      <c r="O144" s="123"/>
      <c r="P144" s="96"/>
      <c r="Q144" s="97" t="str">
        <f aca="false">IF(ISBLANK($C144),"",IF(E144=Constants!$B$2, TRUE(), IF(E144=Constants!$B$3, FALSE(), TRUE())))</f>
        <v/>
      </c>
      <c r="R144" s="97" t="str">
        <f aca="false">IF(ISBLANK($C144),"",IF(F144=Constants!$B$16,Constants!$B$9,IF(F144=Constants!$B$17,Constants!$B$10,Constants!$B$8)))</f>
        <v/>
      </c>
      <c r="S144" s="97" t="str">
        <f aca="false">IF(ISBLANK($C144),"",IF(COUNTA(G144:H144)=0,"",IF(AND(OR(ISBLANK(G144),AND(ISNUMBER(G144),G144&gt;=0)),OR(ISBLANK(H144),AND(ISNUMBER(H144),H144&gt;=0))),60*IF(ISBLANK(G144),0,G144)+IF(ISBLANK(H144),0,H144),"")))</f>
        <v/>
      </c>
      <c r="T144" s="97" t="str">
        <f aca="false">IF(ISBLANK($C144),"",IF(I144=Constants!$B$2, TRUE(), IF(I144=Constants!$B$3, FALSE(), TRUE())))</f>
        <v/>
      </c>
      <c r="U144" s="97" t="str">
        <f aca="false">IF(ISBLANK($C144),"",IF(J144=Constants!$B$2, TRUE(), IF(J144=Constants!$B$3, FALSE(), TRUE())))</f>
        <v/>
      </c>
      <c r="V144" s="97" t="str">
        <f aca="false">IF(ISBLANK($C144),"",IF(COUNTA(K144:L144)=0,"",IF(AND(OR(ISBLANK(K144),AND(ISNUMBER(K144),K144&gt;=0)),OR(ISBLANK(L144),AND(ISNUMBER(L144),L144&gt;=0))),60*IF(ISBLANK(K144),0,K144)+IF(ISBLANK(L144),0,L144),"")))</f>
        <v/>
      </c>
      <c r="W144" s="97" t="str">
        <f aca="false">IF(ISBLANK($C144),"",IF(M144=Constants!$B$2, TRUE(), IF(M144=Constants!$B$3, FALSE(), TRUE())))</f>
        <v/>
      </c>
      <c r="X144" s="97" t="str">
        <f aca="false">IF(ISBLANK($C144),"",IF(N144=Constants!$B$2, TRUE(), IF(N144=Constants!$B$3, FALSE(), TRUE())))</f>
        <v/>
      </c>
      <c r="Y144" s="97" t="str">
        <f aca="false">IF(ISBLANK($C144),"",IF(O144=Constants!$B$2, TRUE(), IF(O144=Constants!$B$3, FALSE(), FALSE())))</f>
        <v/>
      </c>
      <c r="Z144" s="97" t="str">
        <f aca="false">IF(ISBLANK($C144),"",AND(S144&lt;&gt;"",Q144))</f>
        <v/>
      </c>
      <c r="AA144" s="97" t="str">
        <f aca="false">IF(ISBLANK($C144),"",AND(V144&lt;&gt;"",Q144))</f>
        <v/>
      </c>
      <c r="AB144" s="97" t="str">
        <f aca="false">IF(ISBLANK($C144),"",IF(Y144,Constants!$B$4,IF(COUNTA(E144:N144)=0,Constants!$B$5,IF(NOT(Q144),Constants!$B$6,IF(AND(NOT(Z144),NOT(AA144)),Constants!$B$6,Constants!$B$7)))))</f>
        <v/>
      </c>
      <c r="AC144" s="97" t="str">
        <f aca="false">IF(ISBLANK($C144),"",IF($AB144&lt;&gt;Constants!$B$7,$AB144,Constants!$B$20))</f>
        <v/>
      </c>
      <c r="AD144" s="97" t="str">
        <f aca="false">IF($AB144=Constants!$B$7,IF(Z144,S144,Constants!$B$13),"")</f>
        <v/>
      </c>
      <c r="AE144" s="97" t="str">
        <f aca="false">IF($AB144=Constants!$B$7,IF(Z144,R144*IF(T144, 1, Constants!$B$11)*IF(U144, 1, Constants!$B$12),Constants!$B$13),"")</f>
        <v/>
      </c>
      <c r="AF144" s="97" t="str">
        <f aca="false">IF($AB144=Constants!$B$7,AD144*AE144,"")</f>
        <v/>
      </c>
      <c r="AG144" s="97" t="str">
        <f aca="false">IF($AB144=Constants!$B$7,IF(AA144,V144,Constants!$B$13),"")</f>
        <v/>
      </c>
      <c r="AH144" s="97" t="str">
        <f aca="false">IF($AB144=Constants!$B$7,IF(AA144,R144*IF(W144, 1, Constants!$B$11)*IF(X144, 1, Constants!$B$12),Constants!$B$13),"")</f>
        <v/>
      </c>
      <c r="AI144" s="97" t="str">
        <f aca="false">IF($AB144=Constants!$B$7,AG144*AH144,"")</f>
        <v/>
      </c>
      <c r="AJ144" s="97" t="str">
        <f aca="false">IF($AB144=Constants!$B$7,IF(AI144&gt;AF144,2,1),"")</f>
        <v/>
      </c>
      <c r="AK144" s="97" t="str">
        <f aca="false">IF($AB144=Constants!$B$7,IF(AJ144=1,2,1),"")</f>
        <v/>
      </c>
      <c r="AL144" s="97" t="str">
        <f aca="false">IF(ISBLANK($C144),"",IF($AB144&lt;&gt;Constants!$B$7,$AB144,IF(AJ144=1,AF144,AI144)))</f>
        <v/>
      </c>
      <c r="AM144" s="97" t="str">
        <f aca="false">IF(ISBLANK($C144),"",IF($AB144=Constants!$B$7,IF(ISNUMBER(AL144),RANK(AL144,$AL$8:$AL$507),Constants!$B$14),$AB144))</f>
        <v/>
      </c>
      <c r="AN144" s="97" t="str">
        <f aca="false">IF(ISBLANK($C144),"",IF($AB144=Constants!$B$7,IF(AK144=1,AF144,AI144),""))</f>
        <v/>
      </c>
      <c r="AO144" s="97" t="str">
        <f aca="false">IF(ISBLANK($C144),"",IF($AB144=Constants!$B$7,RANK(AN144,$AN$8:$AN$507),$AB144))</f>
        <v/>
      </c>
      <c r="AP144" s="97" t="str">
        <f aca="false">IF(ISBLANK($C144),"",IF($AB144=Constants!$B$7,IF(ISNUMBER(AM144),COUNTIFS($AM$8:$AM$507,"&lt;"&amp;$AM144)+COUNTIFS($AM$8:$AM$507,$AM144,$AO$8:$AO$507,"&lt;"&amp;$AO144)+1,Constants!$B$14),$AB144))</f>
        <v/>
      </c>
      <c r="AQ144" s="97" t="str">
        <f aca="false">IF(ISBLANK($C144),"",IF($AB144=Constants!$B$7,IF(ISNUMBER(AM144),AM144-AP144,Constants!$B$14),$AB144))</f>
        <v/>
      </c>
      <c r="AR144" s="98"/>
      <c r="AS144" s="99" t="str">
        <f aca="false">IF(ISBLANK($C144),"",IF($AB144&lt;&gt;Constants!$B$7,"",AJ144))</f>
        <v/>
      </c>
      <c r="AT144" s="100" t="str">
        <f aca="false">IF(ISBLANK($C144),"",IF($AB144&lt;&gt;Constants!$B$7,"",IF(AJ144=1,AD144,AG144)))</f>
        <v/>
      </c>
      <c r="AU144" s="101" t="str">
        <f aca="false">IF(ISBLANK($C144),"",IF($AB144&lt;&gt;Constants!$B$7,"",IF(AJ144=1,AE144,AH144)))</f>
        <v/>
      </c>
      <c r="AV144" s="102" t="str">
        <f aca="false">IF(ISBLANK($C144),"",IF($AB144&lt;&gt;Constants!$B$7,$AB144,AL144))</f>
        <v/>
      </c>
      <c r="AW144" s="103" t="str">
        <f aca="false">IF(ISBLANK($C144),"",IF($AB144&lt;&gt;Constants!$B$7,$AB144,AC144))</f>
        <v/>
      </c>
      <c r="AX144" s="104" t="str">
        <f aca="false">IF(ISBLANK($C144),"",AQ144)</f>
        <v/>
      </c>
      <c r="AY144" s="104" t="str">
        <f aca="false">IF(ISBLANK($C144),"",AP144)</f>
        <v/>
      </c>
      <c r="AZ144" s="105" t="str">
        <f aca="false">IF(ISBLANK($C144),"",IF(AY144=Constants!$B$4,COUNTA($C$8:$C$507)+2,IF(AY144=Constants!$B$5,COUNTA($C$8:$C$507)+1,IF(AY144=Constants!$B$6,COUNTA($C$8:$C$507),AY144))))</f>
        <v/>
      </c>
      <c r="BA144" s="5"/>
      <c r="BB144" s="106" t="n">
        <f aca="false">IF(OR(ISNUMBER(AY144),AY144=Constants!$B$4,AY144=Constants!$B$6,AY144=Constants!$B$5),1,0)</f>
        <v>0</v>
      </c>
      <c r="BC144" s="106" t="n">
        <v>137</v>
      </c>
      <c r="BD144" s="106" t="str">
        <f aca="false">IF(ISBLANK($C144),"",IF(ISNUMBER(AZ144),AZ144+ROW($B144)/1000,""))</f>
        <v/>
      </c>
      <c r="BE144" s="106" t="str">
        <f aca="false">IF(ISNUMBER(BD144),RANK(BD144,$BD$8:$BD$507,1),"")</f>
        <v/>
      </c>
      <c r="BF144" s="106" t="str">
        <f aca="false">IF(ISBLANK($C144),"",$B144)</f>
        <v/>
      </c>
      <c r="BG144" s="106" t="str">
        <f aca="false">IF(ISBLANK($C144),"",$C144)</f>
        <v/>
      </c>
      <c r="BH144" s="106" t="str">
        <f aca="false">IF(ISBLANK($C144),"",$D144)</f>
        <v/>
      </c>
      <c r="BI144" s="107" t="str">
        <f aca="false">AW144</f>
        <v/>
      </c>
      <c r="BJ144" s="108" t="str">
        <f aca="false">AV144</f>
        <v/>
      </c>
      <c r="BK144" s="106" t="str">
        <f aca="false">IF(ISBLANK($C144),"",AY144)</f>
        <v/>
      </c>
      <c r="BL144" s="109" t="str">
        <f aca="false">IF($BC144&gt;$BB$7,"",VLOOKUP($BC144,$BE$8:$BK$507,7,FALSE()))</f>
        <v/>
      </c>
      <c r="BM144" s="110" t="str">
        <f aca="false">IF($BC144&gt;$BB$7,"",VLOOKUP($BC144,$BE$8:$BK$507,2,FALSE()))</f>
        <v/>
      </c>
      <c r="BN144" s="110" t="str">
        <f aca="false">IF($BC144&gt;$BB$7,"",VLOOKUP($BC144,$BE$8:$BK$507,3,FALSE()))</f>
        <v/>
      </c>
      <c r="BO144" s="110" t="str">
        <f aca="false">IF($BC144&gt;$BB$7,"",VLOOKUP($BC144,$BE$8:$BK$507,4,FALSE()))</f>
        <v/>
      </c>
      <c r="BP144" s="110" t="str">
        <f aca="false">IF($BC144&gt;$BB$7,"",VLOOKUP($BC144,$BE$8:$BK$507,5,FALSE()))</f>
        <v/>
      </c>
      <c r="BQ144" s="111" t="str">
        <f aca="false">IF($BC144&gt;$BB$7,"",VLOOKUP($BC144,$BE$8:$BK$507,6,FALSE()))</f>
        <v/>
      </c>
      <c r="BR144" s="54"/>
    </row>
    <row r="145" customFormat="false" ht="13.8" hidden="false" customHeight="false" outlineLevel="0" collapsed="false">
      <c r="A145" s="5"/>
      <c r="B145" s="120"/>
      <c r="C145" s="121"/>
      <c r="D145" s="112"/>
      <c r="E145" s="123"/>
      <c r="F145" s="91"/>
      <c r="G145" s="92"/>
      <c r="H145" s="93"/>
      <c r="I145" s="94"/>
      <c r="J145" s="91"/>
      <c r="K145" s="92"/>
      <c r="L145" s="93"/>
      <c r="M145" s="94"/>
      <c r="N145" s="91"/>
      <c r="O145" s="123"/>
      <c r="P145" s="96"/>
      <c r="Q145" s="97" t="str">
        <f aca="false">IF(ISBLANK($C145),"",IF(E145=Constants!$B$2, TRUE(), IF(E145=Constants!$B$3, FALSE(), TRUE())))</f>
        <v/>
      </c>
      <c r="R145" s="97" t="str">
        <f aca="false">IF(ISBLANK($C145),"",IF(F145=Constants!$B$16,Constants!$B$9,IF(F145=Constants!$B$17,Constants!$B$10,Constants!$B$8)))</f>
        <v/>
      </c>
      <c r="S145" s="97" t="str">
        <f aca="false">IF(ISBLANK($C145),"",IF(COUNTA(G145:H145)=0,"",IF(AND(OR(ISBLANK(G145),AND(ISNUMBER(G145),G145&gt;=0)),OR(ISBLANK(H145),AND(ISNUMBER(H145),H145&gt;=0))),60*IF(ISBLANK(G145),0,G145)+IF(ISBLANK(H145),0,H145),"")))</f>
        <v/>
      </c>
      <c r="T145" s="97" t="str">
        <f aca="false">IF(ISBLANK($C145),"",IF(I145=Constants!$B$2, TRUE(), IF(I145=Constants!$B$3, FALSE(), TRUE())))</f>
        <v/>
      </c>
      <c r="U145" s="97" t="str">
        <f aca="false">IF(ISBLANK($C145),"",IF(J145=Constants!$B$2, TRUE(), IF(J145=Constants!$B$3, FALSE(), TRUE())))</f>
        <v/>
      </c>
      <c r="V145" s="97" t="str">
        <f aca="false">IF(ISBLANK($C145),"",IF(COUNTA(K145:L145)=0,"",IF(AND(OR(ISBLANK(K145),AND(ISNUMBER(K145),K145&gt;=0)),OR(ISBLANK(L145),AND(ISNUMBER(L145),L145&gt;=0))),60*IF(ISBLANK(K145),0,K145)+IF(ISBLANK(L145),0,L145),"")))</f>
        <v/>
      </c>
      <c r="W145" s="97" t="str">
        <f aca="false">IF(ISBLANK($C145),"",IF(M145=Constants!$B$2, TRUE(), IF(M145=Constants!$B$3, FALSE(), TRUE())))</f>
        <v/>
      </c>
      <c r="X145" s="97" t="str">
        <f aca="false">IF(ISBLANK($C145),"",IF(N145=Constants!$B$2, TRUE(), IF(N145=Constants!$B$3, FALSE(), TRUE())))</f>
        <v/>
      </c>
      <c r="Y145" s="97" t="str">
        <f aca="false">IF(ISBLANK($C145),"",IF(O145=Constants!$B$2, TRUE(), IF(O145=Constants!$B$3, FALSE(), FALSE())))</f>
        <v/>
      </c>
      <c r="Z145" s="97" t="str">
        <f aca="false">IF(ISBLANK($C145),"",AND(S145&lt;&gt;"",Q145))</f>
        <v/>
      </c>
      <c r="AA145" s="97" t="str">
        <f aca="false">IF(ISBLANK($C145),"",AND(V145&lt;&gt;"",Q145))</f>
        <v/>
      </c>
      <c r="AB145" s="97" t="str">
        <f aca="false">IF(ISBLANK($C145),"",IF(Y145,Constants!$B$4,IF(COUNTA(E145:N145)=0,Constants!$B$5,IF(NOT(Q145),Constants!$B$6,IF(AND(NOT(Z145),NOT(AA145)),Constants!$B$6,Constants!$B$7)))))</f>
        <v/>
      </c>
      <c r="AC145" s="97" t="str">
        <f aca="false">IF(ISBLANK($C145),"",IF($AB145&lt;&gt;Constants!$B$7,$AB145,Constants!$B$20))</f>
        <v/>
      </c>
      <c r="AD145" s="97" t="str">
        <f aca="false">IF($AB145=Constants!$B$7,IF(Z145,S145,Constants!$B$13),"")</f>
        <v/>
      </c>
      <c r="AE145" s="97" t="str">
        <f aca="false">IF($AB145=Constants!$B$7,IF(Z145,R145*IF(T145, 1, Constants!$B$11)*IF(U145, 1, Constants!$B$12),Constants!$B$13),"")</f>
        <v/>
      </c>
      <c r="AF145" s="97" t="str">
        <f aca="false">IF($AB145=Constants!$B$7,AD145*AE145,"")</f>
        <v/>
      </c>
      <c r="AG145" s="97" t="str">
        <f aca="false">IF($AB145=Constants!$B$7,IF(AA145,V145,Constants!$B$13),"")</f>
        <v/>
      </c>
      <c r="AH145" s="97" t="str">
        <f aca="false">IF($AB145=Constants!$B$7,IF(AA145,R145*IF(W145, 1, Constants!$B$11)*IF(X145, 1, Constants!$B$12),Constants!$B$13),"")</f>
        <v/>
      </c>
      <c r="AI145" s="97" t="str">
        <f aca="false">IF($AB145=Constants!$B$7,AG145*AH145,"")</f>
        <v/>
      </c>
      <c r="AJ145" s="97" t="str">
        <f aca="false">IF($AB145=Constants!$B$7,IF(AI145&gt;AF145,2,1),"")</f>
        <v/>
      </c>
      <c r="AK145" s="97" t="str">
        <f aca="false">IF($AB145=Constants!$B$7,IF(AJ145=1,2,1),"")</f>
        <v/>
      </c>
      <c r="AL145" s="97" t="str">
        <f aca="false">IF(ISBLANK($C145),"",IF($AB145&lt;&gt;Constants!$B$7,$AB145,IF(AJ145=1,AF145,AI145)))</f>
        <v/>
      </c>
      <c r="AM145" s="97" t="str">
        <f aca="false">IF(ISBLANK($C145),"",IF($AB145=Constants!$B$7,IF(ISNUMBER(AL145),RANK(AL145,$AL$8:$AL$507),Constants!$B$14),$AB145))</f>
        <v/>
      </c>
      <c r="AN145" s="97" t="str">
        <f aca="false">IF(ISBLANK($C145),"",IF($AB145=Constants!$B$7,IF(AK145=1,AF145,AI145),""))</f>
        <v/>
      </c>
      <c r="AO145" s="97" t="str">
        <f aca="false">IF(ISBLANK($C145),"",IF($AB145=Constants!$B$7,RANK(AN145,$AN$8:$AN$507),$AB145))</f>
        <v/>
      </c>
      <c r="AP145" s="97" t="str">
        <f aca="false">IF(ISBLANK($C145),"",IF($AB145=Constants!$B$7,IF(ISNUMBER(AM145),COUNTIFS($AM$8:$AM$507,"&lt;"&amp;$AM145)+COUNTIFS($AM$8:$AM$507,$AM145,$AO$8:$AO$507,"&lt;"&amp;$AO145)+1,Constants!$B$14),$AB145))</f>
        <v/>
      </c>
      <c r="AQ145" s="97" t="str">
        <f aca="false">IF(ISBLANK($C145),"",IF($AB145=Constants!$B$7,IF(ISNUMBER(AM145),AM145-AP145,Constants!$B$14),$AB145))</f>
        <v/>
      </c>
      <c r="AR145" s="98"/>
      <c r="AS145" s="99" t="str">
        <f aca="false">IF(ISBLANK($C145),"",IF($AB145&lt;&gt;Constants!$B$7,"",AJ145))</f>
        <v/>
      </c>
      <c r="AT145" s="100" t="str">
        <f aca="false">IF(ISBLANK($C145),"",IF($AB145&lt;&gt;Constants!$B$7,"",IF(AJ145=1,AD145,AG145)))</f>
        <v/>
      </c>
      <c r="AU145" s="101" t="str">
        <f aca="false">IF(ISBLANK($C145),"",IF($AB145&lt;&gt;Constants!$B$7,"",IF(AJ145=1,AE145,AH145)))</f>
        <v/>
      </c>
      <c r="AV145" s="102" t="str">
        <f aca="false">IF(ISBLANK($C145),"",IF($AB145&lt;&gt;Constants!$B$7,$AB145,AL145))</f>
        <v/>
      </c>
      <c r="AW145" s="103" t="str">
        <f aca="false">IF(ISBLANK($C145),"",IF($AB145&lt;&gt;Constants!$B$7,$AB145,AC145))</f>
        <v/>
      </c>
      <c r="AX145" s="104" t="str">
        <f aca="false">IF(ISBLANK($C145),"",AQ145)</f>
        <v/>
      </c>
      <c r="AY145" s="104" t="str">
        <f aca="false">IF(ISBLANK($C145),"",AP145)</f>
        <v/>
      </c>
      <c r="AZ145" s="105" t="str">
        <f aca="false">IF(ISBLANK($C145),"",IF(AY145=Constants!$B$4,COUNTA($C$8:$C$507)+2,IF(AY145=Constants!$B$5,COUNTA($C$8:$C$507)+1,IF(AY145=Constants!$B$6,COUNTA($C$8:$C$507),AY145))))</f>
        <v/>
      </c>
      <c r="BA145" s="5"/>
      <c r="BB145" s="106" t="n">
        <f aca="false">IF(OR(ISNUMBER(AY145),AY145=Constants!$B$4,AY145=Constants!$B$6,AY145=Constants!$B$5),1,0)</f>
        <v>0</v>
      </c>
      <c r="BC145" s="106" t="n">
        <v>138</v>
      </c>
      <c r="BD145" s="106" t="str">
        <f aca="false">IF(ISBLANK($C145),"",IF(ISNUMBER(AZ145),AZ145+ROW($B145)/1000,""))</f>
        <v/>
      </c>
      <c r="BE145" s="106" t="str">
        <f aca="false">IF(ISNUMBER(BD145),RANK(BD145,$BD$8:$BD$507,1),"")</f>
        <v/>
      </c>
      <c r="BF145" s="106" t="str">
        <f aca="false">IF(ISBLANK($C145),"",$B145)</f>
        <v/>
      </c>
      <c r="BG145" s="106" t="str">
        <f aca="false">IF(ISBLANK($C145),"",$C145)</f>
        <v/>
      </c>
      <c r="BH145" s="106" t="str">
        <f aca="false">IF(ISBLANK($C145),"",$D145)</f>
        <v/>
      </c>
      <c r="BI145" s="107" t="str">
        <f aca="false">AW145</f>
        <v/>
      </c>
      <c r="BJ145" s="108" t="str">
        <f aca="false">AV145</f>
        <v/>
      </c>
      <c r="BK145" s="106" t="str">
        <f aca="false">IF(ISBLANK($C145),"",AY145)</f>
        <v/>
      </c>
      <c r="BL145" s="109" t="str">
        <f aca="false">IF($BC145&gt;$BB$7,"",VLOOKUP($BC145,$BE$8:$BK$507,7,FALSE()))</f>
        <v/>
      </c>
      <c r="BM145" s="110" t="str">
        <f aca="false">IF($BC145&gt;$BB$7,"",VLOOKUP($BC145,$BE$8:$BK$507,2,FALSE()))</f>
        <v/>
      </c>
      <c r="BN145" s="110" t="str">
        <f aca="false">IF($BC145&gt;$BB$7,"",VLOOKUP($BC145,$BE$8:$BK$507,3,FALSE()))</f>
        <v/>
      </c>
      <c r="BO145" s="110" t="str">
        <f aca="false">IF($BC145&gt;$BB$7,"",VLOOKUP($BC145,$BE$8:$BK$507,4,FALSE()))</f>
        <v/>
      </c>
      <c r="BP145" s="110" t="str">
        <f aca="false">IF($BC145&gt;$BB$7,"",VLOOKUP($BC145,$BE$8:$BK$507,5,FALSE()))</f>
        <v/>
      </c>
      <c r="BQ145" s="111" t="str">
        <f aca="false">IF($BC145&gt;$BB$7,"",VLOOKUP($BC145,$BE$8:$BK$507,6,FALSE()))</f>
        <v/>
      </c>
      <c r="BR145" s="54"/>
    </row>
    <row r="146" customFormat="false" ht="13.8" hidden="false" customHeight="false" outlineLevel="0" collapsed="false">
      <c r="A146" s="5"/>
      <c r="B146" s="124"/>
      <c r="C146" s="56"/>
      <c r="D146" s="57"/>
      <c r="E146" s="83"/>
      <c r="F146" s="59"/>
      <c r="G146" s="60"/>
      <c r="H146" s="61"/>
      <c r="I146" s="62"/>
      <c r="J146" s="59"/>
      <c r="K146" s="60"/>
      <c r="L146" s="61"/>
      <c r="M146" s="62"/>
      <c r="N146" s="59"/>
      <c r="O146" s="83"/>
      <c r="P146" s="64"/>
      <c r="Q146" s="66" t="str">
        <f aca="false">IF(ISBLANK($C146),"",IF(E146=Constants!$B$2, TRUE(), IF(E146=Constants!$B$3, FALSE(), TRUE())))</f>
        <v/>
      </c>
      <c r="R146" s="66" t="str">
        <f aca="false">IF(ISBLANK($C146),"",IF(F146=Constants!$B$16,Constants!$B$9,IF(F146=Constants!$B$17,Constants!$B$10,Constants!$B$8)))</f>
        <v/>
      </c>
      <c r="S146" s="66" t="str">
        <f aca="false">IF(ISBLANK($C146),"",IF(COUNTA(G146:H146)=0,"",IF(AND(OR(ISBLANK(G146),AND(ISNUMBER(G146),G146&gt;=0)),OR(ISBLANK(H146),AND(ISNUMBER(H146),H146&gt;=0))),60*IF(ISBLANK(G146),0,G146)+IF(ISBLANK(H146),0,H146),"")))</f>
        <v/>
      </c>
      <c r="T146" s="66" t="str">
        <f aca="false">IF(ISBLANK($C146),"",IF(I146=Constants!$B$2, TRUE(), IF(I146=Constants!$B$3, FALSE(), TRUE())))</f>
        <v/>
      </c>
      <c r="U146" s="66" t="str">
        <f aca="false">IF(ISBLANK($C146),"",IF(J146=Constants!$B$2, TRUE(), IF(J146=Constants!$B$3, FALSE(), TRUE())))</f>
        <v/>
      </c>
      <c r="V146" s="66" t="str">
        <f aca="false">IF(ISBLANK($C146),"",IF(COUNTA(K146:L146)=0,"",IF(AND(OR(ISBLANK(K146),AND(ISNUMBER(K146),K146&gt;=0)),OR(ISBLANK(L146),AND(ISNUMBER(L146),L146&gt;=0))),60*IF(ISBLANK(K146),0,K146)+IF(ISBLANK(L146),0,L146),"")))</f>
        <v/>
      </c>
      <c r="W146" s="66" t="str">
        <f aca="false">IF(ISBLANK($C146),"",IF(M146=Constants!$B$2, TRUE(), IF(M146=Constants!$B$3, FALSE(), TRUE())))</f>
        <v/>
      </c>
      <c r="X146" s="66" t="str">
        <f aca="false">IF(ISBLANK($C146),"",IF(N146=Constants!$B$2, TRUE(), IF(N146=Constants!$B$3, FALSE(), TRUE())))</f>
        <v/>
      </c>
      <c r="Y146" s="66" t="str">
        <f aca="false">IF(ISBLANK($C146),"",IF(O146=Constants!$B$2, TRUE(), IF(O146=Constants!$B$3, FALSE(), FALSE())))</f>
        <v/>
      </c>
      <c r="Z146" s="66" t="str">
        <f aca="false">IF(ISBLANK($C146),"",AND(S146&lt;&gt;"",Q146))</f>
        <v/>
      </c>
      <c r="AA146" s="66" t="str">
        <f aca="false">IF(ISBLANK($C146),"",AND(V146&lt;&gt;"",Q146))</f>
        <v/>
      </c>
      <c r="AB146" s="66" t="str">
        <f aca="false">IF(ISBLANK($C146),"",IF(Y146,Constants!$B$4,IF(COUNTA(E146:N146)=0,Constants!$B$5,IF(NOT(Q146),Constants!$B$6,IF(AND(NOT(Z146),NOT(AA146)),Constants!$B$6,Constants!$B$7)))))</f>
        <v/>
      </c>
      <c r="AC146" s="66" t="str">
        <f aca="false">IF(ISBLANK($C146),"",IF($AB146&lt;&gt;Constants!$B$7,$AB146,Constants!$B$20))</f>
        <v/>
      </c>
      <c r="AD146" s="66" t="str">
        <f aca="false">IF($AB146=Constants!$B$7,IF(Z146,S146,Constants!$B$13),"")</f>
        <v/>
      </c>
      <c r="AE146" s="66" t="str">
        <f aca="false">IF($AB146=Constants!$B$7,IF(Z146,R146*IF(T146, 1, Constants!$B$11)*IF(U146, 1, Constants!$B$12),Constants!$B$13),"")</f>
        <v/>
      </c>
      <c r="AF146" s="66" t="str">
        <f aca="false">IF($AB146=Constants!$B$7,AD146*AE146,"")</f>
        <v/>
      </c>
      <c r="AG146" s="66" t="str">
        <f aca="false">IF($AB146=Constants!$B$7,IF(AA146,V146,Constants!$B$13),"")</f>
        <v/>
      </c>
      <c r="AH146" s="66" t="str">
        <f aca="false">IF($AB146=Constants!$B$7,IF(AA146,R146*IF(W146, 1, Constants!$B$11)*IF(X146, 1, Constants!$B$12),Constants!$B$13),"")</f>
        <v/>
      </c>
      <c r="AI146" s="66" t="str">
        <f aca="false">IF($AB146=Constants!$B$7,AG146*AH146,"")</f>
        <v/>
      </c>
      <c r="AJ146" s="66" t="str">
        <f aca="false">IF($AB146=Constants!$B$7,IF(AI146&gt;AF146,2,1),"")</f>
        <v/>
      </c>
      <c r="AK146" s="66" t="str">
        <f aca="false">IF($AB146=Constants!$B$7,IF(AJ146=1,2,1),"")</f>
        <v/>
      </c>
      <c r="AL146" s="66" t="str">
        <f aca="false">IF(ISBLANK($C146),"",IF($AB146&lt;&gt;Constants!$B$7,$AB146,IF(AJ146=1,AF146,AI146)))</f>
        <v/>
      </c>
      <c r="AM146" s="66" t="str">
        <f aca="false">IF(ISBLANK($C146),"",IF($AB146=Constants!$B$7,IF(ISNUMBER(AL146),RANK(AL146,$AL$8:$AL$507),Constants!$B$14),$AB146))</f>
        <v/>
      </c>
      <c r="AN146" s="66" t="str">
        <f aca="false">IF(ISBLANK($C146),"",IF($AB146=Constants!$B$7,IF(AK146=1,AF146,AI146),""))</f>
        <v/>
      </c>
      <c r="AO146" s="66" t="str">
        <f aca="false">IF(ISBLANK($C146),"",IF($AB146=Constants!$B$7,RANK(AN146,$AN$8:$AN$507),$AB146))</f>
        <v/>
      </c>
      <c r="AP146" s="66" t="str">
        <f aca="false">IF(ISBLANK($C146),"",IF($AB146=Constants!$B$7,IF(ISNUMBER(AM146),COUNTIFS($AM$8:$AM$507,"&lt;"&amp;$AM146)+COUNTIFS($AM$8:$AM$507,$AM146,$AO$8:$AO$507,"&lt;"&amp;$AO146)+1,Constants!$B$14),$AB146))</f>
        <v/>
      </c>
      <c r="AQ146" s="66" t="str">
        <f aca="false">IF(ISBLANK($C146),"",IF($AB146=Constants!$B$7,IF(ISNUMBER(AM146),AM146-AP146,Constants!$B$14),$AB146))</f>
        <v/>
      </c>
      <c r="AR146" s="68"/>
      <c r="AS146" s="69" t="str">
        <f aca="false">IF(ISBLANK($C146),"",IF($AB146&lt;&gt;Constants!$B$7,"",AJ146))</f>
        <v/>
      </c>
      <c r="AT146" s="84" t="str">
        <f aca="false">IF(ISBLANK($C146),"",IF($AB146&lt;&gt;Constants!$B$7,"",IF(AJ146=1,AD146,AG146)))</f>
        <v/>
      </c>
      <c r="AU146" s="71" t="str">
        <f aca="false">IF(ISBLANK($C146),"",IF($AB146&lt;&gt;Constants!$B$7,"",IF(AJ146=1,AE146,AH146)))</f>
        <v/>
      </c>
      <c r="AV146" s="72" t="str">
        <f aca="false">IF(ISBLANK($C146),"",IF($AB146&lt;&gt;Constants!$B$7,$AB146,AL146))</f>
        <v/>
      </c>
      <c r="AW146" s="73" t="str">
        <f aca="false">IF(ISBLANK($C146),"",IF($AB146&lt;&gt;Constants!$B$7,$AB146,AC146))</f>
        <v/>
      </c>
      <c r="AX146" s="74" t="str">
        <f aca="false">IF(ISBLANK($C146),"",AQ146)</f>
        <v/>
      </c>
      <c r="AY146" s="74" t="str">
        <f aca="false">IF(ISBLANK($C146),"",AP146)</f>
        <v/>
      </c>
      <c r="AZ146" s="75" t="str">
        <f aca="false">IF(ISBLANK($C146),"",IF(AY146=Constants!$B$4,COUNTA($C$8:$C$507)+2,IF(AY146=Constants!$B$5,COUNTA($C$8:$C$507)+1,IF(AY146=Constants!$B$6,COUNTA($C$8:$C$507),AY146))))</f>
        <v/>
      </c>
      <c r="BA146" s="5"/>
      <c r="BB146" s="76" t="n">
        <f aca="false">IF(OR(ISNUMBER(AY146),AY146=Constants!$B$4,AY146=Constants!$B$6,AY146=Constants!$B$5),1,0)</f>
        <v>0</v>
      </c>
      <c r="BC146" s="76" t="n">
        <v>139</v>
      </c>
      <c r="BD146" s="76" t="str">
        <f aca="false">IF(ISBLANK($C146),"",IF(ISNUMBER(AZ146),AZ146+ROW($B146)/1000,""))</f>
        <v/>
      </c>
      <c r="BE146" s="76" t="str">
        <f aca="false">IF(ISNUMBER(BD146),RANK(BD146,$BD$8:$BD$507,1),"")</f>
        <v/>
      </c>
      <c r="BF146" s="76" t="str">
        <f aca="false">IF(ISBLANK($C146),"",$B146)</f>
        <v/>
      </c>
      <c r="BG146" s="76" t="str">
        <f aca="false">IF(ISBLANK($C146),"",$C146)</f>
        <v/>
      </c>
      <c r="BH146" s="76" t="str">
        <f aca="false">IF(ISBLANK($C146),"",$D146)</f>
        <v/>
      </c>
      <c r="BI146" s="77" t="str">
        <f aca="false">AW146</f>
        <v/>
      </c>
      <c r="BJ146" s="78" t="str">
        <f aca="false">AV146</f>
        <v/>
      </c>
      <c r="BK146" s="76" t="str">
        <f aca="false">IF(ISBLANK($C146),"",AY146)</f>
        <v/>
      </c>
      <c r="BL146" s="79" t="str">
        <f aca="false">IF($BC146&gt;$BB$7,"",VLOOKUP($BC146,$BE$8:$BK$507,7,FALSE()))</f>
        <v/>
      </c>
      <c r="BM146" s="80" t="str">
        <f aca="false">IF($BC146&gt;$BB$7,"",VLOOKUP($BC146,$BE$8:$BK$507,2,FALSE()))</f>
        <v/>
      </c>
      <c r="BN146" s="80" t="str">
        <f aca="false">IF($BC146&gt;$BB$7,"",VLOOKUP($BC146,$BE$8:$BK$507,3,FALSE()))</f>
        <v/>
      </c>
      <c r="BO146" s="80" t="str">
        <f aca="false">IF($BC146&gt;$BB$7,"",VLOOKUP($BC146,$BE$8:$BK$507,4,FALSE()))</f>
        <v/>
      </c>
      <c r="BP146" s="80" t="str">
        <f aca="false">IF($BC146&gt;$BB$7,"",VLOOKUP($BC146,$BE$8:$BK$507,5,FALSE()))</f>
        <v/>
      </c>
      <c r="BQ146" s="81" t="str">
        <f aca="false">IF($BC146&gt;$BB$7,"",VLOOKUP($BC146,$BE$8:$BK$507,6,FALSE()))</f>
        <v/>
      </c>
      <c r="BR146" s="54"/>
    </row>
    <row r="147" customFormat="false" ht="13.8" hidden="false" customHeight="false" outlineLevel="0" collapsed="false">
      <c r="A147" s="5"/>
      <c r="B147" s="124"/>
      <c r="C147" s="56"/>
      <c r="D147" s="57"/>
      <c r="E147" s="83"/>
      <c r="F147" s="59"/>
      <c r="G147" s="60"/>
      <c r="H147" s="61"/>
      <c r="I147" s="62"/>
      <c r="J147" s="59"/>
      <c r="K147" s="60"/>
      <c r="L147" s="61"/>
      <c r="M147" s="62"/>
      <c r="N147" s="59"/>
      <c r="O147" s="83"/>
      <c r="P147" s="64"/>
      <c r="Q147" s="66" t="str">
        <f aca="false">IF(ISBLANK($C147),"",IF(E147=Constants!$B$2, TRUE(), IF(E147=Constants!$B$3, FALSE(), TRUE())))</f>
        <v/>
      </c>
      <c r="R147" s="66" t="str">
        <f aca="false">IF(ISBLANK($C147),"",IF(F147=Constants!$B$16,Constants!$B$9,IF(F147=Constants!$B$17,Constants!$B$10,Constants!$B$8)))</f>
        <v/>
      </c>
      <c r="S147" s="66" t="str">
        <f aca="false">IF(ISBLANK($C147),"",IF(COUNTA(G147:H147)=0,"",IF(AND(OR(ISBLANK(G147),AND(ISNUMBER(G147),G147&gt;=0)),OR(ISBLANK(H147),AND(ISNUMBER(H147),H147&gt;=0))),60*IF(ISBLANK(G147),0,G147)+IF(ISBLANK(H147),0,H147),"")))</f>
        <v/>
      </c>
      <c r="T147" s="66" t="str">
        <f aca="false">IF(ISBLANK($C147),"",IF(I147=Constants!$B$2, TRUE(), IF(I147=Constants!$B$3, FALSE(), TRUE())))</f>
        <v/>
      </c>
      <c r="U147" s="66" t="str">
        <f aca="false">IF(ISBLANK($C147),"",IF(J147=Constants!$B$2, TRUE(), IF(J147=Constants!$B$3, FALSE(), TRUE())))</f>
        <v/>
      </c>
      <c r="V147" s="66" t="str">
        <f aca="false">IF(ISBLANK($C147),"",IF(COUNTA(K147:L147)=0,"",IF(AND(OR(ISBLANK(K147),AND(ISNUMBER(K147),K147&gt;=0)),OR(ISBLANK(L147),AND(ISNUMBER(L147),L147&gt;=0))),60*IF(ISBLANK(K147),0,K147)+IF(ISBLANK(L147),0,L147),"")))</f>
        <v/>
      </c>
      <c r="W147" s="66" t="str">
        <f aca="false">IF(ISBLANK($C147),"",IF(M147=Constants!$B$2, TRUE(), IF(M147=Constants!$B$3, FALSE(), TRUE())))</f>
        <v/>
      </c>
      <c r="X147" s="66" t="str">
        <f aca="false">IF(ISBLANK($C147),"",IF(N147=Constants!$B$2, TRUE(), IF(N147=Constants!$B$3, FALSE(), TRUE())))</f>
        <v/>
      </c>
      <c r="Y147" s="66" t="str">
        <f aca="false">IF(ISBLANK($C147),"",IF(O147=Constants!$B$2, TRUE(), IF(O147=Constants!$B$3, FALSE(), FALSE())))</f>
        <v/>
      </c>
      <c r="Z147" s="66" t="str">
        <f aca="false">IF(ISBLANK($C147),"",AND(S147&lt;&gt;"",Q147))</f>
        <v/>
      </c>
      <c r="AA147" s="66" t="str">
        <f aca="false">IF(ISBLANK($C147),"",AND(V147&lt;&gt;"",Q147))</f>
        <v/>
      </c>
      <c r="AB147" s="66" t="str">
        <f aca="false">IF(ISBLANK($C147),"",IF(Y147,Constants!$B$4,IF(COUNTA(E147:N147)=0,Constants!$B$5,IF(NOT(Q147),Constants!$B$6,IF(AND(NOT(Z147),NOT(AA147)),Constants!$B$6,Constants!$B$7)))))</f>
        <v/>
      </c>
      <c r="AC147" s="66" t="str">
        <f aca="false">IF(ISBLANK($C147),"",IF($AB147&lt;&gt;Constants!$B$7,$AB147,Constants!$B$20))</f>
        <v/>
      </c>
      <c r="AD147" s="66" t="str">
        <f aca="false">IF($AB147=Constants!$B$7,IF(Z147,S147,Constants!$B$13),"")</f>
        <v/>
      </c>
      <c r="AE147" s="66" t="str">
        <f aca="false">IF($AB147=Constants!$B$7,IF(Z147,R147*IF(T147, 1, Constants!$B$11)*IF(U147, 1, Constants!$B$12),Constants!$B$13),"")</f>
        <v/>
      </c>
      <c r="AF147" s="66" t="str">
        <f aca="false">IF($AB147=Constants!$B$7,AD147*AE147,"")</f>
        <v/>
      </c>
      <c r="AG147" s="66" t="str">
        <f aca="false">IF($AB147=Constants!$B$7,IF(AA147,V147,Constants!$B$13),"")</f>
        <v/>
      </c>
      <c r="AH147" s="66" t="str">
        <f aca="false">IF($AB147=Constants!$B$7,IF(AA147,R147*IF(W147, 1, Constants!$B$11)*IF(X147, 1, Constants!$B$12),Constants!$B$13),"")</f>
        <v/>
      </c>
      <c r="AI147" s="66" t="str">
        <f aca="false">IF($AB147=Constants!$B$7,AG147*AH147,"")</f>
        <v/>
      </c>
      <c r="AJ147" s="66" t="str">
        <f aca="false">IF($AB147=Constants!$B$7,IF(AI147&gt;AF147,2,1),"")</f>
        <v/>
      </c>
      <c r="AK147" s="66" t="str">
        <f aca="false">IF($AB147=Constants!$B$7,IF(AJ147=1,2,1),"")</f>
        <v/>
      </c>
      <c r="AL147" s="66" t="str">
        <f aca="false">IF(ISBLANK($C147),"",IF($AB147&lt;&gt;Constants!$B$7,$AB147,IF(AJ147=1,AF147,AI147)))</f>
        <v/>
      </c>
      <c r="AM147" s="66" t="str">
        <f aca="false">IF(ISBLANK($C147),"",IF($AB147=Constants!$B$7,IF(ISNUMBER(AL147),RANK(AL147,$AL$8:$AL$507),Constants!$B$14),$AB147))</f>
        <v/>
      </c>
      <c r="AN147" s="66" t="str">
        <f aca="false">IF(ISBLANK($C147),"",IF($AB147=Constants!$B$7,IF(AK147=1,AF147,AI147),""))</f>
        <v/>
      </c>
      <c r="AO147" s="66" t="str">
        <f aca="false">IF(ISBLANK($C147),"",IF($AB147=Constants!$B$7,RANK(AN147,$AN$8:$AN$507),$AB147))</f>
        <v/>
      </c>
      <c r="AP147" s="66" t="str">
        <f aca="false">IF(ISBLANK($C147),"",IF($AB147=Constants!$B$7,IF(ISNUMBER(AM147),COUNTIFS($AM$8:$AM$507,"&lt;"&amp;$AM147)+COUNTIFS($AM$8:$AM$507,$AM147,$AO$8:$AO$507,"&lt;"&amp;$AO147)+1,Constants!$B$14),$AB147))</f>
        <v/>
      </c>
      <c r="AQ147" s="66" t="str">
        <f aca="false">IF(ISBLANK($C147),"",IF($AB147=Constants!$B$7,IF(ISNUMBER(AM147),AM147-AP147,Constants!$B$14),$AB147))</f>
        <v/>
      </c>
      <c r="AR147" s="68"/>
      <c r="AS147" s="69" t="str">
        <f aca="false">IF(ISBLANK($C147),"",IF($AB147&lt;&gt;Constants!$B$7,"",AJ147))</f>
        <v/>
      </c>
      <c r="AT147" s="84" t="str">
        <f aca="false">IF(ISBLANK($C147),"",IF($AB147&lt;&gt;Constants!$B$7,"",IF(AJ147=1,AD147,AG147)))</f>
        <v/>
      </c>
      <c r="AU147" s="71" t="str">
        <f aca="false">IF(ISBLANK($C147),"",IF($AB147&lt;&gt;Constants!$B$7,"",IF(AJ147=1,AE147,AH147)))</f>
        <v/>
      </c>
      <c r="AV147" s="72" t="str">
        <f aca="false">IF(ISBLANK($C147),"",IF($AB147&lt;&gt;Constants!$B$7,$AB147,AL147))</f>
        <v/>
      </c>
      <c r="AW147" s="73" t="str">
        <f aca="false">IF(ISBLANK($C147),"",IF($AB147&lt;&gt;Constants!$B$7,$AB147,AC147))</f>
        <v/>
      </c>
      <c r="AX147" s="74" t="str">
        <f aca="false">IF(ISBLANK($C147),"",AQ147)</f>
        <v/>
      </c>
      <c r="AY147" s="74" t="str">
        <f aca="false">IF(ISBLANK($C147),"",AP147)</f>
        <v/>
      </c>
      <c r="AZ147" s="75" t="str">
        <f aca="false">IF(ISBLANK($C147),"",IF(AY147=Constants!$B$4,COUNTA($C$8:$C$507)+2,IF(AY147=Constants!$B$5,COUNTA($C$8:$C$507)+1,IF(AY147=Constants!$B$6,COUNTA($C$8:$C$507),AY147))))</f>
        <v/>
      </c>
      <c r="BA147" s="5"/>
      <c r="BB147" s="76" t="n">
        <f aca="false">IF(OR(ISNUMBER(AY147),AY147=Constants!$B$4,AY147=Constants!$B$6,AY147=Constants!$B$5),1,0)</f>
        <v>0</v>
      </c>
      <c r="BC147" s="76" t="n">
        <v>140</v>
      </c>
      <c r="BD147" s="76" t="str">
        <f aca="false">IF(ISBLANK($C147),"",IF(ISNUMBER(AZ147),AZ147+ROW($B147)/1000,""))</f>
        <v/>
      </c>
      <c r="BE147" s="76" t="str">
        <f aca="false">IF(ISNUMBER(BD147),RANK(BD147,$BD$8:$BD$507,1),"")</f>
        <v/>
      </c>
      <c r="BF147" s="76" t="str">
        <f aca="false">IF(ISBLANK($C147),"",$B147)</f>
        <v/>
      </c>
      <c r="BG147" s="76" t="str">
        <f aca="false">IF(ISBLANK($C147),"",$C147)</f>
        <v/>
      </c>
      <c r="BH147" s="76" t="str">
        <f aca="false">IF(ISBLANK($C147),"",$D147)</f>
        <v/>
      </c>
      <c r="BI147" s="77" t="str">
        <f aca="false">AW147</f>
        <v/>
      </c>
      <c r="BJ147" s="78" t="str">
        <f aca="false">AV147</f>
        <v/>
      </c>
      <c r="BK147" s="76" t="str">
        <f aca="false">IF(ISBLANK($C147),"",AY147)</f>
        <v/>
      </c>
      <c r="BL147" s="79" t="str">
        <f aca="false">IF($BC147&gt;$BB$7,"",VLOOKUP($BC147,$BE$8:$BK$507,7,FALSE()))</f>
        <v/>
      </c>
      <c r="BM147" s="80" t="str">
        <f aca="false">IF($BC147&gt;$BB$7,"",VLOOKUP($BC147,$BE$8:$BK$507,2,FALSE()))</f>
        <v/>
      </c>
      <c r="BN147" s="80" t="str">
        <f aca="false">IF($BC147&gt;$BB$7,"",VLOOKUP($BC147,$BE$8:$BK$507,3,FALSE()))</f>
        <v/>
      </c>
      <c r="BO147" s="80" t="str">
        <f aca="false">IF($BC147&gt;$BB$7,"",VLOOKUP($BC147,$BE$8:$BK$507,4,FALSE()))</f>
        <v/>
      </c>
      <c r="BP147" s="80" t="str">
        <f aca="false">IF($BC147&gt;$BB$7,"",VLOOKUP($BC147,$BE$8:$BK$507,5,FALSE()))</f>
        <v/>
      </c>
      <c r="BQ147" s="81" t="str">
        <f aca="false">IF($BC147&gt;$BB$7,"",VLOOKUP($BC147,$BE$8:$BK$507,6,FALSE()))</f>
        <v/>
      </c>
      <c r="BR147" s="54"/>
    </row>
    <row r="148" customFormat="false" ht="13.8" hidden="false" customHeight="false" outlineLevel="0" collapsed="false">
      <c r="A148" s="5"/>
      <c r="B148" s="124"/>
      <c r="C148" s="56"/>
      <c r="D148" s="57"/>
      <c r="E148" s="83"/>
      <c r="F148" s="59"/>
      <c r="G148" s="60"/>
      <c r="H148" s="61"/>
      <c r="I148" s="62"/>
      <c r="J148" s="59"/>
      <c r="K148" s="60"/>
      <c r="L148" s="61"/>
      <c r="M148" s="62"/>
      <c r="N148" s="59"/>
      <c r="O148" s="83"/>
      <c r="P148" s="64"/>
      <c r="Q148" s="66" t="str">
        <f aca="false">IF(ISBLANK($C148),"",IF(E148=Constants!$B$2, TRUE(), IF(E148=Constants!$B$3, FALSE(), TRUE())))</f>
        <v/>
      </c>
      <c r="R148" s="66" t="str">
        <f aca="false">IF(ISBLANK($C148),"",IF(F148=Constants!$B$16,Constants!$B$9,IF(F148=Constants!$B$17,Constants!$B$10,Constants!$B$8)))</f>
        <v/>
      </c>
      <c r="S148" s="66" t="str">
        <f aca="false">IF(ISBLANK($C148),"",IF(COUNTA(G148:H148)=0,"",IF(AND(OR(ISBLANK(G148),AND(ISNUMBER(G148),G148&gt;=0)),OR(ISBLANK(H148),AND(ISNUMBER(H148),H148&gt;=0))),60*IF(ISBLANK(G148),0,G148)+IF(ISBLANK(H148),0,H148),"")))</f>
        <v/>
      </c>
      <c r="T148" s="66" t="str">
        <f aca="false">IF(ISBLANK($C148),"",IF(I148=Constants!$B$2, TRUE(), IF(I148=Constants!$B$3, FALSE(), TRUE())))</f>
        <v/>
      </c>
      <c r="U148" s="66" t="str">
        <f aca="false">IF(ISBLANK($C148),"",IF(J148=Constants!$B$2, TRUE(), IF(J148=Constants!$B$3, FALSE(), TRUE())))</f>
        <v/>
      </c>
      <c r="V148" s="66" t="str">
        <f aca="false">IF(ISBLANK($C148),"",IF(COUNTA(K148:L148)=0,"",IF(AND(OR(ISBLANK(K148),AND(ISNUMBER(K148),K148&gt;=0)),OR(ISBLANK(L148),AND(ISNUMBER(L148),L148&gt;=0))),60*IF(ISBLANK(K148),0,K148)+IF(ISBLANK(L148),0,L148),"")))</f>
        <v/>
      </c>
      <c r="W148" s="66" t="str">
        <f aca="false">IF(ISBLANK($C148),"",IF(M148=Constants!$B$2, TRUE(), IF(M148=Constants!$B$3, FALSE(), TRUE())))</f>
        <v/>
      </c>
      <c r="X148" s="66" t="str">
        <f aca="false">IF(ISBLANK($C148),"",IF(N148=Constants!$B$2, TRUE(), IF(N148=Constants!$B$3, FALSE(), TRUE())))</f>
        <v/>
      </c>
      <c r="Y148" s="66" t="str">
        <f aca="false">IF(ISBLANK($C148),"",IF(O148=Constants!$B$2, TRUE(), IF(O148=Constants!$B$3, FALSE(), FALSE())))</f>
        <v/>
      </c>
      <c r="Z148" s="66" t="str">
        <f aca="false">IF(ISBLANK($C148),"",AND(S148&lt;&gt;"",Q148))</f>
        <v/>
      </c>
      <c r="AA148" s="66" t="str">
        <f aca="false">IF(ISBLANK($C148),"",AND(V148&lt;&gt;"",Q148))</f>
        <v/>
      </c>
      <c r="AB148" s="66" t="str">
        <f aca="false">IF(ISBLANK($C148),"",IF(Y148,Constants!$B$4,IF(COUNTA(E148:N148)=0,Constants!$B$5,IF(NOT(Q148),Constants!$B$6,IF(AND(NOT(Z148),NOT(AA148)),Constants!$B$6,Constants!$B$7)))))</f>
        <v/>
      </c>
      <c r="AC148" s="66" t="str">
        <f aca="false">IF(ISBLANK($C148),"",IF($AB148&lt;&gt;Constants!$B$7,$AB148,Constants!$B$20))</f>
        <v/>
      </c>
      <c r="AD148" s="66" t="str">
        <f aca="false">IF($AB148=Constants!$B$7,IF(Z148,S148,Constants!$B$13),"")</f>
        <v/>
      </c>
      <c r="AE148" s="66" t="str">
        <f aca="false">IF($AB148=Constants!$B$7,IF(Z148,R148*IF(T148, 1, Constants!$B$11)*IF(U148, 1, Constants!$B$12),Constants!$B$13),"")</f>
        <v/>
      </c>
      <c r="AF148" s="66" t="str">
        <f aca="false">IF($AB148=Constants!$B$7,AD148*AE148,"")</f>
        <v/>
      </c>
      <c r="AG148" s="66" t="str">
        <f aca="false">IF($AB148=Constants!$B$7,IF(AA148,V148,Constants!$B$13),"")</f>
        <v/>
      </c>
      <c r="AH148" s="66" t="str">
        <f aca="false">IF($AB148=Constants!$B$7,IF(AA148,R148*IF(W148, 1, Constants!$B$11)*IF(X148, 1, Constants!$B$12),Constants!$B$13),"")</f>
        <v/>
      </c>
      <c r="AI148" s="66" t="str">
        <f aca="false">IF($AB148=Constants!$B$7,AG148*AH148,"")</f>
        <v/>
      </c>
      <c r="AJ148" s="66" t="str">
        <f aca="false">IF($AB148=Constants!$B$7,IF(AI148&gt;AF148,2,1),"")</f>
        <v/>
      </c>
      <c r="AK148" s="66" t="str">
        <f aca="false">IF($AB148=Constants!$B$7,IF(AJ148=1,2,1),"")</f>
        <v/>
      </c>
      <c r="AL148" s="66" t="str">
        <f aca="false">IF(ISBLANK($C148),"",IF($AB148&lt;&gt;Constants!$B$7,$AB148,IF(AJ148=1,AF148,AI148)))</f>
        <v/>
      </c>
      <c r="AM148" s="66" t="str">
        <f aca="false">IF(ISBLANK($C148),"",IF($AB148=Constants!$B$7,IF(ISNUMBER(AL148),RANK(AL148,$AL$8:$AL$507),Constants!$B$14),$AB148))</f>
        <v/>
      </c>
      <c r="AN148" s="66" t="str">
        <f aca="false">IF(ISBLANK($C148),"",IF($AB148=Constants!$B$7,IF(AK148=1,AF148,AI148),""))</f>
        <v/>
      </c>
      <c r="AO148" s="66" t="str">
        <f aca="false">IF(ISBLANK($C148),"",IF($AB148=Constants!$B$7,RANK(AN148,$AN$8:$AN$507),$AB148))</f>
        <v/>
      </c>
      <c r="AP148" s="66" t="str">
        <f aca="false">IF(ISBLANK($C148),"",IF($AB148=Constants!$B$7,IF(ISNUMBER(AM148),COUNTIFS($AM$8:$AM$507,"&lt;"&amp;$AM148)+COUNTIFS($AM$8:$AM$507,$AM148,$AO$8:$AO$507,"&lt;"&amp;$AO148)+1,Constants!$B$14),$AB148))</f>
        <v/>
      </c>
      <c r="AQ148" s="66" t="str">
        <f aca="false">IF(ISBLANK($C148),"",IF($AB148=Constants!$B$7,IF(ISNUMBER(AM148),AM148-AP148,Constants!$B$14),$AB148))</f>
        <v/>
      </c>
      <c r="AR148" s="68"/>
      <c r="AS148" s="69" t="str">
        <f aca="false">IF(ISBLANK($C148),"",IF($AB148&lt;&gt;Constants!$B$7,"",AJ148))</f>
        <v/>
      </c>
      <c r="AT148" s="84" t="str">
        <f aca="false">IF(ISBLANK($C148),"",IF($AB148&lt;&gt;Constants!$B$7,"",IF(AJ148=1,AD148,AG148)))</f>
        <v/>
      </c>
      <c r="AU148" s="71" t="str">
        <f aca="false">IF(ISBLANK($C148),"",IF($AB148&lt;&gt;Constants!$B$7,"",IF(AJ148=1,AE148,AH148)))</f>
        <v/>
      </c>
      <c r="AV148" s="72" t="str">
        <f aca="false">IF(ISBLANK($C148),"",IF($AB148&lt;&gt;Constants!$B$7,$AB148,AL148))</f>
        <v/>
      </c>
      <c r="AW148" s="73" t="str">
        <f aca="false">IF(ISBLANK($C148),"",IF($AB148&lt;&gt;Constants!$B$7,$AB148,AC148))</f>
        <v/>
      </c>
      <c r="AX148" s="74" t="str">
        <f aca="false">IF(ISBLANK($C148),"",AQ148)</f>
        <v/>
      </c>
      <c r="AY148" s="74" t="str">
        <f aca="false">IF(ISBLANK($C148),"",AP148)</f>
        <v/>
      </c>
      <c r="AZ148" s="75" t="str">
        <f aca="false">IF(ISBLANK($C148),"",IF(AY148=Constants!$B$4,COUNTA($C$8:$C$507)+2,IF(AY148=Constants!$B$5,COUNTA($C$8:$C$507)+1,IF(AY148=Constants!$B$6,COUNTA($C$8:$C$507),AY148))))</f>
        <v/>
      </c>
      <c r="BA148" s="5"/>
      <c r="BB148" s="76" t="n">
        <f aca="false">IF(OR(ISNUMBER(AY148),AY148=Constants!$B$4,AY148=Constants!$B$6,AY148=Constants!$B$5),1,0)</f>
        <v>0</v>
      </c>
      <c r="BC148" s="76" t="n">
        <v>141</v>
      </c>
      <c r="BD148" s="76" t="str">
        <f aca="false">IF(ISBLANK($C148),"",IF(ISNUMBER(AZ148),AZ148+ROW($B148)/1000,""))</f>
        <v/>
      </c>
      <c r="BE148" s="76" t="str">
        <f aca="false">IF(ISNUMBER(BD148),RANK(BD148,$BD$8:$BD$507,1),"")</f>
        <v/>
      </c>
      <c r="BF148" s="76" t="str">
        <f aca="false">IF(ISBLANK($C148),"",$B148)</f>
        <v/>
      </c>
      <c r="BG148" s="76" t="str">
        <f aca="false">IF(ISBLANK($C148),"",$C148)</f>
        <v/>
      </c>
      <c r="BH148" s="76" t="str">
        <f aca="false">IF(ISBLANK($C148),"",$D148)</f>
        <v/>
      </c>
      <c r="BI148" s="77" t="str">
        <f aca="false">AW148</f>
        <v/>
      </c>
      <c r="BJ148" s="78" t="str">
        <f aca="false">AV148</f>
        <v/>
      </c>
      <c r="BK148" s="76" t="str">
        <f aca="false">IF(ISBLANK($C148),"",AY148)</f>
        <v/>
      </c>
      <c r="BL148" s="79" t="str">
        <f aca="false">IF($BC148&gt;$BB$7,"",VLOOKUP($BC148,$BE$8:$BK$507,7,FALSE()))</f>
        <v/>
      </c>
      <c r="BM148" s="80" t="str">
        <f aca="false">IF($BC148&gt;$BB$7,"",VLOOKUP($BC148,$BE$8:$BK$507,2,FALSE()))</f>
        <v/>
      </c>
      <c r="BN148" s="80" t="str">
        <f aca="false">IF($BC148&gt;$BB$7,"",VLOOKUP($BC148,$BE$8:$BK$507,3,FALSE()))</f>
        <v/>
      </c>
      <c r="BO148" s="80" t="str">
        <f aca="false">IF($BC148&gt;$BB$7,"",VLOOKUP($BC148,$BE$8:$BK$507,4,FALSE()))</f>
        <v/>
      </c>
      <c r="BP148" s="80" t="str">
        <f aca="false">IF($BC148&gt;$BB$7,"",VLOOKUP($BC148,$BE$8:$BK$507,5,FALSE()))</f>
        <v/>
      </c>
      <c r="BQ148" s="81" t="str">
        <f aca="false">IF($BC148&gt;$BB$7,"",VLOOKUP($BC148,$BE$8:$BK$507,6,FALSE()))</f>
        <v/>
      </c>
      <c r="BR148" s="54"/>
    </row>
    <row r="149" customFormat="false" ht="13.8" hidden="false" customHeight="false" outlineLevel="0" collapsed="false">
      <c r="A149" s="5"/>
      <c r="B149" s="120"/>
      <c r="C149" s="121"/>
      <c r="D149" s="112"/>
      <c r="E149" s="123"/>
      <c r="F149" s="91"/>
      <c r="G149" s="92"/>
      <c r="H149" s="93"/>
      <c r="I149" s="94"/>
      <c r="J149" s="91"/>
      <c r="K149" s="92"/>
      <c r="L149" s="93"/>
      <c r="M149" s="94"/>
      <c r="N149" s="91"/>
      <c r="O149" s="123"/>
      <c r="P149" s="96"/>
      <c r="Q149" s="97" t="str">
        <f aca="false">IF(ISBLANK($C149),"",IF(E149=Constants!$B$2, TRUE(), IF(E149=Constants!$B$3, FALSE(), TRUE())))</f>
        <v/>
      </c>
      <c r="R149" s="97" t="str">
        <f aca="false">IF(ISBLANK($C149),"",IF(F149=Constants!$B$16,Constants!$B$9,IF(F149=Constants!$B$17,Constants!$B$10,Constants!$B$8)))</f>
        <v/>
      </c>
      <c r="S149" s="97" t="str">
        <f aca="false">IF(ISBLANK($C149),"",IF(COUNTA(G149:H149)=0,"",IF(AND(OR(ISBLANK(G149),AND(ISNUMBER(G149),G149&gt;=0)),OR(ISBLANK(H149),AND(ISNUMBER(H149),H149&gt;=0))),60*IF(ISBLANK(G149),0,G149)+IF(ISBLANK(H149),0,H149),"")))</f>
        <v/>
      </c>
      <c r="T149" s="97" t="str">
        <f aca="false">IF(ISBLANK($C149),"",IF(I149=Constants!$B$2, TRUE(), IF(I149=Constants!$B$3, FALSE(), TRUE())))</f>
        <v/>
      </c>
      <c r="U149" s="97" t="str">
        <f aca="false">IF(ISBLANK($C149),"",IF(J149=Constants!$B$2, TRUE(), IF(J149=Constants!$B$3, FALSE(), TRUE())))</f>
        <v/>
      </c>
      <c r="V149" s="97" t="str">
        <f aca="false">IF(ISBLANK($C149),"",IF(COUNTA(K149:L149)=0,"",IF(AND(OR(ISBLANK(K149),AND(ISNUMBER(K149),K149&gt;=0)),OR(ISBLANK(L149),AND(ISNUMBER(L149),L149&gt;=0))),60*IF(ISBLANK(K149),0,K149)+IF(ISBLANK(L149),0,L149),"")))</f>
        <v/>
      </c>
      <c r="W149" s="97" t="str">
        <f aca="false">IF(ISBLANK($C149),"",IF(M149=Constants!$B$2, TRUE(), IF(M149=Constants!$B$3, FALSE(), TRUE())))</f>
        <v/>
      </c>
      <c r="X149" s="97" t="str">
        <f aca="false">IF(ISBLANK($C149),"",IF(N149=Constants!$B$2, TRUE(), IF(N149=Constants!$B$3, FALSE(), TRUE())))</f>
        <v/>
      </c>
      <c r="Y149" s="97" t="str">
        <f aca="false">IF(ISBLANK($C149),"",IF(O149=Constants!$B$2, TRUE(), IF(O149=Constants!$B$3, FALSE(), FALSE())))</f>
        <v/>
      </c>
      <c r="Z149" s="97" t="str">
        <f aca="false">IF(ISBLANK($C149),"",AND(S149&lt;&gt;"",Q149))</f>
        <v/>
      </c>
      <c r="AA149" s="97" t="str">
        <f aca="false">IF(ISBLANK($C149),"",AND(V149&lt;&gt;"",Q149))</f>
        <v/>
      </c>
      <c r="AB149" s="97" t="str">
        <f aca="false">IF(ISBLANK($C149),"",IF(Y149,Constants!$B$4,IF(COUNTA(E149:N149)=0,Constants!$B$5,IF(NOT(Q149),Constants!$B$6,IF(AND(NOT(Z149),NOT(AA149)),Constants!$B$6,Constants!$B$7)))))</f>
        <v/>
      </c>
      <c r="AC149" s="97" t="str">
        <f aca="false">IF(ISBLANK($C149),"",IF($AB149&lt;&gt;Constants!$B$7,$AB149,Constants!$B$20))</f>
        <v/>
      </c>
      <c r="AD149" s="97" t="str">
        <f aca="false">IF($AB149=Constants!$B$7,IF(Z149,S149,Constants!$B$13),"")</f>
        <v/>
      </c>
      <c r="AE149" s="97" t="str">
        <f aca="false">IF($AB149=Constants!$B$7,IF(Z149,R149*IF(T149, 1, Constants!$B$11)*IF(U149, 1, Constants!$B$12),Constants!$B$13),"")</f>
        <v/>
      </c>
      <c r="AF149" s="97" t="str">
        <f aca="false">IF($AB149=Constants!$B$7,AD149*AE149,"")</f>
        <v/>
      </c>
      <c r="AG149" s="97" t="str">
        <f aca="false">IF($AB149=Constants!$B$7,IF(AA149,V149,Constants!$B$13),"")</f>
        <v/>
      </c>
      <c r="AH149" s="97" t="str">
        <f aca="false">IF($AB149=Constants!$B$7,IF(AA149,R149*IF(W149, 1, Constants!$B$11)*IF(X149, 1, Constants!$B$12),Constants!$B$13),"")</f>
        <v/>
      </c>
      <c r="AI149" s="97" t="str">
        <f aca="false">IF($AB149=Constants!$B$7,AG149*AH149,"")</f>
        <v/>
      </c>
      <c r="AJ149" s="97" t="str">
        <f aca="false">IF($AB149=Constants!$B$7,IF(AI149&gt;AF149,2,1),"")</f>
        <v/>
      </c>
      <c r="AK149" s="97" t="str">
        <f aca="false">IF($AB149=Constants!$B$7,IF(AJ149=1,2,1),"")</f>
        <v/>
      </c>
      <c r="AL149" s="97" t="str">
        <f aca="false">IF(ISBLANK($C149),"",IF($AB149&lt;&gt;Constants!$B$7,$AB149,IF(AJ149=1,AF149,AI149)))</f>
        <v/>
      </c>
      <c r="AM149" s="97" t="str">
        <f aca="false">IF(ISBLANK($C149),"",IF($AB149=Constants!$B$7,IF(ISNUMBER(AL149),RANK(AL149,$AL$8:$AL$507),Constants!$B$14),$AB149))</f>
        <v/>
      </c>
      <c r="AN149" s="97" t="str">
        <f aca="false">IF(ISBLANK($C149),"",IF($AB149=Constants!$B$7,IF(AK149=1,AF149,AI149),""))</f>
        <v/>
      </c>
      <c r="AO149" s="97" t="str">
        <f aca="false">IF(ISBLANK($C149),"",IF($AB149=Constants!$B$7,RANK(AN149,$AN$8:$AN$507),$AB149))</f>
        <v/>
      </c>
      <c r="AP149" s="97" t="str">
        <f aca="false">IF(ISBLANK($C149),"",IF($AB149=Constants!$B$7,IF(ISNUMBER(AM149),COUNTIFS($AM$8:$AM$507,"&lt;"&amp;$AM149)+COUNTIFS($AM$8:$AM$507,$AM149,$AO$8:$AO$507,"&lt;"&amp;$AO149)+1,Constants!$B$14),$AB149))</f>
        <v/>
      </c>
      <c r="AQ149" s="97" t="str">
        <f aca="false">IF(ISBLANK($C149),"",IF($AB149=Constants!$B$7,IF(ISNUMBER(AM149),AM149-AP149,Constants!$B$14),$AB149))</f>
        <v/>
      </c>
      <c r="AR149" s="98"/>
      <c r="AS149" s="99" t="str">
        <f aca="false">IF(ISBLANK($C149),"",IF($AB149&lt;&gt;Constants!$B$7,"",AJ149))</f>
        <v/>
      </c>
      <c r="AT149" s="100" t="str">
        <f aca="false">IF(ISBLANK($C149),"",IF($AB149&lt;&gt;Constants!$B$7,"",IF(AJ149=1,AD149,AG149)))</f>
        <v/>
      </c>
      <c r="AU149" s="101" t="str">
        <f aca="false">IF(ISBLANK($C149),"",IF($AB149&lt;&gt;Constants!$B$7,"",IF(AJ149=1,AE149,AH149)))</f>
        <v/>
      </c>
      <c r="AV149" s="102" t="str">
        <f aca="false">IF(ISBLANK($C149),"",IF($AB149&lt;&gt;Constants!$B$7,$AB149,AL149))</f>
        <v/>
      </c>
      <c r="AW149" s="103" t="str">
        <f aca="false">IF(ISBLANK($C149),"",IF($AB149&lt;&gt;Constants!$B$7,$AB149,AC149))</f>
        <v/>
      </c>
      <c r="AX149" s="104" t="str">
        <f aca="false">IF(ISBLANK($C149),"",AQ149)</f>
        <v/>
      </c>
      <c r="AY149" s="104" t="str">
        <f aca="false">IF(ISBLANK($C149),"",AP149)</f>
        <v/>
      </c>
      <c r="AZ149" s="105" t="str">
        <f aca="false">IF(ISBLANK($C149),"",IF(AY149=Constants!$B$4,COUNTA($C$8:$C$507)+2,IF(AY149=Constants!$B$5,COUNTA($C$8:$C$507)+1,IF(AY149=Constants!$B$6,COUNTA($C$8:$C$507),AY149))))</f>
        <v/>
      </c>
      <c r="BA149" s="5"/>
      <c r="BB149" s="106" t="n">
        <f aca="false">IF(OR(ISNUMBER(AY149),AY149=Constants!$B$4,AY149=Constants!$B$6,AY149=Constants!$B$5),1,0)</f>
        <v>0</v>
      </c>
      <c r="BC149" s="106" t="n">
        <v>142</v>
      </c>
      <c r="BD149" s="106" t="str">
        <f aca="false">IF(ISBLANK($C149),"",IF(ISNUMBER(AZ149),AZ149+ROW($B149)/1000,""))</f>
        <v/>
      </c>
      <c r="BE149" s="106" t="str">
        <f aca="false">IF(ISNUMBER(BD149),RANK(BD149,$BD$8:$BD$507,1),"")</f>
        <v/>
      </c>
      <c r="BF149" s="106" t="str">
        <f aca="false">IF(ISBLANK($C149),"",$B149)</f>
        <v/>
      </c>
      <c r="BG149" s="106" t="str">
        <f aca="false">IF(ISBLANK($C149),"",$C149)</f>
        <v/>
      </c>
      <c r="BH149" s="106" t="str">
        <f aca="false">IF(ISBLANK($C149),"",$D149)</f>
        <v/>
      </c>
      <c r="BI149" s="107" t="str">
        <f aca="false">AW149</f>
        <v/>
      </c>
      <c r="BJ149" s="108" t="str">
        <f aca="false">AV149</f>
        <v/>
      </c>
      <c r="BK149" s="106" t="str">
        <f aca="false">IF(ISBLANK($C149),"",AY149)</f>
        <v/>
      </c>
      <c r="BL149" s="109" t="str">
        <f aca="false">IF($BC149&gt;$BB$7,"",VLOOKUP($BC149,$BE$8:$BK$507,7,FALSE()))</f>
        <v/>
      </c>
      <c r="BM149" s="110" t="str">
        <f aca="false">IF($BC149&gt;$BB$7,"",VLOOKUP($BC149,$BE$8:$BK$507,2,FALSE()))</f>
        <v/>
      </c>
      <c r="BN149" s="110" t="str">
        <f aca="false">IF($BC149&gt;$BB$7,"",VLOOKUP($BC149,$BE$8:$BK$507,3,FALSE()))</f>
        <v/>
      </c>
      <c r="BO149" s="110" t="str">
        <f aca="false">IF($BC149&gt;$BB$7,"",VLOOKUP($BC149,$BE$8:$BK$507,4,FALSE()))</f>
        <v/>
      </c>
      <c r="BP149" s="110" t="str">
        <f aca="false">IF($BC149&gt;$BB$7,"",VLOOKUP($BC149,$BE$8:$BK$507,5,FALSE()))</f>
        <v/>
      </c>
      <c r="BQ149" s="111" t="str">
        <f aca="false">IF($BC149&gt;$BB$7,"",VLOOKUP($BC149,$BE$8:$BK$507,6,FALSE()))</f>
        <v/>
      </c>
      <c r="BR149" s="54"/>
    </row>
    <row r="150" customFormat="false" ht="13.8" hidden="false" customHeight="false" outlineLevel="0" collapsed="false">
      <c r="A150" s="5"/>
      <c r="B150" s="120"/>
      <c r="C150" s="121"/>
      <c r="D150" s="112"/>
      <c r="E150" s="123"/>
      <c r="F150" s="91"/>
      <c r="G150" s="92"/>
      <c r="H150" s="93"/>
      <c r="I150" s="94"/>
      <c r="J150" s="91"/>
      <c r="K150" s="92"/>
      <c r="L150" s="93"/>
      <c r="M150" s="94"/>
      <c r="N150" s="91"/>
      <c r="O150" s="123"/>
      <c r="P150" s="96"/>
      <c r="Q150" s="97" t="str">
        <f aca="false">IF(ISBLANK($C150),"",IF(E150=Constants!$B$2, TRUE(), IF(E150=Constants!$B$3, FALSE(), TRUE())))</f>
        <v/>
      </c>
      <c r="R150" s="97" t="str">
        <f aca="false">IF(ISBLANK($C150),"",IF(F150=Constants!$B$16,Constants!$B$9,IF(F150=Constants!$B$17,Constants!$B$10,Constants!$B$8)))</f>
        <v/>
      </c>
      <c r="S150" s="97" t="str">
        <f aca="false">IF(ISBLANK($C150),"",IF(COUNTA(G150:H150)=0,"",IF(AND(OR(ISBLANK(G150),AND(ISNUMBER(G150),G150&gt;=0)),OR(ISBLANK(H150),AND(ISNUMBER(H150),H150&gt;=0))),60*IF(ISBLANK(G150),0,G150)+IF(ISBLANK(H150),0,H150),"")))</f>
        <v/>
      </c>
      <c r="T150" s="97" t="str">
        <f aca="false">IF(ISBLANK($C150),"",IF(I150=Constants!$B$2, TRUE(), IF(I150=Constants!$B$3, FALSE(), TRUE())))</f>
        <v/>
      </c>
      <c r="U150" s="97" t="str">
        <f aca="false">IF(ISBLANK($C150),"",IF(J150=Constants!$B$2, TRUE(), IF(J150=Constants!$B$3, FALSE(), TRUE())))</f>
        <v/>
      </c>
      <c r="V150" s="97" t="str">
        <f aca="false">IF(ISBLANK($C150),"",IF(COUNTA(K150:L150)=0,"",IF(AND(OR(ISBLANK(K150),AND(ISNUMBER(K150),K150&gt;=0)),OR(ISBLANK(L150),AND(ISNUMBER(L150),L150&gt;=0))),60*IF(ISBLANK(K150),0,K150)+IF(ISBLANK(L150),0,L150),"")))</f>
        <v/>
      </c>
      <c r="W150" s="97" t="str">
        <f aca="false">IF(ISBLANK($C150),"",IF(M150=Constants!$B$2, TRUE(), IF(M150=Constants!$B$3, FALSE(), TRUE())))</f>
        <v/>
      </c>
      <c r="X150" s="97" t="str">
        <f aca="false">IF(ISBLANK($C150),"",IF(N150=Constants!$B$2, TRUE(), IF(N150=Constants!$B$3, FALSE(), TRUE())))</f>
        <v/>
      </c>
      <c r="Y150" s="97" t="str">
        <f aca="false">IF(ISBLANK($C150),"",IF(O150=Constants!$B$2, TRUE(), IF(O150=Constants!$B$3, FALSE(), FALSE())))</f>
        <v/>
      </c>
      <c r="Z150" s="97" t="str">
        <f aca="false">IF(ISBLANK($C150),"",AND(S150&lt;&gt;"",Q150))</f>
        <v/>
      </c>
      <c r="AA150" s="97" t="str">
        <f aca="false">IF(ISBLANK($C150),"",AND(V150&lt;&gt;"",Q150))</f>
        <v/>
      </c>
      <c r="AB150" s="97" t="str">
        <f aca="false">IF(ISBLANK($C150),"",IF(Y150,Constants!$B$4,IF(COUNTA(E150:N150)=0,Constants!$B$5,IF(NOT(Q150),Constants!$B$6,IF(AND(NOT(Z150),NOT(AA150)),Constants!$B$6,Constants!$B$7)))))</f>
        <v/>
      </c>
      <c r="AC150" s="97" t="str">
        <f aca="false">IF(ISBLANK($C150),"",IF($AB150&lt;&gt;Constants!$B$7,$AB150,Constants!$B$20))</f>
        <v/>
      </c>
      <c r="AD150" s="97" t="str">
        <f aca="false">IF($AB150=Constants!$B$7,IF(Z150,S150,Constants!$B$13),"")</f>
        <v/>
      </c>
      <c r="AE150" s="97" t="str">
        <f aca="false">IF($AB150=Constants!$B$7,IF(Z150,R150*IF(T150, 1, Constants!$B$11)*IF(U150, 1, Constants!$B$12),Constants!$B$13),"")</f>
        <v/>
      </c>
      <c r="AF150" s="97" t="str">
        <f aca="false">IF($AB150=Constants!$B$7,AD150*AE150,"")</f>
        <v/>
      </c>
      <c r="AG150" s="97" t="str">
        <f aca="false">IF($AB150=Constants!$B$7,IF(AA150,V150,Constants!$B$13),"")</f>
        <v/>
      </c>
      <c r="AH150" s="97" t="str">
        <f aca="false">IF($AB150=Constants!$B$7,IF(AA150,R150*IF(W150, 1, Constants!$B$11)*IF(X150, 1, Constants!$B$12),Constants!$B$13),"")</f>
        <v/>
      </c>
      <c r="AI150" s="97" t="str">
        <f aca="false">IF($AB150=Constants!$B$7,AG150*AH150,"")</f>
        <v/>
      </c>
      <c r="AJ150" s="97" t="str">
        <f aca="false">IF($AB150=Constants!$B$7,IF(AI150&gt;AF150,2,1),"")</f>
        <v/>
      </c>
      <c r="AK150" s="97" t="str">
        <f aca="false">IF($AB150=Constants!$B$7,IF(AJ150=1,2,1),"")</f>
        <v/>
      </c>
      <c r="AL150" s="97" t="str">
        <f aca="false">IF(ISBLANK($C150),"",IF($AB150&lt;&gt;Constants!$B$7,$AB150,IF(AJ150=1,AF150,AI150)))</f>
        <v/>
      </c>
      <c r="AM150" s="97" t="str">
        <f aca="false">IF(ISBLANK($C150),"",IF($AB150=Constants!$B$7,IF(ISNUMBER(AL150),RANK(AL150,$AL$8:$AL$507),Constants!$B$14),$AB150))</f>
        <v/>
      </c>
      <c r="AN150" s="97" t="str">
        <f aca="false">IF(ISBLANK($C150),"",IF($AB150=Constants!$B$7,IF(AK150=1,AF150,AI150),""))</f>
        <v/>
      </c>
      <c r="AO150" s="97" t="str">
        <f aca="false">IF(ISBLANK($C150),"",IF($AB150=Constants!$B$7,RANK(AN150,$AN$8:$AN$507),$AB150))</f>
        <v/>
      </c>
      <c r="AP150" s="97" t="str">
        <f aca="false">IF(ISBLANK($C150),"",IF($AB150=Constants!$B$7,IF(ISNUMBER(AM150),COUNTIFS($AM$8:$AM$507,"&lt;"&amp;$AM150)+COUNTIFS($AM$8:$AM$507,$AM150,$AO$8:$AO$507,"&lt;"&amp;$AO150)+1,Constants!$B$14),$AB150))</f>
        <v/>
      </c>
      <c r="AQ150" s="97" t="str">
        <f aca="false">IF(ISBLANK($C150),"",IF($AB150=Constants!$B$7,IF(ISNUMBER(AM150),AM150-AP150,Constants!$B$14),$AB150))</f>
        <v/>
      </c>
      <c r="AR150" s="98"/>
      <c r="AS150" s="99" t="str">
        <f aca="false">IF(ISBLANK($C150),"",IF($AB150&lt;&gt;Constants!$B$7,"",AJ150))</f>
        <v/>
      </c>
      <c r="AT150" s="100" t="str">
        <f aca="false">IF(ISBLANK($C150),"",IF($AB150&lt;&gt;Constants!$B$7,"",IF(AJ150=1,AD150,AG150)))</f>
        <v/>
      </c>
      <c r="AU150" s="101" t="str">
        <f aca="false">IF(ISBLANK($C150),"",IF($AB150&lt;&gt;Constants!$B$7,"",IF(AJ150=1,AE150,AH150)))</f>
        <v/>
      </c>
      <c r="AV150" s="102" t="str">
        <f aca="false">IF(ISBLANK($C150),"",IF($AB150&lt;&gt;Constants!$B$7,$AB150,AL150))</f>
        <v/>
      </c>
      <c r="AW150" s="103" t="str">
        <f aca="false">IF(ISBLANK($C150),"",IF($AB150&lt;&gt;Constants!$B$7,$AB150,AC150))</f>
        <v/>
      </c>
      <c r="AX150" s="104" t="str">
        <f aca="false">IF(ISBLANK($C150),"",AQ150)</f>
        <v/>
      </c>
      <c r="AY150" s="104" t="str">
        <f aca="false">IF(ISBLANK($C150),"",AP150)</f>
        <v/>
      </c>
      <c r="AZ150" s="105" t="str">
        <f aca="false">IF(ISBLANK($C150),"",IF(AY150=Constants!$B$4,COUNTA($C$8:$C$507)+2,IF(AY150=Constants!$B$5,COUNTA($C$8:$C$507)+1,IF(AY150=Constants!$B$6,COUNTA($C$8:$C$507),AY150))))</f>
        <v/>
      </c>
      <c r="BA150" s="5"/>
      <c r="BB150" s="106" t="n">
        <f aca="false">IF(OR(ISNUMBER(AY150),AY150=Constants!$B$4,AY150=Constants!$B$6,AY150=Constants!$B$5),1,0)</f>
        <v>0</v>
      </c>
      <c r="BC150" s="106" t="n">
        <v>143</v>
      </c>
      <c r="BD150" s="106" t="str">
        <f aca="false">IF(ISBLANK($C150),"",IF(ISNUMBER(AZ150),AZ150+ROW($B150)/1000,""))</f>
        <v/>
      </c>
      <c r="BE150" s="106" t="str">
        <f aca="false">IF(ISNUMBER(BD150),RANK(BD150,$BD$8:$BD$507,1),"")</f>
        <v/>
      </c>
      <c r="BF150" s="106" t="str">
        <f aca="false">IF(ISBLANK($C150),"",$B150)</f>
        <v/>
      </c>
      <c r="BG150" s="106" t="str">
        <f aca="false">IF(ISBLANK($C150),"",$C150)</f>
        <v/>
      </c>
      <c r="BH150" s="106" t="str">
        <f aca="false">IF(ISBLANK($C150),"",$D150)</f>
        <v/>
      </c>
      <c r="BI150" s="107" t="str">
        <f aca="false">AW150</f>
        <v/>
      </c>
      <c r="BJ150" s="108" t="str">
        <f aca="false">AV150</f>
        <v/>
      </c>
      <c r="BK150" s="106" t="str">
        <f aca="false">IF(ISBLANK($C150),"",AY150)</f>
        <v/>
      </c>
      <c r="BL150" s="109" t="str">
        <f aca="false">IF($BC150&gt;$BB$7,"",VLOOKUP($BC150,$BE$8:$BK$507,7,FALSE()))</f>
        <v/>
      </c>
      <c r="BM150" s="110" t="str">
        <f aca="false">IF($BC150&gt;$BB$7,"",VLOOKUP($BC150,$BE$8:$BK$507,2,FALSE()))</f>
        <v/>
      </c>
      <c r="BN150" s="110" t="str">
        <f aca="false">IF($BC150&gt;$BB$7,"",VLOOKUP($BC150,$BE$8:$BK$507,3,FALSE()))</f>
        <v/>
      </c>
      <c r="BO150" s="110" t="str">
        <f aca="false">IF($BC150&gt;$BB$7,"",VLOOKUP($BC150,$BE$8:$BK$507,4,FALSE()))</f>
        <v/>
      </c>
      <c r="BP150" s="110" t="str">
        <f aca="false">IF($BC150&gt;$BB$7,"",VLOOKUP($BC150,$BE$8:$BK$507,5,FALSE()))</f>
        <v/>
      </c>
      <c r="BQ150" s="111" t="str">
        <f aca="false">IF($BC150&gt;$BB$7,"",VLOOKUP($BC150,$BE$8:$BK$507,6,FALSE()))</f>
        <v/>
      </c>
      <c r="BR150" s="54"/>
    </row>
    <row r="151" customFormat="false" ht="13.8" hidden="false" customHeight="false" outlineLevel="0" collapsed="false">
      <c r="A151" s="5"/>
      <c r="B151" s="120"/>
      <c r="C151" s="121"/>
      <c r="D151" s="112"/>
      <c r="E151" s="123"/>
      <c r="F151" s="91"/>
      <c r="G151" s="92"/>
      <c r="H151" s="93"/>
      <c r="I151" s="94"/>
      <c r="J151" s="91"/>
      <c r="K151" s="92"/>
      <c r="L151" s="93"/>
      <c r="M151" s="94"/>
      <c r="N151" s="91"/>
      <c r="O151" s="123"/>
      <c r="P151" s="96"/>
      <c r="Q151" s="97" t="str">
        <f aca="false">IF(ISBLANK($C151),"",IF(E151=Constants!$B$2, TRUE(), IF(E151=Constants!$B$3, FALSE(), TRUE())))</f>
        <v/>
      </c>
      <c r="R151" s="97" t="str">
        <f aca="false">IF(ISBLANK($C151),"",IF(F151=Constants!$B$16,Constants!$B$9,IF(F151=Constants!$B$17,Constants!$B$10,Constants!$B$8)))</f>
        <v/>
      </c>
      <c r="S151" s="97" t="str">
        <f aca="false">IF(ISBLANK($C151),"",IF(COUNTA(G151:H151)=0,"",IF(AND(OR(ISBLANK(G151),AND(ISNUMBER(G151),G151&gt;=0)),OR(ISBLANK(H151),AND(ISNUMBER(H151),H151&gt;=0))),60*IF(ISBLANK(G151),0,G151)+IF(ISBLANK(H151),0,H151),"")))</f>
        <v/>
      </c>
      <c r="T151" s="97" t="str">
        <f aca="false">IF(ISBLANK($C151),"",IF(I151=Constants!$B$2, TRUE(), IF(I151=Constants!$B$3, FALSE(), TRUE())))</f>
        <v/>
      </c>
      <c r="U151" s="97" t="str">
        <f aca="false">IF(ISBLANK($C151),"",IF(J151=Constants!$B$2, TRUE(), IF(J151=Constants!$B$3, FALSE(), TRUE())))</f>
        <v/>
      </c>
      <c r="V151" s="97" t="str">
        <f aca="false">IF(ISBLANK($C151),"",IF(COUNTA(K151:L151)=0,"",IF(AND(OR(ISBLANK(K151),AND(ISNUMBER(K151),K151&gt;=0)),OR(ISBLANK(L151),AND(ISNUMBER(L151),L151&gt;=0))),60*IF(ISBLANK(K151),0,K151)+IF(ISBLANK(L151),0,L151),"")))</f>
        <v/>
      </c>
      <c r="W151" s="97" t="str">
        <f aca="false">IF(ISBLANK($C151),"",IF(M151=Constants!$B$2, TRUE(), IF(M151=Constants!$B$3, FALSE(), TRUE())))</f>
        <v/>
      </c>
      <c r="X151" s="97" t="str">
        <f aca="false">IF(ISBLANK($C151),"",IF(N151=Constants!$B$2, TRUE(), IF(N151=Constants!$B$3, FALSE(), TRUE())))</f>
        <v/>
      </c>
      <c r="Y151" s="97" t="str">
        <f aca="false">IF(ISBLANK($C151),"",IF(O151=Constants!$B$2, TRUE(), IF(O151=Constants!$B$3, FALSE(), FALSE())))</f>
        <v/>
      </c>
      <c r="Z151" s="97" t="str">
        <f aca="false">IF(ISBLANK($C151),"",AND(S151&lt;&gt;"",Q151))</f>
        <v/>
      </c>
      <c r="AA151" s="97" t="str">
        <f aca="false">IF(ISBLANK($C151),"",AND(V151&lt;&gt;"",Q151))</f>
        <v/>
      </c>
      <c r="AB151" s="97" t="str">
        <f aca="false">IF(ISBLANK($C151),"",IF(Y151,Constants!$B$4,IF(COUNTA(E151:N151)=0,Constants!$B$5,IF(NOT(Q151),Constants!$B$6,IF(AND(NOT(Z151),NOT(AA151)),Constants!$B$6,Constants!$B$7)))))</f>
        <v/>
      </c>
      <c r="AC151" s="97" t="str">
        <f aca="false">IF(ISBLANK($C151),"",IF($AB151&lt;&gt;Constants!$B$7,$AB151,Constants!$B$20))</f>
        <v/>
      </c>
      <c r="AD151" s="97" t="str">
        <f aca="false">IF($AB151=Constants!$B$7,IF(Z151,S151,Constants!$B$13),"")</f>
        <v/>
      </c>
      <c r="AE151" s="97" t="str">
        <f aca="false">IF($AB151=Constants!$B$7,IF(Z151,R151*IF(T151, 1, Constants!$B$11)*IF(U151, 1, Constants!$B$12),Constants!$B$13),"")</f>
        <v/>
      </c>
      <c r="AF151" s="97" t="str">
        <f aca="false">IF($AB151=Constants!$B$7,AD151*AE151,"")</f>
        <v/>
      </c>
      <c r="AG151" s="97" t="str">
        <f aca="false">IF($AB151=Constants!$B$7,IF(AA151,V151,Constants!$B$13),"")</f>
        <v/>
      </c>
      <c r="AH151" s="97" t="str">
        <f aca="false">IF($AB151=Constants!$B$7,IF(AA151,R151*IF(W151, 1, Constants!$B$11)*IF(X151, 1, Constants!$B$12),Constants!$B$13),"")</f>
        <v/>
      </c>
      <c r="AI151" s="97" t="str">
        <f aca="false">IF($AB151=Constants!$B$7,AG151*AH151,"")</f>
        <v/>
      </c>
      <c r="AJ151" s="97" t="str">
        <f aca="false">IF($AB151=Constants!$B$7,IF(AI151&gt;AF151,2,1),"")</f>
        <v/>
      </c>
      <c r="AK151" s="97" t="str">
        <f aca="false">IF($AB151=Constants!$B$7,IF(AJ151=1,2,1),"")</f>
        <v/>
      </c>
      <c r="AL151" s="97" t="str">
        <f aca="false">IF(ISBLANK($C151),"",IF($AB151&lt;&gt;Constants!$B$7,$AB151,IF(AJ151=1,AF151,AI151)))</f>
        <v/>
      </c>
      <c r="AM151" s="97" t="str">
        <f aca="false">IF(ISBLANK($C151),"",IF($AB151=Constants!$B$7,IF(ISNUMBER(AL151),RANK(AL151,$AL$8:$AL$507),Constants!$B$14),$AB151))</f>
        <v/>
      </c>
      <c r="AN151" s="97" t="str">
        <f aca="false">IF(ISBLANK($C151),"",IF($AB151=Constants!$B$7,IF(AK151=1,AF151,AI151),""))</f>
        <v/>
      </c>
      <c r="AO151" s="97" t="str">
        <f aca="false">IF(ISBLANK($C151),"",IF($AB151=Constants!$B$7,RANK(AN151,$AN$8:$AN$507),$AB151))</f>
        <v/>
      </c>
      <c r="AP151" s="97" t="str">
        <f aca="false">IF(ISBLANK($C151),"",IF($AB151=Constants!$B$7,IF(ISNUMBER(AM151),COUNTIFS($AM$8:$AM$507,"&lt;"&amp;$AM151)+COUNTIFS($AM$8:$AM$507,$AM151,$AO$8:$AO$507,"&lt;"&amp;$AO151)+1,Constants!$B$14),$AB151))</f>
        <v/>
      </c>
      <c r="AQ151" s="97" t="str">
        <f aca="false">IF(ISBLANK($C151),"",IF($AB151=Constants!$B$7,IF(ISNUMBER(AM151),AM151-AP151,Constants!$B$14),$AB151))</f>
        <v/>
      </c>
      <c r="AR151" s="98"/>
      <c r="AS151" s="99" t="str">
        <f aca="false">IF(ISBLANK($C151),"",IF($AB151&lt;&gt;Constants!$B$7,"",AJ151))</f>
        <v/>
      </c>
      <c r="AT151" s="100" t="str">
        <f aca="false">IF(ISBLANK($C151),"",IF($AB151&lt;&gt;Constants!$B$7,"",IF(AJ151=1,AD151,AG151)))</f>
        <v/>
      </c>
      <c r="AU151" s="101" t="str">
        <f aca="false">IF(ISBLANK($C151),"",IF($AB151&lt;&gt;Constants!$B$7,"",IF(AJ151=1,AE151,AH151)))</f>
        <v/>
      </c>
      <c r="AV151" s="102" t="str">
        <f aca="false">IF(ISBLANK($C151),"",IF($AB151&lt;&gt;Constants!$B$7,$AB151,AL151))</f>
        <v/>
      </c>
      <c r="AW151" s="103" t="str">
        <f aca="false">IF(ISBLANK($C151),"",IF($AB151&lt;&gt;Constants!$B$7,$AB151,AC151))</f>
        <v/>
      </c>
      <c r="AX151" s="104" t="str">
        <f aca="false">IF(ISBLANK($C151),"",AQ151)</f>
        <v/>
      </c>
      <c r="AY151" s="104" t="str">
        <f aca="false">IF(ISBLANK($C151),"",AP151)</f>
        <v/>
      </c>
      <c r="AZ151" s="105" t="str">
        <f aca="false">IF(ISBLANK($C151),"",IF(AY151=Constants!$B$4,COUNTA($C$8:$C$507)+2,IF(AY151=Constants!$B$5,COUNTA($C$8:$C$507)+1,IF(AY151=Constants!$B$6,COUNTA($C$8:$C$507),AY151))))</f>
        <v/>
      </c>
      <c r="BA151" s="5"/>
      <c r="BB151" s="106" t="n">
        <f aca="false">IF(OR(ISNUMBER(AY151),AY151=Constants!$B$4,AY151=Constants!$B$6,AY151=Constants!$B$5),1,0)</f>
        <v>0</v>
      </c>
      <c r="BC151" s="106" t="n">
        <v>144</v>
      </c>
      <c r="BD151" s="106" t="str">
        <f aca="false">IF(ISBLANK($C151),"",IF(ISNUMBER(AZ151),AZ151+ROW($B151)/1000,""))</f>
        <v/>
      </c>
      <c r="BE151" s="106" t="str">
        <f aca="false">IF(ISNUMBER(BD151),RANK(BD151,$BD$8:$BD$507,1),"")</f>
        <v/>
      </c>
      <c r="BF151" s="106" t="str">
        <f aca="false">IF(ISBLANK($C151),"",$B151)</f>
        <v/>
      </c>
      <c r="BG151" s="106" t="str">
        <f aca="false">IF(ISBLANK($C151),"",$C151)</f>
        <v/>
      </c>
      <c r="BH151" s="106" t="str">
        <f aca="false">IF(ISBLANK($C151),"",$D151)</f>
        <v/>
      </c>
      <c r="BI151" s="107" t="str">
        <f aca="false">AW151</f>
        <v/>
      </c>
      <c r="BJ151" s="108" t="str">
        <f aca="false">AV151</f>
        <v/>
      </c>
      <c r="BK151" s="106" t="str">
        <f aca="false">IF(ISBLANK($C151),"",AY151)</f>
        <v/>
      </c>
      <c r="BL151" s="109" t="str">
        <f aca="false">IF($BC151&gt;$BB$7,"",VLOOKUP($BC151,$BE$8:$BK$507,7,FALSE()))</f>
        <v/>
      </c>
      <c r="BM151" s="110" t="str">
        <f aca="false">IF($BC151&gt;$BB$7,"",VLOOKUP($BC151,$BE$8:$BK$507,2,FALSE()))</f>
        <v/>
      </c>
      <c r="BN151" s="110" t="str">
        <f aca="false">IF($BC151&gt;$BB$7,"",VLOOKUP($BC151,$BE$8:$BK$507,3,FALSE()))</f>
        <v/>
      </c>
      <c r="BO151" s="110" t="str">
        <f aca="false">IF($BC151&gt;$BB$7,"",VLOOKUP($BC151,$BE$8:$BK$507,4,FALSE()))</f>
        <v/>
      </c>
      <c r="BP151" s="110" t="str">
        <f aca="false">IF($BC151&gt;$BB$7,"",VLOOKUP($BC151,$BE$8:$BK$507,5,FALSE()))</f>
        <v/>
      </c>
      <c r="BQ151" s="111" t="str">
        <f aca="false">IF($BC151&gt;$BB$7,"",VLOOKUP($BC151,$BE$8:$BK$507,6,FALSE()))</f>
        <v/>
      </c>
      <c r="BR151" s="54"/>
    </row>
    <row r="152" customFormat="false" ht="13.8" hidden="false" customHeight="false" outlineLevel="0" collapsed="false">
      <c r="A152" s="5"/>
      <c r="B152" s="124"/>
      <c r="C152" s="56"/>
      <c r="D152" s="57"/>
      <c r="E152" s="83"/>
      <c r="F152" s="59"/>
      <c r="G152" s="60"/>
      <c r="H152" s="61"/>
      <c r="I152" s="62"/>
      <c r="J152" s="59"/>
      <c r="K152" s="60"/>
      <c r="L152" s="61"/>
      <c r="M152" s="62"/>
      <c r="N152" s="59"/>
      <c r="O152" s="83"/>
      <c r="P152" s="64"/>
      <c r="Q152" s="66" t="str">
        <f aca="false">IF(ISBLANK($C152),"",IF(E152=Constants!$B$2, TRUE(), IF(E152=Constants!$B$3, FALSE(), TRUE())))</f>
        <v/>
      </c>
      <c r="R152" s="66" t="str">
        <f aca="false">IF(ISBLANK($C152),"",IF(F152=Constants!$B$16,Constants!$B$9,IF(F152=Constants!$B$17,Constants!$B$10,Constants!$B$8)))</f>
        <v/>
      </c>
      <c r="S152" s="66" t="str">
        <f aca="false">IF(ISBLANK($C152),"",IF(COUNTA(G152:H152)=0,"",IF(AND(OR(ISBLANK(G152),AND(ISNUMBER(G152),G152&gt;=0)),OR(ISBLANK(H152),AND(ISNUMBER(H152),H152&gt;=0))),60*IF(ISBLANK(G152),0,G152)+IF(ISBLANK(H152),0,H152),"")))</f>
        <v/>
      </c>
      <c r="T152" s="66" t="str">
        <f aca="false">IF(ISBLANK($C152),"",IF(I152=Constants!$B$2, TRUE(), IF(I152=Constants!$B$3, FALSE(), TRUE())))</f>
        <v/>
      </c>
      <c r="U152" s="66" t="str">
        <f aca="false">IF(ISBLANK($C152),"",IF(J152=Constants!$B$2, TRUE(), IF(J152=Constants!$B$3, FALSE(), TRUE())))</f>
        <v/>
      </c>
      <c r="V152" s="66" t="str">
        <f aca="false">IF(ISBLANK($C152),"",IF(COUNTA(K152:L152)=0,"",IF(AND(OR(ISBLANK(K152),AND(ISNUMBER(K152),K152&gt;=0)),OR(ISBLANK(L152),AND(ISNUMBER(L152),L152&gt;=0))),60*IF(ISBLANK(K152),0,K152)+IF(ISBLANK(L152),0,L152),"")))</f>
        <v/>
      </c>
      <c r="W152" s="66" t="str">
        <f aca="false">IF(ISBLANK($C152),"",IF(M152=Constants!$B$2, TRUE(), IF(M152=Constants!$B$3, FALSE(), TRUE())))</f>
        <v/>
      </c>
      <c r="X152" s="66" t="str">
        <f aca="false">IF(ISBLANK($C152),"",IF(N152=Constants!$B$2, TRUE(), IF(N152=Constants!$B$3, FALSE(), TRUE())))</f>
        <v/>
      </c>
      <c r="Y152" s="66" t="str">
        <f aca="false">IF(ISBLANK($C152),"",IF(O152=Constants!$B$2, TRUE(), IF(O152=Constants!$B$3, FALSE(), FALSE())))</f>
        <v/>
      </c>
      <c r="Z152" s="66" t="str">
        <f aca="false">IF(ISBLANK($C152),"",AND(S152&lt;&gt;"",Q152))</f>
        <v/>
      </c>
      <c r="AA152" s="66" t="str">
        <f aca="false">IF(ISBLANK($C152),"",AND(V152&lt;&gt;"",Q152))</f>
        <v/>
      </c>
      <c r="AB152" s="66" t="str">
        <f aca="false">IF(ISBLANK($C152),"",IF(Y152,Constants!$B$4,IF(COUNTA(E152:N152)=0,Constants!$B$5,IF(NOT(Q152),Constants!$B$6,IF(AND(NOT(Z152),NOT(AA152)),Constants!$B$6,Constants!$B$7)))))</f>
        <v/>
      </c>
      <c r="AC152" s="66" t="str">
        <f aca="false">IF(ISBLANK($C152),"",IF($AB152&lt;&gt;Constants!$B$7,$AB152,Constants!$B$20))</f>
        <v/>
      </c>
      <c r="AD152" s="66" t="str">
        <f aca="false">IF($AB152=Constants!$B$7,IF(Z152,S152,Constants!$B$13),"")</f>
        <v/>
      </c>
      <c r="AE152" s="66" t="str">
        <f aca="false">IF($AB152=Constants!$B$7,IF(Z152,R152*IF(T152, 1, Constants!$B$11)*IF(U152, 1, Constants!$B$12),Constants!$B$13),"")</f>
        <v/>
      </c>
      <c r="AF152" s="66" t="str">
        <f aca="false">IF($AB152=Constants!$B$7,AD152*AE152,"")</f>
        <v/>
      </c>
      <c r="AG152" s="66" t="str">
        <f aca="false">IF($AB152=Constants!$B$7,IF(AA152,V152,Constants!$B$13),"")</f>
        <v/>
      </c>
      <c r="AH152" s="66" t="str">
        <f aca="false">IF($AB152=Constants!$B$7,IF(AA152,R152*IF(W152, 1, Constants!$B$11)*IF(X152, 1, Constants!$B$12),Constants!$B$13),"")</f>
        <v/>
      </c>
      <c r="AI152" s="66" t="str">
        <f aca="false">IF($AB152=Constants!$B$7,AG152*AH152,"")</f>
        <v/>
      </c>
      <c r="AJ152" s="66" t="str">
        <f aca="false">IF($AB152=Constants!$B$7,IF(AI152&gt;AF152,2,1),"")</f>
        <v/>
      </c>
      <c r="AK152" s="66" t="str">
        <f aca="false">IF($AB152=Constants!$B$7,IF(AJ152=1,2,1),"")</f>
        <v/>
      </c>
      <c r="AL152" s="66" t="str">
        <f aca="false">IF(ISBLANK($C152),"",IF($AB152&lt;&gt;Constants!$B$7,$AB152,IF(AJ152=1,AF152,AI152)))</f>
        <v/>
      </c>
      <c r="AM152" s="66" t="str">
        <f aca="false">IF(ISBLANK($C152),"",IF($AB152=Constants!$B$7,IF(ISNUMBER(AL152),RANK(AL152,$AL$8:$AL$507),Constants!$B$14),$AB152))</f>
        <v/>
      </c>
      <c r="AN152" s="66" t="str">
        <f aca="false">IF(ISBLANK($C152),"",IF($AB152=Constants!$B$7,IF(AK152=1,AF152,AI152),""))</f>
        <v/>
      </c>
      <c r="AO152" s="66" t="str">
        <f aca="false">IF(ISBLANK($C152),"",IF($AB152=Constants!$B$7,RANK(AN152,$AN$8:$AN$507),$AB152))</f>
        <v/>
      </c>
      <c r="AP152" s="66" t="str">
        <f aca="false">IF(ISBLANK($C152),"",IF($AB152=Constants!$B$7,IF(ISNUMBER(AM152),COUNTIFS($AM$8:$AM$507,"&lt;"&amp;$AM152)+COUNTIFS($AM$8:$AM$507,$AM152,$AO$8:$AO$507,"&lt;"&amp;$AO152)+1,Constants!$B$14),$AB152))</f>
        <v/>
      </c>
      <c r="AQ152" s="66" t="str">
        <f aca="false">IF(ISBLANK($C152),"",IF($AB152=Constants!$B$7,IF(ISNUMBER(AM152),AM152-AP152,Constants!$B$14),$AB152))</f>
        <v/>
      </c>
      <c r="AR152" s="68"/>
      <c r="AS152" s="69" t="str">
        <f aca="false">IF(ISBLANK($C152),"",IF($AB152&lt;&gt;Constants!$B$7,"",AJ152))</f>
        <v/>
      </c>
      <c r="AT152" s="84" t="str">
        <f aca="false">IF(ISBLANK($C152),"",IF($AB152&lt;&gt;Constants!$B$7,"",IF(AJ152=1,AD152,AG152)))</f>
        <v/>
      </c>
      <c r="AU152" s="71" t="str">
        <f aca="false">IF(ISBLANK($C152),"",IF($AB152&lt;&gt;Constants!$B$7,"",IF(AJ152=1,AE152,AH152)))</f>
        <v/>
      </c>
      <c r="AV152" s="72" t="str">
        <f aca="false">IF(ISBLANK($C152),"",IF($AB152&lt;&gt;Constants!$B$7,$AB152,AL152))</f>
        <v/>
      </c>
      <c r="AW152" s="73" t="str">
        <f aca="false">IF(ISBLANK($C152),"",IF($AB152&lt;&gt;Constants!$B$7,$AB152,AC152))</f>
        <v/>
      </c>
      <c r="AX152" s="74" t="str">
        <f aca="false">IF(ISBLANK($C152),"",AQ152)</f>
        <v/>
      </c>
      <c r="AY152" s="74" t="str">
        <f aca="false">IF(ISBLANK($C152),"",AP152)</f>
        <v/>
      </c>
      <c r="AZ152" s="75" t="str">
        <f aca="false">IF(ISBLANK($C152),"",IF(AY152=Constants!$B$4,COUNTA($C$8:$C$507)+2,IF(AY152=Constants!$B$5,COUNTA($C$8:$C$507)+1,IF(AY152=Constants!$B$6,COUNTA($C$8:$C$507),AY152))))</f>
        <v/>
      </c>
      <c r="BA152" s="5"/>
      <c r="BB152" s="76" t="n">
        <f aca="false">IF(OR(ISNUMBER(AY152),AY152=Constants!$B$4,AY152=Constants!$B$6,AY152=Constants!$B$5),1,0)</f>
        <v>0</v>
      </c>
      <c r="BC152" s="76" t="n">
        <v>145</v>
      </c>
      <c r="BD152" s="76" t="str">
        <f aca="false">IF(ISBLANK($C152),"",IF(ISNUMBER(AZ152),AZ152+ROW($B152)/1000,""))</f>
        <v/>
      </c>
      <c r="BE152" s="76" t="str">
        <f aca="false">IF(ISNUMBER(BD152),RANK(BD152,$BD$8:$BD$507,1),"")</f>
        <v/>
      </c>
      <c r="BF152" s="76" t="str">
        <f aca="false">IF(ISBLANK($C152),"",$B152)</f>
        <v/>
      </c>
      <c r="BG152" s="76" t="str">
        <f aca="false">IF(ISBLANK($C152),"",$C152)</f>
        <v/>
      </c>
      <c r="BH152" s="76" t="str">
        <f aca="false">IF(ISBLANK($C152),"",$D152)</f>
        <v/>
      </c>
      <c r="BI152" s="77" t="str">
        <f aca="false">AW152</f>
        <v/>
      </c>
      <c r="BJ152" s="78" t="str">
        <f aca="false">AV152</f>
        <v/>
      </c>
      <c r="BK152" s="76" t="str">
        <f aca="false">IF(ISBLANK($C152),"",AY152)</f>
        <v/>
      </c>
      <c r="BL152" s="79" t="str">
        <f aca="false">IF($BC152&gt;$BB$7,"",VLOOKUP($BC152,$BE$8:$BK$507,7,FALSE()))</f>
        <v/>
      </c>
      <c r="BM152" s="80" t="str">
        <f aca="false">IF($BC152&gt;$BB$7,"",VLOOKUP($BC152,$BE$8:$BK$507,2,FALSE()))</f>
        <v/>
      </c>
      <c r="BN152" s="80" t="str">
        <f aca="false">IF($BC152&gt;$BB$7,"",VLOOKUP($BC152,$BE$8:$BK$507,3,FALSE()))</f>
        <v/>
      </c>
      <c r="BO152" s="80" t="str">
        <f aca="false">IF($BC152&gt;$BB$7,"",VLOOKUP($BC152,$BE$8:$BK$507,4,FALSE()))</f>
        <v/>
      </c>
      <c r="BP152" s="80" t="str">
        <f aca="false">IF($BC152&gt;$BB$7,"",VLOOKUP($BC152,$BE$8:$BK$507,5,FALSE()))</f>
        <v/>
      </c>
      <c r="BQ152" s="81" t="str">
        <f aca="false">IF($BC152&gt;$BB$7,"",VLOOKUP($BC152,$BE$8:$BK$507,6,FALSE()))</f>
        <v/>
      </c>
      <c r="BR152" s="54"/>
    </row>
    <row r="153" customFormat="false" ht="13.8" hidden="false" customHeight="false" outlineLevel="0" collapsed="false">
      <c r="A153" s="5"/>
      <c r="B153" s="124"/>
      <c r="C153" s="56"/>
      <c r="D153" s="57"/>
      <c r="E153" s="83"/>
      <c r="F153" s="59"/>
      <c r="G153" s="60"/>
      <c r="H153" s="61"/>
      <c r="I153" s="62"/>
      <c r="J153" s="59"/>
      <c r="K153" s="60"/>
      <c r="L153" s="61"/>
      <c r="M153" s="62"/>
      <c r="N153" s="59"/>
      <c r="O153" s="83"/>
      <c r="P153" s="64"/>
      <c r="Q153" s="66" t="str">
        <f aca="false">IF(ISBLANK($C153),"",IF(E153=Constants!$B$2, TRUE(), IF(E153=Constants!$B$3, FALSE(), TRUE())))</f>
        <v/>
      </c>
      <c r="R153" s="66" t="str">
        <f aca="false">IF(ISBLANK($C153),"",IF(F153=Constants!$B$16,Constants!$B$9,IF(F153=Constants!$B$17,Constants!$B$10,Constants!$B$8)))</f>
        <v/>
      </c>
      <c r="S153" s="66" t="str">
        <f aca="false">IF(ISBLANK($C153),"",IF(COUNTA(G153:H153)=0,"",IF(AND(OR(ISBLANK(G153),AND(ISNUMBER(G153),G153&gt;=0)),OR(ISBLANK(H153),AND(ISNUMBER(H153),H153&gt;=0))),60*IF(ISBLANK(G153),0,G153)+IF(ISBLANK(H153),0,H153),"")))</f>
        <v/>
      </c>
      <c r="T153" s="66" t="str">
        <f aca="false">IF(ISBLANK($C153),"",IF(I153=Constants!$B$2, TRUE(), IF(I153=Constants!$B$3, FALSE(), TRUE())))</f>
        <v/>
      </c>
      <c r="U153" s="66" t="str">
        <f aca="false">IF(ISBLANK($C153),"",IF(J153=Constants!$B$2, TRUE(), IF(J153=Constants!$B$3, FALSE(), TRUE())))</f>
        <v/>
      </c>
      <c r="V153" s="66" t="str">
        <f aca="false">IF(ISBLANK($C153),"",IF(COUNTA(K153:L153)=0,"",IF(AND(OR(ISBLANK(K153),AND(ISNUMBER(K153),K153&gt;=0)),OR(ISBLANK(L153),AND(ISNUMBER(L153),L153&gt;=0))),60*IF(ISBLANK(K153),0,K153)+IF(ISBLANK(L153),0,L153),"")))</f>
        <v/>
      </c>
      <c r="W153" s="66" t="str">
        <f aca="false">IF(ISBLANK($C153),"",IF(M153=Constants!$B$2, TRUE(), IF(M153=Constants!$B$3, FALSE(), TRUE())))</f>
        <v/>
      </c>
      <c r="X153" s="66" t="str">
        <f aca="false">IF(ISBLANK($C153),"",IF(N153=Constants!$B$2, TRUE(), IF(N153=Constants!$B$3, FALSE(), TRUE())))</f>
        <v/>
      </c>
      <c r="Y153" s="66" t="str">
        <f aca="false">IF(ISBLANK($C153),"",IF(O153=Constants!$B$2, TRUE(), IF(O153=Constants!$B$3, FALSE(), FALSE())))</f>
        <v/>
      </c>
      <c r="Z153" s="66" t="str">
        <f aca="false">IF(ISBLANK($C153),"",AND(S153&lt;&gt;"",Q153))</f>
        <v/>
      </c>
      <c r="AA153" s="66" t="str">
        <f aca="false">IF(ISBLANK($C153),"",AND(V153&lt;&gt;"",Q153))</f>
        <v/>
      </c>
      <c r="AB153" s="66" t="str">
        <f aca="false">IF(ISBLANK($C153),"",IF(Y153,Constants!$B$4,IF(COUNTA(E153:N153)=0,Constants!$B$5,IF(NOT(Q153),Constants!$B$6,IF(AND(NOT(Z153),NOT(AA153)),Constants!$B$6,Constants!$B$7)))))</f>
        <v/>
      </c>
      <c r="AC153" s="66" t="str">
        <f aca="false">IF(ISBLANK($C153),"",IF($AB153&lt;&gt;Constants!$B$7,$AB153,Constants!$B$20))</f>
        <v/>
      </c>
      <c r="AD153" s="66" t="str">
        <f aca="false">IF($AB153=Constants!$B$7,IF(Z153,S153,Constants!$B$13),"")</f>
        <v/>
      </c>
      <c r="AE153" s="66" t="str">
        <f aca="false">IF($AB153=Constants!$B$7,IF(Z153,R153*IF(T153, 1, Constants!$B$11)*IF(U153, 1, Constants!$B$12),Constants!$B$13),"")</f>
        <v/>
      </c>
      <c r="AF153" s="66" t="str">
        <f aca="false">IF($AB153=Constants!$B$7,AD153*AE153,"")</f>
        <v/>
      </c>
      <c r="AG153" s="66" t="str">
        <f aca="false">IF($AB153=Constants!$B$7,IF(AA153,V153,Constants!$B$13),"")</f>
        <v/>
      </c>
      <c r="AH153" s="66" t="str">
        <f aca="false">IF($AB153=Constants!$B$7,IF(AA153,R153*IF(W153, 1, Constants!$B$11)*IF(X153, 1, Constants!$B$12),Constants!$B$13),"")</f>
        <v/>
      </c>
      <c r="AI153" s="66" t="str">
        <f aca="false">IF($AB153=Constants!$B$7,AG153*AH153,"")</f>
        <v/>
      </c>
      <c r="AJ153" s="66" t="str">
        <f aca="false">IF($AB153=Constants!$B$7,IF(AI153&gt;AF153,2,1),"")</f>
        <v/>
      </c>
      <c r="AK153" s="66" t="str">
        <f aca="false">IF($AB153=Constants!$B$7,IF(AJ153=1,2,1),"")</f>
        <v/>
      </c>
      <c r="AL153" s="66" t="str">
        <f aca="false">IF(ISBLANK($C153),"",IF($AB153&lt;&gt;Constants!$B$7,$AB153,IF(AJ153=1,AF153,AI153)))</f>
        <v/>
      </c>
      <c r="AM153" s="66" t="str">
        <f aca="false">IF(ISBLANK($C153),"",IF($AB153=Constants!$B$7,IF(ISNUMBER(AL153),RANK(AL153,$AL$8:$AL$507),Constants!$B$14),$AB153))</f>
        <v/>
      </c>
      <c r="AN153" s="66" t="str">
        <f aca="false">IF(ISBLANK($C153),"",IF($AB153=Constants!$B$7,IF(AK153=1,AF153,AI153),""))</f>
        <v/>
      </c>
      <c r="AO153" s="66" t="str">
        <f aca="false">IF(ISBLANK($C153),"",IF($AB153=Constants!$B$7,RANK(AN153,$AN$8:$AN$507),$AB153))</f>
        <v/>
      </c>
      <c r="AP153" s="66" t="str">
        <f aca="false">IF(ISBLANK($C153),"",IF($AB153=Constants!$B$7,IF(ISNUMBER(AM153),COUNTIFS($AM$8:$AM$507,"&lt;"&amp;$AM153)+COUNTIFS($AM$8:$AM$507,$AM153,$AO$8:$AO$507,"&lt;"&amp;$AO153)+1,Constants!$B$14),$AB153))</f>
        <v/>
      </c>
      <c r="AQ153" s="66" t="str">
        <f aca="false">IF(ISBLANK($C153),"",IF($AB153=Constants!$B$7,IF(ISNUMBER(AM153),AM153-AP153,Constants!$B$14),$AB153))</f>
        <v/>
      </c>
      <c r="AR153" s="68"/>
      <c r="AS153" s="69" t="str">
        <f aca="false">IF(ISBLANK($C153),"",IF($AB153&lt;&gt;Constants!$B$7,"",AJ153))</f>
        <v/>
      </c>
      <c r="AT153" s="84" t="str">
        <f aca="false">IF(ISBLANK($C153),"",IF($AB153&lt;&gt;Constants!$B$7,"",IF(AJ153=1,AD153,AG153)))</f>
        <v/>
      </c>
      <c r="AU153" s="71" t="str">
        <f aca="false">IF(ISBLANK($C153),"",IF($AB153&lt;&gt;Constants!$B$7,"",IF(AJ153=1,AE153,AH153)))</f>
        <v/>
      </c>
      <c r="AV153" s="72" t="str">
        <f aca="false">IF(ISBLANK($C153),"",IF($AB153&lt;&gt;Constants!$B$7,$AB153,AL153))</f>
        <v/>
      </c>
      <c r="AW153" s="73" t="str">
        <f aca="false">IF(ISBLANK($C153),"",IF($AB153&lt;&gt;Constants!$B$7,$AB153,AC153))</f>
        <v/>
      </c>
      <c r="AX153" s="74" t="str">
        <f aca="false">IF(ISBLANK($C153),"",AQ153)</f>
        <v/>
      </c>
      <c r="AY153" s="74" t="str">
        <f aca="false">IF(ISBLANK($C153),"",AP153)</f>
        <v/>
      </c>
      <c r="AZ153" s="75" t="str">
        <f aca="false">IF(ISBLANK($C153),"",IF(AY153=Constants!$B$4,COUNTA($C$8:$C$507)+2,IF(AY153=Constants!$B$5,COUNTA($C$8:$C$507)+1,IF(AY153=Constants!$B$6,COUNTA($C$8:$C$507),AY153))))</f>
        <v/>
      </c>
      <c r="BA153" s="5"/>
      <c r="BB153" s="76" t="n">
        <f aca="false">IF(OR(ISNUMBER(AY153),AY153=Constants!$B$4,AY153=Constants!$B$6,AY153=Constants!$B$5),1,0)</f>
        <v>0</v>
      </c>
      <c r="BC153" s="76" t="n">
        <v>146</v>
      </c>
      <c r="BD153" s="76" t="str">
        <f aca="false">IF(ISBLANK($C153),"",IF(ISNUMBER(AZ153),AZ153+ROW($B153)/1000,""))</f>
        <v/>
      </c>
      <c r="BE153" s="76" t="str">
        <f aca="false">IF(ISNUMBER(BD153),RANK(BD153,$BD$8:$BD$507,1),"")</f>
        <v/>
      </c>
      <c r="BF153" s="76" t="str">
        <f aca="false">IF(ISBLANK($C153),"",$B153)</f>
        <v/>
      </c>
      <c r="BG153" s="76" t="str">
        <f aca="false">IF(ISBLANK($C153),"",$C153)</f>
        <v/>
      </c>
      <c r="BH153" s="76" t="str">
        <f aca="false">IF(ISBLANK($C153),"",$D153)</f>
        <v/>
      </c>
      <c r="BI153" s="77" t="str">
        <f aca="false">AW153</f>
        <v/>
      </c>
      <c r="BJ153" s="78" t="str">
        <f aca="false">AV153</f>
        <v/>
      </c>
      <c r="BK153" s="76" t="str">
        <f aca="false">IF(ISBLANK($C153),"",AY153)</f>
        <v/>
      </c>
      <c r="BL153" s="79" t="str">
        <f aca="false">IF($BC153&gt;$BB$7,"",VLOOKUP($BC153,$BE$8:$BK$507,7,FALSE()))</f>
        <v/>
      </c>
      <c r="BM153" s="80" t="str">
        <f aca="false">IF($BC153&gt;$BB$7,"",VLOOKUP($BC153,$BE$8:$BK$507,2,FALSE()))</f>
        <v/>
      </c>
      <c r="BN153" s="80" t="str">
        <f aca="false">IF($BC153&gt;$BB$7,"",VLOOKUP($BC153,$BE$8:$BK$507,3,FALSE()))</f>
        <v/>
      </c>
      <c r="BO153" s="80" t="str">
        <f aca="false">IF($BC153&gt;$BB$7,"",VLOOKUP($BC153,$BE$8:$BK$507,4,FALSE()))</f>
        <v/>
      </c>
      <c r="BP153" s="80" t="str">
        <f aca="false">IF($BC153&gt;$BB$7,"",VLOOKUP($BC153,$BE$8:$BK$507,5,FALSE()))</f>
        <v/>
      </c>
      <c r="BQ153" s="81" t="str">
        <f aca="false">IF($BC153&gt;$BB$7,"",VLOOKUP($BC153,$BE$8:$BK$507,6,FALSE()))</f>
        <v/>
      </c>
      <c r="BR153" s="54"/>
    </row>
    <row r="154" customFormat="false" ht="13.8" hidden="false" customHeight="false" outlineLevel="0" collapsed="false">
      <c r="A154" s="5"/>
      <c r="B154" s="124"/>
      <c r="C154" s="56"/>
      <c r="D154" s="57"/>
      <c r="E154" s="83"/>
      <c r="F154" s="59"/>
      <c r="G154" s="60"/>
      <c r="H154" s="61"/>
      <c r="I154" s="62"/>
      <c r="J154" s="59"/>
      <c r="K154" s="60"/>
      <c r="L154" s="61"/>
      <c r="M154" s="62"/>
      <c r="N154" s="59"/>
      <c r="O154" s="83"/>
      <c r="P154" s="64"/>
      <c r="Q154" s="66" t="str">
        <f aca="false">IF(ISBLANK($C154),"",IF(E154=Constants!$B$2, TRUE(), IF(E154=Constants!$B$3, FALSE(), TRUE())))</f>
        <v/>
      </c>
      <c r="R154" s="66" t="str">
        <f aca="false">IF(ISBLANK($C154),"",IF(F154=Constants!$B$16,Constants!$B$9,IF(F154=Constants!$B$17,Constants!$B$10,Constants!$B$8)))</f>
        <v/>
      </c>
      <c r="S154" s="66" t="str">
        <f aca="false">IF(ISBLANK($C154),"",IF(COUNTA(G154:H154)=0,"",IF(AND(OR(ISBLANK(G154),AND(ISNUMBER(G154),G154&gt;=0)),OR(ISBLANK(H154),AND(ISNUMBER(H154),H154&gt;=0))),60*IF(ISBLANK(G154),0,G154)+IF(ISBLANK(H154),0,H154),"")))</f>
        <v/>
      </c>
      <c r="T154" s="66" t="str">
        <f aca="false">IF(ISBLANK($C154),"",IF(I154=Constants!$B$2, TRUE(), IF(I154=Constants!$B$3, FALSE(), TRUE())))</f>
        <v/>
      </c>
      <c r="U154" s="66" t="str">
        <f aca="false">IF(ISBLANK($C154),"",IF(J154=Constants!$B$2, TRUE(), IF(J154=Constants!$B$3, FALSE(), TRUE())))</f>
        <v/>
      </c>
      <c r="V154" s="66" t="str">
        <f aca="false">IF(ISBLANK($C154),"",IF(COUNTA(K154:L154)=0,"",IF(AND(OR(ISBLANK(K154),AND(ISNUMBER(K154),K154&gt;=0)),OR(ISBLANK(L154),AND(ISNUMBER(L154),L154&gt;=0))),60*IF(ISBLANK(K154),0,K154)+IF(ISBLANK(L154),0,L154),"")))</f>
        <v/>
      </c>
      <c r="W154" s="66" t="str">
        <f aca="false">IF(ISBLANK($C154),"",IF(M154=Constants!$B$2, TRUE(), IF(M154=Constants!$B$3, FALSE(), TRUE())))</f>
        <v/>
      </c>
      <c r="X154" s="66" t="str">
        <f aca="false">IF(ISBLANK($C154),"",IF(N154=Constants!$B$2, TRUE(), IF(N154=Constants!$B$3, FALSE(), TRUE())))</f>
        <v/>
      </c>
      <c r="Y154" s="66" t="str">
        <f aca="false">IF(ISBLANK($C154),"",IF(O154=Constants!$B$2, TRUE(), IF(O154=Constants!$B$3, FALSE(), FALSE())))</f>
        <v/>
      </c>
      <c r="Z154" s="66" t="str">
        <f aca="false">IF(ISBLANK($C154),"",AND(S154&lt;&gt;"",Q154))</f>
        <v/>
      </c>
      <c r="AA154" s="66" t="str">
        <f aca="false">IF(ISBLANK($C154),"",AND(V154&lt;&gt;"",Q154))</f>
        <v/>
      </c>
      <c r="AB154" s="66" t="str">
        <f aca="false">IF(ISBLANK($C154),"",IF(Y154,Constants!$B$4,IF(COUNTA(E154:N154)=0,Constants!$B$5,IF(NOT(Q154),Constants!$B$6,IF(AND(NOT(Z154),NOT(AA154)),Constants!$B$6,Constants!$B$7)))))</f>
        <v/>
      </c>
      <c r="AC154" s="66" t="str">
        <f aca="false">IF(ISBLANK($C154),"",IF($AB154&lt;&gt;Constants!$B$7,$AB154,Constants!$B$20))</f>
        <v/>
      </c>
      <c r="AD154" s="66" t="str">
        <f aca="false">IF($AB154=Constants!$B$7,IF(Z154,S154,Constants!$B$13),"")</f>
        <v/>
      </c>
      <c r="AE154" s="66" t="str">
        <f aca="false">IF($AB154=Constants!$B$7,IF(Z154,R154*IF(T154, 1, Constants!$B$11)*IF(U154, 1, Constants!$B$12),Constants!$B$13),"")</f>
        <v/>
      </c>
      <c r="AF154" s="66" t="str">
        <f aca="false">IF($AB154=Constants!$B$7,AD154*AE154,"")</f>
        <v/>
      </c>
      <c r="AG154" s="66" t="str">
        <f aca="false">IF($AB154=Constants!$B$7,IF(AA154,V154,Constants!$B$13),"")</f>
        <v/>
      </c>
      <c r="AH154" s="66" t="str">
        <f aca="false">IF($AB154=Constants!$B$7,IF(AA154,R154*IF(W154, 1, Constants!$B$11)*IF(X154, 1, Constants!$B$12),Constants!$B$13),"")</f>
        <v/>
      </c>
      <c r="AI154" s="66" t="str">
        <f aca="false">IF($AB154=Constants!$B$7,AG154*AH154,"")</f>
        <v/>
      </c>
      <c r="AJ154" s="66" t="str">
        <f aca="false">IF($AB154=Constants!$B$7,IF(AI154&gt;AF154,2,1),"")</f>
        <v/>
      </c>
      <c r="AK154" s="66" t="str">
        <f aca="false">IF($AB154=Constants!$B$7,IF(AJ154=1,2,1),"")</f>
        <v/>
      </c>
      <c r="AL154" s="66" t="str">
        <f aca="false">IF(ISBLANK($C154),"",IF($AB154&lt;&gt;Constants!$B$7,$AB154,IF(AJ154=1,AF154,AI154)))</f>
        <v/>
      </c>
      <c r="AM154" s="66" t="str">
        <f aca="false">IF(ISBLANK($C154),"",IF($AB154=Constants!$B$7,IF(ISNUMBER(AL154),RANK(AL154,$AL$8:$AL$507),Constants!$B$14),$AB154))</f>
        <v/>
      </c>
      <c r="AN154" s="66" t="str">
        <f aca="false">IF(ISBLANK($C154),"",IF($AB154=Constants!$B$7,IF(AK154=1,AF154,AI154),""))</f>
        <v/>
      </c>
      <c r="AO154" s="66" t="str">
        <f aca="false">IF(ISBLANK($C154),"",IF($AB154=Constants!$B$7,RANK(AN154,$AN$8:$AN$507),$AB154))</f>
        <v/>
      </c>
      <c r="AP154" s="66" t="str">
        <f aca="false">IF(ISBLANK($C154),"",IF($AB154=Constants!$B$7,IF(ISNUMBER(AM154),COUNTIFS($AM$8:$AM$507,"&lt;"&amp;$AM154)+COUNTIFS($AM$8:$AM$507,$AM154,$AO$8:$AO$507,"&lt;"&amp;$AO154)+1,Constants!$B$14),$AB154))</f>
        <v/>
      </c>
      <c r="AQ154" s="66" t="str">
        <f aca="false">IF(ISBLANK($C154),"",IF($AB154=Constants!$B$7,IF(ISNUMBER(AM154),AM154-AP154,Constants!$B$14),$AB154))</f>
        <v/>
      </c>
      <c r="AR154" s="68"/>
      <c r="AS154" s="69" t="str">
        <f aca="false">IF(ISBLANK($C154),"",IF($AB154&lt;&gt;Constants!$B$7,"",AJ154))</f>
        <v/>
      </c>
      <c r="AT154" s="84" t="str">
        <f aca="false">IF(ISBLANK($C154),"",IF($AB154&lt;&gt;Constants!$B$7,"",IF(AJ154=1,AD154,AG154)))</f>
        <v/>
      </c>
      <c r="AU154" s="71" t="str">
        <f aca="false">IF(ISBLANK($C154),"",IF($AB154&lt;&gt;Constants!$B$7,"",IF(AJ154=1,AE154,AH154)))</f>
        <v/>
      </c>
      <c r="AV154" s="72" t="str">
        <f aca="false">IF(ISBLANK($C154),"",IF($AB154&lt;&gt;Constants!$B$7,$AB154,AL154))</f>
        <v/>
      </c>
      <c r="AW154" s="73" t="str">
        <f aca="false">IF(ISBLANK($C154),"",IF($AB154&lt;&gt;Constants!$B$7,$AB154,AC154))</f>
        <v/>
      </c>
      <c r="AX154" s="74" t="str">
        <f aca="false">IF(ISBLANK($C154),"",AQ154)</f>
        <v/>
      </c>
      <c r="AY154" s="74" t="str">
        <f aca="false">IF(ISBLANK($C154),"",AP154)</f>
        <v/>
      </c>
      <c r="AZ154" s="75" t="str">
        <f aca="false">IF(ISBLANK($C154),"",IF(AY154=Constants!$B$4,COUNTA($C$8:$C$507)+2,IF(AY154=Constants!$B$5,COUNTA($C$8:$C$507)+1,IF(AY154=Constants!$B$6,COUNTA($C$8:$C$507),AY154))))</f>
        <v/>
      </c>
      <c r="BA154" s="5"/>
      <c r="BB154" s="76" t="n">
        <f aca="false">IF(OR(ISNUMBER(AY154),AY154=Constants!$B$4,AY154=Constants!$B$6,AY154=Constants!$B$5),1,0)</f>
        <v>0</v>
      </c>
      <c r="BC154" s="76" t="n">
        <v>147</v>
      </c>
      <c r="BD154" s="76" t="str">
        <f aca="false">IF(ISBLANK($C154),"",IF(ISNUMBER(AZ154),AZ154+ROW($B154)/1000,""))</f>
        <v/>
      </c>
      <c r="BE154" s="76" t="str">
        <f aca="false">IF(ISNUMBER(BD154),RANK(BD154,$BD$8:$BD$507,1),"")</f>
        <v/>
      </c>
      <c r="BF154" s="76" t="str">
        <f aca="false">IF(ISBLANK($C154),"",$B154)</f>
        <v/>
      </c>
      <c r="BG154" s="76" t="str">
        <f aca="false">IF(ISBLANK($C154),"",$C154)</f>
        <v/>
      </c>
      <c r="BH154" s="76" t="str">
        <f aca="false">IF(ISBLANK($C154),"",$D154)</f>
        <v/>
      </c>
      <c r="BI154" s="77" t="str">
        <f aca="false">AW154</f>
        <v/>
      </c>
      <c r="BJ154" s="78" t="str">
        <f aca="false">AV154</f>
        <v/>
      </c>
      <c r="BK154" s="76" t="str">
        <f aca="false">IF(ISBLANK($C154),"",AY154)</f>
        <v/>
      </c>
      <c r="BL154" s="79" t="str">
        <f aca="false">IF($BC154&gt;$BB$7,"",VLOOKUP($BC154,$BE$8:$BK$507,7,FALSE()))</f>
        <v/>
      </c>
      <c r="BM154" s="80" t="str">
        <f aca="false">IF($BC154&gt;$BB$7,"",VLOOKUP($BC154,$BE$8:$BK$507,2,FALSE()))</f>
        <v/>
      </c>
      <c r="BN154" s="80" t="str">
        <f aca="false">IF($BC154&gt;$BB$7,"",VLOOKUP($BC154,$BE$8:$BK$507,3,FALSE()))</f>
        <v/>
      </c>
      <c r="BO154" s="80" t="str">
        <f aca="false">IF($BC154&gt;$BB$7,"",VLOOKUP($BC154,$BE$8:$BK$507,4,FALSE()))</f>
        <v/>
      </c>
      <c r="BP154" s="80" t="str">
        <f aca="false">IF($BC154&gt;$BB$7,"",VLOOKUP($BC154,$BE$8:$BK$507,5,FALSE()))</f>
        <v/>
      </c>
      <c r="BQ154" s="81" t="str">
        <f aca="false">IF($BC154&gt;$BB$7,"",VLOOKUP($BC154,$BE$8:$BK$507,6,FALSE()))</f>
        <v/>
      </c>
      <c r="BR154" s="54"/>
    </row>
    <row r="155" customFormat="false" ht="13.8" hidden="false" customHeight="false" outlineLevel="0" collapsed="false">
      <c r="A155" s="5"/>
      <c r="B155" s="120"/>
      <c r="C155" s="121"/>
      <c r="D155" s="112"/>
      <c r="E155" s="123"/>
      <c r="F155" s="91"/>
      <c r="G155" s="92"/>
      <c r="H155" s="93"/>
      <c r="I155" s="94"/>
      <c r="J155" s="91"/>
      <c r="K155" s="92"/>
      <c r="L155" s="93"/>
      <c r="M155" s="94"/>
      <c r="N155" s="91"/>
      <c r="O155" s="123"/>
      <c r="P155" s="96"/>
      <c r="Q155" s="97" t="str">
        <f aca="false">IF(ISBLANK($C155),"",IF(E155=Constants!$B$2, TRUE(), IF(E155=Constants!$B$3, FALSE(), TRUE())))</f>
        <v/>
      </c>
      <c r="R155" s="97" t="str">
        <f aca="false">IF(ISBLANK($C155),"",IF(F155=Constants!$B$16,Constants!$B$9,IF(F155=Constants!$B$17,Constants!$B$10,Constants!$B$8)))</f>
        <v/>
      </c>
      <c r="S155" s="97" t="str">
        <f aca="false">IF(ISBLANK($C155),"",IF(COUNTA(G155:H155)=0,"",IF(AND(OR(ISBLANK(G155),AND(ISNUMBER(G155),G155&gt;=0)),OR(ISBLANK(H155),AND(ISNUMBER(H155),H155&gt;=0))),60*IF(ISBLANK(G155),0,G155)+IF(ISBLANK(H155),0,H155),"")))</f>
        <v/>
      </c>
      <c r="T155" s="97" t="str">
        <f aca="false">IF(ISBLANK($C155),"",IF(I155=Constants!$B$2, TRUE(), IF(I155=Constants!$B$3, FALSE(), TRUE())))</f>
        <v/>
      </c>
      <c r="U155" s="97" t="str">
        <f aca="false">IF(ISBLANK($C155),"",IF(J155=Constants!$B$2, TRUE(), IF(J155=Constants!$B$3, FALSE(), TRUE())))</f>
        <v/>
      </c>
      <c r="V155" s="97" t="str">
        <f aca="false">IF(ISBLANK($C155),"",IF(COUNTA(K155:L155)=0,"",IF(AND(OR(ISBLANK(K155),AND(ISNUMBER(K155),K155&gt;=0)),OR(ISBLANK(L155),AND(ISNUMBER(L155),L155&gt;=0))),60*IF(ISBLANK(K155),0,K155)+IF(ISBLANK(L155),0,L155),"")))</f>
        <v/>
      </c>
      <c r="W155" s="97" t="str">
        <f aca="false">IF(ISBLANK($C155),"",IF(M155=Constants!$B$2, TRUE(), IF(M155=Constants!$B$3, FALSE(), TRUE())))</f>
        <v/>
      </c>
      <c r="X155" s="97" t="str">
        <f aca="false">IF(ISBLANK($C155),"",IF(N155=Constants!$B$2, TRUE(), IF(N155=Constants!$B$3, FALSE(), TRUE())))</f>
        <v/>
      </c>
      <c r="Y155" s="97" t="str">
        <f aca="false">IF(ISBLANK($C155),"",IF(O155=Constants!$B$2, TRUE(), IF(O155=Constants!$B$3, FALSE(), FALSE())))</f>
        <v/>
      </c>
      <c r="Z155" s="97" t="str">
        <f aca="false">IF(ISBLANK($C155),"",AND(S155&lt;&gt;"",Q155))</f>
        <v/>
      </c>
      <c r="AA155" s="97" t="str">
        <f aca="false">IF(ISBLANK($C155),"",AND(V155&lt;&gt;"",Q155))</f>
        <v/>
      </c>
      <c r="AB155" s="97" t="str">
        <f aca="false">IF(ISBLANK($C155),"",IF(Y155,Constants!$B$4,IF(COUNTA(E155:N155)=0,Constants!$B$5,IF(NOT(Q155),Constants!$B$6,IF(AND(NOT(Z155),NOT(AA155)),Constants!$B$6,Constants!$B$7)))))</f>
        <v/>
      </c>
      <c r="AC155" s="97" t="str">
        <f aca="false">IF(ISBLANK($C155),"",IF($AB155&lt;&gt;Constants!$B$7,$AB155,Constants!$B$20))</f>
        <v/>
      </c>
      <c r="AD155" s="97" t="str">
        <f aca="false">IF($AB155=Constants!$B$7,IF(Z155,S155,Constants!$B$13),"")</f>
        <v/>
      </c>
      <c r="AE155" s="97" t="str">
        <f aca="false">IF($AB155=Constants!$B$7,IF(Z155,R155*IF(T155, 1, Constants!$B$11)*IF(U155, 1, Constants!$B$12),Constants!$B$13),"")</f>
        <v/>
      </c>
      <c r="AF155" s="97" t="str">
        <f aca="false">IF($AB155=Constants!$B$7,AD155*AE155,"")</f>
        <v/>
      </c>
      <c r="AG155" s="97" t="str">
        <f aca="false">IF($AB155=Constants!$B$7,IF(AA155,V155,Constants!$B$13),"")</f>
        <v/>
      </c>
      <c r="AH155" s="97" t="str">
        <f aca="false">IF($AB155=Constants!$B$7,IF(AA155,R155*IF(W155, 1, Constants!$B$11)*IF(X155, 1, Constants!$B$12),Constants!$B$13),"")</f>
        <v/>
      </c>
      <c r="AI155" s="97" t="str">
        <f aca="false">IF($AB155=Constants!$B$7,AG155*AH155,"")</f>
        <v/>
      </c>
      <c r="AJ155" s="97" t="str">
        <f aca="false">IF($AB155=Constants!$B$7,IF(AI155&gt;AF155,2,1),"")</f>
        <v/>
      </c>
      <c r="AK155" s="97" t="str">
        <f aca="false">IF($AB155=Constants!$B$7,IF(AJ155=1,2,1),"")</f>
        <v/>
      </c>
      <c r="AL155" s="97" t="str">
        <f aca="false">IF(ISBLANK($C155),"",IF($AB155&lt;&gt;Constants!$B$7,$AB155,IF(AJ155=1,AF155,AI155)))</f>
        <v/>
      </c>
      <c r="AM155" s="97" t="str">
        <f aca="false">IF(ISBLANK($C155),"",IF($AB155=Constants!$B$7,IF(ISNUMBER(AL155),RANK(AL155,$AL$8:$AL$507),Constants!$B$14),$AB155))</f>
        <v/>
      </c>
      <c r="AN155" s="97" t="str">
        <f aca="false">IF(ISBLANK($C155),"",IF($AB155=Constants!$B$7,IF(AK155=1,AF155,AI155),""))</f>
        <v/>
      </c>
      <c r="AO155" s="97" t="str">
        <f aca="false">IF(ISBLANK($C155),"",IF($AB155=Constants!$B$7,RANK(AN155,$AN$8:$AN$507),$AB155))</f>
        <v/>
      </c>
      <c r="AP155" s="97" t="str">
        <f aca="false">IF(ISBLANK($C155),"",IF($AB155=Constants!$B$7,IF(ISNUMBER(AM155),COUNTIFS($AM$8:$AM$507,"&lt;"&amp;$AM155)+COUNTIFS($AM$8:$AM$507,$AM155,$AO$8:$AO$507,"&lt;"&amp;$AO155)+1,Constants!$B$14),$AB155))</f>
        <v/>
      </c>
      <c r="AQ155" s="97" t="str">
        <f aca="false">IF(ISBLANK($C155),"",IF($AB155=Constants!$B$7,IF(ISNUMBER(AM155),AM155-AP155,Constants!$B$14),$AB155))</f>
        <v/>
      </c>
      <c r="AR155" s="98"/>
      <c r="AS155" s="99" t="str">
        <f aca="false">IF(ISBLANK($C155),"",IF($AB155&lt;&gt;Constants!$B$7,"",AJ155))</f>
        <v/>
      </c>
      <c r="AT155" s="100" t="str">
        <f aca="false">IF(ISBLANK($C155),"",IF($AB155&lt;&gt;Constants!$B$7,"",IF(AJ155=1,AD155,AG155)))</f>
        <v/>
      </c>
      <c r="AU155" s="101" t="str">
        <f aca="false">IF(ISBLANK($C155),"",IF($AB155&lt;&gt;Constants!$B$7,"",IF(AJ155=1,AE155,AH155)))</f>
        <v/>
      </c>
      <c r="AV155" s="102" t="str">
        <f aca="false">IF(ISBLANK($C155),"",IF($AB155&lt;&gt;Constants!$B$7,$AB155,AL155))</f>
        <v/>
      </c>
      <c r="AW155" s="103" t="str">
        <f aca="false">IF(ISBLANK($C155),"",IF($AB155&lt;&gt;Constants!$B$7,$AB155,AC155))</f>
        <v/>
      </c>
      <c r="AX155" s="104" t="str">
        <f aca="false">IF(ISBLANK($C155),"",AQ155)</f>
        <v/>
      </c>
      <c r="AY155" s="104" t="str">
        <f aca="false">IF(ISBLANK($C155),"",AP155)</f>
        <v/>
      </c>
      <c r="AZ155" s="105" t="str">
        <f aca="false">IF(ISBLANK($C155),"",IF(AY155=Constants!$B$4,COUNTA($C$8:$C$507)+2,IF(AY155=Constants!$B$5,COUNTA($C$8:$C$507)+1,IF(AY155=Constants!$B$6,COUNTA($C$8:$C$507),AY155))))</f>
        <v/>
      </c>
      <c r="BA155" s="5"/>
      <c r="BB155" s="106" t="n">
        <f aca="false">IF(OR(ISNUMBER(AY155),AY155=Constants!$B$4,AY155=Constants!$B$6,AY155=Constants!$B$5),1,0)</f>
        <v>0</v>
      </c>
      <c r="BC155" s="106" t="n">
        <v>148</v>
      </c>
      <c r="BD155" s="106" t="str">
        <f aca="false">IF(ISBLANK($C155),"",IF(ISNUMBER(AZ155),AZ155+ROW($B155)/1000,""))</f>
        <v/>
      </c>
      <c r="BE155" s="106" t="str">
        <f aca="false">IF(ISNUMBER(BD155),RANK(BD155,$BD$8:$BD$507,1),"")</f>
        <v/>
      </c>
      <c r="BF155" s="106" t="str">
        <f aca="false">IF(ISBLANK($C155),"",$B155)</f>
        <v/>
      </c>
      <c r="BG155" s="106" t="str">
        <f aca="false">IF(ISBLANK($C155),"",$C155)</f>
        <v/>
      </c>
      <c r="BH155" s="106" t="str">
        <f aca="false">IF(ISBLANK($C155),"",$D155)</f>
        <v/>
      </c>
      <c r="BI155" s="107" t="str">
        <f aca="false">AW155</f>
        <v/>
      </c>
      <c r="BJ155" s="108" t="str">
        <f aca="false">AV155</f>
        <v/>
      </c>
      <c r="BK155" s="106" t="str">
        <f aca="false">IF(ISBLANK($C155),"",AY155)</f>
        <v/>
      </c>
      <c r="BL155" s="109" t="str">
        <f aca="false">IF($BC155&gt;$BB$7,"",VLOOKUP($BC155,$BE$8:$BK$507,7,FALSE()))</f>
        <v/>
      </c>
      <c r="BM155" s="110" t="str">
        <f aca="false">IF($BC155&gt;$BB$7,"",VLOOKUP($BC155,$BE$8:$BK$507,2,FALSE()))</f>
        <v/>
      </c>
      <c r="BN155" s="110" t="str">
        <f aca="false">IF($BC155&gt;$BB$7,"",VLOOKUP($BC155,$BE$8:$BK$507,3,FALSE()))</f>
        <v/>
      </c>
      <c r="BO155" s="110" t="str">
        <f aca="false">IF($BC155&gt;$BB$7,"",VLOOKUP($BC155,$BE$8:$BK$507,4,FALSE()))</f>
        <v/>
      </c>
      <c r="BP155" s="110" t="str">
        <f aca="false">IF($BC155&gt;$BB$7,"",VLOOKUP($BC155,$BE$8:$BK$507,5,FALSE()))</f>
        <v/>
      </c>
      <c r="BQ155" s="111" t="str">
        <f aca="false">IF($BC155&gt;$BB$7,"",VLOOKUP($BC155,$BE$8:$BK$507,6,FALSE()))</f>
        <v/>
      </c>
      <c r="BR155" s="54"/>
    </row>
    <row r="156" customFormat="false" ht="13.8" hidden="false" customHeight="false" outlineLevel="0" collapsed="false">
      <c r="A156" s="5"/>
      <c r="B156" s="120"/>
      <c r="C156" s="121"/>
      <c r="D156" s="112"/>
      <c r="E156" s="123"/>
      <c r="F156" s="91"/>
      <c r="G156" s="92"/>
      <c r="H156" s="93"/>
      <c r="I156" s="94"/>
      <c r="J156" s="91"/>
      <c r="K156" s="92"/>
      <c r="L156" s="93"/>
      <c r="M156" s="94"/>
      <c r="N156" s="91"/>
      <c r="O156" s="123"/>
      <c r="P156" s="96"/>
      <c r="Q156" s="97" t="str">
        <f aca="false">IF(ISBLANK($C156),"",IF(E156=Constants!$B$2, TRUE(), IF(E156=Constants!$B$3, FALSE(), TRUE())))</f>
        <v/>
      </c>
      <c r="R156" s="97" t="str">
        <f aca="false">IF(ISBLANK($C156),"",IF(F156=Constants!$B$16,Constants!$B$9,IF(F156=Constants!$B$17,Constants!$B$10,Constants!$B$8)))</f>
        <v/>
      </c>
      <c r="S156" s="97" t="str">
        <f aca="false">IF(ISBLANK($C156),"",IF(COUNTA(G156:H156)=0,"",IF(AND(OR(ISBLANK(G156),AND(ISNUMBER(G156),G156&gt;=0)),OR(ISBLANK(H156),AND(ISNUMBER(H156),H156&gt;=0))),60*IF(ISBLANK(G156),0,G156)+IF(ISBLANK(H156),0,H156),"")))</f>
        <v/>
      </c>
      <c r="T156" s="97" t="str">
        <f aca="false">IF(ISBLANK($C156),"",IF(I156=Constants!$B$2, TRUE(), IF(I156=Constants!$B$3, FALSE(), TRUE())))</f>
        <v/>
      </c>
      <c r="U156" s="97" t="str">
        <f aca="false">IF(ISBLANK($C156),"",IF(J156=Constants!$B$2, TRUE(), IF(J156=Constants!$B$3, FALSE(), TRUE())))</f>
        <v/>
      </c>
      <c r="V156" s="97" t="str">
        <f aca="false">IF(ISBLANK($C156),"",IF(COUNTA(K156:L156)=0,"",IF(AND(OR(ISBLANK(K156),AND(ISNUMBER(K156),K156&gt;=0)),OR(ISBLANK(L156),AND(ISNUMBER(L156),L156&gt;=0))),60*IF(ISBLANK(K156),0,K156)+IF(ISBLANK(L156),0,L156),"")))</f>
        <v/>
      </c>
      <c r="W156" s="97" t="str">
        <f aca="false">IF(ISBLANK($C156),"",IF(M156=Constants!$B$2, TRUE(), IF(M156=Constants!$B$3, FALSE(), TRUE())))</f>
        <v/>
      </c>
      <c r="X156" s="97" t="str">
        <f aca="false">IF(ISBLANK($C156),"",IF(N156=Constants!$B$2, TRUE(), IF(N156=Constants!$B$3, FALSE(), TRUE())))</f>
        <v/>
      </c>
      <c r="Y156" s="97" t="str">
        <f aca="false">IF(ISBLANK($C156),"",IF(O156=Constants!$B$2, TRUE(), IF(O156=Constants!$B$3, FALSE(), FALSE())))</f>
        <v/>
      </c>
      <c r="Z156" s="97" t="str">
        <f aca="false">IF(ISBLANK($C156),"",AND(S156&lt;&gt;"",Q156))</f>
        <v/>
      </c>
      <c r="AA156" s="97" t="str">
        <f aca="false">IF(ISBLANK($C156),"",AND(V156&lt;&gt;"",Q156))</f>
        <v/>
      </c>
      <c r="AB156" s="97" t="str">
        <f aca="false">IF(ISBLANK($C156),"",IF(Y156,Constants!$B$4,IF(COUNTA(E156:N156)=0,Constants!$B$5,IF(NOT(Q156),Constants!$B$6,IF(AND(NOT(Z156),NOT(AA156)),Constants!$B$6,Constants!$B$7)))))</f>
        <v/>
      </c>
      <c r="AC156" s="97" t="str">
        <f aca="false">IF(ISBLANK($C156),"",IF($AB156&lt;&gt;Constants!$B$7,$AB156,Constants!$B$20))</f>
        <v/>
      </c>
      <c r="AD156" s="97" t="str">
        <f aca="false">IF($AB156=Constants!$B$7,IF(Z156,S156,Constants!$B$13),"")</f>
        <v/>
      </c>
      <c r="AE156" s="97" t="str">
        <f aca="false">IF($AB156=Constants!$B$7,IF(Z156,R156*IF(T156, 1, Constants!$B$11)*IF(U156, 1, Constants!$B$12),Constants!$B$13),"")</f>
        <v/>
      </c>
      <c r="AF156" s="97" t="str">
        <f aca="false">IF($AB156=Constants!$B$7,AD156*AE156,"")</f>
        <v/>
      </c>
      <c r="AG156" s="97" t="str">
        <f aca="false">IF($AB156=Constants!$B$7,IF(AA156,V156,Constants!$B$13),"")</f>
        <v/>
      </c>
      <c r="AH156" s="97" t="str">
        <f aca="false">IF($AB156=Constants!$B$7,IF(AA156,R156*IF(W156, 1, Constants!$B$11)*IF(X156, 1, Constants!$B$12),Constants!$B$13),"")</f>
        <v/>
      </c>
      <c r="AI156" s="97" t="str">
        <f aca="false">IF($AB156=Constants!$B$7,AG156*AH156,"")</f>
        <v/>
      </c>
      <c r="AJ156" s="97" t="str">
        <f aca="false">IF($AB156=Constants!$B$7,IF(AI156&gt;AF156,2,1),"")</f>
        <v/>
      </c>
      <c r="AK156" s="97" t="str">
        <f aca="false">IF($AB156=Constants!$B$7,IF(AJ156=1,2,1),"")</f>
        <v/>
      </c>
      <c r="AL156" s="97" t="str">
        <f aca="false">IF(ISBLANK($C156),"",IF($AB156&lt;&gt;Constants!$B$7,$AB156,IF(AJ156=1,AF156,AI156)))</f>
        <v/>
      </c>
      <c r="AM156" s="97" t="str">
        <f aca="false">IF(ISBLANK($C156),"",IF($AB156=Constants!$B$7,IF(ISNUMBER(AL156),RANK(AL156,$AL$8:$AL$507),Constants!$B$14),$AB156))</f>
        <v/>
      </c>
      <c r="AN156" s="97" t="str">
        <f aca="false">IF(ISBLANK($C156),"",IF($AB156=Constants!$B$7,IF(AK156=1,AF156,AI156),""))</f>
        <v/>
      </c>
      <c r="AO156" s="97" t="str">
        <f aca="false">IF(ISBLANK($C156),"",IF($AB156=Constants!$B$7,RANK(AN156,$AN$8:$AN$507),$AB156))</f>
        <v/>
      </c>
      <c r="AP156" s="97" t="str">
        <f aca="false">IF(ISBLANK($C156),"",IF($AB156=Constants!$B$7,IF(ISNUMBER(AM156),COUNTIFS($AM$8:$AM$507,"&lt;"&amp;$AM156)+COUNTIFS($AM$8:$AM$507,$AM156,$AO$8:$AO$507,"&lt;"&amp;$AO156)+1,Constants!$B$14),$AB156))</f>
        <v/>
      </c>
      <c r="AQ156" s="97" t="str">
        <f aca="false">IF(ISBLANK($C156),"",IF($AB156=Constants!$B$7,IF(ISNUMBER(AM156),AM156-AP156,Constants!$B$14),$AB156))</f>
        <v/>
      </c>
      <c r="AR156" s="98"/>
      <c r="AS156" s="99" t="str">
        <f aca="false">IF(ISBLANK($C156),"",IF($AB156&lt;&gt;Constants!$B$7,"",AJ156))</f>
        <v/>
      </c>
      <c r="AT156" s="100" t="str">
        <f aca="false">IF(ISBLANK($C156),"",IF($AB156&lt;&gt;Constants!$B$7,"",IF(AJ156=1,AD156,AG156)))</f>
        <v/>
      </c>
      <c r="AU156" s="101" t="str">
        <f aca="false">IF(ISBLANK($C156),"",IF($AB156&lt;&gt;Constants!$B$7,"",IF(AJ156=1,AE156,AH156)))</f>
        <v/>
      </c>
      <c r="AV156" s="102" t="str">
        <f aca="false">IF(ISBLANK($C156),"",IF($AB156&lt;&gt;Constants!$B$7,$AB156,AL156))</f>
        <v/>
      </c>
      <c r="AW156" s="103" t="str">
        <f aca="false">IF(ISBLANK($C156),"",IF($AB156&lt;&gt;Constants!$B$7,$AB156,AC156))</f>
        <v/>
      </c>
      <c r="AX156" s="104" t="str">
        <f aca="false">IF(ISBLANK($C156),"",AQ156)</f>
        <v/>
      </c>
      <c r="AY156" s="104" t="str">
        <f aca="false">IF(ISBLANK($C156),"",AP156)</f>
        <v/>
      </c>
      <c r="AZ156" s="105" t="str">
        <f aca="false">IF(ISBLANK($C156),"",IF(AY156=Constants!$B$4,COUNTA($C$8:$C$507)+2,IF(AY156=Constants!$B$5,COUNTA($C$8:$C$507)+1,IF(AY156=Constants!$B$6,COUNTA($C$8:$C$507),AY156))))</f>
        <v/>
      </c>
      <c r="BA156" s="5"/>
      <c r="BB156" s="106" t="n">
        <f aca="false">IF(OR(ISNUMBER(AY156),AY156=Constants!$B$4,AY156=Constants!$B$6,AY156=Constants!$B$5),1,0)</f>
        <v>0</v>
      </c>
      <c r="BC156" s="106" t="n">
        <v>149</v>
      </c>
      <c r="BD156" s="106" t="str">
        <f aca="false">IF(ISBLANK($C156),"",IF(ISNUMBER(AZ156),AZ156+ROW($B156)/1000,""))</f>
        <v/>
      </c>
      <c r="BE156" s="106" t="str">
        <f aca="false">IF(ISNUMBER(BD156),RANK(BD156,$BD$8:$BD$507,1),"")</f>
        <v/>
      </c>
      <c r="BF156" s="106" t="str">
        <f aca="false">IF(ISBLANK($C156),"",$B156)</f>
        <v/>
      </c>
      <c r="BG156" s="106" t="str">
        <f aca="false">IF(ISBLANK($C156),"",$C156)</f>
        <v/>
      </c>
      <c r="BH156" s="106" t="str">
        <f aca="false">IF(ISBLANK($C156),"",$D156)</f>
        <v/>
      </c>
      <c r="BI156" s="107" t="str">
        <f aca="false">AW156</f>
        <v/>
      </c>
      <c r="BJ156" s="108" t="str">
        <f aca="false">AV156</f>
        <v/>
      </c>
      <c r="BK156" s="106" t="str">
        <f aca="false">IF(ISBLANK($C156),"",AY156)</f>
        <v/>
      </c>
      <c r="BL156" s="109" t="str">
        <f aca="false">IF($BC156&gt;$BB$7,"",VLOOKUP($BC156,$BE$8:$BK$507,7,FALSE()))</f>
        <v/>
      </c>
      <c r="BM156" s="110" t="str">
        <f aca="false">IF($BC156&gt;$BB$7,"",VLOOKUP($BC156,$BE$8:$BK$507,2,FALSE()))</f>
        <v/>
      </c>
      <c r="BN156" s="110" t="str">
        <f aca="false">IF($BC156&gt;$BB$7,"",VLOOKUP($BC156,$BE$8:$BK$507,3,FALSE()))</f>
        <v/>
      </c>
      <c r="BO156" s="110" t="str">
        <f aca="false">IF($BC156&gt;$BB$7,"",VLOOKUP($BC156,$BE$8:$BK$507,4,FALSE()))</f>
        <v/>
      </c>
      <c r="BP156" s="110" t="str">
        <f aca="false">IF($BC156&gt;$BB$7,"",VLOOKUP($BC156,$BE$8:$BK$507,5,FALSE()))</f>
        <v/>
      </c>
      <c r="BQ156" s="111" t="str">
        <f aca="false">IF($BC156&gt;$BB$7,"",VLOOKUP($BC156,$BE$8:$BK$507,6,FALSE()))</f>
        <v/>
      </c>
      <c r="BR156" s="54"/>
    </row>
    <row r="157" customFormat="false" ht="13.8" hidden="false" customHeight="false" outlineLevel="0" collapsed="false">
      <c r="A157" s="5"/>
      <c r="B157" s="120"/>
      <c r="C157" s="121"/>
      <c r="D157" s="112"/>
      <c r="E157" s="123"/>
      <c r="F157" s="91"/>
      <c r="G157" s="92"/>
      <c r="H157" s="93"/>
      <c r="I157" s="94"/>
      <c r="J157" s="91"/>
      <c r="K157" s="92"/>
      <c r="L157" s="93"/>
      <c r="M157" s="94"/>
      <c r="N157" s="91"/>
      <c r="O157" s="123"/>
      <c r="P157" s="96"/>
      <c r="Q157" s="97" t="str">
        <f aca="false">IF(ISBLANK($C157),"",IF(E157=Constants!$B$2, TRUE(), IF(E157=Constants!$B$3, FALSE(), TRUE())))</f>
        <v/>
      </c>
      <c r="R157" s="97" t="str">
        <f aca="false">IF(ISBLANK($C157),"",IF(F157=Constants!$B$16,Constants!$B$9,IF(F157=Constants!$B$17,Constants!$B$10,Constants!$B$8)))</f>
        <v/>
      </c>
      <c r="S157" s="97" t="str">
        <f aca="false">IF(ISBLANK($C157),"",IF(COUNTA(G157:H157)=0,"",IF(AND(OR(ISBLANK(G157),AND(ISNUMBER(G157),G157&gt;=0)),OR(ISBLANK(H157),AND(ISNUMBER(H157),H157&gt;=0))),60*IF(ISBLANK(G157),0,G157)+IF(ISBLANK(H157),0,H157),"")))</f>
        <v/>
      </c>
      <c r="T157" s="97" t="str">
        <f aca="false">IF(ISBLANK($C157),"",IF(I157=Constants!$B$2, TRUE(), IF(I157=Constants!$B$3, FALSE(), TRUE())))</f>
        <v/>
      </c>
      <c r="U157" s="97" t="str">
        <f aca="false">IF(ISBLANK($C157),"",IF(J157=Constants!$B$2, TRUE(), IF(J157=Constants!$B$3, FALSE(), TRUE())))</f>
        <v/>
      </c>
      <c r="V157" s="97" t="str">
        <f aca="false">IF(ISBLANK($C157),"",IF(COUNTA(K157:L157)=0,"",IF(AND(OR(ISBLANK(K157),AND(ISNUMBER(K157),K157&gt;=0)),OR(ISBLANK(L157),AND(ISNUMBER(L157),L157&gt;=0))),60*IF(ISBLANK(K157),0,K157)+IF(ISBLANK(L157),0,L157),"")))</f>
        <v/>
      </c>
      <c r="W157" s="97" t="str">
        <f aca="false">IF(ISBLANK($C157),"",IF(M157=Constants!$B$2, TRUE(), IF(M157=Constants!$B$3, FALSE(), TRUE())))</f>
        <v/>
      </c>
      <c r="X157" s="97" t="str">
        <f aca="false">IF(ISBLANK($C157),"",IF(N157=Constants!$B$2, TRUE(), IF(N157=Constants!$B$3, FALSE(), TRUE())))</f>
        <v/>
      </c>
      <c r="Y157" s="97" t="str">
        <f aca="false">IF(ISBLANK($C157),"",IF(O157=Constants!$B$2, TRUE(), IF(O157=Constants!$B$3, FALSE(), FALSE())))</f>
        <v/>
      </c>
      <c r="Z157" s="97" t="str">
        <f aca="false">IF(ISBLANK($C157),"",AND(S157&lt;&gt;"",Q157))</f>
        <v/>
      </c>
      <c r="AA157" s="97" t="str">
        <f aca="false">IF(ISBLANK($C157),"",AND(V157&lt;&gt;"",Q157))</f>
        <v/>
      </c>
      <c r="AB157" s="97" t="str">
        <f aca="false">IF(ISBLANK($C157),"",IF(Y157,Constants!$B$4,IF(COUNTA(E157:N157)=0,Constants!$B$5,IF(NOT(Q157),Constants!$B$6,IF(AND(NOT(Z157),NOT(AA157)),Constants!$B$6,Constants!$B$7)))))</f>
        <v/>
      </c>
      <c r="AC157" s="97" t="str">
        <f aca="false">IF(ISBLANK($C157),"",IF($AB157&lt;&gt;Constants!$B$7,$AB157,Constants!$B$20))</f>
        <v/>
      </c>
      <c r="AD157" s="97" t="str">
        <f aca="false">IF($AB157=Constants!$B$7,IF(Z157,S157,Constants!$B$13),"")</f>
        <v/>
      </c>
      <c r="AE157" s="97" t="str">
        <f aca="false">IF($AB157=Constants!$B$7,IF(Z157,R157*IF(T157, 1, Constants!$B$11)*IF(U157, 1, Constants!$B$12),Constants!$B$13),"")</f>
        <v/>
      </c>
      <c r="AF157" s="97" t="str">
        <f aca="false">IF($AB157=Constants!$B$7,AD157*AE157,"")</f>
        <v/>
      </c>
      <c r="AG157" s="97" t="str">
        <f aca="false">IF($AB157=Constants!$B$7,IF(AA157,V157,Constants!$B$13),"")</f>
        <v/>
      </c>
      <c r="AH157" s="97" t="str">
        <f aca="false">IF($AB157=Constants!$B$7,IF(AA157,R157*IF(W157, 1, Constants!$B$11)*IF(X157, 1, Constants!$B$12),Constants!$B$13),"")</f>
        <v/>
      </c>
      <c r="AI157" s="97" t="str">
        <f aca="false">IF($AB157=Constants!$B$7,AG157*AH157,"")</f>
        <v/>
      </c>
      <c r="AJ157" s="97" t="str">
        <f aca="false">IF($AB157=Constants!$B$7,IF(AI157&gt;AF157,2,1),"")</f>
        <v/>
      </c>
      <c r="AK157" s="97" t="str">
        <f aca="false">IF($AB157=Constants!$B$7,IF(AJ157=1,2,1),"")</f>
        <v/>
      </c>
      <c r="AL157" s="97" t="str">
        <f aca="false">IF(ISBLANK($C157),"",IF($AB157&lt;&gt;Constants!$B$7,$AB157,IF(AJ157=1,AF157,AI157)))</f>
        <v/>
      </c>
      <c r="AM157" s="97" t="str">
        <f aca="false">IF(ISBLANK($C157),"",IF($AB157=Constants!$B$7,IF(ISNUMBER(AL157),RANK(AL157,$AL$8:$AL$507),Constants!$B$14),$AB157))</f>
        <v/>
      </c>
      <c r="AN157" s="97" t="str">
        <f aca="false">IF(ISBLANK($C157),"",IF($AB157=Constants!$B$7,IF(AK157=1,AF157,AI157),""))</f>
        <v/>
      </c>
      <c r="AO157" s="97" t="str">
        <f aca="false">IF(ISBLANK($C157),"",IF($AB157=Constants!$B$7,RANK(AN157,$AN$8:$AN$507),$AB157))</f>
        <v/>
      </c>
      <c r="AP157" s="97" t="str">
        <f aca="false">IF(ISBLANK($C157),"",IF($AB157=Constants!$B$7,IF(ISNUMBER(AM157),COUNTIFS($AM$8:$AM$507,"&lt;"&amp;$AM157)+COUNTIFS($AM$8:$AM$507,$AM157,$AO$8:$AO$507,"&lt;"&amp;$AO157)+1,Constants!$B$14),$AB157))</f>
        <v/>
      </c>
      <c r="AQ157" s="97" t="str">
        <f aca="false">IF(ISBLANK($C157),"",IF($AB157=Constants!$B$7,IF(ISNUMBER(AM157),AM157-AP157,Constants!$B$14),$AB157))</f>
        <v/>
      </c>
      <c r="AR157" s="98"/>
      <c r="AS157" s="99" t="str">
        <f aca="false">IF(ISBLANK($C157),"",IF($AB157&lt;&gt;Constants!$B$7,"",AJ157))</f>
        <v/>
      </c>
      <c r="AT157" s="100" t="str">
        <f aca="false">IF(ISBLANK($C157),"",IF($AB157&lt;&gt;Constants!$B$7,"",IF(AJ157=1,AD157,AG157)))</f>
        <v/>
      </c>
      <c r="AU157" s="101" t="str">
        <f aca="false">IF(ISBLANK($C157),"",IF($AB157&lt;&gt;Constants!$B$7,"",IF(AJ157=1,AE157,AH157)))</f>
        <v/>
      </c>
      <c r="AV157" s="102" t="str">
        <f aca="false">IF(ISBLANK($C157),"",IF($AB157&lt;&gt;Constants!$B$7,$AB157,AL157))</f>
        <v/>
      </c>
      <c r="AW157" s="103" t="str">
        <f aca="false">IF(ISBLANK($C157),"",IF($AB157&lt;&gt;Constants!$B$7,$AB157,AC157))</f>
        <v/>
      </c>
      <c r="AX157" s="104" t="str">
        <f aca="false">IF(ISBLANK($C157),"",AQ157)</f>
        <v/>
      </c>
      <c r="AY157" s="104" t="str">
        <f aca="false">IF(ISBLANK($C157),"",AP157)</f>
        <v/>
      </c>
      <c r="AZ157" s="105" t="str">
        <f aca="false">IF(ISBLANK($C157),"",IF(AY157=Constants!$B$4,COUNTA($C$8:$C$507)+2,IF(AY157=Constants!$B$5,COUNTA($C$8:$C$507)+1,IF(AY157=Constants!$B$6,COUNTA($C$8:$C$507),AY157))))</f>
        <v/>
      </c>
      <c r="BA157" s="5"/>
      <c r="BB157" s="106" t="n">
        <f aca="false">IF(OR(ISNUMBER(AY157),AY157=Constants!$B$4,AY157=Constants!$B$6,AY157=Constants!$B$5),1,0)</f>
        <v>0</v>
      </c>
      <c r="BC157" s="106" t="n">
        <v>150</v>
      </c>
      <c r="BD157" s="106" t="str">
        <f aca="false">IF(ISBLANK($C157),"",IF(ISNUMBER(AZ157),AZ157+ROW($B157)/1000,""))</f>
        <v/>
      </c>
      <c r="BE157" s="106" t="str">
        <f aca="false">IF(ISNUMBER(BD157),RANK(BD157,$BD$8:$BD$507,1),"")</f>
        <v/>
      </c>
      <c r="BF157" s="106" t="str">
        <f aca="false">IF(ISBLANK($C157),"",$B157)</f>
        <v/>
      </c>
      <c r="BG157" s="106" t="str">
        <f aca="false">IF(ISBLANK($C157),"",$C157)</f>
        <v/>
      </c>
      <c r="BH157" s="106" t="str">
        <f aca="false">IF(ISBLANK($C157),"",$D157)</f>
        <v/>
      </c>
      <c r="BI157" s="107" t="str">
        <f aca="false">AW157</f>
        <v/>
      </c>
      <c r="BJ157" s="108" t="str">
        <f aca="false">AV157</f>
        <v/>
      </c>
      <c r="BK157" s="106" t="str">
        <f aca="false">IF(ISBLANK($C157),"",AY157)</f>
        <v/>
      </c>
      <c r="BL157" s="109" t="str">
        <f aca="false">IF($BC157&gt;$BB$7,"",VLOOKUP($BC157,$BE$8:$BK$507,7,FALSE()))</f>
        <v/>
      </c>
      <c r="BM157" s="110" t="str">
        <f aca="false">IF($BC157&gt;$BB$7,"",VLOOKUP($BC157,$BE$8:$BK$507,2,FALSE()))</f>
        <v/>
      </c>
      <c r="BN157" s="110" t="str">
        <f aca="false">IF($BC157&gt;$BB$7,"",VLOOKUP($BC157,$BE$8:$BK$507,3,FALSE()))</f>
        <v/>
      </c>
      <c r="BO157" s="110" t="str">
        <f aca="false">IF($BC157&gt;$BB$7,"",VLOOKUP($BC157,$BE$8:$BK$507,4,FALSE()))</f>
        <v/>
      </c>
      <c r="BP157" s="110" t="str">
        <f aca="false">IF($BC157&gt;$BB$7,"",VLOOKUP($BC157,$BE$8:$BK$507,5,FALSE()))</f>
        <v/>
      </c>
      <c r="BQ157" s="111" t="str">
        <f aca="false">IF($BC157&gt;$BB$7,"",VLOOKUP($BC157,$BE$8:$BK$507,6,FALSE()))</f>
        <v/>
      </c>
      <c r="BR157" s="54"/>
    </row>
    <row r="158" customFormat="false" ht="13.8" hidden="false" customHeight="false" outlineLevel="0" collapsed="false">
      <c r="A158" s="5"/>
      <c r="B158" s="124"/>
      <c r="C158" s="56"/>
      <c r="D158" s="57"/>
      <c r="E158" s="83"/>
      <c r="F158" s="59"/>
      <c r="G158" s="60"/>
      <c r="H158" s="61"/>
      <c r="I158" s="62"/>
      <c r="J158" s="59"/>
      <c r="K158" s="60"/>
      <c r="L158" s="61"/>
      <c r="M158" s="62"/>
      <c r="N158" s="59"/>
      <c r="O158" s="83"/>
      <c r="P158" s="64"/>
      <c r="Q158" s="66" t="str">
        <f aca="false">IF(ISBLANK($C158),"",IF(E158=Constants!$B$2, TRUE(), IF(E158=Constants!$B$3, FALSE(), TRUE())))</f>
        <v/>
      </c>
      <c r="R158" s="66" t="str">
        <f aca="false">IF(ISBLANK($C158),"",IF(F158=Constants!$B$16,Constants!$B$9,IF(F158=Constants!$B$17,Constants!$B$10,Constants!$B$8)))</f>
        <v/>
      </c>
      <c r="S158" s="66" t="str">
        <f aca="false">IF(ISBLANK($C158),"",IF(COUNTA(G158:H158)=0,"",IF(AND(OR(ISBLANK(G158),AND(ISNUMBER(G158),G158&gt;=0)),OR(ISBLANK(H158),AND(ISNUMBER(H158),H158&gt;=0))),60*IF(ISBLANK(G158),0,G158)+IF(ISBLANK(H158),0,H158),"")))</f>
        <v/>
      </c>
      <c r="T158" s="66" t="str">
        <f aca="false">IF(ISBLANK($C158),"",IF(I158=Constants!$B$2, TRUE(), IF(I158=Constants!$B$3, FALSE(), TRUE())))</f>
        <v/>
      </c>
      <c r="U158" s="66" t="str">
        <f aca="false">IF(ISBLANK($C158),"",IF(J158=Constants!$B$2, TRUE(), IF(J158=Constants!$B$3, FALSE(), TRUE())))</f>
        <v/>
      </c>
      <c r="V158" s="66" t="str">
        <f aca="false">IF(ISBLANK($C158),"",IF(COUNTA(K158:L158)=0,"",IF(AND(OR(ISBLANK(K158),AND(ISNUMBER(K158),K158&gt;=0)),OR(ISBLANK(L158),AND(ISNUMBER(L158),L158&gt;=0))),60*IF(ISBLANK(K158),0,K158)+IF(ISBLANK(L158),0,L158),"")))</f>
        <v/>
      </c>
      <c r="W158" s="66" t="str">
        <f aca="false">IF(ISBLANK($C158),"",IF(M158=Constants!$B$2, TRUE(), IF(M158=Constants!$B$3, FALSE(), TRUE())))</f>
        <v/>
      </c>
      <c r="X158" s="66" t="str">
        <f aca="false">IF(ISBLANK($C158),"",IF(N158=Constants!$B$2, TRUE(), IF(N158=Constants!$B$3, FALSE(), TRUE())))</f>
        <v/>
      </c>
      <c r="Y158" s="66" t="str">
        <f aca="false">IF(ISBLANK($C158),"",IF(O158=Constants!$B$2, TRUE(), IF(O158=Constants!$B$3, FALSE(), FALSE())))</f>
        <v/>
      </c>
      <c r="Z158" s="66" t="str">
        <f aca="false">IF(ISBLANK($C158),"",AND(S158&lt;&gt;"",Q158))</f>
        <v/>
      </c>
      <c r="AA158" s="66" t="str">
        <f aca="false">IF(ISBLANK($C158),"",AND(V158&lt;&gt;"",Q158))</f>
        <v/>
      </c>
      <c r="AB158" s="66" t="str">
        <f aca="false">IF(ISBLANK($C158),"",IF(Y158,Constants!$B$4,IF(COUNTA(E158:N158)=0,Constants!$B$5,IF(NOT(Q158),Constants!$B$6,IF(AND(NOT(Z158),NOT(AA158)),Constants!$B$6,Constants!$B$7)))))</f>
        <v/>
      </c>
      <c r="AC158" s="66" t="str">
        <f aca="false">IF(ISBLANK($C158),"",IF($AB158&lt;&gt;Constants!$B$7,$AB158,Constants!$B$20))</f>
        <v/>
      </c>
      <c r="AD158" s="66" t="str">
        <f aca="false">IF($AB158=Constants!$B$7,IF(Z158,S158,Constants!$B$13),"")</f>
        <v/>
      </c>
      <c r="AE158" s="66" t="str">
        <f aca="false">IF($AB158=Constants!$B$7,IF(Z158,R158*IF(T158, 1, Constants!$B$11)*IF(U158, 1, Constants!$B$12),Constants!$B$13),"")</f>
        <v/>
      </c>
      <c r="AF158" s="66" t="str">
        <f aca="false">IF($AB158=Constants!$B$7,AD158*AE158,"")</f>
        <v/>
      </c>
      <c r="AG158" s="66" t="str">
        <f aca="false">IF($AB158=Constants!$B$7,IF(AA158,V158,Constants!$B$13),"")</f>
        <v/>
      </c>
      <c r="AH158" s="66" t="str">
        <f aca="false">IF($AB158=Constants!$B$7,IF(AA158,R158*IF(W158, 1, Constants!$B$11)*IF(X158, 1, Constants!$B$12),Constants!$B$13),"")</f>
        <v/>
      </c>
      <c r="AI158" s="66" t="str">
        <f aca="false">IF($AB158=Constants!$B$7,AG158*AH158,"")</f>
        <v/>
      </c>
      <c r="AJ158" s="66" t="str">
        <f aca="false">IF($AB158=Constants!$B$7,IF(AI158&gt;AF158,2,1),"")</f>
        <v/>
      </c>
      <c r="AK158" s="66" t="str">
        <f aca="false">IF($AB158=Constants!$B$7,IF(AJ158=1,2,1),"")</f>
        <v/>
      </c>
      <c r="AL158" s="66" t="str">
        <f aca="false">IF(ISBLANK($C158),"",IF($AB158&lt;&gt;Constants!$B$7,$AB158,IF(AJ158=1,AF158,AI158)))</f>
        <v/>
      </c>
      <c r="AM158" s="66" t="str">
        <f aca="false">IF(ISBLANK($C158),"",IF($AB158=Constants!$B$7,IF(ISNUMBER(AL158),RANK(AL158,$AL$8:$AL$507),Constants!$B$14),$AB158))</f>
        <v/>
      </c>
      <c r="AN158" s="66" t="str">
        <f aca="false">IF(ISBLANK($C158),"",IF($AB158=Constants!$B$7,IF(AK158=1,AF158,AI158),""))</f>
        <v/>
      </c>
      <c r="AO158" s="66" t="str">
        <f aca="false">IF(ISBLANK($C158),"",IF($AB158=Constants!$B$7,RANK(AN158,$AN$8:$AN$507),$AB158))</f>
        <v/>
      </c>
      <c r="AP158" s="66" t="str">
        <f aca="false">IF(ISBLANK($C158),"",IF($AB158=Constants!$B$7,IF(ISNUMBER(AM158),COUNTIFS($AM$8:$AM$507,"&lt;"&amp;$AM158)+COUNTIFS($AM$8:$AM$507,$AM158,$AO$8:$AO$507,"&lt;"&amp;$AO158)+1,Constants!$B$14),$AB158))</f>
        <v/>
      </c>
      <c r="AQ158" s="66" t="str">
        <f aca="false">IF(ISBLANK($C158),"",IF($AB158=Constants!$B$7,IF(ISNUMBER(AM158),AM158-AP158,Constants!$B$14),$AB158))</f>
        <v/>
      </c>
      <c r="AR158" s="68"/>
      <c r="AS158" s="69" t="str">
        <f aca="false">IF(ISBLANK($C158),"",IF($AB158&lt;&gt;Constants!$B$7,"",AJ158))</f>
        <v/>
      </c>
      <c r="AT158" s="84" t="str">
        <f aca="false">IF(ISBLANK($C158),"",IF($AB158&lt;&gt;Constants!$B$7,"",IF(AJ158=1,AD158,AG158)))</f>
        <v/>
      </c>
      <c r="AU158" s="71" t="str">
        <f aca="false">IF(ISBLANK($C158),"",IF($AB158&lt;&gt;Constants!$B$7,"",IF(AJ158=1,AE158,AH158)))</f>
        <v/>
      </c>
      <c r="AV158" s="72" t="str">
        <f aca="false">IF(ISBLANK($C158),"",IF($AB158&lt;&gt;Constants!$B$7,$AB158,AL158))</f>
        <v/>
      </c>
      <c r="AW158" s="73" t="str">
        <f aca="false">IF(ISBLANK($C158),"",IF($AB158&lt;&gt;Constants!$B$7,$AB158,AC158))</f>
        <v/>
      </c>
      <c r="AX158" s="74" t="str">
        <f aca="false">IF(ISBLANK($C158),"",AQ158)</f>
        <v/>
      </c>
      <c r="AY158" s="74" t="str">
        <f aca="false">IF(ISBLANK($C158),"",AP158)</f>
        <v/>
      </c>
      <c r="AZ158" s="75" t="str">
        <f aca="false">IF(ISBLANK($C158),"",IF(AY158=Constants!$B$4,COUNTA($C$8:$C$507)+2,IF(AY158=Constants!$B$5,COUNTA($C$8:$C$507)+1,IF(AY158=Constants!$B$6,COUNTA($C$8:$C$507),AY158))))</f>
        <v/>
      </c>
      <c r="BA158" s="5"/>
      <c r="BB158" s="76" t="n">
        <f aca="false">IF(OR(ISNUMBER(AY158),AY158=Constants!$B$4,AY158=Constants!$B$6,AY158=Constants!$B$5),1,0)</f>
        <v>0</v>
      </c>
      <c r="BC158" s="76" t="n">
        <v>151</v>
      </c>
      <c r="BD158" s="76" t="str">
        <f aca="false">IF(ISBLANK($C158),"",IF(ISNUMBER(AZ158),AZ158+ROW($B158)/1000,""))</f>
        <v/>
      </c>
      <c r="BE158" s="76" t="str">
        <f aca="false">IF(ISNUMBER(BD158),RANK(BD158,$BD$8:$BD$507,1),"")</f>
        <v/>
      </c>
      <c r="BF158" s="76" t="str">
        <f aca="false">IF(ISBLANK($C158),"",$B158)</f>
        <v/>
      </c>
      <c r="BG158" s="76" t="str">
        <f aca="false">IF(ISBLANK($C158),"",$C158)</f>
        <v/>
      </c>
      <c r="BH158" s="76" t="str">
        <f aca="false">IF(ISBLANK($C158),"",$D158)</f>
        <v/>
      </c>
      <c r="BI158" s="77" t="str">
        <f aca="false">AW158</f>
        <v/>
      </c>
      <c r="BJ158" s="78" t="str">
        <f aca="false">AV158</f>
        <v/>
      </c>
      <c r="BK158" s="76" t="str">
        <f aca="false">IF(ISBLANK($C158),"",AY158)</f>
        <v/>
      </c>
      <c r="BL158" s="79" t="str">
        <f aca="false">IF($BC158&gt;$BB$7,"",VLOOKUP($BC158,$BE$8:$BK$507,7,FALSE()))</f>
        <v/>
      </c>
      <c r="BM158" s="80" t="str">
        <f aca="false">IF($BC158&gt;$BB$7,"",VLOOKUP($BC158,$BE$8:$BK$507,2,FALSE()))</f>
        <v/>
      </c>
      <c r="BN158" s="80" t="str">
        <f aca="false">IF($BC158&gt;$BB$7,"",VLOOKUP($BC158,$BE$8:$BK$507,3,FALSE()))</f>
        <v/>
      </c>
      <c r="BO158" s="80" t="str">
        <f aca="false">IF($BC158&gt;$BB$7,"",VLOOKUP($BC158,$BE$8:$BK$507,4,FALSE()))</f>
        <v/>
      </c>
      <c r="BP158" s="80" t="str">
        <f aca="false">IF($BC158&gt;$BB$7,"",VLOOKUP($BC158,$BE$8:$BK$507,5,FALSE()))</f>
        <v/>
      </c>
      <c r="BQ158" s="81" t="str">
        <f aca="false">IF($BC158&gt;$BB$7,"",VLOOKUP($BC158,$BE$8:$BK$507,6,FALSE()))</f>
        <v/>
      </c>
      <c r="BR158" s="54"/>
    </row>
    <row r="159" customFormat="false" ht="13.8" hidden="false" customHeight="false" outlineLevel="0" collapsed="false">
      <c r="A159" s="5"/>
      <c r="B159" s="124"/>
      <c r="C159" s="56"/>
      <c r="D159" s="57"/>
      <c r="E159" s="83"/>
      <c r="F159" s="59"/>
      <c r="G159" s="60"/>
      <c r="H159" s="61"/>
      <c r="I159" s="62"/>
      <c r="J159" s="59"/>
      <c r="K159" s="60"/>
      <c r="L159" s="61"/>
      <c r="M159" s="62"/>
      <c r="N159" s="59"/>
      <c r="O159" s="83"/>
      <c r="P159" s="64"/>
      <c r="Q159" s="66" t="str">
        <f aca="false">IF(ISBLANK($C159),"",IF(E159=Constants!$B$2, TRUE(), IF(E159=Constants!$B$3, FALSE(), TRUE())))</f>
        <v/>
      </c>
      <c r="R159" s="66" t="str">
        <f aca="false">IF(ISBLANK($C159),"",IF(F159=Constants!$B$16,Constants!$B$9,IF(F159=Constants!$B$17,Constants!$B$10,Constants!$B$8)))</f>
        <v/>
      </c>
      <c r="S159" s="66" t="str">
        <f aca="false">IF(ISBLANK($C159),"",IF(COUNTA(G159:H159)=0,"",IF(AND(OR(ISBLANK(G159),AND(ISNUMBER(G159),G159&gt;=0)),OR(ISBLANK(H159),AND(ISNUMBER(H159),H159&gt;=0))),60*IF(ISBLANK(G159),0,G159)+IF(ISBLANK(H159),0,H159),"")))</f>
        <v/>
      </c>
      <c r="T159" s="66" t="str">
        <f aca="false">IF(ISBLANK($C159),"",IF(I159=Constants!$B$2, TRUE(), IF(I159=Constants!$B$3, FALSE(), TRUE())))</f>
        <v/>
      </c>
      <c r="U159" s="66" t="str">
        <f aca="false">IF(ISBLANK($C159),"",IF(J159=Constants!$B$2, TRUE(), IF(J159=Constants!$B$3, FALSE(), TRUE())))</f>
        <v/>
      </c>
      <c r="V159" s="66" t="str">
        <f aca="false">IF(ISBLANK($C159),"",IF(COUNTA(K159:L159)=0,"",IF(AND(OR(ISBLANK(K159),AND(ISNUMBER(K159),K159&gt;=0)),OR(ISBLANK(L159),AND(ISNUMBER(L159),L159&gt;=0))),60*IF(ISBLANK(K159),0,K159)+IF(ISBLANK(L159),0,L159),"")))</f>
        <v/>
      </c>
      <c r="W159" s="66" t="str">
        <f aca="false">IF(ISBLANK($C159),"",IF(M159=Constants!$B$2, TRUE(), IF(M159=Constants!$B$3, FALSE(), TRUE())))</f>
        <v/>
      </c>
      <c r="X159" s="66" t="str">
        <f aca="false">IF(ISBLANK($C159),"",IF(N159=Constants!$B$2, TRUE(), IF(N159=Constants!$B$3, FALSE(), TRUE())))</f>
        <v/>
      </c>
      <c r="Y159" s="66" t="str">
        <f aca="false">IF(ISBLANK($C159),"",IF(O159=Constants!$B$2, TRUE(), IF(O159=Constants!$B$3, FALSE(), FALSE())))</f>
        <v/>
      </c>
      <c r="Z159" s="66" t="str">
        <f aca="false">IF(ISBLANK($C159),"",AND(S159&lt;&gt;"",Q159))</f>
        <v/>
      </c>
      <c r="AA159" s="66" t="str">
        <f aca="false">IF(ISBLANK($C159),"",AND(V159&lt;&gt;"",Q159))</f>
        <v/>
      </c>
      <c r="AB159" s="66" t="str">
        <f aca="false">IF(ISBLANK($C159),"",IF(Y159,Constants!$B$4,IF(COUNTA(E159:N159)=0,Constants!$B$5,IF(NOT(Q159),Constants!$B$6,IF(AND(NOT(Z159),NOT(AA159)),Constants!$B$6,Constants!$B$7)))))</f>
        <v/>
      </c>
      <c r="AC159" s="66" t="str">
        <f aca="false">IF(ISBLANK($C159),"",IF($AB159&lt;&gt;Constants!$B$7,$AB159,Constants!$B$20))</f>
        <v/>
      </c>
      <c r="AD159" s="66" t="str">
        <f aca="false">IF($AB159=Constants!$B$7,IF(Z159,S159,Constants!$B$13),"")</f>
        <v/>
      </c>
      <c r="AE159" s="66" t="str">
        <f aca="false">IF($AB159=Constants!$B$7,IF(Z159,R159*IF(T159, 1, Constants!$B$11)*IF(U159, 1, Constants!$B$12),Constants!$B$13),"")</f>
        <v/>
      </c>
      <c r="AF159" s="66" t="str">
        <f aca="false">IF($AB159=Constants!$B$7,AD159*AE159,"")</f>
        <v/>
      </c>
      <c r="AG159" s="66" t="str">
        <f aca="false">IF($AB159=Constants!$B$7,IF(AA159,V159,Constants!$B$13),"")</f>
        <v/>
      </c>
      <c r="AH159" s="66" t="str">
        <f aca="false">IF($AB159=Constants!$B$7,IF(AA159,R159*IF(W159, 1, Constants!$B$11)*IF(X159, 1, Constants!$B$12),Constants!$B$13),"")</f>
        <v/>
      </c>
      <c r="AI159" s="66" t="str">
        <f aca="false">IF($AB159=Constants!$B$7,AG159*AH159,"")</f>
        <v/>
      </c>
      <c r="AJ159" s="66" t="str">
        <f aca="false">IF($AB159=Constants!$B$7,IF(AI159&gt;AF159,2,1),"")</f>
        <v/>
      </c>
      <c r="AK159" s="66" t="str">
        <f aca="false">IF($AB159=Constants!$B$7,IF(AJ159=1,2,1),"")</f>
        <v/>
      </c>
      <c r="AL159" s="66" t="str">
        <f aca="false">IF(ISBLANK($C159),"",IF($AB159&lt;&gt;Constants!$B$7,$AB159,IF(AJ159=1,AF159,AI159)))</f>
        <v/>
      </c>
      <c r="AM159" s="66" t="str">
        <f aca="false">IF(ISBLANK($C159),"",IF($AB159=Constants!$B$7,IF(ISNUMBER(AL159),RANK(AL159,$AL$8:$AL$507),Constants!$B$14),$AB159))</f>
        <v/>
      </c>
      <c r="AN159" s="66" t="str">
        <f aca="false">IF(ISBLANK($C159),"",IF($AB159=Constants!$B$7,IF(AK159=1,AF159,AI159),""))</f>
        <v/>
      </c>
      <c r="AO159" s="66" t="str">
        <f aca="false">IF(ISBLANK($C159),"",IF($AB159=Constants!$B$7,RANK(AN159,$AN$8:$AN$507),$AB159))</f>
        <v/>
      </c>
      <c r="AP159" s="66" t="str">
        <f aca="false">IF(ISBLANK($C159),"",IF($AB159=Constants!$B$7,IF(ISNUMBER(AM159),COUNTIFS($AM$8:$AM$507,"&lt;"&amp;$AM159)+COUNTIFS($AM$8:$AM$507,$AM159,$AO$8:$AO$507,"&lt;"&amp;$AO159)+1,Constants!$B$14),$AB159))</f>
        <v/>
      </c>
      <c r="AQ159" s="66" t="str">
        <f aca="false">IF(ISBLANK($C159),"",IF($AB159=Constants!$B$7,IF(ISNUMBER(AM159),AM159-AP159,Constants!$B$14),$AB159))</f>
        <v/>
      </c>
      <c r="AR159" s="68"/>
      <c r="AS159" s="69" t="str">
        <f aca="false">IF(ISBLANK($C159),"",IF($AB159&lt;&gt;Constants!$B$7,"",AJ159))</f>
        <v/>
      </c>
      <c r="AT159" s="84" t="str">
        <f aca="false">IF(ISBLANK($C159),"",IF($AB159&lt;&gt;Constants!$B$7,"",IF(AJ159=1,AD159,AG159)))</f>
        <v/>
      </c>
      <c r="AU159" s="71" t="str">
        <f aca="false">IF(ISBLANK($C159),"",IF($AB159&lt;&gt;Constants!$B$7,"",IF(AJ159=1,AE159,AH159)))</f>
        <v/>
      </c>
      <c r="AV159" s="72" t="str">
        <f aca="false">IF(ISBLANK($C159),"",IF($AB159&lt;&gt;Constants!$B$7,$AB159,AL159))</f>
        <v/>
      </c>
      <c r="AW159" s="73" t="str">
        <f aca="false">IF(ISBLANK($C159),"",IF($AB159&lt;&gt;Constants!$B$7,$AB159,AC159))</f>
        <v/>
      </c>
      <c r="AX159" s="74" t="str">
        <f aca="false">IF(ISBLANK($C159),"",AQ159)</f>
        <v/>
      </c>
      <c r="AY159" s="74" t="str">
        <f aca="false">IF(ISBLANK($C159),"",AP159)</f>
        <v/>
      </c>
      <c r="AZ159" s="75" t="str">
        <f aca="false">IF(ISBLANK($C159),"",IF(AY159=Constants!$B$4,COUNTA($C$8:$C$507)+2,IF(AY159=Constants!$B$5,COUNTA($C$8:$C$507)+1,IF(AY159=Constants!$B$6,COUNTA($C$8:$C$507),AY159))))</f>
        <v/>
      </c>
      <c r="BA159" s="5"/>
      <c r="BB159" s="76" t="n">
        <f aca="false">IF(OR(ISNUMBER(AY159),AY159=Constants!$B$4,AY159=Constants!$B$6,AY159=Constants!$B$5),1,0)</f>
        <v>0</v>
      </c>
      <c r="BC159" s="76" t="n">
        <v>152</v>
      </c>
      <c r="BD159" s="76" t="str">
        <f aca="false">IF(ISBLANK($C159),"",IF(ISNUMBER(AZ159),AZ159+ROW($B159)/1000,""))</f>
        <v/>
      </c>
      <c r="BE159" s="76" t="str">
        <f aca="false">IF(ISNUMBER(BD159),RANK(BD159,$BD$8:$BD$507,1),"")</f>
        <v/>
      </c>
      <c r="BF159" s="76" t="str">
        <f aca="false">IF(ISBLANK($C159),"",$B159)</f>
        <v/>
      </c>
      <c r="BG159" s="76" t="str">
        <f aca="false">IF(ISBLANK($C159),"",$C159)</f>
        <v/>
      </c>
      <c r="BH159" s="76" t="str">
        <f aca="false">IF(ISBLANK($C159),"",$D159)</f>
        <v/>
      </c>
      <c r="BI159" s="77" t="str">
        <f aca="false">AW159</f>
        <v/>
      </c>
      <c r="BJ159" s="78" t="str">
        <f aca="false">AV159</f>
        <v/>
      </c>
      <c r="BK159" s="76" t="str">
        <f aca="false">IF(ISBLANK($C159),"",AY159)</f>
        <v/>
      </c>
      <c r="BL159" s="79" t="str">
        <f aca="false">IF($BC159&gt;$BB$7,"",VLOOKUP($BC159,$BE$8:$BK$507,7,FALSE()))</f>
        <v/>
      </c>
      <c r="BM159" s="80" t="str">
        <f aca="false">IF($BC159&gt;$BB$7,"",VLOOKUP($BC159,$BE$8:$BK$507,2,FALSE()))</f>
        <v/>
      </c>
      <c r="BN159" s="80" t="str">
        <f aca="false">IF($BC159&gt;$BB$7,"",VLOOKUP($BC159,$BE$8:$BK$507,3,FALSE()))</f>
        <v/>
      </c>
      <c r="BO159" s="80" t="str">
        <f aca="false">IF($BC159&gt;$BB$7,"",VLOOKUP($BC159,$BE$8:$BK$507,4,FALSE()))</f>
        <v/>
      </c>
      <c r="BP159" s="80" t="str">
        <f aca="false">IF($BC159&gt;$BB$7,"",VLOOKUP($BC159,$BE$8:$BK$507,5,FALSE()))</f>
        <v/>
      </c>
      <c r="BQ159" s="81" t="str">
        <f aca="false">IF($BC159&gt;$BB$7,"",VLOOKUP($BC159,$BE$8:$BK$507,6,FALSE()))</f>
        <v/>
      </c>
      <c r="BR159" s="54"/>
    </row>
    <row r="160" customFormat="false" ht="13.8" hidden="false" customHeight="false" outlineLevel="0" collapsed="false">
      <c r="A160" s="5"/>
      <c r="B160" s="124"/>
      <c r="C160" s="56"/>
      <c r="D160" s="57"/>
      <c r="E160" s="83"/>
      <c r="F160" s="59"/>
      <c r="G160" s="60"/>
      <c r="H160" s="61"/>
      <c r="I160" s="62"/>
      <c r="J160" s="59"/>
      <c r="K160" s="60"/>
      <c r="L160" s="61"/>
      <c r="M160" s="62"/>
      <c r="N160" s="59"/>
      <c r="O160" s="83"/>
      <c r="P160" s="64"/>
      <c r="Q160" s="66" t="str">
        <f aca="false">IF(ISBLANK($C160),"",IF(E160=Constants!$B$2, TRUE(), IF(E160=Constants!$B$3, FALSE(), TRUE())))</f>
        <v/>
      </c>
      <c r="R160" s="66" t="str">
        <f aca="false">IF(ISBLANK($C160),"",IF(F160=Constants!$B$16,Constants!$B$9,IF(F160=Constants!$B$17,Constants!$B$10,Constants!$B$8)))</f>
        <v/>
      </c>
      <c r="S160" s="66" t="str">
        <f aca="false">IF(ISBLANK($C160),"",IF(COUNTA(G160:H160)=0,"",IF(AND(OR(ISBLANK(G160),AND(ISNUMBER(G160),G160&gt;=0)),OR(ISBLANK(H160),AND(ISNUMBER(H160),H160&gt;=0))),60*IF(ISBLANK(G160),0,G160)+IF(ISBLANK(H160),0,H160),"")))</f>
        <v/>
      </c>
      <c r="T160" s="66" t="str">
        <f aca="false">IF(ISBLANK($C160),"",IF(I160=Constants!$B$2, TRUE(), IF(I160=Constants!$B$3, FALSE(), TRUE())))</f>
        <v/>
      </c>
      <c r="U160" s="66" t="str">
        <f aca="false">IF(ISBLANK($C160),"",IF(J160=Constants!$B$2, TRUE(), IF(J160=Constants!$B$3, FALSE(), TRUE())))</f>
        <v/>
      </c>
      <c r="V160" s="66" t="str">
        <f aca="false">IF(ISBLANK($C160),"",IF(COUNTA(K160:L160)=0,"",IF(AND(OR(ISBLANK(K160),AND(ISNUMBER(K160),K160&gt;=0)),OR(ISBLANK(L160),AND(ISNUMBER(L160),L160&gt;=0))),60*IF(ISBLANK(K160),0,K160)+IF(ISBLANK(L160),0,L160),"")))</f>
        <v/>
      </c>
      <c r="W160" s="66" t="str">
        <f aca="false">IF(ISBLANK($C160),"",IF(M160=Constants!$B$2, TRUE(), IF(M160=Constants!$B$3, FALSE(), TRUE())))</f>
        <v/>
      </c>
      <c r="X160" s="66" t="str">
        <f aca="false">IF(ISBLANK($C160),"",IF(N160=Constants!$B$2, TRUE(), IF(N160=Constants!$B$3, FALSE(), TRUE())))</f>
        <v/>
      </c>
      <c r="Y160" s="66" t="str">
        <f aca="false">IF(ISBLANK($C160),"",IF(O160=Constants!$B$2, TRUE(), IF(O160=Constants!$B$3, FALSE(), FALSE())))</f>
        <v/>
      </c>
      <c r="Z160" s="66" t="str">
        <f aca="false">IF(ISBLANK($C160),"",AND(S160&lt;&gt;"",Q160))</f>
        <v/>
      </c>
      <c r="AA160" s="66" t="str">
        <f aca="false">IF(ISBLANK($C160),"",AND(V160&lt;&gt;"",Q160))</f>
        <v/>
      </c>
      <c r="AB160" s="66" t="str">
        <f aca="false">IF(ISBLANK($C160),"",IF(Y160,Constants!$B$4,IF(COUNTA(E160:N160)=0,Constants!$B$5,IF(NOT(Q160),Constants!$B$6,IF(AND(NOT(Z160),NOT(AA160)),Constants!$B$6,Constants!$B$7)))))</f>
        <v/>
      </c>
      <c r="AC160" s="66" t="str">
        <f aca="false">IF(ISBLANK($C160),"",IF($AB160&lt;&gt;Constants!$B$7,$AB160,Constants!$B$20))</f>
        <v/>
      </c>
      <c r="AD160" s="66" t="str">
        <f aca="false">IF($AB160=Constants!$B$7,IF(Z160,S160,Constants!$B$13),"")</f>
        <v/>
      </c>
      <c r="AE160" s="66" t="str">
        <f aca="false">IF($AB160=Constants!$B$7,IF(Z160,R160*IF(T160, 1, Constants!$B$11)*IF(U160, 1, Constants!$B$12),Constants!$B$13),"")</f>
        <v/>
      </c>
      <c r="AF160" s="66" t="str">
        <f aca="false">IF($AB160=Constants!$B$7,AD160*AE160,"")</f>
        <v/>
      </c>
      <c r="AG160" s="66" t="str">
        <f aca="false">IF($AB160=Constants!$B$7,IF(AA160,V160,Constants!$B$13),"")</f>
        <v/>
      </c>
      <c r="AH160" s="66" t="str">
        <f aca="false">IF($AB160=Constants!$B$7,IF(AA160,R160*IF(W160, 1, Constants!$B$11)*IF(X160, 1, Constants!$B$12),Constants!$B$13),"")</f>
        <v/>
      </c>
      <c r="AI160" s="66" t="str">
        <f aca="false">IF($AB160=Constants!$B$7,AG160*AH160,"")</f>
        <v/>
      </c>
      <c r="AJ160" s="66" t="str">
        <f aca="false">IF($AB160=Constants!$B$7,IF(AI160&gt;AF160,2,1),"")</f>
        <v/>
      </c>
      <c r="AK160" s="66" t="str">
        <f aca="false">IF($AB160=Constants!$B$7,IF(AJ160=1,2,1),"")</f>
        <v/>
      </c>
      <c r="AL160" s="66" t="str">
        <f aca="false">IF(ISBLANK($C160),"",IF($AB160&lt;&gt;Constants!$B$7,$AB160,IF(AJ160=1,AF160,AI160)))</f>
        <v/>
      </c>
      <c r="AM160" s="66" t="str">
        <f aca="false">IF(ISBLANK($C160),"",IF($AB160=Constants!$B$7,IF(ISNUMBER(AL160),RANK(AL160,$AL$8:$AL$507),Constants!$B$14),$AB160))</f>
        <v/>
      </c>
      <c r="AN160" s="66" t="str">
        <f aca="false">IF(ISBLANK($C160),"",IF($AB160=Constants!$B$7,IF(AK160=1,AF160,AI160),""))</f>
        <v/>
      </c>
      <c r="AO160" s="66" t="str">
        <f aca="false">IF(ISBLANK($C160),"",IF($AB160=Constants!$B$7,RANK(AN160,$AN$8:$AN$507),$AB160))</f>
        <v/>
      </c>
      <c r="AP160" s="66" t="str">
        <f aca="false">IF(ISBLANK($C160),"",IF($AB160=Constants!$B$7,IF(ISNUMBER(AM160),COUNTIFS($AM$8:$AM$507,"&lt;"&amp;$AM160)+COUNTIFS($AM$8:$AM$507,$AM160,$AO$8:$AO$507,"&lt;"&amp;$AO160)+1,Constants!$B$14),$AB160))</f>
        <v/>
      </c>
      <c r="AQ160" s="66" t="str">
        <f aca="false">IF(ISBLANK($C160),"",IF($AB160=Constants!$B$7,IF(ISNUMBER(AM160),AM160-AP160,Constants!$B$14),$AB160))</f>
        <v/>
      </c>
      <c r="AR160" s="68"/>
      <c r="AS160" s="69" t="str">
        <f aca="false">IF(ISBLANK($C160),"",IF($AB160&lt;&gt;Constants!$B$7,"",AJ160))</f>
        <v/>
      </c>
      <c r="AT160" s="84" t="str">
        <f aca="false">IF(ISBLANK($C160),"",IF($AB160&lt;&gt;Constants!$B$7,"",IF(AJ160=1,AD160,AG160)))</f>
        <v/>
      </c>
      <c r="AU160" s="71" t="str">
        <f aca="false">IF(ISBLANK($C160),"",IF($AB160&lt;&gt;Constants!$B$7,"",IF(AJ160=1,AE160,AH160)))</f>
        <v/>
      </c>
      <c r="AV160" s="72" t="str">
        <f aca="false">IF(ISBLANK($C160),"",IF($AB160&lt;&gt;Constants!$B$7,$AB160,AL160))</f>
        <v/>
      </c>
      <c r="AW160" s="73" t="str">
        <f aca="false">IF(ISBLANK($C160),"",IF($AB160&lt;&gt;Constants!$B$7,$AB160,AC160))</f>
        <v/>
      </c>
      <c r="AX160" s="74" t="str">
        <f aca="false">IF(ISBLANK($C160),"",AQ160)</f>
        <v/>
      </c>
      <c r="AY160" s="74" t="str">
        <f aca="false">IF(ISBLANK($C160),"",AP160)</f>
        <v/>
      </c>
      <c r="AZ160" s="75" t="str">
        <f aca="false">IF(ISBLANK($C160),"",IF(AY160=Constants!$B$4,COUNTA($C$8:$C$507)+2,IF(AY160=Constants!$B$5,COUNTA($C$8:$C$507)+1,IF(AY160=Constants!$B$6,COUNTA($C$8:$C$507),AY160))))</f>
        <v/>
      </c>
      <c r="BA160" s="5"/>
      <c r="BB160" s="76" t="n">
        <f aca="false">IF(OR(ISNUMBER(AY160),AY160=Constants!$B$4,AY160=Constants!$B$6,AY160=Constants!$B$5),1,0)</f>
        <v>0</v>
      </c>
      <c r="BC160" s="76" t="n">
        <v>153</v>
      </c>
      <c r="BD160" s="76" t="str">
        <f aca="false">IF(ISBLANK($C160),"",IF(ISNUMBER(AZ160),AZ160+ROW($B160)/1000,""))</f>
        <v/>
      </c>
      <c r="BE160" s="76" t="str">
        <f aca="false">IF(ISNUMBER(BD160),RANK(BD160,$BD$8:$BD$507,1),"")</f>
        <v/>
      </c>
      <c r="BF160" s="76" t="str">
        <f aca="false">IF(ISBLANK($C160),"",$B160)</f>
        <v/>
      </c>
      <c r="BG160" s="76" t="str">
        <f aca="false">IF(ISBLANK($C160),"",$C160)</f>
        <v/>
      </c>
      <c r="BH160" s="76" t="str">
        <f aca="false">IF(ISBLANK($C160),"",$D160)</f>
        <v/>
      </c>
      <c r="BI160" s="77" t="str">
        <f aca="false">AW160</f>
        <v/>
      </c>
      <c r="BJ160" s="78" t="str">
        <f aca="false">AV160</f>
        <v/>
      </c>
      <c r="BK160" s="76" t="str">
        <f aca="false">IF(ISBLANK($C160),"",AY160)</f>
        <v/>
      </c>
      <c r="BL160" s="79" t="str">
        <f aca="false">IF($BC160&gt;$BB$7,"",VLOOKUP($BC160,$BE$8:$BK$507,7,FALSE()))</f>
        <v/>
      </c>
      <c r="BM160" s="80" t="str">
        <f aca="false">IF($BC160&gt;$BB$7,"",VLOOKUP($BC160,$BE$8:$BK$507,2,FALSE()))</f>
        <v/>
      </c>
      <c r="BN160" s="80" t="str">
        <f aca="false">IF($BC160&gt;$BB$7,"",VLOOKUP($BC160,$BE$8:$BK$507,3,FALSE()))</f>
        <v/>
      </c>
      <c r="BO160" s="80" t="str">
        <f aca="false">IF($BC160&gt;$BB$7,"",VLOOKUP($BC160,$BE$8:$BK$507,4,FALSE()))</f>
        <v/>
      </c>
      <c r="BP160" s="80" t="str">
        <f aca="false">IF($BC160&gt;$BB$7,"",VLOOKUP($BC160,$BE$8:$BK$507,5,FALSE()))</f>
        <v/>
      </c>
      <c r="BQ160" s="81" t="str">
        <f aca="false">IF($BC160&gt;$BB$7,"",VLOOKUP($BC160,$BE$8:$BK$507,6,FALSE()))</f>
        <v/>
      </c>
      <c r="BR160" s="54"/>
    </row>
    <row r="161" customFormat="false" ht="13.8" hidden="false" customHeight="false" outlineLevel="0" collapsed="false">
      <c r="A161" s="5"/>
      <c r="B161" s="120"/>
      <c r="C161" s="121"/>
      <c r="D161" s="112"/>
      <c r="E161" s="123"/>
      <c r="F161" s="91"/>
      <c r="G161" s="92"/>
      <c r="H161" s="93"/>
      <c r="I161" s="94"/>
      <c r="J161" s="91"/>
      <c r="K161" s="92"/>
      <c r="L161" s="93"/>
      <c r="M161" s="94"/>
      <c r="N161" s="91"/>
      <c r="O161" s="123"/>
      <c r="P161" s="96"/>
      <c r="Q161" s="97" t="str">
        <f aca="false">IF(ISBLANK($C161),"",IF(E161=Constants!$B$2, TRUE(), IF(E161=Constants!$B$3, FALSE(), TRUE())))</f>
        <v/>
      </c>
      <c r="R161" s="97" t="str">
        <f aca="false">IF(ISBLANK($C161),"",IF(F161=Constants!$B$16,Constants!$B$9,IF(F161=Constants!$B$17,Constants!$B$10,Constants!$B$8)))</f>
        <v/>
      </c>
      <c r="S161" s="97" t="str">
        <f aca="false">IF(ISBLANK($C161),"",IF(COUNTA(G161:H161)=0,"",IF(AND(OR(ISBLANK(G161),AND(ISNUMBER(G161),G161&gt;=0)),OR(ISBLANK(H161),AND(ISNUMBER(H161),H161&gt;=0))),60*IF(ISBLANK(G161),0,G161)+IF(ISBLANK(H161),0,H161),"")))</f>
        <v/>
      </c>
      <c r="T161" s="97" t="str">
        <f aca="false">IF(ISBLANK($C161),"",IF(I161=Constants!$B$2, TRUE(), IF(I161=Constants!$B$3, FALSE(), TRUE())))</f>
        <v/>
      </c>
      <c r="U161" s="97" t="str">
        <f aca="false">IF(ISBLANK($C161),"",IF(J161=Constants!$B$2, TRUE(), IF(J161=Constants!$B$3, FALSE(), TRUE())))</f>
        <v/>
      </c>
      <c r="V161" s="97" t="str">
        <f aca="false">IF(ISBLANK($C161),"",IF(COUNTA(K161:L161)=0,"",IF(AND(OR(ISBLANK(K161),AND(ISNUMBER(K161),K161&gt;=0)),OR(ISBLANK(L161),AND(ISNUMBER(L161),L161&gt;=0))),60*IF(ISBLANK(K161),0,K161)+IF(ISBLANK(L161),0,L161),"")))</f>
        <v/>
      </c>
      <c r="W161" s="97" t="str">
        <f aca="false">IF(ISBLANK($C161),"",IF(M161=Constants!$B$2, TRUE(), IF(M161=Constants!$B$3, FALSE(), TRUE())))</f>
        <v/>
      </c>
      <c r="X161" s="97" t="str">
        <f aca="false">IF(ISBLANK($C161),"",IF(N161=Constants!$B$2, TRUE(), IF(N161=Constants!$B$3, FALSE(), TRUE())))</f>
        <v/>
      </c>
      <c r="Y161" s="97" t="str">
        <f aca="false">IF(ISBLANK($C161),"",IF(O161=Constants!$B$2, TRUE(), IF(O161=Constants!$B$3, FALSE(), FALSE())))</f>
        <v/>
      </c>
      <c r="Z161" s="97" t="str">
        <f aca="false">IF(ISBLANK($C161),"",AND(S161&lt;&gt;"",Q161))</f>
        <v/>
      </c>
      <c r="AA161" s="97" t="str">
        <f aca="false">IF(ISBLANK($C161),"",AND(V161&lt;&gt;"",Q161))</f>
        <v/>
      </c>
      <c r="AB161" s="97" t="str">
        <f aca="false">IF(ISBLANK($C161),"",IF(Y161,Constants!$B$4,IF(COUNTA(E161:N161)=0,Constants!$B$5,IF(NOT(Q161),Constants!$B$6,IF(AND(NOT(Z161),NOT(AA161)),Constants!$B$6,Constants!$B$7)))))</f>
        <v/>
      </c>
      <c r="AC161" s="97" t="str">
        <f aca="false">IF(ISBLANK($C161),"",IF($AB161&lt;&gt;Constants!$B$7,$AB161,Constants!$B$20))</f>
        <v/>
      </c>
      <c r="AD161" s="97" t="str">
        <f aca="false">IF($AB161=Constants!$B$7,IF(Z161,S161,Constants!$B$13),"")</f>
        <v/>
      </c>
      <c r="AE161" s="97" t="str">
        <f aca="false">IF($AB161=Constants!$B$7,IF(Z161,R161*IF(T161, 1, Constants!$B$11)*IF(U161, 1, Constants!$B$12),Constants!$B$13),"")</f>
        <v/>
      </c>
      <c r="AF161" s="97" t="str">
        <f aca="false">IF($AB161=Constants!$B$7,AD161*AE161,"")</f>
        <v/>
      </c>
      <c r="AG161" s="97" t="str">
        <f aca="false">IF($AB161=Constants!$B$7,IF(AA161,V161,Constants!$B$13),"")</f>
        <v/>
      </c>
      <c r="AH161" s="97" t="str">
        <f aca="false">IF($AB161=Constants!$B$7,IF(AA161,R161*IF(W161, 1, Constants!$B$11)*IF(X161, 1, Constants!$B$12),Constants!$B$13),"")</f>
        <v/>
      </c>
      <c r="AI161" s="97" t="str">
        <f aca="false">IF($AB161=Constants!$B$7,AG161*AH161,"")</f>
        <v/>
      </c>
      <c r="AJ161" s="97" t="str">
        <f aca="false">IF($AB161=Constants!$B$7,IF(AI161&gt;AF161,2,1),"")</f>
        <v/>
      </c>
      <c r="AK161" s="97" t="str">
        <f aca="false">IF($AB161=Constants!$B$7,IF(AJ161=1,2,1),"")</f>
        <v/>
      </c>
      <c r="AL161" s="97" t="str">
        <f aca="false">IF(ISBLANK($C161),"",IF($AB161&lt;&gt;Constants!$B$7,$AB161,IF(AJ161=1,AF161,AI161)))</f>
        <v/>
      </c>
      <c r="AM161" s="97" t="str">
        <f aca="false">IF(ISBLANK($C161),"",IF($AB161=Constants!$B$7,IF(ISNUMBER(AL161),RANK(AL161,$AL$8:$AL$507),Constants!$B$14),$AB161))</f>
        <v/>
      </c>
      <c r="AN161" s="97" t="str">
        <f aca="false">IF(ISBLANK($C161),"",IF($AB161=Constants!$B$7,IF(AK161=1,AF161,AI161),""))</f>
        <v/>
      </c>
      <c r="AO161" s="97" t="str">
        <f aca="false">IF(ISBLANK($C161),"",IF($AB161=Constants!$B$7,RANK(AN161,$AN$8:$AN$507),$AB161))</f>
        <v/>
      </c>
      <c r="AP161" s="97" t="str">
        <f aca="false">IF(ISBLANK($C161),"",IF($AB161=Constants!$B$7,IF(ISNUMBER(AM161),COUNTIFS($AM$8:$AM$507,"&lt;"&amp;$AM161)+COUNTIFS($AM$8:$AM$507,$AM161,$AO$8:$AO$507,"&lt;"&amp;$AO161)+1,Constants!$B$14),$AB161))</f>
        <v/>
      </c>
      <c r="AQ161" s="97" t="str">
        <f aca="false">IF(ISBLANK($C161),"",IF($AB161=Constants!$B$7,IF(ISNUMBER(AM161),AM161-AP161,Constants!$B$14),$AB161))</f>
        <v/>
      </c>
      <c r="AR161" s="98"/>
      <c r="AS161" s="99" t="str">
        <f aca="false">IF(ISBLANK($C161),"",IF($AB161&lt;&gt;Constants!$B$7,"",AJ161))</f>
        <v/>
      </c>
      <c r="AT161" s="100" t="str">
        <f aca="false">IF(ISBLANK($C161),"",IF($AB161&lt;&gt;Constants!$B$7,"",IF(AJ161=1,AD161,AG161)))</f>
        <v/>
      </c>
      <c r="AU161" s="101" t="str">
        <f aca="false">IF(ISBLANK($C161),"",IF($AB161&lt;&gt;Constants!$B$7,"",IF(AJ161=1,AE161,AH161)))</f>
        <v/>
      </c>
      <c r="AV161" s="102" t="str">
        <f aca="false">IF(ISBLANK($C161),"",IF($AB161&lt;&gt;Constants!$B$7,$AB161,AL161))</f>
        <v/>
      </c>
      <c r="AW161" s="103" t="str">
        <f aca="false">IF(ISBLANK($C161),"",IF($AB161&lt;&gt;Constants!$B$7,$AB161,AC161))</f>
        <v/>
      </c>
      <c r="AX161" s="104" t="str">
        <f aca="false">IF(ISBLANK($C161),"",AQ161)</f>
        <v/>
      </c>
      <c r="AY161" s="104" t="str">
        <f aca="false">IF(ISBLANK($C161),"",AP161)</f>
        <v/>
      </c>
      <c r="AZ161" s="105" t="str">
        <f aca="false">IF(ISBLANK($C161),"",IF(AY161=Constants!$B$4,COUNTA($C$8:$C$507)+2,IF(AY161=Constants!$B$5,COUNTA($C$8:$C$507)+1,IF(AY161=Constants!$B$6,COUNTA($C$8:$C$507),AY161))))</f>
        <v/>
      </c>
      <c r="BA161" s="5"/>
      <c r="BB161" s="106" t="n">
        <f aca="false">IF(OR(ISNUMBER(AY161),AY161=Constants!$B$4,AY161=Constants!$B$6,AY161=Constants!$B$5),1,0)</f>
        <v>0</v>
      </c>
      <c r="BC161" s="106" t="n">
        <v>154</v>
      </c>
      <c r="BD161" s="106" t="str">
        <f aca="false">IF(ISBLANK($C161),"",IF(ISNUMBER(AZ161),AZ161+ROW($B161)/1000,""))</f>
        <v/>
      </c>
      <c r="BE161" s="106" t="str">
        <f aca="false">IF(ISNUMBER(BD161),RANK(BD161,$BD$8:$BD$507,1),"")</f>
        <v/>
      </c>
      <c r="BF161" s="106" t="str">
        <f aca="false">IF(ISBLANK($C161),"",$B161)</f>
        <v/>
      </c>
      <c r="BG161" s="106" t="str">
        <f aca="false">IF(ISBLANK($C161),"",$C161)</f>
        <v/>
      </c>
      <c r="BH161" s="106" t="str">
        <f aca="false">IF(ISBLANK($C161),"",$D161)</f>
        <v/>
      </c>
      <c r="BI161" s="107" t="str">
        <f aca="false">AW161</f>
        <v/>
      </c>
      <c r="BJ161" s="108" t="str">
        <f aca="false">AV161</f>
        <v/>
      </c>
      <c r="BK161" s="106" t="str">
        <f aca="false">IF(ISBLANK($C161),"",AY161)</f>
        <v/>
      </c>
      <c r="BL161" s="109" t="str">
        <f aca="false">IF($BC161&gt;$BB$7,"",VLOOKUP($BC161,$BE$8:$BK$507,7,FALSE()))</f>
        <v/>
      </c>
      <c r="BM161" s="110" t="str">
        <f aca="false">IF($BC161&gt;$BB$7,"",VLOOKUP($BC161,$BE$8:$BK$507,2,FALSE()))</f>
        <v/>
      </c>
      <c r="BN161" s="110" t="str">
        <f aca="false">IF($BC161&gt;$BB$7,"",VLOOKUP($BC161,$BE$8:$BK$507,3,FALSE()))</f>
        <v/>
      </c>
      <c r="BO161" s="110" t="str">
        <f aca="false">IF($BC161&gt;$BB$7,"",VLOOKUP($BC161,$BE$8:$BK$507,4,FALSE()))</f>
        <v/>
      </c>
      <c r="BP161" s="110" t="str">
        <f aca="false">IF($BC161&gt;$BB$7,"",VLOOKUP($BC161,$BE$8:$BK$507,5,FALSE()))</f>
        <v/>
      </c>
      <c r="BQ161" s="111" t="str">
        <f aca="false">IF($BC161&gt;$BB$7,"",VLOOKUP($BC161,$BE$8:$BK$507,6,FALSE()))</f>
        <v/>
      </c>
      <c r="BR161" s="54"/>
    </row>
    <row r="162" customFormat="false" ht="13.8" hidden="false" customHeight="false" outlineLevel="0" collapsed="false">
      <c r="A162" s="5"/>
      <c r="B162" s="120"/>
      <c r="C162" s="121"/>
      <c r="D162" s="112"/>
      <c r="E162" s="123"/>
      <c r="F162" s="91"/>
      <c r="G162" s="92"/>
      <c r="H162" s="93"/>
      <c r="I162" s="94"/>
      <c r="J162" s="91"/>
      <c r="K162" s="92"/>
      <c r="L162" s="93"/>
      <c r="M162" s="94"/>
      <c r="N162" s="91"/>
      <c r="O162" s="123"/>
      <c r="P162" s="96"/>
      <c r="Q162" s="97" t="str">
        <f aca="false">IF(ISBLANK($C162),"",IF(E162=Constants!$B$2, TRUE(), IF(E162=Constants!$B$3, FALSE(), TRUE())))</f>
        <v/>
      </c>
      <c r="R162" s="97" t="str">
        <f aca="false">IF(ISBLANK($C162),"",IF(F162=Constants!$B$16,Constants!$B$9,IF(F162=Constants!$B$17,Constants!$B$10,Constants!$B$8)))</f>
        <v/>
      </c>
      <c r="S162" s="97" t="str">
        <f aca="false">IF(ISBLANK($C162),"",IF(COUNTA(G162:H162)=0,"",IF(AND(OR(ISBLANK(G162),AND(ISNUMBER(G162),G162&gt;=0)),OR(ISBLANK(H162),AND(ISNUMBER(H162),H162&gt;=0))),60*IF(ISBLANK(G162),0,G162)+IF(ISBLANK(H162),0,H162),"")))</f>
        <v/>
      </c>
      <c r="T162" s="97" t="str">
        <f aca="false">IF(ISBLANK($C162),"",IF(I162=Constants!$B$2, TRUE(), IF(I162=Constants!$B$3, FALSE(), TRUE())))</f>
        <v/>
      </c>
      <c r="U162" s="97" t="str">
        <f aca="false">IF(ISBLANK($C162),"",IF(J162=Constants!$B$2, TRUE(), IF(J162=Constants!$B$3, FALSE(), TRUE())))</f>
        <v/>
      </c>
      <c r="V162" s="97" t="str">
        <f aca="false">IF(ISBLANK($C162),"",IF(COUNTA(K162:L162)=0,"",IF(AND(OR(ISBLANK(K162),AND(ISNUMBER(K162),K162&gt;=0)),OR(ISBLANK(L162),AND(ISNUMBER(L162),L162&gt;=0))),60*IF(ISBLANK(K162),0,K162)+IF(ISBLANK(L162),0,L162),"")))</f>
        <v/>
      </c>
      <c r="W162" s="97" t="str">
        <f aca="false">IF(ISBLANK($C162),"",IF(M162=Constants!$B$2, TRUE(), IF(M162=Constants!$B$3, FALSE(), TRUE())))</f>
        <v/>
      </c>
      <c r="X162" s="97" t="str">
        <f aca="false">IF(ISBLANK($C162),"",IF(N162=Constants!$B$2, TRUE(), IF(N162=Constants!$B$3, FALSE(), TRUE())))</f>
        <v/>
      </c>
      <c r="Y162" s="97" t="str">
        <f aca="false">IF(ISBLANK($C162),"",IF(O162=Constants!$B$2, TRUE(), IF(O162=Constants!$B$3, FALSE(), FALSE())))</f>
        <v/>
      </c>
      <c r="Z162" s="97" t="str">
        <f aca="false">IF(ISBLANK($C162),"",AND(S162&lt;&gt;"",Q162))</f>
        <v/>
      </c>
      <c r="AA162" s="97" t="str">
        <f aca="false">IF(ISBLANK($C162),"",AND(V162&lt;&gt;"",Q162))</f>
        <v/>
      </c>
      <c r="AB162" s="97" t="str">
        <f aca="false">IF(ISBLANK($C162),"",IF(Y162,Constants!$B$4,IF(COUNTA(E162:N162)=0,Constants!$B$5,IF(NOT(Q162),Constants!$B$6,IF(AND(NOT(Z162),NOT(AA162)),Constants!$B$6,Constants!$B$7)))))</f>
        <v/>
      </c>
      <c r="AC162" s="97" t="str">
        <f aca="false">IF(ISBLANK($C162),"",IF($AB162&lt;&gt;Constants!$B$7,$AB162,Constants!$B$20))</f>
        <v/>
      </c>
      <c r="AD162" s="97" t="str">
        <f aca="false">IF($AB162=Constants!$B$7,IF(Z162,S162,Constants!$B$13),"")</f>
        <v/>
      </c>
      <c r="AE162" s="97" t="str">
        <f aca="false">IF($AB162=Constants!$B$7,IF(Z162,R162*IF(T162, 1, Constants!$B$11)*IF(U162, 1, Constants!$B$12),Constants!$B$13),"")</f>
        <v/>
      </c>
      <c r="AF162" s="97" t="str">
        <f aca="false">IF($AB162=Constants!$B$7,AD162*AE162,"")</f>
        <v/>
      </c>
      <c r="AG162" s="97" t="str">
        <f aca="false">IF($AB162=Constants!$B$7,IF(AA162,V162,Constants!$B$13),"")</f>
        <v/>
      </c>
      <c r="AH162" s="97" t="str">
        <f aca="false">IF($AB162=Constants!$B$7,IF(AA162,R162*IF(W162, 1, Constants!$B$11)*IF(X162, 1, Constants!$B$12),Constants!$B$13),"")</f>
        <v/>
      </c>
      <c r="AI162" s="97" t="str">
        <f aca="false">IF($AB162=Constants!$B$7,AG162*AH162,"")</f>
        <v/>
      </c>
      <c r="AJ162" s="97" t="str">
        <f aca="false">IF($AB162=Constants!$B$7,IF(AI162&gt;AF162,2,1),"")</f>
        <v/>
      </c>
      <c r="AK162" s="97" t="str">
        <f aca="false">IF($AB162=Constants!$B$7,IF(AJ162=1,2,1),"")</f>
        <v/>
      </c>
      <c r="AL162" s="97" t="str">
        <f aca="false">IF(ISBLANK($C162),"",IF($AB162&lt;&gt;Constants!$B$7,$AB162,IF(AJ162=1,AF162,AI162)))</f>
        <v/>
      </c>
      <c r="AM162" s="97" t="str">
        <f aca="false">IF(ISBLANK($C162),"",IF($AB162=Constants!$B$7,IF(ISNUMBER(AL162),RANK(AL162,$AL$8:$AL$507),Constants!$B$14),$AB162))</f>
        <v/>
      </c>
      <c r="AN162" s="97" t="str">
        <f aca="false">IF(ISBLANK($C162),"",IF($AB162=Constants!$B$7,IF(AK162=1,AF162,AI162),""))</f>
        <v/>
      </c>
      <c r="AO162" s="97" t="str">
        <f aca="false">IF(ISBLANK($C162),"",IF($AB162=Constants!$B$7,RANK(AN162,$AN$8:$AN$507),$AB162))</f>
        <v/>
      </c>
      <c r="AP162" s="97" t="str">
        <f aca="false">IF(ISBLANK($C162),"",IF($AB162=Constants!$B$7,IF(ISNUMBER(AM162),COUNTIFS($AM$8:$AM$507,"&lt;"&amp;$AM162)+COUNTIFS($AM$8:$AM$507,$AM162,$AO$8:$AO$507,"&lt;"&amp;$AO162)+1,Constants!$B$14),$AB162))</f>
        <v/>
      </c>
      <c r="AQ162" s="97" t="str">
        <f aca="false">IF(ISBLANK($C162),"",IF($AB162=Constants!$B$7,IF(ISNUMBER(AM162),AM162-AP162,Constants!$B$14),$AB162))</f>
        <v/>
      </c>
      <c r="AR162" s="98"/>
      <c r="AS162" s="99" t="str">
        <f aca="false">IF(ISBLANK($C162),"",IF($AB162&lt;&gt;Constants!$B$7,"",AJ162))</f>
        <v/>
      </c>
      <c r="AT162" s="100" t="str">
        <f aca="false">IF(ISBLANK($C162),"",IF($AB162&lt;&gt;Constants!$B$7,"",IF(AJ162=1,AD162,AG162)))</f>
        <v/>
      </c>
      <c r="AU162" s="101" t="str">
        <f aca="false">IF(ISBLANK($C162),"",IF($AB162&lt;&gt;Constants!$B$7,"",IF(AJ162=1,AE162,AH162)))</f>
        <v/>
      </c>
      <c r="AV162" s="102" t="str">
        <f aca="false">IF(ISBLANK($C162),"",IF($AB162&lt;&gt;Constants!$B$7,$AB162,AL162))</f>
        <v/>
      </c>
      <c r="AW162" s="103" t="str">
        <f aca="false">IF(ISBLANK($C162),"",IF($AB162&lt;&gt;Constants!$B$7,$AB162,AC162))</f>
        <v/>
      </c>
      <c r="AX162" s="104" t="str">
        <f aca="false">IF(ISBLANK($C162),"",AQ162)</f>
        <v/>
      </c>
      <c r="AY162" s="104" t="str">
        <f aca="false">IF(ISBLANK($C162),"",AP162)</f>
        <v/>
      </c>
      <c r="AZ162" s="105" t="str">
        <f aca="false">IF(ISBLANK($C162),"",IF(AY162=Constants!$B$4,COUNTA($C$8:$C$507)+2,IF(AY162=Constants!$B$5,COUNTA($C$8:$C$507)+1,IF(AY162=Constants!$B$6,COUNTA($C$8:$C$507),AY162))))</f>
        <v/>
      </c>
      <c r="BA162" s="5"/>
      <c r="BB162" s="106" t="n">
        <f aca="false">IF(OR(ISNUMBER(AY162),AY162=Constants!$B$4,AY162=Constants!$B$6,AY162=Constants!$B$5),1,0)</f>
        <v>0</v>
      </c>
      <c r="BC162" s="106" t="n">
        <v>155</v>
      </c>
      <c r="BD162" s="106" t="str">
        <f aca="false">IF(ISBLANK($C162),"",IF(ISNUMBER(AZ162),AZ162+ROW($B162)/1000,""))</f>
        <v/>
      </c>
      <c r="BE162" s="106" t="str">
        <f aca="false">IF(ISNUMBER(BD162),RANK(BD162,$BD$8:$BD$507,1),"")</f>
        <v/>
      </c>
      <c r="BF162" s="106" t="str">
        <f aca="false">IF(ISBLANK($C162),"",$B162)</f>
        <v/>
      </c>
      <c r="BG162" s="106" t="str">
        <f aca="false">IF(ISBLANK($C162),"",$C162)</f>
        <v/>
      </c>
      <c r="BH162" s="106" t="str">
        <f aca="false">IF(ISBLANK($C162),"",$D162)</f>
        <v/>
      </c>
      <c r="BI162" s="107" t="str">
        <f aca="false">AW162</f>
        <v/>
      </c>
      <c r="BJ162" s="108" t="str">
        <f aca="false">AV162</f>
        <v/>
      </c>
      <c r="BK162" s="106" t="str">
        <f aca="false">IF(ISBLANK($C162),"",AY162)</f>
        <v/>
      </c>
      <c r="BL162" s="109" t="str">
        <f aca="false">IF($BC162&gt;$BB$7,"",VLOOKUP($BC162,$BE$8:$BK$507,7,FALSE()))</f>
        <v/>
      </c>
      <c r="BM162" s="110" t="str">
        <f aca="false">IF($BC162&gt;$BB$7,"",VLOOKUP($BC162,$BE$8:$BK$507,2,FALSE()))</f>
        <v/>
      </c>
      <c r="BN162" s="110" t="str">
        <f aca="false">IF($BC162&gt;$BB$7,"",VLOOKUP($BC162,$BE$8:$BK$507,3,FALSE()))</f>
        <v/>
      </c>
      <c r="BO162" s="110" t="str">
        <f aca="false">IF($BC162&gt;$BB$7,"",VLOOKUP($BC162,$BE$8:$BK$507,4,FALSE()))</f>
        <v/>
      </c>
      <c r="BP162" s="110" t="str">
        <f aca="false">IF($BC162&gt;$BB$7,"",VLOOKUP($BC162,$BE$8:$BK$507,5,FALSE()))</f>
        <v/>
      </c>
      <c r="BQ162" s="111" t="str">
        <f aca="false">IF($BC162&gt;$BB$7,"",VLOOKUP($BC162,$BE$8:$BK$507,6,FALSE()))</f>
        <v/>
      </c>
      <c r="BR162" s="54"/>
    </row>
    <row r="163" customFormat="false" ht="13.8" hidden="false" customHeight="false" outlineLevel="0" collapsed="false">
      <c r="A163" s="5"/>
      <c r="B163" s="120"/>
      <c r="C163" s="121"/>
      <c r="D163" s="112"/>
      <c r="E163" s="123"/>
      <c r="F163" s="91"/>
      <c r="G163" s="92"/>
      <c r="H163" s="93"/>
      <c r="I163" s="94"/>
      <c r="J163" s="91"/>
      <c r="K163" s="92"/>
      <c r="L163" s="93"/>
      <c r="M163" s="94"/>
      <c r="N163" s="91"/>
      <c r="O163" s="123"/>
      <c r="P163" s="96"/>
      <c r="Q163" s="97" t="str">
        <f aca="false">IF(ISBLANK($C163),"",IF(E163=Constants!$B$2, TRUE(), IF(E163=Constants!$B$3, FALSE(), TRUE())))</f>
        <v/>
      </c>
      <c r="R163" s="97" t="str">
        <f aca="false">IF(ISBLANK($C163),"",IF(F163=Constants!$B$16,Constants!$B$9,IF(F163=Constants!$B$17,Constants!$B$10,Constants!$B$8)))</f>
        <v/>
      </c>
      <c r="S163" s="97" t="str">
        <f aca="false">IF(ISBLANK($C163),"",IF(COUNTA(G163:H163)=0,"",IF(AND(OR(ISBLANK(G163),AND(ISNUMBER(G163),G163&gt;=0)),OR(ISBLANK(H163),AND(ISNUMBER(H163),H163&gt;=0))),60*IF(ISBLANK(G163),0,G163)+IF(ISBLANK(H163),0,H163),"")))</f>
        <v/>
      </c>
      <c r="T163" s="97" t="str">
        <f aca="false">IF(ISBLANK($C163),"",IF(I163=Constants!$B$2, TRUE(), IF(I163=Constants!$B$3, FALSE(), TRUE())))</f>
        <v/>
      </c>
      <c r="U163" s="97" t="str">
        <f aca="false">IF(ISBLANK($C163),"",IF(J163=Constants!$B$2, TRUE(), IF(J163=Constants!$B$3, FALSE(), TRUE())))</f>
        <v/>
      </c>
      <c r="V163" s="97" t="str">
        <f aca="false">IF(ISBLANK($C163),"",IF(COUNTA(K163:L163)=0,"",IF(AND(OR(ISBLANK(K163),AND(ISNUMBER(K163),K163&gt;=0)),OR(ISBLANK(L163),AND(ISNUMBER(L163),L163&gt;=0))),60*IF(ISBLANK(K163),0,K163)+IF(ISBLANK(L163),0,L163),"")))</f>
        <v/>
      </c>
      <c r="W163" s="97" t="str">
        <f aca="false">IF(ISBLANK($C163),"",IF(M163=Constants!$B$2, TRUE(), IF(M163=Constants!$B$3, FALSE(), TRUE())))</f>
        <v/>
      </c>
      <c r="X163" s="97" t="str">
        <f aca="false">IF(ISBLANK($C163),"",IF(N163=Constants!$B$2, TRUE(), IF(N163=Constants!$B$3, FALSE(), TRUE())))</f>
        <v/>
      </c>
      <c r="Y163" s="97" t="str">
        <f aca="false">IF(ISBLANK($C163),"",IF(O163=Constants!$B$2, TRUE(), IF(O163=Constants!$B$3, FALSE(), FALSE())))</f>
        <v/>
      </c>
      <c r="Z163" s="97" t="str">
        <f aca="false">IF(ISBLANK($C163),"",AND(S163&lt;&gt;"",Q163))</f>
        <v/>
      </c>
      <c r="AA163" s="97" t="str">
        <f aca="false">IF(ISBLANK($C163),"",AND(V163&lt;&gt;"",Q163))</f>
        <v/>
      </c>
      <c r="AB163" s="97" t="str">
        <f aca="false">IF(ISBLANK($C163),"",IF(Y163,Constants!$B$4,IF(COUNTA(E163:N163)=0,Constants!$B$5,IF(NOT(Q163),Constants!$B$6,IF(AND(NOT(Z163),NOT(AA163)),Constants!$B$6,Constants!$B$7)))))</f>
        <v/>
      </c>
      <c r="AC163" s="97" t="str">
        <f aca="false">IF(ISBLANK($C163),"",IF($AB163&lt;&gt;Constants!$B$7,$AB163,Constants!$B$20))</f>
        <v/>
      </c>
      <c r="AD163" s="97" t="str">
        <f aca="false">IF($AB163=Constants!$B$7,IF(Z163,S163,Constants!$B$13),"")</f>
        <v/>
      </c>
      <c r="AE163" s="97" t="str">
        <f aca="false">IF($AB163=Constants!$B$7,IF(Z163,R163*IF(T163, 1, Constants!$B$11)*IF(U163, 1, Constants!$B$12),Constants!$B$13),"")</f>
        <v/>
      </c>
      <c r="AF163" s="97" t="str">
        <f aca="false">IF($AB163=Constants!$B$7,AD163*AE163,"")</f>
        <v/>
      </c>
      <c r="AG163" s="97" t="str">
        <f aca="false">IF($AB163=Constants!$B$7,IF(AA163,V163,Constants!$B$13),"")</f>
        <v/>
      </c>
      <c r="AH163" s="97" t="str">
        <f aca="false">IF($AB163=Constants!$B$7,IF(AA163,R163*IF(W163, 1, Constants!$B$11)*IF(X163, 1, Constants!$B$12),Constants!$B$13),"")</f>
        <v/>
      </c>
      <c r="AI163" s="97" t="str">
        <f aca="false">IF($AB163=Constants!$B$7,AG163*AH163,"")</f>
        <v/>
      </c>
      <c r="AJ163" s="97" t="str">
        <f aca="false">IF($AB163=Constants!$B$7,IF(AI163&gt;AF163,2,1),"")</f>
        <v/>
      </c>
      <c r="AK163" s="97" t="str">
        <f aca="false">IF($AB163=Constants!$B$7,IF(AJ163=1,2,1),"")</f>
        <v/>
      </c>
      <c r="AL163" s="97" t="str">
        <f aca="false">IF(ISBLANK($C163),"",IF($AB163&lt;&gt;Constants!$B$7,$AB163,IF(AJ163=1,AF163,AI163)))</f>
        <v/>
      </c>
      <c r="AM163" s="97" t="str">
        <f aca="false">IF(ISBLANK($C163),"",IF($AB163=Constants!$B$7,IF(ISNUMBER(AL163),RANK(AL163,$AL$8:$AL$507),Constants!$B$14),$AB163))</f>
        <v/>
      </c>
      <c r="AN163" s="97" t="str">
        <f aca="false">IF(ISBLANK($C163),"",IF($AB163=Constants!$B$7,IF(AK163=1,AF163,AI163),""))</f>
        <v/>
      </c>
      <c r="AO163" s="97" t="str">
        <f aca="false">IF(ISBLANK($C163),"",IF($AB163=Constants!$B$7,RANK(AN163,$AN$8:$AN$507),$AB163))</f>
        <v/>
      </c>
      <c r="AP163" s="97" t="str">
        <f aca="false">IF(ISBLANK($C163),"",IF($AB163=Constants!$B$7,IF(ISNUMBER(AM163),COUNTIFS($AM$8:$AM$507,"&lt;"&amp;$AM163)+COUNTIFS($AM$8:$AM$507,$AM163,$AO$8:$AO$507,"&lt;"&amp;$AO163)+1,Constants!$B$14),$AB163))</f>
        <v/>
      </c>
      <c r="AQ163" s="97" t="str">
        <f aca="false">IF(ISBLANK($C163),"",IF($AB163=Constants!$B$7,IF(ISNUMBER(AM163),AM163-AP163,Constants!$B$14),$AB163))</f>
        <v/>
      </c>
      <c r="AR163" s="98"/>
      <c r="AS163" s="99" t="str">
        <f aca="false">IF(ISBLANK($C163),"",IF($AB163&lt;&gt;Constants!$B$7,"",AJ163))</f>
        <v/>
      </c>
      <c r="AT163" s="100" t="str">
        <f aca="false">IF(ISBLANK($C163),"",IF($AB163&lt;&gt;Constants!$B$7,"",IF(AJ163=1,AD163,AG163)))</f>
        <v/>
      </c>
      <c r="AU163" s="101" t="str">
        <f aca="false">IF(ISBLANK($C163),"",IF($AB163&lt;&gt;Constants!$B$7,"",IF(AJ163=1,AE163,AH163)))</f>
        <v/>
      </c>
      <c r="AV163" s="102" t="str">
        <f aca="false">IF(ISBLANK($C163),"",IF($AB163&lt;&gt;Constants!$B$7,$AB163,AL163))</f>
        <v/>
      </c>
      <c r="AW163" s="103" t="str">
        <f aca="false">IF(ISBLANK($C163),"",IF($AB163&lt;&gt;Constants!$B$7,$AB163,AC163))</f>
        <v/>
      </c>
      <c r="AX163" s="104" t="str">
        <f aca="false">IF(ISBLANK($C163),"",AQ163)</f>
        <v/>
      </c>
      <c r="AY163" s="104" t="str">
        <f aca="false">IF(ISBLANK($C163),"",AP163)</f>
        <v/>
      </c>
      <c r="AZ163" s="105" t="str">
        <f aca="false">IF(ISBLANK($C163),"",IF(AY163=Constants!$B$4,COUNTA($C$8:$C$507)+2,IF(AY163=Constants!$B$5,COUNTA($C$8:$C$507)+1,IF(AY163=Constants!$B$6,COUNTA($C$8:$C$507),AY163))))</f>
        <v/>
      </c>
      <c r="BA163" s="5"/>
      <c r="BB163" s="106" t="n">
        <f aca="false">IF(OR(ISNUMBER(AY163),AY163=Constants!$B$4,AY163=Constants!$B$6,AY163=Constants!$B$5),1,0)</f>
        <v>0</v>
      </c>
      <c r="BC163" s="106" t="n">
        <v>156</v>
      </c>
      <c r="BD163" s="106" t="str">
        <f aca="false">IF(ISBLANK($C163),"",IF(ISNUMBER(AZ163),AZ163+ROW($B163)/1000,""))</f>
        <v/>
      </c>
      <c r="BE163" s="106" t="str">
        <f aca="false">IF(ISNUMBER(BD163),RANK(BD163,$BD$8:$BD$507,1),"")</f>
        <v/>
      </c>
      <c r="BF163" s="106" t="str">
        <f aca="false">IF(ISBLANK($C163),"",$B163)</f>
        <v/>
      </c>
      <c r="BG163" s="106" t="str">
        <f aca="false">IF(ISBLANK($C163),"",$C163)</f>
        <v/>
      </c>
      <c r="BH163" s="106" t="str">
        <f aca="false">IF(ISBLANK($C163),"",$D163)</f>
        <v/>
      </c>
      <c r="BI163" s="107" t="str">
        <f aca="false">AW163</f>
        <v/>
      </c>
      <c r="BJ163" s="108" t="str">
        <f aca="false">AV163</f>
        <v/>
      </c>
      <c r="BK163" s="106" t="str">
        <f aca="false">IF(ISBLANK($C163),"",AY163)</f>
        <v/>
      </c>
      <c r="BL163" s="109" t="str">
        <f aca="false">IF($BC163&gt;$BB$7,"",VLOOKUP($BC163,$BE$8:$BK$507,7,FALSE()))</f>
        <v/>
      </c>
      <c r="BM163" s="110" t="str">
        <f aca="false">IF($BC163&gt;$BB$7,"",VLOOKUP($BC163,$BE$8:$BK$507,2,FALSE()))</f>
        <v/>
      </c>
      <c r="BN163" s="110" t="str">
        <f aca="false">IF($BC163&gt;$BB$7,"",VLOOKUP($BC163,$BE$8:$BK$507,3,FALSE()))</f>
        <v/>
      </c>
      <c r="BO163" s="110" t="str">
        <f aca="false">IF($BC163&gt;$BB$7,"",VLOOKUP($BC163,$BE$8:$BK$507,4,FALSE()))</f>
        <v/>
      </c>
      <c r="BP163" s="110" t="str">
        <f aca="false">IF($BC163&gt;$BB$7,"",VLOOKUP($BC163,$BE$8:$BK$507,5,FALSE()))</f>
        <v/>
      </c>
      <c r="BQ163" s="111" t="str">
        <f aca="false">IF($BC163&gt;$BB$7,"",VLOOKUP($BC163,$BE$8:$BK$507,6,FALSE()))</f>
        <v/>
      </c>
      <c r="BR163" s="54"/>
    </row>
    <row r="164" customFormat="false" ht="13.8" hidden="false" customHeight="false" outlineLevel="0" collapsed="false">
      <c r="A164" s="5"/>
      <c r="B164" s="124"/>
      <c r="C164" s="56"/>
      <c r="D164" s="57"/>
      <c r="E164" s="83"/>
      <c r="F164" s="59"/>
      <c r="G164" s="60"/>
      <c r="H164" s="61"/>
      <c r="I164" s="62"/>
      <c r="J164" s="59"/>
      <c r="K164" s="60"/>
      <c r="L164" s="61"/>
      <c r="M164" s="62"/>
      <c r="N164" s="59"/>
      <c r="O164" s="83"/>
      <c r="P164" s="64"/>
      <c r="Q164" s="66" t="str">
        <f aca="false">IF(ISBLANK($C164),"",IF(E164=Constants!$B$2, TRUE(), IF(E164=Constants!$B$3, FALSE(), TRUE())))</f>
        <v/>
      </c>
      <c r="R164" s="66" t="str">
        <f aca="false">IF(ISBLANK($C164),"",IF(F164=Constants!$B$16,Constants!$B$9,IF(F164=Constants!$B$17,Constants!$B$10,Constants!$B$8)))</f>
        <v/>
      </c>
      <c r="S164" s="66" t="str">
        <f aca="false">IF(ISBLANK($C164),"",IF(COUNTA(G164:H164)=0,"",IF(AND(OR(ISBLANK(G164),AND(ISNUMBER(G164),G164&gt;=0)),OR(ISBLANK(H164),AND(ISNUMBER(H164),H164&gt;=0))),60*IF(ISBLANK(G164),0,G164)+IF(ISBLANK(H164),0,H164),"")))</f>
        <v/>
      </c>
      <c r="T164" s="66" t="str">
        <f aca="false">IF(ISBLANK($C164),"",IF(I164=Constants!$B$2, TRUE(), IF(I164=Constants!$B$3, FALSE(), TRUE())))</f>
        <v/>
      </c>
      <c r="U164" s="66" t="str">
        <f aca="false">IF(ISBLANK($C164),"",IF(J164=Constants!$B$2, TRUE(), IF(J164=Constants!$B$3, FALSE(), TRUE())))</f>
        <v/>
      </c>
      <c r="V164" s="66" t="str">
        <f aca="false">IF(ISBLANK($C164),"",IF(COUNTA(K164:L164)=0,"",IF(AND(OR(ISBLANK(K164),AND(ISNUMBER(K164),K164&gt;=0)),OR(ISBLANK(L164),AND(ISNUMBER(L164),L164&gt;=0))),60*IF(ISBLANK(K164),0,K164)+IF(ISBLANK(L164),0,L164),"")))</f>
        <v/>
      </c>
      <c r="W164" s="66" t="str">
        <f aca="false">IF(ISBLANK($C164),"",IF(M164=Constants!$B$2, TRUE(), IF(M164=Constants!$B$3, FALSE(), TRUE())))</f>
        <v/>
      </c>
      <c r="X164" s="66" t="str">
        <f aca="false">IF(ISBLANK($C164),"",IF(N164=Constants!$B$2, TRUE(), IF(N164=Constants!$B$3, FALSE(), TRUE())))</f>
        <v/>
      </c>
      <c r="Y164" s="66" t="str">
        <f aca="false">IF(ISBLANK($C164),"",IF(O164=Constants!$B$2, TRUE(), IF(O164=Constants!$B$3, FALSE(), FALSE())))</f>
        <v/>
      </c>
      <c r="Z164" s="66" t="str">
        <f aca="false">IF(ISBLANK($C164),"",AND(S164&lt;&gt;"",Q164))</f>
        <v/>
      </c>
      <c r="AA164" s="66" t="str">
        <f aca="false">IF(ISBLANK($C164),"",AND(V164&lt;&gt;"",Q164))</f>
        <v/>
      </c>
      <c r="AB164" s="66" t="str">
        <f aca="false">IF(ISBLANK($C164),"",IF(Y164,Constants!$B$4,IF(COUNTA(E164:N164)=0,Constants!$B$5,IF(NOT(Q164),Constants!$B$6,IF(AND(NOT(Z164),NOT(AA164)),Constants!$B$6,Constants!$B$7)))))</f>
        <v/>
      </c>
      <c r="AC164" s="66" t="str">
        <f aca="false">IF(ISBLANK($C164),"",IF($AB164&lt;&gt;Constants!$B$7,$AB164,Constants!$B$20))</f>
        <v/>
      </c>
      <c r="AD164" s="66" t="str">
        <f aca="false">IF($AB164=Constants!$B$7,IF(Z164,S164,Constants!$B$13),"")</f>
        <v/>
      </c>
      <c r="AE164" s="66" t="str">
        <f aca="false">IF($AB164=Constants!$B$7,IF(Z164,R164*IF(T164, 1, Constants!$B$11)*IF(U164, 1, Constants!$B$12),Constants!$B$13),"")</f>
        <v/>
      </c>
      <c r="AF164" s="66" t="str">
        <f aca="false">IF($AB164=Constants!$B$7,AD164*AE164,"")</f>
        <v/>
      </c>
      <c r="AG164" s="66" t="str">
        <f aca="false">IF($AB164=Constants!$B$7,IF(AA164,V164,Constants!$B$13),"")</f>
        <v/>
      </c>
      <c r="AH164" s="66" t="str">
        <f aca="false">IF($AB164=Constants!$B$7,IF(AA164,R164*IF(W164, 1, Constants!$B$11)*IF(X164, 1, Constants!$B$12),Constants!$B$13),"")</f>
        <v/>
      </c>
      <c r="AI164" s="66" t="str">
        <f aca="false">IF($AB164=Constants!$B$7,AG164*AH164,"")</f>
        <v/>
      </c>
      <c r="AJ164" s="66" t="str">
        <f aca="false">IF($AB164=Constants!$B$7,IF(AI164&gt;AF164,2,1),"")</f>
        <v/>
      </c>
      <c r="AK164" s="66" t="str">
        <f aca="false">IF($AB164=Constants!$B$7,IF(AJ164=1,2,1),"")</f>
        <v/>
      </c>
      <c r="AL164" s="66" t="str">
        <f aca="false">IF(ISBLANK($C164),"",IF($AB164&lt;&gt;Constants!$B$7,$AB164,IF(AJ164=1,AF164,AI164)))</f>
        <v/>
      </c>
      <c r="AM164" s="66" t="str">
        <f aca="false">IF(ISBLANK($C164),"",IF($AB164=Constants!$B$7,IF(ISNUMBER(AL164),RANK(AL164,$AL$8:$AL$507),Constants!$B$14),$AB164))</f>
        <v/>
      </c>
      <c r="AN164" s="66" t="str">
        <f aca="false">IF(ISBLANK($C164),"",IF($AB164=Constants!$B$7,IF(AK164=1,AF164,AI164),""))</f>
        <v/>
      </c>
      <c r="AO164" s="66" t="str">
        <f aca="false">IF(ISBLANK($C164),"",IF($AB164=Constants!$B$7,RANK(AN164,$AN$8:$AN$507),$AB164))</f>
        <v/>
      </c>
      <c r="AP164" s="66" t="str">
        <f aca="false">IF(ISBLANK($C164),"",IF($AB164=Constants!$B$7,IF(ISNUMBER(AM164),COUNTIFS($AM$8:$AM$507,"&lt;"&amp;$AM164)+COUNTIFS($AM$8:$AM$507,$AM164,$AO$8:$AO$507,"&lt;"&amp;$AO164)+1,Constants!$B$14),$AB164))</f>
        <v/>
      </c>
      <c r="AQ164" s="66" t="str">
        <f aca="false">IF(ISBLANK($C164),"",IF($AB164=Constants!$B$7,IF(ISNUMBER(AM164),AM164-AP164,Constants!$B$14),$AB164))</f>
        <v/>
      </c>
      <c r="AR164" s="68"/>
      <c r="AS164" s="69" t="str">
        <f aca="false">IF(ISBLANK($C164),"",IF($AB164&lt;&gt;Constants!$B$7,"",AJ164))</f>
        <v/>
      </c>
      <c r="AT164" s="84" t="str">
        <f aca="false">IF(ISBLANK($C164),"",IF($AB164&lt;&gt;Constants!$B$7,"",IF(AJ164=1,AD164,AG164)))</f>
        <v/>
      </c>
      <c r="AU164" s="71" t="str">
        <f aca="false">IF(ISBLANK($C164),"",IF($AB164&lt;&gt;Constants!$B$7,"",IF(AJ164=1,AE164,AH164)))</f>
        <v/>
      </c>
      <c r="AV164" s="72" t="str">
        <f aca="false">IF(ISBLANK($C164),"",IF($AB164&lt;&gt;Constants!$B$7,$AB164,AL164))</f>
        <v/>
      </c>
      <c r="AW164" s="73" t="str">
        <f aca="false">IF(ISBLANK($C164),"",IF($AB164&lt;&gt;Constants!$B$7,$AB164,AC164))</f>
        <v/>
      </c>
      <c r="AX164" s="74" t="str">
        <f aca="false">IF(ISBLANK($C164),"",AQ164)</f>
        <v/>
      </c>
      <c r="AY164" s="74" t="str">
        <f aca="false">IF(ISBLANK($C164),"",AP164)</f>
        <v/>
      </c>
      <c r="AZ164" s="75" t="str">
        <f aca="false">IF(ISBLANK($C164),"",IF(AY164=Constants!$B$4,COUNTA($C$8:$C$507)+2,IF(AY164=Constants!$B$5,COUNTA($C$8:$C$507)+1,IF(AY164=Constants!$B$6,COUNTA($C$8:$C$507),AY164))))</f>
        <v/>
      </c>
      <c r="BA164" s="5"/>
      <c r="BB164" s="76" t="n">
        <f aca="false">IF(OR(ISNUMBER(AY164),AY164=Constants!$B$4,AY164=Constants!$B$6,AY164=Constants!$B$5),1,0)</f>
        <v>0</v>
      </c>
      <c r="BC164" s="76" t="n">
        <v>157</v>
      </c>
      <c r="BD164" s="76" t="str">
        <f aca="false">IF(ISBLANK($C164),"",IF(ISNUMBER(AZ164),AZ164+ROW($B164)/1000,""))</f>
        <v/>
      </c>
      <c r="BE164" s="76" t="str">
        <f aca="false">IF(ISNUMBER(BD164),RANK(BD164,$BD$8:$BD$507,1),"")</f>
        <v/>
      </c>
      <c r="BF164" s="76" t="str">
        <f aca="false">IF(ISBLANK($C164),"",$B164)</f>
        <v/>
      </c>
      <c r="BG164" s="76" t="str">
        <f aca="false">IF(ISBLANK($C164),"",$C164)</f>
        <v/>
      </c>
      <c r="BH164" s="76" t="str">
        <f aca="false">IF(ISBLANK($C164),"",$D164)</f>
        <v/>
      </c>
      <c r="BI164" s="77" t="str">
        <f aca="false">AW164</f>
        <v/>
      </c>
      <c r="BJ164" s="78" t="str">
        <f aca="false">AV164</f>
        <v/>
      </c>
      <c r="BK164" s="76" t="str">
        <f aca="false">IF(ISBLANK($C164),"",AY164)</f>
        <v/>
      </c>
      <c r="BL164" s="79" t="str">
        <f aca="false">IF($BC164&gt;$BB$7,"",VLOOKUP($BC164,$BE$8:$BK$507,7,FALSE()))</f>
        <v/>
      </c>
      <c r="BM164" s="80" t="str">
        <f aca="false">IF($BC164&gt;$BB$7,"",VLOOKUP($BC164,$BE$8:$BK$507,2,FALSE()))</f>
        <v/>
      </c>
      <c r="BN164" s="80" t="str">
        <f aca="false">IF($BC164&gt;$BB$7,"",VLOOKUP($BC164,$BE$8:$BK$507,3,FALSE()))</f>
        <v/>
      </c>
      <c r="BO164" s="80" t="str">
        <f aca="false">IF($BC164&gt;$BB$7,"",VLOOKUP($BC164,$BE$8:$BK$507,4,FALSE()))</f>
        <v/>
      </c>
      <c r="BP164" s="80" t="str">
        <f aca="false">IF($BC164&gt;$BB$7,"",VLOOKUP($BC164,$BE$8:$BK$507,5,FALSE()))</f>
        <v/>
      </c>
      <c r="BQ164" s="81" t="str">
        <f aca="false">IF($BC164&gt;$BB$7,"",VLOOKUP($BC164,$BE$8:$BK$507,6,FALSE()))</f>
        <v/>
      </c>
      <c r="BR164" s="54"/>
    </row>
    <row r="165" customFormat="false" ht="13.8" hidden="false" customHeight="false" outlineLevel="0" collapsed="false">
      <c r="A165" s="5"/>
      <c r="B165" s="124"/>
      <c r="C165" s="56"/>
      <c r="D165" s="57"/>
      <c r="E165" s="83"/>
      <c r="F165" s="59"/>
      <c r="G165" s="60"/>
      <c r="H165" s="61"/>
      <c r="I165" s="62"/>
      <c r="J165" s="59"/>
      <c r="K165" s="60"/>
      <c r="L165" s="61"/>
      <c r="M165" s="62"/>
      <c r="N165" s="59"/>
      <c r="O165" s="83"/>
      <c r="P165" s="64"/>
      <c r="Q165" s="66" t="str">
        <f aca="false">IF(ISBLANK($C165),"",IF(E165=Constants!$B$2, TRUE(), IF(E165=Constants!$B$3, FALSE(), TRUE())))</f>
        <v/>
      </c>
      <c r="R165" s="66" t="str">
        <f aca="false">IF(ISBLANK($C165),"",IF(F165=Constants!$B$16,Constants!$B$9,IF(F165=Constants!$B$17,Constants!$B$10,Constants!$B$8)))</f>
        <v/>
      </c>
      <c r="S165" s="66" t="str">
        <f aca="false">IF(ISBLANK($C165),"",IF(COUNTA(G165:H165)=0,"",IF(AND(OR(ISBLANK(G165),AND(ISNUMBER(G165),G165&gt;=0)),OR(ISBLANK(H165),AND(ISNUMBER(H165),H165&gt;=0))),60*IF(ISBLANK(G165),0,G165)+IF(ISBLANK(H165),0,H165),"")))</f>
        <v/>
      </c>
      <c r="T165" s="66" t="str">
        <f aca="false">IF(ISBLANK($C165),"",IF(I165=Constants!$B$2, TRUE(), IF(I165=Constants!$B$3, FALSE(), TRUE())))</f>
        <v/>
      </c>
      <c r="U165" s="66" t="str">
        <f aca="false">IF(ISBLANK($C165),"",IF(J165=Constants!$B$2, TRUE(), IF(J165=Constants!$B$3, FALSE(), TRUE())))</f>
        <v/>
      </c>
      <c r="V165" s="66" t="str">
        <f aca="false">IF(ISBLANK($C165),"",IF(COUNTA(K165:L165)=0,"",IF(AND(OR(ISBLANK(K165),AND(ISNUMBER(K165),K165&gt;=0)),OR(ISBLANK(L165),AND(ISNUMBER(L165),L165&gt;=0))),60*IF(ISBLANK(K165),0,K165)+IF(ISBLANK(L165),0,L165),"")))</f>
        <v/>
      </c>
      <c r="W165" s="66" t="str">
        <f aca="false">IF(ISBLANK($C165),"",IF(M165=Constants!$B$2, TRUE(), IF(M165=Constants!$B$3, FALSE(), TRUE())))</f>
        <v/>
      </c>
      <c r="X165" s="66" t="str">
        <f aca="false">IF(ISBLANK($C165),"",IF(N165=Constants!$B$2, TRUE(), IF(N165=Constants!$B$3, FALSE(), TRUE())))</f>
        <v/>
      </c>
      <c r="Y165" s="66" t="str">
        <f aca="false">IF(ISBLANK($C165),"",IF(O165=Constants!$B$2, TRUE(), IF(O165=Constants!$B$3, FALSE(), FALSE())))</f>
        <v/>
      </c>
      <c r="Z165" s="66" t="str">
        <f aca="false">IF(ISBLANK($C165),"",AND(S165&lt;&gt;"",Q165))</f>
        <v/>
      </c>
      <c r="AA165" s="66" t="str">
        <f aca="false">IF(ISBLANK($C165),"",AND(V165&lt;&gt;"",Q165))</f>
        <v/>
      </c>
      <c r="AB165" s="66" t="str">
        <f aca="false">IF(ISBLANK($C165),"",IF(Y165,Constants!$B$4,IF(COUNTA(E165:N165)=0,Constants!$B$5,IF(NOT(Q165),Constants!$B$6,IF(AND(NOT(Z165),NOT(AA165)),Constants!$B$6,Constants!$B$7)))))</f>
        <v/>
      </c>
      <c r="AC165" s="66" t="str">
        <f aca="false">IF(ISBLANK($C165),"",IF($AB165&lt;&gt;Constants!$B$7,$AB165,Constants!$B$20))</f>
        <v/>
      </c>
      <c r="AD165" s="66" t="str">
        <f aca="false">IF($AB165=Constants!$B$7,IF(Z165,S165,Constants!$B$13),"")</f>
        <v/>
      </c>
      <c r="AE165" s="66" t="str">
        <f aca="false">IF($AB165=Constants!$B$7,IF(Z165,R165*IF(T165, 1, Constants!$B$11)*IF(U165, 1, Constants!$B$12),Constants!$B$13),"")</f>
        <v/>
      </c>
      <c r="AF165" s="66" t="str">
        <f aca="false">IF($AB165=Constants!$B$7,AD165*AE165,"")</f>
        <v/>
      </c>
      <c r="AG165" s="66" t="str">
        <f aca="false">IF($AB165=Constants!$B$7,IF(AA165,V165,Constants!$B$13),"")</f>
        <v/>
      </c>
      <c r="AH165" s="66" t="str">
        <f aca="false">IF($AB165=Constants!$B$7,IF(AA165,R165*IF(W165, 1, Constants!$B$11)*IF(X165, 1, Constants!$B$12),Constants!$B$13),"")</f>
        <v/>
      </c>
      <c r="AI165" s="66" t="str">
        <f aca="false">IF($AB165=Constants!$B$7,AG165*AH165,"")</f>
        <v/>
      </c>
      <c r="AJ165" s="66" t="str">
        <f aca="false">IF($AB165=Constants!$B$7,IF(AI165&gt;AF165,2,1),"")</f>
        <v/>
      </c>
      <c r="AK165" s="66" t="str">
        <f aca="false">IF($AB165=Constants!$B$7,IF(AJ165=1,2,1),"")</f>
        <v/>
      </c>
      <c r="AL165" s="66" t="str">
        <f aca="false">IF(ISBLANK($C165),"",IF($AB165&lt;&gt;Constants!$B$7,$AB165,IF(AJ165=1,AF165,AI165)))</f>
        <v/>
      </c>
      <c r="AM165" s="66" t="str">
        <f aca="false">IF(ISBLANK($C165),"",IF($AB165=Constants!$B$7,IF(ISNUMBER(AL165),RANK(AL165,$AL$8:$AL$507),Constants!$B$14),$AB165))</f>
        <v/>
      </c>
      <c r="AN165" s="66" t="str">
        <f aca="false">IF(ISBLANK($C165),"",IF($AB165=Constants!$B$7,IF(AK165=1,AF165,AI165),""))</f>
        <v/>
      </c>
      <c r="AO165" s="66" t="str">
        <f aca="false">IF(ISBLANK($C165),"",IF($AB165=Constants!$B$7,RANK(AN165,$AN$8:$AN$507),$AB165))</f>
        <v/>
      </c>
      <c r="AP165" s="66" t="str">
        <f aca="false">IF(ISBLANK($C165),"",IF($AB165=Constants!$B$7,IF(ISNUMBER(AM165),COUNTIFS($AM$8:$AM$507,"&lt;"&amp;$AM165)+COUNTIFS($AM$8:$AM$507,$AM165,$AO$8:$AO$507,"&lt;"&amp;$AO165)+1,Constants!$B$14),$AB165))</f>
        <v/>
      </c>
      <c r="AQ165" s="66" t="str">
        <f aca="false">IF(ISBLANK($C165),"",IF($AB165=Constants!$B$7,IF(ISNUMBER(AM165),AM165-AP165,Constants!$B$14),$AB165))</f>
        <v/>
      </c>
      <c r="AR165" s="68"/>
      <c r="AS165" s="69" t="str">
        <f aca="false">IF(ISBLANK($C165),"",IF($AB165&lt;&gt;Constants!$B$7,"",AJ165))</f>
        <v/>
      </c>
      <c r="AT165" s="84" t="str">
        <f aca="false">IF(ISBLANK($C165),"",IF($AB165&lt;&gt;Constants!$B$7,"",IF(AJ165=1,AD165,AG165)))</f>
        <v/>
      </c>
      <c r="AU165" s="71" t="str">
        <f aca="false">IF(ISBLANK($C165),"",IF($AB165&lt;&gt;Constants!$B$7,"",IF(AJ165=1,AE165,AH165)))</f>
        <v/>
      </c>
      <c r="AV165" s="72" t="str">
        <f aca="false">IF(ISBLANK($C165),"",IF($AB165&lt;&gt;Constants!$B$7,$AB165,AL165))</f>
        <v/>
      </c>
      <c r="AW165" s="73" t="str">
        <f aca="false">IF(ISBLANK($C165),"",IF($AB165&lt;&gt;Constants!$B$7,$AB165,AC165))</f>
        <v/>
      </c>
      <c r="AX165" s="74" t="str">
        <f aca="false">IF(ISBLANK($C165),"",AQ165)</f>
        <v/>
      </c>
      <c r="AY165" s="74" t="str">
        <f aca="false">IF(ISBLANK($C165),"",AP165)</f>
        <v/>
      </c>
      <c r="AZ165" s="75" t="str">
        <f aca="false">IF(ISBLANK($C165),"",IF(AY165=Constants!$B$4,COUNTA($C$8:$C$507)+2,IF(AY165=Constants!$B$5,COUNTA($C$8:$C$507)+1,IF(AY165=Constants!$B$6,COUNTA($C$8:$C$507),AY165))))</f>
        <v/>
      </c>
      <c r="BA165" s="5"/>
      <c r="BB165" s="76" t="n">
        <f aca="false">IF(OR(ISNUMBER(AY165),AY165=Constants!$B$4,AY165=Constants!$B$6,AY165=Constants!$B$5),1,0)</f>
        <v>0</v>
      </c>
      <c r="BC165" s="76" t="n">
        <v>158</v>
      </c>
      <c r="BD165" s="76" t="str">
        <f aca="false">IF(ISBLANK($C165),"",IF(ISNUMBER(AZ165),AZ165+ROW($B165)/1000,""))</f>
        <v/>
      </c>
      <c r="BE165" s="76" t="str">
        <f aca="false">IF(ISNUMBER(BD165),RANK(BD165,$BD$8:$BD$507,1),"")</f>
        <v/>
      </c>
      <c r="BF165" s="76" t="str">
        <f aca="false">IF(ISBLANK($C165),"",$B165)</f>
        <v/>
      </c>
      <c r="BG165" s="76" t="str">
        <f aca="false">IF(ISBLANK($C165),"",$C165)</f>
        <v/>
      </c>
      <c r="BH165" s="76" t="str">
        <f aca="false">IF(ISBLANK($C165),"",$D165)</f>
        <v/>
      </c>
      <c r="BI165" s="77" t="str">
        <f aca="false">AW165</f>
        <v/>
      </c>
      <c r="BJ165" s="78" t="str">
        <f aca="false">AV165</f>
        <v/>
      </c>
      <c r="BK165" s="76" t="str">
        <f aca="false">IF(ISBLANK($C165),"",AY165)</f>
        <v/>
      </c>
      <c r="BL165" s="79" t="str">
        <f aca="false">IF($BC165&gt;$BB$7,"",VLOOKUP($BC165,$BE$8:$BK$507,7,FALSE()))</f>
        <v/>
      </c>
      <c r="BM165" s="80" t="str">
        <f aca="false">IF($BC165&gt;$BB$7,"",VLOOKUP($BC165,$BE$8:$BK$507,2,FALSE()))</f>
        <v/>
      </c>
      <c r="BN165" s="80" t="str">
        <f aca="false">IF($BC165&gt;$BB$7,"",VLOOKUP($BC165,$BE$8:$BK$507,3,FALSE()))</f>
        <v/>
      </c>
      <c r="BO165" s="80" t="str">
        <f aca="false">IF($BC165&gt;$BB$7,"",VLOOKUP($BC165,$BE$8:$BK$507,4,FALSE()))</f>
        <v/>
      </c>
      <c r="BP165" s="80" t="str">
        <f aca="false">IF($BC165&gt;$BB$7,"",VLOOKUP($BC165,$BE$8:$BK$507,5,FALSE()))</f>
        <v/>
      </c>
      <c r="BQ165" s="81" t="str">
        <f aca="false">IF($BC165&gt;$BB$7,"",VLOOKUP($BC165,$BE$8:$BK$507,6,FALSE()))</f>
        <v/>
      </c>
      <c r="BR165" s="54"/>
    </row>
    <row r="166" customFormat="false" ht="13.8" hidden="false" customHeight="false" outlineLevel="0" collapsed="false">
      <c r="A166" s="5"/>
      <c r="B166" s="124"/>
      <c r="C166" s="56"/>
      <c r="D166" s="57"/>
      <c r="E166" s="83"/>
      <c r="F166" s="59"/>
      <c r="G166" s="60"/>
      <c r="H166" s="61"/>
      <c r="I166" s="62"/>
      <c r="J166" s="59"/>
      <c r="K166" s="60"/>
      <c r="L166" s="61"/>
      <c r="M166" s="62"/>
      <c r="N166" s="59"/>
      <c r="O166" s="83"/>
      <c r="P166" s="64"/>
      <c r="Q166" s="66" t="str">
        <f aca="false">IF(ISBLANK($C166),"",IF(E166=Constants!$B$2, TRUE(), IF(E166=Constants!$B$3, FALSE(), TRUE())))</f>
        <v/>
      </c>
      <c r="R166" s="66" t="str">
        <f aca="false">IF(ISBLANK($C166),"",IF(F166=Constants!$B$16,Constants!$B$9,IF(F166=Constants!$B$17,Constants!$B$10,Constants!$B$8)))</f>
        <v/>
      </c>
      <c r="S166" s="66" t="str">
        <f aca="false">IF(ISBLANK($C166),"",IF(COUNTA(G166:H166)=0,"",IF(AND(OR(ISBLANK(G166),AND(ISNUMBER(G166),G166&gt;=0)),OR(ISBLANK(H166),AND(ISNUMBER(H166),H166&gt;=0))),60*IF(ISBLANK(G166),0,G166)+IF(ISBLANK(H166),0,H166),"")))</f>
        <v/>
      </c>
      <c r="T166" s="66" t="str">
        <f aca="false">IF(ISBLANK($C166),"",IF(I166=Constants!$B$2, TRUE(), IF(I166=Constants!$B$3, FALSE(), TRUE())))</f>
        <v/>
      </c>
      <c r="U166" s="66" t="str">
        <f aca="false">IF(ISBLANK($C166),"",IF(J166=Constants!$B$2, TRUE(), IF(J166=Constants!$B$3, FALSE(), TRUE())))</f>
        <v/>
      </c>
      <c r="V166" s="66" t="str">
        <f aca="false">IF(ISBLANK($C166),"",IF(COUNTA(K166:L166)=0,"",IF(AND(OR(ISBLANK(K166),AND(ISNUMBER(K166),K166&gt;=0)),OR(ISBLANK(L166),AND(ISNUMBER(L166),L166&gt;=0))),60*IF(ISBLANK(K166),0,K166)+IF(ISBLANK(L166),0,L166),"")))</f>
        <v/>
      </c>
      <c r="W166" s="66" t="str">
        <f aca="false">IF(ISBLANK($C166),"",IF(M166=Constants!$B$2, TRUE(), IF(M166=Constants!$B$3, FALSE(), TRUE())))</f>
        <v/>
      </c>
      <c r="X166" s="66" t="str">
        <f aca="false">IF(ISBLANK($C166),"",IF(N166=Constants!$B$2, TRUE(), IF(N166=Constants!$B$3, FALSE(), TRUE())))</f>
        <v/>
      </c>
      <c r="Y166" s="66" t="str">
        <f aca="false">IF(ISBLANK($C166),"",IF(O166=Constants!$B$2, TRUE(), IF(O166=Constants!$B$3, FALSE(), FALSE())))</f>
        <v/>
      </c>
      <c r="Z166" s="66" t="str">
        <f aca="false">IF(ISBLANK($C166),"",AND(S166&lt;&gt;"",Q166))</f>
        <v/>
      </c>
      <c r="AA166" s="66" t="str">
        <f aca="false">IF(ISBLANK($C166),"",AND(V166&lt;&gt;"",Q166))</f>
        <v/>
      </c>
      <c r="AB166" s="66" t="str">
        <f aca="false">IF(ISBLANK($C166),"",IF(Y166,Constants!$B$4,IF(COUNTA(E166:N166)=0,Constants!$B$5,IF(NOT(Q166),Constants!$B$6,IF(AND(NOT(Z166),NOT(AA166)),Constants!$B$6,Constants!$B$7)))))</f>
        <v/>
      </c>
      <c r="AC166" s="66" t="str">
        <f aca="false">IF(ISBLANK($C166),"",IF($AB166&lt;&gt;Constants!$B$7,$AB166,Constants!$B$20))</f>
        <v/>
      </c>
      <c r="AD166" s="66" t="str">
        <f aca="false">IF($AB166=Constants!$B$7,IF(Z166,S166,Constants!$B$13),"")</f>
        <v/>
      </c>
      <c r="AE166" s="66" t="str">
        <f aca="false">IF($AB166=Constants!$B$7,IF(Z166,R166*IF(T166, 1, Constants!$B$11)*IF(U166, 1, Constants!$B$12),Constants!$B$13),"")</f>
        <v/>
      </c>
      <c r="AF166" s="66" t="str">
        <f aca="false">IF($AB166=Constants!$B$7,AD166*AE166,"")</f>
        <v/>
      </c>
      <c r="AG166" s="66" t="str">
        <f aca="false">IF($AB166=Constants!$B$7,IF(AA166,V166,Constants!$B$13),"")</f>
        <v/>
      </c>
      <c r="AH166" s="66" t="str">
        <f aca="false">IF($AB166=Constants!$B$7,IF(AA166,R166*IF(W166, 1, Constants!$B$11)*IF(X166, 1, Constants!$B$12),Constants!$B$13),"")</f>
        <v/>
      </c>
      <c r="AI166" s="66" t="str">
        <f aca="false">IF($AB166=Constants!$B$7,AG166*AH166,"")</f>
        <v/>
      </c>
      <c r="AJ166" s="66" t="str">
        <f aca="false">IF($AB166=Constants!$B$7,IF(AI166&gt;AF166,2,1),"")</f>
        <v/>
      </c>
      <c r="AK166" s="66" t="str">
        <f aca="false">IF($AB166=Constants!$B$7,IF(AJ166=1,2,1),"")</f>
        <v/>
      </c>
      <c r="AL166" s="66" t="str">
        <f aca="false">IF(ISBLANK($C166),"",IF($AB166&lt;&gt;Constants!$B$7,$AB166,IF(AJ166=1,AF166,AI166)))</f>
        <v/>
      </c>
      <c r="AM166" s="66" t="str">
        <f aca="false">IF(ISBLANK($C166),"",IF($AB166=Constants!$B$7,IF(ISNUMBER(AL166),RANK(AL166,$AL$8:$AL$507),Constants!$B$14),$AB166))</f>
        <v/>
      </c>
      <c r="AN166" s="66" t="str">
        <f aca="false">IF(ISBLANK($C166),"",IF($AB166=Constants!$B$7,IF(AK166=1,AF166,AI166),""))</f>
        <v/>
      </c>
      <c r="AO166" s="66" t="str">
        <f aca="false">IF(ISBLANK($C166),"",IF($AB166=Constants!$B$7,RANK(AN166,$AN$8:$AN$507),$AB166))</f>
        <v/>
      </c>
      <c r="AP166" s="66" t="str">
        <f aca="false">IF(ISBLANK($C166),"",IF($AB166=Constants!$B$7,IF(ISNUMBER(AM166),COUNTIFS($AM$8:$AM$507,"&lt;"&amp;$AM166)+COUNTIFS($AM$8:$AM$507,$AM166,$AO$8:$AO$507,"&lt;"&amp;$AO166)+1,Constants!$B$14),$AB166))</f>
        <v/>
      </c>
      <c r="AQ166" s="66" t="str">
        <f aca="false">IF(ISBLANK($C166),"",IF($AB166=Constants!$B$7,IF(ISNUMBER(AM166),AM166-AP166,Constants!$B$14),$AB166))</f>
        <v/>
      </c>
      <c r="AR166" s="68"/>
      <c r="AS166" s="69" t="str">
        <f aca="false">IF(ISBLANK($C166),"",IF($AB166&lt;&gt;Constants!$B$7,"",AJ166))</f>
        <v/>
      </c>
      <c r="AT166" s="84" t="str">
        <f aca="false">IF(ISBLANK($C166),"",IF($AB166&lt;&gt;Constants!$B$7,"",IF(AJ166=1,AD166,AG166)))</f>
        <v/>
      </c>
      <c r="AU166" s="71" t="str">
        <f aca="false">IF(ISBLANK($C166),"",IF($AB166&lt;&gt;Constants!$B$7,"",IF(AJ166=1,AE166,AH166)))</f>
        <v/>
      </c>
      <c r="AV166" s="72" t="str">
        <f aca="false">IF(ISBLANK($C166),"",IF($AB166&lt;&gt;Constants!$B$7,$AB166,AL166))</f>
        <v/>
      </c>
      <c r="AW166" s="73" t="str">
        <f aca="false">IF(ISBLANK($C166),"",IF($AB166&lt;&gt;Constants!$B$7,$AB166,AC166))</f>
        <v/>
      </c>
      <c r="AX166" s="74" t="str">
        <f aca="false">IF(ISBLANK($C166),"",AQ166)</f>
        <v/>
      </c>
      <c r="AY166" s="74" t="str">
        <f aca="false">IF(ISBLANK($C166),"",AP166)</f>
        <v/>
      </c>
      <c r="AZ166" s="75" t="str">
        <f aca="false">IF(ISBLANK($C166),"",IF(AY166=Constants!$B$4,COUNTA($C$8:$C$507)+2,IF(AY166=Constants!$B$5,COUNTA($C$8:$C$507)+1,IF(AY166=Constants!$B$6,COUNTA($C$8:$C$507),AY166))))</f>
        <v/>
      </c>
      <c r="BA166" s="5"/>
      <c r="BB166" s="76" t="n">
        <f aca="false">IF(OR(ISNUMBER(AY166),AY166=Constants!$B$4,AY166=Constants!$B$6,AY166=Constants!$B$5),1,0)</f>
        <v>0</v>
      </c>
      <c r="BC166" s="76" t="n">
        <v>159</v>
      </c>
      <c r="BD166" s="76" t="str">
        <f aca="false">IF(ISBLANK($C166),"",IF(ISNUMBER(AZ166),AZ166+ROW($B166)/1000,""))</f>
        <v/>
      </c>
      <c r="BE166" s="76" t="str">
        <f aca="false">IF(ISNUMBER(BD166),RANK(BD166,$BD$8:$BD$507,1),"")</f>
        <v/>
      </c>
      <c r="BF166" s="76" t="str">
        <f aca="false">IF(ISBLANK($C166),"",$B166)</f>
        <v/>
      </c>
      <c r="BG166" s="76" t="str">
        <f aca="false">IF(ISBLANK($C166),"",$C166)</f>
        <v/>
      </c>
      <c r="BH166" s="76" t="str">
        <f aca="false">IF(ISBLANK($C166),"",$D166)</f>
        <v/>
      </c>
      <c r="BI166" s="77" t="str">
        <f aca="false">AW166</f>
        <v/>
      </c>
      <c r="BJ166" s="78" t="str">
        <f aca="false">AV166</f>
        <v/>
      </c>
      <c r="BK166" s="76" t="str">
        <f aca="false">IF(ISBLANK($C166),"",AY166)</f>
        <v/>
      </c>
      <c r="BL166" s="79" t="str">
        <f aca="false">IF($BC166&gt;$BB$7,"",VLOOKUP($BC166,$BE$8:$BK$507,7,FALSE()))</f>
        <v/>
      </c>
      <c r="BM166" s="80" t="str">
        <f aca="false">IF($BC166&gt;$BB$7,"",VLOOKUP($BC166,$BE$8:$BK$507,2,FALSE()))</f>
        <v/>
      </c>
      <c r="BN166" s="80" t="str">
        <f aca="false">IF($BC166&gt;$BB$7,"",VLOOKUP($BC166,$BE$8:$BK$507,3,FALSE()))</f>
        <v/>
      </c>
      <c r="BO166" s="80" t="str">
        <f aca="false">IF($BC166&gt;$BB$7,"",VLOOKUP($BC166,$BE$8:$BK$507,4,FALSE()))</f>
        <v/>
      </c>
      <c r="BP166" s="80" t="str">
        <f aca="false">IF($BC166&gt;$BB$7,"",VLOOKUP($BC166,$BE$8:$BK$507,5,FALSE()))</f>
        <v/>
      </c>
      <c r="BQ166" s="81" t="str">
        <f aca="false">IF($BC166&gt;$BB$7,"",VLOOKUP($BC166,$BE$8:$BK$507,6,FALSE()))</f>
        <v/>
      </c>
      <c r="BR166" s="54"/>
    </row>
    <row r="167" customFormat="false" ht="13.8" hidden="false" customHeight="false" outlineLevel="0" collapsed="false">
      <c r="A167" s="5"/>
      <c r="B167" s="120"/>
      <c r="C167" s="121"/>
      <c r="D167" s="112"/>
      <c r="E167" s="123"/>
      <c r="F167" s="91"/>
      <c r="G167" s="92"/>
      <c r="H167" s="93"/>
      <c r="I167" s="94"/>
      <c r="J167" s="91"/>
      <c r="K167" s="92"/>
      <c r="L167" s="93"/>
      <c r="M167" s="94"/>
      <c r="N167" s="91"/>
      <c r="O167" s="123"/>
      <c r="P167" s="96"/>
      <c r="Q167" s="97" t="str">
        <f aca="false">IF(ISBLANK($C167),"",IF(E167=Constants!$B$2, TRUE(), IF(E167=Constants!$B$3, FALSE(), TRUE())))</f>
        <v/>
      </c>
      <c r="R167" s="97" t="str">
        <f aca="false">IF(ISBLANK($C167),"",IF(F167=Constants!$B$16,Constants!$B$9,IF(F167=Constants!$B$17,Constants!$B$10,Constants!$B$8)))</f>
        <v/>
      </c>
      <c r="S167" s="97" t="str">
        <f aca="false">IF(ISBLANK($C167),"",IF(COUNTA(G167:H167)=0,"",IF(AND(OR(ISBLANK(G167),AND(ISNUMBER(G167),G167&gt;=0)),OR(ISBLANK(H167),AND(ISNUMBER(H167),H167&gt;=0))),60*IF(ISBLANK(G167),0,G167)+IF(ISBLANK(H167),0,H167),"")))</f>
        <v/>
      </c>
      <c r="T167" s="97" t="str">
        <f aca="false">IF(ISBLANK($C167),"",IF(I167=Constants!$B$2, TRUE(), IF(I167=Constants!$B$3, FALSE(), TRUE())))</f>
        <v/>
      </c>
      <c r="U167" s="97" t="str">
        <f aca="false">IF(ISBLANK($C167),"",IF(J167=Constants!$B$2, TRUE(), IF(J167=Constants!$B$3, FALSE(), TRUE())))</f>
        <v/>
      </c>
      <c r="V167" s="97" t="str">
        <f aca="false">IF(ISBLANK($C167),"",IF(COUNTA(K167:L167)=0,"",IF(AND(OR(ISBLANK(K167),AND(ISNUMBER(K167),K167&gt;=0)),OR(ISBLANK(L167),AND(ISNUMBER(L167),L167&gt;=0))),60*IF(ISBLANK(K167),0,K167)+IF(ISBLANK(L167),0,L167),"")))</f>
        <v/>
      </c>
      <c r="W167" s="97" t="str">
        <f aca="false">IF(ISBLANK($C167),"",IF(M167=Constants!$B$2, TRUE(), IF(M167=Constants!$B$3, FALSE(), TRUE())))</f>
        <v/>
      </c>
      <c r="X167" s="97" t="str">
        <f aca="false">IF(ISBLANK($C167),"",IF(N167=Constants!$B$2, TRUE(), IF(N167=Constants!$B$3, FALSE(), TRUE())))</f>
        <v/>
      </c>
      <c r="Y167" s="97" t="str">
        <f aca="false">IF(ISBLANK($C167),"",IF(O167=Constants!$B$2, TRUE(), IF(O167=Constants!$B$3, FALSE(), FALSE())))</f>
        <v/>
      </c>
      <c r="Z167" s="97" t="str">
        <f aca="false">IF(ISBLANK($C167),"",AND(S167&lt;&gt;"",Q167))</f>
        <v/>
      </c>
      <c r="AA167" s="97" t="str">
        <f aca="false">IF(ISBLANK($C167),"",AND(V167&lt;&gt;"",Q167))</f>
        <v/>
      </c>
      <c r="AB167" s="97" t="str">
        <f aca="false">IF(ISBLANK($C167),"",IF(Y167,Constants!$B$4,IF(COUNTA(E167:N167)=0,Constants!$B$5,IF(NOT(Q167),Constants!$B$6,IF(AND(NOT(Z167),NOT(AA167)),Constants!$B$6,Constants!$B$7)))))</f>
        <v/>
      </c>
      <c r="AC167" s="97" t="str">
        <f aca="false">IF(ISBLANK($C167),"",IF($AB167&lt;&gt;Constants!$B$7,$AB167,Constants!$B$20))</f>
        <v/>
      </c>
      <c r="AD167" s="97" t="str">
        <f aca="false">IF($AB167=Constants!$B$7,IF(Z167,S167,Constants!$B$13),"")</f>
        <v/>
      </c>
      <c r="AE167" s="97" t="str">
        <f aca="false">IF($AB167=Constants!$B$7,IF(Z167,R167*IF(T167, 1, Constants!$B$11)*IF(U167, 1, Constants!$B$12),Constants!$B$13),"")</f>
        <v/>
      </c>
      <c r="AF167" s="97" t="str">
        <f aca="false">IF($AB167=Constants!$B$7,AD167*AE167,"")</f>
        <v/>
      </c>
      <c r="AG167" s="97" t="str">
        <f aca="false">IF($AB167=Constants!$B$7,IF(AA167,V167,Constants!$B$13),"")</f>
        <v/>
      </c>
      <c r="AH167" s="97" t="str">
        <f aca="false">IF($AB167=Constants!$B$7,IF(AA167,R167*IF(W167, 1, Constants!$B$11)*IF(X167, 1, Constants!$B$12),Constants!$B$13),"")</f>
        <v/>
      </c>
      <c r="AI167" s="97" t="str">
        <f aca="false">IF($AB167=Constants!$B$7,AG167*AH167,"")</f>
        <v/>
      </c>
      <c r="AJ167" s="97" t="str">
        <f aca="false">IF($AB167=Constants!$B$7,IF(AI167&gt;AF167,2,1),"")</f>
        <v/>
      </c>
      <c r="AK167" s="97" t="str">
        <f aca="false">IF($AB167=Constants!$B$7,IF(AJ167=1,2,1),"")</f>
        <v/>
      </c>
      <c r="AL167" s="97" t="str">
        <f aca="false">IF(ISBLANK($C167),"",IF($AB167&lt;&gt;Constants!$B$7,$AB167,IF(AJ167=1,AF167,AI167)))</f>
        <v/>
      </c>
      <c r="AM167" s="97" t="str">
        <f aca="false">IF(ISBLANK($C167),"",IF($AB167=Constants!$B$7,IF(ISNUMBER(AL167),RANK(AL167,$AL$8:$AL$507),Constants!$B$14),$AB167))</f>
        <v/>
      </c>
      <c r="AN167" s="97" t="str">
        <f aca="false">IF(ISBLANK($C167),"",IF($AB167=Constants!$B$7,IF(AK167=1,AF167,AI167),""))</f>
        <v/>
      </c>
      <c r="AO167" s="97" t="str">
        <f aca="false">IF(ISBLANK($C167),"",IF($AB167=Constants!$B$7,RANK(AN167,$AN$8:$AN$507),$AB167))</f>
        <v/>
      </c>
      <c r="AP167" s="97" t="str">
        <f aca="false">IF(ISBLANK($C167),"",IF($AB167=Constants!$B$7,IF(ISNUMBER(AM167),COUNTIFS($AM$8:$AM$507,"&lt;"&amp;$AM167)+COUNTIFS($AM$8:$AM$507,$AM167,$AO$8:$AO$507,"&lt;"&amp;$AO167)+1,Constants!$B$14),$AB167))</f>
        <v/>
      </c>
      <c r="AQ167" s="97" t="str">
        <f aca="false">IF(ISBLANK($C167),"",IF($AB167=Constants!$B$7,IF(ISNUMBER(AM167),AM167-AP167,Constants!$B$14),$AB167))</f>
        <v/>
      </c>
      <c r="AR167" s="98"/>
      <c r="AS167" s="99" t="str">
        <f aca="false">IF(ISBLANK($C167),"",IF($AB167&lt;&gt;Constants!$B$7,"",AJ167))</f>
        <v/>
      </c>
      <c r="AT167" s="100" t="str">
        <f aca="false">IF(ISBLANK($C167),"",IF($AB167&lt;&gt;Constants!$B$7,"",IF(AJ167=1,AD167,AG167)))</f>
        <v/>
      </c>
      <c r="AU167" s="101" t="str">
        <f aca="false">IF(ISBLANK($C167),"",IF($AB167&lt;&gt;Constants!$B$7,"",IF(AJ167=1,AE167,AH167)))</f>
        <v/>
      </c>
      <c r="AV167" s="102" t="str">
        <f aca="false">IF(ISBLANK($C167),"",IF($AB167&lt;&gt;Constants!$B$7,$AB167,AL167))</f>
        <v/>
      </c>
      <c r="AW167" s="103" t="str">
        <f aca="false">IF(ISBLANK($C167),"",IF($AB167&lt;&gt;Constants!$B$7,$AB167,AC167))</f>
        <v/>
      </c>
      <c r="AX167" s="104" t="str">
        <f aca="false">IF(ISBLANK($C167),"",AQ167)</f>
        <v/>
      </c>
      <c r="AY167" s="104" t="str">
        <f aca="false">IF(ISBLANK($C167),"",AP167)</f>
        <v/>
      </c>
      <c r="AZ167" s="105" t="str">
        <f aca="false">IF(ISBLANK($C167),"",IF(AY167=Constants!$B$4,COUNTA($C$8:$C$507)+2,IF(AY167=Constants!$B$5,COUNTA($C$8:$C$507)+1,IF(AY167=Constants!$B$6,COUNTA($C$8:$C$507),AY167))))</f>
        <v/>
      </c>
      <c r="BA167" s="5"/>
      <c r="BB167" s="106" t="n">
        <f aca="false">IF(OR(ISNUMBER(AY167),AY167=Constants!$B$4,AY167=Constants!$B$6,AY167=Constants!$B$5),1,0)</f>
        <v>0</v>
      </c>
      <c r="BC167" s="106" t="n">
        <v>160</v>
      </c>
      <c r="BD167" s="106" t="str">
        <f aca="false">IF(ISBLANK($C167),"",IF(ISNUMBER(AZ167),AZ167+ROW($B167)/1000,""))</f>
        <v/>
      </c>
      <c r="BE167" s="106" t="str">
        <f aca="false">IF(ISNUMBER(BD167),RANK(BD167,$BD$8:$BD$507,1),"")</f>
        <v/>
      </c>
      <c r="BF167" s="106" t="str">
        <f aca="false">IF(ISBLANK($C167),"",$B167)</f>
        <v/>
      </c>
      <c r="BG167" s="106" t="str">
        <f aca="false">IF(ISBLANK($C167),"",$C167)</f>
        <v/>
      </c>
      <c r="BH167" s="106" t="str">
        <f aca="false">IF(ISBLANK($C167),"",$D167)</f>
        <v/>
      </c>
      <c r="BI167" s="107" t="str">
        <f aca="false">AW167</f>
        <v/>
      </c>
      <c r="BJ167" s="108" t="str">
        <f aca="false">AV167</f>
        <v/>
      </c>
      <c r="BK167" s="106" t="str">
        <f aca="false">IF(ISBLANK($C167),"",AY167)</f>
        <v/>
      </c>
      <c r="BL167" s="109" t="str">
        <f aca="false">IF($BC167&gt;$BB$7,"",VLOOKUP($BC167,$BE$8:$BK$507,7,FALSE()))</f>
        <v/>
      </c>
      <c r="BM167" s="110" t="str">
        <f aca="false">IF($BC167&gt;$BB$7,"",VLOOKUP($BC167,$BE$8:$BK$507,2,FALSE()))</f>
        <v/>
      </c>
      <c r="BN167" s="110" t="str">
        <f aca="false">IF($BC167&gt;$BB$7,"",VLOOKUP($BC167,$BE$8:$BK$507,3,FALSE()))</f>
        <v/>
      </c>
      <c r="BO167" s="110" t="str">
        <f aca="false">IF($BC167&gt;$BB$7,"",VLOOKUP($BC167,$BE$8:$BK$507,4,FALSE()))</f>
        <v/>
      </c>
      <c r="BP167" s="110" t="str">
        <f aca="false">IF($BC167&gt;$BB$7,"",VLOOKUP($BC167,$BE$8:$BK$507,5,FALSE()))</f>
        <v/>
      </c>
      <c r="BQ167" s="111" t="str">
        <f aca="false">IF($BC167&gt;$BB$7,"",VLOOKUP($BC167,$BE$8:$BK$507,6,FALSE()))</f>
        <v/>
      </c>
      <c r="BR167" s="54"/>
    </row>
    <row r="168" customFormat="false" ht="13.8" hidden="false" customHeight="false" outlineLevel="0" collapsed="false">
      <c r="A168" s="5"/>
      <c r="B168" s="120"/>
      <c r="C168" s="121"/>
      <c r="D168" s="112"/>
      <c r="E168" s="123"/>
      <c r="F168" s="91"/>
      <c r="G168" s="92"/>
      <c r="H168" s="93"/>
      <c r="I168" s="94"/>
      <c r="J168" s="91"/>
      <c r="K168" s="92"/>
      <c r="L168" s="93"/>
      <c r="M168" s="94"/>
      <c r="N168" s="91"/>
      <c r="O168" s="123"/>
      <c r="P168" s="96"/>
      <c r="Q168" s="97" t="str">
        <f aca="false">IF(ISBLANK($C168),"",IF(E168=Constants!$B$2, TRUE(), IF(E168=Constants!$B$3, FALSE(), TRUE())))</f>
        <v/>
      </c>
      <c r="R168" s="97" t="str">
        <f aca="false">IF(ISBLANK($C168),"",IF(F168=Constants!$B$16,Constants!$B$9,IF(F168=Constants!$B$17,Constants!$B$10,Constants!$B$8)))</f>
        <v/>
      </c>
      <c r="S168" s="97" t="str">
        <f aca="false">IF(ISBLANK($C168),"",IF(COUNTA(G168:H168)=0,"",IF(AND(OR(ISBLANK(G168),AND(ISNUMBER(G168),G168&gt;=0)),OR(ISBLANK(H168),AND(ISNUMBER(H168),H168&gt;=0))),60*IF(ISBLANK(G168),0,G168)+IF(ISBLANK(H168),0,H168),"")))</f>
        <v/>
      </c>
      <c r="T168" s="97" t="str">
        <f aca="false">IF(ISBLANK($C168),"",IF(I168=Constants!$B$2, TRUE(), IF(I168=Constants!$B$3, FALSE(), TRUE())))</f>
        <v/>
      </c>
      <c r="U168" s="97" t="str">
        <f aca="false">IF(ISBLANK($C168),"",IF(J168=Constants!$B$2, TRUE(), IF(J168=Constants!$B$3, FALSE(), TRUE())))</f>
        <v/>
      </c>
      <c r="V168" s="97" t="str">
        <f aca="false">IF(ISBLANK($C168),"",IF(COUNTA(K168:L168)=0,"",IF(AND(OR(ISBLANK(K168),AND(ISNUMBER(K168),K168&gt;=0)),OR(ISBLANK(L168),AND(ISNUMBER(L168),L168&gt;=0))),60*IF(ISBLANK(K168),0,K168)+IF(ISBLANK(L168),0,L168),"")))</f>
        <v/>
      </c>
      <c r="W168" s="97" t="str">
        <f aca="false">IF(ISBLANK($C168),"",IF(M168=Constants!$B$2, TRUE(), IF(M168=Constants!$B$3, FALSE(), TRUE())))</f>
        <v/>
      </c>
      <c r="X168" s="97" t="str">
        <f aca="false">IF(ISBLANK($C168),"",IF(N168=Constants!$B$2, TRUE(), IF(N168=Constants!$B$3, FALSE(), TRUE())))</f>
        <v/>
      </c>
      <c r="Y168" s="97" t="str">
        <f aca="false">IF(ISBLANK($C168),"",IF(O168=Constants!$B$2, TRUE(), IF(O168=Constants!$B$3, FALSE(), FALSE())))</f>
        <v/>
      </c>
      <c r="Z168" s="97" t="str">
        <f aca="false">IF(ISBLANK($C168),"",AND(S168&lt;&gt;"",Q168))</f>
        <v/>
      </c>
      <c r="AA168" s="97" t="str">
        <f aca="false">IF(ISBLANK($C168),"",AND(V168&lt;&gt;"",Q168))</f>
        <v/>
      </c>
      <c r="AB168" s="97" t="str">
        <f aca="false">IF(ISBLANK($C168),"",IF(Y168,Constants!$B$4,IF(COUNTA(E168:N168)=0,Constants!$B$5,IF(NOT(Q168),Constants!$B$6,IF(AND(NOT(Z168),NOT(AA168)),Constants!$B$6,Constants!$B$7)))))</f>
        <v/>
      </c>
      <c r="AC168" s="97" t="str">
        <f aca="false">IF(ISBLANK($C168),"",IF($AB168&lt;&gt;Constants!$B$7,$AB168,Constants!$B$20))</f>
        <v/>
      </c>
      <c r="AD168" s="97" t="str">
        <f aca="false">IF($AB168=Constants!$B$7,IF(Z168,S168,Constants!$B$13),"")</f>
        <v/>
      </c>
      <c r="AE168" s="97" t="str">
        <f aca="false">IF($AB168=Constants!$B$7,IF(Z168,R168*IF(T168, 1, Constants!$B$11)*IF(U168, 1, Constants!$B$12),Constants!$B$13),"")</f>
        <v/>
      </c>
      <c r="AF168" s="97" t="str">
        <f aca="false">IF($AB168=Constants!$B$7,AD168*AE168,"")</f>
        <v/>
      </c>
      <c r="AG168" s="97" t="str">
        <f aca="false">IF($AB168=Constants!$B$7,IF(AA168,V168,Constants!$B$13),"")</f>
        <v/>
      </c>
      <c r="AH168" s="97" t="str">
        <f aca="false">IF($AB168=Constants!$B$7,IF(AA168,R168*IF(W168, 1, Constants!$B$11)*IF(X168, 1, Constants!$B$12),Constants!$B$13),"")</f>
        <v/>
      </c>
      <c r="AI168" s="97" t="str">
        <f aca="false">IF($AB168=Constants!$B$7,AG168*AH168,"")</f>
        <v/>
      </c>
      <c r="AJ168" s="97" t="str">
        <f aca="false">IF($AB168=Constants!$B$7,IF(AI168&gt;AF168,2,1),"")</f>
        <v/>
      </c>
      <c r="AK168" s="97" t="str">
        <f aca="false">IF($AB168=Constants!$B$7,IF(AJ168=1,2,1),"")</f>
        <v/>
      </c>
      <c r="AL168" s="97" t="str">
        <f aca="false">IF(ISBLANK($C168),"",IF($AB168&lt;&gt;Constants!$B$7,$AB168,IF(AJ168=1,AF168,AI168)))</f>
        <v/>
      </c>
      <c r="AM168" s="97" t="str">
        <f aca="false">IF(ISBLANK($C168),"",IF($AB168=Constants!$B$7,IF(ISNUMBER(AL168),RANK(AL168,$AL$8:$AL$507),Constants!$B$14),$AB168))</f>
        <v/>
      </c>
      <c r="AN168" s="97" t="str">
        <f aca="false">IF(ISBLANK($C168),"",IF($AB168=Constants!$B$7,IF(AK168=1,AF168,AI168),""))</f>
        <v/>
      </c>
      <c r="AO168" s="97" t="str">
        <f aca="false">IF(ISBLANK($C168),"",IF($AB168=Constants!$B$7,RANK(AN168,$AN$8:$AN$507),$AB168))</f>
        <v/>
      </c>
      <c r="AP168" s="97" t="str">
        <f aca="false">IF(ISBLANK($C168),"",IF($AB168=Constants!$B$7,IF(ISNUMBER(AM168),COUNTIFS($AM$8:$AM$507,"&lt;"&amp;$AM168)+COUNTIFS($AM$8:$AM$507,$AM168,$AO$8:$AO$507,"&lt;"&amp;$AO168)+1,Constants!$B$14),$AB168))</f>
        <v/>
      </c>
      <c r="AQ168" s="97" t="str">
        <f aca="false">IF(ISBLANK($C168),"",IF($AB168=Constants!$B$7,IF(ISNUMBER(AM168),AM168-AP168,Constants!$B$14),$AB168))</f>
        <v/>
      </c>
      <c r="AR168" s="98"/>
      <c r="AS168" s="99" t="str">
        <f aca="false">IF(ISBLANK($C168),"",IF($AB168&lt;&gt;Constants!$B$7,"",AJ168))</f>
        <v/>
      </c>
      <c r="AT168" s="100" t="str">
        <f aca="false">IF(ISBLANK($C168),"",IF($AB168&lt;&gt;Constants!$B$7,"",IF(AJ168=1,AD168,AG168)))</f>
        <v/>
      </c>
      <c r="AU168" s="101" t="str">
        <f aca="false">IF(ISBLANK($C168),"",IF($AB168&lt;&gt;Constants!$B$7,"",IF(AJ168=1,AE168,AH168)))</f>
        <v/>
      </c>
      <c r="AV168" s="102" t="str">
        <f aca="false">IF(ISBLANK($C168),"",IF($AB168&lt;&gt;Constants!$B$7,$AB168,AL168))</f>
        <v/>
      </c>
      <c r="AW168" s="103" t="str">
        <f aca="false">IF(ISBLANK($C168),"",IF($AB168&lt;&gt;Constants!$B$7,$AB168,AC168))</f>
        <v/>
      </c>
      <c r="AX168" s="104" t="str">
        <f aca="false">IF(ISBLANK($C168),"",AQ168)</f>
        <v/>
      </c>
      <c r="AY168" s="104" t="str">
        <f aca="false">IF(ISBLANK($C168),"",AP168)</f>
        <v/>
      </c>
      <c r="AZ168" s="105" t="str">
        <f aca="false">IF(ISBLANK($C168),"",IF(AY168=Constants!$B$4,COUNTA($C$8:$C$507)+2,IF(AY168=Constants!$B$5,COUNTA($C$8:$C$507)+1,IF(AY168=Constants!$B$6,COUNTA($C$8:$C$507),AY168))))</f>
        <v/>
      </c>
      <c r="BA168" s="5"/>
      <c r="BB168" s="106" t="n">
        <f aca="false">IF(OR(ISNUMBER(AY168),AY168=Constants!$B$4,AY168=Constants!$B$6,AY168=Constants!$B$5),1,0)</f>
        <v>0</v>
      </c>
      <c r="BC168" s="106" t="n">
        <v>161</v>
      </c>
      <c r="BD168" s="106" t="str">
        <f aca="false">IF(ISBLANK($C168),"",IF(ISNUMBER(AZ168),AZ168+ROW($B168)/1000,""))</f>
        <v/>
      </c>
      <c r="BE168" s="106" t="str">
        <f aca="false">IF(ISNUMBER(BD168),RANK(BD168,$BD$8:$BD$507,1),"")</f>
        <v/>
      </c>
      <c r="BF168" s="106" t="str">
        <f aca="false">IF(ISBLANK($C168),"",$B168)</f>
        <v/>
      </c>
      <c r="BG168" s="106" t="str">
        <f aca="false">IF(ISBLANK($C168),"",$C168)</f>
        <v/>
      </c>
      <c r="BH168" s="106" t="str">
        <f aca="false">IF(ISBLANK($C168),"",$D168)</f>
        <v/>
      </c>
      <c r="BI168" s="107" t="str">
        <f aca="false">AW168</f>
        <v/>
      </c>
      <c r="BJ168" s="108" t="str">
        <f aca="false">AV168</f>
        <v/>
      </c>
      <c r="BK168" s="106" t="str">
        <f aca="false">IF(ISBLANK($C168),"",AY168)</f>
        <v/>
      </c>
      <c r="BL168" s="109" t="str">
        <f aca="false">IF($BC168&gt;$BB$7,"",VLOOKUP($BC168,$BE$8:$BK$507,7,FALSE()))</f>
        <v/>
      </c>
      <c r="BM168" s="110" t="str">
        <f aca="false">IF($BC168&gt;$BB$7,"",VLOOKUP($BC168,$BE$8:$BK$507,2,FALSE()))</f>
        <v/>
      </c>
      <c r="BN168" s="110" t="str">
        <f aca="false">IF($BC168&gt;$BB$7,"",VLOOKUP($BC168,$BE$8:$BK$507,3,FALSE()))</f>
        <v/>
      </c>
      <c r="BO168" s="110" t="str">
        <f aca="false">IF($BC168&gt;$BB$7,"",VLOOKUP($BC168,$BE$8:$BK$507,4,FALSE()))</f>
        <v/>
      </c>
      <c r="BP168" s="110" t="str">
        <f aca="false">IF($BC168&gt;$BB$7,"",VLOOKUP($BC168,$BE$8:$BK$507,5,FALSE()))</f>
        <v/>
      </c>
      <c r="BQ168" s="111" t="str">
        <f aca="false">IF($BC168&gt;$BB$7,"",VLOOKUP($BC168,$BE$8:$BK$507,6,FALSE()))</f>
        <v/>
      </c>
      <c r="BR168" s="54"/>
    </row>
    <row r="169" customFormat="false" ht="13.8" hidden="false" customHeight="false" outlineLevel="0" collapsed="false">
      <c r="A169" s="5"/>
      <c r="B169" s="120"/>
      <c r="C169" s="121"/>
      <c r="D169" s="112"/>
      <c r="E169" s="123"/>
      <c r="F169" s="91"/>
      <c r="G169" s="92"/>
      <c r="H169" s="93"/>
      <c r="I169" s="94"/>
      <c r="J169" s="91"/>
      <c r="K169" s="92"/>
      <c r="L169" s="93"/>
      <c r="M169" s="94"/>
      <c r="N169" s="91"/>
      <c r="O169" s="123"/>
      <c r="P169" s="96"/>
      <c r="Q169" s="97" t="str">
        <f aca="false">IF(ISBLANK($C169),"",IF(E169=Constants!$B$2, TRUE(), IF(E169=Constants!$B$3, FALSE(), TRUE())))</f>
        <v/>
      </c>
      <c r="R169" s="97" t="str">
        <f aca="false">IF(ISBLANK($C169),"",IF(F169=Constants!$B$16,Constants!$B$9,IF(F169=Constants!$B$17,Constants!$B$10,Constants!$B$8)))</f>
        <v/>
      </c>
      <c r="S169" s="97" t="str">
        <f aca="false">IF(ISBLANK($C169),"",IF(COUNTA(G169:H169)=0,"",IF(AND(OR(ISBLANK(G169),AND(ISNUMBER(G169),G169&gt;=0)),OR(ISBLANK(H169),AND(ISNUMBER(H169),H169&gt;=0))),60*IF(ISBLANK(G169),0,G169)+IF(ISBLANK(H169),0,H169),"")))</f>
        <v/>
      </c>
      <c r="T169" s="97" t="str">
        <f aca="false">IF(ISBLANK($C169),"",IF(I169=Constants!$B$2, TRUE(), IF(I169=Constants!$B$3, FALSE(), TRUE())))</f>
        <v/>
      </c>
      <c r="U169" s="97" t="str">
        <f aca="false">IF(ISBLANK($C169),"",IF(J169=Constants!$B$2, TRUE(), IF(J169=Constants!$B$3, FALSE(), TRUE())))</f>
        <v/>
      </c>
      <c r="V169" s="97" t="str">
        <f aca="false">IF(ISBLANK($C169),"",IF(COUNTA(K169:L169)=0,"",IF(AND(OR(ISBLANK(K169),AND(ISNUMBER(K169),K169&gt;=0)),OR(ISBLANK(L169),AND(ISNUMBER(L169),L169&gt;=0))),60*IF(ISBLANK(K169),0,K169)+IF(ISBLANK(L169),0,L169),"")))</f>
        <v/>
      </c>
      <c r="W169" s="97" t="str">
        <f aca="false">IF(ISBLANK($C169),"",IF(M169=Constants!$B$2, TRUE(), IF(M169=Constants!$B$3, FALSE(), TRUE())))</f>
        <v/>
      </c>
      <c r="X169" s="97" t="str">
        <f aca="false">IF(ISBLANK($C169),"",IF(N169=Constants!$B$2, TRUE(), IF(N169=Constants!$B$3, FALSE(), TRUE())))</f>
        <v/>
      </c>
      <c r="Y169" s="97" t="str">
        <f aca="false">IF(ISBLANK($C169),"",IF(O169=Constants!$B$2, TRUE(), IF(O169=Constants!$B$3, FALSE(), FALSE())))</f>
        <v/>
      </c>
      <c r="Z169" s="97" t="str">
        <f aca="false">IF(ISBLANK($C169),"",AND(S169&lt;&gt;"",Q169))</f>
        <v/>
      </c>
      <c r="AA169" s="97" t="str">
        <f aca="false">IF(ISBLANK($C169),"",AND(V169&lt;&gt;"",Q169))</f>
        <v/>
      </c>
      <c r="AB169" s="97" t="str">
        <f aca="false">IF(ISBLANK($C169),"",IF(Y169,Constants!$B$4,IF(COUNTA(E169:N169)=0,Constants!$B$5,IF(NOT(Q169),Constants!$B$6,IF(AND(NOT(Z169),NOT(AA169)),Constants!$B$6,Constants!$B$7)))))</f>
        <v/>
      </c>
      <c r="AC169" s="97" t="str">
        <f aca="false">IF(ISBLANK($C169),"",IF($AB169&lt;&gt;Constants!$B$7,$AB169,Constants!$B$20))</f>
        <v/>
      </c>
      <c r="AD169" s="97" t="str">
        <f aca="false">IF($AB169=Constants!$B$7,IF(Z169,S169,Constants!$B$13),"")</f>
        <v/>
      </c>
      <c r="AE169" s="97" t="str">
        <f aca="false">IF($AB169=Constants!$B$7,IF(Z169,R169*IF(T169, 1, Constants!$B$11)*IF(U169, 1, Constants!$B$12),Constants!$B$13),"")</f>
        <v/>
      </c>
      <c r="AF169" s="97" t="str">
        <f aca="false">IF($AB169=Constants!$B$7,AD169*AE169,"")</f>
        <v/>
      </c>
      <c r="AG169" s="97" t="str">
        <f aca="false">IF($AB169=Constants!$B$7,IF(AA169,V169,Constants!$B$13),"")</f>
        <v/>
      </c>
      <c r="AH169" s="97" t="str">
        <f aca="false">IF($AB169=Constants!$B$7,IF(AA169,R169*IF(W169, 1, Constants!$B$11)*IF(X169, 1, Constants!$B$12),Constants!$B$13),"")</f>
        <v/>
      </c>
      <c r="AI169" s="97" t="str">
        <f aca="false">IF($AB169=Constants!$B$7,AG169*AH169,"")</f>
        <v/>
      </c>
      <c r="AJ169" s="97" t="str">
        <f aca="false">IF($AB169=Constants!$B$7,IF(AI169&gt;AF169,2,1),"")</f>
        <v/>
      </c>
      <c r="AK169" s="97" t="str">
        <f aca="false">IF($AB169=Constants!$B$7,IF(AJ169=1,2,1),"")</f>
        <v/>
      </c>
      <c r="AL169" s="97" t="str">
        <f aca="false">IF(ISBLANK($C169),"",IF($AB169&lt;&gt;Constants!$B$7,$AB169,IF(AJ169=1,AF169,AI169)))</f>
        <v/>
      </c>
      <c r="AM169" s="97" t="str">
        <f aca="false">IF(ISBLANK($C169),"",IF($AB169=Constants!$B$7,IF(ISNUMBER(AL169),RANK(AL169,$AL$8:$AL$507),Constants!$B$14),$AB169))</f>
        <v/>
      </c>
      <c r="AN169" s="97" t="str">
        <f aca="false">IF(ISBLANK($C169),"",IF($AB169=Constants!$B$7,IF(AK169=1,AF169,AI169),""))</f>
        <v/>
      </c>
      <c r="AO169" s="97" t="str">
        <f aca="false">IF(ISBLANK($C169),"",IF($AB169=Constants!$B$7,RANK(AN169,$AN$8:$AN$507),$AB169))</f>
        <v/>
      </c>
      <c r="AP169" s="97" t="str">
        <f aca="false">IF(ISBLANK($C169),"",IF($AB169=Constants!$B$7,IF(ISNUMBER(AM169),COUNTIFS($AM$8:$AM$507,"&lt;"&amp;$AM169)+COUNTIFS($AM$8:$AM$507,$AM169,$AO$8:$AO$507,"&lt;"&amp;$AO169)+1,Constants!$B$14),$AB169))</f>
        <v/>
      </c>
      <c r="AQ169" s="97" t="str">
        <f aca="false">IF(ISBLANK($C169),"",IF($AB169=Constants!$B$7,IF(ISNUMBER(AM169),AM169-AP169,Constants!$B$14),$AB169))</f>
        <v/>
      </c>
      <c r="AR169" s="98"/>
      <c r="AS169" s="99" t="str">
        <f aca="false">IF(ISBLANK($C169),"",IF($AB169&lt;&gt;Constants!$B$7,"",AJ169))</f>
        <v/>
      </c>
      <c r="AT169" s="100" t="str">
        <f aca="false">IF(ISBLANK($C169),"",IF($AB169&lt;&gt;Constants!$B$7,"",IF(AJ169=1,AD169,AG169)))</f>
        <v/>
      </c>
      <c r="AU169" s="101" t="str">
        <f aca="false">IF(ISBLANK($C169),"",IF($AB169&lt;&gt;Constants!$B$7,"",IF(AJ169=1,AE169,AH169)))</f>
        <v/>
      </c>
      <c r="AV169" s="102" t="str">
        <f aca="false">IF(ISBLANK($C169),"",IF($AB169&lt;&gt;Constants!$B$7,$AB169,AL169))</f>
        <v/>
      </c>
      <c r="AW169" s="103" t="str">
        <f aca="false">IF(ISBLANK($C169),"",IF($AB169&lt;&gt;Constants!$B$7,$AB169,AC169))</f>
        <v/>
      </c>
      <c r="AX169" s="104" t="str">
        <f aca="false">IF(ISBLANK($C169),"",AQ169)</f>
        <v/>
      </c>
      <c r="AY169" s="104" t="str">
        <f aca="false">IF(ISBLANK($C169),"",AP169)</f>
        <v/>
      </c>
      <c r="AZ169" s="105" t="str">
        <f aca="false">IF(ISBLANK($C169),"",IF(AY169=Constants!$B$4,COUNTA($C$8:$C$507)+2,IF(AY169=Constants!$B$5,COUNTA($C$8:$C$507)+1,IF(AY169=Constants!$B$6,COUNTA($C$8:$C$507),AY169))))</f>
        <v/>
      </c>
      <c r="BA169" s="5"/>
      <c r="BB169" s="106" t="n">
        <f aca="false">IF(OR(ISNUMBER(AY169),AY169=Constants!$B$4,AY169=Constants!$B$6,AY169=Constants!$B$5),1,0)</f>
        <v>0</v>
      </c>
      <c r="BC169" s="106" t="n">
        <v>162</v>
      </c>
      <c r="BD169" s="106" t="str">
        <f aca="false">IF(ISBLANK($C169),"",IF(ISNUMBER(AZ169),AZ169+ROW($B169)/1000,""))</f>
        <v/>
      </c>
      <c r="BE169" s="106" t="str">
        <f aca="false">IF(ISNUMBER(BD169),RANK(BD169,$BD$8:$BD$507,1),"")</f>
        <v/>
      </c>
      <c r="BF169" s="106" t="str">
        <f aca="false">IF(ISBLANK($C169),"",$B169)</f>
        <v/>
      </c>
      <c r="BG169" s="106" t="str">
        <f aca="false">IF(ISBLANK($C169),"",$C169)</f>
        <v/>
      </c>
      <c r="BH169" s="106" t="str">
        <f aca="false">IF(ISBLANK($C169),"",$D169)</f>
        <v/>
      </c>
      <c r="BI169" s="107" t="str">
        <f aca="false">AW169</f>
        <v/>
      </c>
      <c r="BJ169" s="108" t="str">
        <f aca="false">AV169</f>
        <v/>
      </c>
      <c r="BK169" s="106" t="str">
        <f aca="false">IF(ISBLANK($C169),"",AY169)</f>
        <v/>
      </c>
      <c r="BL169" s="109" t="str">
        <f aca="false">IF($BC169&gt;$BB$7,"",VLOOKUP($BC169,$BE$8:$BK$507,7,FALSE()))</f>
        <v/>
      </c>
      <c r="BM169" s="110" t="str">
        <f aca="false">IF($BC169&gt;$BB$7,"",VLOOKUP($BC169,$BE$8:$BK$507,2,FALSE()))</f>
        <v/>
      </c>
      <c r="BN169" s="110" t="str">
        <f aca="false">IF($BC169&gt;$BB$7,"",VLOOKUP($BC169,$BE$8:$BK$507,3,FALSE()))</f>
        <v/>
      </c>
      <c r="BO169" s="110" t="str">
        <f aca="false">IF($BC169&gt;$BB$7,"",VLOOKUP($BC169,$BE$8:$BK$507,4,FALSE()))</f>
        <v/>
      </c>
      <c r="BP169" s="110" t="str">
        <f aca="false">IF($BC169&gt;$BB$7,"",VLOOKUP($BC169,$BE$8:$BK$507,5,FALSE()))</f>
        <v/>
      </c>
      <c r="BQ169" s="111" t="str">
        <f aca="false">IF($BC169&gt;$BB$7,"",VLOOKUP($BC169,$BE$8:$BK$507,6,FALSE()))</f>
        <v/>
      </c>
      <c r="BR169" s="54"/>
    </row>
    <row r="170" customFormat="false" ht="13.8" hidden="false" customHeight="false" outlineLevel="0" collapsed="false">
      <c r="A170" s="5"/>
      <c r="B170" s="124"/>
      <c r="C170" s="56"/>
      <c r="D170" s="57"/>
      <c r="E170" s="83"/>
      <c r="F170" s="59"/>
      <c r="G170" s="60"/>
      <c r="H170" s="61"/>
      <c r="I170" s="62"/>
      <c r="J170" s="59"/>
      <c r="K170" s="60"/>
      <c r="L170" s="61"/>
      <c r="M170" s="62"/>
      <c r="N170" s="59"/>
      <c r="O170" s="83"/>
      <c r="P170" s="64"/>
      <c r="Q170" s="66" t="str">
        <f aca="false">IF(ISBLANK($C170),"",IF(E170=Constants!$B$2, TRUE(), IF(E170=Constants!$B$3, FALSE(), TRUE())))</f>
        <v/>
      </c>
      <c r="R170" s="66" t="str">
        <f aca="false">IF(ISBLANK($C170),"",IF(F170=Constants!$B$16,Constants!$B$9,IF(F170=Constants!$B$17,Constants!$B$10,Constants!$B$8)))</f>
        <v/>
      </c>
      <c r="S170" s="66" t="str">
        <f aca="false">IF(ISBLANK($C170),"",IF(COUNTA(G170:H170)=0,"",IF(AND(OR(ISBLANK(G170),AND(ISNUMBER(G170),G170&gt;=0)),OR(ISBLANK(H170),AND(ISNUMBER(H170),H170&gt;=0))),60*IF(ISBLANK(G170),0,G170)+IF(ISBLANK(H170),0,H170),"")))</f>
        <v/>
      </c>
      <c r="T170" s="66" t="str">
        <f aca="false">IF(ISBLANK($C170),"",IF(I170=Constants!$B$2, TRUE(), IF(I170=Constants!$B$3, FALSE(), TRUE())))</f>
        <v/>
      </c>
      <c r="U170" s="66" t="str">
        <f aca="false">IF(ISBLANK($C170),"",IF(J170=Constants!$B$2, TRUE(), IF(J170=Constants!$B$3, FALSE(), TRUE())))</f>
        <v/>
      </c>
      <c r="V170" s="66" t="str">
        <f aca="false">IF(ISBLANK($C170),"",IF(COUNTA(K170:L170)=0,"",IF(AND(OR(ISBLANK(K170),AND(ISNUMBER(K170),K170&gt;=0)),OR(ISBLANK(L170),AND(ISNUMBER(L170),L170&gt;=0))),60*IF(ISBLANK(K170),0,K170)+IF(ISBLANK(L170),0,L170),"")))</f>
        <v/>
      </c>
      <c r="W170" s="66" t="str">
        <f aca="false">IF(ISBLANK($C170),"",IF(M170=Constants!$B$2, TRUE(), IF(M170=Constants!$B$3, FALSE(), TRUE())))</f>
        <v/>
      </c>
      <c r="X170" s="66" t="str">
        <f aca="false">IF(ISBLANK($C170),"",IF(N170=Constants!$B$2, TRUE(), IF(N170=Constants!$B$3, FALSE(), TRUE())))</f>
        <v/>
      </c>
      <c r="Y170" s="66" t="str">
        <f aca="false">IF(ISBLANK($C170),"",IF(O170=Constants!$B$2, TRUE(), IF(O170=Constants!$B$3, FALSE(), FALSE())))</f>
        <v/>
      </c>
      <c r="Z170" s="66" t="str">
        <f aca="false">IF(ISBLANK($C170),"",AND(S170&lt;&gt;"",Q170))</f>
        <v/>
      </c>
      <c r="AA170" s="66" t="str">
        <f aca="false">IF(ISBLANK($C170),"",AND(V170&lt;&gt;"",Q170))</f>
        <v/>
      </c>
      <c r="AB170" s="66" t="str">
        <f aca="false">IF(ISBLANK($C170),"",IF(Y170,Constants!$B$4,IF(COUNTA(E170:N170)=0,Constants!$B$5,IF(NOT(Q170),Constants!$B$6,IF(AND(NOT(Z170),NOT(AA170)),Constants!$B$6,Constants!$B$7)))))</f>
        <v/>
      </c>
      <c r="AC170" s="66" t="str">
        <f aca="false">IF(ISBLANK($C170),"",IF($AB170&lt;&gt;Constants!$B$7,$AB170,Constants!$B$20))</f>
        <v/>
      </c>
      <c r="AD170" s="66" t="str">
        <f aca="false">IF($AB170=Constants!$B$7,IF(Z170,S170,Constants!$B$13),"")</f>
        <v/>
      </c>
      <c r="AE170" s="66" t="str">
        <f aca="false">IF($AB170=Constants!$B$7,IF(Z170,R170*IF(T170, 1, Constants!$B$11)*IF(U170, 1, Constants!$B$12),Constants!$B$13),"")</f>
        <v/>
      </c>
      <c r="AF170" s="66" t="str">
        <f aca="false">IF($AB170=Constants!$B$7,AD170*AE170,"")</f>
        <v/>
      </c>
      <c r="AG170" s="66" t="str">
        <f aca="false">IF($AB170=Constants!$B$7,IF(AA170,V170,Constants!$B$13),"")</f>
        <v/>
      </c>
      <c r="AH170" s="66" t="str">
        <f aca="false">IF($AB170=Constants!$B$7,IF(AA170,R170*IF(W170, 1, Constants!$B$11)*IF(X170, 1, Constants!$B$12),Constants!$B$13),"")</f>
        <v/>
      </c>
      <c r="AI170" s="66" t="str">
        <f aca="false">IF($AB170=Constants!$B$7,AG170*AH170,"")</f>
        <v/>
      </c>
      <c r="AJ170" s="66" t="str">
        <f aca="false">IF($AB170=Constants!$B$7,IF(AI170&gt;AF170,2,1),"")</f>
        <v/>
      </c>
      <c r="AK170" s="66" t="str">
        <f aca="false">IF($AB170=Constants!$B$7,IF(AJ170=1,2,1),"")</f>
        <v/>
      </c>
      <c r="AL170" s="66" t="str">
        <f aca="false">IF(ISBLANK($C170),"",IF($AB170&lt;&gt;Constants!$B$7,$AB170,IF(AJ170=1,AF170,AI170)))</f>
        <v/>
      </c>
      <c r="AM170" s="66" t="str">
        <f aca="false">IF(ISBLANK($C170),"",IF($AB170=Constants!$B$7,IF(ISNUMBER(AL170),RANK(AL170,$AL$8:$AL$507),Constants!$B$14),$AB170))</f>
        <v/>
      </c>
      <c r="AN170" s="66" t="str">
        <f aca="false">IF(ISBLANK($C170),"",IF($AB170=Constants!$B$7,IF(AK170=1,AF170,AI170),""))</f>
        <v/>
      </c>
      <c r="AO170" s="66" t="str">
        <f aca="false">IF(ISBLANK($C170),"",IF($AB170=Constants!$B$7,RANK(AN170,$AN$8:$AN$507),$AB170))</f>
        <v/>
      </c>
      <c r="AP170" s="66" t="str">
        <f aca="false">IF(ISBLANK($C170),"",IF($AB170=Constants!$B$7,IF(ISNUMBER(AM170),COUNTIFS($AM$8:$AM$507,"&lt;"&amp;$AM170)+COUNTIFS($AM$8:$AM$507,$AM170,$AO$8:$AO$507,"&lt;"&amp;$AO170)+1,Constants!$B$14),$AB170))</f>
        <v/>
      </c>
      <c r="AQ170" s="66" t="str">
        <f aca="false">IF(ISBLANK($C170),"",IF($AB170=Constants!$B$7,IF(ISNUMBER(AM170),AM170-AP170,Constants!$B$14),$AB170))</f>
        <v/>
      </c>
      <c r="AR170" s="68"/>
      <c r="AS170" s="69" t="str">
        <f aca="false">IF(ISBLANK($C170),"",IF($AB170&lt;&gt;Constants!$B$7,"",AJ170))</f>
        <v/>
      </c>
      <c r="AT170" s="84" t="str">
        <f aca="false">IF(ISBLANK($C170),"",IF($AB170&lt;&gt;Constants!$B$7,"",IF(AJ170=1,AD170,AG170)))</f>
        <v/>
      </c>
      <c r="AU170" s="71" t="str">
        <f aca="false">IF(ISBLANK($C170),"",IF($AB170&lt;&gt;Constants!$B$7,"",IF(AJ170=1,AE170,AH170)))</f>
        <v/>
      </c>
      <c r="AV170" s="72" t="str">
        <f aca="false">IF(ISBLANK($C170),"",IF($AB170&lt;&gt;Constants!$B$7,$AB170,AL170))</f>
        <v/>
      </c>
      <c r="AW170" s="73" t="str">
        <f aca="false">IF(ISBLANK($C170),"",IF($AB170&lt;&gt;Constants!$B$7,$AB170,AC170))</f>
        <v/>
      </c>
      <c r="AX170" s="74" t="str">
        <f aca="false">IF(ISBLANK($C170),"",AQ170)</f>
        <v/>
      </c>
      <c r="AY170" s="74" t="str">
        <f aca="false">IF(ISBLANK($C170),"",AP170)</f>
        <v/>
      </c>
      <c r="AZ170" s="75" t="str">
        <f aca="false">IF(ISBLANK($C170),"",IF(AY170=Constants!$B$4,COUNTA($C$8:$C$507)+2,IF(AY170=Constants!$B$5,COUNTA($C$8:$C$507)+1,IF(AY170=Constants!$B$6,COUNTA($C$8:$C$507),AY170))))</f>
        <v/>
      </c>
      <c r="BA170" s="5"/>
      <c r="BB170" s="76" t="n">
        <f aca="false">IF(OR(ISNUMBER(AY170),AY170=Constants!$B$4,AY170=Constants!$B$6,AY170=Constants!$B$5),1,0)</f>
        <v>0</v>
      </c>
      <c r="BC170" s="76" t="n">
        <v>163</v>
      </c>
      <c r="BD170" s="76" t="str">
        <f aca="false">IF(ISBLANK($C170),"",IF(ISNUMBER(AZ170),AZ170+ROW($B170)/1000,""))</f>
        <v/>
      </c>
      <c r="BE170" s="76" t="str">
        <f aca="false">IF(ISNUMBER(BD170),RANK(BD170,$BD$8:$BD$507,1),"")</f>
        <v/>
      </c>
      <c r="BF170" s="76" t="str">
        <f aca="false">IF(ISBLANK($C170),"",$B170)</f>
        <v/>
      </c>
      <c r="BG170" s="76" t="str">
        <f aca="false">IF(ISBLANK($C170),"",$C170)</f>
        <v/>
      </c>
      <c r="BH170" s="76" t="str">
        <f aca="false">IF(ISBLANK($C170),"",$D170)</f>
        <v/>
      </c>
      <c r="BI170" s="77" t="str">
        <f aca="false">AW170</f>
        <v/>
      </c>
      <c r="BJ170" s="78" t="str">
        <f aca="false">AV170</f>
        <v/>
      </c>
      <c r="BK170" s="76" t="str">
        <f aca="false">IF(ISBLANK($C170),"",AY170)</f>
        <v/>
      </c>
      <c r="BL170" s="79" t="str">
        <f aca="false">IF($BC170&gt;$BB$7,"",VLOOKUP($BC170,$BE$8:$BK$507,7,FALSE()))</f>
        <v/>
      </c>
      <c r="BM170" s="80" t="str">
        <f aca="false">IF($BC170&gt;$BB$7,"",VLOOKUP($BC170,$BE$8:$BK$507,2,FALSE()))</f>
        <v/>
      </c>
      <c r="BN170" s="80" t="str">
        <f aca="false">IF($BC170&gt;$BB$7,"",VLOOKUP($BC170,$BE$8:$BK$507,3,FALSE()))</f>
        <v/>
      </c>
      <c r="BO170" s="80" t="str">
        <f aca="false">IF($BC170&gt;$BB$7,"",VLOOKUP($BC170,$BE$8:$BK$507,4,FALSE()))</f>
        <v/>
      </c>
      <c r="BP170" s="80" t="str">
        <f aca="false">IF($BC170&gt;$BB$7,"",VLOOKUP($BC170,$BE$8:$BK$507,5,FALSE()))</f>
        <v/>
      </c>
      <c r="BQ170" s="81" t="str">
        <f aca="false">IF($BC170&gt;$BB$7,"",VLOOKUP($BC170,$BE$8:$BK$507,6,FALSE()))</f>
        <v/>
      </c>
      <c r="BR170" s="54"/>
    </row>
    <row r="171" customFormat="false" ht="13.8" hidden="false" customHeight="false" outlineLevel="0" collapsed="false">
      <c r="A171" s="5"/>
      <c r="B171" s="124"/>
      <c r="C171" s="56"/>
      <c r="D171" s="57"/>
      <c r="E171" s="83"/>
      <c r="F171" s="59"/>
      <c r="G171" s="60"/>
      <c r="H171" s="61"/>
      <c r="I171" s="62"/>
      <c r="J171" s="59"/>
      <c r="K171" s="60"/>
      <c r="L171" s="61"/>
      <c r="M171" s="62"/>
      <c r="N171" s="59"/>
      <c r="O171" s="83"/>
      <c r="P171" s="64"/>
      <c r="Q171" s="66" t="str">
        <f aca="false">IF(ISBLANK($C171),"",IF(E171=Constants!$B$2, TRUE(), IF(E171=Constants!$B$3, FALSE(), TRUE())))</f>
        <v/>
      </c>
      <c r="R171" s="66" t="str">
        <f aca="false">IF(ISBLANK($C171),"",IF(F171=Constants!$B$16,Constants!$B$9,IF(F171=Constants!$B$17,Constants!$B$10,Constants!$B$8)))</f>
        <v/>
      </c>
      <c r="S171" s="66" t="str">
        <f aca="false">IF(ISBLANK($C171),"",IF(COUNTA(G171:H171)=0,"",IF(AND(OR(ISBLANK(G171),AND(ISNUMBER(G171),G171&gt;=0)),OR(ISBLANK(H171),AND(ISNUMBER(H171),H171&gt;=0))),60*IF(ISBLANK(G171),0,G171)+IF(ISBLANK(H171),0,H171),"")))</f>
        <v/>
      </c>
      <c r="T171" s="66" t="str">
        <f aca="false">IF(ISBLANK($C171),"",IF(I171=Constants!$B$2, TRUE(), IF(I171=Constants!$B$3, FALSE(), TRUE())))</f>
        <v/>
      </c>
      <c r="U171" s="66" t="str">
        <f aca="false">IF(ISBLANK($C171),"",IF(J171=Constants!$B$2, TRUE(), IF(J171=Constants!$B$3, FALSE(), TRUE())))</f>
        <v/>
      </c>
      <c r="V171" s="66" t="str">
        <f aca="false">IF(ISBLANK($C171),"",IF(COUNTA(K171:L171)=0,"",IF(AND(OR(ISBLANK(K171),AND(ISNUMBER(K171),K171&gt;=0)),OR(ISBLANK(L171),AND(ISNUMBER(L171),L171&gt;=0))),60*IF(ISBLANK(K171),0,K171)+IF(ISBLANK(L171),0,L171),"")))</f>
        <v/>
      </c>
      <c r="W171" s="66" t="str">
        <f aca="false">IF(ISBLANK($C171),"",IF(M171=Constants!$B$2, TRUE(), IF(M171=Constants!$B$3, FALSE(), TRUE())))</f>
        <v/>
      </c>
      <c r="X171" s="66" t="str">
        <f aca="false">IF(ISBLANK($C171),"",IF(N171=Constants!$B$2, TRUE(), IF(N171=Constants!$B$3, FALSE(), TRUE())))</f>
        <v/>
      </c>
      <c r="Y171" s="66" t="str">
        <f aca="false">IF(ISBLANK($C171),"",IF(O171=Constants!$B$2, TRUE(), IF(O171=Constants!$B$3, FALSE(), FALSE())))</f>
        <v/>
      </c>
      <c r="Z171" s="66" t="str">
        <f aca="false">IF(ISBLANK($C171),"",AND(S171&lt;&gt;"",Q171))</f>
        <v/>
      </c>
      <c r="AA171" s="66" t="str">
        <f aca="false">IF(ISBLANK($C171),"",AND(V171&lt;&gt;"",Q171))</f>
        <v/>
      </c>
      <c r="AB171" s="66" t="str">
        <f aca="false">IF(ISBLANK($C171),"",IF(Y171,Constants!$B$4,IF(COUNTA(E171:N171)=0,Constants!$B$5,IF(NOT(Q171),Constants!$B$6,IF(AND(NOT(Z171),NOT(AA171)),Constants!$B$6,Constants!$B$7)))))</f>
        <v/>
      </c>
      <c r="AC171" s="66" t="str">
        <f aca="false">IF(ISBLANK($C171),"",IF($AB171&lt;&gt;Constants!$B$7,$AB171,Constants!$B$20))</f>
        <v/>
      </c>
      <c r="AD171" s="66" t="str">
        <f aca="false">IF($AB171=Constants!$B$7,IF(Z171,S171,Constants!$B$13),"")</f>
        <v/>
      </c>
      <c r="AE171" s="66" t="str">
        <f aca="false">IF($AB171=Constants!$B$7,IF(Z171,R171*IF(T171, 1, Constants!$B$11)*IF(U171, 1, Constants!$B$12),Constants!$B$13),"")</f>
        <v/>
      </c>
      <c r="AF171" s="66" t="str">
        <f aca="false">IF($AB171=Constants!$B$7,AD171*AE171,"")</f>
        <v/>
      </c>
      <c r="AG171" s="66" t="str">
        <f aca="false">IF($AB171=Constants!$B$7,IF(AA171,V171,Constants!$B$13),"")</f>
        <v/>
      </c>
      <c r="AH171" s="66" t="str">
        <f aca="false">IF($AB171=Constants!$B$7,IF(AA171,R171*IF(W171, 1, Constants!$B$11)*IF(X171, 1, Constants!$B$12),Constants!$B$13),"")</f>
        <v/>
      </c>
      <c r="AI171" s="66" t="str">
        <f aca="false">IF($AB171=Constants!$B$7,AG171*AH171,"")</f>
        <v/>
      </c>
      <c r="AJ171" s="66" t="str">
        <f aca="false">IF($AB171=Constants!$B$7,IF(AI171&gt;AF171,2,1),"")</f>
        <v/>
      </c>
      <c r="AK171" s="66" t="str">
        <f aca="false">IF($AB171=Constants!$B$7,IF(AJ171=1,2,1),"")</f>
        <v/>
      </c>
      <c r="AL171" s="66" t="str">
        <f aca="false">IF(ISBLANK($C171),"",IF($AB171&lt;&gt;Constants!$B$7,$AB171,IF(AJ171=1,AF171,AI171)))</f>
        <v/>
      </c>
      <c r="AM171" s="66" t="str">
        <f aca="false">IF(ISBLANK($C171),"",IF($AB171=Constants!$B$7,IF(ISNUMBER(AL171),RANK(AL171,$AL$8:$AL$507),Constants!$B$14),$AB171))</f>
        <v/>
      </c>
      <c r="AN171" s="66" t="str">
        <f aca="false">IF(ISBLANK($C171),"",IF($AB171=Constants!$B$7,IF(AK171=1,AF171,AI171),""))</f>
        <v/>
      </c>
      <c r="AO171" s="66" t="str">
        <f aca="false">IF(ISBLANK($C171),"",IF($AB171=Constants!$B$7,RANK(AN171,$AN$8:$AN$507),$AB171))</f>
        <v/>
      </c>
      <c r="AP171" s="66" t="str">
        <f aca="false">IF(ISBLANK($C171),"",IF($AB171=Constants!$B$7,IF(ISNUMBER(AM171),COUNTIFS($AM$8:$AM$507,"&lt;"&amp;$AM171)+COUNTIFS($AM$8:$AM$507,$AM171,$AO$8:$AO$507,"&lt;"&amp;$AO171)+1,Constants!$B$14),$AB171))</f>
        <v/>
      </c>
      <c r="AQ171" s="66" t="str">
        <f aca="false">IF(ISBLANK($C171),"",IF($AB171=Constants!$B$7,IF(ISNUMBER(AM171),AM171-AP171,Constants!$B$14),$AB171))</f>
        <v/>
      </c>
      <c r="AR171" s="68"/>
      <c r="AS171" s="69" t="str">
        <f aca="false">IF(ISBLANK($C171),"",IF($AB171&lt;&gt;Constants!$B$7,"",AJ171))</f>
        <v/>
      </c>
      <c r="AT171" s="84" t="str">
        <f aca="false">IF(ISBLANK($C171),"",IF($AB171&lt;&gt;Constants!$B$7,"",IF(AJ171=1,AD171,AG171)))</f>
        <v/>
      </c>
      <c r="AU171" s="71" t="str">
        <f aca="false">IF(ISBLANK($C171),"",IF($AB171&lt;&gt;Constants!$B$7,"",IF(AJ171=1,AE171,AH171)))</f>
        <v/>
      </c>
      <c r="AV171" s="72" t="str">
        <f aca="false">IF(ISBLANK($C171),"",IF($AB171&lt;&gt;Constants!$B$7,$AB171,AL171))</f>
        <v/>
      </c>
      <c r="AW171" s="73" t="str">
        <f aca="false">IF(ISBLANK($C171),"",IF($AB171&lt;&gt;Constants!$B$7,$AB171,AC171))</f>
        <v/>
      </c>
      <c r="AX171" s="74" t="str">
        <f aca="false">IF(ISBLANK($C171),"",AQ171)</f>
        <v/>
      </c>
      <c r="AY171" s="74" t="str">
        <f aca="false">IF(ISBLANK($C171),"",AP171)</f>
        <v/>
      </c>
      <c r="AZ171" s="75" t="str">
        <f aca="false">IF(ISBLANK($C171),"",IF(AY171=Constants!$B$4,COUNTA($C$8:$C$507)+2,IF(AY171=Constants!$B$5,COUNTA($C$8:$C$507)+1,IF(AY171=Constants!$B$6,COUNTA($C$8:$C$507),AY171))))</f>
        <v/>
      </c>
      <c r="BA171" s="5"/>
      <c r="BB171" s="76" t="n">
        <f aca="false">IF(OR(ISNUMBER(AY171),AY171=Constants!$B$4,AY171=Constants!$B$6,AY171=Constants!$B$5),1,0)</f>
        <v>0</v>
      </c>
      <c r="BC171" s="76" t="n">
        <v>164</v>
      </c>
      <c r="BD171" s="76" t="str">
        <f aca="false">IF(ISBLANK($C171),"",IF(ISNUMBER(AZ171),AZ171+ROW($B171)/1000,""))</f>
        <v/>
      </c>
      <c r="BE171" s="76" t="str">
        <f aca="false">IF(ISNUMBER(BD171),RANK(BD171,$BD$8:$BD$507,1),"")</f>
        <v/>
      </c>
      <c r="BF171" s="76" t="str">
        <f aca="false">IF(ISBLANK($C171),"",$B171)</f>
        <v/>
      </c>
      <c r="BG171" s="76" t="str">
        <f aca="false">IF(ISBLANK($C171),"",$C171)</f>
        <v/>
      </c>
      <c r="BH171" s="76" t="str">
        <f aca="false">IF(ISBLANK($C171),"",$D171)</f>
        <v/>
      </c>
      <c r="BI171" s="77" t="str">
        <f aca="false">AW171</f>
        <v/>
      </c>
      <c r="BJ171" s="78" t="str">
        <f aca="false">AV171</f>
        <v/>
      </c>
      <c r="BK171" s="76" t="str">
        <f aca="false">IF(ISBLANK($C171),"",AY171)</f>
        <v/>
      </c>
      <c r="BL171" s="79" t="str">
        <f aca="false">IF($BC171&gt;$BB$7,"",VLOOKUP($BC171,$BE$8:$BK$507,7,FALSE()))</f>
        <v/>
      </c>
      <c r="BM171" s="80" t="str">
        <f aca="false">IF($BC171&gt;$BB$7,"",VLOOKUP($BC171,$BE$8:$BK$507,2,FALSE()))</f>
        <v/>
      </c>
      <c r="BN171" s="80" t="str">
        <f aca="false">IF($BC171&gt;$BB$7,"",VLOOKUP($BC171,$BE$8:$BK$507,3,FALSE()))</f>
        <v/>
      </c>
      <c r="BO171" s="80" t="str">
        <f aca="false">IF($BC171&gt;$BB$7,"",VLOOKUP($BC171,$BE$8:$BK$507,4,FALSE()))</f>
        <v/>
      </c>
      <c r="BP171" s="80" t="str">
        <f aca="false">IF($BC171&gt;$BB$7,"",VLOOKUP($BC171,$BE$8:$BK$507,5,FALSE()))</f>
        <v/>
      </c>
      <c r="BQ171" s="81" t="str">
        <f aca="false">IF($BC171&gt;$BB$7,"",VLOOKUP($BC171,$BE$8:$BK$507,6,FALSE()))</f>
        <v/>
      </c>
      <c r="BR171" s="54"/>
    </row>
    <row r="172" customFormat="false" ht="13.8" hidden="false" customHeight="false" outlineLevel="0" collapsed="false">
      <c r="A172" s="5"/>
      <c r="B172" s="124"/>
      <c r="C172" s="56"/>
      <c r="D172" s="57"/>
      <c r="E172" s="83"/>
      <c r="F172" s="59"/>
      <c r="G172" s="60"/>
      <c r="H172" s="61"/>
      <c r="I172" s="62"/>
      <c r="J172" s="59"/>
      <c r="K172" s="60"/>
      <c r="L172" s="61"/>
      <c r="M172" s="62"/>
      <c r="N172" s="59"/>
      <c r="O172" s="83"/>
      <c r="P172" s="64"/>
      <c r="Q172" s="66" t="str">
        <f aca="false">IF(ISBLANK($C172),"",IF(E172=Constants!$B$2, TRUE(), IF(E172=Constants!$B$3, FALSE(), TRUE())))</f>
        <v/>
      </c>
      <c r="R172" s="66" t="str">
        <f aca="false">IF(ISBLANK($C172),"",IF(F172=Constants!$B$16,Constants!$B$9,IF(F172=Constants!$B$17,Constants!$B$10,Constants!$B$8)))</f>
        <v/>
      </c>
      <c r="S172" s="66" t="str">
        <f aca="false">IF(ISBLANK($C172),"",IF(COUNTA(G172:H172)=0,"",IF(AND(OR(ISBLANK(G172),AND(ISNUMBER(G172),G172&gt;=0)),OR(ISBLANK(H172),AND(ISNUMBER(H172),H172&gt;=0))),60*IF(ISBLANK(G172),0,G172)+IF(ISBLANK(H172),0,H172),"")))</f>
        <v/>
      </c>
      <c r="T172" s="66" t="str">
        <f aca="false">IF(ISBLANK($C172),"",IF(I172=Constants!$B$2, TRUE(), IF(I172=Constants!$B$3, FALSE(), TRUE())))</f>
        <v/>
      </c>
      <c r="U172" s="66" t="str">
        <f aca="false">IF(ISBLANK($C172),"",IF(J172=Constants!$B$2, TRUE(), IF(J172=Constants!$B$3, FALSE(), TRUE())))</f>
        <v/>
      </c>
      <c r="V172" s="66" t="str">
        <f aca="false">IF(ISBLANK($C172),"",IF(COUNTA(K172:L172)=0,"",IF(AND(OR(ISBLANK(K172),AND(ISNUMBER(K172),K172&gt;=0)),OR(ISBLANK(L172),AND(ISNUMBER(L172),L172&gt;=0))),60*IF(ISBLANK(K172),0,K172)+IF(ISBLANK(L172),0,L172),"")))</f>
        <v/>
      </c>
      <c r="W172" s="66" t="str">
        <f aca="false">IF(ISBLANK($C172),"",IF(M172=Constants!$B$2, TRUE(), IF(M172=Constants!$B$3, FALSE(), TRUE())))</f>
        <v/>
      </c>
      <c r="X172" s="66" t="str">
        <f aca="false">IF(ISBLANK($C172),"",IF(N172=Constants!$B$2, TRUE(), IF(N172=Constants!$B$3, FALSE(), TRUE())))</f>
        <v/>
      </c>
      <c r="Y172" s="66" t="str">
        <f aca="false">IF(ISBLANK($C172),"",IF(O172=Constants!$B$2, TRUE(), IF(O172=Constants!$B$3, FALSE(), FALSE())))</f>
        <v/>
      </c>
      <c r="Z172" s="66" t="str">
        <f aca="false">IF(ISBLANK($C172),"",AND(S172&lt;&gt;"",Q172))</f>
        <v/>
      </c>
      <c r="AA172" s="66" t="str">
        <f aca="false">IF(ISBLANK($C172),"",AND(V172&lt;&gt;"",Q172))</f>
        <v/>
      </c>
      <c r="AB172" s="66" t="str">
        <f aca="false">IF(ISBLANK($C172),"",IF(Y172,Constants!$B$4,IF(COUNTA(E172:N172)=0,Constants!$B$5,IF(NOT(Q172),Constants!$B$6,IF(AND(NOT(Z172),NOT(AA172)),Constants!$B$6,Constants!$B$7)))))</f>
        <v/>
      </c>
      <c r="AC172" s="66" t="str">
        <f aca="false">IF(ISBLANK($C172),"",IF($AB172&lt;&gt;Constants!$B$7,$AB172,Constants!$B$20))</f>
        <v/>
      </c>
      <c r="AD172" s="66" t="str">
        <f aca="false">IF($AB172=Constants!$B$7,IF(Z172,S172,Constants!$B$13),"")</f>
        <v/>
      </c>
      <c r="AE172" s="66" t="str">
        <f aca="false">IF($AB172=Constants!$B$7,IF(Z172,R172*IF(T172, 1, Constants!$B$11)*IF(U172, 1, Constants!$B$12),Constants!$B$13),"")</f>
        <v/>
      </c>
      <c r="AF172" s="66" t="str">
        <f aca="false">IF($AB172=Constants!$B$7,AD172*AE172,"")</f>
        <v/>
      </c>
      <c r="AG172" s="66" t="str">
        <f aca="false">IF($AB172=Constants!$B$7,IF(AA172,V172,Constants!$B$13),"")</f>
        <v/>
      </c>
      <c r="AH172" s="66" t="str">
        <f aca="false">IF($AB172=Constants!$B$7,IF(AA172,R172*IF(W172, 1, Constants!$B$11)*IF(X172, 1, Constants!$B$12),Constants!$B$13),"")</f>
        <v/>
      </c>
      <c r="AI172" s="66" t="str">
        <f aca="false">IF($AB172=Constants!$B$7,AG172*AH172,"")</f>
        <v/>
      </c>
      <c r="AJ172" s="66" t="str">
        <f aca="false">IF($AB172=Constants!$B$7,IF(AI172&gt;AF172,2,1),"")</f>
        <v/>
      </c>
      <c r="AK172" s="66" t="str">
        <f aca="false">IF($AB172=Constants!$B$7,IF(AJ172=1,2,1),"")</f>
        <v/>
      </c>
      <c r="AL172" s="66" t="str">
        <f aca="false">IF(ISBLANK($C172),"",IF($AB172&lt;&gt;Constants!$B$7,$AB172,IF(AJ172=1,AF172,AI172)))</f>
        <v/>
      </c>
      <c r="AM172" s="66" t="str">
        <f aca="false">IF(ISBLANK($C172),"",IF($AB172=Constants!$B$7,IF(ISNUMBER(AL172),RANK(AL172,$AL$8:$AL$507),Constants!$B$14),$AB172))</f>
        <v/>
      </c>
      <c r="AN172" s="66" t="str">
        <f aca="false">IF(ISBLANK($C172),"",IF($AB172=Constants!$B$7,IF(AK172=1,AF172,AI172),""))</f>
        <v/>
      </c>
      <c r="AO172" s="66" t="str">
        <f aca="false">IF(ISBLANK($C172),"",IF($AB172=Constants!$B$7,RANK(AN172,$AN$8:$AN$507),$AB172))</f>
        <v/>
      </c>
      <c r="AP172" s="66" t="str">
        <f aca="false">IF(ISBLANK($C172),"",IF($AB172=Constants!$B$7,IF(ISNUMBER(AM172),COUNTIFS($AM$8:$AM$507,"&lt;"&amp;$AM172)+COUNTIFS($AM$8:$AM$507,$AM172,$AO$8:$AO$507,"&lt;"&amp;$AO172)+1,Constants!$B$14),$AB172))</f>
        <v/>
      </c>
      <c r="AQ172" s="66" t="str">
        <f aca="false">IF(ISBLANK($C172),"",IF($AB172=Constants!$B$7,IF(ISNUMBER(AM172),AM172-AP172,Constants!$B$14),$AB172))</f>
        <v/>
      </c>
      <c r="AR172" s="68"/>
      <c r="AS172" s="69" t="str">
        <f aca="false">IF(ISBLANK($C172),"",IF($AB172&lt;&gt;Constants!$B$7,"",AJ172))</f>
        <v/>
      </c>
      <c r="AT172" s="84" t="str">
        <f aca="false">IF(ISBLANK($C172),"",IF($AB172&lt;&gt;Constants!$B$7,"",IF(AJ172=1,AD172,AG172)))</f>
        <v/>
      </c>
      <c r="AU172" s="71" t="str">
        <f aca="false">IF(ISBLANK($C172),"",IF($AB172&lt;&gt;Constants!$B$7,"",IF(AJ172=1,AE172,AH172)))</f>
        <v/>
      </c>
      <c r="AV172" s="72" t="str">
        <f aca="false">IF(ISBLANK($C172),"",IF($AB172&lt;&gt;Constants!$B$7,$AB172,AL172))</f>
        <v/>
      </c>
      <c r="AW172" s="73" t="str">
        <f aca="false">IF(ISBLANK($C172),"",IF($AB172&lt;&gt;Constants!$B$7,$AB172,AC172))</f>
        <v/>
      </c>
      <c r="AX172" s="74" t="str">
        <f aca="false">IF(ISBLANK($C172),"",AQ172)</f>
        <v/>
      </c>
      <c r="AY172" s="74" t="str">
        <f aca="false">IF(ISBLANK($C172),"",AP172)</f>
        <v/>
      </c>
      <c r="AZ172" s="75" t="str">
        <f aca="false">IF(ISBLANK($C172),"",IF(AY172=Constants!$B$4,COUNTA($C$8:$C$507)+2,IF(AY172=Constants!$B$5,COUNTA($C$8:$C$507)+1,IF(AY172=Constants!$B$6,COUNTA($C$8:$C$507),AY172))))</f>
        <v/>
      </c>
      <c r="BA172" s="5"/>
      <c r="BB172" s="76" t="n">
        <f aca="false">IF(OR(ISNUMBER(AY172),AY172=Constants!$B$4,AY172=Constants!$B$6,AY172=Constants!$B$5),1,0)</f>
        <v>0</v>
      </c>
      <c r="BC172" s="76" t="n">
        <v>165</v>
      </c>
      <c r="BD172" s="76" t="str">
        <f aca="false">IF(ISBLANK($C172),"",IF(ISNUMBER(AZ172),AZ172+ROW($B172)/1000,""))</f>
        <v/>
      </c>
      <c r="BE172" s="76" t="str">
        <f aca="false">IF(ISNUMBER(BD172),RANK(BD172,$BD$8:$BD$507,1),"")</f>
        <v/>
      </c>
      <c r="BF172" s="76" t="str">
        <f aca="false">IF(ISBLANK($C172),"",$B172)</f>
        <v/>
      </c>
      <c r="BG172" s="76" t="str">
        <f aca="false">IF(ISBLANK($C172),"",$C172)</f>
        <v/>
      </c>
      <c r="BH172" s="76" t="str">
        <f aca="false">IF(ISBLANK($C172),"",$D172)</f>
        <v/>
      </c>
      <c r="BI172" s="77" t="str">
        <f aca="false">AW172</f>
        <v/>
      </c>
      <c r="BJ172" s="78" t="str">
        <f aca="false">AV172</f>
        <v/>
      </c>
      <c r="BK172" s="76" t="str">
        <f aca="false">IF(ISBLANK($C172),"",AY172)</f>
        <v/>
      </c>
      <c r="BL172" s="79" t="str">
        <f aca="false">IF($BC172&gt;$BB$7,"",VLOOKUP($BC172,$BE$8:$BK$507,7,FALSE()))</f>
        <v/>
      </c>
      <c r="BM172" s="80" t="str">
        <f aca="false">IF($BC172&gt;$BB$7,"",VLOOKUP($BC172,$BE$8:$BK$507,2,FALSE()))</f>
        <v/>
      </c>
      <c r="BN172" s="80" t="str">
        <f aca="false">IF($BC172&gt;$BB$7,"",VLOOKUP($BC172,$BE$8:$BK$507,3,FALSE()))</f>
        <v/>
      </c>
      <c r="BO172" s="80" t="str">
        <f aca="false">IF($BC172&gt;$BB$7,"",VLOOKUP($BC172,$BE$8:$BK$507,4,FALSE()))</f>
        <v/>
      </c>
      <c r="BP172" s="80" t="str">
        <f aca="false">IF($BC172&gt;$BB$7,"",VLOOKUP($BC172,$BE$8:$BK$507,5,FALSE()))</f>
        <v/>
      </c>
      <c r="BQ172" s="81" t="str">
        <f aca="false">IF($BC172&gt;$BB$7,"",VLOOKUP($BC172,$BE$8:$BK$507,6,FALSE()))</f>
        <v/>
      </c>
      <c r="BR172" s="54"/>
    </row>
    <row r="173" customFormat="false" ht="13.8" hidden="false" customHeight="false" outlineLevel="0" collapsed="false">
      <c r="A173" s="5"/>
      <c r="B173" s="120"/>
      <c r="C173" s="121"/>
      <c r="D173" s="112"/>
      <c r="E173" s="123"/>
      <c r="F173" s="91"/>
      <c r="G173" s="92"/>
      <c r="H173" s="93"/>
      <c r="I173" s="94"/>
      <c r="J173" s="91"/>
      <c r="K173" s="92"/>
      <c r="L173" s="93"/>
      <c r="M173" s="94"/>
      <c r="N173" s="91"/>
      <c r="O173" s="123"/>
      <c r="P173" s="96"/>
      <c r="Q173" s="97" t="str">
        <f aca="false">IF(ISBLANK($C173),"",IF(E173=Constants!$B$2, TRUE(), IF(E173=Constants!$B$3, FALSE(), TRUE())))</f>
        <v/>
      </c>
      <c r="R173" s="97" t="str">
        <f aca="false">IF(ISBLANK($C173),"",IF(F173=Constants!$B$16,Constants!$B$9,IF(F173=Constants!$B$17,Constants!$B$10,Constants!$B$8)))</f>
        <v/>
      </c>
      <c r="S173" s="97" t="str">
        <f aca="false">IF(ISBLANK($C173),"",IF(COUNTA(G173:H173)=0,"",IF(AND(OR(ISBLANK(G173),AND(ISNUMBER(G173),G173&gt;=0)),OR(ISBLANK(H173),AND(ISNUMBER(H173),H173&gt;=0))),60*IF(ISBLANK(G173),0,G173)+IF(ISBLANK(H173),0,H173),"")))</f>
        <v/>
      </c>
      <c r="T173" s="97" t="str">
        <f aca="false">IF(ISBLANK($C173),"",IF(I173=Constants!$B$2, TRUE(), IF(I173=Constants!$B$3, FALSE(), TRUE())))</f>
        <v/>
      </c>
      <c r="U173" s="97" t="str">
        <f aca="false">IF(ISBLANK($C173),"",IF(J173=Constants!$B$2, TRUE(), IF(J173=Constants!$B$3, FALSE(), TRUE())))</f>
        <v/>
      </c>
      <c r="V173" s="97" t="str">
        <f aca="false">IF(ISBLANK($C173),"",IF(COUNTA(K173:L173)=0,"",IF(AND(OR(ISBLANK(K173),AND(ISNUMBER(K173),K173&gt;=0)),OR(ISBLANK(L173),AND(ISNUMBER(L173),L173&gt;=0))),60*IF(ISBLANK(K173),0,K173)+IF(ISBLANK(L173),0,L173),"")))</f>
        <v/>
      </c>
      <c r="W173" s="97" t="str">
        <f aca="false">IF(ISBLANK($C173),"",IF(M173=Constants!$B$2, TRUE(), IF(M173=Constants!$B$3, FALSE(), TRUE())))</f>
        <v/>
      </c>
      <c r="X173" s="97" t="str">
        <f aca="false">IF(ISBLANK($C173),"",IF(N173=Constants!$B$2, TRUE(), IF(N173=Constants!$B$3, FALSE(), TRUE())))</f>
        <v/>
      </c>
      <c r="Y173" s="97" t="str">
        <f aca="false">IF(ISBLANK($C173),"",IF(O173=Constants!$B$2, TRUE(), IF(O173=Constants!$B$3, FALSE(), FALSE())))</f>
        <v/>
      </c>
      <c r="Z173" s="97" t="str">
        <f aca="false">IF(ISBLANK($C173),"",AND(S173&lt;&gt;"",Q173))</f>
        <v/>
      </c>
      <c r="AA173" s="97" t="str">
        <f aca="false">IF(ISBLANK($C173),"",AND(V173&lt;&gt;"",Q173))</f>
        <v/>
      </c>
      <c r="AB173" s="97" t="str">
        <f aca="false">IF(ISBLANK($C173),"",IF(Y173,Constants!$B$4,IF(COUNTA(E173:N173)=0,Constants!$B$5,IF(NOT(Q173),Constants!$B$6,IF(AND(NOT(Z173),NOT(AA173)),Constants!$B$6,Constants!$B$7)))))</f>
        <v/>
      </c>
      <c r="AC173" s="97" t="str">
        <f aca="false">IF(ISBLANK($C173),"",IF($AB173&lt;&gt;Constants!$B$7,$AB173,Constants!$B$20))</f>
        <v/>
      </c>
      <c r="AD173" s="97" t="str">
        <f aca="false">IF($AB173=Constants!$B$7,IF(Z173,S173,Constants!$B$13),"")</f>
        <v/>
      </c>
      <c r="AE173" s="97" t="str">
        <f aca="false">IF($AB173=Constants!$B$7,IF(Z173,R173*IF(T173, 1, Constants!$B$11)*IF(U173, 1, Constants!$B$12),Constants!$B$13),"")</f>
        <v/>
      </c>
      <c r="AF173" s="97" t="str">
        <f aca="false">IF($AB173=Constants!$B$7,AD173*AE173,"")</f>
        <v/>
      </c>
      <c r="AG173" s="97" t="str">
        <f aca="false">IF($AB173=Constants!$B$7,IF(AA173,V173,Constants!$B$13),"")</f>
        <v/>
      </c>
      <c r="AH173" s="97" t="str">
        <f aca="false">IF($AB173=Constants!$B$7,IF(AA173,R173*IF(W173, 1, Constants!$B$11)*IF(X173, 1, Constants!$B$12),Constants!$B$13),"")</f>
        <v/>
      </c>
      <c r="AI173" s="97" t="str">
        <f aca="false">IF($AB173=Constants!$B$7,AG173*AH173,"")</f>
        <v/>
      </c>
      <c r="AJ173" s="97" t="str">
        <f aca="false">IF($AB173=Constants!$B$7,IF(AI173&gt;AF173,2,1),"")</f>
        <v/>
      </c>
      <c r="AK173" s="97" t="str">
        <f aca="false">IF($AB173=Constants!$B$7,IF(AJ173=1,2,1),"")</f>
        <v/>
      </c>
      <c r="AL173" s="97" t="str">
        <f aca="false">IF(ISBLANK($C173),"",IF($AB173&lt;&gt;Constants!$B$7,$AB173,IF(AJ173=1,AF173,AI173)))</f>
        <v/>
      </c>
      <c r="AM173" s="97" t="str">
        <f aca="false">IF(ISBLANK($C173),"",IF($AB173=Constants!$B$7,IF(ISNUMBER(AL173),RANK(AL173,$AL$8:$AL$507),Constants!$B$14),$AB173))</f>
        <v/>
      </c>
      <c r="AN173" s="97" t="str">
        <f aca="false">IF(ISBLANK($C173),"",IF($AB173=Constants!$B$7,IF(AK173=1,AF173,AI173),""))</f>
        <v/>
      </c>
      <c r="AO173" s="97" t="str">
        <f aca="false">IF(ISBLANK($C173),"",IF($AB173=Constants!$B$7,RANK(AN173,$AN$8:$AN$507),$AB173))</f>
        <v/>
      </c>
      <c r="AP173" s="97" t="str">
        <f aca="false">IF(ISBLANK($C173),"",IF($AB173=Constants!$B$7,IF(ISNUMBER(AM173),COUNTIFS($AM$8:$AM$507,"&lt;"&amp;$AM173)+COUNTIFS($AM$8:$AM$507,$AM173,$AO$8:$AO$507,"&lt;"&amp;$AO173)+1,Constants!$B$14),$AB173))</f>
        <v/>
      </c>
      <c r="AQ173" s="97" t="str">
        <f aca="false">IF(ISBLANK($C173),"",IF($AB173=Constants!$B$7,IF(ISNUMBER(AM173),AM173-AP173,Constants!$B$14),$AB173))</f>
        <v/>
      </c>
      <c r="AR173" s="98"/>
      <c r="AS173" s="99" t="str">
        <f aca="false">IF(ISBLANK($C173),"",IF($AB173&lt;&gt;Constants!$B$7,"",AJ173))</f>
        <v/>
      </c>
      <c r="AT173" s="100" t="str">
        <f aca="false">IF(ISBLANK($C173),"",IF($AB173&lt;&gt;Constants!$B$7,"",IF(AJ173=1,AD173,AG173)))</f>
        <v/>
      </c>
      <c r="AU173" s="101" t="str">
        <f aca="false">IF(ISBLANK($C173),"",IF($AB173&lt;&gt;Constants!$B$7,"",IF(AJ173=1,AE173,AH173)))</f>
        <v/>
      </c>
      <c r="AV173" s="102" t="str">
        <f aca="false">IF(ISBLANK($C173),"",IF($AB173&lt;&gt;Constants!$B$7,$AB173,AL173))</f>
        <v/>
      </c>
      <c r="AW173" s="103" t="str">
        <f aca="false">IF(ISBLANK($C173),"",IF($AB173&lt;&gt;Constants!$B$7,$AB173,AC173))</f>
        <v/>
      </c>
      <c r="AX173" s="104" t="str">
        <f aca="false">IF(ISBLANK($C173),"",AQ173)</f>
        <v/>
      </c>
      <c r="AY173" s="104" t="str">
        <f aca="false">IF(ISBLANK($C173),"",AP173)</f>
        <v/>
      </c>
      <c r="AZ173" s="105" t="str">
        <f aca="false">IF(ISBLANK($C173),"",IF(AY173=Constants!$B$4,COUNTA($C$8:$C$507)+2,IF(AY173=Constants!$B$5,COUNTA($C$8:$C$507)+1,IF(AY173=Constants!$B$6,COUNTA($C$8:$C$507),AY173))))</f>
        <v/>
      </c>
      <c r="BA173" s="5"/>
      <c r="BB173" s="106" t="n">
        <f aca="false">IF(OR(ISNUMBER(AY173),AY173=Constants!$B$4,AY173=Constants!$B$6,AY173=Constants!$B$5),1,0)</f>
        <v>0</v>
      </c>
      <c r="BC173" s="106" t="n">
        <v>166</v>
      </c>
      <c r="BD173" s="106" t="str">
        <f aca="false">IF(ISBLANK($C173),"",IF(ISNUMBER(AZ173),AZ173+ROW($B173)/1000,""))</f>
        <v/>
      </c>
      <c r="BE173" s="106" t="str">
        <f aca="false">IF(ISNUMBER(BD173),RANK(BD173,$BD$8:$BD$507,1),"")</f>
        <v/>
      </c>
      <c r="BF173" s="106" t="str">
        <f aca="false">IF(ISBLANK($C173),"",$B173)</f>
        <v/>
      </c>
      <c r="BG173" s="106" t="str">
        <f aca="false">IF(ISBLANK($C173),"",$C173)</f>
        <v/>
      </c>
      <c r="BH173" s="106" t="str">
        <f aca="false">IF(ISBLANK($C173),"",$D173)</f>
        <v/>
      </c>
      <c r="BI173" s="107" t="str">
        <f aca="false">AW173</f>
        <v/>
      </c>
      <c r="BJ173" s="108" t="str">
        <f aca="false">AV173</f>
        <v/>
      </c>
      <c r="BK173" s="106" t="str">
        <f aca="false">IF(ISBLANK($C173),"",AY173)</f>
        <v/>
      </c>
      <c r="BL173" s="109" t="str">
        <f aca="false">IF($BC173&gt;$BB$7,"",VLOOKUP($BC173,$BE$8:$BK$507,7,FALSE()))</f>
        <v/>
      </c>
      <c r="BM173" s="110" t="str">
        <f aca="false">IF($BC173&gt;$BB$7,"",VLOOKUP($BC173,$BE$8:$BK$507,2,FALSE()))</f>
        <v/>
      </c>
      <c r="BN173" s="110" t="str">
        <f aca="false">IF($BC173&gt;$BB$7,"",VLOOKUP($BC173,$BE$8:$BK$507,3,FALSE()))</f>
        <v/>
      </c>
      <c r="BO173" s="110" t="str">
        <f aca="false">IF($BC173&gt;$BB$7,"",VLOOKUP($BC173,$BE$8:$BK$507,4,FALSE()))</f>
        <v/>
      </c>
      <c r="BP173" s="110" t="str">
        <f aca="false">IF($BC173&gt;$BB$7,"",VLOOKUP($BC173,$BE$8:$BK$507,5,FALSE()))</f>
        <v/>
      </c>
      <c r="BQ173" s="111" t="str">
        <f aca="false">IF($BC173&gt;$BB$7,"",VLOOKUP($BC173,$BE$8:$BK$507,6,FALSE()))</f>
        <v/>
      </c>
      <c r="BR173" s="54"/>
    </row>
    <row r="174" customFormat="false" ht="13.8" hidden="false" customHeight="false" outlineLevel="0" collapsed="false">
      <c r="A174" s="5"/>
      <c r="B174" s="120"/>
      <c r="C174" s="121"/>
      <c r="D174" s="112"/>
      <c r="E174" s="123"/>
      <c r="F174" s="91"/>
      <c r="G174" s="92"/>
      <c r="H174" s="93"/>
      <c r="I174" s="94"/>
      <c r="J174" s="91"/>
      <c r="K174" s="92"/>
      <c r="L174" s="93"/>
      <c r="M174" s="94"/>
      <c r="N174" s="91"/>
      <c r="O174" s="123"/>
      <c r="P174" s="96"/>
      <c r="Q174" s="97" t="str">
        <f aca="false">IF(ISBLANK($C174),"",IF(E174=Constants!$B$2, TRUE(), IF(E174=Constants!$B$3, FALSE(), TRUE())))</f>
        <v/>
      </c>
      <c r="R174" s="97" t="str">
        <f aca="false">IF(ISBLANK($C174),"",IF(F174=Constants!$B$16,Constants!$B$9,IF(F174=Constants!$B$17,Constants!$B$10,Constants!$B$8)))</f>
        <v/>
      </c>
      <c r="S174" s="97" t="str">
        <f aca="false">IF(ISBLANK($C174),"",IF(COUNTA(G174:H174)=0,"",IF(AND(OR(ISBLANK(G174),AND(ISNUMBER(G174),G174&gt;=0)),OR(ISBLANK(H174),AND(ISNUMBER(H174),H174&gt;=0))),60*IF(ISBLANK(G174),0,G174)+IF(ISBLANK(H174),0,H174),"")))</f>
        <v/>
      </c>
      <c r="T174" s="97" t="str">
        <f aca="false">IF(ISBLANK($C174),"",IF(I174=Constants!$B$2, TRUE(), IF(I174=Constants!$B$3, FALSE(), TRUE())))</f>
        <v/>
      </c>
      <c r="U174" s="97" t="str">
        <f aca="false">IF(ISBLANK($C174),"",IF(J174=Constants!$B$2, TRUE(), IF(J174=Constants!$B$3, FALSE(), TRUE())))</f>
        <v/>
      </c>
      <c r="V174" s="97" t="str">
        <f aca="false">IF(ISBLANK($C174),"",IF(COUNTA(K174:L174)=0,"",IF(AND(OR(ISBLANK(K174),AND(ISNUMBER(K174),K174&gt;=0)),OR(ISBLANK(L174),AND(ISNUMBER(L174),L174&gt;=0))),60*IF(ISBLANK(K174),0,K174)+IF(ISBLANK(L174),0,L174),"")))</f>
        <v/>
      </c>
      <c r="W174" s="97" t="str">
        <f aca="false">IF(ISBLANK($C174),"",IF(M174=Constants!$B$2, TRUE(), IF(M174=Constants!$B$3, FALSE(), TRUE())))</f>
        <v/>
      </c>
      <c r="X174" s="97" t="str">
        <f aca="false">IF(ISBLANK($C174),"",IF(N174=Constants!$B$2, TRUE(), IF(N174=Constants!$B$3, FALSE(), TRUE())))</f>
        <v/>
      </c>
      <c r="Y174" s="97" t="str">
        <f aca="false">IF(ISBLANK($C174),"",IF(O174=Constants!$B$2, TRUE(), IF(O174=Constants!$B$3, FALSE(), FALSE())))</f>
        <v/>
      </c>
      <c r="Z174" s="97" t="str">
        <f aca="false">IF(ISBLANK($C174),"",AND(S174&lt;&gt;"",Q174))</f>
        <v/>
      </c>
      <c r="AA174" s="97" t="str">
        <f aca="false">IF(ISBLANK($C174),"",AND(V174&lt;&gt;"",Q174))</f>
        <v/>
      </c>
      <c r="AB174" s="97" t="str">
        <f aca="false">IF(ISBLANK($C174),"",IF(Y174,Constants!$B$4,IF(COUNTA(E174:N174)=0,Constants!$B$5,IF(NOT(Q174),Constants!$B$6,IF(AND(NOT(Z174),NOT(AA174)),Constants!$B$6,Constants!$B$7)))))</f>
        <v/>
      </c>
      <c r="AC174" s="97" t="str">
        <f aca="false">IF(ISBLANK($C174),"",IF($AB174&lt;&gt;Constants!$B$7,$AB174,Constants!$B$20))</f>
        <v/>
      </c>
      <c r="AD174" s="97" t="str">
        <f aca="false">IF($AB174=Constants!$B$7,IF(Z174,S174,Constants!$B$13),"")</f>
        <v/>
      </c>
      <c r="AE174" s="97" t="str">
        <f aca="false">IF($AB174=Constants!$B$7,IF(Z174,R174*IF(T174, 1, Constants!$B$11)*IF(U174, 1, Constants!$B$12),Constants!$B$13),"")</f>
        <v/>
      </c>
      <c r="AF174" s="97" t="str">
        <f aca="false">IF($AB174=Constants!$B$7,AD174*AE174,"")</f>
        <v/>
      </c>
      <c r="AG174" s="97" t="str">
        <f aca="false">IF($AB174=Constants!$B$7,IF(AA174,V174,Constants!$B$13),"")</f>
        <v/>
      </c>
      <c r="AH174" s="97" t="str">
        <f aca="false">IF($AB174=Constants!$B$7,IF(AA174,R174*IF(W174, 1, Constants!$B$11)*IF(X174, 1, Constants!$B$12),Constants!$B$13),"")</f>
        <v/>
      </c>
      <c r="AI174" s="97" t="str">
        <f aca="false">IF($AB174=Constants!$B$7,AG174*AH174,"")</f>
        <v/>
      </c>
      <c r="AJ174" s="97" t="str">
        <f aca="false">IF($AB174=Constants!$B$7,IF(AI174&gt;AF174,2,1),"")</f>
        <v/>
      </c>
      <c r="AK174" s="97" t="str">
        <f aca="false">IF($AB174=Constants!$B$7,IF(AJ174=1,2,1),"")</f>
        <v/>
      </c>
      <c r="AL174" s="97" t="str">
        <f aca="false">IF(ISBLANK($C174),"",IF($AB174&lt;&gt;Constants!$B$7,$AB174,IF(AJ174=1,AF174,AI174)))</f>
        <v/>
      </c>
      <c r="AM174" s="97" t="str">
        <f aca="false">IF(ISBLANK($C174),"",IF($AB174=Constants!$B$7,IF(ISNUMBER(AL174),RANK(AL174,$AL$8:$AL$507),Constants!$B$14),$AB174))</f>
        <v/>
      </c>
      <c r="AN174" s="97" t="str">
        <f aca="false">IF(ISBLANK($C174),"",IF($AB174=Constants!$B$7,IF(AK174=1,AF174,AI174),""))</f>
        <v/>
      </c>
      <c r="AO174" s="97" t="str">
        <f aca="false">IF(ISBLANK($C174),"",IF($AB174=Constants!$B$7,RANK(AN174,$AN$8:$AN$507),$AB174))</f>
        <v/>
      </c>
      <c r="AP174" s="97" t="str">
        <f aca="false">IF(ISBLANK($C174),"",IF($AB174=Constants!$B$7,IF(ISNUMBER(AM174),COUNTIFS($AM$8:$AM$507,"&lt;"&amp;$AM174)+COUNTIFS($AM$8:$AM$507,$AM174,$AO$8:$AO$507,"&lt;"&amp;$AO174)+1,Constants!$B$14),$AB174))</f>
        <v/>
      </c>
      <c r="AQ174" s="97" t="str">
        <f aca="false">IF(ISBLANK($C174),"",IF($AB174=Constants!$B$7,IF(ISNUMBER(AM174),AM174-AP174,Constants!$B$14),$AB174))</f>
        <v/>
      </c>
      <c r="AR174" s="98"/>
      <c r="AS174" s="99" t="str">
        <f aca="false">IF(ISBLANK($C174),"",IF($AB174&lt;&gt;Constants!$B$7,"",AJ174))</f>
        <v/>
      </c>
      <c r="AT174" s="100" t="str">
        <f aca="false">IF(ISBLANK($C174),"",IF($AB174&lt;&gt;Constants!$B$7,"",IF(AJ174=1,AD174,AG174)))</f>
        <v/>
      </c>
      <c r="AU174" s="101" t="str">
        <f aca="false">IF(ISBLANK($C174),"",IF($AB174&lt;&gt;Constants!$B$7,"",IF(AJ174=1,AE174,AH174)))</f>
        <v/>
      </c>
      <c r="AV174" s="102" t="str">
        <f aca="false">IF(ISBLANK($C174),"",IF($AB174&lt;&gt;Constants!$B$7,$AB174,AL174))</f>
        <v/>
      </c>
      <c r="AW174" s="103" t="str">
        <f aca="false">IF(ISBLANK($C174),"",IF($AB174&lt;&gt;Constants!$B$7,$AB174,AC174))</f>
        <v/>
      </c>
      <c r="AX174" s="104" t="str">
        <f aca="false">IF(ISBLANK($C174),"",AQ174)</f>
        <v/>
      </c>
      <c r="AY174" s="104" t="str">
        <f aca="false">IF(ISBLANK($C174),"",AP174)</f>
        <v/>
      </c>
      <c r="AZ174" s="105" t="str">
        <f aca="false">IF(ISBLANK($C174),"",IF(AY174=Constants!$B$4,COUNTA($C$8:$C$507)+2,IF(AY174=Constants!$B$5,COUNTA($C$8:$C$507)+1,IF(AY174=Constants!$B$6,COUNTA($C$8:$C$507),AY174))))</f>
        <v/>
      </c>
      <c r="BA174" s="5"/>
      <c r="BB174" s="106" t="n">
        <f aca="false">IF(OR(ISNUMBER(AY174),AY174=Constants!$B$4,AY174=Constants!$B$6,AY174=Constants!$B$5),1,0)</f>
        <v>0</v>
      </c>
      <c r="BC174" s="106" t="n">
        <v>167</v>
      </c>
      <c r="BD174" s="106" t="str">
        <f aca="false">IF(ISBLANK($C174),"",IF(ISNUMBER(AZ174),AZ174+ROW($B174)/1000,""))</f>
        <v/>
      </c>
      <c r="BE174" s="106" t="str">
        <f aca="false">IF(ISNUMBER(BD174),RANK(BD174,$BD$8:$BD$507,1),"")</f>
        <v/>
      </c>
      <c r="BF174" s="106" t="str">
        <f aca="false">IF(ISBLANK($C174),"",$B174)</f>
        <v/>
      </c>
      <c r="BG174" s="106" t="str">
        <f aca="false">IF(ISBLANK($C174),"",$C174)</f>
        <v/>
      </c>
      <c r="BH174" s="106" t="str">
        <f aca="false">IF(ISBLANK($C174),"",$D174)</f>
        <v/>
      </c>
      <c r="BI174" s="107" t="str">
        <f aca="false">AW174</f>
        <v/>
      </c>
      <c r="BJ174" s="108" t="str">
        <f aca="false">AV174</f>
        <v/>
      </c>
      <c r="BK174" s="106" t="str">
        <f aca="false">IF(ISBLANK($C174),"",AY174)</f>
        <v/>
      </c>
      <c r="BL174" s="109" t="str">
        <f aca="false">IF($BC174&gt;$BB$7,"",VLOOKUP($BC174,$BE$8:$BK$507,7,FALSE()))</f>
        <v/>
      </c>
      <c r="BM174" s="110" t="str">
        <f aca="false">IF($BC174&gt;$BB$7,"",VLOOKUP($BC174,$BE$8:$BK$507,2,FALSE()))</f>
        <v/>
      </c>
      <c r="BN174" s="110" t="str">
        <f aca="false">IF($BC174&gt;$BB$7,"",VLOOKUP($BC174,$BE$8:$BK$507,3,FALSE()))</f>
        <v/>
      </c>
      <c r="BO174" s="110" t="str">
        <f aca="false">IF($BC174&gt;$BB$7,"",VLOOKUP($BC174,$BE$8:$BK$507,4,FALSE()))</f>
        <v/>
      </c>
      <c r="BP174" s="110" t="str">
        <f aca="false">IF($BC174&gt;$BB$7,"",VLOOKUP($BC174,$BE$8:$BK$507,5,FALSE()))</f>
        <v/>
      </c>
      <c r="BQ174" s="111" t="str">
        <f aca="false">IF($BC174&gt;$BB$7,"",VLOOKUP($BC174,$BE$8:$BK$507,6,FALSE()))</f>
        <v/>
      </c>
      <c r="BR174" s="54"/>
    </row>
    <row r="175" customFormat="false" ht="13.8" hidden="false" customHeight="false" outlineLevel="0" collapsed="false">
      <c r="A175" s="5"/>
      <c r="B175" s="120"/>
      <c r="C175" s="121"/>
      <c r="D175" s="112"/>
      <c r="E175" s="123"/>
      <c r="F175" s="91"/>
      <c r="G175" s="92"/>
      <c r="H175" s="93"/>
      <c r="I175" s="94"/>
      <c r="J175" s="91"/>
      <c r="K175" s="92"/>
      <c r="L175" s="93"/>
      <c r="M175" s="94"/>
      <c r="N175" s="91"/>
      <c r="O175" s="123"/>
      <c r="P175" s="96"/>
      <c r="Q175" s="97" t="str">
        <f aca="false">IF(ISBLANK($C175),"",IF(E175=Constants!$B$2, TRUE(), IF(E175=Constants!$B$3, FALSE(), TRUE())))</f>
        <v/>
      </c>
      <c r="R175" s="97" t="str">
        <f aca="false">IF(ISBLANK($C175),"",IF(F175=Constants!$B$16,Constants!$B$9,IF(F175=Constants!$B$17,Constants!$B$10,Constants!$B$8)))</f>
        <v/>
      </c>
      <c r="S175" s="97" t="str">
        <f aca="false">IF(ISBLANK($C175),"",IF(COUNTA(G175:H175)=0,"",IF(AND(OR(ISBLANK(G175),AND(ISNUMBER(G175),G175&gt;=0)),OR(ISBLANK(H175),AND(ISNUMBER(H175),H175&gt;=0))),60*IF(ISBLANK(G175),0,G175)+IF(ISBLANK(H175),0,H175),"")))</f>
        <v/>
      </c>
      <c r="T175" s="97" t="str">
        <f aca="false">IF(ISBLANK($C175),"",IF(I175=Constants!$B$2, TRUE(), IF(I175=Constants!$B$3, FALSE(), TRUE())))</f>
        <v/>
      </c>
      <c r="U175" s="97" t="str">
        <f aca="false">IF(ISBLANK($C175),"",IF(J175=Constants!$B$2, TRUE(), IF(J175=Constants!$B$3, FALSE(), TRUE())))</f>
        <v/>
      </c>
      <c r="V175" s="97" t="str">
        <f aca="false">IF(ISBLANK($C175),"",IF(COUNTA(K175:L175)=0,"",IF(AND(OR(ISBLANK(K175),AND(ISNUMBER(K175),K175&gt;=0)),OR(ISBLANK(L175),AND(ISNUMBER(L175),L175&gt;=0))),60*IF(ISBLANK(K175),0,K175)+IF(ISBLANK(L175),0,L175),"")))</f>
        <v/>
      </c>
      <c r="W175" s="97" t="str">
        <f aca="false">IF(ISBLANK($C175),"",IF(M175=Constants!$B$2, TRUE(), IF(M175=Constants!$B$3, FALSE(), TRUE())))</f>
        <v/>
      </c>
      <c r="X175" s="97" t="str">
        <f aca="false">IF(ISBLANK($C175),"",IF(N175=Constants!$B$2, TRUE(), IF(N175=Constants!$B$3, FALSE(), TRUE())))</f>
        <v/>
      </c>
      <c r="Y175" s="97" t="str">
        <f aca="false">IF(ISBLANK($C175),"",IF(O175=Constants!$B$2, TRUE(), IF(O175=Constants!$B$3, FALSE(), FALSE())))</f>
        <v/>
      </c>
      <c r="Z175" s="97" t="str">
        <f aca="false">IF(ISBLANK($C175),"",AND(S175&lt;&gt;"",Q175))</f>
        <v/>
      </c>
      <c r="AA175" s="97" t="str">
        <f aca="false">IF(ISBLANK($C175),"",AND(V175&lt;&gt;"",Q175))</f>
        <v/>
      </c>
      <c r="AB175" s="97" t="str">
        <f aca="false">IF(ISBLANK($C175),"",IF(Y175,Constants!$B$4,IF(COUNTA(E175:N175)=0,Constants!$B$5,IF(NOT(Q175),Constants!$B$6,IF(AND(NOT(Z175),NOT(AA175)),Constants!$B$6,Constants!$B$7)))))</f>
        <v/>
      </c>
      <c r="AC175" s="97" t="str">
        <f aca="false">IF(ISBLANK($C175),"",IF($AB175&lt;&gt;Constants!$B$7,$AB175,Constants!$B$20))</f>
        <v/>
      </c>
      <c r="AD175" s="97" t="str">
        <f aca="false">IF($AB175=Constants!$B$7,IF(Z175,S175,Constants!$B$13),"")</f>
        <v/>
      </c>
      <c r="AE175" s="97" t="str">
        <f aca="false">IF($AB175=Constants!$B$7,IF(Z175,R175*IF(T175, 1, Constants!$B$11)*IF(U175, 1, Constants!$B$12),Constants!$B$13),"")</f>
        <v/>
      </c>
      <c r="AF175" s="97" t="str">
        <f aca="false">IF($AB175=Constants!$B$7,AD175*AE175,"")</f>
        <v/>
      </c>
      <c r="AG175" s="97" t="str">
        <f aca="false">IF($AB175=Constants!$B$7,IF(AA175,V175,Constants!$B$13),"")</f>
        <v/>
      </c>
      <c r="AH175" s="97" t="str">
        <f aca="false">IF($AB175=Constants!$B$7,IF(AA175,R175*IF(W175, 1, Constants!$B$11)*IF(X175, 1, Constants!$B$12),Constants!$B$13),"")</f>
        <v/>
      </c>
      <c r="AI175" s="97" t="str">
        <f aca="false">IF($AB175=Constants!$B$7,AG175*AH175,"")</f>
        <v/>
      </c>
      <c r="AJ175" s="97" t="str">
        <f aca="false">IF($AB175=Constants!$B$7,IF(AI175&gt;AF175,2,1),"")</f>
        <v/>
      </c>
      <c r="AK175" s="97" t="str">
        <f aca="false">IF($AB175=Constants!$B$7,IF(AJ175=1,2,1),"")</f>
        <v/>
      </c>
      <c r="AL175" s="97" t="str">
        <f aca="false">IF(ISBLANK($C175),"",IF($AB175&lt;&gt;Constants!$B$7,$AB175,IF(AJ175=1,AF175,AI175)))</f>
        <v/>
      </c>
      <c r="AM175" s="97" t="str">
        <f aca="false">IF(ISBLANK($C175),"",IF($AB175=Constants!$B$7,IF(ISNUMBER(AL175),RANK(AL175,$AL$8:$AL$507),Constants!$B$14),$AB175))</f>
        <v/>
      </c>
      <c r="AN175" s="97" t="str">
        <f aca="false">IF(ISBLANK($C175),"",IF($AB175=Constants!$B$7,IF(AK175=1,AF175,AI175),""))</f>
        <v/>
      </c>
      <c r="AO175" s="97" t="str">
        <f aca="false">IF(ISBLANK($C175),"",IF($AB175=Constants!$B$7,RANK(AN175,$AN$8:$AN$507),$AB175))</f>
        <v/>
      </c>
      <c r="AP175" s="97" t="str">
        <f aca="false">IF(ISBLANK($C175),"",IF($AB175=Constants!$B$7,IF(ISNUMBER(AM175),COUNTIFS($AM$8:$AM$507,"&lt;"&amp;$AM175)+COUNTIFS($AM$8:$AM$507,$AM175,$AO$8:$AO$507,"&lt;"&amp;$AO175)+1,Constants!$B$14),$AB175))</f>
        <v/>
      </c>
      <c r="AQ175" s="97" t="str">
        <f aca="false">IF(ISBLANK($C175),"",IF($AB175=Constants!$B$7,IF(ISNUMBER(AM175),AM175-AP175,Constants!$B$14),$AB175))</f>
        <v/>
      </c>
      <c r="AR175" s="98"/>
      <c r="AS175" s="99" t="str">
        <f aca="false">IF(ISBLANK($C175),"",IF($AB175&lt;&gt;Constants!$B$7,"",AJ175))</f>
        <v/>
      </c>
      <c r="AT175" s="100" t="str">
        <f aca="false">IF(ISBLANK($C175),"",IF($AB175&lt;&gt;Constants!$B$7,"",IF(AJ175=1,AD175,AG175)))</f>
        <v/>
      </c>
      <c r="AU175" s="101" t="str">
        <f aca="false">IF(ISBLANK($C175),"",IF($AB175&lt;&gt;Constants!$B$7,"",IF(AJ175=1,AE175,AH175)))</f>
        <v/>
      </c>
      <c r="AV175" s="102" t="str">
        <f aca="false">IF(ISBLANK($C175),"",IF($AB175&lt;&gt;Constants!$B$7,$AB175,AL175))</f>
        <v/>
      </c>
      <c r="AW175" s="103" t="str">
        <f aca="false">IF(ISBLANK($C175),"",IF($AB175&lt;&gt;Constants!$B$7,$AB175,AC175))</f>
        <v/>
      </c>
      <c r="AX175" s="104" t="str">
        <f aca="false">IF(ISBLANK($C175),"",AQ175)</f>
        <v/>
      </c>
      <c r="AY175" s="104" t="str">
        <f aca="false">IF(ISBLANK($C175),"",AP175)</f>
        <v/>
      </c>
      <c r="AZ175" s="105" t="str">
        <f aca="false">IF(ISBLANK($C175),"",IF(AY175=Constants!$B$4,COUNTA($C$8:$C$507)+2,IF(AY175=Constants!$B$5,COUNTA($C$8:$C$507)+1,IF(AY175=Constants!$B$6,COUNTA($C$8:$C$507),AY175))))</f>
        <v/>
      </c>
      <c r="BA175" s="5"/>
      <c r="BB175" s="106" t="n">
        <f aca="false">IF(OR(ISNUMBER(AY175),AY175=Constants!$B$4,AY175=Constants!$B$6,AY175=Constants!$B$5),1,0)</f>
        <v>0</v>
      </c>
      <c r="BC175" s="106" t="n">
        <v>168</v>
      </c>
      <c r="BD175" s="106" t="str">
        <f aca="false">IF(ISBLANK($C175),"",IF(ISNUMBER(AZ175),AZ175+ROW($B175)/1000,""))</f>
        <v/>
      </c>
      <c r="BE175" s="106" t="str">
        <f aca="false">IF(ISNUMBER(BD175),RANK(BD175,$BD$8:$BD$507,1),"")</f>
        <v/>
      </c>
      <c r="BF175" s="106" t="str">
        <f aca="false">IF(ISBLANK($C175),"",$B175)</f>
        <v/>
      </c>
      <c r="BG175" s="106" t="str">
        <f aca="false">IF(ISBLANK($C175),"",$C175)</f>
        <v/>
      </c>
      <c r="BH175" s="106" t="str">
        <f aca="false">IF(ISBLANK($C175),"",$D175)</f>
        <v/>
      </c>
      <c r="BI175" s="107" t="str">
        <f aca="false">AW175</f>
        <v/>
      </c>
      <c r="BJ175" s="108" t="str">
        <f aca="false">AV175</f>
        <v/>
      </c>
      <c r="BK175" s="106" t="str">
        <f aca="false">IF(ISBLANK($C175),"",AY175)</f>
        <v/>
      </c>
      <c r="BL175" s="109" t="str">
        <f aca="false">IF($BC175&gt;$BB$7,"",VLOOKUP($BC175,$BE$8:$BK$507,7,FALSE()))</f>
        <v/>
      </c>
      <c r="BM175" s="110" t="str">
        <f aca="false">IF($BC175&gt;$BB$7,"",VLOOKUP($BC175,$BE$8:$BK$507,2,FALSE()))</f>
        <v/>
      </c>
      <c r="BN175" s="110" t="str">
        <f aca="false">IF($BC175&gt;$BB$7,"",VLOOKUP($BC175,$BE$8:$BK$507,3,FALSE()))</f>
        <v/>
      </c>
      <c r="BO175" s="110" t="str">
        <f aca="false">IF($BC175&gt;$BB$7,"",VLOOKUP($BC175,$BE$8:$BK$507,4,FALSE()))</f>
        <v/>
      </c>
      <c r="BP175" s="110" t="str">
        <f aca="false">IF($BC175&gt;$BB$7,"",VLOOKUP($BC175,$BE$8:$BK$507,5,FALSE()))</f>
        <v/>
      </c>
      <c r="BQ175" s="111" t="str">
        <f aca="false">IF($BC175&gt;$BB$7,"",VLOOKUP($BC175,$BE$8:$BK$507,6,FALSE()))</f>
        <v/>
      </c>
      <c r="BR175" s="54"/>
    </row>
    <row r="176" customFormat="false" ht="13.8" hidden="false" customHeight="false" outlineLevel="0" collapsed="false">
      <c r="A176" s="5"/>
      <c r="B176" s="124"/>
      <c r="C176" s="56"/>
      <c r="D176" s="57"/>
      <c r="E176" s="83"/>
      <c r="F176" s="59"/>
      <c r="G176" s="60"/>
      <c r="H176" s="61"/>
      <c r="I176" s="62"/>
      <c r="J176" s="59"/>
      <c r="K176" s="60"/>
      <c r="L176" s="61"/>
      <c r="M176" s="62"/>
      <c r="N176" s="59"/>
      <c r="O176" s="83"/>
      <c r="P176" s="64"/>
      <c r="Q176" s="66" t="str">
        <f aca="false">IF(ISBLANK($C176),"",IF(E176=Constants!$B$2, TRUE(), IF(E176=Constants!$B$3, FALSE(), TRUE())))</f>
        <v/>
      </c>
      <c r="R176" s="66" t="str">
        <f aca="false">IF(ISBLANK($C176),"",IF(F176=Constants!$B$16,Constants!$B$9,IF(F176=Constants!$B$17,Constants!$B$10,Constants!$B$8)))</f>
        <v/>
      </c>
      <c r="S176" s="66" t="str">
        <f aca="false">IF(ISBLANK($C176),"",IF(COUNTA(G176:H176)=0,"",IF(AND(OR(ISBLANK(G176),AND(ISNUMBER(G176),G176&gt;=0)),OR(ISBLANK(H176),AND(ISNUMBER(H176),H176&gt;=0))),60*IF(ISBLANK(G176),0,G176)+IF(ISBLANK(H176),0,H176),"")))</f>
        <v/>
      </c>
      <c r="T176" s="66" t="str">
        <f aca="false">IF(ISBLANK($C176),"",IF(I176=Constants!$B$2, TRUE(), IF(I176=Constants!$B$3, FALSE(), TRUE())))</f>
        <v/>
      </c>
      <c r="U176" s="66" t="str">
        <f aca="false">IF(ISBLANK($C176),"",IF(J176=Constants!$B$2, TRUE(), IF(J176=Constants!$B$3, FALSE(), TRUE())))</f>
        <v/>
      </c>
      <c r="V176" s="66" t="str">
        <f aca="false">IF(ISBLANK($C176),"",IF(COUNTA(K176:L176)=0,"",IF(AND(OR(ISBLANK(K176),AND(ISNUMBER(K176),K176&gt;=0)),OR(ISBLANK(L176),AND(ISNUMBER(L176),L176&gt;=0))),60*IF(ISBLANK(K176),0,K176)+IF(ISBLANK(L176),0,L176),"")))</f>
        <v/>
      </c>
      <c r="W176" s="66" t="str">
        <f aca="false">IF(ISBLANK($C176),"",IF(M176=Constants!$B$2, TRUE(), IF(M176=Constants!$B$3, FALSE(), TRUE())))</f>
        <v/>
      </c>
      <c r="X176" s="66" t="str">
        <f aca="false">IF(ISBLANK($C176),"",IF(N176=Constants!$B$2, TRUE(), IF(N176=Constants!$B$3, FALSE(), TRUE())))</f>
        <v/>
      </c>
      <c r="Y176" s="66" t="str">
        <f aca="false">IF(ISBLANK($C176),"",IF(O176=Constants!$B$2, TRUE(), IF(O176=Constants!$B$3, FALSE(), FALSE())))</f>
        <v/>
      </c>
      <c r="Z176" s="66" t="str">
        <f aca="false">IF(ISBLANK($C176),"",AND(S176&lt;&gt;"",Q176))</f>
        <v/>
      </c>
      <c r="AA176" s="66" t="str">
        <f aca="false">IF(ISBLANK($C176),"",AND(V176&lt;&gt;"",Q176))</f>
        <v/>
      </c>
      <c r="AB176" s="66" t="str">
        <f aca="false">IF(ISBLANK($C176),"",IF(Y176,Constants!$B$4,IF(COUNTA(E176:N176)=0,Constants!$B$5,IF(NOT(Q176),Constants!$B$6,IF(AND(NOT(Z176),NOT(AA176)),Constants!$B$6,Constants!$B$7)))))</f>
        <v/>
      </c>
      <c r="AC176" s="66" t="str">
        <f aca="false">IF(ISBLANK($C176),"",IF($AB176&lt;&gt;Constants!$B$7,$AB176,Constants!$B$20))</f>
        <v/>
      </c>
      <c r="AD176" s="66" t="str">
        <f aca="false">IF($AB176=Constants!$B$7,IF(Z176,S176,Constants!$B$13),"")</f>
        <v/>
      </c>
      <c r="AE176" s="66" t="str">
        <f aca="false">IF($AB176=Constants!$B$7,IF(Z176,R176*IF(T176, 1, Constants!$B$11)*IF(U176, 1, Constants!$B$12),Constants!$B$13),"")</f>
        <v/>
      </c>
      <c r="AF176" s="66" t="str">
        <f aca="false">IF($AB176=Constants!$B$7,AD176*AE176,"")</f>
        <v/>
      </c>
      <c r="AG176" s="66" t="str">
        <f aca="false">IF($AB176=Constants!$B$7,IF(AA176,V176,Constants!$B$13),"")</f>
        <v/>
      </c>
      <c r="AH176" s="66" t="str">
        <f aca="false">IF($AB176=Constants!$B$7,IF(AA176,R176*IF(W176, 1, Constants!$B$11)*IF(X176, 1, Constants!$B$12),Constants!$B$13),"")</f>
        <v/>
      </c>
      <c r="AI176" s="66" t="str">
        <f aca="false">IF($AB176=Constants!$B$7,AG176*AH176,"")</f>
        <v/>
      </c>
      <c r="AJ176" s="66" t="str">
        <f aca="false">IF($AB176=Constants!$B$7,IF(AI176&gt;AF176,2,1),"")</f>
        <v/>
      </c>
      <c r="AK176" s="66" t="str">
        <f aca="false">IF($AB176=Constants!$B$7,IF(AJ176=1,2,1),"")</f>
        <v/>
      </c>
      <c r="AL176" s="66" t="str">
        <f aca="false">IF(ISBLANK($C176),"",IF($AB176&lt;&gt;Constants!$B$7,$AB176,IF(AJ176=1,AF176,AI176)))</f>
        <v/>
      </c>
      <c r="AM176" s="66" t="str">
        <f aca="false">IF(ISBLANK($C176),"",IF($AB176=Constants!$B$7,IF(ISNUMBER(AL176),RANK(AL176,$AL$8:$AL$507),Constants!$B$14),$AB176))</f>
        <v/>
      </c>
      <c r="AN176" s="66" t="str">
        <f aca="false">IF(ISBLANK($C176),"",IF($AB176=Constants!$B$7,IF(AK176=1,AF176,AI176),""))</f>
        <v/>
      </c>
      <c r="AO176" s="66" t="str">
        <f aca="false">IF(ISBLANK($C176),"",IF($AB176=Constants!$B$7,RANK(AN176,$AN$8:$AN$507),$AB176))</f>
        <v/>
      </c>
      <c r="AP176" s="66" t="str">
        <f aca="false">IF(ISBLANK($C176),"",IF($AB176=Constants!$B$7,IF(ISNUMBER(AM176),COUNTIFS($AM$8:$AM$507,"&lt;"&amp;$AM176)+COUNTIFS($AM$8:$AM$507,$AM176,$AO$8:$AO$507,"&lt;"&amp;$AO176)+1,Constants!$B$14),$AB176))</f>
        <v/>
      </c>
      <c r="AQ176" s="66" t="str">
        <f aca="false">IF(ISBLANK($C176),"",IF($AB176=Constants!$B$7,IF(ISNUMBER(AM176),AM176-AP176,Constants!$B$14),$AB176))</f>
        <v/>
      </c>
      <c r="AR176" s="68"/>
      <c r="AS176" s="69" t="str">
        <f aca="false">IF(ISBLANK($C176),"",IF($AB176&lt;&gt;Constants!$B$7,"",AJ176))</f>
        <v/>
      </c>
      <c r="AT176" s="84" t="str">
        <f aca="false">IF(ISBLANK($C176),"",IF($AB176&lt;&gt;Constants!$B$7,"",IF(AJ176=1,AD176,AG176)))</f>
        <v/>
      </c>
      <c r="AU176" s="71" t="str">
        <f aca="false">IF(ISBLANK($C176),"",IF($AB176&lt;&gt;Constants!$B$7,"",IF(AJ176=1,AE176,AH176)))</f>
        <v/>
      </c>
      <c r="AV176" s="72" t="str">
        <f aca="false">IF(ISBLANK($C176),"",IF($AB176&lt;&gt;Constants!$B$7,$AB176,AL176))</f>
        <v/>
      </c>
      <c r="AW176" s="73" t="str">
        <f aca="false">IF(ISBLANK($C176),"",IF($AB176&lt;&gt;Constants!$B$7,$AB176,AC176))</f>
        <v/>
      </c>
      <c r="AX176" s="74" t="str">
        <f aca="false">IF(ISBLANK($C176),"",AQ176)</f>
        <v/>
      </c>
      <c r="AY176" s="74" t="str">
        <f aca="false">IF(ISBLANK($C176),"",AP176)</f>
        <v/>
      </c>
      <c r="AZ176" s="75" t="str">
        <f aca="false">IF(ISBLANK($C176),"",IF(AY176=Constants!$B$4,COUNTA($C$8:$C$507)+2,IF(AY176=Constants!$B$5,COUNTA($C$8:$C$507)+1,IF(AY176=Constants!$B$6,COUNTA($C$8:$C$507),AY176))))</f>
        <v/>
      </c>
      <c r="BA176" s="5"/>
      <c r="BB176" s="76" t="n">
        <f aca="false">IF(OR(ISNUMBER(AY176),AY176=Constants!$B$4,AY176=Constants!$B$6,AY176=Constants!$B$5),1,0)</f>
        <v>0</v>
      </c>
      <c r="BC176" s="76" t="n">
        <v>169</v>
      </c>
      <c r="BD176" s="76" t="str">
        <f aca="false">IF(ISBLANK($C176),"",IF(ISNUMBER(AZ176),AZ176+ROW($B176)/1000,""))</f>
        <v/>
      </c>
      <c r="BE176" s="76" t="str">
        <f aca="false">IF(ISNUMBER(BD176),RANK(BD176,$BD$8:$BD$507,1),"")</f>
        <v/>
      </c>
      <c r="BF176" s="76" t="str">
        <f aca="false">IF(ISBLANK($C176),"",$B176)</f>
        <v/>
      </c>
      <c r="BG176" s="76" t="str">
        <f aca="false">IF(ISBLANK($C176),"",$C176)</f>
        <v/>
      </c>
      <c r="BH176" s="76" t="str">
        <f aca="false">IF(ISBLANK($C176),"",$D176)</f>
        <v/>
      </c>
      <c r="BI176" s="77" t="str">
        <f aca="false">AW176</f>
        <v/>
      </c>
      <c r="BJ176" s="78" t="str">
        <f aca="false">AV176</f>
        <v/>
      </c>
      <c r="BK176" s="76" t="str">
        <f aca="false">IF(ISBLANK($C176),"",AY176)</f>
        <v/>
      </c>
      <c r="BL176" s="79" t="str">
        <f aca="false">IF($BC176&gt;$BB$7,"",VLOOKUP($BC176,$BE$8:$BK$507,7,FALSE()))</f>
        <v/>
      </c>
      <c r="BM176" s="80" t="str">
        <f aca="false">IF($BC176&gt;$BB$7,"",VLOOKUP($BC176,$BE$8:$BK$507,2,FALSE()))</f>
        <v/>
      </c>
      <c r="BN176" s="80" t="str">
        <f aca="false">IF($BC176&gt;$BB$7,"",VLOOKUP($BC176,$BE$8:$BK$507,3,FALSE()))</f>
        <v/>
      </c>
      <c r="BO176" s="80" t="str">
        <f aca="false">IF($BC176&gt;$BB$7,"",VLOOKUP($BC176,$BE$8:$BK$507,4,FALSE()))</f>
        <v/>
      </c>
      <c r="BP176" s="80" t="str">
        <f aca="false">IF($BC176&gt;$BB$7,"",VLOOKUP($BC176,$BE$8:$BK$507,5,FALSE()))</f>
        <v/>
      </c>
      <c r="BQ176" s="81" t="str">
        <f aca="false">IF($BC176&gt;$BB$7,"",VLOOKUP($BC176,$BE$8:$BK$507,6,FALSE()))</f>
        <v/>
      </c>
      <c r="BR176" s="54"/>
    </row>
    <row r="177" customFormat="false" ht="13.8" hidden="false" customHeight="false" outlineLevel="0" collapsed="false">
      <c r="A177" s="5"/>
      <c r="B177" s="124"/>
      <c r="C177" s="56"/>
      <c r="D177" s="57"/>
      <c r="E177" s="83"/>
      <c r="F177" s="59"/>
      <c r="G177" s="60"/>
      <c r="H177" s="61"/>
      <c r="I177" s="62"/>
      <c r="J177" s="59"/>
      <c r="K177" s="60"/>
      <c r="L177" s="61"/>
      <c r="M177" s="62"/>
      <c r="N177" s="59"/>
      <c r="O177" s="83"/>
      <c r="P177" s="64"/>
      <c r="Q177" s="66" t="str">
        <f aca="false">IF(ISBLANK($C177),"",IF(E177=Constants!$B$2, TRUE(), IF(E177=Constants!$B$3, FALSE(), TRUE())))</f>
        <v/>
      </c>
      <c r="R177" s="66" t="str">
        <f aca="false">IF(ISBLANK($C177),"",IF(F177=Constants!$B$16,Constants!$B$9,IF(F177=Constants!$B$17,Constants!$B$10,Constants!$B$8)))</f>
        <v/>
      </c>
      <c r="S177" s="66" t="str">
        <f aca="false">IF(ISBLANK($C177),"",IF(COUNTA(G177:H177)=0,"",IF(AND(OR(ISBLANK(G177),AND(ISNUMBER(G177),G177&gt;=0)),OR(ISBLANK(H177),AND(ISNUMBER(H177),H177&gt;=0))),60*IF(ISBLANK(G177),0,G177)+IF(ISBLANK(H177),0,H177),"")))</f>
        <v/>
      </c>
      <c r="T177" s="66" t="str">
        <f aca="false">IF(ISBLANK($C177),"",IF(I177=Constants!$B$2, TRUE(), IF(I177=Constants!$B$3, FALSE(), TRUE())))</f>
        <v/>
      </c>
      <c r="U177" s="66" t="str">
        <f aca="false">IF(ISBLANK($C177),"",IF(J177=Constants!$B$2, TRUE(), IF(J177=Constants!$B$3, FALSE(), TRUE())))</f>
        <v/>
      </c>
      <c r="V177" s="66" t="str">
        <f aca="false">IF(ISBLANK($C177),"",IF(COUNTA(K177:L177)=0,"",IF(AND(OR(ISBLANK(K177),AND(ISNUMBER(K177),K177&gt;=0)),OR(ISBLANK(L177),AND(ISNUMBER(L177),L177&gt;=0))),60*IF(ISBLANK(K177),0,K177)+IF(ISBLANK(L177),0,L177),"")))</f>
        <v/>
      </c>
      <c r="W177" s="66" t="str">
        <f aca="false">IF(ISBLANK($C177),"",IF(M177=Constants!$B$2, TRUE(), IF(M177=Constants!$B$3, FALSE(), TRUE())))</f>
        <v/>
      </c>
      <c r="X177" s="66" t="str">
        <f aca="false">IF(ISBLANK($C177),"",IF(N177=Constants!$B$2, TRUE(), IF(N177=Constants!$B$3, FALSE(), TRUE())))</f>
        <v/>
      </c>
      <c r="Y177" s="66" t="str">
        <f aca="false">IF(ISBLANK($C177),"",IF(O177=Constants!$B$2, TRUE(), IF(O177=Constants!$B$3, FALSE(), FALSE())))</f>
        <v/>
      </c>
      <c r="Z177" s="66" t="str">
        <f aca="false">IF(ISBLANK($C177),"",AND(S177&lt;&gt;"",Q177))</f>
        <v/>
      </c>
      <c r="AA177" s="66" t="str">
        <f aca="false">IF(ISBLANK($C177),"",AND(V177&lt;&gt;"",Q177))</f>
        <v/>
      </c>
      <c r="AB177" s="66" t="str">
        <f aca="false">IF(ISBLANK($C177),"",IF(Y177,Constants!$B$4,IF(COUNTA(E177:N177)=0,Constants!$B$5,IF(NOT(Q177),Constants!$B$6,IF(AND(NOT(Z177),NOT(AA177)),Constants!$B$6,Constants!$B$7)))))</f>
        <v/>
      </c>
      <c r="AC177" s="66" t="str">
        <f aca="false">IF(ISBLANK($C177),"",IF($AB177&lt;&gt;Constants!$B$7,$AB177,Constants!$B$20))</f>
        <v/>
      </c>
      <c r="AD177" s="66" t="str">
        <f aca="false">IF($AB177=Constants!$B$7,IF(Z177,S177,Constants!$B$13),"")</f>
        <v/>
      </c>
      <c r="AE177" s="66" t="str">
        <f aca="false">IF($AB177=Constants!$B$7,IF(Z177,R177*IF(T177, 1, Constants!$B$11)*IF(U177, 1, Constants!$B$12),Constants!$B$13),"")</f>
        <v/>
      </c>
      <c r="AF177" s="66" t="str">
        <f aca="false">IF($AB177=Constants!$B$7,AD177*AE177,"")</f>
        <v/>
      </c>
      <c r="AG177" s="66" t="str">
        <f aca="false">IF($AB177=Constants!$B$7,IF(AA177,V177,Constants!$B$13),"")</f>
        <v/>
      </c>
      <c r="AH177" s="66" t="str">
        <f aca="false">IF($AB177=Constants!$B$7,IF(AA177,R177*IF(W177, 1, Constants!$B$11)*IF(X177, 1, Constants!$B$12),Constants!$B$13),"")</f>
        <v/>
      </c>
      <c r="AI177" s="66" t="str">
        <f aca="false">IF($AB177=Constants!$B$7,AG177*AH177,"")</f>
        <v/>
      </c>
      <c r="AJ177" s="66" t="str">
        <f aca="false">IF($AB177=Constants!$B$7,IF(AI177&gt;AF177,2,1),"")</f>
        <v/>
      </c>
      <c r="AK177" s="66" t="str">
        <f aca="false">IF($AB177=Constants!$B$7,IF(AJ177=1,2,1),"")</f>
        <v/>
      </c>
      <c r="AL177" s="66" t="str">
        <f aca="false">IF(ISBLANK($C177),"",IF($AB177&lt;&gt;Constants!$B$7,$AB177,IF(AJ177=1,AF177,AI177)))</f>
        <v/>
      </c>
      <c r="AM177" s="66" t="str">
        <f aca="false">IF(ISBLANK($C177),"",IF($AB177=Constants!$B$7,IF(ISNUMBER(AL177),RANK(AL177,$AL$8:$AL$507),Constants!$B$14),$AB177))</f>
        <v/>
      </c>
      <c r="AN177" s="66" t="str">
        <f aca="false">IF(ISBLANK($C177),"",IF($AB177=Constants!$B$7,IF(AK177=1,AF177,AI177),""))</f>
        <v/>
      </c>
      <c r="AO177" s="66" t="str">
        <f aca="false">IF(ISBLANK($C177),"",IF($AB177=Constants!$B$7,RANK(AN177,$AN$8:$AN$507),$AB177))</f>
        <v/>
      </c>
      <c r="AP177" s="66" t="str">
        <f aca="false">IF(ISBLANK($C177),"",IF($AB177=Constants!$B$7,IF(ISNUMBER(AM177),COUNTIFS($AM$8:$AM$507,"&lt;"&amp;$AM177)+COUNTIFS($AM$8:$AM$507,$AM177,$AO$8:$AO$507,"&lt;"&amp;$AO177)+1,Constants!$B$14),$AB177))</f>
        <v/>
      </c>
      <c r="AQ177" s="66" t="str">
        <f aca="false">IF(ISBLANK($C177),"",IF($AB177=Constants!$B$7,IF(ISNUMBER(AM177),AM177-AP177,Constants!$B$14),$AB177))</f>
        <v/>
      </c>
      <c r="AR177" s="68"/>
      <c r="AS177" s="69" t="str">
        <f aca="false">IF(ISBLANK($C177),"",IF($AB177&lt;&gt;Constants!$B$7,"",AJ177))</f>
        <v/>
      </c>
      <c r="AT177" s="84" t="str">
        <f aca="false">IF(ISBLANK($C177),"",IF($AB177&lt;&gt;Constants!$B$7,"",IF(AJ177=1,AD177,AG177)))</f>
        <v/>
      </c>
      <c r="AU177" s="71" t="str">
        <f aca="false">IF(ISBLANK($C177),"",IF($AB177&lt;&gt;Constants!$B$7,"",IF(AJ177=1,AE177,AH177)))</f>
        <v/>
      </c>
      <c r="AV177" s="72" t="str">
        <f aca="false">IF(ISBLANK($C177),"",IF($AB177&lt;&gt;Constants!$B$7,$AB177,AL177))</f>
        <v/>
      </c>
      <c r="AW177" s="73" t="str">
        <f aca="false">IF(ISBLANK($C177),"",IF($AB177&lt;&gt;Constants!$B$7,$AB177,AC177))</f>
        <v/>
      </c>
      <c r="AX177" s="74" t="str">
        <f aca="false">IF(ISBLANK($C177),"",AQ177)</f>
        <v/>
      </c>
      <c r="AY177" s="74" t="str">
        <f aca="false">IF(ISBLANK($C177),"",AP177)</f>
        <v/>
      </c>
      <c r="AZ177" s="75" t="str">
        <f aca="false">IF(ISBLANK($C177),"",IF(AY177=Constants!$B$4,COUNTA($C$8:$C$507)+2,IF(AY177=Constants!$B$5,COUNTA($C$8:$C$507)+1,IF(AY177=Constants!$B$6,COUNTA($C$8:$C$507),AY177))))</f>
        <v/>
      </c>
      <c r="BA177" s="5"/>
      <c r="BB177" s="76" t="n">
        <f aca="false">IF(OR(ISNUMBER(AY177),AY177=Constants!$B$4,AY177=Constants!$B$6,AY177=Constants!$B$5),1,0)</f>
        <v>0</v>
      </c>
      <c r="BC177" s="76" t="n">
        <v>170</v>
      </c>
      <c r="BD177" s="76" t="str">
        <f aca="false">IF(ISBLANK($C177),"",IF(ISNUMBER(AZ177),AZ177+ROW($B177)/1000,""))</f>
        <v/>
      </c>
      <c r="BE177" s="76" t="str">
        <f aca="false">IF(ISNUMBER(BD177),RANK(BD177,$BD$8:$BD$507,1),"")</f>
        <v/>
      </c>
      <c r="BF177" s="76" t="str">
        <f aca="false">IF(ISBLANK($C177),"",$B177)</f>
        <v/>
      </c>
      <c r="BG177" s="76" t="str">
        <f aca="false">IF(ISBLANK($C177),"",$C177)</f>
        <v/>
      </c>
      <c r="BH177" s="76" t="str">
        <f aca="false">IF(ISBLANK($C177),"",$D177)</f>
        <v/>
      </c>
      <c r="BI177" s="77" t="str">
        <f aca="false">AW177</f>
        <v/>
      </c>
      <c r="BJ177" s="78" t="str">
        <f aca="false">AV177</f>
        <v/>
      </c>
      <c r="BK177" s="76" t="str">
        <f aca="false">IF(ISBLANK($C177),"",AY177)</f>
        <v/>
      </c>
      <c r="BL177" s="79" t="str">
        <f aca="false">IF($BC177&gt;$BB$7,"",VLOOKUP($BC177,$BE$8:$BK$507,7,FALSE()))</f>
        <v/>
      </c>
      <c r="BM177" s="80" t="str">
        <f aca="false">IF($BC177&gt;$BB$7,"",VLOOKUP($BC177,$BE$8:$BK$507,2,FALSE()))</f>
        <v/>
      </c>
      <c r="BN177" s="80" t="str">
        <f aca="false">IF($BC177&gt;$BB$7,"",VLOOKUP($BC177,$BE$8:$BK$507,3,FALSE()))</f>
        <v/>
      </c>
      <c r="BO177" s="80" t="str">
        <f aca="false">IF($BC177&gt;$BB$7,"",VLOOKUP($BC177,$BE$8:$BK$507,4,FALSE()))</f>
        <v/>
      </c>
      <c r="BP177" s="80" t="str">
        <f aca="false">IF($BC177&gt;$BB$7,"",VLOOKUP($BC177,$BE$8:$BK$507,5,FALSE()))</f>
        <v/>
      </c>
      <c r="BQ177" s="81" t="str">
        <f aca="false">IF($BC177&gt;$BB$7,"",VLOOKUP($BC177,$BE$8:$BK$507,6,FALSE()))</f>
        <v/>
      </c>
      <c r="BR177" s="54"/>
    </row>
    <row r="178" customFormat="false" ht="13.8" hidden="false" customHeight="false" outlineLevel="0" collapsed="false">
      <c r="A178" s="5"/>
      <c r="B178" s="124"/>
      <c r="C178" s="56"/>
      <c r="D178" s="57"/>
      <c r="E178" s="83"/>
      <c r="F178" s="59"/>
      <c r="G178" s="60"/>
      <c r="H178" s="61"/>
      <c r="I178" s="62"/>
      <c r="J178" s="59"/>
      <c r="K178" s="60"/>
      <c r="L178" s="61"/>
      <c r="M178" s="62"/>
      <c r="N178" s="59"/>
      <c r="O178" s="83"/>
      <c r="P178" s="64"/>
      <c r="Q178" s="66" t="str">
        <f aca="false">IF(ISBLANK($C178),"",IF(E178=Constants!$B$2, TRUE(), IF(E178=Constants!$B$3, FALSE(), TRUE())))</f>
        <v/>
      </c>
      <c r="R178" s="66" t="str">
        <f aca="false">IF(ISBLANK($C178),"",IF(F178=Constants!$B$16,Constants!$B$9,IF(F178=Constants!$B$17,Constants!$B$10,Constants!$B$8)))</f>
        <v/>
      </c>
      <c r="S178" s="66" t="str">
        <f aca="false">IF(ISBLANK($C178),"",IF(COUNTA(G178:H178)=0,"",IF(AND(OR(ISBLANK(G178),AND(ISNUMBER(G178),G178&gt;=0)),OR(ISBLANK(H178),AND(ISNUMBER(H178),H178&gt;=0))),60*IF(ISBLANK(G178),0,G178)+IF(ISBLANK(H178),0,H178),"")))</f>
        <v/>
      </c>
      <c r="T178" s="66" t="str">
        <f aca="false">IF(ISBLANK($C178),"",IF(I178=Constants!$B$2, TRUE(), IF(I178=Constants!$B$3, FALSE(), TRUE())))</f>
        <v/>
      </c>
      <c r="U178" s="66" t="str">
        <f aca="false">IF(ISBLANK($C178),"",IF(J178=Constants!$B$2, TRUE(), IF(J178=Constants!$B$3, FALSE(), TRUE())))</f>
        <v/>
      </c>
      <c r="V178" s="66" t="str">
        <f aca="false">IF(ISBLANK($C178),"",IF(COUNTA(K178:L178)=0,"",IF(AND(OR(ISBLANK(K178),AND(ISNUMBER(K178),K178&gt;=0)),OR(ISBLANK(L178),AND(ISNUMBER(L178),L178&gt;=0))),60*IF(ISBLANK(K178),0,K178)+IF(ISBLANK(L178),0,L178),"")))</f>
        <v/>
      </c>
      <c r="W178" s="66" t="str">
        <f aca="false">IF(ISBLANK($C178),"",IF(M178=Constants!$B$2, TRUE(), IF(M178=Constants!$B$3, FALSE(), TRUE())))</f>
        <v/>
      </c>
      <c r="X178" s="66" t="str">
        <f aca="false">IF(ISBLANK($C178),"",IF(N178=Constants!$B$2, TRUE(), IF(N178=Constants!$B$3, FALSE(), TRUE())))</f>
        <v/>
      </c>
      <c r="Y178" s="66" t="str">
        <f aca="false">IF(ISBLANK($C178),"",IF(O178=Constants!$B$2, TRUE(), IF(O178=Constants!$B$3, FALSE(), FALSE())))</f>
        <v/>
      </c>
      <c r="Z178" s="66" t="str">
        <f aca="false">IF(ISBLANK($C178),"",AND(S178&lt;&gt;"",Q178))</f>
        <v/>
      </c>
      <c r="AA178" s="66" t="str">
        <f aca="false">IF(ISBLANK($C178),"",AND(V178&lt;&gt;"",Q178))</f>
        <v/>
      </c>
      <c r="AB178" s="66" t="str">
        <f aca="false">IF(ISBLANK($C178),"",IF(Y178,Constants!$B$4,IF(COUNTA(E178:N178)=0,Constants!$B$5,IF(NOT(Q178),Constants!$B$6,IF(AND(NOT(Z178),NOT(AA178)),Constants!$B$6,Constants!$B$7)))))</f>
        <v/>
      </c>
      <c r="AC178" s="66" t="str">
        <f aca="false">IF(ISBLANK($C178),"",IF($AB178&lt;&gt;Constants!$B$7,$AB178,Constants!$B$20))</f>
        <v/>
      </c>
      <c r="AD178" s="66" t="str">
        <f aca="false">IF($AB178=Constants!$B$7,IF(Z178,S178,Constants!$B$13),"")</f>
        <v/>
      </c>
      <c r="AE178" s="66" t="str">
        <f aca="false">IF($AB178=Constants!$B$7,IF(Z178,R178*IF(T178, 1, Constants!$B$11)*IF(U178, 1, Constants!$B$12),Constants!$B$13),"")</f>
        <v/>
      </c>
      <c r="AF178" s="66" t="str">
        <f aca="false">IF($AB178=Constants!$B$7,AD178*AE178,"")</f>
        <v/>
      </c>
      <c r="AG178" s="66" t="str">
        <f aca="false">IF($AB178=Constants!$B$7,IF(AA178,V178,Constants!$B$13),"")</f>
        <v/>
      </c>
      <c r="AH178" s="66" t="str">
        <f aca="false">IF($AB178=Constants!$B$7,IF(AA178,R178*IF(W178, 1, Constants!$B$11)*IF(X178, 1, Constants!$B$12),Constants!$B$13),"")</f>
        <v/>
      </c>
      <c r="AI178" s="66" t="str">
        <f aca="false">IF($AB178=Constants!$B$7,AG178*AH178,"")</f>
        <v/>
      </c>
      <c r="AJ178" s="66" t="str">
        <f aca="false">IF($AB178=Constants!$B$7,IF(AI178&gt;AF178,2,1),"")</f>
        <v/>
      </c>
      <c r="AK178" s="66" t="str">
        <f aca="false">IF($AB178=Constants!$B$7,IF(AJ178=1,2,1),"")</f>
        <v/>
      </c>
      <c r="AL178" s="66" t="str">
        <f aca="false">IF(ISBLANK($C178),"",IF($AB178&lt;&gt;Constants!$B$7,$AB178,IF(AJ178=1,AF178,AI178)))</f>
        <v/>
      </c>
      <c r="AM178" s="66" t="str">
        <f aca="false">IF(ISBLANK($C178),"",IF($AB178=Constants!$B$7,IF(ISNUMBER(AL178),RANK(AL178,$AL$8:$AL$507),Constants!$B$14),$AB178))</f>
        <v/>
      </c>
      <c r="AN178" s="66" t="str">
        <f aca="false">IF(ISBLANK($C178),"",IF($AB178=Constants!$B$7,IF(AK178=1,AF178,AI178),""))</f>
        <v/>
      </c>
      <c r="AO178" s="66" t="str">
        <f aca="false">IF(ISBLANK($C178),"",IF($AB178=Constants!$B$7,RANK(AN178,$AN$8:$AN$507),$AB178))</f>
        <v/>
      </c>
      <c r="AP178" s="66" t="str">
        <f aca="false">IF(ISBLANK($C178),"",IF($AB178=Constants!$B$7,IF(ISNUMBER(AM178),COUNTIFS($AM$8:$AM$507,"&lt;"&amp;$AM178)+COUNTIFS($AM$8:$AM$507,$AM178,$AO$8:$AO$507,"&lt;"&amp;$AO178)+1,Constants!$B$14),$AB178))</f>
        <v/>
      </c>
      <c r="AQ178" s="66" t="str">
        <f aca="false">IF(ISBLANK($C178),"",IF($AB178=Constants!$B$7,IF(ISNUMBER(AM178),AM178-AP178,Constants!$B$14),$AB178))</f>
        <v/>
      </c>
      <c r="AR178" s="68"/>
      <c r="AS178" s="69" t="str">
        <f aca="false">IF(ISBLANK($C178),"",IF($AB178&lt;&gt;Constants!$B$7,"",AJ178))</f>
        <v/>
      </c>
      <c r="AT178" s="84" t="str">
        <f aca="false">IF(ISBLANK($C178),"",IF($AB178&lt;&gt;Constants!$B$7,"",IF(AJ178=1,AD178,AG178)))</f>
        <v/>
      </c>
      <c r="AU178" s="71" t="str">
        <f aca="false">IF(ISBLANK($C178),"",IF($AB178&lt;&gt;Constants!$B$7,"",IF(AJ178=1,AE178,AH178)))</f>
        <v/>
      </c>
      <c r="AV178" s="72" t="str">
        <f aca="false">IF(ISBLANK($C178),"",IF($AB178&lt;&gt;Constants!$B$7,$AB178,AL178))</f>
        <v/>
      </c>
      <c r="AW178" s="73" t="str">
        <f aca="false">IF(ISBLANK($C178),"",IF($AB178&lt;&gt;Constants!$B$7,$AB178,AC178))</f>
        <v/>
      </c>
      <c r="AX178" s="74" t="str">
        <f aca="false">IF(ISBLANK($C178),"",AQ178)</f>
        <v/>
      </c>
      <c r="AY178" s="74" t="str">
        <f aca="false">IF(ISBLANK($C178),"",AP178)</f>
        <v/>
      </c>
      <c r="AZ178" s="75" t="str">
        <f aca="false">IF(ISBLANK($C178),"",IF(AY178=Constants!$B$4,COUNTA($C$8:$C$507)+2,IF(AY178=Constants!$B$5,COUNTA($C$8:$C$507)+1,IF(AY178=Constants!$B$6,COUNTA($C$8:$C$507),AY178))))</f>
        <v/>
      </c>
      <c r="BA178" s="5"/>
      <c r="BB178" s="76" t="n">
        <f aca="false">IF(OR(ISNUMBER(AY178),AY178=Constants!$B$4,AY178=Constants!$B$6,AY178=Constants!$B$5),1,0)</f>
        <v>0</v>
      </c>
      <c r="BC178" s="76" t="n">
        <v>171</v>
      </c>
      <c r="BD178" s="76" t="str">
        <f aca="false">IF(ISBLANK($C178),"",IF(ISNUMBER(AZ178),AZ178+ROW($B178)/1000,""))</f>
        <v/>
      </c>
      <c r="BE178" s="76" t="str">
        <f aca="false">IF(ISNUMBER(BD178),RANK(BD178,$BD$8:$BD$507,1),"")</f>
        <v/>
      </c>
      <c r="BF178" s="76" t="str">
        <f aca="false">IF(ISBLANK($C178),"",$B178)</f>
        <v/>
      </c>
      <c r="BG178" s="76" t="str">
        <f aca="false">IF(ISBLANK($C178),"",$C178)</f>
        <v/>
      </c>
      <c r="BH178" s="76" t="str">
        <f aca="false">IF(ISBLANK($C178),"",$D178)</f>
        <v/>
      </c>
      <c r="BI178" s="77" t="str">
        <f aca="false">AW178</f>
        <v/>
      </c>
      <c r="BJ178" s="78" t="str">
        <f aca="false">AV178</f>
        <v/>
      </c>
      <c r="BK178" s="76" t="str">
        <f aca="false">IF(ISBLANK($C178),"",AY178)</f>
        <v/>
      </c>
      <c r="BL178" s="79" t="str">
        <f aca="false">IF($BC178&gt;$BB$7,"",VLOOKUP($BC178,$BE$8:$BK$507,7,FALSE()))</f>
        <v/>
      </c>
      <c r="BM178" s="80" t="str">
        <f aca="false">IF($BC178&gt;$BB$7,"",VLOOKUP($BC178,$BE$8:$BK$507,2,FALSE()))</f>
        <v/>
      </c>
      <c r="BN178" s="80" t="str">
        <f aca="false">IF($BC178&gt;$BB$7,"",VLOOKUP($BC178,$BE$8:$BK$507,3,FALSE()))</f>
        <v/>
      </c>
      <c r="BO178" s="80" t="str">
        <f aca="false">IF($BC178&gt;$BB$7,"",VLOOKUP($BC178,$BE$8:$BK$507,4,FALSE()))</f>
        <v/>
      </c>
      <c r="BP178" s="80" t="str">
        <f aca="false">IF($BC178&gt;$BB$7,"",VLOOKUP($BC178,$BE$8:$BK$507,5,FALSE()))</f>
        <v/>
      </c>
      <c r="BQ178" s="81" t="str">
        <f aca="false">IF($BC178&gt;$BB$7,"",VLOOKUP($BC178,$BE$8:$BK$507,6,FALSE()))</f>
        <v/>
      </c>
      <c r="BR178" s="54"/>
    </row>
    <row r="179" customFormat="false" ht="13.8" hidden="false" customHeight="false" outlineLevel="0" collapsed="false">
      <c r="A179" s="5"/>
      <c r="B179" s="120"/>
      <c r="C179" s="121"/>
      <c r="D179" s="112"/>
      <c r="E179" s="123"/>
      <c r="F179" s="91"/>
      <c r="G179" s="92"/>
      <c r="H179" s="93"/>
      <c r="I179" s="94"/>
      <c r="J179" s="91"/>
      <c r="K179" s="92"/>
      <c r="L179" s="93"/>
      <c r="M179" s="94"/>
      <c r="N179" s="91"/>
      <c r="O179" s="123"/>
      <c r="P179" s="96"/>
      <c r="Q179" s="97" t="str">
        <f aca="false">IF(ISBLANK($C179),"",IF(E179=Constants!$B$2, TRUE(), IF(E179=Constants!$B$3, FALSE(), TRUE())))</f>
        <v/>
      </c>
      <c r="R179" s="97" t="str">
        <f aca="false">IF(ISBLANK($C179),"",IF(F179=Constants!$B$16,Constants!$B$9,IF(F179=Constants!$B$17,Constants!$B$10,Constants!$B$8)))</f>
        <v/>
      </c>
      <c r="S179" s="97" t="str">
        <f aca="false">IF(ISBLANK($C179),"",IF(COUNTA(G179:H179)=0,"",IF(AND(OR(ISBLANK(G179),AND(ISNUMBER(G179),G179&gt;=0)),OR(ISBLANK(H179),AND(ISNUMBER(H179),H179&gt;=0))),60*IF(ISBLANK(G179),0,G179)+IF(ISBLANK(H179),0,H179),"")))</f>
        <v/>
      </c>
      <c r="T179" s="97" t="str">
        <f aca="false">IF(ISBLANK($C179),"",IF(I179=Constants!$B$2, TRUE(), IF(I179=Constants!$B$3, FALSE(), TRUE())))</f>
        <v/>
      </c>
      <c r="U179" s="97" t="str">
        <f aca="false">IF(ISBLANK($C179),"",IF(J179=Constants!$B$2, TRUE(), IF(J179=Constants!$B$3, FALSE(), TRUE())))</f>
        <v/>
      </c>
      <c r="V179" s="97" t="str">
        <f aca="false">IF(ISBLANK($C179),"",IF(COUNTA(K179:L179)=0,"",IF(AND(OR(ISBLANK(K179),AND(ISNUMBER(K179),K179&gt;=0)),OR(ISBLANK(L179),AND(ISNUMBER(L179),L179&gt;=0))),60*IF(ISBLANK(K179),0,K179)+IF(ISBLANK(L179),0,L179),"")))</f>
        <v/>
      </c>
      <c r="W179" s="97" t="str">
        <f aca="false">IF(ISBLANK($C179),"",IF(M179=Constants!$B$2, TRUE(), IF(M179=Constants!$B$3, FALSE(), TRUE())))</f>
        <v/>
      </c>
      <c r="X179" s="97" t="str">
        <f aca="false">IF(ISBLANK($C179),"",IF(N179=Constants!$B$2, TRUE(), IF(N179=Constants!$B$3, FALSE(), TRUE())))</f>
        <v/>
      </c>
      <c r="Y179" s="97" t="str">
        <f aca="false">IF(ISBLANK($C179),"",IF(O179=Constants!$B$2, TRUE(), IF(O179=Constants!$B$3, FALSE(), FALSE())))</f>
        <v/>
      </c>
      <c r="Z179" s="97" t="str">
        <f aca="false">IF(ISBLANK($C179),"",AND(S179&lt;&gt;"",Q179))</f>
        <v/>
      </c>
      <c r="AA179" s="97" t="str">
        <f aca="false">IF(ISBLANK($C179),"",AND(V179&lt;&gt;"",Q179))</f>
        <v/>
      </c>
      <c r="AB179" s="97" t="str">
        <f aca="false">IF(ISBLANK($C179),"",IF(Y179,Constants!$B$4,IF(COUNTA(E179:N179)=0,Constants!$B$5,IF(NOT(Q179),Constants!$B$6,IF(AND(NOT(Z179),NOT(AA179)),Constants!$B$6,Constants!$B$7)))))</f>
        <v/>
      </c>
      <c r="AC179" s="97" t="str">
        <f aca="false">IF(ISBLANK($C179),"",IF($AB179&lt;&gt;Constants!$B$7,$AB179,Constants!$B$20))</f>
        <v/>
      </c>
      <c r="AD179" s="97" t="str">
        <f aca="false">IF($AB179=Constants!$B$7,IF(Z179,S179,Constants!$B$13),"")</f>
        <v/>
      </c>
      <c r="AE179" s="97" t="str">
        <f aca="false">IF($AB179=Constants!$B$7,IF(Z179,R179*IF(T179, 1, Constants!$B$11)*IF(U179, 1, Constants!$B$12),Constants!$B$13),"")</f>
        <v/>
      </c>
      <c r="AF179" s="97" t="str">
        <f aca="false">IF($AB179=Constants!$B$7,AD179*AE179,"")</f>
        <v/>
      </c>
      <c r="AG179" s="97" t="str">
        <f aca="false">IF($AB179=Constants!$B$7,IF(AA179,V179,Constants!$B$13),"")</f>
        <v/>
      </c>
      <c r="AH179" s="97" t="str">
        <f aca="false">IF($AB179=Constants!$B$7,IF(AA179,R179*IF(W179, 1, Constants!$B$11)*IF(X179, 1, Constants!$B$12),Constants!$B$13),"")</f>
        <v/>
      </c>
      <c r="AI179" s="97" t="str">
        <f aca="false">IF($AB179=Constants!$B$7,AG179*AH179,"")</f>
        <v/>
      </c>
      <c r="AJ179" s="97" t="str">
        <f aca="false">IF($AB179=Constants!$B$7,IF(AI179&gt;AF179,2,1),"")</f>
        <v/>
      </c>
      <c r="AK179" s="97" t="str">
        <f aca="false">IF($AB179=Constants!$B$7,IF(AJ179=1,2,1),"")</f>
        <v/>
      </c>
      <c r="AL179" s="97" t="str">
        <f aca="false">IF(ISBLANK($C179),"",IF($AB179&lt;&gt;Constants!$B$7,$AB179,IF(AJ179=1,AF179,AI179)))</f>
        <v/>
      </c>
      <c r="AM179" s="97" t="str">
        <f aca="false">IF(ISBLANK($C179),"",IF($AB179=Constants!$B$7,IF(ISNUMBER(AL179),RANK(AL179,$AL$8:$AL$507),Constants!$B$14),$AB179))</f>
        <v/>
      </c>
      <c r="AN179" s="97" t="str">
        <f aca="false">IF(ISBLANK($C179),"",IF($AB179=Constants!$B$7,IF(AK179=1,AF179,AI179),""))</f>
        <v/>
      </c>
      <c r="AO179" s="97" t="str">
        <f aca="false">IF(ISBLANK($C179),"",IF($AB179=Constants!$B$7,RANK(AN179,$AN$8:$AN$507),$AB179))</f>
        <v/>
      </c>
      <c r="AP179" s="97" t="str">
        <f aca="false">IF(ISBLANK($C179),"",IF($AB179=Constants!$B$7,IF(ISNUMBER(AM179),COUNTIFS($AM$8:$AM$507,"&lt;"&amp;$AM179)+COUNTIFS($AM$8:$AM$507,$AM179,$AO$8:$AO$507,"&lt;"&amp;$AO179)+1,Constants!$B$14),$AB179))</f>
        <v/>
      </c>
      <c r="AQ179" s="97" t="str">
        <f aca="false">IF(ISBLANK($C179),"",IF($AB179=Constants!$B$7,IF(ISNUMBER(AM179),AM179-AP179,Constants!$B$14),$AB179))</f>
        <v/>
      </c>
      <c r="AR179" s="98"/>
      <c r="AS179" s="99" t="str">
        <f aca="false">IF(ISBLANK($C179),"",IF($AB179&lt;&gt;Constants!$B$7,"",AJ179))</f>
        <v/>
      </c>
      <c r="AT179" s="100" t="str">
        <f aca="false">IF(ISBLANK($C179),"",IF($AB179&lt;&gt;Constants!$B$7,"",IF(AJ179=1,AD179,AG179)))</f>
        <v/>
      </c>
      <c r="AU179" s="101" t="str">
        <f aca="false">IF(ISBLANK($C179),"",IF($AB179&lt;&gt;Constants!$B$7,"",IF(AJ179=1,AE179,AH179)))</f>
        <v/>
      </c>
      <c r="AV179" s="102" t="str">
        <f aca="false">IF(ISBLANK($C179),"",IF($AB179&lt;&gt;Constants!$B$7,$AB179,AL179))</f>
        <v/>
      </c>
      <c r="AW179" s="103" t="str">
        <f aca="false">IF(ISBLANK($C179),"",IF($AB179&lt;&gt;Constants!$B$7,$AB179,AC179))</f>
        <v/>
      </c>
      <c r="AX179" s="104" t="str">
        <f aca="false">IF(ISBLANK($C179),"",AQ179)</f>
        <v/>
      </c>
      <c r="AY179" s="104" t="str">
        <f aca="false">IF(ISBLANK($C179),"",AP179)</f>
        <v/>
      </c>
      <c r="AZ179" s="105" t="str">
        <f aca="false">IF(ISBLANK($C179),"",IF(AY179=Constants!$B$4,COUNTA($C$8:$C$507)+2,IF(AY179=Constants!$B$5,COUNTA($C$8:$C$507)+1,IF(AY179=Constants!$B$6,COUNTA($C$8:$C$507),AY179))))</f>
        <v/>
      </c>
      <c r="BA179" s="5"/>
      <c r="BB179" s="106" t="n">
        <f aca="false">IF(OR(ISNUMBER(AY179),AY179=Constants!$B$4,AY179=Constants!$B$6,AY179=Constants!$B$5),1,0)</f>
        <v>0</v>
      </c>
      <c r="BC179" s="106" t="n">
        <v>172</v>
      </c>
      <c r="BD179" s="106" t="str">
        <f aca="false">IF(ISBLANK($C179),"",IF(ISNUMBER(AZ179),AZ179+ROW($B179)/1000,""))</f>
        <v/>
      </c>
      <c r="BE179" s="106" t="str">
        <f aca="false">IF(ISNUMBER(BD179),RANK(BD179,$BD$8:$BD$507,1),"")</f>
        <v/>
      </c>
      <c r="BF179" s="106" t="str">
        <f aca="false">IF(ISBLANK($C179),"",$B179)</f>
        <v/>
      </c>
      <c r="BG179" s="106" t="str">
        <f aca="false">IF(ISBLANK($C179),"",$C179)</f>
        <v/>
      </c>
      <c r="BH179" s="106" t="str">
        <f aca="false">IF(ISBLANK($C179),"",$D179)</f>
        <v/>
      </c>
      <c r="BI179" s="107" t="str">
        <f aca="false">AW179</f>
        <v/>
      </c>
      <c r="BJ179" s="108" t="str">
        <f aca="false">AV179</f>
        <v/>
      </c>
      <c r="BK179" s="106" t="str">
        <f aca="false">IF(ISBLANK($C179),"",AY179)</f>
        <v/>
      </c>
      <c r="BL179" s="109" t="str">
        <f aca="false">IF($BC179&gt;$BB$7,"",VLOOKUP($BC179,$BE$8:$BK$507,7,FALSE()))</f>
        <v/>
      </c>
      <c r="BM179" s="110" t="str">
        <f aca="false">IF($BC179&gt;$BB$7,"",VLOOKUP($BC179,$BE$8:$BK$507,2,FALSE()))</f>
        <v/>
      </c>
      <c r="BN179" s="110" t="str">
        <f aca="false">IF($BC179&gt;$BB$7,"",VLOOKUP($BC179,$BE$8:$BK$507,3,FALSE()))</f>
        <v/>
      </c>
      <c r="BO179" s="110" t="str">
        <f aca="false">IF($BC179&gt;$BB$7,"",VLOOKUP($BC179,$BE$8:$BK$507,4,FALSE()))</f>
        <v/>
      </c>
      <c r="BP179" s="110" t="str">
        <f aca="false">IF($BC179&gt;$BB$7,"",VLOOKUP($BC179,$BE$8:$BK$507,5,FALSE()))</f>
        <v/>
      </c>
      <c r="BQ179" s="111" t="str">
        <f aca="false">IF($BC179&gt;$BB$7,"",VLOOKUP($BC179,$BE$8:$BK$507,6,FALSE()))</f>
        <v/>
      </c>
      <c r="BR179" s="54"/>
    </row>
    <row r="180" customFormat="false" ht="13.8" hidden="false" customHeight="false" outlineLevel="0" collapsed="false">
      <c r="A180" s="5"/>
      <c r="B180" s="120"/>
      <c r="C180" s="121"/>
      <c r="D180" s="112"/>
      <c r="E180" s="123"/>
      <c r="F180" s="91"/>
      <c r="G180" s="92"/>
      <c r="H180" s="93"/>
      <c r="I180" s="94"/>
      <c r="J180" s="91"/>
      <c r="K180" s="92"/>
      <c r="L180" s="93"/>
      <c r="M180" s="94"/>
      <c r="N180" s="91"/>
      <c r="O180" s="123"/>
      <c r="P180" s="96"/>
      <c r="Q180" s="97" t="str">
        <f aca="false">IF(ISBLANK($C180),"",IF(E180=Constants!$B$2, TRUE(), IF(E180=Constants!$B$3, FALSE(), TRUE())))</f>
        <v/>
      </c>
      <c r="R180" s="97" t="str">
        <f aca="false">IF(ISBLANK($C180),"",IF(F180=Constants!$B$16,Constants!$B$9,IF(F180=Constants!$B$17,Constants!$B$10,Constants!$B$8)))</f>
        <v/>
      </c>
      <c r="S180" s="97" t="str">
        <f aca="false">IF(ISBLANK($C180),"",IF(COUNTA(G180:H180)=0,"",IF(AND(OR(ISBLANK(G180),AND(ISNUMBER(G180),G180&gt;=0)),OR(ISBLANK(H180),AND(ISNUMBER(H180),H180&gt;=0))),60*IF(ISBLANK(G180),0,G180)+IF(ISBLANK(H180),0,H180),"")))</f>
        <v/>
      </c>
      <c r="T180" s="97" t="str">
        <f aca="false">IF(ISBLANK($C180),"",IF(I180=Constants!$B$2, TRUE(), IF(I180=Constants!$B$3, FALSE(), TRUE())))</f>
        <v/>
      </c>
      <c r="U180" s="97" t="str">
        <f aca="false">IF(ISBLANK($C180),"",IF(J180=Constants!$B$2, TRUE(), IF(J180=Constants!$B$3, FALSE(), TRUE())))</f>
        <v/>
      </c>
      <c r="V180" s="97" t="str">
        <f aca="false">IF(ISBLANK($C180),"",IF(COUNTA(K180:L180)=0,"",IF(AND(OR(ISBLANK(K180),AND(ISNUMBER(K180),K180&gt;=0)),OR(ISBLANK(L180),AND(ISNUMBER(L180),L180&gt;=0))),60*IF(ISBLANK(K180),0,K180)+IF(ISBLANK(L180),0,L180),"")))</f>
        <v/>
      </c>
      <c r="W180" s="97" t="str">
        <f aca="false">IF(ISBLANK($C180),"",IF(M180=Constants!$B$2, TRUE(), IF(M180=Constants!$B$3, FALSE(), TRUE())))</f>
        <v/>
      </c>
      <c r="X180" s="97" t="str">
        <f aca="false">IF(ISBLANK($C180),"",IF(N180=Constants!$B$2, TRUE(), IF(N180=Constants!$B$3, FALSE(), TRUE())))</f>
        <v/>
      </c>
      <c r="Y180" s="97" t="str">
        <f aca="false">IF(ISBLANK($C180),"",IF(O180=Constants!$B$2, TRUE(), IF(O180=Constants!$B$3, FALSE(), FALSE())))</f>
        <v/>
      </c>
      <c r="Z180" s="97" t="str">
        <f aca="false">IF(ISBLANK($C180),"",AND(S180&lt;&gt;"",Q180))</f>
        <v/>
      </c>
      <c r="AA180" s="97" t="str">
        <f aca="false">IF(ISBLANK($C180),"",AND(V180&lt;&gt;"",Q180))</f>
        <v/>
      </c>
      <c r="AB180" s="97" t="str">
        <f aca="false">IF(ISBLANK($C180),"",IF(Y180,Constants!$B$4,IF(COUNTA(E180:N180)=0,Constants!$B$5,IF(NOT(Q180),Constants!$B$6,IF(AND(NOT(Z180),NOT(AA180)),Constants!$B$6,Constants!$B$7)))))</f>
        <v/>
      </c>
      <c r="AC180" s="97" t="str">
        <f aca="false">IF(ISBLANK($C180),"",IF($AB180&lt;&gt;Constants!$B$7,$AB180,Constants!$B$20))</f>
        <v/>
      </c>
      <c r="AD180" s="97" t="str">
        <f aca="false">IF($AB180=Constants!$B$7,IF(Z180,S180,Constants!$B$13),"")</f>
        <v/>
      </c>
      <c r="AE180" s="97" t="str">
        <f aca="false">IF($AB180=Constants!$B$7,IF(Z180,R180*IF(T180, 1, Constants!$B$11)*IF(U180, 1, Constants!$B$12),Constants!$B$13),"")</f>
        <v/>
      </c>
      <c r="AF180" s="97" t="str">
        <f aca="false">IF($AB180=Constants!$B$7,AD180*AE180,"")</f>
        <v/>
      </c>
      <c r="AG180" s="97" t="str">
        <f aca="false">IF($AB180=Constants!$B$7,IF(AA180,V180,Constants!$B$13),"")</f>
        <v/>
      </c>
      <c r="AH180" s="97" t="str">
        <f aca="false">IF($AB180=Constants!$B$7,IF(AA180,R180*IF(W180, 1, Constants!$B$11)*IF(X180, 1, Constants!$B$12),Constants!$B$13),"")</f>
        <v/>
      </c>
      <c r="AI180" s="97" t="str">
        <f aca="false">IF($AB180=Constants!$B$7,AG180*AH180,"")</f>
        <v/>
      </c>
      <c r="AJ180" s="97" t="str">
        <f aca="false">IF($AB180=Constants!$B$7,IF(AI180&gt;AF180,2,1),"")</f>
        <v/>
      </c>
      <c r="AK180" s="97" t="str">
        <f aca="false">IF($AB180=Constants!$B$7,IF(AJ180=1,2,1),"")</f>
        <v/>
      </c>
      <c r="AL180" s="97" t="str">
        <f aca="false">IF(ISBLANK($C180),"",IF($AB180&lt;&gt;Constants!$B$7,$AB180,IF(AJ180=1,AF180,AI180)))</f>
        <v/>
      </c>
      <c r="AM180" s="97" t="str">
        <f aca="false">IF(ISBLANK($C180),"",IF($AB180=Constants!$B$7,IF(ISNUMBER(AL180),RANK(AL180,$AL$8:$AL$507),Constants!$B$14),$AB180))</f>
        <v/>
      </c>
      <c r="AN180" s="97" t="str">
        <f aca="false">IF(ISBLANK($C180),"",IF($AB180=Constants!$B$7,IF(AK180=1,AF180,AI180),""))</f>
        <v/>
      </c>
      <c r="AO180" s="97" t="str">
        <f aca="false">IF(ISBLANK($C180),"",IF($AB180=Constants!$B$7,RANK(AN180,$AN$8:$AN$507),$AB180))</f>
        <v/>
      </c>
      <c r="AP180" s="97" t="str">
        <f aca="false">IF(ISBLANK($C180),"",IF($AB180=Constants!$B$7,IF(ISNUMBER(AM180),COUNTIFS($AM$8:$AM$507,"&lt;"&amp;$AM180)+COUNTIFS($AM$8:$AM$507,$AM180,$AO$8:$AO$507,"&lt;"&amp;$AO180)+1,Constants!$B$14),$AB180))</f>
        <v/>
      </c>
      <c r="AQ180" s="97" t="str">
        <f aca="false">IF(ISBLANK($C180),"",IF($AB180=Constants!$B$7,IF(ISNUMBER(AM180),AM180-AP180,Constants!$B$14),$AB180))</f>
        <v/>
      </c>
      <c r="AR180" s="98"/>
      <c r="AS180" s="99" t="str">
        <f aca="false">IF(ISBLANK($C180),"",IF($AB180&lt;&gt;Constants!$B$7,"",AJ180))</f>
        <v/>
      </c>
      <c r="AT180" s="100" t="str">
        <f aca="false">IF(ISBLANK($C180),"",IF($AB180&lt;&gt;Constants!$B$7,"",IF(AJ180=1,AD180,AG180)))</f>
        <v/>
      </c>
      <c r="AU180" s="101" t="str">
        <f aca="false">IF(ISBLANK($C180),"",IF($AB180&lt;&gt;Constants!$B$7,"",IF(AJ180=1,AE180,AH180)))</f>
        <v/>
      </c>
      <c r="AV180" s="102" t="str">
        <f aca="false">IF(ISBLANK($C180),"",IF($AB180&lt;&gt;Constants!$B$7,$AB180,AL180))</f>
        <v/>
      </c>
      <c r="AW180" s="103" t="str">
        <f aca="false">IF(ISBLANK($C180),"",IF($AB180&lt;&gt;Constants!$B$7,$AB180,AC180))</f>
        <v/>
      </c>
      <c r="AX180" s="104" t="str">
        <f aca="false">IF(ISBLANK($C180),"",AQ180)</f>
        <v/>
      </c>
      <c r="AY180" s="104" t="str">
        <f aca="false">IF(ISBLANK($C180),"",AP180)</f>
        <v/>
      </c>
      <c r="AZ180" s="105" t="str">
        <f aca="false">IF(ISBLANK($C180),"",IF(AY180=Constants!$B$4,COUNTA($C$8:$C$507)+2,IF(AY180=Constants!$B$5,COUNTA($C$8:$C$507)+1,IF(AY180=Constants!$B$6,COUNTA($C$8:$C$507),AY180))))</f>
        <v/>
      </c>
      <c r="BA180" s="5"/>
      <c r="BB180" s="106" t="n">
        <f aca="false">IF(OR(ISNUMBER(AY180),AY180=Constants!$B$4,AY180=Constants!$B$6,AY180=Constants!$B$5),1,0)</f>
        <v>0</v>
      </c>
      <c r="BC180" s="106" t="n">
        <v>173</v>
      </c>
      <c r="BD180" s="106" t="str">
        <f aca="false">IF(ISBLANK($C180),"",IF(ISNUMBER(AZ180),AZ180+ROW($B180)/1000,""))</f>
        <v/>
      </c>
      <c r="BE180" s="106" t="str">
        <f aca="false">IF(ISNUMBER(BD180),RANK(BD180,$BD$8:$BD$507,1),"")</f>
        <v/>
      </c>
      <c r="BF180" s="106" t="str">
        <f aca="false">IF(ISBLANK($C180),"",$B180)</f>
        <v/>
      </c>
      <c r="BG180" s="106" t="str">
        <f aca="false">IF(ISBLANK($C180),"",$C180)</f>
        <v/>
      </c>
      <c r="BH180" s="106" t="str">
        <f aca="false">IF(ISBLANK($C180),"",$D180)</f>
        <v/>
      </c>
      <c r="BI180" s="107" t="str">
        <f aca="false">AW180</f>
        <v/>
      </c>
      <c r="BJ180" s="108" t="str">
        <f aca="false">AV180</f>
        <v/>
      </c>
      <c r="BK180" s="106" t="str">
        <f aca="false">IF(ISBLANK($C180),"",AY180)</f>
        <v/>
      </c>
      <c r="BL180" s="109" t="str">
        <f aca="false">IF($BC180&gt;$BB$7,"",VLOOKUP($BC180,$BE$8:$BK$507,7,FALSE()))</f>
        <v/>
      </c>
      <c r="BM180" s="110" t="str">
        <f aca="false">IF($BC180&gt;$BB$7,"",VLOOKUP($BC180,$BE$8:$BK$507,2,FALSE()))</f>
        <v/>
      </c>
      <c r="BN180" s="110" t="str">
        <f aca="false">IF($BC180&gt;$BB$7,"",VLOOKUP($BC180,$BE$8:$BK$507,3,FALSE()))</f>
        <v/>
      </c>
      <c r="BO180" s="110" t="str">
        <f aca="false">IF($BC180&gt;$BB$7,"",VLOOKUP($BC180,$BE$8:$BK$507,4,FALSE()))</f>
        <v/>
      </c>
      <c r="BP180" s="110" t="str">
        <f aca="false">IF($BC180&gt;$BB$7,"",VLOOKUP($BC180,$BE$8:$BK$507,5,FALSE()))</f>
        <v/>
      </c>
      <c r="BQ180" s="111" t="str">
        <f aca="false">IF($BC180&gt;$BB$7,"",VLOOKUP($BC180,$BE$8:$BK$507,6,FALSE()))</f>
        <v/>
      </c>
      <c r="BR180" s="54"/>
    </row>
    <row r="181" customFormat="false" ht="13.8" hidden="false" customHeight="false" outlineLevel="0" collapsed="false">
      <c r="A181" s="5"/>
      <c r="B181" s="120"/>
      <c r="C181" s="121"/>
      <c r="D181" s="112"/>
      <c r="E181" s="123"/>
      <c r="F181" s="91"/>
      <c r="G181" s="92"/>
      <c r="H181" s="93"/>
      <c r="I181" s="94"/>
      <c r="J181" s="91"/>
      <c r="K181" s="92"/>
      <c r="L181" s="93"/>
      <c r="M181" s="94"/>
      <c r="N181" s="91"/>
      <c r="O181" s="123"/>
      <c r="P181" s="96"/>
      <c r="Q181" s="97" t="str">
        <f aca="false">IF(ISBLANK($C181),"",IF(E181=Constants!$B$2, TRUE(), IF(E181=Constants!$B$3, FALSE(), TRUE())))</f>
        <v/>
      </c>
      <c r="R181" s="97" t="str">
        <f aca="false">IF(ISBLANK($C181),"",IF(F181=Constants!$B$16,Constants!$B$9,IF(F181=Constants!$B$17,Constants!$B$10,Constants!$B$8)))</f>
        <v/>
      </c>
      <c r="S181" s="97" t="str">
        <f aca="false">IF(ISBLANK($C181),"",IF(COUNTA(G181:H181)=0,"",IF(AND(OR(ISBLANK(G181),AND(ISNUMBER(G181),G181&gt;=0)),OR(ISBLANK(H181),AND(ISNUMBER(H181),H181&gt;=0))),60*IF(ISBLANK(G181),0,G181)+IF(ISBLANK(H181),0,H181),"")))</f>
        <v/>
      </c>
      <c r="T181" s="97" t="str">
        <f aca="false">IF(ISBLANK($C181),"",IF(I181=Constants!$B$2, TRUE(), IF(I181=Constants!$B$3, FALSE(), TRUE())))</f>
        <v/>
      </c>
      <c r="U181" s="97" t="str">
        <f aca="false">IF(ISBLANK($C181),"",IF(J181=Constants!$B$2, TRUE(), IF(J181=Constants!$B$3, FALSE(), TRUE())))</f>
        <v/>
      </c>
      <c r="V181" s="97" t="str">
        <f aca="false">IF(ISBLANK($C181),"",IF(COUNTA(K181:L181)=0,"",IF(AND(OR(ISBLANK(K181),AND(ISNUMBER(K181),K181&gt;=0)),OR(ISBLANK(L181),AND(ISNUMBER(L181),L181&gt;=0))),60*IF(ISBLANK(K181),0,K181)+IF(ISBLANK(L181),0,L181),"")))</f>
        <v/>
      </c>
      <c r="W181" s="97" t="str">
        <f aca="false">IF(ISBLANK($C181),"",IF(M181=Constants!$B$2, TRUE(), IF(M181=Constants!$B$3, FALSE(), TRUE())))</f>
        <v/>
      </c>
      <c r="X181" s="97" t="str">
        <f aca="false">IF(ISBLANK($C181),"",IF(N181=Constants!$B$2, TRUE(), IF(N181=Constants!$B$3, FALSE(), TRUE())))</f>
        <v/>
      </c>
      <c r="Y181" s="97" t="str">
        <f aca="false">IF(ISBLANK($C181),"",IF(O181=Constants!$B$2, TRUE(), IF(O181=Constants!$B$3, FALSE(), FALSE())))</f>
        <v/>
      </c>
      <c r="Z181" s="97" t="str">
        <f aca="false">IF(ISBLANK($C181),"",AND(S181&lt;&gt;"",Q181))</f>
        <v/>
      </c>
      <c r="AA181" s="97" t="str">
        <f aca="false">IF(ISBLANK($C181),"",AND(V181&lt;&gt;"",Q181))</f>
        <v/>
      </c>
      <c r="AB181" s="97" t="str">
        <f aca="false">IF(ISBLANK($C181),"",IF(Y181,Constants!$B$4,IF(COUNTA(E181:N181)=0,Constants!$B$5,IF(NOT(Q181),Constants!$B$6,IF(AND(NOT(Z181),NOT(AA181)),Constants!$B$6,Constants!$B$7)))))</f>
        <v/>
      </c>
      <c r="AC181" s="97" t="str">
        <f aca="false">IF(ISBLANK($C181),"",IF($AB181&lt;&gt;Constants!$B$7,$AB181,Constants!$B$20))</f>
        <v/>
      </c>
      <c r="AD181" s="97" t="str">
        <f aca="false">IF($AB181=Constants!$B$7,IF(Z181,S181,Constants!$B$13),"")</f>
        <v/>
      </c>
      <c r="AE181" s="97" t="str">
        <f aca="false">IF($AB181=Constants!$B$7,IF(Z181,R181*IF(T181, 1, Constants!$B$11)*IF(U181, 1, Constants!$B$12),Constants!$B$13),"")</f>
        <v/>
      </c>
      <c r="AF181" s="97" t="str">
        <f aca="false">IF($AB181=Constants!$B$7,AD181*AE181,"")</f>
        <v/>
      </c>
      <c r="AG181" s="97" t="str">
        <f aca="false">IF($AB181=Constants!$B$7,IF(AA181,V181,Constants!$B$13),"")</f>
        <v/>
      </c>
      <c r="AH181" s="97" t="str">
        <f aca="false">IF($AB181=Constants!$B$7,IF(AA181,R181*IF(W181, 1, Constants!$B$11)*IF(X181, 1, Constants!$B$12),Constants!$B$13),"")</f>
        <v/>
      </c>
      <c r="AI181" s="97" t="str">
        <f aca="false">IF($AB181=Constants!$B$7,AG181*AH181,"")</f>
        <v/>
      </c>
      <c r="AJ181" s="97" t="str">
        <f aca="false">IF($AB181=Constants!$B$7,IF(AI181&gt;AF181,2,1),"")</f>
        <v/>
      </c>
      <c r="AK181" s="97" t="str">
        <f aca="false">IF($AB181=Constants!$B$7,IF(AJ181=1,2,1),"")</f>
        <v/>
      </c>
      <c r="AL181" s="97" t="str">
        <f aca="false">IF(ISBLANK($C181),"",IF($AB181&lt;&gt;Constants!$B$7,$AB181,IF(AJ181=1,AF181,AI181)))</f>
        <v/>
      </c>
      <c r="AM181" s="97" t="str">
        <f aca="false">IF(ISBLANK($C181),"",IF($AB181=Constants!$B$7,IF(ISNUMBER(AL181),RANK(AL181,$AL$8:$AL$507),Constants!$B$14),$AB181))</f>
        <v/>
      </c>
      <c r="AN181" s="97" t="str">
        <f aca="false">IF(ISBLANK($C181),"",IF($AB181=Constants!$B$7,IF(AK181=1,AF181,AI181),""))</f>
        <v/>
      </c>
      <c r="AO181" s="97" t="str">
        <f aca="false">IF(ISBLANK($C181),"",IF($AB181=Constants!$B$7,RANK(AN181,$AN$8:$AN$507),$AB181))</f>
        <v/>
      </c>
      <c r="AP181" s="97" t="str">
        <f aca="false">IF(ISBLANK($C181),"",IF($AB181=Constants!$B$7,IF(ISNUMBER(AM181),COUNTIFS($AM$8:$AM$507,"&lt;"&amp;$AM181)+COUNTIFS($AM$8:$AM$507,$AM181,$AO$8:$AO$507,"&lt;"&amp;$AO181)+1,Constants!$B$14),$AB181))</f>
        <v/>
      </c>
      <c r="AQ181" s="97" t="str">
        <f aca="false">IF(ISBLANK($C181),"",IF($AB181=Constants!$B$7,IF(ISNUMBER(AM181),AM181-AP181,Constants!$B$14),$AB181))</f>
        <v/>
      </c>
      <c r="AR181" s="98"/>
      <c r="AS181" s="99" t="str">
        <f aca="false">IF(ISBLANK($C181),"",IF($AB181&lt;&gt;Constants!$B$7,"",AJ181))</f>
        <v/>
      </c>
      <c r="AT181" s="100" t="str">
        <f aca="false">IF(ISBLANK($C181),"",IF($AB181&lt;&gt;Constants!$B$7,"",IF(AJ181=1,AD181,AG181)))</f>
        <v/>
      </c>
      <c r="AU181" s="101" t="str">
        <f aca="false">IF(ISBLANK($C181),"",IF($AB181&lt;&gt;Constants!$B$7,"",IF(AJ181=1,AE181,AH181)))</f>
        <v/>
      </c>
      <c r="AV181" s="102" t="str">
        <f aca="false">IF(ISBLANK($C181),"",IF($AB181&lt;&gt;Constants!$B$7,$AB181,AL181))</f>
        <v/>
      </c>
      <c r="AW181" s="103" t="str">
        <f aca="false">IF(ISBLANK($C181),"",IF($AB181&lt;&gt;Constants!$B$7,$AB181,AC181))</f>
        <v/>
      </c>
      <c r="AX181" s="104" t="str">
        <f aca="false">IF(ISBLANK($C181),"",AQ181)</f>
        <v/>
      </c>
      <c r="AY181" s="104" t="str">
        <f aca="false">IF(ISBLANK($C181),"",AP181)</f>
        <v/>
      </c>
      <c r="AZ181" s="105" t="str">
        <f aca="false">IF(ISBLANK($C181),"",IF(AY181=Constants!$B$4,COUNTA($C$8:$C$507)+2,IF(AY181=Constants!$B$5,COUNTA($C$8:$C$507)+1,IF(AY181=Constants!$B$6,COUNTA($C$8:$C$507),AY181))))</f>
        <v/>
      </c>
      <c r="BA181" s="5"/>
      <c r="BB181" s="106" t="n">
        <f aca="false">IF(OR(ISNUMBER(AY181),AY181=Constants!$B$4,AY181=Constants!$B$6,AY181=Constants!$B$5),1,0)</f>
        <v>0</v>
      </c>
      <c r="BC181" s="106" t="n">
        <v>174</v>
      </c>
      <c r="BD181" s="106" t="str">
        <f aca="false">IF(ISBLANK($C181),"",IF(ISNUMBER(AZ181),AZ181+ROW($B181)/1000,""))</f>
        <v/>
      </c>
      <c r="BE181" s="106" t="str">
        <f aca="false">IF(ISNUMBER(BD181),RANK(BD181,$BD$8:$BD$507,1),"")</f>
        <v/>
      </c>
      <c r="BF181" s="106" t="str">
        <f aca="false">IF(ISBLANK($C181),"",$B181)</f>
        <v/>
      </c>
      <c r="BG181" s="106" t="str">
        <f aca="false">IF(ISBLANK($C181),"",$C181)</f>
        <v/>
      </c>
      <c r="BH181" s="106" t="str">
        <f aca="false">IF(ISBLANK($C181),"",$D181)</f>
        <v/>
      </c>
      <c r="BI181" s="107" t="str">
        <f aca="false">AW181</f>
        <v/>
      </c>
      <c r="BJ181" s="108" t="str">
        <f aca="false">AV181</f>
        <v/>
      </c>
      <c r="BK181" s="106" t="str">
        <f aca="false">IF(ISBLANK($C181),"",AY181)</f>
        <v/>
      </c>
      <c r="BL181" s="109" t="str">
        <f aca="false">IF($BC181&gt;$BB$7,"",VLOOKUP($BC181,$BE$8:$BK$507,7,FALSE()))</f>
        <v/>
      </c>
      <c r="BM181" s="110" t="str">
        <f aca="false">IF($BC181&gt;$BB$7,"",VLOOKUP($BC181,$BE$8:$BK$507,2,FALSE()))</f>
        <v/>
      </c>
      <c r="BN181" s="110" t="str">
        <f aca="false">IF($BC181&gt;$BB$7,"",VLOOKUP($BC181,$BE$8:$BK$507,3,FALSE()))</f>
        <v/>
      </c>
      <c r="BO181" s="110" t="str">
        <f aca="false">IF($BC181&gt;$BB$7,"",VLOOKUP($BC181,$BE$8:$BK$507,4,FALSE()))</f>
        <v/>
      </c>
      <c r="BP181" s="110" t="str">
        <f aca="false">IF($BC181&gt;$BB$7,"",VLOOKUP($BC181,$BE$8:$BK$507,5,FALSE()))</f>
        <v/>
      </c>
      <c r="BQ181" s="111" t="str">
        <f aca="false">IF($BC181&gt;$BB$7,"",VLOOKUP($BC181,$BE$8:$BK$507,6,FALSE()))</f>
        <v/>
      </c>
      <c r="BR181" s="54"/>
    </row>
    <row r="182" customFormat="false" ht="13.8" hidden="false" customHeight="false" outlineLevel="0" collapsed="false">
      <c r="A182" s="5"/>
      <c r="B182" s="124"/>
      <c r="C182" s="56"/>
      <c r="D182" s="57"/>
      <c r="E182" s="83"/>
      <c r="F182" s="59"/>
      <c r="G182" s="60"/>
      <c r="H182" s="61"/>
      <c r="I182" s="62"/>
      <c r="J182" s="59"/>
      <c r="K182" s="60"/>
      <c r="L182" s="61"/>
      <c r="M182" s="62"/>
      <c r="N182" s="59"/>
      <c r="O182" s="83"/>
      <c r="P182" s="64"/>
      <c r="Q182" s="66" t="str">
        <f aca="false">IF(ISBLANK($C182),"",IF(E182=Constants!$B$2, TRUE(), IF(E182=Constants!$B$3, FALSE(), TRUE())))</f>
        <v/>
      </c>
      <c r="R182" s="66" t="str">
        <f aca="false">IF(ISBLANK($C182),"",IF(F182=Constants!$B$16,Constants!$B$9,IF(F182=Constants!$B$17,Constants!$B$10,Constants!$B$8)))</f>
        <v/>
      </c>
      <c r="S182" s="66" t="str">
        <f aca="false">IF(ISBLANK($C182),"",IF(COUNTA(G182:H182)=0,"",IF(AND(OR(ISBLANK(G182),AND(ISNUMBER(G182),G182&gt;=0)),OR(ISBLANK(H182),AND(ISNUMBER(H182),H182&gt;=0))),60*IF(ISBLANK(G182),0,G182)+IF(ISBLANK(H182),0,H182),"")))</f>
        <v/>
      </c>
      <c r="T182" s="66" t="str">
        <f aca="false">IF(ISBLANK($C182),"",IF(I182=Constants!$B$2, TRUE(), IF(I182=Constants!$B$3, FALSE(), TRUE())))</f>
        <v/>
      </c>
      <c r="U182" s="66" t="str">
        <f aca="false">IF(ISBLANK($C182),"",IF(J182=Constants!$B$2, TRUE(), IF(J182=Constants!$B$3, FALSE(), TRUE())))</f>
        <v/>
      </c>
      <c r="V182" s="66" t="str">
        <f aca="false">IF(ISBLANK($C182),"",IF(COUNTA(K182:L182)=0,"",IF(AND(OR(ISBLANK(K182),AND(ISNUMBER(K182),K182&gt;=0)),OR(ISBLANK(L182),AND(ISNUMBER(L182),L182&gt;=0))),60*IF(ISBLANK(K182),0,K182)+IF(ISBLANK(L182),0,L182),"")))</f>
        <v/>
      </c>
      <c r="W182" s="66" t="str">
        <f aca="false">IF(ISBLANK($C182),"",IF(M182=Constants!$B$2, TRUE(), IF(M182=Constants!$B$3, FALSE(), TRUE())))</f>
        <v/>
      </c>
      <c r="X182" s="66" t="str">
        <f aca="false">IF(ISBLANK($C182),"",IF(N182=Constants!$B$2, TRUE(), IF(N182=Constants!$B$3, FALSE(), TRUE())))</f>
        <v/>
      </c>
      <c r="Y182" s="66" t="str">
        <f aca="false">IF(ISBLANK($C182),"",IF(O182=Constants!$B$2, TRUE(), IF(O182=Constants!$B$3, FALSE(), FALSE())))</f>
        <v/>
      </c>
      <c r="Z182" s="66" t="str">
        <f aca="false">IF(ISBLANK($C182),"",AND(S182&lt;&gt;"",Q182))</f>
        <v/>
      </c>
      <c r="AA182" s="66" t="str">
        <f aca="false">IF(ISBLANK($C182),"",AND(V182&lt;&gt;"",Q182))</f>
        <v/>
      </c>
      <c r="AB182" s="66" t="str">
        <f aca="false">IF(ISBLANK($C182),"",IF(Y182,Constants!$B$4,IF(COUNTA(E182:N182)=0,Constants!$B$5,IF(NOT(Q182),Constants!$B$6,IF(AND(NOT(Z182),NOT(AA182)),Constants!$B$6,Constants!$B$7)))))</f>
        <v/>
      </c>
      <c r="AC182" s="66" t="str">
        <f aca="false">IF(ISBLANK($C182),"",IF($AB182&lt;&gt;Constants!$B$7,$AB182,Constants!$B$20))</f>
        <v/>
      </c>
      <c r="AD182" s="66" t="str">
        <f aca="false">IF($AB182=Constants!$B$7,IF(Z182,S182,Constants!$B$13),"")</f>
        <v/>
      </c>
      <c r="AE182" s="66" t="str">
        <f aca="false">IF($AB182=Constants!$B$7,IF(Z182,R182*IF(T182, 1, Constants!$B$11)*IF(U182, 1, Constants!$B$12),Constants!$B$13),"")</f>
        <v/>
      </c>
      <c r="AF182" s="66" t="str">
        <f aca="false">IF($AB182=Constants!$B$7,AD182*AE182,"")</f>
        <v/>
      </c>
      <c r="AG182" s="66" t="str">
        <f aca="false">IF($AB182=Constants!$B$7,IF(AA182,V182,Constants!$B$13),"")</f>
        <v/>
      </c>
      <c r="AH182" s="66" t="str">
        <f aca="false">IF($AB182=Constants!$B$7,IF(AA182,R182*IF(W182, 1, Constants!$B$11)*IF(X182, 1, Constants!$B$12),Constants!$B$13),"")</f>
        <v/>
      </c>
      <c r="AI182" s="66" t="str">
        <f aca="false">IF($AB182=Constants!$B$7,AG182*AH182,"")</f>
        <v/>
      </c>
      <c r="AJ182" s="66" t="str">
        <f aca="false">IF($AB182=Constants!$B$7,IF(AI182&gt;AF182,2,1),"")</f>
        <v/>
      </c>
      <c r="AK182" s="66" t="str">
        <f aca="false">IF($AB182=Constants!$B$7,IF(AJ182=1,2,1),"")</f>
        <v/>
      </c>
      <c r="AL182" s="66" t="str">
        <f aca="false">IF(ISBLANK($C182),"",IF($AB182&lt;&gt;Constants!$B$7,$AB182,IF(AJ182=1,AF182,AI182)))</f>
        <v/>
      </c>
      <c r="AM182" s="66" t="str">
        <f aca="false">IF(ISBLANK($C182),"",IF($AB182=Constants!$B$7,IF(ISNUMBER(AL182),RANK(AL182,$AL$8:$AL$507),Constants!$B$14),$AB182))</f>
        <v/>
      </c>
      <c r="AN182" s="66" t="str">
        <f aca="false">IF(ISBLANK($C182),"",IF($AB182=Constants!$B$7,IF(AK182=1,AF182,AI182),""))</f>
        <v/>
      </c>
      <c r="AO182" s="66" t="str">
        <f aca="false">IF(ISBLANK($C182),"",IF($AB182=Constants!$B$7,RANK(AN182,$AN$8:$AN$507),$AB182))</f>
        <v/>
      </c>
      <c r="AP182" s="66" t="str">
        <f aca="false">IF(ISBLANK($C182),"",IF($AB182=Constants!$B$7,IF(ISNUMBER(AM182),COUNTIFS($AM$8:$AM$507,"&lt;"&amp;$AM182)+COUNTIFS($AM$8:$AM$507,$AM182,$AO$8:$AO$507,"&lt;"&amp;$AO182)+1,Constants!$B$14),$AB182))</f>
        <v/>
      </c>
      <c r="AQ182" s="66" t="str">
        <f aca="false">IF(ISBLANK($C182),"",IF($AB182=Constants!$B$7,IF(ISNUMBER(AM182),AM182-AP182,Constants!$B$14),$AB182))</f>
        <v/>
      </c>
      <c r="AR182" s="68"/>
      <c r="AS182" s="69" t="str">
        <f aca="false">IF(ISBLANK($C182),"",IF($AB182&lt;&gt;Constants!$B$7,"",AJ182))</f>
        <v/>
      </c>
      <c r="AT182" s="84" t="str">
        <f aca="false">IF(ISBLANK($C182),"",IF($AB182&lt;&gt;Constants!$B$7,"",IF(AJ182=1,AD182,AG182)))</f>
        <v/>
      </c>
      <c r="AU182" s="71" t="str">
        <f aca="false">IF(ISBLANK($C182),"",IF($AB182&lt;&gt;Constants!$B$7,"",IF(AJ182=1,AE182,AH182)))</f>
        <v/>
      </c>
      <c r="AV182" s="72" t="str">
        <f aca="false">IF(ISBLANK($C182),"",IF($AB182&lt;&gt;Constants!$B$7,$AB182,AL182))</f>
        <v/>
      </c>
      <c r="AW182" s="73" t="str">
        <f aca="false">IF(ISBLANK($C182),"",IF($AB182&lt;&gt;Constants!$B$7,$AB182,AC182))</f>
        <v/>
      </c>
      <c r="AX182" s="74" t="str">
        <f aca="false">IF(ISBLANK($C182),"",AQ182)</f>
        <v/>
      </c>
      <c r="AY182" s="74" t="str">
        <f aca="false">IF(ISBLANK($C182),"",AP182)</f>
        <v/>
      </c>
      <c r="AZ182" s="75" t="str">
        <f aca="false">IF(ISBLANK($C182),"",IF(AY182=Constants!$B$4,COUNTA($C$8:$C$507)+2,IF(AY182=Constants!$B$5,COUNTA($C$8:$C$507)+1,IF(AY182=Constants!$B$6,COUNTA($C$8:$C$507),AY182))))</f>
        <v/>
      </c>
      <c r="BA182" s="5"/>
      <c r="BB182" s="76" t="n">
        <f aca="false">IF(OR(ISNUMBER(AY182),AY182=Constants!$B$4,AY182=Constants!$B$6,AY182=Constants!$B$5),1,0)</f>
        <v>0</v>
      </c>
      <c r="BC182" s="76" t="n">
        <v>175</v>
      </c>
      <c r="BD182" s="76" t="str">
        <f aca="false">IF(ISBLANK($C182),"",IF(ISNUMBER(AZ182),AZ182+ROW($B182)/1000,""))</f>
        <v/>
      </c>
      <c r="BE182" s="76" t="str">
        <f aca="false">IF(ISNUMBER(BD182),RANK(BD182,$BD$8:$BD$507,1),"")</f>
        <v/>
      </c>
      <c r="BF182" s="76" t="str">
        <f aca="false">IF(ISBLANK($C182),"",$B182)</f>
        <v/>
      </c>
      <c r="BG182" s="76" t="str">
        <f aca="false">IF(ISBLANK($C182),"",$C182)</f>
        <v/>
      </c>
      <c r="BH182" s="76" t="str">
        <f aca="false">IF(ISBLANK($C182),"",$D182)</f>
        <v/>
      </c>
      <c r="BI182" s="77" t="str">
        <f aca="false">AW182</f>
        <v/>
      </c>
      <c r="BJ182" s="78" t="str">
        <f aca="false">AV182</f>
        <v/>
      </c>
      <c r="BK182" s="76" t="str">
        <f aca="false">IF(ISBLANK($C182),"",AY182)</f>
        <v/>
      </c>
      <c r="BL182" s="79" t="str">
        <f aca="false">IF($BC182&gt;$BB$7,"",VLOOKUP($BC182,$BE$8:$BK$507,7,FALSE()))</f>
        <v/>
      </c>
      <c r="BM182" s="80" t="str">
        <f aca="false">IF($BC182&gt;$BB$7,"",VLOOKUP($BC182,$BE$8:$BK$507,2,FALSE()))</f>
        <v/>
      </c>
      <c r="BN182" s="80" t="str">
        <f aca="false">IF($BC182&gt;$BB$7,"",VLOOKUP($BC182,$BE$8:$BK$507,3,FALSE()))</f>
        <v/>
      </c>
      <c r="BO182" s="80" t="str">
        <f aca="false">IF($BC182&gt;$BB$7,"",VLOOKUP($BC182,$BE$8:$BK$507,4,FALSE()))</f>
        <v/>
      </c>
      <c r="BP182" s="80" t="str">
        <f aca="false">IF($BC182&gt;$BB$7,"",VLOOKUP($BC182,$BE$8:$BK$507,5,FALSE()))</f>
        <v/>
      </c>
      <c r="BQ182" s="81" t="str">
        <f aca="false">IF($BC182&gt;$BB$7,"",VLOOKUP($BC182,$BE$8:$BK$507,6,FALSE()))</f>
        <v/>
      </c>
      <c r="BR182" s="54"/>
    </row>
    <row r="183" customFormat="false" ht="13.8" hidden="false" customHeight="false" outlineLevel="0" collapsed="false">
      <c r="A183" s="5"/>
      <c r="B183" s="124"/>
      <c r="C183" s="56"/>
      <c r="D183" s="57"/>
      <c r="E183" s="83"/>
      <c r="F183" s="59"/>
      <c r="G183" s="60"/>
      <c r="H183" s="61"/>
      <c r="I183" s="62"/>
      <c r="J183" s="59"/>
      <c r="K183" s="60"/>
      <c r="L183" s="61"/>
      <c r="M183" s="62"/>
      <c r="N183" s="59"/>
      <c r="O183" s="83"/>
      <c r="P183" s="64"/>
      <c r="Q183" s="66" t="str">
        <f aca="false">IF(ISBLANK($C183),"",IF(E183=Constants!$B$2, TRUE(), IF(E183=Constants!$B$3, FALSE(), TRUE())))</f>
        <v/>
      </c>
      <c r="R183" s="66" t="str">
        <f aca="false">IF(ISBLANK($C183),"",IF(F183=Constants!$B$16,Constants!$B$9,IF(F183=Constants!$B$17,Constants!$B$10,Constants!$B$8)))</f>
        <v/>
      </c>
      <c r="S183" s="66" t="str">
        <f aca="false">IF(ISBLANK($C183),"",IF(COUNTA(G183:H183)=0,"",IF(AND(OR(ISBLANK(G183),AND(ISNUMBER(G183),G183&gt;=0)),OR(ISBLANK(H183),AND(ISNUMBER(H183),H183&gt;=0))),60*IF(ISBLANK(G183),0,G183)+IF(ISBLANK(H183),0,H183),"")))</f>
        <v/>
      </c>
      <c r="T183" s="66" t="str">
        <f aca="false">IF(ISBLANK($C183),"",IF(I183=Constants!$B$2, TRUE(), IF(I183=Constants!$B$3, FALSE(), TRUE())))</f>
        <v/>
      </c>
      <c r="U183" s="66" t="str">
        <f aca="false">IF(ISBLANK($C183),"",IF(J183=Constants!$B$2, TRUE(), IF(J183=Constants!$B$3, FALSE(), TRUE())))</f>
        <v/>
      </c>
      <c r="V183" s="66" t="str">
        <f aca="false">IF(ISBLANK($C183),"",IF(COUNTA(K183:L183)=0,"",IF(AND(OR(ISBLANK(K183),AND(ISNUMBER(K183),K183&gt;=0)),OR(ISBLANK(L183),AND(ISNUMBER(L183),L183&gt;=0))),60*IF(ISBLANK(K183),0,K183)+IF(ISBLANK(L183),0,L183),"")))</f>
        <v/>
      </c>
      <c r="W183" s="66" t="str">
        <f aca="false">IF(ISBLANK($C183),"",IF(M183=Constants!$B$2, TRUE(), IF(M183=Constants!$B$3, FALSE(), TRUE())))</f>
        <v/>
      </c>
      <c r="X183" s="66" t="str">
        <f aca="false">IF(ISBLANK($C183),"",IF(N183=Constants!$B$2, TRUE(), IF(N183=Constants!$B$3, FALSE(), TRUE())))</f>
        <v/>
      </c>
      <c r="Y183" s="66" t="str">
        <f aca="false">IF(ISBLANK($C183),"",IF(O183=Constants!$B$2, TRUE(), IF(O183=Constants!$B$3, FALSE(), FALSE())))</f>
        <v/>
      </c>
      <c r="Z183" s="66" t="str">
        <f aca="false">IF(ISBLANK($C183),"",AND(S183&lt;&gt;"",Q183))</f>
        <v/>
      </c>
      <c r="AA183" s="66" t="str">
        <f aca="false">IF(ISBLANK($C183),"",AND(V183&lt;&gt;"",Q183))</f>
        <v/>
      </c>
      <c r="AB183" s="66" t="str">
        <f aca="false">IF(ISBLANK($C183),"",IF(Y183,Constants!$B$4,IF(COUNTA(E183:N183)=0,Constants!$B$5,IF(NOT(Q183),Constants!$B$6,IF(AND(NOT(Z183),NOT(AA183)),Constants!$B$6,Constants!$B$7)))))</f>
        <v/>
      </c>
      <c r="AC183" s="66" t="str">
        <f aca="false">IF(ISBLANK($C183),"",IF($AB183&lt;&gt;Constants!$B$7,$AB183,Constants!$B$20))</f>
        <v/>
      </c>
      <c r="AD183" s="66" t="str">
        <f aca="false">IF($AB183=Constants!$B$7,IF(Z183,S183,Constants!$B$13),"")</f>
        <v/>
      </c>
      <c r="AE183" s="66" t="str">
        <f aca="false">IF($AB183=Constants!$B$7,IF(Z183,R183*IF(T183, 1, Constants!$B$11)*IF(U183, 1, Constants!$B$12),Constants!$B$13),"")</f>
        <v/>
      </c>
      <c r="AF183" s="66" t="str">
        <f aca="false">IF($AB183=Constants!$B$7,AD183*AE183,"")</f>
        <v/>
      </c>
      <c r="AG183" s="66" t="str">
        <f aca="false">IF($AB183=Constants!$B$7,IF(AA183,V183,Constants!$B$13),"")</f>
        <v/>
      </c>
      <c r="AH183" s="66" t="str">
        <f aca="false">IF($AB183=Constants!$B$7,IF(AA183,R183*IF(W183, 1, Constants!$B$11)*IF(X183, 1, Constants!$B$12),Constants!$B$13),"")</f>
        <v/>
      </c>
      <c r="AI183" s="66" t="str">
        <f aca="false">IF($AB183=Constants!$B$7,AG183*AH183,"")</f>
        <v/>
      </c>
      <c r="AJ183" s="66" t="str">
        <f aca="false">IF($AB183=Constants!$B$7,IF(AI183&gt;AF183,2,1),"")</f>
        <v/>
      </c>
      <c r="AK183" s="66" t="str">
        <f aca="false">IF($AB183=Constants!$B$7,IF(AJ183=1,2,1),"")</f>
        <v/>
      </c>
      <c r="AL183" s="66" t="str">
        <f aca="false">IF(ISBLANK($C183),"",IF($AB183&lt;&gt;Constants!$B$7,$AB183,IF(AJ183=1,AF183,AI183)))</f>
        <v/>
      </c>
      <c r="AM183" s="66" t="str">
        <f aca="false">IF(ISBLANK($C183),"",IF($AB183=Constants!$B$7,IF(ISNUMBER(AL183),RANK(AL183,$AL$8:$AL$507),Constants!$B$14),$AB183))</f>
        <v/>
      </c>
      <c r="AN183" s="66" t="str">
        <f aca="false">IF(ISBLANK($C183),"",IF($AB183=Constants!$B$7,IF(AK183=1,AF183,AI183),""))</f>
        <v/>
      </c>
      <c r="AO183" s="66" t="str">
        <f aca="false">IF(ISBLANK($C183),"",IF($AB183=Constants!$B$7,RANK(AN183,$AN$8:$AN$507),$AB183))</f>
        <v/>
      </c>
      <c r="AP183" s="66" t="str">
        <f aca="false">IF(ISBLANK($C183),"",IF($AB183=Constants!$B$7,IF(ISNUMBER(AM183),COUNTIFS($AM$8:$AM$507,"&lt;"&amp;$AM183)+COUNTIFS($AM$8:$AM$507,$AM183,$AO$8:$AO$507,"&lt;"&amp;$AO183)+1,Constants!$B$14),$AB183))</f>
        <v/>
      </c>
      <c r="AQ183" s="66" t="str">
        <f aca="false">IF(ISBLANK($C183),"",IF($AB183=Constants!$B$7,IF(ISNUMBER(AM183),AM183-AP183,Constants!$B$14),$AB183))</f>
        <v/>
      </c>
      <c r="AR183" s="68"/>
      <c r="AS183" s="69" t="str">
        <f aca="false">IF(ISBLANK($C183),"",IF($AB183&lt;&gt;Constants!$B$7,"",AJ183))</f>
        <v/>
      </c>
      <c r="AT183" s="84" t="str">
        <f aca="false">IF(ISBLANK($C183),"",IF($AB183&lt;&gt;Constants!$B$7,"",IF(AJ183=1,AD183,AG183)))</f>
        <v/>
      </c>
      <c r="AU183" s="71" t="str">
        <f aca="false">IF(ISBLANK($C183),"",IF($AB183&lt;&gt;Constants!$B$7,"",IF(AJ183=1,AE183,AH183)))</f>
        <v/>
      </c>
      <c r="AV183" s="72" t="str">
        <f aca="false">IF(ISBLANK($C183),"",IF($AB183&lt;&gt;Constants!$B$7,$AB183,AL183))</f>
        <v/>
      </c>
      <c r="AW183" s="73" t="str">
        <f aca="false">IF(ISBLANK($C183),"",IF($AB183&lt;&gt;Constants!$B$7,$AB183,AC183))</f>
        <v/>
      </c>
      <c r="AX183" s="74" t="str">
        <f aca="false">IF(ISBLANK($C183),"",AQ183)</f>
        <v/>
      </c>
      <c r="AY183" s="74" t="str">
        <f aca="false">IF(ISBLANK($C183),"",AP183)</f>
        <v/>
      </c>
      <c r="AZ183" s="75" t="str">
        <f aca="false">IF(ISBLANK($C183),"",IF(AY183=Constants!$B$4,COUNTA($C$8:$C$507)+2,IF(AY183=Constants!$B$5,COUNTA($C$8:$C$507)+1,IF(AY183=Constants!$B$6,COUNTA($C$8:$C$507),AY183))))</f>
        <v/>
      </c>
      <c r="BA183" s="5"/>
      <c r="BB183" s="76" t="n">
        <f aca="false">IF(OR(ISNUMBER(AY183),AY183=Constants!$B$4,AY183=Constants!$B$6,AY183=Constants!$B$5),1,0)</f>
        <v>0</v>
      </c>
      <c r="BC183" s="76" t="n">
        <v>176</v>
      </c>
      <c r="BD183" s="76" t="str">
        <f aca="false">IF(ISBLANK($C183),"",IF(ISNUMBER(AZ183),AZ183+ROW($B183)/1000,""))</f>
        <v/>
      </c>
      <c r="BE183" s="76" t="str">
        <f aca="false">IF(ISNUMBER(BD183),RANK(BD183,$BD$8:$BD$507,1),"")</f>
        <v/>
      </c>
      <c r="BF183" s="76" t="str">
        <f aca="false">IF(ISBLANK($C183),"",$B183)</f>
        <v/>
      </c>
      <c r="BG183" s="76" t="str">
        <f aca="false">IF(ISBLANK($C183),"",$C183)</f>
        <v/>
      </c>
      <c r="BH183" s="76" t="str">
        <f aca="false">IF(ISBLANK($C183),"",$D183)</f>
        <v/>
      </c>
      <c r="BI183" s="77" t="str">
        <f aca="false">AW183</f>
        <v/>
      </c>
      <c r="BJ183" s="78" t="str">
        <f aca="false">AV183</f>
        <v/>
      </c>
      <c r="BK183" s="76" t="str">
        <f aca="false">IF(ISBLANK($C183),"",AY183)</f>
        <v/>
      </c>
      <c r="BL183" s="79" t="str">
        <f aca="false">IF($BC183&gt;$BB$7,"",VLOOKUP($BC183,$BE$8:$BK$507,7,FALSE()))</f>
        <v/>
      </c>
      <c r="BM183" s="80" t="str">
        <f aca="false">IF($BC183&gt;$BB$7,"",VLOOKUP($BC183,$BE$8:$BK$507,2,FALSE()))</f>
        <v/>
      </c>
      <c r="BN183" s="80" t="str">
        <f aca="false">IF($BC183&gt;$BB$7,"",VLOOKUP($BC183,$BE$8:$BK$507,3,FALSE()))</f>
        <v/>
      </c>
      <c r="BO183" s="80" t="str">
        <f aca="false">IF($BC183&gt;$BB$7,"",VLOOKUP($BC183,$BE$8:$BK$507,4,FALSE()))</f>
        <v/>
      </c>
      <c r="BP183" s="80" t="str">
        <f aca="false">IF($BC183&gt;$BB$7,"",VLOOKUP($BC183,$BE$8:$BK$507,5,FALSE()))</f>
        <v/>
      </c>
      <c r="BQ183" s="81" t="str">
        <f aca="false">IF($BC183&gt;$BB$7,"",VLOOKUP($BC183,$BE$8:$BK$507,6,FALSE()))</f>
        <v/>
      </c>
      <c r="BR183" s="54"/>
    </row>
    <row r="184" customFormat="false" ht="13.8" hidden="false" customHeight="false" outlineLevel="0" collapsed="false">
      <c r="A184" s="5"/>
      <c r="B184" s="124"/>
      <c r="C184" s="56"/>
      <c r="D184" s="57"/>
      <c r="E184" s="83"/>
      <c r="F184" s="59"/>
      <c r="G184" s="60"/>
      <c r="H184" s="61"/>
      <c r="I184" s="62"/>
      <c r="J184" s="59"/>
      <c r="K184" s="60"/>
      <c r="L184" s="61"/>
      <c r="M184" s="62"/>
      <c r="N184" s="59"/>
      <c r="O184" s="83"/>
      <c r="P184" s="64"/>
      <c r="Q184" s="66" t="str">
        <f aca="false">IF(ISBLANK($C184),"",IF(E184=Constants!$B$2, TRUE(), IF(E184=Constants!$B$3, FALSE(), TRUE())))</f>
        <v/>
      </c>
      <c r="R184" s="66" t="str">
        <f aca="false">IF(ISBLANK($C184),"",IF(F184=Constants!$B$16,Constants!$B$9,IF(F184=Constants!$B$17,Constants!$B$10,Constants!$B$8)))</f>
        <v/>
      </c>
      <c r="S184" s="66" t="str">
        <f aca="false">IF(ISBLANK($C184),"",IF(COUNTA(G184:H184)=0,"",IF(AND(OR(ISBLANK(G184),AND(ISNUMBER(G184),G184&gt;=0)),OR(ISBLANK(H184),AND(ISNUMBER(H184),H184&gt;=0))),60*IF(ISBLANK(G184),0,G184)+IF(ISBLANK(H184),0,H184),"")))</f>
        <v/>
      </c>
      <c r="T184" s="66" t="str">
        <f aca="false">IF(ISBLANK($C184),"",IF(I184=Constants!$B$2, TRUE(), IF(I184=Constants!$B$3, FALSE(), TRUE())))</f>
        <v/>
      </c>
      <c r="U184" s="66" t="str">
        <f aca="false">IF(ISBLANK($C184),"",IF(J184=Constants!$B$2, TRUE(), IF(J184=Constants!$B$3, FALSE(), TRUE())))</f>
        <v/>
      </c>
      <c r="V184" s="66" t="str">
        <f aca="false">IF(ISBLANK($C184),"",IF(COUNTA(K184:L184)=0,"",IF(AND(OR(ISBLANK(K184),AND(ISNUMBER(K184),K184&gt;=0)),OR(ISBLANK(L184),AND(ISNUMBER(L184),L184&gt;=0))),60*IF(ISBLANK(K184),0,K184)+IF(ISBLANK(L184),0,L184),"")))</f>
        <v/>
      </c>
      <c r="W184" s="66" t="str">
        <f aca="false">IF(ISBLANK($C184),"",IF(M184=Constants!$B$2, TRUE(), IF(M184=Constants!$B$3, FALSE(), TRUE())))</f>
        <v/>
      </c>
      <c r="X184" s="66" t="str">
        <f aca="false">IF(ISBLANK($C184),"",IF(N184=Constants!$B$2, TRUE(), IF(N184=Constants!$B$3, FALSE(), TRUE())))</f>
        <v/>
      </c>
      <c r="Y184" s="66" t="str">
        <f aca="false">IF(ISBLANK($C184),"",IF(O184=Constants!$B$2, TRUE(), IF(O184=Constants!$B$3, FALSE(), FALSE())))</f>
        <v/>
      </c>
      <c r="Z184" s="66" t="str">
        <f aca="false">IF(ISBLANK($C184),"",AND(S184&lt;&gt;"",Q184))</f>
        <v/>
      </c>
      <c r="AA184" s="66" t="str">
        <f aca="false">IF(ISBLANK($C184),"",AND(V184&lt;&gt;"",Q184))</f>
        <v/>
      </c>
      <c r="AB184" s="66" t="str">
        <f aca="false">IF(ISBLANK($C184),"",IF(Y184,Constants!$B$4,IF(COUNTA(E184:N184)=0,Constants!$B$5,IF(NOT(Q184),Constants!$B$6,IF(AND(NOT(Z184),NOT(AA184)),Constants!$B$6,Constants!$B$7)))))</f>
        <v/>
      </c>
      <c r="AC184" s="66" t="str">
        <f aca="false">IF(ISBLANK($C184),"",IF($AB184&lt;&gt;Constants!$B$7,$AB184,Constants!$B$20))</f>
        <v/>
      </c>
      <c r="AD184" s="66" t="str">
        <f aca="false">IF($AB184=Constants!$B$7,IF(Z184,S184,Constants!$B$13),"")</f>
        <v/>
      </c>
      <c r="AE184" s="66" t="str">
        <f aca="false">IF($AB184=Constants!$B$7,IF(Z184,R184*IF(T184, 1, Constants!$B$11)*IF(U184, 1, Constants!$B$12),Constants!$B$13),"")</f>
        <v/>
      </c>
      <c r="AF184" s="66" t="str">
        <f aca="false">IF($AB184=Constants!$B$7,AD184*AE184,"")</f>
        <v/>
      </c>
      <c r="AG184" s="66" t="str">
        <f aca="false">IF($AB184=Constants!$B$7,IF(AA184,V184,Constants!$B$13),"")</f>
        <v/>
      </c>
      <c r="AH184" s="66" t="str">
        <f aca="false">IF($AB184=Constants!$B$7,IF(AA184,R184*IF(W184, 1, Constants!$B$11)*IF(X184, 1, Constants!$B$12),Constants!$B$13),"")</f>
        <v/>
      </c>
      <c r="AI184" s="66" t="str">
        <f aca="false">IF($AB184=Constants!$B$7,AG184*AH184,"")</f>
        <v/>
      </c>
      <c r="AJ184" s="66" t="str">
        <f aca="false">IF($AB184=Constants!$B$7,IF(AI184&gt;AF184,2,1),"")</f>
        <v/>
      </c>
      <c r="AK184" s="66" t="str">
        <f aca="false">IF($AB184=Constants!$B$7,IF(AJ184=1,2,1),"")</f>
        <v/>
      </c>
      <c r="AL184" s="66" t="str">
        <f aca="false">IF(ISBLANK($C184),"",IF($AB184&lt;&gt;Constants!$B$7,$AB184,IF(AJ184=1,AF184,AI184)))</f>
        <v/>
      </c>
      <c r="AM184" s="66" t="str">
        <f aca="false">IF(ISBLANK($C184),"",IF($AB184=Constants!$B$7,IF(ISNUMBER(AL184),RANK(AL184,$AL$8:$AL$507),Constants!$B$14),$AB184))</f>
        <v/>
      </c>
      <c r="AN184" s="66" t="str">
        <f aca="false">IF(ISBLANK($C184),"",IF($AB184=Constants!$B$7,IF(AK184=1,AF184,AI184),""))</f>
        <v/>
      </c>
      <c r="AO184" s="66" t="str">
        <f aca="false">IF(ISBLANK($C184),"",IF($AB184=Constants!$B$7,RANK(AN184,$AN$8:$AN$507),$AB184))</f>
        <v/>
      </c>
      <c r="AP184" s="66" t="str">
        <f aca="false">IF(ISBLANK($C184),"",IF($AB184=Constants!$B$7,IF(ISNUMBER(AM184),COUNTIFS($AM$8:$AM$507,"&lt;"&amp;$AM184)+COUNTIFS($AM$8:$AM$507,$AM184,$AO$8:$AO$507,"&lt;"&amp;$AO184)+1,Constants!$B$14),$AB184))</f>
        <v/>
      </c>
      <c r="AQ184" s="66" t="str">
        <f aca="false">IF(ISBLANK($C184),"",IF($AB184=Constants!$B$7,IF(ISNUMBER(AM184),AM184-AP184,Constants!$B$14),$AB184))</f>
        <v/>
      </c>
      <c r="AR184" s="68"/>
      <c r="AS184" s="69" t="str">
        <f aca="false">IF(ISBLANK($C184),"",IF($AB184&lt;&gt;Constants!$B$7,"",AJ184))</f>
        <v/>
      </c>
      <c r="AT184" s="84" t="str">
        <f aca="false">IF(ISBLANK($C184),"",IF($AB184&lt;&gt;Constants!$B$7,"",IF(AJ184=1,AD184,AG184)))</f>
        <v/>
      </c>
      <c r="AU184" s="71" t="str">
        <f aca="false">IF(ISBLANK($C184),"",IF($AB184&lt;&gt;Constants!$B$7,"",IF(AJ184=1,AE184,AH184)))</f>
        <v/>
      </c>
      <c r="AV184" s="72" t="str">
        <f aca="false">IF(ISBLANK($C184),"",IF($AB184&lt;&gt;Constants!$B$7,$AB184,AL184))</f>
        <v/>
      </c>
      <c r="AW184" s="73" t="str">
        <f aca="false">IF(ISBLANK($C184),"",IF($AB184&lt;&gt;Constants!$B$7,$AB184,AC184))</f>
        <v/>
      </c>
      <c r="AX184" s="74" t="str">
        <f aca="false">IF(ISBLANK($C184),"",AQ184)</f>
        <v/>
      </c>
      <c r="AY184" s="74" t="str">
        <f aca="false">IF(ISBLANK($C184),"",AP184)</f>
        <v/>
      </c>
      <c r="AZ184" s="75" t="str">
        <f aca="false">IF(ISBLANK($C184),"",IF(AY184=Constants!$B$4,COUNTA($C$8:$C$507)+2,IF(AY184=Constants!$B$5,COUNTA($C$8:$C$507)+1,IF(AY184=Constants!$B$6,COUNTA($C$8:$C$507),AY184))))</f>
        <v/>
      </c>
      <c r="BA184" s="5"/>
      <c r="BB184" s="76" t="n">
        <f aca="false">IF(OR(ISNUMBER(AY184),AY184=Constants!$B$4,AY184=Constants!$B$6,AY184=Constants!$B$5),1,0)</f>
        <v>0</v>
      </c>
      <c r="BC184" s="76" t="n">
        <v>177</v>
      </c>
      <c r="BD184" s="76" t="str">
        <f aca="false">IF(ISBLANK($C184),"",IF(ISNUMBER(AZ184),AZ184+ROW($B184)/1000,""))</f>
        <v/>
      </c>
      <c r="BE184" s="76" t="str">
        <f aca="false">IF(ISNUMBER(BD184),RANK(BD184,$BD$8:$BD$507,1),"")</f>
        <v/>
      </c>
      <c r="BF184" s="76" t="str">
        <f aca="false">IF(ISBLANK($C184),"",$B184)</f>
        <v/>
      </c>
      <c r="BG184" s="76" t="str">
        <f aca="false">IF(ISBLANK($C184),"",$C184)</f>
        <v/>
      </c>
      <c r="BH184" s="76" t="str">
        <f aca="false">IF(ISBLANK($C184),"",$D184)</f>
        <v/>
      </c>
      <c r="BI184" s="77" t="str">
        <f aca="false">AW184</f>
        <v/>
      </c>
      <c r="BJ184" s="78" t="str">
        <f aca="false">AV184</f>
        <v/>
      </c>
      <c r="BK184" s="76" t="str">
        <f aca="false">IF(ISBLANK($C184),"",AY184)</f>
        <v/>
      </c>
      <c r="BL184" s="79" t="str">
        <f aca="false">IF($BC184&gt;$BB$7,"",VLOOKUP($BC184,$BE$8:$BK$507,7,FALSE()))</f>
        <v/>
      </c>
      <c r="BM184" s="80" t="str">
        <f aca="false">IF($BC184&gt;$BB$7,"",VLOOKUP($BC184,$BE$8:$BK$507,2,FALSE()))</f>
        <v/>
      </c>
      <c r="BN184" s="80" t="str">
        <f aca="false">IF($BC184&gt;$BB$7,"",VLOOKUP($BC184,$BE$8:$BK$507,3,FALSE()))</f>
        <v/>
      </c>
      <c r="BO184" s="80" t="str">
        <f aca="false">IF($BC184&gt;$BB$7,"",VLOOKUP($BC184,$BE$8:$BK$507,4,FALSE()))</f>
        <v/>
      </c>
      <c r="BP184" s="80" t="str">
        <f aca="false">IF($BC184&gt;$BB$7,"",VLOOKUP($BC184,$BE$8:$BK$507,5,FALSE()))</f>
        <v/>
      </c>
      <c r="BQ184" s="81" t="str">
        <f aca="false">IF($BC184&gt;$BB$7,"",VLOOKUP($BC184,$BE$8:$BK$507,6,FALSE()))</f>
        <v/>
      </c>
      <c r="BR184" s="54"/>
    </row>
    <row r="185" customFormat="false" ht="13.8" hidden="false" customHeight="false" outlineLevel="0" collapsed="false">
      <c r="A185" s="5"/>
      <c r="B185" s="120"/>
      <c r="C185" s="121"/>
      <c r="D185" s="112"/>
      <c r="E185" s="123"/>
      <c r="F185" s="91"/>
      <c r="G185" s="92"/>
      <c r="H185" s="93"/>
      <c r="I185" s="94"/>
      <c r="J185" s="91"/>
      <c r="K185" s="92"/>
      <c r="L185" s="93"/>
      <c r="M185" s="94"/>
      <c r="N185" s="91"/>
      <c r="O185" s="123"/>
      <c r="P185" s="96"/>
      <c r="Q185" s="97" t="str">
        <f aca="false">IF(ISBLANK($C185),"",IF(E185=Constants!$B$2, TRUE(), IF(E185=Constants!$B$3, FALSE(), TRUE())))</f>
        <v/>
      </c>
      <c r="R185" s="97" t="str">
        <f aca="false">IF(ISBLANK($C185),"",IF(F185=Constants!$B$16,Constants!$B$9,IF(F185=Constants!$B$17,Constants!$B$10,Constants!$B$8)))</f>
        <v/>
      </c>
      <c r="S185" s="97" t="str">
        <f aca="false">IF(ISBLANK($C185),"",IF(COUNTA(G185:H185)=0,"",IF(AND(OR(ISBLANK(G185),AND(ISNUMBER(G185),G185&gt;=0)),OR(ISBLANK(H185),AND(ISNUMBER(H185),H185&gt;=0))),60*IF(ISBLANK(G185),0,G185)+IF(ISBLANK(H185),0,H185),"")))</f>
        <v/>
      </c>
      <c r="T185" s="97" t="str">
        <f aca="false">IF(ISBLANK($C185),"",IF(I185=Constants!$B$2, TRUE(), IF(I185=Constants!$B$3, FALSE(), TRUE())))</f>
        <v/>
      </c>
      <c r="U185" s="97" t="str">
        <f aca="false">IF(ISBLANK($C185),"",IF(J185=Constants!$B$2, TRUE(), IF(J185=Constants!$B$3, FALSE(), TRUE())))</f>
        <v/>
      </c>
      <c r="V185" s="97" t="str">
        <f aca="false">IF(ISBLANK($C185),"",IF(COUNTA(K185:L185)=0,"",IF(AND(OR(ISBLANK(K185),AND(ISNUMBER(K185),K185&gt;=0)),OR(ISBLANK(L185),AND(ISNUMBER(L185),L185&gt;=0))),60*IF(ISBLANK(K185),0,K185)+IF(ISBLANK(L185),0,L185),"")))</f>
        <v/>
      </c>
      <c r="W185" s="97" t="str">
        <f aca="false">IF(ISBLANK($C185),"",IF(M185=Constants!$B$2, TRUE(), IF(M185=Constants!$B$3, FALSE(), TRUE())))</f>
        <v/>
      </c>
      <c r="X185" s="97" t="str">
        <f aca="false">IF(ISBLANK($C185),"",IF(N185=Constants!$B$2, TRUE(), IF(N185=Constants!$B$3, FALSE(), TRUE())))</f>
        <v/>
      </c>
      <c r="Y185" s="97" t="str">
        <f aca="false">IF(ISBLANK($C185),"",IF(O185=Constants!$B$2, TRUE(), IF(O185=Constants!$B$3, FALSE(), FALSE())))</f>
        <v/>
      </c>
      <c r="Z185" s="97" t="str">
        <f aca="false">IF(ISBLANK($C185),"",AND(S185&lt;&gt;"",Q185))</f>
        <v/>
      </c>
      <c r="AA185" s="97" t="str">
        <f aca="false">IF(ISBLANK($C185),"",AND(V185&lt;&gt;"",Q185))</f>
        <v/>
      </c>
      <c r="AB185" s="97" t="str">
        <f aca="false">IF(ISBLANK($C185),"",IF(Y185,Constants!$B$4,IF(COUNTA(E185:N185)=0,Constants!$B$5,IF(NOT(Q185),Constants!$B$6,IF(AND(NOT(Z185),NOT(AA185)),Constants!$B$6,Constants!$B$7)))))</f>
        <v/>
      </c>
      <c r="AC185" s="97" t="str">
        <f aca="false">IF(ISBLANK($C185),"",IF($AB185&lt;&gt;Constants!$B$7,$AB185,Constants!$B$20))</f>
        <v/>
      </c>
      <c r="AD185" s="97" t="str">
        <f aca="false">IF($AB185=Constants!$B$7,IF(Z185,S185,Constants!$B$13),"")</f>
        <v/>
      </c>
      <c r="AE185" s="97" t="str">
        <f aca="false">IF($AB185=Constants!$B$7,IF(Z185,R185*IF(T185, 1, Constants!$B$11)*IF(U185, 1, Constants!$B$12),Constants!$B$13),"")</f>
        <v/>
      </c>
      <c r="AF185" s="97" t="str">
        <f aca="false">IF($AB185=Constants!$B$7,AD185*AE185,"")</f>
        <v/>
      </c>
      <c r="AG185" s="97" t="str">
        <f aca="false">IF($AB185=Constants!$B$7,IF(AA185,V185,Constants!$B$13),"")</f>
        <v/>
      </c>
      <c r="AH185" s="97" t="str">
        <f aca="false">IF($AB185=Constants!$B$7,IF(AA185,R185*IF(W185, 1, Constants!$B$11)*IF(X185, 1, Constants!$B$12),Constants!$B$13),"")</f>
        <v/>
      </c>
      <c r="AI185" s="97" t="str">
        <f aca="false">IF($AB185=Constants!$B$7,AG185*AH185,"")</f>
        <v/>
      </c>
      <c r="AJ185" s="97" t="str">
        <f aca="false">IF($AB185=Constants!$B$7,IF(AI185&gt;AF185,2,1),"")</f>
        <v/>
      </c>
      <c r="AK185" s="97" t="str">
        <f aca="false">IF($AB185=Constants!$B$7,IF(AJ185=1,2,1),"")</f>
        <v/>
      </c>
      <c r="AL185" s="97" t="str">
        <f aca="false">IF(ISBLANK($C185),"",IF($AB185&lt;&gt;Constants!$B$7,$AB185,IF(AJ185=1,AF185,AI185)))</f>
        <v/>
      </c>
      <c r="AM185" s="97" t="str">
        <f aca="false">IF(ISBLANK($C185),"",IF($AB185=Constants!$B$7,IF(ISNUMBER(AL185),RANK(AL185,$AL$8:$AL$507),Constants!$B$14),$AB185))</f>
        <v/>
      </c>
      <c r="AN185" s="97" t="str">
        <f aca="false">IF(ISBLANK($C185),"",IF($AB185=Constants!$B$7,IF(AK185=1,AF185,AI185),""))</f>
        <v/>
      </c>
      <c r="AO185" s="97" t="str">
        <f aca="false">IF(ISBLANK($C185),"",IF($AB185=Constants!$B$7,RANK(AN185,$AN$8:$AN$507),$AB185))</f>
        <v/>
      </c>
      <c r="AP185" s="97" t="str">
        <f aca="false">IF(ISBLANK($C185),"",IF($AB185=Constants!$B$7,IF(ISNUMBER(AM185),COUNTIFS($AM$8:$AM$507,"&lt;"&amp;$AM185)+COUNTIFS($AM$8:$AM$507,$AM185,$AO$8:$AO$507,"&lt;"&amp;$AO185)+1,Constants!$B$14),$AB185))</f>
        <v/>
      </c>
      <c r="AQ185" s="97" t="str">
        <f aca="false">IF(ISBLANK($C185),"",IF($AB185=Constants!$B$7,IF(ISNUMBER(AM185),AM185-AP185,Constants!$B$14),$AB185))</f>
        <v/>
      </c>
      <c r="AR185" s="98"/>
      <c r="AS185" s="99" t="str">
        <f aca="false">IF(ISBLANK($C185),"",IF($AB185&lt;&gt;Constants!$B$7,"",AJ185))</f>
        <v/>
      </c>
      <c r="AT185" s="100" t="str">
        <f aca="false">IF(ISBLANK($C185),"",IF($AB185&lt;&gt;Constants!$B$7,"",IF(AJ185=1,AD185,AG185)))</f>
        <v/>
      </c>
      <c r="AU185" s="101" t="str">
        <f aca="false">IF(ISBLANK($C185),"",IF($AB185&lt;&gt;Constants!$B$7,"",IF(AJ185=1,AE185,AH185)))</f>
        <v/>
      </c>
      <c r="AV185" s="102" t="str">
        <f aca="false">IF(ISBLANK($C185),"",IF($AB185&lt;&gt;Constants!$B$7,$AB185,AL185))</f>
        <v/>
      </c>
      <c r="AW185" s="103" t="str">
        <f aca="false">IF(ISBLANK($C185),"",IF($AB185&lt;&gt;Constants!$B$7,$AB185,AC185))</f>
        <v/>
      </c>
      <c r="AX185" s="104" t="str">
        <f aca="false">IF(ISBLANK($C185),"",AQ185)</f>
        <v/>
      </c>
      <c r="AY185" s="104" t="str">
        <f aca="false">IF(ISBLANK($C185),"",AP185)</f>
        <v/>
      </c>
      <c r="AZ185" s="105" t="str">
        <f aca="false">IF(ISBLANK($C185),"",IF(AY185=Constants!$B$4,COUNTA($C$8:$C$507)+2,IF(AY185=Constants!$B$5,COUNTA($C$8:$C$507)+1,IF(AY185=Constants!$B$6,COUNTA($C$8:$C$507),AY185))))</f>
        <v/>
      </c>
      <c r="BA185" s="5"/>
      <c r="BB185" s="106" t="n">
        <f aca="false">IF(OR(ISNUMBER(AY185),AY185=Constants!$B$4,AY185=Constants!$B$6,AY185=Constants!$B$5),1,0)</f>
        <v>0</v>
      </c>
      <c r="BC185" s="106" t="n">
        <v>178</v>
      </c>
      <c r="BD185" s="106" t="str">
        <f aca="false">IF(ISBLANK($C185),"",IF(ISNUMBER(AZ185),AZ185+ROW($B185)/1000,""))</f>
        <v/>
      </c>
      <c r="BE185" s="106" t="str">
        <f aca="false">IF(ISNUMBER(BD185),RANK(BD185,$BD$8:$BD$507,1),"")</f>
        <v/>
      </c>
      <c r="BF185" s="106" t="str">
        <f aca="false">IF(ISBLANK($C185),"",$B185)</f>
        <v/>
      </c>
      <c r="BG185" s="106" t="str">
        <f aca="false">IF(ISBLANK($C185),"",$C185)</f>
        <v/>
      </c>
      <c r="BH185" s="106" t="str">
        <f aca="false">IF(ISBLANK($C185),"",$D185)</f>
        <v/>
      </c>
      <c r="BI185" s="107" t="str">
        <f aca="false">AW185</f>
        <v/>
      </c>
      <c r="BJ185" s="108" t="str">
        <f aca="false">AV185</f>
        <v/>
      </c>
      <c r="BK185" s="106" t="str">
        <f aca="false">IF(ISBLANK($C185),"",AY185)</f>
        <v/>
      </c>
      <c r="BL185" s="109" t="str">
        <f aca="false">IF($BC185&gt;$BB$7,"",VLOOKUP($BC185,$BE$8:$BK$507,7,FALSE()))</f>
        <v/>
      </c>
      <c r="BM185" s="110" t="str">
        <f aca="false">IF($BC185&gt;$BB$7,"",VLOOKUP($BC185,$BE$8:$BK$507,2,FALSE()))</f>
        <v/>
      </c>
      <c r="BN185" s="110" t="str">
        <f aca="false">IF($BC185&gt;$BB$7,"",VLOOKUP($BC185,$BE$8:$BK$507,3,FALSE()))</f>
        <v/>
      </c>
      <c r="BO185" s="110" t="str">
        <f aca="false">IF($BC185&gt;$BB$7,"",VLOOKUP($BC185,$BE$8:$BK$507,4,FALSE()))</f>
        <v/>
      </c>
      <c r="BP185" s="110" t="str">
        <f aca="false">IF($BC185&gt;$BB$7,"",VLOOKUP($BC185,$BE$8:$BK$507,5,FALSE()))</f>
        <v/>
      </c>
      <c r="BQ185" s="111" t="str">
        <f aca="false">IF($BC185&gt;$BB$7,"",VLOOKUP($BC185,$BE$8:$BK$507,6,FALSE()))</f>
        <v/>
      </c>
      <c r="BR185" s="54"/>
    </row>
    <row r="186" customFormat="false" ht="13.8" hidden="false" customHeight="false" outlineLevel="0" collapsed="false">
      <c r="A186" s="5"/>
      <c r="B186" s="120"/>
      <c r="C186" s="121"/>
      <c r="D186" s="112"/>
      <c r="E186" s="123"/>
      <c r="F186" s="91"/>
      <c r="G186" s="92"/>
      <c r="H186" s="93"/>
      <c r="I186" s="94"/>
      <c r="J186" s="91"/>
      <c r="K186" s="92"/>
      <c r="L186" s="93"/>
      <c r="M186" s="94"/>
      <c r="N186" s="91"/>
      <c r="O186" s="123"/>
      <c r="P186" s="96"/>
      <c r="Q186" s="97" t="str">
        <f aca="false">IF(ISBLANK($C186),"",IF(E186=Constants!$B$2, TRUE(), IF(E186=Constants!$B$3, FALSE(), TRUE())))</f>
        <v/>
      </c>
      <c r="R186" s="97" t="str">
        <f aca="false">IF(ISBLANK($C186),"",IF(F186=Constants!$B$16,Constants!$B$9,IF(F186=Constants!$B$17,Constants!$B$10,Constants!$B$8)))</f>
        <v/>
      </c>
      <c r="S186" s="97" t="str">
        <f aca="false">IF(ISBLANK($C186),"",IF(COUNTA(G186:H186)=0,"",IF(AND(OR(ISBLANK(G186),AND(ISNUMBER(G186),G186&gt;=0)),OR(ISBLANK(H186),AND(ISNUMBER(H186),H186&gt;=0))),60*IF(ISBLANK(G186),0,G186)+IF(ISBLANK(H186),0,H186),"")))</f>
        <v/>
      </c>
      <c r="T186" s="97" t="str">
        <f aca="false">IF(ISBLANK($C186),"",IF(I186=Constants!$B$2, TRUE(), IF(I186=Constants!$B$3, FALSE(), TRUE())))</f>
        <v/>
      </c>
      <c r="U186" s="97" t="str">
        <f aca="false">IF(ISBLANK($C186),"",IF(J186=Constants!$B$2, TRUE(), IF(J186=Constants!$B$3, FALSE(), TRUE())))</f>
        <v/>
      </c>
      <c r="V186" s="97" t="str">
        <f aca="false">IF(ISBLANK($C186),"",IF(COUNTA(K186:L186)=0,"",IF(AND(OR(ISBLANK(K186),AND(ISNUMBER(K186),K186&gt;=0)),OR(ISBLANK(L186),AND(ISNUMBER(L186),L186&gt;=0))),60*IF(ISBLANK(K186),0,K186)+IF(ISBLANK(L186),0,L186),"")))</f>
        <v/>
      </c>
      <c r="W186" s="97" t="str">
        <f aca="false">IF(ISBLANK($C186),"",IF(M186=Constants!$B$2, TRUE(), IF(M186=Constants!$B$3, FALSE(), TRUE())))</f>
        <v/>
      </c>
      <c r="X186" s="97" t="str">
        <f aca="false">IF(ISBLANK($C186),"",IF(N186=Constants!$B$2, TRUE(), IF(N186=Constants!$B$3, FALSE(), TRUE())))</f>
        <v/>
      </c>
      <c r="Y186" s="97" t="str">
        <f aca="false">IF(ISBLANK($C186),"",IF(O186=Constants!$B$2, TRUE(), IF(O186=Constants!$B$3, FALSE(), FALSE())))</f>
        <v/>
      </c>
      <c r="Z186" s="97" t="str">
        <f aca="false">IF(ISBLANK($C186),"",AND(S186&lt;&gt;"",Q186))</f>
        <v/>
      </c>
      <c r="AA186" s="97" t="str">
        <f aca="false">IF(ISBLANK($C186),"",AND(V186&lt;&gt;"",Q186))</f>
        <v/>
      </c>
      <c r="AB186" s="97" t="str">
        <f aca="false">IF(ISBLANK($C186),"",IF(Y186,Constants!$B$4,IF(COUNTA(E186:N186)=0,Constants!$B$5,IF(NOT(Q186),Constants!$B$6,IF(AND(NOT(Z186),NOT(AA186)),Constants!$B$6,Constants!$B$7)))))</f>
        <v/>
      </c>
      <c r="AC186" s="97" t="str">
        <f aca="false">IF(ISBLANK($C186),"",IF($AB186&lt;&gt;Constants!$B$7,$AB186,Constants!$B$20))</f>
        <v/>
      </c>
      <c r="AD186" s="97" t="str">
        <f aca="false">IF($AB186=Constants!$B$7,IF(Z186,S186,Constants!$B$13),"")</f>
        <v/>
      </c>
      <c r="AE186" s="97" t="str">
        <f aca="false">IF($AB186=Constants!$B$7,IF(Z186,R186*IF(T186, 1, Constants!$B$11)*IF(U186, 1, Constants!$B$12),Constants!$B$13),"")</f>
        <v/>
      </c>
      <c r="AF186" s="97" t="str">
        <f aca="false">IF($AB186=Constants!$B$7,AD186*AE186,"")</f>
        <v/>
      </c>
      <c r="AG186" s="97" t="str">
        <f aca="false">IF($AB186=Constants!$B$7,IF(AA186,V186,Constants!$B$13),"")</f>
        <v/>
      </c>
      <c r="AH186" s="97" t="str">
        <f aca="false">IF($AB186=Constants!$B$7,IF(AA186,R186*IF(W186, 1, Constants!$B$11)*IF(X186, 1, Constants!$B$12),Constants!$B$13),"")</f>
        <v/>
      </c>
      <c r="AI186" s="97" t="str">
        <f aca="false">IF($AB186=Constants!$B$7,AG186*AH186,"")</f>
        <v/>
      </c>
      <c r="AJ186" s="97" t="str">
        <f aca="false">IF($AB186=Constants!$B$7,IF(AI186&gt;AF186,2,1),"")</f>
        <v/>
      </c>
      <c r="AK186" s="97" t="str">
        <f aca="false">IF($AB186=Constants!$B$7,IF(AJ186=1,2,1),"")</f>
        <v/>
      </c>
      <c r="AL186" s="97" t="str">
        <f aca="false">IF(ISBLANK($C186),"",IF($AB186&lt;&gt;Constants!$B$7,$AB186,IF(AJ186=1,AF186,AI186)))</f>
        <v/>
      </c>
      <c r="AM186" s="97" t="str">
        <f aca="false">IF(ISBLANK($C186),"",IF($AB186=Constants!$B$7,IF(ISNUMBER(AL186),RANK(AL186,$AL$8:$AL$507),Constants!$B$14),$AB186))</f>
        <v/>
      </c>
      <c r="AN186" s="97" t="str">
        <f aca="false">IF(ISBLANK($C186),"",IF($AB186=Constants!$B$7,IF(AK186=1,AF186,AI186),""))</f>
        <v/>
      </c>
      <c r="AO186" s="97" t="str">
        <f aca="false">IF(ISBLANK($C186),"",IF($AB186=Constants!$B$7,RANK(AN186,$AN$8:$AN$507),$AB186))</f>
        <v/>
      </c>
      <c r="AP186" s="97" t="str">
        <f aca="false">IF(ISBLANK($C186),"",IF($AB186=Constants!$B$7,IF(ISNUMBER(AM186),COUNTIFS($AM$8:$AM$507,"&lt;"&amp;$AM186)+COUNTIFS($AM$8:$AM$507,$AM186,$AO$8:$AO$507,"&lt;"&amp;$AO186)+1,Constants!$B$14),$AB186))</f>
        <v/>
      </c>
      <c r="AQ186" s="97" t="str">
        <f aca="false">IF(ISBLANK($C186),"",IF($AB186=Constants!$B$7,IF(ISNUMBER(AM186),AM186-AP186,Constants!$B$14),$AB186))</f>
        <v/>
      </c>
      <c r="AR186" s="98"/>
      <c r="AS186" s="99" t="str">
        <f aca="false">IF(ISBLANK($C186),"",IF($AB186&lt;&gt;Constants!$B$7,"",AJ186))</f>
        <v/>
      </c>
      <c r="AT186" s="100" t="str">
        <f aca="false">IF(ISBLANK($C186),"",IF($AB186&lt;&gt;Constants!$B$7,"",IF(AJ186=1,AD186,AG186)))</f>
        <v/>
      </c>
      <c r="AU186" s="101" t="str">
        <f aca="false">IF(ISBLANK($C186),"",IF($AB186&lt;&gt;Constants!$B$7,"",IF(AJ186=1,AE186,AH186)))</f>
        <v/>
      </c>
      <c r="AV186" s="102" t="str">
        <f aca="false">IF(ISBLANK($C186),"",IF($AB186&lt;&gt;Constants!$B$7,$AB186,AL186))</f>
        <v/>
      </c>
      <c r="AW186" s="103" t="str">
        <f aca="false">IF(ISBLANK($C186),"",IF($AB186&lt;&gt;Constants!$B$7,$AB186,AC186))</f>
        <v/>
      </c>
      <c r="AX186" s="104" t="str">
        <f aca="false">IF(ISBLANK($C186),"",AQ186)</f>
        <v/>
      </c>
      <c r="AY186" s="104" t="str">
        <f aca="false">IF(ISBLANK($C186),"",AP186)</f>
        <v/>
      </c>
      <c r="AZ186" s="105" t="str">
        <f aca="false">IF(ISBLANK($C186),"",IF(AY186=Constants!$B$4,COUNTA($C$8:$C$507)+2,IF(AY186=Constants!$B$5,COUNTA($C$8:$C$507)+1,IF(AY186=Constants!$B$6,COUNTA($C$8:$C$507),AY186))))</f>
        <v/>
      </c>
      <c r="BA186" s="5"/>
      <c r="BB186" s="106" t="n">
        <f aca="false">IF(OR(ISNUMBER(AY186),AY186=Constants!$B$4,AY186=Constants!$B$6,AY186=Constants!$B$5),1,0)</f>
        <v>0</v>
      </c>
      <c r="BC186" s="106" t="n">
        <v>179</v>
      </c>
      <c r="BD186" s="106" t="str">
        <f aca="false">IF(ISBLANK($C186),"",IF(ISNUMBER(AZ186),AZ186+ROW($B186)/1000,""))</f>
        <v/>
      </c>
      <c r="BE186" s="106" t="str">
        <f aca="false">IF(ISNUMBER(BD186),RANK(BD186,$BD$8:$BD$507,1),"")</f>
        <v/>
      </c>
      <c r="BF186" s="106" t="str">
        <f aca="false">IF(ISBLANK($C186),"",$B186)</f>
        <v/>
      </c>
      <c r="BG186" s="106" t="str">
        <f aca="false">IF(ISBLANK($C186),"",$C186)</f>
        <v/>
      </c>
      <c r="BH186" s="106" t="str">
        <f aca="false">IF(ISBLANK($C186),"",$D186)</f>
        <v/>
      </c>
      <c r="BI186" s="107" t="str">
        <f aca="false">AW186</f>
        <v/>
      </c>
      <c r="BJ186" s="108" t="str">
        <f aca="false">AV186</f>
        <v/>
      </c>
      <c r="BK186" s="106" t="str">
        <f aca="false">IF(ISBLANK($C186),"",AY186)</f>
        <v/>
      </c>
      <c r="BL186" s="109" t="str">
        <f aca="false">IF($BC186&gt;$BB$7,"",VLOOKUP($BC186,$BE$8:$BK$507,7,FALSE()))</f>
        <v/>
      </c>
      <c r="BM186" s="110" t="str">
        <f aca="false">IF($BC186&gt;$BB$7,"",VLOOKUP($BC186,$BE$8:$BK$507,2,FALSE()))</f>
        <v/>
      </c>
      <c r="BN186" s="110" t="str">
        <f aca="false">IF($BC186&gt;$BB$7,"",VLOOKUP($BC186,$BE$8:$BK$507,3,FALSE()))</f>
        <v/>
      </c>
      <c r="BO186" s="110" t="str">
        <f aca="false">IF($BC186&gt;$BB$7,"",VLOOKUP($BC186,$BE$8:$BK$507,4,FALSE()))</f>
        <v/>
      </c>
      <c r="BP186" s="110" t="str">
        <f aca="false">IF($BC186&gt;$BB$7,"",VLOOKUP($BC186,$BE$8:$BK$507,5,FALSE()))</f>
        <v/>
      </c>
      <c r="BQ186" s="111" t="str">
        <f aca="false">IF($BC186&gt;$BB$7,"",VLOOKUP($BC186,$BE$8:$BK$507,6,FALSE()))</f>
        <v/>
      </c>
      <c r="BR186" s="54"/>
    </row>
    <row r="187" customFormat="false" ht="13.8" hidden="false" customHeight="false" outlineLevel="0" collapsed="false">
      <c r="A187" s="5"/>
      <c r="B187" s="120"/>
      <c r="C187" s="121"/>
      <c r="D187" s="112"/>
      <c r="E187" s="123"/>
      <c r="F187" s="91"/>
      <c r="G187" s="92"/>
      <c r="H187" s="93"/>
      <c r="I187" s="94"/>
      <c r="J187" s="91"/>
      <c r="K187" s="92"/>
      <c r="L187" s="93"/>
      <c r="M187" s="94"/>
      <c r="N187" s="91"/>
      <c r="O187" s="123"/>
      <c r="P187" s="96"/>
      <c r="Q187" s="97" t="str">
        <f aca="false">IF(ISBLANK($C187),"",IF(E187=Constants!$B$2, TRUE(), IF(E187=Constants!$B$3, FALSE(), TRUE())))</f>
        <v/>
      </c>
      <c r="R187" s="97" t="str">
        <f aca="false">IF(ISBLANK($C187),"",IF(F187=Constants!$B$16,Constants!$B$9,IF(F187=Constants!$B$17,Constants!$B$10,Constants!$B$8)))</f>
        <v/>
      </c>
      <c r="S187" s="97" t="str">
        <f aca="false">IF(ISBLANK($C187),"",IF(COUNTA(G187:H187)=0,"",IF(AND(OR(ISBLANK(G187),AND(ISNUMBER(G187),G187&gt;=0)),OR(ISBLANK(H187),AND(ISNUMBER(H187),H187&gt;=0))),60*IF(ISBLANK(G187),0,G187)+IF(ISBLANK(H187),0,H187),"")))</f>
        <v/>
      </c>
      <c r="T187" s="97" t="str">
        <f aca="false">IF(ISBLANK($C187),"",IF(I187=Constants!$B$2, TRUE(), IF(I187=Constants!$B$3, FALSE(), TRUE())))</f>
        <v/>
      </c>
      <c r="U187" s="97" t="str">
        <f aca="false">IF(ISBLANK($C187),"",IF(J187=Constants!$B$2, TRUE(), IF(J187=Constants!$B$3, FALSE(), TRUE())))</f>
        <v/>
      </c>
      <c r="V187" s="97" t="str">
        <f aca="false">IF(ISBLANK($C187),"",IF(COUNTA(K187:L187)=0,"",IF(AND(OR(ISBLANK(K187),AND(ISNUMBER(K187),K187&gt;=0)),OR(ISBLANK(L187),AND(ISNUMBER(L187),L187&gt;=0))),60*IF(ISBLANK(K187),0,K187)+IF(ISBLANK(L187),0,L187),"")))</f>
        <v/>
      </c>
      <c r="W187" s="97" t="str">
        <f aca="false">IF(ISBLANK($C187),"",IF(M187=Constants!$B$2, TRUE(), IF(M187=Constants!$B$3, FALSE(), TRUE())))</f>
        <v/>
      </c>
      <c r="X187" s="97" t="str">
        <f aca="false">IF(ISBLANK($C187),"",IF(N187=Constants!$B$2, TRUE(), IF(N187=Constants!$B$3, FALSE(), TRUE())))</f>
        <v/>
      </c>
      <c r="Y187" s="97" t="str">
        <f aca="false">IF(ISBLANK($C187),"",IF(O187=Constants!$B$2, TRUE(), IF(O187=Constants!$B$3, FALSE(), FALSE())))</f>
        <v/>
      </c>
      <c r="Z187" s="97" t="str">
        <f aca="false">IF(ISBLANK($C187),"",AND(S187&lt;&gt;"",Q187))</f>
        <v/>
      </c>
      <c r="AA187" s="97" t="str">
        <f aca="false">IF(ISBLANK($C187),"",AND(V187&lt;&gt;"",Q187))</f>
        <v/>
      </c>
      <c r="AB187" s="97" t="str">
        <f aca="false">IF(ISBLANK($C187),"",IF(Y187,Constants!$B$4,IF(COUNTA(E187:N187)=0,Constants!$B$5,IF(NOT(Q187),Constants!$B$6,IF(AND(NOT(Z187),NOT(AA187)),Constants!$B$6,Constants!$B$7)))))</f>
        <v/>
      </c>
      <c r="AC187" s="97" t="str">
        <f aca="false">IF(ISBLANK($C187),"",IF($AB187&lt;&gt;Constants!$B$7,$AB187,Constants!$B$20))</f>
        <v/>
      </c>
      <c r="AD187" s="97" t="str">
        <f aca="false">IF($AB187=Constants!$B$7,IF(Z187,S187,Constants!$B$13),"")</f>
        <v/>
      </c>
      <c r="AE187" s="97" t="str">
        <f aca="false">IF($AB187=Constants!$B$7,IF(Z187,R187*IF(T187, 1, Constants!$B$11)*IF(U187, 1, Constants!$B$12),Constants!$B$13),"")</f>
        <v/>
      </c>
      <c r="AF187" s="97" t="str">
        <f aca="false">IF($AB187=Constants!$B$7,AD187*AE187,"")</f>
        <v/>
      </c>
      <c r="AG187" s="97" t="str">
        <f aca="false">IF($AB187=Constants!$B$7,IF(AA187,V187,Constants!$B$13),"")</f>
        <v/>
      </c>
      <c r="AH187" s="97" t="str">
        <f aca="false">IF($AB187=Constants!$B$7,IF(AA187,R187*IF(W187, 1, Constants!$B$11)*IF(X187, 1, Constants!$B$12),Constants!$B$13),"")</f>
        <v/>
      </c>
      <c r="AI187" s="97" t="str">
        <f aca="false">IF($AB187=Constants!$B$7,AG187*AH187,"")</f>
        <v/>
      </c>
      <c r="AJ187" s="97" t="str">
        <f aca="false">IF($AB187=Constants!$B$7,IF(AI187&gt;AF187,2,1),"")</f>
        <v/>
      </c>
      <c r="AK187" s="97" t="str">
        <f aca="false">IF($AB187=Constants!$B$7,IF(AJ187=1,2,1),"")</f>
        <v/>
      </c>
      <c r="AL187" s="97" t="str">
        <f aca="false">IF(ISBLANK($C187),"",IF($AB187&lt;&gt;Constants!$B$7,$AB187,IF(AJ187=1,AF187,AI187)))</f>
        <v/>
      </c>
      <c r="AM187" s="97" t="str">
        <f aca="false">IF(ISBLANK($C187),"",IF($AB187=Constants!$B$7,IF(ISNUMBER(AL187),RANK(AL187,$AL$8:$AL$507),Constants!$B$14),$AB187))</f>
        <v/>
      </c>
      <c r="AN187" s="97" t="str">
        <f aca="false">IF(ISBLANK($C187),"",IF($AB187=Constants!$B$7,IF(AK187=1,AF187,AI187),""))</f>
        <v/>
      </c>
      <c r="AO187" s="97" t="str">
        <f aca="false">IF(ISBLANK($C187),"",IF($AB187=Constants!$B$7,RANK(AN187,$AN$8:$AN$507),$AB187))</f>
        <v/>
      </c>
      <c r="AP187" s="97" t="str">
        <f aca="false">IF(ISBLANK($C187),"",IF($AB187=Constants!$B$7,IF(ISNUMBER(AM187),COUNTIFS($AM$8:$AM$507,"&lt;"&amp;$AM187)+COUNTIFS($AM$8:$AM$507,$AM187,$AO$8:$AO$507,"&lt;"&amp;$AO187)+1,Constants!$B$14),$AB187))</f>
        <v/>
      </c>
      <c r="AQ187" s="97" t="str">
        <f aca="false">IF(ISBLANK($C187),"",IF($AB187=Constants!$B$7,IF(ISNUMBER(AM187),AM187-AP187,Constants!$B$14),$AB187))</f>
        <v/>
      </c>
      <c r="AR187" s="98"/>
      <c r="AS187" s="99" t="str">
        <f aca="false">IF(ISBLANK($C187),"",IF($AB187&lt;&gt;Constants!$B$7,"",AJ187))</f>
        <v/>
      </c>
      <c r="AT187" s="100" t="str">
        <f aca="false">IF(ISBLANK($C187),"",IF($AB187&lt;&gt;Constants!$B$7,"",IF(AJ187=1,AD187,AG187)))</f>
        <v/>
      </c>
      <c r="AU187" s="101" t="str">
        <f aca="false">IF(ISBLANK($C187),"",IF($AB187&lt;&gt;Constants!$B$7,"",IF(AJ187=1,AE187,AH187)))</f>
        <v/>
      </c>
      <c r="AV187" s="102" t="str">
        <f aca="false">IF(ISBLANK($C187),"",IF($AB187&lt;&gt;Constants!$B$7,$AB187,AL187))</f>
        <v/>
      </c>
      <c r="AW187" s="103" t="str">
        <f aca="false">IF(ISBLANK($C187),"",IF($AB187&lt;&gt;Constants!$B$7,$AB187,AC187))</f>
        <v/>
      </c>
      <c r="AX187" s="104" t="str">
        <f aca="false">IF(ISBLANK($C187),"",AQ187)</f>
        <v/>
      </c>
      <c r="AY187" s="104" t="str">
        <f aca="false">IF(ISBLANK($C187),"",AP187)</f>
        <v/>
      </c>
      <c r="AZ187" s="105" t="str">
        <f aca="false">IF(ISBLANK($C187),"",IF(AY187=Constants!$B$4,COUNTA($C$8:$C$507)+2,IF(AY187=Constants!$B$5,COUNTA($C$8:$C$507)+1,IF(AY187=Constants!$B$6,COUNTA($C$8:$C$507),AY187))))</f>
        <v/>
      </c>
      <c r="BA187" s="5"/>
      <c r="BB187" s="106" t="n">
        <f aca="false">IF(OR(ISNUMBER(AY187),AY187=Constants!$B$4,AY187=Constants!$B$6,AY187=Constants!$B$5),1,0)</f>
        <v>0</v>
      </c>
      <c r="BC187" s="106" t="n">
        <v>180</v>
      </c>
      <c r="BD187" s="106" t="str">
        <f aca="false">IF(ISBLANK($C187),"",IF(ISNUMBER(AZ187),AZ187+ROW($B187)/1000,""))</f>
        <v/>
      </c>
      <c r="BE187" s="106" t="str">
        <f aca="false">IF(ISNUMBER(BD187),RANK(BD187,$BD$8:$BD$507,1),"")</f>
        <v/>
      </c>
      <c r="BF187" s="106" t="str">
        <f aca="false">IF(ISBLANK($C187),"",$B187)</f>
        <v/>
      </c>
      <c r="BG187" s="106" t="str">
        <f aca="false">IF(ISBLANK($C187),"",$C187)</f>
        <v/>
      </c>
      <c r="BH187" s="106" t="str">
        <f aca="false">IF(ISBLANK($C187),"",$D187)</f>
        <v/>
      </c>
      <c r="BI187" s="107" t="str">
        <f aca="false">AW187</f>
        <v/>
      </c>
      <c r="BJ187" s="108" t="str">
        <f aca="false">AV187</f>
        <v/>
      </c>
      <c r="BK187" s="106" t="str">
        <f aca="false">IF(ISBLANK($C187),"",AY187)</f>
        <v/>
      </c>
      <c r="BL187" s="109" t="str">
        <f aca="false">IF($BC187&gt;$BB$7,"",VLOOKUP($BC187,$BE$8:$BK$507,7,FALSE()))</f>
        <v/>
      </c>
      <c r="BM187" s="110" t="str">
        <f aca="false">IF($BC187&gt;$BB$7,"",VLOOKUP($BC187,$BE$8:$BK$507,2,FALSE()))</f>
        <v/>
      </c>
      <c r="BN187" s="110" t="str">
        <f aca="false">IF($BC187&gt;$BB$7,"",VLOOKUP($BC187,$BE$8:$BK$507,3,FALSE()))</f>
        <v/>
      </c>
      <c r="BO187" s="110" t="str">
        <f aca="false">IF($BC187&gt;$BB$7,"",VLOOKUP($BC187,$BE$8:$BK$507,4,FALSE()))</f>
        <v/>
      </c>
      <c r="BP187" s="110" t="str">
        <f aca="false">IF($BC187&gt;$BB$7,"",VLOOKUP($BC187,$BE$8:$BK$507,5,FALSE()))</f>
        <v/>
      </c>
      <c r="BQ187" s="111" t="str">
        <f aca="false">IF($BC187&gt;$BB$7,"",VLOOKUP($BC187,$BE$8:$BK$507,6,FALSE()))</f>
        <v/>
      </c>
      <c r="BR187" s="54"/>
    </row>
    <row r="188" customFormat="false" ht="13.8" hidden="false" customHeight="false" outlineLevel="0" collapsed="false">
      <c r="A188" s="5"/>
      <c r="B188" s="124"/>
      <c r="C188" s="56"/>
      <c r="D188" s="57"/>
      <c r="E188" s="83"/>
      <c r="F188" s="59"/>
      <c r="G188" s="60"/>
      <c r="H188" s="61"/>
      <c r="I188" s="62"/>
      <c r="J188" s="59"/>
      <c r="K188" s="60"/>
      <c r="L188" s="61"/>
      <c r="M188" s="62"/>
      <c r="N188" s="59"/>
      <c r="O188" s="83"/>
      <c r="P188" s="64"/>
      <c r="Q188" s="66" t="str">
        <f aca="false">IF(ISBLANK($C188),"",IF(E188=Constants!$B$2, TRUE(), IF(E188=Constants!$B$3, FALSE(), TRUE())))</f>
        <v/>
      </c>
      <c r="R188" s="66" t="str">
        <f aca="false">IF(ISBLANK($C188),"",IF(F188=Constants!$B$16,Constants!$B$9,IF(F188=Constants!$B$17,Constants!$B$10,Constants!$B$8)))</f>
        <v/>
      </c>
      <c r="S188" s="66" t="str">
        <f aca="false">IF(ISBLANK($C188),"",IF(COUNTA(G188:H188)=0,"",IF(AND(OR(ISBLANK(G188),AND(ISNUMBER(G188),G188&gt;=0)),OR(ISBLANK(H188),AND(ISNUMBER(H188),H188&gt;=0))),60*IF(ISBLANK(G188),0,G188)+IF(ISBLANK(H188),0,H188),"")))</f>
        <v/>
      </c>
      <c r="T188" s="66" t="str">
        <f aca="false">IF(ISBLANK($C188),"",IF(I188=Constants!$B$2, TRUE(), IF(I188=Constants!$B$3, FALSE(), TRUE())))</f>
        <v/>
      </c>
      <c r="U188" s="66" t="str">
        <f aca="false">IF(ISBLANK($C188),"",IF(J188=Constants!$B$2, TRUE(), IF(J188=Constants!$B$3, FALSE(), TRUE())))</f>
        <v/>
      </c>
      <c r="V188" s="66" t="str">
        <f aca="false">IF(ISBLANK($C188),"",IF(COUNTA(K188:L188)=0,"",IF(AND(OR(ISBLANK(K188),AND(ISNUMBER(K188),K188&gt;=0)),OR(ISBLANK(L188),AND(ISNUMBER(L188),L188&gt;=0))),60*IF(ISBLANK(K188),0,K188)+IF(ISBLANK(L188),0,L188),"")))</f>
        <v/>
      </c>
      <c r="W188" s="66" t="str">
        <f aca="false">IF(ISBLANK($C188),"",IF(M188=Constants!$B$2, TRUE(), IF(M188=Constants!$B$3, FALSE(), TRUE())))</f>
        <v/>
      </c>
      <c r="X188" s="66" t="str">
        <f aca="false">IF(ISBLANK($C188),"",IF(N188=Constants!$B$2, TRUE(), IF(N188=Constants!$B$3, FALSE(), TRUE())))</f>
        <v/>
      </c>
      <c r="Y188" s="66" t="str">
        <f aca="false">IF(ISBLANK($C188),"",IF(O188=Constants!$B$2, TRUE(), IF(O188=Constants!$B$3, FALSE(), FALSE())))</f>
        <v/>
      </c>
      <c r="Z188" s="66" t="str">
        <f aca="false">IF(ISBLANK($C188),"",AND(S188&lt;&gt;"",Q188))</f>
        <v/>
      </c>
      <c r="AA188" s="66" t="str">
        <f aca="false">IF(ISBLANK($C188),"",AND(V188&lt;&gt;"",Q188))</f>
        <v/>
      </c>
      <c r="AB188" s="66" t="str">
        <f aca="false">IF(ISBLANK($C188),"",IF(Y188,Constants!$B$4,IF(COUNTA(E188:N188)=0,Constants!$B$5,IF(NOT(Q188),Constants!$B$6,IF(AND(NOT(Z188),NOT(AA188)),Constants!$B$6,Constants!$B$7)))))</f>
        <v/>
      </c>
      <c r="AC188" s="66" t="str">
        <f aca="false">IF(ISBLANK($C188),"",IF($AB188&lt;&gt;Constants!$B$7,$AB188,Constants!$B$20))</f>
        <v/>
      </c>
      <c r="AD188" s="66" t="str">
        <f aca="false">IF($AB188=Constants!$B$7,IF(Z188,S188,Constants!$B$13),"")</f>
        <v/>
      </c>
      <c r="AE188" s="66" t="str">
        <f aca="false">IF($AB188=Constants!$B$7,IF(Z188,R188*IF(T188, 1, Constants!$B$11)*IF(U188, 1, Constants!$B$12),Constants!$B$13),"")</f>
        <v/>
      </c>
      <c r="AF188" s="66" t="str">
        <f aca="false">IF($AB188=Constants!$B$7,AD188*AE188,"")</f>
        <v/>
      </c>
      <c r="AG188" s="66" t="str">
        <f aca="false">IF($AB188=Constants!$B$7,IF(AA188,V188,Constants!$B$13),"")</f>
        <v/>
      </c>
      <c r="AH188" s="66" t="str">
        <f aca="false">IF($AB188=Constants!$B$7,IF(AA188,R188*IF(W188, 1, Constants!$B$11)*IF(X188, 1, Constants!$B$12),Constants!$B$13),"")</f>
        <v/>
      </c>
      <c r="AI188" s="66" t="str">
        <f aca="false">IF($AB188=Constants!$B$7,AG188*AH188,"")</f>
        <v/>
      </c>
      <c r="AJ188" s="66" t="str">
        <f aca="false">IF($AB188=Constants!$B$7,IF(AI188&gt;AF188,2,1),"")</f>
        <v/>
      </c>
      <c r="AK188" s="66" t="str">
        <f aca="false">IF($AB188=Constants!$B$7,IF(AJ188=1,2,1),"")</f>
        <v/>
      </c>
      <c r="AL188" s="66" t="str">
        <f aca="false">IF(ISBLANK($C188),"",IF($AB188&lt;&gt;Constants!$B$7,$AB188,IF(AJ188=1,AF188,AI188)))</f>
        <v/>
      </c>
      <c r="AM188" s="66" t="str">
        <f aca="false">IF(ISBLANK($C188),"",IF($AB188=Constants!$B$7,IF(ISNUMBER(AL188),RANK(AL188,$AL$8:$AL$507),Constants!$B$14),$AB188))</f>
        <v/>
      </c>
      <c r="AN188" s="66" t="str">
        <f aca="false">IF(ISBLANK($C188),"",IF($AB188=Constants!$B$7,IF(AK188=1,AF188,AI188),""))</f>
        <v/>
      </c>
      <c r="AO188" s="66" t="str">
        <f aca="false">IF(ISBLANK($C188),"",IF($AB188=Constants!$B$7,RANK(AN188,$AN$8:$AN$507),$AB188))</f>
        <v/>
      </c>
      <c r="AP188" s="66" t="str">
        <f aca="false">IF(ISBLANK($C188),"",IF($AB188=Constants!$B$7,IF(ISNUMBER(AM188),COUNTIFS($AM$8:$AM$507,"&lt;"&amp;$AM188)+COUNTIFS($AM$8:$AM$507,$AM188,$AO$8:$AO$507,"&lt;"&amp;$AO188)+1,Constants!$B$14),$AB188))</f>
        <v/>
      </c>
      <c r="AQ188" s="66" t="str">
        <f aca="false">IF(ISBLANK($C188),"",IF($AB188=Constants!$B$7,IF(ISNUMBER(AM188),AM188-AP188,Constants!$B$14),$AB188))</f>
        <v/>
      </c>
      <c r="AR188" s="68"/>
      <c r="AS188" s="69" t="str">
        <f aca="false">IF(ISBLANK($C188),"",IF($AB188&lt;&gt;Constants!$B$7,"",AJ188))</f>
        <v/>
      </c>
      <c r="AT188" s="84" t="str">
        <f aca="false">IF(ISBLANK($C188),"",IF($AB188&lt;&gt;Constants!$B$7,"",IF(AJ188=1,AD188,AG188)))</f>
        <v/>
      </c>
      <c r="AU188" s="71" t="str">
        <f aca="false">IF(ISBLANK($C188),"",IF($AB188&lt;&gt;Constants!$B$7,"",IF(AJ188=1,AE188,AH188)))</f>
        <v/>
      </c>
      <c r="AV188" s="72" t="str">
        <f aca="false">IF(ISBLANK($C188),"",IF($AB188&lt;&gt;Constants!$B$7,$AB188,AL188))</f>
        <v/>
      </c>
      <c r="AW188" s="73" t="str">
        <f aca="false">IF(ISBLANK($C188),"",IF($AB188&lt;&gt;Constants!$B$7,$AB188,AC188))</f>
        <v/>
      </c>
      <c r="AX188" s="74" t="str">
        <f aca="false">IF(ISBLANK($C188),"",AQ188)</f>
        <v/>
      </c>
      <c r="AY188" s="74" t="str">
        <f aca="false">IF(ISBLANK($C188),"",AP188)</f>
        <v/>
      </c>
      <c r="AZ188" s="75" t="str">
        <f aca="false">IF(ISBLANK($C188),"",IF(AY188=Constants!$B$4,COUNTA($C$8:$C$507)+2,IF(AY188=Constants!$B$5,COUNTA($C$8:$C$507)+1,IF(AY188=Constants!$B$6,COUNTA($C$8:$C$507),AY188))))</f>
        <v/>
      </c>
      <c r="BA188" s="5"/>
      <c r="BB188" s="76" t="n">
        <f aca="false">IF(OR(ISNUMBER(AY188),AY188=Constants!$B$4,AY188=Constants!$B$6,AY188=Constants!$B$5),1,0)</f>
        <v>0</v>
      </c>
      <c r="BC188" s="76" t="n">
        <v>181</v>
      </c>
      <c r="BD188" s="76" t="str">
        <f aca="false">IF(ISBLANK($C188),"",IF(ISNUMBER(AZ188),AZ188+ROW($B188)/1000,""))</f>
        <v/>
      </c>
      <c r="BE188" s="76" t="str">
        <f aca="false">IF(ISNUMBER(BD188),RANK(BD188,$BD$8:$BD$507,1),"")</f>
        <v/>
      </c>
      <c r="BF188" s="76" t="str">
        <f aca="false">IF(ISBLANK($C188),"",$B188)</f>
        <v/>
      </c>
      <c r="BG188" s="76" t="str">
        <f aca="false">IF(ISBLANK($C188),"",$C188)</f>
        <v/>
      </c>
      <c r="BH188" s="76" t="str">
        <f aca="false">IF(ISBLANK($C188),"",$D188)</f>
        <v/>
      </c>
      <c r="BI188" s="77" t="str">
        <f aca="false">AW188</f>
        <v/>
      </c>
      <c r="BJ188" s="78" t="str">
        <f aca="false">AV188</f>
        <v/>
      </c>
      <c r="BK188" s="76" t="str">
        <f aca="false">IF(ISBLANK($C188),"",AY188)</f>
        <v/>
      </c>
      <c r="BL188" s="79" t="str">
        <f aca="false">IF($BC188&gt;$BB$7,"",VLOOKUP($BC188,$BE$8:$BK$507,7,FALSE()))</f>
        <v/>
      </c>
      <c r="BM188" s="80" t="str">
        <f aca="false">IF($BC188&gt;$BB$7,"",VLOOKUP($BC188,$BE$8:$BK$507,2,FALSE()))</f>
        <v/>
      </c>
      <c r="BN188" s="80" t="str">
        <f aca="false">IF($BC188&gt;$BB$7,"",VLOOKUP($BC188,$BE$8:$BK$507,3,FALSE()))</f>
        <v/>
      </c>
      <c r="BO188" s="80" t="str">
        <f aca="false">IF($BC188&gt;$BB$7,"",VLOOKUP($BC188,$BE$8:$BK$507,4,FALSE()))</f>
        <v/>
      </c>
      <c r="BP188" s="80" t="str">
        <f aca="false">IF($BC188&gt;$BB$7,"",VLOOKUP($BC188,$BE$8:$BK$507,5,FALSE()))</f>
        <v/>
      </c>
      <c r="BQ188" s="81" t="str">
        <f aca="false">IF($BC188&gt;$BB$7,"",VLOOKUP($BC188,$BE$8:$BK$507,6,FALSE()))</f>
        <v/>
      </c>
      <c r="BR188" s="54"/>
    </row>
    <row r="189" customFormat="false" ht="13.8" hidden="false" customHeight="false" outlineLevel="0" collapsed="false">
      <c r="A189" s="5"/>
      <c r="B189" s="124"/>
      <c r="C189" s="56"/>
      <c r="D189" s="57"/>
      <c r="E189" s="83"/>
      <c r="F189" s="59"/>
      <c r="G189" s="60"/>
      <c r="H189" s="61"/>
      <c r="I189" s="62"/>
      <c r="J189" s="59"/>
      <c r="K189" s="60"/>
      <c r="L189" s="61"/>
      <c r="M189" s="62"/>
      <c r="N189" s="59"/>
      <c r="O189" s="83"/>
      <c r="P189" s="64"/>
      <c r="Q189" s="66" t="str">
        <f aca="false">IF(ISBLANK($C189),"",IF(E189=Constants!$B$2, TRUE(), IF(E189=Constants!$B$3, FALSE(), TRUE())))</f>
        <v/>
      </c>
      <c r="R189" s="66" t="str">
        <f aca="false">IF(ISBLANK($C189),"",IF(F189=Constants!$B$16,Constants!$B$9,IF(F189=Constants!$B$17,Constants!$B$10,Constants!$B$8)))</f>
        <v/>
      </c>
      <c r="S189" s="66" t="str">
        <f aca="false">IF(ISBLANK($C189),"",IF(COUNTA(G189:H189)=0,"",IF(AND(OR(ISBLANK(G189),AND(ISNUMBER(G189),G189&gt;=0)),OR(ISBLANK(H189),AND(ISNUMBER(H189),H189&gt;=0))),60*IF(ISBLANK(G189),0,G189)+IF(ISBLANK(H189),0,H189),"")))</f>
        <v/>
      </c>
      <c r="T189" s="66" t="str">
        <f aca="false">IF(ISBLANK($C189),"",IF(I189=Constants!$B$2, TRUE(), IF(I189=Constants!$B$3, FALSE(), TRUE())))</f>
        <v/>
      </c>
      <c r="U189" s="66" t="str">
        <f aca="false">IF(ISBLANK($C189),"",IF(J189=Constants!$B$2, TRUE(), IF(J189=Constants!$B$3, FALSE(), TRUE())))</f>
        <v/>
      </c>
      <c r="V189" s="66" t="str">
        <f aca="false">IF(ISBLANK($C189),"",IF(COUNTA(K189:L189)=0,"",IF(AND(OR(ISBLANK(K189),AND(ISNUMBER(K189),K189&gt;=0)),OR(ISBLANK(L189),AND(ISNUMBER(L189),L189&gt;=0))),60*IF(ISBLANK(K189),0,K189)+IF(ISBLANK(L189),0,L189),"")))</f>
        <v/>
      </c>
      <c r="W189" s="66" t="str">
        <f aca="false">IF(ISBLANK($C189),"",IF(M189=Constants!$B$2, TRUE(), IF(M189=Constants!$B$3, FALSE(), TRUE())))</f>
        <v/>
      </c>
      <c r="X189" s="66" t="str">
        <f aca="false">IF(ISBLANK($C189),"",IF(N189=Constants!$B$2, TRUE(), IF(N189=Constants!$B$3, FALSE(), TRUE())))</f>
        <v/>
      </c>
      <c r="Y189" s="66" t="str">
        <f aca="false">IF(ISBLANK($C189),"",IF(O189=Constants!$B$2, TRUE(), IF(O189=Constants!$B$3, FALSE(), FALSE())))</f>
        <v/>
      </c>
      <c r="Z189" s="66" t="str">
        <f aca="false">IF(ISBLANK($C189),"",AND(S189&lt;&gt;"",Q189))</f>
        <v/>
      </c>
      <c r="AA189" s="66" t="str">
        <f aca="false">IF(ISBLANK($C189),"",AND(V189&lt;&gt;"",Q189))</f>
        <v/>
      </c>
      <c r="AB189" s="66" t="str">
        <f aca="false">IF(ISBLANK($C189),"",IF(Y189,Constants!$B$4,IF(COUNTA(E189:N189)=0,Constants!$B$5,IF(NOT(Q189),Constants!$B$6,IF(AND(NOT(Z189),NOT(AA189)),Constants!$B$6,Constants!$B$7)))))</f>
        <v/>
      </c>
      <c r="AC189" s="66" t="str">
        <f aca="false">IF(ISBLANK($C189),"",IF($AB189&lt;&gt;Constants!$B$7,$AB189,Constants!$B$20))</f>
        <v/>
      </c>
      <c r="AD189" s="66" t="str">
        <f aca="false">IF($AB189=Constants!$B$7,IF(Z189,S189,Constants!$B$13),"")</f>
        <v/>
      </c>
      <c r="AE189" s="66" t="str">
        <f aca="false">IF($AB189=Constants!$B$7,IF(Z189,R189*IF(T189, 1, Constants!$B$11)*IF(U189, 1, Constants!$B$12),Constants!$B$13),"")</f>
        <v/>
      </c>
      <c r="AF189" s="66" t="str">
        <f aca="false">IF($AB189=Constants!$B$7,AD189*AE189,"")</f>
        <v/>
      </c>
      <c r="AG189" s="66" t="str">
        <f aca="false">IF($AB189=Constants!$B$7,IF(AA189,V189,Constants!$B$13),"")</f>
        <v/>
      </c>
      <c r="AH189" s="66" t="str">
        <f aca="false">IF($AB189=Constants!$B$7,IF(AA189,R189*IF(W189, 1, Constants!$B$11)*IF(X189, 1, Constants!$B$12),Constants!$B$13),"")</f>
        <v/>
      </c>
      <c r="AI189" s="66" t="str">
        <f aca="false">IF($AB189=Constants!$B$7,AG189*AH189,"")</f>
        <v/>
      </c>
      <c r="AJ189" s="66" t="str">
        <f aca="false">IF($AB189=Constants!$B$7,IF(AI189&gt;AF189,2,1),"")</f>
        <v/>
      </c>
      <c r="AK189" s="66" t="str">
        <f aca="false">IF($AB189=Constants!$B$7,IF(AJ189=1,2,1),"")</f>
        <v/>
      </c>
      <c r="AL189" s="66" t="str">
        <f aca="false">IF(ISBLANK($C189),"",IF($AB189&lt;&gt;Constants!$B$7,$AB189,IF(AJ189=1,AF189,AI189)))</f>
        <v/>
      </c>
      <c r="AM189" s="66" t="str">
        <f aca="false">IF(ISBLANK($C189),"",IF($AB189=Constants!$B$7,IF(ISNUMBER(AL189),RANK(AL189,$AL$8:$AL$507),Constants!$B$14),$AB189))</f>
        <v/>
      </c>
      <c r="AN189" s="66" t="str">
        <f aca="false">IF(ISBLANK($C189),"",IF($AB189=Constants!$B$7,IF(AK189=1,AF189,AI189),""))</f>
        <v/>
      </c>
      <c r="AO189" s="66" t="str">
        <f aca="false">IF(ISBLANK($C189),"",IF($AB189=Constants!$B$7,RANK(AN189,$AN$8:$AN$507),$AB189))</f>
        <v/>
      </c>
      <c r="AP189" s="66" t="str">
        <f aca="false">IF(ISBLANK($C189),"",IF($AB189=Constants!$B$7,IF(ISNUMBER(AM189),COUNTIFS($AM$8:$AM$507,"&lt;"&amp;$AM189)+COUNTIFS($AM$8:$AM$507,$AM189,$AO$8:$AO$507,"&lt;"&amp;$AO189)+1,Constants!$B$14),$AB189))</f>
        <v/>
      </c>
      <c r="AQ189" s="66" t="str">
        <f aca="false">IF(ISBLANK($C189),"",IF($AB189=Constants!$B$7,IF(ISNUMBER(AM189),AM189-AP189,Constants!$B$14),$AB189))</f>
        <v/>
      </c>
      <c r="AR189" s="68"/>
      <c r="AS189" s="69" t="str">
        <f aca="false">IF(ISBLANK($C189),"",IF($AB189&lt;&gt;Constants!$B$7,"",AJ189))</f>
        <v/>
      </c>
      <c r="AT189" s="84" t="str">
        <f aca="false">IF(ISBLANK($C189),"",IF($AB189&lt;&gt;Constants!$B$7,"",IF(AJ189=1,AD189,AG189)))</f>
        <v/>
      </c>
      <c r="AU189" s="71" t="str">
        <f aca="false">IF(ISBLANK($C189),"",IF($AB189&lt;&gt;Constants!$B$7,"",IF(AJ189=1,AE189,AH189)))</f>
        <v/>
      </c>
      <c r="AV189" s="72" t="str">
        <f aca="false">IF(ISBLANK($C189),"",IF($AB189&lt;&gt;Constants!$B$7,$AB189,AL189))</f>
        <v/>
      </c>
      <c r="AW189" s="73" t="str">
        <f aca="false">IF(ISBLANK($C189),"",IF($AB189&lt;&gt;Constants!$B$7,$AB189,AC189))</f>
        <v/>
      </c>
      <c r="AX189" s="74" t="str">
        <f aca="false">IF(ISBLANK($C189),"",AQ189)</f>
        <v/>
      </c>
      <c r="AY189" s="74" t="str">
        <f aca="false">IF(ISBLANK($C189),"",AP189)</f>
        <v/>
      </c>
      <c r="AZ189" s="75" t="str">
        <f aca="false">IF(ISBLANK($C189),"",IF(AY189=Constants!$B$4,COUNTA($C$8:$C$507)+2,IF(AY189=Constants!$B$5,COUNTA($C$8:$C$507)+1,IF(AY189=Constants!$B$6,COUNTA($C$8:$C$507),AY189))))</f>
        <v/>
      </c>
      <c r="BA189" s="5"/>
      <c r="BB189" s="76" t="n">
        <f aca="false">IF(OR(ISNUMBER(AY189),AY189=Constants!$B$4,AY189=Constants!$B$6,AY189=Constants!$B$5),1,0)</f>
        <v>0</v>
      </c>
      <c r="BC189" s="76" t="n">
        <v>182</v>
      </c>
      <c r="BD189" s="76" t="str">
        <f aca="false">IF(ISBLANK($C189),"",IF(ISNUMBER(AZ189),AZ189+ROW($B189)/1000,""))</f>
        <v/>
      </c>
      <c r="BE189" s="76" t="str">
        <f aca="false">IF(ISNUMBER(BD189),RANK(BD189,$BD$8:$BD$507,1),"")</f>
        <v/>
      </c>
      <c r="BF189" s="76" t="str">
        <f aca="false">IF(ISBLANK($C189),"",$B189)</f>
        <v/>
      </c>
      <c r="BG189" s="76" t="str">
        <f aca="false">IF(ISBLANK($C189),"",$C189)</f>
        <v/>
      </c>
      <c r="BH189" s="76" t="str">
        <f aca="false">IF(ISBLANK($C189),"",$D189)</f>
        <v/>
      </c>
      <c r="BI189" s="77" t="str">
        <f aca="false">AW189</f>
        <v/>
      </c>
      <c r="BJ189" s="78" t="str">
        <f aca="false">AV189</f>
        <v/>
      </c>
      <c r="BK189" s="76" t="str">
        <f aca="false">IF(ISBLANK($C189),"",AY189)</f>
        <v/>
      </c>
      <c r="BL189" s="79" t="str">
        <f aca="false">IF($BC189&gt;$BB$7,"",VLOOKUP($BC189,$BE$8:$BK$507,7,FALSE()))</f>
        <v/>
      </c>
      <c r="BM189" s="80" t="str">
        <f aca="false">IF($BC189&gt;$BB$7,"",VLOOKUP($BC189,$BE$8:$BK$507,2,FALSE()))</f>
        <v/>
      </c>
      <c r="BN189" s="80" t="str">
        <f aca="false">IF($BC189&gt;$BB$7,"",VLOOKUP($BC189,$BE$8:$BK$507,3,FALSE()))</f>
        <v/>
      </c>
      <c r="BO189" s="80" t="str">
        <f aca="false">IF($BC189&gt;$BB$7,"",VLOOKUP($BC189,$BE$8:$BK$507,4,FALSE()))</f>
        <v/>
      </c>
      <c r="BP189" s="80" t="str">
        <f aca="false">IF($BC189&gt;$BB$7,"",VLOOKUP($BC189,$BE$8:$BK$507,5,FALSE()))</f>
        <v/>
      </c>
      <c r="BQ189" s="81" t="str">
        <f aca="false">IF($BC189&gt;$BB$7,"",VLOOKUP($BC189,$BE$8:$BK$507,6,FALSE()))</f>
        <v/>
      </c>
      <c r="BR189" s="54"/>
    </row>
    <row r="190" customFormat="false" ht="13.8" hidden="false" customHeight="false" outlineLevel="0" collapsed="false">
      <c r="A190" s="5"/>
      <c r="B190" s="124"/>
      <c r="C190" s="56"/>
      <c r="D190" s="57"/>
      <c r="E190" s="83"/>
      <c r="F190" s="59"/>
      <c r="G190" s="60"/>
      <c r="H190" s="61"/>
      <c r="I190" s="62"/>
      <c r="J190" s="59"/>
      <c r="K190" s="60"/>
      <c r="L190" s="61"/>
      <c r="M190" s="62"/>
      <c r="N190" s="59"/>
      <c r="O190" s="83"/>
      <c r="P190" s="64"/>
      <c r="Q190" s="66" t="str">
        <f aca="false">IF(ISBLANK($C190),"",IF(E190=Constants!$B$2, TRUE(), IF(E190=Constants!$B$3, FALSE(), TRUE())))</f>
        <v/>
      </c>
      <c r="R190" s="66" t="str">
        <f aca="false">IF(ISBLANK($C190),"",IF(F190=Constants!$B$16,Constants!$B$9,IF(F190=Constants!$B$17,Constants!$B$10,Constants!$B$8)))</f>
        <v/>
      </c>
      <c r="S190" s="66" t="str">
        <f aca="false">IF(ISBLANK($C190),"",IF(COUNTA(G190:H190)=0,"",IF(AND(OR(ISBLANK(G190),AND(ISNUMBER(G190),G190&gt;=0)),OR(ISBLANK(H190),AND(ISNUMBER(H190),H190&gt;=0))),60*IF(ISBLANK(G190),0,G190)+IF(ISBLANK(H190),0,H190),"")))</f>
        <v/>
      </c>
      <c r="T190" s="66" t="str">
        <f aca="false">IF(ISBLANK($C190),"",IF(I190=Constants!$B$2, TRUE(), IF(I190=Constants!$B$3, FALSE(), TRUE())))</f>
        <v/>
      </c>
      <c r="U190" s="66" t="str">
        <f aca="false">IF(ISBLANK($C190),"",IF(J190=Constants!$B$2, TRUE(), IF(J190=Constants!$B$3, FALSE(), TRUE())))</f>
        <v/>
      </c>
      <c r="V190" s="66" t="str">
        <f aca="false">IF(ISBLANK($C190),"",IF(COUNTA(K190:L190)=0,"",IF(AND(OR(ISBLANK(K190),AND(ISNUMBER(K190),K190&gt;=0)),OR(ISBLANK(L190),AND(ISNUMBER(L190),L190&gt;=0))),60*IF(ISBLANK(K190),0,K190)+IF(ISBLANK(L190),0,L190),"")))</f>
        <v/>
      </c>
      <c r="W190" s="66" t="str">
        <f aca="false">IF(ISBLANK($C190),"",IF(M190=Constants!$B$2, TRUE(), IF(M190=Constants!$B$3, FALSE(), TRUE())))</f>
        <v/>
      </c>
      <c r="X190" s="66" t="str">
        <f aca="false">IF(ISBLANK($C190),"",IF(N190=Constants!$B$2, TRUE(), IF(N190=Constants!$B$3, FALSE(), TRUE())))</f>
        <v/>
      </c>
      <c r="Y190" s="66" t="str">
        <f aca="false">IF(ISBLANK($C190),"",IF(O190=Constants!$B$2, TRUE(), IF(O190=Constants!$B$3, FALSE(), FALSE())))</f>
        <v/>
      </c>
      <c r="Z190" s="66" t="str">
        <f aca="false">IF(ISBLANK($C190),"",AND(S190&lt;&gt;"",Q190))</f>
        <v/>
      </c>
      <c r="AA190" s="66" t="str">
        <f aca="false">IF(ISBLANK($C190),"",AND(V190&lt;&gt;"",Q190))</f>
        <v/>
      </c>
      <c r="AB190" s="66" t="str">
        <f aca="false">IF(ISBLANK($C190),"",IF(Y190,Constants!$B$4,IF(COUNTA(E190:N190)=0,Constants!$B$5,IF(NOT(Q190),Constants!$B$6,IF(AND(NOT(Z190),NOT(AA190)),Constants!$B$6,Constants!$B$7)))))</f>
        <v/>
      </c>
      <c r="AC190" s="66" t="str">
        <f aca="false">IF(ISBLANK($C190),"",IF($AB190&lt;&gt;Constants!$B$7,$AB190,Constants!$B$20))</f>
        <v/>
      </c>
      <c r="AD190" s="66" t="str">
        <f aca="false">IF($AB190=Constants!$B$7,IF(Z190,S190,Constants!$B$13),"")</f>
        <v/>
      </c>
      <c r="AE190" s="66" t="str">
        <f aca="false">IF($AB190=Constants!$B$7,IF(Z190,R190*IF(T190, 1, Constants!$B$11)*IF(U190, 1, Constants!$B$12),Constants!$B$13),"")</f>
        <v/>
      </c>
      <c r="AF190" s="66" t="str">
        <f aca="false">IF($AB190=Constants!$B$7,AD190*AE190,"")</f>
        <v/>
      </c>
      <c r="AG190" s="66" t="str">
        <f aca="false">IF($AB190=Constants!$B$7,IF(AA190,V190,Constants!$B$13),"")</f>
        <v/>
      </c>
      <c r="AH190" s="66" t="str">
        <f aca="false">IF($AB190=Constants!$B$7,IF(AA190,R190*IF(W190, 1, Constants!$B$11)*IF(X190, 1, Constants!$B$12),Constants!$B$13),"")</f>
        <v/>
      </c>
      <c r="AI190" s="66" t="str">
        <f aca="false">IF($AB190=Constants!$B$7,AG190*AH190,"")</f>
        <v/>
      </c>
      <c r="AJ190" s="66" t="str">
        <f aca="false">IF($AB190=Constants!$B$7,IF(AI190&gt;AF190,2,1),"")</f>
        <v/>
      </c>
      <c r="AK190" s="66" t="str">
        <f aca="false">IF($AB190=Constants!$B$7,IF(AJ190=1,2,1),"")</f>
        <v/>
      </c>
      <c r="AL190" s="66" t="str">
        <f aca="false">IF(ISBLANK($C190),"",IF($AB190&lt;&gt;Constants!$B$7,$AB190,IF(AJ190=1,AF190,AI190)))</f>
        <v/>
      </c>
      <c r="AM190" s="66" t="str">
        <f aca="false">IF(ISBLANK($C190),"",IF($AB190=Constants!$B$7,IF(ISNUMBER(AL190),RANK(AL190,$AL$8:$AL$507),Constants!$B$14),$AB190))</f>
        <v/>
      </c>
      <c r="AN190" s="66" t="str">
        <f aca="false">IF(ISBLANK($C190),"",IF($AB190=Constants!$B$7,IF(AK190=1,AF190,AI190),""))</f>
        <v/>
      </c>
      <c r="AO190" s="66" t="str">
        <f aca="false">IF(ISBLANK($C190),"",IF($AB190=Constants!$B$7,RANK(AN190,$AN$8:$AN$507),$AB190))</f>
        <v/>
      </c>
      <c r="AP190" s="66" t="str">
        <f aca="false">IF(ISBLANK($C190),"",IF($AB190=Constants!$B$7,IF(ISNUMBER(AM190),COUNTIFS($AM$8:$AM$507,"&lt;"&amp;$AM190)+COUNTIFS($AM$8:$AM$507,$AM190,$AO$8:$AO$507,"&lt;"&amp;$AO190)+1,Constants!$B$14),$AB190))</f>
        <v/>
      </c>
      <c r="AQ190" s="66" t="str">
        <f aca="false">IF(ISBLANK($C190),"",IF($AB190=Constants!$B$7,IF(ISNUMBER(AM190),AM190-AP190,Constants!$B$14),$AB190))</f>
        <v/>
      </c>
      <c r="AR190" s="68"/>
      <c r="AS190" s="69" t="str">
        <f aca="false">IF(ISBLANK($C190),"",IF($AB190&lt;&gt;Constants!$B$7,"",AJ190))</f>
        <v/>
      </c>
      <c r="AT190" s="84" t="str">
        <f aca="false">IF(ISBLANK($C190),"",IF($AB190&lt;&gt;Constants!$B$7,"",IF(AJ190=1,AD190,AG190)))</f>
        <v/>
      </c>
      <c r="AU190" s="71" t="str">
        <f aca="false">IF(ISBLANK($C190),"",IF($AB190&lt;&gt;Constants!$B$7,"",IF(AJ190=1,AE190,AH190)))</f>
        <v/>
      </c>
      <c r="AV190" s="72" t="str">
        <f aca="false">IF(ISBLANK($C190),"",IF($AB190&lt;&gt;Constants!$B$7,$AB190,AL190))</f>
        <v/>
      </c>
      <c r="AW190" s="73" t="str">
        <f aca="false">IF(ISBLANK($C190),"",IF($AB190&lt;&gt;Constants!$B$7,$AB190,AC190))</f>
        <v/>
      </c>
      <c r="AX190" s="74" t="str">
        <f aca="false">IF(ISBLANK($C190),"",AQ190)</f>
        <v/>
      </c>
      <c r="AY190" s="74" t="str">
        <f aca="false">IF(ISBLANK($C190),"",AP190)</f>
        <v/>
      </c>
      <c r="AZ190" s="75" t="str">
        <f aca="false">IF(ISBLANK($C190),"",IF(AY190=Constants!$B$4,COUNTA($C$8:$C$507)+2,IF(AY190=Constants!$B$5,COUNTA($C$8:$C$507)+1,IF(AY190=Constants!$B$6,COUNTA($C$8:$C$507),AY190))))</f>
        <v/>
      </c>
      <c r="BA190" s="5"/>
      <c r="BB190" s="76" t="n">
        <f aca="false">IF(OR(ISNUMBER(AY190),AY190=Constants!$B$4,AY190=Constants!$B$6,AY190=Constants!$B$5),1,0)</f>
        <v>0</v>
      </c>
      <c r="BC190" s="76" t="n">
        <v>183</v>
      </c>
      <c r="BD190" s="76" t="str">
        <f aca="false">IF(ISBLANK($C190),"",IF(ISNUMBER(AZ190),AZ190+ROW($B190)/1000,""))</f>
        <v/>
      </c>
      <c r="BE190" s="76" t="str">
        <f aca="false">IF(ISNUMBER(BD190),RANK(BD190,$BD$8:$BD$507,1),"")</f>
        <v/>
      </c>
      <c r="BF190" s="76" t="str">
        <f aca="false">IF(ISBLANK($C190),"",$B190)</f>
        <v/>
      </c>
      <c r="BG190" s="76" t="str">
        <f aca="false">IF(ISBLANK($C190),"",$C190)</f>
        <v/>
      </c>
      <c r="BH190" s="76" t="str">
        <f aca="false">IF(ISBLANK($C190),"",$D190)</f>
        <v/>
      </c>
      <c r="BI190" s="77" t="str">
        <f aca="false">AW190</f>
        <v/>
      </c>
      <c r="BJ190" s="78" t="str">
        <f aca="false">AV190</f>
        <v/>
      </c>
      <c r="BK190" s="76" t="str">
        <f aca="false">IF(ISBLANK($C190),"",AY190)</f>
        <v/>
      </c>
      <c r="BL190" s="79" t="str">
        <f aca="false">IF($BC190&gt;$BB$7,"",VLOOKUP($BC190,$BE$8:$BK$507,7,FALSE()))</f>
        <v/>
      </c>
      <c r="BM190" s="80" t="str">
        <f aca="false">IF($BC190&gt;$BB$7,"",VLOOKUP($BC190,$BE$8:$BK$507,2,FALSE()))</f>
        <v/>
      </c>
      <c r="BN190" s="80" t="str">
        <f aca="false">IF($BC190&gt;$BB$7,"",VLOOKUP($BC190,$BE$8:$BK$507,3,FALSE()))</f>
        <v/>
      </c>
      <c r="BO190" s="80" t="str">
        <f aca="false">IF($BC190&gt;$BB$7,"",VLOOKUP($BC190,$BE$8:$BK$507,4,FALSE()))</f>
        <v/>
      </c>
      <c r="BP190" s="80" t="str">
        <f aca="false">IF($BC190&gt;$BB$7,"",VLOOKUP($BC190,$BE$8:$BK$507,5,FALSE()))</f>
        <v/>
      </c>
      <c r="BQ190" s="81" t="str">
        <f aca="false">IF($BC190&gt;$BB$7,"",VLOOKUP($BC190,$BE$8:$BK$507,6,FALSE()))</f>
        <v/>
      </c>
      <c r="BR190" s="54"/>
    </row>
    <row r="191" customFormat="false" ht="13.8" hidden="false" customHeight="false" outlineLevel="0" collapsed="false">
      <c r="A191" s="5"/>
      <c r="B191" s="120"/>
      <c r="C191" s="121"/>
      <c r="D191" s="112"/>
      <c r="E191" s="123"/>
      <c r="F191" s="91"/>
      <c r="G191" s="92"/>
      <c r="H191" s="93"/>
      <c r="I191" s="94"/>
      <c r="J191" s="91"/>
      <c r="K191" s="92"/>
      <c r="L191" s="93"/>
      <c r="M191" s="94"/>
      <c r="N191" s="91"/>
      <c r="O191" s="123"/>
      <c r="P191" s="96"/>
      <c r="Q191" s="97" t="str">
        <f aca="false">IF(ISBLANK($C191),"",IF(E191=Constants!$B$2, TRUE(), IF(E191=Constants!$B$3, FALSE(), TRUE())))</f>
        <v/>
      </c>
      <c r="R191" s="97" t="str">
        <f aca="false">IF(ISBLANK($C191),"",IF(F191=Constants!$B$16,Constants!$B$9,IF(F191=Constants!$B$17,Constants!$B$10,Constants!$B$8)))</f>
        <v/>
      </c>
      <c r="S191" s="97" t="str">
        <f aca="false">IF(ISBLANK($C191),"",IF(COUNTA(G191:H191)=0,"",IF(AND(OR(ISBLANK(G191),AND(ISNUMBER(G191),G191&gt;=0)),OR(ISBLANK(H191),AND(ISNUMBER(H191),H191&gt;=0))),60*IF(ISBLANK(G191),0,G191)+IF(ISBLANK(H191),0,H191),"")))</f>
        <v/>
      </c>
      <c r="T191" s="97" t="str">
        <f aca="false">IF(ISBLANK($C191),"",IF(I191=Constants!$B$2, TRUE(), IF(I191=Constants!$B$3, FALSE(), TRUE())))</f>
        <v/>
      </c>
      <c r="U191" s="97" t="str">
        <f aca="false">IF(ISBLANK($C191),"",IF(J191=Constants!$B$2, TRUE(), IF(J191=Constants!$B$3, FALSE(), TRUE())))</f>
        <v/>
      </c>
      <c r="V191" s="97" t="str">
        <f aca="false">IF(ISBLANK($C191),"",IF(COUNTA(K191:L191)=0,"",IF(AND(OR(ISBLANK(K191),AND(ISNUMBER(K191),K191&gt;=0)),OR(ISBLANK(L191),AND(ISNUMBER(L191),L191&gt;=0))),60*IF(ISBLANK(K191),0,K191)+IF(ISBLANK(L191),0,L191),"")))</f>
        <v/>
      </c>
      <c r="W191" s="97" t="str">
        <f aca="false">IF(ISBLANK($C191),"",IF(M191=Constants!$B$2, TRUE(), IF(M191=Constants!$B$3, FALSE(), TRUE())))</f>
        <v/>
      </c>
      <c r="X191" s="97" t="str">
        <f aca="false">IF(ISBLANK($C191),"",IF(N191=Constants!$B$2, TRUE(), IF(N191=Constants!$B$3, FALSE(), TRUE())))</f>
        <v/>
      </c>
      <c r="Y191" s="97" t="str">
        <f aca="false">IF(ISBLANK($C191),"",IF(O191=Constants!$B$2, TRUE(), IF(O191=Constants!$B$3, FALSE(), FALSE())))</f>
        <v/>
      </c>
      <c r="Z191" s="97" t="str">
        <f aca="false">IF(ISBLANK($C191),"",AND(S191&lt;&gt;"",Q191))</f>
        <v/>
      </c>
      <c r="AA191" s="97" t="str">
        <f aca="false">IF(ISBLANK($C191),"",AND(V191&lt;&gt;"",Q191))</f>
        <v/>
      </c>
      <c r="AB191" s="97" t="str">
        <f aca="false">IF(ISBLANK($C191),"",IF(Y191,Constants!$B$4,IF(COUNTA(E191:N191)=0,Constants!$B$5,IF(NOT(Q191),Constants!$B$6,IF(AND(NOT(Z191),NOT(AA191)),Constants!$B$6,Constants!$B$7)))))</f>
        <v/>
      </c>
      <c r="AC191" s="97" t="str">
        <f aca="false">IF(ISBLANK($C191),"",IF($AB191&lt;&gt;Constants!$B$7,$AB191,Constants!$B$20))</f>
        <v/>
      </c>
      <c r="AD191" s="97" t="str">
        <f aca="false">IF($AB191=Constants!$B$7,IF(Z191,S191,Constants!$B$13),"")</f>
        <v/>
      </c>
      <c r="AE191" s="97" t="str">
        <f aca="false">IF($AB191=Constants!$B$7,IF(Z191,R191*IF(T191, 1, Constants!$B$11)*IF(U191, 1, Constants!$B$12),Constants!$B$13),"")</f>
        <v/>
      </c>
      <c r="AF191" s="97" t="str">
        <f aca="false">IF($AB191=Constants!$B$7,AD191*AE191,"")</f>
        <v/>
      </c>
      <c r="AG191" s="97" t="str">
        <f aca="false">IF($AB191=Constants!$B$7,IF(AA191,V191,Constants!$B$13),"")</f>
        <v/>
      </c>
      <c r="AH191" s="97" t="str">
        <f aca="false">IF($AB191=Constants!$B$7,IF(AA191,R191*IF(W191, 1, Constants!$B$11)*IF(X191, 1, Constants!$B$12),Constants!$B$13),"")</f>
        <v/>
      </c>
      <c r="AI191" s="97" t="str">
        <f aca="false">IF($AB191=Constants!$B$7,AG191*AH191,"")</f>
        <v/>
      </c>
      <c r="AJ191" s="97" t="str">
        <f aca="false">IF($AB191=Constants!$B$7,IF(AI191&gt;AF191,2,1),"")</f>
        <v/>
      </c>
      <c r="AK191" s="97" t="str">
        <f aca="false">IF($AB191=Constants!$B$7,IF(AJ191=1,2,1),"")</f>
        <v/>
      </c>
      <c r="AL191" s="97" t="str">
        <f aca="false">IF(ISBLANK($C191),"",IF($AB191&lt;&gt;Constants!$B$7,$AB191,IF(AJ191=1,AF191,AI191)))</f>
        <v/>
      </c>
      <c r="AM191" s="97" t="str">
        <f aca="false">IF(ISBLANK($C191),"",IF($AB191=Constants!$B$7,IF(ISNUMBER(AL191),RANK(AL191,$AL$8:$AL$507),Constants!$B$14),$AB191))</f>
        <v/>
      </c>
      <c r="AN191" s="97" t="str">
        <f aca="false">IF(ISBLANK($C191),"",IF($AB191=Constants!$B$7,IF(AK191=1,AF191,AI191),""))</f>
        <v/>
      </c>
      <c r="AO191" s="97" t="str">
        <f aca="false">IF(ISBLANK($C191),"",IF($AB191=Constants!$B$7,RANK(AN191,$AN$8:$AN$507),$AB191))</f>
        <v/>
      </c>
      <c r="AP191" s="97" t="str">
        <f aca="false">IF(ISBLANK($C191),"",IF($AB191=Constants!$B$7,IF(ISNUMBER(AM191),COUNTIFS($AM$8:$AM$507,"&lt;"&amp;$AM191)+COUNTIFS($AM$8:$AM$507,$AM191,$AO$8:$AO$507,"&lt;"&amp;$AO191)+1,Constants!$B$14),$AB191))</f>
        <v/>
      </c>
      <c r="AQ191" s="97" t="str">
        <f aca="false">IF(ISBLANK($C191),"",IF($AB191=Constants!$B$7,IF(ISNUMBER(AM191),AM191-AP191,Constants!$B$14),$AB191))</f>
        <v/>
      </c>
      <c r="AR191" s="98"/>
      <c r="AS191" s="99" t="str">
        <f aca="false">IF(ISBLANK($C191),"",IF($AB191&lt;&gt;Constants!$B$7,"",AJ191))</f>
        <v/>
      </c>
      <c r="AT191" s="100" t="str">
        <f aca="false">IF(ISBLANK($C191),"",IF($AB191&lt;&gt;Constants!$B$7,"",IF(AJ191=1,AD191,AG191)))</f>
        <v/>
      </c>
      <c r="AU191" s="101" t="str">
        <f aca="false">IF(ISBLANK($C191),"",IF($AB191&lt;&gt;Constants!$B$7,"",IF(AJ191=1,AE191,AH191)))</f>
        <v/>
      </c>
      <c r="AV191" s="102" t="str">
        <f aca="false">IF(ISBLANK($C191),"",IF($AB191&lt;&gt;Constants!$B$7,$AB191,AL191))</f>
        <v/>
      </c>
      <c r="AW191" s="103" t="str">
        <f aca="false">IF(ISBLANK($C191),"",IF($AB191&lt;&gt;Constants!$B$7,$AB191,AC191))</f>
        <v/>
      </c>
      <c r="AX191" s="104" t="str">
        <f aca="false">IF(ISBLANK($C191),"",AQ191)</f>
        <v/>
      </c>
      <c r="AY191" s="104" t="str">
        <f aca="false">IF(ISBLANK($C191),"",AP191)</f>
        <v/>
      </c>
      <c r="AZ191" s="105" t="str">
        <f aca="false">IF(ISBLANK($C191),"",IF(AY191=Constants!$B$4,COUNTA($C$8:$C$507)+2,IF(AY191=Constants!$B$5,COUNTA($C$8:$C$507)+1,IF(AY191=Constants!$B$6,COUNTA($C$8:$C$507),AY191))))</f>
        <v/>
      </c>
      <c r="BA191" s="5"/>
      <c r="BB191" s="106" t="n">
        <f aca="false">IF(OR(ISNUMBER(AY191),AY191=Constants!$B$4,AY191=Constants!$B$6,AY191=Constants!$B$5),1,0)</f>
        <v>0</v>
      </c>
      <c r="BC191" s="106" t="n">
        <v>184</v>
      </c>
      <c r="BD191" s="106" t="str">
        <f aca="false">IF(ISBLANK($C191),"",IF(ISNUMBER(AZ191),AZ191+ROW($B191)/1000,""))</f>
        <v/>
      </c>
      <c r="BE191" s="106" t="str">
        <f aca="false">IF(ISNUMBER(BD191),RANK(BD191,$BD$8:$BD$507,1),"")</f>
        <v/>
      </c>
      <c r="BF191" s="106" t="str">
        <f aca="false">IF(ISBLANK($C191),"",$B191)</f>
        <v/>
      </c>
      <c r="BG191" s="106" t="str">
        <f aca="false">IF(ISBLANK($C191),"",$C191)</f>
        <v/>
      </c>
      <c r="BH191" s="106" t="str">
        <f aca="false">IF(ISBLANK($C191),"",$D191)</f>
        <v/>
      </c>
      <c r="BI191" s="107" t="str">
        <f aca="false">AW191</f>
        <v/>
      </c>
      <c r="BJ191" s="108" t="str">
        <f aca="false">AV191</f>
        <v/>
      </c>
      <c r="BK191" s="106" t="str">
        <f aca="false">IF(ISBLANK($C191),"",AY191)</f>
        <v/>
      </c>
      <c r="BL191" s="109" t="str">
        <f aca="false">IF($BC191&gt;$BB$7,"",VLOOKUP($BC191,$BE$8:$BK$507,7,FALSE()))</f>
        <v/>
      </c>
      <c r="BM191" s="110" t="str">
        <f aca="false">IF($BC191&gt;$BB$7,"",VLOOKUP($BC191,$BE$8:$BK$507,2,FALSE()))</f>
        <v/>
      </c>
      <c r="BN191" s="110" t="str">
        <f aca="false">IF($BC191&gt;$BB$7,"",VLOOKUP($BC191,$BE$8:$BK$507,3,FALSE()))</f>
        <v/>
      </c>
      <c r="BO191" s="110" t="str">
        <f aca="false">IF($BC191&gt;$BB$7,"",VLOOKUP($BC191,$BE$8:$BK$507,4,FALSE()))</f>
        <v/>
      </c>
      <c r="BP191" s="110" t="str">
        <f aca="false">IF($BC191&gt;$BB$7,"",VLOOKUP($BC191,$BE$8:$BK$507,5,FALSE()))</f>
        <v/>
      </c>
      <c r="BQ191" s="111" t="str">
        <f aca="false">IF($BC191&gt;$BB$7,"",VLOOKUP($BC191,$BE$8:$BK$507,6,FALSE()))</f>
        <v/>
      </c>
      <c r="BR191" s="54"/>
    </row>
    <row r="192" customFormat="false" ht="13.8" hidden="false" customHeight="false" outlineLevel="0" collapsed="false">
      <c r="A192" s="5"/>
      <c r="B192" s="120"/>
      <c r="C192" s="121"/>
      <c r="D192" s="112"/>
      <c r="E192" s="123"/>
      <c r="F192" s="91"/>
      <c r="G192" s="92"/>
      <c r="H192" s="93"/>
      <c r="I192" s="94"/>
      <c r="J192" s="91"/>
      <c r="K192" s="92"/>
      <c r="L192" s="93"/>
      <c r="M192" s="94"/>
      <c r="N192" s="91"/>
      <c r="O192" s="123"/>
      <c r="P192" s="96"/>
      <c r="Q192" s="97" t="str">
        <f aca="false">IF(ISBLANK($C192),"",IF(E192=Constants!$B$2, TRUE(), IF(E192=Constants!$B$3, FALSE(), TRUE())))</f>
        <v/>
      </c>
      <c r="R192" s="97" t="str">
        <f aca="false">IF(ISBLANK($C192),"",IF(F192=Constants!$B$16,Constants!$B$9,IF(F192=Constants!$B$17,Constants!$B$10,Constants!$B$8)))</f>
        <v/>
      </c>
      <c r="S192" s="97" t="str">
        <f aca="false">IF(ISBLANK($C192),"",IF(COUNTA(G192:H192)=0,"",IF(AND(OR(ISBLANK(G192),AND(ISNUMBER(G192),G192&gt;=0)),OR(ISBLANK(H192),AND(ISNUMBER(H192),H192&gt;=0))),60*IF(ISBLANK(G192),0,G192)+IF(ISBLANK(H192),0,H192),"")))</f>
        <v/>
      </c>
      <c r="T192" s="97" t="str">
        <f aca="false">IF(ISBLANK($C192),"",IF(I192=Constants!$B$2, TRUE(), IF(I192=Constants!$B$3, FALSE(), TRUE())))</f>
        <v/>
      </c>
      <c r="U192" s="97" t="str">
        <f aca="false">IF(ISBLANK($C192),"",IF(J192=Constants!$B$2, TRUE(), IF(J192=Constants!$B$3, FALSE(), TRUE())))</f>
        <v/>
      </c>
      <c r="V192" s="97" t="str">
        <f aca="false">IF(ISBLANK($C192),"",IF(COUNTA(K192:L192)=0,"",IF(AND(OR(ISBLANK(K192),AND(ISNUMBER(K192),K192&gt;=0)),OR(ISBLANK(L192),AND(ISNUMBER(L192),L192&gt;=0))),60*IF(ISBLANK(K192),0,K192)+IF(ISBLANK(L192),0,L192),"")))</f>
        <v/>
      </c>
      <c r="W192" s="97" t="str">
        <f aca="false">IF(ISBLANK($C192),"",IF(M192=Constants!$B$2, TRUE(), IF(M192=Constants!$B$3, FALSE(), TRUE())))</f>
        <v/>
      </c>
      <c r="X192" s="97" t="str">
        <f aca="false">IF(ISBLANK($C192),"",IF(N192=Constants!$B$2, TRUE(), IF(N192=Constants!$B$3, FALSE(), TRUE())))</f>
        <v/>
      </c>
      <c r="Y192" s="97" t="str">
        <f aca="false">IF(ISBLANK($C192),"",IF(O192=Constants!$B$2, TRUE(), IF(O192=Constants!$B$3, FALSE(), FALSE())))</f>
        <v/>
      </c>
      <c r="Z192" s="97" t="str">
        <f aca="false">IF(ISBLANK($C192),"",AND(S192&lt;&gt;"",Q192))</f>
        <v/>
      </c>
      <c r="AA192" s="97" t="str">
        <f aca="false">IF(ISBLANK($C192),"",AND(V192&lt;&gt;"",Q192))</f>
        <v/>
      </c>
      <c r="AB192" s="97" t="str">
        <f aca="false">IF(ISBLANK($C192),"",IF(Y192,Constants!$B$4,IF(COUNTA(E192:N192)=0,Constants!$B$5,IF(NOT(Q192),Constants!$B$6,IF(AND(NOT(Z192),NOT(AA192)),Constants!$B$6,Constants!$B$7)))))</f>
        <v/>
      </c>
      <c r="AC192" s="97" t="str">
        <f aca="false">IF(ISBLANK($C192),"",IF($AB192&lt;&gt;Constants!$B$7,$AB192,Constants!$B$20))</f>
        <v/>
      </c>
      <c r="AD192" s="97" t="str">
        <f aca="false">IF($AB192=Constants!$B$7,IF(Z192,S192,Constants!$B$13),"")</f>
        <v/>
      </c>
      <c r="AE192" s="97" t="str">
        <f aca="false">IF($AB192=Constants!$B$7,IF(Z192,R192*IF(T192, 1, Constants!$B$11)*IF(U192, 1, Constants!$B$12),Constants!$B$13),"")</f>
        <v/>
      </c>
      <c r="AF192" s="97" t="str">
        <f aca="false">IF($AB192=Constants!$B$7,AD192*AE192,"")</f>
        <v/>
      </c>
      <c r="AG192" s="97" t="str">
        <f aca="false">IF($AB192=Constants!$B$7,IF(AA192,V192,Constants!$B$13),"")</f>
        <v/>
      </c>
      <c r="AH192" s="97" t="str">
        <f aca="false">IF($AB192=Constants!$B$7,IF(AA192,R192*IF(W192, 1, Constants!$B$11)*IF(X192, 1, Constants!$B$12),Constants!$B$13),"")</f>
        <v/>
      </c>
      <c r="AI192" s="97" t="str">
        <f aca="false">IF($AB192=Constants!$B$7,AG192*AH192,"")</f>
        <v/>
      </c>
      <c r="AJ192" s="97" t="str">
        <f aca="false">IF($AB192=Constants!$B$7,IF(AI192&gt;AF192,2,1),"")</f>
        <v/>
      </c>
      <c r="AK192" s="97" t="str">
        <f aca="false">IF($AB192=Constants!$B$7,IF(AJ192=1,2,1),"")</f>
        <v/>
      </c>
      <c r="AL192" s="97" t="str">
        <f aca="false">IF(ISBLANK($C192),"",IF($AB192&lt;&gt;Constants!$B$7,$AB192,IF(AJ192=1,AF192,AI192)))</f>
        <v/>
      </c>
      <c r="AM192" s="97" t="str">
        <f aca="false">IF(ISBLANK($C192),"",IF($AB192=Constants!$B$7,IF(ISNUMBER(AL192),RANK(AL192,$AL$8:$AL$507),Constants!$B$14),$AB192))</f>
        <v/>
      </c>
      <c r="AN192" s="97" t="str">
        <f aca="false">IF(ISBLANK($C192),"",IF($AB192=Constants!$B$7,IF(AK192=1,AF192,AI192),""))</f>
        <v/>
      </c>
      <c r="AO192" s="97" t="str">
        <f aca="false">IF(ISBLANK($C192),"",IF($AB192=Constants!$B$7,RANK(AN192,$AN$8:$AN$507),$AB192))</f>
        <v/>
      </c>
      <c r="AP192" s="97" t="str">
        <f aca="false">IF(ISBLANK($C192),"",IF($AB192=Constants!$B$7,IF(ISNUMBER(AM192),COUNTIFS($AM$8:$AM$507,"&lt;"&amp;$AM192)+COUNTIFS($AM$8:$AM$507,$AM192,$AO$8:$AO$507,"&lt;"&amp;$AO192)+1,Constants!$B$14),$AB192))</f>
        <v/>
      </c>
      <c r="AQ192" s="97" t="str">
        <f aca="false">IF(ISBLANK($C192),"",IF($AB192=Constants!$B$7,IF(ISNUMBER(AM192),AM192-AP192,Constants!$B$14),$AB192))</f>
        <v/>
      </c>
      <c r="AR192" s="98"/>
      <c r="AS192" s="99" t="str">
        <f aca="false">IF(ISBLANK($C192),"",IF($AB192&lt;&gt;Constants!$B$7,"",AJ192))</f>
        <v/>
      </c>
      <c r="AT192" s="100" t="str">
        <f aca="false">IF(ISBLANK($C192),"",IF($AB192&lt;&gt;Constants!$B$7,"",IF(AJ192=1,AD192,AG192)))</f>
        <v/>
      </c>
      <c r="AU192" s="101" t="str">
        <f aca="false">IF(ISBLANK($C192),"",IF($AB192&lt;&gt;Constants!$B$7,"",IF(AJ192=1,AE192,AH192)))</f>
        <v/>
      </c>
      <c r="AV192" s="102" t="str">
        <f aca="false">IF(ISBLANK($C192),"",IF($AB192&lt;&gt;Constants!$B$7,$AB192,AL192))</f>
        <v/>
      </c>
      <c r="AW192" s="103" t="str">
        <f aca="false">IF(ISBLANK($C192),"",IF($AB192&lt;&gt;Constants!$B$7,$AB192,AC192))</f>
        <v/>
      </c>
      <c r="AX192" s="104" t="str">
        <f aca="false">IF(ISBLANK($C192),"",AQ192)</f>
        <v/>
      </c>
      <c r="AY192" s="104" t="str">
        <f aca="false">IF(ISBLANK($C192),"",AP192)</f>
        <v/>
      </c>
      <c r="AZ192" s="105" t="str">
        <f aca="false">IF(ISBLANK($C192),"",IF(AY192=Constants!$B$4,COUNTA($C$8:$C$507)+2,IF(AY192=Constants!$B$5,COUNTA($C$8:$C$507)+1,IF(AY192=Constants!$B$6,COUNTA($C$8:$C$507),AY192))))</f>
        <v/>
      </c>
      <c r="BA192" s="5"/>
      <c r="BB192" s="106" t="n">
        <f aca="false">IF(OR(ISNUMBER(AY192),AY192=Constants!$B$4,AY192=Constants!$B$6,AY192=Constants!$B$5),1,0)</f>
        <v>0</v>
      </c>
      <c r="BC192" s="106" t="n">
        <v>185</v>
      </c>
      <c r="BD192" s="106" t="str">
        <f aca="false">IF(ISBLANK($C192),"",IF(ISNUMBER(AZ192),AZ192+ROW($B192)/1000,""))</f>
        <v/>
      </c>
      <c r="BE192" s="106" t="str">
        <f aca="false">IF(ISNUMBER(BD192),RANK(BD192,$BD$8:$BD$507,1),"")</f>
        <v/>
      </c>
      <c r="BF192" s="106" t="str">
        <f aca="false">IF(ISBLANK($C192),"",$B192)</f>
        <v/>
      </c>
      <c r="BG192" s="106" t="str">
        <f aca="false">IF(ISBLANK($C192),"",$C192)</f>
        <v/>
      </c>
      <c r="BH192" s="106" t="str">
        <f aca="false">IF(ISBLANK($C192),"",$D192)</f>
        <v/>
      </c>
      <c r="BI192" s="107" t="str">
        <f aca="false">AW192</f>
        <v/>
      </c>
      <c r="BJ192" s="108" t="str">
        <f aca="false">AV192</f>
        <v/>
      </c>
      <c r="BK192" s="106" t="str">
        <f aca="false">IF(ISBLANK($C192),"",AY192)</f>
        <v/>
      </c>
      <c r="BL192" s="109" t="str">
        <f aca="false">IF($BC192&gt;$BB$7,"",VLOOKUP($BC192,$BE$8:$BK$507,7,FALSE()))</f>
        <v/>
      </c>
      <c r="BM192" s="110" t="str">
        <f aca="false">IF($BC192&gt;$BB$7,"",VLOOKUP($BC192,$BE$8:$BK$507,2,FALSE()))</f>
        <v/>
      </c>
      <c r="BN192" s="110" t="str">
        <f aca="false">IF($BC192&gt;$BB$7,"",VLOOKUP($BC192,$BE$8:$BK$507,3,FALSE()))</f>
        <v/>
      </c>
      <c r="BO192" s="110" t="str">
        <f aca="false">IF($BC192&gt;$BB$7,"",VLOOKUP($BC192,$BE$8:$BK$507,4,FALSE()))</f>
        <v/>
      </c>
      <c r="BP192" s="110" t="str">
        <f aca="false">IF($BC192&gt;$BB$7,"",VLOOKUP($BC192,$BE$8:$BK$507,5,FALSE()))</f>
        <v/>
      </c>
      <c r="BQ192" s="111" t="str">
        <f aca="false">IF($BC192&gt;$BB$7,"",VLOOKUP($BC192,$BE$8:$BK$507,6,FALSE()))</f>
        <v/>
      </c>
      <c r="BR192" s="54"/>
    </row>
    <row r="193" customFormat="false" ht="13.8" hidden="false" customHeight="false" outlineLevel="0" collapsed="false">
      <c r="A193" s="5"/>
      <c r="B193" s="120"/>
      <c r="C193" s="121"/>
      <c r="D193" s="112"/>
      <c r="E193" s="123"/>
      <c r="F193" s="91"/>
      <c r="G193" s="92"/>
      <c r="H193" s="93"/>
      <c r="I193" s="94"/>
      <c r="J193" s="91"/>
      <c r="K193" s="92"/>
      <c r="L193" s="93"/>
      <c r="M193" s="94"/>
      <c r="N193" s="91"/>
      <c r="O193" s="123"/>
      <c r="P193" s="96"/>
      <c r="Q193" s="97" t="str">
        <f aca="false">IF(ISBLANK($C193),"",IF(E193=Constants!$B$2, TRUE(), IF(E193=Constants!$B$3, FALSE(), TRUE())))</f>
        <v/>
      </c>
      <c r="R193" s="97" t="str">
        <f aca="false">IF(ISBLANK($C193),"",IF(F193=Constants!$B$16,Constants!$B$9,IF(F193=Constants!$B$17,Constants!$B$10,Constants!$B$8)))</f>
        <v/>
      </c>
      <c r="S193" s="97" t="str">
        <f aca="false">IF(ISBLANK($C193),"",IF(COUNTA(G193:H193)=0,"",IF(AND(OR(ISBLANK(G193),AND(ISNUMBER(G193),G193&gt;=0)),OR(ISBLANK(H193),AND(ISNUMBER(H193),H193&gt;=0))),60*IF(ISBLANK(G193),0,G193)+IF(ISBLANK(H193),0,H193),"")))</f>
        <v/>
      </c>
      <c r="T193" s="97" t="str">
        <f aca="false">IF(ISBLANK($C193),"",IF(I193=Constants!$B$2, TRUE(), IF(I193=Constants!$B$3, FALSE(), TRUE())))</f>
        <v/>
      </c>
      <c r="U193" s="97" t="str">
        <f aca="false">IF(ISBLANK($C193),"",IF(J193=Constants!$B$2, TRUE(), IF(J193=Constants!$B$3, FALSE(), TRUE())))</f>
        <v/>
      </c>
      <c r="V193" s="97" t="str">
        <f aca="false">IF(ISBLANK($C193),"",IF(COUNTA(K193:L193)=0,"",IF(AND(OR(ISBLANK(K193),AND(ISNUMBER(K193),K193&gt;=0)),OR(ISBLANK(L193),AND(ISNUMBER(L193),L193&gt;=0))),60*IF(ISBLANK(K193),0,K193)+IF(ISBLANK(L193),0,L193),"")))</f>
        <v/>
      </c>
      <c r="W193" s="97" t="str">
        <f aca="false">IF(ISBLANK($C193),"",IF(M193=Constants!$B$2, TRUE(), IF(M193=Constants!$B$3, FALSE(), TRUE())))</f>
        <v/>
      </c>
      <c r="X193" s="97" t="str">
        <f aca="false">IF(ISBLANK($C193),"",IF(N193=Constants!$B$2, TRUE(), IF(N193=Constants!$B$3, FALSE(), TRUE())))</f>
        <v/>
      </c>
      <c r="Y193" s="97" t="str">
        <f aca="false">IF(ISBLANK($C193),"",IF(O193=Constants!$B$2, TRUE(), IF(O193=Constants!$B$3, FALSE(), FALSE())))</f>
        <v/>
      </c>
      <c r="Z193" s="97" t="str">
        <f aca="false">IF(ISBLANK($C193),"",AND(S193&lt;&gt;"",Q193))</f>
        <v/>
      </c>
      <c r="AA193" s="97" t="str">
        <f aca="false">IF(ISBLANK($C193),"",AND(V193&lt;&gt;"",Q193))</f>
        <v/>
      </c>
      <c r="AB193" s="97" t="str">
        <f aca="false">IF(ISBLANK($C193),"",IF(Y193,Constants!$B$4,IF(COUNTA(E193:N193)=0,Constants!$B$5,IF(NOT(Q193),Constants!$B$6,IF(AND(NOT(Z193),NOT(AA193)),Constants!$B$6,Constants!$B$7)))))</f>
        <v/>
      </c>
      <c r="AC193" s="97" t="str">
        <f aca="false">IF(ISBLANK($C193),"",IF($AB193&lt;&gt;Constants!$B$7,$AB193,Constants!$B$20))</f>
        <v/>
      </c>
      <c r="AD193" s="97" t="str">
        <f aca="false">IF($AB193=Constants!$B$7,IF(Z193,S193,Constants!$B$13),"")</f>
        <v/>
      </c>
      <c r="AE193" s="97" t="str">
        <f aca="false">IF($AB193=Constants!$B$7,IF(Z193,R193*IF(T193, 1, Constants!$B$11)*IF(U193, 1, Constants!$B$12),Constants!$B$13),"")</f>
        <v/>
      </c>
      <c r="AF193" s="97" t="str">
        <f aca="false">IF($AB193=Constants!$B$7,AD193*AE193,"")</f>
        <v/>
      </c>
      <c r="AG193" s="97" t="str">
        <f aca="false">IF($AB193=Constants!$B$7,IF(AA193,V193,Constants!$B$13),"")</f>
        <v/>
      </c>
      <c r="AH193" s="97" t="str">
        <f aca="false">IF($AB193=Constants!$B$7,IF(AA193,R193*IF(W193, 1, Constants!$B$11)*IF(X193, 1, Constants!$B$12),Constants!$B$13),"")</f>
        <v/>
      </c>
      <c r="AI193" s="97" t="str">
        <f aca="false">IF($AB193=Constants!$B$7,AG193*AH193,"")</f>
        <v/>
      </c>
      <c r="AJ193" s="97" t="str">
        <f aca="false">IF($AB193=Constants!$B$7,IF(AI193&gt;AF193,2,1),"")</f>
        <v/>
      </c>
      <c r="AK193" s="97" t="str">
        <f aca="false">IF($AB193=Constants!$B$7,IF(AJ193=1,2,1),"")</f>
        <v/>
      </c>
      <c r="AL193" s="97" t="str">
        <f aca="false">IF(ISBLANK($C193),"",IF($AB193&lt;&gt;Constants!$B$7,$AB193,IF(AJ193=1,AF193,AI193)))</f>
        <v/>
      </c>
      <c r="AM193" s="97" t="str">
        <f aca="false">IF(ISBLANK($C193),"",IF($AB193=Constants!$B$7,IF(ISNUMBER(AL193),RANK(AL193,$AL$8:$AL$507),Constants!$B$14),$AB193))</f>
        <v/>
      </c>
      <c r="AN193" s="97" t="str">
        <f aca="false">IF(ISBLANK($C193),"",IF($AB193=Constants!$B$7,IF(AK193=1,AF193,AI193),""))</f>
        <v/>
      </c>
      <c r="AO193" s="97" t="str">
        <f aca="false">IF(ISBLANK($C193),"",IF($AB193=Constants!$B$7,RANK(AN193,$AN$8:$AN$507),$AB193))</f>
        <v/>
      </c>
      <c r="AP193" s="97" t="str">
        <f aca="false">IF(ISBLANK($C193),"",IF($AB193=Constants!$B$7,IF(ISNUMBER(AM193),COUNTIFS($AM$8:$AM$507,"&lt;"&amp;$AM193)+COUNTIFS($AM$8:$AM$507,$AM193,$AO$8:$AO$507,"&lt;"&amp;$AO193)+1,Constants!$B$14),$AB193))</f>
        <v/>
      </c>
      <c r="AQ193" s="97" t="str">
        <f aca="false">IF(ISBLANK($C193),"",IF($AB193=Constants!$B$7,IF(ISNUMBER(AM193),AM193-AP193,Constants!$B$14),$AB193))</f>
        <v/>
      </c>
      <c r="AR193" s="98"/>
      <c r="AS193" s="99" t="str">
        <f aca="false">IF(ISBLANK($C193),"",IF($AB193&lt;&gt;Constants!$B$7,"",AJ193))</f>
        <v/>
      </c>
      <c r="AT193" s="100" t="str">
        <f aca="false">IF(ISBLANK($C193),"",IF($AB193&lt;&gt;Constants!$B$7,"",IF(AJ193=1,AD193,AG193)))</f>
        <v/>
      </c>
      <c r="AU193" s="101" t="str">
        <f aca="false">IF(ISBLANK($C193),"",IF($AB193&lt;&gt;Constants!$B$7,"",IF(AJ193=1,AE193,AH193)))</f>
        <v/>
      </c>
      <c r="AV193" s="102" t="str">
        <f aca="false">IF(ISBLANK($C193),"",IF($AB193&lt;&gt;Constants!$B$7,$AB193,AL193))</f>
        <v/>
      </c>
      <c r="AW193" s="103" t="str">
        <f aca="false">IF(ISBLANK($C193),"",IF($AB193&lt;&gt;Constants!$B$7,$AB193,AC193))</f>
        <v/>
      </c>
      <c r="AX193" s="104" t="str">
        <f aca="false">IF(ISBLANK($C193),"",AQ193)</f>
        <v/>
      </c>
      <c r="AY193" s="104" t="str">
        <f aca="false">IF(ISBLANK($C193),"",AP193)</f>
        <v/>
      </c>
      <c r="AZ193" s="105" t="str">
        <f aca="false">IF(ISBLANK($C193),"",IF(AY193=Constants!$B$4,COUNTA($C$8:$C$507)+2,IF(AY193=Constants!$B$5,COUNTA($C$8:$C$507)+1,IF(AY193=Constants!$B$6,COUNTA($C$8:$C$507),AY193))))</f>
        <v/>
      </c>
      <c r="BA193" s="5"/>
      <c r="BB193" s="106" t="n">
        <f aca="false">IF(OR(ISNUMBER(AY193),AY193=Constants!$B$4,AY193=Constants!$B$6,AY193=Constants!$B$5),1,0)</f>
        <v>0</v>
      </c>
      <c r="BC193" s="106" t="n">
        <v>186</v>
      </c>
      <c r="BD193" s="106" t="str">
        <f aca="false">IF(ISBLANK($C193),"",IF(ISNUMBER(AZ193),AZ193+ROW($B193)/1000,""))</f>
        <v/>
      </c>
      <c r="BE193" s="106" t="str">
        <f aca="false">IF(ISNUMBER(BD193),RANK(BD193,$BD$8:$BD$507,1),"")</f>
        <v/>
      </c>
      <c r="BF193" s="106" t="str">
        <f aca="false">IF(ISBLANK($C193),"",$B193)</f>
        <v/>
      </c>
      <c r="BG193" s="106" t="str">
        <f aca="false">IF(ISBLANK($C193),"",$C193)</f>
        <v/>
      </c>
      <c r="BH193" s="106" t="str">
        <f aca="false">IF(ISBLANK($C193),"",$D193)</f>
        <v/>
      </c>
      <c r="BI193" s="107" t="str">
        <f aca="false">AW193</f>
        <v/>
      </c>
      <c r="BJ193" s="108" t="str">
        <f aca="false">AV193</f>
        <v/>
      </c>
      <c r="BK193" s="106" t="str">
        <f aca="false">IF(ISBLANK($C193),"",AY193)</f>
        <v/>
      </c>
      <c r="BL193" s="109" t="str">
        <f aca="false">IF($BC193&gt;$BB$7,"",VLOOKUP($BC193,$BE$8:$BK$507,7,FALSE()))</f>
        <v/>
      </c>
      <c r="BM193" s="110" t="str">
        <f aca="false">IF($BC193&gt;$BB$7,"",VLOOKUP($BC193,$BE$8:$BK$507,2,FALSE()))</f>
        <v/>
      </c>
      <c r="BN193" s="110" t="str">
        <f aca="false">IF($BC193&gt;$BB$7,"",VLOOKUP($BC193,$BE$8:$BK$507,3,FALSE()))</f>
        <v/>
      </c>
      <c r="BO193" s="110" t="str">
        <f aca="false">IF($BC193&gt;$BB$7,"",VLOOKUP($BC193,$BE$8:$BK$507,4,FALSE()))</f>
        <v/>
      </c>
      <c r="BP193" s="110" t="str">
        <f aca="false">IF($BC193&gt;$BB$7,"",VLOOKUP($BC193,$BE$8:$BK$507,5,FALSE()))</f>
        <v/>
      </c>
      <c r="BQ193" s="111" t="str">
        <f aca="false">IF($BC193&gt;$BB$7,"",VLOOKUP($BC193,$BE$8:$BK$507,6,FALSE()))</f>
        <v/>
      </c>
      <c r="BR193" s="54"/>
    </row>
    <row r="194" customFormat="false" ht="13.8" hidden="false" customHeight="false" outlineLevel="0" collapsed="false">
      <c r="A194" s="5"/>
      <c r="B194" s="124"/>
      <c r="C194" s="56"/>
      <c r="D194" s="57"/>
      <c r="E194" s="83"/>
      <c r="F194" s="59"/>
      <c r="G194" s="60"/>
      <c r="H194" s="61"/>
      <c r="I194" s="62"/>
      <c r="J194" s="59"/>
      <c r="K194" s="60"/>
      <c r="L194" s="61"/>
      <c r="M194" s="62"/>
      <c r="N194" s="59"/>
      <c r="O194" s="83"/>
      <c r="P194" s="64"/>
      <c r="Q194" s="66" t="str">
        <f aca="false">IF(ISBLANK($C194),"",IF(E194=Constants!$B$2, TRUE(), IF(E194=Constants!$B$3, FALSE(), TRUE())))</f>
        <v/>
      </c>
      <c r="R194" s="66" t="str">
        <f aca="false">IF(ISBLANK($C194),"",IF(F194=Constants!$B$16,Constants!$B$9,IF(F194=Constants!$B$17,Constants!$B$10,Constants!$B$8)))</f>
        <v/>
      </c>
      <c r="S194" s="66" t="str">
        <f aca="false">IF(ISBLANK($C194),"",IF(COUNTA(G194:H194)=0,"",IF(AND(OR(ISBLANK(G194),AND(ISNUMBER(G194),G194&gt;=0)),OR(ISBLANK(H194),AND(ISNUMBER(H194),H194&gt;=0))),60*IF(ISBLANK(G194),0,G194)+IF(ISBLANK(H194),0,H194),"")))</f>
        <v/>
      </c>
      <c r="T194" s="66" t="str">
        <f aca="false">IF(ISBLANK($C194),"",IF(I194=Constants!$B$2, TRUE(), IF(I194=Constants!$B$3, FALSE(), TRUE())))</f>
        <v/>
      </c>
      <c r="U194" s="66" t="str">
        <f aca="false">IF(ISBLANK($C194),"",IF(J194=Constants!$B$2, TRUE(), IF(J194=Constants!$B$3, FALSE(), TRUE())))</f>
        <v/>
      </c>
      <c r="V194" s="66" t="str">
        <f aca="false">IF(ISBLANK($C194),"",IF(COUNTA(K194:L194)=0,"",IF(AND(OR(ISBLANK(K194),AND(ISNUMBER(K194),K194&gt;=0)),OR(ISBLANK(L194),AND(ISNUMBER(L194),L194&gt;=0))),60*IF(ISBLANK(K194),0,K194)+IF(ISBLANK(L194),0,L194),"")))</f>
        <v/>
      </c>
      <c r="W194" s="66" t="str">
        <f aca="false">IF(ISBLANK($C194),"",IF(M194=Constants!$B$2, TRUE(), IF(M194=Constants!$B$3, FALSE(), TRUE())))</f>
        <v/>
      </c>
      <c r="X194" s="66" t="str">
        <f aca="false">IF(ISBLANK($C194),"",IF(N194=Constants!$B$2, TRUE(), IF(N194=Constants!$B$3, FALSE(), TRUE())))</f>
        <v/>
      </c>
      <c r="Y194" s="66" t="str">
        <f aca="false">IF(ISBLANK($C194),"",IF(O194=Constants!$B$2, TRUE(), IF(O194=Constants!$B$3, FALSE(), FALSE())))</f>
        <v/>
      </c>
      <c r="Z194" s="66" t="str">
        <f aca="false">IF(ISBLANK($C194),"",AND(S194&lt;&gt;"",Q194))</f>
        <v/>
      </c>
      <c r="AA194" s="66" t="str">
        <f aca="false">IF(ISBLANK($C194),"",AND(V194&lt;&gt;"",Q194))</f>
        <v/>
      </c>
      <c r="AB194" s="66" t="str">
        <f aca="false">IF(ISBLANK($C194),"",IF(Y194,Constants!$B$4,IF(COUNTA(E194:N194)=0,Constants!$B$5,IF(NOT(Q194),Constants!$B$6,IF(AND(NOT(Z194),NOT(AA194)),Constants!$B$6,Constants!$B$7)))))</f>
        <v/>
      </c>
      <c r="AC194" s="66" t="str">
        <f aca="false">IF(ISBLANK($C194),"",IF($AB194&lt;&gt;Constants!$B$7,$AB194,Constants!$B$20))</f>
        <v/>
      </c>
      <c r="AD194" s="66" t="str">
        <f aca="false">IF($AB194=Constants!$B$7,IF(Z194,S194,Constants!$B$13),"")</f>
        <v/>
      </c>
      <c r="AE194" s="66" t="str">
        <f aca="false">IF($AB194=Constants!$B$7,IF(Z194,R194*IF(T194, 1, Constants!$B$11)*IF(U194, 1, Constants!$B$12),Constants!$B$13),"")</f>
        <v/>
      </c>
      <c r="AF194" s="66" t="str">
        <f aca="false">IF($AB194=Constants!$B$7,AD194*AE194,"")</f>
        <v/>
      </c>
      <c r="AG194" s="66" t="str">
        <f aca="false">IF($AB194=Constants!$B$7,IF(AA194,V194,Constants!$B$13),"")</f>
        <v/>
      </c>
      <c r="AH194" s="66" t="str">
        <f aca="false">IF($AB194=Constants!$B$7,IF(AA194,R194*IF(W194, 1, Constants!$B$11)*IF(X194, 1, Constants!$B$12),Constants!$B$13),"")</f>
        <v/>
      </c>
      <c r="AI194" s="66" t="str">
        <f aca="false">IF($AB194=Constants!$B$7,AG194*AH194,"")</f>
        <v/>
      </c>
      <c r="AJ194" s="66" t="str">
        <f aca="false">IF($AB194=Constants!$B$7,IF(AI194&gt;AF194,2,1),"")</f>
        <v/>
      </c>
      <c r="AK194" s="66" t="str">
        <f aca="false">IF($AB194=Constants!$B$7,IF(AJ194=1,2,1),"")</f>
        <v/>
      </c>
      <c r="AL194" s="66" t="str">
        <f aca="false">IF(ISBLANK($C194),"",IF($AB194&lt;&gt;Constants!$B$7,$AB194,IF(AJ194=1,AF194,AI194)))</f>
        <v/>
      </c>
      <c r="AM194" s="66" t="str">
        <f aca="false">IF(ISBLANK($C194),"",IF($AB194=Constants!$B$7,IF(ISNUMBER(AL194),RANK(AL194,$AL$8:$AL$507),Constants!$B$14),$AB194))</f>
        <v/>
      </c>
      <c r="AN194" s="66" t="str">
        <f aca="false">IF(ISBLANK($C194),"",IF($AB194=Constants!$B$7,IF(AK194=1,AF194,AI194),""))</f>
        <v/>
      </c>
      <c r="AO194" s="66" t="str">
        <f aca="false">IF(ISBLANK($C194),"",IF($AB194=Constants!$B$7,RANK(AN194,$AN$8:$AN$507),$AB194))</f>
        <v/>
      </c>
      <c r="AP194" s="66" t="str">
        <f aca="false">IF(ISBLANK($C194),"",IF($AB194=Constants!$B$7,IF(ISNUMBER(AM194),COUNTIFS($AM$8:$AM$507,"&lt;"&amp;$AM194)+COUNTIFS($AM$8:$AM$507,$AM194,$AO$8:$AO$507,"&lt;"&amp;$AO194)+1,Constants!$B$14),$AB194))</f>
        <v/>
      </c>
      <c r="AQ194" s="66" t="str">
        <f aca="false">IF(ISBLANK($C194),"",IF($AB194=Constants!$B$7,IF(ISNUMBER(AM194),AM194-AP194,Constants!$B$14),$AB194))</f>
        <v/>
      </c>
      <c r="AR194" s="68"/>
      <c r="AS194" s="69" t="str">
        <f aca="false">IF(ISBLANK($C194),"",IF($AB194&lt;&gt;Constants!$B$7,"",AJ194))</f>
        <v/>
      </c>
      <c r="AT194" s="84" t="str">
        <f aca="false">IF(ISBLANK($C194),"",IF($AB194&lt;&gt;Constants!$B$7,"",IF(AJ194=1,AD194,AG194)))</f>
        <v/>
      </c>
      <c r="AU194" s="71" t="str">
        <f aca="false">IF(ISBLANK($C194),"",IF($AB194&lt;&gt;Constants!$B$7,"",IF(AJ194=1,AE194,AH194)))</f>
        <v/>
      </c>
      <c r="AV194" s="72" t="str">
        <f aca="false">IF(ISBLANK($C194),"",IF($AB194&lt;&gt;Constants!$B$7,$AB194,AL194))</f>
        <v/>
      </c>
      <c r="AW194" s="73" t="str">
        <f aca="false">IF(ISBLANK($C194),"",IF($AB194&lt;&gt;Constants!$B$7,$AB194,AC194))</f>
        <v/>
      </c>
      <c r="AX194" s="74" t="str">
        <f aca="false">IF(ISBLANK($C194),"",AQ194)</f>
        <v/>
      </c>
      <c r="AY194" s="74" t="str">
        <f aca="false">IF(ISBLANK($C194),"",AP194)</f>
        <v/>
      </c>
      <c r="AZ194" s="75" t="str">
        <f aca="false">IF(ISBLANK($C194),"",IF(AY194=Constants!$B$4,COUNTA($C$8:$C$507)+2,IF(AY194=Constants!$B$5,COUNTA($C$8:$C$507)+1,IF(AY194=Constants!$B$6,COUNTA($C$8:$C$507),AY194))))</f>
        <v/>
      </c>
      <c r="BA194" s="5"/>
      <c r="BB194" s="76" t="n">
        <f aca="false">IF(OR(ISNUMBER(AY194),AY194=Constants!$B$4,AY194=Constants!$B$6,AY194=Constants!$B$5),1,0)</f>
        <v>0</v>
      </c>
      <c r="BC194" s="76" t="n">
        <v>187</v>
      </c>
      <c r="BD194" s="76" t="str">
        <f aca="false">IF(ISBLANK($C194),"",IF(ISNUMBER(AZ194),AZ194+ROW($B194)/1000,""))</f>
        <v/>
      </c>
      <c r="BE194" s="76" t="str">
        <f aca="false">IF(ISNUMBER(BD194),RANK(BD194,$BD$8:$BD$507,1),"")</f>
        <v/>
      </c>
      <c r="BF194" s="76" t="str">
        <f aca="false">IF(ISBLANK($C194),"",$B194)</f>
        <v/>
      </c>
      <c r="BG194" s="76" t="str">
        <f aca="false">IF(ISBLANK($C194),"",$C194)</f>
        <v/>
      </c>
      <c r="BH194" s="76" t="str">
        <f aca="false">IF(ISBLANK($C194),"",$D194)</f>
        <v/>
      </c>
      <c r="BI194" s="77" t="str">
        <f aca="false">AW194</f>
        <v/>
      </c>
      <c r="BJ194" s="78" t="str">
        <f aca="false">AV194</f>
        <v/>
      </c>
      <c r="BK194" s="76" t="str">
        <f aca="false">IF(ISBLANK($C194),"",AY194)</f>
        <v/>
      </c>
      <c r="BL194" s="79" t="str">
        <f aca="false">IF($BC194&gt;$BB$7,"",VLOOKUP($BC194,$BE$8:$BK$507,7,FALSE()))</f>
        <v/>
      </c>
      <c r="BM194" s="80" t="str">
        <f aca="false">IF($BC194&gt;$BB$7,"",VLOOKUP($BC194,$BE$8:$BK$507,2,FALSE()))</f>
        <v/>
      </c>
      <c r="BN194" s="80" t="str">
        <f aca="false">IF($BC194&gt;$BB$7,"",VLOOKUP($BC194,$BE$8:$BK$507,3,FALSE()))</f>
        <v/>
      </c>
      <c r="BO194" s="80" t="str">
        <f aca="false">IF($BC194&gt;$BB$7,"",VLOOKUP($BC194,$BE$8:$BK$507,4,FALSE()))</f>
        <v/>
      </c>
      <c r="BP194" s="80" t="str">
        <f aca="false">IF($BC194&gt;$BB$7,"",VLOOKUP($BC194,$BE$8:$BK$507,5,FALSE()))</f>
        <v/>
      </c>
      <c r="BQ194" s="81" t="str">
        <f aca="false">IF($BC194&gt;$BB$7,"",VLOOKUP($BC194,$BE$8:$BK$507,6,FALSE()))</f>
        <v/>
      </c>
      <c r="BR194" s="54"/>
    </row>
    <row r="195" customFormat="false" ht="13.8" hidden="false" customHeight="false" outlineLevel="0" collapsed="false">
      <c r="A195" s="5"/>
      <c r="B195" s="124"/>
      <c r="C195" s="56"/>
      <c r="D195" s="57"/>
      <c r="E195" s="83"/>
      <c r="F195" s="59"/>
      <c r="G195" s="60"/>
      <c r="H195" s="61"/>
      <c r="I195" s="62"/>
      <c r="J195" s="59"/>
      <c r="K195" s="60"/>
      <c r="L195" s="61"/>
      <c r="M195" s="62"/>
      <c r="N195" s="59"/>
      <c r="O195" s="83"/>
      <c r="P195" s="64"/>
      <c r="Q195" s="66" t="str">
        <f aca="false">IF(ISBLANK($C195),"",IF(E195=Constants!$B$2, TRUE(), IF(E195=Constants!$B$3, FALSE(), TRUE())))</f>
        <v/>
      </c>
      <c r="R195" s="66" t="str">
        <f aca="false">IF(ISBLANK($C195),"",IF(F195=Constants!$B$16,Constants!$B$9,IF(F195=Constants!$B$17,Constants!$B$10,Constants!$B$8)))</f>
        <v/>
      </c>
      <c r="S195" s="66" t="str">
        <f aca="false">IF(ISBLANK($C195),"",IF(COUNTA(G195:H195)=0,"",IF(AND(OR(ISBLANK(G195),AND(ISNUMBER(G195),G195&gt;=0)),OR(ISBLANK(H195),AND(ISNUMBER(H195),H195&gt;=0))),60*IF(ISBLANK(G195),0,G195)+IF(ISBLANK(H195),0,H195),"")))</f>
        <v/>
      </c>
      <c r="T195" s="66" t="str">
        <f aca="false">IF(ISBLANK($C195),"",IF(I195=Constants!$B$2, TRUE(), IF(I195=Constants!$B$3, FALSE(), TRUE())))</f>
        <v/>
      </c>
      <c r="U195" s="66" t="str">
        <f aca="false">IF(ISBLANK($C195),"",IF(J195=Constants!$B$2, TRUE(), IF(J195=Constants!$B$3, FALSE(), TRUE())))</f>
        <v/>
      </c>
      <c r="V195" s="66" t="str">
        <f aca="false">IF(ISBLANK($C195),"",IF(COUNTA(K195:L195)=0,"",IF(AND(OR(ISBLANK(K195),AND(ISNUMBER(K195),K195&gt;=0)),OR(ISBLANK(L195),AND(ISNUMBER(L195),L195&gt;=0))),60*IF(ISBLANK(K195),0,K195)+IF(ISBLANK(L195),0,L195),"")))</f>
        <v/>
      </c>
      <c r="W195" s="66" t="str">
        <f aca="false">IF(ISBLANK($C195),"",IF(M195=Constants!$B$2, TRUE(), IF(M195=Constants!$B$3, FALSE(), TRUE())))</f>
        <v/>
      </c>
      <c r="X195" s="66" t="str">
        <f aca="false">IF(ISBLANK($C195),"",IF(N195=Constants!$B$2, TRUE(), IF(N195=Constants!$B$3, FALSE(), TRUE())))</f>
        <v/>
      </c>
      <c r="Y195" s="66" t="str">
        <f aca="false">IF(ISBLANK($C195),"",IF(O195=Constants!$B$2, TRUE(), IF(O195=Constants!$B$3, FALSE(), FALSE())))</f>
        <v/>
      </c>
      <c r="Z195" s="66" t="str">
        <f aca="false">IF(ISBLANK($C195),"",AND(S195&lt;&gt;"",Q195))</f>
        <v/>
      </c>
      <c r="AA195" s="66" t="str">
        <f aca="false">IF(ISBLANK($C195),"",AND(V195&lt;&gt;"",Q195))</f>
        <v/>
      </c>
      <c r="AB195" s="66" t="str">
        <f aca="false">IF(ISBLANK($C195),"",IF(Y195,Constants!$B$4,IF(COUNTA(E195:N195)=0,Constants!$B$5,IF(NOT(Q195),Constants!$B$6,IF(AND(NOT(Z195),NOT(AA195)),Constants!$B$6,Constants!$B$7)))))</f>
        <v/>
      </c>
      <c r="AC195" s="66" t="str">
        <f aca="false">IF(ISBLANK($C195),"",IF($AB195&lt;&gt;Constants!$B$7,$AB195,Constants!$B$20))</f>
        <v/>
      </c>
      <c r="AD195" s="66" t="str">
        <f aca="false">IF($AB195=Constants!$B$7,IF(Z195,S195,Constants!$B$13),"")</f>
        <v/>
      </c>
      <c r="AE195" s="66" t="str">
        <f aca="false">IF($AB195=Constants!$B$7,IF(Z195,R195*IF(T195, 1, Constants!$B$11)*IF(U195, 1, Constants!$B$12),Constants!$B$13),"")</f>
        <v/>
      </c>
      <c r="AF195" s="66" t="str">
        <f aca="false">IF($AB195=Constants!$B$7,AD195*AE195,"")</f>
        <v/>
      </c>
      <c r="AG195" s="66" t="str">
        <f aca="false">IF($AB195=Constants!$B$7,IF(AA195,V195,Constants!$B$13),"")</f>
        <v/>
      </c>
      <c r="AH195" s="66" t="str">
        <f aca="false">IF($AB195=Constants!$B$7,IF(AA195,R195*IF(W195, 1, Constants!$B$11)*IF(X195, 1, Constants!$B$12),Constants!$B$13),"")</f>
        <v/>
      </c>
      <c r="AI195" s="66" t="str">
        <f aca="false">IF($AB195=Constants!$B$7,AG195*AH195,"")</f>
        <v/>
      </c>
      <c r="AJ195" s="66" t="str">
        <f aca="false">IF($AB195=Constants!$B$7,IF(AI195&gt;AF195,2,1),"")</f>
        <v/>
      </c>
      <c r="AK195" s="66" t="str">
        <f aca="false">IF($AB195=Constants!$B$7,IF(AJ195=1,2,1),"")</f>
        <v/>
      </c>
      <c r="AL195" s="66" t="str">
        <f aca="false">IF(ISBLANK($C195),"",IF($AB195&lt;&gt;Constants!$B$7,$AB195,IF(AJ195=1,AF195,AI195)))</f>
        <v/>
      </c>
      <c r="AM195" s="66" t="str">
        <f aca="false">IF(ISBLANK($C195),"",IF($AB195=Constants!$B$7,IF(ISNUMBER(AL195),RANK(AL195,$AL$8:$AL$507),Constants!$B$14),$AB195))</f>
        <v/>
      </c>
      <c r="AN195" s="66" t="str">
        <f aca="false">IF(ISBLANK($C195),"",IF($AB195=Constants!$B$7,IF(AK195=1,AF195,AI195),""))</f>
        <v/>
      </c>
      <c r="AO195" s="66" t="str">
        <f aca="false">IF(ISBLANK($C195),"",IF($AB195=Constants!$B$7,RANK(AN195,$AN$8:$AN$507),$AB195))</f>
        <v/>
      </c>
      <c r="AP195" s="66" t="str">
        <f aca="false">IF(ISBLANK($C195),"",IF($AB195=Constants!$B$7,IF(ISNUMBER(AM195),COUNTIFS($AM$8:$AM$507,"&lt;"&amp;$AM195)+COUNTIFS($AM$8:$AM$507,$AM195,$AO$8:$AO$507,"&lt;"&amp;$AO195)+1,Constants!$B$14),$AB195))</f>
        <v/>
      </c>
      <c r="AQ195" s="66" t="str">
        <f aca="false">IF(ISBLANK($C195),"",IF($AB195=Constants!$B$7,IF(ISNUMBER(AM195),AM195-AP195,Constants!$B$14),$AB195))</f>
        <v/>
      </c>
      <c r="AR195" s="68"/>
      <c r="AS195" s="69" t="str">
        <f aca="false">IF(ISBLANK($C195),"",IF($AB195&lt;&gt;Constants!$B$7,"",AJ195))</f>
        <v/>
      </c>
      <c r="AT195" s="84" t="str">
        <f aca="false">IF(ISBLANK($C195),"",IF($AB195&lt;&gt;Constants!$B$7,"",IF(AJ195=1,AD195,AG195)))</f>
        <v/>
      </c>
      <c r="AU195" s="71" t="str">
        <f aca="false">IF(ISBLANK($C195),"",IF($AB195&lt;&gt;Constants!$B$7,"",IF(AJ195=1,AE195,AH195)))</f>
        <v/>
      </c>
      <c r="AV195" s="72" t="str">
        <f aca="false">IF(ISBLANK($C195),"",IF($AB195&lt;&gt;Constants!$B$7,$AB195,AL195))</f>
        <v/>
      </c>
      <c r="AW195" s="73" t="str">
        <f aca="false">IF(ISBLANK($C195),"",IF($AB195&lt;&gt;Constants!$B$7,$AB195,AC195))</f>
        <v/>
      </c>
      <c r="AX195" s="74" t="str">
        <f aca="false">IF(ISBLANK($C195),"",AQ195)</f>
        <v/>
      </c>
      <c r="AY195" s="74" t="str">
        <f aca="false">IF(ISBLANK($C195),"",AP195)</f>
        <v/>
      </c>
      <c r="AZ195" s="75" t="str">
        <f aca="false">IF(ISBLANK($C195),"",IF(AY195=Constants!$B$4,COUNTA($C$8:$C$507)+2,IF(AY195=Constants!$B$5,COUNTA($C$8:$C$507)+1,IF(AY195=Constants!$B$6,COUNTA($C$8:$C$507),AY195))))</f>
        <v/>
      </c>
      <c r="BA195" s="5"/>
      <c r="BB195" s="76" t="n">
        <f aca="false">IF(OR(ISNUMBER(AY195),AY195=Constants!$B$4,AY195=Constants!$B$6,AY195=Constants!$B$5),1,0)</f>
        <v>0</v>
      </c>
      <c r="BC195" s="76" t="n">
        <v>188</v>
      </c>
      <c r="BD195" s="76" t="str">
        <f aca="false">IF(ISBLANK($C195),"",IF(ISNUMBER(AZ195),AZ195+ROW($B195)/1000,""))</f>
        <v/>
      </c>
      <c r="BE195" s="76" t="str">
        <f aca="false">IF(ISNUMBER(BD195),RANK(BD195,$BD$8:$BD$507,1),"")</f>
        <v/>
      </c>
      <c r="BF195" s="76" t="str">
        <f aca="false">IF(ISBLANK($C195),"",$B195)</f>
        <v/>
      </c>
      <c r="BG195" s="76" t="str">
        <f aca="false">IF(ISBLANK($C195),"",$C195)</f>
        <v/>
      </c>
      <c r="BH195" s="76" t="str">
        <f aca="false">IF(ISBLANK($C195),"",$D195)</f>
        <v/>
      </c>
      <c r="BI195" s="77" t="str">
        <f aca="false">AW195</f>
        <v/>
      </c>
      <c r="BJ195" s="78" t="str">
        <f aca="false">AV195</f>
        <v/>
      </c>
      <c r="BK195" s="76" t="str">
        <f aca="false">IF(ISBLANK($C195),"",AY195)</f>
        <v/>
      </c>
      <c r="BL195" s="79" t="str">
        <f aca="false">IF($BC195&gt;$BB$7,"",VLOOKUP($BC195,$BE$8:$BK$507,7,FALSE()))</f>
        <v/>
      </c>
      <c r="BM195" s="80" t="str">
        <f aca="false">IF($BC195&gt;$BB$7,"",VLOOKUP($BC195,$BE$8:$BK$507,2,FALSE()))</f>
        <v/>
      </c>
      <c r="BN195" s="80" t="str">
        <f aca="false">IF($BC195&gt;$BB$7,"",VLOOKUP($BC195,$BE$8:$BK$507,3,FALSE()))</f>
        <v/>
      </c>
      <c r="BO195" s="80" t="str">
        <f aca="false">IF($BC195&gt;$BB$7,"",VLOOKUP($BC195,$BE$8:$BK$507,4,FALSE()))</f>
        <v/>
      </c>
      <c r="BP195" s="80" t="str">
        <f aca="false">IF($BC195&gt;$BB$7,"",VLOOKUP($BC195,$BE$8:$BK$507,5,FALSE()))</f>
        <v/>
      </c>
      <c r="BQ195" s="81" t="str">
        <f aca="false">IF($BC195&gt;$BB$7,"",VLOOKUP($BC195,$BE$8:$BK$507,6,FALSE()))</f>
        <v/>
      </c>
      <c r="BR195" s="54"/>
    </row>
    <row r="196" customFormat="false" ht="13.8" hidden="false" customHeight="false" outlineLevel="0" collapsed="false">
      <c r="A196" s="5"/>
      <c r="B196" s="124"/>
      <c r="C196" s="56"/>
      <c r="D196" s="57"/>
      <c r="E196" s="83"/>
      <c r="F196" s="59"/>
      <c r="G196" s="60"/>
      <c r="H196" s="61"/>
      <c r="I196" s="62"/>
      <c r="J196" s="59"/>
      <c r="K196" s="60"/>
      <c r="L196" s="61"/>
      <c r="M196" s="62"/>
      <c r="N196" s="59"/>
      <c r="O196" s="83"/>
      <c r="P196" s="64"/>
      <c r="Q196" s="66" t="str">
        <f aca="false">IF(ISBLANK($C196),"",IF(E196=Constants!$B$2, TRUE(), IF(E196=Constants!$B$3, FALSE(), TRUE())))</f>
        <v/>
      </c>
      <c r="R196" s="66" t="str">
        <f aca="false">IF(ISBLANK($C196),"",IF(F196=Constants!$B$16,Constants!$B$9,IF(F196=Constants!$B$17,Constants!$B$10,Constants!$B$8)))</f>
        <v/>
      </c>
      <c r="S196" s="66" t="str">
        <f aca="false">IF(ISBLANK($C196),"",IF(COUNTA(G196:H196)=0,"",IF(AND(OR(ISBLANK(G196),AND(ISNUMBER(G196),G196&gt;=0)),OR(ISBLANK(H196),AND(ISNUMBER(H196),H196&gt;=0))),60*IF(ISBLANK(G196),0,G196)+IF(ISBLANK(H196),0,H196),"")))</f>
        <v/>
      </c>
      <c r="T196" s="66" t="str">
        <f aca="false">IF(ISBLANK($C196),"",IF(I196=Constants!$B$2, TRUE(), IF(I196=Constants!$B$3, FALSE(), TRUE())))</f>
        <v/>
      </c>
      <c r="U196" s="66" t="str">
        <f aca="false">IF(ISBLANK($C196),"",IF(J196=Constants!$B$2, TRUE(), IF(J196=Constants!$B$3, FALSE(), TRUE())))</f>
        <v/>
      </c>
      <c r="V196" s="66" t="str">
        <f aca="false">IF(ISBLANK($C196),"",IF(COUNTA(K196:L196)=0,"",IF(AND(OR(ISBLANK(K196),AND(ISNUMBER(K196),K196&gt;=0)),OR(ISBLANK(L196),AND(ISNUMBER(L196),L196&gt;=0))),60*IF(ISBLANK(K196),0,K196)+IF(ISBLANK(L196),0,L196),"")))</f>
        <v/>
      </c>
      <c r="W196" s="66" t="str">
        <f aca="false">IF(ISBLANK($C196),"",IF(M196=Constants!$B$2, TRUE(), IF(M196=Constants!$B$3, FALSE(), TRUE())))</f>
        <v/>
      </c>
      <c r="X196" s="66" t="str">
        <f aca="false">IF(ISBLANK($C196),"",IF(N196=Constants!$B$2, TRUE(), IF(N196=Constants!$B$3, FALSE(), TRUE())))</f>
        <v/>
      </c>
      <c r="Y196" s="66" t="str">
        <f aca="false">IF(ISBLANK($C196),"",IF(O196=Constants!$B$2, TRUE(), IF(O196=Constants!$B$3, FALSE(), FALSE())))</f>
        <v/>
      </c>
      <c r="Z196" s="66" t="str">
        <f aca="false">IF(ISBLANK($C196),"",AND(S196&lt;&gt;"",Q196))</f>
        <v/>
      </c>
      <c r="AA196" s="66" t="str">
        <f aca="false">IF(ISBLANK($C196),"",AND(V196&lt;&gt;"",Q196))</f>
        <v/>
      </c>
      <c r="AB196" s="66" t="str">
        <f aca="false">IF(ISBLANK($C196),"",IF(Y196,Constants!$B$4,IF(COUNTA(E196:N196)=0,Constants!$B$5,IF(NOT(Q196),Constants!$B$6,IF(AND(NOT(Z196),NOT(AA196)),Constants!$B$6,Constants!$B$7)))))</f>
        <v/>
      </c>
      <c r="AC196" s="66" t="str">
        <f aca="false">IF(ISBLANK($C196),"",IF($AB196&lt;&gt;Constants!$B$7,$AB196,Constants!$B$20))</f>
        <v/>
      </c>
      <c r="AD196" s="66" t="str">
        <f aca="false">IF($AB196=Constants!$B$7,IF(Z196,S196,Constants!$B$13),"")</f>
        <v/>
      </c>
      <c r="AE196" s="66" t="str">
        <f aca="false">IF($AB196=Constants!$B$7,IF(Z196,R196*IF(T196, 1, Constants!$B$11)*IF(U196, 1, Constants!$B$12),Constants!$B$13),"")</f>
        <v/>
      </c>
      <c r="AF196" s="66" t="str">
        <f aca="false">IF($AB196=Constants!$B$7,AD196*AE196,"")</f>
        <v/>
      </c>
      <c r="AG196" s="66" t="str">
        <f aca="false">IF($AB196=Constants!$B$7,IF(AA196,V196,Constants!$B$13),"")</f>
        <v/>
      </c>
      <c r="AH196" s="66" t="str">
        <f aca="false">IF($AB196=Constants!$B$7,IF(AA196,R196*IF(W196, 1, Constants!$B$11)*IF(X196, 1, Constants!$B$12),Constants!$B$13),"")</f>
        <v/>
      </c>
      <c r="AI196" s="66" t="str">
        <f aca="false">IF($AB196=Constants!$B$7,AG196*AH196,"")</f>
        <v/>
      </c>
      <c r="AJ196" s="66" t="str">
        <f aca="false">IF($AB196=Constants!$B$7,IF(AI196&gt;AF196,2,1),"")</f>
        <v/>
      </c>
      <c r="AK196" s="66" t="str">
        <f aca="false">IF($AB196=Constants!$B$7,IF(AJ196=1,2,1),"")</f>
        <v/>
      </c>
      <c r="AL196" s="66" t="str">
        <f aca="false">IF(ISBLANK($C196),"",IF($AB196&lt;&gt;Constants!$B$7,$AB196,IF(AJ196=1,AF196,AI196)))</f>
        <v/>
      </c>
      <c r="AM196" s="66" t="str">
        <f aca="false">IF(ISBLANK($C196),"",IF($AB196=Constants!$B$7,IF(ISNUMBER(AL196),RANK(AL196,$AL$8:$AL$507),Constants!$B$14),$AB196))</f>
        <v/>
      </c>
      <c r="AN196" s="66" t="str">
        <f aca="false">IF(ISBLANK($C196),"",IF($AB196=Constants!$B$7,IF(AK196=1,AF196,AI196),""))</f>
        <v/>
      </c>
      <c r="AO196" s="66" t="str">
        <f aca="false">IF(ISBLANK($C196),"",IF($AB196=Constants!$B$7,RANK(AN196,$AN$8:$AN$507),$AB196))</f>
        <v/>
      </c>
      <c r="AP196" s="66" t="str">
        <f aca="false">IF(ISBLANK($C196),"",IF($AB196=Constants!$B$7,IF(ISNUMBER(AM196),COUNTIFS($AM$8:$AM$507,"&lt;"&amp;$AM196)+COUNTIFS($AM$8:$AM$507,$AM196,$AO$8:$AO$507,"&lt;"&amp;$AO196)+1,Constants!$B$14),$AB196))</f>
        <v/>
      </c>
      <c r="AQ196" s="66" t="str">
        <f aca="false">IF(ISBLANK($C196),"",IF($AB196=Constants!$B$7,IF(ISNUMBER(AM196),AM196-AP196,Constants!$B$14),$AB196))</f>
        <v/>
      </c>
      <c r="AR196" s="68"/>
      <c r="AS196" s="69" t="str">
        <f aca="false">IF(ISBLANK($C196),"",IF($AB196&lt;&gt;Constants!$B$7,"",AJ196))</f>
        <v/>
      </c>
      <c r="AT196" s="84" t="str">
        <f aca="false">IF(ISBLANK($C196),"",IF($AB196&lt;&gt;Constants!$B$7,"",IF(AJ196=1,AD196,AG196)))</f>
        <v/>
      </c>
      <c r="AU196" s="71" t="str">
        <f aca="false">IF(ISBLANK($C196),"",IF($AB196&lt;&gt;Constants!$B$7,"",IF(AJ196=1,AE196,AH196)))</f>
        <v/>
      </c>
      <c r="AV196" s="72" t="str">
        <f aca="false">IF(ISBLANK($C196),"",IF($AB196&lt;&gt;Constants!$B$7,$AB196,AL196))</f>
        <v/>
      </c>
      <c r="AW196" s="73" t="str">
        <f aca="false">IF(ISBLANK($C196),"",IF($AB196&lt;&gt;Constants!$B$7,$AB196,AC196))</f>
        <v/>
      </c>
      <c r="AX196" s="74" t="str">
        <f aca="false">IF(ISBLANK($C196),"",AQ196)</f>
        <v/>
      </c>
      <c r="AY196" s="74" t="str">
        <f aca="false">IF(ISBLANK($C196),"",AP196)</f>
        <v/>
      </c>
      <c r="AZ196" s="75" t="str">
        <f aca="false">IF(ISBLANK($C196),"",IF(AY196=Constants!$B$4,COUNTA($C$8:$C$507)+2,IF(AY196=Constants!$B$5,COUNTA($C$8:$C$507)+1,IF(AY196=Constants!$B$6,COUNTA($C$8:$C$507),AY196))))</f>
        <v/>
      </c>
      <c r="BA196" s="5"/>
      <c r="BB196" s="76" t="n">
        <f aca="false">IF(OR(ISNUMBER(AY196),AY196=Constants!$B$4,AY196=Constants!$B$6,AY196=Constants!$B$5),1,0)</f>
        <v>0</v>
      </c>
      <c r="BC196" s="76" t="n">
        <v>189</v>
      </c>
      <c r="BD196" s="76" t="str">
        <f aca="false">IF(ISBLANK($C196),"",IF(ISNUMBER(AZ196),AZ196+ROW($B196)/1000,""))</f>
        <v/>
      </c>
      <c r="BE196" s="76" t="str">
        <f aca="false">IF(ISNUMBER(BD196),RANK(BD196,$BD$8:$BD$507,1),"")</f>
        <v/>
      </c>
      <c r="BF196" s="76" t="str">
        <f aca="false">IF(ISBLANK($C196),"",$B196)</f>
        <v/>
      </c>
      <c r="BG196" s="76" t="str">
        <f aca="false">IF(ISBLANK($C196),"",$C196)</f>
        <v/>
      </c>
      <c r="BH196" s="76" t="str">
        <f aca="false">IF(ISBLANK($C196),"",$D196)</f>
        <v/>
      </c>
      <c r="BI196" s="77" t="str">
        <f aca="false">AW196</f>
        <v/>
      </c>
      <c r="BJ196" s="78" t="str">
        <f aca="false">AV196</f>
        <v/>
      </c>
      <c r="BK196" s="76" t="str">
        <f aca="false">IF(ISBLANK($C196),"",AY196)</f>
        <v/>
      </c>
      <c r="BL196" s="79" t="str">
        <f aca="false">IF($BC196&gt;$BB$7,"",VLOOKUP($BC196,$BE$8:$BK$507,7,FALSE()))</f>
        <v/>
      </c>
      <c r="BM196" s="80" t="str">
        <f aca="false">IF($BC196&gt;$BB$7,"",VLOOKUP($BC196,$BE$8:$BK$507,2,FALSE()))</f>
        <v/>
      </c>
      <c r="BN196" s="80" t="str">
        <f aca="false">IF($BC196&gt;$BB$7,"",VLOOKUP($BC196,$BE$8:$BK$507,3,FALSE()))</f>
        <v/>
      </c>
      <c r="BO196" s="80" t="str">
        <f aca="false">IF($BC196&gt;$BB$7,"",VLOOKUP($BC196,$BE$8:$BK$507,4,FALSE()))</f>
        <v/>
      </c>
      <c r="BP196" s="80" t="str">
        <f aca="false">IF($BC196&gt;$BB$7,"",VLOOKUP($BC196,$BE$8:$BK$507,5,FALSE()))</f>
        <v/>
      </c>
      <c r="BQ196" s="81" t="str">
        <f aca="false">IF($BC196&gt;$BB$7,"",VLOOKUP($BC196,$BE$8:$BK$507,6,FALSE()))</f>
        <v/>
      </c>
      <c r="BR196" s="54"/>
    </row>
    <row r="197" customFormat="false" ht="13.8" hidden="false" customHeight="false" outlineLevel="0" collapsed="false">
      <c r="A197" s="5"/>
      <c r="B197" s="120"/>
      <c r="C197" s="121"/>
      <c r="D197" s="112"/>
      <c r="E197" s="123"/>
      <c r="F197" s="91"/>
      <c r="G197" s="92"/>
      <c r="H197" s="93"/>
      <c r="I197" s="94"/>
      <c r="J197" s="91"/>
      <c r="K197" s="92"/>
      <c r="L197" s="93"/>
      <c r="M197" s="94"/>
      <c r="N197" s="91"/>
      <c r="O197" s="123"/>
      <c r="P197" s="96"/>
      <c r="Q197" s="97" t="str">
        <f aca="false">IF(ISBLANK($C197),"",IF(E197=Constants!$B$2, TRUE(), IF(E197=Constants!$B$3, FALSE(), TRUE())))</f>
        <v/>
      </c>
      <c r="R197" s="97" t="str">
        <f aca="false">IF(ISBLANK($C197),"",IF(F197=Constants!$B$16,Constants!$B$9,IF(F197=Constants!$B$17,Constants!$B$10,Constants!$B$8)))</f>
        <v/>
      </c>
      <c r="S197" s="97" t="str">
        <f aca="false">IF(ISBLANK($C197),"",IF(COUNTA(G197:H197)=0,"",IF(AND(OR(ISBLANK(G197),AND(ISNUMBER(G197),G197&gt;=0)),OR(ISBLANK(H197),AND(ISNUMBER(H197),H197&gt;=0))),60*IF(ISBLANK(G197),0,G197)+IF(ISBLANK(H197),0,H197),"")))</f>
        <v/>
      </c>
      <c r="T197" s="97" t="str">
        <f aca="false">IF(ISBLANK($C197),"",IF(I197=Constants!$B$2, TRUE(), IF(I197=Constants!$B$3, FALSE(), TRUE())))</f>
        <v/>
      </c>
      <c r="U197" s="97" t="str">
        <f aca="false">IF(ISBLANK($C197),"",IF(J197=Constants!$B$2, TRUE(), IF(J197=Constants!$B$3, FALSE(), TRUE())))</f>
        <v/>
      </c>
      <c r="V197" s="97" t="str">
        <f aca="false">IF(ISBLANK($C197),"",IF(COUNTA(K197:L197)=0,"",IF(AND(OR(ISBLANK(K197),AND(ISNUMBER(K197),K197&gt;=0)),OR(ISBLANK(L197),AND(ISNUMBER(L197),L197&gt;=0))),60*IF(ISBLANK(K197),0,K197)+IF(ISBLANK(L197),0,L197),"")))</f>
        <v/>
      </c>
      <c r="W197" s="97" t="str">
        <f aca="false">IF(ISBLANK($C197),"",IF(M197=Constants!$B$2, TRUE(), IF(M197=Constants!$B$3, FALSE(), TRUE())))</f>
        <v/>
      </c>
      <c r="X197" s="97" t="str">
        <f aca="false">IF(ISBLANK($C197),"",IF(N197=Constants!$B$2, TRUE(), IF(N197=Constants!$B$3, FALSE(), TRUE())))</f>
        <v/>
      </c>
      <c r="Y197" s="97" t="str">
        <f aca="false">IF(ISBLANK($C197),"",IF(O197=Constants!$B$2, TRUE(), IF(O197=Constants!$B$3, FALSE(), FALSE())))</f>
        <v/>
      </c>
      <c r="Z197" s="97" t="str">
        <f aca="false">IF(ISBLANK($C197),"",AND(S197&lt;&gt;"",Q197))</f>
        <v/>
      </c>
      <c r="AA197" s="97" t="str">
        <f aca="false">IF(ISBLANK($C197),"",AND(V197&lt;&gt;"",Q197))</f>
        <v/>
      </c>
      <c r="AB197" s="97" t="str">
        <f aca="false">IF(ISBLANK($C197),"",IF(Y197,Constants!$B$4,IF(COUNTA(E197:N197)=0,Constants!$B$5,IF(NOT(Q197),Constants!$B$6,IF(AND(NOT(Z197),NOT(AA197)),Constants!$B$6,Constants!$B$7)))))</f>
        <v/>
      </c>
      <c r="AC197" s="97" t="str">
        <f aca="false">IF(ISBLANK($C197),"",IF($AB197&lt;&gt;Constants!$B$7,$AB197,Constants!$B$20))</f>
        <v/>
      </c>
      <c r="AD197" s="97" t="str">
        <f aca="false">IF($AB197=Constants!$B$7,IF(Z197,S197,Constants!$B$13),"")</f>
        <v/>
      </c>
      <c r="AE197" s="97" t="str">
        <f aca="false">IF($AB197=Constants!$B$7,IF(Z197,R197*IF(T197, 1, Constants!$B$11)*IF(U197, 1, Constants!$B$12),Constants!$B$13),"")</f>
        <v/>
      </c>
      <c r="AF197" s="97" t="str">
        <f aca="false">IF($AB197=Constants!$B$7,AD197*AE197,"")</f>
        <v/>
      </c>
      <c r="AG197" s="97" t="str">
        <f aca="false">IF($AB197=Constants!$B$7,IF(AA197,V197,Constants!$B$13),"")</f>
        <v/>
      </c>
      <c r="AH197" s="97" t="str">
        <f aca="false">IF($AB197=Constants!$B$7,IF(AA197,R197*IF(W197, 1, Constants!$B$11)*IF(X197, 1, Constants!$B$12),Constants!$B$13),"")</f>
        <v/>
      </c>
      <c r="AI197" s="97" t="str">
        <f aca="false">IF($AB197=Constants!$B$7,AG197*AH197,"")</f>
        <v/>
      </c>
      <c r="AJ197" s="97" t="str">
        <f aca="false">IF($AB197=Constants!$B$7,IF(AI197&gt;AF197,2,1),"")</f>
        <v/>
      </c>
      <c r="AK197" s="97" t="str">
        <f aca="false">IF($AB197=Constants!$B$7,IF(AJ197=1,2,1),"")</f>
        <v/>
      </c>
      <c r="AL197" s="97" t="str">
        <f aca="false">IF(ISBLANK($C197),"",IF($AB197&lt;&gt;Constants!$B$7,$AB197,IF(AJ197=1,AF197,AI197)))</f>
        <v/>
      </c>
      <c r="AM197" s="97" t="str">
        <f aca="false">IF(ISBLANK($C197),"",IF($AB197=Constants!$B$7,IF(ISNUMBER(AL197),RANK(AL197,$AL$8:$AL$507),Constants!$B$14),$AB197))</f>
        <v/>
      </c>
      <c r="AN197" s="97" t="str">
        <f aca="false">IF(ISBLANK($C197),"",IF($AB197=Constants!$B$7,IF(AK197=1,AF197,AI197),""))</f>
        <v/>
      </c>
      <c r="AO197" s="97" t="str">
        <f aca="false">IF(ISBLANK($C197),"",IF($AB197=Constants!$B$7,RANK(AN197,$AN$8:$AN$507),$AB197))</f>
        <v/>
      </c>
      <c r="AP197" s="97" t="str">
        <f aca="false">IF(ISBLANK($C197),"",IF($AB197=Constants!$B$7,IF(ISNUMBER(AM197),COUNTIFS($AM$8:$AM$507,"&lt;"&amp;$AM197)+COUNTIFS($AM$8:$AM$507,$AM197,$AO$8:$AO$507,"&lt;"&amp;$AO197)+1,Constants!$B$14),$AB197))</f>
        <v/>
      </c>
      <c r="AQ197" s="97" t="str">
        <f aca="false">IF(ISBLANK($C197),"",IF($AB197=Constants!$B$7,IF(ISNUMBER(AM197),AM197-AP197,Constants!$B$14),$AB197))</f>
        <v/>
      </c>
      <c r="AR197" s="98"/>
      <c r="AS197" s="99" t="str">
        <f aca="false">IF(ISBLANK($C197),"",IF($AB197&lt;&gt;Constants!$B$7,"",AJ197))</f>
        <v/>
      </c>
      <c r="AT197" s="100" t="str">
        <f aca="false">IF(ISBLANK($C197),"",IF($AB197&lt;&gt;Constants!$B$7,"",IF(AJ197=1,AD197,AG197)))</f>
        <v/>
      </c>
      <c r="AU197" s="101" t="str">
        <f aca="false">IF(ISBLANK($C197),"",IF($AB197&lt;&gt;Constants!$B$7,"",IF(AJ197=1,AE197,AH197)))</f>
        <v/>
      </c>
      <c r="AV197" s="102" t="str">
        <f aca="false">IF(ISBLANK($C197),"",IF($AB197&lt;&gt;Constants!$B$7,$AB197,AL197))</f>
        <v/>
      </c>
      <c r="AW197" s="103" t="str">
        <f aca="false">IF(ISBLANK($C197),"",IF($AB197&lt;&gt;Constants!$B$7,$AB197,AC197))</f>
        <v/>
      </c>
      <c r="AX197" s="104" t="str">
        <f aca="false">IF(ISBLANK($C197),"",AQ197)</f>
        <v/>
      </c>
      <c r="AY197" s="104" t="str">
        <f aca="false">IF(ISBLANK($C197),"",AP197)</f>
        <v/>
      </c>
      <c r="AZ197" s="105" t="str">
        <f aca="false">IF(ISBLANK($C197),"",IF(AY197=Constants!$B$4,COUNTA($C$8:$C$507)+2,IF(AY197=Constants!$B$5,COUNTA($C$8:$C$507)+1,IF(AY197=Constants!$B$6,COUNTA($C$8:$C$507),AY197))))</f>
        <v/>
      </c>
      <c r="BA197" s="5"/>
      <c r="BB197" s="106" t="n">
        <f aca="false">IF(OR(ISNUMBER(AY197),AY197=Constants!$B$4,AY197=Constants!$B$6,AY197=Constants!$B$5),1,0)</f>
        <v>0</v>
      </c>
      <c r="BC197" s="106" t="n">
        <v>190</v>
      </c>
      <c r="BD197" s="106" t="str">
        <f aca="false">IF(ISBLANK($C197),"",IF(ISNUMBER(AZ197),AZ197+ROW($B197)/1000,""))</f>
        <v/>
      </c>
      <c r="BE197" s="106" t="str">
        <f aca="false">IF(ISNUMBER(BD197),RANK(BD197,$BD$8:$BD$507,1),"")</f>
        <v/>
      </c>
      <c r="BF197" s="106" t="str">
        <f aca="false">IF(ISBLANK($C197),"",$B197)</f>
        <v/>
      </c>
      <c r="BG197" s="106" t="str">
        <f aca="false">IF(ISBLANK($C197),"",$C197)</f>
        <v/>
      </c>
      <c r="BH197" s="106" t="str">
        <f aca="false">IF(ISBLANK($C197),"",$D197)</f>
        <v/>
      </c>
      <c r="BI197" s="107" t="str">
        <f aca="false">AW197</f>
        <v/>
      </c>
      <c r="BJ197" s="108" t="str">
        <f aca="false">AV197</f>
        <v/>
      </c>
      <c r="BK197" s="106" t="str">
        <f aca="false">IF(ISBLANK($C197),"",AY197)</f>
        <v/>
      </c>
      <c r="BL197" s="109" t="str">
        <f aca="false">IF($BC197&gt;$BB$7,"",VLOOKUP($BC197,$BE$8:$BK$507,7,FALSE()))</f>
        <v/>
      </c>
      <c r="BM197" s="110" t="str">
        <f aca="false">IF($BC197&gt;$BB$7,"",VLOOKUP($BC197,$BE$8:$BK$507,2,FALSE()))</f>
        <v/>
      </c>
      <c r="BN197" s="110" t="str">
        <f aca="false">IF($BC197&gt;$BB$7,"",VLOOKUP($BC197,$BE$8:$BK$507,3,FALSE()))</f>
        <v/>
      </c>
      <c r="BO197" s="110" t="str">
        <f aca="false">IF($BC197&gt;$BB$7,"",VLOOKUP($BC197,$BE$8:$BK$507,4,FALSE()))</f>
        <v/>
      </c>
      <c r="BP197" s="110" t="str">
        <f aca="false">IF($BC197&gt;$BB$7,"",VLOOKUP($BC197,$BE$8:$BK$507,5,FALSE()))</f>
        <v/>
      </c>
      <c r="BQ197" s="111" t="str">
        <f aca="false">IF($BC197&gt;$BB$7,"",VLOOKUP($BC197,$BE$8:$BK$507,6,FALSE()))</f>
        <v/>
      </c>
      <c r="BR197" s="54"/>
    </row>
    <row r="198" customFormat="false" ht="13.8" hidden="false" customHeight="false" outlineLevel="0" collapsed="false">
      <c r="A198" s="5"/>
      <c r="B198" s="120"/>
      <c r="C198" s="121"/>
      <c r="D198" s="112"/>
      <c r="E198" s="123"/>
      <c r="F198" s="91"/>
      <c r="G198" s="92"/>
      <c r="H198" s="93"/>
      <c r="I198" s="94"/>
      <c r="J198" s="91"/>
      <c r="K198" s="92"/>
      <c r="L198" s="93"/>
      <c r="M198" s="94"/>
      <c r="N198" s="91"/>
      <c r="O198" s="123"/>
      <c r="P198" s="96"/>
      <c r="Q198" s="97" t="str">
        <f aca="false">IF(ISBLANK($C198),"",IF(E198=Constants!$B$2, TRUE(), IF(E198=Constants!$B$3, FALSE(), TRUE())))</f>
        <v/>
      </c>
      <c r="R198" s="97" t="str">
        <f aca="false">IF(ISBLANK($C198),"",IF(F198=Constants!$B$16,Constants!$B$9,IF(F198=Constants!$B$17,Constants!$B$10,Constants!$B$8)))</f>
        <v/>
      </c>
      <c r="S198" s="97" t="str">
        <f aca="false">IF(ISBLANK($C198),"",IF(COUNTA(G198:H198)=0,"",IF(AND(OR(ISBLANK(G198),AND(ISNUMBER(G198),G198&gt;=0)),OR(ISBLANK(H198),AND(ISNUMBER(H198),H198&gt;=0))),60*IF(ISBLANK(G198),0,G198)+IF(ISBLANK(H198),0,H198),"")))</f>
        <v/>
      </c>
      <c r="T198" s="97" t="str">
        <f aca="false">IF(ISBLANK($C198),"",IF(I198=Constants!$B$2, TRUE(), IF(I198=Constants!$B$3, FALSE(), TRUE())))</f>
        <v/>
      </c>
      <c r="U198" s="97" t="str">
        <f aca="false">IF(ISBLANK($C198),"",IF(J198=Constants!$B$2, TRUE(), IF(J198=Constants!$B$3, FALSE(), TRUE())))</f>
        <v/>
      </c>
      <c r="V198" s="97" t="str">
        <f aca="false">IF(ISBLANK($C198),"",IF(COUNTA(K198:L198)=0,"",IF(AND(OR(ISBLANK(K198),AND(ISNUMBER(K198),K198&gt;=0)),OR(ISBLANK(L198),AND(ISNUMBER(L198),L198&gt;=0))),60*IF(ISBLANK(K198),0,K198)+IF(ISBLANK(L198),0,L198),"")))</f>
        <v/>
      </c>
      <c r="W198" s="97" t="str">
        <f aca="false">IF(ISBLANK($C198),"",IF(M198=Constants!$B$2, TRUE(), IF(M198=Constants!$B$3, FALSE(), TRUE())))</f>
        <v/>
      </c>
      <c r="X198" s="97" t="str">
        <f aca="false">IF(ISBLANK($C198),"",IF(N198=Constants!$B$2, TRUE(), IF(N198=Constants!$B$3, FALSE(), TRUE())))</f>
        <v/>
      </c>
      <c r="Y198" s="97" t="str">
        <f aca="false">IF(ISBLANK($C198),"",IF(O198=Constants!$B$2, TRUE(), IF(O198=Constants!$B$3, FALSE(), FALSE())))</f>
        <v/>
      </c>
      <c r="Z198" s="97" t="str">
        <f aca="false">IF(ISBLANK($C198),"",AND(S198&lt;&gt;"",Q198))</f>
        <v/>
      </c>
      <c r="AA198" s="97" t="str">
        <f aca="false">IF(ISBLANK($C198),"",AND(V198&lt;&gt;"",Q198))</f>
        <v/>
      </c>
      <c r="AB198" s="97" t="str">
        <f aca="false">IF(ISBLANK($C198),"",IF(Y198,Constants!$B$4,IF(COUNTA(E198:N198)=0,Constants!$B$5,IF(NOT(Q198),Constants!$B$6,IF(AND(NOT(Z198),NOT(AA198)),Constants!$B$6,Constants!$B$7)))))</f>
        <v/>
      </c>
      <c r="AC198" s="97" t="str">
        <f aca="false">IF(ISBLANK($C198),"",IF($AB198&lt;&gt;Constants!$B$7,$AB198,Constants!$B$20))</f>
        <v/>
      </c>
      <c r="AD198" s="97" t="str">
        <f aca="false">IF($AB198=Constants!$B$7,IF(Z198,S198,Constants!$B$13),"")</f>
        <v/>
      </c>
      <c r="AE198" s="97" t="str">
        <f aca="false">IF($AB198=Constants!$B$7,IF(Z198,R198*IF(T198, 1, Constants!$B$11)*IF(U198, 1, Constants!$B$12),Constants!$B$13),"")</f>
        <v/>
      </c>
      <c r="AF198" s="97" t="str">
        <f aca="false">IF($AB198=Constants!$B$7,AD198*AE198,"")</f>
        <v/>
      </c>
      <c r="AG198" s="97" t="str">
        <f aca="false">IF($AB198=Constants!$B$7,IF(AA198,V198,Constants!$B$13),"")</f>
        <v/>
      </c>
      <c r="AH198" s="97" t="str">
        <f aca="false">IF($AB198=Constants!$B$7,IF(AA198,R198*IF(W198, 1, Constants!$B$11)*IF(X198, 1, Constants!$B$12),Constants!$B$13),"")</f>
        <v/>
      </c>
      <c r="AI198" s="97" t="str">
        <f aca="false">IF($AB198=Constants!$B$7,AG198*AH198,"")</f>
        <v/>
      </c>
      <c r="AJ198" s="97" t="str">
        <f aca="false">IF($AB198=Constants!$B$7,IF(AI198&gt;AF198,2,1),"")</f>
        <v/>
      </c>
      <c r="AK198" s="97" t="str">
        <f aca="false">IF($AB198=Constants!$B$7,IF(AJ198=1,2,1),"")</f>
        <v/>
      </c>
      <c r="AL198" s="97" t="str">
        <f aca="false">IF(ISBLANK($C198),"",IF($AB198&lt;&gt;Constants!$B$7,$AB198,IF(AJ198=1,AF198,AI198)))</f>
        <v/>
      </c>
      <c r="AM198" s="97" t="str">
        <f aca="false">IF(ISBLANK($C198),"",IF($AB198=Constants!$B$7,IF(ISNUMBER(AL198),RANK(AL198,$AL$8:$AL$507),Constants!$B$14),$AB198))</f>
        <v/>
      </c>
      <c r="AN198" s="97" t="str">
        <f aca="false">IF(ISBLANK($C198),"",IF($AB198=Constants!$B$7,IF(AK198=1,AF198,AI198),""))</f>
        <v/>
      </c>
      <c r="AO198" s="97" t="str">
        <f aca="false">IF(ISBLANK($C198),"",IF($AB198=Constants!$B$7,RANK(AN198,$AN$8:$AN$507),$AB198))</f>
        <v/>
      </c>
      <c r="AP198" s="97" t="str">
        <f aca="false">IF(ISBLANK($C198),"",IF($AB198=Constants!$B$7,IF(ISNUMBER(AM198),COUNTIFS($AM$8:$AM$507,"&lt;"&amp;$AM198)+COUNTIFS($AM$8:$AM$507,$AM198,$AO$8:$AO$507,"&lt;"&amp;$AO198)+1,Constants!$B$14),$AB198))</f>
        <v/>
      </c>
      <c r="AQ198" s="97" t="str">
        <f aca="false">IF(ISBLANK($C198),"",IF($AB198=Constants!$B$7,IF(ISNUMBER(AM198),AM198-AP198,Constants!$B$14),$AB198))</f>
        <v/>
      </c>
      <c r="AR198" s="98"/>
      <c r="AS198" s="99" t="str">
        <f aca="false">IF(ISBLANK($C198),"",IF($AB198&lt;&gt;Constants!$B$7,"",AJ198))</f>
        <v/>
      </c>
      <c r="AT198" s="100" t="str">
        <f aca="false">IF(ISBLANK($C198),"",IF($AB198&lt;&gt;Constants!$B$7,"",IF(AJ198=1,AD198,AG198)))</f>
        <v/>
      </c>
      <c r="AU198" s="101" t="str">
        <f aca="false">IF(ISBLANK($C198),"",IF($AB198&lt;&gt;Constants!$B$7,"",IF(AJ198=1,AE198,AH198)))</f>
        <v/>
      </c>
      <c r="AV198" s="102" t="str">
        <f aca="false">IF(ISBLANK($C198),"",IF($AB198&lt;&gt;Constants!$B$7,$AB198,AL198))</f>
        <v/>
      </c>
      <c r="AW198" s="103" t="str">
        <f aca="false">IF(ISBLANK($C198),"",IF($AB198&lt;&gt;Constants!$B$7,$AB198,AC198))</f>
        <v/>
      </c>
      <c r="AX198" s="104" t="str">
        <f aca="false">IF(ISBLANK($C198),"",AQ198)</f>
        <v/>
      </c>
      <c r="AY198" s="104" t="str">
        <f aca="false">IF(ISBLANK($C198),"",AP198)</f>
        <v/>
      </c>
      <c r="AZ198" s="105" t="str">
        <f aca="false">IF(ISBLANK($C198),"",IF(AY198=Constants!$B$4,COUNTA($C$8:$C$507)+2,IF(AY198=Constants!$B$5,COUNTA($C$8:$C$507)+1,IF(AY198=Constants!$B$6,COUNTA($C$8:$C$507),AY198))))</f>
        <v/>
      </c>
      <c r="BA198" s="5"/>
      <c r="BB198" s="106" t="n">
        <f aca="false">IF(OR(ISNUMBER(AY198),AY198=Constants!$B$4,AY198=Constants!$B$6,AY198=Constants!$B$5),1,0)</f>
        <v>0</v>
      </c>
      <c r="BC198" s="106" t="n">
        <v>191</v>
      </c>
      <c r="BD198" s="106" t="str">
        <f aca="false">IF(ISBLANK($C198),"",IF(ISNUMBER(AZ198),AZ198+ROW($B198)/1000,""))</f>
        <v/>
      </c>
      <c r="BE198" s="106" t="str">
        <f aca="false">IF(ISNUMBER(BD198),RANK(BD198,$BD$8:$BD$507,1),"")</f>
        <v/>
      </c>
      <c r="BF198" s="106" t="str">
        <f aca="false">IF(ISBLANK($C198),"",$B198)</f>
        <v/>
      </c>
      <c r="BG198" s="106" t="str">
        <f aca="false">IF(ISBLANK($C198),"",$C198)</f>
        <v/>
      </c>
      <c r="BH198" s="106" t="str">
        <f aca="false">IF(ISBLANK($C198),"",$D198)</f>
        <v/>
      </c>
      <c r="BI198" s="107" t="str">
        <f aca="false">AW198</f>
        <v/>
      </c>
      <c r="BJ198" s="108" t="str">
        <f aca="false">AV198</f>
        <v/>
      </c>
      <c r="BK198" s="106" t="str">
        <f aca="false">IF(ISBLANK($C198),"",AY198)</f>
        <v/>
      </c>
      <c r="BL198" s="109" t="str">
        <f aca="false">IF($BC198&gt;$BB$7,"",VLOOKUP($BC198,$BE$8:$BK$507,7,FALSE()))</f>
        <v/>
      </c>
      <c r="BM198" s="110" t="str">
        <f aca="false">IF($BC198&gt;$BB$7,"",VLOOKUP($BC198,$BE$8:$BK$507,2,FALSE()))</f>
        <v/>
      </c>
      <c r="BN198" s="110" t="str">
        <f aca="false">IF($BC198&gt;$BB$7,"",VLOOKUP($BC198,$BE$8:$BK$507,3,FALSE()))</f>
        <v/>
      </c>
      <c r="BO198" s="110" t="str">
        <f aca="false">IF($BC198&gt;$BB$7,"",VLOOKUP($BC198,$BE$8:$BK$507,4,FALSE()))</f>
        <v/>
      </c>
      <c r="BP198" s="110" t="str">
        <f aca="false">IF($BC198&gt;$BB$7,"",VLOOKUP($BC198,$BE$8:$BK$507,5,FALSE()))</f>
        <v/>
      </c>
      <c r="BQ198" s="111" t="str">
        <f aca="false">IF($BC198&gt;$BB$7,"",VLOOKUP($BC198,$BE$8:$BK$507,6,FALSE()))</f>
        <v/>
      </c>
      <c r="BR198" s="54"/>
    </row>
    <row r="199" customFormat="false" ht="13.8" hidden="false" customHeight="false" outlineLevel="0" collapsed="false">
      <c r="A199" s="5"/>
      <c r="B199" s="120"/>
      <c r="C199" s="121"/>
      <c r="D199" s="112"/>
      <c r="E199" s="123"/>
      <c r="F199" s="91"/>
      <c r="G199" s="92"/>
      <c r="H199" s="93"/>
      <c r="I199" s="94"/>
      <c r="J199" s="91"/>
      <c r="K199" s="92"/>
      <c r="L199" s="93"/>
      <c r="M199" s="94"/>
      <c r="N199" s="91"/>
      <c r="O199" s="123"/>
      <c r="P199" s="96"/>
      <c r="Q199" s="97" t="str">
        <f aca="false">IF(ISBLANK($C199),"",IF(E199=Constants!$B$2, TRUE(), IF(E199=Constants!$B$3, FALSE(), TRUE())))</f>
        <v/>
      </c>
      <c r="R199" s="97" t="str">
        <f aca="false">IF(ISBLANK($C199),"",IF(F199=Constants!$B$16,Constants!$B$9,IF(F199=Constants!$B$17,Constants!$B$10,Constants!$B$8)))</f>
        <v/>
      </c>
      <c r="S199" s="97" t="str">
        <f aca="false">IF(ISBLANK($C199),"",IF(COUNTA(G199:H199)=0,"",IF(AND(OR(ISBLANK(G199),AND(ISNUMBER(G199),G199&gt;=0)),OR(ISBLANK(H199),AND(ISNUMBER(H199),H199&gt;=0))),60*IF(ISBLANK(G199),0,G199)+IF(ISBLANK(H199),0,H199),"")))</f>
        <v/>
      </c>
      <c r="T199" s="97" t="str">
        <f aca="false">IF(ISBLANK($C199),"",IF(I199=Constants!$B$2, TRUE(), IF(I199=Constants!$B$3, FALSE(), TRUE())))</f>
        <v/>
      </c>
      <c r="U199" s="97" t="str">
        <f aca="false">IF(ISBLANK($C199),"",IF(J199=Constants!$B$2, TRUE(), IF(J199=Constants!$B$3, FALSE(), TRUE())))</f>
        <v/>
      </c>
      <c r="V199" s="97" t="str">
        <f aca="false">IF(ISBLANK($C199),"",IF(COUNTA(K199:L199)=0,"",IF(AND(OR(ISBLANK(K199),AND(ISNUMBER(K199),K199&gt;=0)),OR(ISBLANK(L199),AND(ISNUMBER(L199),L199&gt;=0))),60*IF(ISBLANK(K199),0,K199)+IF(ISBLANK(L199),0,L199),"")))</f>
        <v/>
      </c>
      <c r="W199" s="97" t="str">
        <f aca="false">IF(ISBLANK($C199),"",IF(M199=Constants!$B$2, TRUE(), IF(M199=Constants!$B$3, FALSE(), TRUE())))</f>
        <v/>
      </c>
      <c r="X199" s="97" t="str">
        <f aca="false">IF(ISBLANK($C199),"",IF(N199=Constants!$B$2, TRUE(), IF(N199=Constants!$B$3, FALSE(), TRUE())))</f>
        <v/>
      </c>
      <c r="Y199" s="97" t="str">
        <f aca="false">IF(ISBLANK($C199),"",IF(O199=Constants!$B$2, TRUE(), IF(O199=Constants!$B$3, FALSE(), FALSE())))</f>
        <v/>
      </c>
      <c r="Z199" s="97" t="str">
        <f aca="false">IF(ISBLANK($C199),"",AND(S199&lt;&gt;"",Q199))</f>
        <v/>
      </c>
      <c r="AA199" s="97" t="str">
        <f aca="false">IF(ISBLANK($C199),"",AND(V199&lt;&gt;"",Q199))</f>
        <v/>
      </c>
      <c r="AB199" s="97" t="str">
        <f aca="false">IF(ISBLANK($C199),"",IF(Y199,Constants!$B$4,IF(COUNTA(E199:N199)=0,Constants!$B$5,IF(NOT(Q199),Constants!$B$6,IF(AND(NOT(Z199),NOT(AA199)),Constants!$B$6,Constants!$B$7)))))</f>
        <v/>
      </c>
      <c r="AC199" s="97" t="str">
        <f aca="false">IF(ISBLANK($C199),"",IF($AB199&lt;&gt;Constants!$B$7,$AB199,Constants!$B$20))</f>
        <v/>
      </c>
      <c r="AD199" s="97" t="str">
        <f aca="false">IF($AB199=Constants!$B$7,IF(Z199,S199,Constants!$B$13),"")</f>
        <v/>
      </c>
      <c r="AE199" s="97" t="str">
        <f aca="false">IF($AB199=Constants!$B$7,IF(Z199,R199*IF(T199, 1, Constants!$B$11)*IF(U199, 1, Constants!$B$12),Constants!$B$13),"")</f>
        <v/>
      </c>
      <c r="AF199" s="97" t="str">
        <f aca="false">IF($AB199=Constants!$B$7,AD199*AE199,"")</f>
        <v/>
      </c>
      <c r="AG199" s="97" t="str">
        <f aca="false">IF($AB199=Constants!$B$7,IF(AA199,V199,Constants!$B$13),"")</f>
        <v/>
      </c>
      <c r="AH199" s="97" t="str">
        <f aca="false">IF($AB199=Constants!$B$7,IF(AA199,R199*IF(W199, 1, Constants!$B$11)*IF(X199, 1, Constants!$B$12),Constants!$B$13),"")</f>
        <v/>
      </c>
      <c r="AI199" s="97" t="str">
        <f aca="false">IF($AB199=Constants!$B$7,AG199*AH199,"")</f>
        <v/>
      </c>
      <c r="AJ199" s="97" t="str">
        <f aca="false">IF($AB199=Constants!$B$7,IF(AI199&gt;AF199,2,1),"")</f>
        <v/>
      </c>
      <c r="AK199" s="97" t="str">
        <f aca="false">IF($AB199=Constants!$B$7,IF(AJ199=1,2,1),"")</f>
        <v/>
      </c>
      <c r="AL199" s="97" t="str">
        <f aca="false">IF(ISBLANK($C199),"",IF($AB199&lt;&gt;Constants!$B$7,$AB199,IF(AJ199=1,AF199,AI199)))</f>
        <v/>
      </c>
      <c r="AM199" s="97" t="str">
        <f aca="false">IF(ISBLANK($C199),"",IF($AB199=Constants!$B$7,IF(ISNUMBER(AL199),RANK(AL199,$AL$8:$AL$507),Constants!$B$14),$AB199))</f>
        <v/>
      </c>
      <c r="AN199" s="97" t="str">
        <f aca="false">IF(ISBLANK($C199),"",IF($AB199=Constants!$B$7,IF(AK199=1,AF199,AI199),""))</f>
        <v/>
      </c>
      <c r="AO199" s="97" t="str">
        <f aca="false">IF(ISBLANK($C199),"",IF($AB199=Constants!$B$7,RANK(AN199,$AN$8:$AN$507),$AB199))</f>
        <v/>
      </c>
      <c r="AP199" s="97" t="str">
        <f aca="false">IF(ISBLANK($C199),"",IF($AB199=Constants!$B$7,IF(ISNUMBER(AM199),COUNTIFS($AM$8:$AM$507,"&lt;"&amp;$AM199)+COUNTIFS($AM$8:$AM$507,$AM199,$AO$8:$AO$507,"&lt;"&amp;$AO199)+1,Constants!$B$14),$AB199))</f>
        <v/>
      </c>
      <c r="AQ199" s="97" t="str">
        <f aca="false">IF(ISBLANK($C199),"",IF($AB199=Constants!$B$7,IF(ISNUMBER(AM199),AM199-AP199,Constants!$B$14),$AB199))</f>
        <v/>
      </c>
      <c r="AR199" s="98"/>
      <c r="AS199" s="99" t="str">
        <f aca="false">IF(ISBLANK($C199),"",IF($AB199&lt;&gt;Constants!$B$7,"",AJ199))</f>
        <v/>
      </c>
      <c r="AT199" s="100" t="str">
        <f aca="false">IF(ISBLANK($C199),"",IF($AB199&lt;&gt;Constants!$B$7,"",IF(AJ199=1,AD199,AG199)))</f>
        <v/>
      </c>
      <c r="AU199" s="101" t="str">
        <f aca="false">IF(ISBLANK($C199),"",IF($AB199&lt;&gt;Constants!$B$7,"",IF(AJ199=1,AE199,AH199)))</f>
        <v/>
      </c>
      <c r="AV199" s="102" t="str">
        <f aca="false">IF(ISBLANK($C199),"",IF($AB199&lt;&gt;Constants!$B$7,$AB199,AL199))</f>
        <v/>
      </c>
      <c r="AW199" s="103" t="str">
        <f aca="false">IF(ISBLANK($C199),"",IF($AB199&lt;&gt;Constants!$B$7,$AB199,AC199))</f>
        <v/>
      </c>
      <c r="AX199" s="104" t="str">
        <f aca="false">IF(ISBLANK($C199),"",AQ199)</f>
        <v/>
      </c>
      <c r="AY199" s="104" t="str">
        <f aca="false">IF(ISBLANK($C199),"",AP199)</f>
        <v/>
      </c>
      <c r="AZ199" s="105" t="str">
        <f aca="false">IF(ISBLANK($C199),"",IF(AY199=Constants!$B$4,COUNTA($C$8:$C$507)+2,IF(AY199=Constants!$B$5,COUNTA($C$8:$C$507)+1,IF(AY199=Constants!$B$6,COUNTA($C$8:$C$507),AY199))))</f>
        <v/>
      </c>
      <c r="BA199" s="5"/>
      <c r="BB199" s="106" t="n">
        <f aca="false">IF(OR(ISNUMBER(AY199),AY199=Constants!$B$4,AY199=Constants!$B$6,AY199=Constants!$B$5),1,0)</f>
        <v>0</v>
      </c>
      <c r="BC199" s="106" t="n">
        <v>192</v>
      </c>
      <c r="BD199" s="106" t="str">
        <f aca="false">IF(ISBLANK($C199),"",IF(ISNUMBER(AZ199),AZ199+ROW($B199)/1000,""))</f>
        <v/>
      </c>
      <c r="BE199" s="106" t="str">
        <f aca="false">IF(ISNUMBER(BD199),RANK(BD199,$BD$8:$BD$507,1),"")</f>
        <v/>
      </c>
      <c r="BF199" s="106" t="str">
        <f aca="false">IF(ISBLANK($C199),"",$B199)</f>
        <v/>
      </c>
      <c r="BG199" s="106" t="str">
        <f aca="false">IF(ISBLANK($C199),"",$C199)</f>
        <v/>
      </c>
      <c r="BH199" s="106" t="str">
        <f aca="false">IF(ISBLANK($C199),"",$D199)</f>
        <v/>
      </c>
      <c r="BI199" s="107" t="str">
        <f aca="false">AW199</f>
        <v/>
      </c>
      <c r="BJ199" s="108" t="str">
        <f aca="false">AV199</f>
        <v/>
      </c>
      <c r="BK199" s="106" t="str">
        <f aca="false">IF(ISBLANK($C199),"",AY199)</f>
        <v/>
      </c>
      <c r="BL199" s="109" t="str">
        <f aca="false">IF($BC199&gt;$BB$7,"",VLOOKUP($BC199,$BE$8:$BK$507,7,FALSE()))</f>
        <v/>
      </c>
      <c r="BM199" s="110" t="str">
        <f aca="false">IF($BC199&gt;$BB$7,"",VLOOKUP($BC199,$BE$8:$BK$507,2,FALSE()))</f>
        <v/>
      </c>
      <c r="BN199" s="110" t="str">
        <f aca="false">IF($BC199&gt;$BB$7,"",VLOOKUP($BC199,$BE$8:$BK$507,3,FALSE()))</f>
        <v/>
      </c>
      <c r="BO199" s="110" t="str">
        <f aca="false">IF($BC199&gt;$BB$7,"",VLOOKUP($BC199,$BE$8:$BK$507,4,FALSE()))</f>
        <v/>
      </c>
      <c r="BP199" s="110" t="str">
        <f aca="false">IF($BC199&gt;$BB$7,"",VLOOKUP($BC199,$BE$8:$BK$507,5,FALSE()))</f>
        <v/>
      </c>
      <c r="BQ199" s="111" t="str">
        <f aca="false">IF($BC199&gt;$BB$7,"",VLOOKUP($BC199,$BE$8:$BK$507,6,FALSE()))</f>
        <v/>
      </c>
      <c r="BR199" s="54"/>
    </row>
    <row r="200" customFormat="false" ht="13.8" hidden="false" customHeight="false" outlineLevel="0" collapsed="false">
      <c r="A200" s="5"/>
      <c r="B200" s="124"/>
      <c r="C200" s="56"/>
      <c r="D200" s="57"/>
      <c r="E200" s="83"/>
      <c r="F200" s="59"/>
      <c r="G200" s="60"/>
      <c r="H200" s="61"/>
      <c r="I200" s="62"/>
      <c r="J200" s="59"/>
      <c r="K200" s="60"/>
      <c r="L200" s="61"/>
      <c r="M200" s="62"/>
      <c r="N200" s="59"/>
      <c r="O200" s="83"/>
      <c r="P200" s="64"/>
      <c r="Q200" s="66" t="str">
        <f aca="false">IF(ISBLANK($C200),"",IF(E200=Constants!$B$2, TRUE(), IF(E200=Constants!$B$3, FALSE(), TRUE())))</f>
        <v/>
      </c>
      <c r="R200" s="66" t="str">
        <f aca="false">IF(ISBLANK($C200),"",IF(F200=Constants!$B$16,Constants!$B$9,IF(F200=Constants!$B$17,Constants!$B$10,Constants!$B$8)))</f>
        <v/>
      </c>
      <c r="S200" s="66" t="str">
        <f aca="false">IF(ISBLANK($C200),"",IF(COUNTA(G200:H200)=0,"",IF(AND(OR(ISBLANK(G200),AND(ISNUMBER(G200),G200&gt;=0)),OR(ISBLANK(H200),AND(ISNUMBER(H200),H200&gt;=0))),60*IF(ISBLANK(G200),0,G200)+IF(ISBLANK(H200),0,H200),"")))</f>
        <v/>
      </c>
      <c r="T200" s="66" t="str">
        <f aca="false">IF(ISBLANK($C200),"",IF(I200=Constants!$B$2, TRUE(), IF(I200=Constants!$B$3, FALSE(), TRUE())))</f>
        <v/>
      </c>
      <c r="U200" s="66" t="str">
        <f aca="false">IF(ISBLANK($C200),"",IF(J200=Constants!$B$2, TRUE(), IF(J200=Constants!$B$3, FALSE(), TRUE())))</f>
        <v/>
      </c>
      <c r="V200" s="66" t="str">
        <f aca="false">IF(ISBLANK($C200),"",IF(COUNTA(K200:L200)=0,"",IF(AND(OR(ISBLANK(K200),AND(ISNUMBER(K200),K200&gt;=0)),OR(ISBLANK(L200),AND(ISNUMBER(L200),L200&gt;=0))),60*IF(ISBLANK(K200),0,K200)+IF(ISBLANK(L200),0,L200),"")))</f>
        <v/>
      </c>
      <c r="W200" s="66" t="str">
        <f aca="false">IF(ISBLANK($C200),"",IF(M200=Constants!$B$2, TRUE(), IF(M200=Constants!$B$3, FALSE(), TRUE())))</f>
        <v/>
      </c>
      <c r="X200" s="66" t="str">
        <f aca="false">IF(ISBLANK($C200),"",IF(N200=Constants!$B$2, TRUE(), IF(N200=Constants!$B$3, FALSE(), TRUE())))</f>
        <v/>
      </c>
      <c r="Y200" s="66" t="str">
        <f aca="false">IF(ISBLANK($C200),"",IF(O200=Constants!$B$2, TRUE(), IF(O200=Constants!$B$3, FALSE(), FALSE())))</f>
        <v/>
      </c>
      <c r="Z200" s="66" t="str">
        <f aca="false">IF(ISBLANK($C200),"",AND(S200&lt;&gt;"",Q200))</f>
        <v/>
      </c>
      <c r="AA200" s="66" t="str">
        <f aca="false">IF(ISBLANK($C200),"",AND(V200&lt;&gt;"",Q200))</f>
        <v/>
      </c>
      <c r="AB200" s="66" t="str">
        <f aca="false">IF(ISBLANK($C200),"",IF(Y200,Constants!$B$4,IF(COUNTA(E200:N200)=0,Constants!$B$5,IF(NOT(Q200),Constants!$B$6,IF(AND(NOT(Z200),NOT(AA200)),Constants!$B$6,Constants!$B$7)))))</f>
        <v/>
      </c>
      <c r="AC200" s="66" t="str">
        <f aca="false">IF(ISBLANK($C200),"",IF($AB200&lt;&gt;Constants!$B$7,$AB200,Constants!$B$20))</f>
        <v/>
      </c>
      <c r="AD200" s="66" t="str">
        <f aca="false">IF($AB200=Constants!$B$7,IF(Z200,S200,Constants!$B$13),"")</f>
        <v/>
      </c>
      <c r="AE200" s="66" t="str">
        <f aca="false">IF($AB200=Constants!$B$7,IF(Z200,R200*IF(T200, 1, Constants!$B$11)*IF(U200, 1, Constants!$B$12),Constants!$B$13),"")</f>
        <v/>
      </c>
      <c r="AF200" s="66" t="str">
        <f aca="false">IF($AB200=Constants!$B$7,AD200*AE200,"")</f>
        <v/>
      </c>
      <c r="AG200" s="66" t="str">
        <f aca="false">IF($AB200=Constants!$B$7,IF(AA200,V200,Constants!$B$13),"")</f>
        <v/>
      </c>
      <c r="AH200" s="66" t="str">
        <f aca="false">IF($AB200=Constants!$B$7,IF(AA200,R200*IF(W200, 1, Constants!$B$11)*IF(X200, 1, Constants!$B$12),Constants!$B$13),"")</f>
        <v/>
      </c>
      <c r="AI200" s="66" t="str">
        <f aca="false">IF($AB200=Constants!$B$7,AG200*AH200,"")</f>
        <v/>
      </c>
      <c r="AJ200" s="66" t="str">
        <f aca="false">IF($AB200=Constants!$B$7,IF(AI200&gt;AF200,2,1),"")</f>
        <v/>
      </c>
      <c r="AK200" s="66" t="str">
        <f aca="false">IF($AB200=Constants!$B$7,IF(AJ200=1,2,1),"")</f>
        <v/>
      </c>
      <c r="AL200" s="66" t="str">
        <f aca="false">IF(ISBLANK($C200),"",IF($AB200&lt;&gt;Constants!$B$7,$AB200,IF(AJ200=1,AF200,AI200)))</f>
        <v/>
      </c>
      <c r="AM200" s="66" t="str">
        <f aca="false">IF(ISBLANK($C200),"",IF($AB200=Constants!$B$7,IF(ISNUMBER(AL200),RANK(AL200,$AL$8:$AL$507),Constants!$B$14),$AB200))</f>
        <v/>
      </c>
      <c r="AN200" s="66" t="str">
        <f aca="false">IF(ISBLANK($C200),"",IF($AB200=Constants!$B$7,IF(AK200=1,AF200,AI200),""))</f>
        <v/>
      </c>
      <c r="AO200" s="66" t="str">
        <f aca="false">IF(ISBLANK($C200),"",IF($AB200=Constants!$B$7,RANK(AN200,$AN$8:$AN$507),$AB200))</f>
        <v/>
      </c>
      <c r="AP200" s="66" t="str">
        <f aca="false">IF(ISBLANK($C200),"",IF($AB200=Constants!$B$7,IF(ISNUMBER(AM200),COUNTIFS($AM$8:$AM$507,"&lt;"&amp;$AM200)+COUNTIFS($AM$8:$AM$507,$AM200,$AO$8:$AO$507,"&lt;"&amp;$AO200)+1,Constants!$B$14),$AB200))</f>
        <v/>
      </c>
      <c r="AQ200" s="66" t="str">
        <f aca="false">IF(ISBLANK($C200),"",IF($AB200=Constants!$B$7,IF(ISNUMBER(AM200),AM200-AP200,Constants!$B$14),$AB200))</f>
        <v/>
      </c>
      <c r="AR200" s="68"/>
      <c r="AS200" s="69" t="str">
        <f aca="false">IF(ISBLANK($C200),"",IF($AB200&lt;&gt;Constants!$B$7,"",AJ200))</f>
        <v/>
      </c>
      <c r="AT200" s="84" t="str">
        <f aca="false">IF(ISBLANK($C200),"",IF($AB200&lt;&gt;Constants!$B$7,"",IF(AJ200=1,AD200,AG200)))</f>
        <v/>
      </c>
      <c r="AU200" s="71" t="str">
        <f aca="false">IF(ISBLANK($C200),"",IF($AB200&lt;&gt;Constants!$B$7,"",IF(AJ200=1,AE200,AH200)))</f>
        <v/>
      </c>
      <c r="AV200" s="72" t="str">
        <f aca="false">IF(ISBLANK($C200),"",IF($AB200&lt;&gt;Constants!$B$7,$AB200,AL200))</f>
        <v/>
      </c>
      <c r="AW200" s="73" t="str">
        <f aca="false">IF(ISBLANK($C200),"",IF($AB200&lt;&gt;Constants!$B$7,$AB200,AC200))</f>
        <v/>
      </c>
      <c r="AX200" s="74" t="str">
        <f aca="false">IF(ISBLANK($C200),"",AQ200)</f>
        <v/>
      </c>
      <c r="AY200" s="74" t="str">
        <f aca="false">IF(ISBLANK($C200),"",AP200)</f>
        <v/>
      </c>
      <c r="AZ200" s="75" t="str">
        <f aca="false">IF(ISBLANK($C200),"",IF(AY200=Constants!$B$4,COUNTA($C$8:$C$507)+2,IF(AY200=Constants!$B$5,COUNTA($C$8:$C$507)+1,IF(AY200=Constants!$B$6,COUNTA($C$8:$C$507),AY200))))</f>
        <v/>
      </c>
      <c r="BA200" s="5"/>
      <c r="BB200" s="76" t="n">
        <f aca="false">IF(OR(ISNUMBER(AY200),AY200=Constants!$B$4,AY200=Constants!$B$6,AY200=Constants!$B$5),1,0)</f>
        <v>0</v>
      </c>
      <c r="BC200" s="76" t="n">
        <v>193</v>
      </c>
      <c r="BD200" s="76" t="str">
        <f aca="false">IF(ISBLANK($C200),"",IF(ISNUMBER(AZ200),AZ200+ROW($B200)/1000,""))</f>
        <v/>
      </c>
      <c r="BE200" s="76" t="str">
        <f aca="false">IF(ISNUMBER(BD200),RANK(BD200,$BD$8:$BD$507,1),"")</f>
        <v/>
      </c>
      <c r="BF200" s="76" t="str">
        <f aca="false">IF(ISBLANK($C200),"",$B200)</f>
        <v/>
      </c>
      <c r="BG200" s="76" t="str">
        <f aca="false">IF(ISBLANK($C200),"",$C200)</f>
        <v/>
      </c>
      <c r="BH200" s="76" t="str">
        <f aca="false">IF(ISBLANK($C200),"",$D200)</f>
        <v/>
      </c>
      <c r="BI200" s="77" t="str">
        <f aca="false">AW200</f>
        <v/>
      </c>
      <c r="BJ200" s="78" t="str">
        <f aca="false">AV200</f>
        <v/>
      </c>
      <c r="BK200" s="76" t="str">
        <f aca="false">IF(ISBLANK($C200),"",AY200)</f>
        <v/>
      </c>
      <c r="BL200" s="79" t="str">
        <f aca="false">IF($BC200&gt;$BB$7,"",VLOOKUP($BC200,$BE$8:$BK$507,7,FALSE()))</f>
        <v/>
      </c>
      <c r="BM200" s="80" t="str">
        <f aca="false">IF($BC200&gt;$BB$7,"",VLOOKUP($BC200,$BE$8:$BK$507,2,FALSE()))</f>
        <v/>
      </c>
      <c r="BN200" s="80" t="str">
        <f aca="false">IF($BC200&gt;$BB$7,"",VLOOKUP($BC200,$BE$8:$BK$507,3,FALSE()))</f>
        <v/>
      </c>
      <c r="BO200" s="80" t="str">
        <f aca="false">IF($BC200&gt;$BB$7,"",VLOOKUP($BC200,$BE$8:$BK$507,4,FALSE()))</f>
        <v/>
      </c>
      <c r="BP200" s="80" t="str">
        <f aca="false">IF($BC200&gt;$BB$7,"",VLOOKUP($BC200,$BE$8:$BK$507,5,FALSE()))</f>
        <v/>
      </c>
      <c r="BQ200" s="81" t="str">
        <f aca="false">IF($BC200&gt;$BB$7,"",VLOOKUP($BC200,$BE$8:$BK$507,6,FALSE()))</f>
        <v/>
      </c>
      <c r="BR200" s="54"/>
    </row>
    <row r="201" customFormat="false" ht="13.8" hidden="false" customHeight="false" outlineLevel="0" collapsed="false">
      <c r="A201" s="5"/>
      <c r="B201" s="124"/>
      <c r="C201" s="56"/>
      <c r="D201" s="57"/>
      <c r="E201" s="83"/>
      <c r="F201" s="59"/>
      <c r="G201" s="60"/>
      <c r="H201" s="61"/>
      <c r="I201" s="62"/>
      <c r="J201" s="59"/>
      <c r="K201" s="60"/>
      <c r="L201" s="61"/>
      <c r="M201" s="62"/>
      <c r="N201" s="59"/>
      <c r="O201" s="83"/>
      <c r="P201" s="64"/>
      <c r="Q201" s="66" t="str">
        <f aca="false">IF(ISBLANK($C201),"",IF(E201=Constants!$B$2, TRUE(), IF(E201=Constants!$B$3, FALSE(), TRUE())))</f>
        <v/>
      </c>
      <c r="R201" s="66" t="str">
        <f aca="false">IF(ISBLANK($C201),"",IF(F201=Constants!$B$16,Constants!$B$9,IF(F201=Constants!$B$17,Constants!$B$10,Constants!$B$8)))</f>
        <v/>
      </c>
      <c r="S201" s="66" t="str">
        <f aca="false">IF(ISBLANK($C201),"",IF(COUNTA(G201:H201)=0,"",IF(AND(OR(ISBLANK(G201),AND(ISNUMBER(G201),G201&gt;=0)),OR(ISBLANK(H201),AND(ISNUMBER(H201),H201&gt;=0))),60*IF(ISBLANK(G201),0,G201)+IF(ISBLANK(H201),0,H201),"")))</f>
        <v/>
      </c>
      <c r="T201" s="66" t="str">
        <f aca="false">IF(ISBLANK($C201),"",IF(I201=Constants!$B$2, TRUE(), IF(I201=Constants!$B$3, FALSE(), TRUE())))</f>
        <v/>
      </c>
      <c r="U201" s="66" t="str">
        <f aca="false">IF(ISBLANK($C201),"",IF(J201=Constants!$B$2, TRUE(), IF(J201=Constants!$B$3, FALSE(), TRUE())))</f>
        <v/>
      </c>
      <c r="V201" s="66" t="str">
        <f aca="false">IF(ISBLANK($C201),"",IF(COUNTA(K201:L201)=0,"",IF(AND(OR(ISBLANK(K201),AND(ISNUMBER(K201),K201&gt;=0)),OR(ISBLANK(L201),AND(ISNUMBER(L201),L201&gt;=0))),60*IF(ISBLANK(K201),0,K201)+IF(ISBLANK(L201),0,L201),"")))</f>
        <v/>
      </c>
      <c r="W201" s="66" t="str">
        <f aca="false">IF(ISBLANK($C201),"",IF(M201=Constants!$B$2, TRUE(), IF(M201=Constants!$B$3, FALSE(), TRUE())))</f>
        <v/>
      </c>
      <c r="X201" s="66" t="str">
        <f aca="false">IF(ISBLANK($C201),"",IF(N201=Constants!$B$2, TRUE(), IF(N201=Constants!$B$3, FALSE(), TRUE())))</f>
        <v/>
      </c>
      <c r="Y201" s="66" t="str">
        <f aca="false">IF(ISBLANK($C201),"",IF(O201=Constants!$B$2, TRUE(), IF(O201=Constants!$B$3, FALSE(), FALSE())))</f>
        <v/>
      </c>
      <c r="Z201" s="66" t="str">
        <f aca="false">IF(ISBLANK($C201),"",AND(S201&lt;&gt;"",Q201))</f>
        <v/>
      </c>
      <c r="AA201" s="66" t="str">
        <f aca="false">IF(ISBLANK($C201),"",AND(V201&lt;&gt;"",Q201))</f>
        <v/>
      </c>
      <c r="AB201" s="66" t="str">
        <f aca="false">IF(ISBLANK($C201),"",IF(Y201,Constants!$B$4,IF(COUNTA(E201:N201)=0,Constants!$B$5,IF(NOT(Q201),Constants!$B$6,IF(AND(NOT(Z201),NOT(AA201)),Constants!$B$6,Constants!$B$7)))))</f>
        <v/>
      </c>
      <c r="AC201" s="66" t="str">
        <f aca="false">IF(ISBLANK($C201),"",IF($AB201&lt;&gt;Constants!$B$7,$AB201,Constants!$B$20))</f>
        <v/>
      </c>
      <c r="AD201" s="66" t="str">
        <f aca="false">IF($AB201=Constants!$B$7,IF(Z201,S201,Constants!$B$13),"")</f>
        <v/>
      </c>
      <c r="AE201" s="66" t="str">
        <f aca="false">IF($AB201=Constants!$B$7,IF(Z201,R201*IF(T201, 1, Constants!$B$11)*IF(U201, 1, Constants!$B$12),Constants!$B$13),"")</f>
        <v/>
      </c>
      <c r="AF201" s="66" t="str">
        <f aca="false">IF($AB201=Constants!$B$7,AD201*AE201,"")</f>
        <v/>
      </c>
      <c r="AG201" s="66" t="str">
        <f aca="false">IF($AB201=Constants!$B$7,IF(AA201,V201,Constants!$B$13),"")</f>
        <v/>
      </c>
      <c r="AH201" s="66" t="str">
        <f aca="false">IF($AB201=Constants!$B$7,IF(AA201,R201*IF(W201, 1, Constants!$B$11)*IF(X201, 1, Constants!$B$12),Constants!$B$13),"")</f>
        <v/>
      </c>
      <c r="AI201" s="66" t="str">
        <f aca="false">IF($AB201=Constants!$B$7,AG201*AH201,"")</f>
        <v/>
      </c>
      <c r="AJ201" s="66" t="str">
        <f aca="false">IF($AB201=Constants!$B$7,IF(AI201&gt;AF201,2,1),"")</f>
        <v/>
      </c>
      <c r="AK201" s="66" t="str">
        <f aca="false">IF($AB201=Constants!$B$7,IF(AJ201=1,2,1),"")</f>
        <v/>
      </c>
      <c r="AL201" s="66" t="str">
        <f aca="false">IF(ISBLANK($C201),"",IF($AB201&lt;&gt;Constants!$B$7,$AB201,IF(AJ201=1,AF201,AI201)))</f>
        <v/>
      </c>
      <c r="AM201" s="66" t="str">
        <f aca="false">IF(ISBLANK($C201),"",IF($AB201=Constants!$B$7,IF(ISNUMBER(AL201),RANK(AL201,$AL$8:$AL$507),Constants!$B$14),$AB201))</f>
        <v/>
      </c>
      <c r="AN201" s="66" t="str">
        <f aca="false">IF(ISBLANK($C201),"",IF($AB201=Constants!$B$7,IF(AK201=1,AF201,AI201),""))</f>
        <v/>
      </c>
      <c r="AO201" s="66" t="str">
        <f aca="false">IF(ISBLANK($C201),"",IF($AB201=Constants!$B$7,RANK(AN201,$AN$8:$AN$507),$AB201))</f>
        <v/>
      </c>
      <c r="AP201" s="66" t="str">
        <f aca="false">IF(ISBLANK($C201),"",IF($AB201=Constants!$B$7,IF(ISNUMBER(AM201),COUNTIFS($AM$8:$AM$507,"&lt;"&amp;$AM201)+COUNTIFS($AM$8:$AM$507,$AM201,$AO$8:$AO$507,"&lt;"&amp;$AO201)+1,Constants!$B$14),$AB201))</f>
        <v/>
      </c>
      <c r="AQ201" s="66" t="str">
        <f aca="false">IF(ISBLANK($C201),"",IF($AB201=Constants!$B$7,IF(ISNUMBER(AM201),AM201-AP201,Constants!$B$14),$AB201))</f>
        <v/>
      </c>
      <c r="AR201" s="68"/>
      <c r="AS201" s="69" t="str">
        <f aca="false">IF(ISBLANK($C201),"",IF($AB201&lt;&gt;Constants!$B$7,"",AJ201))</f>
        <v/>
      </c>
      <c r="AT201" s="84" t="str">
        <f aca="false">IF(ISBLANK($C201),"",IF($AB201&lt;&gt;Constants!$B$7,"",IF(AJ201=1,AD201,AG201)))</f>
        <v/>
      </c>
      <c r="AU201" s="71" t="str">
        <f aca="false">IF(ISBLANK($C201),"",IF($AB201&lt;&gt;Constants!$B$7,"",IF(AJ201=1,AE201,AH201)))</f>
        <v/>
      </c>
      <c r="AV201" s="72" t="str">
        <f aca="false">IF(ISBLANK($C201),"",IF($AB201&lt;&gt;Constants!$B$7,$AB201,AL201))</f>
        <v/>
      </c>
      <c r="AW201" s="73" t="str">
        <f aca="false">IF(ISBLANK($C201),"",IF($AB201&lt;&gt;Constants!$B$7,$AB201,AC201))</f>
        <v/>
      </c>
      <c r="AX201" s="74" t="str">
        <f aca="false">IF(ISBLANK($C201),"",AQ201)</f>
        <v/>
      </c>
      <c r="AY201" s="74" t="str">
        <f aca="false">IF(ISBLANK($C201),"",AP201)</f>
        <v/>
      </c>
      <c r="AZ201" s="75" t="str">
        <f aca="false">IF(ISBLANK($C201),"",IF(AY201=Constants!$B$4,COUNTA($C$8:$C$507)+2,IF(AY201=Constants!$B$5,COUNTA($C$8:$C$507)+1,IF(AY201=Constants!$B$6,COUNTA($C$8:$C$507),AY201))))</f>
        <v/>
      </c>
      <c r="BA201" s="5"/>
      <c r="BB201" s="76" t="n">
        <f aca="false">IF(OR(ISNUMBER(AY201),AY201=Constants!$B$4,AY201=Constants!$B$6,AY201=Constants!$B$5),1,0)</f>
        <v>0</v>
      </c>
      <c r="BC201" s="76" t="n">
        <v>194</v>
      </c>
      <c r="BD201" s="76" t="str">
        <f aca="false">IF(ISBLANK($C201),"",IF(ISNUMBER(AZ201),AZ201+ROW($B201)/1000,""))</f>
        <v/>
      </c>
      <c r="BE201" s="76" t="str">
        <f aca="false">IF(ISNUMBER(BD201),RANK(BD201,$BD$8:$BD$507,1),"")</f>
        <v/>
      </c>
      <c r="BF201" s="76" t="str">
        <f aca="false">IF(ISBLANK($C201),"",$B201)</f>
        <v/>
      </c>
      <c r="BG201" s="76" t="str">
        <f aca="false">IF(ISBLANK($C201),"",$C201)</f>
        <v/>
      </c>
      <c r="BH201" s="76" t="str">
        <f aca="false">IF(ISBLANK($C201),"",$D201)</f>
        <v/>
      </c>
      <c r="BI201" s="77" t="str">
        <f aca="false">AW201</f>
        <v/>
      </c>
      <c r="BJ201" s="78" t="str">
        <f aca="false">AV201</f>
        <v/>
      </c>
      <c r="BK201" s="76" t="str">
        <f aca="false">IF(ISBLANK($C201),"",AY201)</f>
        <v/>
      </c>
      <c r="BL201" s="79" t="str">
        <f aca="false">IF($BC201&gt;$BB$7,"",VLOOKUP($BC201,$BE$8:$BK$507,7,FALSE()))</f>
        <v/>
      </c>
      <c r="BM201" s="80" t="str">
        <f aca="false">IF($BC201&gt;$BB$7,"",VLOOKUP($BC201,$BE$8:$BK$507,2,FALSE()))</f>
        <v/>
      </c>
      <c r="BN201" s="80" t="str">
        <f aca="false">IF($BC201&gt;$BB$7,"",VLOOKUP($BC201,$BE$8:$BK$507,3,FALSE()))</f>
        <v/>
      </c>
      <c r="BO201" s="80" t="str">
        <f aca="false">IF($BC201&gt;$BB$7,"",VLOOKUP($BC201,$BE$8:$BK$507,4,FALSE()))</f>
        <v/>
      </c>
      <c r="BP201" s="80" t="str">
        <f aca="false">IF($BC201&gt;$BB$7,"",VLOOKUP($BC201,$BE$8:$BK$507,5,FALSE()))</f>
        <v/>
      </c>
      <c r="BQ201" s="81" t="str">
        <f aca="false">IF($BC201&gt;$BB$7,"",VLOOKUP($BC201,$BE$8:$BK$507,6,FALSE()))</f>
        <v/>
      </c>
      <c r="BR201" s="54"/>
    </row>
    <row r="202" customFormat="false" ht="15.75" hidden="false" customHeight="false" outlineLevel="0" collapsed="false">
      <c r="A202" s="5"/>
      <c r="B202" s="124"/>
      <c r="C202" s="56"/>
      <c r="D202" s="57"/>
      <c r="E202" s="83"/>
      <c r="F202" s="59"/>
      <c r="G202" s="60"/>
      <c r="H202" s="61"/>
      <c r="I202" s="62"/>
      <c r="J202" s="59"/>
      <c r="K202" s="60"/>
      <c r="L202" s="61"/>
      <c r="M202" s="62"/>
      <c r="N202" s="59"/>
      <c r="O202" s="83"/>
      <c r="P202" s="64"/>
      <c r="Q202" s="66" t="str">
        <f aca="false">IF(ISBLANK($C202),"",IF(E202=Constants!$B$2, TRUE(), IF(E202=Constants!$B$3, FALSE(), TRUE())))</f>
        <v/>
      </c>
      <c r="R202" s="66" t="str">
        <f aca="false">IF(ISBLANK($C202),"",IF(F202=Constants!$B$16,Constants!$B$9,IF(F202=Constants!$B$17,Constants!$B$10,Constants!$B$8)))</f>
        <v/>
      </c>
      <c r="S202" s="66" t="str">
        <f aca="false">IF(ISBLANK($C202),"",IF(COUNTA(G202:H202)=0,"",IF(AND(OR(ISBLANK(G202),AND(ISNUMBER(G202),G202&gt;=0)),OR(ISBLANK(H202),AND(ISNUMBER(H202),H202&gt;=0))),60*IF(ISBLANK(G202),0,G202)+IF(ISBLANK(H202),0,H202),"")))</f>
        <v/>
      </c>
      <c r="T202" s="66" t="str">
        <f aca="false">IF(ISBLANK($C202),"",IF(I202=Constants!$B$2, TRUE(), IF(I202=Constants!$B$3, FALSE(), TRUE())))</f>
        <v/>
      </c>
      <c r="U202" s="66" t="str">
        <f aca="false">IF(ISBLANK($C202),"",IF(J202=Constants!$B$2, TRUE(), IF(J202=Constants!$B$3, FALSE(), TRUE())))</f>
        <v/>
      </c>
      <c r="V202" s="66" t="str">
        <f aca="false">IF(ISBLANK($C202),"",IF(COUNTA(K202:L202)=0,"",IF(AND(OR(ISBLANK(K202),AND(ISNUMBER(K202),K202&gt;=0)),OR(ISBLANK(L202),AND(ISNUMBER(L202),L202&gt;=0))),60*IF(ISBLANK(K202),0,K202)+IF(ISBLANK(L202),0,L202),"")))</f>
        <v/>
      </c>
      <c r="W202" s="66" t="str">
        <f aca="false">IF(ISBLANK($C202),"",IF(M202=Constants!$B$2, TRUE(), IF(M202=Constants!$B$3, FALSE(), TRUE())))</f>
        <v/>
      </c>
      <c r="X202" s="66" t="str">
        <f aca="false">IF(ISBLANK($C202),"",IF(N202=Constants!$B$2, TRUE(), IF(N202=Constants!$B$3, FALSE(), TRUE())))</f>
        <v/>
      </c>
      <c r="Y202" s="66" t="str">
        <f aca="false">IF(ISBLANK($C202),"",IF(O202=Constants!$B$2, TRUE(), IF(O202=Constants!$B$3, FALSE(), FALSE())))</f>
        <v/>
      </c>
      <c r="Z202" s="66" t="str">
        <f aca="false">IF(ISBLANK($C202),"",AND(S202&lt;&gt;"",Q202))</f>
        <v/>
      </c>
      <c r="AA202" s="66" t="str">
        <f aca="false">IF(ISBLANK($C202),"",AND(V202&lt;&gt;"",Q202))</f>
        <v/>
      </c>
      <c r="AB202" s="66" t="str">
        <f aca="false">IF(ISBLANK($C202),"",IF(Y202,Constants!$B$4,IF(COUNTA(E202:N202)=0,Constants!$B$5,IF(NOT(Q202),Constants!$B$6,IF(AND(NOT(Z202),NOT(AA202)),Constants!$B$6,Constants!$B$7)))))</f>
        <v/>
      </c>
      <c r="AC202" s="66" t="str">
        <f aca="false">IF(ISBLANK($C202),"",IF($AB202&lt;&gt;Constants!$B$7,$AB202,Constants!$B$20))</f>
        <v/>
      </c>
      <c r="AD202" s="66" t="str">
        <f aca="false">IF($AB202=Constants!$B$7,IF(Z202,S202,Constants!$B$13),"")</f>
        <v/>
      </c>
      <c r="AE202" s="66" t="str">
        <f aca="false">IF($AB202=Constants!$B$7,IF(Z202,R202*IF(T202, 1, Constants!$B$11)*IF(U202, 1, Constants!$B$12),Constants!$B$13),"")</f>
        <v/>
      </c>
      <c r="AF202" s="66" t="str">
        <f aca="false">IF($AB202=Constants!$B$7,AD202*AE202,"")</f>
        <v/>
      </c>
      <c r="AG202" s="66" t="str">
        <f aca="false">IF($AB202=Constants!$B$7,IF(AA202,V202,Constants!$B$13),"")</f>
        <v/>
      </c>
      <c r="AH202" s="66" t="str">
        <f aca="false">IF($AB202=Constants!$B$7,IF(AA202,R202*IF(W202, 1, Constants!$B$11)*IF(X202, 1, Constants!$B$12),Constants!$B$13),"")</f>
        <v/>
      </c>
      <c r="AI202" s="66" t="str">
        <f aca="false">IF($AB202=Constants!$B$7,AG202*AH202,"")</f>
        <v/>
      </c>
      <c r="AJ202" s="66" t="str">
        <f aca="false">IF($AB202=Constants!$B$7,IF(AI202&gt;AF202,2,1),"")</f>
        <v/>
      </c>
      <c r="AK202" s="66" t="str">
        <f aca="false">IF($AB202=Constants!$B$7,IF(AJ202=1,2,1),"")</f>
        <v/>
      </c>
      <c r="AL202" s="66" t="str">
        <f aca="false">IF(ISBLANK($C202),"",IF($AB202&lt;&gt;Constants!$B$7,$AB202,IF(AJ202=1,AF202,AI202)))</f>
        <v/>
      </c>
      <c r="AM202" s="66" t="str">
        <f aca="false">IF(ISBLANK($C202),"",IF($AB202=Constants!$B$7,IF(ISNUMBER(AL202),RANK(AL202,$AL$8:$AL$507),Constants!$B$14),$AB202))</f>
        <v/>
      </c>
      <c r="AN202" s="66" t="str">
        <f aca="false">IF(ISBLANK($C202),"",IF($AB202=Constants!$B$7,IF(AK202=1,AF202,AI202),""))</f>
        <v/>
      </c>
      <c r="AO202" s="66" t="str">
        <f aca="false">IF(ISBLANK($C202),"",IF($AB202=Constants!$B$7,RANK(AN202,$AN$8:$AN$507),$AB202))</f>
        <v/>
      </c>
      <c r="AP202" s="66" t="str">
        <f aca="false">IF(ISBLANK($C202),"",IF($AB202=Constants!$B$7,IF(ISNUMBER(AM202),COUNTIFS($AM$8:$AM$507,"&lt;"&amp;$AM202)+COUNTIFS($AM$8:$AM$507,$AM202,$AO$8:$AO$507,"&lt;"&amp;$AO202)+1,Constants!$B$14),$AB202))</f>
        <v/>
      </c>
      <c r="AQ202" s="66" t="str">
        <f aca="false">IF(ISBLANK($C202),"",IF($AB202=Constants!$B$7,IF(ISNUMBER(AM202),AM202-AP202,Constants!$B$14),$AB202))</f>
        <v/>
      </c>
      <c r="AR202" s="68"/>
      <c r="AS202" s="69" t="str">
        <f aca="false">IF(ISBLANK($C202),"",IF($AB202&lt;&gt;Constants!$B$7,"",AJ202))</f>
        <v/>
      </c>
      <c r="AT202" s="84" t="str">
        <f aca="false">IF(ISBLANK($C202),"",IF($AB202&lt;&gt;Constants!$B$7,"",IF(AJ202=1,AD202,AG202)))</f>
        <v/>
      </c>
      <c r="AU202" s="71" t="str">
        <f aca="false">IF(ISBLANK($C202),"",IF($AB202&lt;&gt;Constants!$B$7,"",IF(AJ202=1,AE202,AH202)))</f>
        <v/>
      </c>
      <c r="AV202" s="72" t="str">
        <f aca="false">IF(ISBLANK($C202),"",IF($AB202&lt;&gt;Constants!$B$7,$AB202,AL202))</f>
        <v/>
      </c>
      <c r="AW202" s="73" t="str">
        <f aca="false">IF(ISBLANK($C202),"",IF($AB202&lt;&gt;Constants!$B$7,$AB202,AC202))</f>
        <v/>
      </c>
      <c r="AX202" s="74" t="str">
        <f aca="false">IF(ISBLANK($C202),"",AQ202)</f>
        <v/>
      </c>
      <c r="AY202" s="74" t="str">
        <f aca="false">IF(ISBLANK($C202),"",AP202)</f>
        <v/>
      </c>
      <c r="AZ202" s="75" t="str">
        <f aca="false">IF(ISBLANK($C202),"",IF(AY202=Constants!$B$4,COUNTA($C$8:$C$507)+2,IF(AY202=Constants!$B$5,COUNTA($C$8:$C$507)+1,IF(AY202=Constants!$B$6,COUNTA($C$8:$C$507),AY202))))</f>
        <v/>
      </c>
      <c r="BA202" s="5"/>
      <c r="BB202" s="76" t="n">
        <f aca="false">IF(OR(ISNUMBER(AY202),AY202=Constants!$B$4,AY202=Constants!$B$6,AY202=Constants!$B$5),1,0)</f>
        <v>0</v>
      </c>
      <c r="BC202" s="76" t="n">
        <v>195</v>
      </c>
      <c r="BD202" s="76" t="str">
        <f aca="false">IF(ISBLANK($C202),"",IF(ISNUMBER(AZ202),AZ202+ROW($B202)/1000,""))</f>
        <v/>
      </c>
      <c r="BE202" s="76" t="str">
        <f aca="false">IF(ISNUMBER(BD202),RANK(BD202,$BD$8:$BD$507,1),"")</f>
        <v/>
      </c>
      <c r="BF202" s="76" t="str">
        <f aca="false">IF(ISBLANK($C202),"",$B202)</f>
        <v/>
      </c>
      <c r="BG202" s="76" t="str">
        <f aca="false">IF(ISBLANK($C202),"",$C202)</f>
        <v/>
      </c>
      <c r="BH202" s="76" t="str">
        <f aca="false">IF(ISBLANK($C202),"",$D202)</f>
        <v/>
      </c>
      <c r="BI202" s="77" t="str">
        <f aca="false">AW202</f>
        <v/>
      </c>
      <c r="BJ202" s="78" t="str">
        <f aca="false">AV202</f>
        <v/>
      </c>
      <c r="BK202" s="76" t="str">
        <f aca="false">IF(ISBLANK($C202),"",AY202)</f>
        <v/>
      </c>
      <c r="BL202" s="79" t="str">
        <f aca="false">IF($BC202&gt;$BB$7,"",VLOOKUP($BC202,$BE$8:$BK$507,7,FALSE()))</f>
        <v/>
      </c>
      <c r="BM202" s="80" t="str">
        <f aca="false">IF($BC202&gt;$BB$7,"",VLOOKUP($BC202,$BE$8:$BK$507,2,FALSE()))</f>
        <v/>
      </c>
      <c r="BN202" s="80" t="str">
        <f aca="false">IF($BC202&gt;$BB$7,"",VLOOKUP($BC202,$BE$8:$BK$507,3,FALSE()))</f>
        <v/>
      </c>
      <c r="BO202" s="80" t="str">
        <f aca="false">IF($BC202&gt;$BB$7,"",VLOOKUP($BC202,$BE$8:$BK$507,4,FALSE()))</f>
        <v/>
      </c>
      <c r="BP202" s="80" t="str">
        <f aca="false">IF($BC202&gt;$BB$7,"",VLOOKUP($BC202,$BE$8:$BK$507,5,FALSE()))</f>
        <v/>
      </c>
      <c r="BQ202" s="81" t="str">
        <f aca="false">IF($BC202&gt;$BB$7,"",VLOOKUP($BC202,$BE$8:$BK$507,6,FALSE()))</f>
        <v/>
      </c>
      <c r="BR202" s="54"/>
    </row>
    <row r="203" customFormat="false" ht="15.75" hidden="false" customHeight="false" outlineLevel="0" collapsed="false">
      <c r="A203" s="5"/>
      <c r="B203" s="120"/>
      <c r="C203" s="121"/>
      <c r="D203" s="112"/>
      <c r="E203" s="123"/>
      <c r="F203" s="91"/>
      <c r="G203" s="92"/>
      <c r="H203" s="93"/>
      <c r="I203" s="94"/>
      <c r="J203" s="91"/>
      <c r="K203" s="92"/>
      <c r="L203" s="93"/>
      <c r="M203" s="94"/>
      <c r="N203" s="91"/>
      <c r="O203" s="123"/>
      <c r="P203" s="96"/>
      <c r="Q203" s="97" t="str">
        <f aca="false">IF(ISBLANK($C203),"",IF(E203=Constants!$B$2, TRUE(), IF(E203=Constants!$B$3, FALSE(), TRUE())))</f>
        <v/>
      </c>
      <c r="R203" s="97" t="str">
        <f aca="false">IF(ISBLANK($C203),"",IF(F203=Constants!$B$16,Constants!$B$9,IF(F203=Constants!$B$17,Constants!$B$10,Constants!$B$8)))</f>
        <v/>
      </c>
      <c r="S203" s="97" t="str">
        <f aca="false">IF(ISBLANK($C203),"",IF(COUNTA(G203:H203)=0,"",IF(AND(OR(ISBLANK(G203),AND(ISNUMBER(G203),G203&gt;=0)),OR(ISBLANK(H203),AND(ISNUMBER(H203),H203&gt;=0))),60*IF(ISBLANK(G203),0,G203)+IF(ISBLANK(H203),0,H203),"")))</f>
        <v/>
      </c>
      <c r="T203" s="97" t="str">
        <f aca="false">IF(ISBLANK($C203),"",IF(I203=Constants!$B$2, TRUE(), IF(I203=Constants!$B$3, FALSE(), TRUE())))</f>
        <v/>
      </c>
      <c r="U203" s="97" t="str">
        <f aca="false">IF(ISBLANK($C203),"",IF(J203=Constants!$B$2, TRUE(), IF(J203=Constants!$B$3, FALSE(), TRUE())))</f>
        <v/>
      </c>
      <c r="V203" s="97" t="str">
        <f aca="false">IF(ISBLANK($C203),"",IF(COUNTA(K203:L203)=0,"",IF(AND(OR(ISBLANK(K203),AND(ISNUMBER(K203),K203&gt;=0)),OR(ISBLANK(L203),AND(ISNUMBER(L203),L203&gt;=0))),60*IF(ISBLANK(K203),0,K203)+IF(ISBLANK(L203),0,L203),"")))</f>
        <v/>
      </c>
      <c r="W203" s="97" t="str">
        <f aca="false">IF(ISBLANK($C203),"",IF(M203=Constants!$B$2, TRUE(), IF(M203=Constants!$B$3, FALSE(), TRUE())))</f>
        <v/>
      </c>
      <c r="X203" s="97" t="str">
        <f aca="false">IF(ISBLANK($C203),"",IF(N203=Constants!$B$2, TRUE(), IF(N203=Constants!$B$3, FALSE(), TRUE())))</f>
        <v/>
      </c>
      <c r="Y203" s="97" t="str">
        <f aca="false">IF(ISBLANK($C203),"",IF(O203=Constants!$B$2, TRUE(), IF(O203=Constants!$B$3, FALSE(), FALSE())))</f>
        <v/>
      </c>
      <c r="Z203" s="97" t="str">
        <f aca="false">IF(ISBLANK($C203),"",AND(S203&lt;&gt;"",Q203))</f>
        <v/>
      </c>
      <c r="AA203" s="97" t="str">
        <f aca="false">IF(ISBLANK($C203),"",AND(V203&lt;&gt;"",Q203))</f>
        <v/>
      </c>
      <c r="AB203" s="97" t="str">
        <f aca="false">IF(ISBLANK($C203),"",IF(Y203,Constants!$B$4,IF(COUNTA(E203:N203)=0,Constants!$B$5,IF(NOT(Q203),Constants!$B$6,IF(AND(NOT(Z203),NOT(AA203)),Constants!$B$6,Constants!$B$7)))))</f>
        <v/>
      </c>
      <c r="AC203" s="97" t="str">
        <f aca="false">IF(ISBLANK($C203),"",IF($AB203&lt;&gt;Constants!$B$7,$AB203,Constants!$B$20))</f>
        <v/>
      </c>
      <c r="AD203" s="97" t="str">
        <f aca="false">IF($AB203=Constants!$B$7,IF(Z203,S203,Constants!$B$13),"")</f>
        <v/>
      </c>
      <c r="AE203" s="97" t="str">
        <f aca="false">IF($AB203=Constants!$B$7,IF(Z203,R203*IF(T203, 1, Constants!$B$11)*IF(U203, 1, Constants!$B$12),Constants!$B$13),"")</f>
        <v/>
      </c>
      <c r="AF203" s="97" t="str">
        <f aca="false">IF($AB203=Constants!$B$7,AD203*AE203,"")</f>
        <v/>
      </c>
      <c r="AG203" s="97" t="str">
        <f aca="false">IF($AB203=Constants!$B$7,IF(AA203,V203,Constants!$B$13),"")</f>
        <v/>
      </c>
      <c r="AH203" s="97" t="str">
        <f aca="false">IF($AB203=Constants!$B$7,IF(AA203,R203*IF(W203, 1, Constants!$B$11)*IF(X203, 1, Constants!$B$12),Constants!$B$13),"")</f>
        <v/>
      </c>
      <c r="AI203" s="97" t="str">
        <f aca="false">IF($AB203=Constants!$B$7,AG203*AH203,"")</f>
        <v/>
      </c>
      <c r="AJ203" s="97" t="str">
        <f aca="false">IF($AB203=Constants!$B$7,IF(AI203&gt;AF203,2,1),"")</f>
        <v/>
      </c>
      <c r="AK203" s="97" t="str">
        <f aca="false">IF($AB203=Constants!$B$7,IF(AJ203=1,2,1),"")</f>
        <v/>
      </c>
      <c r="AL203" s="97" t="str">
        <f aca="false">IF(ISBLANK($C203),"",IF($AB203&lt;&gt;Constants!$B$7,$AB203,IF(AJ203=1,AF203,AI203)))</f>
        <v/>
      </c>
      <c r="AM203" s="97" t="str">
        <f aca="false">IF(ISBLANK($C203),"",IF($AB203=Constants!$B$7,IF(ISNUMBER(AL203),RANK(AL203,$AL$8:$AL$507),Constants!$B$14),$AB203))</f>
        <v/>
      </c>
      <c r="AN203" s="97" t="str">
        <f aca="false">IF(ISBLANK($C203),"",IF($AB203=Constants!$B$7,IF(AK203=1,AF203,AI203),""))</f>
        <v/>
      </c>
      <c r="AO203" s="97" t="str">
        <f aca="false">IF(ISBLANK($C203),"",IF($AB203=Constants!$B$7,RANK(AN203,$AN$8:$AN$507),$AB203))</f>
        <v/>
      </c>
      <c r="AP203" s="97" t="str">
        <f aca="false">IF(ISBLANK($C203),"",IF($AB203=Constants!$B$7,IF(ISNUMBER(AM203),COUNTIFS($AM$8:$AM$507,"&lt;"&amp;$AM203)+COUNTIFS($AM$8:$AM$507,$AM203,$AO$8:$AO$507,"&lt;"&amp;$AO203)+1,Constants!$B$14),$AB203))</f>
        <v/>
      </c>
      <c r="AQ203" s="97" t="str">
        <f aca="false">IF(ISBLANK($C203),"",IF($AB203=Constants!$B$7,IF(ISNUMBER(AM203),AM203-AP203,Constants!$B$14),$AB203))</f>
        <v/>
      </c>
      <c r="AR203" s="98"/>
      <c r="AS203" s="99" t="str">
        <f aca="false">IF(ISBLANK($C203),"",IF($AB203&lt;&gt;Constants!$B$7,"",AJ203))</f>
        <v/>
      </c>
      <c r="AT203" s="100" t="str">
        <f aca="false">IF(ISBLANK($C203),"",IF($AB203&lt;&gt;Constants!$B$7,"",IF(AJ203=1,AD203,AG203)))</f>
        <v/>
      </c>
      <c r="AU203" s="101" t="str">
        <f aca="false">IF(ISBLANK($C203),"",IF($AB203&lt;&gt;Constants!$B$7,"",IF(AJ203=1,AE203,AH203)))</f>
        <v/>
      </c>
      <c r="AV203" s="102" t="str">
        <f aca="false">IF(ISBLANK($C203),"",IF($AB203&lt;&gt;Constants!$B$7,$AB203,AL203))</f>
        <v/>
      </c>
      <c r="AW203" s="103" t="str">
        <f aca="false">IF(ISBLANK($C203),"",IF($AB203&lt;&gt;Constants!$B$7,$AB203,AC203))</f>
        <v/>
      </c>
      <c r="AX203" s="104" t="str">
        <f aca="false">IF(ISBLANK($C203),"",AQ203)</f>
        <v/>
      </c>
      <c r="AY203" s="104" t="str">
        <f aca="false">IF(ISBLANK($C203),"",AP203)</f>
        <v/>
      </c>
      <c r="AZ203" s="105" t="str">
        <f aca="false">IF(ISBLANK($C203),"",IF(AY203=Constants!$B$4,COUNTA($C$8:$C$507)+2,IF(AY203=Constants!$B$5,COUNTA($C$8:$C$507)+1,IF(AY203=Constants!$B$6,COUNTA($C$8:$C$507),AY203))))</f>
        <v/>
      </c>
      <c r="BA203" s="5"/>
      <c r="BB203" s="106" t="n">
        <f aca="false">IF(OR(ISNUMBER(AY203),AY203=Constants!$B$4,AY203=Constants!$B$6,AY203=Constants!$B$5),1,0)</f>
        <v>0</v>
      </c>
      <c r="BC203" s="106" t="n">
        <v>196</v>
      </c>
      <c r="BD203" s="106" t="str">
        <f aca="false">IF(ISBLANK($C203),"",IF(ISNUMBER(AZ203),AZ203+ROW($B203)/1000,""))</f>
        <v/>
      </c>
      <c r="BE203" s="106" t="str">
        <f aca="false">IF(ISNUMBER(BD203),RANK(BD203,$BD$8:$BD$507,1),"")</f>
        <v/>
      </c>
      <c r="BF203" s="106" t="str">
        <f aca="false">IF(ISBLANK($C203),"",$B203)</f>
        <v/>
      </c>
      <c r="BG203" s="106" t="str">
        <f aca="false">IF(ISBLANK($C203),"",$C203)</f>
        <v/>
      </c>
      <c r="BH203" s="106" t="str">
        <f aca="false">IF(ISBLANK($C203),"",$D203)</f>
        <v/>
      </c>
      <c r="BI203" s="107" t="str">
        <f aca="false">AW203</f>
        <v/>
      </c>
      <c r="BJ203" s="108" t="str">
        <f aca="false">AV203</f>
        <v/>
      </c>
      <c r="BK203" s="106" t="str">
        <f aca="false">IF(ISBLANK($C203),"",AY203)</f>
        <v/>
      </c>
      <c r="BL203" s="109" t="str">
        <f aca="false">IF($BC203&gt;$BB$7,"",VLOOKUP($BC203,$BE$8:$BK$507,7,FALSE()))</f>
        <v/>
      </c>
      <c r="BM203" s="110" t="str">
        <f aca="false">IF($BC203&gt;$BB$7,"",VLOOKUP($BC203,$BE$8:$BK$507,2,FALSE()))</f>
        <v/>
      </c>
      <c r="BN203" s="110" t="str">
        <f aca="false">IF($BC203&gt;$BB$7,"",VLOOKUP($BC203,$BE$8:$BK$507,3,FALSE()))</f>
        <v/>
      </c>
      <c r="BO203" s="110" t="str">
        <f aca="false">IF($BC203&gt;$BB$7,"",VLOOKUP($BC203,$BE$8:$BK$507,4,FALSE()))</f>
        <v/>
      </c>
      <c r="BP203" s="110" t="str">
        <f aca="false">IF($BC203&gt;$BB$7,"",VLOOKUP($BC203,$BE$8:$BK$507,5,FALSE()))</f>
        <v/>
      </c>
      <c r="BQ203" s="111" t="str">
        <f aca="false">IF($BC203&gt;$BB$7,"",VLOOKUP($BC203,$BE$8:$BK$507,6,FALSE()))</f>
        <v/>
      </c>
      <c r="BR203" s="54"/>
    </row>
    <row r="204" customFormat="false" ht="15.75" hidden="false" customHeight="false" outlineLevel="0" collapsed="false">
      <c r="A204" s="5"/>
      <c r="B204" s="120"/>
      <c r="C204" s="121"/>
      <c r="D204" s="112"/>
      <c r="E204" s="123"/>
      <c r="F204" s="91"/>
      <c r="G204" s="92"/>
      <c r="H204" s="93"/>
      <c r="I204" s="94"/>
      <c r="J204" s="91"/>
      <c r="K204" s="92"/>
      <c r="L204" s="93"/>
      <c r="M204" s="94"/>
      <c r="N204" s="91"/>
      <c r="O204" s="123"/>
      <c r="P204" s="96"/>
      <c r="Q204" s="97" t="str">
        <f aca="false">IF(ISBLANK($C204),"",IF(E204=Constants!$B$2, TRUE(), IF(E204=Constants!$B$3, FALSE(), TRUE())))</f>
        <v/>
      </c>
      <c r="R204" s="97" t="str">
        <f aca="false">IF(ISBLANK($C204),"",IF(F204=Constants!$B$16,Constants!$B$9,IF(F204=Constants!$B$17,Constants!$B$10,Constants!$B$8)))</f>
        <v/>
      </c>
      <c r="S204" s="97" t="str">
        <f aca="false">IF(ISBLANK($C204),"",IF(COUNTA(G204:H204)=0,"",IF(AND(OR(ISBLANK(G204),AND(ISNUMBER(G204),G204&gt;=0)),OR(ISBLANK(H204),AND(ISNUMBER(H204),H204&gt;=0))),60*IF(ISBLANK(G204),0,G204)+IF(ISBLANK(H204),0,H204),"")))</f>
        <v/>
      </c>
      <c r="T204" s="97" t="str">
        <f aca="false">IF(ISBLANK($C204),"",IF(I204=Constants!$B$2, TRUE(), IF(I204=Constants!$B$3, FALSE(), TRUE())))</f>
        <v/>
      </c>
      <c r="U204" s="97" t="str">
        <f aca="false">IF(ISBLANK($C204),"",IF(J204=Constants!$B$2, TRUE(), IF(J204=Constants!$B$3, FALSE(), TRUE())))</f>
        <v/>
      </c>
      <c r="V204" s="97" t="str">
        <f aca="false">IF(ISBLANK($C204),"",IF(COUNTA(K204:L204)=0,"",IF(AND(OR(ISBLANK(K204),AND(ISNUMBER(K204),K204&gt;=0)),OR(ISBLANK(L204),AND(ISNUMBER(L204),L204&gt;=0))),60*IF(ISBLANK(K204),0,K204)+IF(ISBLANK(L204),0,L204),"")))</f>
        <v/>
      </c>
      <c r="W204" s="97" t="str">
        <f aca="false">IF(ISBLANK($C204),"",IF(M204=Constants!$B$2, TRUE(), IF(M204=Constants!$B$3, FALSE(), TRUE())))</f>
        <v/>
      </c>
      <c r="X204" s="97" t="str">
        <f aca="false">IF(ISBLANK($C204),"",IF(N204=Constants!$B$2, TRUE(), IF(N204=Constants!$B$3, FALSE(), TRUE())))</f>
        <v/>
      </c>
      <c r="Y204" s="97" t="str">
        <f aca="false">IF(ISBLANK($C204),"",IF(O204=Constants!$B$2, TRUE(), IF(O204=Constants!$B$3, FALSE(), FALSE())))</f>
        <v/>
      </c>
      <c r="Z204" s="97" t="str">
        <f aca="false">IF(ISBLANK($C204),"",AND(S204&lt;&gt;"",Q204))</f>
        <v/>
      </c>
      <c r="AA204" s="97" t="str">
        <f aca="false">IF(ISBLANK($C204),"",AND(V204&lt;&gt;"",Q204))</f>
        <v/>
      </c>
      <c r="AB204" s="97" t="str">
        <f aca="false">IF(ISBLANK($C204),"",IF(Y204,Constants!$B$4,IF(COUNTA(E204:N204)=0,Constants!$B$5,IF(NOT(Q204),Constants!$B$6,IF(AND(NOT(Z204),NOT(AA204)),Constants!$B$6,Constants!$B$7)))))</f>
        <v/>
      </c>
      <c r="AC204" s="97" t="str">
        <f aca="false">IF(ISBLANK($C204),"",IF($AB204&lt;&gt;Constants!$B$7,$AB204,Constants!$B$20))</f>
        <v/>
      </c>
      <c r="AD204" s="97" t="str">
        <f aca="false">IF($AB204=Constants!$B$7,IF(Z204,S204,Constants!$B$13),"")</f>
        <v/>
      </c>
      <c r="AE204" s="97" t="str">
        <f aca="false">IF($AB204=Constants!$B$7,IF(Z204,R204*IF(T204, 1, Constants!$B$11)*IF(U204, 1, Constants!$B$12),Constants!$B$13),"")</f>
        <v/>
      </c>
      <c r="AF204" s="97" t="str">
        <f aca="false">IF($AB204=Constants!$B$7,AD204*AE204,"")</f>
        <v/>
      </c>
      <c r="AG204" s="97" t="str">
        <f aca="false">IF($AB204=Constants!$B$7,IF(AA204,V204,Constants!$B$13),"")</f>
        <v/>
      </c>
      <c r="AH204" s="97" t="str">
        <f aca="false">IF($AB204=Constants!$B$7,IF(AA204,R204*IF(W204, 1, Constants!$B$11)*IF(X204, 1, Constants!$B$12),Constants!$B$13),"")</f>
        <v/>
      </c>
      <c r="AI204" s="97" t="str">
        <f aca="false">IF($AB204=Constants!$B$7,AG204*AH204,"")</f>
        <v/>
      </c>
      <c r="AJ204" s="97" t="str">
        <f aca="false">IF($AB204=Constants!$B$7,IF(AI204&gt;AF204,2,1),"")</f>
        <v/>
      </c>
      <c r="AK204" s="97" t="str">
        <f aca="false">IF($AB204=Constants!$B$7,IF(AJ204=1,2,1),"")</f>
        <v/>
      </c>
      <c r="AL204" s="97" t="str">
        <f aca="false">IF(ISBLANK($C204),"",IF($AB204&lt;&gt;Constants!$B$7,$AB204,IF(AJ204=1,AF204,AI204)))</f>
        <v/>
      </c>
      <c r="AM204" s="97" t="str">
        <f aca="false">IF(ISBLANK($C204),"",IF($AB204=Constants!$B$7,IF(ISNUMBER(AL204),RANK(AL204,$AL$8:$AL$507),Constants!$B$14),$AB204))</f>
        <v/>
      </c>
      <c r="AN204" s="97" t="str">
        <f aca="false">IF(ISBLANK($C204),"",IF($AB204=Constants!$B$7,IF(AK204=1,AF204,AI204),""))</f>
        <v/>
      </c>
      <c r="AO204" s="97" t="str">
        <f aca="false">IF(ISBLANK($C204),"",IF($AB204=Constants!$B$7,RANK(AN204,$AN$8:$AN$507),$AB204))</f>
        <v/>
      </c>
      <c r="AP204" s="97" t="str">
        <f aca="false">IF(ISBLANK($C204),"",IF($AB204=Constants!$B$7,IF(ISNUMBER(AM204),COUNTIFS($AM$8:$AM$507,"&lt;"&amp;$AM204)+COUNTIFS($AM$8:$AM$507,$AM204,$AO$8:$AO$507,"&lt;"&amp;$AO204)+1,Constants!$B$14),$AB204))</f>
        <v/>
      </c>
      <c r="AQ204" s="97" t="str">
        <f aca="false">IF(ISBLANK($C204),"",IF($AB204=Constants!$B$7,IF(ISNUMBER(AM204),AM204-AP204,Constants!$B$14),$AB204))</f>
        <v/>
      </c>
      <c r="AR204" s="98"/>
      <c r="AS204" s="99" t="str">
        <f aca="false">IF(ISBLANK($C204),"",IF($AB204&lt;&gt;Constants!$B$7,"",AJ204))</f>
        <v/>
      </c>
      <c r="AT204" s="100" t="str">
        <f aca="false">IF(ISBLANK($C204),"",IF($AB204&lt;&gt;Constants!$B$7,"",IF(AJ204=1,AD204,AG204)))</f>
        <v/>
      </c>
      <c r="AU204" s="101" t="str">
        <f aca="false">IF(ISBLANK($C204),"",IF($AB204&lt;&gt;Constants!$B$7,"",IF(AJ204=1,AE204,AH204)))</f>
        <v/>
      </c>
      <c r="AV204" s="102" t="str">
        <f aca="false">IF(ISBLANK($C204),"",IF($AB204&lt;&gt;Constants!$B$7,$AB204,AL204))</f>
        <v/>
      </c>
      <c r="AW204" s="103" t="str">
        <f aca="false">IF(ISBLANK($C204),"",IF($AB204&lt;&gt;Constants!$B$7,$AB204,AC204))</f>
        <v/>
      </c>
      <c r="AX204" s="104" t="str">
        <f aca="false">IF(ISBLANK($C204),"",AQ204)</f>
        <v/>
      </c>
      <c r="AY204" s="104" t="str">
        <f aca="false">IF(ISBLANK($C204),"",AP204)</f>
        <v/>
      </c>
      <c r="AZ204" s="105" t="str">
        <f aca="false">IF(ISBLANK($C204),"",IF(AY204=Constants!$B$4,COUNTA($C$8:$C$507)+2,IF(AY204=Constants!$B$5,COUNTA($C$8:$C$507)+1,IF(AY204=Constants!$B$6,COUNTA($C$8:$C$507),AY204))))</f>
        <v/>
      </c>
      <c r="BA204" s="5"/>
      <c r="BB204" s="106" t="n">
        <f aca="false">IF(OR(ISNUMBER(AY204),AY204=Constants!$B$4,AY204=Constants!$B$6,AY204=Constants!$B$5),1,0)</f>
        <v>0</v>
      </c>
      <c r="BC204" s="106" t="n">
        <v>197</v>
      </c>
      <c r="BD204" s="106" t="str">
        <f aca="false">IF(ISBLANK($C204),"",IF(ISNUMBER(AZ204),AZ204+ROW($B204)/1000,""))</f>
        <v/>
      </c>
      <c r="BE204" s="106" t="str">
        <f aca="false">IF(ISNUMBER(BD204),RANK(BD204,$BD$8:$BD$507,1),"")</f>
        <v/>
      </c>
      <c r="BF204" s="106" t="str">
        <f aca="false">IF(ISBLANK($C204),"",$B204)</f>
        <v/>
      </c>
      <c r="BG204" s="106" t="str">
        <f aca="false">IF(ISBLANK($C204),"",$C204)</f>
        <v/>
      </c>
      <c r="BH204" s="106" t="str">
        <f aca="false">IF(ISBLANK($C204),"",$D204)</f>
        <v/>
      </c>
      <c r="BI204" s="107" t="str">
        <f aca="false">AW204</f>
        <v/>
      </c>
      <c r="BJ204" s="108" t="str">
        <f aca="false">AV204</f>
        <v/>
      </c>
      <c r="BK204" s="106" t="str">
        <f aca="false">IF(ISBLANK($C204),"",AY204)</f>
        <v/>
      </c>
      <c r="BL204" s="109" t="str">
        <f aca="false">IF($BC204&gt;$BB$7,"",VLOOKUP($BC204,$BE$8:$BK$507,7,FALSE()))</f>
        <v/>
      </c>
      <c r="BM204" s="110" t="str">
        <f aca="false">IF($BC204&gt;$BB$7,"",VLOOKUP($BC204,$BE$8:$BK$507,2,FALSE()))</f>
        <v/>
      </c>
      <c r="BN204" s="110" t="str">
        <f aca="false">IF($BC204&gt;$BB$7,"",VLOOKUP($BC204,$BE$8:$BK$507,3,FALSE()))</f>
        <v/>
      </c>
      <c r="BO204" s="110" t="str">
        <f aca="false">IF($BC204&gt;$BB$7,"",VLOOKUP($BC204,$BE$8:$BK$507,4,FALSE()))</f>
        <v/>
      </c>
      <c r="BP204" s="110" t="str">
        <f aca="false">IF($BC204&gt;$BB$7,"",VLOOKUP($BC204,$BE$8:$BK$507,5,FALSE()))</f>
        <v/>
      </c>
      <c r="BQ204" s="111" t="str">
        <f aca="false">IF($BC204&gt;$BB$7,"",VLOOKUP($BC204,$BE$8:$BK$507,6,FALSE()))</f>
        <v/>
      </c>
      <c r="BR204" s="54"/>
    </row>
    <row r="205" customFormat="false" ht="15.75" hidden="false" customHeight="false" outlineLevel="0" collapsed="false">
      <c r="A205" s="5"/>
      <c r="B205" s="120"/>
      <c r="C205" s="121"/>
      <c r="D205" s="112"/>
      <c r="E205" s="123"/>
      <c r="F205" s="91"/>
      <c r="G205" s="92"/>
      <c r="H205" s="93"/>
      <c r="I205" s="94"/>
      <c r="J205" s="91"/>
      <c r="K205" s="92"/>
      <c r="L205" s="93"/>
      <c r="M205" s="94"/>
      <c r="N205" s="91"/>
      <c r="O205" s="123"/>
      <c r="P205" s="96"/>
      <c r="Q205" s="97" t="str">
        <f aca="false">IF(ISBLANK($C205),"",IF(E205=Constants!$B$2, TRUE(), IF(E205=Constants!$B$3, FALSE(), TRUE())))</f>
        <v/>
      </c>
      <c r="R205" s="97" t="str">
        <f aca="false">IF(ISBLANK($C205),"",IF(F205=Constants!$B$16,Constants!$B$9,IF(F205=Constants!$B$17,Constants!$B$10,Constants!$B$8)))</f>
        <v/>
      </c>
      <c r="S205" s="97" t="str">
        <f aca="false">IF(ISBLANK($C205),"",IF(COUNTA(G205:H205)=0,"",IF(AND(OR(ISBLANK(G205),AND(ISNUMBER(G205),G205&gt;=0)),OR(ISBLANK(H205),AND(ISNUMBER(H205),H205&gt;=0))),60*IF(ISBLANK(G205),0,G205)+IF(ISBLANK(H205),0,H205),"")))</f>
        <v/>
      </c>
      <c r="T205" s="97" t="str">
        <f aca="false">IF(ISBLANK($C205),"",IF(I205=Constants!$B$2, TRUE(), IF(I205=Constants!$B$3, FALSE(), TRUE())))</f>
        <v/>
      </c>
      <c r="U205" s="97" t="str">
        <f aca="false">IF(ISBLANK($C205),"",IF(J205=Constants!$B$2, TRUE(), IF(J205=Constants!$B$3, FALSE(), TRUE())))</f>
        <v/>
      </c>
      <c r="V205" s="97" t="str">
        <f aca="false">IF(ISBLANK($C205),"",IF(COUNTA(K205:L205)=0,"",IF(AND(OR(ISBLANK(K205),AND(ISNUMBER(K205),K205&gt;=0)),OR(ISBLANK(L205),AND(ISNUMBER(L205),L205&gt;=0))),60*IF(ISBLANK(K205),0,K205)+IF(ISBLANK(L205),0,L205),"")))</f>
        <v/>
      </c>
      <c r="W205" s="97" t="str">
        <f aca="false">IF(ISBLANK($C205),"",IF(M205=Constants!$B$2, TRUE(), IF(M205=Constants!$B$3, FALSE(), TRUE())))</f>
        <v/>
      </c>
      <c r="X205" s="97" t="str">
        <f aca="false">IF(ISBLANK($C205),"",IF(N205=Constants!$B$2, TRUE(), IF(N205=Constants!$B$3, FALSE(), TRUE())))</f>
        <v/>
      </c>
      <c r="Y205" s="97" t="str">
        <f aca="false">IF(ISBLANK($C205),"",IF(O205=Constants!$B$2, TRUE(), IF(O205=Constants!$B$3, FALSE(), FALSE())))</f>
        <v/>
      </c>
      <c r="Z205" s="97" t="str">
        <f aca="false">IF(ISBLANK($C205),"",AND(S205&lt;&gt;"",Q205))</f>
        <v/>
      </c>
      <c r="AA205" s="97" t="str">
        <f aca="false">IF(ISBLANK($C205),"",AND(V205&lt;&gt;"",Q205))</f>
        <v/>
      </c>
      <c r="AB205" s="97" t="str">
        <f aca="false">IF(ISBLANK($C205),"",IF(Y205,Constants!$B$4,IF(COUNTA(E205:N205)=0,Constants!$B$5,IF(NOT(Q205),Constants!$B$6,IF(AND(NOT(Z205),NOT(AA205)),Constants!$B$6,Constants!$B$7)))))</f>
        <v/>
      </c>
      <c r="AC205" s="97" t="str">
        <f aca="false">IF(ISBLANK($C205),"",IF($AB205&lt;&gt;Constants!$B$7,$AB205,Constants!$B$20))</f>
        <v/>
      </c>
      <c r="AD205" s="97" t="str">
        <f aca="false">IF($AB205=Constants!$B$7,IF(Z205,S205,Constants!$B$13),"")</f>
        <v/>
      </c>
      <c r="AE205" s="97" t="str">
        <f aca="false">IF($AB205=Constants!$B$7,IF(Z205,R205*IF(T205, 1, Constants!$B$11)*IF(U205, 1, Constants!$B$12),Constants!$B$13),"")</f>
        <v/>
      </c>
      <c r="AF205" s="97" t="str">
        <f aca="false">IF($AB205=Constants!$B$7,AD205*AE205,"")</f>
        <v/>
      </c>
      <c r="AG205" s="97" t="str">
        <f aca="false">IF($AB205=Constants!$B$7,IF(AA205,V205,Constants!$B$13),"")</f>
        <v/>
      </c>
      <c r="AH205" s="97" t="str">
        <f aca="false">IF($AB205=Constants!$B$7,IF(AA205,R205*IF(W205, 1, Constants!$B$11)*IF(X205, 1, Constants!$B$12),Constants!$B$13),"")</f>
        <v/>
      </c>
      <c r="AI205" s="97" t="str">
        <f aca="false">IF($AB205=Constants!$B$7,AG205*AH205,"")</f>
        <v/>
      </c>
      <c r="AJ205" s="97" t="str">
        <f aca="false">IF($AB205=Constants!$B$7,IF(AI205&gt;AF205,2,1),"")</f>
        <v/>
      </c>
      <c r="AK205" s="97" t="str">
        <f aca="false">IF($AB205=Constants!$B$7,IF(AJ205=1,2,1),"")</f>
        <v/>
      </c>
      <c r="AL205" s="97" t="str">
        <f aca="false">IF(ISBLANK($C205),"",IF($AB205&lt;&gt;Constants!$B$7,$AB205,IF(AJ205=1,AF205,AI205)))</f>
        <v/>
      </c>
      <c r="AM205" s="97" t="str">
        <f aca="false">IF(ISBLANK($C205),"",IF($AB205=Constants!$B$7,IF(ISNUMBER(AL205),RANK(AL205,$AL$8:$AL$507),Constants!$B$14),$AB205))</f>
        <v/>
      </c>
      <c r="AN205" s="97" t="str">
        <f aca="false">IF(ISBLANK($C205),"",IF($AB205=Constants!$B$7,IF(AK205=1,AF205,AI205),""))</f>
        <v/>
      </c>
      <c r="AO205" s="97" t="str">
        <f aca="false">IF(ISBLANK($C205),"",IF($AB205=Constants!$B$7,RANK(AN205,$AN$8:$AN$507),$AB205))</f>
        <v/>
      </c>
      <c r="AP205" s="97" t="str">
        <f aca="false">IF(ISBLANK($C205),"",IF($AB205=Constants!$B$7,IF(ISNUMBER(AM205),COUNTIFS($AM$8:$AM$507,"&lt;"&amp;$AM205)+COUNTIFS($AM$8:$AM$507,$AM205,$AO$8:$AO$507,"&lt;"&amp;$AO205)+1,Constants!$B$14),$AB205))</f>
        <v/>
      </c>
      <c r="AQ205" s="97" t="str">
        <f aca="false">IF(ISBLANK($C205),"",IF($AB205=Constants!$B$7,IF(ISNUMBER(AM205),AM205-AP205,Constants!$B$14),$AB205))</f>
        <v/>
      </c>
      <c r="AR205" s="98"/>
      <c r="AS205" s="99" t="str">
        <f aca="false">IF(ISBLANK($C205),"",IF($AB205&lt;&gt;Constants!$B$7,"",AJ205))</f>
        <v/>
      </c>
      <c r="AT205" s="100" t="str">
        <f aca="false">IF(ISBLANK($C205),"",IF($AB205&lt;&gt;Constants!$B$7,"",IF(AJ205=1,AD205,AG205)))</f>
        <v/>
      </c>
      <c r="AU205" s="101" t="str">
        <f aca="false">IF(ISBLANK($C205),"",IF($AB205&lt;&gt;Constants!$B$7,"",IF(AJ205=1,AE205,AH205)))</f>
        <v/>
      </c>
      <c r="AV205" s="102" t="str">
        <f aca="false">IF(ISBLANK($C205),"",IF($AB205&lt;&gt;Constants!$B$7,$AB205,AL205))</f>
        <v/>
      </c>
      <c r="AW205" s="103" t="str">
        <f aca="false">IF(ISBLANK($C205),"",IF($AB205&lt;&gt;Constants!$B$7,$AB205,AC205))</f>
        <v/>
      </c>
      <c r="AX205" s="104" t="str">
        <f aca="false">IF(ISBLANK($C205),"",AQ205)</f>
        <v/>
      </c>
      <c r="AY205" s="104" t="str">
        <f aca="false">IF(ISBLANK($C205),"",AP205)</f>
        <v/>
      </c>
      <c r="AZ205" s="105" t="str">
        <f aca="false">IF(ISBLANK($C205),"",IF(AY205=Constants!$B$4,COUNTA($C$8:$C$507)+2,IF(AY205=Constants!$B$5,COUNTA($C$8:$C$507)+1,IF(AY205=Constants!$B$6,COUNTA($C$8:$C$507),AY205))))</f>
        <v/>
      </c>
      <c r="BA205" s="5"/>
      <c r="BB205" s="106" t="n">
        <f aca="false">IF(OR(ISNUMBER(AY205),AY205=Constants!$B$4,AY205=Constants!$B$6,AY205=Constants!$B$5),1,0)</f>
        <v>0</v>
      </c>
      <c r="BC205" s="106" t="n">
        <v>198</v>
      </c>
      <c r="BD205" s="106" t="str">
        <f aca="false">IF(ISBLANK($C205),"",IF(ISNUMBER(AZ205),AZ205+ROW($B205)/1000,""))</f>
        <v/>
      </c>
      <c r="BE205" s="106" t="str">
        <f aca="false">IF(ISNUMBER(BD205),RANK(BD205,$BD$8:$BD$507,1),"")</f>
        <v/>
      </c>
      <c r="BF205" s="106" t="str">
        <f aca="false">IF(ISBLANK($C205),"",$B205)</f>
        <v/>
      </c>
      <c r="BG205" s="106" t="str">
        <f aca="false">IF(ISBLANK($C205),"",$C205)</f>
        <v/>
      </c>
      <c r="BH205" s="106" t="str">
        <f aca="false">IF(ISBLANK($C205),"",$D205)</f>
        <v/>
      </c>
      <c r="BI205" s="107" t="str">
        <f aca="false">AW205</f>
        <v/>
      </c>
      <c r="BJ205" s="108" t="str">
        <f aca="false">AV205</f>
        <v/>
      </c>
      <c r="BK205" s="106" t="str">
        <f aca="false">IF(ISBLANK($C205),"",AY205)</f>
        <v/>
      </c>
      <c r="BL205" s="109" t="str">
        <f aca="false">IF($BC205&gt;$BB$7,"",VLOOKUP($BC205,$BE$8:$BK$507,7,FALSE()))</f>
        <v/>
      </c>
      <c r="BM205" s="110" t="str">
        <f aca="false">IF($BC205&gt;$BB$7,"",VLOOKUP($BC205,$BE$8:$BK$507,2,FALSE()))</f>
        <v/>
      </c>
      <c r="BN205" s="110" t="str">
        <f aca="false">IF($BC205&gt;$BB$7,"",VLOOKUP($BC205,$BE$8:$BK$507,3,FALSE()))</f>
        <v/>
      </c>
      <c r="BO205" s="110" t="str">
        <f aca="false">IF($BC205&gt;$BB$7,"",VLOOKUP($BC205,$BE$8:$BK$507,4,FALSE()))</f>
        <v/>
      </c>
      <c r="BP205" s="110" t="str">
        <f aca="false">IF($BC205&gt;$BB$7,"",VLOOKUP($BC205,$BE$8:$BK$507,5,FALSE()))</f>
        <v/>
      </c>
      <c r="BQ205" s="111" t="str">
        <f aca="false">IF($BC205&gt;$BB$7,"",VLOOKUP($BC205,$BE$8:$BK$507,6,FALSE()))</f>
        <v/>
      </c>
      <c r="BR205" s="54"/>
    </row>
    <row r="206" customFormat="false" ht="15.75" hidden="false" customHeight="false" outlineLevel="0" collapsed="false">
      <c r="A206" s="5"/>
      <c r="B206" s="124"/>
      <c r="C206" s="56"/>
      <c r="D206" s="57"/>
      <c r="E206" s="83"/>
      <c r="F206" s="59"/>
      <c r="G206" s="60"/>
      <c r="H206" s="61"/>
      <c r="I206" s="62"/>
      <c r="J206" s="59"/>
      <c r="K206" s="60"/>
      <c r="L206" s="61"/>
      <c r="M206" s="62"/>
      <c r="N206" s="59"/>
      <c r="O206" s="83"/>
      <c r="P206" s="64"/>
      <c r="Q206" s="66" t="str">
        <f aca="false">IF(ISBLANK($C206),"",IF(E206=Constants!$B$2, TRUE(), IF(E206=Constants!$B$3, FALSE(), TRUE())))</f>
        <v/>
      </c>
      <c r="R206" s="66" t="str">
        <f aca="false">IF(ISBLANK($C206),"",IF(F206=Constants!$B$16,Constants!$B$9,IF(F206=Constants!$B$17,Constants!$B$10,Constants!$B$8)))</f>
        <v/>
      </c>
      <c r="S206" s="66" t="str">
        <f aca="false">IF(ISBLANK($C206),"",IF(COUNTA(G206:H206)=0,"",IF(AND(OR(ISBLANK(G206),AND(ISNUMBER(G206),G206&gt;=0)),OR(ISBLANK(H206),AND(ISNUMBER(H206),H206&gt;=0))),60*IF(ISBLANK(G206),0,G206)+IF(ISBLANK(H206),0,H206),"")))</f>
        <v/>
      </c>
      <c r="T206" s="66" t="str">
        <f aca="false">IF(ISBLANK($C206),"",IF(I206=Constants!$B$2, TRUE(), IF(I206=Constants!$B$3, FALSE(), TRUE())))</f>
        <v/>
      </c>
      <c r="U206" s="66" t="str">
        <f aca="false">IF(ISBLANK($C206),"",IF(J206=Constants!$B$2, TRUE(), IF(J206=Constants!$B$3, FALSE(), TRUE())))</f>
        <v/>
      </c>
      <c r="V206" s="66" t="str">
        <f aca="false">IF(ISBLANK($C206),"",IF(COUNTA(K206:L206)=0,"",IF(AND(OR(ISBLANK(K206),AND(ISNUMBER(K206),K206&gt;=0)),OR(ISBLANK(L206),AND(ISNUMBER(L206),L206&gt;=0))),60*IF(ISBLANK(K206),0,K206)+IF(ISBLANK(L206),0,L206),"")))</f>
        <v/>
      </c>
      <c r="W206" s="66" t="str">
        <f aca="false">IF(ISBLANK($C206),"",IF(M206=Constants!$B$2, TRUE(), IF(M206=Constants!$B$3, FALSE(), TRUE())))</f>
        <v/>
      </c>
      <c r="X206" s="66" t="str">
        <f aca="false">IF(ISBLANK($C206),"",IF(N206=Constants!$B$2, TRUE(), IF(N206=Constants!$B$3, FALSE(), TRUE())))</f>
        <v/>
      </c>
      <c r="Y206" s="66" t="str">
        <f aca="false">IF(ISBLANK($C206),"",IF(O206=Constants!$B$2, TRUE(), IF(O206=Constants!$B$3, FALSE(), FALSE())))</f>
        <v/>
      </c>
      <c r="Z206" s="66" t="str">
        <f aca="false">IF(ISBLANK($C206),"",AND(S206&lt;&gt;"",Q206))</f>
        <v/>
      </c>
      <c r="AA206" s="66" t="str">
        <f aca="false">IF(ISBLANK($C206),"",AND(V206&lt;&gt;"",Q206))</f>
        <v/>
      </c>
      <c r="AB206" s="66" t="str">
        <f aca="false">IF(ISBLANK($C206),"",IF(Y206,Constants!$B$4,IF(COUNTA(E206:N206)=0,Constants!$B$5,IF(NOT(Q206),Constants!$B$6,IF(AND(NOT(Z206),NOT(AA206)),Constants!$B$6,Constants!$B$7)))))</f>
        <v/>
      </c>
      <c r="AC206" s="66" t="str">
        <f aca="false">IF(ISBLANK($C206),"",IF($AB206&lt;&gt;Constants!$B$7,$AB206,Constants!$B$20))</f>
        <v/>
      </c>
      <c r="AD206" s="66" t="str">
        <f aca="false">IF($AB206=Constants!$B$7,IF(Z206,S206,Constants!$B$13),"")</f>
        <v/>
      </c>
      <c r="AE206" s="66" t="str">
        <f aca="false">IF($AB206=Constants!$B$7,IF(Z206,R206*IF(T206, 1, Constants!$B$11)*IF(U206, 1, Constants!$B$12),Constants!$B$13),"")</f>
        <v/>
      </c>
      <c r="AF206" s="66" t="str">
        <f aca="false">IF($AB206=Constants!$B$7,AD206*AE206,"")</f>
        <v/>
      </c>
      <c r="AG206" s="66" t="str">
        <f aca="false">IF($AB206=Constants!$B$7,IF(AA206,V206,Constants!$B$13),"")</f>
        <v/>
      </c>
      <c r="AH206" s="66" t="str">
        <f aca="false">IF($AB206=Constants!$B$7,IF(AA206,R206*IF(W206, 1, Constants!$B$11)*IF(X206, 1, Constants!$B$12),Constants!$B$13),"")</f>
        <v/>
      </c>
      <c r="AI206" s="66" t="str">
        <f aca="false">IF($AB206=Constants!$B$7,AG206*AH206,"")</f>
        <v/>
      </c>
      <c r="AJ206" s="66" t="str">
        <f aca="false">IF($AB206=Constants!$B$7,IF(AI206&gt;AF206,2,1),"")</f>
        <v/>
      </c>
      <c r="AK206" s="66" t="str">
        <f aca="false">IF($AB206=Constants!$B$7,IF(AJ206=1,2,1),"")</f>
        <v/>
      </c>
      <c r="AL206" s="66" t="str">
        <f aca="false">IF(ISBLANK($C206),"",IF($AB206&lt;&gt;Constants!$B$7,$AB206,IF(AJ206=1,AF206,AI206)))</f>
        <v/>
      </c>
      <c r="AM206" s="66" t="str">
        <f aca="false">IF(ISBLANK($C206),"",IF($AB206=Constants!$B$7,IF(ISNUMBER(AL206),RANK(AL206,$AL$8:$AL$507),Constants!$B$14),$AB206))</f>
        <v/>
      </c>
      <c r="AN206" s="66" t="str">
        <f aca="false">IF(ISBLANK($C206),"",IF($AB206=Constants!$B$7,IF(AK206=1,AF206,AI206),""))</f>
        <v/>
      </c>
      <c r="AO206" s="66" t="str">
        <f aca="false">IF(ISBLANK($C206),"",IF($AB206=Constants!$B$7,RANK(AN206,$AN$8:$AN$507),$AB206))</f>
        <v/>
      </c>
      <c r="AP206" s="66" t="str">
        <f aca="false">IF(ISBLANK($C206),"",IF($AB206=Constants!$B$7,IF(ISNUMBER(AM206),COUNTIFS($AM$8:$AM$507,"&lt;"&amp;$AM206)+COUNTIFS($AM$8:$AM$507,$AM206,$AO$8:$AO$507,"&lt;"&amp;$AO206)+1,Constants!$B$14),$AB206))</f>
        <v/>
      </c>
      <c r="AQ206" s="66" t="str">
        <f aca="false">IF(ISBLANK($C206),"",IF($AB206=Constants!$B$7,IF(ISNUMBER(AM206),AM206-AP206,Constants!$B$14),$AB206))</f>
        <v/>
      </c>
      <c r="AR206" s="68"/>
      <c r="AS206" s="69" t="str">
        <f aca="false">IF(ISBLANK($C206),"",IF($AB206&lt;&gt;Constants!$B$7,"",AJ206))</f>
        <v/>
      </c>
      <c r="AT206" s="84" t="str">
        <f aca="false">IF(ISBLANK($C206),"",IF($AB206&lt;&gt;Constants!$B$7,"",IF(AJ206=1,AD206,AG206)))</f>
        <v/>
      </c>
      <c r="AU206" s="71" t="str">
        <f aca="false">IF(ISBLANK($C206),"",IF($AB206&lt;&gt;Constants!$B$7,"",IF(AJ206=1,AE206,AH206)))</f>
        <v/>
      </c>
      <c r="AV206" s="72" t="str">
        <f aca="false">IF(ISBLANK($C206),"",IF($AB206&lt;&gt;Constants!$B$7,$AB206,AL206))</f>
        <v/>
      </c>
      <c r="AW206" s="73" t="str">
        <f aca="false">IF(ISBLANK($C206),"",IF($AB206&lt;&gt;Constants!$B$7,$AB206,AC206))</f>
        <v/>
      </c>
      <c r="AX206" s="74" t="str">
        <f aca="false">IF(ISBLANK($C206),"",AQ206)</f>
        <v/>
      </c>
      <c r="AY206" s="74" t="str">
        <f aca="false">IF(ISBLANK($C206),"",AP206)</f>
        <v/>
      </c>
      <c r="AZ206" s="75" t="str">
        <f aca="false">IF(ISBLANK($C206),"",IF(AY206=Constants!$B$4,COUNTA($C$8:$C$507)+2,IF(AY206=Constants!$B$5,COUNTA($C$8:$C$507)+1,IF(AY206=Constants!$B$6,COUNTA($C$8:$C$507),AY206))))</f>
        <v/>
      </c>
      <c r="BA206" s="5"/>
      <c r="BB206" s="76" t="n">
        <f aca="false">IF(OR(ISNUMBER(AY206),AY206=Constants!$B$4,AY206=Constants!$B$6,AY206=Constants!$B$5),1,0)</f>
        <v>0</v>
      </c>
      <c r="BC206" s="76" t="n">
        <v>199</v>
      </c>
      <c r="BD206" s="76" t="str">
        <f aca="false">IF(ISBLANK($C206),"",IF(ISNUMBER(AZ206),AZ206+ROW($B206)/1000,""))</f>
        <v/>
      </c>
      <c r="BE206" s="76" t="str">
        <f aca="false">IF(ISNUMBER(BD206),RANK(BD206,$BD$8:$BD$507,1),"")</f>
        <v/>
      </c>
      <c r="BF206" s="76" t="str">
        <f aca="false">IF(ISBLANK($C206),"",$B206)</f>
        <v/>
      </c>
      <c r="BG206" s="76" t="str">
        <f aca="false">IF(ISBLANK($C206),"",$C206)</f>
        <v/>
      </c>
      <c r="BH206" s="76" t="str">
        <f aca="false">IF(ISBLANK($C206),"",$D206)</f>
        <v/>
      </c>
      <c r="BI206" s="77" t="str">
        <f aca="false">AW206</f>
        <v/>
      </c>
      <c r="BJ206" s="78" t="str">
        <f aca="false">AV206</f>
        <v/>
      </c>
      <c r="BK206" s="76" t="str">
        <f aca="false">IF(ISBLANK($C206),"",AY206)</f>
        <v/>
      </c>
      <c r="BL206" s="79" t="str">
        <f aca="false">IF($BC206&gt;$BB$7,"",VLOOKUP($BC206,$BE$8:$BK$507,7,FALSE()))</f>
        <v/>
      </c>
      <c r="BM206" s="80" t="str">
        <f aca="false">IF($BC206&gt;$BB$7,"",VLOOKUP($BC206,$BE$8:$BK$507,2,FALSE()))</f>
        <v/>
      </c>
      <c r="BN206" s="80" t="str">
        <f aca="false">IF($BC206&gt;$BB$7,"",VLOOKUP($BC206,$BE$8:$BK$507,3,FALSE()))</f>
        <v/>
      </c>
      <c r="BO206" s="80" t="str">
        <f aca="false">IF($BC206&gt;$BB$7,"",VLOOKUP($BC206,$BE$8:$BK$507,4,FALSE()))</f>
        <v/>
      </c>
      <c r="BP206" s="80" t="str">
        <f aca="false">IF($BC206&gt;$BB$7,"",VLOOKUP($BC206,$BE$8:$BK$507,5,FALSE()))</f>
        <v/>
      </c>
      <c r="BQ206" s="81" t="str">
        <f aca="false">IF($BC206&gt;$BB$7,"",VLOOKUP($BC206,$BE$8:$BK$507,6,FALSE()))</f>
        <v/>
      </c>
      <c r="BR206" s="54"/>
    </row>
    <row r="207" customFormat="false" ht="15.75" hidden="false" customHeight="false" outlineLevel="0" collapsed="false">
      <c r="A207" s="5"/>
      <c r="B207" s="124"/>
      <c r="C207" s="56"/>
      <c r="D207" s="57"/>
      <c r="E207" s="83"/>
      <c r="F207" s="59"/>
      <c r="G207" s="60"/>
      <c r="H207" s="61"/>
      <c r="I207" s="62"/>
      <c r="J207" s="59"/>
      <c r="K207" s="60"/>
      <c r="L207" s="61"/>
      <c r="M207" s="62"/>
      <c r="N207" s="59"/>
      <c r="O207" s="83"/>
      <c r="P207" s="64"/>
      <c r="Q207" s="66" t="str">
        <f aca="false">IF(ISBLANK($C207),"",IF(E207=Constants!$B$2, TRUE(), IF(E207=Constants!$B$3, FALSE(), TRUE())))</f>
        <v/>
      </c>
      <c r="R207" s="66" t="str">
        <f aca="false">IF(ISBLANK($C207),"",IF(F207=Constants!$B$16,Constants!$B$9,IF(F207=Constants!$B$17,Constants!$B$10,Constants!$B$8)))</f>
        <v/>
      </c>
      <c r="S207" s="66" t="str">
        <f aca="false">IF(ISBLANK($C207),"",IF(COUNTA(G207:H207)=0,"",IF(AND(OR(ISBLANK(G207),AND(ISNUMBER(G207),G207&gt;=0)),OR(ISBLANK(H207),AND(ISNUMBER(H207),H207&gt;=0))),60*IF(ISBLANK(G207),0,G207)+IF(ISBLANK(H207),0,H207),"")))</f>
        <v/>
      </c>
      <c r="T207" s="66" t="str">
        <f aca="false">IF(ISBLANK($C207),"",IF(I207=Constants!$B$2, TRUE(), IF(I207=Constants!$B$3, FALSE(), TRUE())))</f>
        <v/>
      </c>
      <c r="U207" s="66" t="str">
        <f aca="false">IF(ISBLANK($C207),"",IF(J207=Constants!$B$2, TRUE(), IF(J207=Constants!$B$3, FALSE(), TRUE())))</f>
        <v/>
      </c>
      <c r="V207" s="66" t="str">
        <f aca="false">IF(ISBLANK($C207),"",IF(COUNTA(K207:L207)=0,"",IF(AND(OR(ISBLANK(K207),AND(ISNUMBER(K207),K207&gt;=0)),OR(ISBLANK(L207),AND(ISNUMBER(L207),L207&gt;=0))),60*IF(ISBLANK(K207),0,K207)+IF(ISBLANK(L207),0,L207),"")))</f>
        <v/>
      </c>
      <c r="W207" s="66" t="str">
        <f aca="false">IF(ISBLANK($C207),"",IF(M207=Constants!$B$2, TRUE(), IF(M207=Constants!$B$3, FALSE(), TRUE())))</f>
        <v/>
      </c>
      <c r="X207" s="66" t="str">
        <f aca="false">IF(ISBLANK($C207),"",IF(N207=Constants!$B$2, TRUE(), IF(N207=Constants!$B$3, FALSE(), TRUE())))</f>
        <v/>
      </c>
      <c r="Y207" s="66" t="str">
        <f aca="false">IF(ISBLANK($C207),"",IF(O207=Constants!$B$2, TRUE(), IF(O207=Constants!$B$3, FALSE(), FALSE())))</f>
        <v/>
      </c>
      <c r="Z207" s="66" t="str">
        <f aca="false">IF(ISBLANK($C207),"",AND(S207&lt;&gt;"",Q207))</f>
        <v/>
      </c>
      <c r="AA207" s="66" t="str">
        <f aca="false">IF(ISBLANK($C207),"",AND(V207&lt;&gt;"",Q207))</f>
        <v/>
      </c>
      <c r="AB207" s="66" t="str">
        <f aca="false">IF(ISBLANK($C207),"",IF(Y207,Constants!$B$4,IF(COUNTA(E207:N207)=0,Constants!$B$5,IF(NOT(Q207),Constants!$B$6,IF(AND(NOT(Z207),NOT(AA207)),Constants!$B$6,Constants!$B$7)))))</f>
        <v/>
      </c>
      <c r="AC207" s="66" t="str">
        <f aca="false">IF(ISBLANK($C207),"",IF($AB207&lt;&gt;Constants!$B$7,$AB207,Constants!$B$20))</f>
        <v/>
      </c>
      <c r="AD207" s="66" t="str">
        <f aca="false">IF($AB207=Constants!$B$7,IF(Z207,S207,Constants!$B$13),"")</f>
        <v/>
      </c>
      <c r="AE207" s="66" t="str">
        <f aca="false">IF($AB207=Constants!$B$7,IF(Z207,R207*IF(T207, 1, Constants!$B$11)*IF(U207, 1, Constants!$B$12),Constants!$B$13),"")</f>
        <v/>
      </c>
      <c r="AF207" s="66" t="str">
        <f aca="false">IF($AB207=Constants!$B$7,AD207*AE207,"")</f>
        <v/>
      </c>
      <c r="AG207" s="66" t="str">
        <f aca="false">IF($AB207=Constants!$B$7,IF(AA207,V207,Constants!$B$13),"")</f>
        <v/>
      </c>
      <c r="AH207" s="66" t="str">
        <f aca="false">IF($AB207=Constants!$B$7,IF(AA207,R207*IF(W207, 1, Constants!$B$11)*IF(X207, 1, Constants!$B$12),Constants!$B$13),"")</f>
        <v/>
      </c>
      <c r="AI207" s="66" t="str">
        <f aca="false">IF($AB207=Constants!$B$7,AG207*AH207,"")</f>
        <v/>
      </c>
      <c r="AJ207" s="66" t="str">
        <f aca="false">IF($AB207=Constants!$B$7,IF(AI207&gt;AF207,2,1),"")</f>
        <v/>
      </c>
      <c r="AK207" s="66" t="str">
        <f aca="false">IF($AB207=Constants!$B$7,IF(AJ207=1,2,1),"")</f>
        <v/>
      </c>
      <c r="AL207" s="66" t="str">
        <f aca="false">IF(ISBLANK($C207),"",IF($AB207&lt;&gt;Constants!$B$7,$AB207,IF(AJ207=1,AF207,AI207)))</f>
        <v/>
      </c>
      <c r="AM207" s="66" t="str">
        <f aca="false">IF(ISBLANK($C207),"",IF($AB207=Constants!$B$7,IF(ISNUMBER(AL207),RANK(AL207,$AL$8:$AL$507),Constants!$B$14),$AB207))</f>
        <v/>
      </c>
      <c r="AN207" s="66" t="str">
        <f aca="false">IF(ISBLANK($C207),"",IF($AB207=Constants!$B$7,IF(AK207=1,AF207,AI207),""))</f>
        <v/>
      </c>
      <c r="AO207" s="66" t="str">
        <f aca="false">IF(ISBLANK($C207),"",IF($AB207=Constants!$B$7,RANK(AN207,$AN$8:$AN$507),$AB207))</f>
        <v/>
      </c>
      <c r="AP207" s="66" t="str">
        <f aca="false">IF(ISBLANK($C207),"",IF($AB207=Constants!$B$7,IF(ISNUMBER(AM207),COUNTIFS($AM$8:$AM$507,"&lt;"&amp;$AM207)+COUNTIFS($AM$8:$AM$507,$AM207,$AO$8:$AO$507,"&lt;"&amp;$AO207)+1,Constants!$B$14),$AB207))</f>
        <v/>
      </c>
      <c r="AQ207" s="66" t="str">
        <f aca="false">IF(ISBLANK($C207),"",IF($AB207=Constants!$B$7,IF(ISNUMBER(AM207),AM207-AP207,Constants!$B$14),$AB207))</f>
        <v/>
      </c>
      <c r="AR207" s="68"/>
      <c r="AS207" s="69" t="str">
        <f aca="false">IF(ISBLANK($C207),"",IF($AB207&lt;&gt;Constants!$B$7,"",AJ207))</f>
        <v/>
      </c>
      <c r="AT207" s="84" t="str">
        <f aca="false">IF(ISBLANK($C207),"",IF($AB207&lt;&gt;Constants!$B$7,"",IF(AJ207=1,AD207,AG207)))</f>
        <v/>
      </c>
      <c r="AU207" s="71" t="str">
        <f aca="false">IF(ISBLANK($C207),"",IF($AB207&lt;&gt;Constants!$B$7,"",IF(AJ207=1,AE207,AH207)))</f>
        <v/>
      </c>
      <c r="AV207" s="72" t="str">
        <f aca="false">IF(ISBLANK($C207),"",IF($AB207&lt;&gt;Constants!$B$7,$AB207,AL207))</f>
        <v/>
      </c>
      <c r="AW207" s="73" t="str">
        <f aca="false">IF(ISBLANK($C207),"",IF($AB207&lt;&gt;Constants!$B$7,$AB207,AC207))</f>
        <v/>
      </c>
      <c r="AX207" s="74" t="str">
        <f aca="false">IF(ISBLANK($C207),"",AQ207)</f>
        <v/>
      </c>
      <c r="AY207" s="74" t="str">
        <f aca="false">IF(ISBLANK($C207),"",AP207)</f>
        <v/>
      </c>
      <c r="AZ207" s="75" t="str">
        <f aca="false">IF(ISBLANK($C207),"",IF(AY207=Constants!$B$4,COUNTA($C$8:$C$507)+2,IF(AY207=Constants!$B$5,COUNTA($C$8:$C$507)+1,IF(AY207=Constants!$B$6,COUNTA($C$8:$C$507),AY207))))</f>
        <v/>
      </c>
      <c r="BA207" s="5"/>
      <c r="BB207" s="76" t="n">
        <f aca="false">IF(OR(ISNUMBER(AY207),AY207=Constants!$B$4,AY207=Constants!$B$6,AY207=Constants!$B$5),1,0)</f>
        <v>0</v>
      </c>
      <c r="BC207" s="76" t="n">
        <v>200</v>
      </c>
      <c r="BD207" s="76" t="str">
        <f aca="false">IF(ISBLANK($C207),"",IF(ISNUMBER(AZ207),AZ207+ROW($B207)/1000,""))</f>
        <v/>
      </c>
      <c r="BE207" s="76" t="str">
        <f aca="false">IF(ISNUMBER(BD207),RANK(BD207,$BD$8:$BD$507,1),"")</f>
        <v/>
      </c>
      <c r="BF207" s="76" t="str">
        <f aca="false">IF(ISBLANK($C207),"",$B207)</f>
        <v/>
      </c>
      <c r="BG207" s="76" t="str">
        <f aca="false">IF(ISBLANK($C207),"",$C207)</f>
        <v/>
      </c>
      <c r="BH207" s="76" t="str">
        <f aca="false">IF(ISBLANK($C207),"",$D207)</f>
        <v/>
      </c>
      <c r="BI207" s="77" t="str">
        <f aca="false">AW207</f>
        <v/>
      </c>
      <c r="BJ207" s="78" t="str">
        <f aca="false">AV207</f>
        <v/>
      </c>
      <c r="BK207" s="76" t="str">
        <f aca="false">IF(ISBLANK($C207),"",AY207)</f>
        <v/>
      </c>
      <c r="BL207" s="79" t="str">
        <f aca="false">IF($BC207&gt;$BB$7,"",VLOOKUP($BC207,$BE$8:$BK$507,7,FALSE()))</f>
        <v/>
      </c>
      <c r="BM207" s="80" t="str">
        <f aca="false">IF($BC207&gt;$BB$7,"",VLOOKUP($BC207,$BE$8:$BK$507,2,FALSE()))</f>
        <v/>
      </c>
      <c r="BN207" s="80" t="str">
        <f aca="false">IF($BC207&gt;$BB$7,"",VLOOKUP($BC207,$BE$8:$BK$507,3,FALSE()))</f>
        <v/>
      </c>
      <c r="BO207" s="80" t="str">
        <f aca="false">IF($BC207&gt;$BB$7,"",VLOOKUP($BC207,$BE$8:$BK$507,4,FALSE()))</f>
        <v/>
      </c>
      <c r="BP207" s="80" t="str">
        <f aca="false">IF($BC207&gt;$BB$7,"",VLOOKUP($BC207,$BE$8:$BK$507,5,FALSE()))</f>
        <v/>
      </c>
      <c r="BQ207" s="81" t="str">
        <f aca="false">IF($BC207&gt;$BB$7,"",VLOOKUP($BC207,$BE$8:$BK$507,6,FALSE()))</f>
        <v/>
      </c>
      <c r="BR207" s="54"/>
    </row>
    <row r="208" customFormat="false" ht="15.75" hidden="false" customHeight="false" outlineLevel="0" collapsed="false">
      <c r="A208" s="5"/>
      <c r="B208" s="124"/>
      <c r="C208" s="56"/>
      <c r="D208" s="57"/>
      <c r="E208" s="83"/>
      <c r="F208" s="59"/>
      <c r="G208" s="60"/>
      <c r="H208" s="61"/>
      <c r="I208" s="62"/>
      <c r="J208" s="59"/>
      <c r="K208" s="60"/>
      <c r="L208" s="61"/>
      <c r="M208" s="62"/>
      <c r="N208" s="59"/>
      <c r="O208" s="83"/>
      <c r="P208" s="64"/>
      <c r="Q208" s="66" t="str">
        <f aca="false">IF(ISBLANK($C208),"",IF(E208=Constants!$B$2, TRUE(), IF(E208=Constants!$B$3, FALSE(), TRUE())))</f>
        <v/>
      </c>
      <c r="R208" s="66" t="str">
        <f aca="false">IF(ISBLANK($C208),"",IF(F208=Constants!$B$16,Constants!$B$9,IF(F208=Constants!$B$17,Constants!$B$10,Constants!$B$8)))</f>
        <v/>
      </c>
      <c r="S208" s="66" t="str">
        <f aca="false">IF(ISBLANK($C208),"",IF(COUNTA(G208:H208)=0,"",IF(AND(OR(ISBLANK(G208),AND(ISNUMBER(G208),G208&gt;=0)),OR(ISBLANK(H208),AND(ISNUMBER(H208),H208&gt;=0))),60*IF(ISBLANK(G208),0,G208)+IF(ISBLANK(H208),0,H208),"")))</f>
        <v/>
      </c>
      <c r="T208" s="66" t="str">
        <f aca="false">IF(ISBLANK($C208),"",IF(I208=Constants!$B$2, TRUE(), IF(I208=Constants!$B$3, FALSE(), TRUE())))</f>
        <v/>
      </c>
      <c r="U208" s="66" t="str">
        <f aca="false">IF(ISBLANK($C208),"",IF(J208=Constants!$B$2, TRUE(), IF(J208=Constants!$B$3, FALSE(), TRUE())))</f>
        <v/>
      </c>
      <c r="V208" s="66" t="str">
        <f aca="false">IF(ISBLANK($C208),"",IF(COUNTA(K208:L208)=0,"",IF(AND(OR(ISBLANK(K208),AND(ISNUMBER(K208),K208&gt;=0)),OR(ISBLANK(L208),AND(ISNUMBER(L208),L208&gt;=0))),60*IF(ISBLANK(K208),0,K208)+IF(ISBLANK(L208),0,L208),"")))</f>
        <v/>
      </c>
      <c r="W208" s="66" t="str">
        <f aca="false">IF(ISBLANK($C208),"",IF(M208=Constants!$B$2, TRUE(), IF(M208=Constants!$B$3, FALSE(), TRUE())))</f>
        <v/>
      </c>
      <c r="X208" s="66" t="str">
        <f aca="false">IF(ISBLANK($C208),"",IF(N208=Constants!$B$2, TRUE(), IF(N208=Constants!$B$3, FALSE(), TRUE())))</f>
        <v/>
      </c>
      <c r="Y208" s="66" t="str">
        <f aca="false">IF(ISBLANK($C208),"",IF(O208=Constants!$B$2, TRUE(), IF(O208=Constants!$B$3, FALSE(), FALSE())))</f>
        <v/>
      </c>
      <c r="Z208" s="66" t="str">
        <f aca="false">IF(ISBLANK($C208),"",AND(S208&lt;&gt;"",Q208))</f>
        <v/>
      </c>
      <c r="AA208" s="66" t="str">
        <f aca="false">IF(ISBLANK($C208),"",AND(V208&lt;&gt;"",Q208))</f>
        <v/>
      </c>
      <c r="AB208" s="66" t="str">
        <f aca="false">IF(ISBLANK($C208),"",IF(Y208,Constants!$B$4,IF(COUNTA(E208:N208)=0,Constants!$B$5,IF(NOT(Q208),Constants!$B$6,IF(AND(NOT(Z208),NOT(AA208)),Constants!$B$6,Constants!$B$7)))))</f>
        <v/>
      </c>
      <c r="AC208" s="66" t="str">
        <f aca="false">IF(ISBLANK($C208),"",IF($AB208&lt;&gt;Constants!$B$7,$AB208,Constants!$B$20))</f>
        <v/>
      </c>
      <c r="AD208" s="66" t="str">
        <f aca="false">IF($AB208=Constants!$B$7,IF(Z208,S208,Constants!$B$13),"")</f>
        <v/>
      </c>
      <c r="AE208" s="66" t="str">
        <f aca="false">IF($AB208=Constants!$B$7,IF(Z208,R208*IF(T208, 1, Constants!$B$11)*IF(U208, 1, Constants!$B$12),Constants!$B$13),"")</f>
        <v/>
      </c>
      <c r="AF208" s="66" t="str">
        <f aca="false">IF($AB208=Constants!$B$7,AD208*AE208,"")</f>
        <v/>
      </c>
      <c r="AG208" s="66" t="str">
        <f aca="false">IF($AB208=Constants!$B$7,IF(AA208,V208,Constants!$B$13),"")</f>
        <v/>
      </c>
      <c r="AH208" s="66" t="str">
        <f aca="false">IF($AB208=Constants!$B$7,IF(AA208,R208*IF(W208, 1, Constants!$B$11)*IF(X208, 1, Constants!$B$12),Constants!$B$13),"")</f>
        <v/>
      </c>
      <c r="AI208" s="66" t="str">
        <f aca="false">IF($AB208=Constants!$B$7,AG208*AH208,"")</f>
        <v/>
      </c>
      <c r="AJ208" s="66" t="str">
        <f aca="false">IF($AB208=Constants!$B$7,IF(AI208&gt;AF208,2,1),"")</f>
        <v/>
      </c>
      <c r="AK208" s="66" t="str">
        <f aca="false">IF($AB208=Constants!$B$7,IF(AJ208=1,2,1),"")</f>
        <v/>
      </c>
      <c r="AL208" s="66" t="str">
        <f aca="false">IF(ISBLANK($C208),"",IF($AB208&lt;&gt;Constants!$B$7,$AB208,IF(AJ208=1,AF208,AI208)))</f>
        <v/>
      </c>
      <c r="AM208" s="66" t="str">
        <f aca="false">IF(ISBLANK($C208),"",IF($AB208=Constants!$B$7,IF(ISNUMBER(AL208),RANK(AL208,$AL$8:$AL$507),Constants!$B$14),$AB208))</f>
        <v/>
      </c>
      <c r="AN208" s="66" t="str">
        <f aca="false">IF(ISBLANK($C208),"",IF($AB208=Constants!$B$7,IF(AK208=1,AF208,AI208),""))</f>
        <v/>
      </c>
      <c r="AO208" s="66" t="str">
        <f aca="false">IF(ISBLANK($C208),"",IF($AB208=Constants!$B$7,RANK(AN208,$AN$8:$AN$507),$AB208))</f>
        <v/>
      </c>
      <c r="AP208" s="66" t="str">
        <f aca="false">IF(ISBLANK($C208),"",IF($AB208=Constants!$B$7,IF(ISNUMBER(AM208),COUNTIFS($AM$8:$AM$507,"&lt;"&amp;$AM208)+COUNTIFS($AM$8:$AM$507,$AM208,$AO$8:$AO$507,"&lt;"&amp;$AO208)+1,Constants!$B$14),$AB208))</f>
        <v/>
      </c>
      <c r="AQ208" s="66" t="str">
        <f aca="false">IF(ISBLANK($C208),"",IF($AB208=Constants!$B$7,IF(ISNUMBER(AM208),AM208-AP208,Constants!$B$14),$AB208))</f>
        <v/>
      </c>
      <c r="AR208" s="68"/>
      <c r="AS208" s="69" t="str">
        <f aca="false">IF(ISBLANK($C208),"",IF($AB208&lt;&gt;Constants!$B$7,"",AJ208))</f>
        <v/>
      </c>
      <c r="AT208" s="84" t="str">
        <f aca="false">IF(ISBLANK($C208),"",IF($AB208&lt;&gt;Constants!$B$7,"",IF(AJ208=1,AD208,AG208)))</f>
        <v/>
      </c>
      <c r="AU208" s="71" t="str">
        <f aca="false">IF(ISBLANK($C208),"",IF($AB208&lt;&gt;Constants!$B$7,"",IF(AJ208=1,AE208,AH208)))</f>
        <v/>
      </c>
      <c r="AV208" s="72" t="str">
        <f aca="false">IF(ISBLANK($C208),"",IF($AB208&lt;&gt;Constants!$B$7,$AB208,AL208))</f>
        <v/>
      </c>
      <c r="AW208" s="73" t="str">
        <f aca="false">IF(ISBLANK($C208),"",IF($AB208&lt;&gt;Constants!$B$7,$AB208,AC208))</f>
        <v/>
      </c>
      <c r="AX208" s="74" t="str">
        <f aca="false">IF(ISBLANK($C208),"",AQ208)</f>
        <v/>
      </c>
      <c r="AY208" s="74" t="str">
        <f aca="false">IF(ISBLANK($C208),"",AP208)</f>
        <v/>
      </c>
      <c r="AZ208" s="75" t="str">
        <f aca="false">IF(ISBLANK($C208),"",IF(AY208=Constants!$B$4,COUNTA($C$8:$C$507)+2,IF(AY208=Constants!$B$5,COUNTA($C$8:$C$507)+1,IF(AY208=Constants!$B$6,COUNTA($C$8:$C$507),AY208))))</f>
        <v/>
      </c>
      <c r="BA208" s="5"/>
      <c r="BB208" s="76" t="n">
        <f aca="false">IF(OR(ISNUMBER(AY208),AY208=Constants!$B$4,AY208=Constants!$B$6,AY208=Constants!$B$5),1,0)</f>
        <v>0</v>
      </c>
      <c r="BC208" s="76" t="n">
        <v>201</v>
      </c>
      <c r="BD208" s="76" t="str">
        <f aca="false">IF(ISBLANK($C208),"",IF(ISNUMBER(AZ208),AZ208+ROW($B208)/1000,""))</f>
        <v/>
      </c>
      <c r="BE208" s="76" t="str">
        <f aca="false">IF(ISNUMBER(BD208),RANK(BD208,$BD$8:$BD$507,1),"")</f>
        <v/>
      </c>
      <c r="BF208" s="76" t="str">
        <f aca="false">IF(ISBLANK($C208),"",$B208)</f>
        <v/>
      </c>
      <c r="BG208" s="76" t="str">
        <f aca="false">IF(ISBLANK($C208),"",$C208)</f>
        <v/>
      </c>
      <c r="BH208" s="76" t="str">
        <f aca="false">IF(ISBLANK($C208),"",$D208)</f>
        <v/>
      </c>
      <c r="BI208" s="77" t="str">
        <f aca="false">AW208</f>
        <v/>
      </c>
      <c r="BJ208" s="78" t="str">
        <f aca="false">AV208</f>
        <v/>
      </c>
      <c r="BK208" s="76" t="str">
        <f aca="false">IF(ISBLANK($C208),"",AY208)</f>
        <v/>
      </c>
      <c r="BL208" s="79" t="str">
        <f aca="false">IF($BC208&gt;$BB$7,"",VLOOKUP($BC208,$BE$8:$BK$507,7,FALSE()))</f>
        <v/>
      </c>
      <c r="BM208" s="80" t="str">
        <f aca="false">IF($BC208&gt;$BB$7,"",VLOOKUP($BC208,$BE$8:$BK$507,2,FALSE()))</f>
        <v/>
      </c>
      <c r="BN208" s="80" t="str">
        <f aca="false">IF($BC208&gt;$BB$7,"",VLOOKUP($BC208,$BE$8:$BK$507,3,FALSE()))</f>
        <v/>
      </c>
      <c r="BO208" s="80" t="str">
        <f aca="false">IF($BC208&gt;$BB$7,"",VLOOKUP($BC208,$BE$8:$BK$507,4,FALSE()))</f>
        <v/>
      </c>
      <c r="BP208" s="80" t="str">
        <f aca="false">IF($BC208&gt;$BB$7,"",VLOOKUP($BC208,$BE$8:$BK$507,5,FALSE()))</f>
        <v/>
      </c>
      <c r="BQ208" s="81" t="str">
        <f aca="false">IF($BC208&gt;$BB$7,"",VLOOKUP($BC208,$BE$8:$BK$507,6,FALSE()))</f>
        <v/>
      </c>
      <c r="BR208" s="54"/>
    </row>
    <row r="209" customFormat="false" ht="15.75" hidden="false" customHeight="false" outlineLevel="0" collapsed="false">
      <c r="A209" s="5"/>
      <c r="B209" s="120"/>
      <c r="C209" s="121"/>
      <c r="D209" s="112"/>
      <c r="E209" s="123"/>
      <c r="F209" s="91"/>
      <c r="G209" s="92"/>
      <c r="H209" s="93"/>
      <c r="I209" s="94"/>
      <c r="J209" s="91"/>
      <c r="K209" s="92"/>
      <c r="L209" s="93"/>
      <c r="M209" s="94"/>
      <c r="N209" s="91"/>
      <c r="O209" s="123"/>
      <c r="P209" s="96"/>
      <c r="Q209" s="97" t="str">
        <f aca="false">IF(ISBLANK($C209),"",IF(E209=Constants!$B$2, TRUE(), IF(E209=Constants!$B$3, FALSE(), TRUE())))</f>
        <v/>
      </c>
      <c r="R209" s="97" t="str">
        <f aca="false">IF(ISBLANK($C209),"",IF(F209=Constants!$B$16,Constants!$B$9,IF(F209=Constants!$B$17,Constants!$B$10,Constants!$B$8)))</f>
        <v/>
      </c>
      <c r="S209" s="97" t="str">
        <f aca="false">IF(ISBLANK($C209),"",IF(COUNTA(G209:H209)=0,"",IF(AND(OR(ISBLANK(G209),AND(ISNUMBER(G209),G209&gt;=0)),OR(ISBLANK(H209),AND(ISNUMBER(H209),H209&gt;=0))),60*IF(ISBLANK(G209),0,G209)+IF(ISBLANK(H209),0,H209),"")))</f>
        <v/>
      </c>
      <c r="T209" s="97" t="str">
        <f aca="false">IF(ISBLANK($C209),"",IF(I209=Constants!$B$2, TRUE(), IF(I209=Constants!$B$3, FALSE(), TRUE())))</f>
        <v/>
      </c>
      <c r="U209" s="97" t="str">
        <f aca="false">IF(ISBLANK($C209),"",IF(J209=Constants!$B$2, TRUE(), IF(J209=Constants!$B$3, FALSE(), TRUE())))</f>
        <v/>
      </c>
      <c r="V209" s="97" t="str">
        <f aca="false">IF(ISBLANK($C209),"",IF(COUNTA(K209:L209)=0,"",IF(AND(OR(ISBLANK(K209),AND(ISNUMBER(K209),K209&gt;=0)),OR(ISBLANK(L209),AND(ISNUMBER(L209),L209&gt;=0))),60*IF(ISBLANK(K209),0,K209)+IF(ISBLANK(L209),0,L209),"")))</f>
        <v/>
      </c>
      <c r="W209" s="97" t="str">
        <f aca="false">IF(ISBLANK($C209),"",IF(M209=Constants!$B$2, TRUE(), IF(M209=Constants!$B$3, FALSE(), TRUE())))</f>
        <v/>
      </c>
      <c r="X209" s="97" t="str">
        <f aca="false">IF(ISBLANK($C209),"",IF(N209=Constants!$B$2, TRUE(), IF(N209=Constants!$B$3, FALSE(), TRUE())))</f>
        <v/>
      </c>
      <c r="Y209" s="97" t="str">
        <f aca="false">IF(ISBLANK($C209),"",IF(O209=Constants!$B$2, TRUE(), IF(O209=Constants!$B$3, FALSE(), FALSE())))</f>
        <v/>
      </c>
      <c r="Z209" s="97" t="str">
        <f aca="false">IF(ISBLANK($C209),"",AND(S209&lt;&gt;"",Q209))</f>
        <v/>
      </c>
      <c r="AA209" s="97" t="str">
        <f aca="false">IF(ISBLANK($C209),"",AND(V209&lt;&gt;"",Q209))</f>
        <v/>
      </c>
      <c r="AB209" s="97" t="str">
        <f aca="false">IF(ISBLANK($C209),"",IF(Y209,Constants!$B$4,IF(COUNTA(E209:N209)=0,Constants!$B$5,IF(NOT(Q209),Constants!$B$6,IF(AND(NOT(Z209),NOT(AA209)),Constants!$B$6,Constants!$B$7)))))</f>
        <v/>
      </c>
      <c r="AC209" s="97" t="str">
        <f aca="false">IF(ISBLANK($C209),"",IF($AB209&lt;&gt;Constants!$B$7,$AB209,Constants!$B$20))</f>
        <v/>
      </c>
      <c r="AD209" s="97" t="str">
        <f aca="false">IF($AB209=Constants!$B$7,IF(Z209,S209,Constants!$B$13),"")</f>
        <v/>
      </c>
      <c r="AE209" s="97" t="str">
        <f aca="false">IF($AB209=Constants!$B$7,IF(Z209,R209*IF(T209, 1, Constants!$B$11)*IF(U209, 1, Constants!$B$12),Constants!$B$13),"")</f>
        <v/>
      </c>
      <c r="AF209" s="97" t="str">
        <f aca="false">IF($AB209=Constants!$B$7,AD209*AE209,"")</f>
        <v/>
      </c>
      <c r="AG209" s="97" t="str">
        <f aca="false">IF($AB209=Constants!$B$7,IF(AA209,V209,Constants!$B$13),"")</f>
        <v/>
      </c>
      <c r="AH209" s="97" t="str">
        <f aca="false">IF($AB209=Constants!$B$7,IF(AA209,R209*IF(W209, 1, Constants!$B$11)*IF(X209, 1, Constants!$B$12),Constants!$B$13),"")</f>
        <v/>
      </c>
      <c r="AI209" s="97" t="str">
        <f aca="false">IF($AB209=Constants!$B$7,AG209*AH209,"")</f>
        <v/>
      </c>
      <c r="AJ209" s="97" t="str">
        <f aca="false">IF($AB209=Constants!$B$7,IF(AI209&gt;AF209,2,1),"")</f>
        <v/>
      </c>
      <c r="AK209" s="97" t="str">
        <f aca="false">IF($AB209=Constants!$B$7,IF(AJ209=1,2,1),"")</f>
        <v/>
      </c>
      <c r="AL209" s="97" t="str">
        <f aca="false">IF(ISBLANK($C209),"",IF($AB209&lt;&gt;Constants!$B$7,$AB209,IF(AJ209=1,AF209,AI209)))</f>
        <v/>
      </c>
      <c r="AM209" s="97" t="str">
        <f aca="false">IF(ISBLANK($C209),"",IF($AB209=Constants!$B$7,IF(ISNUMBER(AL209),RANK(AL209,$AL$8:$AL$507),Constants!$B$14),$AB209))</f>
        <v/>
      </c>
      <c r="AN209" s="97" t="str">
        <f aca="false">IF(ISBLANK($C209),"",IF($AB209=Constants!$B$7,IF(AK209=1,AF209,AI209),""))</f>
        <v/>
      </c>
      <c r="AO209" s="97" t="str">
        <f aca="false">IF(ISBLANK($C209),"",IF($AB209=Constants!$B$7,RANK(AN209,$AN$8:$AN$507),$AB209))</f>
        <v/>
      </c>
      <c r="AP209" s="97" t="str">
        <f aca="false">IF(ISBLANK($C209),"",IF($AB209=Constants!$B$7,IF(ISNUMBER(AM209),COUNTIFS($AM$8:$AM$507,"&lt;"&amp;$AM209)+COUNTIFS($AM$8:$AM$507,$AM209,$AO$8:$AO$507,"&lt;"&amp;$AO209)+1,Constants!$B$14),$AB209))</f>
        <v/>
      </c>
      <c r="AQ209" s="97" t="str">
        <f aca="false">IF(ISBLANK($C209),"",IF($AB209=Constants!$B$7,IF(ISNUMBER(AM209),AM209-AP209,Constants!$B$14),$AB209))</f>
        <v/>
      </c>
      <c r="AR209" s="98"/>
      <c r="AS209" s="99" t="str">
        <f aca="false">IF(ISBLANK($C209),"",IF($AB209&lt;&gt;Constants!$B$7,"",AJ209))</f>
        <v/>
      </c>
      <c r="AT209" s="100" t="str">
        <f aca="false">IF(ISBLANK($C209),"",IF($AB209&lt;&gt;Constants!$B$7,"",IF(AJ209=1,AD209,AG209)))</f>
        <v/>
      </c>
      <c r="AU209" s="101" t="str">
        <f aca="false">IF(ISBLANK($C209),"",IF($AB209&lt;&gt;Constants!$B$7,"",IF(AJ209=1,AE209,AH209)))</f>
        <v/>
      </c>
      <c r="AV209" s="102" t="str">
        <f aca="false">IF(ISBLANK($C209),"",IF($AB209&lt;&gt;Constants!$B$7,$AB209,AL209))</f>
        <v/>
      </c>
      <c r="AW209" s="103" t="str">
        <f aca="false">IF(ISBLANK($C209),"",IF($AB209&lt;&gt;Constants!$B$7,$AB209,AC209))</f>
        <v/>
      </c>
      <c r="AX209" s="104" t="str">
        <f aca="false">IF(ISBLANK($C209),"",AQ209)</f>
        <v/>
      </c>
      <c r="AY209" s="104" t="str">
        <f aca="false">IF(ISBLANK($C209),"",AP209)</f>
        <v/>
      </c>
      <c r="AZ209" s="105" t="str">
        <f aca="false">IF(ISBLANK($C209),"",IF(AY209=Constants!$B$4,COUNTA($C$8:$C$507)+2,IF(AY209=Constants!$B$5,COUNTA($C$8:$C$507)+1,IF(AY209=Constants!$B$6,COUNTA($C$8:$C$507),AY209))))</f>
        <v/>
      </c>
      <c r="BA209" s="5"/>
      <c r="BB209" s="106" t="n">
        <f aca="false">IF(OR(ISNUMBER(AY209),AY209=Constants!$B$4,AY209=Constants!$B$6,AY209=Constants!$B$5),1,0)</f>
        <v>0</v>
      </c>
      <c r="BC209" s="106" t="n">
        <v>202</v>
      </c>
      <c r="BD209" s="106" t="str">
        <f aca="false">IF(ISBLANK($C209),"",IF(ISNUMBER(AZ209),AZ209+ROW($B209)/1000,""))</f>
        <v/>
      </c>
      <c r="BE209" s="106" t="str">
        <f aca="false">IF(ISNUMBER(BD209),RANK(BD209,$BD$8:$BD$507,1),"")</f>
        <v/>
      </c>
      <c r="BF209" s="106" t="str">
        <f aca="false">IF(ISBLANK($C209),"",$B209)</f>
        <v/>
      </c>
      <c r="BG209" s="106" t="str">
        <f aca="false">IF(ISBLANK($C209),"",$C209)</f>
        <v/>
      </c>
      <c r="BH209" s="106" t="str">
        <f aca="false">IF(ISBLANK($C209),"",$D209)</f>
        <v/>
      </c>
      <c r="BI209" s="107" t="str">
        <f aca="false">AW209</f>
        <v/>
      </c>
      <c r="BJ209" s="108" t="str">
        <f aca="false">AV209</f>
        <v/>
      </c>
      <c r="BK209" s="106" t="str">
        <f aca="false">IF(ISBLANK($C209),"",AY209)</f>
        <v/>
      </c>
      <c r="BL209" s="109" t="str">
        <f aca="false">IF($BC209&gt;$BB$7,"",VLOOKUP($BC209,$BE$8:$BK$507,7,FALSE()))</f>
        <v/>
      </c>
      <c r="BM209" s="110" t="str">
        <f aca="false">IF($BC209&gt;$BB$7,"",VLOOKUP($BC209,$BE$8:$BK$507,2,FALSE()))</f>
        <v/>
      </c>
      <c r="BN209" s="110" t="str">
        <f aca="false">IF($BC209&gt;$BB$7,"",VLOOKUP($BC209,$BE$8:$BK$507,3,FALSE()))</f>
        <v/>
      </c>
      <c r="BO209" s="110" t="str">
        <f aca="false">IF($BC209&gt;$BB$7,"",VLOOKUP($BC209,$BE$8:$BK$507,4,FALSE()))</f>
        <v/>
      </c>
      <c r="BP209" s="110" t="str">
        <f aca="false">IF($BC209&gt;$BB$7,"",VLOOKUP($BC209,$BE$8:$BK$507,5,FALSE()))</f>
        <v/>
      </c>
      <c r="BQ209" s="111" t="str">
        <f aca="false">IF($BC209&gt;$BB$7,"",VLOOKUP($BC209,$BE$8:$BK$507,6,FALSE()))</f>
        <v/>
      </c>
      <c r="BR209" s="54"/>
    </row>
    <row r="210" customFormat="false" ht="15.75" hidden="false" customHeight="false" outlineLevel="0" collapsed="false">
      <c r="A210" s="5"/>
      <c r="B210" s="120"/>
      <c r="C210" s="121"/>
      <c r="D210" s="112"/>
      <c r="E210" s="123"/>
      <c r="F210" s="91"/>
      <c r="G210" s="92"/>
      <c r="H210" s="93"/>
      <c r="I210" s="94"/>
      <c r="J210" s="91"/>
      <c r="K210" s="92"/>
      <c r="L210" s="93"/>
      <c r="M210" s="94"/>
      <c r="N210" s="91"/>
      <c r="O210" s="123"/>
      <c r="P210" s="96"/>
      <c r="Q210" s="97" t="str">
        <f aca="false">IF(ISBLANK($C210),"",IF(E210=Constants!$B$2, TRUE(), IF(E210=Constants!$B$3, FALSE(), TRUE())))</f>
        <v/>
      </c>
      <c r="R210" s="97" t="str">
        <f aca="false">IF(ISBLANK($C210),"",IF(F210=Constants!$B$16,Constants!$B$9,IF(F210=Constants!$B$17,Constants!$B$10,Constants!$B$8)))</f>
        <v/>
      </c>
      <c r="S210" s="97" t="str">
        <f aca="false">IF(ISBLANK($C210),"",IF(COUNTA(G210:H210)=0,"",IF(AND(OR(ISBLANK(G210),AND(ISNUMBER(G210),G210&gt;=0)),OR(ISBLANK(H210),AND(ISNUMBER(H210),H210&gt;=0))),60*IF(ISBLANK(G210),0,G210)+IF(ISBLANK(H210),0,H210),"")))</f>
        <v/>
      </c>
      <c r="T210" s="97" t="str">
        <f aca="false">IF(ISBLANK($C210),"",IF(I210=Constants!$B$2, TRUE(), IF(I210=Constants!$B$3, FALSE(), TRUE())))</f>
        <v/>
      </c>
      <c r="U210" s="97" t="str">
        <f aca="false">IF(ISBLANK($C210),"",IF(J210=Constants!$B$2, TRUE(), IF(J210=Constants!$B$3, FALSE(), TRUE())))</f>
        <v/>
      </c>
      <c r="V210" s="97" t="str">
        <f aca="false">IF(ISBLANK($C210),"",IF(COUNTA(K210:L210)=0,"",IF(AND(OR(ISBLANK(K210),AND(ISNUMBER(K210),K210&gt;=0)),OR(ISBLANK(L210),AND(ISNUMBER(L210),L210&gt;=0))),60*IF(ISBLANK(K210),0,K210)+IF(ISBLANK(L210),0,L210),"")))</f>
        <v/>
      </c>
      <c r="W210" s="97" t="str">
        <f aca="false">IF(ISBLANK($C210),"",IF(M210=Constants!$B$2, TRUE(), IF(M210=Constants!$B$3, FALSE(), TRUE())))</f>
        <v/>
      </c>
      <c r="X210" s="97" t="str">
        <f aca="false">IF(ISBLANK($C210),"",IF(N210=Constants!$B$2, TRUE(), IF(N210=Constants!$B$3, FALSE(), TRUE())))</f>
        <v/>
      </c>
      <c r="Y210" s="97" t="str">
        <f aca="false">IF(ISBLANK($C210),"",IF(O210=Constants!$B$2, TRUE(), IF(O210=Constants!$B$3, FALSE(), FALSE())))</f>
        <v/>
      </c>
      <c r="Z210" s="97" t="str">
        <f aca="false">IF(ISBLANK($C210),"",AND(S210&lt;&gt;"",Q210))</f>
        <v/>
      </c>
      <c r="AA210" s="97" t="str">
        <f aca="false">IF(ISBLANK($C210),"",AND(V210&lt;&gt;"",Q210))</f>
        <v/>
      </c>
      <c r="AB210" s="97" t="str">
        <f aca="false">IF(ISBLANK($C210),"",IF(Y210,Constants!$B$4,IF(COUNTA(E210:N210)=0,Constants!$B$5,IF(NOT(Q210),Constants!$B$6,IF(AND(NOT(Z210),NOT(AA210)),Constants!$B$6,Constants!$B$7)))))</f>
        <v/>
      </c>
      <c r="AC210" s="97" t="str">
        <f aca="false">IF(ISBLANK($C210),"",IF($AB210&lt;&gt;Constants!$B$7,$AB210,Constants!$B$20))</f>
        <v/>
      </c>
      <c r="AD210" s="97" t="str">
        <f aca="false">IF($AB210=Constants!$B$7,IF(Z210,S210,Constants!$B$13),"")</f>
        <v/>
      </c>
      <c r="AE210" s="97" t="str">
        <f aca="false">IF($AB210=Constants!$B$7,IF(Z210,R210*IF(T210, 1, Constants!$B$11)*IF(U210, 1, Constants!$B$12),Constants!$B$13),"")</f>
        <v/>
      </c>
      <c r="AF210" s="97" t="str">
        <f aca="false">IF($AB210=Constants!$B$7,AD210*AE210,"")</f>
        <v/>
      </c>
      <c r="AG210" s="97" t="str">
        <f aca="false">IF($AB210=Constants!$B$7,IF(AA210,V210,Constants!$B$13),"")</f>
        <v/>
      </c>
      <c r="AH210" s="97" t="str">
        <f aca="false">IF($AB210=Constants!$B$7,IF(AA210,R210*IF(W210, 1, Constants!$B$11)*IF(X210, 1, Constants!$B$12),Constants!$B$13),"")</f>
        <v/>
      </c>
      <c r="AI210" s="97" t="str">
        <f aca="false">IF($AB210=Constants!$B$7,AG210*AH210,"")</f>
        <v/>
      </c>
      <c r="AJ210" s="97" t="str">
        <f aca="false">IF($AB210=Constants!$B$7,IF(AI210&gt;AF210,2,1),"")</f>
        <v/>
      </c>
      <c r="AK210" s="97" t="str">
        <f aca="false">IF($AB210=Constants!$B$7,IF(AJ210=1,2,1),"")</f>
        <v/>
      </c>
      <c r="AL210" s="97" t="str">
        <f aca="false">IF(ISBLANK($C210),"",IF($AB210&lt;&gt;Constants!$B$7,$AB210,IF(AJ210=1,AF210,AI210)))</f>
        <v/>
      </c>
      <c r="AM210" s="97" t="str">
        <f aca="false">IF(ISBLANK($C210),"",IF($AB210=Constants!$B$7,IF(ISNUMBER(AL210),RANK(AL210,$AL$8:$AL$507),Constants!$B$14),$AB210))</f>
        <v/>
      </c>
      <c r="AN210" s="97" t="str">
        <f aca="false">IF(ISBLANK($C210),"",IF($AB210=Constants!$B$7,IF(AK210=1,AF210,AI210),""))</f>
        <v/>
      </c>
      <c r="AO210" s="97" t="str">
        <f aca="false">IF(ISBLANK($C210),"",IF($AB210=Constants!$B$7,RANK(AN210,$AN$8:$AN$507),$AB210))</f>
        <v/>
      </c>
      <c r="AP210" s="97" t="str">
        <f aca="false">IF(ISBLANK($C210),"",IF($AB210=Constants!$B$7,IF(ISNUMBER(AM210),COUNTIFS($AM$8:$AM$507,"&lt;"&amp;$AM210)+COUNTIFS($AM$8:$AM$507,$AM210,$AO$8:$AO$507,"&lt;"&amp;$AO210)+1,Constants!$B$14),$AB210))</f>
        <v/>
      </c>
      <c r="AQ210" s="97" t="str">
        <f aca="false">IF(ISBLANK($C210),"",IF($AB210=Constants!$B$7,IF(ISNUMBER(AM210),AM210-AP210,Constants!$B$14),$AB210))</f>
        <v/>
      </c>
      <c r="AR210" s="98"/>
      <c r="AS210" s="99" t="str">
        <f aca="false">IF(ISBLANK($C210),"",IF($AB210&lt;&gt;Constants!$B$7,"",AJ210))</f>
        <v/>
      </c>
      <c r="AT210" s="100" t="str">
        <f aca="false">IF(ISBLANK($C210),"",IF($AB210&lt;&gt;Constants!$B$7,"",IF(AJ210=1,AD210,AG210)))</f>
        <v/>
      </c>
      <c r="AU210" s="101" t="str">
        <f aca="false">IF(ISBLANK($C210),"",IF($AB210&lt;&gt;Constants!$B$7,"",IF(AJ210=1,AE210,AH210)))</f>
        <v/>
      </c>
      <c r="AV210" s="102" t="str">
        <f aca="false">IF(ISBLANK($C210),"",IF($AB210&lt;&gt;Constants!$B$7,$AB210,AL210))</f>
        <v/>
      </c>
      <c r="AW210" s="103" t="str">
        <f aca="false">IF(ISBLANK($C210),"",IF($AB210&lt;&gt;Constants!$B$7,$AB210,AC210))</f>
        <v/>
      </c>
      <c r="AX210" s="104" t="str">
        <f aca="false">IF(ISBLANK($C210),"",AQ210)</f>
        <v/>
      </c>
      <c r="AY210" s="104" t="str">
        <f aca="false">IF(ISBLANK($C210),"",AP210)</f>
        <v/>
      </c>
      <c r="AZ210" s="105" t="str">
        <f aca="false">IF(ISBLANK($C210),"",IF(AY210=Constants!$B$4,COUNTA($C$8:$C$507)+2,IF(AY210=Constants!$B$5,COUNTA($C$8:$C$507)+1,IF(AY210=Constants!$B$6,COUNTA($C$8:$C$507),AY210))))</f>
        <v/>
      </c>
      <c r="BA210" s="5"/>
      <c r="BB210" s="106" t="n">
        <f aca="false">IF(OR(ISNUMBER(AY210),AY210=Constants!$B$4,AY210=Constants!$B$6,AY210=Constants!$B$5),1,0)</f>
        <v>0</v>
      </c>
      <c r="BC210" s="106" t="n">
        <v>203</v>
      </c>
      <c r="BD210" s="106" t="str">
        <f aca="false">IF(ISBLANK($C210),"",IF(ISNUMBER(AZ210),AZ210+ROW($B210)/1000,""))</f>
        <v/>
      </c>
      <c r="BE210" s="106" t="str">
        <f aca="false">IF(ISNUMBER(BD210),RANK(BD210,$BD$8:$BD$507,1),"")</f>
        <v/>
      </c>
      <c r="BF210" s="106" t="str">
        <f aca="false">IF(ISBLANK($C210),"",$B210)</f>
        <v/>
      </c>
      <c r="BG210" s="106" t="str">
        <f aca="false">IF(ISBLANK($C210),"",$C210)</f>
        <v/>
      </c>
      <c r="BH210" s="106" t="str">
        <f aca="false">IF(ISBLANK($C210),"",$D210)</f>
        <v/>
      </c>
      <c r="BI210" s="107" t="str">
        <f aca="false">AW210</f>
        <v/>
      </c>
      <c r="BJ210" s="108" t="str">
        <f aca="false">AV210</f>
        <v/>
      </c>
      <c r="BK210" s="106" t="str">
        <f aca="false">IF(ISBLANK($C210),"",AY210)</f>
        <v/>
      </c>
      <c r="BL210" s="109" t="str">
        <f aca="false">IF($BC210&gt;$BB$7,"",VLOOKUP($BC210,$BE$8:$BK$507,7,FALSE()))</f>
        <v/>
      </c>
      <c r="BM210" s="110" t="str">
        <f aca="false">IF($BC210&gt;$BB$7,"",VLOOKUP($BC210,$BE$8:$BK$507,2,FALSE()))</f>
        <v/>
      </c>
      <c r="BN210" s="110" t="str">
        <f aca="false">IF($BC210&gt;$BB$7,"",VLOOKUP($BC210,$BE$8:$BK$507,3,FALSE()))</f>
        <v/>
      </c>
      <c r="BO210" s="110" t="str">
        <f aca="false">IF($BC210&gt;$BB$7,"",VLOOKUP($BC210,$BE$8:$BK$507,4,FALSE()))</f>
        <v/>
      </c>
      <c r="BP210" s="110" t="str">
        <f aca="false">IF($BC210&gt;$BB$7,"",VLOOKUP($BC210,$BE$8:$BK$507,5,FALSE()))</f>
        <v/>
      </c>
      <c r="BQ210" s="111" t="str">
        <f aca="false">IF($BC210&gt;$BB$7,"",VLOOKUP($BC210,$BE$8:$BK$507,6,FALSE()))</f>
        <v/>
      </c>
      <c r="BR210" s="54"/>
    </row>
    <row r="211" customFormat="false" ht="15.75" hidden="false" customHeight="false" outlineLevel="0" collapsed="false">
      <c r="A211" s="5"/>
      <c r="B211" s="120"/>
      <c r="C211" s="121"/>
      <c r="D211" s="112"/>
      <c r="E211" s="123"/>
      <c r="F211" s="91"/>
      <c r="G211" s="92"/>
      <c r="H211" s="93"/>
      <c r="I211" s="94"/>
      <c r="J211" s="91"/>
      <c r="K211" s="92"/>
      <c r="L211" s="93"/>
      <c r="M211" s="94"/>
      <c r="N211" s="91"/>
      <c r="O211" s="123"/>
      <c r="P211" s="96"/>
      <c r="Q211" s="97" t="str">
        <f aca="false">IF(ISBLANK($C211),"",IF(E211=Constants!$B$2, TRUE(), IF(E211=Constants!$B$3, FALSE(), TRUE())))</f>
        <v/>
      </c>
      <c r="R211" s="97" t="str">
        <f aca="false">IF(ISBLANK($C211),"",IF(F211=Constants!$B$16,Constants!$B$9,IF(F211=Constants!$B$17,Constants!$B$10,Constants!$B$8)))</f>
        <v/>
      </c>
      <c r="S211" s="97" t="str">
        <f aca="false">IF(ISBLANK($C211),"",IF(COUNTA(G211:H211)=0,"",IF(AND(OR(ISBLANK(G211),AND(ISNUMBER(G211),G211&gt;=0)),OR(ISBLANK(H211),AND(ISNUMBER(H211),H211&gt;=0))),60*IF(ISBLANK(G211),0,G211)+IF(ISBLANK(H211),0,H211),"")))</f>
        <v/>
      </c>
      <c r="T211" s="97" t="str">
        <f aca="false">IF(ISBLANK($C211),"",IF(I211=Constants!$B$2, TRUE(), IF(I211=Constants!$B$3, FALSE(), TRUE())))</f>
        <v/>
      </c>
      <c r="U211" s="97" t="str">
        <f aca="false">IF(ISBLANK($C211),"",IF(J211=Constants!$B$2, TRUE(), IF(J211=Constants!$B$3, FALSE(), TRUE())))</f>
        <v/>
      </c>
      <c r="V211" s="97" t="str">
        <f aca="false">IF(ISBLANK($C211),"",IF(COUNTA(K211:L211)=0,"",IF(AND(OR(ISBLANK(K211),AND(ISNUMBER(K211),K211&gt;=0)),OR(ISBLANK(L211),AND(ISNUMBER(L211),L211&gt;=0))),60*IF(ISBLANK(K211),0,K211)+IF(ISBLANK(L211),0,L211),"")))</f>
        <v/>
      </c>
      <c r="W211" s="97" t="str">
        <f aca="false">IF(ISBLANK($C211),"",IF(M211=Constants!$B$2, TRUE(), IF(M211=Constants!$B$3, FALSE(), TRUE())))</f>
        <v/>
      </c>
      <c r="X211" s="97" t="str">
        <f aca="false">IF(ISBLANK($C211),"",IF(N211=Constants!$B$2, TRUE(), IF(N211=Constants!$B$3, FALSE(), TRUE())))</f>
        <v/>
      </c>
      <c r="Y211" s="97" t="str">
        <f aca="false">IF(ISBLANK($C211),"",IF(O211=Constants!$B$2, TRUE(), IF(O211=Constants!$B$3, FALSE(), FALSE())))</f>
        <v/>
      </c>
      <c r="Z211" s="97" t="str">
        <f aca="false">IF(ISBLANK($C211),"",AND(S211&lt;&gt;"",Q211))</f>
        <v/>
      </c>
      <c r="AA211" s="97" t="str">
        <f aca="false">IF(ISBLANK($C211),"",AND(V211&lt;&gt;"",Q211))</f>
        <v/>
      </c>
      <c r="AB211" s="97" t="str">
        <f aca="false">IF(ISBLANK($C211),"",IF(Y211,Constants!$B$4,IF(COUNTA(E211:N211)=0,Constants!$B$5,IF(NOT(Q211),Constants!$B$6,IF(AND(NOT(Z211),NOT(AA211)),Constants!$B$6,Constants!$B$7)))))</f>
        <v/>
      </c>
      <c r="AC211" s="97" t="str">
        <f aca="false">IF(ISBLANK($C211),"",IF($AB211&lt;&gt;Constants!$B$7,$AB211,Constants!$B$20))</f>
        <v/>
      </c>
      <c r="AD211" s="97" t="str">
        <f aca="false">IF($AB211=Constants!$B$7,IF(Z211,S211,Constants!$B$13),"")</f>
        <v/>
      </c>
      <c r="AE211" s="97" t="str">
        <f aca="false">IF($AB211=Constants!$B$7,IF(Z211,R211*IF(T211, 1, Constants!$B$11)*IF(U211, 1, Constants!$B$12),Constants!$B$13),"")</f>
        <v/>
      </c>
      <c r="AF211" s="97" t="str">
        <f aca="false">IF($AB211=Constants!$B$7,AD211*AE211,"")</f>
        <v/>
      </c>
      <c r="AG211" s="97" t="str">
        <f aca="false">IF($AB211=Constants!$B$7,IF(AA211,V211,Constants!$B$13),"")</f>
        <v/>
      </c>
      <c r="AH211" s="97" t="str">
        <f aca="false">IF($AB211=Constants!$B$7,IF(AA211,R211*IF(W211, 1, Constants!$B$11)*IF(X211, 1, Constants!$B$12),Constants!$B$13),"")</f>
        <v/>
      </c>
      <c r="AI211" s="97" t="str">
        <f aca="false">IF($AB211=Constants!$B$7,AG211*AH211,"")</f>
        <v/>
      </c>
      <c r="AJ211" s="97" t="str">
        <f aca="false">IF($AB211=Constants!$B$7,IF(AI211&gt;AF211,2,1),"")</f>
        <v/>
      </c>
      <c r="AK211" s="97" t="str">
        <f aca="false">IF($AB211=Constants!$B$7,IF(AJ211=1,2,1),"")</f>
        <v/>
      </c>
      <c r="AL211" s="97" t="str">
        <f aca="false">IF(ISBLANK($C211),"",IF($AB211&lt;&gt;Constants!$B$7,$AB211,IF(AJ211=1,AF211,AI211)))</f>
        <v/>
      </c>
      <c r="AM211" s="97" t="str">
        <f aca="false">IF(ISBLANK($C211),"",IF($AB211=Constants!$B$7,IF(ISNUMBER(AL211),RANK(AL211,$AL$8:$AL$507),Constants!$B$14),$AB211))</f>
        <v/>
      </c>
      <c r="AN211" s="97" t="str">
        <f aca="false">IF(ISBLANK($C211),"",IF($AB211=Constants!$B$7,IF(AK211=1,AF211,AI211),""))</f>
        <v/>
      </c>
      <c r="AO211" s="97" t="str">
        <f aca="false">IF(ISBLANK($C211),"",IF($AB211=Constants!$B$7,RANK(AN211,$AN$8:$AN$507),$AB211))</f>
        <v/>
      </c>
      <c r="AP211" s="97" t="str">
        <f aca="false">IF(ISBLANK($C211),"",IF($AB211=Constants!$B$7,IF(ISNUMBER(AM211),COUNTIFS($AM$8:$AM$507,"&lt;"&amp;$AM211)+COUNTIFS($AM$8:$AM$507,$AM211,$AO$8:$AO$507,"&lt;"&amp;$AO211)+1,Constants!$B$14),$AB211))</f>
        <v/>
      </c>
      <c r="AQ211" s="97" t="str">
        <f aca="false">IF(ISBLANK($C211),"",IF($AB211=Constants!$B$7,IF(ISNUMBER(AM211),AM211-AP211,Constants!$B$14),$AB211))</f>
        <v/>
      </c>
      <c r="AR211" s="98"/>
      <c r="AS211" s="99" t="str">
        <f aca="false">IF(ISBLANK($C211),"",IF($AB211&lt;&gt;Constants!$B$7,"",AJ211))</f>
        <v/>
      </c>
      <c r="AT211" s="100" t="str">
        <f aca="false">IF(ISBLANK($C211),"",IF($AB211&lt;&gt;Constants!$B$7,"",IF(AJ211=1,AD211,AG211)))</f>
        <v/>
      </c>
      <c r="AU211" s="101" t="str">
        <f aca="false">IF(ISBLANK($C211),"",IF($AB211&lt;&gt;Constants!$B$7,"",IF(AJ211=1,AE211,AH211)))</f>
        <v/>
      </c>
      <c r="AV211" s="102" t="str">
        <f aca="false">IF(ISBLANK($C211),"",IF($AB211&lt;&gt;Constants!$B$7,$AB211,AL211))</f>
        <v/>
      </c>
      <c r="AW211" s="103" t="str">
        <f aca="false">IF(ISBLANK($C211),"",IF($AB211&lt;&gt;Constants!$B$7,$AB211,AC211))</f>
        <v/>
      </c>
      <c r="AX211" s="104" t="str">
        <f aca="false">IF(ISBLANK($C211),"",AQ211)</f>
        <v/>
      </c>
      <c r="AY211" s="104" t="str">
        <f aca="false">IF(ISBLANK($C211),"",AP211)</f>
        <v/>
      </c>
      <c r="AZ211" s="105" t="str">
        <f aca="false">IF(ISBLANK($C211),"",IF(AY211=Constants!$B$4,COUNTA($C$8:$C$507)+2,IF(AY211=Constants!$B$5,COUNTA($C$8:$C$507)+1,IF(AY211=Constants!$B$6,COUNTA($C$8:$C$507),AY211))))</f>
        <v/>
      </c>
      <c r="BA211" s="5"/>
      <c r="BB211" s="106" t="n">
        <f aca="false">IF(OR(ISNUMBER(AY211),AY211=Constants!$B$4,AY211=Constants!$B$6,AY211=Constants!$B$5),1,0)</f>
        <v>0</v>
      </c>
      <c r="BC211" s="106" t="n">
        <v>204</v>
      </c>
      <c r="BD211" s="106" t="str">
        <f aca="false">IF(ISBLANK($C211),"",IF(ISNUMBER(AZ211),AZ211+ROW($B211)/1000,""))</f>
        <v/>
      </c>
      <c r="BE211" s="106" t="str">
        <f aca="false">IF(ISNUMBER(BD211),RANK(BD211,$BD$8:$BD$507,1),"")</f>
        <v/>
      </c>
      <c r="BF211" s="106" t="str">
        <f aca="false">IF(ISBLANK($C211),"",$B211)</f>
        <v/>
      </c>
      <c r="BG211" s="106" t="str">
        <f aca="false">IF(ISBLANK($C211),"",$C211)</f>
        <v/>
      </c>
      <c r="BH211" s="106" t="str">
        <f aca="false">IF(ISBLANK($C211),"",$D211)</f>
        <v/>
      </c>
      <c r="BI211" s="107" t="str">
        <f aca="false">AW211</f>
        <v/>
      </c>
      <c r="BJ211" s="108" t="str">
        <f aca="false">AV211</f>
        <v/>
      </c>
      <c r="BK211" s="106" t="str">
        <f aca="false">IF(ISBLANK($C211),"",AY211)</f>
        <v/>
      </c>
      <c r="BL211" s="109" t="str">
        <f aca="false">IF($BC211&gt;$BB$7,"",VLOOKUP($BC211,$BE$8:$BK$507,7,FALSE()))</f>
        <v/>
      </c>
      <c r="BM211" s="110" t="str">
        <f aca="false">IF($BC211&gt;$BB$7,"",VLOOKUP($BC211,$BE$8:$BK$507,2,FALSE()))</f>
        <v/>
      </c>
      <c r="BN211" s="110" t="str">
        <f aca="false">IF($BC211&gt;$BB$7,"",VLOOKUP($BC211,$BE$8:$BK$507,3,FALSE()))</f>
        <v/>
      </c>
      <c r="BO211" s="110" t="str">
        <f aca="false">IF($BC211&gt;$BB$7,"",VLOOKUP($BC211,$BE$8:$BK$507,4,FALSE()))</f>
        <v/>
      </c>
      <c r="BP211" s="110" t="str">
        <f aca="false">IF($BC211&gt;$BB$7,"",VLOOKUP($BC211,$BE$8:$BK$507,5,FALSE()))</f>
        <v/>
      </c>
      <c r="BQ211" s="111" t="str">
        <f aca="false">IF($BC211&gt;$BB$7,"",VLOOKUP($BC211,$BE$8:$BK$507,6,FALSE()))</f>
        <v/>
      </c>
      <c r="BR211" s="54"/>
    </row>
    <row r="212" customFormat="false" ht="15.75" hidden="false" customHeight="false" outlineLevel="0" collapsed="false">
      <c r="A212" s="5"/>
      <c r="B212" s="124"/>
      <c r="C212" s="56"/>
      <c r="D212" s="57"/>
      <c r="E212" s="83"/>
      <c r="F212" s="59"/>
      <c r="G212" s="60"/>
      <c r="H212" s="61"/>
      <c r="I212" s="62"/>
      <c r="J212" s="59"/>
      <c r="K212" s="60"/>
      <c r="L212" s="61"/>
      <c r="M212" s="62"/>
      <c r="N212" s="59"/>
      <c r="O212" s="83"/>
      <c r="P212" s="64"/>
      <c r="Q212" s="66" t="str">
        <f aca="false">IF(ISBLANK($C212),"",IF(E212=Constants!$B$2, TRUE(), IF(E212=Constants!$B$3, FALSE(), TRUE())))</f>
        <v/>
      </c>
      <c r="R212" s="66" t="str">
        <f aca="false">IF(ISBLANK($C212),"",IF(F212=Constants!$B$16,Constants!$B$9,IF(F212=Constants!$B$17,Constants!$B$10,Constants!$B$8)))</f>
        <v/>
      </c>
      <c r="S212" s="66" t="str">
        <f aca="false">IF(ISBLANK($C212),"",IF(COUNTA(G212:H212)=0,"",IF(AND(OR(ISBLANK(G212),AND(ISNUMBER(G212),G212&gt;=0)),OR(ISBLANK(H212),AND(ISNUMBER(H212),H212&gt;=0))),60*IF(ISBLANK(G212),0,G212)+IF(ISBLANK(H212),0,H212),"")))</f>
        <v/>
      </c>
      <c r="T212" s="66" t="str">
        <f aca="false">IF(ISBLANK($C212),"",IF(I212=Constants!$B$2, TRUE(), IF(I212=Constants!$B$3, FALSE(), TRUE())))</f>
        <v/>
      </c>
      <c r="U212" s="66" t="str">
        <f aca="false">IF(ISBLANK($C212),"",IF(J212=Constants!$B$2, TRUE(), IF(J212=Constants!$B$3, FALSE(), TRUE())))</f>
        <v/>
      </c>
      <c r="V212" s="66" t="str">
        <f aca="false">IF(ISBLANK($C212),"",IF(COUNTA(K212:L212)=0,"",IF(AND(OR(ISBLANK(K212),AND(ISNUMBER(K212),K212&gt;=0)),OR(ISBLANK(L212),AND(ISNUMBER(L212),L212&gt;=0))),60*IF(ISBLANK(K212),0,K212)+IF(ISBLANK(L212),0,L212),"")))</f>
        <v/>
      </c>
      <c r="W212" s="66" t="str">
        <f aca="false">IF(ISBLANK($C212),"",IF(M212=Constants!$B$2, TRUE(), IF(M212=Constants!$B$3, FALSE(), TRUE())))</f>
        <v/>
      </c>
      <c r="X212" s="66" t="str">
        <f aca="false">IF(ISBLANK($C212),"",IF(N212=Constants!$B$2, TRUE(), IF(N212=Constants!$B$3, FALSE(), TRUE())))</f>
        <v/>
      </c>
      <c r="Y212" s="66" t="str">
        <f aca="false">IF(ISBLANK($C212),"",IF(O212=Constants!$B$2, TRUE(), IF(O212=Constants!$B$3, FALSE(), FALSE())))</f>
        <v/>
      </c>
      <c r="Z212" s="66" t="str">
        <f aca="false">IF(ISBLANK($C212),"",AND(S212&lt;&gt;"",Q212))</f>
        <v/>
      </c>
      <c r="AA212" s="66" t="str">
        <f aca="false">IF(ISBLANK($C212),"",AND(V212&lt;&gt;"",Q212))</f>
        <v/>
      </c>
      <c r="AB212" s="66" t="str">
        <f aca="false">IF(ISBLANK($C212),"",IF(Y212,Constants!$B$4,IF(COUNTA(E212:N212)=0,Constants!$B$5,IF(NOT(Q212),Constants!$B$6,IF(AND(NOT(Z212),NOT(AA212)),Constants!$B$6,Constants!$B$7)))))</f>
        <v/>
      </c>
      <c r="AC212" s="66" t="str">
        <f aca="false">IF(ISBLANK($C212),"",IF($AB212&lt;&gt;Constants!$B$7,$AB212,Constants!$B$20))</f>
        <v/>
      </c>
      <c r="AD212" s="66" t="str">
        <f aca="false">IF($AB212=Constants!$B$7,IF(Z212,S212,Constants!$B$13),"")</f>
        <v/>
      </c>
      <c r="AE212" s="66" t="str">
        <f aca="false">IF($AB212=Constants!$B$7,IF(Z212,R212*IF(T212, 1, Constants!$B$11)*IF(U212, 1, Constants!$B$12),Constants!$B$13),"")</f>
        <v/>
      </c>
      <c r="AF212" s="66" t="str">
        <f aca="false">IF($AB212=Constants!$B$7,AD212*AE212,"")</f>
        <v/>
      </c>
      <c r="AG212" s="66" t="str">
        <f aca="false">IF($AB212=Constants!$B$7,IF(AA212,V212,Constants!$B$13),"")</f>
        <v/>
      </c>
      <c r="AH212" s="66" t="str">
        <f aca="false">IF($AB212=Constants!$B$7,IF(AA212,R212*IF(W212, 1, Constants!$B$11)*IF(X212, 1, Constants!$B$12),Constants!$B$13),"")</f>
        <v/>
      </c>
      <c r="AI212" s="66" t="str">
        <f aca="false">IF($AB212=Constants!$B$7,AG212*AH212,"")</f>
        <v/>
      </c>
      <c r="AJ212" s="66" t="str">
        <f aca="false">IF($AB212=Constants!$B$7,IF(AI212&gt;AF212,2,1),"")</f>
        <v/>
      </c>
      <c r="AK212" s="66" t="str">
        <f aca="false">IF($AB212=Constants!$B$7,IF(AJ212=1,2,1),"")</f>
        <v/>
      </c>
      <c r="AL212" s="66" t="str">
        <f aca="false">IF(ISBLANK($C212),"",IF($AB212&lt;&gt;Constants!$B$7,$AB212,IF(AJ212=1,AF212,AI212)))</f>
        <v/>
      </c>
      <c r="AM212" s="66" t="str">
        <f aca="false">IF(ISBLANK($C212),"",IF($AB212=Constants!$B$7,IF(ISNUMBER(AL212),RANK(AL212,$AL$8:$AL$507),Constants!$B$14),$AB212))</f>
        <v/>
      </c>
      <c r="AN212" s="66" t="str">
        <f aca="false">IF(ISBLANK($C212),"",IF($AB212=Constants!$B$7,IF(AK212=1,AF212,AI212),""))</f>
        <v/>
      </c>
      <c r="AO212" s="66" t="str">
        <f aca="false">IF(ISBLANK($C212),"",IF($AB212=Constants!$B$7,RANK(AN212,$AN$8:$AN$507),$AB212))</f>
        <v/>
      </c>
      <c r="AP212" s="66" t="str">
        <f aca="false">IF(ISBLANK($C212),"",IF($AB212=Constants!$B$7,IF(ISNUMBER(AM212),COUNTIFS($AM$8:$AM$507,"&lt;"&amp;$AM212)+COUNTIFS($AM$8:$AM$507,$AM212,$AO$8:$AO$507,"&lt;"&amp;$AO212)+1,Constants!$B$14),$AB212))</f>
        <v/>
      </c>
      <c r="AQ212" s="66" t="str">
        <f aca="false">IF(ISBLANK($C212),"",IF($AB212=Constants!$B$7,IF(ISNUMBER(AM212),AM212-AP212,Constants!$B$14),$AB212))</f>
        <v/>
      </c>
      <c r="AR212" s="68"/>
      <c r="AS212" s="69" t="str">
        <f aca="false">IF(ISBLANK($C212),"",IF($AB212&lt;&gt;Constants!$B$7,"",AJ212))</f>
        <v/>
      </c>
      <c r="AT212" s="84" t="str">
        <f aca="false">IF(ISBLANK($C212),"",IF($AB212&lt;&gt;Constants!$B$7,"",IF(AJ212=1,AD212,AG212)))</f>
        <v/>
      </c>
      <c r="AU212" s="71" t="str">
        <f aca="false">IF(ISBLANK($C212),"",IF($AB212&lt;&gt;Constants!$B$7,"",IF(AJ212=1,AE212,AH212)))</f>
        <v/>
      </c>
      <c r="AV212" s="72" t="str">
        <f aca="false">IF(ISBLANK($C212),"",IF($AB212&lt;&gt;Constants!$B$7,$AB212,AL212))</f>
        <v/>
      </c>
      <c r="AW212" s="73" t="str">
        <f aca="false">IF(ISBLANK($C212),"",IF($AB212&lt;&gt;Constants!$B$7,$AB212,AC212))</f>
        <v/>
      </c>
      <c r="AX212" s="74" t="str">
        <f aca="false">IF(ISBLANK($C212),"",AQ212)</f>
        <v/>
      </c>
      <c r="AY212" s="74" t="str">
        <f aca="false">IF(ISBLANK($C212),"",AP212)</f>
        <v/>
      </c>
      <c r="AZ212" s="75" t="str">
        <f aca="false">IF(ISBLANK($C212),"",IF(AY212=Constants!$B$4,COUNTA($C$8:$C$507)+2,IF(AY212=Constants!$B$5,COUNTA($C$8:$C$507)+1,IF(AY212=Constants!$B$6,COUNTA($C$8:$C$507),AY212))))</f>
        <v/>
      </c>
      <c r="BA212" s="5"/>
      <c r="BB212" s="76" t="n">
        <f aca="false">IF(OR(ISNUMBER(AY212),AY212=Constants!$B$4,AY212=Constants!$B$6,AY212=Constants!$B$5),1,0)</f>
        <v>0</v>
      </c>
      <c r="BC212" s="76" t="n">
        <v>205</v>
      </c>
      <c r="BD212" s="76" t="str">
        <f aca="false">IF(ISBLANK($C212),"",IF(ISNUMBER(AZ212),AZ212+ROW($B212)/1000,""))</f>
        <v/>
      </c>
      <c r="BE212" s="76" t="str">
        <f aca="false">IF(ISNUMBER(BD212),RANK(BD212,$BD$8:$BD$507,1),"")</f>
        <v/>
      </c>
      <c r="BF212" s="76" t="str">
        <f aca="false">IF(ISBLANK($C212),"",$B212)</f>
        <v/>
      </c>
      <c r="BG212" s="76" t="str">
        <f aca="false">IF(ISBLANK($C212),"",$C212)</f>
        <v/>
      </c>
      <c r="BH212" s="76" t="str">
        <f aca="false">IF(ISBLANK($C212),"",$D212)</f>
        <v/>
      </c>
      <c r="BI212" s="77" t="str">
        <f aca="false">AW212</f>
        <v/>
      </c>
      <c r="BJ212" s="78" t="str">
        <f aca="false">AV212</f>
        <v/>
      </c>
      <c r="BK212" s="76" t="str">
        <f aca="false">IF(ISBLANK($C212),"",AY212)</f>
        <v/>
      </c>
      <c r="BL212" s="79" t="str">
        <f aca="false">IF($BC212&gt;$BB$7,"",VLOOKUP($BC212,$BE$8:$BK$507,7,FALSE()))</f>
        <v/>
      </c>
      <c r="BM212" s="80" t="str">
        <f aca="false">IF($BC212&gt;$BB$7,"",VLOOKUP($BC212,$BE$8:$BK$507,2,FALSE()))</f>
        <v/>
      </c>
      <c r="BN212" s="80" t="str">
        <f aca="false">IF($BC212&gt;$BB$7,"",VLOOKUP($BC212,$BE$8:$BK$507,3,FALSE()))</f>
        <v/>
      </c>
      <c r="BO212" s="80" t="str">
        <f aca="false">IF($BC212&gt;$BB$7,"",VLOOKUP($BC212,$BE$8:$BK$507,4,FALSE()))</f>
        <v/>
      </c>
      <c r="BP212" s="80" t="str">
        <f aca="false">IF($BC212&gt;$BB$7,"",VLOOKUP($BC212,$BE$8:$BK$507,5,FALSE()))</f>
        <v/>
      </c>
      <c r="BQ212" s="81" t="str">
        <f aca="false">IF($BC212&gt;$BB$7,"",VLOOKUP($BC212,$BE$8:$BK$507,6,FALSE()))</f>
        <v/>
      </c>
      <c r="BR212" s="54"/>
    </row>
    <row r="213" customFormat="false" ht="15.75" hidden="false" customHeight="false" outlineLevel="0" collapsed="false">
      <c r="A213" s="5"/>
      <c r="B213" s="124"/>
      <c r="C213" s="56"/>
      <c r="D213" s="57"/>
      <c r="E213" s="83"/>
      <c r="F213" s="59"/>
      <c r="G213" s="60"/>
      <c r="H213" s="61"/>
      <c r="I213" s="62"/>
      <c r="J213" s="59"/>
      <c r="K213" s="60"/>
      <c r="L213" s="61"/>
      <c r="M213" s="62"/>
      <c r="N213" s="59"/>
      <c r="O213" s="83"/>
      <c r="P213" s="64"/>
      <c r="Q213" s="66" t="str">
        <f aca="false">IF(ISBLANK($C213),"",IF(E213=Constants!$B$2, TRUE(), IF(E213=Constants!$B$3, FALSE(), TRUE())))</f>
        <v/>
      </c>
      <c r="R213" s="66" t="str">
        <f aca="false">IF(ISBLANK($C213),"",IF(F213=Constants!$B$16,Constants!$B$9,IF(F213=Constants!$B$17,Constants!$B$10,Constants!$B$8)))</f>
        <v/>
      </c>
      <c r="S213" s="66" t="str">
        <f aca="false">IF(ISBLANK($C213),"",IF(COUNTA(G213:H213)=0,"",IF(AND(OR(ISBLANK(G213),AND(ISNUMBER(G213),G213&gt;=0)),OR(ISBLANK(H213),AND(ISNUMBER(H213),H213&gt;=0))),60*IF(ISBLANK(G213),0,G213)+IF(ISBLANK(H213),0,H213),"")))</f>
        <v/>
      </c>
      <c r="T213" s="66" t="str">
        <f aca="false">IF(ISBLANK($C213),"",IF(I213=Constants!$B$2, TRUE(), IF(I213=Constants!$B$3, FALSE(), TRUE())))</f>
        <v/>
      </c>
      <c r="U213" s="66" t="str">
        <f aca="false">IF(ISBLANK($C213),"",IF(J213=Constants!$B$2, TRUE(), IF(J213=Constants!$B$3, FALSE(), TRUE())))</f>
        <v/>
      </c>
      <c r="V213" s="66" t="str">
        <f aca="false">IF(ISBLANK($C213),"",IF(COUNTA(K213:L213)=0,"",IF(AND(OR(ISBLANK(K213),AND(ISNUMBER(K213),K213&gt;=0)),OR(ISBLANK(L213),AND(ISNUMBER(L213),L213&gt;=0))),60*IF(ISBLANK(K213),0,K213)+IF(ISBLANK(L213),0,L213),"")))</f>
        <v/>
      </c>
      <c r="W213" s="66" t="str">
        <f aca="false">IF(ISBLANK($C213),"",IF(M213=Constants!$B$2, TRUE(), IF(M213=Constants!$B$3, FALSE(), TRUE())))</f>
        <v/>
      </c>
      <c r="X213" s="66" t="str">
        <f aca="false">IF(ISBLANK($C213),"",IF(N213=Constants!$B$2, TRUE(), IF(N213=Constants!$B$3, FALSE(), TRUE())))</f>
        <v/>
      </c>
      <c r="Y213" s="66" t="str">
        <f aca="false">IF(ISBLANK($C213),"",IF(O213=Constants!$B$2, TRUE(), IF(O213=Constants!$B$3, FALSE(), FALSE())))</f>
        <v/>
      </c>
      <c r="Z213" s="66" t="str">
        <f aca="false">IF(ISBLANK($C213),"",AND(S213&lt;&gt;"",Q213))</f>
        <v/>
      </c>
      <c r="AA213" s="66" t="str">
        <f aca="false">IF(ISBLANK($C213),"",AND(V213&lt;&gt;"",Q213))</f>
        <v/>
      </c>
      <c r="AB213" s="66" t="str">
        <f aca="false">IF(ISBLANK($C213),"",IF(Y213,Constants!$B$4,IF(COUNTA(E213:N213)=0,Constants!$B$5,IF(NOT(Q213),Constants!$B$6,IF(AND(NOT(Z213),NOT(AA213)),Constants!$B$6,Constants!$B$7)))))</f>
        <v/>
      </c>
      <c r="AC213" s="66" t="str">
        <f aca="false">IF(ISBLANK($C213),"",IF($AB213&lt;&gt;Constants!$B$7,$AB213,Constants!$B$20))</f>
        <v/>
      </c>
      <c r="AD213" s="66" t="str">
        <f aca="false">IF($AB213=Constants!$B$7,IF(Z213,S213,Constants!$B$13),"")</f>
        <v/>
      </c>
      <c r="AE213" s="66" t="str">
        <f aca="false">IF($AB213=Constants!$B$7,IF(Z213,R213*IF(T213, 1, Constants!$B$11)*IF(U213, 1, Constants!$B$12),Constants!$B$13),"")</f>
        <v/>
      </c>
      <c r="AF213" s="66" t="str">
        <f aca="false">IF($AB213=Constants!$B$7,AD213*AE213,"")</f>
        <v/>
      </c>
      <c r="AG213" s="66" t="str">
        <f aca="false">IF($AB213=Constants!$B$7,IF(AA213,V213,Constants!$B$13),"")</f>
        <v/>
      </c>
      <c r="AH213" s="66" t="str">
        <f aca="false">IF($AB213=Constants!$B$7,IF(AA213,R213*IF(W213, 1, Constants!$B$11)*IF(X213, 1, Constants!$B$12),Constants!$B$13),"")</f>
        <v/>
      </c>
      <c r="AI213" s="66" t="str">
        <f aca="false">IF($AB213=Constants!$B$7,AG213*AH213,"")</f>
        <v/>
      </c>
      <c r="AJ213" s="66" t="str">
        <f aca="false">IF($AB213=Constants!$B$7,IF(AI213&gt;AF213,2,1),"")</f>
        <v/>
      </c>
      <c r="AK213" s="66" t="str">
        <f aca="false">IF($AB213=Constants!$B$7,IF(AJ213=1,2,1),"")</f>
        <v/>
      </c>
      <c r="AL213" s="66" t="str">
        <f aca="false">IF(ISBLANK($C213),"",IF($AB213&lt;&gt;Constants!$B$7,$AB213,IF(AJ213=1,AF213,AI213)))</f>
        <v/>
      </c>
      <c r="AM213" s="66" t="str">
        <f aca="false">IF(ISBLANK($C213),"",IF($AB213=Constants!$B$7,IF(ISNUMBER(AL213),RANK(AL213,$AL$8:$AL$507),Constants!$B$14),$AB213))</f>
        <v/>
      </c>
      <c r="AN213" s="66" t="str">
        <f aca="false">IF(ISBLANK($C213),"",IF($AB213=Constants!$B$7,IF(AK213=1,AF213,AI213),""))</f>
        <v/>
      </c>
      <c r="AO213" s="66" t="str">
        <f aca="false">IF(ISBLANK($C213),"",IF($AB213=Constants!$B$7,RANK(AN213,$AN$8:$AN$507),$AB213))</f>
        <v/>
      </c>
      <c r="AP213" s="66" t="str">
        <f aca="false">IF(ISBLANK($C213),"",IF($AB213=Constants!$B$7,IF(ISNUMBER(AM213),COUNTIFS($AM$8:$AM$507,"&lt;"&amp;$AM213)+COUNTIFS($AM$8:$AM$507,$AM213,$AO$8:$AO$507,"&lt;"&amp;$AO213)+1,Constants!$B$14),$AB213))</f>
        <v/>
      </c>
      <c r="AQ213" s="66" t="str">
        <f aca="false">IF(ISBLANK($C213),"",IF($AB213=Constants!$B$7,IF(ISNUMBER(AM213),AM213-AP213,Constants!$B$14),$AB213))</f>
        <v/>
      </c>
      <c r="AR213" s="68"/>
      <c r="AS213" s="69" t="str">
        <f aca="false">IF(ISBLANK($C213),"",IF($AB213&lt;&gt;Constants!$B$7,"",AJ213))</f>
        <v/>
      </c>
      <c r="AT213" s="84" t="str">
        <f aca="false">IF(ISBLANK($C213),"",IF($AB213&lt;&gt;Constants!$B$7,"",IF(AJ213=1,AD213,AG213)))</f>
        <v/>
      </c>
      <c r="AU213" s="71" t="str">
        <f aca="false">IF(ISBLANK($C213),"",IF($AB213&lt;&gt;Constants!$B$7,"",IF(AJ213=1,AE213,AH213)))</f>
        <v/>
      </c>
      <c r="AV213" s="72" t="str">
        <f aca="false">IF(ISBLANK($C213),"",IF($AB213&lt;&gt;Constants!$B$7,$AB213,AL213))</f>
        <v/>
      </c>
      <c r="AW213" s="73" t="str">
        <f aca="false">IF(ISBLANK($C213),"",IF($AB213&lt;&gt;Constants!$B$7,$AB213,AC213))</f>
        <v/>
      </c>
      <c r="AX213" s="74" t="str">
        <f aca="false">IF(ISBLANK($C213),"",AQ213)</f>
        <v/>
      </c>
      <c r="AY213" s="74" t="str">
        <f aca="false">IF(ISBLANK($C213),"",AP213)</f>
        <v/>
      </c>
      <c r="AZ213" s="75" t="str">
        <f aca="false">IF(ISBLANK($C213),"",IF(AY213=Constants!$B$4,COUNTA($C$8:$C$507)+2,IF(AY213=Constants!$B$5,COUNTA($C$8:$C$507)+1,IF(AY213=Constants!$B$6,COUNTA($C$8:$C$507),AY213))))</f>
        <v/>
      </c>
      <c r="BA213" s="5"/>
      <c r="BB213" s="76" t="n">
        <f aca="false">IF(OR(ISNUMBER(AY213),AY213=Constants!$B$4,AY213=Constants!$B$6,AY213=Constants!$B$5),1,0)</f>
        <v>0</v>
      </c>
      <c r="BC213" s="76" t="n">
        <v>206</v>
      </c>
      <c r="BD213" s="76" t="str">
        <f aca="false">IF(ISBLANK($C213),"",IF(ISNUMBER(AZ213),AZ213+ROW($B213)/1000,""))</f>
        <v/>
      </c>
      <c r="BE213" s="76" t="str">
        <f aca="false">IF(ISNUMBER(BD213),RANK(BD213,$BD$8:$BD$507,1),"")</f>
        <v/>
      </c>
      <c r="BF213" s="76" t="str">
        <f aca="false">IF(ISBLANK($C213),"",$B213)</f>
        <v/>
      </c>
      <c r="BG213" s="76" t="str">
        <f aca="false">IF(ISBLANK($C213),"",$C213)</f>
        <v/>
      </c>
      <c r="BH213" s="76" t="str">
        <f aca="false">IF(ISBLANK($C213),"",$D213)</f>
        <v/>
      </c>
      <c r="BI213" s="77" t="str">
        <f aca="false">AW213</f>
        <v/>
      </c>
      <c r="BJ213" s="78" t="str">
        <f aca="false">AV213</f>
        <v/>
      </c>
      <c r="BK213" s="76" t="str">
        <f aca="false">IF(ISBLANK($C213),"",AY213)</f>
        <v/>
      </c>
      <c r="BL213" s="79" t="str">
        <f aca="false">IF($BC213&gt;$BB$7,"",VLOOKUP($BC213,$BE$8:$BK$507,7,FALSE()))</f>
        <v/>
      </c>
      <c r="BM213" s="80" t="str">
        <f aca="false">IF($BC213&gt;$BB$7,"",VLOOKUP($BC213,$BE$8:$BK$507,2,FALSE()))</f>
        <v/>
      </c>
      <c r="BN213" s="80" t="str">
        <f aca="false">IF($BC213&gt;$BB$7,"",VLOOKUP($BC213,$BE$8:$BK$507,3,FALSE()))</f>
        <v/>
      </c>
      <c r="BO213" s="80" t="str">
        <f aca="false">IF($BC213&gt;$BB$7,"",VLOOKUP($BC213,$BE$8:$BK$507,4,FALSE()))</f>
        <v/>
      </c>
      <c r="BP213" s="80" t="str">
        <f aca="false">IF($BC213&gt;$BB$7,"",VLOOKUP($BC213,$BE$8:$BK$507,5,FALSE()))</f>
        <v/>
      </c>
      <c r="BQ213" s="81" t="str">
        <f aca="false">IF($BC213&gt;$BB$7,"",VLOOKUP($BC213,$BE$8:$BK$507,6,FALSE()))</f>
        <v/>
      </c>
      <c r="BR213" s="54"/>
    </row>
    <row r="214" customFormat="false" ht="15.75" hidden="false" customHeight="false" outlineLevel="0" collapsed="false">
      <c r="A214" s="5"/>
      <c r="B214" s="124"/>
      <c r="C214" s="56"/>
      <c r="D214" s="57"/>
      <c r="E214" s="83"/>
      <c r="F214" s="59"/>
      <c r="G214" s="60"/>
      <c r="H214" s="61"/>
      <c r="I214" s="62"/>
      <c r="J214" s="59"/>
      <c r="K214" s="60"/>
      <c r="L214" s="61"/>
      <c r="M214" s="62"/>
      <c r="N214" s="59"/>
      <c r="O214" s="83"/>
      <c r="P214" s="64"/>
      <c r="Q214" s="66" t="str">
        <f aca="false">IF(ISBLANK($C214),"",IF(E214=Constants!$B$2, TRUE(), IF(E214=Constants!$B$3, FALSE(), TRUE())))</f>
        <v/>
      </c>
      <c r="R214" s="66" t="str">
        <f aca="false">IF(ISBLANK($C214),"",IF(F214=Constants!$B$16,Constants!$B$9,IF(F214=Constants!$B$17,Constants!$B$10,Constants!$B$8)))</f>
        <v/>
      </c>
      <c r="S214" s="66" t="str">
        <f aca="false">IF(ISBLANK($C214),"",IF(COUNTA(G214:H214)=0,"",IF(AND(OR(ISBLANK(G214),AND(ISNUMBER(G214),G214&gt;=0)),OR(ISBLANK(H214),AND(ISNUMBER(H214),H214&gt;=0))),60*IF(ISBLANK(G214),0,G214)+IF(ISBLANK(H214),0,H214),"")))</f>
        <v/>
      </c>
      <c r="T214" s="66" t="str">
        <f aca="false">IF(ISBLANK($C214),"",IF(I214=Constants!$B$2, TRUE(), IF(I214=Constants!$B$3, FALSE(), TRUE())))</f>
        <v/>
      </c>
      <c r="U214" s="66" t="str">
        <f aca="false">IF(ISBLANK($C214),"",IF(J214=Constants!$B$2, TRUE(), IF(J214=Constants!$B$3, FALSE(), TRUE())))</f>
        <v/>
      </c>
      <c r="V214" s="66" t="str">
        <f aca="false">IF(ISBLANK($C214),"",IF(COUNTA(K214:L214)=0,"",IF(AND(OR(ISBLANK(K214),AND(ISNUMBER(K214),K214&gt;=0)),OR(ISBLANK(L214),AND(ISNUMBER(L214),L214&gt;=0))),60*IF(ISBLANK(K214),0,K214)+IF(ISBLANK(L214),0,L214),"")))</f>
        <v/>
      </c>
      <c r="W214" s="66" t="str">
        <f aca="false">IF(ISBLANK($C214),"",IF(M214=Constants!$B$2, TRUE(), IF(M214=Constants!$B$3, FALSE(), TRUE())))</f>
        <v/>
      </c>
      <c r="X214" s="66" t="str">
        <f aca="false">IF(ISBLANK($C214),"",IF(N214=Constants!$B$2, TRUE(), IF(N214=Constants!$B$3, FALSE(), TRUE())))</f>
        <v/>
      </c>
      <c r="Y214" s="66" t="str">
        <f aca="false">IF(ISBLANK($C214),"",IF(O214=Constants!$B$2, TRUE(), IF(O214=Constants!$B$3, FALSE(), FALSE())))</f>
        <v/>
      </c>
      <c r="Z214" s="66" t="str">
        <f aca="false">IF(ISBLANK($C214),"",AND(S214&lt;&gt;"",Q214))</f>
        <v/>
      </c>
      <c r="AA214" s="66" t="str">
        <f aca="false">IF(ISBLANK($C214),"",AND(V214&lt;&gt;"",Q214))</f>
        <v/>
      </c>
      <c r="AB214" s="66" t="str">
        <f aca="false">IF(ISBLANK($C214),"",IF(Y214,Constants!$B$4,IF(COUNTA(E214:N214)=0,Constants!$B$5,IF(NOT(Q214),Constants!$B$6,IF(AND(NOT(Z214),NOT(AA214)),Constants!$B$6,Constants!$B$7)))))</f>
        <v/>
      </c>
      <c r="AC214" s="66" t="str">
        <f aca="false">IF(ISBLANK($C214),"",IF($AB214&lt;&gt;Constants!$B$7,$AB214,Constants!$B$20))</f>
        <v/>
      </c>
      <c r="AD214" s="66" t="str">
        <f aca="false">IF($AB214=Constants!$B$7,IF(Z214,S214,Constants!$B$13),"")</f>
        <v/>
      </c>
      <c r="AE214" s="66" t="str">
        <f aca="false">IF($AB214=Constants!$B$7,IF(Z214,R214*IF(T214, 1, Constants!$B$11)*IF(U214, 1, Constants!$B$12),Constants!$B$13),"")</f>
        <v/>
      </c>
      <c r="AF214" s="66" t="str">
        <f aca="false">IF($AB214=Constants!$B$7,AD214*AE214,"")</f>
        <v/>
      </c>
      <c r="AG214" s="66" t="str">
        <f aca="false">IF($AB214=Constants!$B$7,IF(AA214,V214,Constants!$B$13),"")</f>
        <v/>
      </c>
      <c r="AH214" s="66" t="str">
        <f aca="false">IF($AB214=Constants!$B$7,IF(AA214,R214*IF(W214, 1, Constants!$B$11)*IF(X214, 1, Constants!$B$12),Constants!$B$13),"")</f>
        <v/>
      </c>
      <c r="AI214" s="66" t="str">
        <f aca="false">IF($AB214=Constants!$B$7,AG214*AH214,"")</f>
        <v/>
      </c>
      <c r="AJ214" s="66" t="str">
        <f aca="false">IF($AB214=Constants!$B$7,IF(AI214&gt;AF214,2,1),"")</f>
        <v/>
      </c>
      <c r="AK214" s="66" t="str">
        <f aca="false">IF($AB214=Constants!$B$7,IF(AJ214=1,2,1),"")</f>
        <v/>
      </c>
      <c r="AL214" s="66" t="str">
        <f aca="false">IF(ISBLANK($C214),"",IF($AB214&lt;&gt;Constants!$B$7,$AB214,IF(AJ214=1,AF214,AI214)))</f>
        <v/>
      </c>
      <c r="AM214" s="66" t="str">
        <f aca="false">IF(ISBLANK($C214),"",IF($AB214=Constants!$B$7,IF(ISNUMBER(AL214),RANK(AL214,$AL$8:$AL$507),Constants!$B$14),$AB214))</f>
        <v/>
      </c>
      <c r="AN214" s="66" t="str">
        <f aca="false">IF(ISBLANK($C214),"",IF($AB214=Constants!$B$7,IF(AK214=1,AF214,AI214),""))</f>
        <v/>
      </c>
      <c r="AO214" s="66" t="str">
        <f aca="false">IF(ISBLANK($C214),"",IF($AB214=Constants!$B$7,RANK(AN214,$AN$8:$AN$507),$AB214))</f>
        <v/>
      </c>
      <c r="AP214" s="66" t="str">
        <f aca="false">IF(ISBLANK($C214),"",IF($AB214=Constants!$B$7,IF(ISNUMBER(AM214),COUNTIFS($AM$8:$AM$507,"&lt;"&amp;$AM214)+COUNTIFS($AM$8:$AM$507,$AM214,$AO$8:$AO$507,"&lt;"&amp;$AO214)+1,Constants!$B$14),$AB214))</f>
        <v/>
      </c>
      <c r="AQ214" s="66" t="str">
        <f aca="false">IF(ISBLANK($C214),"",IF($AB214=Constants!$B$7,IF(ISNUMBER(AM214),AM214-AP214,Constants!$B$14),$AB214))</f>
        <v/>
      </c>
      <c r="AR214" s="68"/>
      <c r="AS214" s="69" t="str">
        <f aca="false">IF(ISBLANK($C214),"",IF($AB214&lt;&gt;Constants!$B$7,"",AJ214))</f>
        <v/>
      </c>
      <c r="AT214" s="84" t="str">
        <f aca="false">IF(ISBLANK($C214),"",IF($AB214&lt;&gt;Constants!$B$7,"",IF(AJ214=1,AD214,AG214)))</f>
        <v/>
      </c>
      <c r="AU214" s="71" t="str">
        <f aca="false">IF(ISBLANK($C214),"",IF($AB214&lt;&gt;Constants!$B$7,"",IF(AJ214=1,AE214,AH214)))</f>
        <v/>
      </c>
      <c r="AV214" s="72" t="str">
        <f aca="false">IF(ISBLANK($C214),"",IF($AB214&lt;&gt;Constants!$B$7,$AB214,AL214))</f>
        <v/>
      </c>
      <c r="AW214" s="73" t="str">
        <f aca="false">IF(ISBLANK($C214),"",IF($AB214&lt;&gt;Constants!$B$7,$AB214,AC214))</f>
        <v/>
      </c>
      <c r="AX214" s="74" t="str">
        <f aca="false">IF(ISBLANK($C214),"",AQ214)</f>
        <v/>
      </c>
      <c r="AY214" s="74" t="str">
        <f aca="false">IF(ISBLANK($C214),"",AP214)</f>
        <v/>
      </c>
      <c r="AZ214" s="75" t="str">
        <f aca="false">IF(ISBLANK($C214),"",IF(AY214=Constants!$B$4,COUNTA($C$8:$C$507)+2,IF(AY214=Constants!$B$5,COUNTA($C$8:$C$507)+1,IF(AY214=Constants!$B$6,COUNTA($C$8:$C$507),AY214))))</f>
        <v/>
      </c>
      <c r="BA214" s="5"/>
      <c r="BB214" s="76" t="n">
        <f aca="false">IF(OR(ISNUMBER(AY214),AY214=Constants!$B$4,AY214=Constants!$B$6,AY214=Constants!$B$5),1,0)</f>
        <v>0</v>
      </c>
      <c r="BC214" s="76" t="n">
        <v>207</v>
      </c>
      <c r="BD214" s="76" t="str">
        <f aca="false">IF(ISBLANK($C214),"",IF(ISNUMBER(AZ214),AZ214+ROW($B214)/1000,""))</f>
        <v/>
      </c>
      <c r="BE214" s="76" t="str">
        <f aca="false">IF(ISNUMBER(BD214),RANK(BD214,$BD$8:$BD$507,1),"")</f>
        <v/>
      </c>
      <c r="BF214" s="76" t="str">
        <f aca="false">IF(ISBLANK($C214),"",$B214)</f>
        <v/>
      </c>
      <c r="BG214" s="76" t="str">
        <f aca="false">IF(ISBLANK($C214),"",$C214)</f>
        <v/>
      </c>
      <c r="BH214" s="76" t="str">
        <f aca="false">IF(ISBLANK($C214),"",$D214)</f>
        <v/>
      </c>
      <c r="BI214" s="77" t="str">
        <f aca="false">AW214</f>
        <v/>
      </c>
      <c r="BJ214" s="78" t="str">
        <f aca="false">AV214</f>
        <v/>
      </c>
      <c r="BK214" s="76" t="str">
        <f aca="false">IF(ISBLANK($C214),"",AY214)</f>
        <v/>
      </c>
      <c r="BL214" s="79" t="str">
        <f aca="false">IF($BC214&gt;$BB$7,"",VLOOKUP($BC214,$BE$8:$BK$507,7,FALSE()))</f>
        <v/>
      </c>
      <c r="BM214" s="80" t="str">
        <f aca="false">IF($BC214&gt;$BB$7,"",VLOOKUP($BC214,$BE$8:$BK$507,2,FALSE()))</f>
        <v/>
      </c>
      <c r="BN214" s="80" t="str">
        <f aca="false">IF($BC214&gt;$BB$7,"",VLOOKUP($BC214,$BE$8:$BK$507,3,FALSE()))</f>
        <v/>
      </c>
      <c r="BO214" s="80" t="str">
        <f aca="false">IF($BC214&gt;$BB$7,"",VLOOKUP($BC214,$BE$8:$BK$507,4,FALSE()))</f>
        <v/>
      </c>
      <c r="BP214" s="80" t="str">
        <f aca="false">IF($BC214&gt;$BB$7,"",VLOOKUP($BC214,$BE$8:$BK$507,5,FALSE()))</f>
        <v/>
      </c>
      <c r="BQ214" s="81" t="str">
        <f aca="false">IF($BC214&gt;$BB$7,"",VLOOKUP($BC214,$BE$8:$BK$507,6,FALSE()))</f>
        <v/>
      </c>
      <c r="BR214" s="54"/>
    </row>
    <row r="215" customFormat="false" ht="15.75" hidden="false" customHeight="false" outlineLevel="0" collapsed="false">
      <c r="A215" s="5"/>
      <c r="B215" s="120"/>
      <c r="C215" s="121"/>
      <c r="D215" s="112"/>
      <c r="E215" s="123"/>
      <c r="F215" s="91"/>
      <c r="G215" s="92"/>
      <c r="H215" s="93"/>
      <c r="I215" s="94"/>
      <c r="J215" s="91"/>
      <c r="K215" s="92"/>
      <c r="L215" s="93"/>
      <c r="M215" s="94"/>
      <c r="N215" s="91"/>
      <c r="O215" s="123"/>
      <c r="P215" s="96"/>
      <c r="Q215" s="97" t="str">
        <f aca="false">IF(ISBLANK($C215),"",IF(E215=Constants!$B$2, TRUE(), IF(E215=Constants!$B$3, FALSE(), TRUE())))</f>
        <v/>
      </c>
      <c r="R215" s="97" t="str">
        <f aca="false">IF(ISBLANK($C215),"",IF(F215=Constants!$B$16,Constants!$B$9,IF(F215=Constants!$B$17,Constants!$B$10,Constants!$B$8)))</f>
        <v/>
      </c>
      <c r="S215" s="97" t="str">
        <f aca="false">IF(ISBLANK($C215),"",IF(COUNTA(G215:H215)=0,"",IF(AND(OR(ISBLANK(G215),AND(ISNUMBER(G215),G215&gt;=0)),OR(ISBLANK(H215),AND(ISNUMBER(H215),H215&gt;=0))),60*IF(ISBLANK(G215),0,G215)+IF(ISBLANK(H215),0,H215),"")))</f>
        <v/>
      </c>
      <c r="T215" s="97" t="str">
        <f aca="false">IF(ISBLANK($C215),"",IF(I215=Constants!$B$2, TRUE(), IF(I215=Constants!$B$3, FALSE(), TRUE())))</f>
        <v/>
      </c>
      <c r="U215" s="97" t="str">
        <f aca="false">IF(ISBLANK($C215),"",IF(J215=Constants!$B$2, TRUE(), IF(J215=Constants!$B$3, FALSE(), TRUE())))</f>
        <v/>
      </c>
      <c r="V215" s="97" t="str">
        <f aca="false">IF(ISBLANK($C215),"",IF(COUNTA(K215:L215)=0,"",IF(AND(OR(ISBLANK(K215),AND(ISNUMBER(K215),K215&gt;=0)),OR(ISBLANK(L215),AND(ISNUMBER(L215),L215&gt;=0))),60*IF(ISBLANK(K215),0,K215)+IF(ISBLANK(L215),0,L215),"")))</f>
        <v/>
      </c>
      <c r="W215" s="97" t="str">
        <f aca="false">IF(ISBLANK($C215),"",IF(M215=Constants!$B$2, TRUE(), IF(M215=Constants!$B$3, FALSE(), TRUE())))</f>
        <v/>
      </c>
      <c r="X215" s="97" t="str">
        <f aca="false">IF(ISBLANK($C215),"",IF(N215=Constants!$B$2, TRUE(), IF(N215=Constants!$B$3, FALSE(), TRUE())))</f>
        <v/>
      </c>
      <c r="Y215" s="97" t="str">
        <f aca="false">IF(ISBLANK($C215),"",IF(O215=Constants!$B$2, TRUE(), IF(O215=Constants!$B$3, FALSE(), FALSE())))</f>
        <v/>
      </c>
      <c r="Z215" s="97" t="str">
        <f aca="false">IF(ISBLANK($C215),"",AND(S215&lt;&gt;"",Q215))</f>
        <v/>
      </c>
      <c r="AA215" s="97" t="str">
        <f aca="false">IF(ISBLANK($C215),"",AND(V215&lt;&gt;"",Q215))</f>
        <v/>
      </c>
      <c r="AB215" s="97" t="str">
        <f aca="false">IF(ISBLANK($C215),"",IF(Y215,Constants!$B$4,IF(COUNTA(E215:N215)=0,Constants!$B$5,IF(NOT(Q215),Constants!$B$6,IF(AND(NOT(Z215),NOT(AA215)),Constants!$B$6,Constants!$B$7)))))</f>
        <v/>
      </c>
      <c r="AC215" s="97" t="str">
        <f aca="false">IF(ISBLANK($C215),"",IF($AB215&lt;&gt;Constants!$B$7,$AB215,Constants!$B$20))</f>
        <v/>
      </c>
      <c r="AD215" s="97" t="str">
        <f aca="false">IF($AB215=Constants!$B$7,IF(Z215,S215,Constants!$B$13),"")</f>
        <v/>
      </c>
      <c r="AE215" s="97" t="str">
        <f aca="false">IF($AB215=Constants!$B$7,IF(Z215,R215*IF(T215, 1, Constants!$B$11)*IF(U215, 1, Constants!$B$12),Constants!$B$13),"")</f>
        <v/>
      </c>
      <c r="AF215" s="97" t="str">
        <f aca="false">IF($AB215=Constants!$B$7,AD215*AE215,"")</f>
        <v/>
      </c>
      <c r="AG215" s="97" t="str">
        <f aca="false">IF($AB215=Constants!$B$7,IF(AA215,V215,Constants!$B$13),"")</f>
        <v/>
      </c>
      <c r="AH215" s="97" t="str">
        <f aca="false">IF($AB215=Constants!$B$7,IF(AA215,R215*IF(W215, 1, Constants!$B$11)*IF(X215, 1, Constants!$B$12),Constants!$B$13),"")</f>
        <v/>
      </c>
      <c r="AI215" s="97" t="str">
        <f aca="false">IF($AB215=Constants!$B$7,AG215*AH215,"")</f>
        <v/>
      </c>
      <c r="AJ215" s="97" t="str">
        <f aca="false">IF($AB215=Constants!$B$7,IF(AI215&gt;AF215,2,1),"")</f>
        <v/>
      </c>
      <c r="AK215" s="97" t="str">
        <f aca="false">IF($AB215=Constants!$B$7,IF(AJ215=1,2,1),"")</f>
        <v/>
      </c>
      <c r="AL215" s="97" t="str">
        <f aca="false">IF(ISBLANK($C215),"",IF($AB215&lt;&gt;Constants!$B$7,$AB215,IF(AJ215=1,AF215,AI215)))</f>
        <v/>
      </c>
      <c r="AM215" s="97" t="str">
        <f aca="false">IF(ISBLANK($C215),"",IF($AB215=Constants!$B$7,IF(ISNUMBER(AL215),RANK(AL215,$AL$8:$AL$507),Constants!$B$14),$AB215))</f>
        <v/>
      </c>
      <c r="AN215" s="97" t="str">
        <f aca="false">IF(ISBLANK($C215),"",IF($AB215=Constants!$B$7,IF(AK215=1,AF215,AI215),""))</f>
        <v/>
      </c>
      <c r="AO215" s="97" t="str">
        <f aca="false">IF(ISBLANK($C215),"",IF($AB215=Constants!$B$7,RANK(AN215,$AN$8:$AN$507),$AB215))</f>
        <v/>
      </c>
      <c r="AP215" s="97" t="str">
        <f aca="false">IF(ISBLANK($C215),"",IF($AB215=Constants!$B$7,IF(ISNUMBER(AM215),COUNTIFS($AM$8:$AM$507,"&lt;"&amp;$AM215)+COUNTIFS($AM$8:$AM$507,$AM215,$AO$8:$AO$507,"&lt;"&amp;$AO215)+1,Constants!$B$14),$AB215))</f>
        <v/>
      </c>
      <c r="AQ215" s="97" t="str">
        <f aca="false">IF(ISBLANK($C215),"",IF($AB215=Constants!$B$7,IF(ISNUMBER(AM215),AM215-AP215,Constants!$B$14),$AB215))</f>
        <v/>
      </c>
      <c r="AR215" s="98"/>
      <c r="AS215" s="99" t="str">
        <f aca="false">IF(ISBLANK($C215),"",IF($AB215&lt;&gt;Constants!$B$7,"",AJ215))</f>
        <v/>
      </c>
      <c r="AT215" s="100" t="str">
        <f aca="false">IF(ISBLANK($C215),"",IF($AB215&lt;&gt;Constants!$B$7,"",IF(AJ215=1,AD215,AG215)))</f>
        <v/>
      </c>
      <c r="AU215" s="101" t="str">
        <f aca="false">IF(ISBLANK($C215),"",IF($AB215&lt;&gt;Constants!$B$7,"",IF(AJ215=1,AE215,AH215)))</f>
        <v/>
      </c>
      <c r="AV215" s="102" t="str">
        <f aca="false">IF(ISBLANK($C215),"",IF($AB215&lt;&gt;Constants!$B$7,$AB215,AL215))</f>
        <v/>
      </c>
      <c r="AW215" s="103" t="str">
        <f aca="false">IF(ISBLANK($C215),"",IF($AB215&lt;&gt;Constants!$B$7,$AB215,AC215))</f>
        <v/>
      </c>
      <c r="AX215" s="104" t="str">
        <f aca="false">IF(ISBLANK($C215),"",AQ215)</f>
        <v/>
      </c>
      <c r="AY215" s="104" t="str">
        <f aca="false">IF(ISBLANK($C215),"",AP215)</f>
        <v/>
      </c>
      <c r="AZ215" s="105" t="str">
        <f aca="false">IF(ISBLANK($C215),"",IF(AY215=Constants!$B$4,COUNTA($C$8:$C$507)+2,IF(AY215=Constants!$B$5,COUNTA($C$8:$C$507)+1,IF(AY215=Constants!$B$6,COUNTA($C$8:$C$507),AY215))))</f>
        <v/>
      </c>
      <c r="BA215" s="5"/>
      <c r="BB215" s="106" t="n">
        <f aca="false">IF(OR(ISNUMBER(AY215),AY215=Constants!$B$4,AY215=Constants!$B$6,AY215=Constants!$B$5),1,0)</f>
        <v>0</v>
      </c>
      <c r="BC215" s="106" t="n">
        <v>208</v>
      </c>
      <c r="BD215" s="106" t="str">
        <f aca="false">IF(ISBLANK($C215),"",IF(ISNUMBER(AZ215),AZ215+ROW($B215)/1000,""))</f>
        <v/>
      </c>
      <c r="BE215" s="106" t="str">
        <f aca="false">IF(ISNUMBER(BD215),RANK(BD215,$BD$8:$BD$507,1),"")</f>
        <v/>
      </c>
      <c r="BF215" s="106" t="str">
        <f aca="false">IF(ISBLANK($C215),"",$B215)</f>
        <v/>
      </c>
      <c r="BG215" s="106" t="str">
        <f aca="false">IF(ISBLANK($C215),"",$C215)</f>
        <v/>
      </c>
      <c r="BH215" s="106" t="str">
        <f aca="false">IF(ISBLANK($C215),"",$D215)</f>
        <v/>
      </c>
      <c r="BI215" s="107" t="str">
        <f aca="false">AW215</f>
        <v/>
      </c>
      <c r="BJ215" s="108" t="str">
        <f aca="false">AV215</f>
        <v/>
      </c>
      <c r="BK215" s="106" t="str">
        <f aca="false">IF(ISBLANK($C215),"",AY215)</f>
        <v/>
      </c>
      <c r="BL215" s="109" t="str">
        <f aca="false">IF($BC215&gt;$BB$7,"",VLOOKUP($BC215,$BE$8:$BK$507,7,FALSE()))</f>
        <v/>
      </c>
      <c r="BM215" s="110" t="str">
        <f aca="false">IF($BC215&gt;$BB$7,"",VLOOKUP($BC215,$BE$8:$BK$507,2,FALSE()))</f>
        <v/>
      </c>
      <c r="BN215" s="110" t="str">
        <f aca="false">IF($BC215&gt;$BB$7,"",VLOOKUP($BC215,$BE$8:$BK$507,3,FALSE()))</f>
        <v/>
      </c>
      <c r="BO215" s="110" t="str">
        <f aca="false">IF($BC215&gt;$BB$7,"",VLOOKUP($BC215,$BE$8:$BK$507,4,FALSE()))</f>
        <v/>
      </c>
      <c r="BP215" s="110" t="str">
        <f aca="false">IF($BC215&gt;$BB$7,"",VLOOKUP($BC215,$BE$8:$BK$507,5,FALSE()))</f>
        <v/>
      </c>
      <c r="BQ215" s="111" t="str">
        <f aca="false">IF($BC215&gt;$BB$7,"",VLOOKUP($BC215,$BE$8:$BK$507,6,FALSE()))</f>
        <v/>
      </c>
      <c r="BR215" s="54"/>
    </row>
    <row r="216" customFormat="false" ht="15.75" hidden="false" customHeight="false" outlineLevel="0" collapsed="false">
      <c r="A216" s="5"/>
      <c r="B216" s="120"/>
      <c r="C216" s="121"/>
      <c r="D216" s="112"/>
      <c r="E216" s="123"/>
      <c r="F216" s="91"/>
      <c r="G216" s="92"/>
      <c r="H216" s="93"/>
      <c r="I216" s="94"/>
      <c r="J216" s="91"/>
      <c r="K216" s="92"/>
      <c r="L216" s="93"/>
      <c r="M216" s="94"/>
      <c r="N216" s="91"/>
      <c r="O216" s="123"/>
      <c r="P216" s="96"/>
      <c r="Q216" s="97" t="str">
        <f aca="false">IF(ISBLANK($C216),"",IF(E216=Constants!$B$2, TRUE(), IF(E216=Constants!$B$3, FALSE(), TRUE())))</f>
        <v/>
      </c>
      <c r="R216" s="97" t="str">
        <f aca="false">IF(ISBLANK($C216),"",IF(F216=Constants!$B$16,Constants!$B$9,IF(F216=Constants!$B$17,Constants!$B$10,Constants!$B$8)))</f>
        <v/>
      </c>
      <c r="S216" s="97" t="str">
        <f aca="false">IF(ISBLANK($C216),"",IF(COUNTA(G216:H216)=0,"",IF(AND(OR(ISBLANK(G216),AND(ISNUMBER(G216),G216&gt;=0)),OR(ISBLANK(H216),AND(ISNUMBER(H216),H216&gt;=0))),60*IF(ISBLANK(G216),0,G216)+IF(ISBLANK(H216),0,H216),"")))</f>
        <v/>
      </c>
      <c r="T216" s="97" t="str">
        <f aca="false">IF(ISBLANK($C216),"",IF(I216=Constants!$B$2, TRUE(), IF(I216=Constants!$B$3, FALSE(), TRUE())))</f>
        <v/>
      </c>
      <c r="U216" s="97" t="str">
        <f aca="false">IF(ISBLANK($C216),"",IF(J216=Constants!$B$2, TRUE(), IF(J216=Constants!$B$3, FALSE(), TRUE())))</f>
        <v/>
      </c>
      <c r="V216" s="97" t="str">
        <f aca="false">IF(ISBLANK($C216),"",IF(COUNTA(K216:L216)=0,"",IF(AND(OR(ISBLANK(K216),AND(ISNUMBER(K216),K216&gt;=0)),OR(ISBLANK(L216),AND(ISNUMBER(L216),L216&gt;=0))),60*IF(ISBLANK(K216),0,K216)+IF(ISBLANK(L216),0,L216),"")))</f>
        <v/>
      </c>
      <c r="W216" s="97" t="str">
        <f aca="false">IF(ISBLANK($C216),"",IF(M216=Constants!$B$2, TRUE(), IF(M216=Constants!$B$3, FALSE(), TRUE())))</f>
        <v/>
      </c>
      <c r="X216" s="97" t="str">
        <f aca="false">IF(ISBLANK($C216),"",IF(N216=Constants!$B$2, TRUE(), IF(N216=Constants!$B$3, FALSE(), TRUE())))</f>
        <v/>
      </c>
      <c r="Y216" s="97" t="str">
        <f aca="false">IF(ISBLANK($C216),"",IF(O216=Constants!$B$2, TRUE(), IF(O216=Constants!$B$3, FALSE(), FALSE())))</f>
        <v/>
      </c>
      <c r="Z216" s="97" t="str">
        <f aca="false">IF(ISBLANK($C216),"",AND(S216&lt;&gt;"",Q216))</f>
        <v/>
      </c>
      <c r="AA216" s="97" t="str">
        <f aca="false">IF(ISBLANK($C216),"",AND(V216&lt;&gt;"",Q216))</f>
        <v/>
      </c>
      <c r="AB216" s="97" t="str">
        <f aca="false">IF(ISBLANK($C216),"",IF(Y216,Constants!$B$4,IF(COUNTA(E216:N216)=0,Constants!$B$5,IF(NOT(Q216),Constants!$B$6,IF(AND(NOT(Z216),NOT(AA216)),Constants!$B$6,Constants!$B$7)))))</f>
        <v/>
      </c>
      <c r="AC216" s="97" t="str">
        <f aca="false">IF(ISBLANK($C216),"",IF($AB216&lt;&gt;Constants!$B$7,$AB216,Constants!$B$20))</f>
        <v/>
      </c>
      <c r="AD216" s="97" t="str">
        <f aca="false">IF($AB216=Constants!$B$7,IF(Z216,S216,Constants!$B$13),"")</f>
        <v/>
      </c>
      <c r="AE216" s="97" t="str">
        <f aca="false">IF($AB216=Constants!$B$7,IF(Z216,R216*IF(T216, 1, Constants!$B$11)*IF(U216, 1, Constants!$B$12),Constants!$B$13),"")</f>
        <v/>
      </c>
      <c r="AF216" s="97" t="str">
        <f aca="false">IF($AB216=Constants!$B$7,AD216*AE216,"")</f>
        <v/>
      </c>
      <c r="AG216" s="97" t="str">
        <f aca="false">IF($AB216=Constants!$B$7,IF(AA216,V216,Constants!$B$13),"")</f>
        <v/>
      </c>
      <c r="AH216" s="97" t="str">
        <f aca="false">IF($AB216=Constants!$B$7,IF(AA216,R216*IF(W216, 1, Constants!$B$11)*IF(X216, 1, Constants!$B$12),Constants!$B$13),"")</f>
        <v/>
      </c>
      <c r="AI216" s="97" t="str">
        <f aca="false">IF($AB216=Constants!$B$7,AG216*AH216,"")</f>
        <v/>
      </c>
      <c r="AJ216" s="97" t="str">
        <f aca="false">IF($AB216=Constants!$B$7,IF(AI216&gt;AF216,2,1),"")</f>
        <v/>
      </c>
      <c r="AK216" s="97" t="str">
        <f aca="false">IF($AB216=Constants!$B$7,IF(AJ216=1,2,1),"")</f>
        <v/>
      </c>
      <c r="AL216" s="97" t="str">
        <f aca="false">IF(ISBLANK($C216),"",IF($AB216&lt;&gt;Constants!$B$7,$AB216,IF(AJ216=1,AF216,AI216)))</f>
        <v/>
      </c>
      <c r="AM216" s="97" t="str">
        <f aca="false">IF(ISBLANK($C216),"",IF($AB216=Constants!$B$7,IF(ISNUMBER(AL216),RANK(AL216,$AL$8:$AL$507),Constants!$B$14),$AB216))</f>
        <v/>
      </c>
      <c r="AN216" s="97" t="str">
        <f aca="false">IF(ISBLANK($C216),"",IF($AB216=Constants!$B$7,IF(AK216=1,AF216,AI216),""))</f>
        <v/>
      </c>
      <c r="AO216" s="97" t="str">
        <f aca="false">IF(ISBLANK($C216),"",IF($AB216=Constants!$B$7,RANK(AN216,$AN$8:$AN$507),$AB216))</f>
        <v/>
      </c>
      <c r="AP216" s="97" t="str">
        <f aca="false">IF(ISBLANK($C216),"",IF($AB216=Constants!$B$7,IF(ISNUMBER(AM216),COUNTIFS($AM$8:$AM$507,"&lt;"&amp;$AM216)+COUNTIFS($AM$8:$AM$507,$AM216,$AO$8:$AO$507,"&lt;"&amp;$AO216)+1,Constants!$B$14),$AB216))</f>
        <v/>
      </c>
      <c r="AQ216" s="97" t="str">
        <f aca="false">IF(ISBLANK($C216),"",IF($AB216=Constants!$B$7,IF(ISNUMBER(AM216),AM216-AP216,Constants!$B$14),$AB216))</f>
        <v/>
      </c>
      <c r="AR216" s="98"/>
      <c r="AS216" s="99" t="str">
        <f aca="false">IF(ISBLANK($C216),"",IF($AB216&lt;&gt;Constants!$B$7,"",AJ216))</f>
        <v/>
      </c>
      <c r="AT216" s="100" t="str">
        <f aca="false">IF(ISBLANK($C216),"",IF($AB216&lt;&gt;Constants!$B$7,"",IF(AJ216=1,AD216,AG216)))</f>
        <v/>
      </c>
      <c r="AU216" s="101" t="str">
        <f aca="false">IF(ISBLANK($C216),"",IF($AB216&lt;&gt;Constants!$B$7,"",IF(AJ216=1,AE216,AH216)))</f>
        <v/>
      </c>
      <c r="AV216" s="102" t="str">
        <f aca="false">IF(ISBLANK($C216),"",IF($AB216&lt;&gt;Constants!$B$7,$AB216,AL216))</f>
        <v/>
      </c>
      <c r="AW216" s="103" t="str">
        <f aca="false">IF(ISBLANK($C216),"",IF($AB216&lt;&gt;Constants!$B$7,$AB216,AC216))</f>
        <v/>
      </c>
      <c r="AX216" s="104" t="str">
        <f aca="false">IF(ISBLANK($C216),"",AQ216)</f>
        <v/>
      </c>
      <c r="AY216" s="104" t="str">
        <f aca="false">IF(ISBLANK($C216),"",AP216)</f>
        <v/>
      </c>
      <c r="AZ216" s="105" t="str">
        <f aca="false">IF(ISBLANK($C216),"",IF(AY216=Constants!$B$4,COUNTA($C$8:$C$507)+2,IF(AY216=Constants!$B$5,COUNTA($C$8:$C$507)+1,IF(AY216=Constants!$B$6,COUNTA($C$8:$C$507),AY216))))</f>
        <v/>
      </c>
      <c r="BA216" s="5"/>
      <c r="BB216" s="106" t="n">
        <f aca="false">IF(OR(ISNUMBER(AY216),AY216=Constants!$B$4,AY216=Constants!$B$6,AY216=Constants!$B$5),1,0)</f>
        <v>0</v>
      </c>
      <c r="BC216" s="106" t="n">
        <v>209</v>
      </c>
      <c r="BD216" s="106" t="str">
        <f aca="false">IF(ISBLANK($C216),"",IF(ISNUMBER(AZ216),AZ216+ROW($B216)/1000,""))</f>
        <v/>
      </c>
      <c r="BE216" s="106" t="str">
        <f aca="false">IF(ISNUMBER(BD216),RANK(BD216,$BD$8:$BD$507,1),"")</f>
        <v/>
      </c>
      <c r="BF216" s="106" t="str">
        <f aca="false">IF(ISBLANK($C216),"",$B216)</f>
        <v/>
      </c>
      <c r="BG216" s="106" t="str">
        <f aca="false">IF(ISBLANK($C216),"",$C216)</f>
        <v/>
      </c>
      <c r="BH216" s="106" t="str">
        <f aca="false">IF(ISBLANK($C216),"",$D216)</f>
        <v/>
      </c>
      <c r="BI216" s="107" t="str">
        <f aca="false">AW216</f>
        <v/>
      </c>
      <c r="BJ216" s="108" t="str">
        <f aca="false">AV216</f>
        <v/>
      </c>
      <c r="BK216" s="106" t="str">
        <f aca="false">IF(ISBLANK($C216),"",AY216)</f>
        <v/>
      </c>
      <c r="BL216" s="109" t="str">
        <f aca="false">IF($BC216&gt;$BB$7,"",VLOOKUP($BC216,$BE$8:$BK$507,7,FALSE()))</f>
        <v/>
      </c>
      <c r="BM216" s="110" t="str">
        <f aca="false">IF($BC216&gt;$BB$7,"",VLOOKUP($BC216,$BE$8:$BK$507,2,FALSE()))</f>
        <v/>
      </c>
      <c r="BN216" s="110" t="str">
        <f aca="false">IF($BC216&gt;$BB$7,"",VLOOKUP($BC216,$BE$8:$BK$507,3,FALSE()))</f>
        <v/>
      </c>
      <c r="BO216" s="110" t="str">
        <f aca="false">IF($BC216&gt;$BB$7,"",VLOOKUP($BC216,$BE$8:$BK$507,4,FALSE()))</f>
        <v/>
      </c>
      <c r="BP216" s="110" t="str">
        <f aca="false">IF($BC216&gt;$BB$7,"",VLOOKUP($BC216,$BE$8:$BK$507,5,FALSE()))</f>
        <v/>
      </c>
      <c r="BQ216" s="111" t="str">
        <f aca="false">IF($BC216&gt;$BB$7,"",VLOOKUP($BC216,$BE$8:$BK$507,6,FALSE()))</f>
        <v/>
      </c>
      <c r="BR216" s="54"/>
    </row>
    <row r="217" customFormat="false" ht="15.75" hidden="false" customHeight="false" outlineLevel="0" collapsed="false">
      <c r="A217" s="5"/>
      <c r="B217" s="120"/>
      <c r="C217" s="121"/>
      <c r="D217" s="112"/>
      <c r="E217" s="123"/>
      <c r="F217" s="91"/>
      <c r="G217" s="92"/>
      <c r="H217" s="93"/>
      <c r="I217" s="94"/>
      <c r="J217" s="91"/>
      <c r="K217" s="92"/>
      <c r="L217" s="93"/>
      <c r="M217" s="94"/>
      <c r="N217" s="91"/>
      <c r="O217" s="123"/>
      <c r="P217" s="96"/>
      <c r="Q217" s="97" t="str">
        <f aca="false">IF(ISBLANK($C217),"",IF(E217=Constants!$B$2, TRUE(), IF(E217=Constants!$B$3, FALSE(), TRUE())))</f>
        <v/>
      </c>
      <c r="R217" s="97" t="str">
        <f aca="false">IF(ISBLANK($C217),"",IF(F217=Constants!$B$16,Constants!$B$9,IF(F217=Constants!$B$17,Constants!$B$10,Constants!$B$8)))</f>
        <v/>
      </c>
      <c r="S217" s="97" t="str">
        <f aca="false">IF(ISBLANK($C217),"",IF(COUNTA(G217:H217)=0,"",IF(AND(OR(ISBLANK(G217),AND(ISNUMBER(G217),G217&gt;=0)),OR(ISBLANK(H217),AND(ISNUMBER(H217),H217&gt;=0))),60*IF(ISBLANK(G217),0,G217)+IF(ISBLANK(H217),0,H217),"")))</f>
        <v/>
      </c>
      <c r="T217" s="97" t="str">
        <f aca="false">IF(ISBLANK($C217),"",IF(I217=Constants!$B$2, TRUE(), IF(I217=Constants!$B$3, FALSE(), TRUE())))</f>
        <v/>
      </c>
      <c r="U217" s="97" t="str">
        <f aca="false">IF(ISBLANK($C217),"",IF(J217=Constants!$B$2, TRUE(), IF(J217=Constants!$B$3, FALSE(), TRUE())))</f>
        <v/>
      </c>
      <c r="V217" s="97" t="str">
        <f aca="false">IF(ISBLANK($C217),"",IF(COUNTA(K217:L217)=0,"",IF(AND(OR(ISBLANK(K217),AND(ISNUMBER(K217),K217&gt;=0)),OR(ISBLANK(L217),AND(ISNUMBER(L217),L217&gt;=0))),60*IF(ISBLANK(K217),0,K217)+IF(ISBLANK(L217),0,L217),"")))</f>
        <v/>
      </c>
      <c r="W217" s="97" t="str">
        <f aca="false">IF(ISBLANK($C217),"",IF(M217=Constants!$B$2, TRUE(), IF(M217=Constants!$B$3, FALSE(), TRUE())))</f>
        <v/>
      </c>
      <c r="X217" s="97" t="str">
        <f aca="false">IF(ISBLANK($C217),"",IF(N217=Constants!$B$2, TRUE(), IF(N217=Constants!$B$3, FALSE(), TRUE())))</f>
        <v/>
      </c>
      <c r="Y217" s="97" t="str">
        <f aca="false">IF(ISBLANK($C217),"",IF(O217=Constants!$B$2, TRUE(), IF(O217=Constants!$B$3, FALSE(), FALSE())))</f>
        <v/>
      </c>
      <c r="Z217" s="97" t="str">
        <f aca="false">IF(ISBLANK($C217),"",AND(S217&lt;&gt;"",Q217))</f>
        <v/>
      </c>
      <c r="AA217" s="97" t="str">
        <f aca="false">IF(ISBLANK($C217),"",AND(V217&lt;&gt;"",Q217))</f>
        <v/>
      </c>
      <c r="AB217" s="97" t="str">
        <f aca="false">IF(ISBLANK($C217),"",IF(Y217,Constants!$B$4,IF(COUNTA(E217:N217)=0,Constants!$B$5,IF(NOT(Q217),Constants!$B$6,IF(AND(NOT(Z217),NOT(AA217)),Constants!$B$6,Constants!$B$7)))))</f>
        <v/>
      </c>
      <c r="AC217" s="97" t="str">
        <f aca="false">IF(ISBLANK($C217),"",IF($AB217&lt;&gt;Constants!$B$7,$AB217,Constants!$B$20))</f>
        <v/>
      </c>
      <c r="AD217" s="97" t="str">
        <f aca="false">IF($AB217=Constants!$B$7,IF(Z217,S217,Constants!$B$13),"")</f>
        <v/>
      </c>
      <c r="AE217" s="97" t="str">
        <f aca="false">IF($AB217=Constants!$B$7,IF(Z217,R217*IF(T217, 1, Constants!$B$11)*IF(U217, 1, Constants!$B$12),Constants!$B$13),"")</f>
        <v/>
      </c>
      <c r="AF217" s="97" t="str">
        <f aca="false">IF($AB217=Constants!$B$7,AD217*AE217,"")</f>
        <v/>
      </c>
      <c r="AG217" s="97" t="str">
        <f aca="false">IF($AB217=Constants!$B$7,IF(AA217,V217,Constants!$B$13),"")</f>
        <v/>
      </c>
      <c r="AH217" s="97" t="str">
        <f aca="false">IF($AB217=Constants!$B$7,IF(AA217,R217*IF(W217, 1, Constants!$B$11)*IF(X217, 1, Constants!$B$12),Constants!$B$13),"")</f>
        <v/>
      </c>
      <c r="AI217" s="97" t="str">
        <f aca="false">IF($AB217=Constants!$B$7,AG217*AH217,"")</f>
        <v/>
      </c>
      <c r="AJ217" s="97" t="str">
        <f aca="false">IF($AB217=Constants!$B$7,IF(AI217&gt;AF217,2,1),"")</f>
        <v/>
      </c>
      <c r="AK217" s="97" t="str">
        <f aca="false">IF($AB217=Constants!$B$7,IF(AJ217=1,2,1),"")</f>
        <v/>
      </c>
      <c r="AL217" s="97" t="str">
        <f aca="false">IF(ISBLANK($C217),"",IF($AB217&lt;&gt;Constants!$B$7,$AB217,IF(AJ217=1,AF217,AI217)))</f>
        <v/>
      </c>
      <c r="AM217" s="97" t="str">
        <f aca="false">IF(ISBLANK($C217),"",IF($AB217=Constants!$B$7,IF(ISNUMBER(AL217),RANK(AL217,$AL$8:$AL$507),Constants!$B$14),$AB217))</f>
        <v/>
      </c>
      <c r="AN217" s="97" t="str">
        <f aca="false">IF(ISBLANK($C217),"",IF($AB217=Constants!$B$7,IF(AK217=1,AF217,AI217),""))</f>
        <v/>
      </c>
      <c r="AO217" s="97" t="str">
        <f aca="false">IF(ISBLANK($C217),"",IF($AB217=Constants!$B$7,RANK(AN217,$AN$8:$AN$507),$AB217))</f>
        <v/>
      </c>
      <c r="AP217" s="97" t="str">
        <f aca="false">IF(ISBLANK($C217),"",IF($AB217=Constants!$B$7,IF(ISNUMBER(AM217),COUNTIFS($AM$8:$AM$507,"&lt;"&amp;$AM217)+COUNTIFS($AM$8:$AM$507,$AM217,$AO$8:$AO$507,"&lt;"&amp;$AO217)+1,Constants!$B$14),$AB217))</f>
        <v/>
      </c>
      <c r="AQ217" s="97" t="str">
        <f aca="false">IF(ISBLANK($C217),"",IF($AB217=Constants!$B$7,IF(ISNUMBER(AM217),AM217-AP217,Constants!$B$14),$AB217))</f>
        <v/>
      </c>
      <c r="AR217" s="98"/>
      <c r="AS217" s="99" t="str">
        <f aca="false">IF(ISBLANK($C217),"",IF($AB217&lt;&gt;Constants!$B$7,"",AJ217))</f>
        <v/>
      </c>
      <c r="AT217" s="100" t="str">
        <f aca="false">IF(ISBLANK($C217),"",IF($AB217&lt;&gt;Constants!$B$7,"",IF(AJ217=1,AD217,AG217)))</f>
        <v/>
      </c>
      <c r="AU217" s="101" t="str">
        <f aca="false">IF(ISBLANK($C217),"",IF($AB217&lt;&gt;Constants!$B$7,"",IF(AJ217=1,AE217,AH217)))</f>
        <v/>
      </c>
      <c r="AV217" s="102" t="str">
        <f aca="false">IF(ISBLANK($C217),"",IF($AB217&lt;&gt;Constants!$B$7,$AB217,AL217))</f>
        <v/>
      </c>
      <c r="AW217" s="103" t="str">
        <f aca="false">IF(ISBLANK($C217),"",IF($AB217&lt;&gt;Constants!$B$7,$AB217,AC217))</f>
        <v/>
      </c>
      <c r="AX217" s="104" t="str">
        <f aca="false">IF(ISBLANK($C217),"",AQ217)</f>
        <v/>
      </c>
      <c r="AY217" s="104" t="str">
        <f aca="false">IF(ISBLANK($C217),"",AP217)</f>
        <v/>
      </c>
      <c r="AZ217" s="105" t="str">
        <f aca="false">IF(ISBLANK($C217),"",IF(AY217=Constants!$B$4,COUNTA($C$8:$C$507)+2,IF(AY217=Constants!$B$5,COUNTA($C$8:$C$507)+1,IF(AY217=Constants!$B$6,COUNTA($C$8:$C$507),AY217))))</f>
        <v/>
      </c>
      <c r="BA217" s="5"/>
      <c r="BB217" s="106" t="n">
        <f aca="false">IF(OR(ISNUMBER(AY217),AY217=Constants!$B$4,AY217=Constants!$B$6,AY217=Constants!$B$5),1,0)</f>
        <v>0</v>
      </c>
      <c r="BC217" s="106" t="n">
        <v>210</v>
      </c>
      <c r="BD217" s="106" t="str">
        <f aca="false">IF(ISBLANK($C217),"",IF(ISNUMBER(AZ217),AZ217+ROW($B217)/1000,""))</f>
        <v/>
      </c>
      <c r="BE217" s="106" t="str">
        <f aca="false">IF(ISNUMBER(BD217),RANK(BD217,$BD$8:$BD$507,1),"")</f>
        <v/>
      </c>
      <c r="BF217" s="106" t="str">
        <f aca="false">IF(ISBLANK($C217),"",$B217)</f>
        <v/>
      </c>
      <c r="BG217" s="106" t="str">
        <f aca="false">IF(ISBLANK($C217),"",$C217)</f>
        <v/>
      </c>
      <c r="BH217" s="106" t="str">
        <f aca="false">IF(ISBLANK($C217),"",$D217)</f>
        <v/>
      </c>
      <c r="BI217" s="107" t="str">
        <f aca="false">AW217</f>
        <v/>
      </c>
      <c r="BJ217" s="108" t="str">
        <f aca="false">AV217</f>
        <v/>
      </c>
      <c r="BK217" s="106" t="str">
        <f aca="false">IF(ISBLANK($C217),"",AY217)</f>
        <v/>
      </c>
      <c r="BL217" s="109" t="str">
        <f aca="false">IF($BC217&gt;$BB$7,"",VLOOKUP($BC217,$BE$8:$BK$507,7,FALSE()))</f>
        <v/>
      </c>
      <c r="BM217" s="110" t="str">
        <f aca="false">IF($BC217&gt;$BB$7,"",VLOOKUP($BC217,$BE$8:$BK$507,2,FALSE()))</f>
        <v/>
      </c>
      <c r="BN217" s="110" t="str">
        <f aca="false">IF($BC217&gt;$BB$7,"",VLOOKUP($BC217,$BE$8:$BK$507,3,FALSE()))</f>
        <v/>
      </c>
      <c r="BO217" s="110" t="str">
        <f aca="false">IF($BC217&gt;$BB$7,"",VLOOKUP($BC217,$BE$8:$BK$507,4,FALSE()))</f>
        <v/>
      </c>
      <c r="BP217" s="110" t="str">
        <f aca="false">IF($BC217&gt;$BB$7,"",VLOOKUP($BC217,$BE$8:$BK$507,5,FALSE()))</f>
        <v/>
      </c>
      <c r="BQ217" s="111" t="str">
        <f aca="false">IF($BC217&gt;$BB$7,"",VLOOKUP($BC217,$BE$8:$BK$507,6,FALSE()))</f>
        <v/>
      </c>
      <c r="BR217" s="54"/>
    </row>
    <row r="218" customFormat="false" ht="15.75" hidden="false" customHeight="false" outlineLevel="0" collapsed="false">
      <c r="A218" s="5"/>
      <c r="B218" s="124"/>
      <c r="C218" s="56"/>
      <c r="D218" s="57"/>
      <c r="E218" s="83"/>
      <c r="F218" s="59"/>
      <c r="G218" s="60"/>
      <c r="H218" s="61"/>
      <c r="I218" s="62"/>
      <c r="J218" s="59"/>
      <c r="K218" s="60"/>
      <c r="L218" s="61"/>
      <c r="M218" s="62"/>
      <c r="N218" s="59"/>
      <c r="O218" s="83"/>
      <c r="P218" s="64"/>
      <c r="Q218" s="66" t="str">
        <f aca="false">IF(ISBLANK($C218),"",IF(E218=Constants!$B$2, TRUE(), IF(E218=Constants!$B$3, FALSE(), TRUE())))</f>
        <v/>
      </c>
      <c r="R218" s="66" t="str">
        <f aca="false">IF(ISBLANK($C218),"",IF(F218=Constants!$B$16,Constants!$B$9,IF(F218=Constants!$B$17,Constants!$B$10,Constants!$B$8)))</f>
        <v/>
      </c>
      <c r="S218" s="66" t="str">
        <f aca="false">IF(ISBLANK($C218),"",IF(COUNTA(G218:H218)=0,"",IF(AND(OR(ISBLANK(G218),AND(ISNUMBER(G218),G218&gt;=0)),OR(ISBLANK(H218),AND(ISNUMBER(H218),H218&gt;=0))),60*IF(ISBLANK(G218),0,G218)+IF(ISBLANK(H218),0,H218),"")))</f>
        <v/>
      </c>
      <c r="T218" s="66" t="str">
        <f aca="false">IF(ISBLANK($C218),"",IF(I218=Constants!$B$2, TRUE(), IF(I218=Constants!$B$3, FALSE(), TRUE())))</f>
        <v/>
      </c>
      <c r="U218" s="66" t="str">
        <f aca="false">IF(ISBLANK($C218),"",IF(J218=Constants!$B$2, TRUE(), IF(J218=Constants!$B$3, FALSE(), TRUE())))</f>
        <v/>
      </c>
      <c r="V218" s="66" t="str">
        <f aca="false">IF(ISBLANK($C218),"",IF(COUNTA(K218:L218)=0,"",IF(AND(OR(ISBLANK(K218),AND(ISNUMBER(K218),K218&gt;=0)),OR(ISBLANK(L218),AND(ISNUMBER(L218),L218&gt;=0))),60*IF(ISBLANK(K218),0,K218)+IF(ISBLANK(L218),0,L218),"")))</f>
        <v/>
      </c>
      <c r="W218" s="66" t="str">
        <f aca="false">IF(ISBLANK($C218),"",IF(M218=Constants!$B$2, TRUE(), IF(M218=Constants!$B$3, FALSE(), TRUE())))</f>
        <v/>
      </c>
      <c r="X218" s="66" t="str">
        <f aca="false">IF(ISBLANK($C218),"",IF(N218=Constants!$B$2, TRUE(), IF(N218=Constants!$B$3, FALSE(), TRUE())))</f>
        <v/>
      </c>
      <c r="Y218" s="66" t="str">
        <f aca="false">IF(ISBLANK($C218),"",IF(O218=Constants!$B$2, TRUE(), IF(O218=Constants!$B$3, FALSE(), FALSE())))</f>
        <v/>
      </c>
      <c r="Z218" s="66" t="str">
        <f aca="false">IF(ISBLANK($C218),"",AND(S218&lt;&gt;"",Q218))</f>
        <v/>
      </c>
      <c r="AA218" s="66" t="str">
        <f aca="false">IF(ISBLANK($C218),"",AND(V218&lt;&gt;"",Q218))</f>
        <v/>
      </c>
      <c r="AB218" s="66" t="str">
        <f aca="false">IF(ISBLANK($C218),"",IF(Y218,Constants!$B$4,IF(COUNTA(E218:N218)=0,Constants!$B$5,IF(NOT(Q218),Constants!$B$6,IF(AND(NOT(Z218),NOT(AA218)),Constants!$B$6,Constants!$B$7)))))</f>
        <v/>
      </c>
      <c r="AC218" s="66" t="str">
        <f aca="false">IF(ISBLANK($C218),"",IF($AB218&lt;&gt;Constants!$B$7,$AB218,Constants!$B$20))</f>
        <v/>
      </c>
      <c r="AD218" s="66" t="str">
        <f aca="false">IF($AB218=Constants!$B$7,IF(Z218,S218,Constants!$B$13),"")</f>
        <v/>
      </c>
      <c r="AE218" s="66" t="str">
        <f aca="false">IF($AB218=Constants!$B$7,IF(Z218,R218*IF(T218, 1, Constants!$B$11)*IF(U218, 1, Constants!$B$12),Constants!$B$13),"")</f>
        <v/>
      </c>
      <c r="AF218" s="66" t="str">
        <f aca="false">IF($AB218=Constants!$B$7,AD218*AE218,"")</f>
        <v/>
      </c>
      <c r="AG218" s="66" t="str">
        <f aca="false">IF($AB218=Constants!$B$7,IF(AA218,V218,Constants!$B$13),"")</f>
        <v/>
      </c>
      <c r="AH218" s="66" t="str">
        <f aca="false">IF($AB218=Constants!$B$7,IF(AA218,R218*IF(W218, 1, Constants!$B$11)*IF(X218, 1, Constants!$B$12),Constants!$B$13),"")</f>
        <v/>
      </c>
      <c r="AI218" s="66" t="str">
        <f aca="false">IF($AB218=Constants!$B$7,AG218*AH218,"")</f>
        <v/>
      </c>
      <c r="AJ218" s="66" t="str">
        <f aca="false">IF($AB218=Constants!$B$7,IF(AI218&gt;AF218,2,1),"")</f>
        <v/>
      </c>
      <c r="AK218" s="66" t="str">
        <f aca="false">IF($AB218=Constants!$B$7,IF(AJ218=1,2,1),"")</f>
        <v/>
      </c>
      <c r="AL218" s="66" t="str">
        <f aca="false">IF(ISBLANK($C218),"",IF($AB218&lt;&gt;Constants!$B$7,$AB218,IF(AJ218=1,AF218,AI218)))</f>
        <v/>
      </c>
      <c r="AM218" s="66" t="str">
        <f aca="false">IF(ISBLANK($C218),"",IF($AB218=Constants!$B$7,IF(ISNUMBER(AL218),RANK(AL218,$AL$8:$AL$507),Constants!$B$14),$AB218))</f>
        <v/>
      </c>
      <c r="AN218" s="66" t="str">
        <f aca="false">IF(ISBLANK($C218),"",IF($AB218=Constants!$B$7,IF(AK218=1,AF218,AI218),""))</f>
        <v/>
      </c>
      <c r="AO218" s="66" t="str">
        <f aca="false">IF(ISBLANK($C218),"",IF($AB218=Constants!$B$7,RANK(AN218,$AN$8:$AN$507),$AB218))</f>
        <v/>
      </c>
      <c r="AP218" s="66" t="str">
        <f aca="false">IF(ISBLANK($C218),"",IF($AB218=Constants!$B$7,IF(ISNUMBER(AM218),COUNTIFS($AM$8:$AM$507,"&lt;"&amp;$AM218)+COUNTIFS($AM$8:$AM$507,$AM218,$AO$8:$AO$507,"&lt;"&amp;$AO218)+1,Constants!$B$14),$AB218))</f>
        <v/>
      </c>
      <c r="AQ218" s="66" t="str">
        <f aca="false">IF(ISBLANK($C218),"",IF($AB218=Constants!$B$7,IF(ISNUMBER(AM218),AM218-AP218,Constants!$B$14),$AB218))</f>
        <v/>
      </c>
      <c r="AR218" s="68"/>
      <c r="AS218" s="69" t="str">
        <f aca="false">IF(ISBLANK($C218),"",IF($AB218&lt;&gt;Constants!$B$7,"",AJ218))</f>
        <v/>
      </c>
      <c r="AT218" s="84" t="str">
        <f aca="false">IF(ISBLANK($C218),"",IF($AB218&lt;&gt;Constants!$B$7,"",IF(AJ218=1,AD218,AG218)))</f>
        <v/>
      </c>
      <c r="AU218" s="71" t="str">
        <f aca="false">IF(ISBLANK($C218),"",IF($AB218&lt;&gt;Constants!$B$7,"",IF(AJ218=1,AE218,AH218)))</f>
        <v/>
      </c>
      <c r="AV218" s="72" t="str">
        <f aca="false">IF(ISBLANK($C218),"",IF($AB218&lt;&gt;Constants!$B$7,$AB218,AL218))</f>
        <v/>
      </c>
      <c r="AW218" s="73" t="str">
        <f aca="false">IF(ISBLANK($C218),"",IF($AB218&lt;&gt;Constants!$B$7,$AB218,AC218))</f>
        <v/>
      </c>
      <c r="AX218" s="74" t="str">
        <f aca="false">IF(ISBLANK($C218),"",AQ218)</f>
        <v/>
      </c>
      <c r="AY218" s="74" t="str">
        <f aca="false">IF(ISBLANK($C218),"",AP218)</f>
        <v/>
      </c>
      <c r="AZ218" s="75" t="str">
        <f aca="false">IF(ISBLANK($C218),"",IF(AY218=Constants!$B$4,COUNTA($C$8:$C$507)+2,IF(AY218=Constants!$B$5,COUNTA($C$8:$C$507)+1,IF(AY218=Constants!$B$6,COUNTA($C$8:$C$507),AY218))))</f>
        <v/>
      </c>
      <c r="BA218" s="5"/>
      <c r="BB218" s="76" t="n">
        <f aca="false">IF(OR(ISNUMBER(AY218),AY218=Constants!$B$4,AY218=Constants!$B$6,AY218=Constants!$B$5),1,0)</f>
        <v>0</v>
      </c>
      <c r="BC218" s="76" t="n">
        <v>211</v>
      </c>
      <c r="BD218" s="76" t="str">
        <f aca="false">IF(ISBLANK($C218),"",IF(ISNUMBER(AZ218),AZ218+ROW($B218)/1000,""))</f>
        <v/>
      </c>
      <c r="BE218" s="76" t="str">
        <f aca="false">IF(ISNUMBER(BD218),RANK(BD218,$BD$8:$BD$507,1),"")</f>
        <v/>
      </c>
      <c r="BF218" s="76" t="str">
        <f aca="false">IF(ISBLANK($C218),"",$B218)</f>
        <v/>
      </c>
      <c r="BG218" s="76" t="str">
        <f aca="false">IF(ISBLANK($C218),"",$C218)</f>
        <v/>
      </c>
      <c r="BH218" s="76" t="str">
        <f aca="false">IF(ISBLANK($C218),"",$D218)</f>
        <v/>
      </c>
      <c r="BI218" s="77" t="str">
        <f aca="false">AW218</f>
        <v/>
      </c>
      <c r="BJ218" s="78" t="str">
        <f aca="false">AV218</f>
        <v/>
      </c>
      <c r="BK218" s="76" t="str">
        <f aca="false">IF(ISBLANK($C218),"",AY218)</f>
        <v/>
      </c>
      <c r="BL218" s="79" t="str">
        <f aca="false">IF($BC218&gt;$BB$7,"",VLOOKUP($BC218,$BE$8:$BK$507,7,FALSE()))</f>
        <v/>
      </c>
      <c r="BM218" s="80" t="str">
        <f aca="false">IF($BC218&gt;$BB$7,"",VLOOKUP($BC218,$BE$8:$BK$507,2,FALSE()))</f>
        <v/>
      </c>
      <c r="BN218" s="80" t="str">
        <f aca="false">IF($BC218&gt;$BB$7,"",VLOOKUP($BC218,$BE$8:$BK$507,3,FALSE()))</f>
        <v/>
      </c>
      <c r="BO218" s="80" t="str">
        <f aca="false">IF($BC218&gt;$BB$7,"",VLOOKUP($BC218,$BE$8:$BK$507,4,FALSE()))</f>
        <v/>
      </c>
      <c r="BP218" s="80" t="str">
        <f aca="false">IF($BC218&gt;$BB$7,"",VLOOKUP($BC218,$BE$8:$BK$507,5,FALSE()))</f>
        <v/>
      </c>
      <c r="BQ218" s="81" t="str">
        <f aca="false">IF($BC218&gt;$BB$7,"",VLOOKUP($BC218,$BE$8:$BK$507,6,FALSE()))</f>
        <v/>
      </c>
      <c r="BR218" s="54"/>
    </row>
    <row r="219" customFormat="false" ht="15.75" hidden="false" customHeight="false" outlineLevel="0" collapsed="false">
      <c r="A219" s="5"/>
      <c r="B219" s="124"/>
      <c r="C219" s="56"/>
      <c r="D219" s="57"/>
      <c r="E219" s="83"/>
      <c r="F219" s="59"/>
      <c r="G219" s="60"/>
      <c r="H219" s="61"/>
      <c r="I219" s="62"/>
      <c r="J219" s="59"/>
      <c r="K219" s="60"/>
      <c r="L219" s="61"/>
      <c r="M219" s="62"/>
      <c r="N219" s="59"/>
      <c r="O219" s="83"/>
      <c r="P219" s="64"/>
      <c r="Q219" s="66" t="str">
        <f aca="false">IF(ISBLANK($C219),"",IF(E219=Constants!$B$2, TRUE(), IF(E219=Constants!$B$3, FALSE(), TRUE())))</f>
        <v/>
      </c>
      <c r="R219" s="66" t="str">
        <f aca="false">IF(ISBLANK($C219),"",IF(F219=Constants!$B$16,Constants!$B$9,IF(F219=Constants!$B$17,Constants!$B$10,Constants!$B$8)))</f>
        <v/>
      </c>
      <c r="S219" s="66" t="str">
        <f aca="false">IF(ISBLANK($C219),"",IF(COUNTA(G219:H219)=0,"",IF(AND(OR(ISBLANK(G219),AND(ISNUMBER(G219),G219&gt;=0)),OR(ISBLANK(H219),AND(ISNUMBER(H219),H219&gt;=0))),60*IF(ISBLANK(G219),0,G219)+IF(ISBLANK(H219),0,H219),"")))</f>
        <v/>
      </c>
      <c r="T219" s="66" t="str">
        <f aca="false">IF(ISBLANK($C219),"",IF(I219=Constants!$B$2, TRUE(), IF(I219=Constants!$B$3, FALSE(), TRUE())))</f>
        <v/>
      </c>
      <c r="U219" s="66" t="str">
        <f aca="false">IF(ISBLANK($C219),"",IF(J219=Constants!$B$2, TRUE(), IF(J219=Constants!$B$3, FALSE(), TRUE())))</f>
        <v/>
      </c>
      <c r="V219" s="66" t="str">
        <f aca="false">IF(ISBLANK($C219),"",IF(COUNTA(K219:L219)=0,"",IF(AND(OR(ISBLANK(K219),AND(ISNUMBER(K219),K219&gt;=0)),OR(ISBLANK(L219),AND(ISNUMBER(L219),L219&gt;=0))),60*IF(ISBLANK(K219),0,K219)+IF(ISBLANK(L219),0,L219),"")))</f>
        <v/>
      </c>
      <c r="W219" s="66" t="str">
        <f aca="false">IF(ISBLANK($C219),"",IF(M219=Constants!$B$2, TRUE(), IF(M219=Constants!$B$3, FALSE(), TRUE())))</f>
        <v/>
      </c>
      <c r="X219" s="66" t="str">
        <f aca="false">IF(ISBLANK($C219),"",IF(N219=Constants!$B$2, TRUE(), IF(N219=Constants!$B$3, FALSE(), TRUE())))</f>
        <v/>
      </c>
      <c r="Y219" s="66" t="str">
        <f aca="false">IF(ISBLANK($C219),"",IF(O219=Constants!$B$2, TRUE(), IF(O219=Constants!$B$3, FALSE(), FALSE())))</f>
        <v/>
      </c>
      <c r="Z219" s="66" t="str">
        <f aca="false">IF(ISBLANK($C219),"",AND(S219&lt;&gt;"",Q219))</f>
        <v/>
      </c>
      <c r="AA219" s="66" t="str">
        <f aca="false">IF(ISBLANK($C219),"",AND(V219&lt;&gt;"",Q219))</f>
        <v/>
      </c>
      <c r="AB219" s="66" t="str">
        <f aca="false">IF(ISBLANK($C219),"",IF(Y219,Constants!$B$4,IF(COUNTA(E219:N219)=0,Constants!$B$5,IF(NOT(Q219),Constants!$B$6,IF(AND(NOT(Z219),NOT(AA219)),Constants!$B$6,Constants!$B$7)))))</f>
        <v/>
      </c>
      <c r="AC219" s="66" t="str">
        <f aca="false">IF(ISBLANK($C219),"",IF($AB219&lt;&gt;Constants!$B$7,$AB219,Constants!$B$20))</f>
        <v/>
      </c>
      <c r="AD219" s="66" t="str">
        <f aca="false">IF($AB219=Constants!$B$7,IF(Z219,S219,Constants!$B$13),"")</f>
        <v/>
      </c>
      <c r="AE219" s="66" t="str">
        <f aca="false">IF($AB219=Constants!$B$7,IF(Z219,R219*IF(T219, 1, Constants!$B$11)*IF(U219, 1, Constants!$B$12),Constants!$B$13),"")</f>
        <v/>
      </c>
      <c r="AF219" s="66" t="str">
        <f aca="false">IF($AB219=Constants!$B$7,AD219*AE219,"")</f>
        <v/>
      </c>
      <c r="AG219" s="66" t="str">
        <f aca="false">IF($AB219=Constants!$B$7,IF(AA219,V219,Constants!$B$13),"")</f>
        <v/>
      </c>
      <c r="AH219" s="66" t="str">
        <f aca="false">IF($AB219=Constants!$B$7,IF(AA219,R219*IF(W219, 1, Constants!$B$11)*IF(X219, 1, Constants!$B$12),Constants!$B$13),"")</f>
        <v/>
      </c>
      <c r="AI219" s="66" t="str">
        <f aca="false">IF($AB219=Constants!$B$7,AG219*AH219,"")</f>
        <v/>
      </c>
      <c r="AJ219" s="66" t="str">
        <f aca="false">IF($AB219=Constants!$B$7,IF(AI219&gt;AF219,2,1),"")</f>
        <v/>
      </c>
      <c r="AK219" s="66" t="str">
        <f aca="false">IF($AB219=Constants!$B$7,IF(AJ219=1,2,1),"")</f>
        <v/>
      </c>
      <c r="AL219" s="66" t="str">
        <f aca="false">IF(ISBLANK($C219),"",IF($AB219&lt;&gt;Constants!$B$7,$AB219,IF(AJ219=1,AF219,AI219)))</f>
        <v/>
      </c>
      <c r="AM219" s="66" t="str">
        <f aca="false">IF(ISBLANK($C219),"",IF($AB219=Constants!$B$7,IF(ISNUMBER(AL219),RANK(AL219,$AL$8:$AL$507),Constants!$B$14),$AB219))</f>
        <v/>
      </c>
      <c r="AN219" s="66" t="str">
        <f aca="false">IF(ISBLANK($C219),"",IF($AB219=Constants!$B$7,IF(AK219=1,AF219,AI219),""))</f>
        <v/>
      </c>
      <c r="AO219" s="66" t="str">
        <f aca="false">IF(ISBLANK($C219),"",IF($AB219=Constants!$B$7,RANK(AN219,$AN$8:$AN$507),$AB219))</f>
        <v/>
      </c>
      <c r="AP219" s="66" t="str">
        <f aca="false">IF(ISBLANK($C219),"",IF($AB219=Constants!$B$7,IF(ISNUMBER(AM219),COUNTIFS($AM$8:$AM$507,"&lt;"&amp;$AM219)+COUNTIFS($AM$8:$AM$507,$AM219,$AO$8:$AO$507,"&lt;"&amp;$AO219)+1,Constants!$B$14),$AB219))</f>
        <v/>
      </c>
      <c r="AQ219" s="66" t="str">
        <f aca="false">IF(ISBLANK($C219),"",IF($AB219=Constants!$B$7,IF(ISNUMBER(AM219),AM219-AP219,Constants!$B$14),$AB219))</f>
        <v/>
      </c>
      <c r="AR219" s="68"/>
      <c r="AS219" s="69" t="str">
        <f aca="false">IF(ISBLANK($C219),"",IF($AB219&lt;&gt;Constants!$B$7,"",AJ219))</f>
        <v/>
      </c>
      <c r="AT219" s="84" t="str">
        <f aca="false">IF(ISBLANK($C219),"",IF($AB219&lt;&gt;Constants!$B$7,"",IF(AJ219=1,AD219,AG219)))</f>
        <v/>
      </c>
      <c r="AU219" s="71" t="str">
        <f aca="false">IF(ISBLANK($C219),"",IF($AB219&lt;&gt;Constants!$B$7,"",IF(AJ219=1,AE219,AH219)))</f>
        <v/>
      </c>
      <c r="AV219" s="72" t="str">
        <f aca="false">IF(ISBLANK($C219),"",IF($AB219&lt;&gt;Constants!$B$7,$AB219,AL219))</f>
        <v/>
      </c>
      <c r="AW219" s="73" t="str">
        <f aca="false">IF(ISBLANK($C219),"",IF($AB219&lt;&gt;Constants!$B$7,$AB219,AC219))</f>
        <v/>
      </c>
      <c r="AX219" s="74" t="str">
        <f aca="false">IF(ISBLANK($C219),"",AQ219)</f>
        <v/>
      </c>
      <c r="AY219" s="74" t="str">
        <f aca="false">IF(ISBLANK($C219),"",AP219)</f>
        <v/>
      </c>
      <c r="AZ219" s="75" t="str">
        <f aca="false">IF(ISBLANK($C219),"",IF(AY219=Constants!$B$4,COUNTA($C$8:$C$507)+2,IF(AY219=Constants!$B$5,COUNTA($C$8:$C$507)+1,IF(AY219=Constants!$B$6,COUNTA($C$8:$C$507),AY219))))</f>
        <v/>
      </c>
      <c r="BA219" s="5"/>
      <c r="BB219" s="76" t="n">
        <f aca="false">IF(OR(ISNUMBER(AY219),AY219=Constants!$B$4,AY219=Constants!$B$6,AY219=Constants!$B$5),1,0)</f>
        <v>0</v>
      </c>
      <c r="BC219" s="76" t="n">
        <v>212</v>
      </c>
      <c r="BD219" s="76" t="str">
        <f aca="false">IF(ISBLANK($C219),"",IF(ISNUMBER(AZ219),AZ219+ROW($B219)/1000,""))</f>
        <v/>
      </c>
      <c r="BE219" s="76" t="str">
        <f aca="false">IF(ISNUMBER(BD219),RANK(BD219,$BD$8:$BD$507,1),"")</f>
        <v/>
      </c>
      <c r="BF219" s="76" t="str">
        <f aca="false">IF(ISBLANK($C219),"",$B219)</f>
        <v/>
      </c>
      <c r="BG219" s="76" t="str">
        <f aca="false">IF(ISBLANK($C219),"",$C219)</f>
        <v/>
      </c>
      <c r="BH219" s="76" t="str">
        <f aca="false">IF(ISBLANK($C219),"",$D219)</f>
        <v/>
      </c>
      <c r="BI219" s="77" t="str">
        <f aca="false">AW219</f>
        <v/>
      </c>
      <c r="BJ219" s="78" t="str">
        <f aca="false">AV219</f>
        <v/>
      </c>
      <c r="BK219" s="76" t="str">
        <f aca="false">IF(ISBLANK($C219),"",AY219)</f>
        <v/>
      </c>
      <c r="BL219" s="79" t="str">
        <f aca="false">IF($BC219&gt;$BB$7,"",VLOOKUP($BC219,$BE$8:$BK$507,7,FALSE()))</f>
        <v/>
      </c>
      <c r="BM219" s="80" t="str">
        <f aca="false">IF($BC219&gt;$BB$7,"",VLOOKUP($BC219,$BE$8:$BK$507,2,FALSE()))</f>
        <v/>
      </c>
      <c r="BN219" s="80" t="str">
        <f aca="false">IF($BC219&gt;$BB$7,"",VLOOKUP($BC219,$BE$8:$BK$507,3,FALSE()))</f>
        <v/>
      </c>
      <c r="BO219" s="80" t="str">
        <f aca="false">IF($BC219&gt;$BB$7,"",VLOOKUP($BC219,$BE$8:$BK$507,4,FALSE()))</f>
        <v/>
      </c>
      <c r="BP219" s="80" t="str">
        <f aca="false">IF($BC219&gt;$BB$7,"",VLOOKUP($BC219,$BE$8:$BK$507,5,FALSE()))</f>
        <v/>
      </c>
      <c r="BQ219" s="81" t="str">
        <f aca="false">IF($BC219&gt;$BB$7,"",VLOOKUP($BC219,$BE$8:$BK$507,6,FALSE()))</f>
        <v/>
      </c>
      <c r="BR219" s="54"/>
    </row>
    <row r="220" customFormat="false" ht="15.75" hidden="false" customHeight="false" outlineLevel="0" collapsed="false">
      <c r="A220" s="5"/>
      <c r="B220" s="124"/>
      <c r="C220" s="56"/>
      <c r="D220" s="57"/>
      <c r="E220" s="83"/>
      <c r="F220" s="59"/>
      <c r="G220" s="60"/>
      <c r="H220" s="61"/>
      <c r="I220" s="62"/>
      <c r="J220" s="59"/>
      <c r="K220" s="60"/>
      <c r="L220" s="61"/>
      <c r="M220" s="62"/>
      <c r="N220" s="59"/>
      <c r="O220" s="83"/>
      <c r="P220" s="64"/>
      <c r="Q220" s="66" t="str">
        <f aca="false">IF(ISBLANK($C220),"",IF(E220=Constants!$B$2, TRUE(), IF(E220=Constants!$B$3, FALSE(), TRUE())))</f>
        <v/>
      </c>
      <c r="R220" s="66" t="str">
        <f aca="false">IF(ISBLANK($C220),"",IF(F220=Constants!$B$16,Constants!$B$9,IF(F220=Constants!$B$17,Constants!$B$10,Constants!$B$8)))</f>
        <v/>
      </c>
      <c r="S220" s="66" t="str">
        <f aca="false">IF(ISBLANK($C220),"",IF(COUNTA(G220:H220)=0,"",IF(AND(OR(ISBLANK(G220),AND(ISNUMBER(G220),G220&gt;=0)),OR(ISBLANK(H220),AND(ISNUMBER(H220),H220&gt;=0))),60*IF(ISBLANK(G220),0,G220)+IF(ISBLANK(H220),0,H220),"")))</f>
        <v/>
      </c>
      <c r="T220" s="66" t="str">
        <f aca="false">IF(ISBLANK($C220),"",IF(I220=Constants!$B$2, TRUE(), IF(I220=Constants!$B$3, FALSE(), TRUE())))</f>
        <v/>
      </c>
      <c r="U220" s="66" t="str">
        <f aca="false">IF(ISBLANK($C220),"",IF(J220=Constants!$B$2, TRUE(), IF(J220=Constants!$B$3, FALSE(), TRUE())))</f>
        <v/>
      </c>
      <c r="V220" s="66" t="str">
        <f aca="false">IF(ISBLANK($C220),"",IF(COUNTA(K220:L220)=0,"",IF(AND(OR(ISBLANK(K220),AND(ISNUMBER(K220),K220&gt;=0)),OR(ISBLANK(L220),AND(ISNUMBER(L220),L220&gt;=0))),60*IF(ISBLANK(K220),0,K220)+IF(ISBLANK(L220),0,L220),"")))</f>
        <v/>
      </c>
      <c r="W220" s="66" t="str">
        <f aca="false">IF(ISBLANK($C220),"",IF(M220=Constants!$B$2, TRUE(), IF(M220=Constants!$B$3, FALSE(), TRUE())))</f>
        <v/>
      </c>
      <c r="X220" s="66" t="str">
        <f aca="false">IF(ISBLANK($C220),"",IF(N220=Constants!$B$2, TRUE(), IF(N220=Constants!$B$3, FALSE(), TRUE())))</f>
        <v/>
      </c>
      <c r="Y220" s="66" t="str">
        <f aca="false">IF(ISBLANK($C220),"",IF(O220=Constants!$B$2, TRUE(), IF(O220=Constants!$B$3, FALSE(), FALSE())))</f>
        <v/>
      </c>
      <c r="Z220" s="66" t="str">
        <f aca="false">IF(ISBLANK($C220),"",AND(S220&lt;&gt;"",Q220))</f>
        <v/>
      </c>
      <c r="AA220" s="66" t="str">
        <f aca="false">IF(ISBLANK($C220),"",AND(V220&lt;&gt;"",Q220))</f>
        <v/>
      </c>
      <c r="AB220" s="66" t="str">
        <f aca="false">IF(ISBLANK($C220),"",IF(Y220,Constants!$B$4,IF(COUNTA(E220:N220)=0,Constants!$B$5,IF(NOT(Q220),Constants!$B$6,IF(AND(NOT(Z220),NOT(AA220)),Constants!$B$6,Constants!$B$7)))))</f>
        <v/>
      </c>
      <c r="AC220" s="66" t="str">
        <f aca="false">IF(ISBLANK($C220),"",IF($AB220&lt;&gt;Constants!$B$7,$AB220,Constants!$B$20))</f>
        <v/>
      </c>
      <c r="AD220" s="66" t="str">
        <f aca="false">IF($AB220=Constants!$B$7,IF(Z220,S220,Constants!$B$13),"")</f>
        <v/>
      </c>
      <c r="AE220" s="66" t="str">
        <f aca="false">IF($AB220=Constants!$B$7,IF(Z220,R220*IF(T220, 1, Constants!$B$11)*IF(U220, 1, Constants!$B$12),Constants!$B$13),"")</f>
        <v/>
      </c>
      <c r="AF220" s="66" t="str">
        <f aca="false">IF($AB220=Constants!$B$7,AD220*AE220,"")</f>
        <v/>
      </c>
      <c r="AG220" s="66" t="str">
        <f aca="false">IF($AB220=Constants!$B$7,IF(AA220,V220,Constants!$B$13),"")</f>
        <v/>
      </c>
      <c r="AH220" s="66" t="str">
        <f aca="false">IF($AB220=Constants!$B$7,IF(AA220,R220*IF(W220, 1, Constants!$B$11)*IF(X220, 1, Constants!$B$12),Constants!$B$13),"")</f>
        <v/>
      </c>
      <c r="AI220" s="66" t="str">
        <f aca="false">IF($AB220=Constants!$B$7,AG220*AH220,"")</f>
        <v/>
      </c>
      <c r="AJ220" s="66" t="str">
        <f aca="false">IF($AB220=Constants!$B$7,IF(AI220&gt;AF220,2,1),"")</f>
        <v/>
      </c>
      <c r="AK220" s="66" t="str">
        <f aca="false">IF($AB220=Constants!$B$7,IF(AJ220=1,2,1),"")</f>
        <v/>
      </c>
      <c r="AL220" s="66" t="str">
        <f aca="false">IF(ISBLANK($C220),"",IF($AB220&lt;&gt;Constants!$B$7,$AB220,IF(AJ220=1,AF220,AI220)))</f>
        <v/>
      </c>
      <c r="AM220" s="66" t="str">
        <f aca="false">IF(ISBLANK($C220),"",IF($AB220=Constants!$B$7,IF(ISNUMBER(AL220),RANK(AL220,$AL$8:$AL$507),Constants!$B$14),$AB220))</f>
        <v/>
      </c>
      <c r="AN220" s="66" t="str">
        <f aca="false">IF(ISBLANK($C220),"",IF($AB220=Constants!$B$7,IF(AK220=1,AF220,AI220),""))</f>
        <v/>
      </c>
      <c r="AO220" s="66" t="str">
        <f aca="false">IF(ISBLANK($C220),"",IF($AB220=Constants!$B$7,RANK(AN220,$AN$8:$AN$507),$AB220))</f>
        <v/>
      </c>
      <c r="AP220" s="66" t="str">
        <f aca="false">IF(ISBLANK($C220),"",IF($AB220=Constants!$B$7,IF(ISNUMBER(AM220),COUNTIFS($AM$8:$AM$507,"&lt;"&amp;$AM220)+COUNTIFS($AM$8:$AM$507,$AM220,$AO$8:$AO$507,"&lt;"&amp;$AO220)+1,Constants!$B$14),$AB220))</f>
        <v/>
      </c>
      <c r="AQ220" s="66" t="str">
        <f aca="false">IF(ISBLANK($C220),"",IF($AB220=Constants!$B$7,IF(ISNUMBER(AM220),AM220-AP220,Constants!$B$14),$AB220))</f>
        <v/>
      </c>
      <c r="AR220" s="68"/>
      <c r="AS220" s="69" t="str">
        <f aca="false">IF(ISBLANK($C220),"",IF($AB220&lt;&gt;Constants!$B$7,"",AJ220))</f>
        <v/>
      </c>
      <c r="AT220" s="84" t="str">
        <f aca="false">IF(ISBLANK($C220),"",IF($AB220&lt;&gt;Constants!$B$7,"",IF(AJ220=1,AD220,AG220)))</f>
        <v/>
      </c>
      <c r="AU220" s="71" t="str">
        <f aca="false">IF(ISBLANK($C220),"",IF($AB220&lt;&gt;Constants!$B$7,"",IF(AJ220=1,AE220,AH220)))</f>
        <v/>
      </c>
      <c r="AV220" s="72" t="str">
        <f aca="false">IF(ISBLANK($C220),"",IF($AB220&lt;&gt;Constants!$B$7,$AB220,AL220))</f>
        <v/>
      </c>
      <c r="AW220" s="73" t="str">
        <f aca="false">IF(ISBLANK($C220),"",IF($AB220&lt;&gt;Constants!$B$7,$AB220,AC220))</f>
        <v/>
      </c>
      <c r="AX220" s="74" t="str">
        <f aca="false">IF(ISBLANK($C220),"",AQ220)</f>
        <v/>
      </c>
      <c r="AY220" s="74" t="str">
        <f aca="false">IF(ISBLANK($C220),"",AP220)</f>
        <v/>
      </c>
      <c r="AZ220" s="75" t="str">
        <f aca="false">IF(ISBLANK($C220),"",IF(AY220=Constants!$B$4,COUNTA($C$8:$C$507)+2,IF(AY220=Constants!$B$5,COUNTA($C$8:$C$507)+1,IF(AY220=Constants!$B$6,COUNTA($C$8:$C$507),AY220))))</f>
        <v/>
      </c>
      <c r="BA220" s="5"/>
      <c r="BB220" s="76" t="n">
        <f aca="false">IF(OR(ISNUMBER(AY220),AY220=Constants!$B$4,AY220=Constants!$B$6,AY220=Constants!$B$5),1,0)</f>
        <v>0</v>
      </c>
      <c r="BC220" s="76" t="n">
        <v>213</v>
      </c>
      <c r="BD220" s="76" t="str">
        <f aca="false">IF(ISBLANK($C220),"",IF(ISNUMBER(AZ220),AZ220+ROW($B220)/1000,""))</f>
        <v/>
      </c>
      <c r="BE220" s="76" t="str">
        <f aca="false">IF(ISNUMBER(BD220),RANK(BD220,$BD$8:$BD$507,1),"")</f>
        <v/>
      </c>
      <c r="BF220" s="76" t="str">
        <f aca="false">IF(ISBLANK($C220),"",$B220)</f>
        <v/>
      </c>
      <c r="BG220" s="76" t="str">
        <f aca="false">IF(ISBLANK($C220),"",$C220)</f>
        <v/>
      </c>
      <c r="BH220" s="76" t="str">
        <f aca="false">IF(ISBLANK($C220),"",$D220)</f>
        <v/>
      </c>
      <c r="BI220" s="77" t="str">
        <f aca="false">AW220</f>
        <v/>
      </c>
      <c r="BJ220" s="78" t="str">
        <f aca="false">AV220</f>
        <v/>
      </c>
      <c r="BK220" s="76" t="str">
        <f aca="false">IF(ISBLANK($C220),"",AY220)</f>
        <v/>
      </c>
      <c r="BL220" s="79" t="str">
        <f aca="false">IF($BC220&gt;$BB$7,"",VLOOKUP($BC220,$BE$8:$BK$507,7,FALSE()))</f>
        <v/>
      </c>
      <c r="BM220" s="80" t="str">
        <f aca="false">IF($BC220&gt;$BB$7,"",VLOOKUP($BC220,$BE$8:$BK$507,2,FALSE()))</f>
        <v/>
      </c>
      <c r="BN220" s="80" t="str">
        <f aca="false">IF($BC220&gt;$BB$7,"",VLOOKUP($BC220,$BE$8:$BK$507,3,FALSE()))</f>
        <v/>
      </c>
      <c r="BO220" s="80" t="str">
        <f aca="false">IF($BC220&gt;$BB$7,"",VLOOKUP($BC220,$BE$8:$BK$507,4,FALSE()))</f>
        <v/>
      </c>
      <c r="BP220" s="80" t="str">
        <f aca="false">IF($BC220&gt;$BB$7,"",VLOOKUP($BC220,$BE$8:$BK$507,5,FALSE()))</f>
        <v/>
      </c>
      <c r="BQ220" s="81" t="str">
        <f aca="false">IF($BC220&gt;$BB$7,"",VLOOKUP($BC220,$BE$8:$BK$507,6,FALSE()))</f>
        <v/>
      </c>
      <c r="BR220" s="54"/>
    </row>
    <row r="221" customFormat="false" ht="15.75" hidden="false" customHeight="false" outlineLevel="0" collapsed="false">
      <c r="A221" s="5"/>
      <c r="B221" s="120"/>
      <c r="C221" s="121"/>
      <c r="D221" s="112"/>
      <c r="E221" s="123"/>
      <c r="F221" s="91"/>
      <c r="G221" s="92"/>
      <c r="H221" s="93"/>
      <c r="I221" s="94"/>
      <c r="J221" s="91"/>
      <c r="K221" s="92"/>
      <c r="L221" s="93"/>
      <c r="M221" s="94"/>
      <c r="N221" s="91"/>
      <c r="O221" s="123"/>
      <c r="P221" s="96"/>
      <c r="Q221" s="97" t="str">
        <f aca="false">IF(ISBLANK($C221),"",IF(E221=Constants!$B$2, TRUE(), IF(E221=Constants!$B$3, FALSE(), TRUE())))</f>
        <v/>
      </c>
      <c r="R221" s="97" t="str">
        <f aca="false">IF(ISBLANK($C221),"",IF(F221=Constants!$B$16,Constants!$B$9,IF(F221=Constants!$B$17,Constants!$B$10,Constants!$B$8)))</f>
        <v/>
      </c>
      <c r="S221" s="97" t="str">
        <f aca="false">IF(ISBLANK($C221),"",IF(COUNTA(G221:H221)=0,"",IF(AND(OR(ISBLANK(G221),AND(ISNUMBER(G221),G221&gt;=0)),OR(ISBLANK(H221),AND(ISNUMBER(H221),H221&gt;=0))),60*IF(ISBLANK(G221),0,G221)+IF(ISBLANK(H221),0,H221),"")))</f>
        <v/>
      </c>
      <c r="T221" s="97" t="str">
        <f aca="false">IF(ISBLANK($C221),"",IF(I221=Constants!$B$2, TRUE(), IF(I221=Constants!$B$3, FALSE(), TRUE())))</f>
        <v/>
      </c>
      <c r="U221" s="97" t="str">
        <f aca="false">IF(ISBLANK($C221),"",IF(J221=Constants!$B$2, TRUE(), IF(J221=Constants!$B$3, FALSE(), TRUE())))</f>
        <v/>
      </c>
      <c r="V221" s="97" t="str">
        <f aca="false">IF(ISBLANK($C221),"",IF(COUNTA(K221:L221)=0,"",IF(AND(OR(ISBLANK(K221),AND(ISNUMBER(K221),K221&gt;=0)),OR(ISBLANK(L221),AND(ISNUMBER(L221),L221&gt;=0))),60*IF(ISBLANK(K221),0,K221)+IF(ISBLANK(L221),0,L221),"")))</f>
        <v/>
      </c>
      <c r="W221" s="97" t="str">
        <f aca="false">IF(ISBLANK($C221),"",IF(M221=Constants!$B$2, TRUE(), IF(M221=Constants!$B$3, FALSE(), TRUE())))</f>
        <v/>
      </c>
      <c r="X221" s="97" t="str">
        <f aca="false">IF(ISBLANK($C221),"",IF(N221=Constants!$B$2, TRUE(), IF(N221=Constants!$B$3, FALSE(), TRUE())))</f>
        <v/>
      </c>
      <c r="Y221" s="97" t="str">
        <f aca="false">IF(ISBLANK($C221),"",IF(O221=Constants!$B$2, TRUE(), IF(O221=Constants!$B$3, FALSE(), FALSE())))</f>
        <v/>
      </c>
      <c r="Z221" s="97" t="str">
        <f aca="false">IF(ISBLANK($C221),"",AND(S221&lt;&gt;"",Q221))</f>
        <v/>
      </c>
      <c r="AA221" s="97" t="str">
        <f aca="false">IF(ISBLANK($C221),"",AND(V221&lt;&gt;"",Q221))</f>
        <v/>
      </c>
      <c r="AB221" s="97" t="str">
        <f aca="false">IF(ISBLANK($C221),"",IF(Y221,Constants!$B$4,IF(COUNTA(E221:N221)=0,Constants!$B$5,IF(NOT(Q221),Constants!$B$6,IF(AND(NOT(Z221),NOT(AA221)),Constants!$B$6,Constants!$B$7)))))</f>
        <v/>
      </c>
      <c r="AC221" s="97" t="str">
        <f aca="false">IF(ISBLANK($C221),"",IF($AB221&lt;&gt;Constants!$B$7,$AB221,Constants!$B$20))</f>
        <v/>
      </c>
      <c r="AD221" s="97" t="str">
        <f aca="false">IF($AB221=Constants!$B$7,IF(Z221,S221,Constants!$B$13),"")</f>
        <v/>
      </c>
      <c r="AE221" s="97" t="str">
        <f aca="false">IF($AB221=Constants!$B$7,IF(Z221,R221*IF(T221, 1, Constants!$B$11)*IF(U221, 1, Constants!$B$12),Constants!$B$13),"")</f>
        <v/>
      </c>
      <c r="AF221" s="97" t="str">
        <f aca="false">IF($AB221=Constants!$B$7,AD221*AE221,"")</f>
        <v/>
      </c>
      <c r="AG221" s="97" t="str">
        <f aca="false">IF($AB221=Constants!$B$7,IF(AA221,V221,Constants!$B$13),"")</f>
        <v/>
      </c>
      <c r="AH221" s="97" t="str">
        <f aca="false">IF($AB221=Constants!$B$7,IF(AA221,R221*IF(W221, 1, Constants!$B$11)*IF(X221, 1, Constants!$B$12),Constants!$B$13),"")</f>
        <v/>
      </c>
      <c r="AI221" s="97" t="str">
        <f aca="false">IF($AB221=Constants!$B$7,AG221*AH221,"")</f>
        <v/>
      </c>
      <c r="AJ221" s="97" t="str">
        <f aca="false">IF($AB221=Constants!$B$7,IF(AI221&gt;AF221,2,1),"")</f>
        <v/>
      </c>
      <c r="AK221" s="97" t="str">
        <f aca="false">IF($AB221=Constants!$B$7,IF(AJ221=1,2,1),"")</f>
        <v/>
      </c>
      <c r="AL221" s="97" t="str">
        <f aca="false">IF(ISBLANK($C221),"",IF($AB221&lt;&gt;Constants!$B$7,$AB221,IF(AJ221=1,AF221,AI221)))</f>
        <v/>
      </c>
      <c r="AM221" s="97" t="str">
        <f aca="false">IF(ISBLANK($C221),"",IF($AB221=Constants!$B$7,IF(ISNUMBER(AL221),RANK(AL221,$AL$8:$AL$507),Constants!$B$14),$AB221))</f>
        <v/>
      </c>
      <c r="AN221" s="97" t="str">
        <f aca="false">IF(ISBLANK($C221),"",IF($AB221=Constants!$B$7,IF(AK221=1,AF221,AI221),""))</f>
        <v/>
      </c>
      <c r="AO221" s="97" t="str">
        <f aca="false">IF(ISBLANK($C221),"",IF($AB221=Constants!$B$7,RANK(AN221,$AN$8:$AN$507),$AB221))</f>
        <v/>
      </c>
      <c r="AP221" s="97" t="str">
        <f aca="false">IF(ISBLANK($C221),"",IF($AB221=Constants!$B$7,IF(ISNUMBER(AM221),COUNTIFS($AM$8:$AM$507,"&lt;"&amp;$AM221)+COUNTIFS($AM$8:$AM$507,$AM221,$AO$8:$AO$507,"&lt;"&amp;$AO221)+1,Constants!$B$14),$AB221))</f>
        <v/>
      </c>
      <c r="AQ221" s="97" t="str">
        <f aca="false">IF(ISBLANK($C221),"",IF($AB221=Constants!$B$7,IF(ISNUMBER(AM221),AM221-AP221,Constants!$B$14),$AB221))</f>
        <v/>
      </c>
      <c r="AR221" s="98"/>
      <c r="AS221" s="99" t="str">
        <f aca="false">IF(ISBLANK($C221),"",IF($AB221&lt;&gt;Constants!$B$7,"",AJ221))</f>
        <v/>
      </c>
      <c r="AT221" s="100" t="str">
        <f aca="false">IF(ISBLANK($C221),"",IF($AB221&lt;&gt;Constants!$B$7,"",IF(AJ221=1,AD221,AG221)))</f>
        <v/>
      </c>
      <c r="AU221" s="101" t="str">
        <f aca="false">IF(ISBLANK($C221),"",IF($AB221&lt;&gt;Constants!$B$7,"",IF(AJ221=1,AE221,AH221)))</f>
        <v/>
      </c>
      <c r="AV221" s="102" t="str">
        <f aca="false">IF(ISBLANK($C221),"",IF($AB221&lt;&gt;Constants!$B$7,$AB221,AL221))</f>
        <v/>
      </c>
      <c r="AW221" s="103" t="str">
        <f aca="false">IF(ISBLANK($C221),"",IF($AB221&lt;&gt;Constants!$B$7,$AB221,AC221))</f>
        <v/>
      </c>
      <c r="AX221" s="104" t="str">
        <f aca="false">IF(ISBLANK($C221),"",AQ221)</f>
        <v/>
      </c>
      <c r="AY221" s="104" t="str">
        <f aca="false">IF(ISBLANK($C221),"",AP221)</f>
        <v/>
      </c>
      <c r="AZ221" s="105" t="str">
        <f aca="false">IF(ISBLANK($C221),"",IF(AY221=Constants!$B$4,COUNTA($C$8:$C$507)+2,IF(AY221=Constants!$B$5,COUNTA($C$8:$C$507)+1,IF(AY221=Constants!$B$6,COUNTA($C$8:$C$507),AY221))))</f>
        <v/>
      </c>
      <c r="BA221" s="5"/>
      <c r="BB221" s="106" t="n">
        <f aca="false">IF(OR(ISNUMBER(AY221),AY221=Constants!$B$4,AY221=Constants!$B$6,AY221=Constants!$B$5),1,0)</f>
        <v>0</v>
      </c>
      <c r="BC221" s="106" t="n">
        <v>214</v>
      </c>
      <c r="BD221" s="106" t="str">
        <f aca="false">IF(ISBLANK($C221),"",IF(ISNUMBER(AZ221),AZ221+ROW($B221)/1000,""))</f>
        <v/>
      </c>
      <c r="BE221" s="106" t="str">
        <f aca="false">IF(ISNUMBER(BD221),RANK(BD221,$BD$8:$BD$507,1),"")</f>
        <v/>
      </c>
      <c r="BF221" s="106" t="str">
        <f aca="false">IF(ISBLANK($C221),"",$B221)</f>
        <v/>
      </c>
      <c r="BG221" s="106" t="str">
        <f aca="false">IF(ISBLANK($C221),"",$C221)</f>
        <v/>
      </c>
      <c r="BH221" s="106" t="str">
        <f aca="false">IF(ISBLANK($C221),"",$D221)</f>
        <v/>
      </c>
      <c r="BI221" s="107" t="str">
        <f aca="false">AW221</f>
        <v/>
      </c>
      <c r="BJ221" s="108" t="str">
        <f aca="false">AV221</f>
        <v/>
      </c>
      <c r="BK221" s="106" t="str">
        <f aca="false">IF(ISBLANK($C221),"",AY221)</f>
        <v/>
      </c>
      <c r="BL221" s="109" t="str">
        <f aca="false">IF($BC221&gt;$BB$7,"",VLOOKUP($BC221,$BE$8:$BK$507,7,FALSE()))</f>
        <v/>
      </c>
      <c r="BM221" s="110" t="str">
        <f aca="false">IF($BC221&gt;$BB$7,"",VLOOKUP($BC221,$BE$8:$BK$507,2,FALSE()))</f>
        <v/>
      </c>
      <c r="BN221" s="110" t="str">
        <f aca="false">IF($BC221&gt;$BB$7,"",VLOOKUP($BC221,$BE$8:$BK$507,3,FALSE()))</f>
        <v/>
      </c>
      <c r="BO221" s="110" t="str">
        <f aca="false">IF($BC221&gt;$BB$7,"",VLOOKUP($BC221,$BE$8:$BK$507,4,FALSE()))</f>
        <v/>
      </c>
      <c r="BP221" s="110" t="str">
        <f aca="false">IF($BC221&gt;$BB$7,"",VLOOKUP($BC221,$BE$8:$BK$507,5,FALSE()))</f>
        <v/>
      </c>
      <c r="BQ221" s="111" t="str">
        <f aca="false">IF($BC221&gt;$BB$7,"",VLOOKUP($BC221,$BE$8:$BK$507,6,FALSE()))</f>
        <v/>
      </c>
      <c r="BR221" s="54"/>
    </row>
    <row r="222" customFormat="false" ht="15.75" hidden="false" customHeight="false" outlineLevel="0" collapsed="false">
      <c r="A222" s="5"/>
      <c r="B222" s="120"/>
      <c r="C222" s="121"/>
      <c r="D222" s="112"/>
      <c r="E222" s="123"/>
      <c r="F222" s="91"/>
      <c r="G222" s="92"/>
      <c r="H222" s="93"/>
      <c r="I222" s="94"/>
      <c r="J222" s="91"/>
      <c r="K222" s="92"/>
      <c r="L222" s="93"/>
      <c r="M222" s="94"/>
      <c r="N222" s="91"/>
      <c r="O222" s="123"/>
      <c r="P222" s="96"/>
      <c r="Q222" s="97" t="str">
        <f aca="false">IF(ISBLANK($C222),"",IF(E222=Constants!$B$2, TRUE(), IF(E222=Constants!$B$3, FALSE(), TRUE())))</f>
        <v/>
      </c>
      <c r="R222" s="97" t="str">
        <f aca="false">IF(ISBLANK($C222),"",IF(F222=Constants!$B$16,Constants!$B$9,IF(F222=Constants!$B$17,Constants!$B$10,Constants!$B$8)))</f>
        <v/>
      </c>
      <c r="S222" s="97" t="str">
        <f aca="false">IF(ISBLANK($C222),"",IF(COUNTA(G222:H222)=0,"",IF(AND(OR(ISBLANK(G222),AND(ISNUMBER(G222),G222&gt;=0)),OR(ISBLANK(H222),AND(ISNUMBER(H222),H222&gt;=0))),60*IF(ISBLANK(G222),0,G222)+IF(ISBLANK(H222),0,H222),"")))</f>
        <v/>
      </c>
      <c r="T222" s="97" t="str">
        <f aca="false">IF(ISBLANK($C222),"",IF(I222=Constants!$B$2, TRUE(), IF(I222=Constants!$B$3, FALSE(), TRUE())))</f>
        <v/>
      </c>
      <c r="U222" s="97" t="str">
        <f aca="false">IF(ISBLANK($C222),"",IF(J222=Constants!$B$2, TRUE(), IF(J222=Constants!$B$3, FALSE(), TRUE())))</f>
        <v/>
      </c>
      <c r="V222" s="97" t="str">
        <f aca="false">IF(ISBLANK($C222),"",IF(COUNTA(K222:L222)=0,"",IF(AND(OR(ISBLANK(K222),AND(ISNUMBER(K222),K222&gt;=0)),OR(ISBLANK(L222),AND(ISNUMBER(L222),L222&gt;=0))),60*IF(ISBLANK(K222),0,K222)+IF(ISBLANK(L222),0,L222),"")))</f>
        <v/>
      </c>
      <c r="W222" s="97" t="str">
        <f aca="false">IF(ISBLANK($C222),"",IF(M222=Constants!$B$2, TRUE(), IF(M222=Constants!$B$3, FALSE(), TRUE())))</f>
        <v/>
      </c>
      <c r="X222" s="97" t="str">
        <f aca="false">IF(ISBLANK($C222),"",IF(N222=Constants!$B$2, TRUE(), IF(N222=Constants!$B$3, FALSE(), TRUE())))</f>
        <v/>
      </c>
      <c r="Y222" s="97" t="str">
        <f aca="false">IF(ISBLANK($C222),"",IF(O222=Constants!$B$2, TRUE(), IF(O222=Constants!$B$3, FALSE(), FALSE())))</f>
        <v/>
      </c>
      <c r="Z222" s="97" t="str">
        <f aca="false">IF(ISBLANK($C222),"",AND(S222&lt;&gt;"",Q222))</f>
        <v/>
      </c>
      <c r="AA222" s="97" t="str">
        <f aca="false">IF(ISBLANK($C222),"",AND(V222&lt;&gt;"",Q222))</f>
        <v/>
      </c>
      <c r="AB222" s="97" t="str">
        <f aca="false">IF(ISBLANK($C222),"",IF(Y222,Constants!$B$4,IF(COUNTA(E222:N222)=0,Constants!$B$5,IF(NOT(Q222),Constants!$B$6,IF(AND(NOT(Z222),NOT(AA222)),Constants!$B$6,Constants!$B$7)))))</f>
        <v/>
      </c>
      <c r="AC222" s="97" t="str">
        <f aca="false">IF(ISBLANK($C222),"",IF($AB222&lt;&gt;Constants!$B$7,$AB222,Constants!$B$20))</f>
        <v/>
      </c>
      <c r="AD222" s="97" t="str">
        <f aca="false">IF($AB222=Constants!$B$7,IF(Z222,S222,Constants!$B$13),"")</f>
        <v/>
      </c>
      <c r="AE222" s="97" t="str">
        <f aca="false">IF($AB222=Constants!$B$7,IF(Z222,R222*IF(T222, 1, Constants!$B$11)*IF(U222, 1, Constants!$B$12),Constants!$B$13),"")</f>
        <v/>
      </c>
      <c r="AF222" s="97" t="str">
        <f aca="false">IF($AB222=Constants!$B$7,AD222*AE222,"")</f>
        <v/>
      </c>
      <c r="AG222" s="97" t="str">
        <f aca="false">IF($AB222=Constants!$B$7,IF(AA222,V222,Constants!$B$13),"")</f>
        <v/>
      </c>
      <c r="AH222" s="97" t="str">
        <f aca="false">IF($AB222=Constants!$B$7,IF(AA222,R222*IF(W222, 1, Constants!$B$11)*IF(X222, 1, Constants!$B$12),Constants!$B$13),"")</f>
        <v/>
      </c>
      <c r="AI222" s="97" t="str">
        <f aca="false">IF($AB222=Constants!$B$7,AG222*AH222,"")</f>
        <v/>
      </c>
      <c r="AJ222" s="97" t="str">
        <f aca="false">IF($AB222=Constants!$B$7,IF(AI222&gt;AF222,2,1),"")</f>
        <v/>
      </c>
      <c r="AK222" s="97" t="str">
        <f aca="false">IF($AB222=Constants!$B$7,IF(AJ222=1,2,1),"")</f>
        <v/>
      </c>
      <c r="AL222" s="97" t="str">
        <f aca="false">IF(ISBLANK($C222),"",IF($AB222&lt;&gt;Constants!$B$7,$AB222,IF(AJ222=1,AF222,AI222)))</f>
        <v/>
      </c>
      <c r="AM222" s="97" t="str">
        <f aca="false">IF(ISBLANK($C222),"",IF($AB222=Constants!$B$7,IF(ISNUMBER(AL222),RANK(AL222,$AL$8:$AL$507),Constants!$B$14),$AB222))</f>
        <v/>
      </c>
      <c r="AN222" s="97" t="str">
        <f aca="false">IF(ISBLANK($C222),"",IF($AB222=Constants!$B$7,IF(AK222=1,AF222,AI222),""))</f>
        <v/>
      </c>
      <c r="AO222" s="97" t="str">
        <f aca="false">IF(ISBLANK($C222),"",IF($AB222=Constants!$B$7,RANK(AN222,$AN$8:$AN$507),$AB222))</f>
        <v/>
      </c>
      <c r="AP222" s="97" t="str">
        <f aca="false">IF(ISBLANK($C222),"",IF($AB222=Constants!$B$7,IF(ISNUMBER(AM222),COUNTIFS($AM$8:$AM$507,"&lt;"&amp;$AM222)+COUNTIFS($AM$8:$AM$507,$AM222,$AO$8:$AO$507,"&lt;"&amp;$AO222)+1,Constants!$B$14),$AB222))</f>
        <v/>
      </c>
      <c r="AQ222" s="97" t="str">
        <f aca="false">IF(ISBLANK($C222),"",IF($AB222=Constants!$B$7,IF(ISNUMBER(AM222),AM222-AP222,Constants!$B$14),$AB222))</f>
        <v/>
      </c>
      <c r="AR222" s="98"/>
      <c r="AS222" s="99" t="str">
        <f aca="false">IF(ISBLANK($C222),"",IF($AB222&lt;&gt;Constants!$B$7,"",AJ222))</f>
        <v/>
      </c>
      <c r="AT222" s="100" t="str">
        <f aca="false">IF(ISBLANK($C222),"",IF($AB222&lt;&gt;Constants!$B$7,"",IF(AJ222=1,AD222,AG222)))</f>
        <v/>
      </c>
      <c r="AU222" s="101" t="str">
        <f aca="false">IF(ISBLANK($C222),"",IF($AB222&lt;&gt;Constants!$B$7,"",IF(AJ222=1,AE222,AH222)))</f>
        <v/>
      </c>
      <c r="AV222" s="102" t="str">
        <f aca="false">IF(ISBLANK($C222),"",IF($AB222&lt;&gt;Constants!$B$7,$AB222,AL222))</f>
        <v/>
      </c>
      <c r="AW222" s="103" t="str">
        <f aca="false">IF(ISBLANK($C222),"",IF($AB222&lt;&gt;Constants!$B$7,$AB222,AC222))</f>
        <v/>
      </c>
      <c r="AX222" s="104" t="str">
        <f aca="false">IF(ISBLANK($C222),"",AQ222)</f>
        <v/>
      </c>
      <c r="AY222" s="104" t="str">
        <f aca="false">IF(ISBLANK($C222),"",AP222)</f>
        <v/>
      </c>
      <c r="AZ222" s="105" t="str">
        <f aca="false">IF(ISBLANK($C222),"",IF(AY222=Constants!$B$4,COUNTA($C$8:$C$507)+2,IF(AY222=Constants!$B$5,COUNTA($C$8:$C$507)+1,IF(AY222=Constants!$B$6,COUNTA($C$8:$C$507),AY222))))</f>
        <v/>
      </c>
      <c r="BA222" s="5"/>
      <c r="BB222" s="106" t="n">
        <f aca="false">IF(OR(ISNUMBER(AY222),AY222=Constants!$B$4,AY222=Constants!$B$6,AY222=Constants!$B$5),1,0)</f>
        <v>0</v>
      </c>
      <c r="BC222" s="106" t="n">
        <v>215</v>
      </c>
      <c r="BD222" s="106" t="str">
        <f aca="false">IF(ISBLANK($C222),"",IF(ISNUMBER(AZ222),AZ222+ROW($B222)/1000,""))</f>
        <v/>
      </c>
      <c r="BE222" s="106" t="str">
        <f aca="false">IF(ISNUMBER(BD222),RANK(BD222,$BD$8:$BD$507,1),"")</f>
        <v/>
      </c>
      <c r="BF222" s="106" t="str">
        <f aca="false">IF(ISBLANK($C222),"",$B222)</f>
        <v/>
      </c>
      <c r="BG222" s="106" t="str">
        <f aca="false">IF(ISBLANK($C222),"",$C222)</f>
        <v/>
      </c>
      <c r="BH222" s="106" t="str">
        <f aca="false">IF(ISBLANK($C222),"",$D222)</f>
        <v/>
      </c>
      <c r="BI222" s="107" t="str">
        <f aca="false">AW222</f>
        <v/>
      </c>
      <c r="BJ222" s="108" t="str">
        <f aca="false">AV222</f>
        <v/>
      </c>
      <c r="BK222" s="106" t="str">
        <f aca="false">IF(ISBLANK($C222),"",AY222)</f>
        <v/>
      </c>
      <c r="BL222" s="109" t="str">
        <f aca="false">IF($BC222&gt;$BB$7,"",VLOOKUP($BC222,$BE$8:$BK$507,7,FALSE()))</f>
        <v/>
      </c>
      <c r="BM222" s="110" t="str">
        <f aca="false">IF($BC222&gt;$BB$7,"",VLOOKUP($BC222,$BE$8:$BK$507,2,FALSE()))</f>
        <v/>
      </c>
      <c r="BN222" s="110" t="str">
        <f aca="false">IF($BC222&gt;$BB$7,"",VLOOKUP($BC222,$BE$8:$BK$507,3,FALSE()))</f>
        <v/>
      </c>
      <c r="BO222" s="110" t="str">
        <f aca="false">IF($BC222&gt;$BB$7,"",VLOOKUP($BC222,$BE$8:$BK$507,4,FALSE()))</f>
        <v/>
      </c>
      <c r="BP222" s="110" t="str">
        <f aca="false">IF($BC222&gt;$BB$7,"",VLOOKUP($BC222,$BE$8:$BK$507,5,FALSE()))</f>
        <v/>
      </c>
      <c r="BQ222" s="111" t="str">
        <f aca="false">IF($BC222&gt;$BB$7,"",VLOOKUP($BC222,$BE$8:$BK$507,6,FALSE()))</f>
        <v/>
      </c>
      <c r="BR222" s="54"/>
    </row>
    <row r="223" customFormat="false" ht="15.75" hidden="false" customHeight="false" outlineLevel="0" collapsed="false">
      <c r="A223" s="5"/>
      <c r="B223" s="120"/>
      <c r="C223" s="121"/>
      <c r="D223" s="112"/>
      <c r="E223" s="123"/>
      <c r="F223" s="91"/>
      <c r="G223" s="92"/>
      <c r="H223" s="93"/>
      <c r="I223" s="94"/>
      <c r="J223" s="91"/>
      <c r="K223" s="92"/>
      <c r="L223" s="93"/>
      <c r="M223" s="94"/>
      <c r="N223" s="91"/>
      <c r="O223" s="123"/>
      <c r="P223" s="96"/>
      <c r="Q223" s="97" t="str">
        <f aca="false">IF(ISBLANK($C223),"",IF(E223=Constants!$B$2, TRUE(), IF(E223=Constants!$B$3, FALSE(), TRUE())))</f>
        <v/>
      </c>
      <c r="R223" s="97" t="str">
        <f aca="false">IF(ISBLANK($C223),"",IF(F223=Constants!$B$16,Constants!$B$9,IF(F223=Constants!$B$17,Constants!$B$10,Constants!$B$8)))</f>
        <v/>
      </c>
      <c r="S223" s="97" t="str">
        <f aca="false">IF(ISBLANK($C223),"",IF(COUNTA(G223:H223)=0,"",IF(AND(OR(ISBLANK(G223),AND(ISNUMBER(G223),G223&gt;=0)),OR(ISBLANK(H223),AND(ISNUMBER(H223),H223&gt;=0))),60*IF(ISBLANK(G223),0,G223)+IF(ISBLANK(H223),0,H223),"")))</f>
        <v/>
      </c>
      <c r="T223" s="97" t="str">
        <f aca="false">IF(ISBLANK($C223),"",IF(I223=Constants!$B$2, TRUE(), IF(I223=Constants!$B$3, FALSE(), TRUE())))</f>
        <v/>
      </c>
      <c r="U223" s="97" t="str">
        <f aca="false">IF(ISBLANK($C223),"",IF(J223=Constants!$B$2, TRUE(), IF(J223=Constants!$B$3, FALSE(), TRUE())))</f>
        <v/>
      </c>
      <c r="V223" s="97" t="str">
        <f aca="false">IF(ISBLANK($C223),"",IF(COUNTA(K223:L223)=0,"",IF(AND(OR(ISBLANK(K223),AND(ISNUMBER(K223),K223&gt;=0)),OR(ISBLANK(L223),AND(ISNUMBER(L223),L223&gt;=0))),60*IF(ISBLANK(K223),0,K223)+IF(ISBLANK(L223),0,L223),"")))</f>
        <v/>
      </c>
      <c r="W223" s="97" t="str">
        <f aca="false">IF(ISBLANK($C223),"",IF(M223=Constants!$B$2, TRUE(), IF(M223=Constants!$B$3, FALSE(), TRUE())))</f>
        <v/>
      </c>
      <c r="X223" s="97" t="str">
        <f aca="false">IF(ISBLANK($C223),"",IF(N223=Constants!$B$2, TRUE(), IF(N223=Constants!$B$3, FALSE(), TRUE())))</f>
        <v/>
      </c>
      <c r="Y223" s="97" t="str">
        <f aca="false">IF(ISBLANK($C223),"",IF(O223=Constants!$B$2, TRUE(), IF(O223=Constants!$B$3, FALSE(), FALSE())))</f>
        <v/>
      </c>
      <c r="Z223" s="97" t="str">
        <f aca="false">IF(ISBLANK($C223),"",AND(S223&lt;&gt;"",Q223))</f>
        <v/>
      </c>
      <c r="AA223" s="97" t="str">
        <f aca="false">IF(ISBLANK($C223),"",AND(V223&lt;&gt;"",Q223))</f>
        <v/>
      </c>
      <c r="AB223" s="97" t="str">
        <f aca="false">IF(ISBLANK($C223),"",IF(Y223,Constants!$B$4,IF(COUNTA(E223:N223)=0,Constants!$B$5,IF(NOT(Q223),Constants!$B$6,IF(AND(NOT(Z223),NOT(AA223)),Constants!$B$6,Constants!$B$7)))))</f>
        <v/>
      </c>
      <c r="AC223" s="97" t="str">
        <f aca="false">IF(ISBLANK($C223),"",IF($AB223&lt;&gt;Constants!$B$7,$AB223,Constants!$B$20))</f>
        <v/>
      </c>
      <c r="AD223" s="97" t="str">
        <f aca="false">IF($AB223=Constants!$B$7,IF(Z223,S223,Constants!$B$13),"")</f>
        <v/>
      </c>
      <c r="AE223" s="97" t="str">
        <f aca="false">IF($AB223=Constants!$B$7,IF(Z223,R223*IF(T223, 1, Constants!$B$11)*IF(U223, 1, Constants!$B$12),Constants!$B$13),"")</f>
        <v/>
      </c>
      <c r="AF223" s="97" t="str">
        <f aca="false">IF($AB223=Constants!$B$7,AD223*AE223,"")</f>
        <v/>
      </c>
      <c r="AG223" s="97" t="str">
        <f aca="false">IF($AB223=Constants!$B$7,IF(AA223,V223,Constants!$B$13),"")</f>
        <v/>
      </c>
      <c r="AH223" s="97" t="str">
        <f aca="false">IF($AB223=Constants!$B$7,IF(AA223,R223*IF(W223, 1, Constants!$B$11)*IF(X223, 1, Constants!$B$12),Constants!$B$13),"")</f>
        <v/>
      </c>
      <c r="AI223" s="97" t="str">
        <f aca="false">IF($AB223=Constants!$B$7,AG223*AH223,"")</f>
        <v/>
      </c>
      <c r="AJ223" s="97" t="str">
        <f aca="false">IF($AB223=Constants!$B$7,IF(AI223&gt;AF223,2,1),"")</f>
        <v/>
      </c>
      <c r="AK223" s="97" t="str">
        <f aca="false">IF($AB223=Constants!$B$7,IF(AJ223=1,2,1),"")</f>
        <v/>
      </c>
      <c r="AL223" s="97" t="str">
        <f aca="false">IF(ISBLANK($C223),"",IF($AB223&lt;&gt;Constants!$B$7,$AB223,IF(AJ223=1,AF223,AI223)))</f>
        <v/>
      </c>
      <c r="AM223" s="97" t="str">
        <f aca="false">IF(ISBLANK($C223),"",IF($AB223=Constants!$B$7,IF(ISNUMBER(AL223),RANK(AL223,$AL$8:$AL$507),Constants!$B$14),$AB223))</f>
        <v/>
      </c>
      <c r="AN223" s="97" t="str">
        <f aca="false">IF(ISBLANK($C223),"",IF($AB223=Constants!$B$7,IF(AK223=1,AF223,AI223),""))</f>
        <v/>
      </c>
      <c r="AO223" s="97" t="str">
        <f aca="false">IF(ISBLANK($C223),"",IF($AB223=Constants!$B$7,RANK(AN223,$AN$8:$AN$507),$AB223))</f>
        <v/>
      </c>
      <c r="AP223" s="97" t="str">
        <f aca="false">IF(ISBLANK($C223),"",IF($AB223=Constants!$B$7,IF(ISNUMBER(AM223),COUNTIFS($AM$8:$AM$507,"&lt;"&amp;$AM223)+COUNTIFS($AM$8:$AM$507,$AM223,$AO$8:$AO$507,"&lt;"&amp;$AO223)+1,Constants!$B$14),$AB223))</f>
        <v/>
      </c>
      <c r="AQ223" s="97" t="str">
        <f aca="false">IF(ISBLANK($C223),"",IF($AB223=Constants!$B$7,IF(ISNUMBER(AM223),AM223-AP223,Constants!$B$14),$AB223))</f>
        <v/>
      </c>
      <c r="AR223" s="98"/>
      <c r="AS223" s="99" t="str">
        <f aca="false">IF(ISBLANK($C223),"",IF($AB223&lt;&gt;Constants!$B$7,"",AJ223))</f>
        <v/>
      </c>
      <c r="AT223" s="100" t="str">
        <f aca="false">IF(ISBLANK($C223),"",IF($AB223&lt;&gt;Constants!$B$7,"",IF(AJ223=1,AD223,AG223)))</f>
        <v/>
      </c>
      <c r="AU223" s="101" t="str">
        <f aca="false">IF(ISBLANK($C223),"",IF($AB223&lt;&gt;Constants!$B$7,"",IF(AJ223=1,AE223,AH223)))</f>
        <v/>
      </c>
      <c r="AV223" s="102" t="str">
        <f aca="false">IF(ISBLANK($C223),"",IF($AB223&lt;&gt;Constants!$B$7,$AB223,AL223))</f>
        <v/>
      </c>
      <c r="AW223" s="103" t="str">
        <f aca="false">IF(ISBLANK($C223),"",IF($AB223&lt;&gt;Constants!$B$7,$AB223,AC223))</f>
        <v/>
      </c>
      <c r="AX223" s="104" t="str">
        <f aca="false">IF(ISBLANK($C223),"",AQ223)</f>
        <v/>
      </c>
      <c r="AY223" s="104" t="str">
        <f aca="false">IF(ISBLANK($C223),"",AP223)</f>
        <v/>
      </c>
      <c r="AZ223" s="105" t="str">
        <f aca="false">IF(ISBLANK($C223),"",IF(AY223=Constants!$B$4,COUNTA($C$8:$C$507)+2,IF(AY223=Constants!$B$5,COUNTA($C$8:$C$507)+1,IF(AY223=Constants!$B$6,COUNTA($C$8:$C$507),AY223))))</f>
        <v/>
      </c>
      <c r="BA223" s="5"/>
      <c r="BB223" s="106" t="n">
        <f aca="false">IF(OR(ISNUMBER(AY223),AY223=Constants!$B$4,AY223=Constants!$B$6,AY223=Constants!$B$5),1,0)</f>
        <v>0</v>
      </c>
      <c r="BC223" s="106" t="n">
        <v>216</v>
      </c>
      <c r="BD223" s="106" t="str">
        <f aca="false">IF(ISBLANK($C223),"",IF(ISNUMBER(AZ223),AZ223+ROW($B223)/1000,""))</f>
        <v/>
      </c>
      <c r="BE223" s="106" t="str">
        <f aca="false">IF(ISNUMBER(BD223),RANK(BD223,$BD$8:$BD$507,1),"")</f>
        <v/>
      </c>
      <c r="BF223" s="106" t="str">
        <f aca="false">IF(ISBLANK($C223),"",$B223)</f>
        <v/>
      </c>
      <c r="BG223" s="106" t="str">
        <f aca="false">IF(ISBLANK($C223),"",$C223)</f>
        <v/>
      </c>
      <c r="BH223" s="106" t="str">
        <f aca="false">IF(ISBLANK($C223),"",$D223)</f>
        <v/>
      </c>
      <c r="BI223" s="107" t="str">
        <f aca="false">AW223</f>
        <v/>
      </c>
      <c r="BJ223" s="108" t="str">
        <f aca="false">AV223</f>
        <v/>
      </c>
      <c r="BK223" s="106" t="str">
        <f aca="false">IF(ISBLANK($C223),"",AY223)</f>
        <v/>
      </c>
      <c r="BL223" s="109" t="str">
        <f aca="false">IF($BC223&gt;$BB$7,"",VLOOKUP($BC223,$BE$8:$BK$507,7,FALSE()))</f>
        <v/>
      </c>
      <c r="BM223" s="110" t="str">
        <f aca="false">IF($BC223&gt;$BB$7,"",VLOOKUP($BC223,$BE$8:$BK$507,2,FALSE()))</f>
        <v/>
      </c>
      <c r="BN223" s="110" t="str">
        <f aca="false">IF($BC223&gt;$BB$7,"",VLOOKUP($BC223,$BE$8:$BK$507,3,FALSE()))</f>
        <v/>
      </c>
      <c r="BO223" s="110" t="str">
        <f aca="false">IF($BC223&gt;$BB$7,"",VLOOKUP($BC223,$BE$8:$BK$507,4,FALSE()))</f>
        <v/>
      </c>
      <c r="BP223" s="110" t="str">
        <f aca="false">IF($BC223&gt;$BB$7,"",VLOOKUP($BC223,$BE$8:$BK$507,5,FALSE()))</f>
        <v/>
      </c>
      <c r="BQ223" s="111" t="str">
        <f aca="false">IF($BC223&gt;$BB$7,"",VLOOKUP($BC223,$BE$8:$BK$507,6,FALSE()))</f>
        <v/>
      </c>
      <c r="BR223" s="54"/>
    </row>
    <row r="224" customFormat="false" ht="15.75" hidden="false" customHeight="false" outlineLevel="0" collapsed="false">
      <c r="A224" s="5"/>
      <c r="B224" s="124"/>
      <c r="C224" s="56"/>
      <c r="D224" s="57"/>
      <c r="E224" s="83"/>
      <c r="F224" s="59"/>
      <c r="G224" s="60"/>
      <c r="H224" s="61"/>
      <c r="I224" s="62"/>
      <c r="J224" s="59"/>
      <c r="K224" s="60"/>
      <c r="L224" s="61"/>
      <c r="M224" s="62"/>
      <c r="N224" s="59"/>
      <c r="O224" s="83"/>
      <c r="P224" s="64"/>
      <c r="Q224" s="66" t="str">
        <f aca="false">IF(ISBLANK($C224),"",IF(E224=Constants!$B$2, TRUE(), IF(E224=Constants!$B$3, FALSE(), TRUE())))</f>
        <v/>
      </c>
      <c r="R224" s="66" t="str">
        <f aca="false">IF(ISBLANK($C224),"",IF(F224=Constants!$B$16,Constants!$B$9,IF(F224=Constants!$B$17,Constants!$B$10,Constants!$B$8)))</f>
        <v/>
      </c>
      <c r="S224" s="66" t="str">
        <f aca="false">IF(ISBLANK($C224),"",IF(COUNTA(G224:H224)=0,"",IF(AND(OR(ISBLANK(G224),AND(ISNUMBER(G224),G224&gt;=0)),OR(ISBLANK(H224),AND(ISNUMBER(H224),H224&gt;=0))),60*IF(ISBLANK(G224),0,G224)+IF(ISBLANK(H224),0,H224),"")))</f>
        <v/>
      </c>
      <c r="T224" s="66" t="str">
        <f aca="false">IF(ISBLANK($C224),"",IF(I224=Constants!$B$2, TRUE(), IF(I224=Constants!$B$3, FALSE(), TRUE())))</f>
        <v/>
      </c>
      <c r="U224" s="66" t="str">
        <f aca="false">IF(ISBLANK($C224),"",IF(J224=Constants!$B$2, TRUE(), IF(J224=Constants!$B$3, FALSE(), TRUE())))</f>
        <v/>
      </c>
      <c r="V224" s="66" t="str">
        <f aca="false">IF(ISBLANK($C224),"",IF(COUNTA(K224:L224)=0,"",IF(AND(OR(ISBLANK(K224),AND(ISNUMBER(K224),K224&gt;=0)),OR(ISBLANK(L224),AND(ISNUMBER(L224),L224&gt;=0))),60*IF(ISBLANK(K224),0,K224)+IF(ISBLANK(L224),0,L224),"")))</f>
        <v/>
      </c>
      <c r="W224" s="66" t="str">
        <f aca="false">IF(ISBLANK($C224),"",IF(M224=Constants!$B$2, TRUE(), IF(M224=Constants!$B$3, FALSE(), TRUE())))</f>
        <v/>
      </c>
      <c r="X224" s="66" t="str">
        <f aca="false">IF(ISBLANK($C224),"",IF(N224=Constants!$B$2, TRUE(), IF(N224=Constants!$B$3, FALSE(), TRUE())))</f>
        <v/>
      </c>
      <c r="Y224" s="66" t="str">
        <f aca="false">IF(ISBLANK($C224),"",IF(O224=Constants!$B$2, TRUE(), IF(O224=Constants!$B$3, FALSE(), FALSE())))</f>
        <v/>
      </c>
      <c r="Z224" s="66" t="str">
        <f aca="false">IF(ISBLANK($C224),"",AND(S224&lt;&gt;"",Q224))</f>
        <v/>
      </c>
      <c r="AA224" s="66" t="str">
        <f aca="false">IF(ISBLANK($C224),"",AND(V224&lt;&gt;"",Q224))</f>
        <v/>
      </c>
      <c r="AB224" s="66" t="str">
        <f aca="false">IF(ISBLANK($C224),"",IF(Y224,Constants!$B$4,IF(COUNTA(E224:N224)=0,Constants!$B$5,IF(NOT(Q224),Constants!$B$6,IF(AND(NOT(Z224),NOT(AA224)),Constants!$B$6,Constants!$B$7)))))</f>
        <v/>
      </c>
      <c r="AC224" s="66" t="str">
        <f aca="false">IF(ISBLANK($C224),"",IF($AB224&lt;&gt;Constants!$B$7,$AB224,Constants!$B$20))</f>
        <v/>
      </c>
      <c r="AD224" s="66" t="str">
        <f aca="false">IF($AB224=Constants!$B$7,IF(Z224,S224,Constants!$B$13),"")</f>
        <v/>
      </c>
      <c r="AE224" s="66" t="str">
        <f aca="false">IF($AB224=Constants!$B$7,IF(Z224,R224*IF(T224, 1, Constants!$B$11)*IF(U224, 1, Constants!$B$12),Constants!$B$13),"")</f>
        <v/>
      </c>
      <c r="AF224" s="66" t="str">
        <f aca="false">IF($AB224=Constants!$B$7,AD224*AE224,"")</f>
        <v/>
      </c>
      <c r="AG224" s="66" t="str">
        <f aca="false">IF($AB224=Constants!$B$7,IF(AA224,V224,Constants!$B$13),"")</f>
        <v/>
      </c>
      <c r="AH224" s="66" t="str">
        <f aca="false">IF($AB224=Constants!$B$7,IF(AA224,R224*IF(W224, 1, Constants!$B$11)*IF(X224, 1, Constants!$B$12),Constants!$B$13),"")</f>
        <v/>
      </c>
      <c r="AI224" s="66" t="str">
        <f aca="false">IF($AB224=Constants!$B$7,AG224*AH224,"")</f>
        <v/>
      </c>
      <c r="AJ224" s="66" t="str">
        <f aca="false">IF($AB224=Constants!$B$7,IF(AI224&gt;AF224,2,1),"")</f>
        <v/>
      </c>
      <c r="AK224" s="66" t="str">
        <f aca="false">IF($AB224=Constants!$B$7,IF(AJ224=1,2,1),"")</f>
        <v/>
      </c>
      <c r="AL224" s="66" t="str">
        <f aca="false">IF(ISBLANK($C224),"",IF($AB224&lt;&gt;Constants!$B$7,$AB224,IF(AJ224=1,AF224,AI224)))</f>
        <v/>
      </c>
      <c r="AM224" s="66" t="str">
        <f aca="false">IF(ISBLANK($C224),"",IF($AB224=Constants!$B$7,IF(ISNUMBER(AL224),RANK(AL224,$AL$8:$AL$507),Constants!$B$14),$AB224))</f>
        <v/>
      </c>
      <c r="AN224" s="66" t="str">
        <f aca="false">IF(ISBLANK($C224),"",IF($AB224=Constants!$B$7,IF(AK224=1,AF224,AI224),""))</f>
        <v/>
      </c>
      <c r="AO224" s="66" t="str">
        <f aca="false">IF(ISBLANK($C224),"",IF($AB224=Constants!$B$7,RANK(AN224,$AN$8:$AN$507),$AB224))</f>
        <v/>
      </c>
      <c r="AP224" s="66" t="str">
        <f aca="false">IF(ISBLANK($C224),"",IF($AB224=Constants!$B$7,IF(ISNUMBER(AM224),COUNTIFS($AM$8:$AM$507,"&lt;"&amp;$AM224)+COUNTIFS($AM$8:$AM$507,$AM224,$AO$8:$AO$507,"&lt;"&amp;$AO224)+1,Constants!$B$14),$AB224))</f>
        <v/>
      </c>
      <c r="AQ224" s="66" t="str">
        <f aca="false">IF(ISBLANK($C224),"",IF($AB224=Constants!$B$7,IF(ISNUMBER(AM224),AM224-AP224,Constants!$B$14),$AB224))</f>
        <v/>
      </c>
      <c r="AR224" s="68"/>
      <c r="AS224" s="69" t="str">
        <f aca="false">IF(ISBLANK($C224),"",IF($AB224&lt;&gt;Constants!$B$7,"",AJ224))</f>
        <v/>
      </c>
      <c r="AT224" s="84" t="str">
        <f aca="false">IF(ISBLANK($C224),"",IF($AB224&lt;&gt;Constants!$B$7,"",IF(AJ224=1,AD224,AG224)))</f>
        <v/>
      </c>
      <c r="AU224" s="71" t="str">
        <f aca="false">IF(ISBLANK($C224),"",IF($AB224&lt;&gt;Constants!$B$7,"",IF(AJ224=1,AE224,AH224)))</f>
        <v/>
      </c>
      <c r="AV224" s="72" t="str">
        <f aca="false">IF(ISBLANK($C224),"",IF($AB224&lt;&gt;Constants!$B$7,$AB224,AL224))</f>
        <v/>
      </c>
      <c r="AW224" s="73" t="str">
        <f aca="false">IF(ISBLANK($C224),"",IF($AB224&lt;&gt;Constants!$B$7,$AB224,AC224))</f>
        <v/>
      </c>
      <c r="AX224" s="74" t="str">
        <f aca="false">IF(ISBLANK($C224),"",AQ224)</f>
        <v/>
      </c>
      <c r="AY224" s="74" t="str">
        <f aca="false">IF(ISBLANK($C224),"",AP224)</f>
        <v/>
      </c>
      <c r="AZ224" s="75" t="str">
        <f aca="false">IF(ISBLANK($C224),"",IF(AY224=Constants!$B$4,COUNTA($C$8:$C$507)+2,IF(AY224=Constants!$B$5,COUNTA($C$8:$C$507)+1,IF(AY224=Constants!$B$6,COUNTA($C$8:$C$507),AY224))))</f>
        <v/>
      </c>
      <c r="BA224" s="5"/>
      <c r="BB224" s="76" t="n">
        <f aca="false">IF(OR(ISNUMBER(AY224),AY224=Constants!$B$4,AY224=Constants!$B$6,AY224=Constants!$B$5),1,0)</f>
        <v>0</v>
      </c>
      <c r="BC224" s="76" t="n">
        <v>217</v>
      </c>
      <c r="BD224" s="76" t="str">
        <f aca="false">IF(ISBLANK($C224),"",IF(ISNUMBER(AZ224),AZ224+ROW($B224)/1000,""))</f>
        <v/>
      </c>
      <c r="BE224" s="76" t="str">
        <f aca="false">IF(ISNUMBER(BD224),RANK(BD224,$BD$8:$BD$507,1),"")</f>
        <v/>
      </c>
      <c r="BF224" s="76" t="str">
        <f aca="false">IF(ISBLANK($C224),"",$B224)</f>
        <v/>
      </c>
      <c r="BG224" s="76" t="str">
        <f aca="false">IF(ISBLANK($C224),"",$C224)</f>
        <v/>
      </c>
      <c r="BH224" s="76" t="str">
        <f aca="false">IF(ISBLANK($C224),"",$D224)</f>
        <v/>
      </c>
      <c r="BI224" s="77" t="str">
        <f aca="false">AW224</f>
        <v/>
      </c>
      <c r="BJ224" s="78" t="str">
        <f aca="false">AV224</f>
        <v/>
      </c>
      <c r="BK224" s="76" t="str">
        <f aca="false">IF(ISBLANK($C224),"",AY224)</f>
        <v/>
      </c>
      <c r="BL224" s="79" t="str">
        <f aca="false">IF($BC224&gt;$BB$7,"",VLOOKUP($BC224,$BE$8:$BK$507,7,FALSE()))</f>
        <v/>
      </c>
      <c r="BM224" s="80" t="str">
        <f aca="false">IF($BC224&gt;$BB$7,"",VLOOKUP($BC224,$BE$8:$BK$507,2,FALSE()))</f>
        <v/>
      </c>
      <c r="BN224" s="80" t="str">
        <f aca="false">IF($BC224&gt;$BB$7,"",VLOOKUP($BC224,$BE$8:$BK$507,3,FALSE()))</f>
        <v/>
      </c>
      <c r="BO224" s="80" t="str">
        <f aca="false">IF($BC224&gt;$BB$7,"",VLOOKUP($BC224,$BE$8:$BK$507,4,FALSE()))</f>
        <v/>
      </c>
      <c r="BP224" s="80" t="str">
        <f aca="false">IF($BC224&gt;$BB$7,"",VLOOKUP($BC224,$BE$8:$BK$507,5,FALSE()))</f>
        <v/>
      </c>
      <c r="BQ224" s="81" t="str">
        <f aca="false">IF($BC224&gt;$BB$7,"",VLOOKUP($BC224,$BE$8:$BK$507,6,FALSE()))</f>
        <v/>
      </c>
      <c r="BR224" s="54"/>
    </row>
    <row r="225" customFormat="false" ht="15.75" hidden="false" customHeight="false" outlineLevel="0" collapsed="false">
      <c r="A225" s="5"/>
      <c r="B225" s="124"/>
      <c r="C225" s="56"/>
      <c r="D225" s="57"/>
      <c r="E225" s="83"/>
      <c r="F225" s="59"/>
      <c r="G225" s="60"/>
      <c r="H225" s="61"/>
      <c r="I225" s="62"/>
      <c r="J225" s="59"/>
      <c r="K225" s="60"/>
      <c r="L225" s="61"/>
      <c r="M225" s="62"/>
      <c r="N225" s="59"/>
      <c r="O225" s="83"/>
      <c r="P225" s="64"/>
      <c r="Q225" s="66" t="str">
        <f aca="false">IF(ISBLANK($C225),"",IF(E225=Constants!$B$2, TRUE(), IF(E225=Constants!$B$3, FALSE(), TRUE())))</f>
        <v/>
      </c>
      <c r="R225" s="66" t="str">
        <f aca="false">IF(ISBLANK($C225),"",IF(F225=Constants!$B$16,Constants!$B$9,IF(F225=Constants!$B$17,Constants!$B$10,Constants!$B$8)))</f>
        <v/>
      </c>
      <c r="S225" s="66" t="str">
        <f aca="false">IF(ISBLANK($C225),"",IF(COUNTA(G225:H225)=0,"",IF(AND(OR(ISBLANK(G225),AND(ISNUMBER(G225),G225&gt;=0)),OR(ISBLANK(H225),AND(ISNUMBER(H225),H225&gt;=0))),60*IF(ISBLANK(G225),0,G225)+IF(ISBLANK(H225),0,H225),"")))</f>
        <v/>
      </c>
      <c r="T225" s="66" t="str">
        <f aca="false">IF(ISBLANK($C225),"",IF(I225=Constants!$B$2, TRUE(), IF(I225=Constants!$B$3, FALSE(), TRUE())))</f>
        <v/>
      </c>
      <c r="U225" s="66" t="str">
        <f aca="false">IF(ISBLANK($C225),"",IF(J225=Constants!$B$2, TRUE(), IF(J225=Constants!$B$3, FALSE(), TRUE())))</f>
        <v/>
      </c>
      <c r="V225" s="66" t="str">
        <f aca="false">IF(ISBLANK($C225),"",IF(COUNTA(K225:L225)=0,"",IF(AND(OR(ISBLANK(K225),AND(ISNUMBER(K225),K225&gt;=0)),OR(ISBLANK(L225),AND(ISNUMBER(L225),L225&gt;=0))),60*IF(ISBLANK(K225),0,K225)+IF(ISBLANK(L225),0,L225),"")))</f>
        <v/>
      </c>
      <c r="W225" s="66" t="str">
        <f aca="false">IF(ISBLANK($C225),"",IF(M225=Constants!$B$2, TRUE(), IF(M225=Constants!$B$3, FALSE(), TRUE())))</f>
        <v/>
      </c>
      <c r="X225" s="66" t="str">
        <f aca="false">IF(ISBLANK($C225),"",IF(N225=Constants!$B$2, TRUE(), IF(N225=Constants!$B$3, FALSE(), TRUE())))</f>
        <v/>
      </c>
      <c r="Y225" s="66" t="str">
        <f aca="false">IF(ISBLANK($C225),"",IF(O225=Constants!$B$2, TRUE(), IF(O225=Constants!$B$3, FALSE(), FALSE())))</f>
        <v/>
      </c>
      <c r="Z225" s="66" t="str">
        <f aca="false">IF(ISBLANK($C225),"",AND(S225&lt;&gt;"",Q225))</f>
        <v/>
      </c>
      <c r="AA225" s="66" t="str">
        <f aca="false">IF(ISBLANK($C225),"",AND(V225&lt;&gt;"",Q225))</f>
        <v/>
      </c>
      <c r="AB225" s="66" t="str">
        <f aca="false">IF(ISBLANK($C225),"",IF(Y225,Constants!$B$4,IF(COUNTA(E225:N225)=0,Constants!$B$5,IF(NOT(Q225),Constants!$B$6,IF(AND(NOT(Z225),NOT(AA225)),Constants!$B$6,Constants!$B$7)))))</f>
        <v/>
      </c>
      <c r="AC225" s="66" t="str">
        <f aca="false">IF(ISBLANK($C225),"",IF($AB225&lt;&gt;Constants!$B$7,$AB225,Constants!$B$20))</f>
        <v/>
      </c>
      <c r="AD225" s="66" t="str">
        <f aca="false">IF($AB225=Constants!$B$7,IF(Z225,S225,Constants!$B$13),"")</f>
        <v/>
      </c>
      <c r="AE225" s="66" t="str">
        <f aca="false">IF($AB225=Constants!$B$7,IF(Z225,R225*IF(T225, 1, Constants!$B$11)*IF(U225, 1, Constants!$B$12),Constants!$B$13),"")</f>
        <v/>
      </c>
      <c r="AF225" s="66" t="str">
        <f aca="false">IF($AB225=Constants!$B$7,AD225*AE225,"")</f>
        <v/>
      </c>
      <c r="AG225" s="66" t="str">
        <f aca="false">IF($AB225=Constants!$B$7,IF(AA225,V225,Constants!$B$13),"")</f>
        <v/>
      </c>
      <c r="AH225" s="66" t="str">
        <f aca="false">IF($AB225=Constants!$B$7,IF(AA225,R225*IF(W225, 1, Constants!$B$11)*IF(X225, 1, Constants!$B$12),Constants!$B$13),"")</f>
        <v/>
      </c>
      <c r="AI225" s="66" t="str">
        <f aca="false">IF($AB225=Constants!$B$7,AG225*AH225,"")</f>
        <v/>
      </c>
      <c r="AJ225" s="66" t="str">
        <f aca="false">IF($AB225=Constants!$B$7,IF(AI225&gt;AF225,2,1),"")</f>
        <v/>
      </c>
      <c r="AK225" s="66" t="str">
        <f aca="false">IF($AB225=Constants!$B$7,IF(AJ225=1,2,1),"")</f>
        <v/>
      </c>
      <c r="AL225" s="66" t="str">
        <f aca="false">IF(ISBLANK($C225),"",IF($AB225&lt;&gt;Constants!$B$7,$AB225,IF(AJ225=1,AF225,AI225)))</f>
        <v/>
      </c>
      <c r="AM225" s="66" t="str">
        <f aca="false">IF(ISBLANK($C225),"",IF($AB225=Constants!$B$7,IF(ISNUMBER(AL225),RANK(AL225,$AL$8:$AL$507),Constants!$B$14),$AB225))</f>
        <v/>
      </c>
      <c r="AN225" s="66" t="str">
        <f aca="false">IF(ISBLANK($C225),"",IF($AB225=Constants!$B$7,IF(AK225=1,AF225,AI225),""))</f>
        <v/>
      </c>
      <c r="AO225" s="66" t="str">
        <f aca="false">IF(ISBLANK($C225),"",IF($AB225=Constants!$B$7,RANK(AN225,$AN$8:$AN$507),$AB225))</f>
        <v/>
      </c>
      <c r="AP225" s="66" t="str">
        <f aca="false">IF(ISBLANK($C225),"",IF($AB225=Constants!$B$7,IF(ISNUMBER(AM225),COUNTIFS($AM$8:$AM$507,"&lt;"&amp;$AM225)+COUNTIFS($AM$8:$AM$507,$AM225,$AO$8:$AO$507,"&lt;"&amp;$AO225)+1,Constants!$B$14),$AB225))</f>
        <v/>
      </c>
      <c r="AQ225" s="66" t="str">
        <f aca="false">IF(ISBLANK($C225),"",IF($AB225=Constants!$B$7,IF(ISNUMBER(AM225),AM225-AP225,Constants!$B$14),$AB225))</f>
        <v/>
      </c>
      <c r="AR225" s="68"/>
      <c r="AS225" s="69" t="str">
        <f aca="false">IF(ISBLANK($C225),"",IF($AB225&lt;&gt;Constants!$B$7,"",AJ225))</f>
        <v/>
      </c>
      <c r="AT225" s="84" t="str">
        <f aca="false">IF(ISBLANK($C225),"",IF($AB225&lt;&gt;Constants!$B$7,"",IF(AJ225=1,AD225,AG225)))</f>
        <v/>
      </c>
      <c r="AU225" s="71" t="str">
        <f aca="false">IF(ISBLANK($C225),"",IF($AB225&lt;&gt;Constants!$B$7,"",IF(AJ225=1,AE225,AH225)))</f>
        <v/>
      </c>
      <c r="AV225" s="72" t="str">
        <f aca="false">IF(ISBLANK($C225),"",IF($AB225&lt;&gt;Constants!$B$7,$AB225,AL225))</f>
        <v/>
      </c>
      <c r="AW225" s="73" t="str">
        <f aca="false">IF(ISBLANK($C225),"",IF($AB225&lt;&gt;Constants!$B$7,$AB225,AC225))</f>
        <v/>
      </c>
      <c r="AX225" s="74" t="str">
        <f aca="false">IF(ISBLANK($C225),"",AQ225)</f>
        <v/>
      </c>
      <c r="AY225" s="74" t="str">
        <f aca="false">IF(ISBLANK($C225),"",AP225)</f>
        <v/>
      </c>
      <c r="AZ225" s="75" t="str">
        <f aca="false">IF(ISBLANK($C225),"",IF(AY225=Constants!$B$4,COUNTA($C$8:$C$507)+2,IF(AY225=Constants!$B$5,COUNTA($C$8:$C$507)+1,IF(AY225=Constants!$B$6,COUNTA($C$8:$C$507),AY225))))</f>
        <v/>
      </c>
      <c r="BA225" s="5"/>
      <c r="BB225" s="76" t="n">
        <f aca="false">IF(OR(ISNUMBER(AY225),AY225=Constants!$B$4,AY225=Constants!$B$6,AY225=Constants!$B$5),1,0)</f>
        <v>0</v>
      </c>
      <c r="BC225" s="76" t="n">
        <v>218</v>
      </c>
      <c r="BD225" s="76" t="str">
        <f aca="false">IF(ISBLANK($C225),"",IF(ISNUMBER(AZ225),AZ225+ROW($B225)/1000,""))</f>
        <v/>
      </c>
      <c r="BE225" s="76" t="str">
        <f aca="false">IF(ISNUMBER(BD225),RANK(BD225,$BD$8:$BD$507,1),"")</f>
        <v/>
      </c>
      <c r="BF225" s="76" t="str">
        <f aca="false">IF(ISBLANK($C225),"",$B225)</f>
        <v/>
      </c>
      <c r="BG225" s="76" t="str">
        <f aca="false">IF(ISBLANK($C225),"",$C225)</f>
        <v/>
      </c>
      <c r="BH225" s="76" t="str">
        <f aca="false">IF(ISBLANK($C225),"",$D225)</f>
        <v/>
      </c>
      <c r="BI225" s="77" t="str">
        <f aca="false">AW225</f>
        <v/>
      </c>
      <c r="BJ225" s="78" t="str">
        <f aca="false">AV225</f>
        <v/>
      </c>
      <c r="BK225" s="76" t="str">
        <f aca="false">IF(ISBLANK($C225),"",AY225)</f>
        <v/>
      </c>
      <c r="BL225" s="79" t="str">
        <f aca="false">IF($BC225&gt;$BB$7,"",VLOOKUP($BC225,$BE$8:$BK$507,7,FALSE()))</f>
        <v/>
      </c>
      <c r="BM225" s="80" t="str">
        <f aca="false">IF($BC225&gt;$BB$7,"",VLOOKUP($BC225,$BE$8:$BK$507,2,FALSE()))</f>
        <v/>
      </c>
      <c r="BN225" s="80" t="str">
        <f aca="false">IF($BC225&gt;$BB$7,"",VLOOKUP($BC225,$BE$8:$BK$507,3,FALSE()))</f>
        <v/>
      </c>
      <c r="BO225" s="80" t="str">
        <f aca="false">IF($BC225&gt;$BB$7,"",VLOOKUP($BC225,$BE$8:$BK$507,4,FALSE()))</f>
        <v/>
      </c>
      <c r="BP225" s="80" t="str">
        <f aca="false">IF($BC225&gt;$BB$7,"",VLOOKUP($BC225,$BE$8:$BK$507,5,FALSE()))</f>
        <v/>
      </c>
      <c r="BQ225" s="81" t="str">
        <f aca="false">IF($BC225&gt;$BB$7,"",VLOOKUP($BC225,$BE$8:$BK$507,6,FALSE()))</f>
        <v/>
      </c>
      <c r="BR225" s="54"/>
    </row>
    <row r="226" customFormat="false" ht="15.75" hidden="false" customHeight="false" outlineLevel="0" collapsed="false">
      <c r="A226" s="5"/>
      <c r="B226" s="124"/>
      <c r="C226" s="56"/>
      <c r="D226" s="57"/>
      <c r="E226" s="83"/>
      <c r="F226" s="59"/>
      <c r="G226" s="60"/>
      <c r="H226" s="61"/>
      <c r="I226" s="62"/>
      <c r="J226" s="59"/>
      <c r="K226" s="60"/>
      <c r="L226" s="61"/>
      <c r="M226" s="62"/>
      <c r="N226" s="59"/>
      <c r="O226" s="83"/>
      <c r="P226" s="64"/>
      <c r="Q226" s="66" t="str">
        <f aca="false">IF(ISBLANK($C226),"",IF(E226=Constants!$B$2, TRUE(), IF(E226=Constants!$B$3, FALSE(), TRUE())))</f>
        <v/>
      </c>
      <c r="R226" s="66" t="str">
        <f aca="false">IF(ISBLANK($C226),"",IF(F226=Constants!$B$16,Constants!$B$9,IF(F226=Constants!$B$17,Constants!$B$10,Constants!$B$8)))</f>
        <v/>
      </c>
      <c r="S226" s="66" t="str">
        <f aca="false">IF(ISBLANK($C226),"",IF(COUNTA(G226:H226)=0,"",IF(AND(OR(ISBLANK(G226),AND(ISNUMBER(G226),G226&gt;=0)),OR(ISBLANK(H226),AND(ISNUMBER(H226),H226&gt;=0))),60*IF(ISBLANK(G226),0,G226)+IF(ISBLANK(H226),0,H226),"")))</f>
        <v/>
      </c>
      <c r="T226" s="66" t="str">
        <f aca="false">IF(ISBLANK($C226),"",IF(I226=Constants!$B$2, TRUE(), IF(I226=Constants!$B$3, FALSE(), TRUE())))</f>
        <v/>
      </c>
      <c r="U226" s="66" t="str">
        <f aca="false">IF(ISBLANK($C226),"",IF(J226=Constants!$B$2, TRUE(), IF(J226=Constants!$B$3, FALSE(), TRUE())))</f>
        <v/>
      </c>
      <c r="V226" s="66" t="str">
        <f aca="false">IF(ISBLANK($C226),"",IF(COUNTA(K226:L226)=0,"",IF(AND(OR(ISBLANK(K226),AND(ISNUMBER(K226),K226&gt;=0)),OR(ISBLANK(L226),AND(ISNUMBER(L226),L226&gt;=0))),60*IF(ISBLANK(K226),0,K226)+IF(ISBLANK(L226),0,L226),"")))</f>
        <v/>
      </c>
      <c r="W226" s="66" t="str">
        <f aca="false">IF(ISBLANK($C226),"",IF(M226=Constants!$B$2, TRUE(), IF(M226=Constants!$B$3, FALSE(), TRUE())))</f>
        <v/>
      </c>
      <c r="X226" s="66" t="str">
        <f aca="false">IF(ISBLANK($C226),"",IF(N226=Constants!$B$2, TRUE(), IF(N226=Constants!$B$3, FALSE(), TRUE())))</f>
        <v/>
      </c>
      <c r="Y226" s="66" t="str">
        <f aca="false">IF(ISBLANK($C226),"",IF(O226=Constants!$B$2, TRUE(), IF(O226=Constants!$B$3, FALSE(), FALSE())))</f>
        <v/>
      </c>
      <c r="Z226" s="66" t="str">
        <f aca="false">IF(ISBLANK($C226),"",AND(S226&lt;&gt;"",Q226))</f>
        <v/>
      </c>
      <c r="AA226" s="66" t="str">
        <f aca="false">IF(ISBLANK($C226),"",AND(V226&lt;&gt;"",Q226))</f>
        <v/>
      </c>
      <c r="AB226" s="66" t="str">
        <f aca="false">IF(ISBLANK($C226),"",IF(Y226,Constants!$B$4,IF(COUNTA(E226:N226)=0,Constants!$B$5,IF(NOT(Q226),Constants!$B$6,IF(AND(NOT(Z226),NOT(AA226)),Constants!$B$6,Constants!$B$7)))))</f>
        <v/>
      </c>
      <c r="AC226" s="66" t="str">
        <f aca="false">IF(ISBLANK($C226),"",IF($AB226&lt;&gt;Constants!$B$7,$AB226,Constants!$B$20))</f>
        <v/>
      </c>
      <c r="AD226" s="66" t="str">
        <f aca="false">IF($AB226=Constants!$B$7,IF(Z226,S226,Constants!$B$13),"")</f>
        <v/>
      </c>
      <c r="AE226" s="66" t="str">
        <f aca="false">IF($AB226=Constants!$B$7,IF(Z226,R226*IF(T226, 1, Constants!$B$11)*IF(U226, 1, Constants!$B$12),Constants!$B$13),"")</f>
        <v/>
      </c>
      <c r="AF226" s="66" t="str">
        <f aca="false">IF($AB226=Constants!$B$7,AD226*AE226,"")</f>
        <v/>
      </c>
      <c r="AG226" s="66" t="str">
        <f aca="false">IF($AB226=Constants!$B$7,IF(AA226,V226,Constants!$B$13),"")</f>
        <v/>
      </c>
      <c r="AH226" s="66" t="str">
        <f aca="false">IF($AB226=Constants!$B$7,IF(AA226,R226*IF(W226, 1, Constants!$B$11)*IF(X226, 1, Constants!$B$12),Constants!$B$13),"")</f>
        <v/>
      </c>
      <c r="AI226" s="66" t="str">
        <f aca="false">IF($AB226=Constants!$B$7,AG226*AH226,"")</f>
        <v/>
      </c>
      <c r="AJ226" s="66" t="str">
        <f aca="false">IF($AB226=Constants!$B$7,IF(AI226&gt;AF226,2,1),"")</f>
        <v/>
      </c>
      <c r="AK226" s="66" t="str">
        <f aca="false">IF($AB226=Constants!$B$7,IF(AJ226=1,2,1),"")</f>
        <v/>
      </c>
      <c r="AL226" s="66" t="str">
        <f aca="false">IF(ISBLANK($C226),"",IF($AB226&lt;&gt;Constants!$B$7,$AB226,IF(AJ226=1,AF226,AI226)))</f>
        <v/>
      </c>
      <c r="AM226" s="66" t="str">
        <f aca="false">IF(ISBLANK($C226),"",IF($AB226=Constants!$B$7,IF(ISNUMBER(AL226),RANK(AL226,$AL$8:$AL$507),Constants!$B$14),$AB226))</f>
        <v/>
      </c>
      <c r="AN226" s="66" t="str">
        <f aca="false">IF(ISBLANK($C226),"",IF($AB226=Constants!$B$7,IF(AK226=1,AF226,AI226),""))</f>
        <v/>
      </c>
      <c r="AO226" s="66" t="str">
        <f aca="false">IF(ISBLANK($C226),"",IF($AB226=Constants!$B$7,RANK(AN226,$AN$8:$AN$507),$AB226))</f>
        <v/>
      </c>
      <c r="AP226" s="66" t="str">
        <f aca="false">IF(ISBLANK($C226),"",IF($AB226=Constants!$B$7,IF(ISNUMBER(AM226),COUNTIFS($AM$8:$AM$507,"&lt;"&amp;$AM226)+COUNTIFS($AM$8:$AM$507,$AM226,$AO$8:$AO$507,"&lt;"&amp;$AO226)+1,Constants!$B$14),$AB226))</f>
        <v/>
      </c>
      <c r="AQ226" s="66" t="str">
        <f aca="false">IF(ISBLANK($C226),"",IF($AB226=Constants!$B$7,IF(ISNUMBER(AM226),AM226-AP226,Constants!$B$14),$AB226))</f>
        <v/>
      </c>
      <c r="AR226" s="68"/>
      <c r="AS226" s="69" t="str">
        <f aca="false">IF(ISBLANK($C226),"",IF($AB226&lt;&gt;Constants!$B$7,"",AJ226))</f>
        <v/>
      </c>
      <c r="AT226" s="84" t="str">
        <f aca="false">IF(ISBLANK($C226),"",IF($AB226&lt;&gt;Constants!$B$7,"",IF(AJ226=1,AD226,AG226)))</f>
        <v/>
      </c>
      <c r="AU226" s="71" t="str">
        <f aca="false">IF(ISBLANK($C226),"",IF($AB226&lt;&gt;Constants!$B$7,"",IF(AJ226=1,AE226,AH226)))</f>
        <v/>
      </c>
      <c r="AV226" s="72" t="str">
        <f aca="false">IF(ISBLANK($C226),"",IF($AB226&lt;&gt;Constants!$B$7,$AB226,AL226))</f>
        <v/>
      </c>
      <c r="AW226" s="73" t="str">
        <f aca="false">IF(ISBLANK($C226),"",IF($AB226&lt;&gt;Constants!$B$7,$AB226,AC226))</f>
        <v/>
      </c>
      <c r="AX226" s="74" t="str">
        <f aca="false">IF(ISBLANK($C226),"",AQ226)</f>
        <v/>
      </c>
      <c r="AY226" s="74" t="str">
        <f aca="false">IF(ISBLANK($C226),"",AP226)</f>
        <v/>
      </c>
      <c r="AZ226" s="75" t="str">
        <f aca="false">IF(ISBLANK($C226),"",IF(AY226=Constants!$B$4,COUNTA($C$8:$C$507)+2,IF(AY226=Constants!$B$5,COUNTA($C$8:$C$507)+1,IF(AY226=Constants!$B$6,COUNTA($C$8:$C$507),AY226))))</f>
        <v/>
      </c>
      <c r="BA226" s="5"/>
      <c r="BB226" s="76" t="n">
        <f aca="false">IF(OR(ISNUMBER(AY226),AY226=Constants!$B$4,AY226=Constants!$B$6,AY226=Constants!$B$5),1,0)</f>
        <v>0</v>
      </c>
      <c r="BC226" s="76" t="n">
        <v>219</v>
      </c>
      <c r="BD226" s="76" t="str">
        <f aca="false">IF(ISBLANK($C226),"",IF(ISNUMBER(AZ226),AZ226+ROW($B226)/1000,""))</f>
        <v/>
      </c>
      <c r="BE226" s="76" t="str">
        <f aca="false">IF(ISNUMBER(BD226),RANK(BD226,$BD$8:$BD$507,1),"")</f>
        <v/>
      </c>
      <c r="BF226" s="76" t="str">
        <f aca="false">IF(ISBLANK($C226),"",$B226)</f>
        <v/>
      </c>
      <c r="BG226" s="76" t="str">
        <f aca="false">IF(ISBLANK($C226),"",$C226)</f>
        <v/>
      </c>
      <c r="BH226" s="76" t="str">
        <f aca="false">IF(ISBLANK($C226),"",$D226)</f>
        <v/>
      </c>
      <c r="BI226" s="77" t="str">
        <f aca="false">AW226</f>
        <v/>
      </c>
      <c r="BJ226" s="78" t="str">
        <f aca="false">AV226</f>
        <v/>
      </c>
      <c r="BK226" s="76" t="str">
        <f aca="false">IF(ISBLANK($C226),"",AY226)</f>
        <v/>
      </c>
      <c r="BL226" s="79" t="str">
        <f aca="false">IF($BC226&gt;$BB$7,"",VLOOKUP($BC226,$BE$8:$BK$507,7,FALSE()))</f>
        <v/>
      </c>
      <c r="BM226" s="80" t="str">
        <f aca="false">IF($BC226&gt;$BB$7,"",VLOOKUP($BC226,$BE$8:$BK$507,2,FALSE()))</f>
        <v/>
      </c>
      <c r="BN226" s="80" t="str">
        <f aca="false">IF($BC226&gt;$BB$7,"",VLOOKUP($BC226,$BE$8:$BK$507,3,FALSE()))</f>
        <v/>
      </c>
      <c r="BO226" s="80" t="str">
        <f aca="false">IF($BC226&gt;$BB$7,"",VLOOKUP($BC226,$BE$8:$BK$507,4,FALSE()))</f>
        <v/>
      </c>
      <c r="BP226" s="80" t="str">
        <f aca="false">IF($BC226&gt;$BB$7,"",VLOOKUP($BC226,$BE$8:$BK$507,5,FALSE()))</f>
        <v/>
      </c>
      <c r="BQ226" s="81" t="str">
        <f aca="false">IF($BC226&gt;$BB$7,"",VLOOKUP($BC226,$BE$8:$BK$507,6,FALSE()))</f>
        <v/>
      </c>
      <c r="BR226" s="54"/>
    </row>
    <row r="227" customFormat="false" ht="15.75" hidden="false" customHeight="false" outlineLevel="0" collapsed="false">
      <c r="A227" s="5"/>
      <c r="B227" s="120"/>
      <c r="C227" s="121"/>
      <c r="D227" s="112"/>
      <c r="E227" s="123"/>
      <c r="F227" s="91"/>
      <c r="G227" s="92"/>
      <c r="H227" s="93"/>
      <c r="I227" s="94"/>
      <c r="J227" s="91"/>
      <c r="K227" s="92"/>
      <c r="L227" s="93"/>
      <c r="M227" s="94"/>
      <c r="N227" s="91"/>
      <c r="O227" s="123"/>
      <c r="P227" s="96"/>
      <c r="Q227" s="97" t="str">
        <f aca="false">IF(ISBLANK($C227),"",IF(E227=Constants!$B$2, TRUE(), IF(E227=Constants!$B$3, FALSE(), TRUE())))</f>
        <v/>
      </c>
      <c r="R227" s="97" t="str">
        <f aca="false">IF(ISBLANK($C227),"",IF(F227=Constants!$B$16,Constants!$B$9,IF(F227=Constants!$B$17,Constants!$B$10,Constants!$B$8)))</f>
        <v/>
      </c>
      <c r="S227" s="97" t="str">
        <f aca="false">IF(ISBLANK($C227),"",IF(COUNTA(G227:H227)=0,"",IF(AND(OR(ISBLANK(G227),AND(ISNUMBER(G227),G227&gt;=0)),OR(ISBLANK(H227),AND(ISNUMBER(H227),H227&gt;=0))),60*IF(ISBLANK(G227),0,G227)+IF(ISBLANK(H227),0,H227),"")))</f>
        <v/>
      </c>
      <c r="T227" s="97" t="str">
        <f aca="false">IF(ISBLANK($C227),"",IF(I227=Constants!$B$2, TRUE(), IF(I227=Constants!$B$3, FALSE(), TRUE())))</f>
        <v/>
      </c>
      <c r="U227" s="97" t="str">
        <f aca="false">IF(ISBLANK($C227),"",IF(J227=Constants!$B$2, TRUE(), IF(J227=Constants!$B$3, FALSE(), TRUE())))</f>
        <v/>
      </c>
      <c r="V227" s="97" t="str">
        <f aca="false">IF(ISBLANK($C227),"",IF(COUNTA(K227:L227)=0,"",IF(AND(OR(ISBLANK(K227),AND(ISNUMBER(K227),K227&gt;=0)),OR(ISBLANK(L227),AND(ISNUMBER(L227),L227&gt;=0))),60*IF(ISBLANK(K227),0,K227)+IF(ISBLANK(L227),0,L227),"")))</f>
        <v/>
      </c>
      <c r="W227" s="97" t="str">
        <f aca="false">IF(ISBLANK($C227),"",IF(M227=Constants!$B$2, TRUE(), IF(M227=Constants!$B$3, FALSE(), TRUE())))</f>
        <v/>
      </c>
      <c r="X227" s="97" t="str">
        <f aca="false">IF(ISBLANK($C227),"",IF(N227=Constants!$B$2, TRUE(), IF(N227=Constants!$B$3, FALSE(), TRUE())))</f>
        <v/>
      </c>
      <c r="Y227" s="97" t="str">
        <f aca="false">IF(ISBLANK($C227),"",IF(O227=Constants!$B$2, TRUE(), IF(O227=Constants!$B$3, FALSE(), FALSE())))</f>
        <v/>
      </c>
      <c r="Z227" s="97" t="str">
        <f aca="false">IF(ISBLANK($C227),"",AND(S227&lt;&gt;"",Q227))</f>
        <v/>
      </c>
      <c r="AA227" s="97" t="str">
        <f aca="false">IF(ISBLANK($C227),"",AND(V227&lt;&gt;"",Q227))</f>
        <v/>
      </c>
      <c r="AB227" s="97" t="str">
        <f aca="false">IF(ISBLANK($C227),"",IF(Y227,Constants!$B$4,IF(COUNTA(E227:N227)=0,Constants!$B$5,IF(NOT(Q227),Constants!$B$6,IF(AND(NOT(Z227),NOT(AA227)),Constants!$B$6,Constants!$B$7)))))</f>
        <v/>
      </c>
      <c r="AC227" s="97" t="str">
        <f aca="false">IF(ISBLANK($C227),"",IF($AB227&lt;&gt;Constants!$B$7,$AB227,Constants!$B$20))</f>
        <v/>
      </c>
      <c r="AD227" s="97" t="str">
        <f aca="false">IF($AB227=Constants!$B$7,IF(Z227,S227,Constants!$B$13),"")</f>
        <v/>
      </c>
      <c r="AE227" s="97" t="str">
        <f aca="false">IF($AB227=Constants!$B$7,IF(Z227,R227*IF(T227, 1, Constants!$B$11)*IF(U227, 1, Constants!$B$12),Constants!$B$13),"")</f>
        <v/>
      </c>
      <c r="AF227" s="97" t="str">
        <f aca="false">IF($AB227=Constants!$B$7,AD227*AE227,"")</f>
        <v/>
      </c>
      <c r="AG227" s="97" t="str">
        <f aca="false">IF($AB227=Constants!$B$7,IF(AA227,V227,Constants!$B$13),"")</f>
        <v/>
      </c>
      <c r="AH227" s="97" t="str">
        <f aca="false">IF($AB227=Constants!$B$7,IF(AA227,R227*IF(W227, 1, Constants!$B$11)*IF(X227, 1, Constants!$B$12),Constants!$B$13),"")</f>
        <v/>
      </c>
      <c r="AI227" s="97" t="str">
        <f aca="false">IF($AB227=Constants!$B$7,AG227*AH227,"")</f>
        <v/>
      </c>
      <c r="AJ227" s="97" t="str">
        <f aca="false">IF($AB227=Constants!$B$7,IF(AI227&gt;AF227,2,1),"")</f>
        <v/>
      </c>
      <c r="AK227" s="97" t="str">
        <f aca="false">IF($AB227=Constants!$B$7,IF(AJ227=1,2,1),"")</f>
        <v/>
      </c>
      <c r="AL227" s="97" t="str">
        <f aca="false">IF(ISBLANK($C227),"",IF($AB227&lt;&gt;Constants!$B$7,$AB227,IF(AJ227=1,AF227,AI227)))</f>
        <v/>
      </c>
      <c r="AM227" s="97" t="str">
        <f aca="false">IF(ISBLANK($C227),"",IF($AB227=Constants!$B$7,IF(ISNUMBER(AL227),RANK(AL227,$AL$8:$AL$507),Constants!$B$14),$AB227))</f>
        <v/>
      </c>
      <c r="AN227" s="97" t="str">
        <f aca="false">IF(ISBLANK($C227),"",IF($AB227=Constants!$B$7,IF(AK227=1,AF227,AI227),""))</f>
        <v/>
      </c>
      <c r="AO227" s="97" t="str">
        <f aca="false">IF(ISBLANK($C227),"",IF($AB227=Constants!$B$7,RANK(AN227,$AN$8:$AN$507),$AB227))</f>
        <v/>
      </c>
      <c r="AP227" s="97" t="str">
        <f aca="false">IF(ISBLANK($C227),"",IF($AB227=Constants!$B$7,IF(ISNUMBER(AM227),COUNTIFS($AM$8:$AM$507,"&lt;"&amp;$AM227)+COUNTIFS($AM$8:$AM$507,$AM227,$AO$8:$AO$507,"&lt;"&amp;$AO227)+1,Constants!$B$14),$AB227))</f>
        <v/>
      </c>
      <c r="AQ227" s="97" t="str">
        <f aca="false">IF(ISBLANK($C227),"",IF($AB227=Constants!$B$7,IF(ISNUMBER(AM227),AM227-AP227,Constants!$B$14),$AB227))</f>
        <v/>
      </c>
      <c r="AR227" s="98"/>
      <c r="AS227" s="99" t="str">
        <f aca="false">IF(ISBLANK($C227),"",IF($AB227&lt;&gt;Constants!$B$7,"",AJ227))</f>
        <v/>
      </c>
      <c r="AT227" s="100" t="str">
        <f aca="false">IF(ISBLANK($C227),"",IF($AB227&lt;&gt;Constants!$B$7,"",IF(AJ227=1,AD227,AG227)))</f>
        <v/>
      </c>
      <c r="AU227" s="101" t="str">
        <f aca="false">IF(ISBLANK($C227),"",IF($AB227&lt;&gt;Constants!$B$7,"",IF(AJ227=1,AE227,AH227)))</f>
        <v/>
      </c>
      <c r="AV227" s="102" t="str">
        <f aca="false">IF(ISBLANK($C227),"",IF($AB227&lt;&gt;Constants!$B$7,$AB227,AL227))</f>
        <v/>
      </c>
      <c r="AW227" s="103" t="str">
        <f aca="false">IF(ISBLANK($C227),"",IF($AB227&lt;&gt;Constants!$B$7,$AB227,AC227))</f>
        <v/>
      </c>
      <c r="AX227" s="104" t="str">
        <f aca="false">IF(ISBLANK($C227),"",AQ227)</f>
        <v/>
      </c>
      <c r="AY227" s="104" t="str">
        <f aca="false">IF(ISBLANK($C227),"",AP227)</f>
        <v/>
      </c>
      <c r="AZ227" s="105" t="str">
        <f aca="false">IF(ISBLANK($C227),"",IF(AY227=Constants!$B$4,COUNTA($C$8:$C$507)+2,IF(AY227=Constants!$B$5,COUNTA($C$8:$C$507)+1,IF(AY227=Constants!$B$6,COUNTA($C$8:$C$507),AY227))))</f>
        <v/>
      </c>
      <c r="BA227" s="5"/>
      <c r="BB227" s="106" t="n">
        <f aca="false">IF(OR(ISNUMBER(AY227),AY227=Constants!$B$4,AY227=Constants!$B$6,AY227=Constants!$B$5),1,0)</f>
        <v>0</v>
      </c>
      <c r="BC227" s="106" t="n">
        <v>220</v>
      </c>
      <c r="BD227" s="106" t="str">
        <f aca="false">IF(ISBLANK($C227),"",IF(ISNUMBER(AZ227),AZ227+ROW($B227)/1000,""))</f>
        <v/>
      </c>
      <c r="BE227" s="106" t="str">
        <f aca="false">IF(ISNUMBER(BD227),RANK(BD227,$BD$8:$BD$507,1),"")</f>
        <v/>
      </c>
      <c r="BF227" s="106" t="str">
        <f aca="false">IF(ISBLANK($C227),"",$B227)</f>
        <v/>
      </c>
      <c r="BG227" s="106" t="str">
        <f aca="false">IF(ISBLANK($C227),"",$C227)</f>
        <v/>
      </c>
      <c r="BH227" s="106" t="str">
        <f aca="false">IF(ISBLANK($C227),"",$D227)</f>
        <v/>
      </c>
      <c r="BI227" s="107" t="str">
        <f aca="false">AW227</f>
        <v/>
      </c>
      <c r="BJ227" s="108" t="str">
        <f aca="false">AV227</f>
        <v/>
      </c>
      <c r="BK227" s="106" t="str">
        <f aca="false">IF(ISBLANK($C227),"",AY227)</f>
        <v/>
      </c>
      <c r="BL227" s="109" t="str">
        <f aca="false">IF($BC227&gt;$BB$7,"",VLOOKUP($BC227,$BE$8:$BK$507,7,FALSE()))</f>
        <v/>
      </c>
      <c r="BM227" s="110" t="str">
        <f aca="false">IF($BC227&gt;$BB$7,"",VLOOKUP($BC227,$BE$8:$BK$507,2,FALSE()))</f>
        <v/>
      </c>
      <c r="BN227" s="110" t="str">
        <f aca="false">IF($BC227&gt;$BB$7,"",VLOOKUP($BC227,$BE$8:$BK$507,3,FALSE()))</f>
        <v/>
      </c>
      <c r="BO227" s="110" t="str">
        <f aca="false">IF($BC227&gt;$BB$7,"",VLOOKUP($BC227,$BE$8:$BK$507,4,FALSE()))</f>
        <v/>
      </c>
      <c r="BP227" s="110" t="str">
        <f aca="false">IF($BC227&gt;$BB$7,"",VLOOKUP($BC227,$BE$8:$BK$507,5,FALSE()))</f>
        <v/>
      </c>
      <c r="BQ227" s="111" t="str">
        <f aca="false">IF($BC227&gt;$BB$7,"",VLOOKUP($BC227,$BE$8:$BK$507,6,FALSE()))</f>
        <v/>
      </c>
      <c r="BR227" s="54"/>
    </row>
    <row r="228" customFormat="false" ht="15.75" hidden="false" customHeight="false" outlineLevel="0" collapsed="false">
      <c r="A228" s="5"/>
      <c r="B228" s="120"/>
      <c r="C228" s="121"/>
      <c r="D228" s="112"/>
      <c r="E228" s="123"/>
      <c r="F228" s="91"/>
      <c r="G228" s="92"/>
      <c r="H228" s="93"/>
      <c r="I228" s="94"/>
      <c r="J228" s="91"/>
      <c r="K228" s="92"/>
      <c r="L228" s="93"/>
      <c r="M228" s="94"/>
      <c r="N228" s="91"/>
      <c r="O228" s="123"/>
      <c r="P228" s="96"/>
      <c r="Q228" s="97" t="str">
        <f aca="false">IF(ISBLANK($C228),"",IF(E228=Constants!$B$2, TRUE(), IF(E228=Constants!$B$3, FALSE(), TRUE())))</f>
        <v/>
      </c>
      <c r="R228" s="97" t="str">
        <f aca="false">IF(ISBLANK($C228),"",IF(F228=Constants!$B$16,Constants!$B$9,IF(F228=Constants!$B$17,Constants!$B$10,Constants!$B$8)))</f>
        <v/>
      </c>
      <c r="S228" s="97" t="str">
        <f aca="false">IF(ISBLANK($C228),"",IF(COUNTA(G228:H228)=0,"",IF(AND(OR(ISBLANK(G228),AND(ISNUMBER(G228),G228&gt;=0)),OR(ISBLANK(H228),AND(ISNUMBER(H228),H228&gt;=0))),60*IF(ISBLANK(G228),0,G228)+IF(ISBLANK(H228),0,H228),"")))</f>
        <v/>
      </c>
      <c r="T228" s="97" t="str">
        <f aca="false">IF(ISBLANK($C228),"",IF(I228=Constants!$B$2, TRUE(), IF(I228=Constants!$B$3, FALSE(), TRUE())))</f>
        <v/>
      </c>
      <c r="U228" s="97" t="str">
        <f aca="false">IF(ISBLANK($C228),"",IF(J228=Constants!$B$2, TRUE(), IF(J228=Constants!$B$3, FALSE(), TRUE())))</f>
        <v/>
      </c>
      <c r="V228" s="97" t="str">
        <f aca="false">IF(ISBLANK($C228),"",IF(COUNTA(K228:L228)=0,"",IF(AND(OR(ISBLANK(K228),AND(ISNUMBER(K228),K228&gt;=0)),OR(ISBLANK(L228),AND(ISNUMBER(L228),L228&gt;=0))),60*IF(ISBLANK(K228),0,K228)+IF(ISBLANK(L228),0,L228),"")))</f>
        <v/>
      </c>
      <c r="W228" s="97" t="str">
        <f aca="false">IF(ISBLANK($C228),"",IF(M228=Constants!$B$2, TRUE(), IF(M228=Constants!$B$3, FALSE(), TRUE())))</f>
        <v/>
      </c>
      <c r="X228" s="97" t="str">
        <f aca="false">IF(ISBLANK($C228),"",IF(N228=Constants!$B$2, TRUE(), IF(N228=Constants!$B$3, FALSE(), TRUE())))</f>
        <v/>
      </c>
      <c r="Y228" s="97" t="str">
        <f aca="false">IF(ISBLANK($C228),"",IF(O228=Constants!$B$2, TRUE(), IF(O228=Constants!$B$3, FALSE(), FALSE())))</f>
        <v/>
      </c>
      <c r="Z228" s="97" t="str">
        <f aca="false">IF(ISBLANK($C228),"",AND(S228&lt;&gt;"",Q228))</f>
        <v/>
      </c>
      <c r="AA228" s="97" t="str">
        <f aca="false">IF(ISBLANK($C228),"",AND(V228&lt;&gt;"",Q228))</f>
        <v/>
      </c>
      <c r="AB228" s="97" t="str">
        <f aca="false">IF(ISBLANK($C228),"",IF(Y228,Constants!$B$4,IF(COUNTA(E228:N228)=0,Constants!$B$5,IF(NOT(Q228),Constants!$B$6,IF(AND(NOT(Z228),NOT(AA228)),Constants!$B$6,Constants!$B$7)))))</f>
        <v/>
      </c>
      <c r="AC228" s="97" t="str">
        <f aca="false">IF(ISBLANK($C228),"",IF($AB228&lt;&gt;Constants!$B$7,$AB228,Constants!$B$20))</f>
        <v/>
      </c>
      <c r="AD228" s="97" t="str">
        <f aca="false">IF($AB228=Constants!$B$7,IF(Z228,S228,Constants!$B$13),"")</f>
        <v/>
      </c>
      <c r="AE228" s="97" t="str">
        <f aca="false">IF($AB228=Constants!$B$7,IF(Z228,R228*IF(T228, 1, Constants!$B$11)*IF(U228, 1, Constants!$B$12),Constants!$B$13),"")</f>
        <v/>
      </c>
      <c r="AF228" s="97" t="str">
        <f aca="false">IF($AB228=Constants!$B$7,AD228*AE228,"")</f>
        <v/>
      </c>
      <c r="AG228" s="97" t="str">
        <f aca="false">IF($AB228=Constants!$B$7,IF(AA228,V228,Constants!$B$13),"")</f>
        <v/>
      </c>
      <c r="AH228" s="97" t="str">
        <f aca="false">IF($AB228=Constants!$B$7,IF(AA228,R228*IF(W228, 1, Constants!$B$11)*IF(X228, 1, Constants!$B$12),Constants!$B$13),"")</f>
        <v/>
      </c>
      <c r="AI228" s="97" t="str">
        <f aca="false">IF($AB228=Constants!$B$7,AG228*AH228,"")</f>
        <v/>
      </c>
      <c r="AJ228" s="97" t="str">
        <f aca="false">IF($AB228=Constants!$B$7,IF(AI228&gt;AF228,2,1),"")</f>
        <v/>
      </c>
      <c r="AK228" s="97" t="str">
        <f aca="false">IF($AB228=Constants!$B$7,IF(AJ228=1,2,1),"")</f>
        <v/>
      </c>
      <c r="AL228" s="97" t="str">
        <f aca="false">IF(ISBLANK($C228),"",IF($AB228&lt;&gt;Constants!$B$7,$AB228,IF(AJ228=1,AF228,AI228)))</f>
        <v/>
      </c>
      <c r="AM228" s="97" t="str">
        <f aca="false">IF(ISBLANK($C228),"",IF($AB228=Constants!$B$7,IF(ISNUMBER(AL228),RANK(AL228,$AL$8:$AL$507),Constants!$B$14),$AB228))</f>
        <v/>
      </c>
      <c r="AN228" s="97" t="str">
        <f aca="false">IF(ISBLANK($C228),"",IF($AB228=Constants!$B$7,IF(AK228=1,AF228,AI228),""))</f>
        <v/>
      </c>
      <c r="AO228" s="97" t="str">
        <f aca="false">IF(ISBLANK($C228),"",IF($AB228=Constants!$B$7,RANK(AN228,$AN$8:$AN$507),$AB228))</f>
        <v/>
      </c>
      <c r="AP228" s="97" t="str">
        <f aca="false">IF(ISBLANK($C228),"",IF($AB228=Constants!$B$7,IF(ISNUMBER(AM228),COUNTIFS($AM$8:$AM$507,"&lt;"&amp;$AM228)+COUNTIFS($AM$8:$AM$507,$AM228,$AO$8:$AO$507,"&lt;"&amp;$AO228)+1,Constants!$B$14),$AB228))</f>
        <v/>
      </c>
      <c r="AQ228" s="97" t="str">
        <f aca="false">IF(ISBLANK($C228),"",IF($AB228=Constants!$B$7,IF(ISNUMBER(AM228),AM228-AP228,Constants!$B$14),$AB228))</f>
        <v/>
      </c>
      <c r="AR228" s="98"/>
      <c r="AS228" s="99" t="str">
        <f aca="false">IF(ISBLANK($C228),"",IF($AB228&lt;&gt;Constants!$B$7,"",AJ228))</f>
        <v/>
      </c>
      <c r="AT228" s="100" t="str">
        <f aca="false">IF(ISBLANK($C228),"",IF($AB228&lt;&gt;Constants!$B$7,"",IF(AJ228=1,AD228,AG228)))</f>
        <v/>
      </c>
      <c r="AU228" s="101" t="str">
        <f aca="false">IF(ISBLANK($C228),"",IF($AB228&lt;&gt;Constants!$B$7,"",IF(AJ228=1,AE228,AH228)))</f>
        <v/>
      </c>
      <c r="AV228" s="102" t="str">
        <f aca="false">IF(ISBLANK($C228),"",IF($AB228&lt;&gt;Constants!$B$7,$AB228,AL228))</f>
        <v/>
      </c>
      <c r="AW228" s="103" t="str">
        <f aca="false">IF(ISBLANK($C228),"",IF($AB228&lt;&gt;Constants!$B$7,$AB228,AC228))</f>
        <v/>
      </c>
      <c r="AX228" s="104" t="str">
        <f aca="false">IF(ISBLANK($C228),"",AQ228)</f>
        <v/>
      </c>
      <c r="AY228" s="104" t="str">
        <f aca="false">IF(ISBLANK($C228),"",AP228)</f>
        <v/>
      </c>
      <c r="AZ228" s="105" t="str">
        <f aca="false">IF(ISBLANK($C228),"",IF(AY228=Constants!$B$4,COUNTA($C$8:$C$507)+2,IF(AY228=Constants!$B$5,COUNTA($C$8:$C$507)+1,IF(AY228=Constants!$B$6,COUNTA($C$8:$C$507),AY228))))</f>
        <v/>
      </c>
      <c r="BA228" s="5"/>
      <c r="BB228" s="106" t="n">
        <f aca="false">IF(OR(ISNUMBER(AY228),AY228=Constants!$B$4,AY228=Constants!$B$6,AY228=Constants!$B$5),1,0)</f>
        <v>0</v>
      </c>
      <c r="BC228" s="106" t="n">
        <v>221</v>
      </c>
      <c r="BD228" s="106" t="str">
        <f aca="false">IF(ISBLANK($C228),"",IF(ISNUMBER(AZ228),AZ228+ROW($B228)/1000,""))</f>
        <v/>
      </c>
      <c r="BE228" s="106" t="str">
        <f aca="false">IF(ISNUMBER(BD228),RANK(BD228,$BD$8:$BD$507,1),"")</f>
        <v/>
      </c>
      <c r="BF228" s="106" t="str">
        <f aca="false">IF(ISBLANK($C228),"",$B228)</f>
        <v/>
      </c>
      <c r="BG228" s="106" t="str">
        <f aca="false">IF(ISBLANK($C228),"",$C228)</f>
        <v/>
      </c>
      <c r="BH228" s="106" t="str">
        <f aca="false">IF(ISBLANK($C228),"",$D228)</f>
        <v/>
      </c>
      <c r="BI228" s="107" t="str">
        <f aca="false">AW228</f>
        <v/>
      </c>
      <c r="BJ228" s="108" t="str">
        <f aca="false">AV228</f>
        <v/>
      </c>
      <c r="BK228" s="106" t="str">
        <f aca="false">IF(ISBLANK($C228),"",AY228)</f>
        <v/>
      </c>
      <c r="BL228" s="109" t="str">
        <f aca="false">IF($BC228&gt;$BB$7,"",VLOOKUP($BC228,$BE$8:$BK$507,7,FALSE()))</f>
        <v/>
      </c>
      <c r="BM228" s="110" t="str">
        <f aca="false">IF($BC228&gt;$BB$7,"",VLOOKUP($BC228,$BE$8:$BK$507,2,FALSE()))</f>
        <v/>
      </c>
      <c r="BN228" s="110" t="str">
        <f aca="false">IF($BC228&gt;$BB$7,"",VLOOKUP($BC228,$BE$8:$BK$507,3,FALSE()))</f>
        <v/>
      </c>
      <c r="BO228" s="110" t="str">
        <f aca="false">IF($BC228&gt;$BB$7,"",VLOOKUP($BC228,$BE$8:$BK$507,4,FALSE()))</f>
        <v/>
      </c>
      <c r="BP228" s="110" t="str">
        <f aca="false">IF($BC228&gt;$BB$7,"",VLOOKUP($BC228,$BE$8:$BK$507,5,FALSE()))</f>
        <v/>
      </c>
      <c r="BQ228" s="111" t="str">
        <f aca="false">IF($BC228&gt;$BB$7,"",VLOOKUP($BC228,$BE$8:$BK$507,6,FALSE()))</f>
        <v/>
      </c>
      <c r="BR228" s="54"/>
    </row>
    <row r="229" customFormat="false" ht="15.75" hidden="false" customHeight="false" outlineLevel="0" collapsed="false">
      <c r="A229" s="5"/>
      <c r="B229" s="120"/>
      <c r="C229" s="121"/>
      <c r="D229" s="112"/>
      <c r="E229" s="123"/>
      <c r="F229" s="91"/>
      <c r="G229" s="92"/>
      <c r="H229" s="93"/>
      <c r="I229" s="94"/>
      <c r="J229" s="91"/>
      <c r="K229" s="92"/>
      <c r="L229" s="93"/>
      <c r="M229" s="94"/>
      <c r="N229" s="91"/>
      <c r="O229" s="123"/>
      <c r="P229" s="96"/>
      <c r="Q229" s="97" t="str">
        <f aca="false">IF(ISBLANK($C229),"",IF(E229=Constants!$B$2, TRUE(), IF(E229=Constants!$B$3, FALSE(), TRUE())))</f>
        <v/>
      </c>
      <c r="R229" s="97" t="str">
        <f aca="false">IF(ISBLANK($C229),"",IF(F229=Constants!$B$16,Constants!$B$9,IF(F229=Constants!$B$17,Constants!$B$10,Constants!$B$8)))</f>
        <v/>
      </c>
      <c r="S229" s="97" t="str">
        <f aca="false">IF(ISBLANK($C229),"",IF(COUNTA(G229:H229)=0,"",IF(AND(OR(ISBLANK(G229),AND(ISNUMBER(G229),G229&gt;=0)),OR(ISBLANK(H229),AND(ISNUMBER(H229),H229&gt;=0))),60*IF(ISBLANK(G229),0,G229)+IF(ISBLANK(H229),0,H229),"")))</f>
        <v/>
      </c>
      <c r="T229" s="97" t="str">
        <f aca="false">IF(ISBLANK($C229),"",IF(I229=Constants!$B$2, TRUE(), IF(I229=Constants!$B$3, FALSE(), TRUE())))</f>
        <v/>
      </c>
      <c r="U229" s="97" t="str">
        <f aca="false">IF(ISBLANK($C229),"",IF(J229=Constants!$B$2, TRUE(), IF(J229=Constants!$B$3, FALSE(), TRUE())))</f>
        <v/>
      </c>
      <c r="V229" s="97" t="str">
        <f aca="false">IF(ISBLANK($C229),"",IF(COUNTA(K229:L229)=0,"",IF(AND(OR(ISBLANK(K229),AND(ISNUMBER(K229),K229&gt;=0)),OR(ISBLANK(L229),AND(ISNUMBER(L229),L229&gt;=0))),60*IF(ISBLANK(K229),0,K229)+IF(ISBLANK(L229),0,L229),"")))</f>
        <v/>
      </c>
      <c r="W229" s="97" t="str">
        <f aca="false">IF(ISBLANK($C229),"",IF(M229=Constants!$B$2, TRUE(), IF(M229=Constants!$B$3, FALSE(), TRUE())))</f>
        <v/>
      </c>
      <c r="X229" s="97" t="str">
        <f aca="false">IF(ISBLANK($C229),"",IF(N229=Constants!$B$2, TRUE(), IF(N229=Constants!$B$3, FALSE(), TRUE())))</f>
        <v/>
      </c>
      <c r="Y229" s="97" t="str">
        <f aca="false">IF(ISBLANK($C229),"",IF(O229=Constants!$B$2, TRUE(), IF(O229=Constants!$B$3, FALSE(), FALSE())))</f>
        <v/>
      </c>
      <c r="Z229" s="97" t="str">
        <f aca="false">IF(ISBLANK($C229),"",AND(S229&lt;&gt;"",Q229))</f>
        <v/>
      </c>
      <c r="AA229" s="97" t="str">
        <f aca="false">IF(ISBLANK($C229),"",AND(V229&lt;&gt;"",Q229))</f>
        <v/>
      </c>
      <c r="AB229" s="97" t="str">
        <f aca="false">IF(ISBLANK($C229),"",IF(Y229,Constants!$B$4,IF(COUNTA(E229:N229)=0,Constants!$B$5,IF(NOT(Q229),Constants!$B$6,IF(AND(NOT(Z229),NOT(AA229)),Constants!$B$6,Constants!$B$7)))))</f>
        <v/>
      </c>
      <c r="AC229" s="97" t="str">
        <f aca="false">IF(ISBLANK($C229),"",IF($AB229&lt;&gt;Constants!$B$7,$AB229,Constants!$B$20))</f>
        <v/>
      </c>
      <c r="AD229" s="97" t="str">
        <f aca="false">IF($AB229=Constants!$B$7,IF(Z229,S229,Constants!$B$13),"")</f>
        <v/>
      </c>
      <c r="AE229" s="97" t="str">
        <f aca="false">IF($AB229=Constants!$B$7,IF(Z229,R229*IF(T229, 1, Constants!$B$11)*IF(U229, 1, Constants!$B$12),Constants!$B$13),"")</f>
        <v/>
      </c>
      <c r="AF229" s="97" t="str">
        <f aca="false">IF($AB229=Constants!$B$7,AD229*AE229,"")</f>
        <v/>
      </c>
      <c r="AG229" s="97" t="str">
        <f aca="false">IF($AB229=Constants!$B$7,IF(AA229,V229,Constants!$B$13),"")</f>
        <v/>
      </c>
      <c r="AH229" s="97" t="str">
        <f aca="false">IF($AB229=Constants!$B$7,IF(AA229,R229*IF(W229, 1, Constants!$B$11)*IF(X229, 1, Constants!$B$12),Constants!$B$13),"")</f>
        <v/>
      </c>
      <c r="AI229" s="97" t="str">
        <f aca="false">IF($AB229=Constants!$B$7,AG229*AH229,"")</f>
        <v/>
      </c>
      <c r="AJ229" s="97" t="str">
        <f aca="false">IF($AB229=Constants!$B$7,IF(AI229&gt;AF229,2,1),"")</f>
        <v/>
      </c>
      <c r="AK229" s="97" t="str">
        <f aca="false">IF($AB229=Constants!$B$7,IF(AJ229=1,2,1),"")</f>
        <v/>
      </c>
      <c r="AL229" s="97" t="str">
        <f aca="false">IF(ISBLANK($C229),"",IF($AB229&lt;&gt;Constants!$B$7,$AB229,IF(AJ229=1,AF229,AI229)))</f>
        <v/>
      </c>
      <c r="AM229" s="97" t="str">
        <f aca="false">IF(ISBLANK($C229),"",IF($AB229=Constants!$B$7,IF(ISNUMBER(AL229),RANK(AL229,$AL$8:$AL$507),Constants!$B$14),$AB229))</f>
        <v/>
      </c>
      <c r="AN229" s="97" t="str">
        <f aca="false">IF(ISBLANK($C229),"",IF($AB229=Constants!$B$7,IF(AK229=1,AF229,AI229),""))</f>
        <v/>
      </c>
      <c r="AO229" s="97" t="str">
        <f aca="false">IF(ISBLANK($C229),"",IF($AB229=Constants!$B$7,RANK(AN229,$AN$8:$AN$507),$AB229))</f>
        <v/>
      </c>
      <c r="AP229" s="97" t="str">
        <f aca="false">IF(ISBLANK($C229),"",IF($AB229=Constants!$B$7,IF(ISNUMBER(AM229),COUNTIFS($AM$8:$AM$507,"&lt;"&amp;$AM229)+COUNTIFS($AM$8:$AM$507,$AM229,$AO$8:$AO$507,"&lt;"&amp;$AO229)+1,Constants!$B$14),$AB229))</f>
        <v/>
      </c>
      <c r="AQ229" s="97" t="str">
        <f aca="false">IF(ISBLANK($C229),"",IF($AB229=Constants!$B$7,IF(ISNUMBER(AM229),AM229-AP229,Constants!$B$14),$AB229))</f>
        <v/>
      </c>
      <c r="AR229" s="98"/>
      <c r="AS229" s="99" t="str">
        <f aca="false">IF(ISBLANK($C229),"",IF($AB229&lt;&gt;Constants!$B$7,"",AJ229))</f>
        <v/>
      </c>
      <c r="AT229" s="100" t="str">
        <f aca="false">IF(ISBLANK($C229),"",IF($AB229&lt;&gt;Constants!$B$7,"",IF(AJ229=1,AD229,AG229)))</f>
        <v/>
      </c>
      <c r="AU229" s="101" t="str">
        <f aca="false">IF(ISBLANK($C229),"",IF($AB229&lt;&gt;Constants!$B$7,"",IF(AJ229=1,AE229,AH229)))</f>
        <v/>
      </c>
      <c r="AV229" s="102" t="str">
        <f aca="false">IF(ISBLANK($C229),"",IF($AB229&lt;&gt;Constants!$B$7,$AB229,AL229))</f>
        <v/>
      </c>
      <c r="AW229" s="103" t="str">
        <f aca="false">IF(ISBLANK($C229),"",IF($AB229&lt;&gt;Constants!$B$7,$AB229,AC229))</f>
        <v/>
      </c>
      <c r="AX229" s="104" t="str">
        <f aca="false">IF(ISBLANK($C229),"",AQ229)</f>
        <v/>
      </c>
      <c r="AY229" s="104" t="str">
        <f aca="false">IF(ISBLANK($C229),"",AP229)</f>
        <v/>
      </c>
      <c r="AZ229" s="105" t="str">
        <f aca="false">IF(ISBLANK($C229),"",IF(AY229=Constants!$B$4,COUNTA($C$8:$C$507)+2,IF(AY229=Constants!$B$5,COUNTA($C$8:$C$507)+1,IF(AY229=Constants!$B$6,COUNTA($C$8:$C$507),AY229))))</f>
        <v/>
      </c>
      <c r="BA229" s="5"/>
      <c r="BB229" s="106" t="n">
        <f aca="false">IF(OR(ISNUMBER(AY229),AY229=Constants!$B$4,AY229=Constants!$B$6,AY229=Constants!$B$5),1,0)</f>
        <v>0</v>
      </c>
      <c r="BC229" s="106" t="n">
        <v>222</v>
      </c>
      <c r="BD229" s="106" t="str">
        <f aca="false">IF(ISBLANK($C229),"",IF(ISNUMBER(AZ229),AZ229+ROW($B229)/1000,""))</f>
        <v/>
      </c>
      <c r="BE229" s="106" t="str">
        <f aca="false">IF(ISNUMBER(BD229),RANK(BD229,$BD$8:$BD$507,1),"")</f>
        <v/>
      </c>
      <c r="BF229" s="106" t="str">
        <f aca="false">IF(ISBLANK($C229),"",$B229)</f>
        <v/>
      </c>
      <c r="BG229" s="106" t="str">
        <f aca="false">IF(ISBLANK($C229),"",$C229)</f>
        <v/>
      </c>
      <c r="BH229" s="106" t="str">
        <f aca="false">IF(ISBLANK($C229),"",$D229)</f>
        <v/>
      </c>
      <c r="BI229" s="107" t="str">
        <f aca="false">AW229</f>
        <v/>
      </c>
      <c r="BJ229" s="108" t="str">
        <f aca="false">AV229</f>
        <v/>
      </c>
      <c r="BK229" s="106" t="str">
        <f aca="false">IF(ISBLANK($C229),"",AY229)</f>
        <v/>
      </c>
      <c r="BL229" s="109" t="str">
        <f aca="false">IF($BC229&gt;$BB$7,"",VLOOKUP($BC229,$BE$8:$BK$507,7,FALSE()))</f>
        <v/>
      </c>
      <c r="BM229" s="110" t="str">
        <f aca="false">IF($BC229&gt;$BB$7,"",VLOOKUP($BC229,$BE$8:$BK$507,2,FALSE()))</f>
        <v/>
      </c>
      <c r="BN229" s="110" t="str">
        <f aca="false">IF($BC229&gt;$BB$7,"",VLOOKUP($BC229,$BE$8:$BK$507,3,FALSE()))</f>
        <v/>
      </c>
      <c r="BO229" s="110" t="str">
        <f aca="false">IF($BC229&gt;$BB$7,"",VLOOKUP($BC229,$BE$8:$BK$507,4,FALSE()))</f>
        <v/>
      </c>
      <c r="BP229" s="110" t="str">
        <f aca="false">IF($BC229&gt;$BB$7,"",VLOOKUP($BC229,$BE$8:$BK$507,5,FALSE()))</f>
        <v/>
      </c>
      <c r="BQ229" s="111" t="str">
        <f aca="false">IF($BC229&gt;$BB$7,"",VLOOKUP($BC229,$BE$8:$BK$507,6,FALSE()))</f>
        <v/>
      </c>
      <c r="BR229" s="54"/>
    </row>
    <row r="230" customFormat="false" ht="15.75" hidden="false" customHeight="false" outlineLevel="0" collapsed="false">
      <c r="A230" s="5"/>
      <c r="B230" s="124"/>
      <c r="C230" s="56"/>
      <c r="D230" s="57"/>
      <c r="E230" s="83"/>
      <c r="F230" s="59"/>
      <c r="G230" s="60"/>
      <c r="H230" s="61"/>
      <c r="I230" s="62"/>
      <c r="J230" s="59"/>
      <c r="K230" s="60"/>
      <c r="L230" s="61"/>
      <c r="M230" s="62"/>
      <c r="N230" s="59"/>
      <c r="O230" s="83"/>
      <c r="P230" s="64"/>
      <c r="Q230" s="66" t="str">
        <f aca="false">IF(ISBLANK($C230),"",IF(E230=Constants!$B$2, TRUE(), IF(E230=Constants!$B$3, FALSE(), TRUE())))</f>
        <v/>
      </c>
      <c r="R230" s="66" t="str">
        <f aca="false">IF(ISBLANK($C230),"",IF(F230=Constants!$B$16,Constants!$B$9,IF(F230=Constants!$B$17,Constants!$B$10,Constants!$B$8)))</f>
        <v/>
      </c>
      <c r="S230" s="66" t="str">
        <f aca="false">IF(ISBLANK($C230),"",IF(COUNTA(G230:H230)=0,"",IF(AND(OR(ISBLANK(G230),AND(ISNUMBER(G230),G230&gt;=0)),OR(ISBLANK(H230),AND(ISNUMBER(H230),H230&gt;=0))),60*IF(ISBLANK(G230),0,G230)+IF(ISBLANK(H230),0,H230),"")))</f>
        <v/>
      </c>
      <c r="T230" s="66" t="str">
        <f aca="false">IF(ISBLANK($C230),"",IF(I230=Constants!$B$2, TRUE(), IF(I230=Constants!$B$3, FALSE(), TRUE())))</f>
        <v/>
      </c>
      <c r="U230" s="66" t="str">
        <f aca="false">IF(ISBLANK($C230),"",IF(J230=Constants!$B$2, TRUE(), IF(J230=Constants!$B$3, FALSE(), TRUE())))</f>
        <v/>
      </c>
      <c r="V230" s="66" t="str">
        <f aca="false">IF(ISBLANK($C230),"",IF(COUNTA(K230:L230)=0,"",IF(AND(OR(ISBLANK(K230),AND(ISNUMBER(K230),K230&gt;=0)),OR(ISBLANK(L230),AND(ISNUMBER(L230),L230&gt;=0))),60*IF(ISBLANK(K230),0,K230)+IF(ISBLANK(L230),0,L230),"")))</f>
        <v/>
      </c>
      <c r="W230" s="66" t="str">
        <f aca="false">IF(ISBLANK($C230),"",IF(M230=Constants!$B$2, TRUE(), IF(M230=Constants!$B$3, FALSE(), TRUE())))</f>
        <v/>
      </c>
      <c r="X230" s="66" t="str">
        <f aca="false">IF(ISBLANK($C230),"",IF(N230=Constants!$B$2, TRUE(), IF(N230=Constants!$B$3, FALSE(), TRUE())))</f>
        <v/>
      </c>
      <c r="Y230" s="66" t="str">
        <f aca="false">IF(ISBLANK($C230),"",IF(O230=Constants!$B$2, TRUE(), IF(O230=Constants!$B$3, FALSE(), FALSE())))</f>
        <v/>
      </c>
      <c r="Z230" s="66" t="str">
        <f aca="false">IF(ISBLANK($C230),"",AND(S230&lt;&gt;"",Q230))</f>
        <v/>
      </c>
      <c r="AA230" s="66" t="str">
        <f aca="false">IF(ISBLANK($C230),"",AND(V230&lt;&gt;"",Q230))</f>
        <v/>
      </c>
      <c r="AB230" s="66" t="str">
        <f aca="false">IF(ISBLANK($C230),"",IF(Y230,Constants!$B$4,IF(COUNTA(E230:N230)=0,Constants!$B$5,IF(NOT(Q230),Constants!$B$6,IF(AND(NOT(Z230),NOT(AA230)),Constants!$B$6,Constants!$B$7)))))</f>
        <v/>
      </c>
      <c r="AC230" s="66" t="str">
        <f aca="false">IF(ISBLANK($C230),"",IF($AB230&lt;&gt;Constants!$B$7,$AB230,Constants!$B$20))</f>
        <v/>
      </c>
      <c r="AD230" s="66" t="str">
        <f aca="false">IF($AB230=Constants!$B$7,IF(Z230,S230,Constants!$B$13),"")</f>
        <v/>
      </c>
      <c r="AE230" s="66" t="str">
        <f aca="false">IF($AB230=Constants!$B$7,IF(Z230,R230*IF(T230, 1, Constants!$B$11)*IF(U230, 1, Constants!$B$12),Constants!$B$13),"")</f>
        <v/>
      </c>
      <c r="AF230" s="66" t="str">
        <f aca="false">IF($AB230=Constants!$B$7,AD230*AE230,"")</f>
        <v/>
      </c>
      <c r="AG230" s="66" t="str">
        <f aca="false">IF($AB230=Constants!$B$7,IF(AA230,V230,Constants!$B$13),"")</f>
        <v/>
      </c>
      <c r="AH230" s="66" t="str">
        <f aca="false">IF($AB230=Constants!$B$7,IF(AA230,R230*IF(W230, 1, Constants!$B$11)*IF(X230, 1, Constants!$B$12),Constants!$B$13),"")</f>
        <v/>
      </c>
      <c r="AI230" s="66" t="str">
        <f aca="false">IF($AB230=Constants!$B$7,AG230*AH230,"")</f>
        <v/>
      </c>
      <c r="AJ230" s="66" t="str">
        <f aca="false">IF($AB230=Constants!$B$7,IF(AI230&gt;AF230,2,1),"")</f>
        <v/>
      </c>
      <c r="AK230" s="66" t="str">
        <f aca="false">IF($AB230=Constants!$B$7,IF(AJ230=1,2,1),"")</f>
        <v/>
      </c>
      <c r="AL230" s="66" t="str">
        <f aca="false">IF(ISBLANK($C230),"",IF($AB230&lt;&gt;Constants!$B$7,$AB230,IF(AJ230=1,AF230,AI230)))</f>
        <v/>
      </c>
      <c r="AM230" s="66" t="str">
        <f aca="false">IF(ISBLANK($C230),"",IF($AB230=Constants!$B$7,IF(ISNUMBER(AL230),RANK(AL230,$AL$8:$AL$507),Constants!$B$14),$AB230))</f>
        <v/>
      </c>
      <c r="AN230" s="66" t="str">
        <f aca="false">IF(ISBLANK($C230),"",IF($AB230=Constants!$B$7,IF(AK230=1,AF230,AI230),""))</f>
        <v/>
      </c>
      <c r="AO230" s="66" t="str">
        <f aca="false">IF(ISBLANK($C230),"",IF($AB230=Constants!$B$7,RANK(AN230,$AN$8:$AN$507),$AB230))</f>
        <v/>
      </c>
      <c r="AP230" s="66" t="str">
        <f aca="false">IF(ISBLANK($C230),"",IF($AB230=Constants!$B$7,IF(ISNUMBER(AM230),COUNTIFS($AM$8:$AM$507,"&lt;"&amp;$AM230)+COUNTIFS($AM$8:$AM$507,$AM230,$AO$8:$AO$507,"&lt;"&amp;$AO230)+1,Constants!$B$14),$AB230))</f>
        <v/>
      </c>
      <c r="AQ230" s="66" t="str">
        <f aca="false">IF(ISBLANK($C230),"",IF($AB230=Constants!$B$7,IF(ISNUMBER(AM230),AM230-AP230,Constants!$B$14),$AB230))</f>
        <v/>
      </c>
      <c r="AR230" s="68"/>
      <c r="AS230" s="69" t="str">
        <f aca="false">IF(ISBLANK($C230),"",IF($AB230&lt;&gt;Constants!$B$7,"",AJ230))</f>
        <v/>
      </c>
      <c r="AT230" s="84" t="str">
        <f aca="false">IF(ISBLANK($C230),"",IF($AB230&lt;&gt;Constants!$B$7,"",IF(AJ230=1,AD230,AG230)))</f>
        <v/>
      </c>
      <c r="AU230" s="71" t="str">
        <f aca="false">IF(ISBLANK($C230),"",IF($AB230&lt;&gt;Constants!$B$7,"",IF(AJ230=1,AE230,AH230)))</f>
        <v/>
      </c>
      <c r="AV230" s="72" t="str">
        <f aca="false">IF(ISBLANK($C230),"",IF($AB230&lt;&gt;Constants!$B$7,$AB230,AL230))</f>
        <v/>
      </c>
      <c r="AW230" s="73" t="str">
        <f aca="false">IF(ISBLANK($C230),"",IF($AB230&lt;&gt;Constants!$B$7,$AB230,AC230))</f>
        <v/>
      </c>
      <c r="AX230" s="74" t="str">
        <f aca="false">IF(ISBLANK($C230),"",AQ230)</f>
        <v/>
      </c>
      <c r="AY230" s="74" t="str">
        <f aca="false">IF(ISBLANK($C230),"",AP230)</f>
        <v/>
      </c>
      <c r="AZ230" s="75" t="str">
        <f aca="false">IF(ISBLANK($C230),"",IF(AY230=Constants!$B$4,COUNTA($C$8:$C$507)+2,IF(AY230=Constants!$B$5,COUNTA($C$8:$C$507)+1,IF(AY230=Constants!$B$6,COUNTA($C$8:$C$507),AY230))))</f>
        <v/>
      </c>
      <c r="BA230" s="5"/>
      <c r="BB230" s="76" t="n">
        <f aca="false">IF(OR(ISNUMBER(AY230),AY230=Constants!$B$4,AY230=Constants!$B$6,AY230=Constants!$B$5),1,0)</f>
        <v>0</v>
      </c>
      <c r="BC230" s="76" t="n">
        <v>223</v>
      </c>
      <c r="BD230" s="76" t="str">
        <f aca="false">IF(ISBLANK($C230),"",IF(ISNUMBER(AZ230),AZ230+ROW($B230)/1000,""))</f>
        <v/>
      </c>
      <c r="BE230" s="76" t="str">
        <f aca="false">IF(ISNUMBER(BD230),RANK(BD230,$BD$8:$BD$507,1),"")</f>
        <v/>
      </c>
      <c r="BF230" s="76" t="str">
        <f aca="false">IF(ISBLANK($C230),"",$B230)</f>
        <v/>
      </c>
      <c r="BG230" s="76" t="str">
        <f aca="false">IF(ISBLANK($C230),"",$C230)</f>
        <v/>
      </c>
      <c r="BH230" s="76" t="str">
        <f aca="false">IF(ISBLANK($C230),"",$D230)</f>
        <v/>
      </c>
      <c r="BI230" s="77" t="str">
        <f aca="false">AW230</f>
        <v/>
      </c>
      <c r="BJ230" s="78" t="str">
        <f aca="false">AV230</f>
        <v/>
      </c>
      <c r="BK230" s="76" t="str">
        <f aca="false">IF(ISBLANK($C230),"",AY230)</f>
        <v/>
      </c>
      <c r="BL230" s="79" t="str">
        <f aca="false">IF($BC230&gt;$BB$7,"",VLOOKUP($BC230,$BE$8:$BK$507,7,FALSE()))</f>
        <v/>
      </c>
      <c r="BM230" s="80" t="str">
        <f aca="false">IF($BC230&gt;$BB$7,"",VLOOKUP($BC230,$BE$8:$BK$507,2,FALSE()))</f>
        <v/>
      </c>
      <c r="BN230" s="80" t="str">
        <f aca="false">IF($BC230&gt;$BB$7,"",VLOOKUP($BC230,$BE$8:$BK$507,3,FALSE()))</f>
        <v/>
      </c>
      <c r="BO230" s="80" t="str">
        <f aca="false">IF($BC230&gt;$BB$7,"",VLOOKUP($BC230,$BE$8:$BK$507,4,FALSE()))</f>
        <v/>
      </c>
      <c r="BP230" s="80" t="str">
        <f aca="false">IF($BC230&gt;$BB$7,"",VLOOKUP($BC230,$BE$8:$BK$507,5,FALSE()))</f>
        <v/>
      </c>
      <c r="BQ230" s="81" t="str">
        <f aca="false">IF($BC230&gt;$BB$7,"",VLOOKUP($BC230,$BE$8:$BK$507,6,FALSE()))</f>
        <v/>
      </c>
      <c r="BR230" s="54"/>
    </row>
    <row r="231" customFormat="false" ht="15.75" hidden="false" customHeight="false" outlineLevel="0" collapsed="false">
      <c r="A231" s="5"/>
      <c r="B231" s="124"/>
      <c r="C231" s="56"/>
      <c r="D231" s="57"/>
      <c r="E231" s="83"/>
      <c r="F231" s="59"/>
      <c r="G231" s="60"/>
      <c r="H231" s="61"/>
      <c r="I231" s="62"/>
      <c r="J231" s="59"/>
      <c r="K231" s="60"/>
      <c r="L231" s="61"/>
      <c r="M231" s="62"/>
      <c r="N231" s="59"/>
      <c r="O231" s="83"/>
      <c r="P231" s="64"/>
      <c r="Q231" s="66" t="str">
        <f aca="false">IF(ISBLANK($C231),"",IF(E231=Constants!$B$2, TRUE(), IF(E231=Constants!$B$3, FALSE(), TRUE())))</f>
        <v/>
      </c>
      <c r="R231" s="66" t="str">
        <f aca="false">IF(ISBLANK($C231),"",IF(F231=Constants!$B$16,Constants!$B$9,IF(F231=Constants!$B$17,Constants!$B$10,Constants!$B$8)))</f>
        <v/>
      </c>
      <c r="S231" s="66" t="str">
        <f aca="false">IF(ISBLANK($C231),"",IF(COUNTA(G231:H231)=0,"",IF(AND(OR(ISBLANK(G231),AND(ISNUMBER(G231),G231&gt;=0)),OR(ISBLANK(H231),AND(ISNUMBER(H231),H231&gt;=0))),60*IF(ISBLANK(G231),0,G231)+IF(ISBLANK(H231),0,H231),"")))</f>
        <v/>
      </c>
      <c r="T231" s="66" t="str">
        <f aca="false">IF(ISBLANK($C231),"",IF(I231=Constants!$B$2, TRUE(), IF(I231=Constants!$B$3, FALSE(), TRUE())))</f>
        <v/>
      </c>
      <c r="U231" s="66" t="str">
        <f aca="false">IF(ISBLANK($C231),"",IF(J231=Constants!$B$2, TRUE(), IF(J231=Constants!$B$3, FALSE(), TRUE())))</f>
        <v/>
      </c>
      <c r="V231" s="66" t="str">
        <f aca="false">IF(ISBLANK($C231),"",IF(COUNTA(K231:L231)=0,"",IF(AND(OR(ISBLANK(K231),AND(ISNUMBER(K231),K231&gt;=0)),OR(ISBLANK(L231),AND(ISNUMBER(L231),L231&gt;=0))),60*IF(ISBLANK(K231),0,K231)+IF(ISBLANK(L231),0,L231),"")))</f>
        <v/>
      </c>
      <c r="W231" s="66" t="str">
        <f aca="false">IF(ISBLANK($C231),"",IF(M231=Constants!$B$2, TRUE(), IF(M231=Constants!$B$3, FALSE(), TRUE())))</f>
        <v/>
      </c>
      <c r="X231" s="66" t="str">
        <f aca="false">IF(ISBLANK($C231),"",IF(N231=Constants!$B$2, TRUE(), IF(N231=Constants!$B$3, FALSE(), TRUE())))</f>
        <v/>
      </c>
      <c r="Y231" s="66" t="str">
        <f aca="false">IF(ISBLANK($C231),"",IF(O231=Constants!$B$2, TRUE(), IF(O231=Constants!$B$3, FALSE(), FALSE())))</f>
        <v/>
      </c>
      <c r="Z231" s="66" t="str">
        <f aca="false">IF(ISBLANK($C231),"",AND(S231&lt;&gt;"",Q231))</f>
        <v/>
      </c>
      <c r="AA231" s="66" t="str">
        <f aca="false">IF(ISBLANK($C231),"",AND(V231&lt;&gt;"",Q231))</f>
        <v/>
      </c>
      <c r="AB231" s="66" t="str">
        <f aca="false">IF(ISBLANK($C231),"",IF(Y231,Constants!$B$4,IF(COUNTA(E231:N231)=0,Constants!$B$5,IF(NOT(Q231),Constants!$B$6,IF(AND(NOT(Z231),NOT(AA231)),Constants!$B$6,Constants!$B$7)))))</f>
        <v/>
      </c>
      <c r="AC231" s="66" t="str">
        <f aca="false">IF(ISBLANK($C231),"",IF($AB231&lt;&gt;Constants!$B$7,$AB231,Constants!$B$20))</f>
        <v/>
      </c>
      <c r="AD231" s="66" t="str">
        <f aca="false">IF($AB231=Constants!$B$7,IF(Z231,S231,Constants!$B$13),"")</f>
        <v/>
      </c>
      <c r="AE231" s="66" t="str">
        <f aca="false">IF($AB231=Constants!$B$7,IF(Z231,R231*IF(T231, 1, Constants!$B$11)*IF(U231, 1, Constants!$B$12),Constants!$B$13),"")</f>
        <v/>
      </c>
      <c r="AF231" s="66" t="str">
        <f aca="false">IF($AB231=Constants!$B$7,AD231*AE231,"")</f>
        <v/>
      </c>
      <c r="AG231" s="66" t="str">
        <f aca="false">IF($AB231=Constants!$B$7,IF(AA231,V231,Constants!$B$13),"")</f>
        <v/>
      </c>
      <c r="AH231" s="66" t="str">
        <f aca="false">IF($AB231=Constants!$B$7,IF(AA231,R231*IF(W231, 1, Constants!$B$11)*IF(X231, 1, Constants!$B$12),Constants!$B$13),"")</f>
        <v/>
      </c>
      <c r="AI231" s="66" t="str">
        <f aca="false">IF($AB231=Constants!$B$7,AG231*AH231,"")</f>
        <v/>
      </c>
      <c r="AJ231" s="66" t="str">
        <f aca="false">IF($AB231=Constants!$B$7,IF(AI231&gt;AF231,2,1),"")</f>
        <v/>
      </c>
      <c r="AK231" s="66" t="str">
        <f aca="false">IF($AB231=Constants!$B$7,IF(AJ231=1,2,1),"")</f>
        <v/>
      </c>
      <c r="AL231" s="66" t="str">
        <f aca="false">IF(ISBLANK($C231),"",IF($AB231&lt;&gt;Constants!$B$7,$AB231,IF(AJ231=1,AF231,AI231)))</f>
        <v/>
      </c>
      <c r="AM231" s="66" t="str">
        <f aca="false">IF(ISBLANK($C231),"",IF($AB231=Constants!$B$7,IF(ISNUMBER(AL231),RANK(AL231,$AL$8:$AL$507),Constants!$B$14),$AB231))</f>
        <v/>
      </c>
      <c r="AN231" s="66" t="str">
        <f aca="false">IF(ISBLANK($C231),"",IF($AB231=Constants!$B$7,IF(AK231=1,AF231,AI231),""))</f>
        <v/>
      </c>
      <c r="AO231" s="66" t="str">
        <f aca="false">IF(ISBLANK($C231),"",IF($AB231=Constants!$B$7,RANK(AN231,$AN$8:$AN$507),$AB231))</f>
        <v/>
      </c>
      <c r="AP231" s="66" t="str">
        <f aca="false">IF(ISBLANK($C231),"",IF($AB231=Constants!$B$7,IF(ISNUMBER(AM231),COUNTIFS($AM$8:$AM$507,"&lt;"&amp;$AM231)+COUNTIFS($AM$8:$AM$507,$AM231,$AO$8:$AO$507,"&lt;"&amp;$AO231)+1,Constants!$B$14),$AB231))</f>
        <v/>
      </c>
      <c r="AQ231" s="66" t="str">
        <f aca="false">IF(ISBLANK($C231),"",IF($AB231=Constants!$B$7,IF(ISNUMBER(AM231),AM231-AP231,Constants!$B$14),$AB231))</f>
        <v/>
      </c>
      <c r="AR231" s="68"/>
      <c r="AS231" s="69" t="str">
        <f aca="false">IF(ISBLANK($C231),"",IF($AB231&lt;&gt;Constants!$B$7,"",AJ231))</f>
        <v/>
      </c>
      <c r="AT231" s="84" t="str">
        <f aca="false">IF(ISBLANK($C231),"",IF($AB231&lt;&gt;Constants!$B$7,"",IF(AJ231=1,AD231,AG231)))</f>
        <v/>
      </c>
      <c r="AU231" s="71" t="str">
        <f aca="false">IF(ISBLANK($C231),"",IF($AB231&lt;&gt;Constants!$B$7,"",IF(AJ231=1,AE231,AH231)))</f>
        <v/>
      </c>
      <c r="AV231" s="72" t="str">
        <f aca="false">IF(ISBLANK($C231),"",IF($AB231&lt;&gt;Constants!$B$7,$AB231,AL231))</f>
        <v/>
      </c>
      <c r="AW231" s="73" t="str">
        <f aca="false">IF(ISBLANK($C231),"",IF($AB231&lt;&gt;Constants!$B$7,$AB231,AC231))</f>
        <v/>
      </c>
      <c r="AX231" s="74" t="str">
        <f aca="false">IF(ISBLANK($C231),"",AQ231)</f>
        <v/>
      </c>
      <c r="AY231" s="74" t="str">
        <f aca="false">IF(ISBLANK($C231),"",AP231)</f>
        <v/>
      </c>
      <c r="AZ231" s="75" t="str">
        <f aca="false">IF(ISBLANK($C231),"",IF(AY231=Constants!$B$4,COUNTA($C$8:$C$507)+2,IF(AY231=Constants!$B$5,COUNTA($C$8:$C$507)+1,IF(AY231=Constants!$B$6,COUNTA($C$8:$C$507),AY231))))</f>
        <v/>
      </c>
      <c r="BA231" s="5"/>
      <c r="BB231" s="76" t="n">
        <f aca="false">IF(OR(ISNUMBER(AY231),AY231=Constants!$B$4,AY231=Constants!$B$6,AY231=Constants!$B$5),1,0)</f>
        <v>0</v>
      </c>
      <c r="BC231" s="76" t="n">
        <v>224</v>
      </c>
      <c r="BD231" s="76" t="str">
        <f aca="false">IF(ISBLANK($C231),"",IF(ISNUMBER(AZ231),AZ231+ROW($B231)/1000,""))</f>
        <v/>
      </c>
      <c r="BE231" s="76" t="str">
        <f aca="false">IF(ISNUMBER(BD231),RANK(BD231,$BD$8:$BD$507,1),"")</f>
        <v/>
      </c>
      <c r="BF231" s="76" t="str">
        <f aca="false">IF(ISBLANK($C231),"",$B231)</f>
        <v/>
      </c>
      <c r="BG231" s="76" t="str">
        <f aca="false">IF(ISBLANK($C231),"",$C231)</f>
        <v/>
      </c>
      <c r="BH231" s="76" t="str">
        <f aca="false">IF(ISBLANK($C231),"",$D231)</f>
        <v/>
      </c>
      <c r="BI231" s="77" t="str">
        <f aca="false">AW231</f>
        <v/>
      </c>
      <c r="BJ231" s="78" t="str">
        <f aca="false">AV231</f>
        <v/>
      </c>
      <c r="BK231" s="76" t="str">
        <f aca="false">IF(ISBLANK($C231),"",AY231)</f>
        <v/>
      </c>
      <c r="BL231" s="79" t="str">
        <f aca="false">IF($BC231&gt;$BB$7,"",VLOOKUP($BC231,$BE$8:$BK$507,7,FALSE()))</f>
        <v/>
      </c>
      <c r="BM231" s="80" t="str">
        <f aca="false">IF($BC231&gt;$BB$7,"",VLOOKUP($BC231,$BE$8:$BK$507,2,FALSE()))</f>
        <v/>
      </c>
      <c r="BN231" s="80" t="str">
        <f aca="false">IF($BC231&gt;$BB$7,"",VLOOKUP($BC231,$BE$8:$BK$507,3,FALSE()))</f>
        <v/>
      </c>
      <c r="BO231" s="80" t="str">
        <f aca="false">IF($BC231&gt;$BB$7,"",VLOOKUP($BC231,$BE$8:$BK$507,4,FALSE()))</f>
        <v/>
      </c>
      <c r="BP231" s="80" t="str">
        <f aca="false">IF($BC231&gt;$BB$7,"",VLOOKUP($BC231,$BE$8:$BK$507,5,FALSE()))</f>
        <v/>
      </c>
      <c r="BQ231" s="81" t="str">
        <f aca="false">IF($BC231&gt;$BB$7,"",VLOOKUP($BC231,$BE$8:$BK$507,6,FALSE()))</f>
        <v/>
      </c>
      <c r="BR231" s="54"/>
    </row>
    <row r="232" customFormat="false" ht="15.75" hidden="false" customHeight="false" outlineLevel="0" collapsed="false">
      <c r="A232" s="5"/>
      <c r="B232" s="124"/>
      <c r="C232" s="56"/>
      <c r="D232" s="57"/>
      <c r="E232" s="83"/>
      <c r="F232" s="59"/>
      <c r="G232" s="60"/>
      <c r="H232" s="61"/>
      <c r="I232" s="62"/>
      <c r="J232" s="59"/>
      <c r="K232" s="60"/>
      <c r="L232" s="61"/>
      <c r="M232" s="62"/>
      <c r="N232" s="59"/>
      <c r="O232" s="83"/>
      <c r="P232" s="64"/>
      <c r="Q232" s="66" t="str">
        <f aca="false">IF(ISBLANK($C232),"",IF(E232=Constants!$B$2, TRUE(), IF(E232=Constants!$B$3, FALSE(), TRUE())))</f>
        <v/>
      </c>
      <c r="R232" s="66" t="str">
        <f aca="false">IF(ISBLANK($C232),"",IF(F232=Constants!$B$16,Constants!$B$9,IF(F232=Constants!$B$17,Constants!$B$10,Constants!$B$8)))</f>
        <v/>
      </c>
      <c r="S232" s="66" t="str">
        <f aca="false">IF(ISBLANK($C232),"",IF(COUNTA(G232:H232)=0,"",IF(AND(OR(ISBLANK(G232),AND(ISNUMBER(G232),G232&gt;=0)),OR(ISBLANK(H232),AND(ISNUMBER(H232),H232&gt;=0))),60*IF(ISBLANK(G232),0,G232)+IF(ISBLANK(H232),0,H232),"")))</f>
        <v/>
      </c>
      <c r="T232" s="66" t="str">
        <f aca="false">IF(ISBLANK($C232),"",IF(I232=Constants!$B$2, TRUE(), IF(I232=Constants!$B$3, FALSE(), TRUE())))</f>
        <v/>
      </c>
      <c r="U232" s="66" t="str">
        <f aca="false">IF(ISBLANK($C232),"",IF(J232=Constants!$B$2, TRUE(), IF(J232=Constants!$B$3, FALSE(), TRUE())))</f>
        <v/>
      </c>
      <c r="V232" s="66" t="str">
        <f aca="false">IF(ISBLANK($C232),"",IF(COUNTA(K232:L232)=0,"",IF(AND(OR(ISBLANK(K232),AND(ISNUMBER(K232),K232&gt;=0)),OR(ISBLANK(L232),AND(ISNUMBER(L232),L232&gt;=0))),60*IF(ISBLANK(K232),0,K232)+IF(ISBLANK(L232),0,L232),"")))</f>
        <v/>
      </c>
      <c r="W232" s="66" t="str">
        <f aca="false">IF(ISBLANK($C232),"",IF(M232=Constants!$B$2, TRUE(), IF(M232=Constants!$B$3, FALSE(), TRUE())))</f>
        <v/>
      </c>
      <c r="X232" s="66" t="str">
        <f aca="false">IF(ISBLANK($C232),"",IF(N232=Constants!$B$2, TRUE(), IF(N232=Constants!$B$3, FALSE(), TRUE())))</f>
        <v/>
      </c>
      <c r="Y232" s="66" t="str">
        <f aca="false">IF(ISBLANK($C232),"",IF(O232=Constants!$B$2, TRUE(), IF(O232=Constants!$B$3, FALSE(), FALSE())))</f>
        <v/>
      </c>
      <c r="Z232" s="66" t="str">
        <f aca="false">IF(ISBLANK($C232),"",AND(S232&lt;&gt;"",Q232))</f>
        <v/>
      </c>
      <c r="AA232" s="66" t="str">
        <f aca="false">IF(ISBLANK($C232),"",AND(V232&lt;&gt;"",Q232))</f>
        <v/>
      </c>
      <c r="AB232" s="66" t="str">
        <f aca="false">IF(ISBLANK($C232),"",IF(Y232,Constants!$B$4,IF(COUNTA(E232:N232)=0,Constants!$B$5,IF(NOT(Q232),Constants!$B$6,IF(AND(NOT(Z232),NOT(AA232)),Constants!$B$6,Constants!$B$7)))))</f>
        <v/>
      </c>
      <c r="AC232" s="66" t="str">
        <f aca="false">IF(ISBLANK($C232),"",IF($AB232&lt;&gt;Constants!$B$7,$AB232,Constants!$B$20))</f>
        <v/>
      </c>
      <c r="AD232" s="66" t="str">
        <f aca="false">IF($AB232=Constants!$B$7,IF(Z232,S232,Constants!$B$13),"")</f>
        <v/>
      </c>
      <c r="AE232" s="66" t="str">
        <f aca="false">IF($AB232=Constants!$B$7,IF(Z232,R232*IF(T232, 1, Constants!$B$11)*IF(U232, 1, Constants!$B$12),Constants!$B$13),"")</f>
        <v/>
      </c>
      <c r="AF232" s="66" t="str">
        <f aca="false">IF($AB232=Constants!$B$7,AD232*AE232,"")</f>
        <v/>
      </c>
      <c r="AG232" s="66" t="str">
        <f aca="false">IF($AB232=Constants!$B$7,IF(AA232,V232,Constants!$B$13),"")</f>
        <v/>
      </c>
      <c r="AH232" s="66" t="str">
        <f aca="false">IF($AB232=Constants!$B$7,IF(AA232,R232*IF(W232, 1, Constants!$B$11)*IF(X232, 1, Constants!$B$12),Constants!$B$13),"")</f>
        <v/>
      </c>
      <c r="AI232" s="66" t="str">
        <f aca="false">IF($AB232=Constants!$B$7,AG232*AH232,"")</f>
        <v/>
      </c>
      <c r="AJ232" s="66" t="str">
        <f aca="false">IF($AB232=Constants!$B$7,IF(AI232&gt;AF232,2,1),"")</f>
        <v/>
      </c>
      <c r="AK232" s="66" t="str">
        <f aca="false">IF($AB232=Constants!$B$7,IF(AJ232=1,2,1),"")</f>
        <v/>
      </c>
      <c r="AL232" s="66" t="str">
        <f aca="false">IF(ISBLANK($C232),"",IF($AB232&lt;&gt;Constants!$B$7,$AB232,IF(AJ232=1,AF232,AI232)))</f>
        <v/>
      </c>
      <c r="AM232" s="66" t="str">
        <f aca="false">IF(ISBLANK($C232),"",IF($AB232=Constants!$B$7,IF(ISNUMBER(AL232),RANK(AL232,$AL$8:$AL$507),Constants!$B$14),$AB232))</f>
        <v/>
      </c>
      <c r="AN232" s="66" t="str">
        <f aca="false">IF(ISBLANK($C232),"",IF($AB232=Constants!$B$7,IF(AK232=1,AF232,AI232),""))</f>
        <v/>
      </c>
      <c r="AO232" s="66" t="str">
        <f aca="false">IF(ISBLANK($C232),"",IF($AB232=Constants!$B$7,RANK(AN232,$AN$8:$AN$507),$AB232))</f>
        <v/>
      </c>
      <c r="AP232" s="66" t="str">
        <f aca="false">IF(ISBLANK($C232),"",IF($AB232=Constants!$B$7,IF(ISNUMBER(AM232),COUNTIFS($AM$8:$AM$507,"&lt;"&amp;$AM232)+COUNTIFS($AM$8:$AM$507,$AM232,$AO$8:$AO$507,"&lt;"&amp;$AO232)+1,Constants!$B$14),$AB232))</f>
        <v/>
      </c>
      <c r="AQ232" s="66" t="str">
        <f aca="false">IF(ISBLANK($C232),"",IF($AB232=Constants!$B$7,IF(ISNUMBER(AM232),AM232-AP232,Constants!$B$14),$AB232))</f>
        <v/>
      </c>
      <c r="AR232" s="68"/>
      <c r="AS232" s="69" t="str">
        <f aca="false">IF(ISBLANK($C232),"",IF($AB232&lt;&gt;Constants!$B$7,"",AJ232))</f>
        <v/>
      </c>
      <c r="AT232" s="84" t="str">
        <f aca="false">IF(ISBLANK($C232),"",IF($AB232&lt;&gt;Constants!$B$7,"",IF(AJ232=1,AD232,AG232)))</f>
        <v/>
      </c>
      <c r="AU232" s="71" t="str">
        <f aca="false">IF(ISBLANK($C232),"",IF($AB232&lt;&gt;Constants!$B$7,"",IF(AJ232=1,AE232,AH232)))</f>
        <v/>
      </c>
      <c r="AV232" s="72" t="str">
        <f aca="false">IF(ISBLANK($C232),"",IF($AB232&lt;&gt;Constants!$B$7,$AB232,AL232))</f>
        <v/>
      </c>
      <c r="AW232" s="73" t="str">
        <f aca="false">IF(ISBLANK($C232),"",IF($AB232&lt;&gt;Constants!$B$7,$AB232,AC232))</f>
        <v/>
      </c>
      <c r="AX232" s="74" t="str">
        <f aca="false">IF(ISBLANK($C232),"",AQ232)</f>
        <v/>
      </c>
      <c r="AY232" s="74" t="str">
        <f aca="false">IF(ISBLANK($C232),"",AP232)</f>
        <v/>
      </c>
      <c r="AZ232" s="75" t="str">
        <f aca="false">IF(ISBLANK($C232),"",IF(AY232=Constants!$B$4,COUNTA($C$8:$C$507)+2,IF(AY232=Constants!$B$5,COUNTA($C$8:$C$507)+1,IF(AY232=Constants!$B$6,COUNTA($C$8:$C$507),AY232))))</f>
        <v/>
      </c>
      <c r="BA232" s="5"/>
      <c r="BB232" s="76" t="n">
        <f aca="false">IF(OR(ISNUMBER(AY232),AY232=Constants!$B$4,AY232=Constants!$B$6,AY232=Constants!$B$5),1,0)</f>
        <v>0</v>
      </c>
      <c r="BC232" s="76" t="n">
        <v>225</v>
      </c>
      <c r="BD232" s="76" t="str">
        <f aca="false">IF(ISBLANK($C232),"",IF(ISNUMBER(AZ232),AZ232+ROW($B232)/1000,""))</f>
        <v/>
      </c>
      <c r="BE232" s="76" t="str">
        <f aca="false">IF(ISNUMBER(BD232),RANK(BD232,$BD$8:$BD$507,1),"")</f>
        <v/>
      </c>
      <c r="BF232" s="76" t="str">
        <f aca="false">IF(ISBLANK($C232),"",$B232)</f>
        <v/>
      </c>
      <c r="BG232" s="76" t="str">
        <f aca="false">IF(ISBLANK($C232),"",$C232)</f>
        <v/>
      </c>
      <c r="BH232" s="76" t="str">
        <f aca="false">IF(ISBLANK($C232),"",$D232)</f>
        <v/>
      </c>
      <c r="BI232" s="77" t="str">
        <f aca="false">AW232</f>
        <v/>
      </c>
      <c r="BJ232" s="78" t="str">
        <f aca="false">AV232</f>
        <v/>
      </c>
      <c r="BK232" s="76" t="str">
        <f aca="false">IF(ISBLANK($C232),"",AY232)</f>
        <v/>
      </c>
      <c r="BL232" s="79" t="str">
        <f aca="false">IF($BC232&gt;$BB$7,"",VLOOKUP($BC232,$BE$8:$BK$507,7,FALSE()))</f>
        <v/>
      </c>
      <c r="BM232" s="80" t="str">
        <f aca="false">IF($BC232&gt;$BB$7,"",VLOOKUP($BC232,$BE$8:$BK$507,2,FALSE()))</f>
        <v/>
      </c>
      <c r="BN232" s="80" t="str">
        <f aca="false">IF($BC232&gt;$BB$7,"",VLOOKUP($BC232,$BE$8:$BK$507,3,FALSE()))</f>
        <v/>
      </c>
      <c r="BO232" s="80" t="str">
        <f aca="false">IF($BC232&gt;$BB$7,"",VLOOKUP($BC232,$BE$8:$BK$507,4,FALSE()))</f>
        <v/>
      </c>
      <c r="BP232" s="80" t="str">
        <f aca="false">IF($BC232&gt;$BB$7,"",VLOOKUP($BC232,$BE$8:$BK$507,5,FALSE()))</f>
        <v/>
      </c>
      <c r="BQ232" s="81" t="str">
        <f aca="false">IF($BC232&gt;$BB$7,"",VLOOKUP($BC232,$BE$8:$BK$507,6,FALSE()))</f>
        <v/>
      </c>
      <c r="BR232" s="54"/>
    </row>
    <row r="233" customFormat="false" ht="15.75" hidden="false" customHeight="false" outlineLevel="0" collapsed="false">
      <c r="A233" s="5"/>
      <c r="B233" s="120"/>
      <c r="C233" s="121"/>
      <c r="D233" s="112"/>
      <c r="E233" s="123"/>
      <c r="F233" s="91"/>
      <c r="G233" s="92"/>
      <c r="H233" s="93"/>
      <c r="I233" s="94"/>
      <c r="J233" s="91"/>
      <c r="K233" s="92"/>
      <c r="L233" s="93"/>
      <c r="M233" s="94"/>
      <c r="N233" s="91"/>
      <c r="O233" s="123"/>
      <c r="P233" s="96"/>
      <c r="Q233" s="97" t="str">
        <f aca="false">IF(ISBLANK($C233),"",IF(E233=Constants!$B$2, TRUE(), IF(E233=Constants!$B$3, FALSE(), TRUE())))</f>
        <v/>
      </c>
      <c r="R233" s="97" t="str">
        <f aca="false">IF(ISBLANK($C233),"",IF(F233=Constants!$B$16,Constants!$B$9,IF(F233=Constants!$B$17,Constants!$B$10,Constants!$B$8)))</f>
        <v/>
      </c>
      <c r="S233" s="97" t="str">
        <f aca="false">IF(ISBLANK($C233),"",IF(COUNTA(G233:H233)=0,"",IF(AND(OR(ISBLANK(G233),AND(ISNUMBER(G233),G233&gt;=0)),OR(ISBLANK(H233),AND(ISNUMBER(H233),H233&gt;=0))),60*IF(ISBLANK(G233),0,G233)+IF(ISBLANK(H233),0,H233),"")))</f>
        <v/>
      </c>
      <c r="T233" s="97" t="str">
        <f aca="false">IF(ISBLANK($C233),"",IF(I233=Constants!$B$2, TRUE(), IF(I233=Constants!$B$3, FALSE(), TRUE())))</f>
        <v/>
      </c>
      <c r="U233" s="97" t="str">
        <f aca="false">IF(ISBLANK($C233),"",IF(J233=Constants!$B$2, TRUE(), IF(J233=Constants!$B$3, FALSE(), TRUE())))</f>
        <v/>
      </c>
      <c r="V233" s="97" t="str">
        <f aca="false">IF(ISBLANK($C233),"",IF(COUNTA(K233:L233)=0,"",IF(AND(OR(ISBLANK(K233),AND(ISNUMBER(K233),K233&gt;=0)),OR(ISBLANK(L233),AND(ISNUMBER(L233),L233&gt;=0))),60*IF(ISBLANK(K233),0,K233)+IF(ISBLANK(L233),0,L233),"")))</f>
        <v/>
      </c>
      <c r="W233" s="97" t="str">
        <f aca="false">IF(ISBLANK($C233),"",IF(M233=Constants!$B$2, TRUE(), IF(M233=Constants!$B$3, FALSE(), TRUE())))</f>
        <v/>
      </c>
      <c r="X233" s="97" t="str">
        <f aca="false">IF(ISBLANK($C233),"",IF(N233=Constants!$B$2, TRUE(), IF(N233=Constants!$B$3, FALSE(), TRUE())))</f>
        <v/>
      </c>
      <c r="Y233" s="97" t="str">
        <f aca="false">IF(ISBLANK($C233),"",IF(O233=Constants!$B$2, TRUE(), IF(O233=Constants!$B$3, FALSE(), FALSE())))</f>
        <v/>
      </c>
      <c r="Z233" s="97" t="str">
        <f aca="false">IF(ISBLANK($C233),"",AND(S233&lt;&gt;"",Q233))</f>
        <v/>
      </c>
      <c r="AA233" s="97" t="str">
        <f aca="false">IF(ISBLANK($C233),"",AND(V233&lt;&gt;"",Q233))</f>
        <v/>
      </c>
      <c r="AB233" s="97" t="str">
        <f aca="false">IF(ISBLANK($C233),"",IF(Y233,Constants!$B$4,IF(COUNTA(E233:N233)=0,Constants!$B$5,IF(NOT(Q233),Constants!$B$6,IF(AND(NOT(Z233),NOT(AA233)),Constants!$B$6,Constants!$B$7)))))</f>
        <v/>
      </c>
      <c r="AC233" s="97" t="str">
        <f aca="false">IF(ISBLANK($C233),"",IF($AB233&lt;&gt;Constants!$B$7,$AB233,Constants!$B$20))</f>
        <v/>
      </c>
      <c r="AD233" s="97" t="str">
        <f aca="false">IF($AB233=Constants!$B$7,IF(Z233,S233,Constants!$B$13),"")</f>
        <v/>
      </c>
      <c r="AE233" s="97" t="str">
        <f aca="false">IF($AB233=Constants!$B$7,IF(Z233,R233*IF(T233, 1, Constants!$B$11)*IF(U233, 1, Constants!$B$12),Constants!$B$13),"")</f>
        <v/>
      </c>
      <c r="AF233" s="97" t="str">
        <f aca="false">IF($AB233=Constants!$B$7,AD233*AE233,"")</f>
        <v/>
      </c>
      <c r="AG233" s="97" t="str">
        <f aca="false">IF($AB233=Constants!$B$7,IF(AA233,V233,Constants!$B$13),"")</f>
        <v/>
      </c>
      <c r="AH233" s="97" t="str">
        <f aca="false">IF($AB233=Constants!$B$7,IF(AA233,R233*IF(W233, 1, Constants!$B$11)*IF(X233, 1, Constants!$B$12),Constants!$B$13),"")</f>
        <v/>
      </c>
      <c r="AI233" s="97" t="str">
        <f aca="false">IF($AB233=Constants!$B$7,AG233*AH233,"")</f>
        <v/>
      </c>
      <c r="AJ233" s="97" t="str">
        <f aca="false">IF($AB233=Constants!$B$7,IF(AI233&gt;AF233,2,1),"")</f>
        <v/>
      </c>
      <c r="AK233" s="97" t="str">
        <f aca="false">IF($AB233=Constants!$B$7,IF(AJ233=1,2,1),"")</f>
        <v/>
      </c>
      <c r="AL233" s="97" t="str">
        <f aca="false">IF(ISBLANK($C233),"",IF($AB233&lt;&gt;Constants!$B$7,$AB233,IF(AJ233=1,AF233,AI233)))</f>
        <v/>
      </c>
      <c r="AM233" s="97" t="str">
        <f aca="false">IF(ISBLANK($C233),"",IF($AB233=Constants!$B$7,IF(ISNUMBER(AL233),RANK(AL233,$AL$8:$AL$507),Constants!$B$14),$AB233))</f>
        <v/>
      </c>
      <c r="AN233" s="97" t="str">
        <f aca="false">IF(ISBLANK($C233),"",IF($AB233=Constants!$B$7,IF(AK233=1,AF233,AI233),""))</f>
        <v/>
      </c>
      <c r="AO233" s="97" t="str">
        <f aca="false">IF(ISBLANK($C233),"",IF($AB233=Constants!$B$7,RANK(AN233,$AN$8:$AN$507),$AB233))</f>
        <v/>
      </c>
      <c r="AP233" s="97" t="str">
        <f aca="false">IF(ISBLANK($C233),"",IF($AB233=Constants!$B$7,IF(ISNUMBER(AM233),COUNTIFS($AM$8:$AM$507,"&lt;"&amp;$AM233)+COUNTIFS($AM$8:$AM$507,$AM233,$AO$8:$AO$507,"&lt;"&amp;$AO233)+1,Constants!$B$14),$AB233))</f>
        <v/>
      </c>
      <c r="AQ233" s="97" t="str">
        <f aca="false">IF(ISBLANK($C233),"",IF($AB233=Constants!$B$7,IF(ISNUMBER(AM233),AM233-AP233,Constants!$B$14),$AB233))</f>
        <v/>
      </c>
      <c r="AR233" s="98"/>
      <c r="AS233" s="99" t="str">
        <f aca="false">IF(ISBLANK($C233),"",IF($AB233&lt;&gt;Constants!$B$7,"",AJ233))</f>
        <v/>
      </c>
      <c r="AT233" s="100" t="str">
        <f aca="false">IF(ISBLANK($C233),"",IF($AB233&lt;&gt;Constants!$B$7,"",IF(AJ233=1,AD233,AG233)))</f>
        <v/>
      </c>
      <c r="AU233" s="101" t="str">
        <f aca="false">IF(ISBLANK($C233),"",IF($AB233&lt;&gt;Constants!$B$7,"",IF(AJ233=1,AE233,AH233)))</f>
        <v/>
      </c>
      <c r="AV233" s="102" t="str">
        <f aca="false">IF(ISBLANK($C233),"",IF($AB233&lt;&gt;Constants!$B$7,$AB233,AL233))</f>
        <v/>
      </c>
      <c r="AW233" s="103" t="str">
        <f aca="false">IF(ISBLANK($C233),"",IF($AB233&lt;&gt;Constants!$B$7,$AB233,AC233))</f>
        <v/>
      </c>
      <c r="AX233" s="104" t="str">
        <f aca="false">IF(ISBLANK($C233),"",AQ233)</f>
        <v/>
      </c>
      <c r="AY233" s="104" t="str">
        <f aca="false">IF(ISBLANK($C233),"",AP233)</f>
        <v/>
      </c>
      <c r="AZ233" s="105" t="str">
        <f aca="false">IF(ISBLANK($C233),"",IF(AY233=Constants!$B$4,COUNTA($C$8:$C$507)+2,IF(AY233=Constants!$B$5,COUNTA($C$8:$C$507)+1,IF(AY233=Constants!$B$6,COUNTA($C$8:$C$507),AY233))))</f>
        <v/>
      </c>
      <c r="BA233" s="5"/>
      <c r="BB233" s="106" t="n">
        <f aca="false">IF(OR(ISNUMBER(AY233),AY233=Constants!$B$4,AY233=Constants!$B$6,AY233=Constants!$B$5),1,0)</f>
        <v>0</v>
      </c>
      <c r="BC233" s="106" t="n">
        <v>226</v>
      </c>
      <c r="BD233" s="106" t="str">
        <f aca="false">IF(ISBLANK($C233),"",IF(ISNUMBER(AZ233),AZ233+ROW($B233)/1000,""))</f>
        <v/>
      </c>
      <c r="BE233" s="106" t="str">
        <f aca="false">IF(ISNUMBER(BD233),RANK(BD233,$BD$8:$BD$507,1),"")</f>
        <v/>
      </c>
      <c r="BF233" s="106" t="str">
        <f aca="false">IF(ISBLANK($C233),"",$B233)</f>
        <v/>
      </c>
      <c r="BG233" s="106" t="str">
        <f aca="false">IF(ISBLANK($C233),"",$C233)</f>
        <v/>
      </c>
      <c r="BH233" s="106" t="str">
        <f aca="false">IF(ISBLANK($C233),"",$D233)</f>
        <v/>
      </c>
      <c r="BI233" s="107" t="str">
        <f aca="false">AW233</f>
        <v/>
      </c>
      <c r="BJ233" s="108" t="str">
        <f aca="false">AV233</f>
        <v/>
      </c>
      <c r="BK233" s="106" t="str">
        <f aca="false">IF(ISBLANK($C233),"",AY233)</f>
        <v/>
      </c>
      <c r="BL233" s="109" t="str">
        <f aca="false">IF($BC233&gt;$BB$7,"",VLOOKUP($BC233,$BE$8:$BK$507,7,FALSE()))</f>
        <v/>
      </c>
      <c r="BM233" s="110" t="str">
        <f aca="false">IF($BC233&gt;$BB$7,"",VLOOKUP($BC233,$BE$8:$BK$507,2,FALSE()))</f>
        <v/>
      </c>
      <c r="BN233" s="110" t="str">
        <f aca="false">IF($BC233&gt;$BB$7,"",VLOOKUP($BC233,$BE$8:$BK$507,3,FALSE()))</f>
        <v/>
      </c>
      <c r="BO233" s="110" t="str">
        <f aca="false">IF($BC233&gt;$BB$7,"",VLOOKUP($BC233,$BE$8:$BK$507,4,FALSE()))</f>
        <v/>
      </c>
      <c r="BP233" s="110" t="str">
        <f aca="false">IF($BC233&gt;$BB$7,"",VLOOKUP($BC233,$BE$8:$BK$507,5,FALSE()))</f>
        <v/>
      </c>
      <c r="BQ233" s="111" t="str">
        <f aca="false">IF($BC233&gt;$BB$7,"",VLOOKUP($BC233,$BE$8:$BK$507,6,FALSE()))</f>
        <v/>
      </c>
      <c r="BR233" s="54"/>
    </row>
    <row r="234" customFormat="false" ht="15.75" hidden="false" customHeight="false" outlineLevel="0" collapsed="false">
      <c r="A234" s="5"/>
      <c r="B234" s="120"/>
      <c r="C234" s="121"/>
      <c r="D234" s="112"/>
      <c r="E234" s="123"/>
      <c r="F234" s="91"/>
      <c r="G234" s="92"/>
      <c r="H234" s="93"/>
      <c r="I234" s="94"/>
      <c r="J234" s="91"/>
      <c r="K234" s="92"/>
      <c r="L234" s="93"/>
      <c r="M234" s="94"/>
      <c r="N234" s="91"/>
      <c r="O234" s="123"/>
      <c r="P234" s="96"/>
      <c r="Q234" s="97" t="str">
        <f aca="false">IF(ISBLANK($C234),"",IF(E234=Constants!$B$2, TRUE(), IF(E234=Constants!$B$3, FALSE(), TRUE())))</f>
        <v/>
      </c>
      <c r="R234" s="97" t="str">
        <f aca="false">IF(ISBLANK($C234),"",IF(F234=Constants!$B$16,Constants!$B$9,IF(F234=Constants!$B$17,Constants!$B$10,Constants!$B$8)))</f>
        <v/>
      </c>
      <c r="S234" s="97" t="str">
        <f aca="false">IF(ISBLANK($C234),"",IF(COUNTA(G234:H234)=0,"",IF(AND(OR(ISBLANK(G234),AND(ISNUMBER(G234),G234&gt;=0)),OR(ISBLANK(H234),AND(ISNUMBER(H234),H234&gt;=0))),60*IF(ISBLANK(G234),0,G234)+IF(ISBLANK(H234),0,H234),"")))</f>
        <v/>
      </c>
      <c r="T234" s="97" t="str">
        <f aca="false">IF(ISBLANK($C234),"",IF(I234=Constants!$B$2, TRUE(), IF(I234=Constants!$B$3, FALSE(), TRUE())))</f>
        <v/>
      </c>
      <c r="U234" s="97" t="str">
        <f aca="false">IF(ISBLANK($C234),"",IF(J234=Constants!$B$2, TRUE(), IF(J234=Constants!$B$3, FALSE(), TRUE())))</f>
        <v/>
      </c>
      <c r="V234" s="97" t="str">
        <f aca="false">IF(ISBLANK($C234),"",IF(COUNTA(K234:L234)=0,"",IF(AND(OR(ISBLANK(K234),AND(ISNUMBER(K234),K234&gt;=0)),OR(ISBLANK(L234),AND(ISNUMBER(L234),L234&gt;=0))),60*IF(ISBLANK(K234),0,K234)+IF(ISBLANK(L234),0,L234),"")))</f>
        <v/>
      </c>
      <c r="W234" s="97" t="str">
        <f aca="false">IF(ISBLANK($C234),"",IF(M234=Constants!$B$2, TRUE(), IF(M234=Constants!$B$3, FALSE(), TRUE())))</f>
        <v/>
      </c>
      <c r="X234" s="97" t="str">
        <f aca="false">IF(ISBLANK($C234),"",IF(N234=Constants!$B$2, TRUE(), IF(N234=Constants!$B$3, FALSE(), TRUE())))</f>
        <v/>
      </c>
      <c r="Y234" s="97" t="str">
        <f aca="false">IF(ISBLANK($C234),"",IF(O234=Constants!$B$2, TRUE(), IF(O234=Constants!$B$3, FALSE(), FALSE())))</f>
        <v/>
      </c>
      <c r="Z234" s="97" t="str">
        <f aca="false">IF(ISBLANK($C234),"",AND(S234&lt;&gt;"",Q234))</f>
        <v/>
      </c>
      <c r="AA234" s="97" t="str">
        <f aca="false">IF(ISBLANK($C234),"",AND(V234&lt;&gt;"",Q234))</f>
        <v/>
      </c>
      <c r="AB234" s="97" t="str">
        <f aca="false">IF(ISBLANK($C234),"",IF(Y234,Constants!$B$4,IF(COUNTA(E234:N234)=0,Constants!$B$5,IF(NOT(Q234),Constants!$B$6,IF(AND(NOT(Z234),NOT(AA234)),Constants!$B$6,Constants!$B$7)))))</f>
        <v/>
      </c>
      <c r="AC234" s="97" t="str">
        <f aca="false">IF(ISBLANK($C234),"",IF($AB234&lt;&gt;Constants!$B$7,$AB234,Constants!$B$20))</f>
        <v/>
      </c>
      <c r="AD234" s="97" t="str">
        <f aca="false">IF($AB234=Constants!$B$7,IF(Z234,S234,Constants!$B$13),"")</f>
        <v/>
      </c>
      <c r="AE234" s="97" t="str">
        <f aca="false">IF($AB234=Constants!$B$7,IF(Z234,R234*IF(T234, 1, Constants!$B$11)*IF(U234, 1, Constants!$B$12),Constants!$B$13),"")</f>
        <v/>
      </c>
      <c r="AF234" s="97" t="str">
        <f aca="false">IF($AB234=Constants!$B$7,AD234*AE234,"")</f>
        <v/>
      </c>
      <c r="AG234" s="97" t="str">
        <f aca="false">IF($AB234=Constants!$B$7,IF(AA234,V234,Constants!$B$13),"")</f>
        <v/>
      </c>
      <c r="AH234" s="97" t="str">
        <f aca="false">IF($AB234=Constants!$B$7,IF(AA234,R234*IF(W234, 1, Constants!$B$11)*IF(X234, 1, Constants!$B$12),Constants!$B$13),"")</f>
        <v/>
      </c>
      <c r="AI234" s="97" t="str">
        <f aca="false">IF($AB234=Constants!$B$7,AG234*AH234,"")</f>
        <v/>
      </c>
      <c r="AJ234" s="97" t="str">
        <f aca="false">IF($AB234=Constants!$B$7,IF(AI234&gt;AF234,2,1),"")</f>
        <v/>
      </c>
      <c r="AK234" s="97" t="str">
        <f aca="false">IF($AB234=Constants!$B$7,IF(AJ234=1,2,1),"")</f>
        <v/>
      </c>
      <c r="AL234" s="97" t="str">
        <f aca="false">IF(ISBLANK($C234),"",IF($AB234&lt;&gt;Constants!$B$7,$AB234,IF(AJ234=1,AF234,AI234)))</f>
        <v/>
      </c>
      <c r="AM234" s="97" t="str">
        <f aca="false">IF(ISBLANK($C234),"",IF($AB234=Constants!$B$7,IF(ISNUMBER(AL234),RANK(AL234,$AL$8:$AL$507),Constants!$B$14),$AB234))</f>
        <v/>
      </c>
      <c r="AN234" s="97" t="str">
        <f aca="false">IF(ISBLANK($C234),"",IF($AB234=Constants!$B$7,IF(AK234=1,AF234,AI234),""))</f>
        <v/>
      </c>
      <c r="AO234" s="97" t="str">
        <f aca="false">IF(ISBLANK($C234),"",IF($AB234=Constants!$B$7,RANK(AN234,$AN$8:$AN$507),$AB234))</f>
        <v/>
      </c>
      <c r="AP234" s="97" t="str">
        <f aca="false">IF(ISBLANK($C234),"",IF($AB234=Constants!$B$7,IF(ISNUMBER(AM234),COUNTIFS($AM$8:$AM$507,"&lt;"&amp;$AM234)+COUNTIFS($AM$8:$AM$507,$AM234,$AO$8:$AO$507,"&lt;"&amp;$AO234)+1,Constants!$B$14),$AB234))</f>
        <v/>
      </c>
      <c r="AQ234" s="97" t="str">
        <f aca="false">IF(ISBLANK($C234),"",IF($AB234=Constants!$B$7,IF(ISNUMBER(AM234),AM234-AP234,Constants!$B$14),$AB234))</f>
        <v/>
      </c>
      <c r="AR234" s="98"/>
      <c r="AS234" s="99" t="str">
        <f aca="false">IF(ISBLANK($C234),"",IF($AB234&lt;&gt;Constants!$B$7,"",AJ234))</f>
        <v/>
      </c>
      <c r="AT234" s="100" t="str">
        <f aca="false">IF(ISBLANK($C234),"",IF($AB234&lt;&gt;Constants!$B$7,"",IF(AJ234=1,AD234,AG234)))</f>
        <v/>
      </c>
      <c r="AU234" s="101" t="str">
        <f aca="false">IF(ISBLANK($C234),"",IF($AB234&lt;&gt;Constants!$B$7,"",IF(AJ234=1,AE234,AH234)))</f>
        <v/>
      </c>
      <c r="AV234" s="102" t="str">
        <f aca="false">IF(ISBLANK($C234),"",IF($AB234&lt;&gt;Constants!$B$7,$AB234,AL234))</f>
        <v/>
      </c>
      <c r="AW234" s="103" t="str">
        <f aca="false">IF(ISBLANK($C234),"",IF($AB234&lt;&gt;Constants!$B$7,$AB234,AC234))</f>
        <v/>
      </c>
      <c r="AX234" s="104" t="str">
        <f aca="false">IF(ISBLANK($C234),"",AQ234)</f>
        <v/>
      </c>
      <c r="AY234" s="104" t="str">
        <f aca="false">IF(ISBLANK($C234),"",AP234)</f>
        <v/>
      </c>
      <c r="AZ234" s="105" t="str">
        <f aca="false">IF(ISBLANK($C234),"",IF(AY234=Constants!$B$4,COUNTA($C$8:$C$507)+2,IF(AY234=Constants!$B$5,COUNTA($C$8:$C$507)+1,IF(AY234=Constants!$B$6,COUNTA($C$8:$C$507),AY234))))</f>
        <v/>
      </c>
      <c r="BA234" s="5"/>
      <c r="BB234" s="106" t="n">
        <f aca="false">IF(OR(ISNUMBER(AY234),AY234=Constants!$B$4,AY234=Constants!$B$6,AY234=Constants!$B$5),1,0)</f>
        <v>0</v>
      </c>
      <c r="BC234" s="106" t="n">
        <v>227</v>
      </c>
      <c r="BD234" s="106" t="str">
        <f aca="false">IF(ISBLANK($C234),"",IF(ISNUMBER(AZ234),AZ234+ROW($B234)/1000,""))</f>
        <v/>
      </c>
      <c r="BE234" s="106" t="str">
        <f aca="false">IF(ISNUMBER(BD234),RANK(BD234,$BD$8:$BD$507,1),"")</f>
        <v/>
      </c>
      <c r="BF234" s="106" t="str">
        <f aca="false">IF(ISBLANK($C234),"",$B234)</f>
        <v/>
      </c>
      <c r="BG234" s="106" t="str">
        <f aca="false">IF(ISBLANK($C234),"",$C234)</f>
        <v/>
      </c>
      <c r="BH234" s="106" t="str">
        <f aca="false">IF(ISBLANK($C234),"",$D234)</f>
        <v/>
      </c>
      <c r="BI234" s="107" t="str">
        <f aca="false">AW234</f>
        <v/>
      </c>
      <c r="BJ234" s="108" t="str">
        <f aca="false">AV234</f>
        <v/>
      </c>
      <c r="BK234" s="106" t="str">
        <f aca="false">IF(ISBLANK($C234),"",AY234)</f>
        <v/>
      </c>
      <c r="BL234" s="109" t="str">
        <f aca="false">IF($BC234&gt;$BB$7,"",VLOOKUP($BC234,$BE$8:$BK$507,7,FALSE()))</f>
        <v/>
      </c>
      <c r="BM234" s="110" t="str">
        <f aca="false">IF($BC234&gt;$BB$7,"",VLOOKUP($BC234,$BE$8:$BK$507,2,FALSE()))</f>
        <v/>
      </c>
      <c r="BN234" s="110" t="str">
        <f aca="false">IF($BC234&gt;$BB$7,"",VLOOKUP($BC234,$BE$8:$BK$507,3,FALSE()))</f>
        <v/>
      </c>
      <c r="BO234" s="110" t="str">
        <f aca="false">IF($BC234&gt;$BB$7,"",VLOOKUP($BC234,$BE$8:$BK$507,4,FALSE()))</f>
        <v/>
      </c>
      <c r="BP234" s="110" t="str">
        <f aca="false">IF($BC234&gt;$BB$7,"",VLOOKUP($BC234,$BE$8:$BK$507,5,FALSE()))</f>
        <v/>
      </c>
      <c r="BQ234" s="111" t="str">
        <f aca="false">IF($BC234&gt;$BB$7,"",VLOOKUP($BC234,$BE$8:$BK$507,6,FALSE()))</f>
        <v/>
      </c>
      <c r="BR234" s="54"/>
    </row>
    <row r="235" customFormat="false" ht="15.75" hidden="false" customHeight="false" outlineLevel="0" collapsed="false">
      <c r="A235" s="5"/>
      <c r="B235" s="120"/>
      <c r="C235" s="121"/>
      <c r="D235" s="112"/>
      <c r="E235" s="123"/>
      <c r="F235" s="91"/>
      <c r="G235" s="92"/>
      <c r="H235" s="93"/>
      <c r="I235" s="94"/>
      <c r="J235" s="91"/>
      <c r="K235" s="92"/>
      <c r="L235" s="93"/>
      <c r="M235" s="94"/>
      <c r="N235" s="91"/>
      <c r="O235" s="123"/>
      <c r="P235" s="96"/>
      <c r="Q235" s="97" t="str">
        <f aca="false">IF(ISBLANK($C235),"",IF(E235=Constants!$B$2, TRUE(), IF(E235=Constants!$B$3, FALSE(), TRUE())))</f>
        <v/>
      </c>
      <c r="R235" s="97" t="str">
        <f aca="false">IF(ISBLANK($C235),"",IF(F235=Constants!$B$16,Constants!$B$9,IF(F235=Constants!$B$17,Constants!$B$10,Constants!$B$8)))</f>
        <v/>
      </c>
      <c r="S235" s="97" t="str">
        <f aca="false">IF(ISBLANK($C235),"",IF(COUNTA(G235:H235)=0,"",IF(AND(OR(ISBLANK(G235),AND(ISNUMBER(G235),G235&gt;=0)),OR(ISBLANK(H235),AND(ISNUMBER(H235),H235&gt;=0))),60*IF(ISBLANK(G235),0,G235)+IF(ISBLANK(H235),0,H235),"")))</f>
        <v/>
      </c>
      <c r="T235" s="97" t="str">
        <f aca="false">IF(ISBLANK($C235),"",IF(I235=Constants!$B$2, TRUE(), IF(I235=Constants!$B$3, FALSE(), TRUE())))</f>
        <v/>
      </c>
      <c r="U235" s="97" t="str">
        <f aca="false">IF(ISBLANK($C235),"",IF(J235=Constants!$B$2, TRUE(), IF(J235=Constants!$B$3, FALSE(), TRUE())))</f>
        <v/>
      </c>
      <c r="V235" s="97" t="str">
        <f aca="false">IF(ISBLANK($C235),"",IF(COUNTA(K235:L235)=0,"",IF(AND(OR(ISBLANK(K235),AND(ISNUMBER(K235),K235&gt;=0)),OR(ISBLANK(L235),AND(ISNUMBER(L235),L235&gt;=0))),60*IF(ISBLANK(K235),0,K235)+IF(ISBLANK(L235),0,L235),"")))</f>
        <v/>
      </c>
      <c r="W235" s="97" t="str">
        <f aca="false">IF(ISBLANK($C235),"",IF(M235=Constants!$B$2, TRUE(), IF(M235=Constants!$B$3, FALSE(), TRUE())))</f>
        <v/>
      </c>
      <c r="X235" s="97" t="str">
        <f aca="false">IF(ISBLANK($C235),"",IF(N235=Constants!$B$2, TRUE(), IF(N235=Constants!$B$3, FALSE(), TRUE())))</f>
        <v/>
      </c>
      <c r="Y235" s="97" t="str">
        <f aca="false">IF(ISBLANK($C235),"",IF(O235=Constants!$B$2, TRUE(), IF(O235=Constants!$B$3, FALSE(), FALSE())))</f>
        <v/>
      </c>
      <c r="Z235" s="97" t="str">
        <f aca="false">IF(ISBLANK($C235),"",AND(S235&lt;&gt;"",Q235))</f>
        <v/>
      </c>
      <c r="AA235" s="97" t="str">
        <f aca="false">IF(ISBLANK($C235),"",AND(V235&lt;&gt;"",Q235))</f>
        <v/>
      </c>
      <c r="AB235" s="97" t="str">
        <f aca="false">IF(ISBLANK($C235),"",IF(Y235,Constants!$B$4,IF(COUNTA(E235:N235)=0,Constants!$B$5,IF(NOT(Q235),Constants!$B$6,IF(AND(NOT(Z235),NOT(AA235)),Constants!$B$6,Constants!$B$7)))))</f>
        <v/>
      </c>
      <c r="AC235" s="97" t="str">
        <f aca="false">IF(ISBLANK($C235),"",IF($AB235&lt;&gt;Constants!$B$7,$AB235,Constants!$B$20))</f>
        <v/>
      </c>
      <c r="AD235" s="97" t="str">
        <f aca="false">IF($AB235=Constants!$B$7,IF(Z235,S235,Constants!$B$13),"")</f>
        <v/>
      </c>
      <c r="AE235" s="97" t="str">
        <f aca="false">IF($AB235=Constants!$B$7,IF(Z235,R235*IF(T235, 1, Constants!$B$11)*IF(U235, 1, Constants!$B$12),Constants!$B$13),"")</f>
        <v/>
      </c>
      <c r="AF235" s="97" t="str">
        <f aca="false">IF($AB235=Constants!$B$7,AD235*AE235,"")</f>
        <v/>
      </c>
      <c r="AG235" s="97" t="str">
        <f aca="false">IF($AB235=Constants!$B$7,IF(AA235,V235,Constants!$B$13),"")</f>
        <v/>
      </c>
      <c r="AH235" s="97" t="str">
        <f aca="false">IF($AB235=Constants!$B$7,IF(AA235,R235*IF(W235, 1, Constants!$B$11)*IF(X235, 1, Constants!$B$12),Constants!$B$13),"")</f>
        <v/>
      </c>
      <c r="AI235" s="97" t="str">
        <f aca="false">IF($AB235=Constants!$B$7,AG235*AH235,"")</f>
        <v/>
      </c>
      <c r="AJ235" s="97" t="str">
        <f aca="false">IF($AB235=Constants!$B$7,IF(AI235&gt;AF235,2,1),"")</f>
        <v/>
      </c>
      <c r="AK235" s="97" t="str">
        <f aca="false">IF($AB235=Constants!$B$7,IF(AJ235=1,2,1),"")</f>
        <v/>
      </c>
      <c r="AL235" s="97" t="str">
        <f aca="false">IF(ISBLANK($C235),"",IF($AB235&lt;&gt;Constants!$B$7,$AB235,IF(AJ235=1,AF235,AI235)))</f>
        <v/>
      </c>
      <c r="AM235" s="97" t="str">
        <f aca="false">IF(ISBLANK($C235),"",IF($AB235=Constants!$B$7,IF(ISNUMBER(AL235),RANK(AL235,$AL$8:$AL$507),Constants!$B$14),$AB235))</f>
        <v/>
      </c>
      <c r="AN235" s="97" t="str">
        <f aca="false">IF(ISBLANK($C235),"",IF($AB235=Constants!$B$7,IF(AK235=1,AF235,AI235),""))</f>
        <v/>
      </c>
      <c r="AO235" s="97" t="str">
        <f aca="false">IF(ISBLANK($C235),"",IF($AB235=Constants!$B$7,RANK(AN235,$AN$8:$AN$507),$AB235))</f>
        <v/>
      </c>
      <c r="AP235" s="97" t="str">
        <f aca="false">IF(ISBLANK($C235),"",IF($AB235=Constants!$B$7,IF(ISNUMBER(AM235),COUNTIFS($AM$8:$AM$507,"&lt;"&amp;$AM235)+COUNTIFS($AM$8:$AM$507,$AM235,$AO$8:$AO$507,"&lt;"&amp;$AO235)+1,Constants!$B$14),$AB235))</f>
        <v/>
      </c>
      <c r="AQ235" s="97" t="str">
        <f aca="false">IF(ISBLANK($C235),"",IF($AB235=Constants!$B$7,IF(ISNUMBER(AM235),AM235-AP235,Constants!$B$14),$AB235))</f>
        <v/>
      </c>
      <c r="AR235" s="98"/>
      <c r="AS235" s="99" t="str">
        <f aca="false">IF(ISBLANK($C235),"",IF($AB235&lt;&gt;Constants!$B$7,"",AJ235))</f>
        <v/>
      </c>
      <c r="AT235" s="100" t="str">
        <f aca="false">IF(ISBLANK($C235),"",IF($AB235&lt;&gt;Constants!$B$7,"",IF(AJ235=1,AD235,AG235)))</f>
        <v/>
      </c>
      <c r="AU235" s="101" t="str">
        <f aca="false">IF(ISBLANK($C235),"",IF($AB235&lt;&gt;Constants!$B$7,"",IF(AJ235=1,AE235,AH235)))</f>
        <v/>
      </c>
      <c r="AV235" s="102" t="str">
        <f aca="false">IF(ISBLANK($C235),"",IF($AB235&lt;&gt;Constants!$B$7,$AB235,AL235))</f>
        <v/>
      </c>
      <c r="AW235" s="103" t="str">
        <f aca="false">IF(ISBLANK($C235),"",IF($AB235&lt;&gt;Constants!$B$7,$AB235,AC235))</f>
        <v/>
      </c>
      <c r="AX235" s="104" t="str">
        <f aca="false">IF(ISBLANK($C235),"",AQ235)</f>
        <v/>
      </c>
      <c r="AY235" s="104" t="str">
        <f aca="false">IF(ISBLANK($C235),"",AP235)</f>
        <v/>
      </c>
      <c r="AZ235" s="105" t="str">
        <f aca="false">IF(ISBLANK($C235),"",IF(AY235=Constants!$B$4,COUNTA($C$8:$C$507)+2,IF(AY235=Constants!$B$5,COUNTA($C$8:$C$507)+1,IF(AY235=Constants!$B$6,COUNTA($C$8:$C$507),AY235))))</f>
        <v/>
      </c>
      <c r="BA235" s="5"/>
      <c r="BB235" s="106" t="n">
        <f aca="false">IF(OR(ISNUMBER(AY235),AY235=Constants!$B$4,AY235=Constants!$B$6,AY235=Constants!$B$5),1,0)</f>
        <v>0</v>
      </c>
      <c r="BC235" s="106" t="n">
        <v>228</v>
      </c>
      <c r="BD235" s="106" t="str">
        <f aca="false">IF(ISBLANK($C235),"",IF(ISNUMBER(AZ235),AZ235+ROW($B235)/1000,""))</f>
        <v/>
      </c>
      <c r="BE235" s="106" t="str">
        <f aca="false">IF(ISNUMBER(BD235),RANK(BD235,$BD$8:$BD$507,1),"")</f>
        <v/>
      </c>
      <c r="BF235" s="106" t="str">
        <f aca="false">IF(ISBLANK($C235),"",$B235)</f>
        <v/>
      </c>
      <c r="BG235" s="106" t="str">
        <f aca="false">IF(ISBLANK($C235),"",$C235)</f>
        <v/>
      </c>
      <c r="BH235" s="106" t="str">
        <f aca="false">IF(ISBLANK($C235),"",$D235)</f>
        <v/>
      </c>
      <c r="BI235" s="107" t="str">
        <f aca="false">AW235</f>
        <v/>
      </c>
      <c r="BJ235" s="108" t="str">
        <f aca="false">AV235</f>
        <v/>
      </c>
      <c r="BK235" s="106" t="str">
        <f aca="false">IF(ISBLANK($C235),"",AY235)</f>
        <v/>
      </c>
      <c r="BL235" s="109" t="str">
        <f aca="false">IF($BC235&gt;$BB$7,"",VLOOKUP($BC235,$BE$8:$BK$507,7,FALSE()))</f>
        <v/>
      </c>
      <c r="BM235" s="110" t="str">
        <f aca="false">IF($BC235&gt;$BB$7,"",VLOOKUP($BC235,$BE$8:$BK$507,2,FALSE()))</f>
        <v/>
      </c>
      <c r="BN235" s="110" t="str">
        <f aca="false">IF($BC235&gt;$BB$7,"",VLOOKUP($BC235,$BE$8:$BK$507,3,FALSE()))</f>
        <v/>
      </c>
      <c r="BO235" s="110" t="str">
        <f aca="false">IF($BC235&gt;$BB$7,"",VLOOKUP($BC235,$BE$8:$BK$507,4,FALSE()))</f>
        <v/>
      </c>
      <c r="BP235" s="110" t="str">
        <f aca="false">IF($BC235&gt;$BB$7,"",VLOOKUP($BC235,$BE$8:$BK$507,5,FALSE()))</f>
        <v/>
      </c>
      <c r="BQ235" s="111" t="str">
        <f aca="false">IF($BC235&gt;$BB$7,"",VLOOKUP($BC235,$BE$8:$BK$507,6,FALSE()))</f>
        <v/>
      </c>
      <c r="BR235" s="54"/>
    </row>
    <row r="236" customFormat="false" ht="15.75" hidden="false" customHeight="false" outlineLevel="0" collapsed="false">
      <c r="A236" s="5"/>
      <c r="B236" s="124"/>
      <c r="C236" s="56"/>
      <c r="D236" s="57"/>
      <c r="E236" s="83"/>
      <c r="F236" s="59"/>
      <c r="G236" s="60"/>
      <c r="H236" s="61"/>
      <c r="I236" s="62"/>
      <c r="J236" s="59"/>
      <c r="K236" s="60"/>
      <c r="L236" s="61"/>
      <c r="M236" s="62"/>
      <c r="N236" s="59"/>
      <c r="O236" s="83"/>
      <c r="P236" s="64"/>
      <c r="Q236" s="66" t="str">
        <f aca="false">IF(ISBLANK($C236),"",IF(E236=Constants!$B$2, TRUE(), IF(E236=Constants!$B$3, FALSE(), TRUE())))</f>
        <v/>
      </c>
      <c r="R236" s="66" t="str">
        <f aca="false">IF(ISBLANK($C236),"",IF(F236=Constants!$B$16,Constants!$B$9,IF(F236=Constants!$B$17,Constants!$B$10,Constants!$B$8)))</f>
        <v/>
      </c>
      <c r="S236" s="66" t="str">
        <f aca="false">IF(ISBLANK($C236),"",IF(COUNTA(G236:H236)=0,"",IF(AND(OR(ISBLANK(G236),AND(ISNUMBER(G236),G236&gt;=0)),OR(ISBLANK(H236),AND(ISNUMBER(H236),H236&gt;=0))),60*IF(ISBLANK(G236),0,G236)+IF(ISBLANK(H236),0,H236),"")))</f>
        <v/>
      </c>
      <c r="T236" s="66" t="str">
        <f aca="false">IF(ISBLANK($C236),"",IF(I236=Constants!$B$2, TRUE(), IF(I236=Constants!$B$3, FALSE(), TRUE())))</f>
        <v/>
      </c>
      <c r="U236" s="66" t="str">
        <f aca="false">IF(ISBLANK($C236),"",IF(J236=Constants!$B$2, TRUE(), IF(J236=Constants!$B$3, FALSE(), TRUE())))</f>
        <v/>
      </c>
      <c r="V236" s="66" t="str">
        <f aca="false">IF(ISBLANK($C236),"",IF(COUNTA(K236:L236)=0,"",IF(AND(OR(ISBLANK(K236),AND(ISNUMBER(K236),K236&gt;=0)),OR(ISBLANK(L236),AND(ISNUMBER(L236),L236&gt;=0))),60*IF(ISBLANK(K236),0,K236)+IF(ISBLANK(L236),0,L236),"")))</f>
        <v/>
      </c>
      <c r="W236" s="66" t="str">
        <f aca="false">IF(ISBLANK($C236),"",IF(M236=Constants!$B$2, TRUE(), IF(M236=Constants!$B$3, FALSE(), TRUE())))</f>
        <v/>
      </c>
      <c r="X236" s="66" t="str">
        <f aca="false">IF(ISBLANK($C236),"",IF(N236=Constants!$B$2, TRUE(), IF(N236=Constants!$B$3, FALSE(), TRUE())))</f>
        <v/>
      </c>
      <c r="Y236" s="66" t="str">
        <f aca="false">IF(ISBLANK($C236),"",IF(O236=Constants!$B$2, TRUE(), IF(O236=Constants!$B$3, FALSE(), FALSE())))</f>
        <v/>
      </c>
      <c r="Z236" s="66" t="str">
        <f aca="false">IF(ISBLANK($C236),"",AND(S236&lt;&gt;"",Q236))</f>
        <v/>
      </c>
      <c r="AA236" s="66" t="str">
        <f aca="false">IF(ISBLANK($C236),"",AND(V236&lt;&gt;"",Q236))</f>
        <v/>
      </c>
      <c r="AB236" s="66" t="str">
        <f aca="false">IF(ISBLANK($C236),"",IF(Y236,Constants!$B$4,IF(COUNTA(E236:N236)=0,Constants!$B$5,IF(NOT(Q236),Constants!$B$6,IF(AND(NOT(Z236),NOT(AA236)),Constants!$B$6,Constants!$B$7)))))</f>
        <v/>
      </c>
      <c r="AC236" s="66" t="str">
        <f aca="false">IF(ISBLANK($C236),"",IF($AB236&lt;&gt;Constants!$B$7,$AB236,Constants!$B$20))</f>
        <v/>
      </c>
      <c r="AD236" s="66" t="str">
        <f aca="false">IF($AB236=Constants!$B$7,IF(Z236,S236,Constants!$B$13),"")</f>
        <v/>
      </c>
      <c r="AE236" s="66" t="str">
        <f aca="false">IF($AB236=Constants!$B$7,IF(Z236,R236*IF(T236, 1, Constants!$B$11)*IF(U236, 1, Constants!$B$12),Constants!$B$13),"")</f>
        <v/>
      </c>
      <c r="AF236" s="66" t="str">
        <f aca="false">IF($AB236=Constants!$B$7,AD236*AE236,"")</f>
        <v/>
      </c>
      <c r="AG236" s="66" t="str">
        <f aca="false">IF($AB236=Constants!$B$7,IF(AA236,V236,Constants!$B$13),"")</f>
        <v/>
      </c>
      <c r="AH236" s="66" t="str">
        <f aca="false">IF($AB236=Constants!$B$7,IF(AA236,R236*IF(W236, 1, Constants!$B$11)*IF(X236, 1, Constants!$B$12),Constants!$B$13),"")</f>
        <v/>
      </c>
      <c r="AI236" s="66" t="str">
        <f aca="false">IF($AB236=Constants!$B$7,AG236*AH236,"")</f>
        <v/>
      </c>
      <c r="AJ236" s="66" t="str">
        <f aca="false">IF($AB236=Constants!$B$7,IF(AI236&gt;AF236,2,1),"")</f>
        <v/>
      </c>
      <c r="AK236" s="66" t="str">
        <f aca="false">IF($AB236=Constants!$B$7,IF(AJ236=1,2,1),"")</f>
        <v/>
      </c>
      <c r="AL236" s="66" t="str">
        <f aca="false">IF(ISBLANK($C236),"",IF($AB236&lt;&gt;Constants!$B$7,$AB236,IF(AJ236=1,AF236,AI236)))</f>
        <v/>
      </c>
      <c r="AM236" s="66" t="str">
        <f aca="false">IF(ISBLANK($C236),"",IF($AB236=Constants!$B$7,IF(ISNUMBER(AL236),RANK(AL236,$AL$8:$AL$507),Constants!$B$14),$AB236))</f>
        <v/>
      </c>
      <c r="AN236" s="66" t="str">
        <f aca="false">IF(ISBLANK($C236),"",IF($AB236=Constants!$B$7,IF(AK236=1,AF236,AI236),""))</f>
        <v/>
      </c>
      <c r="AO236" s="66" t="str">
        <f aca="false">IF(ISBLANK($C236),"",IF($AB236=Constants!$B$7,RANK(AN236,$AN$8:$AN$507),$AB236))</f>
        <v/>
      </c>
      <c r="AP236" s="66" t="str">
        <f aca="false">IF(ISBLANK($C236),"",IF($AB236=Constants!$B$7,IF(ISNUMBER(AM236),COUNTIFS($AM$8:$AM$507,"&lt;"&amp;$AM236)+COUNTIFS($AM$8:$AM$507,$AM236,$AO$8:$AO$507,"&lt;"&amp;$AO236)+1,Constants!$B$14),$AB236))</f>
        <v/>
      </c>
      <c r="AQ236" s="66" t="str">
        <f aca="false">IF(ISBLANK($C236),"",IF($AB236=Constants!$B$7,IF(ISNUMBER(AM236),AM236-AP236,Constants!$B$14),$AB236))</f>
        <v/>
      </c>
      <c r="AR236" s="68"/>
      <c r="AS236" s="69" t="str">
        <f aca="false">IF(ISBLANK($C236),"",IF($AB236&lt;&gt;Constants!$B$7,"",AJ236))</f>
        <v/>
      </c>
      <c r="AT236" s="84" t="str">
        <f aca="false">IF(ISBLANK($C236),"",IF($AB236&lt;&gt;Constants!$B$7,"",IF(AJ236=1,AD236,AG236)))</f>
        <v/>
      </c>
      <c r="AU236" s="71" t="str">
        <f aca="false">IF(ISBLANK($C236),"",IF($AB236&lt;&gt;Constants!$B$7,"",IF(AJ236=1,AE236,AH236)))</f>
        <v/>
      </c>
      <c r="AV236" s="72" t="str">
        <f aca="false">IF(ISBLANK($C236),"",IF($AB236&lt;&gt;Constants!$B$7,$AB236,AL236))</f>
        <v/>
      </c>
      <c r="AW236" s="73" t="str">
        <f aca="false">IF(ISBLANK($C236),"",IF($AB236&lt;&gt;Constants!$B$7,$AB236,AC236))</f>
        <v/>
      </c>
      <c r="AX236" s="74" t="str">
        <f aca="false">IF(ISBLANK($C236),"",AQ236)</f>
        <v/>
      </c>
      <c r="AY236" s="74" t="str">
        <f aca="false">IF(ISBLANK($C236),"",AP236)</f>
        <v/>
      </c>
      <c r="AZ236" s="75" t="str">
        <f aca="false">IF(ISBLANK($C236),"",IF(AY236=Constants!$B$4,COUNTA($C$8:$C$507)+2,IF(AY236=Constants!$B$5,COUNTA($C$8:$C$507)+1,IF(AY236=Constants!$B$6,COUNTA($C$8:$C$507),AY236))))</f>
        <v/>
      </c>
      <c r="BA236" s="5"/>
      <c r="BB236" s="76" t="n">
        <f aca="false">IF(OR(ISNUMBER(AY236),AY236=Constants!$B$4,AY236=Constants!$B$6,AY236=Constants!$B$5),1,0)</f>
        <v>0</v>
      </c>
      <c r="BC236" s="76" t="n">
        <v>229</v>
      </c>
      <c r="BD236" s="76" t="str">
        <f aca="false">IF(ISBLANK($C236),"",IF(ISNUMBER(AZ236),AZ236+ROW($B236)/1000,""))</f>
        <v/>
      </c>
      <c r="BE236" s="76" t="str">
        <f aca="false">IF(ISNUMBER(BD236),RANK(BD236,$BD$8:$BD$507,1),"")</f>
        <v/>
      </c>
      <c r="BF236" s="76" t="str">
        <f aca="false">IF(ISBLANK($C236),"",$B236)</f>
        <v/>
      </c>
      <c r="BG236" s="76" t="str">
        <f aca="false">IF(ISBLANK($C236),"",$C236)</f>
        <v/>
      </c>
      <c r="BH236" s="76" t="str">
        <f aca="false">IF(ISBLANK($C236),"",$D236)</f>
        <v/>
      </c>
      <c r="BI236" s="77" t="str">
        <f aca="false">AW236</f>
        <v/>
      </c>
      <c r="BJ236" s="78" t="str">
        <f aca="false">AV236</f>
        <v/>
      </c>
      <c r="BK236" s="76" t="str">
        <f aca="false">IF(ISBLANK($C236),"",AY236)</f>
        <v/>
      </c>
      <c r="BL236" s="79" t="str">
        <f aca="false">IF($BC236&gt;$BB$7,"",VLOOKUP($BC236,$BE$8:$BK$507,7,FALSE()))</f>
        <v/>
      </c>
      <c r="BM236" s="80" t="str">
        <f aca="false">IF($BC236&gt;$BB$7,"",VLOOKUP($BC236,$BE$8:$BK$507,2,FALSE()))</f>
        <v/>
      </c>
      <c r="BN236" s="80" t="str">
        <f aca="false">IF($BC236&gt;$BB$7,"",VLOOKUP($BC236,$BE$8:$BK$507,3,FALSE()))</f>
        <v/>
      </c>
      <c r="BO236" s="80" t="str">
        <f aca="false">IF($BC236&gt;$BB$7,"",VLOOKUP($BC236,$BE$8:$BK$507,4,FALSE()))</f>
        <v/>
      </c>
      <c r="BP236" s="80" t="str">
        <f aca="false">IF($BC236&gt;$BB$7,"",VLOOKUP($BC236,$BE$8:$BK$507,5,FALSE()))</f>
        <v/>
      </c>
      <c r="BQ236" s="81" t="str">
        <f aca="false">IF($BC236&gt;$BB$7,"",VLOOKUP($BC236,$BE$8:$BK$507,6,FALSE()))</f>
        <v/>
      </c>
      <c r="BR236" s="54"/>
    </row>
    <row r="237" customFormat="false" ht="15.75" hidden="false" customHeight="false" outlineLevel="0" collapsed="false">
      <c r="A237" s="5"/>
      <c r="B237" s="124"/>
      <c r="C237" s="56"/>
      <c r="D237" s="57"/>
      <c r="E237" s="83"/>
      <c r="F237" s="59"/>
      <c r="G237" s="60"/>
      <c r="H237" s="61"/>
      <c r="I237" s="62"/>
      <c r="J237" s="59"/>
      <c r="K237" s="60"/>
      <c r="L237" s="61"/>
      <c r="M237" s="62"/>
      <c r="N237" s="59"/>
      <c r="O237" s="83"/>
      <c r="P237" s="64"/>
      <c r="Q237" s="66" t="str">
        <f aca="false">IF(ISBLANK($C237),"",IF(E237=Constants!$B$2, TRUE(), IF(E237=Constants!$B$3, FALSE(), TRUE())))</f>
        <v/>
      </c>
      <c r="R237" s="66" t="str">
        <f aca="false">IF(ISBLANK($C237),"",IF(F237=Constants!$B$16,Constants!$B$9,IF(F237=Constants!$B$17,Constants!$B$10,Constants!$B$8)))</f>
        <v/>
      </c>
      <c r="S237" s="66" t="str">
        <f aca="false">IF(ISBLANK($C237),"",IF(COUNTA(G237:H237)=0,"",IF(AND(OR(ISBLANK(G237),AND(ISNUMBER(G237),G237&gt;=0)),OR(ISBLANK(H237),AND(ISNUMBER(H237),H237&gt;=0))),60*IF(ISBLANK(G237),0,G237)+IF(ISBLANK(H237),0,H237),"")))</f>
        <v/>
      </c>
      <c r="T237" s="66" t="str">
        <f aca="false">IF(ISBLANK($C237),"",IF(I237=Constants!$B$2, TRUE(), IF(I237=Constants!$B$3, FALSE(), TRUE())))</f>
        <v/>
      </c>
      <c r="U237" s="66" t="str">
        <f aca="false">IF(ISBLANK($C237),"",IF(J237=Constants!$B$2, TRUE(), IF(J237=Constants!$B$3, FALSE(), TRUE())))</f>
        <v/>
      </c>
      <c r="V237" s="66" t="str">
        <f aca="false">IF(ISBLANK($C237),"",IF(COUNTA(K237:L237)=0,"",IF(AND(OR(ISBLANK(K237),AND(ISNUMBER(K237),K237&gt;=0)),OR(ISBLANK(L237),AND(ISNUMBER(L237),L237&gt;=0))),60*IF(ISBLANK(K237),0,K237)+IF(ISBLANK(L237),0,L237),"")))</f>
        <v/>
      </c>
      <c r="W237" s="66" t="str">
        <f aca="false">IF(ISBLANK($C237),"",IF(M237=Constants!$B$2, TRUE(), IF(M237=Constants!$B$3, FALSE(), TRUE())))</f>
        <v/>
      </c>
      <c r="X237" s="66" t="str">
        <f aca="false">IF(ISBLANK($C237),"",IF(N237=Constants!$B$2, TRUE(), IF(N237=Constants!$B$3, FALSE(), TRUE())))</f>
        <v/>
      </c>
      <c r="Y237" s="66" t="str">
        <f aca="false">IF(ISBLANK($C237),"",IF(O237=Constants!$B$2, TRUE(), IF(O237=Constants!$B$3, FALSE(), FALSE())))</f>
        <v/>
      </c>
      <c r="Z237" s="66" t="str">
        <f aca="false">IF(ISBLANK($C237),"",AND(S237&lt;&gt;"",Q237))</f>
        <v/>
      </c>
      <c r="AA237" s="66" t="str">
        <f aca="false">IF(ISBLANK($C237),"",AND(V237&lt;&gt;"",Q237))</f>
        <v/>
      </c>
      <c r="AB237" s="66" t="str">
        <f aca="false">IF(ISBLANK($C237),"",IF(Y237,Constants!$B$4,IF(COUNTA(E237:N237)=0,Constants!$B$5,IF(NOT(Q237),Constants!$B$6,IF(AND(NOT(Z237),NOT(AA237)),Constants!$B$6,Constants!$B$7)))))</f>
        <v/>
      </c>
      <c r="AC237" s="66" t="str">
        <f aca="false">IF(ISBLANK($C237),"",IF($AB237&lt;&gt;Constants!$B$7,$AB237,Constants!$B$20))</f>
        <v/>
      </c>
      <c r="AD237" s="66" t="str">
        <f aca="false">IF($AB237=Constants!$B$7,IF(Z237,S237,Constants!$B$13),"")</f>
        <v/>
      </c>
      <c r="AE237" s="66" t="str">
        <f aca="false">IF($AB237=Constants!$B$7,IF(Z237,R237*IF(T237, 1, Constants!$B$11)*IF(U237, 1, Constants!$B$12),Constants!$B$13),"")</f>
        <v/>
      </c>
      <c r="AF237" s="66" t="str">
        <f aca="false">IF($AB237=Constants!$B$7,AD237*AE237,"")</f>
        <v/>
      </c>
      <c r="AG237" s="66" t="str">
        <f aca="false">IF($AB237=Constants!$B$7,IF(AA237,V237,Constants!$B$13),"")</f>
        <v/>
      </c>
      <c r="AH237" s="66" t="str">
        <f aca="false">IF($AB237=Constants!$B$7,IF(AA237,R237*IF(W237, 1, Constants!$B$11)*IF(X237, 1, Constants!$B$12),Constants!$B$13),"")</f>
        <v/>
      </c>
      <c r="AI237" s="66" t="str">
        <f aca="false">IF($AB237=Constants!$B$7,AG237*AH237,"")</f>
        <v/>
      </c>
      <c r="AJ237" s="66" t="str">
        <f aca="false">IF($AB237=Constants!$B$7,IF(AI237&gt;AF237,2,1),"")</f>
        <v/>
      </c>
      <c r="AK237" s="66" t="str">
        <f aca="false">IF($AB237=Constants!$B$7,IF(AJ237=1,2,1),"")</f>
        <v/>
      </c>
      <c r="AL237" s="66" t="str">
        <f aca="false">IF(ISBLANK($C237),"",IF($AB237&lt;&gt;Constants!$B$7,$AB237,IF(AJ237=1,AF237,AI237)))</f>
        <v/>
      </c>
      <c r="AM237" s="66" t="str">
        <f aca="false">IF(ISBLANK($C237),"",IF($AB237=Constants!$B$7,IF(ISNUMBER(AL237),RANK(AL237,$AL$8:$AL$507),Constants!$B$14),$AB237))</f>
        <v/>
      </c>
      <c r="AN237" s="66" t="str">
        <f aca="false">IF(ISBLANK($C237),"",IF($AB237=Constants!$B$7,IF(AK237=1,AF237,AI237),""))</f>
        <v/>
      </c>
      <c r="AO237" s="66" t="str">
        <f aca="false">IF(ISBLANK($C237),"",IF($AB237=Constants!$B$7,RANK(AN237,$AN$8:$AN$507),$AB237))</f>
        <v/>
      </c>
      <c r="AP237" s="66" t="str">
        <f aca="false">IF(ISBLANK($C237),"",IF($AB237=Constants!$B$7,IF(ISNUMBER(AM237),COUNTIFS($AM$8:$AM$507,"&lt;"&amp;$AM237)+COUNTIFS($AM$8:$AM$507,$AM237,$AO$8:$AO$507,"&lt;"&amp;$AO237)+1,Constants!$B$14),$AB237))</f>
        <v/>
      </c>
      <c r="AQ237" s="66" t="str">
        <f aca="false">IF(ISBLANK($C237),"",IF($AB237=Constants!$B$7,IF(ISNUMBER(AM237),AM237-AP237,Constants!$B$14),$AB237))</f>
        <v/>
      </c>
      <c r="AR237" s="68"/>
      <c r="AS237" s="69" t="str">
        <f aca="false">IF(ISBLANK($C237),"",IF($AB237&lt;&gt;Constants!$B$7,"",AJ237))</f>
        <v/>
      </c>
      <c r="AT237" s="84" t="str">
        <f aca="false">IF(ISBLANK($C237),"",IF($AB237&lt;&gt;Constants!$B$7,"",IF(AJ237=1,AD237,AG237)))</f>
        <v/>
      </c>
      <c r="AU237" s="71" t="str">
        <f aca="false">IF(ISBLANK($C237),"",IF($AB237&lt;&gt;Constants!$B$7,"",IF(AJ237=1,AE237,AH237)))</f>
        <v/>
      </c>
      <c r="AV237" s="72" t="str">
        <f aca="false">IF(ISBLANK($C237),"",IF($AB237&lt;&gt;Constants!$B$7,$AB237,AL237))</f>
        <v/>
      </c>
      <c r="AW237" s="73" t="str">
        <f aca="false">IF(ISBLANK($C237),"",IF($AB237&lt;&gt;Constants!$B$7,$AB237,AC237))</f>
        <v/>
      </c>
      <c r="AX237" s="74" t="str">
        <f aca="false">IF(ISBLANK($C237),"",AQ237)</f>
        <v/>
      </c>
      <c r="AY237" s="74" t="str">
        <f aca="false">IF(ISBLANK($C237),"",AP237)</f>
        <v/>
      </c>
      <c r="AZ237" s="75" t="str">
        <f aca="false">IF(ISBLANK($C237),"",IF(AY237=Constants!$B$4,COUNTA($C$8:$C$507)+2,IF(AY237=Constants!$B$5,COUNTA($C$8:$C$507)+1,IF(AY237=Constants!$B$6,COUNTA($C$8:$C$507),AY237))))</f>
        <v/>
      </c>
      <c r="BA237" s="5"/>
      <c r="BB237" s="76" t="n">
        <f aca="false">IF(OR(ISNUMBER(AY237),AY237=Constants!$B$4,AY237=Constants!$B$6,AY237=Constants!$B$5),1,0)</f>
        <v>0</v>
      </c>
      <c r="BC237" s="76" t="n">
        <v>230</v>
      </c>
      <c r="BD237" s="76" t="str">
        <f aca="false">IF(ISBLANK($C237),"",IF(ISNUMBER(AZ237),AZ237+ROW($B237)/1000,""))</f>
        <v/>
      </c>
      <c r="BE237" s="76" t="str">
        <f aca="false">IF(ISNUMBER(BD237),RANK(BD237,$BD$8:$BD$507,1),"")</f>
        <v/>
      </c>
      <c r="BF237" s="76" t="str">
        <f aca="false">IF(ISBLANK($C237),"",$B237)</f>
        <v/>
      </c>
      <c r="BG237" s="76" t="str">
        <f aca="false">IF(ISBLANK($C237),"",$C237)</f>
        <v/>
      </c>
      <c r="BH237" s="76" t="str">
        <f aca="false">IF(ISBLANK($C237),"",$D237)</f>
        <v/>
      </c>
      <c r="BI237" s="77" t="str">
        <f aca="false">AW237</f>
        <v/>
      </c>
      <c r="BJ237" s="78" t="str">
        <f aca="false">AV237</f>
        <v/>
      </c>
      <c r="BK237" s="76" t="str">
        <f aca="false">IF(ISBLANK($C237),"",AY237)</f>
        <v/>
      </c>
      <c r="BL237" s="79" t="str">
        <f aca="false">IF($BC237&gt;$BB$7,"",VLOOKUP($BC237,$BE$8:$BK$507,7,FALSE()))</f>
        <v/>
      </c>
      <c r="BM237" s="80" t="str">
        <f aca="false">IF($BC237&gt;$BB$7,"",VLOOKUP($BC237,$BE$8:$BK$507,2,FALSE()))</f>
        <v/>
      </c>
      <c r="BN237" s="80" t="str">
        <f aca="false">IF($BC237&gt;$BB$7,"",VLOOKUP($BC237,$BE$8:$BK$507,3,FALSE()))</f>
        <v/>
      </c>
      <c r="BO237" s="80" t="str">
        <f aca="false">IF($BC237&gt;$BB$7,"",VLOOKUP($BC237,$BE$8:$BK$507,4,FALSE()))</f>
        <v/>
      </c>
      <c r="BP237" s="80" t="str">
        <f aca="false">IF($BC237&gt;$BB$7,"",VLOOKUP($BC237,$BE$8:$BK$507,5,FALSE()))</f>
        <v/>
      </c>
      <c r="BQ237" s="81" t="str">
        <f aca="false">IF($BC237&gt;$BB$7,"",VLOOKUP($BC237,$BE$8:$BK$507,6,FALSE()))</f>
        <v/>
      </c>
      <c r="BR237" s="54"/>
    </row>
    <row r="238" customFormat="false" ht="15.75" hidden="false" customHeight="false" outlineLevel="0" collapsed="false">
      <c r="A238" s="5"/>
      <c r="B238" s="124"/>
      <c r="C238" s="56"/>
      <c r="D238" s="57"/>
      <c r="E238" s="83"/>
      <c r="F238" s="59"/>
      <c r="G238" s="60"/>
      <c r="H238" s="61"/>
      <c r="I238" s="62"/>
      <c r="J238" s="59"/>
      <c r="K238" s="60"/>
      <c r="L238" s="61"/>
      <c r="M238" s="62"/>
      <c r="N238" s="59"/>
      <c r="O238" s="83"/>
      <c r="P238" s="64"/>
      <c r="Q238" s="66" t="str">
        <f aca="false">IF(ISBLANK($C238),"",IF(E238=Constants!$B$2, TRUE(), IF(E238=Constants!$B$3, FALSE(), TRUE())))</f>
        <v/>
      </c>
      <c r="R238" s="66" t="str">
        <f aca="false">IF(ISBLANK($C238),"",IF(F238=Constants!$B$16,Constants!$B$9,IF(F238=Constants!$B$17,Constants!$B$10,Constants!$B$8)))</f>
        <v/>
      </c>
      <c r="S238" s="66" t="str">
        <f aca="false">IF(ISBLANK($C238),"",IF(COUNTA(G238:H238)=0,"",IF(AND(OR(ISBLANK(G238),AND(ISNUMBER(G238),G238&gt;=0)),OR(ISBLANK(H238),AND(ISNUMBER(H238),H238&gt;=0))),60*IF(ISBLANK(G238),0,G238)+IF(ISBLANK(H238),0,H238),"")))</f>
        <v/>
      </c>
      <c r="T238" s="66" t="str">
        <f aca="false">IF(ISBLANK($C238),"",IF(I238=Constants!$B$2, TRUE(), IF(I238=Constants!$B$3, FALSE(), TRUE())))</f>
        <v/>
      </c>
      <c r="U238" s="66" t="str">
        <f aca="false">IF(ISBLANK($C238),"",IF(J238=Constants!$B$2, TRUE(), IF(J238=Constants!$B$3, FALSE(), TRUE())))</f>
        <v/>
      </c>
      <c r="V238" s="66" t="str">
        <f aca="false">IF(ISBLANK($C238),"",IF(COUNTA(K238:L238)=0,"",IF(AND(OR(ISBLANK(K238),AND(ISNUMBER(K238),K238&gt;=0)),OR(ISBLANK(L238),AND(ISNUMBER(L238),L238&gt;=0))),60*IF(ISBLANK(K238),0,K238)+IF(ISBLANK(L238),0,L238),"")))</f>
        <v/>
      </c>
      <c r="W238" s="66" t="str">
        <f aca="false">IF(ISBLANK($C238),"",IF(M238=Constants!$B$2, TRUE(), IF(M238=Constants!$B$3, FALSE(), TRUE())))</f>
        <v/>
      </c>
      <c r="X238" s="66" t="str">
        <f aca="false">IF(ISBLANK($C238),"",IF(N238=Constants!$B$2, TRUE(), IF(N238=Constants!$B$3, FALSE(), TRUE())))</f>
        <v/>
      </c>
      <c r="Y238" s="66" t="str">
        <f aca="false">IF(ISBLANK($C238),"",IF(O238=Constants!$B$2, TRUE(), IF(O238=Constants!$B$3, FALSE(), FALSE())))</f>
        <v/>
      </c>
      <c r="Z238" s="66" t="str">
        <f aca="false">IF(ISBLANK($C238),"",AND(S238&lt;&gt;"",Q238))</f>
        <v/>
      </c>
      <c r="AA238" s="66" t="str">
        <f aca="false">IF(ISBLANK($C238),"",AND(V238&lt;&gt;"",Q238))</f>
        <v/>
      </c>
      <c r="AB238" s="66" t="str">
        <f aca="false">IF(ISBLANK($C238),"",IF(Y238,Constants!$B$4,IF(COUNTA(E238:N238)=0,Constants!$B$5,IF(NOT(Q238),Constants!$B$6,IF(AND(NOT(Z238),NOT(AA238)),Constants!$B$6,Constants!$B$7)))))</f>
        <v/>
      </c>
      <c r="AC238" s="66" t="str">
        <f aca="false">IF(ISBLANK($C238),"",IF($AB238&lt;&gt;Constants!$B$7,$AB238,Constants!$B$20))</f>
        <v/>
      </c>
      <c r="AD238" s="66" t="str">
        <f aca="false">IF($AB238=Constants!$B$7,IF(Z238,S238,Constants!$B$13),"")</f>
        <v/>
      </c>
      <c r="AE238" s="66" t="str">
        <f aca="false">IF($AB238=Constants!$B$7,IF(Z238,R238*IF(T238, 1, Constants!$B$11)*IF(U238, 1, Constants!$B$12),Constants!$B$13),"")</f>
        <v/>
      </c>
      <c r="AF238" s="66" t="str">
        <f aca="false">IF($AB238=Constants!$B$7,AD238*AE238,"")</f>
        <v/>
      </c>
      <c r="AG238" s="66" t="str">
        <f aca="false">IF($AB238=Constants!$B$7,IF(AA238,V238,Constants!$B$13),"")</f>
        <v/>
      </c>
      <c r="AH238" s="66" t="str">
        <f aca="false">IF($AB238=Constants!$B$7,IF(AA238,R238*IF(W238, 1, Constants!$B$11)*IF(X238, 1, Constants!$B$12),Constants!$B$13),"")</f>
        <v/>
      </c>
      <c r="AI238" s="66" t="str">
        <f aca="false">IF($AB238=Constants!$B$7,AG238*AH238,"")</f>
        <v/>
      </c>
      <c r="AJ238" s="66" t="str">
        <f aca="false">IF($AB238=Constants!$B$7,IF(AI238&gt;AF238,2,1),"")</f>
        <v/>
      </c>
      <c r="AK238" s="66" t="str">
        <f aca="false">IF($AB238=Constants!$B$7,IF(AJ238=1,2,1),"")</f>
        <v/>
      </c>
      <c r="AL238" s="66" t="str">
        <f aca="false">IF(ISBLANK($C238),"",IF($AB238&lt;&gt;Constants!$B$7,$AB238,IF(AJ238=1,AF238,AI238)))</f>
        <v/>
      </c>
      <c r="AM238" s="66" t="str">
        <f aca="false">IF(ISBLANK($C238),"",IF($AB238=Constants!$B$7,IF(ISNUMBER(AL238),RANK(AL238,$AL$8:$AL$507),Constants!$B$14),$AB238))</f>
        <v/>
      </c>
      <c r="AN238" s="66" t="str">
        <f aca="false">IF(ISBLANK($C238),"",IF($AB238=Constants!$B$7,IF(AK238=1,AF238,AI238),""))</f>
        <v/>
      </c>
      <c r="AO238" s="66" t="str">
        <f aca="false">IF(ISBLANK($C238),"",IF($AB238=Constants!$B$7,RANK(AN238,$AN$8:$AN$507),$AB238))</f>
        <v/>
      </c>
      <c r="AP238" s="66" t="str">
        <f aca="false">IF(ISBLANK($C238),"",IF($AB238=Constants!$B$7,IF(ISNUMBER(AM238),COUNTIFS($AM$8:$AM$507,"&lt;"&amp;$AM238)+COUNTIFS($AM$8:$AM$507,$AM238,$AO$8:$AO$507,"&lt;"&amp;$AO238)+1,Constants!$B$14),$AB238))</f>
        <v/>
      </c>
      <c r="AQ238" s="66" t="str">
        <f aca="false">IF(ISBLANK($C238),"",IF($AB238=Constants!$B$7,IF(ISNUMBER(AM238),AM238-AP238,Constants!$B$14),$AB238))</f>
        <v/>
      </c>
      <c r="AR238" s="68"/>
      <c r="AS238" s="69" t="str">
        <f aca="false">IF(ISBLANK($C238),"",IF($AB238&lt;&gt;Constants!$B$7,"",AJ238))</f>
        <v/>
      </c>
      <c r="AT238" s="84" t="str">
        <f aca="false">IF(ISBLANK($C238),"",IF($AB238&lt;&gt;Constants!$B$7,"",IF(AJ238=1,AD238,AG238)))</f>
        <v/>
      </c>
      <c r="AU238" s="71" t="str">
        <f aca="false">IF(ISBLANK($C238),"",IF($AB238&lt;&gt;Constants!$B$7,"",IF(AJ238=1,AE238,AH238)))</f>
        <v/>
      </c>
      <c r="AV238" s="72" t="str">
        <f aca="false">IF(ISBLANK($C238),"",IF($AB238&lt;&gt;Constants!$B$7,$AB238,AL238))</f>
        <v/>
      </c>
      <c r="AW238" s="73" t="str">
        <f aca="false">IF(ISBLANK($C238),"",IF($AB238&lt;&gt;Constants!$B$7,$AB238,AC238))</f>
        <v/>
      </c>
      <c r="AX238" s="74" t="str">
        <f aca="false">IF(ISBLANK($C238),"",AQ238)</f>
        <v/>
      </c>
      <c r="AY238" s="74" t="str">
        <f aca="false">IF(ISBLANK($C238),"",AP238)</f>
        <v/>
      </c>
      <c r="AZ238" s="75" t="str">
        <f aca="false">IF(ISBLANK($C238),"",IF(AY238=Constants!$B$4,COUNTA($C$8:$C$507)+2,IF(AY238=Constants!$B$5,COUNTA($C$8:$C$507)+1,IF(AY238=Constants!$B$6,COUNTA($C$8:$C$507),AY238))))</f>
        <v/>
      </c>
      <c r="BA238" s="5"/>
      <c r="BB238" s="76" t="n">
        <f aca="false">IF(OR(ISNUMBER(AY238),AY238=Constants!$B$4,AY238=Constants!$B$6,AY238=Constants!$B$5),1,0)</f>
        <v>0</v>
      </c>
      <c r="BC238" s="76" t="n">
        <v>231</v>
      </c>
      <c r="BD238" s="76" t="str">
        <f aca="false">IF(ISBLANK($C238),"",IF(ISNUMBER(AZ238),AZ238+ROW($B238)/1000,""))</f>
        <v/>
      </c>
      <c r="BE238" s="76" t="str">
        <f aca="false">IF(ISNUMBER(BD238),RANK(BD238,$BD$8:$BD$507,1),"")</f>
        <v/>
      </c>
      <c r="BF238" s="76" t="str">
        <f aca="false">IF(ISBLANK($C238),"",$B238)</f>
        <v/>
      </c>
      <c r="BG238" s="76" t="str">
        <f aca="false">IF(ISBLANK($C238),"",$C238)</f>
        <v/>
      </c>
      <c r="BH238" s="76" t="str">
        <f aca="false">IF(ISBLANK($C238),"",$D238)</f>
        <v/>
      </c>
      <c r="BI238" s="77" t="str">
        <f aca="false">AW238</f>
        <v/>
      </c>
      <c r="BJ238" s="78" t="str">
        <f aca="false">AV238</f>
        <v/>
      </c>
      <c r="BK238" s="76" t="str">
        <f aca="false">IF(ISBLANK($C238),"",AY238)</f>
        <v/>
      </c>
      <c r="BL238" s="79" t="str">
        <f aca="false">IF($BC238&gt;$BB$7,"",VLOOKUP($BC238,$BE$8:$BK$507,7,FALSE()))</f>
        <v/>
      </c>
      <c r="BM238" s="80" t="str">
        <f aca="false">IF($BC238&gt;$BB$7,"",VLOOKUP($BC238,$BE$8:$BK$507,2,FALSE()))</f>
        <v/>
      </c>
      <c r="BN238" s="80" t="str">
        <f aca="false">IF($BC238&gt;$BB$7,"",VLOOKUP($BC238,$BE$8:$BK$507,3,FALSE()))</f>
        <v/>
      </c>
      <c r="BO238" s="80" t="str">
        <f aca="false">IF($BC238&gt;$BB$7,"",VLOOKUP($BC238,$BE$8:$BK$507,4,FALSE()))</f>
        <v/>
      </c>
      <c r="BP238" s="80" t="str">
        <f aca="false">IF($BC238&gt;$BB$7,"",VLOOKUP($BC238,$BE$8:$BK$507,5,FALSE()))</f>
        <v/>
      </c>
      <c r="BQ238" s="81" t="str">
        <f aca="false">IF($BC238&gt;$BB$7,"",VLOOKUP($BC238,$BE$8:$BK$507,6,FALSE()))</f>
        <v/>
      </c>
      <c r="BR238" s="54"/>
    </row>
    <row r="239" customFormat="false" ht="15.75" hidden="false" customHeight="false" outlineLevel="0" collapsed="false">
      <c r="A239" s="5"/>
      <c r="B239" s="120"/>
      <c r="C239" s="121"/>
      <c r="D239" s="112"/>
      <c r="E239" s="123"/>
      <c r="F239" s="91"/>
      <c r="G239" s="92"/>
      <c r="H239" s="93"/>
      <c r="I239" s="94"/>
      <c r="J239" s="91"/>
      <c r="K239" s="92"/>
      <c r="L239" s="93"/>
      <c r="M239" s="94"/>
      <c r="N239" s="91"/>
      <c r="O239" s="123"/>
      <c r="P239" s="96"/>
      <c r="Q239" s="97" t="str">
        <f aca="false">IF(ISBLANK($C239),"",IF(E239=Constants!$B$2, TRUE(), IF(E239=Constants!$B$3, FALSE(), TRUE())))</f>
        <v/>
      </c>
      <c r="R239" s="97" t="str">
        <f aca="false">IF(ISBLANK($C239),"",IF(F239=Constants!$B$16,Constants!$B$9,IF(F239=Constants!$B$17,Constants!$B$10,Constants!$B$8)))</f>
        <v/>
      </c>
      <c r="S239" s="97" t="str">
        <f aca="false">IF(ISBLANK($C239),"",IF(COUNTA(G239:H239)=0,"",IF(AND(OR(ISBLANK(G239),AND(ISNUMBER(G239),G239&gt;=0)),OR(ISBLANK(H239),AND(ISNUMBER(H239),H239&gt;=0))),60*IF(ISBLANK(G239),0,G239)+IF(ISBLANK(H239),0,H239),"")))</f>
        <v/>
      </c>
      <c r="T239" s="97" t="str">
        <f aca="false">IF(ISBLANK($C239),"",IF(I239=Constants!$B$2, TRUE(), IF(I239=Constants!$B$3, FALSE(), TRUE())))</f>
        <v/>
      </c>
      <c r="U239" s="97" t="str">
        <f aca="false">IF(ISBLANK($C239),"",IF(J239=Constants!$B$2, TRUE(), IF(J239=Constants!$B$3, FALSE(), TRUE())))</f>
        <v/>
      </c>
      <c r="V239" s="97" t="str">
        <f aca="false">IF(ISBLANK($C239),"",IF(COUNTA(K239:L239)=0,"",IF(AND(OR(ISBLANK(K239),AND(ISNUMBER(K239),K239&gt;=0)),OR(ISBLANK(L239),AND(ISNUMBER(L239),L239&gt;=0))),60*IF(ISBLANK(K239),0,K239)+IF(ISBLANK(L239),0,L239),"")))</f>
        <v/>
      </c>
      <c r="W239" s="97" t="str">
        <f aca="false">IF(ISBLANK($C239),"",IF(M239=Constants!$B$2, TRUE(), IF(M239=Constants!$B$3, FALSE(), TRUE())))</f>
        <v/>
      </c>
      <c r="X239" s="97" t="str">
        <f aca="false">IF(ISBLANK($C239),"",IF(N239=Constants!$B$2, TRUE(), IF(N239=Constants!$B$3, FALSE(), TRUE())))</f>
        <v/>
      </c>
      <c r="Y239" s="97" t="str">
        <f aca="false">IF(ISBLANK($C239),"",IF(O239=Constants!$B$2, TRUE(), IF(O239=Constants!$B$3, FALSE(), FALSE())))</f>
        <v/>
      </c>
      <c r="Z239" s="97" t="str">
        <f aca="false">IF(ISBLANK($C239),"",AND(S239&lt;&gt;"",Q239))</f>
        <v/>
      </c>
      <c r="AA239" s="97" t="str">
        <f aca="false">IF(ISBLANK($C239),"",AND(V239&lt;&gt;"",Q239))</f>
        <v/>
      </c>
      <c r="AB239" s="97" t="str">
        <f aca="false">IF(ISBLANK($C239),"",IF(Y239,Constants!$B$4,IF(COUNTA(E239:N239)=0,Constants!$B$5,IF(NOT(Q239),Constants!$B$6,IF(AND(NOT(Z239),NOT(AA239)),Constants!$B$6,Constants!$B$7)))))</f>
        <v/>
      </c>
      <c r="AC239" s="97" t="str">
        <f aca="false">IF(ISBLANK($C239),"",IF($AB239&lt;&gt;Constants!$B$7,$AB239,Constants!$B$20))</f>
        <v/>
      </c>
      <c r="AD239" s="97" t="str">
        <f aca="false">IF($AB239=Constants!$B$7,IF(Z239,S239,Constants!$B$13),"")</f>
        <v/>
      </c>
      <c r="AE239" s="97" t="str">
        <f aca="false">IF($AB239=Constants!$B$7,IF(Z239,R239*IF(T239, 1, Constants!$B$11)*IF(U239, 1, Constants!$B$12),Constants!$B$13),"")</f>
        <v/>
      </c>
      <c r="AF239" s="97" t="str">
        <f aca="false">IF($AB239=Constants!$B$7,AD239*AE239,"")</f>
        <v/>
      </c>
      <c r="AG239" s="97" t="str">
        <f aca="false">IF($AB239=Constants!$B$7,IF(AA239,V239,Constants!$B$13),"")</f>
        <v/>
      </c>
      <c r="AH239" s="97" t="str">
        <f aca="false">IF($AB239=Constants!$B$7,IF(AA239,R239*IF(W239, 1, Constants!$B$11)*IF(X239, 1, Constants!$B$12),Constants!$B$13),"")</f>
        <v/>
      </c>
      <c r="AI239" s="97" t="str">
        <f aca="false">IF($AB239=Constants!$B$7,AG239*AH239,"")</f>
        <v/>
      </c>
      <c r="AJ239" s="97" t="str">
        <f aca="false">IF($AB239=Constants!$B$7,IF(AI239&gt;AF239,2,1),"")</f>
        <v/>
      </c>
      <c r="AK239" s="97" t="str">
        <f aca="false">IF($AB239=Constants!$B$7,IF(AJ239=1,2,1),"")</f>
        <v/>
      </c>
      <c r="AL239" s="97" t="str">
        <f aca="false">IF(ISBLANK($C239),"",IF($AB239&lt;&gt;Constants!$B$7,$AB239,IF(AJ239=1,AF239,AI239)))</f>
        <v/>
      </c>
      <c r="AM239" s="97" t="str">
        <f aca="false">IF(ISBLANK($C239),"",IF($AB239=Constants!$B$7,IF(ISNUMBER(AL239),RANK(AL239,$AL$8:$AL$507),Constants!$B$14),$AB239))</f>
        <v/>
      </c>
      <c r="AN239" s="97" t="str">
        <f aca="false">IF(ISBLANK($C239),"",IF($AB239=Constants!$B$7,IF(AK239=1,AF239,AI239),""))</f>
        <v/>
      </c>
      <c r="AO239" s="97" t="str">
        <f aca="false">IF(ISBLANK($C239),"",IF($AB239=Constants!$B$7,RANK(AN239,$AN$8:$AN$507),$AB239))</f>
        <v/>
      </c>
      <c r="AP239" s="97" t="str">
        <f aca="false">IF(ISBLANK($C239),"",IF($AB239=Constants!$B$7,IF(ISNUMBER(AM239),COUNTIFS($AM$8:$AM$507,"&lt;"&amp;$AM239)+COUNTIFS($AM$8:$AM$507,$AM239,$AO$8:$AO$507,"&lt;"&amp;$AO239)+1,Constants!$B$14),$AB239))</f>
        <v/>
      </c>
      <c r="AQ239" s="97" t="str">
        <f aca="false">IF(ISBLANK($C239),"",IF($AB239=Constants!$B$7,IF(ISNUMBER(AM239),AM239-AP239,Constants!$B$14),$AB239))</f>
        <v/>
      </c>
      <c r="AR239" s="98"/>
      <c r="AS239" s="99" t="str">
        <f aca="false">IF(ISBLANK($C239),"",IF($AB239&lt;&gt;Constants!$B$7,"",AJ239))</f>
        <v/>
      </c>
      <c r="AT239" s="100" t="str">
        <f aca="false">IF(ISBLANK($C239),"",IF($AB239&lt;&gt;Constants!$B$7,"",IF(AJ239=1,AD239,AG239)))</f>
        <v/>
      </c>
      <c r="AU239" s="101" t="str">
        <f aca="false">IF(ISBLANK($C239),"",IF($AB239&lt;&gt;Constants!$B$7,"",IF(AJ239=1,AE239,AH239)))</f>
        <v/>
      </c>
      <c r="AV239" s="102" t="str">
        <f aca="false">IF(ISBLANK($C239),"",IF($AB239&lt;&gt;Constants!$B$7,$AB239,AL239))</f>
        <v/>
      </c>
      <c r="AW239" s="103" t="str">
        <f aca="false">IF(ISBLANK($C239),"",IF($AB239&lt;&gt;Constants!$B$7,$AB239,AC239))</f>
        <v/>
      </c>
      <c r="AX239" s="104" t="str">
        <f aca="false">IF(ISBLANK($C239),"",AQ239)</f>
        <v/>
      </c>
      <c r="AY239" s="104" t="str">
        <f aca="false">IF(ISBLANK($C239),"",AP239)</f>
        <v/>
      </c>
      <c r="AZ239" s="105" t="str">
        <f aca="false">IF(ISBLANK($C239),"",IF(AY239=Constants!$B$4,COUNTA($C$8:$C$507)+2,IF(AY239=Constants!$B$5,COUNTA($C$8:$C$507)+1,IF(AY239=Constants!$B$6,COUNTA($C$8:$C$507),AY239))))</f>
        <v/>
      </c>
      <c r="BA239" s="5"/>
      <c r="BB239" s="106" t="n">
        <f aca="false">IF(OR(ISNUMBER(AY239),AY239=Constants!$B$4,AY239=Constants!$B$6,AY239=Constants!$B$5),1,0)</f>
        <v>0</v>
      </c>
      <c r="BC239" s="106" t="n">
        <v>232</v>
      </c>
      <c r="BD239" s="106" t="str">
        <f aca="false">IF(ISBLANK($C239),"",IF(ISNUMBER(AZ239),AZ239+ROW($B239)/1000,""))</f>
        <v/>
      </c>
      <c r="BE239" s="106" t="str">
        <f aca="false">IF(ISNUMBER(BD239),RANK(BD239,$BD$8:$BD$507,1),"")</f>
        <v/>
      </c>
      <c r="BF239" s="106" t="str">
        <f aca="false">IF(ISBLANK($C239),"",$B239)</f>
        <v/>
      </c>
      <c r="BG239" s="106" t="str">
        <f aca="false">IF(ISBLANK($C239),"",$C239)</f>
        <v/>
      </c>
      <c r="BH239" s="106" t="str">
        <f aca="false">IF(ISBLANK($C239),"",$D239)</f>
        <v/>
      </c>
      <c r="BI239" s="107" t="str">
        <f aca="false">AW239</f>
        <v/>
      </c>
      <c r="BJ239" s="108" t="str">
        <f aca="false">AV239</f>
        <v/>
      </c>
      <c r="BK239" s="106" t="str">
        <f aca="false">IF(ISBLANK($C239),"",AY239)</f>
        <v/>
      </c>
      <c r="BL239" s="109" t="str">
        <f aca="false">IF($BC239&gt;$BB$7,"",VLOOKUP($BC239,$BE$8:$BK$507,7,FALSE()))</f>
        <v/>
      </c>
      <c r="BM239" s="110" t="str">
        <f aca="false">IF($BC239&gt;$BB$7,"",VLOOKUP($BC239,$BE$8:$BK$507,2,FALSE()))</f>
        <v/>
      </c>
      <c r="BN239" s="110" t="str">
        <f aca="false">IF($BC239&gt;$BB$7,"",VLOOKUP($BC239,$BE$8:$BK$507,3,FALSE()))</f>
        <v/>
      </c>
      <c r="BO239" s="110" t="str">
        <f aca="false">IF($BC239&gt;$BB$7,"",VLOOKUP($BC239,$BE$8:$BK$507,4,FALSE()))</f>
        <v/>
      </c>
      <c r="BP239" s="110" t="str">
        <f aca="false">IF($BC239&gt;$BB$7,"",VLOOKUP($BC239,$BE$8:$BK$507,5,FALSE()))</f>
        <v/>
      </c>
      <c r="BQ239" s="111" t="str">
        <f aca="false">IF($BC239&gt;$BB$7,"",VLOOKUP($BC239,$BE$8:$BK$507,6,FALSE()))</f>
        <v/>
      </c>
      <c r="BR239" s="54"/>
    </row>
    <row r="240" customFormat="false" ht="15.75" hidden="false" customHeight="false" outlineLevel="0" collapsed="false">
      <c r="A240" s="5"/>
      <c r="B240" s="120"/>
      <c r="C240" s="121"/>
      <c r="D240" s="112"/>
      <c r="E240" s="123"/>
      <c r="F240" s="91"/>
      <c r="G240" s="92"/>
      <c r="H240" s="93"/>
      <c r="I240" s="94"/>
      <c r="J240" s="91"/>
      <c r="K240" s="92"/>
      <c r="L240" s="93"/>
      <c r="M240" s="94"/>
      <c r="N240" s="91"/>
      <c r="O240" s="123"/>
      <c r="P240" s="96"/>
      <c r="Q240" s="97" t="str">
        <f aca="false">IF(ISBLANK($C240),"",IF(E240=Constants!$B$2, TRUE(), IF(E240=Constants!$B$3, FALSE(), TRUE())))</f>
        <v/>
      </c>
      <c r="R240" s="97" t="str">
        <f aca="false">IF(ISBLANK($C240),"",IF(F240=Constants!$B$16,Constants!$B$9,IF(F240=Constants!$B$17,Constants!$B$10,Constants!$B$8)))</f>
        <v/>
      </c>
      <c r="S240" s="97" t="str">
        <f aca="false">IF(ISBLANK($C240),"",IF(COUNTA(G240:H240)=0,"",IF(AND(OR(ISBLANK(G240),AND(ISNUMBER(G240),G240&gt;=0)),OR(ISBLANK(H240),AND(ISNUMBER(H240),H240&gt;=0))),60*IF(ISBLANK(G240),0,G240)+IF(ISBLANK(H240),0,H240),"")))</f>
        <v/>
      </c>
      <c r="T240" s="97" t="str">
        <f aca="false">IF(ISBLANK($C240),"",IF(I240=Constants!$B$2, TRUE(), IF(I240=Constants!$B$3, FALSE(), TRUE())))</f>
        <v/>
      </c>
      <c r="U240" s="97" t="str">
        <f aca="false">IF(ISBLANK($C240),"",IF(J240=Constants!$B$2, TRUE(), IF(J240=Constants!$B$3, FALSE(), TRUE())))</f>
        <v/>
      </c>
      <c r="V240" s="97" t="str">
        <f aca="false">IF(ISBLANK($C240),"",IF(COUNTA(K240:L240)=0,"",IF(AND(OR(ISBLANK(K240),AND(ISNUMBER(K240),K240&gt;=0)),OR(ISBLANK(L240),AND(ISNUMBER(L240),L240&gt;=0))),60*IF(ISBLANK(K240),0,K240)+IF(ISBLANK(L240),0,L240),"")))</f>
        <v/>
      </c>
      <c r="W240" s="97" t="str">
        <f aca="false">IF(ISBLANK($C240),"",IF(M240=Constants!$B$2, TRUE(), IF(M240=Constants!$B$3, FALSE(), TRUE())))</f>
        <v/>
      </c>
      <c r="X240" s="97" t="str">
        <f aca="false">IF(ISBLANK($C240),"",IF(N240=Constants!$B$2, TRUE(), IF(N240=Constants!$B$3, FALSE(), TRUE())))</f>
        <v/>
      </c>
      <c r="Y240" s="97" t="str">
        <f aca="false">IF(ISBLANK($C240),"",IF(O240=Constants!$B$2, TRUE(), IF(O240=Constants!$B$3, FALSE(), FALSE())))</f>
        <v/>
      </c>
      <c r="Z240" s="97" t="str">
        <f aca="false">IF(ISBLANK($C240),"",AND(S240&lt;&gt;"",Q240))</f>
        <v/>
      </c>
      <c r="AA240" s="97" t="str">
        <f aca="false">IF(ISBLANK($C240),"",AND(V240&lt;&gt;"",Q240))</f>
        <v/>
      </c>
      <c r="AB240" s="97" t="str">
        <f aca="false">IF(ISBLANK($C240),"",IF(Y240,Constants!$B$4,IF(COUNTA(E240:N240)=0,Constants!$B$5,IF(NOT(Q240),Constants!$B$6,IF(AND(NOT(Z240),NOT(AA240)),Constants!$B$6,Constants!$B$7)))))</f>
        <v/>
      </c>
      <c r="AC240" s="97" t="str">
        <f aca="false">IF(ISBLANK($C240),"",IF($AB240&lt;&gt;Constants!$B$7,$AB240,Constants!$B$20))</f>
        <v/>
      </c>
      <c r="AD240" s="97" t="str">
        <f aca="false">IF($AB240=Constants!$B$7,IF(Z240,S240,Constants!$B$13),"")</f>
        <v/>
      </c>
      <c r="AE240" s="97" t="str">
        <f aca="false">IF($AB240=Constants!$B$7,IF(Z240,R240*IF(T240, 1, Constants!$B$11)*IF(U240, 1, Constants!$B$12),Constants!$B$13),"")</f>
        <v/>
      </c>
      <c r="AF240" s="97" t="str">
        <f aca="false">IF($AB240=Constants!$B$7,AD240*AE240,"")</f>
        <v/>
      </c>
      <c r="AG240" s="97" t="str">
        <f aca="false">IF($AB240=Constants!$B$7,IF(AA240,V240,Constants!$B$13),"")</f>
        <v/>
      </c>
      <c r="AH240" s="97" t="str">
        <f aca="false">IF($AB240=Constants!$B$7,IF(AA240,R240*IF(W240, 1, Constants!$B$11)*IF(X240, 1, Constants!$B$12),Constants!$B$13),"")</f>
        <v/>
      </c>
      <c r="AI240" s="97" t="str">
        <f aca="false">IF($AB240=Constants!$B$7,AG240*AH240,"")</f>
        <v/>
      </c>
      <c r="AJ240" s="97" t="str">
        <f aca="false">IF($AB240=Constants!$B$7,IF(AI240&gt;AF240,2,1),"")</f>
        <v/>
      </c>
      <c r="AK240" s="97" t="str">
        <f aca="false">IF($AB240=Constants!$B$7,IF(AJ240=1,2,1),"")</f>
        <v/>
      </c>
      <c r="AL240" s="97" t="str">
        <f aca="false">IF(ISBLANK($C240),"",IF($AB240&lt;&gt;Constants!$B$7,$AB240,IF(AJ240=1,AF240,AI240)))</f>
        <v/>
      </c>
      <c r="AM240" s="97" t="str">
        <f aca="false">IF(ISBLANK($C240),"",IF($AB240=Constants!$B$7,IF(ISNUMBER(AL240),RANK(AL240,$AL$8:$AL$507),Constants!$B$14),$AB240))</f>
        <v/>
      </c>
      <c r="AN240" s="97" t="str">
        <f aca="false">IF(ISBLANK($C240),"",IF($AB240=Constants!$B$7,IF(AK240=1,AF240,AI240),""))</f>
        <v/>
      </c>
      <c r="AO240" s="97" t="str">
        <f aca="false">IF(ISBLANK($C240),"",IF($AB240=Constants!$B$7,RANK(AN240,$AN$8:$AN$507),$AB240))</f>
        <v/>
      </c>
      <c r="AP240" s="97" t="str">
        <f aca="false">IF(ISBLANK($C240),"",IF($AB240=Constants!$B$7,IF(ISNUMBER(AM240),COUNTIFS($AM$8:$AM$507,"&lt;"&amp;$AM240)+COUNTIFS($AM$8:$AM$507,$AM240,$AO$8:$AO$507,"&lt;"&amp;$AO240)+1,Constants!$B$14),$AB240))</f>
        <v/>
      </c>
      <c r="AQ240" s="97" t="str">
        <f aca="false">IF(ISBLANK($C240),"",IF($AB240=Constants!$B$7,IF(ISNUMBER(AM240),AM240-AP240,Constants!$B$14),$AB240))</f>
        <v/>
      </c>
      <c r="AR240" s="98"/>
      <c r="AS240" s="99" t="str">
        <f aca="false">IF(ISBLANK($C240),"",IF($AB240&lt;&gt;Constants!$B$7,"",AJ240))</f>
        <v/>
      </c>
      <c r="AT240" s="100" t="str">
        <f aca="false">IF(ISBLANK($C240),"",IF($AB240&lt;&gt;Constants!$B$7,"",IF(AJ240=1,AD240,AG240)))</f>
        <v/>
      </c>
      <c r="AU240" s="101" t="str">
        <f aca="false">IF(ISBLANK($C240),"",IF($AB240&lt;&gt;Constants!$B$7,"",IF(AJ240=1,AE240,AH240)))</f>
        <v/>
      </c>
      <c r="AV240" s="102" t="str">
        <f aca="false">IF(ISBLANK($C240),"",IF($AB240&lt;&gt;Constants!$B$7,$AB240,AL240))</f>
        <v/>
      </c>
      <c r="AW240" s="103" t="str">
        <f aca="false">IF(ISBLANK($C240),"",IF($AB240&lt;&gt;Constants!$B$7,$AB240,AC240))</f>
        <v/>
      </c>
      <c r="AX240" s="104" t="str">
        <f aca="false">IF(ISBLANK($C240),"",AQ240)</f>
        <v/>
      </c>
      <c r="AY240" s="104" t="str">
        <f aca="false">IF(ISBLANK($C240),"",AP240)</f>
        <v/>
      </c>
      <c r="AZ240" s="105" t="str">
        <f aca="false">IF(ISBLANK($C240),"",IF(AY240=Constants!$B$4,COUNTA($C$8:$C$507)+2,IF(AY240=Constants!$B$5,COUNTA($C$8:$C$507)+1,IF(AY240=Constants!$B$6,COUNTA($C$8:$C$507),AY240))))</f>
        <v/>
      </c>
      <c r="BA240" s="5"/>
      <c r="BB240" s="106" t="n">
        <f aca="false">IF(OR(ISNUMBER(AY240),AY240=Constants!$B$4,AY240=Constants!$B$6,AY240=Constants!$B$5),1,0)</f>
        <v>0</v>
      </c>
      <c r="BC240" s="106" t="n">
        <v>233</v>
      </c>
      <c r="BD240" s="106" t="str">
        <f aca="false">IF(ISBLANK($C240),"",IF(ISNUMBER(AZ240),AZ240+ROW($B240)/1000,""))</f>
        <v/>
      </c>
      <c r="BE240" s="106" t="str">
        <f aca="false">IF(ISNUMBER(BD240),RANK(BD240,$BD$8:$BD$507,1),"")</f>
        <v/>
      </c>
      <c r="BF240" s="106" t="str">
        <f aca="false">IF(ISBLANK($C240),"",$B240)</f>
        <v/>
      </c>
      <c r="BG240" s="106" t="str">
        <f aca="false">IF(ISBLANK($C240),"",$C240)</f>
        <v/>
      </c>
      <c r="BH240" s="106" t="str">
        <f aca="false">IF(ISBLANK($C240),"",$D240)</f>
        <v/>
      </c>
      <c r="BI240" s="107" t="str">
        <f aca="false">AW240</f>
        <v/>
      </c>
      <c r="BJ240" s="108" t="str">
        <f aca="false">AV240</f>
        <v/>
      </c>
      <c r="BK240" s="106" t="str">
        <f aca="false">IF(ISBLANK($C240),"",AY240)</f>
        <v/>
      </c>
      <c r="BL240" s="109" t="str">
        <f aca="false">IF($BC240&gt;$BB$7,"",VLOOKUP($BC240,$BE$8:$BK$507,7,FALSE()))</f>
        <v/>
      </c>
      <c r="BM240" s="110" t="str">
        <f aca="false">IF($BC240&gt;$BB$7,"",VLOOKUP($BC240,$BE$8:$BK$507,2,FALSE()))</f>
        <v/>
      </c>
      <c r="BN240" s="110" t="str">
        <f aca="false">IF($BC240&gt;$BB$7,"",VLOOKUP($BC240,$BE$8:$BK$507,3,FALSE()))</f>
        <v/>
      </c>
      <c r="BO240" s="110" t="str">
        <f aca="false">IF($BC240&gt;$BB$7,"",VLOOKUP($BC240,$BE$8:$BK$507,4,FALSE()))</f>
        <v/>
      </c>
      <c r="BP240" s="110" t="str">
        <f aca="false">IF($BC240&gt;$BB$7,"",VLOOKUP($BC240,$BE$8:$BK$507,5,FALSE()))</f>
        <v/>
      </c>
      <c r="BQ240" s="111" t="str">
        <f aca="false">IF($BC240&gt;$BB$7,"",VLOOKUP($BC240,$BE$8:$BK$507,6,FALSE()))</f>
        <v/>
      </c>
      <c r="BR240" s="54"/>
    </row>
    <row r="241" customFormat="false" ht="15.75" hidden="false" customHeight="false" outlineLevel="0" collapsed="false">
      <c r="A241" s="5"/>
      <c r="B241" s="120"/>
      <c r="C241" s="121"/>
      <c r="D241" s="112"/>
      <c r="E241" s="123"/>
      <c r="F241" s="91"/>
      <c r="G241" s="92"/>
      <c r="H241" s="93"/>
      <c r="I241" s="94"/>
      <c r="J241" s="91"/>
      <c r="K241" s="92"/>
      <c r="L241" s="93"/>
      <c r="M241" s="94"/>
      <c r="N241" s="91"/>
      <c r="O241" s="123"/>
      <c r="P241" s="96"/>
      <c r="Q241" s="97" t="str">
        <f aca="false">IF(ISBLANK($C241),"",IF(E241=Constants!$B$2, TRUE(), IF(E241=Constants!$B$3, FALSE(), TRUE())))</f>
        <v/>
      </c>
      <c r="R241" s="97" t="str">
        <f aca="false">IF(ISBLANK($C241),"",IF(F241=Constants!$B$16,Constants!$B$9,IF(F241=Constants!$B$17,Constants!$B$10,Constants!$B$8)))</f>
        <v/>
      </c>
      <c r="S241" s="97" t="str">
        <f aca="false">IF(ISBLANK($C241),"",IF(COUNTA(G241:H241)=0,"",IF(AND(OR(ISBLANK(G241),AND(ISNUMBER(G241),G241&gt;=0)),OR(ISBLANK(H241),AND(ISNUMBER(H241),H241&gt;=0))),60*IF(ISBLANK(G241),0,G241)+IF(ISBLANK(H241),0,H241),"")))</f>
        <v/>
      </c>
      <c r="T241" s="97" t="str">
        <f aca="false">IF(ISBLANK($C241),"",IF(I241=Constants!$B$2, TRUE(), IF(I241=Constants!$B$3, FALSE(), TRUE())))</f>
        <v/>
      </c>
      <c r="U241" s="97" t="str">
        <f aca="false">IF(ISBLANK($C241),"",IF(J241=Constants!$B$2, TRUE(), IF(J241=Constants!$B$3, FALSE(), TRUE())))</f>
        <v/>
      </c>
      <c r="V241" s="97" t="str">
        <f aca="false">IF(ISBLANK($C241),"",IF(COUNTA(K241:L241)=0,"",IF(AND(OR(ISBLANK(K241),AND(ISNUMBER(K241),K241&gt;=0)),OR(ISBLANK(L241),AND(ISNUMBER(L241),L241&gt;=0))),60*IF(ISBLANK(K241),0,K241)+IF(ISBLANK(L241),0,L241),"")))</f>
        <v/>
      </c>
      <c r="W241" s="97" t="str">
        <f aca="false">IF(ISBLANK($C241),"",IF(M241=Constants!$B$2, TRUE(), IF(M241=Constants!$B$3, FALSE(), TRUE())))</f>
        <v/>
      </c>
      <c r="X241" s="97" t="str">
        <f aca="false">IF(ISBLANK($C241),"",IF(N241=Constants!$B$2, TRUE(), IF(N241=Constants!$B$3, FALSE(), TRUE())))</f>
        <v/>
      </c>
      <c r="Y241" s="97" t="str">
        <f aca="false">IF(ISBLANK($C241),"",IF(O241=Constants!$B$2, TRUE(), IF(O241=Constants!$B$3, FALSE(), FALSE())))</f>
        <v/>
      </c>
      <c r="Z241" s="97" t="str">
        <f aca="false">IF(ISBLANK($C241),"",AND(S241&lt;&gt;"",Q241))</f>
        <v/>
      </c>
      <c r="AA241" s="97" t="str">
        <f aca="false">IF(ISBLANK($C241),"",AND(V241&lt;&gt;"",Q241))</f>
        <v/>
      </c>
      <c r="AB241" s="97" t="str">
        <f aca="false">IF(ISBLANK($C241),"",IF(Y241,Constants!$B$4,IF(COUNTA(E241:N241)=0,Constants!$B$5,IF(NOT(Q241),Constants!$B$6,IF(AND(NOT(Z241),NOT(AA241)),Constants!$B$6,Constants!$B$7)))))</f>
        <v/>
      </c>
      <c r="AC241" s="97" t="str">
        <f aca="false">IF(ISBLANK($C241),"",IF($AB241&lt;&gt;Constants!$B$7,$AB241,Constants!$B$20))</f>
        <v/>
      </c>
      <c r="AD241" s="97" t="str">
        <f aca="false">IF($AB241=Constants!$B$7,IF(Z241,S241,Constants!$B$13),"")</f>
        <v/>
      </c>
      <c r="AE241" s="97" t="str">
        <f aca="false">IF($AB241=Constants!$B$7,IF(Z241,R241*IF(T241, 1, Constants!$B$11)*IF(U241, 1, Constants!$B$12),Constants!$B$13),"")</f>
        <v/>
      </c>
      <c r="AF241" s="97" t="str">
        <f aca="false">IF($AB241=Constants!$B$7,AD241*AE241,"")</f>
        <v/>
      </c>
      <c r="AG241" s="97" t="str">
        <f aca="false">IF($AB241=Constants!$B$7,IF(AA241,V241,Constants!$B$13),"")</f>
        <v/>
      </c>
      <c r="AH241" s="97" t="str">
        <f aca="false">IF($AB241=Constants!$B$7,IF(AA241,R241*IF(W241, 1, Constants!$B$11)*IF(X241, 1, Constants!$B$12),Constants!$B$13),"")</f>
        <v/>
      </c>
      <c r="AI241" s="97" t="str">
        <f aca="false">IF($AB241=Constants!$B$7,AG241*AH241,"")</f>
        <v/>
      </c>
      <c r="AJ241" s="97" t="str">
        <f aca="false">IF($AB241=Constants!$B$7,IF(AI241&gt;AF241,2,1),"")</f>
        <v/>
      </c>
      <c r="AK241" s="97" t="str">
        <f aca="false">IF($AB241=Constants!$B$7,IF(AJ241=1,2,1),"")</f>
        <v/>
      </c>
      <c r="AL241" s="97" t="str">
        <f aca="false">IF(ISBLANK($C241),"",IF($AB241&lt;&gt;Constants!$B$7,$AB241,IF(AJ241=1,AF241,AI241)))</f>
        <v/>
      </c>
      <c r="AM241" s="97" t="str">
        <f aca="false">IF(ISBLANK($C241),"",IF($AB241=Constants!$B$7,IF(ISNUMBER(AL241),RANK(AL241,$AL$8:$AL$507),Constants!$B$14),$AB241))</f>
        <v/>
      </c>
      <c r="AN241" s="97" t="str">
        <f aca="false">IF(ISBLANK($C241),"",IF($AB241=Constants!$B$7,IF(AK241=1,AF241,AI241),""))</f>
        <v/>
      </c>
      <c r="AO241" s="97" t="str">
        <f aca="false">IF(ISBLANK($C241),"",IF($AB241=Constants!$B$7,RANK(AN241,$AN$8:$AN$507),$AB241))</f>
        <v/>
      </c>
      <c r="AP241" s="97" t="str">
        <f aca="false">IF(ISBLANK($C241),"",IF($AB241=Constants!$B$7,IF(ISNUMBER(AM241),COUNTIFS($AM$8:$AM$507,"&lt;"&amp;$AM241)+COUNTIFS($AM$8:$AM$507,$AM241,$AO$8:$AO$507,"&lt;"&amp;$AO241)+1,Constants!$B$14),$AB241))</f>
        <v/>
      </c>
      <c r="AQ241" s="97" t="str">
        <f aca="false">IF(ISBLANK($C241),"",IF($AB241=Constants!$B$7,IF(ISNUMBER(AM241),AM241-AP241,Constants!$B$14),$AB241))</f>
        <v/>
      </c>
      <c r="AR241" s="98"/>
      <c r="AS241" s="99" t="str">
        <f aca="false">IF(ISBLANK($C241),"",IF($AB241&lt;&gt;Constants!$B$7,"",AJ241))</f>
        <v/>
      </c>
      <c r="AT241" s="100" t="str">
        <f aca="false">IF(ISBLANK($C241),"",IF($AB241&lt;&gt;Constants!$B$7,"",IF(AJ241=1,AD241,AG241)))</f>
        <v/>
      </c>
      <c r="AU241" s="101" t="str">
        <f aca="false">IF(ISBLANK($C241),"",IF($AB241&lt;&gt;Constants!$B$7,"",IF(AJ241=1,AE241,AH241)))</f>
        <v/>
      </c>
      <c r="AV241" s="102" t="str">
        <f aca="false">IF(ISBLANK($C241),"",IF($AB241&lt;&gt;Constants!$B$7,$AB241,AL241))</f>
        <v/>
      </c>
      <c r="AW241" s="103" t="str">
        <f aca="false">IF(ISBLANK($C241),"",IF($AB241&lt;&gt;Constants!$B$7,$AB241,AC241))</f>
        <v/>
      </c>
      <c r="AX241" s="104" t="str">
        <f aca="false">IF(ISBLANK($C241),"",AQ241)</f>
        <v/>
      </c>
      <c r="AY241" s="104" t="str">
        <f aca="false">IF(ISBLANK($C241),"",AP241)</f>
        <v/>
      </c>
      <c r="AZ241" s="105" t="str">
        <f aca="false">IF(ISBLANK($C241),"",IF(AY241=Constants!$B$4,COUNTA($C$8:$C$507)+2,IF(AY241=Constants!$B$5,COUNTA($C$8:$C$507)+1,IF(AY241=Constants!$B$6,COUNTA($C$8:$C$507),AY241))))</f>
        <v/>
      </c>
      <c r="BA241" s="5"/>
      <c r="BB241" s="106" t="n">
        <f aca="false">IF(OR(ISNUMBER(AY241),AY241=Constants!$B$4,AY241=Constants!$B$6,AY241=Constants!$B$5),1,0)</f>
        <v>0</v>
      </c>
      <c r="BC241" s="106" t="n">
        <v>234</v>
      </c>
      <c r="BD241" s="106" t="str">
        <f aca="false">IF(ISBLANK($C241),"",IF(ISNUMBER(AZ241),AZ241+ROW($B241)/1000,""))</f>
        <v/>
      </c>
      <c r="BE241" s="106" t="str">
        <f aca="false">IF(ISNUMBER(BD241),RANK(BD241,$BD$8:$BD$507,1),"")</f>
        <v/>
      </c>
      <c r="BF241" s="106" t="str">
        <f aca="false">IF(ISBLANK($C241),"",$B241)</f>
        <v/>
      </c>
      <c r="BG241" s="106" t="str">
        <f aca="false">IF(ISBLANK($C241),"",$C241)</f>
        <v/>
      </c>
      <c r="BH241" s="106" t="str">
        <f aca="false">IF(ISBLANK($C241),"",$D241)</f>
        <v/>
      </c>
      <c r="BI241" s="107" t="str">
        <f aca="false">AW241</f>
        <v/>
      </c>
      <c r="BJ241" s="108" t="str">
        <f aca="false">AV241</f>
        <v/>
      </c>
      <c r="BK241" s="106" t="str">
        <f aca="false">IF(ISBLANK($C241),"",AY241)</f>
        <v/>
      </c>
      <c r="BL241" s="109" t="str">
        <f aca="false">IF($BC241&gt;$BB$7,"",VLOOKUP($BC241,$BE$8:$BK$507,7,FALSE()))</f>
        <v/>
      </c>
      <c r="BM241" s="110" t="str">
        <f aca="false">IF($BC241&gt;$BB$7,"",VLOOKUP($BC241,$BE$8:$BK$507,2,FALSE()))</f>
        <v/>
      </c>
      <c r="BN241" s="110" t="str">
        <f aca="false">IF($BC241&gt;$BB$7,"",VLOOKUP($BC241,$BE$8:$BK$507,3,FALSE()))</f>
        <v/>
      </c>
      <c r="BO241" s="110" t="str">
        <f aca="false">IF($BC241&gt;$BB$7,"",VLOOKUP($BC241,$BE$8:$BK$507,4,FALSE()))</f>
        <v/>
      </c>
      <c r="BP241" s="110" t="str">
        <f aca="false">IF($BC241&gt;$BB$7,"",VLOOKUP($BC241,$BE$8:$BK$507,5,FALSE()))</f>
        <v/>
      </c>
      <c r="BQ241" s="111" t="str">
        <f aca="false">IF($BC241&gt;$BB$7,"",VLOOKUP($BC241,$BE$8:$BK$507,6,FALSE()))</f>
        <v/>
      </c>
      <c r="BR241" s="54"/>
    </row>
    <row r="242" customFormat="false" ht="15.75" hidden="false" customHeight="false" outlineLevel="0" collapsed="false">
      <c r="A242" s="5"/>
      <c r="B242" s="124"/>
      <c r="C242" s="56"/>
      <c r="D242" s="57"/>
      <c r="E242" s="83"/>
      <c r="F242" s="59"/>
      <c r="G242" s="60"/>
      <c r="H242" s="61"/>
      <c r="I242" s="62"/>
      <c r="J242" s="59"/>
      <c r="K242" s="60"/>
      <c r="L242" s="61"/>
      <c r="M242" s="62"/>
      <c r="N242" s="59"/>
      <c r="O242" s="83"/>
      <c r="P242" s="64"/>
      <c r="Q242" s="66" t="str">
        <f aca="false">IF(ISBLANK($C242),"",IF(E242=Constants!$B$2, TRUE(), IF(E242=Constants!$B$3, FALSE(), TRUE())))</f>
        <v/>
      </c>
      <c r="R242" s="66" t="str">
        <f aca="false">IF(ISBLANK($C242),"",IF(F242=Constants!$B$16,Constants!$B$9,IF(F242=Constants!$B$17,Constants!$B$10,Constants!$B$8)))</f>
        <v/>
      </c>
      <c r="S242" s="66" t="str">
        <f aca="false">IF(ISBLANK($C242),"",IF(COUNTA(G242:H242)=0,"",IF(AND(OR(ISBLANK(G242),AND(ISNUMBER(G242),G242&gt;=0)),OR(ISBLANK(H242),AND(ISNUMBER(H242),H242&gt;=0))),60*IF(ISBLANK(G242),0,G242)+IF(ISBLANK(H242),0,H242),"")))</f>
        <v/>
      </c>
      <c r="T242" s="66" t="str">
        <f aca="false">IF(ISBLANK($C242),"",IF(I242=Constants!$B$2, TRUE(), IF(I242=Constants!$B$3, FALSE(), TRUE())))</f>
        <v/>
      </c>
      <c r="U242" s="66" t="str">
        <f aca="false">IF(ISBLANK($C242),"",IF(J242=Constants!$B$2, TRUE(), IF(J242=Constants!$B$3, FALSE(), TRUE())))</f>
        <v/>
      </c>
      <c r="V242" s="66" t="str">
        <f aca="false">IF(ISBLANK($C242),"",IF(COUNTA(K242:L242)=0,"",IF(AND(OR(ISBLANK(K242),AND(ISNUMBER(K242),K242&gt;=0)),OR(ISBLANK(L242),AND(ISNUMBER(L242),L242&gt;=0))),60*IF(ISBLANK(K242),0,K242)+IF(ISBLANK(L242),0,L242),"")))</f>
        <v/>
      </c>
      <c r="W242" s="66" t="str">
        <f aca="false">IF(ISBLANK($C242),"",IF(M242=Constants!$B$2, TRUE(), IF(M242=Constants!$B$3, FALSE(), TRUE())))</f>
        <v/>
      </c>
      <c r="X242" s="66" t="str">
        <f aca="false">IF(ISBLANK($C242),"",IF(N242=Constants!$B$2, TRUE(), IF(N242=Constants!$B$3, FALSE(), TRUE())))</f>
        <v/>
      </c>
      <c r="Y242" s="66" t="str">
        <f aca="false">IF(ISBLANK($C242),"",IF(O242=Constants!$B$2, TRUE(), IF(O242=Constants!$B$3, FALSE(), FALSE())))</f>
        <v/>
      </c>
      <c r="Z242" s="66" t="str">
        <f aca="false">IF(ISBLANK($C242),"",AND(S242&lt;&gt;"",Q242))</f>
        <v/>
      </c>
      <c r="AA242" s="66" t="str">
        <f aca="false">IF(ISBLANK($C242),"",AND(V242&lt;&gt;"",Q242))</f>
        <v/>
      </c>
      <c r="AB242" s="66" t="str">
        <f aca="false">IF(ISBLANK($C242),"",IF(Y242,Constants!$B$4,IF(COUNTA(E242:N242)=0,Constants!$B$5,IF(NOT(Q242),Constants!$B$6,IF(AND(NOT(Z242),NOT(AA242)),Constants!$B$6,Constants!$B$7)))))</f>
        <v/>
      </c>
      <c r="AC242" s="66" t="str">
        <f aca="false">IF(ISBLANK($C242),"",IF($AB242&lt;&gt;Constants!$B$7,$AB242,Constants!$B$20))</f>
        <v/>
      </c>
      <c r="AD242" s="66" t="str">
        <f aca="false">IF($AB242=Constants!$B$7,IF(Z242,S242,Constants!$B$13),"")</f>
        <v/>
      </c>
      <c r="AE242" s="66" t="str">
        <f aca="false">IF($AB242=Constants!$B$7,IF(Z242,R242*IF(T242, 1, Constants!$B$11)*IF(U242, 1, Constants!$B$12),Constants!$B$13),"")</f>
        <v/>
      </c>
      <c r="AF242" s="66" t="str">
        <f aca="false">IF($AB242=Constants!$B$7,AD242*AE242,"")</f>
        <v/>
      </c>
      <c r="AG242" s="66" t="str">
        <f aca="false">IF($AB242=Constants!$B$7,IF(AA242,V242,Constants!$B$13),"")</f>
        <v/>
      </c>
      <c r="AH242" s="66" t="str">
        <f aca="false">IF($AB242=Constants!$B$7,IF(AA242,R242*IF(W242, 1, Constants!$B$11)*IF(X242, 1, Constants!$B$12),Constants!$B$13),"")</f>
        <v/>
      </c>
      <c r="AI242" s="66" t="str">
        <f aca="false">IF($AB242=Constants!$B$7,AG242*AH242,"")</f>
        <v/>
      </c>
      <c r="AJ242" s="66" t="str">
        <f aca="false">IF($AB242=Constants!$B$7,IF(AI242&gt;AF242,2,1),"")</f>
        <v/>
      </c>
      <c r="AK242" s="66" t="str">
        <f aca="false">IF($AB242=Constants!$B$7,IF(AJ242=1,2,1),"")</f>
        <v/>
      </c>
      <c r="AL242" s="66" t="str">
        <f aca="false">IF(ISBLANK($C242),"",IF($AB242&lt;&gt;Constants!$B$7,$AB242,IF(AJ242=1,AF242,AI242)))</f>
        <v/>
      </c>
      <c r="AM242" s="66" t="str">
        <f aca="false">IF(ISBLANK($C242),"",IF($AB242=Constants!$B$7,IF(ISNUMBER(AL242),RANK(AL242,$AL$8:$AL$507),Constants!$B$14),$AB242))</f>
        <v/>
      </c>
      <c r="AN242" s="66" t="str">
        <f aca="false">IF(ISBLANK($C242),"",IF($AB242=Constants!$B$7,IF(AK242=1,AF242,AI242),""))</f>
        <v/>
      </c>
      <c r="AO242" s="66" t="str">
        <f aca="false">IF(ISBLANK($C242),"",IF($AB242=Constants!$B$7,RANK(AN242,$AN$8:$AN$507),$AB242))</f>
        <v/>
      </c>
      <c r="AP242" s="66" t="str">
        <f aca="false">IF(ISBLANK($C242),"",IF($AB242=Constants!$B$7,IF(ISNUMBER(AM242),COUNTIFS($AM$8:$AM$507,"&lt;"&amp;$AM242)+COUNTIFS($AM$8:$AM$507,$AM242,$AO$8:$AO$507,"&lt;"&amp;$AO242)+1,Constants!$B$14),$AB242))</f>
        <v/>
      </c>
      <c r="AQ242" s="66" t="str">
        <f aca="false">IF(ISBLANK($C242),"",IF($AB242=Constants!$B$7,IF(ISNUMBER(AM242),AM242-AP242,Constants!$B$14),$AB242))</f>
        <v/>
      </c>
      <c r="AR242" s="68"/>
      <c r="AS242" s="69" t="str">
        <f aca="false">IF(ISBLANK($C242),"",IF($AB242&lt;&gt;Constants!$B$7,"",AJ242))</f>
        <v/>
      </c>
      <c r="AT242" s="84" t="str">
        <f aca="false">IF(ISBLANK($C242),"",IF($AB242&lt;&gt;Constants!$B$7,"",IF(AJ242=1,AD242,AG242)))</f>
        <v/>
      </c>
      <c r="AU242" s="71" t="str">
        <f aca="false">IF(ISBLANK($C242),"",IF($AB242&lt;&gt;Constants!$B$7,"",IF(AJ242=1,AE242,AH242)))</f>
        <v/>
      </c>
      <c r="AV242" s="72" t="str">
        <f aca="false">IF(ISBLANK($C242),"",IF($AB242&lt;&gt;Constants!$B$7,$AB242,AL242))</f>
        <v/>
      </c>
      <c r="AW242" s="73" t="str">
        <f aca="false">IF(ISBLANK($C242),"",IF($AB242&lt;&gt;Constants!$B$7,$AB242,AC242))</f>
        <v/>
      </c>
      <c r="AX242" s="74" t="str">
        <f aca="false">IF(ISBLANK($C242),"",AQ242)</f>
        <v/>
      </c>
      <c r="AY242" s="74" t="str">
        <f aca="false">IF(ISBLANK($C242),"",AP242)</f>
        <v/>
      </c>
      <c r="AZ242" s="75" t="str">
        <f aca="false">IF(ISBLANK($C242),"",IF(AY242=Constants!$B$4,COUNTA($C$8:$C$507)+2,IF(AY242=Constants!$B$5,COUNTA($C$8:$C$507)+1,IF(AY242=Constants!$B$6,COUNTA($C$8:$C$507),AY242))))</f>
        <v/>
      </c>
      <c r="BA242" s="5"/>
      <c r="BB242" s="76" t="n">
        <f aca="false">IF(OR(ISNUMBER(AY242),AY242=Constants!$B$4,AY242=Constants!$B$6,AY242=Constants!$B$5),1,0)</f>
        <v>0</v>
      </c>
      <c r="BC242" s="76" t="n">
        <v>235</v>
      </c>
      <c r="BD242" s="76" t="str">
        <f aca="false">IF(ISBLANK($C242),"",IF(ISNUMBER(AZ242),AZ242+ROW($B242)/1000,""))</f>
        <v/>
      </c>
      <c r="BE242" s="76" t="str">
        <f aca="false">IF(ISNUMBER(BD242),RANK(BD242,$BD$8:$BD$507,1),"")</f>
        <v/>
      </c>
      <c r="BF242" s="76" t="str">
        <f aca="false">IF(ISBLANK($C242),"",$B242)</f>
        <v/>
      </c>
      <c r="BG242" s="76" t="str">
        <f aca="false">IF(ISBLANK($C242),"",$C242)</f>
        <v/>
      </c>
      <c r="BH242" s="76" t="str">
        <f aca="false">IF(ISBLANK($C242),"",$D242)</f>
        <v/>
      </c>
      <c r="BI242" s="77" t="str">
        <f aca="false">AW242</f>
        <v/>
      </c>
      <c r="BJ242" s="78" t="str">
        <f aca="false">AV242</f>
        <v/>
      </c>
      <c r="BK242" s="76" t="str">
        <f aca="false">IF(ISBLANK($C242),"",AY242)</f>
        <v/>
      </c>
      <c r="BL242" s="79" t="str">
        <f aca="false">IF($BC242&gt;$BB$7,"",VLOOKUP($BC242,$BE$8:$BK$507,7,FALSE()))</f>
        <v/>
      </c>
      <c r="BM242" s="80" t="str">
        <f aca="false">IF($BC242&gt;$BB$7,"",VLOOKUP($BC242,$BE$8:$BK$507,2,FALSE()))</f>
        <v/>
      </c>
      <c r="BN242" s="80" t="str">
        <f aca="false">IF($BC242&gt;$BB$7,"",VLOOKUP($BC242,$BE$8:$BK$507,3,FALSE()))</f>
        <v/>
      </c>
      <c r="BO242" s="80" t="str">
        <f aca="false">IF($BC242&gt;$BB$7,"",VLOOKUP($BC242,$BE$8:$BK$507,4,FALSE()))</f>
        <v/>
      </c>
      <c r="BP242" s="80" t="str">
        <f aca="false">IF($BC242&gt;$BB$7,"",VLOOKUP($BC242,$BE$8:$BK$507,5,FALSE()))</f>
        <v/>
      </c>
      <c r="BQ242" s="81" t="str">
        <f aca="false">IF($BC242&gt;$BB$7,"",VLOOKUP($BC242,$BE$8:$BK$507,6,FALSE()))</f>
        <v/>
      </c>
      <c r="BR242" s="54"/>
    </row>
    <row r="243" customFormat="false" ht="15.75" hidden="false" customHeight="false" outlineLevel="0" collapsed="false">
      <c r="A243" s="5"/>
      <c r="B243" s="124"/>
      <c r="C243" s="56"/>
      <c r="D243" s="57"/>
      <c r="E243" s="83"/>
      <c r="F243" s="59"/>
      <c r="G243" s="60"/>
      <c r="H243" s="61"/>
      <c r="I243" s="62"/>
      <c r="J243" s="59"/>
      <c r="K243" s="60"/>
      <c r="L243" s="61"/>
      <c r="M243" s="62"/>
      <c r="N243" s="59"/>
      <c r="O243" s="83"/>
      <c r="P243" s="64"/>
      <c r="Q243" s="66" t="str">
        <f aca="false">IF(ISBLANK($C243),"",IF(E243=Constants!$B$2, TRUE(), IF(E243=Constants!$B$3, FALSE(), TRUE())))</f>
        <v/>
      </c>
      <c r="R243" s="66" t="str">
        <f aca="false">IF(ISBLANK($C243),"",IF(F243=Constants!$B$16,Constants!$B$9,IF(F243=Constants!$B$17,Constants!$B$10,Constants!$B$8)))</f>
        <v/>
      </c>
      <c r="S243" s="66" t="str">
        <f aca="false">IF(ISBLANK($C243),"",IF(COUNTA(G243:H243)=0,"",IF(AND(OR(ISBLANK(G243),AND(ISNUMBER(G243),G243&gt;=0)),OR(ISBLANK(H243),AND(ISNUMBER(H243),H243&gt;=0))),60*IF(ISBLANK(G243),0,G243)+IF(ISBLANK(H243),0,H243),"")))</f>
        <v/>
      </c>
      <c r="T243" s="66" t="str">
        <f aca="false">IF(ISBLANK($C243),"",IF(I243=Constants!$B$2, TRUE(), IF(I243=Constants!$B$3, FALSE(), TRUE())))</f>
        <v/>
      </c>
      <c r="U243" s="66" t="str">
        <f aca="false">IF(ISBLANK($C243),"",IF(J243=Constants!$B$2, TRUE(), IF(J243=Constants!$B$3, FALSE(), TRUE())))</f>
        <v/>
      </c>
      <c r="V243" s="66" t="str">
        <f aca="false">IF(ISBLANK($C243),"",IF(COUNTA(K243:L243)=0,"",IF(AND(OR(ISBLANK(K243),AND(ISNUMBER(K243),K243&gt;=0)),OR(ISBLANK(L243),AND(ISNUMBER(L243),L243&gt;=0))),60*IF(ISBLANK(K243),0,K243)+IF(ISBLANK(L243),0,L243),"")))</f>
        <v/>
      </c>
      <c r="W243" s="66" t="str">
        <f aca="false">IF(ISBLANK($C243),"",IF(M243=Constants!$B$2, TRUE(), IF(M243=Constants!$B$3, FALSE(), TRUE())))</f>
        <v/>
      </c>
      <c r="X243" s="66" t="str">
        <f aca="false">IF(ISBLANK($C243),"",IF(N243=Constants!$B$2, TRUE(), IF(N243=Constants!$B$3, FALSE(), TRUE())))</f>
        <v/>
      </c>
      <c r="Y243" s="66" t="str">
        <f aca="false">IF(ISBLANK($C243),"",IF(O243=Constants!$B$2, TRUE(), IF(O243=Constants!$B$3, FALSE(), FALSE())))</f>
        <v/>
      </c>
      <c r="Z243" s="66" t="str">
        <f aca="false">IF(ISBLANK($C243),"",AND(S243&lt;&gt;"",Q243))</f>
        <v/>
      </c>
      <c r="AA243" s="66" t="str">
        <f aca="false">IF(ISBLANK($C243),"",AND(V243&lt;&gt;"",Q243))</f>
        <v/>
      </c>
      <c r="AB243" s="66" t="str">
        <f aca="false">IF(ISBLANK($C243),"",IF(Y243,Constants!$B$4,IF(COUNTA(E243:N243)=0,Constants!$B$5,IF(NOT(Q243),Constants!$B$6,IF(AND(NOT(Z243),NOT(AA243)),Constants!$B$6,Constants!$B$7)))))</f>
        <v/>
      </c>
      <c r="AC243" s="66" t="str">
        <f aca="false">IF(ISBLANK($C243),"",IF($AB243&lt;&gt;Constants!$B$7,$AB243,Constants!$B$20))</f>
        <v/>
      </c>
      <c r="AD243" s="66" t="str">
        <f aca="false">IF($AB243=Constants!$B$7,IF(Z243,S243,Constants!$B$13),"")</f>
        <v/>
      </c>
      <c r="AE243" s="66" t="str">
        <f aca="false">IF($AB243=Constants!$B$7,IF(Z243,R243*IF(T243, 1, Constants!$B$11)*IF(U243, 1, Constants!$B$12),Constants!$B$13),"")</f>
        <v/>
      </c>
      <c r="AF243" s="66" t="str">
        <f aca="false">IF($AB243=Constants!$B$7,AD243*AE243,"")</f>
        <v/>
      </c>
      <c r="AG243" s="66" t="str">
        <f aca="false">IF($AB243=Constants!$B$7,IF(AA243,V243,Constants!$B$13),"")</f>
        <v/>
      </c>
      <c r="AH243" s="66" t="str">
        <f aca="false">IF($AB243=Constants!$B$7,IF(AA243,R243*IF(W243, 1, Constants!$B$11)*IF(X243, 1, Constants!$B$12),Constants!$B$13),"")</f>
        <v/>
      </c>
      <c r="AI243" s="66" t="str">
        <f aca="false">IF($AB243=Constants!$B$7,AG243*AH243,"")</f>
        <v/>
      </c>
      <c r="AJ243" s="66" t="str">
        <f aca="false">IF($AB243=Constants!$B$7,IF(AI243&gt;AF243,2,1),"")</f>
        <v/>
      </c>
      <c r="AK243" s="66" t="str">
        <f aca="false">IF($AB243=Constants!$B$7,IF(AJ243=1,2,1),"")</f>
        <v/>
      </c>
      <c r="AL243" s="66" t="str">
        <f aca="false">IF(ISBLANK($C243),"",IF($AB243&lt;&gt;Constants!$B$7,$AB243,IF(AJ243=1,AF243,AI243)))</f>
        <v/>
      </c>
      <c r="AM243" s="66" t="str">
        <f aca="false">IF(ISBLANK($C243),"",IF($AB243=Constants!$B$7,IF(ISNUMBER(AL243),RANK(AL243,$AL$8:$AL$507),Constants!$B$14),$AB243))</f>
        <v/>
      </c>
      <c r="AN243" s="66" t="str">
        <f aca="false">IF(ISBLANK($C243),"",IF($AB243=Constants!$B$7,IF(AK243=1,AF243,AI243),""))</f>
        <v/>
      </c>
      <c r="AO243" s="66" t="str">
        <f aca="false">IF(ISBLANK($C243),"",IF($AB243=Constants!$B$7,RANK(AN243,$AN$8:$AN$507),$AB243))</f>
        <v/>
      </c>
      <c r="AP243" s="66" t="str">
        <f aca="false">IF(ISBLANK($C243),"",IF($AB243=Constants!$B$7,IF(ISNUMBER(AM243),COUNTIFS($AM$8:$AM$507,"&lt;"&amp;$AM243)+COUNTIFS($AM$8:$AM$507,$AM243,$AO$8:$AO$507,"&lt;"&amp;$AO243)+1,Constants!$B$14),$AB243))</f>
        <v/>
      </c>
      <c r="AQ243" s="66" t="str">
        <f aca="false">IF(ISBLANK($C243),"",IF($AB243=Constants!$B$7,IF(ISNUMBER(AM243),AM243-AP243,Constants!$B$14),$AB243))</f>
        <v/>
      </c>
      <c r="AR243" s="68"/>
      <c r="AS243" s="69" t="str">
        <f aca="false">IF(ISBLANK($C243),"",IF($AB243&lt;&gt;Constants!$B$7,"",AJ243))</f>
        <v/>
      </c>
      <c r="AT243" s="84" t="str">
        <f aca="false">IF(ISBLANK($C243),"",IF($AB243&lt;&gt;Constants!$B$7,"",IF(AJ243=1,AD243,AG243)))</f>
        <v/>
      </c>
      <c r="AU243" s="71" t="str">
        <f aca="false">IF(ISBLANK($C243),"",IF($AB243&lt;&gt;Constants!$B$7,"",IF(AJ243=1,AE243,AH243)))</f>
        <v/>
      </c>
      <c r="AV243" s="72" t="str">
        <f aca="false">IF(ISBLANK($C243),"",IF($AB243&lt;&gt;Constants!$B$7,$AB243,AL243))</f>
        <v/>
      </c>
      <c r="AW243" s="73" t="str">
        <f aca="false">IF(ISBLANK($C243),"",IF($AB243&lt;&gt;Constants!$B$7,$AB243,AC243))</f>
        <v/>
      </c>
      <c r="AX243" s="74" t="str">
        <f aca="false">IF(ISBLANK($C243),"",AQ243)</f>
        <v/>
      </c>
      <c r="AY243" s="74" t="str">
        <f aca="false">IF(ISBLANK($C243),"",AP243)</f>
        <v/>
      </c>
      <c r="AZ243" s="75" t="str">
        <f aca="false">IF(ISBLANK($C243),"",IF(AY243=Constants!$B$4,COUNTA($C$8:$C$507)+2,IF(AY243=Constants!$B$5,COUNTA($C$8:$C$507)+1,IF(AY243=Constants!$B$6,COUNTA($C$8:$C$507),AY243))))</f>
        <v/>
      </c>
      <c r="BA243" s="5"/>
      <c r="BB243" s="76" t="n">
        <f aca="false">IF(OR(ISNUMBER(AY243),AY243=Constants!$B$4,AY243=Constants!$B$6,AY243=Constants!$B$5),1,0)</f>
        <v>0</v>
      </c>
      <c r="BC243" s="76" t="n">
        <v>236</v>
      </c>
      <c r="BD243" s="76" t="str">
        <f aca="false">IF(ISBLANK($C243),"",IF(ISNUMBER(AZ243),AZ243+ROW($B243)/1000,""))</f>
        <v/>
      </c>
      <c r="BE243" s="76" t="str">
        <f aca="false">IF(ISNUMBER(BD243),RANK(BD243,$BD$8:$BD$507,1),"")</f>
        <v/>
      </c>
      <c r="BF243" s="76" t="str">
        <f aca="false">IF(ISBLANK($C243),"",$B243)</f>
        <v/>
      </c>
      <c r="BG243" s="76" t="str">
        <f aca="false">IF(ISBLANK($C243),"",$C243)</f>
        <v/>
      </c>
      <c r="BH243" s="76" t="str">
        <f aca="false">IF(ISBLANK($C243),"",$D243)</f>
        <v/>
      </c>
      <c r="BI243" s="77" t="str">
        <f aca="false">AW243</f>
        <v/>
      </c>
      <c r="BJ243" s="78" t="str">
        <f aca="false">AV243</f>
        <v/>
      </c>
      <c r="BK243" s="76" t="str">
        <f aca="false">IF(ISBLANK($C243),"",AY243)</f>
        <v/>
      </c>
      <c r="BL243" s="79" t="str">
        <f aca="false">IF($BC243&gt;$BB$7,"",VLOOKUP($BC243,$BE$8:$BK$507,7,FALSE()))</f>
        <v/>
      </c>
      <c r="BM243" s="80" t="str">
        <f aca="false">IF($BC243&gt;$BB$7,"",VLOOKUP($BC243,$BE$8:$BK$507,2,FALSE()))</f>
        <v/>
      </c>
      <c r="BN243" s="80" t="str">
        <f aca="false">IF($BC243&gt;$BB$7,"",VLOOKUP($BC243,$BE$8:$BK$507,3,FALSE()))</f>
        <v/>
      </c>
      <c r="BO243" s="80" t="str">
        <f aca="false">IF($BC243&gt;$BB$7,"",VLOOKUP($BC243,$BE$8:$BK$507,4,FALSE()))</f>
        <v/>
      </c>
      <c r="BP243" s="80" t="str">
        <f aca="false">IF($BC243&gt;$BB$7,"",VLOOKUP($BC243,$BE$8:$BK$507,5,FALSE()))</f>
        <v/>
      </c>
      <c r="BQ243" s="81" t="str">
        <f aca="false">IF($BC243&gt;$BB$7,"",VLOOKUP($BC243,$BE$8:$BK$507,6,FALSE()))</f>
        <v/>
      </c>
      <c r="BR243" s="54"/>
    </row>
    <row r="244" customFormat="false" ht="15.75" hidden="false" customHeight="false" outlineLevel="0" collapsed="false">
      <c r="A244" s="5"/>
      <c r="B244" s="124"/>
      <c r="C244" s="56"/>
      <c r="D244" s="57"/>
      <c r="E244" s="83"/>
      <c r="F244" s="59"/>
      <c r="G244" s="60"/>
      <c r="H244" s="61"/>
      <c r="I244" s="62"/>
      <c r="J244" s="59"/>
      <c r="K244" s="60"/>
      <c r="L244" s="61"/>
      <c r="M244" s="62"/>
      <c r="N244" s="59"/>
      <c r="O244" s="83"/>
      <c r="P244" s="64"/>
      <c r="Q244" s="66" t="str">
        <f aca="false">IF(ISBLANK($C244),"",IF(E244=Constants!$B$2, TRUE(), IF(E244=Constants!$B$3, FALSE(), TRUE())))</f>
        <v/>
      </c>
      <c r="R244" s="66" t="str">
        <f aca="false">IF(ISBLANK($C244),"",IF(F244=Constants!$B$16,Constants!$B$9,IF(F244=Constants!$B$17,Constants!$B$10,Constants!$B$8)))</f>
        <v/>
      </c>
      <c r="S244" s="66" t="str">
        <f aca="false">IF(ISBLANK($C244),"",IF(COUNTA(G244:H244)=0,"",IF(AND(OR(ISBLANK(G244),AND(ISNUMBER(G244),G244&gt;=0)),OR(ISBLANK(H244),AND(ISNUMBER(H244),H244&gt;=0))),60*IF(ISBLANK(G244),0,G244)+IF(ISBLANK(H244),0,H244),"")))</f>
        <v/>
      </c>
      <c r="T244" s="66" t="str">
        <f aca="false">IF(ISBLANK($C244),"",IF(I244=Constants!$B$2, TRUE(), IF(I244=Constants!$B$3, FALSE(), TRUE())))</f>
        <v/>
      </c>
      <c r="U244" s="66" t="str">
        <f aca="false">IF(ISBLANK($C244),"",IF(J244=Constants!$B$2, TRUE(), IF(J244=Constants!$B$3, FALSE(), TRUE())))</f>
        <v/>
      </c>
      <c r="V244" s="66" t="str">
        <f aca="false">IF(ISBLANK($C244),"",IF(COUNTA(K244:L244)=0,"",IF(AND(OR(ISBLANK(K244),AND(ISNUMBER(K244),K244&gt;=0)),OR(ISBLANK(L244),AND(ISNUMBER(L244),L244&gt;=0))),60*IF(ISBLANK(K244),0,K244)+IF(ISBLANK(L244),0,L244),"")))</f>
        <v/>
      </c>
      <c r="W244" s="66" t="str">
        <f aca="false">IF(ISBLANK($C244),"",IF(M244=Constants!$B$2, TRUE(), IF(M244=Constants!$B$3, FALSE(), TRUE())))</f>
        <v/>
      </c>
      <c r="X244" s="66" t="str">
        <f aca="false">IF(ISBLANK($C244),"",IF(N244=Constants!$B$2, TRUE(), IF(N244=Constants!$B$3, FALSE(), TRUE())))</f>
        <v/>
      </c>
      <c r="Y244" s="66" t="str">
        <f aca="false">IF(ISBLANK($C244),"",IF(O244=Constants!$B$2, TRUE(), IF(O244=Constants!$B$3, FALSE(), FALSE())))</f>
        <v/>
      </c>
      <c r="Z244" s="66" t="str">
        <f aca="false">IF(ISBLANK($C244),"",AND(S244&lt;&gt;"",Q244))</f>
        <v/>
      </c>
      <c r="AA244" s="66" t="str">
        <f aca="false">IF(ISBLANK($C244),"",AND(V244&lt;&gt;"",Q244))</f>
        <v/>
      </c>
      <c r="AB244" s="66" t="str">
        <f aca="false">IF(ISBLANK($C244),"",IF(Y244,Constants!$B$4,IF(COUNTA(E244:N244)=0,Constants!$B$5,IF(NOT(Q244),Constants!$B$6,IF(AND(NOT(Z244),NOT(AA244)),Constants!$B$6,Constants!$B$7)))))</f>
        <v/>
      </c>
      <c r="AC244" s="66" t="str">
        <f aca="false">IF(ISBLANK($C244),"",IF($AB244&lt;&gt;Constants!$B$7,$AB244,Constants!$B$20))</f>
        <v/>
      </c>
      <c r="AD244" s="66" t="str">
        <f aca="false">IF($AB244=Constants!$B$7,IF(Z244,S244,Constants!$B$13),"")</f>
        <v/>
      </c>
      <c r="AE244" s="66" t="str">
        <f aca="false">IF($AB244=Constants!$B$7,IF(Z244,R244*IF(T244, 1, Constants!$B$11)*IF(U244, 1, Constants!$B$12),Constants!$B$13),"")</f>
        <v/>
      </c>
      <c r="AF244" s="66" t="str">
        <f aca="false">IF($AB244=Constants!$B$7,AD244*AE244,"")</f>
        <v/>
      </c>
      <c r="AG244" s="66" t="str">
        <f aca="false">IF($AB244=Constants!$B$7,IF(AA244,V244,Constants!$B$13),"")</f>
        <v/>
      </c>
      <c r="AH244" s="66" t="str">
        <f aca="false">IF($AB244=Constants!$B$7,IF(AA244,R244*IF(W244, 1, Constants!$B$11)*IF(X244, 1, Constants!$B$12),Constants!$B$13),"")</f>
        <v/>
      </c>
      <c r="AI244" s="66" t="str">
        <f aca="false">IF($AB244=Constants!$B$7,AG244*AH244,"")</f>
        <v/>
      </c>
      <c r="AJ244" s="66" t="str">
        <f aca="false">IF($AB244=Constants!$B$7,IF(AI244&gt;AF244,2,1),"")</f>
        <v/>
      </c>
      <c r="AK244" s="66" t="str">
        <f aca="false">IF($AB244=Constants!$B$7,IF(AJ244=1,2,1),"")</f>
        <v/>
      </c>
      <c r="AL244" s="66" t="str">
        <f aca="false">IF(ISBLANK($C244),"",IF($AB244&lt;&gt;Constants!$B$7,$AB244,IF(AJ244=1,AF244,AI244)))</f>
        <v/>
      </c>
      <c r="AM244" s="66" t="str">
        <f aca="false">IF(ISBLANK($C244),"",IF($AB244=Constants!$B$7,IF(ISNUMBER(AL244),RANK(AL244,$AL$8:$AL$507),Constants!$B$14),$AB244))</f>
        <v/>
      </c>
      <c r="AN244" s="66" t="str">
        <f aca="false">IF(ISBLANK($C244),"",IF($AB244=Constants!$B$7,IF(AK244=1,AF244,AI244),""))</f>
        <v/>
      </c>
      <c r="AO244" s="66" t="str">
        <f aca="false">IF(ISBLANK($C244),"",IF($AB244=Constants!$B$7,RANK(AN244,$AN$8:$AN$507),$AB244))</f>
        <v/>
      </c>
      <c r="AP244" s="66" t="str">
        <f aca="false">IF(ISBLANK($C244),"",IF($AB244=Constants!$B$7,IF(ISNUMBER(AM244),COUNTIFS($AM$8:$AM$507,"&lt;"&amp;$AM244)+COUNTIFS($AM$8:$AM$507,$AM244,$AO$8:$AO$507,"&lt;"&amp;$AO244)+1,Constants!$B$14),$AB244))</f>
        <v/>
      </c>
      <c r="AQ244" s="66" t="str">
        <f aca="false">IF(ISBLANK($C244),"",IF($AB244=Constants!$B$7,IF(ISNUMBER(AM244),AM244-AP244,Constants!$B$14),$AB244))</f>
        <v/>
      </c>
      <c r="AR244" s="68"/>
      <c r="AS244" s="69" t="str">
        <f aca="false">IF(ISBLANK($C244),"",IF($AB244&lt;&gt;Constants!$B$7,"",AJ244))</f>
        <v/>
      </c>
      <c r="AT244" s="84" t="str">
        <f aca="false">IF(ISBLANK($C244),"",IF($AB244&lt;&gt;Constants!$B$7,"",IF(AJ244=1,AD244,AG244)))</f>
        <v/>
      </c>
      <c r="AU244" s="71" t="str">
        <f aca="false">IF(ISBLANK($C244),"",IF($AB244&lt;&gt;Constants!$B$7,"",IF(AJ244=1,AE244,AH244)))</f>
        <v/>
      </c>
      <c r="AV244" s="72" t="str">
        <f aca="false">IF(ISBLANK($C244),"",IF($AB244&lt;&gt;Constants!$B$7,$AB244,AL244))</f>
        <v/>
      </c>
      <c r="AW244" s="73" t="str">
        <f aca="false">IF(ISBLANK($C244),"",IF($AB244&lt;&gt;Constants!$B$7,$AB244,AC244))</f>
        <v/>
      </c>
      <c r="AX244" s="74" t="str">
        <f aca="false">IF(ISBLANK($C244),"",AQ244)</f>
        <v/>
      </c>
      <c r="AY244" s="74" t="str">
        <f aca="false">IF(ISBLANK($C244),"",AP244)</f>
        <v/>
      </c>
      <c r="AZ244" s="75" t="str">
        <f aca="false">IF(ISBLANK($C244),"",IF(AY244=Constants!$B$4,COUNTA($C$8:$C$507)+2,IF(AY244=Constants!$B$5,COUNTA($C$8:$C$507)+1,IF(AY244=Constants!$B$6,COUNTA($C$8:$C$507),AY244))))</f>
        <v/>
      </c>
      <c r="BA244" s="5"/>
      <c r="BB244" s="76" t="n">
        <f aca="false">IF(OR(ISNUMBER(AY244),AY244=Constants!$B$4,AY244=Constants!$B$6,AY244=Constants!$B$5),1,0)</f>
        <v>0</v>
      </c>
      <c r="BC244" s="76" t="n">
        <v>237</v>
      </c>
      <c r="BD244" s="76" t="str">
        <f aca="false">IF(ISBLANK($C244),"",IF(ISNUMBER(AZ244),AZ244+ROW($B244)/1000,""))</f>
        <v/>
      </c>
      <c r="BE244" s="76" t="str">
        <f aca="false">IF(ISNUMBER(BD244),RANK(BD244,$BD$8:$BD$507,1),"")</f>
        <v/>
      </c>
      <c r="BF244" s="76" t="str">
        <f aca="false">IF(ISBLANK($C244),"",$B244)</f>
        <v/>
      </c>
      <c r="BG244" s="76" t="str">
        <f aca="false">IF(ISBLANK($C244),"",$C244)</f>
        <v/>
      </c>
      <c r="BH244" s="76" t="str">
        <f aca="false">IF(ISBLANK($C244),"",$D244)</f>
        <v/>
      </c>
      <c r="BI244" s="77" t="str">
        <f aca="false">AW244</f>
        <v/>
      </c>
      <c r="BJ244" s="78" t="str">
        <f aca="false">AV244</f>
        <v/>
      </c>
      <c r="BK244" s="76" t="str">
        <f aca="false">IF(ISBLANK($C244),"",AY244)</f>
        <v/>
      </c>
      <c r="BL244" s="79" t="str">
        <f aca="false">IF($BC244&gt;$BB$7,"",VLOOKUP($BC244,$BE$8:$BK$507,7,FALSE()))</f>
        <v/>
      </c>
      <c r="BM244" s="80" t="str">
        <f aca="false">IF($BC244&gt;$BB$7,"",VLOOKUP($BC244,$BE$8:$BK$507,2,FALSE()))</f>
        <v/>
      </c>
      <c r="BN244" s="80" t="str">
        <f aca="false">IF($BC244&gt;$BB$7,"",VLOOKUP($BC244,$BE$8:$BK$507,3,FALSE()))</f>
        <v/>
      </c>
      <c r="BO244" s="80" t="str">
        <f aca="false">IF($BC244&gt;$BB$7,"",VLOOKUP($BC244,$BE$8:$BK$507,4,FALSE()))</f>
        <v/>
      </c>
      <c r="BP244" s="80" t="str">
        <f aca="false">IF($BC244&gt;$BB$7,"",VLOOKUP($BC244,$BE$8:$BK$507,5,FALSE()))</f>
        <v/>
      </c>
      <c r="BQ244" s="81" t="str">
        <f aca="false">IF($BC244&gt;$BB$7,"",VLOOKUP($BC244,$BE$8:$BK$507,6,FALSE()))</f>
        <v/>
      </c>
      <c r="BR244" s="54"/>
    </row>
    <row r="245" customFormat="false" ht="15.75" hidden="false" customHeight="false" outlineLevel="0" collapsed="false">
      <c r="A245" s="5"/>
      <c r="B245" s="120"/>
      <c r="C245" s="121"/>
      <c r="D245" s="112"/>
      <c r="E245" s="123"/>
      <c r="F245" s="91"/>
      <c r="G245" s="92"/>
      <c r="H245" s="93"/>
      <c r="I245" s="94"/>
      <c r="J245" s="91"/>
      <c r="K245" s="92"/>
      <c r="L245" s="93"/>
      <c r="M245" s="94"/>
      <c r="N245" s="91"/>
      <c r="O245" s="123"/>
      <c r="P245" s="96"/>
      <c r="Q245" s="97" t="str">
        <f aca="false">IF(ISBLANK($C245),"",IF(E245=Constants!$B$2, TRUE(), IF(E245=Constants!$B$3, FALSE(), TRUE())))</f>
        <v/>
      </c>
      <c r="R245" s="97" t="str">
        <f aca="false">IF(ISBLANK($C245),"",IF(F245=Constants!$B$16,Constants!$B$9,IF(F245=Constants!$B$17,Constants!$B$10,Constants!$B$8)))</f>
        <v/>
      </c>
      <c r="S245" s="97" t="str">
        <f aca="false">IF(ISBLANK($C245),"",IF(COUNTA(G245:H245)=0,"",IF(AND(OR(ISBLANK(G245),AND(ISNUMBER(G245),G245&gt;=0)),OR(ISBLANK(H245),AND(ISNUMBER(H245),H245&gt;=0))),60*IF(ISBLANK(G245),0,G245)+IF(ISBLANK(H245),0,H245),"")))</f>
        <v/>
      </c>
      <c r="T245" s="97" t="str">
        <f aca="false">IF(ISBLANK($C245),"",IF(I245=Constants!$B$2, TRUE(), IF(I245=Constants!$B$3, FALSE(), TRUE())))</f>
        <v/>
      </c>
      <c r="U245" s="97" t="str">
        <f aca="false">IF(ISBLANK($C245),"",IF(J245=Constants!$B$2, TRUE(), IF(J245=Constants!$B$3, FALSE(), TRUE())))</f>
        <v/>
      </c>
      <c r="V245" s="97" t="str">
        <f aca="false">IF(ISBLANK($C245),"",IF(COUNTA(K245:L245)=0,"",IF(AND(OR(ISBLANK(K245),AND(ISNUMBER(K245),K245&gt;=0)),OR(ISBLANK(L245),AND(ISNUMBER(L245),L245&gt;=0))),60*IF(ISBLANK(K245),0,K245)+IF(ISBLANK(L245),0,L245),"")))</f>
        <v/>
      </c>
      <c r="W245" s="97" t="str">
        <f aca="false">IF(ISBLANK($C245),"",IF(M245=Constants!$B$2, TRUE(), IF(M245=Constants!$B$3, FALSE(), TRUE())))</f>
        <v/>
      </c>
      <c r="X245" s="97" t="str">
        <f aca="false">IF(ISBLANK($C245),"",IF(N245=Constants!$B$2, TRUE(), IF(N245=Constants!$B$3, FALSE(), TRUE())))</f>
        <v/>
      </c>
      <c r="Y245" s="97" t="str">
        <f aca="false">IF(ISBLANK($C245),"",IF(O245=Constants!$B$2, TRUE(), IF(O245=Constants!$B$3, FALSE(), FALSE())))</f>
        <v/>
      </c>
      <c r="Z245" s="97" t="str">
        <f aca="false">IF(ISBLANK($C245),"",AND(S245&lt;&gt;"",Q245))</f>
        <v/>
      </c>
      <c r="AA245" s="97" t="str">
        <f aca="false">IF(ISBLANK($C245),"",AND(V245&lt;&gt;"",Q245))</f>
        <v/>
      </c>
      <c r="AB245" s="97" t="str">
        <f aca="false">IF(ISBLANK($C245),"",IF(Y245,Constants!$B$4,IF(COUNTA(E245:N245)=0,Constants!$B$5,IF(NOT(Q245),Constants!$B$6,IF(AND(NOT(Z245),NOT(AA245)),Constants!$B$6,Constants!$B$7)))))</f>
        <v/>
      </c>
      <c r="AC245" s="97" t="str">
        <f aca="false">IF(ISBLANK($C245),"",IF($AB245&lt;&gt;Constants!$B$7,$AB245,Constants!$B$20))</f>
        <v/>
      </c>
      <c r="AD245" s="97" t="str">
        <f aca="false">IF($AB245=Constants!$B$7,IF(Z245,S245,Constants!$B$13),"")</f>
        <v/>
      </c>
      <c r="AE245" s="97" t="str">
        <f aca="false">IF($AB245=Constants!$B$7,IF(Z245,R245*IF(T245, 1, Constants!$B$11)*IF(U245, 1, Constants!$B$12),Constants!$B$13),"")</f>
        <v/>
      </c>
      <c r="AF245" s="97" t="str">
        <f aca="false">IF($AB245=Constants!$B$7,AD245*AE245,"")</f>
        <v/>
      </c>
      <c r="AG245" s="97" t="str">
        <f aca="false">IF($AB245=Constants!$B$7,IF(AA245,V245,Constants!$B$13),"")</f>
        <v/>
      </c>
      <c r="AH245" s="97" t="str">
        <f aca="false">IF($AB245=Constants!$B$7,IF(AA245,R245*IF(W245, 1, Constants!$B$11)*IF(X245, 1, Constants!$B$12),Constants!$B$13),"")</f>
        <v/>
      </c>
      <c r="AI245" s="97" t="str">
        <f aca="false">IF($AB245=Constants!$B$7,AG245*AH245,"")</f>
        <v/>
      </c>
      <c r="AJ245" s="97" t="str">
        <f aca="false">IF($AB245=Constants!$B$7,IF(AI245&gt;AF245,2,1),"")</f>
        <v/>
      </c>
      <c r="AK245" s="97" t="str">
        <f aca="false">IF($AB245=Constants!$B$7,IF(AJ245=1,2,1),"")</f>
        <v/>
      </c>
      <c r="AL245" s="97" t="str">
        <f aca="false">IF(ISBLANK($C245),"",IF($AB245&lt;&gt;Constants!$B$7,$AB245,IF(AJ245=1,AF245,AI245)))</f>
        <v/>
      </c>
      <c r="AM245" s="97" t="str">
        <f aca="false">IF(ISBLANK($C245),"",IF($AB245=Constants!$B$7,IF(ISNUMBER(AL245),RANK(AL245,$AL$8:$AL$507),Constants!$B$14),$AB245))</f>
        <v/>
      </c>
      <c r="AN245" s="97" t="str">
        <f aca="false">IF(ISBLANK($C245),"",IF($AB245=Constants!$B$7,IF(AK245=1,AF245,AI245),""))</f>
        <v/>
      </c>
      <c r="AO245" s="97" t="str">
        <f aca="false">IF(ISBLANK($C245),"",IF($AB245=Constants!$B$7,RANK(AN245,$AN$8:$AN$507),$AB245))</f>
        <v/>
      </c>
      <c r="AP245" s="97" t="str">
        <f aca="false">IF(ISBLANK($C245),"",IF($AB245=Constants!$B$7,IF(ISNUMBER(AM245),COUNTIFS($AM$8:$AM$507,"&lt;"&amp;$AM245)+COUNTIFS($AM$8:$AM$507,$AM245,$AO$8:$AO$507,"&lt;"&amp;$AO245)+1,Constants!$B$14),$AB245))</f>
        <v/>
      </c>
      <c r="AQ245" s="97" t="str">
        <f aca="false">IF(ISBLANK($C245),"",IF($AB245=Constants!$B$7,IF(ISNUMBER(AM245),AM245-AP245,Constants!$B$14),$AB245))</f>
        <v/>
      </c>
      <c r="AR245" s="98"/>
      <c r="AS245" s="99" t="str">
        <f aca="false">IF(ISBLANK($C245),"",IF($AB245&lt;&gt;Constants!$B$7,"",AJ245))</f>
        <v/>
      </c>
      <c r="AT245" s="100" t="str">
        <f aca="false">IF(ISBLANK($C245),"",IF($AB245&lt;&gt;Constants!$B$7,"",IF(AJ245=1,AD245,AG245)))</f>
        <v/>
      </c>
      <c r="AU245" s="101" t="str">
        <f aca="false">IF(ISBLANK($C245),"",IF($AB245&lt;&gt;Constants!$B$7,"",IF(AJ245=1,AE245,AH245)))</f>
        <v/>
      </c>
      <c r="AV245" s="102" t="str">
        <f aca="false">IF(ISBLANK($C245),"",IF($AB245&lt;&gt;Constants!$B$7,$AB245,AL245))</f>
        <v/>
      </c>
      <c r="AW245" s="103" t="str">
        <f aca="false">IF(ISBLANK($C245),"",IF($AB245&lt;&gt;Constants!$B$7,$AB245,AC245))</f>
        <v/>
      </c>
      <c r="AX245" s="104" t="str">
        <f aca="false">IF(ISBLANK($C245),"",AQ245)</f>
        <v/>
      </c>
      <c r="AY245" s="104" t="str">
        <f aca="false">IF(ISBLANK($C245),"",AP245)</f>
        <v/>
      </c>
      <c r="AZ245" s="105" t="str">
        <f aca="false">IF(ISBLANK($C245),"",IF(AY245=Constants!$B$4,COUNTA($C$8:$C$507)+2,IF(AY245=Constants!$B$5,COUNTA($C$8:$C$507)+1,IF(AY245=Constants!$B$6,COUNTA($C$8:$C$507),AY245))))</f>
        <v/>
      </c>
      <c r="BA245" s="5"/>
      <c r="BB245" s="106" t="n">
        <f aca="false">IF(OR(ISNUMBER(AY245),AY245=Constants!$B$4,AY245=Constants!$B$6,AY245=Constants!$B$5),1,0)</f>
        <v>0</v>
      </c>
      <c r="BC245" s="106" t="n">
        <v>238</v>
      </c>
      <c r="BD245" s="106" t="str">
        <f aca="false">IF(ISBLANK($C245),"",IF(ISNUMBER(AZ245),AZ245+ROW($B245)/1000,""))</f>
        <v/>
      </c>
      <c r="BE245" s="106" t="str">
        <f aca="false">IF(ISNUMBER(BD245),RANK(BD245,$BD$8:$BD$507,1),"")</f>
        <v/>
      </c>
      <c r="BF245" s="106" t="str">
        <f aca="false">IF(ISBLANK($C245),"",$B245)</f>
        <v/>
      </c>
      <c r="BG245" s="106" t="str">
        <f aca="false">IF(ISBLANK($C245),"",$C245)</f>
        <v/>
      </c>
      <c r="BH245" s="106" t="str">
        <f aca="false">IF(ISBLANK($C245),"",$D245)</f>
        <v/>
      </c>
      <c r="BI245" s="107" t="str">
        <f aca="false">AW245</f>
        <v/>
      </c>
      <c r="BJ245" s="108" t="str">
        <f aca="false">AV245</f>
        <v/>
      </c>
      <c r="BK245" s="106" t="str">
        <f aca="false">IF(ISBLANK($C245),"",AY245)</f>
        <v/>
      </c>
      <c r="BL245" s="109" t="str">
        <f aca="false">IF($BC245&gt;$BB$7,"",VLOOKUP($BC245,$BE$8:$BK$507,7,FALSE()))</f>
        <v/>
      </c>
      <c r="BM245" s="110" t="str">
        <f aca="false">IF($BC245&gt;$BB$7,"",VLOOKUP($BC245,$BE$8:$BK$507,2,FALSE()))</f>
        <v/>
      </c>
      <c r="BN245" s="110" t="str">
        <f aca="false">IF($BC245&gt;$BB$7,"",VLOOKUP($BC245,$BE$8:$BK$507,3,FALSE()))</f>
        <v/>
      </c>
      <c r="BO245" s="110" t="str">
        <f aca="false">IF($BC245&gt;$BB$7,"",VLOOKUP($BC245,$BE$8:$BK$507,4,FALSE()))</f>
        <v/>
      </c>
      <c r="BP245" s="110" t="str">
        <f aca="false">IF($BC245&gt;$BB$7,"",VLOOKUP($BC245,$BE$8:$BK$507,5,FALSE()))</f>
        <v/>
      </c>
      <c r="BQ245" s="111" t="str">
        <f aca="false">IF($BC245&gt;$BB$7,"",VLOOKUP($BC245,$BE$8:$BK$507,6,FALSE()))</f>
        <v/>
      </c>
      <c r="BR245" s="54"/>
    </row>
    <row r="246" customFormat="false" ht="15.75" hidden="false" customHeight="false" outlineLevel="0" collapsed="false">
      <c r="A246" s="5"/>
      <c r="B246" s="120"/>
      <c r="C246" s="121"/>
      <c r="D246" s="112"/>
      <c r="E246" s="123"/>
      <c r="F246" s="91"/>
      <c r="G246" s="92"/>
      <c r="H246" s="93"/>
      <c r="I246" s="94"/>
      <c r="J246" s="91"/>
      <c r="K246" s="92"/>
      <c r="L246" s="93"/>
      <c r="M246" s="94"/>
      <c r="N246" s="91"/>
      <c r="O246" s="123"/>
      <c r="P246" s="96"/>
      <c r="Q246" s="97" t="str">
        <f aca="false">IF(ISBLANK($C246),"",IF(E246=Constants!$B$2, TRUE(), IF(E246=Constants!$B$3, FALSE(), TRUE())))</f>
        <v/>
      </c>
      <c r="R246" s="97" t="str">
        <f aca="false">IF(ISBLANK($C246),"",IF(F246=Constants!$B$16,Constants!$B$9,IF(F246=Constants!$B$17,Constants!$B$10,Constants!$B$8)))</f>
        <v/>
      </c>
      <c r="S246" s="97" t="str">
        <f aca="false">IF(ISBLANK($C246),"",IF(COUNTA(G246:H246)=0,"",IF(AND(OR(ISBLANK(G246),AND(ISNUMBER(G246),G246&gt;=0)),OR(ISBLANK(H246),AND(ISNUMBER(H246),H246&gt;=0))),60*IF(ISBLANK(G246),0,G246)+IF(ISBLANK(H246),0,H246),"")))</f>
        <v/>
      </c>
      <c r="T246" s="97" t="str">
        <f aca="false">IF(ISBLANK($C246),"",IF(I246=Constants!$B$2, TRUE(), IF(I246=Constants!$B$3, FALSE(), TRUE())))</f>
        <v/>
      </c>
      <c r="U246" s="97" t="str">
        <f aca="false">IF(ISBLANK($C246),"",IF(J246=Constants!$B$2, TRUE(), IF(J246=Constants!$B$3, FALSE(), TRUE())))</f>
        <v/>
      </c>
      <c r="V246" s="97" t="str">
        <f aca="false">IF(ISBLANK($C246),"",IF(COUNTA(K246:L246)=0,"",IF(AND(OR(ISBLANK(K246),AND(ISNUMBER(K246),K246&gt;=0)),OR(ISBLANK(L246),AND(ISNUMBER(L246),L246&gt;=0))),60*IF(ISBLANK(K246),0,K246)+IF(ISBLANK(L246),0,L246),"")))</f>
        <v/>
      </c>
      <c r="W246" s="97" t="str">
        <f aca="false">IF(ISBLANK($C246),"",IF(M246=Constants!$B$2, TRUE(), IF(M246=Constants!$B$3, FALSE(), TRUE())))</f>
        <v/>
      </c>
      <c r="X246" s="97" t="str">
        <f aca="false">IF(ISBLANK($C246),"",IF(N246=Constants!$B$2, TRUE(), IF(N246=Constants!$B$3, FALSE(), TRUE())))</f>
        <v/>
      </c>
      <c r="Y246" s="97" t="str">
        <f aca="false">IF(ISBLANK($C246),"",IF(O246=Constants!$B$2, TRUE(), IF(O246=Constants!$B$3, FALSE(), FALSE())))</f>
        <v/>
      </c>
      <c r="Z246" s="97" t="str">
        <f aca="false">IF(ISBLANK($C246),"",AND(S246&lt;&gt;"",Q246))</f>
        <v/>
      </c>
      <c r="AA246" s="97" t="str">
        <f aca="false">IF(ISBLANK($C246),"",AND(V246&lt;&gt;"",Q246))</f>
        <v/>
      </c>
      <c r="AB246" s="97" t="str">
        <f aca="false">IF(ISBLANK($C246),"",IF(Y246,Constants!$B$4,IF(COUNTA(E246:N246)=0,Constants!$B$5,IF(NOT(Q246),Constants!$B$6,IF(AND(NOT(Z246),NOT(AA246)),Constants!$B$6,Constants!$B$7)))))</f>
        <v/>
      </c>
      <c r="AC246" s="97" t="str">
        <f aca="false">IF(ISBLANK($C246),"",IF($AB246&lt;&gt;Constants!$B$7,$AB246,Constants!$B$20))</f>
        <v/>
      </c>
      <c r="AD246" s="97" t="str">
        <f aca="false">IF($AB246=Constants!$B$7,IF(Z246,S246,Constants!$B$13),"")</f>
        <v/>
      </c>
      <c r="AE246" s="97" t="str">
        <f aca="false">IF($AB246=Constants!$B$7,IF(Z246,R246*IF(T246, 1, Constants!$B$11)*IF(U246, 1, Constants!$B$12),Constants!$B$13),"")</f>
        <v/>
      </c>
      <c r="AF246" s="97" t="str">
        <f aca="false">IF($AB246=Constants!$B$7,AD246*AE246,"")</f>
        <v/>
      </c>
      <c r="AG246" s="97" t="str">
        <f aca="false">IF($AB246=Constants!$B$7,IF(AA246,V246,Constants!$B$13),"")</f>
        <v/>
      </c>
      <c r="AH246" s="97" t="str">
        <f aca="false">IF($AB246=Constants!$B$7,IF(AA246,R246*IF(W246, 1, Constants!$B$11)*IF(X246, 1, Constants!$B$12),Constants!$B$13),"")</f>
        <v/>
      </c>
      <c r="AI246" s="97" t="str">
        <f aca="false">IF($AB246=Constants!$B$7,AG246*AH246,"")</f>
        <v/>
      </c>
      <c r="AJ246" s="97" t="str">
        <f aca="false">IF($AB246=Constants!$B$7,IF(AI246&gt;AF246,2,1),"")</f>
        <v/>
      </c>
      <c r="AK246" s="97" t="str">
        <f aca="false">IF($AB246=Constants!$B$7,IF(AJ246=1,2,1),"")</f>
        <v/>
      </c>
      <c r="AL246" s="97" t="str">
        <f aca="false">IF(ISBLANK($C246),"",IF($AB246&lt;&gt;Constants!$B$7,$AB246,IF(AJ246=1,AF246,AI246)))</f>
        <v/>
      </c>
      <c r="AM246" s="97" t="str">
        <f aca="false">IF(ISBLANK($C246),"",IF($AB246=Constants!$B$7,IF(ISNUMBER(AL246),RANK(AL246,$AL$8:$AL$507),Constants!$B$14),$AB246))</f>
        <v/>
      </c>
      <c r="AN246" s="97" t="str">
        <f aca="false">IF(ISBLANK($C246),"",IF($AB246=Constants!$B$7,IF(AK246=1,AF246,AI246),""))</f>
        <v/>
      </c>
      <c r="AO246" s="97" t="str">
        <f aca="false">IF(ISBLANK($C246),"",IF($AB246=Constants!$B$7,RANK(AN246,$AN$8:$AN$507),$AB246))</f>
        <v/>
      </c>
      <c r="AP246" s="97" t="str">
        <f aca="false">IF(ISBLANK($C246),"",IF($AB246=Constants!$B$7,IF(ISNUMBER(AM246),COUNTIFS($AM$8:$AM$507,"&lt;"&amp;$AM246)+COUNTIFS($AM$8:$AM$507,$AM246,$AO$8:$AO$507,"&lt;"&amp;$AO246)+1,Constants!$B$14),$AB246))</f>
        <v/>
      </c>
      <c r="AQ246" s="97" t="str">
        <f aca="false">IF(ISBLANK($C246),"",IF($AB246=Constants!$B$7,IF(ISNUMBER(AM246),AM246-AP246,Constants!$B$14),$AB246))</f>
        <v/>
      </c>
      <c r="AR246" s="98"/>
      <c r="AS246" s="99" t="str">
        <f aca="false">IF(ISBLANK($C246),"",IF($AB246&lt;&gt;Constants!$B$7,"",AJ246))</f>
        <v/>
      </c>
      <c r="AT246" s="100" t="str">
        <f aca="false">IF(ISBLANK($C246),"",IF($AB246&lt;&gt;Constants!$B$7,"",IF(AJ246=1,AD246,AG246)))</f>
        <v/>
      </c>
      <c r="AU246" s="101" t="str">
        <f aca="false">IF(ISBLANK($C246),"",IF($AB246&lt;&gt;Constants!$B$7,"",IF(AJ246=1,AE246,AH246)))</f>
        <v/>
      </c>
      <c r="AV246" s="102" t="str">
        <f aca="false">IF(ISBLANK($C246),"",IF($AB246&lt;&gt;Constants!$B$7,$AB246,AL246))</f>
        <v/>
      </c>
      <c r="AW246" s="103" t="str">
        <f aca="false">IF(ISBLANK($C246),"",IF($AB246&lt;&gt;Constants!$B$7,$AB246,AC246))</f>
        <v/>
      </c>
      <c r="AX246" s="104" t="str">
        <f aca="false">IF(ISBLANK($C246),"",AQ246)</f>
        <v/>
      </c>
      <c r="AY246" s="104" t="str">
        <f aca="false">IF(ISBLANK($C246),"",AP246)</f>
        <v/>
      </c>
      <c r="AZ246" s="105" t="str">
        <f aca="false">IF(ISBLANK($C246),"",IF(AY246=Constants!$B$4,COUNTA($C$8:$C$507)+2,IF(AY246=Constants!$B$5,COUNTA($C$8:$C$507)+1,IF(AY246=Constants!$B$6,COUNTA($C$8:$C$507),AY246))))</f>
        <v/>
      </c>
      <c r="BA246" s="5"/>
      <c r="BB246" s="106" t="n">
        <f aca="false">IF(OR(ISNUMBER(AY246),AY246=Constants!$B$4,AY246=Constants!$B$6,AY246=Constants!$B$5),1,0)</f>
        <v>0</v>
      </c>
      <c r="BC246" s="106" t="n">
        <v>239</v>
      </c>
      <c r="BD246" s="106" t="str">
        <f aca="false">IF(ISBLANK($C246),"",IF(ISNUMBER(AZ246),AZ246+ROW($B246)/1000,""))</f>
        <v/>
      </c>
      <c r="BE246" s="106" t="str">
        <f aca="false">IF(ISNUMBER(BD246),RANK(BD246,$BD$8:$BD$507,1),"")</f>
        <v/>
      </c>
      <c r="BF246" s="106" t="str">
        <f aca="false">IF(ISBLANK($C246),"",$B246)</f>
        <v/>
      </c>
      <c r="BG246" s="106" t="str">
        <f aca="false">IF(ISBLANK($C246),"",$C246)</f>
        <v/>
      </c>
      <c r="BH246" s="106" t="str">
        <f aca="false">IF(ISBLANK($C246),"",$D246)</f>
        <v/>
      </c>
      <c r="BI246" s="107" t="str">
        <f aca="false">AW246</f>
        <v/>
      </c>
      <c r="BJ246" s="108" t="str">
        <f aca="false">AV246</f>
        <v/>
      </c>
      <c r="BK246" s="106" t="str">
        <f aca="false">IF(ISBLANK($C246),"",AY246)</f>
        <v/>
      </c>
      <c r="BL246" s="109" t="str">
        <f aca="false">IF($BC246&gt;$BB$7,"",VLOOKUP($BC246,$BE$8:$BK$507,7,FALSE()))</f>
        <v/>
      </c>
      <c r="BM246" s="110" t="str">
        <f aca="false">IF($BC246&gt;$BB$7,"",VLOOKUP($BC246,$BE$8:$BK$507,2,FALSE()))</f>
        <v/>
      </c>
      <c r="BN246" s="110" t="str">
        <f aca="false">IF($BC246&gt;$BB$7,"",VLOOKUP($BC246,$BE$8:$BK$507,3,FALSE()))</f>
        <v/>
      </c>
      <c r="BO246" s="110" t="str">
        <f aca="false">IF($BC246&gt;$BB$7,"",VLOOKUP($BC246,$BE$8:$BK$507,4,FALSE()))</f>
        <v/>
      </c>
      <c r="BP246" s="110" t="str">
        <f aca="false">IF($BC246&gt;$BB$7,"",VLOOKUP($BC246,$BE$8:$BK$507,5,FALSE()))</f>
        <v/>
      </c>
      <c r="BQ246" s="111" t="str">
        <f aca="false">IF($BC246&gt;$BB$7,"",VLOOKUP($BC246,$BE$8:$BK$507,6,FALSE()))</f>
        <v/>
      </c>
      <c r="BR246" s="54"/>
    </row>
    <row r="247" customFormat="false" ht="15.75" hidden="false" customHeight="false" outlineLevel="0" collapsed="false">
      <c r="A247" s="5"/>
      <c r="B247" s="120"/>
      <c r="C247" s="121"/>
      <c r="D247" s="112"/>
      <c r="E247" s="123"/>
      <c r="F247" s="91"/>
      <c r="G247" s="92"/>
      <c r="H247" s="93"/>
      <c r="I247" s="94"/>
      <c r="J247" s="91"/>
      <c r="K247" s="92"/>
      <c r="L247" s="93"/>
      <c r="M247" s="94"/>
      <c r="N247" s="91"/>
      <c r="O247" s="123"/>
      <c r="P247" s="96"/>
      <c r="Q247" s="97" t="str">
        <f aca="false">IF(ISBLANK($C247),"",IF(E247=Constants!$B$2, TRUE(), IF(E247=Constants!$B$3, FALSE(), TRUE())))</f>
        <v/>
      </c>
      <c r="R247" s="97" t="str">
        <f aca="false">IF(ISBLANK($C247),"",IF(F247=Constants!$B$16,Constants!$B$9,IF(F247=Constants!$B$17,Constants!$B$10,Constants!$B$8)))</f>
        <v/>
      </c>
      <c r="S247" s="97" t="str">
        <f aca="false">IF(ISBLANK($C247),"",IF(COUNTA(G247:H247)=0,"",IF(AND(OR(ISBLANK(G247),AND(ISNUMBER(G247),G247&gt;=0)),OR(ISBLANK(H247),AND(ISNUMBER(H247),H247&gt;=0))),60*IF(ISBLANK(G247),0,G247)+IF(ISBLANK(H247),0,H247),"")))</f>
        <v/>
      </c>
      <c r="T247" s="97" t="str">
        <f aca="false">IF(ISBLANK($C247),"",IF(I247=Constants!$B$2, TRUE(), IF(I247=Constants!$B$3, FALSE(), TRUE())))</f>
        <v/>
      </c>
      <c r="U247" s="97" t="str">
        <f aca="false">IF(ISBLANK($C247),"",IF(J247=Constants!$B$2, TRUE(), IF(J247=Constants!$B$3, FALSE(), TRUE())))</f>
        <v/>
      </c>
      <c r="V247" s="97" t="str">
        <f aca="false">IF(ISBLANK($C247),"",IF(COUNTA(K247:L247)=0,"",IF(AND(OR(ISBLANK(K247),AND(ISNUMBER(K247),K247&gt;=0)),OR(ISBLANK(L247),AND(ISNUMBER(L247),L247&gt;=0))),60*IF(ISBLANK(K247),0,K247)+IF(ISBLANK(L247),0,L247),"")))</f>
        <v/>
      </c>
      <c r="W247" s="97" t="str">
        <f aca="false">IF(ISBLANK($C247),"",IF(M247=Constants!$B$2, TRUE(), IF(M247=Constants!$B$3, FALSE(), TRUE())))</f>
        <v/>
      </c>
      <c r="X247" s="97" t="str">
        <f aca="false">IF(ISBLANK($C247),"",IF(N247=Constants!$B$2, TRUE(), IF(N247=Constants!$B$3, FALSE(), TRUE())))</f>
        <v/>
      </c>
      <c r="Y247" s="97" t="str">
        <f aca="false">IF(ISBLANK($C247),"",IF(O247=Constants!$B$2, TRUE(), IF(O247=Constants!$B$3, FALSE(), FALSE())))</f>
        <v/>
      </c>
      <c r="Z247" s="97" t="str">
        <f aca="false">IF(ISBLANK($C247),"",AND(S247&lt;&gt;"",Q247))</f>
        <v/>
      </c>
      <c r="AA247" s="97" t="str">
        <f aca="false">IF(ISBLANK($C247),"",AND(V247&lt;&gt;"",Q247))</f>
        <v/>
      </c>
      <c r="AB247" s="97" t="str">
        <f aca="false">IF(ISBLANK($C247),"",IF(Y247,Constants!$B$4,IF(COUNTA(E247:N247)=0,Constants!$B$5,IF(NOT(Q247),Constants!$B$6,IF(AND(NOT(Z247),NOT(AA247)),Constants!$B$6,Constants!$B$7)))))</f>
        <v/>
      </c>
      <c r="AC247" s="97" t="str">
        <f aca="false">IF(ISBLANK($C247),"",IF($AB247&lt;&gt;Constants!$B$7,$AB247,Constants!$B$20))</f>
        <v/>
      </c>
      <c r="AD247" s="97" t="str">
        <f aca="false">IF($AB247=Constants!$B$7,IF(Z247,S247,Constants!$B$13),"")</f>
        <v/>
      </c>
      <c r="AE247" s="97" t="str">
        <f aca="false">IF($AB247=Constants!$B$7,IF(Z247,R247*IF(T247, 1, Constants!$B$11)*IF(U247, 1, Constants!$B$12),Constants!$B$13),"")</f>
        <v/>
      </c>
      <c r="AF247" s="97" t="str">
        <f aca="false">IF($AB247=Constants!$B$7,AD247*AE247,"")</f>
        <v/>
      </c>
      <c r="AG247" s="97" t="str">
        <f aca="false">IF($AB247=Constants!$B$7,IF(AA247,V247,Constants!$B$13),"")</f>
        <v/>
      </c>
      <c r="AH247" s="97" t="str">
        <f aca="false">IF($AB247=Constants!$B$7,IF(AA247,R247*IF(W247, 1, Constants!$B$11)*IF(X247, 1, Constants!$B$12),Constants!$B$13),"")</f>
        <v/>
      </c>
      <c r="AI247" s="97" t="str">
        <f aca="false">IF($AB247=Constants!$B$7,AG247*AH247,"")</f>
        <v/>
      </c>
      <c r="AJ247" s="97" t="str">
        <f aca="false">IF($AB247=Constants!$B$7,IF(AI247&gt;AF247,2,1),"")</f>
        <v/>
      </c>
      <c r="AK247" s="97" t="str">
        <f aca="false">IF($AB247=Constants!$B$7,IF(AJ247=1,2,1),"")</f>
        <v/>
      </c>
      <c r="AL247" s="97" t="str">
        <f aca="false">IF(ISBLANK($C247),"",IF($AB247&lt;&gt;Constants!$B$7,$AB247,IF(AJ247=1,AF247,AI247)))</f>
        <v/>
      </c>
      <c r="AM247" s="97" t="str">
        <f aca="false">IF(ISBLANK($C247),"",IF($AB247=Constants!$B$7,IF(ISNUMBER(AL247),RANK(AL247,$AL$8:$AL$507),Constants!$B$14),$AB247))</f>
        <v/>
      </c>
      <c r="AN247" s="97" t="str">
        <f aca="false">IF(ISBLANK($C247),"",IF($AB247=Constants!$B$7,IF(AK247=1,AF247,AI247),""))</f>
        <v/>
      </c>
      <c r="AO247" s="97" t="str">
        <f aca="false">IF(ISBLANK($C247),"",IF($AB247=Constants!$B$7,RANK(AN247,$AN$8:$AN$507),$AB247))</f>
        <v/>
      </c>
      <c r="AP247" s="97" t="str">
        <f aca="false">IF(ISBLANK($C247),"",IF($AB247=Constants!$B$7,IF(ISNUMBER(AM247),COUNTIFS($AM$8:$AM$507,"&lt;"&amp;$AM247)+COUNTIFS($AM$8:$AM$507,$AM247,$AO$8:$AO$507,"&lt;"&amp;$AO247)+1,Constants!$B$14),$AB247))</f>
        <v/>
      </c>
      <c r="AQ247" s="97" t="str">
        <f aca="false">IF(ISBLANK($C247),"",IF($AB247=Constants!$B$7,IF(ISNUMBER(AM247),AM247-AP247,Constants!$B$14),$AB247))</f>
        <v/>
      </c>
      <c r="AR247" s="98"/>
      <c r="AS247" s="99" t="str">
        <f aca="false">IF(ISBLANK($C247),"",IF($AB247&lt;&gt;Constants!$B$7,"",AJ247))</f>
        <v/>
      </c>
      <c r="AT247" s="100" t="str">
        <f aca="false">IF(ISBLANK($C247),"",IF($AB247&lt;&gt;Constants!$B$7,"",IF(AJ247=1,AD247,AG247)))</f>
        <v/>
      </c>
      <c r="AU247" s="101" t="str">
        <f aca="false">IF(ISBLANK($C247),"",IF($AB247&lt;&gt;Constants!$B$7,"",IF(AJ247=1,AE247,AH247)))</f>
        <v/>
      </c>
      <c r="AV247" s="102" t="str">
        <f aca="false">IF(ISBLANK($C247),"",IF($AB247&lt;&gt;Constants!$B$7,$AB247,AL247))</f>
        <v/>
      </c>
      <c r="AW247" s="103" t="str">
        <f aca="false">IF(ISBLANK($C247),"",IF($AB247&lt;&gt;Constants!$B$7,$AB247,AC247))</f>
        <v/>
      </c>
      <c r="AX247" s="104" t="str">
        <f aca="false">IF(ISBLANK($C247),"",AQ247)</f>
        <v/>
      </c>
      <c r="AY247" s="104" t="str">
        <f aca="false">IF(ISBLANK($C247),"",AP247)</f>
        <v/>
      </c>
      <c r="AZ247" s="105" t="str">
        <f aca="false">IF(ISBLANK($C247),"",IF(AY247=Constants!$B$4,COUNTA($C$8:$C$507)+2,IF(AY247=Constants!$B$5,COUNTA($C$8:$C$507)+1,IF(AY247=Constants!$B$6,COUNTA($C$8:$C$507),AY247))))</f>
        <v/>
      </c>
      <c r="BA247" s="5"/>
      <c r="BB247" s="106" t="n">
        <f aca="false">IF(OR(ISNUMBER(AY247),AY247=Constants!$B$4,AY247=Constants!$B$6,AY247=Constants!$B$5),1,0)</f>
        <v>0</v>
      </c>
      <c r="BC247" s="106" t="n">
        <v>240</v>
      </c>
      <c r="BD247" s="106" t="str">
        <f aca="false">IF(ISBLANK($C247),"",IF(ISNUMBER(AZ247),AZ247+ROW($B247)/1000,""))</f>
        <v/>
      </c>
      <c r="BE247" s="106" t="str">
        <f aca="false">IF(ISNUMBER(BD247),RANK(BD247,$BD$8:$BD$507,1),"")</f>
        <v/>
      </c>
      <c r="BF247" s="106" t="str">
        <f aca="false">IF(ISBLANK($C247),"",$B247)</f>
        <v/>
      </c>
      <c r="BG247" s="106" t="str">
        <f aca="false">IF(ISBLANK($C247),"",$C247)</f>
        <v/>
      </c>
      <c r="BH247" s="106" t="str">
        <f aca="false">IF(ISBLANK($C247),"",$D247)</f>
        <v/>
      </c>
      <c r="BI247" s="107" t="str">
        <f aca="false">AW247</f>
        <v/>
      </c>
      <c r="BJ247" s="108" t="str">
        <f aca="false">AV247</f>
        <v/>
      </c>
      <c r="BK247" s="106" t="str">
        <f aca="false">IF(ISBLANK($C247),"",AY247)</f>
        <v/>
      </c>
      <c r="BL247" s="109" t="str">
        <f aca="false">IF($BC247&gt;$BB$7,"",VLOOKUP($BC247,$BE$8:$BK$507,7,FALSE()))</f>
        <v/>
      </c>
      <c r="BM247" s="110" t="str">
        <f aca="false">IF($BC247&gt;$BB$7,"",VLOOKUP($BC247,$BE$8:$BK$507,2,FALSE()))</f>
        <v/>
      </c>
      <c r="BN247" s="110" t="str">
        <f aca="false">IF($BC247&gt;$BB$7,"",VLOOKUP($BC247,$BE$8:$BK$507,3,FALSE()))</f>
        <v/>
      </c>
      <c r="BO247" s="110" t="str">
        <f aca="false">IF($BC247&gt;$BB$7,"",VLOOKUP($BC247,$BE$8:$BK$507,4,FALSE()))</f>
        <v/>
      </c>
      <c r="BP247" s="110" t="str">
        <f aca="false">IF($BC247&gt;$BB$7,"",VLOOKUP($BC247,$BE$8:$BK$507,5,FALSE()))</f>
        <v/>
      </c>
      <c r="BQ247" s="111" t="str">
        <f aca="false">IF($BC247&gt;$BB$7,"",VLOOKUP($BC247,$BE$8:$BK$507,6,FALSE()))</f>
        <v/>
      </c>
      <c r="BR247" s="54"/>
    </row>
    <row r="248" customFormat="false" ht="15.75" hidden="false" customHeight="false" outlineLevel="0" collapsed="false">
      <c r="A248" s="5"/>
      <c r="B248" s="124"/>
      <c r="C248" s="56"/>
      <c r="D248" s="57"/>
      <c r="E248" s="83"/>
      <c r="F248" s="59"/>
      <c r="G248" s="60"/>
      <c r="H248" s="61"/>
      <c r="I248" s="62"/>
      <c r="J248" s="59"/>
      <c r="K248" s="60"/>
      <c r="L248" s="61"/>
      <c r="M248" s="62"/>
      <c r="N248" s="59"/>
      <c r="O248" s="83"/>
      <c r="P248" s="64"/>
      <c r="Q248" s="66" t="str">
        <f aca="false">IF(ISBLANK($C248),"",IF(E248=Constants!$B$2, TRUE(), IF(E248=Constants!$B$3, FALSE(), TRUE())))</f>
        <v/>
      </c>
      <c r="R248" s="66" t="str">
        <f aca="false">IF(ISBLANK($C248),"",IF(F248=Constants!$B$16,Constants!$B$9,IF(F248=Constants!$B$17,Constants!$B$10,Constants!$B$8)))</f>
        <v/>
      </c>
      <c r="S248" s="66" t="str">
        <f aca="false">IF(ISBLANK($C248),"",IF(COUNTA(G248:H248)=0,"",IF(AND(OR(ISBLANK(G248),AND(ISNUMBER(G248),G248&gt;=0)),OR(ISBLANK(H248),AND(ISNUMBER(H248),H248&gt;=0))),60*IF(ISBLANK(G248),0,G248)+IF(ISBLANK(H248),0,H248),"")))</f>
        <v/>
      </c>
      <c r="T248" s="66" t="str">
        <f aca="false">IF(ISBLANK($C248),"",IF(I248=Constants!$B$2, TRUE(), IF(I248=Constants!$B$3, FALSE(), TRUE())))</f>
        <v/>
      </c>
      <c r="U248" s="66" t="str">
        <f aca="false">IF(ISBLANK($C248),"",IF(J248=Constants!$B$2, TRUE(), IF(J248=Constants!$B$3, FALSE(), TRUE())))</f>
        <v/>
      </c>
      <c r="V248" s="66" t="str">
        <f aca="false">IF(ISBLANK($C248),"",IF(COUNTA(K248:L248)=0,"",IF(AND(OR(ISBLANK(K248),AND(ISNUMBER(K248),K248&gt;=0)),OR(ISBLANK(L248),AND(ISNUMBER(L248),L248&gt;=0))),60*IF(ISBLANK(K248),0,K248)+IF(ISBLANK(L248),0,L248),"")))</f>
        <v/>
      </c>
      <c r="W248" s="66" t="str">
        <f aca="false">IF(ISBLANK($C248),"",IF(M248=Constants!$B$2, TRUE(), IF(M248=Constants!$B$3, FALSE(), TRUE())))</f>
        <v/>
      </c>
      <c r="X248" s="66" t="str">
        <f aca="false">IF(ISBLANK($C248),"",IF(N248=Constants!$B$2, TRUE(), IF(N248=Constants!$B$3, FALSE(), TRUE())))</f>
        <v/>
      </c>
      <c r="Y248" s="66" t="str">
        <f aca="false">IF(ISBLANK($C248),"",IF(O248=Constants!$B$2, TRUE(), IF(O248=Constants!$B$3, FALSE(), FALSE())))</f>
        <v/>
      </c>
      <c r="Z248" s="66" t="str">
        <f aca="false">IF(ISBLANK($C248),"",AND(S248&lt;&gt;"",Q248))</f>
        <v/>
      </c>
      <c r="AA248" s="66" t="str">
        <f aca="false">IF(ISBLANK($C248),"",AND(V248&lt;&gt;"",Q248))</f>
        <v/>
      </c>
      <c r="AB248" s="66" t="str">
        <f aca="false">IF(ISBLANK($C248),"",IF(Y248,Constants!$B$4,IF(COUNTA(E248:N248)=0,Constants!$B$5,IF(NOT(Q248),Constants!$B$6,IF(AND(NOT(Z248),NOT(AA248)),Constants!$B$6,Constants!$B$7)))))</f>
        <v/>
      </c>
      <c r="AC248" s="66" t="str">
        <f aca="false">IF(ISBLANK($C248),"",IF($AB248&lt;&gt;Constants!$B$7,$AB248,Constants!$B$20))</f>
        <v/>
      </c>
      <c r="AD248" s="66" t="str">
        <f aca="false">IF($AB248=Constants!$B$7,IF(Z248,S248,Constants!$B$13),"")</f>
        <v/>
      </c>
      <c r="AE248" s="66" t="str">
        <f aca="false">IF($AB248=Constants!$B$7,IF(Z248,R248*IF(T248, 1, Constants!$B$11)*IF(U248, 1, Constants!$B$12),Constants!$B$13),"")</f>
        <v/>
      </c>
      <c r="AF248" s="66" t="str">
        <f aca="false">IF($AB248=Constants!$B$7,AD248*AE248,"")</f>
        <v/>
      </c>
      <c r="AG248" s="66" t="str">
        <f aca="false">IF($AB248=Constants!$B$7,IF(AA248,V248,Constants!$B$13),"")</f>
        <v/>
      </c>
      <c r="AH248" s="66" t="str">
        <f aca="false">IF($AB248=Constants!$B$7,IF(AA248,R248*IF(W248, 1, Constants!$B$11)*IF(X248, 1, Constants!$B$12),Constants!$B$13),"")</f>
        <v/>
      </c>
      <c r="AI248" s="66" t="str">
        <f aca="false">IF($AB248=Constants!$B$7,AG248*AH248,"")</f>
        <v/>
      </c>
      <c r="AJ248" s="66" t="str">
        <f aca="false">IF($AB248=Constants!$B$7,IF(AI248&gt;AF248,2,1),"")</f>
        <v/>
      </c>
      <c r="AK248" s="66" t="str">
        <f aca="false">IF($AB248=Constants!$B$7,IF(AJ248=1,2,1),"")</f>
        <v/>
      </c>
      <c r="AL248" s="66" t="str">
        <f aca="false">IF(ISBLANK($C248),"",IF($AB248&lt;&gt;Constants!$B$7,$AB248,IF(AJ248=1,AF248,AI248)))</f>
        <v/>
      </c>
      <c r="AM248" s="66" t="str">
        <f aca="false">IF(ISBLANK($C248),"",IF($AB248=Constants!$B$7,IF(ISNUMBER(AL248),RANK(AL248,$AL$8:$AL$507),Constants!$B$14),$AB248))</f>
        <v/>
      </c>
      <c r="AN248" s="66" t="str">
        <f aca="false">IF(ISBLANK($C248),"",IF($AB248=Constants!$B$7,IF(AK248=1,AF248,AI248),""))</f>
        <v/>
      </c>
      <c r="AO248" s="66" t="str">
        <f aca="false">IF(ISBLANK($C248),"",IF($AB248=Constants!$B$7,RANK(AN248,$AN$8:$AN$507),$AB248))</f>
        <v/>
      </c>
      <c r="AP248" s="66" t="str">
        <f aca="false">IF(ISBLANK($C248),"",IF($AB248=Constants!$B$7,IF(ISNUMBER(AM248),COUNTIFS($AM$8:$AM$507,"&lt;"&amp;$AM248)+COUNTIFS($AM$8:$AM$507,$AM248,$AO$8:$AO$507,"&lt;"&amp;$AO248)+1,Constants!$B$14),$AB248))</f>
        <v/>
      </c>
      <c r="AQ248" s="66" t="str">
        <f aca="false">IF(ISBLANK($C248),"",IF($AB248=Constants!$B$7,IF(ISNUMBER(AM248),AM248-AP248,Constants!$B$14),$AB248))</f>
        <v/>
      </c>
      <c r="AR248" s="68"/>
      <c r="AS248" s="69" t="str">
        <f aca="false">IF(ISBLANK($C248),"",IF($AB248&lt;&gt;Constants!$B$7,"",AJ248))</f>
        <v/>
      </c>
      <c r="AT248" s="84" t="str">
        <f aca="false">IF(ISBLANK($C248),"",IF($AB248&lt;&gt;Constants!$B$7,"",IF(AJ248=1,AD248,AG248)))</f>
        <v/>
      </c>
      <c r="AU248" s="71" t="str">
        <f aca="false">IF(ISBLANK($C248),"",IF($AB248&lt;&gt;Constants!$B$7,"",IF(AJ248=1,AE248,AH248)))</f>
        <v/>
      </c>
      <c r="AV248" s="72" t="str">
        <f aca="false">IF(ISBLANK($C248),"",IF($AB248&lt;&gt;Constants!$B$7,$AB248,AL248))</f>
        <v/>
      </c>
      <c r="AW248" s="73" t="str">
        <f aca="false">IF(ISBLANK($C248),"",IF($AB248&lt;&gt;Constants!$B$7,$AB248,AC248))</f>
        <v/>
      </c>
      <c r="AX248" s="74" t="str">
        <f aca="false">IF(ISBLANK($C248),"",AQ248)</f>
        <v/>
      </c>
      <c r="AY248" s="74" t="str">
        <f aca="false">IF(ISBLANK($C248),"",AP248)</f>
        <v/>
      </c>
      <c r="AZ248" s="75" t="str">
        <f aca="false">IF(ISBLANK($C248),"",IF(AY248=Constants!$B$4,COUNTA($C$8:$C$507)+2,IF(AY248=Constants!$B$5,COUNTA($C$8:$C$507)+1,IF(AY248=Constants!$B$6,COUNTA($C$8:$C$507),AY248))))</f>
        <v/>
      </c>
      <c r="BA248" s="5"/>
      <c r="BB248" s="76" t="n">
        <f aca="false">IF(OR(ISNUMBER(AY248),AY248=Constants!$B$4,AY248=Constants!$B$6,AY248=Constants!$B$5),1,0)</f>
        <v>0</v>
      </c>
      <c r="BC248" s="76" t="n">
        <v>241</v>
      </c>
      <c r="BD248" s="76" t="str">
        <f aca="false">IF(ISBLANK($C248),"",IF(ISNUMBER(AZ248),AZ248+ROW($B248)/1000,""))</f>
        <v/>
      </c>
      <c r="BE248" s="76" t="str">
        <f aca="false">IF(ISNUMBER(BD248),RANK(BD248,$BD$8:$BD$507,1),"")</f>
        <v/>
      </c>
      <c r="BF248" s="76" t="str">
        <f aca="false">IF(ISBLANK($C248),"",$B248)</f>
        <v/>
      </c>
      <c r="BG248" s="76" t="str">
        <f aca="false">IF(ISBLANK($C248),"",$C248)</f>
        <v/>
      </c>
      <c r="BH248" s="76" t="str">
        <f aca="false">IF(ISBLANK($C248),"",$D248)</f>
        <v/>
      </c>
      <c r="BI248" s="77" t="str">
        <f aca="false">AW248</f>
        <v/>
      </c>
      <c r="BJ248" s="78" t="str">
        <f aca="false">AV248</f>
        <v/>
      </c>
      <c r="BK248" s="76" t="str">
        <f aca="false">IF(ISBLANK($C248),"",AY248)</f>
        <v/>
      </c>
      <c r="BL248" s="79" t="str">
        <f aca="false">IF($BC248&gt;$BB$7,"",VLOOKUP($BC248,$BE$8:$BK$507,7,FALSE()))</f>
        <v/>
      </c>
      <c r="BM248" s="80" t="str">
        <f aca="false">IF($BC248&gt;$BB$7,"",VLOOKUP($BC248,$BE$8:$BK$507,2,FALSE()))</f>
        <v/>
      </c>
      <c r="BN248" s="80" t="str">
        <f aca="false">IF($BC248&gt;$BB$7,"",VLOOKUP($BC248,$BE$8:$BK$507,3,FALSE()))</f>
        <v/>
      </c>
      <c r="BO248" s="80" t="str">
        <f aca="false">IF($BC248&gt;$BB$7,"",VLOOKUP($BC248,$BE$8:$BK$507,4,FALSE()))</f>
        <v/>
      </c>
      <c r="BP248" s="80" t="str">
        <f aca="false">IF($BC248&gt;$BB$7,"",VLOOKUP($BC248,$BE$8:$BK$507,5,FALSE()))</f>
        <v/>
      </c>
      <c r="BQ248" s="81" t="str">
        <f aca="false">IF($BC248&gt;$BB$7,"",VLOOKUP($BC248,$BE$8:$BK$507,6,FALSE()))</f>
        <v/>
      </c>
      <c r="BR248" s="54"/>
    </row>
    <row r="249" customFormat="false" ht="15.75" hidden="false" customHeight="false" outlineLevel="0" collapsed="false">
      <c r="A249" s="5"/>
      <c r="B249" s="124"/>
      <c r="C249" s="56"/>
      <c r="D249" s="57"/>
      <c r="E249" s="83"/>
      <c r="F249" s="59"/>
      <c r="G249" s="60"/>
      <c r="H249" s="61"/>
      <c r="I249" s="62"/>
      <c r="J249" s="59"/>
      <c r="K249" s="60"/>
      <c r="L249" s="61"/>
      <c r="M249" s="62"/>
      <c r="N249" s="59"/>
      <c r="O249" s="83"/>
      <c r="P249" s="64"/>
      <c r="Q249" s="66" t="str">
        <f aca="false">IF(ISBLANK($C249),"",IF(E249=Constants!$B$2, TRUE(), IF(E249=Constants!$B$3, FALSE(), TRUE())))</f>
        <v/>
      </c>
      <c r="R249" s="66" t="str">
        <f aca="false">IF(ISBLANK($C249),"",IF(F249=Constants!$B$16,Constants!$B$9,IF(F249=Constants!$B$17,Constants!$B$10,Constants!$B$8)))</f>
        <v/>
      </c>
      <c r="S249" s="66" t="str">
        <f aca="false">IF(ISBLANK($C249),"",IF(COUNTA(G249:H249)=0,"",IF(AND(OR(ISBLANK(G249),AND(ISNUMBER(G249),G249&gt;=0)),OR(ISBLANK(H249),AND(ISNUMBER(H249),H249&gt;=0))),60*IF(ISBLANK(G249),0,G249)+IF(ISBLANK(H249),0,H249),"")))</f>
        <v/>
      </c>
      <c r="T249" s="66" t="str">
        <f aca="false">IF(ISBLANK($C249),"",IF(I249=Constants!$B$2, TRUE(), IF(I249=Constants!$B$3, FALSE(), TRUE())))</f>
        <v/>
      </c>
      <c r="U249" s="66" t="str">
        <f aca="false">IF(ISBLANK($C249),"",IF(J249=Constants!$B$2, TRUE(), IF(J249=Constants!$B$3, FALSE(), TRUE())))</f>
        <v/>
      </c>
      <c r="V249" s="66" t="str">
        <f aca="false">IF(ISBLANK($C249),"",IF(COUNTA(K249:L249)=0,"",IF(AND(OR(ISBLANK(K249),AND(ISNUMBER(K249),K249&gt;=0)),OR(ISBLANK(L249),AND(ISNUMBER(L249),L249&gt;=0))),60*IF(ISBLANK(K249),0,K249)+IF(ISBLANK(L249),0,L249),"")))</f>
        <v/>
      </c>
      <c r="W249" s="66" t="str">
        <f aca="false">IF(ISBLANK($C249),"",IF(M249=Constants!$B$2, TRUE(), IF(M249=Constants!$B$3, FALSE(), TRUE())))</f>
        <v/>
      </c>
      <c r="X249" s="66" t="str">
        <f aca="false">IF(ISBLANK($C249),"",IF(N249=Constants!$B$2, TRUE(), IF(N249=Constants!$B$3, FALSE(), TRUE())))</f>
        <v/>
      </c>
      <c r="Y249" s="66" t="str">
        <f aca="false">IF(ISBLANK($C249),"",IF(O249=Constants!$B$2, TRUE(), IF(O249=Constants!$B$3, FALSE(), FALSE())))</f>
        <v/>
      </c>
      <c r="Z249" s="66" t="str">
        <f aca="false">IF(ISBLANK($C249),"",AND(S249&lt;&gt;"",Q249))</f>
        <v/>
      </c>
      <c r="AA249" s="66" t="str">
        <f aca="false">IF(ISBLANK($C249),"",AND(V249&lt;&gt;"",Q249))</f>
        <v/>
      </c>
      <c r="AB249" s="66" t="str">
        <f aca="false">IF(ISBLANK($C249),"",IF(Y249,Constants!$B$4,IF(COUNTA(E249:N249)=0,Constants!$B$5,IF(NOT(Q249),Constants!$B$6,IF(AND(NOT(Z249),NOT(AA249)),Constants!$B$6,Constants!$B$7)))))</f>
        <v/>
      </c>
      <c r="AC249" s="66" t="str">
        <f aca="false">IF(ISBLANK($C249),"",IF($AB249&lt;&gt;Constants!$B$7,$AB249,Constants!$B$20))</f>
        <v/>
      </c>
      <c r="AD249" s="66" t="str">
        <f aca="false">IF($AB249=Constants!$B$7,IF(Z249,S249,Constants!$B$13),"")</f>
        <v/>
      </c>
      <c r="AE249" s="66" t="str">
        <f aca="false">IF($AB249=Constants!$B$7,IF(Z249,R249*IF(T249, 1, Constants!$B$11)*IF(U249, 1, Constants!$B$12),Constants!$B$13),"")</f>
        <v/>
      </c>
      <c r="AF249" s="66" t="str">
        <f aca="false">IF($AB249=Constants!$B$7,AD249*AE249,"")</f>
        <v/>
      </c>
      <c r="AG249" s="66" t="str">
        <f aca="false">IF($AB249=Constants!$B$7,IF(AA249,V249,Constants!$B$13),"")</f>
        <v/>
      </c>
      <c r="AH249" s="66" t="str">
        <f aca="false">IF($AB249=Constants!$B$7,IF(AA249,R249*IF(W249, 1, Constants!$B$11)*IF(X249, 1, Constants!$B$12),Constants!$B$13),"")</f>
        <v/>
      </c>
      <c r="AI249" s="66" t="str">
        <f aca="false">IF($AB249=Constants!$B$7,AG249*AH249,"")</f>
        <v/>
      </c>
      <c r="AJ249" s="66" t="str">
        <f aca="false">IF($AB249=Constants!$B$7,IF(AI249&gt;AF249,2,1),"")</f>
        <v/>
      </c>
      <c r="AK249" s="66" t="str">
        <f aca="false">IF($AB249=Constants!$B$7,IF(AJ249=1,2,1),"")</f>
        <v/>
      </c>
      <c r="AL249" s="66" t="str">
        <f aca="false">IF(ISBLANK($C249),"",IF($AB249&lt;&gt;Constants!$B$7,$AB249,IF(AJ249=1,AF249,AI249)))</f>
        <v/>
      </c>
      <c r="AM249" s="66" t="str">
        <f aca="false">IF(ISBLANK($C249),"",IF($AB249=Constants!$B$7,IF(ISNUMBER(AL249),RANK(AL249,$AL$8:$AL$507),Constants!$B$14),$AB249))</f>
        <v/>
      </c>
      <c r="AN249" s="66" t="str">
        <f aca="false">IF(ISBLANK($C249),"",IF($AB249=Constants!$B$7,IF(AK249=1,AF249,AI249),""))</f>
        <v/>
      </c>
      <c r="AO249" s="66" t="str">
        <f aca="false">IF(ISBLANK($C249),"",IF($AB249=Constants!$B$7,RANK(AN249,$AN$8:$AN$507),$AB249))</f>
        <v/>
      </c>
      <c r="AP249" s="66" t="str">
        <f aca="false">IF(ISBLANK($C249),"",IF($AB249=Constants!$B$7,IF(ISNUMBER(AM249),COUNTIFS($AM$8:$AM$507,"&lt;"&amp;$AM249)+COUNTIFS($AM$8:$AM$507,$AM249,$AO$8:$AO$507,"&lt;"&amp;$AO249)+1,Constants!$B$14),$AB249))</f>
        <v/>
      </c>
      <c r="AQ249" s="66" t="str">
        <f aca="false">IF(ISBLANK($C249),"",IF($AB249=Constants!$B$7,IF(ISNUMBER(AM249),AM249-AP249,Constants!$B$14),$AB249))</f>
        <v/>
      </c>
      <c r="AR249" s="68"/>
      <c r="AS249" s="69" t="str">
        <f aca="false">IF(ISBLANK($C249),"",IF($AB249&lt;&gt;Constants!$B$7,"",AJ249))</f>
        <v/>
      </c>
      <c r="AT249" s="84" t="str">
        <f aca="false">IF(ISBLANK($C249),"",IF($AB249&lt;&gt;Constants!$B$7,"",IF(AJ249=1,AD249,AG249)))</f>
        <v/>
      </c>
      <c r="AU249" s="71" t="str">
        <f aca="false">IF(ISBLANK($C249),"",IF($AB249&lt;&gt;Constants!$B$7,"",IF(AJ249=1,AE249,AH249)))</f>
        <v/>
      </c>
      <c r="AV249" s="72" t="str">
        <f aca="false">IF(ISBLANK($C249),"",IF($AB249&lt;&gt;Constants!$B$7,$AB249,AL249))</f>
        <v/>
      </c>
      <c r="AW249" s="73" t="str">
        <f aca="false">IF(ISBLANK($C249),"",IF($AB249&lt;&gt;Constants!$B$7,$AB249,AC249))</f>
        <v/>
      </c>
      <c r="AX249" s="74" t="str">
        <f aca="false">IF(ISBLANK($C249),"",AQ249)</f>
        <v/>
      </c>
      <c r="AY249" s="74" t="str">
        <f aca="false">IF(ISBLANK($C249),"",AP249)</f>
        <v/>
      </c>
      <c r="AZ249" s="75" t="str">
        <f aca="false">IF(ISBLANK($C249),"",IF(AY249=Constants!$B$4,COUNTA($C$8:$C$507)+2,IF(AY249=Constants!$B$5,COUNTA($C$8:$C$507)+1,IF(AY249=Constants!$B$6,COUNTA($C$8:$C$507),AY249))))</f>
        <v/>
      </c>
      <c r="BA249" s="5"/>
      <c r="BB249" s="76" t="n">
        <f aca="false">IF(OR(ISNUMBER(AY249),AY249=Constants!$B$4,AY249=Constants!$B$6,AY249=Constants!$B$5),1,0)</f>
        <v>0</v>
      </c>
      <c r="BC249" s="76" t="n">
        <v>242</v>
      </c>
      <c r="BD249" s="76" t="str">
        <f aca="false">IF(ISBLANK($C249),"",IF(ISNUMBER(AZ249),AZ249+ROW($B249)/1000,""))</f>
        <v/>
      </c>
      <c r="BE249" s="76" t="str">
        <f aca="false">IF(ISNUMBER(BD249),RANK(BD249,$BD$8:$BD$507,1),"")</f>
        <v/>
      </c>
      <c r="BF249" s="76" t="str">
        <f aca="false">IF(ISBLANK($C249),"",$B249)</f>
        <v/>
      </c>
      <c r="BG249" s="76" t="str">
        <f aca="false">IF(ISBLANK($C249),"",$C249)</f>
        <v/>
      </c>
      <c r="BH249" s="76" t="str">
        <f aca="false">IF(ISBLANK($C249),"",$D249)</f>
        <v/>
      </c>
      <c r="BI249" s="77" t="str">
        <f aca="false">AW249</f>
        <v/>
      </c>
      <c r="BJ249" s="78" t="str">
        <f aca="false">AV249</f>
        <v/>
      </c>
      <c r="BK249" s="76" t="str">
        <f aca="false">IF(ISBLANK($C249),"",AY249)</f>
        <v/>
      </c>
      <c r="BL249" s="79" t="str">
        <f aca="false">IF($BC249&gt;$BB$7,"",VLOOKUP($BC249,$BE$8:$BK$507,7,FALSE()))</f>
        <v/>
      </c>
      <c r="BM249" s="80" t="str">
        <f aca="false">IF($BC249&gt;$BB$7,"",VLOOKUP($BC249,$BE$8:$BK$507,2,FALSE()))</f>
        <v/>
      </c>
      <c r="BN249" s="80" t="str">
        <f aca="false">IF($BC249&gt;$BB$7,"",VLOOKUP($BC249,$BE$8:$BK$507,3,FALSE()))</f>
        <v/>
      </c>
      <c r="BO249" s="80" t="str">
        <f aca="false">IF($BC249&gt;$BB$7,"",VLOOKUP($BC249,$BE$8:$BK$507,4,FALSE()))</f>
        <v/>
      </c>
      <c r="BP249" s="80" t="str">
        <f aca="false">IF($BC249&gt;$BB$7,"",VLOOKUP($BC249,$BE$8:$BK$507,5,FALSE()))</f>
        <v/>
      </c>
      <c r="BQ249" s="81" t="str">
        <f aca="false">IF($BC249&gt;$BB$7,"",VLOOKUP($BC249,$BE$8:$BK$507,6,FALSE()))</f>
        <v/>
      </c>
      <c r="BR249" s="54"/>
    </row>
    <row r="250" customFormat="false" ht="15.75" hidden="false" customHeight="false" outlineLevel="0" collapsed="false">
      <c r="A250" s="5"/>
      <c r="B250" s="124"/>
      <c r="C250" s="56"/>
      <c r="D250" s="57"/>
      <c r="E250" s="83"/>
      <c r="F250" s="59"/>
      <c r="G250" s="60"/>
      <c r="H250" s="61"/>
      <c r="I250" s="62"/>
      <c r="J250" s="59"/>
      <c r="K250" s="60"/>
      <c r="L250" s="61"/>
      <c r="M250" s="62"/>
      <c r="N250" s="59"/>
      <c r="O250" s="83"/>
      <c r="P250" s="64"/>
      <c r="Q250" s="66" t="str">
        <f aca="false">IF(ISBLANK($C250),"",IF(E250=Constants!$B$2, TRUE(), IF(E250=Constants!$B$3, FALSE(), TRUE())))</f>
        <v/>
      </c>
      <c r="R250" s="66" t="str">
        <f aca="false">IF(ISBLANK($C250),"",IF(F250=Constants!$B$16,Constants!$B$9,IF(F250=Constants!$B$17,Constants!$B$10,Constants!$B$8)))</f>
        <v/>
      </c>
      <c r="S250" s="66" t="str">
        <f aca="false">IF(ISBLANK($C250),"",IF(COUNTA(G250:H250)=0,"",IF(AND(OR(ISBLANK(G250),AND(ISNUMBER(G250),G250&gt;=0)),OR(ISBLANK(H250),AND(ISNUMBER(H250),H250&gt;=0))),60*IF(ISBLANK(G250),0,G250)+IF(ISBLANK(H250),0,H250),"")))</f>
        <v/>
      </c>
      <c r="T250" s="66" t="str">
        <f aca="false">IF(ISBLANK($C250),"",IF(I250=Constants!$B$2, TRUE(), IF(I250=Constants!$B$3, FALSE(), TRUE())))</f>
        <v/>
      </c>
      <c r="U250" s="66" t="str">
        <f aca="false">IF(ISBLANK($C250),"",IF(J250=Constants!$B$2, TRUE(), IF(J250=Constants!$B$3, FALSE(), TRUE())))</f>
        <v/>
      </c>
      <c r="V250" s="66" t="str">
        <f aca="false">IF(ISBLANK($C250),"",IF(COUNTA(K250:L250)=0,"",IF(AND(OR(ISBLANK(K250),AND(ISNUMBER(K250),K250&gt;=0)),OR(ISBLANK(L250),AND(ISNUMBER(L250),L250&gt;=0))),60*IF(ISBLANK(K250),0,K250)+IF(ISBLANK(L250),0,L250),"")))</f>
        <v/>
      </c>
      <c r="W250" s="66" t="str">
        <f aca="false">IF(ISBLANK($C250),"",IF(M250=Constants!$B$2, TRUE(), IF(M250=Constants!$B$3, FALSE(), TRUE())))</f>
        <v/>
      </c>
      <c r="X250" s="66" t="str">
        <f aca="false">IF(ISBLANK($C250),"",IF(N250=Constants!$B$2, TRUE(), IF(N250=Constants!$B$3, FALSE(), TRUE())))</f>
        <v/>
      </c>
      <c r="Y250" s="66" t="str">
        <f aca="false">IF(ISBLANK($C250),"",IF(O250=Constants!$B$2, TRUE(), IF(O250=Constants!$B$3, FALSE(), FALSE())))</f>
        <v/>
      </c>
      <c r="Z250" s="66" t="str">
        <f aca="false">IF(ISBLANK($C250),"",AND(S250&lt;&gt;"",Q250))</f>
        <v/>
      </c>
      <c r="AA250" s="66" t="str">
        <f aca="false">IF(ISBLANK($C250),"",AND(V250&lt;&gt;"",Q250))</f>
        <v/>
      </c>
      <c r="AB250" s="66" t="str">
        <f aca="false">IF(ISBLANK($C250),"",IF(Y250,Constants!$B$4,IF(COUNTA(E250:N250)=0,Constants!$B$5,IF(NOT(Q250),Constants!$B$6,IF(AND(NOT(Z250),NOT(AA250)),Constants!$B$6,Constants!$B$7)))))</f>
        <v/>
      </c>
      <c r="AC250" s="66" t="str">
        <f aca="false">IF(ISBLANK($C250),"",IF($AB250&lt;&gt;Constants!$B$7,$AB250,Constants!$B$20))</f>
        <v/>
      </c>
      <c r="AD250" s="66" t="str">
        <f aca="false">IF($AB250=Constants!$B$7,IF(Z250,S250,Constants!$B$13),"")</f>
        <v/>
      </c>
      <c r="AE250" s="66" t="str">
        <f aca="false">IF($AB250=Constants!$B$7,IF(Z250,R250*IF(T250, 1, Constants!$B$11)*IF(U250, 1, Constants!$B$12),Constants!$B$13),"")</f>
        <v/>
      </c>
      <c r="AF250" s="66" t="str">
        <f aca="false">IF($AB250=Constants!$B$7,AD250*AE250,"")</f>
        <v/>
      </c>
      <c r="AG250" s="66" t="str">
        <f aca="false">IF($AB250=Constants!$B$7,IF(AA250,V250,Constants!$B$13),"")</f>
        <v/>
      </c>
      <c r="AH250" s="66" t="str">
        <f aca="false">IF($AB250=Constants!$B$7,IF(AA250,R250*IF(W250, 1, Constants!$B$11)*IF(X250, 1, Constants!$B$12),Constants!$B$13),"")</f>
        <v/>
      </c>
      <c r="AI250" s="66" t="str">
        <f aca="false">IF($AB250=Constants!$B$7,AG250*AH250,"")</f>
        <v/>
      </c>
      <c r="AJ250" s="66" t="str">
        <f aca="false">IF($AB250=Constants!$B$7,IF(AI250&gt;AF250,2,1),"")</f>
        <v/>
      </c>
      <c r="AK250" s="66" t="str">
        <f aca="false">IF($AB250=Constants!$B$7,IF(AJ250=1,2,1),"")</f>
        <v/>
      </c>
      <c r="AL250" s="66" t="str">
        <f aca="false">IF(ISBLANK($C250),"",IF($AB250&lt;&gt;Constants!$B$7,$AB250,IF(AJ250=1,AF250,AI250)))</f>
        <v/>
      </c>
      <c r="AM250" s="66" t="str">
        <f aca="false">IF(ISBLANK($C250),"",IF($AB250=Constants!$B$7,IF(ISNUMBER(AL250),RANK(AL250,$AL$8:$AL$507),Constants!$B$14),$AB250))</f>
        <v/>
      </c>
      <c r="AN250" s="66" t="str">
        <f aca="false">IF(ISBLANK($C250),"",IF($AB250=Constants!$B$7,IF(AK250=1,AF250,AI250),""))</f>
        <v/>
      </c>
      <c r="AO250" s="66" t="str">
        <f aca="false">IF(ISBLANK($C250),"",IF($AB250=Constants!$B$7,RANK(AN250,$AN$8:$AN$507),$AB250))</f>
        <v/>
      </c>
      <c r="AP250" s="66" t="str">
        <f aca="false">IF(ISBLANK($C250),"",IF($AB250=Constants!$B$7,IF(ISNUMBER(AM250),COUNTIFS($AM$8:$AM$507,"&lt;"&amp;$AM250)+COUNTIFS($AM$8:$AM$507,$AM250,$AO$8:$AO$507,"&lt;"&amp;$AO250)+1,Constants!$B$14),$AB250))</f>
        <v/>
      </c>
      <c r="AQ250" s="66" t="str">
        <f aca="false">IF(ISBLANK($C250),"",IF($AB250=Constants!$B$7,IF(ISNUMBER(AM250),AM250-AP250,Constants!$B$14),$AB250))</f>
        <v/>
      </c>
      <c r="AR250" s="68"/>
      <c r="AS250" s="69" t="str">
        <f aca="false">IF(ISBLANK($C250),"",IF($AB250&lt;&gt;Constants!$B$7,"",AJ250))</f>
        <v/>
      </c>
      <c r="AT250" s="84" t="str">
        <f aca="false">IF(ISBLANK($C250),"",IF($AB250&lt;&gt;Constants!$B$7,"",IF(AJ250=1,AD250,AG250)))</f>
        <v/>
      </c>
      <c r="AU250" s="71" t="str">
        <f aca="false">IF(ISBLANK($C250),"",IF($AB250&lt;&gt;Constants!$B$7,"",IF(AJ250=1,AE250,AH250)))</f>
        <v/>
      </c>
      <c r="AV250" s="72" t="str">
        <f aca="false">IF(ISBLANK($C250),"",IF($AB250&lt;&gt;Constants!$B$7,$AB250,AL250))</f>
        <v/>
      </c>
      <c r="AW250" s="73" t="str">
        <f aca="false">IF(ISBLANK($C250),"",IF($AB250&lt;&gt;Constants!$B$7,$AB250,AC250))</f>
        <v/>
      </c>
      <c r="AX250" s="74" t="str">
        <f aca="false">IF(ISBLANK($C250),"",AQ250)</f>
        <v/>
      </c>
      <c r="AY250" s="74" t="str">
        <f aca="false">IF(ISBLANK($C250),"",AP250)</f>
        <v/>
      </c>
      <c r="AZ250" s="75" t="str">
        <f aca="false">IF(ISBLANK($C250),"",IF(AY250=Constants!$B$4,COUNTA($C$8:$C$507)+2,IF(AY250=Constants!$B$5,COUNTA($C$8:$C$507)+1,IF(AY250=Constants!$B$6,COUNTA($C$8:$C$507),AY250))))</f>
        <v/>
      </c>
      <c r="BA250" s="5"/>
      <c r="BB250" s="76" t="n">
        <f aca="false">IF(OR(ISNUMBER(AY250),AY250=Constants!$B$4,AY250=Constants!$B$6,AY250=Constants!$B$5),1,0)</f>
        <v>0</v>
      </c>
      <c r="BC250" s="76" t="n">
        <v>243</v>
      </c>
      <c r="BD250" s="76" t="str">
        <f aca="false">IF(ISBLANK($C250),"",IF(ISNUMBER(AZ250),AZ250+ROW($B250)/1000,""))</f>
        <v/>
      </c>
      <c r="BE250" s="76" t="str">
        <f aca="false">IF(ISNUMBER(BD250),RANK(BD250,$BD$8:$BD$507,1),"")</f>
        <v/>
      </c>
      <c r="BF250" s="76" t="str">
        <f aca="false">IF(ISBLANK($C250),"",$B250)</f>
        <v/>
      </c>
      <c r="BG250" s="76" t="str">
        <f aca="false">IF(ISBLANK($C250),"",$C250)</f>
        <v/>
      </c>
      <c r="BH250" s="76" t="str">
        <f aca="false">IF(ISBLANK($C250),"",$D250)</f>
        <v/>
      </c>
      <c r="BI250" s="77" t="str">
        <f aca="false">AW250</f>
        <v/>
      </c>
      <c r="BJ250" s="78" t="str">
        <f aca="false">AV250</f>
        <v/>
      </c>
      <c r="BK250" s="76" t="str">
        <f aca="false">IF(ISBLANK($C250),"",AY250)</f>
        <v/>
      </c>
      <c r="BL250" s="79" t="str">
        <f aca="false">IF($BC250&gt;$BB$7,"",VLOOKUP($BC250,$BE$8:$BK$507,7,FALSE()))</f>
        <v/>
      </c>
      <c r="BM250" s="80" t="str">
        <f aca="false">IF($BC250&gt;$BB$7,"",VLOOKUP($BC250,$BE$8:$BK$507,2,FALSE()))</f>
        <v/>
      </c>
      <c r="BN250" s="80" t="str">
        <f aca="false">IF($BC250&gt;$BB$7,"",VLOOKUP($BC250,$BE$8:$BK$507,3,FALSE()))</f>
        <v/>
      </c>
      <c r="BO250" s="80" t="str">
        <f aca="false">IF($BC250&gt;$BB$7,"",VLOOKUP($BC250,$BE$8:$BK$507,4,FALSE()))</f>
        <v/>
      </c>
      <c r="BP250" s="80" t="str">
        <f aca="false">IF($BC250&gt;$BB$7,"",VLOOKUP($BC250,$BE$8:$BK$507,5,FALSE()))</f>
        <v/>
      </c>
      <c r="BQ250" s="81" t="str">
        <f aca="false">IF($BC250&gt;$BB$7,"",VLOOKUP($BC250,$BE$8:$BK$507,6,FALSE()))</f>
        <v/>
      </c>
      <c r="BR250" s="54"/>
    </row>
    <row r="251" customFormat="false" ht="15.75" hidden="false" customHeight="false" outlineLevel="0" collapsed="false">
      <c r="A251" s="5"/>
      <c r="B251" s="120"/>
      <c r="C251" s="121"/>
      <c r="D251" s="112"/>
      <c r="E251" s="123"/>
      <c r="F251" s="91"/>
      <c r="G251" s="92"/>
      <c r="H251" s="93"/>
      <c r="I251" s="94"/>
      <c r="J251" s="91"/>
      <c r="K251" s="92"/>
      <c r="L251" s="93"/>
      <c r="M251" s="94"/>
      <c r="N251" s="91"/>
      <c r="O251" s="123"/>
      <c r="P251" s="96"/>
      <c r="Q251" s="97" t="str">
        <f aca="false">IF(ISBLANK($C251),"",IF(E251=Constants!$B$2, TRUE(), IF(E251=Constants!$B$3, FALSE(), TRUE())))</f>
        <v/>
      </c>
      <c r="R251" s="97" t="str">
        <f aca="false">IF(ISBLANK($C251),"",IF(F251=Constants!$B$16,Constants!$B$9,IF(F251=Constants!$B$17,Constants!$B$10,Constants!$B$8)))</f>
        <v/>
      </c>
      <c r="S251" s="97" t="str">
        <f aca="false">IF(ISBLANK($C251),"",IF(COUNTA(G251:H251)=0,"",IF(AND(OR(ISBLANK(G251),AND(ISNUMBER(G251),G251&gt;=0)),OR(ISBLANK(H251),AND(ISNUMBER(H251),H251&gt;=0))),60*IF(ISBLANK(G251),0,G251)+IF(ISBLANK(H251),0,H251),"")))</f>
        <v/>
      </c>
      <c r="T251" s="97" t="str">
        <f aca="false">IF(ISBLANK($C251),"",IF(I251=Constants!$B$2, TRUE(), IF(I251=Constants!$B$3, FALSE(), TRUE())))</f>
        <v/>
      </c>
      <c r="U251" s="97" t="str">
        <f aca="false">IF(ISBLANK($C251),"",IF(J251=Constants!$B$2, TRUE(), IF(J251=Constants!$B$3, FALSE(), TRUE())))</f>
        <v/>
      </c>
      <c r="V251" s="97" t="str">
        <f aca="false">IF(ISBLANK($C251),"",IF(COUNTA(K251:L251)=0,"",IF(AND(OR(ISBLANK(K251),AND(ISNUMBER(K251),K251&gt;=0)),OR(ISBLANK(L251),AND(ISNUMBER(L251),L251&gt;=0))),60*IF(ISBLANK(K251),0,K251)+IF(ISBLANK(L251),0,L251),"")))</f>
        <v/>
      </c>
      <c r="W251" s="97" t="str">
        <f aca="false">IF(ISBLANK($C251),"",IF(M251=Constants!$B$2, TRUE(), IF(M251=Constants!$B$3, FALSE(), TRUE())))</f>
        <v/>
      </c>
      <c r="X251" s="97" t="str">
        <f aca="false">IF(ISBLANK($C251),"",IF(N251=Constants!$B$2, TRUE(), IF(N251=Constants!$B$3, FALSE(), TRUE())))</f>
        <v/>
      </c>
      <c r="Y251" s="97" t="str">
        <f aca="false">IF(ISBLANK($C251),"",IF(O251=Constants!$B$2, TRUE(), IF(O251=Constants!$B$3, FALSE(), FALSE())))</f>
        <v/>
      </c>
      <c r="Z251" s="97" t="str">
        <f aca="false">IF(ISBLANK($C251),"",AND(S251&lt;&gt;"",Q251))</f>
        <v/>
      </c>
      <c r="AA251" s="97" t="str">
        <f aca="false">IF(ISBLANK($C251),"",AND(V251&lt;&gt;"",Q251))</f>
        <v/>
      </c>
      <c r="AB251" s="97" t="str">
        <f aca="false">IF(ISBLANK($C251),"",IF(Y251,Constants!$B$4,IF(COUNTA(E251:N251)=0,Constants!$B$5,IF(NOT(Q251),Constants!$B$6,IF(AND(NOT(Z251),NOT(AA251)),Constants!$B$6,Constants!$B$7)))))</f>
        <v/>
      </c>
      <c r="AC251" s="97" t="str">
        <f aca="false">IF(ISBLANK($C251),"",IF($AB251&lt;&gt;Constants!$B$7,$AB251,Constants!$B$20))</f>
        <v/>
      </c>
      <c r="AD251" s="97" t="str">
        <f aca="false">IF($AB251=Constants!$B$7,IF(Z251,S251,Constants!$B$13),"")</f>
        <v/>
      </c>
      <c r="AE251" s="97" t="str">
        <f aca="false">IF($AB251=Constants!$B$7,IF(Z251,R251*IF(T251, 1, Constants!$B$11)*IF(U251, 1, Constants!$B$12),Constants!$B$13),"")</f>
        <v/>
      </c>
      <c r="AF251" s="97" t="str">
        <f aca="false">IF($AB251=Constants!$B$7,AD251*AE251,"")</f>
        <v/>
      </c>
      <c r="AG251" s="97" t="str">
        <f aca="false">IF($AB251=Constants!$B$7,IF(AA251,V251,Constants!$B$13),"")</f>
        <v/>
      </c>
      <c r="AH251" s="97" t="str">
        <f aca="false">IF($AB251=Constants!$B$7,IF(AA251,R251*IF(W251, 1, Constants!$B$11)*IF(X251, 1, Constants!$B$12),Constants!$B$13),"")</f>
        <v/>
      </c>
      <c r="AI251" s="97" t="str">
        <f aca="false">IF($AB251=Constants!$B$7,AG251*AH251,"")</f>
        <v/>
      </c>
      <c r="AJ251" s="97" t="str">
        <f aca="false">IF($AB251=Constants!$B$7,IF(AI251&gt;AF251,2,1),"")</f>
        <v/>
      </c>
      <c r="AK251" s="97" t="str">
        <f aca="false">IF($AB251=Constants!$B$7,IF(AJ251=1,2,1),"")</f>
        <v/>
      </c>
      <c r="AL251" s="97" t="str">
        <f aca="false">IF(ISBLANK($C251),"",IF($AB251&lt;&gt;Constants!$B$7,$AB251,IF(AJ251=1,AF251,AI251)))</f>
        <v/>
      </c>
      <c r="AM251" s="97" t="str">
        <f aca="false">IF(ISBLANK($C251),"",IF($AB251=Constants!$B$7,IF(ISNUMBER(AL251),RANK(AL251,$AL$8:$AL$507),Constants!$B$14),$AB251))</f>
        <v/>
      </c>
      <c r="AN251" s="97" t="str">
        <f aca="false">IF(ISBLANK($C251),"",IF($AB251=Constants!$B$7,IF(AK251=1,AF251,AI251),""))</f>
        <v/>
      </c>
      <c r="AO251" s="97" t="str">
        <f aca="false">IF(ISBLANK($C251),"",IF($AB251=Constants!$B$7,RANK(AN251,$AN$8:$AN$507),$AB251))</f>
        <v/>
      </c>
      <c r="AP251" s="97" t="str">
        <f aca="false">IF(ISBLANK($C251),"",IF($AB251=Constants!$B$7,IF(ISNUMBER(AM251),COUNTIFS($AM$8:$AM$507,"&lt;"&amp;$AM251)+COUNTIFS($AM$8:$AM$507,$AM251,$AO$8:$AO$507,"&lt;"&amp;$AO251)+1,Constants!$B$14),$AB251))</f>
        <v/>
      </c>
      <c r="AQ251" s="97" t="str">
        <f aca="false">IF(ISBLANK($C251),"",IF($AB251=Constants!$B$7,IF(ISNUMBER(AM251),AM251-AP251,Constants!$B$14),$AB251))</f>
        <v/>
      </c>
      <c r="AR251" s="98"/>
      <c r="AS251" s="99" t="str">
        <f aca="false">IF(ISBLANK($C251),"",IF($AB251&lt;&gt;Constants!$B$7,"",AJ251))</f>
        <v/>
      </c>
      <c r="AT251" s="100" t="str">
        <f aca="false">IF(ISBLANK($C251),"",IF($AB251&lt;&gt;Constants!$B$7,"",IF(AJ251=1,AD251,AG251)))</f>
        <v/>
      </c>
      <c r="AU251" s="101" t="str">
        <f aca="false">IF(ISBLANK($C251),"",IF($AB251&lt;&gt;Constants!$B$7,"",IF(AJ251=1,AE251,AH251)))</f>
        <v/>
      </c>
      <c r="AV251" s="102" t="str">
        <f aca="false">IF(ISBLANK($C251),"",IF($AB251&lt;&gt;Constants!$B$7,$AB251,AL251))</f>
        <v/>
      </c>
      <c r="AW251" s="103" t="str">
        <f aca="false">IF(ISBLANK($C251),"",IF($AB251&lt;&gt;Constants!$B$7,$AB251,AC251))</f>
        <v/>
      </c>
      <c r="AX251" s="104" t="str">
        <f aca="false">IF(ISBLANK($C251),"",AQ251)</f>
        <v/>
      </c>
      <c r="AY251" s="104" t="str">
        <f aca="false">IF(ISBLANK($C251),"",AP251)</f>
        <v/>
      </c>
      <c r="AZ251" s="105" t="str">
        <f aca="false">IF(ISBLANK($C251),"",IF(AY251=Constants!$B$4,COUNTA($C$8:$C$507)+2,IF(AY251=Constants!$B$5,COUNTA($C$8:$C$507)+1,IF(AY251=Constants!$B$6,COUNTA($C$8:$C$507),AY251))))</f>
        <v/>
      </c>
      <c r="BA251" s="5"/>
      <c r="BB251" s="106" t="n">
        <f aca="false">IF(OR(ISNUMBER(AY251),AY251=Constants!$B$4,AY251=Constants!$B$6,AY251=Constants!$B$5),1,0)</f>
        <v>0</v>
      </c>
      <c r="BC251" s="106" t="n">
        <v>244</v>
      </c>
      <c r="BD251" s="106" t="str">
        <f aca="false">IF(ISBLANK($C251),"",IF(ISNUMBER(AZ251),AZ251+ROW($B251)/1000,""))</f>
        <v/>
      </c>
      <c r="BE251" s="106" t="str">
        <f aca="false">IF(ISNUMBER(BD251),RANK(BD251,$BD$8:$BD$507,1),"")</f>
        <v/>
      </c>
      <c r="BF251" s="106" t="str">
        <f aca="false">IF(ISBLANK($C251),"",$B251)</f>
        <v/>
      </c>
      <c r="BG251" s="106" t="str">
        <f aca="false">IF(ISBLANK($C251),"",$C251)</f>
        <v/>
      </c>
      <c r="BH251" s="106" t="str">
        <f aca="false">IF(ISBLANK($C251),"",$D251)</f>
        <v/>
      </c>
      <c r="BI251" s="107" t="str">
        <f aca="false">AW251</f>
        <v/>
      </c>
      <c r="BJ251" s="108" t="str">
        <f aca="false">AV251</f>
        <v/>
      </c>
      <c r="BK251" s="106" t="str">
        <f aca="false">IF(ISBLANK($C251),"",AY251)</f>
        <v/>
      </c>
      <c r="BL251" s="109" t="str">
        <f aca="false">IF($BC251&gt;$BB$7,"",VLOOKUP($BC251,$BE$8:$BK$507,7,FALSE()))</f>
        <v/>
      </c>
      <c r="BM251" s="110" t="str">
        <f aca="false">IF($BC251&gt;$BB$7,"",VLOOKUP($BC251,$BE$8:$BK$507,2,FALSE()))</f>
        <v/>
      </c>
      <c r="BN251" s="110" t="str">
        <f aca="false">IF($BC251&gt;$BB$7,"",VLOOKUP($BC251,$BE$8:$BK$507,3,FALSE()))</f>
        <v/>
      </c>
      <c r="BO251" s="110" t="str">
        <f aca="false">IF($BC251&gt;$BB$7,"",VLOOKUP($BC251,$BE$8:$BK$507,4,FALSE()))</f>
        <v/>
      </c>
      <c r="BP251" s="110" t="str">
        <f aca="false">IF($BC251&gt;$BB$7,"",VLOOKUP($BC251,$BE$8:$BK$507,5,FALSE()))</f>
        <v/>
      </c>
      <c r="BQ251" s="111" t="str">
        <f aca="false">IF($BC251&gt;$BB$7,"",VLOOKUP($BC251,$BE$8:$BK$507,6,FALSE()))</f>
        <v/>
      </c>
      <c r="BR251" s="54"/>
    </row>
    <row r="252" customFormat="false" ht="15.75" hidden="false" customHeight="false" outlineLevel="0" collapsed="false">
      <c r="A252" s="5"/>
      <c r="B252" s="120"/>
      <c r="C252" s="121"/>
      <c r="D252" s="112"/>
      <c r="E252" s="123"/>
      <c r="F252" s="91"/>
      <c r="G252" s="92"/>
      <c r="H252" s="93"/>
      <c r="I252" s="94"/>
      <c r="J252" s="91"/>
      <c r="K252" s="92"/>
      <c r="L252" s="93"/>
      <c r="M252" s="94"/>
      <c r="N252" s="91"/>
      <c r="O252" s="123"/>
      <c r="P252" s="96"/>
      <c r="Q252" s="97" t="str">
        <f aca="false">IF(ISBLANK($C252),"",IF(E252=Constants!$B$2, TRUE(), IF(E252=Constants!$B$3, FALSE(), TRUE())))</f>
        <v/>
      </c>
      <c r="R252" s="97" t="str">
        <f aca="false">IF(ISBLANK($C252),"",IF(F252=Constants!$B$16,Constants!$B$9,IF(F252=Constants!$B$17,Constants!$B$10,Constants!$B$8)))</f>
        <v/>
      </c>
      <c r="S252" s="97" t="str">
        <f aca="false">IF(ISBLANK($C252),"",IF(COUNTA(G252:H252)=0,"",IF(AND(OR(ISBLANK(G252),AND(ISNUMBER(G252),G252&gt;=0)),OR(ISBLANK(H252),AND(ISNUMBER(H252),H252&gt;=0))),60*IF(ISBLANK(G252),0,G252)+IF(ISBLANK(H252),0,H252),"")))</f>
        <v/>
      </c>
      <c r="T252" s="97" t="str">
        <f aca="false">IF(ISBLANK($C252),"",IF(I252=Constants!$B$2, TRUE(), IF(I252=Constants!$B$3, FALSE(), TRUE())))</f>
        <v/>
      </c>
      <c r="U252" s="97" t="str">
        <f aca="false">IF(ISBLANK($C252),"",IF(J252=Constants!$B$2, TRUE(), IF(J252=Constants!$B$3, FALSE(), TRUE())))</f>
        <v/>
      </c>
      <c r="V252" s="97" t="str">
        <f aca="false">IF(ISBLANK($C252),"",IF(COUNTA(K252:L252)=0,"",IF(AND(OR(ISBLANK(K252),AND(ISNUMBER(K252),K252&gt;=0)),OR(ISBLANK(L252),AND(ISNUMBER(L252),L252&gt;=0))),60*IF(ISBLANK(K252),0,K252)+IF(ISBLANK(L252),0,L252),"")))</f>
        <v/>
      </c>
      <c r="W252" s="97" t="str">
        <f aca="false">IF(ISBLANK($C252),"",IF(M252=Constants!$B$2, TRUE(), IF(M252=Constants!$B$3, FALSE(), TRUE())))</f>
        <v/>
      </c>
      <c r="X252" s="97" t="str">
        <f aca="false">IF(ISBLANK($C252),"",IF(N252=Constants!$B$2, TRUE(), IF(N252=Constants!$B$3, FALSE(), TRUE())))</f>
        <v/>
      </c>
      <c r="Y252" s="97" t="str">
        <f aca="false">IF(ISBLANK($C252),"",IF(O252=Constants!$B$2, TRUE(), IF(O252=Constants!$B$3, FALSE(), FALSE())))</f>
        <v/>
      </c>
      <c r="Z252" s="97" t="str">
        <f aca="false">IF(ISBLANK($C252),"",AND(S252&lt;&gt;"",Q252))</f>
        <v/>
      </c>
      <c r="AA252" s="97" t="str">
        <f aca="false">IF(ISBLANK($C252),"",AND(V252&lt;&gt;"",Q252))</f>
        <v/>
      </c>
      <c r="AB252" s="97" t="str">
        <f aca="false">IF(ISBLANK($C252),"",IF(Y252,Constants!$B$4,IF(COUNTA(E252:N252)=0,Constants!$B$5,IF(NOT(Q252),Constants!$B$6,IF(AND(NOT(Z252),NOT(AA252)),Constants!$B$6,Constants!$B$7)))))</f>
        <v/>
      </c>
      <c r="AC252" s="97" t="str">
        <f aca="false">IF(ISBLANK($C252),"",IF($AB252&lt;&gt;Constants!$B$7,$AB252,Constants!$B$20))</f>
        <v/>
      </c>
      <c r="AD252" s="97" t="str">
        <f aca="false">IF($AB252=Constants!$B$7,IF(Z252,S252,Constants!$B$13),"")</f>
        <v/>
      </c>
      <c r="AE252" s="97" t="str">
        <f aca="false">IF($AB252=Constants!$B$7,IF(Z252,R252*IF(T252, 1, Constants!$B$11)*IF(U252, 1, Constants!$B$12),Constants!$B$13),"")</f>
        <v/>
      </c>
      <c r="AF252" s="97" t="str">
        <f aca="false">IF($AB252=Constants!$B$7,AD252*AE252,"")</f>
        <v/>
      </c>
      <c r="AG252" s="97" t="str">
        <f aca="false">IF($AB252=Constants!$B$7,IF(AA252,V252,Constants!$B$13),"")</f>
        <v/>
      </c>
      <c r="AH252" s="97" t="str">
        <f aca="false">IF($AB252=Constants!$B$7,IF(AA252,R252*IF(W252, 1, Constants!$B$11)*IF(X252, 1, Constants!$B$12),Constants!$B$13),"")</f>
        <v/>
      </c>
      <c r="AI252" s="97" t="str">
        <f aca="false">IF($AB252=Constants!$B$7,AG252*AH252,"")</f>
        <v/>
      </c>
      <c r="AJ252" s="97" t="str">
        <f aca="false">IF($AB252=Constants!$B$7,IF(AI252&gt;AF252,2,1),"")</f>
        <v/>
      </c>
      <c r="AK252" s="97" t="str">
        <f aca="false">IF($AB252=Constants!$B$7,IF(AJ252=1,2,1),"")</f>
        <v/>
      </c>
      <c r="AL252" s="97" t="str">
        <f aca="false">IF(ISBLANK($C252),"",IF($AB252&lt;&gt;Constants!$B$7,$AB252,IF(AJ252=1,AF252,AI252)))</f>
        <v/>
      </c>
      <c r="AM252" s="97" t="str">
        <f aca="false">IF(ISBLANK($C252),"",IF($AB252=Constants!$B$7,IF(ISNUMBER(AL252),RANK(AL252,$AL$8:$AL$507),Constants!$B$14),$AB252))</f>
        <v/>
      </c>
      <c r="AN252" s="97" t="str">
        <f aca="false">IF(ISBLANK($C252),"",IF($AB252=Constants!$B$7,IF(AK252=1,AF252,AI252),""))</f>
        <v/>
      </c>
      <c r="AO252" s="97" t="str">
        <f aca="false">IF(ISBLANK($C252),"",IF($AB252=Constants!$B$7,RANK(AN252,$AN$8:$AN$507),$AB252))</f>
        <v/>
      </c>
      <c r="AP252" s="97" t="str">
        <f aca="false">IF(ISBLANK($C252),"",IF($AB252=Constants!$B$7,IF(ISNUMBER(AM252),COUNTIFS($AM$8:$AM$507,"&lt;"&amp;$AM252)+COUNTIFS($AM$8:$AM$507,$AM252,$AO$8:$AO$507,"&lt;"&amp;$AO252)+1,Constants!$B$14),$AB252))</f>
        <v/>
      </c>
      <c r="AQ252" s="97" t="str">
        <f aca="false">IF(ISBLANK($C252),"",IF($AB252=Constants!$B$7,IF(ISNUMBER(AM252),AM252-AP252,Constants!$B$14),$AB252))</f>
        <v/>
      </c>
      <c r="AR252" s="98"/>
      <c r="AS252" s="99" t="str">
        <f aca="false">IF(ISBLANK($C252),"",IF($AB252&lt;&gt;Constants!$B$7,"",AJ252))</f>
        <v/>
      </c>
      <c r="AT252" s="100" t="str">
        <f aca="false">IF(ISBLANK($C252),"",IF($AB252&lt;&gt;Constants!$B$7,"",IF(AJ252=1,AD252,AG252)))</f>
        <v/>
      </c>
      <c r="AU252" s="101" t="str">
        <f aca="false">IF(ISBLANK($C252),"",IF($AB252&lt;&gt;Constants!$B$7,"",IF(AJ252=1,AE252,AH252)))</f>
        <v/>
      </c>
      <c r="AV252" s="102" t="str">
        <f aca="false">IF(ISBLANK($C252),"",IF($AB252&lt;&gt;Constants!$B$7,$AB252,AL252))</f>
        <v/>
      </c>
      <c r="AW252" s="103" t="str">
        <f aca="false">IF(ISBLANK($C252),"",IF($AB252&lt;&gt;Constants!$B$7,$AB252,AC252))</f>
        <v/>
      </c>
      <c r="AX252" s="104" t="str">
        <f aca="false">IF(ISBLANK($C252),"",AQ252)</f>
        <v/>
      </c>
      <c r="AY252" s="104" t="str">
        <f aca="false">IF(ISBLANK($C252),"",AP252)</f>
        <v/>
      </c>
      <c r="AZ252" s="105" t="str">
        <f aca="false">IF(ISBLANK($C252),"",IF(AY252=Constants!$B$4,COUNTA($C$8:$C$507)+2,IF(AY252=Constants!$B$5,COUNTA($C$8:$C$507)+1,IF(AY252=Constants!$B$6,COUNTA($C$8:$C$507),AY252))))</f>
        <v/>
      </c>
      <c r="BA252" s="5"/>
      <c r="BB252" s="106" t="n">
        <f aca="false">IF(OR(ISNUMBER(AY252),AY252=Constants!$B$4,AY252=Constants!$B$6,AY252=Constants!$B$5),1,0)</f>
        <v>0</v>
      </c>
      <c r="BC252" s="106" t="n">
        <v>245</v>
      </c>
      <c r="BD252" s="106" t="str">
        <f aca="false">IF(ISBLANK($C252),"",IF(ISNUMBER(AZ252),AZ252+ROW($B252)/1000,""))</f>
        <v/>
      </c>
      <c r="BE252" s="106" t="str">
        <f aca="false">IF(ISNUMBER(BD252),RANK(BD252,$BD$8:$BD$507,1),"")</f>
        <v/>
      </c>
      <c r="BF252" s="106" t="str">
        <f aca="false">IF(ISBLANK($C252),"",$B252)</f>
        <v/>
      </c>
      <c r="BG252" s="106" t="str">
        <f aca="false">IF(ISBLANK($C252),"",$C252)</f>
        <v/>
      </c>
      <c r="BH252" s="106" t="str">
        <f aca="false">IF(ISBLANK($C252),"",$D252)</f>
        <v/>
      </c>
      <c r="BI252" s="107" t="str">
        <f aca="false">AW252</f>
        <v/>
      </c>
      <c r="BJ252" s="108" t="str">
        <f aca="false">AV252</f>
        <v/>
      </c>
      <c r="BK252" s="106" t="str">
        <f aca="false">IF(ISBLANK($C252),"",AY252)</f>
        <v/>
      </c>
      <c r="BL252" s="109" t="str">
        <f aca="false">IF($BC252&gt;$BB$7,"",VLOOKUP($BC252,$BE$8:$BK$507,7,FALSE()))</f>
        <v/>
      </c>
      <c r="BM252" s="110" t="str">
        <f aca="false">IF($BC252&gt;$BB$7,"",VLOOKUP($BC252,$BE$8:$BK$507,2,FALSE()))</f>
        <v/>
      </c>
      <c r="BN252" s="110" t="str">
        <f aca="false">IF($BC252&gt;$BB$7,"",VLOOKUP($BC252,$BE$8:$BK$507,3,FALSE()))</f>
        <v/>
      </c>
      <c r="BO252" s="110" t="str">
        <f aca="false">IF($BC252&gt;$BB$7,"",VLOOKUP($BC252,$BE$8:$BK$507,4,FALSE()))</f>
        <v/>
      </c>
      <c r="BP252" s="110" t="str">
        <f aca="false">IF($BC252&gt;$BB$7,"",VLOOKUP($BC252,$BE$8:$BK$507,5,FALSE()))</f>
        <v/>
      </c>
      <c r="BQ252" s="111" t="str">
        <f aca="false">IF($BC252&gt;$BB$7,"",VLOOKUP($BC252,$BE$8:$BK$507,6,FALSE()))</f>
        <v/>
      </c>
      <c r="BR252" s="54"/>
    </row>
    <row r="253" customFormat="false" ht="15.75" hidden="false" customHeight="false" outlineLevel="0" collapsed="false">
      <c r="A253" s="5"/>
      <c r="B253" s="120"/>
      <c r="C253" s="121"/>
      <c r="D253" s="112"/>
      <c r="E253" s="123"/>
      <c r="F253" s="91"/>
      <c r="G253" s="92"/>
      <c r="H253" s="93"/>
      <c r="I253" s="94"/>
      <c r="J253" s="91"/>
      <c r="K253" s="92"/>
      <c r="L253" s="93"/>
      <c r="M253" s="94"/>
      <c r="N253" s="91"/>
      <c r="O253" s="123"/>
      <c r="P253" s="96"/>
      <c r="Q253" s="97" t="str">
        <f aca="false">IF(ISBLANK($C253),"",IF(E253=Constants!$B$2, TRUE(), IF(E253=Constants!$B$3, FALSE(), TRUE())))</f>
        <v/>
      </c>
      <c r="R253" s="97" t="str">
        <f aca="false">IF(ISBLANK($C253),"",IF(F253=Constants!$B$16,Constants!$B$9,IF(F253=Constants!$B$17,Constants!$B$10,Constants!$B$8)))</f>
        <v/>
      </c>
      <c r="S253" s="97" t="str">
        <f aca="false">IF(ISBLANK($C253),"",IF(COUNTA(G253:H253)=0,"",IF(AND(OR(ISBLANK(G253),AND(ISNUMBER(G253),G253&gt;=0)),OR(ISBLANK(H253),AND(ISNUMBER(H253),H253&gt;=0))),60*IF(ISBLANK(G253),0,G253)+IF(ISBLANK(H253),0,H253),"")))</f>
        <v/>
      </c>
      <c r="T253" s="97" t="str">
        <f aca="false">IF(ISBLANK($C253),"",IF(I253=Constants!$B$2, TRUE(), IF(I253=Constants!$B$3, FALSE(), TRUE())))</f>
        <v/>
      </c>
      <c r="U253" s="97" t="str">
        <f aca="false">IF(ISBLANK($C253),"",IF(J253=Constants!$B$2, TRUE(), IF(J253=Constants!$B$3, FALSE(), TRUE())))</f>
        <v/>
      </c>
      <c r="V253" s="97" t="str">
        <f aca="false">IF(ISBLANK($C253),"",IF(COUNTA(K253:L253)=0,"",IF(AND(OR(ISBLANK(K253),AND(ISNUMBER(K253),K253&gt;=0)),OR(ISBLANK(L253),AND(ISNUMBER(L253),L253&gt;=0))),60*IF(ISBLANK(K253),0,K253)+IF(ISBLANK(L253),0,L253),"")))</f>
        <v/>
      </c>
      <c r="W253" s="97" t="str">
        <f aca="false">IF(ISBLANK($C253),"",IF(M253=Constants!$B$2, TRUE(), IF(M253=Constants!$B$3, FALSE(), TRUE())))</f>
        <v/>
      </c>
      <c r="X253" s="97" t="str">
        <f aca="false">IF(ISBLANK($C253),"",IF(N253=Constants!$B$2, TRUE(), IF(N253=Constants!$B$3, FALSE(), TRUE())))</f>
        <v/>
      </c>
      <c r="Y253" s="97" t="str">
        <f aca="false">IF(ISBLANK($C253),"",IF(O253=Constants!$B$2, TRUE(), IF(O253=Constants!$B$3, FALSE(), FALSE())))</f>
        <v/>
      </c>
      <c r="Z253" s="97" t="str">
        <f aca="false">IF(ISBLANK($C253),"",AND(S253&lt;&gt;"",Q253))</f>
        <v/>
      </c>
      <c r="AA253" s="97" t="str">
        <f aca="false">IF(ISBLANK($C253),"",AND(V253&lt;&gt;"",Q253))</f>
        <v/>
      </c>
      <c r="AB253" s="97" t="str">
        <f aca="false">IF(ISBLANK($C253),"",IF(Y253,Constants!$B$4,IF(COUNTA(E253:N253)=0,Constants!$B$5,IF(NOT(Q253),Constants!$B$6,IF(AND(NOT(Z253),NOT(AA253)),Constants!$B$6,Constants!$B$7)))))</f>
        <v/>
      </c>
      <c r="AC253" s="97" t="str">
        <f aca="false">IF(ISBLANK($C253),"",IF($AB253&lt;&gt;Constants!$B$7,$AB253,Constants!$B$20))</f>
        <v/>
      </c>
      <c r="AD253" s="97" t="str">
        <f aca="false">IF($AB253=Constants!$B$7,IF(Z253,S253,Constants!$B$13),"")</f>
        <v/>
      </c>
      <c r="AE253" s="97" t="str">
        <f aca="false">IF($AB253=Constants!$B$7,IF(Z253,R253*IF(T253, 1, Constants!$B$11)*IF(U253, 1, Constants!$B$12),Constants!$B$13),"")</f>
        <v/>
      </c>
      <c r="AF253" s="97" t="str">
        <f aca="false">IF($AB253=Constants!$B$7,AD253*AE253,"")</f>
        <v/>
      </c>
      <c r="AG253" s="97" t="str">
        <f aca="false">IF($AB253=Constants!$B$7,IF(AA253,V253,Constants!$B$13),"")</f>
        <v/>
      </c>
      <c r="AH253" s="97" t="str">
        <f aca="false">IF($AB253=Constants!$B$7,IF(AA253,R253*IF(W253, 1, Constants!$B$11)*IF(X253, 1, Constants!$B$12),Constants!$B$13),"")</f>
        <v/>
      </c>
      <c r="AI253" s="97" t="str">
        <f aca="false">IF($AB253=Constants!$B$7,AG253*AH253,"")</f>
        <v/>
      </c>
      <c r="AJ253" s="97" t="str">
        <f aca="false">IF($AB253=Constants!$B$7,IF(AI253&gt;AF253,2,1),"")</f>
        <v/>
      </c>
      <c r="AK253" s="97" t="str">
        <f aca="false">IF($AB253=Constants!$B$7,IF(AJ253=1,2,1),"")</f>
        <v/>
      </c>
      <c r="AL253" s="97" t="str">
        <f aca="false">IF(ISBLANK($C253),"",IF($AB253&lt;&gt;Constants!$B$7,$AB253,IF(AJ253=1,AF253,AI253)))</f>
        <v/>
      </c>
      <c r="AM253" s="97" t="str">
        <f aca="false">IF(ISBLANK($C253),"",IF($AB253=Constants!$B$7,IF(ISNUMBER(AL253),RANK(AL253,$AL$8:$AL$507),Constants!$B$14),$AB253))</f>
        <v/>
      </c>
      <c r="AN253" s="97" t="str">
        <f aca="false">IF(ISBLANK($C253),"",IF($AB253=Constants!$B$7,IF(AK253=1,AF253,AI253),""))</f>
        <v/>
      </c>
      <c r="AO253" s="97" t="str">
        <f aca="false">IF(ISBLANK($C253),"",IF($AB253=Constants!$B$7,RANK(AN253,$AN$8:$AN$507),$AB253))</f>
        <v/>
      </c>
      <c r="AP253" s="97" t="str">
        <f aca="false">IF(ISBLANK($C253),"",IF($AB253=Constants!$B$7,IF(ISNUMBER(AM253),COUNTIFS($AM$8:$AM$507,"&lt;"&amp;$AM253)+COUNTIFS($AM$8:$AM$507,$AM253,$AO$8:$AO$507,"&lt;"&amp;$AO253)+1,Constants!$B$14),$AB253))</f>
        <v/>
      </c>
      <c r="AQ253" s="97" t="str">
        <f aca="false">IF(ISBLANK($C253),"",IF($AB253=Constants!$B$7,IF(ISNUMBER(AM253),AM253-AP253,Constants!$B$14),$AB253))</f>
        <v/>
      </c>
      <c r="AR253" s="98"/>
      <c r="AS253" s="99" t="str">
        <f aca="false">IF(ISBLANK($C253),"",IF($AB253&lt;&gt;Constants!$B$7,"",AJ253))</f>
        <v/>
      </c>
      <c r="AT253" s="100" t="str">
        <f aca="false">IF(ISBLANK($C253),"",IF($AB253&lt;&gt;Constants!$B$7,"",IF(AJ253=1,AD253,AG253)))</f>
        <v/>
      </c>
      <c r="AU253" s="101" t="str">
        <f aca="false">IF(ISBLANK($C253),"",IF($AB253&lt;&gt;Constants!$B$7,"",IF(AJ253=1,AE253,AH253)))</f>
        <v/>
      </c>
      <c r="AV253" s="102" t="str">
        <f aca="false">IF(ISBLANK($C253),"",IF($AB253&lt;&gt;Constants!$B$7,$AB253,AL253))</f>
        <v/>
      </c>
      <c r="AW253" s="103" t="str">
        <f aca="false">IF(ISBLANK($C253),"",IF($AB253&lt;&gt;Constants!$B$7,$AB253,AC253))</f>
        <v/>
      </c>
      <c r="AX253" s="104" t="str">
        <f aca="false">IF(ISBLANK($C253),"",AQ253)</f>
        <v/>
      </c>
      <c r="AY253" s="104" t="str">
        <f aca="false">IF(ISBLANK($C253),"",AP253)</f>
        <v/>
      </c>
      <c r="AZ253" s="105" t="str">
        <f aca="false">IF(ISBLANK($C253),"",IF(AY253=Constants!$B$4,COUNTA($C$8:$C$507)+2,IF(AY253=Constants!$B$5,COUNTA($C$8:$C$507)+1,IF(AY253=Constants!$B$6,COUNTA($C$8:$C$507),AY253))))</f>
        <v/>
      </c>
      <c r="BA253" s="5"/>
      <c r="BB253" s="106" t="n">
        <f aca="false">IF(OR(ISNUMBER(AY253),AY253=Constants!$B$4,AY253=Constants!$B$6,AY253=Constants!$B$5),1,0)</f>
        <v>0</v>
      </c>
      <c r="BC253" s="106" t="n">
        <v>246</v>
      </c>
      <c r="BD253" s="106" t="str">
        <f aca="false">IF(ISBLANK($C253),"",IF(ISNUMBER(AZ253),AZ253+ROW($B253)/1000,""))</f>
        <v/>
      </c>
      <c r="BE253" s="106" t="str">
        <f aca="false">IF(ISNUMBER(BD253),RANK(BD253,$BD$8:$BD$507,1),"")</f>
        <v/>
      </c>
      <c r="BF253" s="106" t="str">
        <f aca="false">IF(ISBLANK($C253),"",$B253)</f>
        <v/>
      </c>
      <c r="BG253" s="106" t="str">
        <f aca="false">IF(ISBLANK($C253),"",$C253)</f>
        <v/>
      </c>
      <c r="BH253" s="106" t="str">
        <f aca="false">IF(ISBLANK($C253),"",$D253)</f>
        <v/>
      </c>
      <c r="BI253" s="107" t="str">
        <f aca="false">AW253</f>
        <v/>
      </c>
      <c r="BJ253" s="108" t="str">
        <f aca="false">AV253</f>
        <v/>
      </c>
      <c r="BK253" s="106" t="str">
        <f aca="false">IF(ISBLANK($C253),"",AY253)</f>
        <v/>
      </c>
      <c r="BL253" s="109" t="str">
        <f aca="false">IF($BC253&gt;$BB$7,"",VLOOKUP($BC253,$BE$8:$BK$507,7,FALSE()))</f>
        <v/>
      </c>
      <c r="BM253" s="110" t="str">
        <f aca="false">IF($BC253&gt;$BB$7,"",VLOOKUP($BC253,$BE$8:$BK$507,2,FALSE()))</f>
        <v/>
      </c>
      <c r="BN253" s="110" t="str">
        <f aca="false">IF($BC253&gt;$BB$7,"",VLOOKUP($BC253,$BE$8:$BK$507,3,FALSE()))</f>
        <v/>
      </c>
      <c r="BO253" s="110" t="str">
        <f aca="false">IF($BC253&gt;$BB$7,"",VLOOKUP($BC253,$BE$8:$BK$507,4,FALSE()))</f>
        <v/>
      </c>
      <c r="BP253" s="110" t="str">
        <f aca="false">IF($BC253&gt;$BB$7,"",VLOOKUP($BC253,$BE$8:$BK$507,5,FALSE()))</f>
        <v/>
      </c>
      <c r="BQ253" s="111" t="str">
        <f aca="false">IF($BC253&gt;$BB$7,"",VLOOKUP($BC253,$BE$8:$BK$507,6,FALSE()))</f>
        <v/>
      </c>
      <c r="BR253" s="54"/>
    </row>
    <row r="254" customFormat="false" ht="15.75" hidden="false" customHeight="false" outlineLevel="0" collapsed="false">
      <c r="A254" s="5"/>
      <c r="B254" s="124"/>
      <c r="C254" s="56"/>
      <c r="D254" s="57"/>
      <c r="E254" s="83"/>
      <c r="F254" s="59"/>
      <c r="G254" s="60"/>
      <c r="H254" s="61"/>
      <c r="I254" s="62"/>
      <c r="J254" s="59"/>
      <c r="K254" s="60"/>
      <c r="L254" s="61"/>
      <c r="M254" s="62"/>
      <c r="N254" s="59"/>
      <c r="O254" s="83"/>
      <c r="P254" s="64"/>
      <c r="Q254" s="66" t="str">
        <f aca="false">IF(ISBLANK($C254),"",IF(E254=Constants!$B$2, TRUE(), IF(E254=Constants!$B$3, FALSE(), TRUE())))</f>
        <v/>
      </c>
      <c r="R254" s="66" t="str">
        <f aca="false">IF(ISBLANK($C254),"",IF(F254=Constants!$B$16,Constants!$B$9,IF(F254=Constants!$B$17,Constants!$B$10,Constants!$B$8)))</f>
        <v/>
      </c>
      <c r="S254" s="66" t="str">
        <f aca="false">IF(ISBLANK($C254),"",IF(COUNTA(G254:H254)=0,"",IF(AND(OR(ISBLANK(G254),AND(ISNUMBER(G254),G254&gt;=0)),OR(ISBLANK(H254),AND(ISNUMBER(H254),H254&gt;=0))),60*IF(ISBLANK(G254),0,G254)+IF(ISBLANK(H254),0,H254),"")))</f>
        <v/>
      </c>
      <c r="T254" s="66" t="str">
        <f aca="false">IF(ISBLANK($C254),"",IF(I254=Constants!$B$2, TRUE(), IF(I254=Constants!$B$3, FALSE(), TRUE())))</f>
        <v/>
      </c>
      <c r="U254" s="66" t="str">
        <f aca="false">IF(ISBLANK($C254),"",IF(J254=Constants!$B$2, TRUE(), IF(J254=Constants!$B$3, FALSE(), TRUE())))</f>
        <v/>
      </c>
      <c r="V254" s="66" t="str">
        <f aca="false">IF(ISBLANK($C254),"",IF(COUNTA(K254:L254)=0,"",IF(AND(OR(ISBLANK(K254),AND(ISNUMBER(K254),K254&gt;=0)),OR(ISBLANK(L254),AND(ISNUMBER(L254),L254&gt;=0))),60*IF(ISBLANK(K254),0,K254)+IF(ISBLANK(L254),0,L254),"")))</f>
        <v/>
      </c>
      <c r="W254" s="66" t="str">
        <f aca="false">IF(ISBLANK($C254),"",IF(M254=Constants!$B$2, TRUE(), IF(M254=Constants!$B$3, FALSE(), TRUE())))</f>
        <v/>
      </c>
      <c r="X254" s="66" t="str">
        <f aca="false">IF(ISBLANK($C254),"",IF(N254=Constants!$B$2, TRUE(), IF(N254=Constants!$B$3, FALSE(), TRUE())))</f>
        <v/>
      </c>
      <c r="Y254" s="66" t="str">
        <f aca="false">IF(ISBLANK($C254),"",IF(O254=Constants!$B$2, TRUE(), IF(O254=Constants!$B$3, FALSE(), FALSE())))</f>
        <v/>
      </c>
      <c r="Z254" s="66" t="str">
        <f aca="false">IF(ISBLANK($C254),"",AND(S254&lt;&gt;"",Q254))</f>
        <v/>
      </c>
      <c r="AA254" s="66" t="str">
        <f aca="false">IF(ISBLANK($C254),"",AND(V254&lt;&gt;"",Q254))</f>
        <v/>
      </c>
      <c r="AB254" s="66" t="str">
        <f aca="false">IF(ISBLANK($C254),"",IF(Y254,Constants!$B$4,IF(COUNTA(E254:N254)=0,Constants!$B$5,IF(NOT(Q254),Constants!$B$6,IF(AND(NOT(Z254),NOT(AA254)),Constants!$B$6,Constants!$B$7)))))</f>
        <v/>
      </c>
      <c r="AC254" s="66" t="str">
        <f aca="false">IF(ISBLANK($C254),"",IF($AB254&lt;&gt;Constants!$B$7,$AB254,Constants!$B$20))</f>
        <v/>
      </c>
      <c r="AD254" s="66" t="str">
        <f aca="false">IF($AB254=Constants!$B$7,IF(Z254,S254,Constants!$B$13),"")</f>
        <v/>
      </c>
      <c r="AE254" s="66" t="str">
        <f aca="false">IF($AB254=Constants!$B$7,IF(Z254,R254*IF(T254, 1, Constants!$B$11)*IF(U254, 1, Constants!$B$12),Constants!$B$13),"")</f>
        <v/>
      </c>
      <c r="AF254" s="66" t="str">
        <f aca="false">IF($AB254=Constants!$B$7,AD254*AE254,"")</f>
        <v/>
      </c>
      <c r="AG254" s="66" t="str">
        <f aca="false">IF($AB254=Constants!$B$7,IF(AA254,V254,Constants!$B$13),"")</f>
        <v/>
      </c>
      <c r="AH254" s="66" t="str">
        <f aca="false">IF($AB254=Constants!$B$7,IF(AA254,R254*IF(W254, 1, Constants!$B$11)*IF(X254, 1, Constants!$B$12),Constants!$B$13),"")</f>
        <v/>
      </c>
      <c r="AI254" s="66" t="str">
        <f aca="false">IF($AB254=Constants!$B$7,AG254*AH254,"")</f>
        <v/>
      </c>
      <c r="AJ254" s="66" t="str">
        <f aca="false">IF($AB254=Constants!$B$7,IF(AI254&gt;AF254,2,1),"")</f>
        <v/>
      </c>
      <c r="AK254" s="66" t="str">
        <f aca="false">IF($AB254=Constants!$B$7,IF(AJ254=1,2,1),"")</f>
        <v/>
      </c>
      <c r="AL254" s="66" t="str">
        <f aca="false">IF(ISBLANK($C254),"",IF($AB254&lt;&gt;Constants!$B$7,$AB254,IF(AJ254=1,AF254,AI254)))</f>
        <v/>
      </c>
      <c r="AM254" s="66" t="str">
        <f aca="false">IF(ISBLANK($C254),"",IF($AB254=Constants!$B$7,IF(ISNUMBER(AL254),RANK(AL254,$AL$8:$AL$507),Constants!$B$14),$AB254))</f>
        <v/>
      </c>
      <c r="AN254" s="66" t="str">
        <f aca="false">IF(ISBLANK($C254),"",IF($AB254=Constants!$B$7,IF(AK254=1,AF254,AI254),""))</f>
        <v/>
      </c>
      <c r="AO254" s="66" t="str">
        <f aca="false">IF(ISBLANK($C254),"",IF($AB254=Constants!$B$7,RANK(AN254,$AN$8:$AN$507),$AB254))</f>
        <v/>
      </c>
      <c r="AP254" s="66" t="str">
        <f aca="false">IF(ISBLANK($C254),"",IF($AB254=Constants!$B$7,IF(ISNUMBER(AM254),COUNTIFS($AM$8:$AM$507,"&lt;"&amp;$AM254)+COUNTIFS($AM$8:$AM$507,$AM254,$AO$8:$AO$507,"&lt;"&amp;$AO254)+1,Constants!$B$14),$AB254))</f>
        <v/>
      </c>
      <c r="AQ254" s="66" t="str">
        <f aca="false">IF(ISBLANK($C254),"",IF($AB254=Constants!$B$7,IF(ISNUMBER(AM254),AM254-AP254,Constants!$B$14),$AB254))</f>
        <v/>
      </c>
      <c r="AR254" s="68"/>
      <c r="AS254" s="69" t="str">
        <f aca="false">IF(ISBLANK($C254),"",IF($AB254&lt;&gt;Constants!$B$7,"",AJ254))</f>
        <v/>
      </c>
      <c r="AT254" s="84" t="str">
        <f aca="false">IF(ISBLANK($C254),"",IF($AB254&lt;&gt;Constants!$B$7,"",IF(AJ254=1,AD254,AG254)))</f>
        <v/>
      </c>
      <c r="AU254" s="71" t="str">
        <f aca="false">IF(ISBLANK($C254),"",IF($AB254&lt;&gt;Constants!$B$7,"",IF(AJ254=1,AE254,AH254)))</f>
        <v/>
      </c>
      <c r="AV254" s="72" t="str">
        <f aca="false">IF(ISBLANK($C254),"",IF($AB254&lt;&gt;Constants!$B$7,$AB254,AL254))</f>
        <v/>
      </c>
      <c r="AW254" s="73" t="str">
        <f aca="false">IF(ISBLANK($C254),"",IF($AB254&lt;&gt;Constants!$B$7,$AB254,AC254))</f>
        <v/>
      </c>
      <c r="AX254" s="74" t="str">
        <f aca="false">IF(ISBLANK($C254),"",AQ254)</f>
        <v/>
      </c>
      <c r="AY254" s="74" t="str">
        <f aca="false">IF(ISBLANK($C254),"",AP254)</f>
        <v/>
      </c>
      <c r="AZ254" s="75" t="str">
        <f aca="false">IF(ISBLANK($C254),"",IF(AY254=Constants!$B$4,COUNTA($C$8:$C$507)+2,IF(AY254=Constants!$B$5,COUNTA($C$8:$C$507)+1,IF(AY254=Constants!$B$6,COUNTA($C$8:$C$507),AY254))))</f>
        <v/>
      </c>
      <c r="BA254" s="5"/>
      <c r="BB254" s="76" t="n">
        <f aca="false">IF(OR(ISNUMBER(AY254),AY254=Constants!$B$4,AY254=Constants!$B$6,AY254=Constants!$B$5),1,0)</f>
        <v>0</v>
      </c>
      <c r="BC254" s="76" t="n">
        <v>247</v>
      </c>
      <c r="BD254" s="76" t="str">
        <f aca="false">IF(ISBLANK($C254),"",IF(ISNUMBER(AZ254),AZ254+ROW($B254)/1000,""))</f>
        <v/>
      </c>
      <c r="BE254" s="76" t="str">
        <f aca="false">IF(ISNUMBER(BD254),RANK(BD254,$BD$8:$BD$507,1),"")</f>
        <v/>
      </c>
      <c r="BF254" s="76" t="str">
        <f aca="false">IF(ISBLANK($C254),"",$B254)</f>
        <v/>
      </c>
      <c r="BG254" s="76" t="str">
        <f aca="false">IF(ISBLANK($C254),"",$C254)</f>
        <v/>
      </c>
      <c r="BH254" s="76" t="str">
        <f aca="false">IF(ISBLANK($C254),"",$D254)</f>
        <v/>
      </c>
      <c r="BI254" s="77" t="str">
        <f aca="false">AW254</f>
        <v/>
      </c>
      <c r="BJ254" s="78" t="str">
        <f aca="false">AV254</f>
        <v/>
      </c>
      <c r="BK254" s="76" t="str">
        <f aca="false">IF(ISBLANK($C254),"",AY254)</f>
        <v/>
      </c>
      <c r="BL254" s="79" t="str">
        <f aca="false">IF($BC254&gt;$BB$7,"",VLOOKUP($BC254,$BE$8:$BK$507,7,FALSE()))</f>
        <v/>
      </c>
      <c r="BM254" s="80" t="str">
        <f aca="false">IF($BC254&gt;$BB$7,"",VLOOKUP($BC254,$BE$8:$BK$507,2,FALSE()))</f>
        <v/>
      </c>
      <c r="BN254" s="80" t="str">
        <f aca="false">IF($BC254&gt;$BB$7,"",VLOOKUP($BC254,$BE$8:$BK$507,3,FALSE()))</f>
        <v/>
      </c>
      <c r="BO254" s="80" t="str">
        <f aca="false">IF($BC254&gt;$BB$7,"",VLOOKUP($BC254,$BE$8:$BK$507,4,FALSE()))</f>
        <v/>
      </c>
      <c r="BP254" s="80" t="str">
        <f aca="false">IF($BC254&gt;$BB$7,"",VLOOKUP($BC254,$BE$8:$BK$507,5,FALSE()))</f>
        <v/>
      </c>
      <c r="BQ254" s="81" t="str">
        <f aca="false">IF($BC254&gt;$BB$7,"",VLOOKUP($BC254,$BE$8:$BK$507,6,FALSE()))</f>
        <v/>
      </c>
      <c r="BR254" s="54"/>
    </row>
    <row r="255" customFormat="false" ht="15.75" hidden="false" customHeight="false" outlineLevel="0" collapsed="false">
      <c r="A255" s="5"/>
      <c r="B255" s="124"/>
      <c r="C255" s="56"/>
      <c r="D255" s="57"/>
      <c r="E255" s="83"/>
      <c r="F255" s="59"/>
      <c r="G255" s="60"/>
      <c r="H255" s="61"/>
      <c r="I255" s="62"/>
      <c r="J255" s="59"/>
      <c r="K255" s="60"/>
      <c r="L255" s="61"/>
      <c r="M255" s="62"/>
      <c r="N255" s="59"/>
      <c r="O255" s="83"/>
      <c r="P255" s="64"/>
      <c r="Q255" s="66" t="str">
        <f aca="false">IF(ISBLANK($C255),"",IF(E255=Constants!$B$2, TRUE(), IF(E255=Constants!$B$3, FALSE(), TRUE())))</f>
        <v/>
      </c>
      <c r="R255" s="66" t="str">
        <f aca="false">IF(ISBLANK($C255),"",IF(F255=Constants!$B$16,Constants!$B$9,IF(F255=Constants!$B$17,Constants!$B$10,Constants!$B$8)))</f>
        <v/>
      </c>
      <c r="S255" s="66" t="str">
        <f aca="false">IF(ISBLANK($C255),"",IF(COUNTA(G255:H255)=0,"",IF(AND(OR(ISBLANK(G255),AND(ISNUMBER(G255),G255&gt;=0)),OR(ISBLANK(H255),AND(ISNUMBER(H255),H255&gt;=0))),60*IF(ISBLANK(G255),0,G255)+IF(ISBLANK(H255),0,H255),"")))</f>
        <v/>
      </c>
      <c r="T255" s="66" t="str">
        <f aca="false">IF(ISBLANK($C255),"",IF(I255=Constants!$B$2, TRUE(), IF(I255=Constants!$B$3, FALSE(), TRUE())))</f>
        <v/>
      </c>
      <c r="U255" s="66" t="str">
        <f aca="false">IF(ISBLANK($C255),"",IF(J255=Constants!$B$2, TRUE(), IF(J255=Constants!$B$3, FALSE(), TRUE())))</f>
        <v/>
      </c>
      <c r="V255" s="66" t="str">
        <f aca="false">IF(ISBLANK($C255),"",IF(COUNTA(K255:L255)=0,"",IF(AND(OR(ISBLANK(K255),AND(ISNUMBER(K255),K255&gt;=0)),OR(ISBLANK(L255),AND(ISNUMBER(L255),L255&gt;=0))),60*IF(ISBLANK(K255),0,K255)+IF(ISBLANK(L255),0,L255),"")))</f>
        <v/>
      </c>
      <c r="W255" s="66" t="str">
        <f aca="false">IF(ISBLANK($C255),"",IF(M255=Constants!$B$2, TRUE(), IF(M255=Constants!$B$3, FALSE(), TRUE())))</f>
        <v/>
      </c>
      <c r="X255" s="66" t="str">
        <f aca="false">IF(ISBLANK($C255),"",IF(N255=Constants!$B$2, TRUE(), IF(N255=Constants!$B$3, FALSE(), TRUE())))</f>
        <v/>
      </c>
      <c r="Y255" s="66" t="str">
        <f aca="false">IF(ISBLANK($C255),"",IF(O255=Constants!$B$2, TRUE(), IF(O255=Constants!$B$3, FALSE(), FALSE())))</f>
        <v/>
      </c>
      <c r="Z255" s="66" t="str">
        <f aca="false">IF(ISBLANK($C255),"",AND(S255&lt;&gt;"",Q255))</f>
        <v/>
      </c>
      <c r="AA255" s="66" t="str">
        <f aca="false">IF(ISBLANK($C255),"",AND(V255&lt;&gt;"",Q255))</f>
        <v/>
      </c>
      <c r="AB255" s="66" t="str">
        <f aca="false">IF(ISBLANK($C255),"",IF(Y255,Constants!$B$4,IF(COUNTA(E255:N255)=0,Constants!$B$5,IF(NOT(Q255),Constants!$B$6,IF(AND(NOT(Z255),NOT(AA255)),Constants!$B$6,Constants!$B$7)))))</f>
        <v/>
      </c>
      <c r="AC255" s="66" t="str">
        <f aca="false">IF(ISBLANK($C255),"",IF($AB255&lt;&gt;Constants!$B$7,$AB255,Constants!$B$20))</f>
        <v/>
      </c>
      <c r="AD255" s="66" t="str">
        <f aca="false">IF($AB255=Constants!$B$7,IF(Z255,S255,Constants!$B$13),"")</f>
        <v/>
      </c>
      <c r="AE255" s="66" t="str">
        <f aca="false">IF($AB255=Constants!$B$7,IF(Z255,R255*IF(T255, 1, Constants!$B$11)*IF(U255, 1, Constants!$B$12),Constants!$B$13),"")</f>
        <v/>
      </c>
      <c r="AF255" s="66" t="str">
        <f aca="false">IF($AB255=Constants!$B$7,AD255*AE255,"")</f>
        <v/>
      </c>
      <c r="AG255" s="66" t="str">
        <f aca="false">IF($AB255=Constants!$B$7,IF(AA255,V255,Constants!$B$13),"")</f>
        <v/>
      </c>
      <c r="AH255" s="66" t="str">
        <f aca="false">IF($AB255=Constants!$B$7,IF(AA255,R255*IF(W255, 1, Constants!$B$11)*IF(X255, 1, Constants!$B$12),Constants!$B$13),"")</f>
        <v/>
      </c>
      <c r="AI255" s="66" t="str">
        <f aca="false">IF($AB255=Constants!$B$7,AG255*AH255,"")</f>
        <v/>
      </c>
      <c r="AJ255" s="66" t="str">
        <f aca="false">IF($AB255=Constants!$B$7,IF(AI255&gt;AF255,2,1),"")</f>
        <v/>
      </c>
      <c r="AK255" s="66" t="str">
        <f aca="false">IF($AB255=Constants!$B$7,IF(AJ255=1,2,1),"")</f>
        <v/>
      </c>
      <c r="AL255" s="66" t="str">
        <f aca="false">IF(ISBLANK($C255),"",IF($AB255&lt;&gt;Constants!$B$7,$AB255,IF(AJ255=1,AF255,AI255)))</f>
        <v/>
      </c>
      <c r="AM255" s="66" t="str">
        <f aca="false">IF(ISBLANK($C255),"",IF($AB255=Constants!$B$7,IF(ISNUMBER(AL255),RANK(AL255,$AL$8:$AL$507),Constants!$B$14),$AB255))</f>
        <v/>
      </c>
      <c r="AN255" s="66" t="str">
        <f aca="false">IF(ISBLANK($C255),"",IF($AB255=Constants!$B$7,IF(AK255=1,AF255,AI255),""))</f>
        <v/>
      </c>
      <c r="AO255" s="66" t="str">
        <f aca="false">IF(ISBLANK($C255),"",IF($AB255=Constants!$B$7,RANK(AN255,$AN$8:$AN$507),$AB255))</f>
        <v/>
      </c>
      <c r="AP255" s="66" t="str">
        <f aca="false">IF(ISBLANK($C255),"",IF($AB255=Constants!$B$7,IF(ISNUMBER(AM255),COUNTIFS($AM$8:$AM$507,"&lt;"&amp;$AM255)+COUNTIFS($AM$8:$AM$507,$AM255,$AO$8:$AO$507,"&lt;"&amp;$AO255)+1,Constants!$B$14),$AB255))</f>
        <v/>
      </c>
      <c r="AQ255" s="66" t="str">
        <f aca="false">IF(ISBLANK($C255),"",IF($AB255=Constants!$B$7,IF(ISNUMBER(AM255),AM255-AP255,Constants!$B$14),$AB255))</f>
        <v/>
      </c>
      <c r="AR255" s="68"/>
      <c r="AS255" s="69" t="str">
        <f aca="false">IF(ISBLANK($C255),"",IF($AB255&lt;&gt;Constants!$B$7,"",AJ255))</f>
        <v/>
      </c>
      <c r="AT255" s="84" t="str">
        <f aca="false">IF(ISBLANK($C255),"",IF($AB255&lt;&gt;Constants!$B$7,"",IF(AJ255=1,AD255,AG255)))</f>
        <v/>
      </c>
      <c r="AU255" s="71" t="str">
        <f aca="false">IF(ISBLANK($C255),"",IF($AB255&lt;&gt;Constants!$B$7,"",IF(AJ255=1,AE255,AH255)))</f>
        <v/>
      </c>
      <c r="AV255" s="72" t="str">
        <f aca="false">IF(ISBLANK($C255),"",IF($AB255&lt;&gt;Constants!$B$7,$AB255,AL255))</f>
        <v/>
      </c>
      <c r="AW255" s="73" t="str">
        <f aca="false">IF(ISBLANK($C255),"",IF($AB255&lt;&gt;Constants!$B$7,$AB255,AC255))</f>
        <v/>
      </c>
      <c r="AX255" s="74" t="str">
        <f aca="false">IF(ISBLANK($C255),"",AQ255)</f>
        <v/>
      </c>
      <c r="AY255" s="74" t="str">
        <f aca="false">IF(ISBLANK($C255),"",AP255)</f>
        <v/>
      </c>
      <c r="AZ255" s="75" t="str">
        <f aca="false">IF(ISBLANK($C255),"",IF(AY255=Constants!$B$4,COUNTA($C$8:$C$507)+2,IF(AY255=Constants!$B$5,COUNTA($C$8:$C$507)+1,IF(AY255=Constants!$B$6,COUNTA($C$8:$C$507),AY255))))</f>
        <v/>
      </c>
      <c r="BA255" s="5"/>
      <c r="BB255" s="76" t="n">
        <f aca="false">IF(OR(ISNUMBER(AY255),AY255=Constants!$B$4,AY255=Constants!$B$6,AY255=Constants!$B$5),1,0)</f>
        <v>0</v>
      </c>
      <c r="BC255" s="76" t="n">
        <v>248</v>
      </c>
      <c r="BD255" s="76" t="str">
        <f aca="false">IF(ISBLANK($C255),"",IF(ISNUMBER(AZ255),AZ255+ROW($B255)/1000,""))</f>
        <v/>
      </c>
      <c r="BE255" s="76" t="str">
        <f aca="false">IF(ISNUMBER(BD255),RANK(BD255,$BD$8:$BD$507,1),"")</f>
        <v/>
      </c>
      <c r="BF255" s="76" t="str">
        <f aca="false">IF(ISBLANK($C255),"",$B255)</f>
        <v/>
      </c>
      <c r="BG255" s="76" t="str">
        <f aca="false">IF(ISBLANK($C255),"",$C255)</f>
        <v/>
      </c>
      <c r="BH255" s="76" t="str">
        <f aca="false">IF(ISBLANK($C255),"",$D255)</f>
        <v/>
      </c>
      <c r="BI255" s="77" t="str">
        <f aca="false">AW255</f>
        <v/>
      </c>
      <c r="BJ255" s="78" t="str">
        <f aca="false">AV255</f>
        <v/>
      </c>
      <c r="BK255" s="76" t="str">
        <f aca="false">IF(ISBLANK($C255),"",AY255)</f>
        <v/>
      </c>
      <c r="BL255" s="79" t="str">
        <f aca="false">IF($BC255&gt;$BB$7,"",VLOOKUP($BC255,$BE$8:$BK$507,7,FALSE()))</f>
        <v/>
      </c>
      <c r="BM255" s="80" t="str">
        <f aca="false">IF($BC255&gt;$BB$7,"",VLOOKUP($BC255,$BE$8:$BK$507,2,FALSE()))</f>
        <v/>
      </c>
      <c r="BN255" s="80" t="str">
        <f aca="false">IF($BC255&gt;$BB$7,"",VLOOKUP($BC255,$BE$8:$BK$507,3,FALSE()))</f>
        <v/>
      </c>
      <c r="BO255" s="80" t="str">
        <f aca="false">IF($BC255&gt;$BB$7,"",VLOOKUP($BC255,$BE$8:$BK$507,4,FALSE()))</f>
        <v/>
      </c>
      <c r="BP255" s="80" t="str">
        <f aca="false">IF($BC255&gt;$BB$7,"",VLOOKUP($BC255,$BE$8:$BK$507,5,FALSE()))</f>
        <v/>
      </c>
      <c r="BQ255" s="81" t="str">
        <f aca="false">IF($BC255&gt;$BB$7,"",VLOOKUP($BC255,$BE$8:$BK$507,6,FALSE()))</f>
        <v/>
      </c>
      <c r="BR255" s="54"/>
    </row>
    <row r="256" customFormat="false" ht="15.75" hidden="false" customHeight="false" outlineLevel="0" collapsed="false">
      <c r="A256" s="5"/>
      <c r="B256" s="124"/>
      <c r="C256" s="56"/>
      <c r="D256" s="57"/>
      <c r="E256" s="83"/>
      <c r="F256" s="59"/>
      <c r="G256" s="60"/>
      <c r="H256" s="61"/>
      <c r="I256" s="62"/>
      <c r="J256" s="59"/>
      <c r="K256" s="60"/>
      <c r="L256" s="61"/>
      <c r="M256" s="62"/>
      <c r="N256" s="59"/>
      <c r="O256" s="83"/>
      <c r="P256" s="64"/>
      <c r="Q256" s="66" t="str">
        <f aca="false">IF(ISBLANK($C256),"",IF(E256=Constants!$B$2, TRUE(), IF(E256=Constants!$B$3, FALSE(), TRUE())))</f>
        <v/>
      </c>
      <c r="R256" s="66" t="str">
        <f aca="false">IF(ISBLANK($C256),"",IF(F256=Constants!$B$16,Constants!$B$9,IF(F256=Constants!$B$17,Constants!$B$10,Constants!$B$8)))</f>
        <v/>
      </c>
      <c r="S256" s="66" t="str">
        <f aca="false">IF(ISBLANK($C256),"",IF(COUNTA(G256:H256)=0,"",IF(AND(OR(ISBLANK(G256),AND(ISNUMBER(G256),G256&gt;=0)),OR(ISBLANK(H256),AND(ISNUMBER(H256),H256&gt;=0))),60*IF(ISBLANK(G256),0,G256)+IF(ISBLANK(H256),0,H256),"")))</f>
        <v/>
      </c>
      <c r="T256" s="66" t="str">
        <f aca="false">IF(ISBLANK($C256),"",IF(I256=Constants!$B$2, TRUE(), IF(I256=Constants!$B$3, FALSE(), TRUE())))</f>
        <v/>
      </c>
      <c r="U256" s="66" t="str">
        <f aca="false">IF(ISBLANK($C256),"",IF(J256=Constants!$B$2, TRUE(), IF(J256=Constants!$B$3, FALSE(), TRUE())))</f>
        <v/>
      </c>
      <c r="V256" s="66" t="str">
        <f aca="false">IF(ISBLANK($C256),"",IF(COUNTA(K256:L256)=0,"",IF(AND(OR(ISBLANK(K256),AND(ISNUMBER(K256),K256&gt;=0)),OR(ISBLANK(L256),AND(ISNUMBER(L256),L256&gt;=0))),60*IF(ISBLANK(K256),0,K256)+IF(ISBLANK(L256),0,L256),"")))</f>
        <v/>
      </c>
      <c r="W256" s="66" t="str">
        <f aca="false">IF(ISBLANK($C256),"",IF(M256=Constants!$B$2, TRUE(), IF(M256=Constants!$B$3, FALSE(), TRUE())))</f>
        <v/>
      </c>
      <c r="X256" s="66" t="str">
        <f aca="false">IF(ISBLANK($C256),"",IF(N256=Constants!$B$2, TRUE(), IF(N256=Constants!$B$3, FALSE(), TRUE())))</f>
        <v/>
      </c>
      <c r="Y256" s="66" t="str">
        <f aca="false">IF(ISBLANK($C256),"",IF(O256=Constants!$B$2, TRUE(), IF(O256=Constants!$B$3, FALSE(), FALSE())))</f>
        <v/>
      </c>
      <c r="Z256" s="66" t="str">
        <f aca="false">IF(ISBLANK($C256),"",AND(S256&lt;&gt;"",Q256))</f>
        <v/>
      </c>
      <c r="AA256" s="66" t="str">
        <f aca="false">IF(ISBLANK($C256),"",AND(V256&lt;&gt;"",Q256))</f>
        <v/>
      </c>
      <c r="AB256" s="66" t="str">
        <f aca="false">IF(ISBLANK($C256),"",IF(Y256,Constants!$B$4,IF(COUNTA(E256:N256)=0,Constants!$B$5,IF(NOT(Q256),Constants!$B$6,IF(AND(NOT(Z256),NOT(AA256)),Constants!$B$6,Constants!$B$7)))))</f>
        <v/>
      </c>
      <c r="AC256" s="66" t="str">
        <f aca="false">IF(ISBLANK($C256),"",IF($AB256&lt;&gt;Constants!$B$7,$AB256,Constants!$B$20))</f>
        <v/>
      </c>
      <c r="AD256" s="66" t="str">
        <f aca="false">IF($AB256=Constants!$B$7,IF(Z256,S256,Constants!$B$13),"")</f>
        <v/>
      </c>
      <c r="AE256" s="66" t="str">
        <f aca="false">IF($AB256=Constants!$B$7,IF(Z256,R256*IF(T256, 1, Constants!$B$11)*IF(U256, 1, Constants!$B$12),Constants!$B$13),"")</f>
        <v/>
      </c>
      <c r="AF256" s="66" t="str">
        <f aca="false">IF($AB256=Constants!$B$7,AD256*AE256,"")</f>
        <v/>
      </c>
      <c r="AG256" s="66" t="str">
        <f aca="false">IF($AB256=Constants!$B$7,IF(AA256,V256,Constants!$B$13),"")</f>
        <v/>
      </c>
      <c r="AH256" s="66" t="str">
        <f aca="false">IF($AB256=Constants!$B$7,IF(AA256,R256*IF(W256, 1, Constants!$B$11)*IF(X256, 1, Constants!$B$12),Constants!$B$13),"")</f>
        <v/>
      </c>
      <c r="AI256" s="66" t="str">
        <f aca="false">IF($AB256=Constants!$B$7,AG256*AH256,"")</f>
        <v/>
      </c>
      <c r="AJ256" s="66" t="str">
        <f aca="false">IF($AB256=Constants!$B$7,IF(AI256&gt;AF256,2,1),"")</f>
        <v/>
      </c>
      <c r="AK256" s="66" t="str">
        <f aca="false">IF($AB256=Constants!$B$7,IF(AJ256=1,2,1),"")</f>
        <v/>
      </c>
      <c r="AL256" s="66" t="str">
        <f aca="false">IF(ISBLANK($C256),"",IF($AB256&lt;&gt;Constants!$B$7,$AB256,IF(AJ256=1,AF256,AI256)))</f>
        <v/>
      </c>
      <c r="AM256" s="66" t="str">
        <f aca="false">IF(ISBLANK($C256),"",IF($AB256=Constants!$B$7,IF(ISNUMBER(AL256),RANK(AL256,$AL$8:$AL$507),Constants!$B$14),$AB256))</f>
        <v/>
      </c>
      <c r="AN256" s="66" t="str">
        <f aca="false">IF(ISBLANK($C256),"",IF($AB256=Constants!$B$7,IF(AK256=1,AF256,AI256),""))</f>
        <v/>
      </c>
      <c r="AO256" s="66" t="str">
        <f aca="false">IF(ISBLANK($C256),"",IF($AB256=Constants!$B$7,RANK(AN256,$AN$8:$AN$507),$AB256))</f>
        <v/>
      </c>
      <c r="AP256" s="66" t="str">
        <f aca="false">IF(ISBLANK($C256),"",IF($AB256=Constants!$B$7,IF(ISNUMBER(AM256),COUNTIFS($AM$8:$AM$507,"&lt;"&amp;$AM256)+COUNTIFS($AM$8:$AM$507,$AM256,$AO$8:$AO$507,"&lt;"&amp;$AO256)+1,Constants!$B$14),$AB256))</f>
        <v/>
      </c>
      <c r="AQ256" s="66" t="str">
        <f aca="false">IF(ISBLANK($C256),"",IF($AB256=Constants!$B$7,IF(ISNUMBER(AM256),AM256-AP256,Constants!$B$14),$AB256))</f>
        <v/>
      </c>
      <c r="AR256" s="68"/>
      <c r="AS256" s="69" t="str">
        <f aca="false">IF(ISBLANK($C256),"",IF($AB256&lt;&gt;Constants!$B$7,"",AJ256))</f>
        <v/>
      </c>
      <c r="AT256" s="84" t="str">
        <f aca="false">IF(ISBLANK($C256),"",IF($AB256&lt;&gt;Constants!$B$7,"",IF(AJ256=1,AD256,AG256)))</f>
        <v/>
      </c>
      <c r="AU256" s="71" t="str">
        <f aca="false">IF(ISBLANK($C256),"",IF($AB256&lt;&gt;Constants!$B$7,"",IF(AJ256=1,AE256,AH256)))</f>
        <v/>
      </c>
      <c r="AV256" s="72" t="str">
        <f aca="false">IF(ISBLANK($C256),"",IF($AB256&lt;&gt;Constants!$B$7,$AB256,AL256))</f>
        <v/>
      </c>
      <c r="AW256" s="73" t="str">
        <f aca="false">IF(ISBLANK($C256),"",IF($AB256&lt;&gt;Constants!$B$7,$AB256,AC256))</f>
        <v/>
      </c>
      <c r="AX256" s="74" t="str">
        <f aca="false">IF(ISBLANK($C256),"",AQ256)</f>
        <v/>
      </c>
      <c r="AY256" s="74" t="str">
        <f aca="false">IF(ISBLANK($C256),"",AP256)</f>
        <v/>
      </c>
      <c r="AZ256" s="75" t="str">
        <f aca="false">IF(ISBLANK($C256),"",IF(AY256=Constants!$B$4,COUNTA($C$8:$C$507)+2,IF(AY256=Constants!$B$5,COUNTA($C$8:$C$507)+1,IF(AY256=Constants!$B$6,COUNTA($C$8:$C$507),AY256))))</f>
        <v/>
      </c>
      <c r="BA256" s="5"/>
      <c r="BB256" s="76" t="n">
        <f aca="false">IF(OR(ISNUMBER(AY256),AY256=Constants!$B$4,AY256=Constants!$B$6,AY256=Constants!$B$5),1,0)</f>
        <v>0</v>
      </c>
      <c r="BC256" s="76" t="n">
        <v>249</v>
      </c>
      <c r="BD256" s="76" t="str">
        <f aca="false">IF(ISBLANK($C256),"",IF(ISNUMBER(AZ256),AZ256+ROW($B256)/1000,""))</f>
        <v/>
      </c>
      <c r="BE256" s="76" t="str">
        <f aca="false">IF(ISNUMBER(BD256),RANK(BD256,$BD$8:$BD$507,1),"")</f>
        <v/>
      </c>
      <c r="BF256" s="76" t="str">
        <f aca="false">IF(ISBLANK($C256),"",$B256)</f>
        <v/>
      </c>
      <c r="BG256" s="76" t="str">
        <f aca="false">IF(ISBLANK($C256),"",$C256)</f>
        <v/>
      </c>
      <c r="BH256" s="76" t="str">
        <f aca="false">IF(ISBLANK($C256),"",$D256)</f>
        <v/>
      </c>
      <c r="BI256" s="77" t="str">
        <f aca="false">AW256</f>
        <v/>
      </c>
      <c r="BJ256" s="78" t="str">
        <f aca="false">AV256</f>
        <v/>
      </c>
      <c r="BK256" s="76" t="str">
        <f aca="false">IF(ISBLANK($C256),"",AY256)</f>
        <v/>
      </c>
      <c r="BL256" s="79" t="str">
        <f aca="false">IF($BC256&gt;$BB$7,"",VLOOKUP($BC256,$BE$8:$BK$507,7,FALSE()))</f>
        <v/>
      </c>
      <c r="BM256" s="80" t="str">
        <f aca="false">IF($BC256&gt;$BB$7,"",VLOOKUP($BC256,$BE$8:$BK$507,2,FALSE()))</f>
        <v/>
      </c>
      <c r="BN256" s="80" t="str">
        <f aca="false">IF($BC256&gt;$BB$7,"",VLOOKUP($BC256,$BE$8:$BK$507,3,FALSE()))</f>
        <v/>
      </c>
      <c r="BO256" s="80" t="str">
        <f aca="false">IF($BC256&gt;$BB$7,"",VLOOKUP($BC256,$BE$8:$BK$507,4,FALSE()))</f>
        <v/>
      </c>
      <c r="BP256" s="80" t="str">
        <f aca="false">IF($BC256&gt;$BB$7,"",VLOOKUP($BC256,$BE$8:$BK$507,5,FALSE()))</f>
        <v/>
      </c>
      <c r="BQ256" s="81" t="str">
        <f aca="false">IF($BC256&gt;$BB$7,"",VLOOKUP($BC256,$BE$8:$BK$507,6,FALSE()))</f>
        <v/>
      </c>
      <c r="BR256" s="54"/>
    </row>
    <row r="257" customFormat="false" ht="15.75" hidden="false" customHeight="false" outlineLevel="0" collapsed="false">
      <c r="A257" s="5"/>
      <c r="B257" s="120"/>
      <c r="C257" s="121"/>
      <c r="D257" s="112"/>
      <c r="E257" s="123"/>
      <c r="F257" s="91"/>
      <c r="G257" s="92"/>
      <c r="H257" s="93"/>
      <c r="I257" s="94"/>
      <c r="J257" s="91"/>
      <c r="K257" s="92"/>
      <c r="L257" s="93"/>
      <c r="M257" s="94"/>
      <c r="N257" s="91"/>
      <c r="O257" s="123"/>
      <c r="P257" s="96"/>
      <c r="Q257" s="97" t="str">
        <f aca="false">IF(ISBLANK($C257),"",IF(E257=Constants!$B$2, TRUE(), IF(E257=Constants!$B$3, FALSE(), TRUE())))</f>
        <v/>
      </c>
      <c r="R257" s="97" t="str">
        <f aca="false">IF(ISBLANK($C257),"",IF(F257=Constants!$B$16,Constants!$B$9,IF(F257=Constants!$B$17,Constants!$B$10,Constants!$B$8)))</f>
        <v/>
      </c>
      <c r="S257" s="97" t="str">
        <f aca="false">IF(ISBLANK($C257),"",IF(COUNTA(G257:H257)=0,"",IF(AND(OR(ISBLANK(G257),AND(ISNUMBER(G257),G257&gt;=0)),OR(ISBLANK(H257),AND(ISNUMBER(H257),H257&gt;=0))),60*IF(ISBLANK(G257),0,G257)+IF(ISBLANK(H257),0,H257),"")))</f>
        <v/>
      </c>
      <c r="T257" s="97" t="str">
        <f aca="false">IF(ISBLANK($C257),"",IF(I257=Constants!$B$2, TRUE(), IF(I257=Constants!$B$3, FALSE(), TRUE())))</f>
        <v/>
      </c>
      <c r="U257" s="97" t="str">
        <f aca="false">IF(ISBLANK($C257),"",IF(J257=Constants!$B$2, TRUE(), IF(J257=Constants!$B$3, FALSE(), TRUE())))</f>
        <v/>
      </c>
      <c r="V257" s="97" t="str">
        <f aca="false">IF(ISBLANK($C257),"",IF(COUNTA(K257:L257)=0,"",IF(AND(OR(ISBLANK(K257),AND(ISNUMBER(K257),K257&gt;=0)),OR(ISBLANK(L257),AND(ISNUMBER(L257),L257&gt;=0))),60*IF(ISBLANK(K257),0,K257)+IF(ISBLANK(L257),0,L257),"")))</f>
        <v/>
      </c>
      <c r="W257" s="97" t="str">
        <f aca="false">IF(ISBLANK($C257),"",IF(M257=Constants!$B$2, TRUE(), IF(M257=Constants!$B$3, FALSE(), TRUE())))</f>
        <v/>
      </c>
      <c r="X257" s="97" t="str">
        <f aca="false">IF(ISBLANK($C257),"",IF(N257=Constants!$B$2, TRUE(), IF(N257=Constants!$B$3, FALSE(), TRUE())))</f>
        <v/>
      </c>
      <c r="Y257" s="97" t="str">
        <f aca="false">IF(ISBLANK($C257),"",IF(O257=Constants!$B$2, TRUE(), IF(O257=Constants!$B$3, FALSE(), FALSE())))</f>
        <v/>
      </c>
      <c r="Z257" s="97" t="str">
        <f aca="false">IF(ISBLANK($C257),"",AND(S257&lt;&gt;"",Q257))</f>
        <v/>
      </c>
      <c r="AA257" s="97" t="str">
        <f aca="false">IF(ISBLANK($C257),"",AND(V257&lt;&gt;"",Q257))</f>
        <v/>
      </c>
      <c r="AB257" s="97" t="str">
        <f aca="false">IF(ISBLANK($C257),"",IF(Y257,Constants!$B$4,IF(COUNTA(E257:N257)=0,Constants!$B$5,IF(NOT(Q257),Constants!$B$6,IF(AND(NOT(Z257),NOT(AA257)),Constants!$B$6,Constants!$B$7)))))</f>
        <v/>
      </c>
      <c r="AC257" s="97" t="str">
        <f aca="false">IF(ISBLANK($C257),"",IF($AB257&lt;&gt;Constants!$B$7,$AB257,Constants!$B$20))</f>
        <v/>
      </c>
      <c r="AD257" s="97" t="str">
        <f aca="false">IF($AB257=Constants!$B$7,IF(Z257,S257,Constants!$B$13),"")</f>
        <v/>
      </c>
      <c r="AE257" s="97" t="str">
        <f aca="false">IF($AB257=Constants!$B$7,IF(Z257,R257*IF(T257, 1, Constants!$B$11)*IF(U257, 1, Constants!$B$12),Constants!$B$13),"")</f>
        <v/>
      </c>
      <c r="AF257" s="97" t="str">
        <f aca="false">IF($AB257=Constants!$B$7,AD257*AE257,"")</f>
        <v/>
      </c>
      <c r="AG257" s="97" t="str">
        <f aca="false">IF($AB257=Constants!$B$7,IF(AA257,V257,Constants!$B$13),"")</f>
        <v/>
      </c>
      <c r="AH257" s="97" t="str">
        <f aca="false">IF($AB257=Constants!$B$7,IF(AA257,R257*IF(W257, 1, Constants!$B$11)*IF(X257, 1, Constants!$B$12),Constants!$B$13),"")</f>
        <v/>
      </c>
      <c r="AI257" s="97" t="str">
        <f aca="false">IF($AB257=Constants!$B$7,AG257*AH257,"")</f>
        <v/>
      </c>
      <c r="AJ257" s="97" t="str">
        <f aca="false">IF($AB257=Constants!$B$7,IF(AI257&gt;AF257,2,1),"")</f>
        <v/>
      </c>
      <c r="AK257" s="97" t="str">
        <f aca="false">IF($AB257=Constants!$B$7,IF(AJ257=1,2,1),"")</f>
        <v/>
      </c>
      <c r="AL257" s="97" t="str">
        <f aca="false">IF(ISBLANK($C257),"",IF($AB257&lt;&gt;Constants!$B$7,$AB257,IF(AJ257=1,AF257,AI257)))</f>
        <v/>
      </c>
      <c r="AM257" s="97" t="str">
        <f aca="false">IF(ISBLANK($C257),"",IF($AB257=Constants!$B$7,IF(ISNUMBER(AL257),RANK(AL257,$AL$8:$AL$507),Constants!$B$14),$AB257))</f>
        <v/>
      </c>
      <c r="AN257" s="97" t="str">
        <f aca="false">IF(ISBLANK($C257),"",IF($AB257=Constants!$B$7,IF(AK257=1,AF257,AI257),""))</f>
        <v/>
      </c>
      <c r="AO257" s="97" t="str">
        <f aca="false">IF(ISBLANK($C257),"",IF($AB257=Constants!$B$7,RANK(AN257,$AN$8:$AN$507),$AB257))</f>
        <v/>
      </c>
      <c r="AP257" s="97" t="str">
        <f aca="false">IF(ISBLANK($C257),"",IF($AB257=Constants!$B$7,IF(ISNUMBER(AM257),COUNTIFS($AM$8:$AM$507,"&lt;"&amp;$AM257)+COUNTIFS($AM$8:$AM$507,$AM257,$AO$8:$AO$507,"&lt;"&amp;$AO257)+1,Constants!$B$14),$AB257))</f>
        <v/>
      </c>
      <c r="AQ257" s="97" t="str">
        <f aca="false">IF(ISBLANK($C257),"",IF($AB257=Constants!$B$7,IF(ISNUMBER(AM257),AM257-AP257,Constants!$B$14),$AB257))</f>
        <v/>
      </c>
      <c r="AR257" s="98"/>
      <c r="AS257" s="99" t="str">
        <f aca="false">IF(ISBLANK($C257),"",IF($AB257&lt;&gt;Constants!$B$7,"",AJ257))</f>
        <v/>
      </c>
      <c r="AT257" s="100" t="str">
        <f aca="false">IF(ISBLANK($C257),"",IF($AB257&lt;&gt;Constants!$B$7,"",IF(AJ257=1,AD257,AG257)))</f>
        <v/>
      </c>
      <c r="AU257" s="101" t="str">
        <f aca="false">IF(ISBLANK($C257),"",IF($AB257&lt;&gt;Constants!$B$7,"",IF(AJ257=1,AE257,AH257)))</f>
        <v/>
      </c>
      <c r="AV257" s="102" t="str">
        <f aca="false">IF(ISBLANK($C257),"",IF($AB257&lt;&gt;Constants!$B$7,$AB257,AL257))</f>
        <v/>
      </c>
      <c r="AW257" s="103" t="str">
        <f aca="false">IF(ISBLANK($C257),"",IF($AB257&lt;&gt;Constants!$B$7,$AB257,AC257))</f>
        <v/>
      </c>
      <c r="AX257" s="104" t="str">
        <f aca="false">IF(ISBLANK($C257),"",AQ257)</f>
        <v/>
      </c>
      <c r="AY257" s="104" t="str">
        <f aca="false">IF(ISBLANK($C257),"",AP257)</f>
        <v/>
      </c>
      <c r="AZ257" s="105" t="str">
        <f aca="false">IF(ISBLANK($C257),"",IF(AY257=Constants!$B$4,COUNTA($C$8:$C$507)+2,IF(AY257=Constants!$B$5,COUNTA($C$8:$C$507)+1,IF(AY257=Constants!$B$6,COUNTA($C$8:$C$507),AY257))))</f>
        <v/>
      </c>
      <c r="BA257" s="5"/>
      <c r="BB257" s="106" t="n">
        <f aca="false">IF(OR(ISNUMBER(AY257),AY257=Constants!$B$4,AY257=Constants!$B$6,AY257=Constants!$B$5),1,0)</f>
        <v>0</v>
      </c>
      <c r="BC257" s="106" t="n">
        <v>250</v>
      </c>
      <c r="BD257" s="106" t="str">
        <f aca="false">IF(ISBLANK($C257),"",IF(ISNUMBER(AZ257),AZ257+ROW($B257)/1000,""))</f>
        <v/>
      </c>
      <c r="BE257" s="106" t="str">
        <f aca="false">IF(ISNUMBER(BD257),RANK(BD257,$BD$8:$BD$507,1),"")</f>
        <v/>
      </c>
      <c r="BF257" s="106" t="str">
        <f aca="false">IF(ISBLANK($C257),"",$B257)</f>
        <v/>
      </c>
      <c r="BG257" s="106" t="str">
        <f aca="false">IF(ISBLANK($C257),"",$C257)</f>
        <v/>
      </c>
      <c r="BH257" s="106" t="str">
        <f aca="false">IF(ISBLANK($C257),"",$D257)</f>
        <v/>
      </c>
      <c r="BI257" s="107" t="str">
        <f aca="false">AW257</f>
        <v/>
      </c>
      <c r="BJ257" s="108" t="str">
        <f aca="false">AV257</f>
        <v/>
      </c>
      <c r="BK257" s="106" t="str">
        <f aca="false">IF(ISBLANK($C257),"",AY257)</f>
        <v/>
      </c>
      <c r="BL257" s="109" t="str">
        <f aca="false">IF($BC257&gt;$BB$7,"",VLOOKUP($BC257,$BE$8:$BK$507,7,FALSE()))</f>
        <v/>
      </c>
      <c r="BM257" s="110" t="str">
        <f aca="false">IF($BC257&gt;$BB$7,"",VLOOKUP($BC257,$BE$8:$BK$507,2,FALSE()))</f>
        <v/>
      </c>
      <c r="BN257" s="110" t="str">
        <f aca="false">IF($BC257&gt;$BB$7,"",VLOOKUP($BC257,$BE$8:$BK$507,3,FALSE()))</f>
        <v/>
      </c>
      <c r="BO257" s="110" t="str">
        <f aca="false">IF($BC257&gt;$BB$7,"",VLOOKUP($BC257,$BE$8:$BK$507,4,FALSE()))</f>
        <v/>
      </c>
      <c r="BP257" s="110" t="str">
        <f aca="false">IF($BC257&gt;$BB$7,"",VLOOKUP($BC257,$BE$8:$BK$507,5,FALSE()))</f>
        <v/>
      </c>
      <c r="BQ257" s="111" t="str">
        <f aca="false">IF($BC257&gt;$BB$7,"",VLOOKUP($BC257,$BE$8:$BK$507,6,FALSE()))</f>
        <v/>
      </c>
      <c r="BR257" s="54"/>
    </row>
    <row r="258" customFormat="false" ht="15.75" hidden="false" customHeight="false" outlineLevel="0" collapsed="false">
      <c r="A258" s="5"/>
      <c r="B258" s="120"/>
      <c r="C258" s="121"/>
      <c r="D258" s="112"/>
      <c r="E258" s="123"/>
      <c r="F258" s="91"/>
      <c r="G258" s="92"/>
      <c r="H258" s="93"/>
      <c r="I258" s="94"/>
      <c r="J258" s="91"/>
      <c r="K258" s="92"/>
      <c r="L258" s="93"/>
      <c r="M258" s="94"/>
      <c r="N258" s="91"/>
      <c r="O258" s="123"/>
      <c r="P258" s="96"/>
      <c r="Q258" s="97" t="str">
        <f aca="false">IF(ISBLANK($C258),"",IF(E258=Constants!$B$2, TRUE(), IF(E258=Constants!$B$3, FALSE(), TRUE())))</f>
        <v/>
      </c>
      <c r="R258" s="97" t="str">
        <f aca="false">IF(ISBLANK($C258),"",IF(F258=Constants!$B$16,Constants!$B$9,IF(F258=Constants!$B$17,Constants!$B$10,Constants!$B$8)))</f>
        <v/>
      </c>
      <c r="S258" s="97" t="str">
        <f aca="false">IF(ISBLANK($C258),"",IF(COUNTA(G258:H258)=0,"",IF(AND(OR(ISBLANK(G258),AND(ISNUMBER(G258),G258&gt;=0)),OR(ISBLANK(H258),AND(ISNUMBER(H258),H258&gt;=0))),60*IF(ISBLANK(G258),0,G258)+IF(ISBLANK(H258),0,H258),"")))</f>
        <v/>
      </c>
      <c r="T258" s="97" t="str">
        <f aca="false">IF(ISBLANK($C258),"",IF(I258=Constants!$B$2, TRUE(), IF(I258=Constants!$B$3, FALSE(), TRUE())))</f>
        <v/>
      </c>
      <c r="U258" s="97" t="str">
        <f aca="false">IF(ISBLANK($C258),"",IF(J258=Constants!$B$2, TRUE(), IF(J258=Constants!$B$3, FALSE(), TRUE())))</f>
        <v/>
      </c>
      <c r="V258" s="97" t="str">
        <f aca="false">IF(ISBLANK($C258),"",IF(COUNTA(K258:L258)=0,"",IF(AND(OR(ISBLANK(K258),AND(ISNUMBER(K258),K258&gt;=0)),OR(ISBLANK(L258),AND(ISNUMBER(L258),L258&gt;=0))),60*IF(ISBLANK(K258),0,K258)+IF(ISBLANK(L258),0,L258),"")))</f>
        <v/>
      </c>
      <c r="W258" s="97" t="str">
        <f aca="false">IF(ISBLANK($C258),"",IF(M258=Constants!$B$2, TRUE(), IF(M258=Constants!$B$3, FALSE(), TRUE())))</f>
        <v/>
      </c>
      <c r="X258" s="97" t="str">
        <f aca="false">IF(ISBLANK($C258),"",IF(N258=Constants!$B$2, TRUE(), IF(N258=Constants!$B$3, FALSE(), TRUE())))</f>
        <v/>
      </c>
      <c r="Y258" s="97" t="str">
        <f aca="false">IF(ISBLANK($C258),"",IF(O258=Constants!$B$2, TRUE(), IF(O258=Constants!$B$3, FALSE(), FALSE())))</f>
        <v/>
      </c>
      <c r="Z258" s="97" t="str">
        <f aca="false">IF(ISBLANK($C258),"",AND(S258&lt;&gt;"",Q258))</f>
        <v/>
      </c>
      <c r="AA258" s="97" t="str">
        <f aca="false">IF(ISBLANK($C258),"",AND(V258&lt;&gt;"",Q258))</f>
        <v/>
      </c>
      <c r="AB258" s="97" t="str">
        <f aca="false">IF(ISBLANK($C258),"",IF(Y258,Constants!$B$4,IF(COUNTA(E258:N258)=0,Constants!$B$5,IF(NOT(Q258),Constants!$B$6,IF(AND(NOT(Z258),NOT(AA258)),Constants!$B$6,Constants!$B$7)))))</f>
        <v/>
      </c>
      <c r="AC258" s="97" t="str">
        <f aca="false">IF(ISBLANK($C258),"",IF($AB258&lt;&gt;Constants!$B$7,$AB258,Constants!$B$20))</f>
        <v/>
      </c>
      <c r="AD258" s="97" t="str">
        <f aca="false">IF($AB258=Constants!$B$7,IF(Z258,S258,Constants!$B$13),"")</f>
        <v/>
      </c>
      <c r="AE258" s="97" t="str">
        <f aca="false">IF($AB258=Constants!$B$7,IF(Z258,R258*IF(T258, 1, Constants!$B$11)*IF(U258, 1, Constants!$B$12),Constants!$B$13),"")</f>
        <v/>
      </c>
      <c r="AF258" s="97" t="str">
        <f aca="false">IF($AB258=Constants!$B$7,AD258*AE258,"")</f>
        <v/>
      </c>
      <c r="AG258" s="97" t="str">
        <f aca="false">IF($AB258=Constants!$B$7,IF(AA258,V258,Constants!$B$13),"")</f>
        <v/>
      </c>
      <c r="AH258" s="97" t="str">
        <f aca="false">IF($AB258=Constants!$B$7,IF(AA258,R258*IF(W258, 1, Constants!$B$11)*IF(X258, 1, Constants!$B$12),Constants!$B$13),"")</f>
        <v/>
      </c>
      <c r="AI258" s="97" t="str">
        <f aca="false">IF($AB258=Constants!$B$7,AG258*AH258,"")</f>
        <v/>
      </c>
      <c r="AJ258" s="97" t="str">
        <f aca="false">IF($AB258=Constants!$B$7,IF(AI258&gt;AF258,2,1),"")</f>
        <v/>
      </c>
      <c r="AK258" s="97" t="str">
        <f aca="false">IF($AB258=Constants!$B$7,IF(AJ258=1,2,1),"")</f>
        <v/>
      </c>
      <c r="AL258" s="97" t="str">
        <f aca="false">IF(ISBLANK($C258),"",IF($AB258&lt;&gt;Constants!$B$7,$AB258,IF(AJ258=1,AF258,AI258)))</f>
        <v/>
      </c>
      <c r="AM258" s="97" t="str">
        <f aca="false">IF(ISBLANK($C258),"",IF($AB258=Constants!$B$7,IF(ISNUMBER(AL258),RANK(AL258,$AL$8:$AL$507),Constants!$B$14),$AB258))</f>
        <v/>
      </c>
      <c r="AN258" s="97" t="str">
        <f aca="false">IF(ISBLANK($C258),"",IF($AB258=Constants!$B$7,IF(AK258=1,AF258,AI258),""))</f>
        <v/>
      </c>
      <c r="AO258" s="97" t="str">
        <f aca="false">IF(ISBLANK($C258),"",IF($AB258=Constants!$B$7,RANK(AN258,$AN$8:$AN$507),$AB258))</f>
        <v/>
      </c>
      <c r="AP258" s="97" t="str">
        <f aca="false">IF(ISBLANK($C258),"",IF($AB258=Constants!$B$7,IF(ISNUMBER(AM258),COUNTIFS($AM$8:$AM$507,"&lt;"&amp;$AM258)+COUNTIFS($AM$8:$AM$507,$AM258,$AO$8:$AO$507,"&lt;"&amp;$AO258)+1,Constants!$B$14),$AB258))</f>
        <v/>
      </c>
      <c r="AQ258" s="97" t="str">
        <f aca="false">IF(ISBLANK($C258),"",IF($AB258=Constants!$B$7,IF(ISNUMBER(AM258),AM258-AP258,Constants!$B$14),$AB258))</f>
        <v/>
      </c>
      <c r="AR258" s="98"/>
      <c r="AS258" s="99" t="str">
        <f aca="false">IF(ISBLANK($C258),"",IF($AB258&lt;&gt;Constants!$B$7,"",AJ258))</f>
        <v/>
      </c>
      <c r="AT258" s="100" t="str">
        <f aca="false">IF(ISBLANK($C258),"",IF($AB258&lt;&gt;Constants!$B$7,"",IF(AJ258=1,AD258,AG258)))</f>
        <v/>
      </c>
      <c r="AU258" s="101" t="str">
        <f aca="false">IF(ISBLANK($C258),"",IF($AB258&lt;&gt;Constants!$B$7,"",IF(AJ258=1,AE258,AH258)))</f>
        <v/>
      </c>
      <c r="AV258" s="102" t="str">
        <f aca="false">IF(ISBLANK($C258),"",IF($AB258&lt;&gt;Constants!$B$7,$AB258,AL258))</f>
        <v/>
      </c>
      <c r="AW258" s="103" t="str">
        <f aca="false">IF(ISBLANK($C258),"",IF($AB258&lt;&gt;Constants!$B$7,$AB258,AC258))</f>
        <v/>
      </c>
      <c r="AX258" s="104" t="str">
        <f aca="false">IF(ISBLANK($C258),"",AQ258)</f>
        <v/>
      </c>
      <c r="AY258" s="104" t="str">
        <f aca="false">IF(ISBLANK($C258),"",AP258)</f>
        <v/>
      </c>
      <c r="AZ258" s="105" t="str">
        <f aca="false">IF(ISBLANK($C258),"",IF(AY258=Constants!$B$4,COUNTA($C$8:$C$507)+2,IF(AY258=Constants!$B$5,COUNTA($C$8:$C$507)+1,IF(AY258=Constants!$B$6,COUNTA($C$8:$C$507),AY258))))</f>
        <v/>
      </c>
      <c r="BA258" s="5"/>
      <c r="BB258" s="106" t="n">
        <f aca="false">IF(OR(ISNUMBER(AY258),AY258=Constants!$B$4,AY258=Constants!$B$6,AY258=Constants!$B$5),1,0)</f>
        <v>0</v>
      </c>
      <c r="BC258" s="106" t="n">
        <v>251</v>
      </c>
      <c r="BD258" s="106" t="str">
        <f aca="false">IF(ISBLANK($C258),"",IF(ISNUMBER(AZ258),AZ258+ROW($B258)/1000,""))</f>
        <v/>
      </c>
      <c r="BE258" s="106" t="str">
        <f aca="false">IF(ISNUMBER(BD258),RANK(BD258,$BD$8:$BD$507,1),"")</f>
        <v/>
      </c>
      <c r="BF258" s="106" t="str">
        <f aca="false">IF(ISBLANK($C258),"",$B258)</f>
        <v/>
      </c>
      <c r="BG258" s="106" t="str">
        <f aca="false">IF(ISBLANK($C258),"",$C258)</f>
        <v/>
      </c>
      <c r="BH258" s="106" t="str">
        <f aca="false">IF(ISBLANK($C258),"",$D258)</f>
        <v/>
      </c>
      <c r="BI258" s="107" t="str">
        <f aca="false">AW258</f>
        <v/>
      </c>
      <c r="BJ258" s="108" t="str">
        <f aca="false">AV258</f>
        <v/>
      </c>
      <c r="BK258" s="106" t="str">
        <f aca="false">IF(ISBLANK($C258),"",AY258)</f>
        <v/>
      </c>
      <c r="BL258" s="109" t="str">
        <f aca="false">IF($BC258&gt;$BB$7,"",VLOOKUP($BC258,$BE$8:$BK$507,7,FALSE()))</f>
        <v/>
      </c>
      <c r="BM258" s="110" t="str">
        <f aca="false">IF($BC258&gt;$BB$7,"",VLOOKUP($BC258,$BE$8:$BK$507,2,FALSE()))</f>
        <v/>
      </c>
      <c r="BN258" s="110" t="str">
        <f aca="false">IF($BC258&gt;$BB$7,"",VLOOKUP($BC258,$BE$8:$BK$507,3,FALSE()))</f>
        <v/>
      </c>
      <c r="BO258" s="110" t="str">
        <f aca="false">IF($BC258&gt;$BB$7,"",VLOOKUP($BC258,$BE$8:$BK$507,4,FALSE()))</f>
        <v/>
      </c>
      <c r="BP258" s="110" t="str">
        <f aca="false">IF($BC258&gt;$BB$7,"",VLOOKUP($BC258,$BE$8:$BK$507,5,FALSE()))</f>
        <v/>
      </c>
      <c r="BQ258" s="111" t="str">
        <f aca="false">IF($BC258&gt;$BB$7,"",VLOOKUP($BC258,$BE$8:$BK$507,6,FALSE()))</f>
        <v/>
      </c>
      <c r="BR258" s="54"/>
    </row>
    <row r="259" customFormat="false" ht="15.75" hidden="false" customHeight="false" outlineLevel="0" collapsed="false">
      <c r="A259" s="5"/>
      <c r="B259" s="120"/>
      <c r="C259" s="121"/>
      <c r="D259" s="112"/>
      <c r="E259" s="123"/>
      <c r="F259" s="91"/>
      <c r="G259" s="92"/>
      <c r="H259" s="93"/>
      <c r="I259" s="94"/>
      <c r="J259" s="91"/>
      <c r="K259" s="92"/>
      <c r="L259" s="93"/>
      <c r="M259" s="94"/>
      <c r="N259" s="91"/>
      <c r="O259" s="123"/>
      <c r="P259" s="96"/>
      <c r="Q259" s="97" t="str">
        <f aca="false">IF(ISBLANK($C259),"",IF(E259=Constants!$B$2, TRUE(), IF(E259=Constants!$B$3, FALSE(), TRUE())))</f>
        <v/>
      </c>
      <c r="R259" s="97" t="str">
        <f aca="false">IF(ISBLANK($C259),"",IF(F259=Constants!$B$16,Constants!$B$9,IF(F259=Constants!$B$17,Constants!$B$10,Constants!$B$8)))</f>
        <v/>
      </c>
      <c r="S259" s="97" t="str">
        <f aca="false">IF(ISBLANK($C259),"",IF(COUNTA(G259:H259)=0,"",IF(AND(OR(ISBLANK(G259),AND(ISNUMBER(G259),G259&gt;=0)),OR(ISBLANK(H259),AND(ISNUMBER(H259),H259&gt;=0))),60*IF(ISBLANK(G259),0,G259)+IF(ISBLANK(H259),0,H259),"")))</f>
        <v/>
      </c>
      <c r="T259" s="97" t="str">
        <f aca="false">IF(ISBLANK($C259),"",IF(I259=Constants!$B$2, TRUE(), IF(I259=Constants!$B$3, FALSE(), TRUE())))</f>
        <v/>
      </c>
      <c r="U259" s="97" t="str">
        <f aca="false">IF(ISBLANK($C259),"",IF(J259=Constants!$B$2, TRUE(), IF(J259=Constants!$B$3, FALSE(), TRUE())))</f>
        <v/>
      </c>
      <c r="V259" s="97" t="str">
        <f aca="false">IF(ISBLANK($C259),"",IF(COUNTA(K259:L259)=0,"",IF(AND(OR(ISBLANK(K259),AND(ISNUMBER(K259),K259&gt;=0)),OR(ISBLANK(L259),AND(ISNUMBER(L259),L259&gt;=0))),60*IF(ISBLANK(K259),0,K259)+IF(ISBLANK(L259),0,L259),"")))</f>
        <v/>
      </c>
      <c r="W259" s="97" t="str">
        <f aca="false">IF(ISBLANK($C259),"",IF(M259=Constants!$B$2, TRUE(), IF(M259=Constants!$B$3, FALSE(), TRUE())))</f>
        <v/>
      </c>
      <c r="X259" s="97" t="str">
        <f aca="false">IF(ISBLANK($C259),"",IF(N259=Constants!$B$2, TRUE(), IF(N259=Constants!$B$3, FALSE(), TRUE())))</f>
        <v/>
      </c>
      <c r="Y259" s="97" t="str">
        <f aca="false">IF(ISBLANK($C259),"",IF(O259=Constants!$B$2, TRUE(), IF(O259=Constants!$B$3, FALSE(), FALSE())))</f>
        <v/>
      </c>
      <c r="Z259" s="97" t="str">
        <f aca="false">IF(ISBLANK($C259),"",AND(S259&lt;&gt;"",Q259))</f>
        <v/>
      </c>
      <c r="AA259" s="97" t="str">
        <f aca="false">IF(ISBLANK($C259),"",AND(V259&lt;&gt;"",Q259))</f>
        <v/>
      </c>
      <c r="AB259" s="97" t="str">
        <f aca="false">IF(ISBLANK($C259),"",IF(Y259,Constants!$B$4,IF(COUNTA(E259:N259)=0,Constants!$B$5,IF(NOT(Q259),Constants!$B$6,IF(AND(NOT(Z259),NOT(AA259)),Constants!$B$6,Constants!$B$7)))))</f>
        <v/>
      </c>
      <c r="AC259" s="97" t="str">
        <f aca="false">IF(ISBLANK($C259),"",IF($AB259&lt;&gt;Constants!$B$7,$AB259,Constants!$B$20))</f>
        <v/>
      </c>
      <c r="AD259" s="97" t="str">
        <f aca="false">IF($AB259=Constants!$B$7,IF(Z259,S259,Constants!$B$13),"")</f>
        <v/>
      </c>
      <c r="AE259" s="97" t="str">
        <f aca="false">IF($AB259=Constants!$B$7,IF(Z259,R259*IF(T259, 1, Constants!$B$11)*IF(U259, 1, Constants!$B$12),Constants!$B$13),"")</f>
        <v/>
      </c>
      <c r="AF259" s="97" t="str">
        <f aca="false">IF($AB259=Constants!$B$7,AD259*AE259,"")</f>
        <v/>
      </c>
      <c r="AG259" s="97" t="str">
        <f aca="false">IF($AB259=Constants!$B$7,IF(AA259,V259,Constants!$B$13),"")</f>
        <v/>
      </c>
      <c r="AH259" s="97" t="str">
        <f aca="false">IF($AB259=Constants!$B$7,IF(AA259,R259*IF(W259, 1, Constants!$B$11)*IF(X259, 1, Constants!$B$12),Constants!$B$13),"")</f>
        <v/>
      </c>
      <c r="AI259" s="97" t="str">
        <f aca="false">IF($AB259=Constants!$B$7,AG259*AH259,"")</f>
        <v/>
      </c>
      <c r="AJ259" s="97" t="str">
        <f aca="false">IF($AB259=Constants!$B$7,IF(AI259&gt;AF259,2,1),"")</f>
        <v/>
      </c>
      <c r="AK259" s="97" t="str">
        <f aca="false">IF($AB259=Constants!$B$7,IF(AJ259=1,2,1),"")</f>
        <v/>
      </c>
      <c r="AL259" s="97" t="str">
        <f aca="false">IF(ISBLANK($C259),"",IF($AB259&lt;&gt;Constants!$B$7,$AB259,IF(AJ259=1,AF259,AI259)))</f>
        <v/>
      </c>
      <c r="AM259" s="97" t="str">
        <f aca="false">IF(ISBLANK($C259),"",IF($AB259=Constants!$B$7,IF(ISNUMBER(AL259),RANK(AL259,$AL$8:$AL$507),Constants!$B$14),$AB259))</f>
        <v/>
      </c>
      <c r="AN259" s="97" t="str">
        <f aca="false">IF(ISBLANK($C259),"",IF($AB259=Constants!$B$7,IF(AK259=1,AF259,AI259),""))</f>
        <v/>
      </c>
      <c r="AO259" s="97" t="str">
        <f aca="false">IF(ISBLANK($C259),"",IF($AB259=Constants!$B$7,RANK(AN259,$AN$8:$AN$507),$AB259))</f>
        <v/>
      </c>
      <c r="AP259" s="97" t="str">
        <f aca="false">IF(ISBLANK($C259),"",IF($AB259=Constants!$B$7,IF(ISNUMBER(AM259),COUNTIFS($AM$8:$AM$507,"&lt;"&amp;$AM259)+COUNTIFS($AM$8:$AM$507,$AM259,$AO$8:$AO$507,"&lt;"&amp;$AO259)+1,Constants!$B$14),$AB259))</f>
        <v/>
      </c>
      <c r="AQ259" s="97" t="str">
        <f aca="false">IF(ISBLANK($C259),"",IF($AB259=Constants!$B$7,IF(ISNUMBER(AM259),AM259-AP259,Constants!$B$14),$AB259))</f>
        <v/>
      </c>
      <c r="AR259" s="98"/>
      <c r="AS259" s="99" t="str">
        <f aca="false">IF(ISBLANK($C259),"",IF($AB259&lt;&gt;Constants!$B$7,"",AJ259))</f>
        <v/>
      </c>
      <c r="AT259" s="100" t="str">
        <f aca="false">IF(ISBLANK($C259),"",IF($AB259&lt;&gt;Constants!$B$7,"",IF(AJ259=1,AD259,AG259)))</f>
        <v/>
      </c>
      <c r="AU259" s="101" t="str">
        <f aca="false">IF(ISBLANK($C259),"",IF($AB259&lt;&gt;Constants!$B$7,"",IF(AJ259=1,AE259,AH259)))</f>
        <v/>
      </c>
      <c r="AV259" s="102" t="str">
        <f aca="false">IF(ISBLANK($C259),"",IF($AB259&lt;&gt;Constants!$B$7,$AB259,AL259))</f>
        <v/>
      </c>
      <c r="AW259" s="103" t="str">
        <f aca="false">IF(ISBLANK($C259),"",IF($AB259&lt;&gt;Constants!$B$7,$AB259,AC259))</f>
        <v/>
      </c>
      <c r="AX259" s="104" t="str">
        <f aca="false">IF(ISBLANK($C259),"",AQ259)</f>
        <v/>
      </c>
      <c r="AY259" s="104" t="str">
        <f aca="false">IF(ISBLANK($C259),"",AP259)</f>
        <v/>
      </c>
      <c r="AZ259" s="105" t="str">
        <f aca="false">IF(ISBLANK($C259),"",IF(AY259=Constants!$B$4,COUNTA($C$8:$C$507)+2,IF(AY259=Constants!$B$5,COUNTA($C$8:$C$507)+1,IF(AY259=Constants!$B$6,COUNTA($C$8:$C$507),AY259))))</f>
        <v/>
      </c>
      <c r="BA259" s="5"/>
      <c r="BB259" s="106" t="n">
        <f aca="false">IF(OR(ISNUMBER(AY259),AY259=Constants!$B$4,AY259=Constants!$B$6,AY259=Constants!$B$5),1,0)</f>
        <v>0</v>
      </c>
      <c r="BC259" s="106" t="n">
        <v>252</v>
      </c>
      <c r="BD259" s="106" t="str">
        <f aca="false">IF(ISBLANK($C259),"",IF(ISNUMBER(AZ259),AZ259+ROW($B259)/1000,""))</f>
        <v/>
      </c>
      <c r="BE259" s="106" t="str">
        <f aca="false">IF(ISNUMBER(BD259),RANK(BD259,$BD$8:$BD$507,1),"")</f>
        <v/>
      </c>
      <c r="BF259" s="106" t="str">
        <f aca="false">IF(ISBLANK($C259),"",$B259)</f>
        <v/>
      </c>
      <c r="BG259" s="106" t="str">
        <f aca="false">IF(ISBLANK($C259),"",$C259)</f>
        <v/>
      </c>
      <c r="BH259" s="106" t="str">
        <f aca="false">IF(ISBLANK($C259),"",$D259)</f>
        <v/>
      </c>
      <c r="BI259" s="107" t="str">
        <f aca="false">AW259</f>
        <v/>
      </c>
      <c r="BJ259" s="108" t="str">
        <f aca="false">AV259</f>
        <v/>
      </c>
      <c r="BK259" s="106" t="str">
        <f aca="false">IF(ISBLANK($C259),"",AY259)</f>
        <v/>
      </c>
      <c r="BL259" s="109" t="str">
        <f aca="false">IF($BC259&gt;$BB$7,"",VLOOKUP($BC259,$BE$8:$BK$507,7,FALSE()))</f>
        <v/>
      </c>
      <c r="BM259" s="110" t="str">
        <f aca="false">IF($BC259&gt;$BB$7,"",VLOOKUP($BC259,$BE$8:$BK$507,2,FALSE()))</f>
        <v/>
      </c>
      <c r="BN259" s="110" t="str">
        <f aca="false">IF($BC259&gt;$BB$7,"",VLOOKUP($BC259,$BE$8:$BK$507,3,FALSE()))</f>
        <v/>
      </c>
      <c r="BO259" s="110" t="str">
        <f aca="false">IF($BC259&gt;$BB$7,"",VLOOKUP($BC259,$BE$8:$BK$507,4,FALSE()))</f>
        <v/>
      </c>
      <c r="BP259" s="110" t="str">
        <f aca="false">IF($BC259&gt;$BB$7,"",VLOOKUP($BC259,$BE$8:$BK$507,5,FALSE()))</f>
        <v/>
      </c>
      <c r="BQ259" s="111" t="str">
        <f aca="false">IF($BC259&gt;$BB$7,"",VLOOKUP($BC259,$BE$8:$BK$507,6,FALSE()))</f>
        <v/>
      </c>
      <c r="BR259" s="54"/>
    </row>
    <row r="260" customFormat="false" ht="15.75" hidden="false" customHeight="false" outlineLevel="0" collapsed="false">
      <c r="A260" s="5"/>
      <c r="B260" s="124"/>
      <c r="C260" s="56"/>
      <c r="D260" s="57"/>
      <c r="E260" s="83"/>
      <c r="F260" s="59"/>
      <c r="G260" s="60"/>
      <c r="H260" s="61"/>
      <c r="I260" s="62"/>
      <c r="J260" s="59"/>
      <c r="K260" s="60"/>
      <c r="L260" s="61"/>
      <c r="M260" s="62"/>
      <c r="N260" s="59"/>
      <c r="O260" s="83"/>
      <c r="P260" s="64"/>
      <c r="Q260" s="66" t="str">
        <f aca="false">IF(ISBLANK($C260),"",IF(E260=Constants!$B$2, TRUE(), IF(E260=Constants!$B$3, FALSE(), TRUE())))</f>
        <v/>
      </c>
      <c r="R260" s="66" t="str">
        <f aca="false">IF(ISBLANK($C260),"",IF(F260=Constants!$B$16,Constants!$B$9,IF(F260=Constants!$B$17,Constants!$B$10,Constants!$B$8)))</f>
        <v/>
      </c>
      <c r="S260" s="66" t="str">
        <f aca="false">IF(ISBLANK($C260),"",IF(COUNTA(G260:H260)=0,"",IF(AND(OR(ISBLANK(G260),AND(ISNUMBER(G260),G260&gt;=0)),OR(ISBLANK(H260),AND(ISNUMBER(H260),H260&gt;=0))),60*IF(ISBLANK(G260),0,G260)+IF(ISBLANK(H260),0,H260),"")))</f>
        <v/>
      </c>
      <c r="T260" s="66" t="str">
        <f aca="false">IF(ISBLANK($C260),"",IF(I260=Constants!$B$2, TRUE(), IF(I260=Constants!$B$3, FALSE(), TRUE())))</f>
        <v/>
      </c>
      <c r="U260" s="66" t="str">
        <f aca="false">IF(ISBLANK($C260),"",IF(J260=Constants!$B$2, TRUE(), IF(J260=Constants!$B$3, FALSE(), TRUE())))</f>
        <v/>
      </c>
      <c r="V260" s="66" t="str">
        <f aca="false">IF(ISBLANK($C260),"",IF(COUNTA(K260:L260)=0,"",IF(AND(OR(ISBLANK(K260),AND(ISNUMBER(K260),K260&gt;=0)),OR(ISBLANK(L260),AND(ISNUMBER(L260),L260&gt;=0))),60*IF(ISBLANK(K260),0,K260)+IF(ISBLANK(L260),0,L260),"")))</f>
        <v/>
      </c>
      <c r="W260" s="66" t="str">
        <f aca="false">IF(ISBLANK($C260),"",IF(M260=Constants!$B$2, TRUE(), IF(M260=Constants!$B$3, FALSE(), TRUE())))</f>
        <v/>
      </c>
      <c r="X260" s="66" t="str">
        <f aca="false">IF(ISBLANK($C260),"",IF(N260=Constants!$B$2, TRUE(), IF(N260=Constants!$B$3, FALSE(), TRUE())))</f>
        <v/>
      </c>
      <c r="Y260" s="66" t="str">
        <f aca="false">IF(ISBLANK($C260),"",IF(O260=Constants!$B$2, TRUE(), IF(O260=Constants!$B$3, FALSE(), FALSE())))</f>
        <v/>
      </c>
      <c r="Z260" s="66" t="str">
        <f aca="false">IF(ISBLANK($C260),"",AND(S260&lt;&gt;"",Q260))</f>
        <v/>
      </c>
      <c r="AA260" s="66" t="str">
        <f aca="false">IF(ISBLANK($C260),"",AND(V260&lt;&gt;"",Q260))</f>
        <v/>
      </c>
      <c r="AB260" s="66" t="str">
        <f aca="false">IF(ISBLANK($C260),"",IF(Y260,Constants!$B$4,IF(COUNTA(E260:N260)=0,Constants!$B$5,IF(NOT(Q260),Constants!$B$6,IF(AND(NOT(Z260),NOT(AA260)),Constants!$B$6,Constants!$B$7)))))</f>
        <v/>
      </c>
      <c r="AC260" s="66" t="str">
        <f aca="false">IF(ISBLANK($C260),"",IF($AB260&lt;&gt;Constants!$B$7,$AB260,Constants!$B$20))</f>
        <v/>
      </c>
      <c r="AD260" s="66" t="str">
        <f aca="false">IF($AB260=Constants!$B$7,IF(Z260,S260,Constants!$B$13),"")</f>
        <v/>
      </c>
      <c r="AE260" s="66" t="str">
        <f aca="false">IF($AB260=Constants!$B$7,IF(Z260,R260*IF(T260, 1, Constants!$B$11)*IF(U260, 1, Constants!$B$12),Constants!$B$13),"")</f>
        <v/>
      </c>
      <c r="AF260" s="66" t="str">
        <f aca="false">IF($AB260=Constants!$B$7,AD260*AE260,"")</f>
        <v/>
      </c>
      <c r="AG260" s="66" t="str">
        <f aca="false">IF($AB260=Constants!$B$7,IF(AA260,V260,Constants!$B$13),"")</f>
        <v/>
      </c>
      <c r="AH260" s="66" t="str">
        <f aca="false">IF($AB260=Constants!$B$7,IF(AA260,R260*IF(W260, 1, Constants!$B$11)*IF(X260, 1, Constants!$B$12),Constants!$B$13),"")</f>
        <v/>
      </c>
      <c r="AI260" s="66" t="str">
        <f aca="false">IF($AB260=Constants!$B$7,AG260*AH260,"")</f>
        <v/>
      </c>
      <c r="AJ260" s="66" t="str">
        <f aca="false">IF($AB260=Constants!$B$7,IF(AI260&gt;AF260,2,1),"")</f>
        <v/>
      </c>
      <c r="AK260" s="66" t="str">
        <f aca="false">IF($AB260=Constants!$B$7,IF(AJ260=1,2,1),"")</f>
        <v/>
      </c>
      <c r="AL260" s="66" t="str">
        <f aca="false">IF(ISBLANK($C260),"",IF($AB260&lt;&gt;Constants!$B$7,$AB260,IF(AJ260=1,AF260,AI260)))</f>
        <v/>
      </c>
      <c r="AM260" s="66" t="str">
        <f aca="false">IF(ISBLANK($C260),"",IF($AB260=Constants!$B$7,IF(ISNUMBER(AL260),RANK(AL260,$AL$8:$AL$507),Constants!$B$14),$AB260))</f>
        <v/>
      </c>
      <c r="AN260" s="66" t="str">
        <f aca="false">IF(ISBLANK($C260),"",IF($AB260=Constants!$B$7,IF(AK260=1,AF260,AI260),""))</f>
        <v/>
      </c>
      <c r="AO260" s="66" t="str">
        <f aca="false">IF(ISBLANK($C260),"",IF($AB260=Constants!$B$7,RANK(AN260,$AN$8:$AN$507),$AB260))</f>
        <v/>
      </c>
      <c r="AP260" s="66" t="str">
        <f aca="false">IF(ISBLANK($C260),"",IF($AB260=Constants!$B$7,IF(ISNUMBER(AM260),COUNTIFS($AM$8:$AM$507,"&lt;"&amp;$AM260)+COUNTIFS($AM$8:$AM$507,$AM260,$AO$8:$AO$507,"&lt;"&amp;$AO260)+1,Constants!$B$14),$AB260))</f>
        <v/>
      </c>
      <c r="AQ260" s="66" t="str">
        <f aca="false">IF(ISBLANK($C260),"",IF($AB260=Constants!$B$7,IF(ISNUMBER(AM260),AM260-AP260,Constants!$B$14),$AB260))</f>
        <v/>
      </c>
      <c r="AR260" s="68"/>
      <c r="AS260" s="69" t="str">
        <f aca="false">IF(ISBLANK($C260),"",IF($AB260&lt;&gt;Constants!$B$7,"",AJ260))</f>
        <v/>
      </c>
      <c r="AT260" s="84" t="str">
        <f aca="false">IF(ISBLANK($C260),"",IF($AB260&lt;&gt;Constants!$B$7,"",IF(AJ260=1,AD260,AG260)))</f>
        <v/>
      </c>
      <c r="AU260" s="71" t="str">
        <f aca="false">IF(ISBLANK($C260),"",IF($AB260&lt;&gt;Constants!$B$7,"",IF(AJ260=1,AE260,AH260)))</f>
        <v/>
      </c>
      <c r="AV260" s="72" t="str">
        <f aca="false">IF(ISBLANK($C260),"",IF($AB260&lt;&gt;Constants!$B$7,$AB260,AL260))</f>
        <v/>
      </c>
      <c r="AW260" s="73" t="str">
        <f aca="false">IF(ISBLANK($C260),"",IF($AB260&lt;&gt;Constants!$B$7,$AB260,AC260))</f>
        <v/>
      </c>
      <c r="AX260" s="74" t="str">
        <f aca="false">IF(ISBLANK($C260),"",AQ260)</f>
        <v/>
      </c>
      <c r="AY260" s="74" t="str">
        <f aca="false">IF(ISBLANK($C260),"",AP260)</f>
        <v/>
      </c>
      <c r="AZ260" s="75" t="str">
        <f aca="false">IF(ISBLANK($C260),"",IF(AY260=Constants!$B$4,COUNTA($C$8:$C$507)+2,IF(AY260=Constants!$B$5,COUNTA($C$8:$C$507)+1,IF(AY260=Constants!$B$6,COUNTA($C$8:$C$507),AY260))))</f>
        <v/>
      </c>
      <c r="BA260" s="5"/>
      <c r="BB260" s="76" t="n">
        <f aca="false">IF(OR(ISNUMBER(AY260),AY260=Constants!$B$4,AY260=Constants!$B$6,AY260=Constants!$B$5),1,0)</f>
        <v>0</v>
      </c>
      <c r="BC260" s="76" t="n">
        <v>253</v>
      </c>
      <c r="BD260" s="76" t="str">
        <f aca="false">IF(ISBLANK($C260),"",IF(ISNUMBER(AZ260),AZ260+ROW($B260)/1000,""))</f>
        <v/>
      </c>
      <c r="BE260" s="76" t="str">
        <f aca="false">IF(ISNUMBER(BD260),RANK(BD260,$BD$8:$BD$507,1),"")</f>
        <v/>
      </c>
      <c r="BF260" s="76" t="str">
        <f aca="false">IF(ISBLANK($C260),"",$B260)</f>
        <v/>
      </c>
      <c r="BG260" s="76" t="str">
        <f aca="false">IF(ISBLANK($C260),"",$C260)</f>
        <v/>
      </c>
      <c r="BH260" s="76" t="str">
        <f aca="false">IF(ISBLANK($C260),"",$D260)</f>
        <v/>
      </c>
      <c r="BI260" s="77" t="str">
        <f aca="false">AW260</f>
        <v/>
      </c>
      <c r="BJ260" s="78" t="str">
        <f aca="false">AV260</f>
        <v/>
      </c>
      <c r="BK260" s="76" t="str">
        <f aca="false">IF(ISBLANK($C260),"",AY260)</f>
        <v/>
      </c>
      <c r="BL260" s="79" t="str">
        <f aca="false">IF($BC260&gt;$BB$7,"",VLOOKUP($BC260,$BE$8:$BK$507,7,FALSE()))</f>
        <v/>
      </c>
      <c r="BM260" s="80" t="str">
        <f aca="false">IF($BC260&gt;$BB$7,"",VLOOKUP($BC260,$BE$8:$BK$507,2,FALSE()))</f>
        <v/>
      </c>
      <c r="BN260" s="80" t="str">
        <f aca="false">IF($BC260&gt;$BB$7,"",VLOOKUP($BC260,$BE$8:$BK$507,3,FALSE()))</f>
        <v/>
      </c>
      <c r="BO260" s="80" t="str">
        <f aca="false">IF($BC260&gt;$BB$7,"",VLOOKUP($BC260,$BE$8:$BK$507,4,FALSE()))</f>
        <v/>
      </c>
      <c r="BP260" s="80" t="str">
        <f aca="false">IF($BC260&gt;$BB$7,"",VLOOKUP($BC260,$BE$8:$BK$507,5,FALSE()))</f>
        <v/>
      </c>
      <c r="BQ260" s="81" t="str">
        <f aca="false">IF($BC260&gt;$BB$7,"",VLOOKUP($BC260,$BE$8:$BK$507,6,FALSE()))</f>
        <v/>
      </c>
      <c r="BR260" s="54"/>
    </row>
    <row r="261" customFormat="false" ht="15.75" hidden="false" customHeight="false" outlineLevel="0" collapsed="false">
      <c r="A261" s="5"/>
      <c r="B261" s="124"/>
      <c r="C261" s="56"/>
      <c r="D261" s="57"/>
      <c r="E261" s="83"/>
      <c r="F261" s="59"/>
      <c r="G261" s="60"/>
      <c r="H261" s="61"/>
      <c r="I261" s="62"/>
      <c r="J261" s="59"/>
      <c r="K261" s="60"/>
      <c r="L261" s="61"/>
      <c r="M261" s="62"/>
      <c r="N261" s="59"/>
      <c r="O261" s="83"/>
      <c r="P261" s="64"/>
      <c r="Q261" s="66" t="str">
        <f aca="false">IF(ISBLANK($C261),"",IF(E261=Constants!$B$2, TRUE(), IF(E261=Constants!$B$3, FALSE(), TRUE())))</f>
        <v/>
      </c>
      <c r="R261" s="66" t="str">
        <f aca="false">IF(ISBLANK($C261),"",IF(F261=Constants!$B$16,Constants!$B$9,IF(F261=Constants!$B$17,Constants!$B$10,Constants!$B$8)))</f>
        <v/>
      </c>
      <c r="S261" s="66" t="str">
        <f aca="false">IF(ISBLANK($C261),"",IF(COUNTA(G261:H261)=0,"",IF(AND(OR(ISBLANK(G261),AND(ISNUMBER(G261),G261&gt;=0)),OR(ISBLANK(H261),AND(ISNUMBER(H261),H261&gt;=0))),60*IF(ISBLANK(G261),0,G261)+IF(ISBLANK(H261),0,H261),"")))</f>
        <v/>
      </c>
      <c r="T261" s="66" t="str">
        <f aca="false">IF(ISBLANK($C261),"",IF(I261=Constants!$B$2, TRUE(), IF(I261=Constants!$B$3, FALSE(), TRUE())))</f>
        <v/>
      </c>
      <c r="U261" s="66" t="str">
        <f aca="false">IF(ISBLANK($C261),"",IF(J261=Constants!$B$2, TRUE(), IF(J261=Constants!$B$3, FALSE(), TRUE())))</f>
        <v/>
      </c>
      <c r="V261" s="66" t="str">
        <f aca="false">IF(ISBLANK($C261),"",IF(COUNTA(K261:L261)=0,"",IF(AND(OR(ISBLANK(K261),AND(ISNUMBER(K261),K261&gt;=0)),OR(ISBLANK(L261),AND(ISNUMBER(L261),L261&gt;=0))),60*IF(ISBLANK(K261),0,K261)+IF(ISBLANK(L261),0,L261),"")))</f>
        <v/>
      </c>
      <c r="W261" s="66" t="str">
        <f aca="false">IF(ISBLANK($C261),"",IF(M261=Constants!$B$2, TRUE(), IF(M261=Constants!$B$3, FALSE(), TRUE())))</f>
        <v/>
      </c>
      <c r="X261" s="66" t="str">
        <f aca="false">IF(ISBLANK($C261),"",IF(N261=Constants!$B$2, TRUE(), IF(N261=Constants!$B$3, FALSE(), TRUE())))</f>
        <v/>
      </c>
      <c r="Y261" s="66" t="str">
        <f aca="false">IF(ISBLANK($C261),"",IF(O261=Constants!$B$2, TRUE(), IF(O261=Constants!$B$3, FALSE(), FALSE())))</f>
        <v/>
      </c>
      <c r="Z261" s="66" t="str">
        <f aca="false">IF(ISBLANK($C261),"",AND(S261&lt;&gt;"",Q261))</f>
        <v/>
      </c>
      <c r="AA261" s="66" t="str">
        <f aca="false">IF(ISBLANK($C261),"",AND(V261&lt;&gt;"",Q261))</f>
        <v/>
      </c>
      <c r="AB261" s="66" t="str">
        <f aca="false">IF(ISBLANK($C261),"",IF(Y261,Constants!$B$4,IF(COUNTA(E261:N261)=0,Constants!$B$5,IF(NOT(Q261),Constants!$B$6,IF(AND(NOT(Z261),NOT(AA261)),Constants!$B$6,Constants!$B$7)))))</f>
        <v/>
      </c>
      <c r="AC261" s="66" t="str">
        <f aca="false">IF(ISBLANK($C261),"",IF($AB261&lt;&gt;Constants!$B$7,$AB261,Constants!$B$20))</f>
        <v/>
      </c>
      <c r="AD261" s="66" t="str">
        <f aca="false">IF($AB261=Constants!$B$7,IF(Z261,S261,Constants!$B$13),"")</f>
        <v/>
      </c>
      <c r="AE261" s="66" t="str">
        <f aca="false">IF($AB261=Constants!$B$7,IF(Z261,R261*IF(T261, 1, Constants!$B$11)*IF(U261, 1, Constants!$B$12),Constants!$B$13),"")</f>
        <v/>
      </c>
      <c r="AF261" s="66" t="str">
        <f aca="false">IF($AB261=Constants!$B$7,AD261*AE261,"")</f>
        <v/>
      </c>
      <c r="AG261" s="66" t="str">
        <f aca="false">IF($AB261=Constants!$B$7,IF(AA261,V261,Constants!$B$13),"")</f>
        <v/>
      </c>
      <c r="AH261" s="66" t="str">
        <f aca="false">IF($AB261=Constants!$B$7,IF(AA261,R261*IF(W261, 1, Constants!$B$11)*IF(X261, 1, Constants!$B$12),Constants!$B$13),"")</f>
        <v/>
      </c>
      <c r="AI261" s="66" t="str">
        <f aca="false">IF($AB261=Constants!$B$7,AG261*AH261,"")</f>
        <v/>
      </c>
      <c r="AJ261" s="66" t="str">
        <f aca="false">IF($AB261=Constants!$B$7,IF(AI261&gt;AF261,2,1),"")</f>
        <v/>
      </c>
      <c r="AK261" s="66" t="str">
        <f aca="false">IF($AB261=Constants!$B$7,IF(AJ261=1,2,1),"")</f>
        <v/>
      </c>
      <c r="AL261" s="66" t="str">
        <f aca="false">IF(ISBLANK($C261),"",IF($AB261&lt;&gt;Constants!$B$7,$AB261,IF(AJ261=1,AF261,AI261)))</f>
        <v/>
      </c>
      <c r="AM261" s="66" t="str">
        <f aca="false">IF(ISBLANK($C261),"",IF($AB261=Constants!$B$7,IF(ISNUMBER(AL261),RANK(AL261,$AL$8:$AL$507),Constants!$B$14),$AB261))</f>
        <v/>
      </c>
      <c r="AN261" s="66" t="str">
        <f aca="false">IF(ISBLANK($C261),"",IF($AB261=Constants!$B$7,IF(AK261=1,AF261,AI261),""))</f>
        <v/>
      </c>
      <c r="AO261" s="66" t="str">
        <f aca="false">IF(ISBLANK($C261),"",IF($AB261=Constants!$B$7,RANK(AN261,$AN$8:$AN$507),$AB261))</f>
        <v/>
      </c>
      <c r="AP261" s="66" t="str">
        <f aca="false">IF(ISBLANK($C261),"",IF($AB261=Constants!$B$7,IF(ISNUMBER(AM261),COUNTIFS($AM$8:$AM$507,"&lt;"&amp;$AM261)+COUNTIFS($AM$8:$AM$507,$AM261,$AO$8:$AO$507,"&lt;"&amp;$AO261)+1,Constants!$B$14),$AB261))</f>
        <v/>
      </c>
      <c r="AQ261" s="66" t="str">
        <f aca="false">IF(ISBLANK($C261),"",IF($AB261=Constants!$B$7,IF(ISNUMBER(AM261),AM261-AP261,Constants!$B$14),$AB261))</f>
        <v/>
      </c>
      <c r="AR261" s="68"/>
      <c r="AS261" s="69" t="str">
        <f aca="false">IF(ISBLANK($C261),"",IF($AB261&lt;&gt;Constants!$B$7,"",AJ261))</f>
        <v/>
      </c>
      <c r="AT261" s="84" t="str">
        <f aca="false">IF(ISBLANK($C261),"",IF($AB261&lt;&gt;Constants!$B$7,"",IF(AJ261=1,AD261,AG261)))</f>
        <v/>
      </c>
      <c r="AU261" s="71" t="str">
        <f aca="false">IF(ISBLANK($C261),"",IF($AB261&lt;&gt;Constants!$B$7,"",IF(AJ261=1,AE261,AH261)))</f>
        <v/>
      </c>
      <c r="AV261" s="72" t="str">
        <f aca="false">IF(ISBLANK($C261),"",IF($AB261&lt;&gt;Constants!$B$7,$AB261,AL261))</f>
        <v/>
      </c>
      <c r="AW261" s="73" t="str">
        <f aca="false">IF(ISBLANK($C261),"",IF($AB261&lt;&gt;Constants!$B$7,$AB261,AC261))</f>
        <v/>
      </c>
      <c r="AX261" s="74" t="str">
        <f aca="false">IF(ISBLANK($C261),"",AQ261)</f>
        <v/>
      </c>
      <c r="AY261" s="74" t="str">
        <f aca="false">IF(ISBLANK($C261),"",AP261)</f>
        <v/>
      </c>
      <c r="AZ261" s="75" t="str">
        <f aca="false">IF(ISBLANK($C261),"",IF(AY261=Constants!$B$4,COUNTA($C$8:$C$507)+2,IF(AY261=Constants!$B$5,COUNTA($C$8:$C$507)+1,IF(AY261=Constants!$B$6,COUNTA($C$8:$C$507),AY261))))</f>
        <v/>
      </c>
      <c r="BA261" s="5"/>
      <c r="BB261" s="76" t="n">
        <f aca="false">IF(OR(ISNUMBER(AY261),AY261=Constants!$B$4,AY261=Constants!$B$6,AY261=Constants!$B$5),1,0)</f>
        <v>0</v>
      </c>
      <c r="BC261" s="76" t="n">
        <v>254</v>
      </c>
      <c r="BD261" s="76" t="str">
        <f aca="false">IF(ISBLANK($C261),"",IF(ISNUMBER(AZ261),AZ261+ROW($B261)/1000,""))</f>
        <v/>
      </c>
      <c r="BE261" s="76" t="str">
        <f aca="false">IF(ISNUMBER(BD261),RANK(BD261,$BD$8:$BD$507,1),"")</f>
        <v/>
      </c>
      <c r="BF261" s="76" t="str">
        <f aca="false">IF(ISBLANK($C261),"",$B261)</f>
        <v/>
      </c>
      <c r="BG261" s="76" t="str">
        <f aca="false">IF(ISBLANK($C261),"",$C261)</f>
        <v/>
      </c>
      <c r="BH261" s="76" t="str">
        <f aca="false">IF(ISBLANK($C261),"",$D261)</f>
        <v/>
      </c>
      <c r="BI261" s="77" t="str">
        <f aca="false">AW261</f>
        <v/>
      </c>
      <c r="BJ261" s="78" t="str">
        <f aca="false">AV261</f>
        <v/>
      </c>
      <c r="BK261" s="76" t="str">
        <f aca="false">IF(ISBLANK($C261),"",AY261)</f>
        <v/>
      </c>
      <c r="BL261" s="79" t="str">
        <f aca="false">IF($BC261&gt;$BB$7,"",VLOOKUP($BC261,$BE$8:$BK$507,7,FALSE()))</f>
        <v/>
      </c>
      <c r="BM261" s="80" t="str">
        <f aca="false">IF($BC261&gt;$BB$7,"",VLOOKUP($BC261,$BE$8:$BK$507,2,FALSE()))</f>
        <v/>
      </c>
      <c r="BN261" s="80" t="str">
        <f aca="false">IF($BC261&gt;$BB$7,"",VLOOKUP($BC261,$BE$8:$BK$507,3,FALSE()))</f>
        <v/>
      </c>
      <c r="BO261" s="80" t="str">
        <f aca="false">IF($BC261&gt;$BB$7,"",VLOOKUP($BC261,$BE$8:$BK$507,4,FALSE()))</f>
        <v/>
      </c>
      <c r="BP261" s="80" t="str">
        <f aca="false">IF($BC261&gt;$BB$7,"",VLOOKUP($BC261,$BE$8:$BK$507,5,FALSE()))</f>
        <v/>
      </c>
      <c r="BQ261" s="81" t="str">
        <f aca="false">IF($BC261&gt;$BB$7,"",VLOOKUP($BC261,$BE$8:$BK$507,6,FALSE()))</f>
        <v/>
      </c>
      <c r="BR261" s="54"/>
    </row>
    <row r="262" customFormat="false" ht="15.75" hidden="false" customHeight="false" outlineLevel="0" collapsed="false">
      <c r="A262" s="5"/>
      <c r="B262" s="124"/>
      <c r="C262" s="56"/>
      <c r="D262" s="57"/>
      <c r="E262" s="83"/>
      <c r="F262" s="59"/>
      <c r="G262" s="60"/>
      <c r="H262" s="61"/>
      <c r="I262" s="62"/>
      <c r="J262" s="59"/>
      <c r="K262" s="60"/>
      <c r="L262" s="61"/>
      <c r="M262" s="62"/>
      <c r="N262" s="59"/>
      <c r="O262" s="83"/>
      <c r="P262" s="64"/>
      <c r="Q262" s="66" t="str">
        <f aca="false">IF(ISBLANK($C262),"",IF(E262=Constants!$B$2, TRUE(), IF(E262=Constants!$B$3, FALSE(), TRUE())))</f>
        <v/>
      </c>
      <c r="R262" s="66" t="str">
        <f aca="false">IF(ISBLANK($C262),"",IF(F262=Constants!$B$16,Constants!$B$9,IF(F262=Constants!$B$17,Constants!$B$10,Constants!$B$8)))</f>
        <v/>
      </c>
      <c r="S262" s="66" t="str">
        <f aca="false">IF(ISBLANK($C262),"",IF(COUNTA(G262:H262)=0,"",IF(AND(OR(ISBLANK(G262),AND(ISNUMBER(G262),G262&gt;=0)),OR(ISBLANK(H262),AND(ISNUMBER(H262),H262&gt;=0))),60*IF(ISBLANK(G262),0,G262)+IF(ISBLANK(H262),0,H262),"")))</f>
        <v/>
      </c>
      <c r="T262" s="66" t="str">
        <f aca="false">IF(ISBLANK($C262),"",IF(I262=Constants!$B$2, TRUE(), IF(I262=Constants!$B$3, FALSE(), TRUE())))</f>
        <v/>
      </c>
      <c r="U262" s="66" t="str">
        <f aca="false">IF(ISBLANK($C262),"",IF(J262=Constants!$B$2, TRUE(), IF(J262=Constants!$B$3, FALSE(), TRUE())))</f>
        <v/>
      </c>
      <c r="V262" s="66" t="str">
        <f aca="false">IF(ISBLANK($C262),"",IF(COUNTA(K262:L262)=0,"",IF(AND(OR(ISBLANK(K262),AND(ISNUMBER(K262),K262&gt;=0)),OR(ISBLANK(L262),AND(ISNUMBER(L262),L262&gt;=0))),60*IF(ISBLANK(K262),0,K262)+IF(ISBLANK(L262),0,L262),"")))</f>
        <v/>
      </c>
      <c r="W262" s="66" t="str">
        <f aca="false">IF(ISBLANK($C262),"",IF(M262=Constants!$B$2, TRUE(), IF(M262=Constants!$B$3, FALSE(), TRUE())))</f>
        <v/>
      </c>
      <c r="X262" s="66" t="str">
        <f aca="false">IF(ISBLANK($C262),"",IF(N262=Constants!$B$2, TRUE(), IF(N262=Constants!$B$3, FALSE(), TRUE())))</f>
        <v/>
      </c>
      <c r="Y262" s="66" t="str">
        <f aca="false">IF(ISBLANK($C262),"",IF(O262=Constants!$B$2, TRUE(), IF(O262=Constants!$B$3, FALSE(), FALSE())))</f>
        <v/>
      </c>
      <c r="Z262" s="66" t="str">
        <f aca="false">IF(ISBLANK($C262),"",AND(S262&lt;&gt;"",Q262))</f>
        <v/>
      </c>
      <c r="AA262" s="66" t="str">
        <f aca="false">IF(ISBLANK($C262),"",AND(V262&lt;&gt;"",Q262))</f>
        <v/>
      </c>
      <c r="AB262" s="66" t="str">
        <f aca="false">IF(ISBLANK($C262),"",IF(Y262,Constants!$B$4,IF(COUNTA(E262:N262)=0,Constants!$B$5,IF(NOT(Q262),Constants!$B$6,IF(AND(NOT(Z262),NOT(AA262)),Constants!$B$6,Constants!$B$7)))))</f>
        <v/>
      </c>
      <c r="AC262" s="66" t="str">
        <f aca="false">IF(ISBLANK($C262),"",IF($AB262&lt;&gt;Constants!$B$7,$AB262,Constants!$B$20))</f>
        <v/>
      </c>
      <c r="AD262" s="66" t="str">
        <f aca="false">IF($AB262=Constants!$B$7,IF(Z262,S262,Constants!$B$13),"")</f>
        <v/>
      </c>
      <c r="AE262" s="66" t="str">
        <f aca="false">IF($AB262=Constants!$B$7,IF(Z262,R262*IF(T262, 1, Constants!$B$11)*IF(U262, 1, Constants!$B$12),Constants!$B$13),"")</f>
        <v/>
      </c>
      <c r="AF262" s="66" t="str">
        <f aca="false">IF($AB262=Constants!$B$7,AD262*AE262,"")</f>
        <v/>
      </c>
      <c r="AG262" s="66" t="str">
        <f aca="false">IF($AB262=Constants!$B$7,IF(AA262,V262,Constants!$B$13),"")</f>
        <v/>
      </c>
      <c r="AH262" s="66" t="str">
        <f aca="false">IF($AB262=Constants!$B$7,IF(AA262,R262*IF(W262, 1, Constants!$B$11)*IF(X262, 1, Constants!$B$12),Constants!$B$13),"")</f>
        <v/>
      </c>
      <c r="AI262" s="66" t="str">
        <f aca="false">IF($AB262=Constants!$B$7,AG262*AH262,"")</f>
        <v/>
      </c>
      <c r="AJ262" s="66" t="str">
        <f aca="false">IF($AB262=Constants!$B$7,IF(AI262&gt;AF262,2,1),"")</f>
        <v/>
      </c>
      <c r="AK262" s="66" t="str">
        <f aca="false">IF($AB262=Constants!$B$7,IF(AJ262=1,2,1),"")</f>
        <v/>
      </c>
      <c r="AL262" s="66" t="str">
        <f aca="false">IF(ISBLANK($C262),"",IF($AB262&lt;&gt;Constants!$B$7,$AB262,IF(AJ262=1,AF262,AI262)))</f>
        <v/>
      </c>
      <c r="AM262" s="66" t="str">
        <f aca="false">IF(ISBLANK($C262),"",IF($AB262=Constants!$B$7,IF(ISNUMBER(AL262),RANK(AL262,$AL$8:$AL$507),Constants!$B$14),$AB262))</f>
        <v/>
      </c>
      <c r="AN262" s="66" t="str">
        <f aca="false">IF(ISBLANK($C262),"",IF($AB262=Constants!$B$7,IF(AK262=1,AF262,AI262),""))</f>
        <v/>
      </c>
      <c r="AO262" s="66" t="str">
        <f aca="false">IF(ISBLANK($C262),"",IF($AB262=Constants!$B$7,RANK(AN262,$AN$8:$AN$507),$AB262))</f>
        <v/>
      </c>
      <c r="AP262" s="66" t="str">
        <f aca="false">IF(ISBLANK($C262),"",IF($AB262=Constants!$B$7,IF(ISNUMBER(AM262),COUNTIFS($AM$8:$AM$507,"&lt;"&amp;$AM262)+COUNTIFS($AM$8:$AM$507,$AM262,$AO$8:$AO$507,"&lt;"&amp;$AO262)+1,Constants!$B$14),$AB262))</f>
        <v/>
      </c>
      <c r="AQ262" s="66" t="str">
        <f aca="false">IF(ISBLANK($C262),"",IF($AB262=Constants!$B$7,IF(ISNUMBER(AM262),AM262-AP262,Constants!$B$14),$AB262))</f>
        <v/>
      </c>
      <c r="AR262" s="68"/>
      <c r="AS262" s="69" t="str">
        <f aca="false">IF(ISBLANK($C262),"",IF($AB262&lt;&gt;Constants!$B$7,"",AJ262))</f>
        <v/>
      </c>
      <c r="AT262" s="84" t="str">
        <f aca="false">IF(ISBLANK($C262),"",IF($AB262&lt;&gt;Constants!$B$7,"",IF(AJ262=1,AD262,AG262)))</f>
        <v/>
      </c>
      <c r="AU262" s="71" t="str">
        <f aca="false">IF(ISBLANK($C262),"",IF($AB262&lt;&gt;Constants!$B$7,"",IF(AJ262=1,AE262,AH262)))</f>
        <v/>
      </c>
      <c r="AV262" s="72" t="str">
        <f aca="false">IF(ISBLANK($C262),"",IF($AB262&lt;&gt;Constants!$B$7,$AB262,AL262))</f>
        <v/>
      </c>
      <c r="AW262" s="73" t="str">
        <f aca="false">IF(ISBLANK($C262),"",IF($AB262&lt;&gt;Constants!$B$7,$AB262,AC262))</f>
        <v/>
      </c>
      <c r="AX262" s="74" t="str">
        <f aca="false">IF(ISBLANK($C262),"",AQ262)</f>
        <v/>
      </c>
      <c r="AY262" s="74" t="str">
        <f aca="false">IF(ISBLANK($C262),"",AP262)</f>
        <v/>
      </c>
      <c r="AZ262" s="75" t="str">
        <f aca="false">IF(ISBLANK($C262),"",IF(AY262=Constants!$B$4,COUNTA($C$8:$C$507)+2,IF(AY262=Constants!$B$5,COUNTA($C$8:$C$507)+1,IF(AY262=Constants!$B$6,COUNTA($C$8:$C$507),AY262))))</f>
        <v/>
      </c>
      <c r="BA262" s="5"/>
      <c r="BB262" s="76" t="n">
        <f aca="false">IF(OR(ISNUMBER(AY262),AY262=Constants!$B$4,AY262=Constants!$B$6,AY262=Constants!$B$5),1,0)</f>
        <v>0</v>
      </c>
      <c r="BC262" s="76" t="n">
        <v>255</v>
      </c>
      <c r="BD262" s="76" t="str">
        <f aca="false">IF(ISBLANK($C262),"",IF(ISNUMBER(AZ262),AZ262+ROW($B262)/1000,""))</f>
        <v/>
      </c>
      <c r="BE262" s="76" t="str">
        <f aca="false">IF(ISNUMBER(BD262),RANK(BD262,$BD$8:$BD$507,1),"")</f>
        <v/>
      </c>
      <c r="BF262" s="76" t="str">
        <f aca="false">IF(ISBLANK($C262),"",$B262)</f>
        <v/>
      </c>
      <c r="BG262" s="76" t="str">
        <f aca="false">IF(ISBLANK($C262),"",$C262)</f>
        <v/>
      </c>
      <c r="BH262" s="76" t="str">
        <f aca="false">IF(ISBLANK($C262),"",$D262)</f>
        <v/>
      </c>
      <c r="BI262" s="77" t="str">
        <f aca="false">AW262</f>
        <v/>
      </c>
      <c r="BJ262" s="78" t="str">
        <f aca="false">AV262</f>
        <v/>
      </c>
      <c r="BK262" s="76" t="str">
        <f aca="false">IF(ISBLANK($C262),"",AY262)</f>
        <v/>
      </c>
      <c r="BL262" s="79" t="str">
        <f aca="false">IF($BC262&gt;$BB$7,"",VLOOKUP($BC262,$BE$8:$BK$507,7,FALSE()))</f>
        <v/>
      </c>
      <c r="BM262" s="80" t="str">
        <f aca="false">IF($BC262&gt;$BB$7,"",VLOOKUP($BC262,$BE$8:$BK$507,2,FALSE()))</f>
        <v/>
      </c>
      <c r="BN262" s="80" t="str">
        <f aca="false">IF($BC262&gt;$BB$7,"",VLOOKUP($BC262,$BE$8:$BK$507,3,FALSE()))</f>
        <v/>
      </c>
      <c r="BO262" s="80" t="str">
        <f aca="false">IF($BC262&gt;$BB$7,"",VLOOKUP($BC262,$BE$8:$BK$507,4,FALSE()))</f>
        <v/>
      </c>
      <c r="BP262" s="80" t="str">
        <f aca="false">IF($BC262&gt;$BB$7,"",VLOOKUP($BC262,$BE$8:$BK$507,5,FALSE()))</f>
        <v/>
      </c>
      <c r="BQ262" s="81" t="str">
        <f aca="false">IF($BC262&gt;$BB$7,"",VLOOKUP($BC262,$BE$8:$BK$507,6,FALSE()))</f>
        <v/>
      </c>
      <c r="BR262" s="54"/>
    </row>
    <row r="263" customFormat="false" ht="15.75" hidden="false" customHeight="false" outlineLevel="0" collapsed="false">
      <c r="A263" s="5"/>
      <c r="B263" s="120"/>
      <c r="C263" s="121"/>
      <c r="D263" s="112"/>
      <c r="E263" s="123"/>
      <c r="F263" s="91"/>
      <c r="G263" s="92"/>
      <c r="H263" s="93"/>
      <c r="I263" s="94"/>
      <c r="J263" s="91"/>
      <c r="K263" s="92"/>
      <c r="L263" s="93"/>
      <c r="M263" s="94"/>
      <c r="N263" s="91"/>
      <c r="O263" s="123"/>
      <c r="P263" s="96"/>
      <c r="Q263" s="97" t="str">
        <f aca="false">IF(ISBLANK($C263),"",IF(E263=Constants!$B$2, TRUE(), IF(E263=Constants!$B$3, FALSE(), TRUE())))</f>
        <v/>
      </c>
      <c r="R263" s="97" t="str">
        <f aca="false">IF(ISBLANK($C263),"",IF(F263=Constants!$B$16,Constants!$B$9,IF(F263=Constants!$B$17,Constants!$B$10,Constants!$B$8)))</f>
        <v/>
      </c>
      <c r="S263" s="97" t="str">
        <f aca="false">IF(ISBLANK($C263),"",IF(COUNTA(G263:H263)=0,"",IF(AND(OR(ISBLANK(G263),AND(ISNUMBER(G263),G263&gt;=0)),OR(ISBLANK(H263),AND(ISNUMBER(H263),H263&gt;=0))),60*IF(ISBLANK(G263),0,G263)+IF(ISBLANK(H263),0,H263),"")))</f>
        <v/>
      </c>
      <c r="T263" s="97" t="str">
        <f aca="false">IF(ISBLANK($C263),"",IF(I263=Constants!$B$2, TRUE(), IF(I263=Constants!$B$3, FALSE(), TRUE())))</f>
        <v/>
      </c>
      <c r="U263" s="97" t="str">
        <f aca="false">IF(ISBLANK($C263),"",IF(J263=Constants!$B$2, TRUE(), IF(J263=Constants!$B$3, FALSE(), TRUE())))</f>
        <v/>
      </c>
      <c r="V263" s="97" t="str">
        <f aca="false">IF(ISBLANK($C263),"",IF(COUNTA(K263:L263)=0,"",IF(AND(OR(ISBLANK(K263),AND(ISNUMBER(K263),K263&gt;=0)),OR(ISBLANK(L263),AND(ISNUMBER(L263),L263&gt;=0))),60*IF(ISBLANK(K263),0,K263)+IF(ISBLANK(L263),0,L263),"")))</f>
        <v/>
      </c>
      <c r="W263" s="97" t="str">
        <f aca="false">IF(ISBLANK($C263),"",IF(M263=Constants!$B$2, TRUE(), IF(M263=Constants!$B$3, FALSE(), TRUE())))</f>
        <v/>
      </c>
      <c r="X263" s="97" t="str">
        <f aca="false">IF(ISBLANK($C263),"",IF(N263=Constants!$B$2, TRUE(), IF(N263=Constants!$B$3, FALSE(), TRUE())))</f>
        <v/>
      </c>
      <c r="Y263" s="97" t="str">
        <f aca="false">IF(ISBLANK($C263),"",IF(O263=Constants!$B$2, TRUE(), IF(O263=Constants!$B$3, FALSE(), FALSE())))</f>
        <v/>
      </c>
      <c r="Z263" s="97" t="str">
        <f aca="false">IF(ISBLANK($C263),"",AND(S263&lt;&gt;"",Q263))</f>
        <v/>
      </c>
      <c r="AA263" s="97" t="str">
        <f aca="false">IF(ISBLANK($C263),"",AND(V263&lt;&gt;"",Q263))</f>
        <v/>
      </c>
      <c r="AB263" s="97" t="str">
        <f aca="false">IF(ISBLANK($C263),"",IF(Y263,Constants!$B$4,IF(COUNTA(E263:N263)=0,Constants!$B$5,IF(NOT(Q263),Constants!$B$6,IF(AND(NOT(Z263),NOT(AA263)),Constants!$B$6,Constants!$B$7)))))</f>
        <v/>
      </c>
      <c r="AC263" s="97" t="str">
        <f aca="false">IF(ISBLANK($C263),"",IF($AB263&lt;&gt;Constants!$B$7,$AB263,Constants!$B$20))</f>
        <v/>
      </c>
      <c r="AD263" s="97" t="str">
        <f aca="false">IF($AB263=Constants!$B$7,IF(Z263,S263,Constants!$B$13),"")</f>
        <v/>
      </c>
      <c r="AE263" s="97" t="str">
        <f aca="false">IF($AB263=Constants!$B$7,IF(Z263,R263*IF(T263, 1, Constants!$B$11)*IF(U263, 1, Constants!$B$12),Constants!$B$13),"")</f>
        <v/>
      </c>
      <c r="AF263" s="97" t="str">
        <f aca="false">IF($AB263=Constants!$B$7,AD263*AE263,"")</f>
        <v/>
      </c>
      <c r="AG263" s="97" t="str">
        <f aca="false">IF($AB263=Constants!$B$7,IF(AA263,V263,Constants!$B$13),"")</f>
        <v/>
      </c>
      <c r="AH263" s="97" t="str">
        <f aca="false">IF($AB263=Constants!$B$7,IF(AA263,R263*IF(W263, 1, Constants!$B$11)*IF(X263, 1, Constants!$B$12),Constants!$B$13),"")</f>
        <v/>
      </c>
      <c r="AI263" s="97" t="str">
        <f aca="false">IF($AB263=Constants!$B$7,AG263*AH263,"")</f>
        <v/>
      </c>
      <c r="AJ263" s="97" t="str">
        <f aca="false">IF($AB263=Constants!$B$7,IF(AI263&gt;AF263,2,1),"")</f>
        <v/>
      </c>
      <c r="AK263" s="97" t="str">
        <f aca="false">IF($AB263=Constants!$B$7,IF(AJ263=1,2,1),"")</f>
        <v/>
      </c>
      <c r="AL263" s="97" t="str">
        <f aca="false">IF(ISBLANK($C263),"",IF($AB263&lt;&gt;Constants!$B$7,$AB263,IF(AJ263=1,AF263,AI263)))</f>
        <v/>
      </c>
      <c r="AM263" s="97" t="str">
        <f aca="false">IF(ISBLANK($C263),"",IF($AB263=Constants!$B$7,IF(ISNUMBER(AL263),RANK(AL263,$AL$8:$AL$507),Constants!$B$14),$AB263))</f>
        <v/>
      </c>
      <c r="AN263" s="97" t="str">
        <f aca="false">IF(ISBLANK($C263),"",IF($AB263=Constants!$B$7,IF(AK263=1,AF263,AI263),""))</f>
        <v/>
      </c>
      <c r="AO263" s="97" t="str">
        <f aca="false">IF(ISBLANK($C263),"",IF($AB263=Constants!$B$7,RANK(AN263,$AN$8:$AN$507),$AB263))</f>
        <v/>
      </c>
      <c r="AP263" s="97" t="str">
        <f aca="false">IF(ISBLANK($C263),"",IF($AB263=Constants!$B$7,IF(ISNUMBER(AM263),COUNTIFS($AM$8:$AM$507,"&lt;"&amp;$AM263)+COUNTIFS($AM$8:$AM$507,$AM263,$AO$8:$AO$507,"&lt;"&amp;$AO263)+1,Constants!$B$14),$AB263))</f>
        <v/>
      </c>
      <c r="AQ263" s="97" t="str">
        <f aca="false">IF(ISBLANK($C263),"",IF($AB263=Constants!$B$7,IF(ISNUMBER(AM263),AM263-AP263,Constants!$B$14),$AB263))</f>
        <v/>
      </c>
      <c r="AR263" s="98"/>
      <c r="AS263" s="99" t="str">
        <f aca="false">IF(ISBLANK($C263),"",IF($AB263&lt;&gt;Constants!$B$7,"",AJ263))</f>
        <v/>
      </c>
      <c r="AT263" s="100" t="str">
        <f aca="false">IF(ISBLANK($C263),"",IF($AB263&lt;&gt;Constants!$B$7,"",IF(AJ263=1,AD263,AG263)))</f>
        <v/>
      </c>
      <c r="AU263" s="101" t="str">
        <f aca="false">IF(ISBLANK($C263),"",IF($AB263&lt;&gt;Constants!$B$7,"",IF(AJ263=1,AE263,AH263)))</f>
        <v/>
      </c>
      <c r="AV263" s="102" t="str">
        <f aca="false">IF(ISBLANK($C263),"",IF($AB263&lt;&gt;Constants!$B$7,$AB263,AL263))</f>
        <v/>
      </c>
      <c r="AW263" s="103" t="str">
        <f aca="false">IF(ISBLANK($C263),"",IF($AB263&lt;&gt;Constants!$B$7,$AB263,AC263))</f>
        <v/>
      </c>
      <c r="AX263" s="104" t="str">
        <f aca="false">IF(ISBLANK($C263),"",AQ263)</f>
        <v/>
      </c>
      <c r="AY263" s="104" t="str">
        <f aca="false">IF(ISBLANK($C263),"",AP263)</f>
        <v/>
      </c>
      <c r="AZ263" s="105" t="str">
        <f aca="false">IF(ISBLANK($C263),"",IF(AY263=Constants!$B$4,COUNTA($C$8:$C$507)+2,IF(AY263=Constants!$B$5,COUNTA($C$8:$C$507)+1,IF(AY263=Constants!$B$6,COUNTA($C$8:$C$507),AY263))))</f>
        <v/>
      </c>
      <c r="BA263" s="5"/>
      <c r="BB263" s="106" t="n">
        <f aca="false">IF(OR(ISNUMBER(AY263),AY263=Constants!$B$4,AY263=Constants!$B$6,AY263=Constants!$B$5),1,0)</f>
        <v>0</v>
      </c>
      <c r="BC263" s="106" t="n">
        <v>256</v>
      </c>
      <c r="BD263" s="106" t="str">
        <f aca="false">IF(ISBLANK($C263),"",IF(ISNUMBER(AZ263),AZ263+ROW($B263)/1000,""))</f>
        <v/>
      </c>
      <c r="BE263" s="106" t="str">
        <f aca="false">IF(ISNUMBER(BD263),RANK(BD263,$BD$8:$BD$507,1),"")</f>
        <v/>
      </c>
      <c r="BF263" s="106" t="str">
        <f aca="false">IF(ISBLANK($C263),"",$B263)</f>
        <v/>
      </c>
      <c r="BG263" s="106" t="str">
        <f aca="false">IF(ISBLANK($C263),"",$C263)</f>
        <v/>
      </c>
      <c r="BH263" s="106" t="str">
        <f aca="false">IF(ISBLANK($C263),"",$D263)</f>
        <v/>
      </c>
      <c r="BI263" s="107" t="str">
        <f aca="false">AW263</f>
        <v/>
      </c>
      <c r="BJ263" s="108" t="str">
        <f aca="false">AV263</f>
        <v/>
      </c>
      <c r="BK263" s="106" t="str">
        <f aca="false">IF(ISBLANK($C263),"",AY263)</f>
        <v/>
      </c>
      <c r="BL263" s="109" t="str">
        <f aca="false">IF($BC263&gt;$BB$7,"",VLOOKUP($BC263,$BE$8:$BK$507,7,FALSE()))</f>
        <v/>
      </c>
      <c r="BM263" s="110" t="str">
        <f aca="false">IF($BC263&gt;$BB$7,"",VLOOKUP($BC263,$BE$8:$BK$507,2,FALSE()))</f>
        <v/>
      </c>
      <c r="BN263" s="110" t="str">
        <f aca="false">IF($BC263&gt;$BB$7,"",VLOOKUP($BC263,$BE$8:$BK$507,3,FALSE()))</f>
        <v/>
      </c>
      <c r="BO263" s="110" t="str">
        <f aca="false">IF($BC263&gt;$BB$7,"",VLOOKUP($BC263,$BE$8:$BK$507,4,FALSE()))</f>
        <v/>
      </c>
      <c r="BP263" s="110" t="str">
        <f aca="false">IF($BC263&gt;$BB$7,"",VLOOKUP($BC263,$BE$8:$BK$507,5,FALSE()))</f>
        <v/>
      </c>
      <c r="BQ263" s="111" t="str">
        <f aca="false">IF($BC263&gt;$BB$7,"",VLOOKUP($BC263,$BE$8:$BK$507,6,FALSE()))</f>
        <v/>
      </c>
      <c r="BR263" s="54"/>
    </row>
    <row r="264" customFormat="false" ht="15.75" hidden="false" customHeight="false" outlineLevel="0" collapsed="false">
      <c r="A264" s="5"/>
      <c r="B264" s="120"/>
      <c r="C264" s="121"/>
      <c r="D264" s="112"/>
      <c r="E264" s="123"/>
      <c r="F264" s="91"/>
      <c r="G264" s="92"/>
      <c r="H264" s="93"/>
      <c r="I264" s="94"/>
      <c r="J264" s="91"/>
      <c r="K264" s="92"/>
      <c r="L264" s="93"/>
      <c r="M264" s="94"/>
      <c r="N264" s="91"/>
      <c r="O264" s="123"/>
      <c r="P264" s="96"/>
      <c r="Q264" s="97" t="str">
        <f aca="false">IF(ISBLANK($C264),"",IF(E264=Constants!$B$2, TRUE(), IF(E264=Constants!$B$3, FALSE(), TRUE())))</f>
        <v/>
      </c>
      <c r="R264" s="97" t="str">
        <f aca="false">IF(ISBLANK($C264),"",IF(F264=Constants!$B$16,Constants!$B$9,IF(F264=Constants!$B$17,Constants!$B$10,Constants!$B$8)))</f>
        <v/>
      </c>
      <c r="S264" s="97" t="str">
        <f aca="false">IF(ISBLANK($C264),"",IF(COUNTA(G264:H264)=0,"",IF(AND(OR(ISBLANK(G264),AND(ISNUMBER(G264),G264&gt;=0)),OR(ISBLANK(H264),AND(ISNUMBER(H264),H264&gt;=0))),60*IF(ISBLANK(G264),0,G264)+IF(ISBLANK(H264),0,H264),"")))</f>
        <v/>
      </c>
      <c r="T264" s="97" t="str">
        <f aca="false">IF(ISBLANK($C264),"",IF(I264=Constants!$B$2, TRUE(), IF(I264=Constants!$B$3, FALSE(), TRUE())))</f>
        <v/>
      </c>
      <c r="U264" s="97" t="str">
        <f aca="false">IF(ISBLANK($C264),"",IF(J264=Constants!$B$2, TRUE(), IF(J264=Constants!$B$3, FALSE(), TRUE())))</f>
        <v/>
      </c>
      <c r="V264" s="97" t="str">
        <f aca="false">IF(ISBLANK($C264),"",IF(COUNTA(K264:L264)=0,"",IF(AND(OR(ISBLANK(K264),AND(ISNUMBER(K264),K264&gt;=0)),OR(ISBLANK(L264),AND(ISNUMBER(L264),L264&gt;=0))),60*IF(ISBLANK(K264),0,K264)+IF(ISBLANK(L264),0,L264),"")))</f>
        <v/>
      </c>
      <c r="W264" s="97" t="str">
        <f aca="false">IF(ISBLANK($C264),"",IF(M264=Constants!$B$2, TRUE(), IF(M264=Constants!$B$3, FALSE(), TRUE())))</f>
        <v/>
      </c>
      <c r="X264" s="97" t="str">
        <f aca="false">IF(ISBLANK($C264),"",IF(N264=Constants!$B$2, TRUE(), IF(N264=Constants!$B$3, FALSE(), TRUE())))</f>
        <v/>
      </c>
      <c r="Y264" s="97" t="str">
        <f aca="false">IF(ISBLANK($C264),"",IF(O264=Constants!$B$2, TRUE(), IF(O264=Constants!$B$3, FALSE(), FALSE())))</f>
        <v/>
      </c>
      <c r="Z264" s="97" t="str">
        <f aca="false">IF(ISBLANK($C264),"",AND(S264&lt;&gt;"",Q264))</f>
        <v/>
      </c>
      <c r="AA264" s="97" t="str">
        <f aca="false">IF(ISBLANK($C264),"",AND(V264&lt;&gt;"",Q264))</f>
        <v/>
      </c>
      <c r="AB264" s="97" t="str">
        <f aca="false">IF(ISBLANK($C264),"",IF(Y264,Constants!$B$4,IF(COUNTA(E264:N264)=0,Constants!$B$5,IF(NOT(Q264),Constants!$B$6,IF(AND(NOT(Z264),NOT(AA264)),Constants!$B$6,Constants!$B$7)))))</f>
        <v/>
      </c>
      <c r="AC264" s="97" t="str">
        <f aca="false">IF(ISBLANK($C264),"",IF($AB264&lt;&gt;Constants!$B$7,$AB264,Constants!$B$20))</f>
        <v/>
      </c>
      <c r="AD264" s="97" t="str">
        <f aca="false">IF($AB264=Constants!$B$7,IF(Z264,S264,Constants!$B$13),"")</f>
        <v/>
      </c>
      <c r="AE264" s="97" t="str">
        <f aca="false">IF($AB264=Constants!$B$7,IF(Z264,R264*IF(T264, 1, Constants!$B$11)*IF(U264, 1, Constants!$B$12),Constants!$B$13),"")</f>
        <v/>
      </c>
      <c r="AF264" s="97" t="str">
        <f aca="false">IF($AB264=Constants!$B$7,AD264*AE264,"")</f>
        <v/>
      </c>
      <c r="AG264" s="97" t="str">
        <f aca="false">IF($AB264=Constants!$B$7,IF(AA264,V264,Constants!$B$13),"")</f>
        <v/>
      </c>
      <c r="AH264" s="97" t="str">
        <f aca="false">IF($AB264=Constants!$B$7,IF(AA264,R264*IF(W264, 1, Constants!$B$11)*IF(X264, 1, Constants!$B$12),Constants!$B$13),"")</f>
        <v/>
      </c>
      <c r="AI264" s="97" t="str">
        <f aca="false">IF($AB264=Constants!$B$7,AG264*AH264,"")</f>
        <v/>
      </c>
      <c r="AJ264" s="97" t="str">
        <f aca="false">IF($AB264=Constants!$B$7,IF(AI264&gt;AF264,2,1),"")</f>
        <v/>
      </c>
      <c r="AK264" s="97" t="str">
        <f aca="false">IF($AB264=Constants!$B$7,IF(AJ264=1,2,1),"")</f>
        <v/>
      </c>
      <c r="AL264" s="97" t="str">
        <f aca="false">IF(ISBLANK($C264),"",IF($AB264&lt;&gt;Constants!$B$7,$AB264,IF(AJ264=1,AF264,AI264)))</f>
        <v/>
      </c>
      <c r="AM264" s="97" t="str">
        <f aca="false">IF(ISBLANK($C264),"",IF($AB264=Constants!$B$7,IF(ISNUMBER(AL264),RANK(AL264,$AL$8:$AL$507),Constants!$B$14),$AB264))</f>
        <v/>
      </c>
      <c r="AN264" s="97" t="str">
        <f aca="false">IF(ISBLANK($C264),"",IF($AB264=Constants!$B$7,IF(AK264=1,AF264,AI264),""))</f>
        <v/>
      </c>
      <c r="AO264" s="97" t="str">
        <f aca="false">IF(ISBLANK($C264),"",IF($AB264=Constants!$B$7,RANK(AN264,$AN$8:$AN$507),$AB264))</f>
        <v/>
      </c>
      <c r="AP264" s="97" t="str">
        <f aca="false">IF(ISBLANK($C264),"",IF($AB264=Constants!$B$7,IF(ISNUMBER(AM264),COUNTIFS($AM$8:$AM$507,"&lt;"&amp;$AM264)+COUNTIFS($AM$8:$AM$507,$AM264,$AO$8:$AO$507,"&lt;"&amp;$AO264)+1,Constants!$B$14),$AB264))</f>
        <v/>
      </c>
      <c r="AQ264" s="97" t="str">
        <f aca="false">IF(ISBLANK($C264),"",IF($AB264=Constants!$B$7,IF(ISNUMBER(AM264),AM264-AP264,Constants!$B$14),$AB264))</f>
        <v/>
      </c>
      <c r="AR264" s="98"/>
      <c r="AS264" s="99" t="str">
        <f aca="false">IF(ISBLANK($C264),"",IF($AB264&lt;&gt;Constants!$B$7,"",AJ264))</f>
        <v/>
      </c>
      <c r="AT264" s="100" t="str">
        <f aca="false">IF(ISBLANK($C264),"",IF($AB264&lt;&gt;Constants!$B$7,"",IF(AJ264=1,AD264,AG264)))</f>
        <v/>
      </c>
      <c r="AU264" s="101" t="str">
        <f aca="false">IF(ISBLANK($C264),"",IF($AB264&lt;&gt;Constants!$B$7,"",IF(AJ264=1,AE264,AH264)))</f>
        <v/>
      </c>
      <c r="AV264" s="102" t="str">
        <f aca="false">IF(ISBLANK($C264),"",IF($AB264&lt;&gt;Constants!$B$7,$AB264,AL264))</f>
        <v/>
      </c>
      <c r="AW264" s="103" t="str">
        <f aca="false">IF(ISBLANK($C264),"",IF($AB264&lt;&gt;Constants!$B$7,$AB264,AC264))</f>
        <v/>
      </c>
      <c r="AX264" s="104" t="str">
        <f aca="false">IF(ISBLANK($C264),"",AQ264)</f>
        <v/>
      </c>
      <c r="AY264" s="104" t="str">
        <f aca="false">IF(ISBLANK($C264),"",AP264)</f>
        <v/>
      </c>
      <c r="AZ264" s="105" t="str">
        <f aca="false">IF(ISBLANK($C264),"",IF(AY264=Constants!$B$4,COUNTA($C$8:$C$507)+2,IF(AY264=Constants!$B$5,COUNTA($C$8:$C$507)+1,IF(AY264=Constants!$B$6,COUNTA($C$8:$C$507),AY264))))</f>
        <v/>
      </c>
      <c r="BA264" s="5"/>
      <c r="BB264" s="106" t="n">
        <f aca="false">IF(OR(ISNUMBER(AY264),AY264=Constants!$B$4,AY264=Constants!$B$6,AY264=Constants!$B$5),1,0)</f>
        <v>0</v>
      </c>
      <c r="BC264" s="106" t="n">
        <v>257</v>
      </c>
      <c r="BD264" s="106" t="str">
        <f aca="false">IF(ISBLANK($C264),"",IF(ISNUMBER(AZ264),AZ264+ROW($B264)/1000,""))</f>
        <v/>
      </c>
      <c r="BE264" s="106" t="str">
        <f aca="false">IF(ISNUMBER(BD264),RANK(BD264,$BD$8:$BD$507,1),"")</f>
        <v/>
      </c>
      <c r="BF264" s="106" t="str">
        <f aca="false">IF(ISBLANK($C264),"",$B264)</f>
        <v/>
      </c>
      <c r="BG264" s="106" t="str">
        <f aca="false">IF(ISBLANK($C264),"",$C264)</f>
        <v/>
      </c>
      <c r="BH264" s="106" t="str">
        <f aca="false">IF(ISBLANK($C264),"",$D264)</f>
        <v/>
      </c>
      <c r="BI264" s="107" t="str">
        <f aca="false">AW264</f>
        <v/>
      </c>
      <c r="BJ264" s="108" t="str">
        <f aca="false">AV264</f>
        <v/>
      </c>
      <c r="BK264" s="106" t="str">
        <f aca="false">IF(ISBLANK($C264),"",AY264)</f>
        <v/>
      </c>
      <c r="BL264" s="109" t="str">
        <f aca="false">IF($BC264&gt;$BB$7,"",VLOOKUP($BC264,$BE$8:$BK$507,7,FALSE()))</f>
        <v/>
      </c>
      <c r="BM264" s="110" t="str">
        <f aca="false">IF($BC264&gt;$BB$7,"",VLOOKUP($BC264,$BE$8:$BK$507,2,FALSE()))</f>
        <v/>
      </c>
      <c r="BN264" s="110" t="str">
        <f aca="false">IF($BC264&gt;$BB$7,"",VLOOKUP($BC264,$BE$8:$BK$507,3,FALSE()))</f>
        <v/>
      </c>
      <c r="BO264" s="110" t="str">
        <f aca="false">IF($BC264&gt;$BB$7,"",VLOOKUP($BC264,$BE$8:$BK$507,4,FALSE()))</f>
        <v/>
      </c>
      <c r="BP264" s="110" t="str">
        <f aca="false">IF($BC264&gt;$BB$7,"",VLOOKUP($BC264,$BE$8:$BK$507,5,FALSE()))</f>
        <v/>
      </c>
      <c r="BQ264" s="111" t="str">
        <f aca="false">IF($BC264&gt;$BB$7,"",VLOOKUP($BC264,$BE$8:$BK$507,6,FALSE()))</f>
        <v/>
      </c>
      <c r="BR264" s="54"/>
    </row>
    <row r="265" customFormat="false" ht="15.75" hidden="false" customHeight="false" outlineLevel="0" collapsed="false">
      <c r="A265" s="5"/>
      <c r="B265" s="120"/>
      <c r="C265" s="121"/>
      <c r="D265" s="112"/>
      <c r="E265" s="123"/>
      <c r="F265" s="91"/>
      <c r="G265" s="92"/>
      <c r="H265" s="93"/>
      <c r="I265" s="94"/>
      <c r="J265" s="91"/>
      <c r="K265" s="92"/>
      <c r="L265" s="93"/>
      <c r="M265" s="94"/>
      <c r="N265" s="91"/>
      <c r="O265" s="123"/>
      <c r="P265" s="96"/>
      <c r="Q265" s="97" t="str">
        <f aca="false">IF(ISBLANK($C265),"",IF(E265=Constants!$B$2, TRUE(), IF(E265=Constants!$B$3, FALSE(), TRUE())))</f>
        <v/>
      </c>
      <c r="R265" s="97" t="str">
        <f aca="false">IF(ISBLANK($C265),"",IF(F265=Constants!$B$16,Constants!$B$9,IF(F265=Constants!$B$17,Constants!$B$10,Constants!$B$8)))</f>
        <v/>
      </c>
      <c r="S265" s="97" t="str">
        <f aca="false">IF(ISBLANK($C265),"",IF(COUNTA(G265:H265)=0,"",IF(AND(OR(ISBLANK(G265),AND(ISNUMBER(G265),G265&gt;=0)),OR(ISBLANK(H265),AND(ISNUMBER(H265),H265&gt;=0))),60*IF(ISBLANK(G265),0,G265)+IF(ISBLANK(H265),0,H265),"")))</f>
        <v/>
      </c>
      <c r="T265" s="97" t="str">
        <f aca="false">IF(ISBLANK($C265),"",IF(I265=Constants!$B$2, TRUE(), IF(I265=Constants!$B$3, FALSE(), TRUE())))</f>
        <v/>
      </c>
      <c r="U265" s="97" t="str">
        <f aca="false">IF(ISBLANK($C265),"",IF(J265=Constants!$B$2, TRUE(), IF(J265=Constants!$B$3, FALSE(), TRUE())))</f>
        <v/>
      </c>
      <c r="V265" s="97" t="str">
        <f aca="false">IF(ISBLANK($C265),"",IF(COUNTA(K265:L265)=0,"",IF(AND(OR(ISBLANK(K265),AND(ISNUMBER(K265),K265&gt;=0)),OR(ISBLANK(L265),AND(ISNUMBER(L265),L265&gt;=0))),60*IF(ISBLANK(K265),0,K265)+IF(ISBLANK(L265),0,L265),"")))</f>
        <v/>
      </c>
      <c r="W265" s="97" t="str">
        <f aca="false">IF(ISBLANK($C265),"",IF(M265=Constants!$B$2, TRUE(), IF(M265=Constants!$B$3, FALSE(), TRUE())))</f>
        <v/>
      </c>
      <c r="X265" s="97" t="str">
        <f aca="false">IF(ISBLANK($C265),"",IF(N265=Constants!$B$2, TRUE(), IF(N265=Constants!$B$3, FALSE(), TRUE())))</f>
        <v/>
      </c>
      <c r="Y265" s="97" t="str">
        <f aca="false">IF(ISBLANK($C265),"",IF(O265=Constants!$B$2, TRUE(), IF(O265=Constants!$B$3, FALSE(), FALSE())))</f>
        <v/>
      </c>
      <c r="Z265" s="97" t="str">
        <f aca="false">IF(ISBLANK($C265),"",AND(S265&lt;&gt;"",Q265))</f>
        <v/>
      </c>
      <c r="AA265" s="97" t="str">
        <f aca="false">IF(ISBLANK($C265),"",AND(V265&lt;&gt;"",Q265))</f>
        <v/>
      </c>
      <c r="AB265" s="97" t="str">
        <f aca="false">IF(ISBLANK($C265),"",IF(Y265,Constants!$B$4,IF(COUNTA(E265:N265)=0,Constants!$B$5,IF(NOT(Q265),Constants!$B$6,IF(AND(NOT(Z265),NOT(AA265)),Constants!$B$6,Constants!$B$7)))))</f>
        <v/>
      </c>
      <c r="AC265" s="97" t="str">
        <f aca="false">IF(ISBLANK($C265),"",IF($AB265&lt;&gt;Constants!$B$7,$AB265,Constants!$B$20))</f>
        <v/>
      </c>
      <c r="AD265" s="97" t="str">
        <f aca="false">IF($AB265=Constants!$B$7,IF(Z265,S265,Constants!$B$13),"")</f>
        <v/>
      </c>
      <c r="AE265" s="97" t="str">
        <f aca="false">IF($AB265=Constants!$B$7,IF(Z265,R265*IF(T265, 1, Constants!$B$11)*IF(U265, 1, Constants!$B$12),Constants!$B$13),"")</f>
        <v/>
      </c>
      <c r="AF265" s="97" t="str">
        <f aca="false">IF($AB265=Constants!$B$7,AD265*AE265,"")</f>
        <v/>
      </c>
      <c r="AG265" s="97" t="str">
        <f aca="false">IF($AB265=Constants!$B$7,IF(AA265,V265,Constants!$B$13),"")</f>
        <v/>
      </c>
      <c r="AH265" s="97" t="str">
        <f aca="false">IF($AB265=Constants!$B$7,IF(AA265,R265*IF(W265, 1, Constants!$B$11)*IF(X265, 1, Constants!$B$12),Constants!$B$13),"")</f>
        <v/>
      </c>
      <c r="AI265" s="97" t="str">
        <f aca="false">IF($AB265=Constants!$B$7,AG265*AH265,"")</f>
        <v/>
      </c>
      <c r="AJ265" s="97" t="str">
        <f aca="false">IF($AB265=Constants!$B$7,IF(AI265&gt;AF265,2,1),"")</f>
        <v/>
      </c>
      <c r="AK265" s="97" t="str">
        <f aca="false">IF($AB265=Constants!$B$7,IF(AJ265=1,2,1),"")</f>
        <v/>
      </c>
      <c r="AL265" s="97" t="str">
        <f aca="false">IF(ISBLANK($C265),"",IF($AB265&lt;&gt;Constants!$B$7,$AB265,IF(AJ265=1,AF265,AI265)))</f>
        <v/>
      </c>
      <c r="AM265" s="97" t="str">
        <f aca="false">IF(ISBLANK($C265),"",IF($AB265=Constants!$B$7,IF(ISNUMBER(AL265),RANK(AL265,$AL$8:$AL$507),Constants!$B$14),$AB265))</f>
        <v/>
      </c>
      <c r="AN265" s="97" t="str">
        <f aca="false">IF(ISBLANK($C265),"",IF($AB265=Constants!$B$7,IF(AK265=1,AF265,AI265),""))</f>
        <v/>
      </c>
      <c r="AO265" s="97" t="str">
        <f aca="false">IF(ISBLANK($C265),"",IF($AB265=Constants!$B$7,RANK(AN265,$AN$8:$AN$507),$AB265))</f>
        <v/>
      </c>
      <c r="AP265" s="97" t="str">
        <f aca="false">IF(ISBLANK($C265),"",IF($AB265=Constants!$B$7,IF(ISNUMBER(AM265),COUNTIFS($AM$8:$AM$507,"&lt;"&amp;$AM265)+COUNTIFS($AM$8:$AM$507,$AM265,$AO$8:$AO$507,"&lt;"&amp;$AO265)+1,Constants!$B$14),$AB265))</f>
        <v/>
      </c>
      <c r="AQ265" s="97" t="str">
        <f aca="false">IF(ISBLANK($C265),"",IF($AB265=Constants!$B$7,IF(ISNUMBER(AM265),AM265-AP265,Constants!$B$14),$AB265))</f>
        <v/>
      </c>
      <c r="AR265" s="98"/>
      <c r="AS265" s="99" t="str">
        <f aca="false">IF(ISBLANK($C265),"",IF($AB265&lt;&gt;Constants!$B$7,"",AJ265))</f>
        <v/>
      </c>
      <c r="AT265" s="100" t="str">
        <f aca="false">IF(ISBLANK($C265),"",IF($AB265&lt;&gt;Constants!$B$7,"",IF(AJ265=1,AD265,AG265)))</f>
        <v/>
      </c>
      <c r="AU265" s="101" t="str">
        <f aca="false">IF(ISBLANK($C265),"",IF($AB265&lt;&gt;Constants!$B$7,"",IF(AJ265=1,AE265,AH265)))</f>
        <v/>
      </c>
      <c r="AV265" s="102" t="str">
        <f aca="false">IF(ISBLANK($C265),"",IF($AB265&lt;&gt;Constants!$B$7,$AB265,AL265))</f>
        <v/>
      </c>
      <c r="AW265" s="103" t="str">
        <f aca="false">IF(ISBLANK($C265),"",IF($AB265&lt;&gt;Constants!$B$7,$AB265,AC265))</f>
        <v/>
      </c>
      <c r="AX265" s="104" t="str">
        <f aca="false">IF(ISBLANK($C265),"",AQ265)</f>
        <v/>
      </c>
      <c r="AY265" s="104" t="str">
        <f aca="false">IF(ISBLANK($C265),"",AP265)</f>
        <v/>
      </c>
      <c r="AZ265" s="105" t="str">
        <f aca="false">IF(ISBLANK($C265),"",IF(AY265=Constants!$B$4,COUNTA($C$8:$C$507)+2,IF(AY265=Constants!$B$5,COUNTA($C$8:$C$507)+1,IF(AY265=Constants!$B$6,COUNTA($C$8:$C$507),AY265))))</f>
        <v/>
      </c>
      <c r="BA265" s="5"/>
      <c r="BB265" s="106" t="n">
        <f aca="false">IF(OR(ISNUMBER(AY265),AY265=Constants!$B$4,AY265=Constants!$B$6,AY265=Constants!$B$5),1,0)</f>
        <v>0</v>
      </c>
      <c r="BC265" s="106" t="n">
        <v>258</v>
      </c>
      <c r="BD265" s="106" t="str">
        <f aca="false">IF(ISBLANK($C265),"",IF(ISNUMBER(AZ265),AZ265+ROW($B265)/1000,""))</f>
        <v/>
      </c>
      <c r="BE265" s="106" t="str">
        <f aca="false">IF(ISNUMBER(BD265),RANK(BD265,$BD$8:$BD$507,1),"")</f>
        <v/>
      </c>
      <c r="BF265" s="106" t="str">
        <f aca="false">IF(ISBLANK($C265),"",$B265)</f>
        <v/>
      </c>
      <c r="BG265" s="106" t="str">
        <f aca="false">IF(ISBLANK($C265),"",$C265)</f>
        <v/>
      </c>
      <c r="BH265" s="106" t="str">
        <f aca="false">IF(ISBLANK($C265),"",$D265)</f>
        <v/>
      </c>
      <c r="BI265" s="107" t="str">
        <f aca="false">AW265</f>
        <v/>
      </c>
      <c r="BJ265" s="108" t="str">
        <f aca="false">AV265</f>
        <v/>
      </c>
      <c r="BK265" s="106" t="str">
        <f aca="false">IF(ISBLANK($C265),"",AY265)</f>
        <v/>
      </c>
      <c r="BL265" s="109" t="str">
        <f aca="false">IF($BC265&gt;$BB$7,"",VLOOKUP($BC265,$BE$8:$BK$507,7,FALSE()))</f>
        <v/>
      </c>
      <c r="BM265" s="110" t="str">
        <f aca="false">IF($BC265&gt;$BB$7,"",VLOOKUP($BC265,$BE$8:$BK$507,2,FALSE()))</f>
        <v/>
      </c>
      <c r="BN265" s="110" t="str">
        <f aca="false">IF($BC265&gt;$BB$7,"",VLOOKUP($BC265,$BE$8:$BK$507,3,FALSE()))</f>
        <v/>
      </c>
      <c r="BO265" s="110" t="str">
        <f aca="false">IF($BC265&gt;$BB$7,"",VLOOKUP($BC265,$BE$8:$BK$507,4,FALSE()))</f>
        <v/>
      </c>
      <c r="BP265" s="110" t="str">
        <f aca="false">IF($BC265&gt;$BB$7,"",VLOOKUP($BC265,$BE$8:$BK$507,5,FALSE()))</f>
        <v/>
      </c>
      <c r="BQ265" s="111" t="str">
        <f aca="false">IF($BC265&gt;$BB$7,"",VLOOKUP($BC265,$BE$8:$BK$507,6,FALSE()))</f>
        <v/>
      </c>
      <c r="BR265" s="54"/>
    </row>
    <row r="266" customFormat="false" ht="15.75" hidden="false" customHeight="false" outlineLevel="0" collapsed="false">
      <c r="A266" s="5"/>
      <c r="B266" s="124"/>
      <c r="C266" s="56"/>
      <c r="D266" s="57"/>
      <c r="E266" s="83"/>
      <c r="F266" s="59"/>
      <c r="G266" s="60"/>
      <c r="H266" s="61"/>
      <c r="I266" s="62"/>
      <c r="J266" s="59"/>
      <c r="K266" s="60"/>
      <c r="L266" s="61"/>
      <c r="M266" s="62"/>
      <c r="N266" s="59"/>
      <c r="O266" s="83"/>
      <c r="P266" s="64"/>
      <c r="Q266" s="66" t="str">
        <f aca="false">IF(ISBLANK($C266),"",IF(E266=Constants!$B$2, TRUE(), IF(E266=Constants!$B$3, FALSE(), TRUE())))</f>
        <v/>
      </c>
      <c r="R266" s="66" t="str">
        <f aca="false">IF(ISBLANK($C266),"",IF(F266=Constants!$B$16,Constants!$B$9,IF(F266=Constants!$B$17,Constants!$B$10,Constants!$B$8)))</f>
        <v/>
      </c>
      <c r="S266" s="66" t="str">
        <f aca="false">IF(ISBLANK($C266),"",IF(COUNTA(G266:H266)=0,"",IF(AND(OR(ISBLANK(G266),AND(ISNUMBER(G266),G266&gt;=0)),OR(ISBLANK(H266),AND(ISNUMBER(H266),H266&gt;=0))),60*IF(ISBLANK(G266),0,G266)+IF(ISBLANK(H266),0,H266),"")))</f>
        <v/>
      </c>
      <c r="T266" s="66" t="str">
        <f aca="false">IF(ISBLANK($C266),"",IF(I266=Constants!$B$2, TRUE(), IF(I266=Constants!$B$3, FALSE(), TRUE())))</f>
        <v/>
      </c>
      <c r="U266" s="66" t="str">
        <f aca="false">IF(ISBLANK($C266),"",IF(J266=Constants!$B$2, TRUE(), IF(J266=Constants!$B$3, FALSE(), TRUE())))</f>
        <v/>
      </c>
      <c r="V266" s="66" t="str">
        <f aca="false">IF(ISBLANK($C266),"",IF(COUNTA(K266:L266)=0,"",IF(AND(OR(ISBLANK(K266),AND(ISNUMBER(K266),K266&gt;=0)),OR(ISBLANK(L266),AND(ISNUMBER(L266),L266&gt;=0))),60*IF(ISBLANK(K266),0,K266)+IF(ISBLANK(L266),0,L266),"")))</f>
        <v/>
      </c>
      <c r="W266" s="66" t="str">
        <f aca="false">IF(ISBLANK($C266),"",IF(M266=Constants!$B$2, TRUE(), IF(M266=Constants!$B$3, FALSE(), TRUE())))</f>
        <v/>
      </c>
      <c r="X266" s="66" t="str">
        <f aca="false">IF(ISBLANK($C266),"",IF(N266=Constants!$B$2, TRUE(), IF(N266=Constants!$B$3, FALSE(), TRUE())))</f>
        <v/>
      </c>
      <c r="Y266" s="66" t="str">
        <f aca="false">IF(ISBLANK($C266),"",IF(O266=Constants!$B$2, TRUE(), IF(O266=Constants!$B$3, FALSE(), FALSE())))</f>
        <v/>
      </c>
      <c r="Z266" s="66" t="str">
        <f aca="false">IF(ISBLANK($C266),"",AND(S266&lt;&gt;"",Q266))</f>
        <v/>
      </c>
      <c r="AA266" s="66" t="str">
        <f aca="false">IF(ISBLANK($C266),"",AND(V266&lt;&gt;"",Q266))</f>
        <v/>
      </c>
      <c r="AB266" s="66" t="str">
        <f aca="false">IF(ISBLANK($C266),"",IF(Y266,Constants!$B$4,IF(COUNTA(E266:N266)=0,Constants!$B$5,IF(NOT(Q266),Constants!$B$6,IF(AND(NOT(Z266),NOT(AA266)),Constants!$B$6,Constants!$B$7)))))</f>
        <v/>
      </c>
      <c r="AC266" s="66" t="str">
        <f aca="false">IF(ISBLANK($C266),"",IF($AB266&lt;&gt;Constants!$B$7,$AB266,Constants!$B$20))</f>
        <v/>
      </c>
      <c r="AD266" s="66" t="str">
        <f aca="false">IF($AB266=Constants!$B$7,IF(Z266,S266,Constants!$B$13),"")</f>
        <v/>
      </c>
      <c r="AE266" s="66" t="str">
        <f aca="false">IF($AB266=Constants!$B$7,IF(Z266,R266*IF(T266, 1, Constants!$B$11)*IF(U266, 1, Constants!$B$12),Constants!$B$13),"")</f>
        <v/>
      </c>
      <c r="AF266" s="66" t="str">
        <f aca="false">IF($AB266=Constants!$B$7,AD266*AE266,"")</f>
        <v/>
      </c>
      <c r="AG266" s="66" t="str">
        <f aca="false">IF($AB266=Constants!$B$7,IF(AA266,V266,Constants!$B$13),"")</f>
        <v/>
      </c>
      <c r="AH266" s="66" t="str">
        <f aca="false">IF($AB266=Constants!$B$7,IF(AA266,R266*IF(W266, 1, Constants!$B$11)*IF(X266, 1, Constants!$B$12),Constants!$B$13),"")</f>
        <v/>
      </c>
      <c r="AI266" s="66" t="str">
        <f aca="false">IF($AB266=Constants!$B$7,AG266*AH266,"")</f>
        <v/>
      </c>
      <c r="AJ266" s="66" t="str">
        <f aca="false">IF($AB266=Constants!$B$7,IF(AI266&gt;AF266,2,1),"")</f>
        <v/>
      </c>
      <c r="AK266" s="66" t="str">
        <f aca="false">IF($AB266=Constants!$B$7,IF(AJ266=1,2,1),"")</f>
        <v/>
      </c>
      <c r="AL266" s="66" t="str">
        <f aca="false">IF(ISBLANK($C266),"",IF($AB266&lt;&gt;Constants!$B$7,$AB266,IF(AJ266=1,AF266,AI266)))</f>
        <v/>
      </c>
      <c r="AM266" s="66" t="str">
        <f aca="false">IF(ISBLANK($C266),"",IF($AB266=Constants!$B$7,IF(ISNUMBER(AL266),RANK(AL266,$AL$8:$AL$507),Constants!$B$14),$AB266))</f>
        <v/>
      </c>
      <c r="AN266" s="66" t="str">
        <f aca="false">IF(ISBLANK($C266),"",IF($AB266=Constants!$B$7,IF(AK266=1,AF266,AI266),""))</f>
        <v/>
      </c>
      <c r="AO266" s="66" t="str">
        <f aca="false">IF(ISBLANK($C266),"",IF($AB266=Constants!$B$7,RANK(AN266,$AN$8:$AN$507),$AB266))</f>
        <v/>
      </c>
      <c r="AP266" s="66" t="str">
        <f aca="false">IF(ISBLANK($C266),"",IF($AB266=Constants!$B$7,IF(ISNUMBER(AM266),COUNTIFS($AM$8:$AM$507,"&lt;"&amp;$AM266)+COUNTIFS($AM$8:$AM$507,$AM266,$AO$8:$AO$507,"&lt;"&amp;$AO266)+1,Constants!$B$14),$AB266))</f>
        <v/>
      </c>
      <c r="AQ266" s="66" t="str">
        <f aca="false">IF(ISBLANK($C266),"",IF($AB266=Constants!$B$7,IF(ISNUMBER(AM266),AM266-AP266,Constants!$B$14),$AB266))</f>
        <v/>
      </c>
      <c r="AR266" s="68"/>
      <c r="AS266" s="69" t="str">
        <f aca="false">IF(ISBLANK($C266),"",IF($AB266&lt;&gt;Constants!$B$7,"",AJ266))</f>
        <v/>
      </c>
      <c r="AT266" s="84" t="str">
        <f aca="false">IF(ISBLANK($C266),"",IF($AB266&lt;&gt;Constants!$B$7,"",IF(AJ266=1,AD266,AG266)))</f>
        <v/>
      </c>
      <c r="AU266" s="71" t="str">
        <f aca="false">IF(ISBLANK($C266),"",IF($AB266&lt;&gt;Constants!$B$7,"",IF(AJ266=1,AE266,AH266)))</f>
        <v/>
      </c>
      <c r="AV266" s="72" t="str">
        <f aca="false">IF(ISBLANK($C266),"",IF($AB266&lt;&gt;Constants!$B$7,$AB266,AL266))</f>
        <v/>
      </c>
      <c r="AW266" s="73" t="str">
        <f aca="false">IF(ISBLANK($C266),"",IF($AB266&lt;&gt;Constants!$B$7,$AB266,AC266))</f>
        <v/>
      </c>
      <c r="AX266" s="74" t="str">
        <f aca="false">IF(ISBLANK($C266),"",AQ266)</f>
        <v/>
      </c>
      <c r="AY266" s="74" t="str">
        <f aca="false">IF(ISBLANK($C266),"",AP266)</f>
        <v/>
      </c>
      <c r="AZ266" s="75" t="str">
        <f aca="false">IF(ISBLANK($C266),"",IF(AY266=Constants!$B$4,COUNTA($C$8:$C$507)+2,IF(AY266=Constants!$B$5,COUNTA($C$8:$C$507)+1,IF(AY266=Constants!$B$6,COUNTA($C$8:$C$507),AY266))))</f>
        <v/>
      </c>
      <c r="BA266" s="5"/>
      <c r="BB266" s="76" t="n">
        <f aca="false">IF(OR(ISNUMBER(AY266),AY266=Constants!$B$4,AY266=Constants!$B$6,AY266=Constants!$B$5),1,0)</f>
        <v>0</v>
      </c>
      <c r="BC266" s="76" t="n">
        <v>259</v>
      </c>
      <c r="BD266" s="76" t="str">
        <f aca="false">IF(ISBLANK($C266),"",IF(ISNUMBER(AZ266),AZ266+ROW($B266)/1000,""))</f>
        <v/>
      </c>
      <c r="BE266" s="76" t="str">
        <f aca="false">IF(ISNUMBER(BD266),RANK(BD266,$BD$8:$BD$507,1),"")</f>
        <v/>
      </c>
      <c r="BF266" s="76" t="str">
        <f aca="false">IF(ISBLANK($C266),"",$B266)</f>
        <v/>
      </c>
      <c r="BG266" s="76" t="str">
        <f aca="false">IF(ISBLANK($C266),"",$C266)</f>
        <v/>
      </c>
      <c r="BH266" s="76" t="str">
        <f aca="false">IF(ISBLANK($C266),"",$D266)</f>
        <v/>
      </c>
      <c r="BI266" s="77" t="str">
        <f aca="false">AW266</f>
        <v/>
      </c>
      <c r="BJ266" s="78" t="str">
        <f aca="false">AV266</f>
        <v/>
      </c>
      <c r="BK266" s="76" t="str">
        <f aca="false">IF(ISBLANK($C266),"",AY266)</f>
        <v/>
      </c>
      <c r="BL266" s="79" t="str">
        <f aca="false">IF($BC266&gt;$BB$7,"",VLOOKUP($BC266,$BE$8:$BK$507,7,FALSE()))</f>
        <v/>
      </c>
      <c r="BM266" s="80" t="str">
        <f aca="false">IF($BC266&gt;$BB$7,"",VLOOKUP($BC266,$BE$8:$BK$507,2,FALSE()))</f>
        <v/>
      </c>
      <c r="BN266" s="80" t="str">
        <f aca="false">IF($BC266&gt;$BB$7,"",VLOOKUP($BC266,$BE$8:$BK$507,3,FALSE()))</f>
        <v/>
      </c>
      <c r="BO266" s="80" t="str">
        <f aca="false">IF($BC266&gt;$BB$7,"",VLOOKUP($BC266,$BE$8:$BK$507,4,FALSE()))</f>
        <v/>
      </c>
      <c r="BP266" s="80" t="str">
        <f aca="false">IF($BC266&gt;$BB$7,"",VLOOKUP($BC266,$BE$8:$BK$507,5,FALSE()))</f>
        <v/>
      </c>
      <c r="BQ266" s="81" t="str">
        <f aca="false">IF($BC266&gt;$BB$7,"",VLOOKUP($BC266,$BE$8:$BK$507,6,FALSE()))</f>
        <v/>
      </c>
      <c r="BR266" s="54"/>
    </row>
    <row r="267" customFormat="false" ht="15.75" hidden="false" customHeight="false" outlineLevel="0" collapsed="false">
      <c r="A267" s="5"/>
      <c r="B267" s="124"/>
      <c r="C267" s="56"/>
      <c r="D267" s="57"/>
      <c r="E267" s="83"/>
      <c r="F267" s="59"/>
      <c r="G267" s="60"/>
      <c r="H267" s="61"/>
      <c r="I267" s="62"/>
      <c r="J267" s="59"/>
      <c r="K267" s="60"/>
      <c r="L267" s="61"/>
      <c r="M267" s="62"/>
      <c r="N267" s="59"/>
      <c r="O267" s="83"/>
      <c r="P267" s="64"/>
      <c r="Q267" s="66" t="str">
        <f aca="false">IF(ISBLANK($C267),"",IF(E267=Constants!$B$2, TRUE(), IF(E267=Constants!$B$3, FALSE(), TRUE())))</f>
        <v/>
      </c>
      <c r="R267" s="66" t="str">
        <f aca="false">IF(ISBLANK($C267),"",IF(F267=Constants!$B$16,Constants!$B$9,IF(F267=Constants!$B$17,Constants!$B$10,Constants!$B$8)))</f>
        <v/>
      </c>
      <c r="S267" s="66" t="str">
        <f aca="false">IF(ISBLANK($C267),"",IF(COUNTA(G267:H267)=0,"",IF(AND(OR(ISBLANK(G267),AND(ISNUMBER(G267),G267&gt;=0)),OR(ISBLANK(H267),AND(ISNUMBER(H267),H267&gt;=0))),60*IF(ISBLANK(G267),0,G267)+IF(ISBLANK(H267),0,H267),"")))</f>
        <v/>
      </c>
      <c r="T267" s="66" t="str">
        <f aca="false">IF(ISBLANK($C267),"",IF(I267=Constants!$B$2, TRUE(), IF(I267=Constants!$B$3, FALSE(), TRUE())))</f>
        <v/>
      </c>
      <c r="U267" s="66" t="str">
        <f aca="false">IF(ISBLANK($C267),"",IF(J267=Constants!$B$2, TRUE(), IF(J267=Constants!$B$3, FALSE(), TRUE())))</f>
        <v/>
      </c>
      <c r="V267" s="66" t="str">
        <f aca="false">IF(ISBLANK($C267),"",IF(COUNTA(K267:L267)=0,"",IF(AND(OR(ISBLANK(K267),AND(ISNUMBER(K267),K267&gt;=0)),OR(ISBLANK(L267),AND(ISNUMBER(L267),L267&gt;=0))),60*IF(ISBLANK(K267),0,K267)+IF(ISBLANK(L267),0,L267),"")))</f>
        <v/>
      </c>
      <c r="W267" s="66" t="str">
        <f aca="false">IF(ISBLANK($C267),"",IF(M267=Constants!$B$2, TRUE(), IF(M267=Constants!$B$3, FALSE(), TRUE())))</f>
        <v/>
      </c>
      <c r="X267" s="66" t="str">
        <f aca="false">IF(ISBLANK($C267),"",IF(N267=Constants!$B$2, TRUE(), IF(N267=Constants!$B$3, FALSE(), TRUE())))</f>
        <v/>
      </c>
      <c r="Y267" s="66" t="str">
        <f aca="false">IF(ISBLANK($C267),"",IF(O267=Constants!$B$2, TRUE(), IF(O267=Constants!$B$3, FALSE(), FALSE())))</f>
        <v/>
      </c>
      <c r="Z267" s="66" t="str">
        <f aca="false">IF(ISBLANK($C267),"",AND(S267&lt;&gt;"",Q267))</f>
        <v/>
      </c>
      <c r="AA267" s="66" t="str">
        <f aca="false">IF(ISBLANK($C267),"",AND(V267&lt;&gt;"",Q267))</f>
        <v/>
      </c>
      <c r="AB267" s="66" t="str">
        <f aca="false">IF(ISBLANK($C267),"",IF(Y267,Constants!$B$4,IF(COUNTA(E267:N267)=0,Constants!$B$5,IF(NOT(Q267),Constants!$B$6,IF(AND(NOT(Z267),NOT(AA267)),Constants!$B$6,Constants!$B$7)))))</f>
        <v/>
      </c>
      <c r="AC267" s="66" t="str">
        <f aca="false">IF(ISBLANK($C267),"",IF($AB267&lt;&gt;Constants!$B$7,$AB267,Constants!$B$20))</f>
        <v/>
      </c>
      <c r="AD267" s="66" t="str">
        <f aca="false">IF($AB267=Constants!$B$7,IF(Z267,S267,Constants!$B$13),"")</f>
        <v/>
      </c>
      <c r="AE267" s="66" t="str">
        <f aca="false">IF($AB267=Constants!$B$7,IF(Z267,R267*IF(T267, 1, Constants!$B$11)*IF(U267, 1, Constants!$B$12),Constants!$B$13),"")</f>
        <v/>
      </c>
      <c r="AF267" s="66" t="str">
        <f aca="false">IF($AB267=Constants!$B$7,AD267*AE267,"")</f>
        <v/>
      </c>
      <c r="AG267" s="66" t="str">
        <f aca="false">IF($AB267=Constants!$B$7,IF(AA267,V267,Constants!$B$13),"")</f>
        <v/>
      </c>
      <c r="AH267" s="66" t="str">
        <f aca="false">IF($AB267=Constants!$B$7,IF(AA267,R267*IF(W267, 1, Constants!$B$11)*IF(X267, 1, Constants!$B$12),Constants!$B$13),"")</f>
        <v/>
      </c>
      <c r="AI267" s="66" t="str">
        <f aca="false">IF($AB267=Constants!$B$7,AG267*AH267,"")</f>
        <v/>
      </c>
      <c r="AJ267" s="66" t="str">
        <f aca="false">IF($AB267=Constants!$B$7,IF(AI267&gt;AF267,2,1),"")</f>
        <v/>
      </c>
      <c r="AK267" s="66" t="str">
        <f aca="false">IF($AB267=Constants!$B$7,IF(AJ267=1,2,1),"")</f>
        <v/>
      </c>
      <c r="AL267" s="66" t="str">
        <f aca="false">IF(ISBLANK($C267),"",IF($AB267&lt;&gt;Constants!$B$7,$AB267,IF(AJ267=1,AF267,AI267)))</f>
        <v/>
      </c>
      <c r="AM267" s="66" t="str">
        <f aca="false">IF(ISBLANK($C267),"",IF($AB267=Constants!$B$7,IF(ISNUMBER(AL267),RANK(AL267,$AL$8:$AL$507),Constants!$B$14),$AB267))</f>
        <v/>
      </c>
      <c r="AN267" s="66" t="str">
        <f aca="false">IF(ISBLANK($C267),"",IF($AB267=Constants!$B$7,IF(AK267=1,AF267,AI267),""))</f>
        <v/>
      </c>
      <c r="AO267" s="66" t="str">
        <f aca="false">IF(ISBLANK($C267),"",IF($AB267=Constants!$B$7,RANK(AN267,$AN$8:$AN$507),$AB267))</f>
        <v/>
      </c>
      <c r="AP267" s="66" t="str">
        <f aca="false">IF(ISBLANK($C267),"",IF($AB267=Constants!$B$7,IF(ISNUMBER(AM267),COUNTIFS($AM$8:$AM$507,"&lt;"&amp;$AM267)+COUNTIFS($AM$8:$AM$507,$AM267,$AO$8:$AO$507,"&lt;"&amp;$AO267)+1,Constants!$B$14),$AB267))</f>
        <v/>
      </c>
      <c r="AQ267" s="66" t="str">
        <f aca="false">IF(ISBLANK($C267),"",IF($AB267=Constants!$B$7,IF(ISNUMBER(AM267),AM267-AP267,Constants!$B$14),$AB267))</f>
        <v/>
      </c>
      <c r="AR267" s="68"/>
      <c r="AS267" s="69" t="str">
        <f aca="false">IF(ISBLANK($C267),"",IF($AB267&lt;&gt;Constants!$B$7,"",AJ267))</f>
        <v/>
      </c>
      <c r="AT267" s="84" t="str">
        <f aca="false">IF(ISBLANK($C267),"",IF($AB267&lt;&gt;Constants!$B$7,"",IF(AJ267=1,AD267,AG267)))</f>
        <v/>
      </c>
      <c r="AU267" s="71" t="str">
        <f aca="false">IF(ISBLANK($C267),"",IF($AB267&lt;&gt;Constants!$B$7,"",IF(AJ267=1,AE267,AH267)))</f>
        <v/>
      </c>
      <c r="AV267" s="72" t="str">
        <f aca="false">IF(ISBLANK($C267),"",IF($AB267&lt;&gt;Constants!$B$7,$AB267,AL267))</f>
        <v/>
      </c>
      <c r="AW267" s="73" t="str">
        <f aca="false">IF(ISBLANK($C267),"",IF($AB267&lt;&gt;Constants!$B$7,$AB267,AC267))</f>
        <v/>
      </c>
      <c r="AX267" s="74" t="str">
        <f aca="false">IF(ISBLANK($C267),"",AQ267)</f>
        <v/>
      </c>
      <c r="AY267" s="74" t="str">
        <f aca="false">IF(ISBLANK($C267),"",AP267)</f>
        <v/>
      </c>
      <c r="AZ267" s="75" t="str">
        <f aca="false">IF(ISBLANK($C267),"",IF(AY267=Constants!$B$4,COUNTA($C$8:$C$507)+2,IF(AY267=Constants!$B$5,COUNTA($C$8:$C$507)+1,IF(AY267=Constants!$B$6,COUNTA($C$8:$C$507),AY267))))</f>
        <v/>
      </c>
      <c r="BA267" s="5"/>
      <c r="BB267" s="76" t="n">
        <f aca="false">IF(OR(ISNUMBER(AY267),AY267=Constants!$B$4,AY267=Constants!$B$6,AY267=Constants!$B$5),1,0)</f>
        <v>0</v>
      </c>
      <c r="BC267" s="76" t="n">
        <v>260</v>
      </c>
      <c r="BD267" s="76" t="str">
        <f aca="false">IF(ISBLANK($C267),"",IF(ISNUMBER(AZ267),AZ267+ROW($B267)/1000,""))</f>
        <v/>
      </c>
      <c r="BE267" s="76" t="str">
        <f aca="false">IF(ISNUMBER(BD267),RANK(BD267,$BD$8:$BD$507,1),"")</f>
        <v/>
      </c>
      <c r="BF267" s="76" t="str">
        <f aca="false">IF(ISBLANK($C267),"",$B267)</f>
        <v/>
      </c>
      <c r="BG267" s="76" t="str">
        <f aca="false">IF(ISBLANK($C267),"",$C267)</f>
        <v/>
      </c>
      <c r="BH267" s="76" t="str">
        <f aca="false">IF(ISBLANK($C267),"",$D267)</f>
        <v/>
      </c>
      <c r="BI267" s="77" t="str">
        <f aca="false">AW267</f>
        <v/>
      </c>
      <c r="BJ267" s="78" t="str">
        <f aca="false">AV267</f>
        <v/>
      </c>
      <c r="BK267" s="76" t="str">
        <f aca="false">IF(ISBLANK($C267),"",AY267)</f>
        <v/>
      </c>
      <c r="BL267" s="79" t="str">
        <f aca="false">IF($BC267&gt;$BB$7,"",VLOOKUP($BC267,$BE$8:$BK$507,7,FALSE()))</f>
        <v/>
      </c>
      <c r="BM267" s="80" t="str">
        <f aca="false">IF($BC267&gt;$BB$7,"",VLOOKUP($BC267,$BE$8:$BK$507,2,FALSE()))</f>
        <v/>
      </c>
      <c r="BN267" s="80" t="str">
        <f aca="false">IF($BC267&gt;$BB$7,"",VLOOKUP($BC267,$BE$8:$BK$507,3,FALSE()))</f>
        <v/>
      </c>
      <c r="BO267" s="80" t="str">
        <f aca="false">IF($BC267&gt;$BB$7,"",VLOOKUP($BC267,$BE$8:$BK$507,4,FALSE()))</f>
        <v/>
      </c>
      <c r="BP267" s="80" t="str">
        <f aca="false">IF($BC267&gt;$BB$7,"",VLOOKUP($BC267,$BE$8:$BK$507,5,FALSE()))</f>
        <v/>
      </c>
      <c r="BQ267" s="81" t="str">
        <f aca="false">IF($BC267&gt;$BB$7,"",VLOOKUP($BC267,$BE$8:$BK$507,6,FALSE()))</f>
        <v/>
      </c>
      <c r="BR267" s="54"/>
    </row>
    <row r="268" customFormat="false" ht="15.75" hidden="false" customHeight="false" outlineLevel="0" collapsed="false">
      <c r="A268" s="5"/>
      <c r="B268" s="124"/>
      <c r="C268" s="56"/>
      <c r="D268" s="57"/>
      <c r="E268" s="83"/>
      <c r="F268" s="59"/>
      <c r="G268" s="60"/>
      <c r="H268" s="61"/>
      <c r="I268" s="62"/>
      <c r="J268" s="59"/>
      <c r="K268" s="60"/>
      <c r="L268" s="61"/>
      <c r="M268" s="62"/>
      <c r="N268" s="59"/>
      <c r="O268" s="83"/>
      <c r="P268" s="64"/>
      <c r="Q268" s="66" t="str">
        <f aca="false">IF(ISBLANK($C268),"",IF(E268=Constants!$B$2, TRUE(), IF(E268=Constants!$B$3, FALSE(), TRUE())))</f>
        <v/>
      </c>
      <c r="R268" s="66" t="str">
        <f aca="false">IF(ISBLANK($C268),"",IF(F268=Constants!$B$16,Constants!$B$9,IF(F268=Constants!$B$17,Constants!$B$10,Constants!$B$8)))</f>
        <v/>
      </c>
      <c r="S268" s="66" t="str">
        <f aca="false">IF(ISBLANK($C268),"",IF(COUNTA(G268:H268)=0,"",IF(AND(OR(ISBLANK(G268),AND(ISNUMBER(G268),G268&gt;=0)),OR(ISBLANK(H268),AND(ISNUMBER(H268),H268&gt;=0))),60*IF(ISBLANK(G268),0,G268)+IF(ISBLANK(H268),0,H268),"")))</f>
        <v/>
      </c>
      <c r="T268" s="66" t="str">
        <f aca="false">IF(ISBLANK($C268),"",IF(I268=Constants!$B$2, TRUE(), IF(I268=Constants!$B$3, FALSE(), TRUE())))</f>
        <v/>
      </c>
      <c r="U268" s="66" t="str">
        <f aca="false">IF(ISBLANK($C268),"",IF(J268=Constants!$B$2, TRUE(), IF(J268=Constants!$B$3, FALSE(), TRUE())))</f>
        <v/>
      </c>
      <c r="V268" s="66" t="str">
        <f aca="false">IF(ISBLANK($C268),"",IF(COUNTA(K268:L268)=0,"",IF(AND(OR(ISBLANK(K268),AND(ISNUMBER(K268),K268&gt;=0)),OR(ISBLANK(L268),AND(ISNUMBER(L268),L268&gt;=0))),60*IF(ISBLANK(K268),0,K268)+IF(ISBLANK(L268),0,L268),"")))</f>
        <v/>
      </c>
      <c r="W268" s="66" t="str">
        <f aca="false">IF(ISBLANK($C268),"",IF(M268=Constants!$B$2, TRUE(), IF(M268=Constants!$B$3, FALSE(), TRUE())))</f>
        <v/>
      </c>
      <c r="X268" s="66" t="str">
        <f aca="false">IF(ISBLANK($C268),"",IF(N268=Constants!$B$2, TRUE(), IF(N268=Constants!$B$3, FALSE(), TRUE())))</f>
        <v/>
      </c>
      <c r="Y268" s="66" t="str">
        <f aca="false">IF(ISBLANK($C268),"",IF(O268=Constants!$B$2, TRUE(), IF(O268=Constants!$B$3, FALSE(), FALSE())))</f>
        <v/>
      </c>
      <c r="Z268" s="66" t="str">
        <f aca="false">IF(ISBLANK($C268),"",AND(S268&lt;&gt;"",Q268))</f>
        <v/>
      </c>
      <c r="AA268" s="66" t="str">
        <f aca="false">IF(ISBLANK($C268),"",AND(V268&lt;&gt;"",Q268))</f>
        <v/>
      </c>
      <c r="AB268" s="66" t="str">
        <f aca="false">IF(ISBLANK($C268),"",IF(Y268,Constants!$B$4,IF(COUNTA(E268:N268)=0,Constants!$B$5,IF(NOT(Q268),Constants!$B$6,IF(AND(NOT(Z268),NOT(AA268)),Constants!$B$6,Constants!$B$7)))))</f>
        <v/>
      </c>
      <c r="AC268" s="66" t="str">
        <f aca="false">IF(ISBLANK($C268),"",IF($AB268&lt;&gt;Constants!$B$7,$AB268,Constants!$B$20))</f>
        <v/>
      </c>
      <c r="AD268" s="66" t="str">
        <f aca="false">IF($AB268=Constants!$B$7,IF(Z268,S268,Constants!$B$13),"")</f>
        <v/>
      </c>
      <c r="AE268" s="66" t="str">
        <f aca="false">IF($AB268=Constants!$B$7,IF(Z268,R268*IF(T268, 1, Constants!$B$11)*IF(U268, 1, Constants!$B$12),Constants!$B$13),"")</f>
        <v/>
      </c>
      <c r="AF268" s="66" t="str">
        <f aca="false">IF($AB268=Constants!$B$7,AD268*AE268,"")</f>
        <v/>
      </c>
      <c r="AG268" s="66" t="str">
        <f aca="false">IF($AB268=Constants!$B$7,IF(AA268,V268,Constants!$B$13),"")</f>
        <v/>
      </c>
      <c r="AH268" s="66" t="str">
        <f aca="false">IF($AB268=Constants!$B$7,IF(AA268,R268*IF(W268, 1, Constants!$B$11)*IF(X268, 1, Constants!$B$12),Constants!$B$13),"")</f>
        <v/>
      </c>
      <c r="AI268" s="66" t="str">
        <f aca="false">IF($AB268=Constants!$B$7,AG268*AH268,"")</f>
        <v/>
      </c>
      <c r="AJ268" s="66" t="str">
        <f aca="false">IF($AB268=Constants!$B$7,IF(AI268&gt;AF268,2,1),"")</f>
        <v/>
      </c>
      <c r="AK268" s="66" t="str">
        <f aca="false">IF($AB268=Constants!$B$7,IF(AJ268=1,2,1),"")</f>
        <v/>
      </c>
      <c r="AL268" s="66" t="str">
        <f aca="false">IF(ISBLANK($C268),"",IF($AB268&lt;&gt;Constants!$B$7,$AB268,IF(AJ268=1,AF268,AI268)))</f>
        <v/>
      </c>
      <c r="AM268" s="66" t="str">
        <f aca="false">IF(ISBLANK($C268),"",IF($AB268=Constants!$B$7,IF(ISNUMBER(AL268),RANK(AL268,$AL$8:$AL$507),Constants!$B$14),$AB268))</f>
        <v/>
      </c>
      <c r="AN268" s="66" t="str">
        <f aca="false">IF(ISBLANK($C268),"",IF($AB268=Constants!$B$7,IF(AK268=1,AF268,AI268),""))</f>
        <v/>
      </c>
      <c r="AO268" s="66" t="str">
        <f aca="false">IF(ISBLANK($C268),"",IF($AB268=Constants!$B$7,RANK(AN268,$AN$8:$AN$507),$AB268))</f>
        <v/>
      </c>
      <c r="AP268" s="66" t="str">
        <f aca="false">IF(ISBLANK($C268),"",IF($AB268=Constants!$B$7,IF(ISNUMBER(AM268),COUNTIFS($AM$8:$AM$507,"&lt;"&amp;$AM268)+COUNTIFS($AM$8:$AM$507,$AM268,$AO$8:$AO$507,"&lt;"&amp;$AO268)+1,Constants!$B$14),$AB268))</f>
        <v/>
      </c>
      <c r="AQ268" s="66" t="str">
        <f aca="false">IF(ISBLANK($C268),"",IF($AB268=Constants!$B$7,IF(ISNUMBER(AM268),AM268-AP268,Constants!$B$14),$AB268))</f>
        <v/>
      </c>
      <c r="AR268" s="68"/>
      <c r="AS268" s="69" t="str">
        <f aca="false">IF(ISBLANK($C268),"",IF($AB268&lt;&gt;Constants!$B$7,"",AJ268))</f>
        <v/>
      </c>
      <c r="AT268" s="84" t="str">
        <f aca="false">IF(ISBLANK($C268),"",IF($AB268&lt;&gt;Constants!$B$7,"",IF(AJ268=1,AD268,AG268)))</f>
        <v/>
      </c>
      <c r="AU268" s="71" t="str">
        <f aca="false">IF(ISBLANK($C268),"",IF($AB268&lt;&gt;Constants!$B$7,"",IF(AJ268=1,AE268,AH268)))</f>
        <v/>
      </c>
      <c r="AV268" s="72" t="str">
        <f aca="false">IF(ISBLANK($C268),"",IF($AB268&lt;&gt;Constants!$B$7,$AB268,AL268))</f>
        <v/>
      </c>
      <c r="AW268" s="73" t="str">
        <f aca="false">IF(ISBLANK($C268),"",IF($AB268&lt;&gt;Constants!$B$7,$AB268,AC268))</f>
        <v/>
      </c>
      <c r="AX268" s="74" t="str">
        <f aca="false">IF(ISBLANK($C268),"",AQ268)</f>
        <v/>
      </c>
      <c r="AY268" s="74" t="str">
        <f aca="false">IF(ISBLANK($C268),"",AP268)</f>
        <v/>
      </c>
      <c r="AZ268" s="75" t="str">
        <f aca="false">IF(ISBLANK($C268),"",IF(AY268=Constants!$B$4,COUNTA($C$8:$C$507)+2,IF(AY268=Constants!$B$5,COUNTA($C$8:$C$507)+1,IF(AY268=Constants!$B$6,COUNTA($C$8:$C$507),AY268))))</f>
        <v/>
      </c>
      <c r="BA268" s="5"/>
      <c r="BB268" s="76" t="n">
        <f aca="false">IF(OR(ISNUMBER(AY268),AY268=Constants!$B$4,AY268=Constants!$B$6,AY268=Constants!$B$5),1,0)</f>
        <v>0</v>
      </c>
      <c r="BC268" s="76" t="n">
        <v>261</v>
      </c>
      <c r="BD268" s="76" t="str">
        <f aca="false">IF(ISBLANK($C268),"",IF(ISNUMBER(AZ268),AZ268+ROW($B268)/1000,""))</f>
        <v/>
      </c>
      <c r="BE268" s="76" t="str">
        <f aca="false">IF(ISNUMBER(BD268),RANK(BD268,$BD$8:$BD$507,1),"")</f>
        <v/>
      </c>
      <c r="BF268" s="76" t="str">
        <f aca="false">IF(ISBLANK($C268),"",$B268)</f>
        <v/>
      </c>
      <c r="BG268" s="76" t="str">
        <f aca="false">IF(ISBLANK($C268),"",$C268)</f>
        <v/>
      </c>
      <c r="BH268" s="76" t="str">
        <f aca="false">IF(ISBLANK($C268),"",$D268)</f>
        <v/>
      </c>
      <c r="BI268" s="77" t="str">
        <f aca="false">AW268</f>
        <v/>
      </c>
      <c r="BJ268" s="78" t="str">
        <f aca="false">AV268</f>
        <v/>
      </c>
      <c r="BK268" s="76" t="str">
        <f aca="false">IF(ISBLANK($C268),"",AY268)</f>
        <v/>
      </c>
      <c r="BL268" s="79" t="str">
        <f aca="false">IF($BC268&gt;$BB$7,"",VLOOKUP($BC268,$BE$8:$BK$507,7,FALSE()))</f>
        <v/>
      </c>
      <c r="BM268" s="80" t="str">
        <f aca="false">IF($BC268&gt;$BB$7,"",VLOOKUP($BC268,$BE$8:$BK$507,2,FALSE()))</f>
        <v/>
      </c>
      <c r="BN268" s="80" t="str">
        <f aca="false">IF($BC268&gt;$BB$7,"",VLOOKUP($BC268,$BE$8:$BK$507,3,FALSE()))</f>
        <v/>
      </c>
      <c r="BO268" s="80" t="str">
        <f aca="false">IF($BC268&gt;$BB$7,"",VLOOKUP($BC268,$BE$8:$BK$507,4,FALSE()))</f>
        <v/>
      </c>
      <c r="BP268" s="80" t="str">
        <f aca="false">IF($BC268&gt;$BB$7,"",VLOOKUP($BC268,$BE$8:$BK$507,5,FALSE()))</f>
        <v/>
      </c>
      <c r="BQ268" s="81" t="str">
        <f aca="false">IF($BC268&gt;$BB$7,"",VLOOKUP($BC268,$BE$8:$BK$507,6,FALSE()))</f>
        <v/>
      </c>
      <c r="BR268" s="54"/>
    </row>
    <row r="269" customFormat="false" ht="15.75" hidden="false" customHeight="false" outlineLevel="0" collapsed="false">
      <c r="A269" s="5"/>
      <c r="B269" s="120"/>
      <c r="C269" s="121"/>
      <c r="D269" s="112"/>
      <c r="E269" s="123"/>
      <c r="F269" s="91"/>
      <c r="G269" s="92"/>
      <c r="H269" s="93"/>
      <c r="I269" s="94"/>
      <c r="J269" s="91"/>
      <c r="K269" s="92"/>
      <c r="L269" s="93"/>
      <c r="M269" s="94"/>
      <c r="N269" s="91"/>
      <c r="O269" s="123"/>
      <c r="P269" s="96"/>
      <c r="Q269" s="97" t="str">
        <f aca="false">IF(ISBLANK($C269),"",IF(E269=Constants!$B$2, TRUE(), IF(E269=Constants!$B$3, FALSE(), TRUE())))</f>
        <v/>
      </c>
      <c r="R269" s="97" t="str">
        <f aca="false">IF(ISBLANK($C269),"",IF(F269=Constants!$B$16,Constants!$B$9,IF(F269=Constants!$B$17,Constants!$B$10,Constants!$B$8)))</f>
        <v/>
      </c>
      <c r="S269" s="97" t="str">
        <f aca="false">IF(ISBLANK($C269),"",IF(COUNTA(G269:H269)=0,"",IF(AND(OR(ISBLANK(G269),AND(ISNUMBER(G269),G269&gt;=0)),OR(ISBLANK(H269),AND(ISNUMBER(H269),H269&gt;=0))),60*IF(ISBLANK(G269),0,G269)+IF(ISBLANK(H269),0,H269),"")))</f>
        <v/>
      </c>
      <c r="T269" s="97" t="str">
        <f aca="false">IF(ISBLANK($C269),"",IF(I269=Constants!$B$2, TRUE(), IF(I269=Constants!$B$3, FALSE(), TRUE())))</f>
        <v/>
      </c>
      <c r="U269" s="97" t="str">
        <f aca="false">IF(ISBLANK($C269),"",IF(J269=Constants!$B$2, TRUE(), IF(J269=Constants!$B$3, FALSE(), TRUE())))</f>
        <v/>
      </c>
      <c r="V269" s="97" t="str">
        <f aca="false">IF(ISBLANK($C269),"",IF(COUNTA(K269:L269)=0,"",IF(AND(OR(ISBLANK(K269),AND(ISNUMBER(K269),K269&gt;=0)),OR(ISBLANK(L269),AND(ISNUMBER(L269),L269&gt;=0))),60*IF(ISBLANK(K269),0,K269)+IF(ISBLANK(L269),0,L269),"")))</f>
        <v/>
      </c>
      <c r="W269" s="97" t="str">
        <f aca="false">IF(ISBLANK($C269),"",IF(M269=Constants!$B$2, TRUE(), IF(M269=Constants!$B$3, FALSE(), TRUE())))</f>
        <v/>
      </c>
      <c r="X269" s="97" t="str">
        <f aca="false">IF(ISBLANK($C269),"",IF(N269=Constants!$B$2, TRUE(), IF(N269=Constants!$B$3, FALSE(), TRUE())))</f>
        <v/>
      </c>
      <c r="Y269" s="97" t="str">
        <f aca="false">IF(ISBLANK($C269),"",IF(O269=Constants!$B$2, TRUE(), IF(O269=Constants!$B$3, FALSE(), FALSE())))</f>
        <v/>
      </c>
      <c r="Z269" s="97" t="str">
        <f aca="false">IF(ISBLANK($C269),"",AND(S269&lt;&gt;"",Q269))</f>
        <v/>
      </c>
      <c r="AA269" s="97" t="str">
        <f aca="false">IF(ISBLANK($C269),"",AND(V269&lt;&gt;"",Q269))</f>
        <v/>
      </c>
      <c r="AB269" s="97" t="str">
        <f aca="false">IF(ISBLANK($C269),"",IF(Y269,Constants!$B$4,IF(COUNTA(E269:N269)=0,Constants!$B$5,IF(NOT(Q269),Constants!$B$6,IF(AND(NOT(Z269),NOT(AA269)),Constants!$B$6,Constants!$B$7)))))</f>
        <v/>
      </c>
      <c r="AC269" s="97" t="str">
        <f aca="false">IF(ISBLANK($C269),"",IF($AB269&lt;&gt;Constants!$B$7,$AB269,Constants!$B$20))</f>
        <v/>
      </c>
      <c r="AD269" s="97" t="str">
        <f aca="false">IF($AB269=Constants!$B$7,IF(Z269,S269,Constants!$B$13),"")</f>
        <v/>
      </c>
      <c r="AE269" s="97" t="str">
        <f aca="false">IF($AB269=Constants!$B$7,IF(Z269,R269*IF(T269, 1, Constants!$B$11)*IF(U269, 1, Constants!$B$12),Constants!$B$13),"")</f>
        <v/>
      </c>
      <c r="AF269" s="97" t="str">
        <f aca="false">IF($AB269=Constants!$B$7,AD269*AE269,"")</f>
        <v/>
      </c>
      <c r="AG269" s="97" t="str">
        <f aca="false">IF($AB269=Constants!$B$7,IF(AA269,V269,Constants!$B$13),"")</f>
        <v/>
      </c>
      <c r="AH269" s="97" t="str">
        <f aca="false">IF($AB269=Constants!$B$7,IF(AA269,R269*IF(W269, 1, Constants!$B$11)*IF(X269, 1, Constants!$B$12),Constants!$B$13),"")</f>
        <v/>
      </c>
      <c r="AI269" s="97" t="str">
        <f aca="false">IF($AB269=Constants!$B$7,AG269*AH269,"")</f>
        <v/>
      </c>
      <c r="AJ269" s="97" t="str">
        <f aca="false">IF($AB269=Constants!$B$7,IF(AI269&gt;AF269,2,1),"")</f>
        <v/>
      </c>
      <c r="AK269" s="97" t="str">
        <f aca="false">IF($AB269=Constants!$B$7,IF(AJ269=1,2,1),"")</f>
        <v/>
      </c>
      <c r="AL269" s="97" t="str">
        <f aca="false">IF(ISBLANK($C269),"",IF($AB269&lt;&gt;Constants!$B$7,$AB269,IF(AJ269=1,AF269,AI269)))</f>
        <v/>
      </c>
      <c r="AM269" s="97" t="str">
        <f aca="false">IF(ISBLANK($C269),"",IF($AB269=Constants!$B$7,IF(ISNUMBER(AL269),RANK(AL269,$AL$8:$AL$507),Constants!$B$14),$AB269))</f>
        <v/>
      </c>
      <c r="AN269" s="97" t="str">
        <f aca="false">IF(ISBLANK($C269),"",IF($AB269=Constants!$B$7,IF(AK269=1,AF269,AI269),""))</f>
        <v/>
      </c>
      <c r="AO269" s="97" t="str">
        <f aca="false">IF(ISBLANK($C269),"",IF($AB269=Constants!$B$7,RANK(AN269,$AN$8:$AN$507),$AB269))</f>
        <v/>
      </c>
      <c r="AP269" s="97" t="str">
        <f aca="false">IF(ISBLANK($C269),"",IF($AB269=Constants!$B$7,IF(ISNUMBER(AM269),COUNTIFS($AM$8:$AM$507,"&lt;"&amp;$AM269)+COUNTIFS($AM$8:$AM$507,$AM269,$AO$8:$AO$507,"&lt;"&amp;$AO269)+1,Constants!$B$14),$AB269))</f>
        <v/>
      </c>
      <c r="AQ269" s="97" t="str">
        <f aca="false">IF(ISBLANK($C269),"",IF($AB269=Constants!$B$7,IF(ISNUMBER(AM269),AM269-AP269,Constants!$B$14),$AB269))</f>
        <v/>
      </c>
      <c r="AR269" s="98"/>
      <c r="AS269" s="99" t="str">
        <f aca="false">IF(ISBLANK($C269),"",IF($AB269&lt;&gt;Constants!$B$7,"",AJ269))</f>
        <v/>
      </c>
      <c r="AT269" s="100" t="str">
        <f aca="false">IF(ISBLANK($C269),"",IF($AB269&lt;&gt;Constants!$B$7,"",IF(AJ269=1,AD269,AG269)))</f>
        <v/>
      </c>
      <c r="AU269" s="101" t="str">
        <f aca="false">IF(ISBLANK($C269),"",IF($AB269&lt;&gt;Constants!$B$7,"",IF(AJ269=1,AE269,AH269)))</f>
        <v/>
      </c>
      <c r="AV269" s="102" t="str">
        <f aca="false">IF(ISBLANK($C269),"",IF($AB269&lt;&gt;Constants!$B$7,$AB269,AL269))</f>
        <v/>
      </c>
      <c r="AW269" s="103" t="str">
        <f aca="false">IF(ISBLANK($C269),"",IF($AB269&lt;&gt;Constants!$B$7,$AB269,AC269))</f>
        <v/>
      </c>
      <c r="AX269" s="104" t="str">
        <f aca="false">IF(ISBLANK($C269),"",AQ269)</f>
        <v/>
      </c>
      <c r="AY269" s="104" t="str">
        <f aca="false">IF(ISBLANK($C269),"",AP269)</f>
        <v/>
      </c>
      <c r="AZ269" s="105" t="str">
        <f aca="false">IF(ISBLANK($C269),"",IF(AY269=Constants!$B$4,COUNTA($C$8:$C$507)+2,IF(AY269=Constants!$B$5,COUNTA($C$8:$C$507)+1,IF(AY269=Constants!$B$6,COUNTA($C$8:$C$507),AY269))))</f>
        <v/>
      </c>
      <c r="BA269" s="5"/>
      <c r="BB269" s="106" t="n">
        <f aca="false">IF(OR(ISNUMBER(AY269),AY269=Constants!$B$4,AY269=Constants!$B$6,AY269=Constants!$B$5),1,0)</f>
        <v>0</v>
      </c>
      <c r="BC269" s="106" t="n">
        <v>262</v>
      </c>
      <c r="BD269" s="106" t="str">
        <f aca="false">IF(ISBLANK($C269),"",IF(ISNUMBER(AZ269),AZ269+ROW($B269)/1000,""))</f>
        <v/>
      </c>
      <c r="BE269" s="106" t="str">
        <f aca="false">IF(ISNUMBER(BD269),RANK(BD269,$BD$8:$BD$507,1),"")</f>
        <v/>
      </c>
      <c r="BF269" s="106" t="str">
        <f aca="false">IF(ISBLANK($C269),"",$B269)</f>
        <v/>
      </c>
      <c r="BG269" s="106" t="str">
        <f aca="false">IF(ISBLANK($C269),"",$C269)</f>
        <v/>
      </c>
      <c r="BH269" s="106" t="str">
        <f aca="false">IF(ISBLANK($C269),"",$D269)</f>
        <v/>
      </c>
      <c r="BI269" s="107" t="str">
        <f aca="false">AW269</f>
        <v/>
      </c>
      <c r="BJ269" s="108" t="str">
        <f aca="false">AV269</f>
        <v/>
      </c>
      <c r="BK269" s="106" t="str">
        <f aca="false">IF(ISBLANK($C269),"",AY269)</f>
        <v/>
      </c>
      <c r="BL269" s="109" t="str">
        <f aca="false">IF($BC269&gt;$BB$7,"",VLOOKUP($BC269,$BE$8:$BK$507,7,FALSE()))</f>
        <v/>
      </c>
      <c r="BM269" s="110" t="str">
        <f aca="false">IF($BC269&gt;$BB$7,"",VLOOKUP($BC269,$BE$8:$BK$507,2,FALSE()))</f>
        <v/>
      </c>
      <c r="BN269" s="110" t="str">
        <f aca="false">IF($BC269&gt;$BB$7,"",VLOOKUP($BC269,$BE$8:$BK$507,3,FALSE()))</f>
        <v/>
      </c>
      <c r="BO269" s="110" t="str">
        <f aca="false">IF($BC269&gt;$BB$7,"",VLOOKUP($BC269,$BE$8:$BK$507,4,FALSE()))</f>
        <v/>
      </c>
      <c r="BP269" s="110" t="str">
        <f aca="false">IF($BC269&gt;$BB$7,"",VLOOKUP($BC269,$BE$8:$BK$507,5,FALSE()))</f>
        <v/>
      </c>
      <c r="BQ269" s="111" t="str">
        <f aca="false">IF($BC269&gt;$BB$7,"",VLOOKUP($BC269,$BE$8:$BK$507,6,FALSE()))</f>
        <v/>
      </c>
      <c r="BR269" s="54"/>
    </row>
    <row r="270" customFormat="false" ht="15.75" hidden="false" customHeight="false" outlineLevel="0" collapsed="false">
      <c r="A270" s="5"/>
      <c r="B270" s="120"/>
      <c r="C270" s="121"/>
      <c r="D270" s="112"/>
      <c r="E270" s="123"/>
      <c r="F270" s="91"/>
      <c r="G270" s="92"/>
      <c r="H270" s="93"/>
      <c r="I270" s="94"/>
      <c r="J270" s="91"/>
      <c r="K270" s="92"/>
      <c r="L270" s="93"/>
      <c r="M270" s="94"/>
      <c r="N270" s="91"/>
      <c r="O270" s="123"/>
      <c r="P270" s="96"/>
      <c r="Q270" s="97" t="str">
        <f aca="false">IF(ISBLANK($C270),"",IF(E270=Constants!$B$2, TRUE(), IF(E270=Constants!$B$3, FALSE(), TRUE())))</f>
        <v/>
      </c>
      <c r="R270" s="97" t="str">
        <f aca="false">IF(ISBLANK($C270),"",IF(F270=Constants!$B$16,Constants!$B$9,IF(F270=Constants!$B$17,Constants!$B$10,Constants!$B$8)))</f>
        <v/>
      </c>
      <c r="S270" s="97" t="str">
        <f aca="false">IF(ISBLANK($C270),"",IF(COUNTA(G270:H270)=0,"",IF(AND(OR(ISBLANK(G270),AND(ISNUMBER(G270),G270&gt;=0)),OR(ISBLANK(H270),AND(ISNUMBER(H270),H270&gt;=0))),60*IF(ISBLANK(G270),0,G270)+IF(ISBLANK(H270),0,H270),"")))</f>
        <v/>
      </c>
      <c r="T270" s="97" t="str">
        <f aca="false">IF(ISBLANK($C270),"",IF(I270=Constants!$B$2, TRUE(), IF(I270=Constants!$B$3, FALSE(), TRUE())))</f>
        <v/>
      </c>
      <c r="U270" s="97" t="str">
        <f aca="false">IF(ISBLANK($C270),"",IF(J270=Constants!$B$2, TRUE(), IF(J270=Constants!$B$3, FALSE(), TRUE())))</f>
        <v/>
      </c>
      <c r="V270" s="97" t="str">
        <f aca="false">IF(ISBLANK($C270),"",IF(COUNTA(K270:L270)=0,"",IF(AND(OR(ISBLANK(K270),AND(ISNUMBER(K270),K270&gt;=0)),OR(ISBLANK(L270),AND(ISNUMBER(L270),L270&gt;=0))),60*IF(ISBLANK(K270),0,K270)+IF(ISBLANK(L270),0,L270),"")))</f>
        <v/>
      </c>
      <c r="W270" s="97" t="str">
        <f aca="false">IF(ISBLANK($C270),"",IF(M270=Constants!$B$2, TRUE(), IF(M270=Constants!$B$3, FALSE(), TRUE())))</f>
        <v/>
      </c>
      <c r="X270" s="97" t="str">
        <f aca="false">IF(ISBLANK($C270),"",IF(N270=Constants!$B$2, TRUE(), IF(N270=Constants!$B$3, FALSE(), TRUE())))</f>
        <v/>
      </c>
      <c r="Y270" s="97" t="str">
        <f aca="false">IF(ISBLANK($C270),"",IF(O270=Constants!$B$2, TRUE(), IF(O270=Constants!$B$3, FALSE(), FALSE())))</f>
        <v/>
      </c>
      <c r="Z270" s="97" t="str">
        <f aca="false">IF(ISBLANK($C270),"",AND(S270&lt;&gt;"",Q270))</f>
        <v/>
      </c>
      <c r="AA270" s="97" t="str">
        <f aca="false">IF(ISBLANK($C270),"",AND(V270&lt;&gt;"",Q270))</f>
        <v/>
      </c>
      <c r="AB270" s="97" t="str">
        <f aca="false">IF(ISBLANK($C270),"",IF(Y270,Constants!$B$4,IF(COUNTA(E270:N270)=0,Constants!$B$5,IF(NOT(Q270),Constants!$B$6,IF(AND(NOT(Z270),NOT(AA270)),Constants!$B$6,Constants!$B$7)))))</f>
        <v/>
      </c>
      <c r="AC270" s="97" t="str">
        <f aca="false">IF(ISBLANK($C270),"",IF($AB270&lt;&gt;Constants!$B$7,$AB270,Constants!$B$20))</f>
        <v/>
      </c>
      <c r="AD270" s="97" t="str">
        <f aca="false">IF($AB270=Constants!$B$7,IF(Z270,S270,Constants!$B$13),"")</f>
        <v/>
      </c>
      <c r="AE270" s="97" t="str">
        <f aca="false">IF($AB270=Constants!$B$7,IF(Z270,R270*IF(T270, 1, Constants!$B$11)*IF(U270, 1, Constants!$B$12),Constants!$B$13),"")</f>
        <v/>
      </c>
      <c r="AF270" s="97" t="str">
        <f aca="false">IF($AB270=Constants!$B$7,AD270*AE270,"")</f>
        <v/>
      </c>
      <c r="AG270" s="97" t="str">
        <f aca="false">IF($AB270=Constants!$B$7,IF(AA270,V270,Constants!$B$13),"")</f>
        <v/>
      </c>
      <c r="AH270" s="97" t="str">
        <f aca="false">IF($AB270=Constants!$B$7,IF(AA270,R270*IF(W270, 1, Constants!$B$11)*IF(X270, 1, Constants!$B$12),Constants!$B$13),"")</f>
        <v/>
      </c>
      <c r="AI270" s="97" t="str">
        <f aca="false">IF($AB270=Constants!$B$7,AG270*AH270,"")</f>
        <v/>
      </c>
      <c r="AJ270" s="97" t="str">
        <f aca="false">IF($AB270=Constants!$B$7,IF(AI270&gt;AF270,2,1),"")</f>
        <v/>
      </c>
      <c r="AK270" s="97" t="str">
        <f aca="false">IF($AB270=Constants!$B$7,IF(AJ270=1,2,1),"")</f>
        <v/>
      </c>
      <c r="AL270" s="97" t="str">
        <f aca="false">IF(ISBLANK($C270),"",IF($AB270&lt;&gt;Constants!$B$7,$AB270,IF(AJ270=1,AF270,AI270)))</f>
        <v/>
      </c>
      <c r="AM270" s="97" t="str">
        <f aca="false">IF(ISBLANK($C270),"",IF($AB270=Constants!$B$7,IF(ISNUMBER(AL270),RANK(AL270,$AL$8:$AL$507),Constants!$B$14),$AB270))</f>
        <v/>
      </c>
      <c r="AN270" s="97" t="str">
        <f aca="false">IF(ISBLANK($C270),"",IF($AB270=Constants!$B$7,IF(AK270=1,AF270,AI270),""))</f>
        <v/>
      </c>
      <c r="AO270" s="97" t="str">
        <f aca="false">IF(ISBLANK($C270),"",IF($AB270=Constants!$B$7,RANK(AN270,$AN$8:$AN$507),$AB270))</f>
        <v/>
      </c>
      <c r="AP270" s="97" t="str">
        <f aca="false">IF(ISBLANK($C270),"",IF($AB270=Constants!$B$7,IF(ISNUMBER(AM270),COUNTIFS($AM$8:$AM$507,"&lt;"&amp;$AM270)+COUNTIFS($AM$8:$AM$507,$AM270,$AO$8:$AO$507,"&lt;"&amp;$AO270)+1,Constants!$B$14),$AB270))</f>
        <v/>
      </c>
      <c r="AQ270" s="97" t="str">
        <f aca="false">IF(ISBLANK($C270),"",IF($AB270=Constants!$B$7,IF(ISNUMBER(AM270),AM270-AP270,Constants!$B$14),$AB270))</f>
        <v/>
      </c>
      <c r="AR270" s="98"/>
      <c r="AS270" s="99" t="str">
        <f aca="false">IF(ISBLANK($C270),"",IF($AB270&lt;&gt;Constants!$B$7,"",AJ270))</f>
        <v/>
      </c>
      <c r="AT270" s="100" t="str">
        <f aca="false">IF(ISBLANK($C270),"",IF($AB270&lt;&gt;Constants!$B$7,"",IF(AJ270=1,AD270,AG270)))</f>
        <v/>
      </c>
      <c r="AU270" s="101" t="str">
        <f aca="false">IF(ISBLANK($C270),"",IF($AB270&lt;&gt;Constants!$B$7,"",IF(AJ270=1,AE270,AH270)))</f>
        <v/>
      </c>
      <c r="AV270" s="102" t="str">
        <f aca="false">IF(ISBLANK($C270),"",IF($AB270&lt;&gt;Constants!$B$7,$AB270,AL270))</f>
        <v/>
      </c>
      <c r="AW270" s="103" t="str">
        <f aca="false">IF(ISBLANK($C270),"",IF($AB270&lt;&gt;Constants!$B$7,$AB270,AC270))</f>
        <v/>
      </c>
      <c r="AX270" s="104" t="str">
        <f aca="false">IF(ISBLANK($C270),"",AQ270)</f>
        <v/>
      </c>
      <c r="AY270" s="104" t="str">
        <f aca="false">IF(ISBLANK($C270),"",AP270)</f>
        <v/>
      </c>
      <c r="AZ270" s="105" t="str">
        <f aca="false">IF(ISBLANK($C270),"",IF(AY270=Constants!$B$4,COUNTA($C$8:$C$507)+2,IF(AY270=Constants!$B$5,COUNTA($C$8:$C$507)+1,IF(AY270=Constants!$B$6,COUNTA($C$8:$C$507),AY270))))</f>
        <v/>
      </c>
      <c r="BA270" s="5"/>
      <c r="BB270" s="106" t="n">
        <f aca="false">IF(OR(ISNUMBER(AY270),AY270=Constants!$B$4,AY270=Constants!$B$6,AY270=Constants!$B$5),1,0)</f>
        <v>0</v>
      </c>
      <c r="BC270" s="106" t="n">
        <v>263</v>
      </c>
      <c r="BD270" s="106" t="str">
        <f aca="false">IF(ISBLANK($C270),"",IF(ISNUMBER(AZ270),AZ270+ROW($B270)/1000,""))</f>
        <v/>
      </c>
      <c r="BE270" s="106" t="str">
        <f aca="false">IF(ISNUMBER(BD270),RANK(BD270,$BD$8:$BD$507,1),"")</f>
        <v/>
      </c>
      <c r="BF270" s="106" t="str">
        <f aca="false">IF(ISBLANK($C270),"",$B270)</f>
        <v/>
      </c>
      <c r="BG270" s="106" t="str">
        <f aca="false">IF(ISBLANK($C270),"",$C270)</f>
        <v/>
      </c>
      <c r="BH270" s="106" t="str">
        <f aca="false">IF(ISBLANK($C270),"",$D270)</f>
        <v/>
      </c>
      <c r="BI270" s="107" t="str">
        <f aca="false">AW270</f>
        <v/>
      </c>
      <c r="BJ270" s="108" t="str">
        <f aca="false">AV270</f>
        <v/>
      </c>
      <c r="BK270" s="106" t="str">
        <f aca="false">IF(ISBLANK($C270),"",AY270)</f>
        <v/>
      </c>
      <c r="BL270" s="109" t="str">
        <f aca="false">IF($BC270&gt;$BB$7,"",VLOOKUP($BC270,$BE$8:$BK$507,7,FALSE()))</f>
        <v/>
      </c>
      <c r="BM270" s="110" t="str">
        <f aca="false">IF($BC270&gt;$BB$7,"",VLOOKUP($BC270,$BE$8:$BK$507,2,FALSE()))</f>
        <v/>
      </c>
      <c r="BN270" s="110" t="str">
        <f aca="false">IF($BC270&gt;$BB$7,"",VLOOKUP($BC270,$BE$8:$BK$507,3,FALSE()))</f>
        <v/>
      </c>
      <c r="BO270" s="110" t="str">
        <f aca="false">IF($BC270&gt;$BB$7,"",VLOOKUP($BC270,$BE$8:$BK$507,4,FALSE()))</f>
        <v/>
      </c>
      <c r="BP270" s="110" t="str">
        <f aca="false">IF($BC270&gt;$BB$7,"",VLOOKUP($BC270,$BE$8:$BK$507,5,FALSE()))</f>
        <v/>
      </c>
      <c r="BQ270" s="111" t="str">
        <f aca="false">IF($BC270&gt;$BB$7,"",VLOOKUP($BC270,$BE$8:$BK$507,6,FALSE()))</f>
        <v/>
      </c>
      <c r="BR270" s="54"/>
    </row>
    <row r="271" customFormat="false" ht="15.75" hidden="false" customHeight="false" outlineLevel="0" collapsed="false">
      <c r="A271" s="5"/>
      <c r="B271" s="120"/>
      <c r="C271" s="121"/>
      <c r="D271" s="112"/>
      <c r="E271" s="123"/>
      <c r="F271" s="91"/>
      <c r="G271" s="92"/>
      <c r="H271" s="93"/>
      <c r="I271" s="94"/>
      <c r="J271" s="91"/>
      <c r="K271" s="92"/>
      <c r="L271" s="93"/>
      <c r="M271" s="94"/>
      <c r="N271" s="91"/>
      <c r="O271" s="123"/>
      <c r="P271" s="96"/>
      <c r="Q271" s="97" t="str">
        <f aca="false">IF(ISBLANK($C271),"",IF(E271=Constants!$B$2, TRUE(), IF(E271=Constants!$B$3, FALSE(), TRUE())))</f>
        <v/>
      </c>
      <c r="R271" s="97" t="str">
        <f aca="false">IF(ISBLANK($C271),"",IF(F271=Constants!$B$16,Constants!$B$9,IF(F271=Constants!$B$17,Constants!$B$10,Constants!$B$8)))</f>
        <v/>
      </c>
      <c r="S271" s="97" t="str">
        <f aca="false">IF(ISBLANK($C271),"",IF(COUNTA(G271:H271)=0,"",IF(AND(OR(ISBLANK(G271),AND(ISNUMBER(G271),G271&gt;=0)),OR(ISBLANK(H271),AND(ISNUMBER(H271),H271&gt;=0))),60*IF(ISBLANK(G271),0,G271)+IF(ISBLANK(H271),0,H271),"")))</f>
        <v/>
      </c>
      <c r="T271" s="97" t="str">
        <f aca="false">IF(ISBLANK($C271),"",IF(I271=Constants!$B$2, TRUE(), IF(I271=Constants!$B$3, FALSE(), TRUE())))</f>
        <v/>
      </c>
      <c r="U271" s="97" t="str">
        <f aca="false">IF(ISBLANK($C271),"",IF(J271=Constants!$B$2, TRUE(), IF(J271=Constants!$B$3, FALSE(), TRUE())))</f>
        <v/>
      </c>
      <c r="V271" s="97" t="str">
        <f aca="false">IF(ISBLANK($C271),"",IF(COUNTA(K271:L271)=0,"",IF(AND(OR(ISBLANK(K271),AND(ISNUMBER(K271),K271&gt;=0)),OR(ISBLANK(L271),AND(ISNUMBER(L271),L271&gt;=0))),60*IF(ISBLANK(K271),0,K271)+IF(ISBLANK(L271),0,L271),"")))</f>
        <v/>
      </c>
      <c r="W271" s="97" t="str">
        <f aca="false">IF(ISBLANK($C271),"",IF(M271=Constants!$B$2, TRUE(), IF(M271=Constants!$B$3, FALSE(), TRUE())))</f>
        <v/>
      </c>
      <c r="X271" s="97" t="str">
        <f aca="false">IF(ISBLANK($C271),"",IF(N271=Constants!$B$2, TRUE(), IF(N271=Constants!$B$3, FALSE(), TRUE())))</f>
        <v/>
      </c>
      <c r="Y271" s="97" t="str">
        <f aca="false">IF(ISBLANK($C271),"",IF(O271=Constants!$B$2, TRUE(), IF(O271=Constants!$B$3, FALSE(), FALSE())))</f>
        <v/>
      </c>
      <c r="Z271" s="97" t="str">
        <f aca="false">IF(ISBLANK($C271),"",AND(S271&lt;&gt;"",Q271))</f>
        <v/>
      </c>
      <c r="AA271" s="97" t="str">
        <f aca="false">IF(ISBLANK($C271),"",AND(V271&lt;&gt;"",Q271))</f>
        <v/>
      </c>
      <c r="AB271" s="97" t="str">
        <f aca="false">IF(ISBLANK($C271),"",IF(Y271,Constants!$B$4,IF(COUNTA(E271:N271)=0,Constants!$B$5,IF(NOT(Q271),Constants!$B$6,IF(AND(NOT(Z271),NOT(AA271)),Constants!$B$6,Constants!$B$7)))))</f>
        <v/>
      </c>
      <c r="AC271" s="97" t="str">
        <f aca="false">IF(ISBLANK($C271),"",IF($AB271&lt;&gt;Constants!$B$7,$AB271,Constants!$B$20))</f>
        <v/>
      </c>
      <c r="AD271" s="97" t="str">
        <f aca="false">IF($AB271=Constants!$B$7,IF(Z271,S271,Constants!$B$13),"")</f>
        <v/>
      </c>
      <c r="AE271" s="97" t="str">
        <f aca="false">IF($AB271=Constants!$B$7,IF(Z271,R271*IF(T271, 1, Constants!$B$11)*IF(U271, 1, Constants!$B$12),Constants!$B$13),"")</f>
        <v/>
      </c>
      <c r="AF271" s="97" t="str">
        <f aca="false">IF($AB271=Constants!$B$7,AD271*AE271,"")</f>
        <v/>
      </c>
      <c r="AG271" s="97" t="str">
        <f aca="false">IF($AB271=Constants!$B$7,IF(AA271,V271,Constants!$B$13),"")</f>
        <v/>
      </c>
      <c r="AH271" s="97" t="str">
        <f aca="false">IF($AB271=Constants!$B$7,IF(AA271,R271*IF(W271, 1, Constants!$B$11)*IF(X271, 1, Constants!$B$12),Constants!$B$13),"")</f>
        <v/>
      </c>
      <c r="AI271" s="97" t="str">
        <f aca="false">IF($AB271=Constants!$B$7,AG271*AH271,"")</f>
        <v/>
      </c>
      <c r="AJ271" s="97" t="str">
        <f aca="false">IF($AB271=Constants!$B$7,IF(AI271&gt;AF271,2,1),"")</f>
        <v/>
      </c>
      <c r="AK271" s="97" t="str">
        <f aca="false">IF($AB271=Constants!$B$7,IF(AJ271=1,2,1),"")</f>
        <v/>
      </c>
      <c r="AL271" s="97" t="str">
        <f aca="false">IF(ISBLANK($C271),"",IF($AB271&lt;&gt;Constants!$B$7,$AB271,IF(AJ271=1,AF271,AI271)))</f>
        <v/>
      </c>
      <c r="AM271" s="97" t="str">
        <f aca="false">IF(ISBLANK($C271),"",IF($AB271=Constants!$B$7,IF(ISNUMBER(AL271),RANK(AL271,$AL$8:$AL$507),Constants!$B$14),$AB271))</f>
        <v/>
      </c>
      <c r="AN271" s="97" t="str">
        <f aca="false">IF(ISBLANK($C271),"",IF($AB271=Constants!$B$7,IF(AK271=1,AF271,AI271),""))</f>
        <v/>
      </c>
      <c r="AO271" s="97" t="str">
        <f aca="false">IF(ISBLANK($C271),"",IF($AB271=Constants!$B$7,RANK(AN271,$AN$8:$AN$507),$AB271))</f>
        <v/>
      </c>
      <c r="AP271" s="97" t="str">
        <f aca="false">IF(ISBLANK($C271),"",IF($AB271=Constants!$B$7,IF(ISNUMBER(AM271),COUNTIFS($AM$8:$AM$507,"&lt;"&amp;$AM271)+COUNTIFS($AM$8:$AM$507,$AM271,$AO$8:$AO$507,"&lt;"&amp;$AO271)+1,Constants!$B$14),$AB271))</f>
        <v/>
      </c>
      <c r="AQ271" s="97" t="str">
        <f aca="false">IF(ISBLANK($C271),"",IF($AB271=Constants!$B$7,IF(ISNUMBER(AM271),AM271-AP271,Constants!$B$14),$AB271))</f>
        <v/>
      </c>
      <c r="AR271" s="98"/>
      <c r="AS271" s="99" t="str">
        <f aca="false">IF(ISBLANK($C271),"",IF($AB271&lt;&gt;Constants!$B$7,"",AJ271))</f>
        <v/>
      </c>
      <c r="AT271" s="100" t="str">
        <f aca="false">IF(ISBLANK($C271),"",IF($AB271&lt;&gt;Constants!$B$7,"",IF(AJ271=1,AD271,AG271)))</f>
        <v/>
      </c>
      <c r="AU271" s="101" t="str">
        <f aca="false">IF(ISBLANK($C271),"",IF($AB271&lt;&gt;Constants!$B$7,"",IF(AJ271=1,AE271,AH271)))</f>
        <v/>
      </c>
      <c r="AV271" s="102" t="str">
        <f aca="false">IF(ISBLANK($C271),"",IF($AB271&lt;&gt;Constants!$B$7,$AB271,AL271))</f>
        <v/>
      </c>
      <c r="AW271" s="103" t="str">
        <f aca="false">IF(ISBLANK($C271),"",IF($AB271&lt;&gt;Constants!$B$7,$AB271,AC271))</f>
        <v/>
      </c>
      <c r="AX271" s="104" t="str">
        <f aca="false">IF(ISBLANK($C271),"",AQ271)</f>
        <v/>
      </c>
      <c r="AY271" s="104" t="str">
        <f aca="false">IF(ISBLANK($C271),"",AP271)</f>
        <v/>
      </c>
      <c r="AZ271" s="105" t="str">
        <f aca="false">IF(ISBLANK($C271),"",IF(AY271=Constants!$B$4,COUNTA($C$8:$C$507)+2,IF(AY271=Constants!$B$5,COUNTA($C$8:$C$507)+1,IF(AY271=Constants!$B$6,COUNTA($C$8:$C$507),AY271))))</f>
        <v/>
      </c>
      <c r="BA271" s="5"/>
      <c r="BB271" s="106" t="n">
        <f aca="false">IF(OR(ISNUMBER(AY271),AY271=Constants!$B$4,AY271=Constants!$B$6,AY271=Constants!$B$5),1,0)</f>
        <v>0</v>
      </c>
      <c r="BC271" s="106" t="n">
        <v>264</v>
      </c>
      <c r="BD271" s="106" t="str">
        <f aca="false">IF(ISBLANK($C271),"",IF(ISNUMBER(AZ271),AZ271+ROW($B271)/1000,""))</f>
        <v/>
      </c>
      <c r="BE271" s="106" t="str">
        <f aca="false">IF(ISNUMBER(BD271),RANK(BD271,$BD$8:$BD$507,1),"")</f>
        <v/>
      </c>
      <c r="BF271" s="106" t="str">
        <f aca="false">IF(ISBLANK($C271),"",$B271)</f>
        <v/>
      </c>
      <c r="BG271" s="106" t="str">
        <f aca="false">IF(ISBLANK($C271),"",$C271)</f>
        <v/>
      </c>
      <c r="BH271" s="106" t="str">
        <f aca="false">IF(ISBLANK($C271),"",$D271)</f>
        <v/>
      </c>
      <c r="BI271" s="107" t="str">
        <f aca="false">AW271</f>
        <v/>
      </c>
      <c r="BJ271" s="108" t="str">
        <f aca="false">AV271</f>
        <v/>
      </c>
      <c r="BK271" s="106" t="str">
        <f aca="false">IF(ISBLANK($C271),"",AY271)</f>
        <v/>
      </c>
      <c r="BL271" s="109" t="str">
        <f aca="false">IF($BC271&gt;$BB$7,"",VLOOKUP($BC271,$BE$8:$BK$507,7,FALSE()))</f>
        <v/>
      </c>
      <c r="BM271" s="110" t="str">
        <f aca="false">IF($BC271&gt;$BB$7,"",VLOOKUP($BC271,$BE$8:$BK$507,2,FALSE()))</f>
        <v/>
      </c>
      <c r="BN271" s="110" t="str">
        <f aca="false">IF($BC271&gt;$BB$7,"",VLOOKUP($BC271,$BE$8:$BK$507,3,FALSE()))</f>
        <v/>
      </c>
      <c r="BO271" s="110" t="str">
        <f aca="false">IF($BC271&gt;$BB$7,"",VLOOKUP($BC271,$BE$8:$BK$507,4,FALSE()))</f>
        <v/>
      </c>
      <c r="BP271" s="110" t="str">
        <f aca="false">IF($BC271&gt;$BB$7,"",VLOOKUP($BC271,$BE$8:$BK$507,5,FALSE()))</f>
        <v/>
      </c>
      <c r="BQ271" s="111" t="str">
        <f aca="false">IF($BC271&gt;$BB$7,"",VLOOKUP($BC271,$BE$8:$BK$507,6,FALSE()))</f>
        <v/>
      </c>
      <c r="BR271" s="54"/>
    </row>
    <row r="272" customFormat="false" ht="15.75" hidden="false" customHeight="false" outlineLevel="0" collapsed="false">
      <c r="A272" s="5"/>
      <c r="B272" s="124"/>
      <c r="C272" s="56"/>
      <c r="D272" s="57"/>
      <c r="E272" s="83"/>
      <c r="F272" s="59"/>
      <c r="G272" s="60"/>
      <c r="H272" s="61"/>
      <c r="I272" s="62"/>
      <c r="J272" s="59"/>
      <c r="K272" s="60"/>
      <c r="L272" s="61"/>
      <c r="M272" s="62"/>
      <c r="N272" s="59"/>
      <c r="O272" s="83"/>
      <c r="P272" s="64"/>
      <c r="Q272" s="66" t="str">
        <f aca="false">IF(ISBLANK($C272),"",IF(E272=Constants!$B$2, TRUE(), IF(E272=Constants!$B$3, FALSE(), TRUE())))</f>
        <v/>
      </c>
      <c r="R272" s="66" t="str">
        <f aca="false">IF(ISBLANK($C272),"",IF(F272=Constants!$B$16,Constants!$B$9,IF(F272=Constants!$B$17,Constants!$B$10,Constants!$B$8)))</f>
        <v/>
      </c>
      <c r="S272" s="66" t="str">
        <f aca="false">IF(ISBLANK($C272),"",IF(COUNTA(G272:H272)=0,"",IF(AND(OR(ISBLANK(G272),AND(ISNUMBER(G272),G272&gt;=0)),OR(ISBLANK(H272),AND(ISNUMBER(H272),H272&gt;=0))),60*IF(ISBLANK(G272),0,G272)+IF(ISBLANK(H272),0,H272),"")))</f>
        <v/>
      </c>
      <c r="T272" s="66" t="str">
        <f aca="false">IF(ISBLANK($C272),"",IF(I272=Constants!$B$2, TRUE(), IF(I272=Constants!$B$3, FALSE(), TRUE())))</f>
        <v/>
      </c>
      <c r="U272" s="66" t="str">
        <f aca="false">IF(ISBLANK($C272),"",IF(J272=Constants!$B$2, TRUE(), IF(J272=Constants!$B$3, FALSE(), TRUE())))</f>
        <v/>
      </c>
      <c r="V272" s="66" t="str">
        <f aca="false">IF(ISBLANK($C272),"",IF(COUNTA(K272:L272)=0,"",IF(AND(OR(ISBLANK(K272),AND(ISNUMBER(K272),K272&gt;=0)),OR(ISBLANK(L272),AND(ISNUMBER(L272),L272&gt;=0))),60*IF(ISBLANK(K272),0,K272)+IF(ISBLANK(L272),0,L272),"")))</f>
        <v/>
      </c>
      <c r="W272" s="66" t="str">
        <f aca="false">IF(ISBLANK($C272),"",IF(M272=Constants!$B$2, TRUE(), IF(M272=Constants!$B$3, FALSE(), TRUE())))</f>
        <v/>
      </c>
      <c r="X272" s="66" t="str">
        <f aca="false">IF(ISBLANK($C272),"",IF(N272=Constants!$B$2, TRUE(), IF(N272=Constants!$B$3, FALSE(), TRUE())))</f>
        <v/>
      </c>
      <c r="Y272" s="66" t="str">
        <f aca="false">IF(ISBLANK($C272),"",IF(O272=Constants!$B$2, TRUE(), IF(O272=Constants!$B$3, FALSE(), FALSE())))</f>
        <v/>
      </c>
      <c r="Z272" s="66" t="str">
        <f aca="false">IF(ISBLANK($C272),"",AND(S272&lt;&gt;"",Q272))</f>
        <v/>
      </c>
      <c r="AA272" s="66" t="str">
        <f aca="false">IF(ISBLANK($C272),"",AND(V272&lt;&gt;"",Q272))</f>
        <v/>
      </c>
      <c r="AB272" s="66" t="str">
        <f aca="false">IF(ISBLANK($C272),"",IF(Y272,Constants!$B$4,IF(COUNTA(E272:N272)=0,Constants!$B$5,IF(NOT(Q272),Constants!$B$6,IF(AND(NOT(Z272),NOT(AA272)),Constants!$B$6,Constants!$B$7)))))</f>
        <v/>
      </c>
      <c r="AC272" s="66" t="str">
        <f aca="false">IF(ISBLANK($C272),"",IF($AB272&lt;&gt;Constants!$B$7,$AB272,Constants!$B$20))</f>
        <v/>
      </c>
      <c r="AD272" s="66" t="str">
        <f aca="false">IF($AB272=Constants!$B$7,IF(Z272,S272,Constants!$B$13),"")</f>
        <v/>
      </c>
      <c r="AE272" s="66" t="str">
        <f aca="false">IF($AB272=Constants!$B$7,IF(Z272,R272*IF(T272, 1, Constants!$B$11)*IF(U272, 1, Constants!$B$12),Constants!$B$13),"")</f>
        <v/>
      </c>
      <c r="AF272" s="66" t="str">
        <f aca="false">IF($AB272=Constants!$B$7,AD272*AE272,"")</f>
        <v/>
      </c>
      <c r="AG272" s="66" t="str">
        <f aca="false">IF($AB272=Constants!$B$7,IF(AA272,V272,Constants!$B$13),"")</f>
        <v/>
      </c>
      <c r="AH272" s="66" t="str">
        <f aca="false">IF($AB272=Constants!$B$7,IF(AA272,R272*IF(W272, 1, Constants!$B$11)*IF(X272, 1, Constants!$B$12),Constants!$B$13),"")</f>
        <v/>
      </c>
      <c r="AI272" s="66" t="str">
        <f aca="false">IF($AB272=Constants!$B$7,AG272*AH272,"")</f>
        <v/>
      </c>
      <c r="AJ272" s="66" t="str">
        <f aca="false">IF($AB272=Constants!$B$7,IF(AI272&gt;AF272,2,1),"")</f>
        <v/>
      </c>
      <c r="AK272" s="66" t="str">
        <f aca="false">IF($AB272=Constants!$B$7,IF(AJ272=1,2,1),"")</f>
        <v/>
      </c>
      <c r="AL272" s="66" t="str">
        <f aca="false">IF(ISBLANK($C272),"",IF($AB272&lt;&gt;Constants!$B$7,$AB272,IF(AJ272=1,AF272,AI272)))</f>
        <v/>
      </c>
      <c r="AM272" s="66" t="str">
        <f aca="false">IF(ISBLANK($C272),"",IF($AB272=Constants!$B$7,IF(ISNUMBER(AL272),RANK(AL272,$AL$8:$AL$507),Constants!$B$14),$AB272))</f>
        <v/>
      </c>
      <c r="AN272" s="66" t="str">
        <f aca="false">IF(ISBLANK($C272),"",IF($AB272=Constants!$B$7,IF(AK272=1,AF272,AI272),""))</f>
        <v/>
      </c>
      <c r="AO272" s="66" t="str">
        <f aca="false">IF(ISBLANK($C272),"",IF($AB272=Constants!$B$7,RANK(AN272,$AN$8:$AN$507),$AB272))</f>
        <v/>
      </c>
      <c r="AP272" s="66" t="str">
        <f aca="false">IF(ISBLANK($C272),"",IF($AB272=Constants!$B$7,IF(ISNUMBER(AM272),COUNTIFS($AM$8:$AM$507,"&lt;"&amp;$AM272)+COUNTIFS($AM$8:$AM$507,$AM272,$AO$8:$AO$507,"&lt;"&amp;$AO272)+1,Constants!$B$14),$AB272))</f>
        <v/>
      </c>
      <c r="AQ272" s="66" t="str">
        <f aca="false">IF(ISBLANK($C272),"",IF($AB272=Constants!$B$7,IF(ISNUMBER(AM272),AM272-AP272,Constants!$B$14),$AB272))</f>
        <v/>
      </c>
      <c r="AR272" s="68"/>
      <c r="AS272" s="69" t="str">
        <f aca="false">IF(ISBLANK($C272),"",IF($AB272&lt;&gt;Constants!$B$7,"",AJ272))</f>
        <v/>
      </c>
      <c r="AT272" s="84" t="str">
        <f aca="false">IF(ISBLANK($C272),"",IF($AB272&lt;&gt;Constants!$B$7,"",IF(AJ272=1,AD272,AG272)))</f>
        <v/>
      </c>
      <c r="AU272" s="71" t="str">
        <f aca="false">IF(ISBLANK($C272),"",IF($AB272&lt;&gt;Constants!$B$7,"",IF(AJ272=1,AE272,AH272)))</f>
        <v/>
      </c>
      <c r="AV272" s="72" t="str">
        <f aca="false">IF(ISBLANK($C272),"",IF($AB272&lt;&gt;Constants!$B$7,$AB272,AL272))</f>
        <v/>
      </c>
      <c r="AW272" s="73" t="str">
        <f aca="false">IF(ISBLANK($C272),"",IF($AB272&lt;&gt;Constants!$B$7,$AB272,AC272))</f>
        <v/>
      </c>
      <c r="AX272" s="74" t="str">
        <f aca="false">IF(ISBLANK($C272),"",AQ272)</f>
        <v/>
      </c>
      <c r="AY272" s="74" t="str">
        <f aca="false">IF(ISBLANK($C272),"",AP272)</f>
        <v/>
      </c>
      <c r="AZ272" s="75" t="str">
        <f aca="false">IF(ISBLANK($C272),"",IF(AY272=Constants!$B$4,COUNTA($C$8:$C$507)+2,IF(AY272=Constants!$B$5,COUNTA($C$8:$C$507)+1,IF(AY272=Constants!$B$6,COUNTA($C$8:$C$507),AY272))))</f>
        <v/>
      </c>
      <c r="BA272" s="5"/>
      <c r="BB272" s="76" t="n">
        <f aca="false">IF(OR(ISNUMBER(AY272),AY272=Constants!$B$4,AY272=Constants!$B$6,AY272=Constants!$B$5),1,0)</f>
        <v>0</v>
      </c>
      <c r="BC272" s="76" t="n">
        <v>265</v>
      </c>
      <c r="BD272" s="76" t="str">
        <f aca="false">IF(ISBLANK($C272),"",IF(ISNUMBER(AZ272),AZ272+ROW($B272)/1000,""))</f>
        <v/>
      </c>
      <c r="BE272" s="76" t="str">
        <f aca="false">IF(ISNUMBER(BD272),RANK(BD272,$BD$8:$BD$507,1),"")</f>
        <v/>
      </c>
      <c r="BF272" s="76" t="str">
        <f aca="false">IF(ISBLANK($C272),"",$B272)</f>
        <v/>
      </c>
      <c r="BG272" s="76" t="str">
        <f aca="false">IF(ISBLANK($C272),"",$C272)</f>
        <v/>
      </c>
      <c r="BH272" s="76" t="str">
        <f aca="false">IF(ISBLANK($C272),"",$D272)</f>
        <v/>
      </c>
      <c r="BI272" s="77" t="str">
        <f aca="false">AW272</f>
        <v/>
      </c>
      <c r="BJ272" s="78" t="str">
        <f aca="false">AV272</f>
        <v/>
      </c>
      <c r="BK272" s="76" t="str">
        <f aca="false">IF(ISBLANK($C272),"",AY272)</f>
        <v/>
      </c>
      <c r="BL272" s="79" t="str">
        <f aca="false">IF($BC272&gt;$BB$7,"",VLOOKUP($BC272,$BE$8:$BK$507,7,FALSE()))</f>
        <v/>
      </c>
      <c r="BM272" s="80" t="str">
        <f aca="false">IF($BC272&gt;$BB$7,"",VLOOKUP($BC272,$BE$8:$BK$507,2,FALSE()))</f>
        <v/>
      </c>
      <c r="BN272" s="80" t="str">
        <f aca="false">IF($BC272&gt;$BB$7,"",VLOOKUP($BC272,$BE$8:$BK$507,3,FALSE()))</f>
        <v/>
      </c>
      <c r="BO272" s="80" t="str">
        <f aca="false">IF($BC272&gt;$BB$7,"",VLOOKUP($BC272,$BE$8:$BK$507,4,FALSE()))</f>
        <v/>
      </c>
      <c r="BP272" s="80" t="str">
        <f aca="false">IF($BC272&gt;$BB$7,"",VLOOKUP($BC272,$BE$8:$BK$507,5,FALSE()))</f>
        <v/>
      </c>
      <c r="BQ272" s="81" t="str">
        <f aca="false">IF($BC272&gt;$BB$7,"",VLOOKUP($BC272,$BE$8:$BK$507,6,FALSE()))</f>
        <v/>
      </c>
      <c r="BR272" s="54"/>
    </row>
    <row r="273" customFormat="false" ht="15.75" hidden="false" customHeight="false" outlineLevel="0" collapsed="false">
      <c r="A273" s="5"/>
      <c r="B273" s="124"/>
      <c r="C273" s="56"/>
      <c r="D273" s="57"/>
      <c r="E273" s="83"/>
      <c r="F273" s="59"/>
      <c r="G273" s="60"/>
      <c r="H273" s="61"/>
      <c r="I273" s="62"/>
      <c r="J273" s="59"/>
      <c r="K273" s="60"/>
      <c r="L273" s="61"/>
      <c r="M273" s="62"/>
      <c r="N273" s="59"/>
      <c r="O273" s="83"/>
      <c r="P273" s="64"/>
      <c r="Q273" s="66" t="str">
        <f aca="false">IF(ISBLANK($C273),"",IF(E273=Constants!$B$2, TRUE(), IF(E273=Constants!$B$3, FALSE(), TRUE())))</f>
        <v/>
      </c>
      <c r="R273" s="66" t="str">
        <f aca="false">IF(ISBLANK($C273),"",IF(F273=Constants!$B$16,Constants!$B$9,IF(F273=Constants!$B$17,Constants!$B$10,Constants!$B$8)))</f>
        <v/>
      </c>
      <c r="S273" s="66" t="str">
        <f aca="false">IF(ISBLANK($C273),"",IF(COUNTA(G273:H273)=0,"",IF(AND(OR(ISBLANK(G273),AND(ISNUMBER(G273),G273&gt;=0)),OR(ISBLANK(H273),AND(ISNUMBER(H273),H273&gt;=0))),60*IF(ISBLANK(G273),0,G273)+IF(ISBLANK(H273),0,H273),"")))</f>
        <v/>
      </c>
      <c r="T273" s="66" t="str">
        <f aca="false">IF(ISBLANK($C273),"",IF(I273=Constants!$B$2, TRUE(), IF(I273=Constants!$B$3, FALSE(), TRUE())))</f>
        <v/>
      </c>
      <c r="U273" s="66" t="str">
        <f aca="false">IF(ISBLANK($C273),"",IF(J273=Constants!$B$2, TRUE(), IF(J273=Constants!$B$3, FALSE(), TRUE())))</f>
        <v/>
      </c>
      <c r="V273" s="66" t="str">
        <f aca="false">IF(ISBLANK($C273),"",IF(COUNTA(K273:L273)=0,"",IF(AND(OR(ISBLANK(K273),AND(ISNUMBER(K273),K273&gt;=0)),OR(ISBLANK(L273),AND(ISNUMBER(L273),L273&gt;=0))),60*IF(ISBLANK(K273),0,K273)+IF(ISBLANK(L273),0,L273),"")))</f>
        <v/>
      </c>
      <c r="W273" s="66" t="str">
        <f aca="false">IF(ISBLANK($C273),"",IF(M273=Constants!$B$2, TRUE(), IF(M273=Constants!$B$3, FALSE(), TRUE())))</f>
        <v/>
      </c>
      <c r="X273" s="66" t="str">
        <f aca="false">IF(ISBLANK($C273),"",IF(N273=Constants!$B$2, TRUE(), IF(N273=Constants!$B$3, FALSE(), TRUE())))</f>
        <v/>
      </c>
      <c r="Y273" s="66" t="str">
        <f aca="false">IF(ISBLANK($C273),"",IF(O273=Constants!$B$2, TRUE(), IF(O273=Constants!$B$3, FALSE(), FALSE())))</f>
        <v/>
      </c>
      <c r="Z273" s="66" t="str">
        <f aca="false">IF(ISBLANK($C273),"",AND(S273&lt;&gt;"",Q273))</f>
        <v/>
      </c>
      <c r="AA273" s="66" t="str">
        <f aca="false">IF(ISBLANK($C273),"",AND(V273&lt;&gt;"",Q273))</f>
        <v/>
      </c>
      <c r="AB273" s="66" t="str">
        <f aca="false">IF(ISBLANK($C273),"",IF(Y273,Constants!$B$4,IF(COUNTA(E273:N273)=0,Constants!$B$5,IF(NOT(Q273),Constants!$B$6,IF(AND(NOT(Z273),NOT(AA273)),Constants!$B$6,Constants!$B$7)))))</f>
        <v/>
      </c>
      <c r="AC273" s="66" t="str">
        <f aca="false">IF(ISBLANK($C273),"",IF($AB273&lt;&gt;Constants!$B$7,$AB273,Constants!$B$20))</f>
        <v/>
      </c>
      <c r="AD273" s="66" t="str">
        <f aca="false">IF($AB273=Constants!$B$7,IF(Z273,S273,Constants!$B$13),"")</f>
        <v/>
      </c>
      <c r="AE273" s="66" t="str">
        <f aca="false">IF($AB273=Constants!$B$7,IF(Z273,R273*IF(T273, 1, Constants!$B$11)*IF(U273, 1, Constants!$B$12),Constants!$B$13),"")</f>
        <v/>
      </c>
      <c r="AF273" s="66" t="str">
        <f aca="false">IF($AB273=Constants!$B$7,AD273*AE273,"")</f>
        <v/>
      </c>
      <c r="AG273" s="66" t="str">
        <f aca="false">IF($AB273=Constants!$B$7,IF(AA273,V273,Constants!$B$13),"")</f>
        <v/>
      </c>
      <c r="AH273" s="66" t="str">
        <f aca="false">IF($AB273=Constants!$B$7,IF(AA273,R273*IF(W273, 1, Constants!$B$11)*IF(X273, 1, Constants!$B$12),Constants!$B$13),"")</f>
        <v/>
      </c>
      <c r="AI273" s="66" t="str">
        <f aca="false">IF($AB273=Constants!$B$7,AG273*AH273,"")</f>
        <v/>
      </c>
      <c r="AJ273" s="66" t="str">
        <f aca="false">IF($AB273=Constants!$B$7,IF(AI273&gt;AF273,2,1),"")</f>
        <v/>
      </c>
      <c r="AK273" s="66" t="str">
        <f aca="false">IF($AB273=Constants!$B$7,IF(AJ273=1,2,1),"")</f>
        <v/>
      </c>
      <c r="AL273" s="66" t="str">
        <f aca="false">IF(ISBLANK($C273),"",IF($AB273&lt;&gt;Constants!$B$7,$AB273,IF(AJ273=1,AF273,AI273)))</f>
        <v/>
      </c>
      <c r="AM273" s="66" t="str">
        <f aca="false">IF(ISBLANK($C273),"",IF($AB273=Constants!$B$7,IF(ISNUMBER(AL273),RANK(AL273,$AL$8:$AL$507),Constants!$B$14),$AB273))</f>
        <v/>
      </c>
      <c r="AN273" s="66" t="str">
        <f aca="false">IF(ISBLANK($C273),"",IF($AB273=Constants!$B$7,IF(AK273=1,AF273,AI273),""))</f>
        <v/>
      </c>
      <c r="AO273" s="66" t="str">
        <f aca="false">IF(ISBLANK($C273),"",IF($AB273=Constants!$B$7,RANK(AN273,$AN$8:$AN$507),$AB273))</f>
        <v/>
      </c>
      <c r="AP273" s="66" t="str">
        <f aca="false">IF(ISBLANK($C273),"",IF($AB273=Constants!$B$7,IF(ISNUMBER(AM273),COUNTIFS($AM$8:$AM$507,"&lt;"&amp;$AM273)+COUNTIFS($AM$8:$AM$507,$AM273,$AO$8:$AO$507,"&lt;"&amp;$AO273)+1,Constants!$B$14),$AB273))</f>
        <v/>
      </c>
      <c r="AQ273" s="66" t="str">
        <f aca="false">IF(ISBLANK($C273),"",IF($AB273=Constants!$B$7,IF(ISNUMBER(AM273),AM273-AP273,Constants!$B$14),$AB273))</f>
        <v/>
      </c>
      <c r="AR273" s="68"/>
      <c r="AS273" s="69" t="str">
        <f aca="false">IF(ISBLANK($C273),"",IF($AB273&lt;&gt;Constants!$B$7,"",AJ273))</f>
        <v/>
      </c>
      <c r="AT273" s="84" t="str">
        <f aca="false">IF(ISBLANK($C273),"",IF($AB273&lt;&gt;Constants!$B$7,"",IF(AJ273=1,AD273,AG273)))</f>
        <v/>
      </c>
      <c r="AU273" s="71" t="str">
        <f aca="false">IF(ISBLANK($C273),"",IF($AB273&lt;&gt;Constants!$B$7,"",IF(AJ273=1,AE273,AH273)))</f>
        <v/>
      </c>
      <c r="AV273" s="72" t="str">
        <f aca="false">IF(ISBLANK($C273),"",IF($AB273&lt;&gt;Constants!$B$7,$AB273,AL273))</f>
        <v/>
      </c>
      <c r="AW273" s="73" t="str">
        <f aca="false">IF(ISBLANK($C273),"",IF($AB273&lt;&gt;Constants!$B$7,$AB273,AC273))</f>
        <v/>
      </c>
      <c r="AX273" s="74" t="str">
        <f aca="false">IF(ISBLANK($C273),"",AQ273)</f>
        <v/>
      </c>
      <c r="AY273" s="74" t="str">
        <f aca="false">IF(ISBLANK($C273),"",AP273)</f>
        <v/>
      </c>
      <c r="AZ273" s="75" t="str">
        <f aca="false">IF(ISBLANK($C273),"",IF(AY273=Constants!$B$4,COUNTA($C$8:$C$507)+2,IF(AY273=Constants!$B$5,COUNTA($C$8:$C$507)+1,IF(AY273=Constants!$B$6,COUNTA($C$8:$C$507),AY273))))</f>
        <v/>
      </c>
      <c r="BA273" s="5"/>
      <c r="BB273" s="76" t="n">
        <f aca="false">IF(OR(ISNUMBER(AY273),AY273=Constants!$B$4,AY273=Constants!$B$6,AY273=Constants!$B$5),1,0)</f>
        <v>0</v>
      </c>
      <c r="BC273" s="76" t="n">
        <v>266</v>
      </c>
      <c r="BD273" s="76" t="str">
        <f aca="false">IF(ISBLANK($C273),"",IF(ISNUMBER(AZ273),AZ273+ROW($B273)/1000,""))</f>
        <v/>
      </c>
      <c r="BE273" s="76" t="str">
        <f aca="false">IF(ISNUMBER(BD273),RANK(BD273,$BD$8:$BD$507,1),"")</f>
        <v/>
      </c>
      <c r="BF273" s="76" t="str">
        <f aca="false">IF(ISBLANK($C273),"",$B273)</f>
        <v/>
      </c>
      <c r="BG273" s="76" t="str">
        <f aca="false">IF(ISBLANK($C273),"",$C273)</f>
        <v/>
      </c>
      <c r="BH273" s="76" t="str">
        <f aca="false">IF(ISBLANK($C273),"",$D273)</f>
        <v/>
      </c>
      <c r="BI273" s="77" t="str">
        <f aca="false">AW273</f>
        <v/>
      </c>
      <c r="BJ273" s="78" t="str">
        <f aca="false">AV273</f>
        <v/>
      </c>
      <c r="BK273" s="76" t="str">
        <f aca="false">IF(ISBLANK($C273),"",AY273)</f>
        <v/>
      </c>
      <c r="BL273" s="79" t="str">
        <f aca="false">IF($BC273&gt;$BB$7,"",VLOOKUP($BC273,$BE$8:$BK$507,7,FALSE()))</f>
        <v/>
      </c>
      <c r="BM273" s="80" t="str">
        <f aca="false">IF($BC273&gt;$BB$7,"",VLOOKUP($BC273,$BE$8:$BK$507,2,FALSE()))</f>
        <v/>
      </c>
      <c r="BN273" s="80" t="str">
        <f aca="false">IF($BC273&gt;$BB$7,"",VLOOKUP($BC273,$BE$8:$BK$507,3,FALSE()))</f>
        <v/>
      </c>
      <c r="BO273" s="80" t="str">
        <f aca="false">IF($BC273&gt;$BB$7,"",VLOOKUP($BC273,$BE$8:$BK$507,4,FALSE()))</f>
        <v/>
      </c>
      <c r="BP273" s="80" t="str">
        <f aca="false">IF($BC273&gt;$BB$7,"",VLOOKUP($BC273,$BE$8:$BK$507,5,FALSE()))</f>
        <v/>
      </c>
      <c r="BQ273" s="81" t="str">
        <f aca="false">IF($BC273&gt;$BB$7,"",VLOOKUP($BC273,$BE$8:$BK$507,6,FALSE()))</f>
        <v/>
      </c>
      <c r="BR273" s="54"/>
    </row>
    <row r="274" customFormat="false" ht="15.75" hidden="false" customHeight="false" outlineLevel="0" collapsed="false">
      <c r="A274" s="5"/>
      <c r="B274" s="124"/>
      <c r="C274" s="56"/>
      <c r="D274" s="57"/>
      <c r="E274" s="83"/>
      <c r="F274" s="59"/>
      <c r="G274" s="60"/>
      <c r="H274" s="61"/>
      <c r="I274" s="62"/>
      <c r="J274" s="59"/>
      <c r="K274" s="60"/>
      <c r="L274" s="61"/>
      <c r="M274" s="62"/>
      <c r="N274" s="59"/>
      <c r="O274" s="83"/>
      <c r="P274" s="64"/>
      <c r="Q274" s="66" t="str">
        <f aca="false">IF(ISBLANK($C274),"",IF(E274=Constants!$B$2, TRUE(), IF(E274=Constants!$B$3, FALSE(), TRUE())))</f>
        <v/>
      </c>
      <c r="R274" s="66" t="str">
        <f aca="false">IF(ISBLANK($C274),"",IF(F274=Constants!$B$16,Constants!$B$9,IF(F274=Constants!$B$17,Constants!$B$10,Constants!$B$8)))</f>
        <v/>
      </c>
      <c r="S274" s="66" t="str">
        <f aca="false">IF(ISBLANK($C274),"",IF(COUNTA(G274:H274)=0,"",IF(AND(OR(ISBLANK(G274),AND(ISNUMBER(G274),G274&gt;=0)),OR(ISBLANK(H274),AND(ISNUMBER(H274),H274&gt;=0))),60*IF(ISBLANK(G274),0,G274)+IF(ISBLANK(H274),0,H274),"")))</f>
        <v/>
      </c>
      <c r="T274" s="66" t="str">
        <f aca="false">IF(ISBLANK($C274),"",IF(I274=Constants!$B$2, TRUE(), IF(I274=Constants!$B$3, FALSE(), TRUE())))</f>
        <v/>
      </c>
      <c r="U274" s="66" t="str">
        <f aca="false">IF(ISBLANK($C274),"",IF(J274=Constants!$B$2, TRUE(), IF(J274=Constants!$B$3, FALSE(), TRUE())))</f>
        <v/>
      </c>
      <c r="V274" s="66" t="str">
        <f aca="false">IF(ISBLANK($C274),"",IF(COUNTA(K274:L274)=0,"",IF(AND(OR(ISBLANK(K274),AND(ISNUMBER(K274),K274&gt;=0)),OR(ISBLANK(L274),AND(ISNUMBER(L274),L274&gt;=0))),60*IF(ISBLANK(K274),0,K274)+IF(ISBLANK(L274),0,L274),"")))</f>
        <v/>
      </c>
      <c r="W274" s="66" t="str">
        <f aca="false">IF(ISBLANK($C274),"",IF(M274=Constants!$B$2, TRUE(), IF(M274=Constants!$B$3, FALSE(), TRUE())))</f>
        <v/>
      </c>
      <c r="X274" s="66" t="str">
        <f aca="false">IF(ISBLANK($C274),"",IF(N274=Constants!$B$2, TRUE(), IF(N274=Constants!$B$3, FALSE(), TRUE())))</f>
        <v/>
      </c>
      <c r="Y274" s="66" t="str">
        <f aca="false">IF(ISBLANK($C274),"",IF(O274=Constants!$B$2, TRUE(), IF(O274=Constants!$B$3, FALSE(), FALSE())))</f>
        <v/>
      </c>
      <c r="Z274" s="66" t="str">
        <f aca="false">IF(ISBLANK($C274),"",AND(S274&lt;&gt;"",Q274))</f>
        <v/>
      </c>
      <c r="AA274" s="66" t="str">
        <f aca="false">IF(ISBLANK($C274),"",AND(V274&lt;&gt;"",Q274))</f>
        <v/>
      </c>
      <c r="AB274" s="66" t="str">
        <f aca="false">IF(ISBLANK($C274),"",IF(Y274,Constants!$B$4,IF(COUNTA(E274:N274)=0,Constants!$B$5,IF(NOT(Q274),Constants!$B$6,IF(AND(NOT(Z274),NOT(AA274)),Constants!$B$6,Constants!$B$7)))))</f>
        <v/>
      </c>
      <c r="AC274" s="66" t="str">
        <f aca="false">IF(ISBLANK($C274),"",IF($AB274&lt;&gt;Constants!$B$7,$AB274,Constants!$B$20))</f>
        <v/>
      </c>
      <c r="AD274" s="66" t="str">
        <f aca="false">IF($AB274=Constants!$B$7,IF(Z274,S274,Constants!$B$13),"")</f>
        <v/>
      </c>
      <c r="AE274" s="66" t="str">
        <f aca="false">IF($AB274=Constants!$B$7,IF(Z274,R274*IF(T274, 1, Constants!$B$11)*IF(U274, 1, Constants!$B$12),Constants!$B$13),"")</f>
        <v/>
      </c>
      <c r="AF274" s="66" t="str">
        <f aca="false">IF($AB274=Constants!$B$7,AD274*AE274,"")</f>
        <v/>
      </c>
      <c r="AG274" s="66" t="str">
        <f aca="false">IF($AB274=Constants!$B$7,IF(AA274,V274,Constants!$B$13),"")</f>
        <v/>
      </c>
      <c r="AH274" s="66" t="str">
        <f aca="false">IF($AB274=Constants!$B$7,IF(AA274,R274*IF(W274, 1, Constants!$B$11)*IF(X274, 1, Constants!$B$12),Constants!$B$13),"")</f>
        <v/>
      </c>
      <c r="AI274" s="66" t="str">
        <f aca="false">IF($AB274=Constants!$B$7,AG274*AH274,"")</f>
        <v/>
      </c>
      <c r="AJ274" s="66" t="str">
        <f aca="false">IF($AB274=Constants!$B$7,IF(AI274&gt;AF274,2,1),"")</f>
        <v/>
      </c>
      <c r="AK274" s="66" t="str">
        <f aca="false">IF($AB274=Constants!$B$7,IF(AJ274=1,2,1),"")</f>
        <v/>
      </c>
      <c r="AL274" s="66" t="str">
        <f aca="false">IF(ISBLANK($C274),"",IF($AB274&lt;&gt;Constants!$B$7,$AB274,IF(AJ274=1,AF274,AI274)))</f>
        <v/>
      </c>
      <c r="AM274" s="66" t="str">
        <f aca="false">IF(ISBLANK($C274),"",IF($AB274=Constants!$B$7,IF(ISNUMBER(AL274),RANK(AL274,$AL$8:$AL$507),Constants!$B$14),$AB274))</f>
        <v/>
      </c>
      <c r="AN274" s="66" t="str">
        <f aca="false">IF(ISBLANK($C274),"",IF($AB274=Constants!$B$7,IF(AK274=1,AF274,AI274),""))</f>
        <v/>
      </c>
      <c r="AO274" s="66" t="str">
        <f aca="false">IF(ISBLANK($C274),"",IF($AB274=Constants!$B$7,RANK(AN274,$AN$8:$AN$507),$AB274))</f>
        <v/>
      </c>
      <c r="AP274" s="66" t="str">
        <f aca="false">IF(ISBLANK($C274),"",IF($AB274=Constants!$B$7,IF(ISNUMBER(AM274),COUNTIFS($AM$8:$AM$507,"&lt;"&amp;$AM274)+COUNTIFS($AM$8:$AM$507,$AM274,$AO$8:$AO$507,"&lt;"&amp;$AO274)+1,Constants!$B$14),$AB274))</f>
        <v/>
      </c>
      <c r="AQ274" s="66" t="str">
        <f aca="false">IF(ISBLANK($C274),"",IF($AB274=Constants!$B$7,IF(ISNUMBER(AM274),AM274-AP274,Constants!$B$14),$AB274))</f>
        <v/>
      </c>
      <c r="AR274" s="68"/>
      <c r="AS274" s="69" t="str">
        <f aca="false">IF(ISBLANK($C274),"",IF($AB274&lt;&gt;Constants!$B$7,"",AJ274))</f>
        <v/>
      </c>
      <c r="AT274" s="84" t="str">
        <f aca="false">IF(ISBLANK($C274),"",IF($AB274&lt;&gt;Constants!$B$7,"",IF(AJ274=1,AD274,AG274)))</f>
        <v/>
      </c>
      <c r="AU274" s="71" t="str">
        <f aca="false">IF(ISBLANK($C274),"",IF($AB274&lt;&gt;Constants!$B$7,"",IF(AJ274=1,AE274,AH274)))</f>
        <v/>
      </c>
      <c r="AV274" s="72" t="str">
        <f aca="false">IF(ISBLANK($C274),"",IF($AB274&lt;&gt;Constants!$B$7,$AB274,AL274))</f>
        <v/>
      </c>
      <c r="AW274" s="73" t="str">
        <f aca="false">IF(ISBLANK($C274),"",IF($AB274&lt;&gt;Constants!$B$7,$AB274,AC274))</f>
        <v/>
      </c>
      <c r="AX274" s="74" t="str">
        <f aca="false">IF(ISBLANK($C274),"",AQ274)</f>
        <v/>
      </c>
      <c r="AY274" s="74" t="str">
        <f aca="false">IF(ISBLANK($C274),"",AP274)</f>
        <v/>
      </c>
      <c r="AZ274" s="75" t="str">
        <f aca="false">IF(ISBLANK($C274),"",IF(AY274=Constants!$B$4,COUNTA($C$8:$C$507)+2,IF(AY274=Constants!$B$5,COUNTA($C$8:$C$507)+1,IF(AY274=Constants!$B$6,COUNTA($C$8:$C$507),AY274))))</f>
        <v/>
      </c>
      <c r="BA274" s="5"/>
      <c r="BB274" s="76" t="n">
        <f aca="false">IF(OR(ISNUMBER(AY274),AY274=Constants!$B$4,AY274=Constants!$B$6,AY274=Constants!$B$5),1,0)</f>
        <v>0</v>
      </c>
      <c r="BC274" s="76" t="n">
        <v>267</v>
      </c>
      <c r="BD274" s="76" t="str">
        <f aca="false">IF(ISBLANK($C274),"",IF(ISNUMBER(AZ274),AZ274+ROW($B274)/1000,""))</f>
        <v/>
      </c>
      <c r="BE274" s="76" t="str">
        <f aca="false">IF(ISNUMBER(BD274),RANK(BD274,$BD$8:$BD$507,1),"")</f>
        <v/>
      </c>
      <c r="BF274" s="76" t="str">
        <f aca="false">IF(ISBLANK($C274),"",$B274)</f>
        <v/>
      </c>
      <c r="BG274" s="76" t="str">
        <f aca="false">IF(ISBLANK($C274),"",$C274)</f>
        <v/>
      </c>
      <c r="BH274" s="76" t="str">
        <f aca="false">IF(ISBLANK($C274),"",$D274)</f>
        <v/>
      </c>
      <c r="BI274" s="77" t="str">
        <f aca="false">AW274</f>
        <v/>
      </c>
      <c r="BJ274" s="78" t="str">
        <f aca="false">AV274</f>
        <v/>
      </c>
      <c r="BK274" s="76" t="str">
        <f aca="false">IF(ISBLANK($C274),"",AY274)</f>
        <v/>
      </c>
      <c r="BL274" s="79" t="str">
        <f aca="false">IF($BC274&gt;$BB$7,"",VLOOKUP($BC274,$BE$8:$BK$507,7,FALSE()))</f>
        <v/>
      </c>
      <c r="BM274" s="80" t="str">
        <f aca="false">IF($BC274&gt;$BB$7,"",VLOOKUP($BC274,$BE$8:$BK$507,2,FALSE()))</f>
        <v/>
      </c>
      <c r="BN274" s="80" t="str">
        <f aca="false">IF($BC274&gt;$BB$7,"",VLOOKUP($BC274,$BE$8:$BK$507,3,FALSE()))</f>
        <v/>
      </c>
      <c r="BO274" s="80" t="str">
        <f aca="false">IF($BC274&gt;$BB$7,"",VLOOKUP($BC274,$BE$8:$BK$507,4,FALSE()))</f>
        <v/>
      </c>
      <c r="BP274" s="80" t="str">
        <f aca="false">IF($BC274&gt;$BB$7,"",VLOOKUP($BC274,$BE$8:$BK$507,5,FALSE()))</f>
        <v/>
      </c>
      <c r="BQ274" s="81" t="str">
        <f aca="false">IF($BC274&gt;$BB$7,"",VLOOKUP($BC274,$BE$8:$BK$507,6,FALSE()))</f>
        <v/>
      </c>
      <c r="BR274" s="54"/>
    </row>
    <row r="275" customFormat="false" ht="15.75" hidden="false" customHeight="false" outlineLevel="0" collapsed="false">
      <c r="A275" s="5"/>
      <c r="B275" s="120"/>
      <c r="C275" s="121"/>
      <c r="D275" s="112"/>
      <c r="E275" s="123"/>
      <c r="F275" s="91"/>
      <c r="G275" s="92"/>
      <c r="H275" s="93"/>
      <c r="I275" s="94"/>
      <c r="J275" s="91"/>
      <c r="K275" s="92"/>
      <c r="L275" s="93"/>
      <c r="M275" s="94"/>
      <c r="N275" s="91"/>
      <c r="O275" s="123"/>
      <c r="P275" s="96"/>
      <c r="Q275" s="97" t="str">
        <f aca="false">IF(ISBLANK($C275),"",IF(E275=Constants!$B$2, TRUE(), IF(E275=Constants!$B$3, FALSE(), TRUE())))</f>
        <v/>
      </c>
      <c r="R275" s="97" t="str">
        <f aca="false">IF(ISBLANK($C275),"",IF(F275=Constants!$B$16,Constants!$B$9,IF(F275=Constants!$B$17,Constants!$B$10,Constants!$B$8)))</f>
        <v/>
      </c>
      <c r="S275" s="97" t="str">
        <f aca="false">IF(ISBLANK($C275),"",IF(COUNTA(G275:H275)=0,"",IF(AND(OR(ISBLANK(G275),AND(ISNUMBER(G275),G275&gt;=0)),OR(ISBLANK(H275),AND(ISNUMBER(H275),H275&gt;=0))),60*IF(ISBLANK(G275),0,G275)+IF(ISBLANK(H275),0,H275),"")))</f>
        <v/>
      </c>
      <c r="T275" s="97" t="str">
        <f aca="false">IF(ISBLANK($C275),"",IF(I275=Constants!$B$2, TRUE(), IF(I275=Constants!$B$3, FALSE(), TRUE())))</f>
        <v/>
      </c>
      <c r="U275" s="97" t="str">
        <f aca="false">IF(ISBLANK($C275),"",IF(J275=Constants!$B$2, TRUE(), IF(J275=Constants!$B$3, FALSE(), TRUE())))</f>
        <v/>
      </c>
      <c r="V275" s="97" t="str">
        <f aca="false">IF(ISBLANK($C275),"",IF(COUNTA(K275:L275)=0,"",IF(AND(OR(ISBLANK(K275),AND(ISNUMBER(K275),K275&gt;=0)),OR(ISBLANK(L275),AND(ISNUMBER(L275),L275&gt;=0))),60*IF(ISBLANK(K275),0,K275)+IF(ISBLANK(L275),0,L275),"")))</f>
        <v/>
      </c>
      <c r="W275" s="97" t="str">
        <f aca="false">IF(ISBLANK($C275),"",IF(M275=Constants!$B$2, TRUE(), IF(M275=Constants!$B$3, FALSE(), TRUE())))</f>
        <v/>
      </c>
      <c r="X275" s="97" t="str">
        <f aca="false">IF(ISBLANK($C275),"",IF(N275=Constants!$B$2, TRUE(), IF(N275=Constants!$B$3, FALSE(), TRUE())))</f>
        <v/>
      </c>
      <c r="Y275" s="97" t="str">
        <f aca="false">IF(ISBLANK($C275),"",IF(O275=Constants!$B$2, TRUE(), IF(O275=Constants!$B$3, FALSE(), FALSE())))</f>
        <v/>
      </c>
      <c r="Z275" s="97" t="str">
        <f aca="false">IF(ISBLANK($C275),"",AND(S275&lt;&gt;"",Q275))</f>
        <v/>
      </c>
      <c r="AA275" s="97" t="str">
        <f aca="false">IF(ISBLANK($C275),"",AND(V275&lt;&gt;"",Q275))</f>
        <v/>
      </c>
      <c r="AB275" s="97" t="str">
        <f aca="false">IF(ISBLANK($C275),"",IF(Y275,Constants!$B$4,IF(COUNTA(E275:N275)=0,Constants!$B$5,IF(NOT(Q275),Constants!$B$6,IF(AND(NOT(Z275),NOT(AA275)),Constants!$B$6,Constants!$B$7)))))</f>
        <v/>
      </c>
      <c r="AC275" s="97" t="str">
        <f aca="false">IF(ISBLANK($C275),"",IF($AB275&lt;&gt;Constants!$B$7,$AB275,Constants!$B$20))</f>
        <v/>
      </c>
      <c r="AD275" s="97" t="str">
        <f aca="false">IF($AB275=Constants!$B$7,IF(Z275,S275,Constants!$B$13),"")</f>
        <v/>
      </c>
      <c r="AE275" s="97" t="str">
        <f aca="false">IF($AB275=Constants!$B$7,IF(Z275,R275*IF(T275, 1, Constants!$B$11)*IF(U275, 1, Constants!$B$12),Constants!$B$13),"")</f>
        <v/>
      </c>
      <c r="AF275" s="97" t="str">
        <f aca="false">IF($AB275=Constants!$B$7,AD275*AE275,"")</f>
        <v/>
      </c>
      <c r="AG275" s="97" t="str">
        <f aca="false">IF($AB275=Constants!$B$7,IF(AA275,V275,Constants!$B$13),"")</f>
        <v/>
      </c>
      <c r="AH275" s="97" t="str">
        <f aca="false">IF($AB275=Constants!$B$7,IF(AA275,R275*IF(W275, 1, Constants!$B$11)*IF(X275, 1, Constants!$B$12),Constants!$B$13),"")</f>
        <v/>
      </c>
      <c r="AI275" s="97" t="str">
        <f aca="false">IF($AB275=Constants!$B$7,AG275*AH275,"")</f>
        <v/>
      </c>
      <c r="AJ275" s="97" t="str">
        <f aca="false">IF($AB275=Constants!$B$7,IF(AI275&gt;AF275,2,1),"")</f>
        <v/>
      </c>
      <c r="AK275" s="97" t="str">
        <f aca="false">IF($AB275=Constants!$B$7,IF(AJ275=1,2,1),"")</f>
        <v/>
      </c>
      <c r="AL275" s="97" t="str">
        <f aca="false">IF(ISBLANK($C275),"",IF($AB275&lt;&gt;Constants!$B$7,$AB275,IF(AJ275=1,AF275,AI275)))</f>
        <v/>
      </c>
      <c r="AM275" s="97" t="str">
        <f aca="false">IF(ISBLANK($C275),"",IF($AB275=Constants!$B$7,IF(ISNUMBER(AL275),RANK(AL275,$AL$8:$AL$507),Constants!$B$14),$AB275))</f>
        <v/>
      </c>
      <c r="AN275" s="97" t="str">
        <f aca="false">IF(ISBLANK($C275),"",IF($AB275=Constants!$B$7,IF(AK275=1,AF275,AI275),""))</f>
        <v/>
      </c>
      <c r="AO275" s="97" t="str">
        <f aca="false">IF(ISBLANK($C275),"",IF($AB275=Constants!$B$7,RANK(AN275,$AN$8:$AN$507),$AB275))</f>
        <v/>
      </c>
      <c r="AP275" s="97" t="str">
        <f aca="false">IF(ISBLANK($C275),"",IF($AB275=Constants!$B$7,IF(ISNUMBER(AM275),COUNTIFS($AM$8:$AM$507,"&lt;"&amp;$AM275)+COUNTIFS($AM$8:$AM$507,$AM275,$AO$8:$AO$507,"&lt;"&amp;$AO275)+1,Constants!$B$14),$AB275))</f>
        <v/>
      </c>
      <c r="AQ275" s="97" t="str">
        <f aca="false">IF(ISBLANK($C275),"",IF($AB275=Constants!$B$7,IF(ISNUMBER(AM275),AM275-AP275,Constants!$B$14),$AB275))</f>
        <v/>
      </c>
      <c r="AR275" s="98"/>
      <c r="AS275" s="99" t="str">
        <f aca="false">IF(ISBLANK($C275),"",IF($AB275&lt;&gt;Constants!$B$7,"",AJ275))</f>
        <v/>
      </c>
      <c r="AT275" s="100" t="str">
        <f aca="false">IF(ISBLANK($C275),"",IF($AB275&lt;&gt;Constants!$B$7,"",IF(AJ275=1,AD275,AG275)))</f>
        <v/>
      </c>
      <c r="AU275" s="101" t="str">
        <f aca="false">IF(ISBLANK($C275),"",IF($AB275&lt;&gt;Constants!$B$7,"",IF(AJ275=1,AE275,AH275)))</f>
        <v/>
      </c>
      <c r="AV275" s="102" t="str">
        <f aca="false">IF(ISBLANK($C275),"",IF($AB275&lt;&gt;Constants!$B$7,$AB275,AL275))</f>
        <v/>
      </c>
      <c r="AW275" s="103" t="str">
        <f aca="false">IF(ISBLANK($C275),"",IF($AB275&lt;&gt;Constants!$B$7,$AB275,AC275))</f>
        <v/>
      </c>
      <c r="AX275" s="104" t="str">
        <f aca="false">IF(ISBLANK($C275),"",AQ275)</f>
        <v/>
      </c>
      <c r="AY275" s="104" t="str">
        <f aca="false">IF(ISBLANK($C275),"",AP275)</f>
        <v/>
      </c>
      <c r="AZ275" s="105" t="str">
        <f aca="false">IF(ISBLANK($C275),"",IF(AY275=Constants!$B$4,COUNTA($C$8:$C$507)+2,IF(AY275=Constants!$B$5,COUNTA($C$8:$C$507)+1,IF(AY275=Constants!$B$6,COUNTA($C$8:$C$507),AY275))))</f>
        <v/>
      </c>
      <c r="BA275" s="5"/>
      <c r="BB275" s="106" t="n">
        <f aca="false">IF(OR(ISNUMBER(AY275),AY275=Constants!$B$4,AY275=Constants!$B$6,AY275=Constants!$B$5),1,0)</f>
        <v>0</v>
      </c>
      <c r="BC275" s="106" t="n">
        <v>268</v>
      </c>
      <c r="BD275" s="106" t="str">
        <f aca="false">IF(ISBLANK($C275),"",IF(ISNUMBER(AZ275),AZ275+ROW($B275)/1000,""))</f>
        <v/>
      </c>
      <c r="BE275" s="106" t="str">
        <f aca="false">IF(ISNUMBER(BD275),RANK(BD275,$BD$8:$BD$507,1),"")</f>
        <v/>
      </c>
      <c r="BF275" s="106" t="str">
        <f aca="false">IF(ISBLANK($C275),"",$B275)</f>
        <v/>
      </c>
      <c r="BG275" s="106" t="str">
        <f aca="false">IF(ISBLANK($C275),"",$C275)</f>
        <v/>
      </c>
      <c r="BH275" s="106" t="str">
        <f aca="false">IF(ISBLANK($C275),"",$D275)</f>
        <v/>
      </c>
      <c r="BI275" s="107" t="str">
        <f aca="false">AW275</f>
        <v/>
      </c>
      <c r="BJ275" s="108" t="str">
        <f aca="false">AV275</f>
        <v/>
      </c>
      <c r="BK275" s="106" t="str">
        <f aca="false">IF(ISBLANK($C275),"",AY275)</f>
        <v/>
      </c>
      <c r="BL275" s="109" t="str">
        <f aca="false">IF($BC275&gt;$BB$7,"",VLOOKUP($BC275,$BE$8:$BK$507,7,FALSE()))</f>
        <v/>
      </c>
      <c r="BM275" s="110" t="str">
        <f aca="false">IF($BC275&gt;$BB$7,"",VLOOKUP($BC275,$BE$8:$BK$507,2,FALSE()))</f>
        <v/>
      </c>
      <c r="BN275" s="110" t="str">
        <f aca="false">IF($BC275&gt;$BB$7,"",VLOOKUP($BC275,$BE$8:$BK$507,3,FALSE()))</f>
        <v/>
      </c>
      <c r="BO275" s="110" t="str">
        <f aca="false">IF($BC275&gt;$BB$7,"",VLOOKUP($BC275,$BE$8:$BK$507,4,FALSE()))</f>
        <v/>
      </c>
      <c r="BP275" s="110" t="str">
        <f aca="false">IF($BC275&gt;$BB$7,"",VLOOKUP($BC275,$BE$8:$BK$507,5,FALSE()))</f>
        <v/>
      </c>
      <c r="BQ275" s="111" t="str">
        <f aca="false">IF($BC275&gt;$BB$7,"",VLOOKUP($BC275,$BE$8:$BK$507,6,FALSE()))</f>
        <v/>
      </c>
      <c r="BR275" s="54"/>
    </row>
    <row r="276" customFormat="false" ht="15.75" hidden="false" customHeight="false" outlineLevel="0" collapsed="false">
      <c r="A276" s="5"/>
      <c r="B276" s="120"/>
      <c r="C276" s="121"/>
      <c r="D276" s="112"/>
      <c r="E276" s="123"/>
      <c r="F276" s="91"/>
      <c r="G276" s="92"/>
      <c r="H276" s="93"/>
      <c r="I276" s="94"/>
      <c r="J276" s="91"/>
      <c r="K276" s="92"/>
      <c r="L276" s="93"/>
      <c r="M276" s="94"/>
      <c r="N276" s="91"/>
      <c r="O276" s="123"/>
      <c r="P276" s="96"/>
      <c r="Q276" s="97" t="str">
        <f aca="false">IF(ISBLANK($C276),"",IF(E276=Constants!$B$2, TRUE(), IF(E276=Constants!$B$3, FALSE(), TRUE())))</f>
        <v/>
      </c>
      <c r="R276" s="97" t="str">
        <f aca="false">IF(ISBLANK($C276),"",IF(F276=Constants!$B$16,Constants!$B$9,IF(F276=Constants!$B$17,Constants!$B$10,Constants!$B$8)))</f>
        <v/>
      </c>
      <c r="S276" s="97" t="str">
        <f aca="false">IF(ISBLANK($C276),"",IF(COUNTA(G276:H276)=0,"",IF(AND(OR(ISBLANK(G276),AND(ISNUMBER(G276),G276&gt;=0)),OR(ISBLANK(H276),AND(ISNUMBER(H276),H276&gt;=0))),60*IF(ISBLANK(G276),0,G276)+IF(ISBLANK(H276),0,H276),"")))</f>
        <v/>
      </c>
      <c r="T276" s="97" t="str">
        <f aca="false">IF(ISBLANK($C276),"",IF(I276=Constants!$B$2, TRUE(), IF(I276=Constants!$B$3, FALSE(), TRUE())))</f>
        <v/>
      </c>
      <c r="U276" s="97" t="str">
        <f aca="false">IF(ISBLANK($C276),"",IF(J276=Constants!$B$2, TRUE(), IF(J276=Constants!$B$3, FALSE(), TRUE())))</f>
        <v/>
      </c>
      <c r="V276" s="97" t="str">
        <f aca="false">IF(ISBLANK($C276),"",IF(COUNTA(K276:L276)=0,"",IF(AND(OR(ISBLANK(K276),AND(ISNUMBER(K276),K276&gt;=0)),OR(ISBLANK(L276),AND(ISNUMBER(L276),L276&gt;=0))),60*IF(ISBLANK(K276),0,K276)+IF(ISBLANK(L276),0,L276),"")))</f>
        <v/>
      </c>
      <c r="W276" s="97" t="str">
        <f aca="false">IF(ISBLANK($C276),"",IF(M276=Constants!$B$2, TRUE(), IF(M276=Constants!$B$3, FALSE(), TRUE())))</f>
        <v/>
      </c>
      <c r="X276" s="97" t="str">
        <f aca="false">IF(ISBLANK($C276),"",IF(N276=Constants!$B$2, TRUE(), IF(N276=Constants!$B$3, FALSE(), TRUE())))</f>
        <v/>
      </c>
      <c r="Y276" s="97" t="str">
        <f aca="false">IF(ISBLANK($C276),"",IF(O276=Constants!$B$2, TRUE(), IF(O276=Constants!$B$3, FALSE(), FALSE())))</f>
        <v/>
      </c>
      <c r="Z276" s="97" t="str">
        <f aca="false">IF(ISBLANK($C276),"",AND(S276&lt;&gt;"",Q276))</f>
        <v/>
      </c>
      <c r="AA276" s="97" t="str">
        <f aca="false">IF(ISBLANK($C276),"",AND(V276&lt;&gt;"",Q276))</f>
        <v/>
      </c>
      <c r="AB276" s="97" t="str">
        <f aca="false">IF(ISBLANK($C276),"",IF(Y276,Constants!$B$4,IF(COUNTA(E276:N276)=0,Constants!$B$5,IF(NOT(Q276),Constants!$B$6,IF(AND(NOT(Z276),NOT(AA276)),Constants!$B$6,Constants!$B$7)))))</f>
        <v/>
      </c>
      <c r="AC276" s="97" t="str">
        <f aca="false">IF(ISBLANK($C276),"",IF($AB276&lt;&gt;Constants!$B$7,$AB276,Constants!$B$20))</f>
        <v/>
      </c>
      <c r="AD276" s="97" t="str">
        <f aca="false">IF($AB276=Constants!$B$7,IF(Z276,S276,Constants!$B$13),"")</f>
        <v/>
      </c>
      <c r="AE276" s="97" t="str">
        <f aca="false">IF($AB276=Constants!$B$7,IF(Z276,R276*IF(T276, 1, Constants!$B$11)*IF(U276, 1, Constants!$B$12),Constants!$B$13),"")</f>
        <v/>
      </c>
      <c r="AF276" s="97" t="str">
        <f aca="false">IF($AB276=Constants!$B$7,AD276*AE276,"")</f>
        <v/>
      </c>
      <c r="AG276" s="97" t="str">
        <f aca="false">IF($AB276=Constants!$B$7,IF(AA276,V276,Constants!$B$13),"")</f>
        <v/>
      </c>
      <c r="AH276" s="97" t="str">
        <f aca="false">IF($AB276=Constants!$B$7,IF(AA276,R276*IF(W276, 1, Constants!$B$11)*IF(X276, 1, Constants!$B$12),Constants!$B$13),"")</f>
        <v/>
      </c>
      <c r="AI276" s="97" t="str">
        <f aca="false">IF($AB276=Constants!$B$7,AG276*AH276,"")</f>
        <v/>
      </c>
      <c r="AJ276" s="97" t="str">
        <f aca="false">IF($AB276=Constants!$B$7,IF(AI276&gt;AF276,2,1),"")</f>
        <v/>
      </c>
      <c r="AK276" s="97" t="str">
        <f aca="false">IF($AB276=Constants!$B$7,IF(AJ276=1,2,1),"")</f>
        <v/>
      </c>
      <c r="AL276" s="97" t="str">
        <f aca="false">IF(ISBLANK($C276),"",IF($AB276&lt;&gt;Constants!$B$7,$AB276,IF(AJ276=1,AF276,AI276)))</f>
        <v/>
      </c>
      <c r="AM276" s="97" t="str">
        <f aca="false">IF(ISBLANK($C276),"",IF($AB276=Constants!$B$7,IF(ISNUMBER(AL276),RANK(AL276,$AL$8:$AL$507),Constants!$B$14),$AB276))</f>
        <v/>
      </c>
      <c r="AN276" s="97" t="str">
        <f aca="false">IF(ISBLANK($C276),"",IF($AB276=Constants!$B$7,IF(AK276=1,AF276,AI276),""))</f>
        <v/>
      </c>
      <c r="AO276" s="97" t="str">
        <f aca="false">IF(ISBLANK($C276),"",IF($AB276=Constants!$B$7,RANK(AN276,$AN$8:$AN$507),$AB276))</f>
        <v/>
      </c>
      <c r="AP276" s="97" t="str">
        <f aca="false">IF(ISBLANK($C276),"",IF($AB276=Constants!$B$7,IF(ISNUMBER(AM276),COUNTIFS($AM$8:$AM$507,"&lt;"&amp;$AM276)+COUNTIFS($AM$8:$AM$507,$AM276,$AO$8:$AO$507,"&lt;"&amp;$AO276)+1,Constants!$B$14),$AB276))</f>
        <v/>
      </c>
      <c r="AQ276" s="97" t="str">
        <f aca="false">IF(ISBLANK($C276),"",IF($AB276=Constants!$B$7,IF(ISNUMBER(AM276),AM276-AP276,Constants!$B$14),$AB276))</f>
        <v/>
      </c>
      <c r="AR276" s="98"/>
      <c r="AS276" s="99" t="str">
        <f aca="false">IF(ISBLANK($C276),"",IF($AB276&lt;&gt;Constants!$B$7,"",AJ276))</f>
        <v/>
      </c>
      <c r="AT276" s="100" t="str">
        <f aca="false">IF(ISBLANK($C276),"",IF($AB276&lt;&gt;Constants!$B$7,"",IF(AJ276=1,AD276,AG276)))</f>
        <v/>
      </c>
      <c r="AU276" s="101" t="str">
        <f aca="false">IF(ISBLANK($C276),"",IF($AB276&lt;&gt;Constants!$B$7,"",IF(AJ276=1,AE276,AH276)))</f>
        <v/>
      </c>
      <c r="AV276" s="102" t="str">
        <f aca="false">IF(ISBLANK($C276),"",IF($AB276&lt;&gt;Constants!$B$7,$AB276,AL276))</f>
        <v/>
      </c>
      <c r="AW276" s="103" t="str">
        <f aca="false">IF(ISBLANK($C276),"",IF($AB276&lt;&gt;Constants!$B$7,$AB276,AC276))</f>
        <v/>
      </c>
      <c r="AX276" s="104" t="str">
        <f aca="false">IF(ISBLANK($C276),"",AQ276)</f>
        <v/>
      </c>
      <c r="AY276" s="104" t="str">
        <f aca="false">IF(ISBLANK($C276),"",AP276)</f>
        <v/>
      </c>
      <c r="AZ276" s="105" t="str">
        <f aca="false">IF(ISBLANK($C276),"",IF(AY276=Constants!$B$4,COUNTA($C$8:$C$507)+2,IF(AY276=Constants!$B$5,COUNTA($C$8:$C$507)+1,IF(AY276=Constants!$B$6,COUNTA($C$8:$C$507),AY276))))</f>
        <v/>
      </c>
      <c r="BA276" s="5"/>
      <c r="BB276" s="106" t="n">
        <f aca="false">IF(OR(ISNUMBER(AY276),AY276=Constants!$B$4,AY276=Constants!$B$6,AY276=Constants!$B$5),1,0)</f>
        <v>0</v>
      </c>
      <c r="BC276" s="106" t="n">
        <v>269</v>
      </c>
      <c r="BD276" s="106" t="str">
        <f aca="false">IF(ISBLANK($C276),"",IF(ISNUMBER(AZ276),AZ276+ROW($B276)/1000,""))</f>
        <v/>
      </c>
      <c r="BE276" s="106" t="str">
        <f aca="false">IF(ISNUMBER(BD276),RANK(BD276,$BD$8:$BD$507,1),"")</f>
        <v/>
      </c>
      <c r="BF276" s="106" t="str">
        <f aca="false">IF(ISBLANK($C276),"",$B276)</f>
        <v/>
      </c>
      <c r="BG276" s="106" t="str">
        <f aca="false">IF(ISBLANK($C276),"",$C276)</f>
        <v/>
      </c>
      <c r="BH276" s="106" t="str">
        <f aca="false">IF(ISBLANK($C276),"",$D276)</f>
        <v/>
      </c>
      <c r="BI276" s="107" t="str">
        <f aca="false">AW276</f>
        <v/>
      </c>
      <c r="BJ276" s="108" t="str">
        <f aca="false">AV276</f>
        <v/>
      </c>
      <c r="BK276" s="106" t="str">
        <f aca="false">IF(ISBLANK($C276),"",AY276)</f>
        <v/>
      </c>
      <c r="BL276" s="109" t="str">
        <f aca="false">IF($BC276&gt;$BB$7,"",VLOOKUP($BC276,$BE$8:$BK$507,7,FALSE()))</f>
        <v/>
      </c>
      <c r="BM276" s="110" t="str">
        <f aca="false">IF($BC276&gt;$BB$7,"",VLOOKUP($BC276,$BE$8:$BK$507,2,FALSE()))</f>
        <v/>
      </c>
      <c r="BN276" s="110" t="str">
        <f aca="false">IF($BC276&gt;$BB$7,"",VLOOKUP($BC276,$BE$8:$BK$507,3,FALSE()))</f>
        <v/>
      </c>
      <c r="BO276" s="110" t="str">
        <f aca="false">IF($BC276&gt;$BB$7,"",VLOOKUP($BC276,$BE$8:$BK$507,4,FALSE()))</f>
        <v/>
      </c>
      <c r="BP276" s="110" t="str">
        <f aca="false">IF($BC276&gt;$BB$7,"",VLOOKUP($BC276,$BE$8:$BK$507,5,FALSE()))</f>
        <v/>
      </c>
      <c r="BQ276" s="111" t="str">
        <f aca="false">IF($BC276&gt;$BB$7,"",VLOOKUP($BC276,$BE$8:$BK$507,6,FALSE()))</f>
        <v/>
      </c>
      <c r="BR276" s="54"/>
    </row>
    <row r="277" customFormat="false" ht="15.75" hidden="false" customHeight="false" outlineLevel="0" collapsed="false">
      <c r="A277" s="5"/>
      <c r="B277" s="120"/>
      <c r="C277" s="121"/>
      <c r="D277" s="112"/>
      <c r="E277" s="123"/>
      <c r="F277" s="91"/>
      <c r="G277" s="92"/>
      <c r="H277" s="93"/>
      <c r="I277" s="94"/>
      <c r="J277" s="91"/>
      <c r="K277" s="92"/>
      <c r="L277" s="93"/>
      <c r="M277" s="94"/>
      <c r="N277" s="91"/>
      <c r="O277" s="123"/>
      <c r="P277" s="96"/>
      <c r="Q277" s="97" t="str">
        <f aca="false">IF(ISBLANK($C277),"",IF(E277=Constants!$B$2, TRUE(), IF(E277=Constants!$B$3, FALSE(), TRUE())))</f>
        <v/>
      </c>
      <c r="R277" s="97" t="str">
        <f aca="false">IF(ISBLANK($C277),"",IF(F277=Constants!$B$16,Constants!$B$9,IF(F277=Constants!$B$17,Constants!$B$10,Constants!$B$8)))</f>
        <v/>
      </c>
      <c r="S277" s="97" t="str">
        <f aca="false">IF(ISBLANK($C277),"",IF(COUNTA(G277:H277)=0,"",IF(AND(OR(ISBLANK(G277),AND(ISNUMBER(G277),G277&gt;=0)),OR(ISBLANK(H277),AND(ISNUMBER(H277),H277&gt;=0))),60*IF(ISBLANK(G277),0,G277)+IF(ISBLANK(H277),0,H277),"")))</f>
        <v/>
      </c>
      <c r="T277" s="97" t="str">
        <f aca="false">IF(ISBLANK($C277),"",IF(I277=Constants!$B$2, TRUE(), IF(I277=Constants!$B$3, FALSE(), TRUE())))</f>
        <v/>
      </c>
      <c r="U277" s="97" t="str">
        <f aca="false">IF(ISBLANK($C277),"",IF(J277=Constants!$B$2, TRUE(), IF(J277=Constants!$B$3, FALSE(), TRUE())))</f>
        <v/>
      </c>
      <c r="V277" s="97" t="str">
        <f aca="false">IF(ISBLANK($C277),"",IF(COUNTA(K277:L277)=0,"",IF(AND(OR(ISBLANK(K277),AND(ISNUMBER(K277),K277&gt;=0)),OR(ISBLANK(L277),AND(ISNUMBER(L277),L277&gt;=0))),60*IF(ISBLANK(K277),0,K277)+IF(ISBLANK(L277),0,L277),"")))</f>
        <v/>
      </c>
      <c r="W277" s="97" t="str">
        <f aca="false">IF(ISBLANK($C277),"",IF(M277=Constants!$B$2, TRUE(), IF(M277=Constants!$B$3, FALSE(), TRUE())))</f>
        <v/>
      </c>
      <c r="X277" s="97" t="str">
        <f aca="false">IF(ISBLANK($C277),"",IF(N277=Constants!$B$2, TRUE(), IF(N277=Constants!$B$3, FALSE(), TRUE())))</f>
        <v/>
      </c>
      <c r="Y277" s="97" t="str">
        <f aca="false">IF(ISBLANK($C277),"",IF(O277=Constants!$B$2, TRUE(), IF(O277=Constants!$B$3, FALSE(), FALSE())))</f>
        <v/>
      </c>
      <c r="Z277" s="97" t="str">
        <f aca="false">IF(ISBLANK($C277),"",AND(S277&lt;&gt;"",Q277))</f>
        <v/>
      </c>
      <c r="AA277" s="97" t="str">
        <f aca="false">IF(ISBLANK($C277),"",AND(V277&lt;&gt;"",Q277))</f>
        <v/>
      </c>
      <c r="AB277" s="97" t="str">
        <f aca="false">IF(ISBLANK($C277),"",IF(Y277,Constants!$B$4,IF(COUNTA(E277:N277)=0,Constants!$B$5,IF(NOT(Q277),Constants!$B$6,IF(AND(NOT(Z277),NOT(AA277)),Constants!$B$6,Constants!$B$7)))))</f>
        <v/>
      </c>
      <c r="AC277" s="97" t="str">
        <f aca="false">IF(ISBLANK($C277),"",IF($AB277&lt;&gt;Constants!$B$7,$AB277,Constants!$B$20))</f>
        <v/>
      </c>
      <c r="AD277" s="97" t="str">
        <f aca="false">IF($AB277=Constants!$B$7,IF(Z277,S277,Constants!$B$13),"")</f>
        <v/>
      </c>
      <c r="AE277" s="97" t="str">
        <f aca="false">IF($AB277=Constants!$B$7,IF(Z277,R277*IF(T277, 1, Constants!$B$11)*IF(U277, 1, Constants!$B$12),Constants!$B$13),"")</f>
        <v/>
      </c>
      <c r="AF277" s="97" t="str">
        <f aca="false">IF($AB277=Constants!$B$7,AD277*AE277,"")</f>
        <v/>
      </c>
      <c r="AG277" s="97" t="str">
        <f aca="false">IF($AB277=Constants!$B$7,IF(AA277,V277,Constants!$B$13),"")</f>
        <v/>
      </c>
      <c r="AH277" s="97" t="str">
        <f aca="false">IF($AB277=Constants!$B$7,IF(AA277,R277*IF(W277, 1, Constants!$B$11)*IF(X277, 1, Constants!$B$12),Constants!$B$13),"")</f>
        <v/>
      </c>
      <c r="AI277" s="97" t="str">
        <f aca="false">IF($AB277=Constants!$B$7,AG277*AH277,"")</f>
        <v/>
      </c>
      <c r="AJ277" s="97" t="str">
        <f aca="false">IF($AB277=Constants!$B$7,IF(AI277&gt;AF277,2,1),"")</f>
        <v/>
      </c>
      <c r="AK277" s="97" t="str">
        <f aca="false">IF($AB277=Constants!$B$7,IF(AJ277=1,2,1),"")</f>
        <v/>
      </c>
      <c r="AL277" s="97" t="str">
        <f aca="false">IF(ISBLANK($C277),"",IF($AB277&lt;&gt;Constants!$B$7,$AB277,IF(AJ277=1,AF277,AI277)))</f>
        <v/>
      </c>
      <c r="AM277" s="97" t="str">
        <f aca="false">IF(ISBLANK($C277),"",IF($AB277=Constants!$B$7,IF(ISNUMBER(AL277),RANK(AL277,$AL$8:$AL$507),Constants!$B$14),$AB277))</f>
        <v/>
      </c>
      <c r="AN277" s="97" t="str">
        <f aca="false">IF(ISBLANK($C277),"",IF($AB277=Constants!$B$7,IF(AK277=1,AF277,AI277),""))</f>
        <v/>
      </c>
      <c r="AO277" s="97" t="str">
        <f aca="false">IF(ISBLANK($C277),"",IF($AB277=Constants!$B$7,RANK(AN277,$AN$8:$AN$507),$AB277))</f>
        <v/>
      </c>
      <c r="AP277" s="97" t="str">
        <f aca="false">IF(ISBLANK($C277),"",IF($AB277=Constants!$B$7,IF(ISNUMBER(AM277),COUNTIFS($AM$8:$AM$507,"&lt;"&amp;$AM277)+COUNTIFS($AM$8:$AM$507,$AM277,$AO$8:$AO$507,"&lt;"&amp;$AO277)+1,Constants!$B$14),$AB277))</f>
        <v/>
      </c>
      <c r="AQ277" s="97" t="str">
        <f aca="false">IF(ISBLANK($C277),"",IF($AB277=Constants!$B$7,IF(ISNUMBER(AM277),AM277-AP277,Constants!$B$14),$AB277))</f>
        <v/>
      </c>
      <c r="AR277" s="98"/>
      <c r="AS277" s="99" t="str">
        <f aca="false">IF(ISBLANK($C277),"",IF($AB277&lt;&gt;Constants!$B$7,"",AJ277))</f>
        <v/>
      </c>
      <c r="AT277" s="100" t="str">
        <f aca="false">IF(ISBLANK($C277),"",IF($AB277&lt;&gt;Constants!$B$7,"",IF(AJ277=1,AD277,AG277)))</f>
        <v/>
      </c>
      <c r="AU277" s="101" t="str">
        <f aca="false">IF(ISBLANK($C277),"",IF($AB277&lt;&gt;Constants!$B$7,"",IF(AJ277=1,AE277,AH277)))</f>
        <v/>
      </c>
      <c r="AV277" s="102" t="str">
        <f aca="false">IF(ISBLANK($C277),"",IF($AB277&lt;&gt;Constants!$B$7,$AB277,AL277))</f>
        <v/>
      </c>
      <c r="AW277" s="103" t="str">
        <f aca="false">IF(ISBLANK($C277),"",IF($AB277&lt;&gt;Constants!$B$7,$AB277,AC277))</f>
        <v/>
      </c>
      <c r="AX277" s="104" t="str">
        <f aca="false">IF(ISBLANK($C277),"",AQ277)</f>
        <v/>
      </c>
      <c r="AY277" s="104" t="str">
        <f aca="false">IF(ISBLANK($C277),"",AP277)</f>
        <v/>
      </c>
      <c r="AZ277" s="105" t="str">
        <f aca="false">IF(ISBLANK($C277),"",IF(AY277=Constants!$B$4,COUNTA($C$8:$C$507)+2,IF(AY277=Constants!$B$5,COUNTA($C$8:$C$507)+1,IF(AY277=Constants!$B$6,COUNTA($C$8:$C$507),AY277))))</f>
        <v/>
      </c>
      <c r="BA277" s="5"/>
      <c r="BB277" s="106" t="n">
        <f aca="false">IF(OR(ISNUMBER(AY277),AY277=Constants!$B$4,AY277=Constants!$B$6,AY277=Constants!$B$5),1,0)</f>
        <v>0</v>
      </c>
      <c r="BC277" s="106" t="n">
        <v>270</v>
      </c>
      <c r="BD277" s="106" t="str">
        <f aca="false">IF(ISBLANK($C277),"",IF(ISNUMBER(AZ277),AZ277+ROW($B277)/1000,""))</f>
        <v/>
      </c>
      <c r="BE277" s="106" t="str">
        <f aca="false">IF(ISNUMBER(BD277),RANK(BD277,$BD$8:$BD$507,1),"")</f>
        <v/>
      </c>
      <c r="BF277" s="106" t="str">
        <f aca="false">IF(ISBLANK($C277),"",$B277)</f>
        <v/>
      </c>
      <c r="BG277" s="106" t="str">
        <f aca="false">IF(ISBLANK($C277),"",$C277)</f>
        <v/>
      </c>
      <c r="BH277" s="106" t="str">
        <f aca="false">IF(ISBLANK($C277),"",$D277)</f>
        <v/>
      </c>
      <c r="BI277" s="107" t="str">
        <f aca="false">AW277</f>
        <v/>
      </c>
      <c r="BJ277" s="108" t="str">
        <f aca="false">AV277</f>
        <v/>
      </c>
      <c r="BK277" s="106" t="str">
        <f aca="false">IF(ISBLANK($C277),"",AY277)</f>
        <v/>
      </c>
      <c r="BL277" s="109" t="str">
        <f aca="false">IF($BC277&gt;$BB$7,"",VLOOKUP($BC277,$BE$8:$BK$507,7,FALSE()))</f>
        <v/>
      </c>
      <c r="BM277" s="110" t="str">
        <f aca="false">IF($BC277&gt;$BB$7,"",VLOOKUP($BC277,$BE$8:$BK$507,2,FALSE()))</f>
        <v/>
      </c>
      <c r="BN277" s="110" t="str">
        <f aca="false">IF($BC277&gt;$BB$7,"",VLOOKUP($BC277,$BE$8:$BK$507,3,FALSE()))</f>
        <v/>
      </c>
      <c r="BO277" s="110" t="str">
        <f aca="false">IF($BC277&gt;$BB$7,"",VLOOKUP($BC277,$BE$8:$BK$507,4,FALSE()))</f>
        <v/>
      </c>
      <c r="BP277" s="110" t="str">
        <f aca="false">IF($BC277&gt;$BB$7,"",VLOOKUP($BC277,$BE$8:$BK$507,5,FALSE()))</f>
        <v/>
      </c>
      <c r="BQ277" s="111" t="str">
        <f aca="false">IF($BC277&gt;$BB$7,"",VLOOKUP($BC277,$BE$8:$BK$507,6,FALSE()))</f>
        <v/>
      </c>
      <c r="BR277" s="54"/>
    </row>
    <row r="278" customFormat="false" ht="15.75" hidden="false" customHeight="false" outlineLevel="0" collapsed="false">
      <c r="A278" s="5"/>
      <c r="B278" s="124"/>
      <c r="C278" s="56"/>
      <c r="D278" s="57"/>
      <c r="E278" s="83"/>
      <c r="F278" s="59"/>
      <c r="G278" s="60"/>
      <c r="H278" s="61"/>
      <c r="I278" s="62"/>
      <c r="J278" s="59"/>
      <c r="K278" s="60"/>
      <c r="L278" s="61"/>
      <c r="M278" s="62"/>
      <c r="N278" s="59"/>
      <c r="O278" s="83"/>
      <c r="P278" s="64"/>
      <c r="Q278" s="66" t="str">
        <f aca="false">IF(ISBLANK($C278),"",IF(E278=Constants!$B$2, TRUE(), IF(E278=Constants!$B$3, FALSE(), TRUE())))</f>
        <v/>
      </c>
      <c r="R278" s="66" t="str">
        <f aca="false">IF(ISBLANK($C278),"",IF(F278=Constants!$B$16,Constants!$B$9,IF(F278=Constants!$B$17,Constants!$B$10,Constants!$B$8)))</f>
        <v/>
      </c>
      <c r="S278" s="66" t="str">
        <f aca="false">IF(ISBLANK($C278),"",IF(COUNTA(G278:H278)=0,"",IF(AND(OR(ISBLANK(G278),AND(ISNUMBER(G278),G278&gt;=0)),OR(ISBLANK(H278),AND(ISNUMBER(H278),H278&gt;=0))),60*IF(ISBLANK(G278),0,G278)+IF(ISBLANK(H278),0,H278),"")))</f>
        <v/>
      </c>
      <c r="T278" s="66" t="str">
        <f aca="false">IF(ISBLANK($C278),"",IF(I278=Constants!$B$2, TRUE(), IF(I278=Constants!$B$3, FALSE(), TRUE())))</f>
        <v/>
      </c>
      <c r="U278" s="66" t="str">
        <f aca="false">IF(ISBLANK($C278),"",IF(J278=Constants!$B$2, TRUE(), IF(J278=Constants!$B$3, FALSE(), TRUE())))</f>
        <v/>
      </c>
      <c r="V278" s="66" t="str">
        <f aca="false">IF(ISBLANK($C278),"",IF(COUNTA(K278:L278)=0,"",IF(AND(OR(ISBLANK(K278),AND(ISNUMBER(K278),K278&gt;=0)),OR(ISBLANK(L278),AND(ISNUMBER(L278),L278&gt;=0))),60*IF(ISBLANK(K278),0,K278)+IF(ISBLANK(L278),0,L278),"")))</f>
        <v/>
      </c>
      <c r="W278" s="66" t="str">
        <f aca="false">IF(ISBLANK($C278),"",IF(M278=Constants!$B$2, TRUE(), IF(M278=Constants!$B$3, FALSE(), TRUE())))</f>
        <v/>
      </c>
      <c r="X278" s="66" t="str">
        <f aca="false">IF(ISBLANK($C278),"",IF(N278=Constants!$B$2, TRUE(), IF(N278=Constants!$B$3, FALSE(), TRUE())))</f>
        <v/>
      </c>
      <c r="Y278" s="66" t="str">
        <f aca="false">IF(ISBLANK($C278),"",IF(O278=Constants!$B$2, TRUE(), IF(O278=Constants!$B$3, FALSE(), FALSE())))</f>
        <v/>
      </c>
      <c r="Z278" s="66" t="str">
        <f aca="false">IF(ISBLANK($C278),"",AND(S278&lt;&gt;"",Q278))</f>
        <v/>
      </c>
      <c r="AA278" s="66" t="str">
        <f aca="false">IF(ISBLANK($C278),"",AND(V278&lt;&gt;"",Q278))</f>
        <v/>
      </c>
      <c r="AB278" s="66" t="str">
        <f aca="false">IF(ISBLANK($C278),"",IF(Y278,Constants!$B$4,IF(COUNTA(E278:N278)=0,Constants!$B$5,IF(NOT(Q278),Constants!$B$6,IF(AND(NOT(Z278),NOT(AA278)),Constants!$B$6,Constants!$B$7)))))</f>
        <v/>
      </c>
      <c r="AC278" s="66" t="str">
        <f aca="false">IF(ISBLANK($C278),"",IF($AB278&lt;&gt;Constants!$B$7,$AB278,Constants!$B$20))</f>
        <v/>
      </c>
      <c r="AD278" s="66" t="str">
        <f aca="false">IF($AB278=Constants!$B$7,IF(Z278,S278,Constants!$B$13),"")</f>
        <v/>
      </c>
      <c r="AE278" s="66" t="str">
        <f aca="false">IF($AB278=Constants!$B$7,IF(Z278,R278*IF(T278, 1, Constants!$B$11)*IF(U278, 1, Constants!$B$12),Constants!$B$13),"")</f>
        <v/>
      </c>
      <c r="AF278" s="66" t="str">
        <f aca="false">IF($AB278=Constants!$B$7,AD278*AE278,"")</f>
        <v/>
      </c>
      <c r="AG278" s="66" t="str">
        <f aca="false">IF($AB278=Constants!$B$7,IF(AA278,V278,Constants!$B$13),"")</f>
        <v/>
      </c>
      <c r="AH278" s="66" t="str">
        <f aca="false">IF($AB278=Constants!$B$7,IF(AA278,R278*IF(W278, 1, Constants!$B$11)*IF(X278, 1, Constants!$B$12),Constants!$B$13),"")</f>
        <v/>
      </c>
      <c r="AI278" s="66" t="str">
        <f aca="false">IF($AB278=Constants!$B$7,AG278*AH278,"")</f>
        <v/>
      </c>
      <c r="AJ278" s="66" t="str">
        <f aca="false">IF($AB278=Constants!$B$7,IF(AI278&gt;AF278,2,1),"")</f>
        <v/>
      </c>
      <c r="AK278" s="66" t="str">
        <f aca="false">IF($AB278=Constants!$B$7,IF(AJ278=1,2,1),"")</f>
        <v/>
      </c>
      <c r="AL278" s="66" t="str">
        <f aca="false">IF(ISBLANK($C278),"",IF($AB278&lt;&gt;Constants!$B$7,$AB278,IF(AJ278=1,AF278,AI278)))</f>
        <v/>
      </c>
      <c r="AM278" s="66" t="str">
        <f aca="false">IF(ISBLANK($C278),"",IF($AB278=Constants!$B$7,IF(ISNUMBER(AL278),RANK(AL278,$AL$8:$AL$507),Constants!$B$14),$AB278))</f>
        <v/>
      </c>
      <c r="AN278" s="66" t="str">
        <f aca="false">IF(ISBLANK($C278),"",IF($AB278=Constants!$B$7,IF(AK278=1,AF278,AI278),""))</f>
        <v/>
      </c>
      <c r="AO278" s="66" t="str">
        <f aca="false">IF(ISBLANK($C278),"",IF($AB278=Constants!$B$7,RANK(AN278,$AN$8:$AN$507),$AB278))</f>
        <v/>
      </c>
      <c r="AP278" s="66" t="str">
        <f aca="false">IF(ISBLANK($C278),"",IF($AB278=Constants!$B$7,IF(ISNUMBER(AM278),COUNTIFS($AM$8:$AM$507,"&lt;"&amp;$AM278)+COUNTIFS($AM$8:$AM$507,$AM278,$AO$8:$AO$507,"&lt;"&amp;$AO278)+1,Constants!$B$14),$AB278))</f>
        <v/>
      </c>
      <c r="AQ278" s="66" t="str">
        <f aca="false">IF(ISBLANK($C278),"",IF($AB278=Constants!$B$7,IF(ISNUMBER(AM278),AM278-AP278,Constants!$B$14),$AB278))</f>
        <v/>
      </c>
      <c r="AR278" s="68"/>
      <c r="AS278" s="69" t="str">
        <f aca="false">IF(ISBLANK($C278),"",IF($AB278&lt;&gt;Constants!$B$7,"",AJ278))</f>
        <v/>
      </c>
      <c r="AT278" s="84" t="str">
        <f aca="false">IF(ISBLANK($C278),"",IF($AB278&lt;&gt;Constants!$B$7,"",IF(AJ278=1,AD278,AG278)))</f>
        <v/>
      </c>
      <c r="AU278" s="71" t="str">
        <f aca="false">IF(ISBLANK($C278),"",IF($AB278&lt;&gt;Constants!$B$7,"",IF(AJ278=1,AE278,AH278)))</f>
        <v/>
      </c>
      <c r="AV278" s="72" t="str">
        <f aca="false">IF(ISBLANK($C278),"",IF($AB278&lt;&gt;Constants!$B$7,$AB278,AL278))</f>
        <v/>
      </c>
      <c r="AW278" s="73" t="str">
        <f aca="false">IF(ISBLANK($C278),"",IF($AB278&lt;&gt;Constants!$B$7,$AB278,AC278))</f>
        <v/>
      </c>
      <c r="AX278" s="74" t="str">
        <f aca="false">IF(ISBLANK($C278),"",AQ278)</f>
        <v/>
      </c>
      <c r="AY278" s="74" t="str">
        <f aca="false">IF(ISBLANK($C278),"",AP278)</f>
        <v/>
      </c>
      <c r="AZ278" s="75" t="str">
        <f aca="false">IF(ISBLANK($C278),"",IF(AY278=Constants!$B$4,COUNTA($C$8:$C$507)+2,IF(AY278=Constants!$B$5,COUNTA($C$8:$C$507)+1,IF(AY278=Constants!$B$6,COUNTA($C$8:$C$507),AY278))))</f>
        <v/>
      </c>
      <c r="BA278" s="5"/>
      <c r="BB278" s="76" t="n">
        <f aca="false">IF(OR(ISNUMBER(AY278),AY278=Constants!$B$4,AY278=Constants!$B$6,AY278=Constants!$B$5),1,0)</f>
        <v>0</v>
      </c>
      <c r="BC278" s="76" t="n">
        <v>271</v>
      </c>
      <c r="BD278" s="76" t="str">
        <f aca="false">IF(ISBLANK($C278),"",IF(ISNUMBER(AZ278),AZ278+ROW($B278)/1000,""))</f>
        <v/>
      </c>
      <c r="BE278" s="76" t="str">
        <f aca="false">IF(ISNUMBER(BD278),RANK(BD278,$BD$8:$BD$507,1),"")</f>
        <v/>
      </c>
      <c r="BF278" s="76" t="str">
        <f aca="false">IF(ISBLANK($C278),"",$B278)</f>
        <v/>
      </c>
      <c r="BG278" s="76" t="str">
        <f aca="false">IF(ISBLANK($C278),"",$C278)</f>
        <v/>
      </c>
      <c r="BH278" s="76" t="str">
        <f aca="false">IF(ISBLANK($C278),"",$D278)</f>
        <v/>
      </c>
      <c r="BI278" s="77" t="str">
        <f aca="false">AW278</f>
        <v/>
      </c>
      <c r="BJ278" s="78" t="str">
        <f aca="false">AV278</f>
        <v/>
      </c>
      <c r="BK278" s="76" t="str">
        <f aca="false">IF(ISBLANK($C278),"",AY278)</f>
        <v/>
      </c>
      <c r="BL278" s="79" t="str">
        <f aca="false">IF($BC278&gt;$BB$7,"",VLOOKUP($BC278,$BE$8:$BK$507,7,FALSE()))</f>
        <v/>
      </c>
      <c r="BM278" s="80" t="str">
        <f aca="false">IF($BC278&gt;$BB$7,"",VLOOKUP($BC278,$BE$8:$BK$507,2,FALSE()))</f>
        <v/>
      </c>
      <c r="BN278" s="80" t="str">
        <f aca="false">IF($BC278&gt;$BB$7,"",VLOOKUP($BC278,$BE$8:$BK$507,3,FALSE()))</f>
        <v/>
      </c>
      <c r="BO278" s="80" t="str">
        <f aca="false">IF($BC278&gt;$BB$7,"",VLOOKUP($BC278,$BE$8:$BK$507,4,FALSE()))</f>
        <v/>
      </c>
      <c r="BP278" s="80" t="str">
        <f aca="false">IF($BC278&gt;$BB$7,"",VLOOKUP($BC278,$BE$8:$BK$507,5,FALSE()))</f>
        <v/>
      </c>
      <c r="BQ278" s="81" t="str">
        <f aca="false">IF($BC278&gt;$BB$7,"",VLOOKUP($BC278,$BE$8:$BK$507,6,FALSE()))</f>
        <v/>
      </c>
      <c r="BR278" s="54"/>
    </row>
    <row r="279" customFormat="false" ht="15.75" hidden="false" customHeight="false" outlineLevel="0" collapsed="false">
      <c r="A279" s="5"/>
      <c r="B279" s="124"/>
      <c r="C279" s="56"/>
      <c r="D279" s="57"/>
      <c r="E279" s="83"/>
      <c r="F279" s="59"/>
      <c r="G279" s="60"/>
      <c r="H279" s="61"/>
      <c r="I279" s="62"/>
      <c r="J279" s="59"/>
      <c r="K279" s="60"/>
      <c r="L279" s="61"/>
      <c r="M279" s="62"/>
      <c r="N279" s="59"/>
      <c r="O279" s="83"/>
      <c r="P279" s="64"/>
      <c r="Q279" s="66" t="str">
        <f aca="false">IF(ISBLANK($C279),"",IF(E279=Constants!$B$2, TRUE(), IF(E279=Constants!$B$3, FALSE(), TRUE())))</f>
        <v/>
      </c>
      <c r="R279" s="66" t="str">
        <f aca="false">IF(ISBLANK($C279),"",IF(F279=Constants!$B$16,Constants!$B$9,IF(F279=Constants!$B$17,Constants!$B$10,Constants!$B$8)))</f>
        <v/>
      </c>
      <c r="S279" s="66" t="str">
        <f aca="false">IF(ISBLANK($C279),"",IF(COUNTA(G279:H279)=0,"",IF(AND(OR(ISBLANK(G279),AND(ISNUMBER(G279),G279&gt;=0)),OR(ISBLANK(H279),AND(ISNUMBER(H279),H279&gt;=0))),60*IF(ISBLANK(G279),0,G279)+IF(ISBLANK(H279),0,H279),"")))</f>
        <v/>
      </c>
      <c r="T279" s="66" t="str">
        <f aca="false">IF(ISBLANK($C279),"",IF(I279=Constants!$B$2, TRUE(), IF(I279=Constants!$B$3, FALSE(), TRUE())))</f>
        <v/>
      </c>
      <c r="U279" s="66" t="str">
        <f aca="false">IF(ISBLANK($C279),"",IF(J279=Constants!$B$2, TRUE(), IF(J279=Constants!$B$3, FALSE(), TRUE())))</f>
        <v/>
      </c>
      <c r="V279" s="66" t="str">
        <f aca="false">IF(ISBLANK($C279),"",IF(COUNTA(K279:L279)=0,"",IF(AND(OR(ISBLANK(K279),AND(ISNUMBER(K279),K279&gt;=0)),OR(ISBLANK(L279),AND(ISNUMBER(L279),L279&gt;=0))),60*IF(ISBLANK(K279),0,K279)+IF(ISBLANK(L279),0,L279),"")))</f>
        <v/>
      </c>
      <c r="W279" s="66" t="str">
        <f aca="false">IF(ISBLANK($C279),"",IF(M279=Constants!$B$2, TRUE(), IF(M279=Constants!$B$3, FALSE(), TRUE())))</f>
        <v/>
      </c>
      <c r="X279" s="66" t="str">
        <f aca="false">IF(ISBLANK($C279),"",IF(N279=Constants!$B$2, TRUE(), IF(N279=Constants!$B$3, FALSE(), TRUE())))</f>
        <v/>
      </c>
      <c r="Y279" s="66" t="str">
        <f aca="false">IF(ISBLANK($C279),"",IF(O279=Constants!$B$2, TRUE(), IF(O279=Constants!$B$3, FALSE(), FALSE())))</f>
        <v/>
      </c>
      <c r="Z279" s="66" t="str">
        <f aca="false">IF(ISBLANK($C279),"",AND(S279&lt;&gt;"",Q279))</f>
        <v/>
      </c>
      <c r="AA279" s="66" t="str">
        <f aca="false">IF(ISBLANK($C279),"",AND(V279&lt;&gt;"",Q279))</f>
        <v/>
      </c>
      <c r="AB279" s="66" t="str">
        <f aca="false">IF(ISBLANK($C279),"",IF(Y279,Constants!$B$4,IF(COUNTA(E279:N279)=0,Constants!$B$5,IF(NOT(Q279),Constants!$B$6,IF(AND(NOT(Z279),NOT(AA279)),Constants!$B$6,Constants!$B$7)))))</f>
        <v/>
      </c>
      <c r="AC279" s="66" t="str">
        <f aca="false">IF(ISBLANK($C279),"",IF($AB279&lt;&gt;Constants!$B$7,$AB279,Constants!$B$20))</f>
        <v/>
      </c>
      <c r="AD279" s="66" t="str">
        <f aca="false">IF($AB279=Constants!$B$7,IF(Z279,S279,Constants!$B$13),"")</f>
        <v/>
      </c>
      <c r="AE279" s="66" t="str">
        <f aca="false">IF($AB279=Constants!$B$7,IF(Z279,R279*IF(T279, 1, Constants!$B$11)*IF(U279, 1, Constants!$B$12),Constants!$B$13),"")</f>
        <v/>
      </c>
      <c r="AF279" s="66" t="str">
        <f aca="false">IF($AB279=Constants!$B$7,AD279*AE279,"")</f>
        <v/>
      </c>
      <c r="AG279" s="66" t="str">
        <f aca="false">IF($AB279=Constants!$B$7,IF(AA279,V279,Constants!$B$13),"")</f>
        <v/>
      </c>
      <c r="AH279" s="66" t="str">
        <f aca="false">IF($AB279=Constants!$B$7,IF(AA279,R279*IF(W279, 1, Constants!$B$11)*IF(X279, 1, Constants!$B$12),Constants!$B$13),"")</f>
        <v/>
      </c>
      <c r="AI279" s="66" t="str">
        <f aca="false">IF($AB279=Constants!$B$7,AG279*AH279,"")</f>
        <v/>
      </c>
      <c r="AJ279" s="66" t="str">
        <f aca="false">IF($AB279=Constants!$B$7,IF(AI279&gt;AF279,2,1),"")</f>
        <v/>
      </c>
      <c r="AK279" s="66" t="str">
        <f aca="false">IF($AB279=Constants!$B$7,IF(AJ279=1,2,1),"")</f>
        <v/>
      </c>
      <c r="AL279" s="66" t="str">
        <f aca="false">IF(ISBLANK($C279),"",IF($AB279&lt;&gt;Constants!$B$7,$AB279,IF(AJ279=1,AF279,AI279)))</f>
        <v/>
      </c>
      <c r="AM279" s="66" t="str">
        <f aca="false">IF(ISBLANK($C279),"",IF($AB279=Constants!$B$7,IF(ISNUMBER(AL279),RANK(AL279,$AL$8:$AL$507),Constants!$B$14),$AB279))</f>
        <v/>
      </c>
      <c r="AN279" s="66" t="str">
        <f aca="false">IF(ISBLANK($C279),"",IF($AB279=Constants!$B$7,IF(AK279=1,AF279,AI279),""))</f>
        <v/>
      </c>
      <c r="AO279" s="66" t="str">
        <f aca="false">IF(ISBLANK($C279),"",IF($AB279=Constants!$B$7,RANK(AN279,$AN$8:$AN$507),$AB279))</f>
        <v/>
      </c>
      <c r="AP279" s="66" t="str">
        <f aca="false">IF(ISBLANK($C279),"",IF($AB279=Constants!$B$7,IF(ISNUMBER(AM279),COUNTIFS($AM$8:$AM$507,"&lt;"&amp;$AM279)+COUNTIFS($AM$8:$AM$507,$AM279,$AO$8:$AO$507,"&lt;"&amp;$AO279)+1,Constants!$B$14),$AB279))</f>
        <v/>
      </c>
      <c r="AQ279" s="66" t="str">
        <f aca="false">IF(ISBLANK($C279),"",IF($AB279=Constants!$B$7,IF(ISNUMBER(AM279),AM279-AP279,Constants!$B$14),$AB279))</f>
        <v/>
      </c>
      <c r="AR279" s="68"/>
      <c r="AS279" s="69" t="str">
        <f aca="false">IF(ISBLANK($C279),"",IF($AB279&lt;&gt;Constants!$B$7,"",AJ279))</f>
        <v/>
      </c>
      <c r="AT279" s="84" t="str">
        <f aca="false">IF(ISBLANK($C279),"",IF($AB279&lt;&gt;Constants!$B$7,"",IF(AJ279=1,AD279,AG279)))</f>
        <v/>
      </c>
      <c r="AU279" s="71" t="str">
        <f aca="false">IF(ISBLANK($C279),"",IF($AB279&lt;&gt;Constants!$B$7,"",IF(AJ279=1,AE279,AH279)))</f>
        <v/>
      </c>
      <c r="AV279" s="72" t="str">
        <f aca="false">IF(ISBLANK($C279),"",IF($AB279&lt;&gt;Constants!$B$7,$AB279,AL279))</f>
        <v/>
      </c>
      <c r="AW279" s="73" t="str">
        <f aca="false">IF(ISBLANK($C279),"",IF($AB279&lt;&gt;Constants!$B$7,$AB279,AC279))</f>
        <v/>
      </c>
      <c r="AX279" s="74" t="str">
        <f aca="false">IF(ISBLANK($C279),"",AQ279)</f>
        <v/>
      </c>
      <c r="AY279" s="74" t="str">
        <f aca="false">IF(ISBLANK($C279),"",AP279)</f>
        <v/>
      </c>
      <c r="AZ279" s="75" t="str">
        <f aca="false">IF(ISBLANK($C279),"",IF(AY279=Constants!$B$4,COUNTA($C$8:$C$507)+2,IF(AY279=Constants!$B$5,COUNTA($C$8:$C$507)+1,IF(AY279=Constants!$B$6,COUNTA($C$8:$C$507),AY279))))</f>
        <v/>
      </c>
      <c r="BA279" s="5"/>
      <c r="BB279" s="76" t="n">
        <f aca="false">IF(OR(ISNUMBER(AY279),AY279=Constants!$B$4,AY279=Constants!$B$6,AY279=Constants!$B$5),1,0)</f>
        <v>0</v>
      </c>
      <c r="BC279" s="76" t="n">
        <v>272</v>
      </c>
      <c r="BD279" s="76" t="str">
        <f aca="false">IF(ISBLANK($C279),"",IF(ISNUMBER(AZ279),AZ279+ROW($B279)/1000,""))</f>
        <v/>
      </c>
      <c r="BE279" s="76" t="str">
        <f aca="false">IF(ISNUMBER(BD279),RANK(BD279,$BD$8:$BD$507,1),"")</f>
        <v/>
      </c>
      <c r="BF279" s="76" t="str">
        <f aca="false">IF(ISBLANK($C279),"",$B279)</f>
        <v/>
      </c>
      <c r="BG279" s="76" t="str">
        <f aca="false">IF(ISBLANK($C279),"",$C279)</f>
        <v/>
      </c>
      <c r="BH279" s="76" t="str">
        <f aca="false">IF(ISBLANK($C279),"",$D279)</f>
        <v/>
      </c>
      <c r="BI279" s="77" t="str">
        <f aca="false">AW279</f>
        <v/>
      </c>
      <c r="BJ279" s="78" t="str">
        <f aca="false">AV279</f>
        <v/>
      </c>
      <c r="BK279" s="76" t="str">
        <f aca="false">IF(ISBLANK($C279),"",AY279)</f>
        <v/>
      </c>
      <c r="BL279" s="79" t="str">
        <f aca="false">IF($BC279&gt;$BB$7,"",VLOOKUP($BC279,$BE$8:$BK$507,7,FALSE()))</f>
        <v/>
      </c>
      <c r="BM279" s="80" t="str">
        <f aca="false">IF($BC279&gt;$BB$7,"",VLOOKUP($BC279,$BE$8:$BK$507,2,FALSE()))</f>
        <v/>
      </c>
      <c r="BN279" s="80" t="str">
        <f aca="false">IF($BC279&gt;$BB$7,"",VLOOKUP($BC279,$BE$8:$BK$507,3,FALSE()))</f>
        <v/>
      </c>
      <c r="BO279" s="80" t="str">
        <f aca="false">IF($BC279&gt;$BB$7,"",VLOOKUP($BC279,$BE$8:$BK$507,4,FALSE()))</f>
        <v/>
      </c>
      <c r="BP279" s="80" t="str">
        <f aca="false">IF($BC279&gt;$BB$7,"",VLOOKUP($BC279,$BE$8:$BK$507,5,FALSE()))</f>
        <v/>
      </c>
      <c r="BQ279" s="81" t="str">
        <f aca="false">IF($BC279&gt;$BB$7,"",VLOOKUP($BC279,$BE$8:$BK$507,6,FALSE()))</f>
        <v/>
      </c>
      <c r="BR279" s="54"/>
    </row>
    <row r="280" customFormat="false" ht="15.75" hidden="false" customHeight="false" outlineLevel="0" collapsed="false">
      <c r="A280" s="5"/>
      <c r="B280" s="124"/>
      <c r="C280" s="56"/>
      <c r="D280" s="57"/>
      <c r="E280" s="83"/>
      <c r="F280" s="59"/>
      <c r="G280" s="60"/>
      <c r="H280" s="61"/>
      <c r="I280" s="62"/>
      <c r="J280" s="59"/>
      <c r="K280" s="60"/>
      <c r="L280" s="61"/>
      <c r="M280" s="62"/>
      <c r="N280" s="59"/>
      <c r="O280" s="83"/>
      <c r="P280" s="64"/>
      <c r="Q280" s="66" t="str">
        <f aca="false">IF(ISBLANK($C280),"",IF(E280=Constants!$B$2, TRUE(), IF(E280=Constants!$B$3, FALSE(), TRUE())))</f>
        <v/>
      </c>
      <c r="R280" s="66" t="str">
        <f aca="false">IF(ISBLANK($C280),"",IF(F280=Constants!$B$16,Constants!$B$9,IF(F280=Constants!$B$17,Constants!$B$10,Constants!$B$8)))</f>
        <v/>
      </c>
      <c r="S280" s="66" t="str">
        <f aca="false">IF(ISBLANK($C280),"",IF(COUNTA(G280:H280)=0,"",IF(AND(OR(ISBLANK(G280),AND(ISNUMBER(G280),G280&gt;=0)),OR(ISBLANK(H280),AND(ISNUMBER(H280),H280&gt;=0))),60*IF(ISBLANK(G280),0,G280)+IF(ISBLANK(H280),0,H280),"")))</f>
        <v/>
      </c>
      <c r="T280" s="66" t="str">
        <f aca="false">IF(ISBLANK($C280),"",IF(I280=Constants!$B$2, TRUE(), IF(I280=Constants!$B$3, FALSE(), TRUE())))</f>
        <v/>
      </c>
      <c r="U280" s="66" t="str">
        <f aca="false">IF(ISBLANK($C280),"",IF(J280=Constants!$B$2, TRUE(), IF(J280=Constants!$B$3, FALSE(), TRUE())))</f>
        <v/>
      </c>
      <c r="V280" s="66" t="str">
        <f aca="false">IF(ISBLANK($C280),"",IF(COUNTA(K280:L280)=0,"",IF(AND(OR(ISBLANK(K280),AND(ISNUMBER(K280),K280&gt;=0)),OR(ISBLANK(L280),AND(ISNUMBER(L280),L280&gt;=0))),60*IF(ISBLANK(K280),0,K280)+IF(ISBLANK(L280),0,L280),"")))</f>
        <v/>
      </c>
      <c r="W280" s="66" t="str">
        <f aca="false">IF(ISBLANK($C280),"",IF(M280=Constants!$B$2, TRUE(), IF(M280=Constants!$B$3, FALSE(), TRUE())))</f>
        <v/>
      </c>
      <c r="X280" s="66" t="str">
        <f aca="false">IF(ISBLANK($C280),"",IF(N280=Constants!$B$2, TRUE(), IF(N280=Constants!$B$3, FALSE(), TRUE())))</f>
        <v/>
      </c>
      <c r="Y280" s="66" t="str">
        <f aca="false">IF(ISBLANK($C280),"",IF(O280=Constants!$B$2, TRUE(), IF(O280=Constants!$B$3, FALSE(), FALSE())))</f>
        <v/>
      </c>
      <c r="Z280" s="66" t="str">
        <f aca="false">IF(ISBLANK($C280),"",AND(S280&lt;&gt;"",Q280))</f>
        <v/>
      </c>
      <c r="AA280" s="66" t="str">
        <f aca="false">IF(ISBLANK($C280),"",AND(V280&lt;&gt;"",Q280))</f>
        <v/>
      </c>
      <c r="AB280" s="66" t="str">
        <f aca="false">IF(ISBLANK($C280),"",IF(Y280,Constants!$B$4,IF(COUNTA(E280:N280)=0,Constants!$B$5,IF(NOT(Q280),Constants!$B$6,IF(AND(NOT(Z280),NOT(AA280)),Constants!$B$6,Constants!$B$7)))))</f>
        <v/>
      </c>
      <c r="AC280" s="66" t="str">
        <f aca="false">IF(ISBLANK($C280),"",IF($AB280&lt;&gt;Constants!$B$7,$AB280,Constants!$B$20))</f>
        <v/>
      </c>
      <c r="AD280" s="66" t="str">
        <f aca="false">IF($AB280=Constants!$B$7,IF(Z280,S280,Constants!$B$13),"")</f>
        <v/>
      </c>
      <c r="AE280" s="66" t="str">
        <f aca="false">IF($AB280=Constants!$B$7,IF(Z280,R280*IF(T280, 1, Constants!$B$11)*IF(U280, 1, Constants!$B$12),Constants!$B$13),"")</f>
        <v/>
      </c>
      <c r="AF280" s="66" t="str">
        <f aca="false">IF($AB280=Constants!$B$7,AD280*AE280,"")</f>
        <v/>
      </c>
      <c r="AG280" s="66" t="str">
        <f aca="false">IF($AB280=Constants!$B$7,IF(AA280,V280,Constants!$B$13),"")</f>
        <v/>
      </c>
      <c r="AH280" s="66" t="str">
        <f aca="false">IF($AB280=Constants!$B$7,IF(AA280,R280*IF(W280, 1, Constants!$B$11)*IF(X280, 1, Constants!$B$12),Constants!$B$13),"")</f>
        <v/>
      </c>
      <c r="AI280" s="66" t="str">
        <f aca="false">IF($AB280=Constants!$B$7,AG280*AH280,"")</f>
        <v/>
      </c>
      <c r="AJ280" s="66" t="str">
        <f aca="false">IF($AB280=Constants!$B$7,IF(AI280&gt;AF280,2,1),"")</f>
        <v/>
      </c>
      <c r="AK280" s="66" t="str">
        <f aca="false">IF($AB280=Constants!$B$7,IF(AJ280=1,2,1),"")</f>
        <v/>
      </c>
      <c r="AL280" s="66" t="str">
        <f aca="false">IF(ISBLANK($C280),"",IF($AB280&lt;&gt;Constants!$B$7,$AB280,IF(AJ280=1,AF280,AI280)))</f>
        <v/>
      </c>
      <c r="AM280" s="66" t="str">
        <f aca="false">IF(ISBLANK($C280),"",IF($AB280=Constants!$B$7,IF(ISNUMBER(AL280),RANK(AL280,$AL$8:$AL$507),Constants!$B$14),$AB280))</f>
        <v/>
      </c>
      <c r="AN280" s="66" t="str">
        <f aca="false">IF(ISBLANK($C280),"",IF($AB280=Constants!$B$7,IF(AK280=1,AF280,AI280),""))</f>
        <v/>
      </c>
      <c r="AO280" s="66" t="str">
        <f aca="false">IF(ISBLANK($C280),"",IF($AB280=Constants!$B$7,RANK(AN280,$AN$8:$AN$507),$AB280))</f>
        <v/>
      </c>
      <c r="AP280" s="66" t="str">
        <f aca="false">IF(ISBLANK($C280),"",IF($AB280=Constants!$B$7,IF(ISNUMBER(AM280),COUNTIFS($AM$8:$AM$507,"&lt;"&amp;$AM280)+COUNTIFS($AM$8:$AM$507,$AM280,$AO$8:$AO$507,"&lt;"&amp;$AO280)+1,Constants!$B$14),$AB280))</f>
        <v/>
      </c>
      <c r="AQ280" s="66" t="str">
        <f aca="false">IF(ISBLANK($C280),"",IF($AB280=Constants!$B$7,IF(ISNUMBER(AM280),AM280-AP280,Constants!$B$14),$AB280))</f>
        <v/>
      </c>
      <c r="AR280" s="68"/>
      <c r="AS280" s="69" t="str">
        <f aca="false">IF(ISBLANK($C280),"",IF($AB280&lt;&gt;Constants!$B$7,"",AJ280))</f>
        <v/>
      </c>
      <c r="AT280" s="84" t="str">
        <f aca="false">IF(ISBLANK($C280),"",IF($AB280&lt;&gt;Constants!$B$7,"",IF(AJ280=1,AD280,AG280)))</f>
        <v/>
      </c>
      <c r="AU280" s="71" t="str">
        <f aca="false">IF(ISBLANK($C280),"",IF($AB280&lt;&gt;Constants!$B$7,"",IF(AJ280=1,AE280,AH280)))</f>
        <v/>
      </c>
      <c r="AV280" s="72" t="str">
        <f aca="false">IF(ISBLANK($C280),"",IF($AB280&lt;&gt;Constants!$B$7,$AB280,AL280))</f>
        <v/>
      </c>
      <c r="AW280" s="73" t="str">
        <f aca="false">IF(ISBLANK($C280),"",IF($AB280&lt;&gt;Constants!$B$7,$AB280,AC280))</f>
        <v/>
      </c>
      <c r="AX280" s="74" t="str">
        <f aca="false">IF(ISBLANK($C280),"",AQ280)</f>
        <v/>
      </c>
      <c r="AY280" s="74" t="str">
        <f aca="false">IF(ISBLANK($C280),"",AP280)</f>
        <v/>
      </c>
      <c r="AZ280" s="75" t="str">
        <f aca="false">IF(ISBLANK($C280),"",IF(AY280=Constants!$B$4,COUNTA($C$8:$C$507)+2,IF(AY280=Constants!$B$5,COUNTA($C$8:$C$507)+1,IF(AY280=Constants!$B$6,COUNTA($C$8:$C$507),AY280))))</f>
        <v/>
      </c>
      <c r="BA280" s="5"/>
      <c r="BB280" s="76" t="n">
        <f aca="false">IF(OR(ISNUMBER(AY280),AY280=Constants!$B$4,AY280=Constants!$B$6,AY280=Constants!$B$5),1,0)</f>
        <v>0</v>
      </c>
      <c r="BC280" s="76" t="n">
        <v>273</v>
      </c>
      <c r="BD280" s="76" t="str">
        <f aca="false">IF(ISBLANK($C280),"",IF(ISNUMBER(AZ280),AZ280+ROW($B280)/1000,""))</f>
        <v/>
      </c>
      <c r="BE280" s="76" t="str">
        <f aca="false">IF(ISNUMBER(BD280),RANK(BD280,$BD$8:$BD$507,1),"")</f>
        <v/>
      </c>
      <c r="BF280" s="76" t="str">
        <f aca="false">IF(ISBLANK($C280),"",$B280)</f>
        <v/>
      </c>
      <c r="BG280" s="76" t="str">
        <f aca="false">IF(ISBLANK($C280),"",$C280)</f>
        <v/>
      </c>
      <c r="BH280" s="76" t="str">
        <f aca="false">IF(ISBLANK($C280),"",$D280)</f>
        <v/>
      </c>
      <c r="BI280" s="77" t="str">
        <f aca="false">AW280</f>
        <v/>
      </c>
      <c r="BJ280" s="78" t="str">
        <f aca="false">AV280</f>
        <v/>
      </c>
      <c r="BK280" s="76" t="str">
        <f aca="false">IF(ISBLANK($C280),"",AY280)</f>
        <v/>
      </c>
      <c r="BL280" s="79" t="str">
        <f aca="false">IF($BC280&gt;$BB$7,"",VLOOKUP($BC280,$BE$8:$BK$507,7,FALSE()))</f>
        <v/>
      </c>
      <c r="BM280" s="80" t="str">
        <f aca="false">IF($BC280&gt;$BB$7,"",VLOOKUP($BC280,$BE$8:$BK$507,2,FALSE()))</f>
        <v/>
      </c>
      <c r="BN280" s="80" t="str">
        <f aca="false">IF($BC280&gt;$BB$7,"",VLOOKUP($BC280,$BE$8:$BK$507,3,FALSE()))</f>
        <v/>
      </c>
      <c r="BO280" s="80" t="str">
        <f aca="false">IF($BC280&gt;$BB$7,"",VLOOKUP($BC280,$BE$8:$BK$507,4,FALSE()))</f>
        <v/>
      </c>
      <c r="BP280" s="80" t="str">
        <f aca="false">IF($BC280&gt;$BB$7,"",VLOOKUP($BC280,$BE$8:$BK$507,5,FALSE()))</f>
        <v/>
      </c>
      <c r="BQ280" s="81" t="str">
        <f aca="false">IF($BC280&gt;$BB$7,"",VLOOKUP($BC280,$BE$8:$BK$507,6,FALSE()))</f>
        <v/>
      </c>
      <c r="BR280" s="54"/>
    </row>
    <row r="281" customFormat="false" ht="15.75" hidden="false" customHeight="false" outlineLevel="0" collapsed="false">
      <c r="A281" s="5"/>
      <c r="B281" s="120"/>
      <c r="C281" s="121"/>
      <c r="D281" s="112"/>
      <c r="E281" s="123"/>
      <c r="F281" s="91"/>
      <c r="G281" s="92"/>
      <c r="H281" s="93"/>
      <c r="I281" s="94"/>
      <c r="J281" s="91"/>
      <c r="K281" s="92"/>
      <c r="L281" s="93"/>
      <c r="M281" s="94"/>
      <c r="N281" s="91"/>
      <c r="O281" s="123"/>
      <c r="P281" s="96"/>
      <c r="Q281" s="97" t="str">
        <f aca="false">IF(ISBLANK($C281),"",IF(E281=Constants!$B$2, TRUE(), IF(E281=Constants!$B$3, FALSE(), TRUE())))</f>
        <v/>
      </c>
      <c r="R281" s="97" t="str">
        <f aca="false">IF(ISBLANK($C281),"",IF(F281=Constants!$B$16,Constants!$B$9,IF(F281=Constants!$B$17,Constants!$B$10,Constants!$B$8)))</f>
        <v/>
      </c>
      <c r="S281" s="97" t="str">
        <f aca="false">IF(ISBLANK($C281),"",IF(COUNTA(G281:H281)=0,"",IF(AND(OR(ISBLANK(G281),AND(ISNUMBER(G281),G281&gt;=0)),OR(ISBLANK(H281),AND(ISNUMBER(H281),H281&gt;=0))),60*IF(ISBLANK(G281),0,G281)+IF(ISBLANK(H281),0,H281),"")))</f>
        <v/>
      </c>
      <c r="T281" s="97" t="str">
        <f aca="false">IF(ISBLANK($C281),"",IF(I281=Constants!$B$2, TRUE(), IF(I281=Constants!$B$3, FALSE(), TRUE())))</f>
        <v/>
      </c>
      <c r="U281" s="97" t="str">
        <f aca="false">IF(ISBLANK($C281),"",IF(J281=Constants!$B$2, TRUE(), IF(J281=Constants!$B$3, FALSE(), TRUE())))</f>
        <v/>
      </c>
      <c r="V281" s="97" t="str">
        <f aca="false">IF(ISBLANK($C281),"",IF(COUNTA(K281:L281)=0,"",IF(AND(OR(ISBLANK(K281),AND(ISNUMBER(K281),K281&gt;=0)),OR(ISBLANK(L281),AND(ISNUMBER(L281),L281&gt;=0))),60*IF(ISBLANK(K281),0,K281)+IF(ISBLANK(L281),0,L281),"")))</f>
        <v/>
      </c>
      <c r="W281" s="97" t="str">
        <f aca="false">IF(ISBLANK($C281),"",IF(M281=Constants!$B$2, TRUE(), IF(M281=Constants!$B$3, FALSE(), TRUE())))</f>
        <v/>
      </c>
      <c r="X281" s="97" t="str">
        <f aca="false">IF(ISBLANK($C281),"",IF(N281=Constants!$B$2, TRUE(), IF(N281=Constants!$B$3, FALSE(), TRUE())))</f>
        <v/>
      </c>
      <c r="Y281" s="97" t="str">
        <f aca="false">IF(ISBLANK($C281),"",IF(O281=Constants!$B$2, TRUE(), IF(O281=Constants!$B$3, FALSE(), FALSE())))</f>
        <v/>
      </c>
      <c r="Z281" s="97" t="str">
        <f aca="false">IF(ISBLANK($C281),"",AND(S281&lt;&gt;"",Q281))</f>
        <v/>
      </c>
      <c r="AA281" s="97" t="str">
        <f aca="false">IF(ISBLANK($C281),"",AND(V281&lt;&gt;"",Q281))</f>
        <v/>
      </c>
      <c r="AB281" s="97" t="str">
        <f aca="false">IF(ISBLANK($C281),"",IF(Y281,Constants!$B$4,IF(COUNTA(E281:N281)=0,Constants!$B$5,IF(NOT(Q281),Constants!$B$6,IF(AND(NOT(Z281),NOT(AA281)),Constants!$B$6,Constants!$B$7)))))</f>
        <v/>
      </c>
      <c r="AC281" s="97" t="str">
        <f aca="false">IF(ISBLANK($C281),"",IF($AB281&lt;&gt;Constants!$B$7,$AB281,Constants!$B$20))</f>
        <v/>
      </c>
      <c r="AD281" s="97" t="str">
        <f aca="false">IF($AB281=Constants!$B$7,IF(Z281,S281,Constants!$B$13),"")</f>
        <v/>
      </c>
      <c r="AE281" s="97" t="str">
        <f aca="false">IF($AB281=Constants!$B$7,IF(Z281,R281*IF(T281, 1, Constants!$B$11)*IF(U281, 1, Constants!$B$12),Constants!$B$13),"")</f>
        <v/>
      </c>
      <c r="AF281" s="97" t="str">
        <f aca="false">IF($AB281=Constants!$B$7,AD281*AE281,"")</f>
        <v/>
      </c>
      <c r="AG281" s="97" t="str">
        <f aca="false">IF($AB281=Constants!$B$7,IF(AA281,V281,Constants!$B$13),"")</f>
        <v/>
      </c>
      <c r="AH281" s="97" t="str">
        <f aca="false">IF($AB281=Constants!$B$7,IF(AA281,R281*IF(W281, 1, Constants!$B$11)*IF(X281, 1, Constants!$B$12),Constants!$B$13),"")</f>
        <v/>
      </c>
      <c r="AI281" s="97" t="str">
        <f aca="false">IF($AB281=Constants!$B$7,AG281*AH281,"")</f>
        <v/>
      </c>
      <c r="AJ281" s="97" t="str">
        <f aca="false">IF($AB281=Constants!$B$7,IF(AI281&gt;AF281,2,1),"")</f>
        <v/>
      </c>
      <c r="AK281" s="97" t="str">
        <f aca="false">IF($AB281=Constants!$B$7,IF(AJ281=1,2,1),"")</f>
        <v/>
      </c>
      <c r="AL281" s="97" t="str">
        <f aca="false">IF(ISBLANK($C281),"",IF($AB281&lt;&gt;Constants!$B$7,$AB281,IF(AJ281=1,AF281,AI281)))</f>
        <v/>
      </c>
      <c r="AM281" s="97" t="str">
        <f aca="false">IF(ISBLANK($C281),"",IF($AB281=Constants!$B$7,IF(ISNUMBER(AL281),RANK(AL281,$AL$8:$AL$507),Constants!$B$14),$AB281))</f>
        <v/>
      </c>
      <c r="AN281" s="97" t="str">
        <f aca="false">IF(ISBLANK($C281),"",IF($AB281=Constants!$B$7,IF(AK281=1,AF281,AI281),""))</f>
        <v/>
      </c>
      <c r="AO281" s="97" t="str">
        <f aca="false">IF(ISBLANK($C281),"",IF($AB281=Constants!$B$7,RANK(AN281,$AN$8:$AN$507),$AB281))</f>
        <v/>
      </c>
      <c r="AP281" s="97" t="str">
        <f aca="false">IF(ISBLANK($C281),"",IF($AB281=Constants!$B$7,IF(ISNUMBER(AM281),COUNTIFS($AM$8:$AM$507,"&lt;"&amp;$AM281)+COUNTIFS($AM$8:$AM$507,$AM281,$AO$8:$AO$507,"&lt;"&amp;$AO281)+1,Constants!$B$14),$AB281))</f>
        <v/>
      </c>
      <c r="AQ281" s="97" t="str">
        <f aca="false">IF(ISBLANK($C281),"",IF($AB281=Constants!$B$7,IF(ISNUMBER(AM281),AM281-AP281,Constants!$B$14),$AB281))</f>
        <v/>
      </c>
      <c r="AR281" s="98"/>
      <c r="AS281" s="99" t="str">
        <f aca="false">IF(ISBLANK($C281),"",IF($AB281&lt;&gt;Constants!$B$7,"",AJ281))</f>
        <v/>
      </c>
      <c r="AT281" s="100" t="str">
        <f aca="false">IF(ISBLANK($C281),"",IF($AB281&lt;&gt;Constants!$B$7,"",IF(AJ281=1,AD281,AG281)))</f>
        <v/>
      </c>
      <c r="AU281" s="101" t="str">
        <f aca="false">IF(ISBLANK($C281),"",IF($AB281&lt;&gt;Constants!$B$7,"",IF(AJ281=1,AE281,AH281)))</f>
        <v/>
      </c>
      <c r="AV281" s="102" t="str">
        <f aca="false">IF(ISBLANK($C281),"",IF($AB281&lt;&gt;Constants!$B$7,$AB281,AL281))</f>
        <v/>
      </c>
      <c r="AW281" s="103" t="str">
        <f aca="false">IF(ISBLANK($C281),"",IF($AB281&lt;&gt;Constants!$B$7,$AB281,AC281))</f>
        <v/>
      </c>
      <c r="AX281" s="104" t="str">
        <f aca="false">IF(ISBLANK($C281),"",AQ281)</f>
        <v/>
      </c>
      <c r="AY281" s="104" t="str">
        <f aca="false">IF(ISBLANK($C281),"",AP281)</f>
        <v/>
      </c>
      <c r="AZ281" s="105" t="str">
        <f aca="false">IF(ISBLANK($C281),"",IF(AY281=Constants!$B$4,COUNTA($C$8:$C$507)+2,IF(AY281=Constants!$B$5,COUNTA($C$8:$C$507)+1,IF(AY281=Constants!$B$6,COUNTA($C$8:$C$507),AY281))))</f>
        <v/>
      </c>
      <c r="BA281" s="5"/>
      <c r="BB281" s="106" t="n">
        <f aca="false">IF(OR(ISNUMBER(AY281),AY281=Constants!$B$4,AY281=Constants!$B$6,AY281=Constants!$B$5),1,0)</f>
        <v>0</v>
      </c>
      <c r="BC281" s="106" t="n">
        <v>274</v>
      </c>
      <c r="BD281" s="106" t="str">
        <f aca="false">IF(ISBLANK($C281),"",IF(ISNUMBER(AZ281),AZ281+ROW($B281)/1000,""))</f>
        <v/>
      </c>
      <c r="BE281" s="106" t="str">
        <f aca="false">IF(ISNUMBER(BD281),RANK(BD281,$BD$8:$BD$507,1),"")</f>
        <v/>
      </c>
      <c r="BF281" s="106" t="str">
        <f aca="false">IF(ISBLANK($C281),"",$B281)</f>
        <v/>
      </c>
      <c r="BG281" s="106" t="str">
        <f aca="false">IF(ISBLANK($C281),"",$C281)</f>
        <v/>
      </c>
      <c r="BH281" s="106" t="str">
        <f aca="false">IF(ISBLANK($C281),"",$D281)</f>
        <v/>
      </c>
      <c r="BI281" s="107" t="str">
        <f aca="false">AW281</f>
        <v/>
      </c>
      <c r="BJ281" s="108" t="str">
        <f aca="false">AV281</f>
        <v/>
      </c>
      <c r="BK281" s="106" t="str">
        <f aca="false">IF(ISBLANK($C281),"",AY281)</f>
        <v/>
      </c>
      <c r="BL281" s="109" t="str">
        <f aca="false">IF($BC281&gt;$BB$7,"",VLOOKUP($BC281,$BE$8:$BK$507,7,FALSE()))</f>
        <v/>
      </c>
      <c r="BM281" s="110" t="str">
        <f aca="false">IF($BC281&gt;$BB$7,"",VLOOKUP($BC281,$BE$8:$BK$507,2,FALSE()))</f>
        <v/>
      </c>
      <c r="BN281" s="110" t="str">
        <f aca="false">IF($BC281&gt;$BB$7,"",VLOOKUP($BC281,$BE$8:$BK$507,3,FALSE()))</f>
        <v/>
      </c>
      <c r="BO281" s="110" t="str">
        <f aca="false">IF($BC281&gt;$BB$7,"",VLOOKUP($BC281,$BE$8:$BK$507,4,FALSE()))</f>
        <v/>
      </c>
      <c r="BP281" s="110" t="str">
        <f aca="false">IF($BC281&gt;$BB$7,"",VLOOKUP($BC281,$BE$8:$BK$507,5,FALSE()))</f>
        <v/>
      </c>
      <c r="BQ281" s="111" t="str">
        <f aca="false">IF($BC281&gt;$BB$7,"",VLOOKUP($BC281,$BE$8:$BK$507,6,FALSE()))</f>
        <v/>
      </c>
      <c r="BR281" s="54"/>
    </row>
    <row r="282" customFormat="false" ht="15.75" hidden="false" customHeight="false" outlineLevel="0" collapsed="false">
      <c r="A282" s="5"/>
      <c r="B282" s="120"/>
      <c r="C282" s="121"/>
      <c r="D282" s="112"/>
      <c r="E282" s="123"/>
      <c r="F282" s="91"/>
      <c r="G282" s="92"/>
      <c r="H282" s="93"/>
      <c r="I282" s="94"/>
      <c r="J282" s="91"/>
      <c r="K282" s="92"/>
      <c r="L282" s="93"/>
      <c r="M282" s="94"/>
      <c r="N282" s="91"/>
      <c r="O282" s="123"/>
      <c r="P282" s="96"/>
      <c r="Q282" s="97" t="str">
        <f aca="false">IF(ISBLANK($C282),"",IF(E282=Constants!$B$2, TRUE(), IF(E282=Constants!$B$3, FALSE(), TRUE())))</f>
        <v/>
      </c>
      <c r="R282" s="97" t="str">
        <f aca="false">IF(ISBLANK($C282),"",IF(F282=Constants!$B$16,Constants!$B$9,IF(F282=Constants!$B$17,Constants!$B$10,Constants!$B$8)))</f>
        <v/>
      </c>
      <c r="S282" s="97" t="str">
        <f aca="false">IF(ISBLANK($C282),"",IF(COUNTA(G282:H282)=0,"",IF(AND(OR(ISBLANK(G282),AND(ISNUMBER(G282),G282&gt;=0)),OR(ISBLANK(H282),AND(ISNUMBER(H282),H282&gt;=0))),60*IF(ISBLANK(G282),0,G282)+IF(ISBLANK(H282),0,H282),"")))</f>
        <v/>
      </c>
      <c r="T282" s="97" t="str">
        <f aca="false">IF(ISBLANK($C282),"",IF(I282=Constants!$B$2, TRUE(), IF(I282=Constants!$B$3, FALSE(), TRUE())))</f>
        <v/>
      </c>
      <c r="U282" s="97" t="str">
        <f aca="false">IF(ISBLANK($C282),"",IF(J282=Constants!$B$2, TRUE(), IF(J282=Constants!$B$3, FALSE(), TRUE())))</f>
        <v/>
      </c>
      <c r="V282" s="97" t="str">
        <f aca="false">IF(ISBLANK($C282),"",IF(COUNTA(K282:L282)=0,"",IF(AND(OR(ISBLANK(K282),AND(ISNUMBER(K282),K282&gt;=0)),OR(ISBLANK(L282),AND(ISNUMBER(L282),L282&gt;=0))),60*IF(ISBLANK(K282),0,K282)+IF(ISBLANK(L282),0,L282),"")))</f>
        <v/>
      </c>
      <c r="W282" s="97" t="str">
        <f aca="false">IF(ISBLANK($C282),"",IF(M282=Constants!$B$2, TRUE(), IF(M282=Constants!$B$3, FALSE(), TRUE())))</f>
        <v/>
      </c>
      <c r="X282" s="97" t="str">
        <f aca="false">IF(ISBLANK($C282),"",IF(N282=Constants!$B$2, TRUE(), IF(N282=Constants!$B$3, FALSE(), TRUE())))</f>
        <v/>
      </c>
      <c r="Y282" s="97" t="str">
        <f aca="false">IF(ISBLANK($C282),"",IF(O282=Constants!$B$2, TRUE(), IF(O282=Constants!$B$3, FALSE(), FALSE())))</f>
        <v/>
      </c>
      <c r="Z282" s="97" t="str">
        <f aca="false">IF(ISBLANK($C282),"",AND(S282&lt;&gt;"",Q282))</f>
        <v/>
      </c>
      <c r="AA282" s="97" t="str">
        <f aca="false">IF(ISBLANK($C282),"",AND(V282&lt;&gt;"",Q282))</f>
        <v/>
      </c>
      <c r="AB282" s="97" t="str">
        <f aca="false">IF(ISBLANK($C282),"",IF(Y282,Constants!$B$4,IF(COUNTA(E282:N282)=0,Constants!$B$5,IF(NOT(Q282),Constants!$B$6,IF(AND(NOT(Z282),NOT(AA282)),Constants!$B$6,Constants!$B$7)))))</f>
        <v/>
      </c>
      <c r="AC282" s="97" t="str">
        <f aca="false">IF(ISBLANK($C282),"",IF($AB282&lt;&gt;Constants!$B$7,$AB282,Constants!$B$20))</f>
        <v/>
      </c>
      <c r="AD282" s="97" t="str">
        <f aca="false">IF($AB282=Constants!$B$7,IF(Z282,S282,Constants!$B$13),"")</f>
        <v/>
      </c>
      <c r="AE282" s="97" t="str">
        <f aca="false">IF($AB282=Constants!$B$7,IF(Z282,R282*IF(T282, 1, Constants!$B$11)*IF(U282, 1, Constants!$B$12),Constants!$B$13),"")</f>
        <v/>
      </c>
      <c r="AF282" s="97" t="str">
        <f aca="false">IF($AB282=Constants!$B$7,AD282*AE282,"")</f>
        <v/>
      </c>
      <c r="AG282" s="97" t="str">
        <f aca="false">IF($AB282=Constants!$B$7,IF(AA282,V282,Constants!$B$13),"")</f>
        <v/>
      </c>
      <c r="AH282" s="97" t="str">
        <f aca="false">IF($AB282=Constants!$B$7,IF(AA282,R282*IF(W282, 1, Constants!$B$11)*IF(X282, 1, Constants!$B$12),Constants!$B$13),"")</f>
        <v/>
      </c>
      <c r="AI282" s="97" t="str">
        <f aca="false">IF($AB282=Constants!$B$7,AG282*AH282,"")</f>
        <v/>
      </c>
      <c r="AJ282" s="97" t="str">
        <f aca="false">IF($AB282=Constants!$B$7,IF(AI282&gt;AF282,2,1),"")</f>
        <v/>
      </c>
      <c r="AK282" s="97" t="str">
        <f aca="false">IF($AB282=Constants!$B$7,IF(AJ282=1,2,1),"")</f>
        <v/>
      </c>
      <c r="AL282" s="97" t="str">
        <f aca="false">IF(ISBLANK($C282),"",IF($AB282&lt;&gt;Constants!$B$7,$AB282,IF(AJ282=1,AF282,AI282)))</f>
        <v/>
      </c>
      <c r="AM282" s="97" t="str">
        <f aca="false">IF(ISBLANK($C282),"",IF($AB282=Constants!$B$7,IF(ISNUMBER(AL282),RANK(AL282,$AL$8:$AL$507),Constants!$B$14),$AB282))</f>
        <v/>
      </c>
      <c r="AN282" s="97" t="str">
        <f aca="false">IF(ISBLANK($C282),"",IF($AB282=Constants!$B$7,IF(AK282=1,AF282,AI282),""))</f>
        <v/>
      </c>
      <c r="AO282" s="97" t="str">
        <f aca="false">IF(ISBLANK($C282),"",IF($AB282=Constants!$B$7,RANK(AN282,$AN$8:$AN$507),$AB282))</f>
        <v/>
      </c>
      <c r="AP282" s="97" t="str">
        <f aca="false">IF(ISBLANK($C282),"",IF($AB282=Constants!$B$7,IF(ISNUMBER(AM282),COUNTIFS($AM$8:$AM$507,"&lt;"&amp;$AM282)+COUNTIFS($AM$8:$AM$507,$AM282,$AO$8:$AO$507,"&lt;"&amp;$AO282)+1,Constants!$B$14),$AB282))</f>
        <v/>
      </c>
      <c r="AQ282" s="97" t="str">
        <f aca="false">IF(ISBLANK($C282),"",IF($AB282=Constants!$B$7,IF(ISNUMBER(AM282),AM282-AP282,Constants!$B$14),$AB282))</f>
        <v/>
      </c>
      <c r="AR282" s="98"/>
      <c r="AS282" s="99" t="str">
        <f aca="false">IF(ISBLANK($C282),"",IF($AB282&lt;&gt;Constants!$B$7,"",AJ282))</f>
        <v/>
      </c>
      <c r="AT282" s="100" t="str">
        <f aca="false">IF(ISBLANK($C282),"",IF($AB282&lt;&gt;Constants!$B$7,"",IF(AJ282=1,AD282,AG282)))</f>
        <v/>
      </c>
      <c r="AU282" s="101" t="str">
        <f aca="false">IF(ISBLANK($C282),"",IF($AB282&lt;&gt;Constants!$B$7,"",IF(AJ282=1,AE282,AH282)))</f>
        <v/>
      </c>
      <c r="AV282" s="102" t="str">
        <f aca="false">IF(ISBLANK($C282),"",IF($AB282&lt;&gt;Constants!$B$7,$AB282,AL282))</f>
        <v/>
      </c>
      <c r="AW282" s="103" t="str">
        <f aca="false">IF(ISBLANK($C282),"",IF($AB282&lt;&gt;Constants!$B$7,$AB282,AC282))</f>
        <v/>
      </c>
      <c r="AX282" s="104" t="str">
        <f aca="false">IF(ISBLANK($C282),"",AQ282)</f>
        <v/>
      </c>
      <c r="AY282" s="104" t="str">
        <f aca="false">IF(ISBLANK($C282),"",AP282)</f>
        <v/>
      </c>
      <c r="AZ282" s="105" t="str">
        <f aca="false">IF(ISBLANK($C282),"",IF(AY282=Constants!$B$4,COUNTA($C$8:$C$507)+2,IF(AY282=Constants!$B$5,COUNTA($C$8:$C$507)+1,IF(AY282=Constants!$B$6,COUNTA($C$8:$C$507),AY282))))</f>
        <v/>
      </c>
      <c r="BA282" s="5"/>
      <c r="BB282" s="106" t="n">
        <f aca="false">IF(OR(ISNUMBER(AY282),AY282=Constants!$B$4,AY282=Constants!$B$6,AY282=Constants!$B$5),1,0)</f>
        <v>0</v>
      </c>
      <c r="BC282" s="106" t="n">
        <v>275</v>
      </c>
      <c r="BD282" s="106" t="str">
        <f aca="false">IF(ISBLANK($C282),"",IF(ISNUMBER(AZ282),AZ282+ROW($B282)/1000,""))</f>
        <v/>
      </c>
      <c r="BE282" s="106" t="str">
        <f aca="false">IF(ISNUMBER(BD282),RANK(BD282,$BD$8:$BD$507,1),"")</f>
        <v/>
      </c>
      <c r="BF282" s="106" t="str">
        <f aca="false">IF(ISBLANK($C282),"",$B282)</f>
        <v/>
      </c>
      <c r="BG282" s="106" t="str">
        <f aca="false">IF(ISBLANK($C282),"",$C282)</f>
        <v/>
      </c>
      <c r="BH282" s="106" t="str">
        <f aca="false">IF(ISBLANK($C282),"",$D282)</f>
        <v/>
      </c>
      <c r="BI282" s="107" t="str">
        <f aca="false">AW282</f>
        <v/>
      </c>
      <c r="BJ282" s="108" t="str">
        <f aca="false">AV282</f>
        <v/>
      </c>
      <c r="BK282" s="106" t="str">
        <f aca="false">IF(ISBLANK($C282),"",AY282)</f>
        <v/>
      </c>
      <c r="BL282" s="109" t="str">
        <f aca="false">IF($BC282&gt;$BB$7,"",VLOOKUP($BC282,$BE$8:$BK$507,7,FALSE()))</f>
        <v/>
      </c>
      <c r="BM282" s="110" t="str">
        <f aca="false">IF($BC282&gt;$BB$7,"",VLOOKUP($BC282,$BE$8:$BK$507,2,FALSE()))</f>
        <v/>
      </c>
      <c r="BN282" s="110" t="str">
        <f aca="false">IF($BC282&gt;$BB$7,"",VLOOKUP($BC282,$BE$8:$BK$507,3,FALSE()))</f>
        <v/>
      </c>
      <c r="BO282" s="110" t="str">
        <f aca="false">IF($BC282&gt;$BB$7,"",VLOOKUP($BC282,$BE$8:$BK$507,4,FALSE()))</f>
        <v/>
      </c>
      <c r="BP282" s="110" t="str">
        <f aca="false">IF($BC282&gt;$BB$7,"",VLOOKUP($BC282,$BE$8:$BK$507,5,FALSE()))</f>
        <v/>
      </c>
      <c r="BQ282" s="111" t="str">
        <f aca="false">IF($BC282&gt;$BB$7,"",VLOOKUP($BC282,$BE$8:$BK$507,6,FALSE()))</f>
        <v/>
      </c>
      <c r="BR282" s="54"/>
    </row>
    <row r="283" customFormat="false" ht="15.75" hidden="false" customHeight="false" outlineLevel="0" collapsed="false">
      <c r="A283" s="5"/>
      <c r="B283" s="120"/>
      <c r="C283" s="121"/>
      <c r="D283" s="112"/>
      <c r="E283" s="123"/>
      <c r="F283" s="91"/>
      <c r="G283" s="92"/>
      <c r="H283" s="93"/>
      <c r="I283" s="94"/>
      <c r="J283" s="91"/>
      <c r="K283" s="92"/>
      <c r="L283" s="93"/>
      <c r="M283" s="94"/>
      <c r="N283" s="91"/>
      <c r="O283" s="123"/>
      <c r="P283" s="96"/>
      <c r="Q283" s="97" t="str">
        <f aca="false">IF(ISBLANK($C283),"",IF(E283=Constants!$B$2, TRUE(), IF(E283=Constants!$B$3, FALSE(), TRUE())))</f>
        <v/>
      </c>
      <c r="R283" s="97" t="str">
        <f aca="false">IF(ISBLANK($C283),"",IF(F283=Constants!$B$16,Constants!$B$9,IF(F283=Constants!$B$17,Constants!$B$10,Constants!$B$8)))</f>
        <v/>
      </c>
      <c r="S283" s="97" t="str">
        <f aca="false">IF(ISBLANK($C283),"",IF(COUNTA(G283:H283)=0,"",IF(AND(OR(ISBLANK(G283),AND(ISNUMBER(G283),G283&gt;=0)),OR(ISBLANK(H283),AND(ISNUMBER(H283),H283&gt;=0))),60*IF(ISBLANK(G283),0,G283)+IF(ISBLANK(H283),0,H283),"")))</f>
        <v/>
      </c>
      <c r="T283" s="97" t="str">
        <f aca="false">IF(ISBLANK($C283),"",IF(I283=Constants!$B$2, TRUE(), IF(I283=Constants!$B$3, FALSE(), TRUE())))</f>
        <v/>
      </c>
      <c r="U283" s="97" t="str">
        <f aca="false">IF(ISBLANK($C283),"",IF(J283=Constants!$B$2, TRUE(), IF(J283=Constants!$B$3, FALSE(), TRUE())))</f>
        <v/>
      </c>
      <c r="V283" s="97" t="str">
        <f aca="false">IF(ISBLANK($C283),"",IF(COUNTA(K283:L283)=0,"",IF(AND(OR(ISBLANK(K283),AND(ISNUMBER(K283),K283&gt;=0)),OR(ISBLANK(L283),AND(ISNUMBER(L283),L283&gt;=0))),60*IF(ISBLANK(K283),0,K283)+IF(ISBLANK(L283),0,L283),"")))</f>
        <v/>
      </c>
      <c r="W283" s="97" t="str">
        <f aca="false">IF(ISBLANK($C283),"",IF(M283=Constants!$B$2, TRUE(), IF(M283=Constants!$B$3, FALSE(), TRUE())))</f>
        <v/>
      </c>
      <c r="X283" s="97" t="str">
        <f aca="false">IF(ISBLANK($C283),"",IF(N283=Constants!$B$2, TRUE(), IF(N283=Constants!$B$3, FALSE(), TRUE())))</f>
        <v/>
      </c>
      <c r="Y283" s="97" t="str">
        <f aca="false">IF(ISBLANK($C283),"",IF(O283=Constants!$B$2, TRUE(), IF(O283=Constants!$B$3, FALSE(), FALSE())))</f>
        <v/>
      </c>
      <c r="Z283" s="97" t="str">
        <f aca="false">IF(ISBLANK($C283),"",AND(S283&lt;&gt;"",Q283))</f>
        <v/>
      </c>
      <c r="AA283" s="97" t="str">
        <f aca="false">IF(ISBLANK($C283),"",AND(V283&lt;&gt;"",Q283))</f>
        <v/>
      </c>
      <c r="AB283" s="97" t="str">
        <f aca="false">IF(ISBLANK($C283),"",IF(Y283,Constants!$B$4,IF(COUNTA(E283:N283)=0,Constants!$B$5,IF(NOT(Q283),Constants!$B$6,IF(AND(NOT(Z283),NOT(AA283)),Constants!$B$6,Constants!$B$7)))))</f>
        <v/>
      </c>
      <c r="AC283" s="97" t="str">
        <f aca="false">IF(ISBLANK($C283),"",IF($AB283&lt;&gt;Constants!$B$7,$AB283,Constants!$B$20))</f>
        <v/>
      </c>
      <c r="AD283" s="97" t="str">
        <f aca="false">IF($AB283=Constants!$B$7,IF(Z283,S283,Constants!$B$13),"")</f>
        <v/>
      </c>
      <c r="AE283" s="97" t="str">
        <f aca="false">IF($AB283=Constants!$B$7,IF(Z283,R283*IF(T283, 1, Constants!$B$11)*IF(U283, 1, Constants!$B$12),Constants!$B$13),"")</f>
        <v/>
      </c>
      <c r="AF283" s="97" t="str">
        <f aca="false">IF($AB283=Constants!$B$7,AD283*AE283,"")</f>
        <v/>
      </c>
      <c r="AG283" s="97" t="str">
        <f aca="false">IF($AB283=Constants!$B$7,IF(AA283,V283,Constants!$B$13),"")</f>
        <v/>
      </c>
      <c r="AH283" s="97" t="str">
        <f aca="false">IF($AB283=Constants!$B$7,IF(AA283,R283*IF(W283, 1, Constants!$B$11)*IF(X283, 1, Constants!$B$12),Constants!$B$13),"")</f>
        <v/>
      </c>
      <c r="AI283" s="97" t="str">
        <f aca="false">IF($AB283=Constants!$B$7,AG283*AH283,"")</f>
        <v/>
      </c>
      <c r="AJ283" s="97" t="str">
        <f aca="false">IF($AB283=Constants!$B$7,IF(AI283&gt;AF283,2,1),"")</f>
        <v/>
      </c>
      <c r="AK283" s="97" t="str">
        <f aca="false">IF($AB283=Constants!$B$7,IF(AJ283=1,2,1),"")</f>
        <v/>
      </c>
      <c r="AL283" s="97" t="str">
        <f aca="false">IF(ISBLANK($C283),"",IF($AB283&lt;&gt;Constants!$B$7,$AB283,IF(AJ283=1,AF283,AI283)))</f>
        <v/>
      </c>
      <c r="AM283" s="97" t="str">
        <f aca="false">IF(ISBLANK($C283),"",IF($AB283=Constants!$B$7,IF(ISNUMBER(AL283),RANK(AL283,$AL$8:$AL$507),Constants!$B$14),$AB283))</f>
        <v/>
      </c>
      <c r="AN283" s="97" t="str">
        <f aca="false">IF(ISBLANK($C283),"",IF($AB283=Constants!$B$7,IF(AK283=1,AF283,AI283),""))</f>
        <v/>
      </c>
      <c r="AO283" s="97" t="str">
        <f aca="false">IF(ISBLANK($C283),"",IF($AB283=Constants!$B$7,RANK(AN283,$AN$8:$AN$507),$AB283))</f>
        <v/>
      </c>
      <c r="AP283" s="97" t="str">
        <f aca="false">IF(ISBLANK($C283),"",IF($AB283=Constants!$B$7,IF(ISNUMBER(AM283),COUNTIFS($AM$8:$AM$507,"&lt;"&amp;$AM283)+COUNTIFS($AM$8:$AM$507,$AM283,$AO$8:$AO$507,"&lt;"&amp;$AO283)+1,Constants!$B$14),$AB283))</f>
        <v/>
      </c>
      <c r="AQ283" s="97" t="str">
        <f aca="false">IF(ISBLANK($C283),"",IF($AB283=Constants!$B$7,IF(ISNUMBER(AM283),AM283-AP283,Constants!$B$14),$AB283))</f>
        <v/>
      </c>
      <c r="AR283" s="98"/>
      <c r="AS283" s="99" t="str">
        <f aca="false">IF(ISBLANK($C283),"",IF($AB283&lt;&gt;Constants!$B$7,"",AJ283))</f>
        <v/>
      </c>
      <c r="AT283" s="100" t="str">
        <f aca="false">IF(ISBLANK($C283),"",IF($AB283&lt;&gt;Constants!$B$7,"",IF(AJ283=1,AD283,AG283)))</f>
        <v/>
      </c>
      <c r="AU283" s="101" t="str">
        <f aca="false">IF(ISBLANK($C283),"",IF($AB283&lt;&gt;Constants!$B$7,"",IF(AJ283=1,AE283,AH283)))</f>
        <v/>
      </c>
      <c r="AV283" s="102" t="str">
        <f aca="false">IF(ISBLANK($C283),"",IF($AB283&lt;&gt;Constants!$B$7,$AB283,AL283))</f>
        <v/>
      </c>
      <c r="AW283" s="103" t="str">
        <f aca="false">IF(ISBLANK($C283),"",IF($AB283&lt;&gt;Constants!$B$7,$AB283,AC283))</f>
        <v/>
      </c>
      <c r="AX283" s="104" t="str">
        <f aca="false">IF(ISBLANK($C283),"",AQ283)</f>
        <v/>
      </c>
      <c r="AY283" s="104" t="str">
        <f aca="false">IF(ISBLANK($C283),"",AP283)</f>
        <v/>
      </c>
      <c r="AZ283" s="105" t="str">
        <f aca="false">IF(ISBLANK($C283),"",IF(AY283=Constants!$B$4,COUNTA($C$8:$C$507)+2,IF(AY283=Constants!$B$5,COUNTA($C$8:$C$507)+1,IF(AY283=Constants!$B$6,COUNTA($C$8:$C$507),AY283))))</f>
        <v/>
      </c>
      <c r="BA283" s="5"/>
      <c r="BB283" s="106" t="n">
        <f aca="false">IF(OR(ISNUMBER(AY283),AY283=Constants!$B$4,AY283=Constants!$B$6,AY283=Constants!$B$5),1,0)</f>
        <v>0</v>
      </c>
      <c r="BC283" s="106" t="n">
        <v>276</v>
      </c>
      <c r="BD283" s="106" t="str">
        <f aca="false">IF(ISBLANK($C283),"",IF(ISNUMBER(AZ283),AZ283+ROW($B283)/1000,""))</f>
        <v/>
      </c>
      <c r="BE283" s="106" t="str">
        <f aca="false">IF(ISNUMBER(BD283),RANK(BD283,$BD$8:$BD$507,1),"")</f>
        <v/>
      </c>
      <c r="BF283" s="106" t="str">
        <f aca="false">IF(ISBLANK($C283),"",$B283)</f>
        <v/>
      </c>
      <c r="BG283" s="106" t="str">
        <f aca="false">IF(ISBLANK($C283),"",$C283)</f>
        <v/>
      </c>
      <c r="BH283" s="106" t="str">
        <f aca="false">IF(ISBLANK($C283),"",$D283)</f>
        <v/>
      </c>
      <c r="BI283" s="107" t="str">
        <f aca="false">AW283</f>
        <v/>
      </c>
      <c r="BJ283" s="108" t="str">
        <f aca="false">AV283</f>
        <v/>
      </c>
      <c r="BK283" s="106" t="str">
        <f aca="false">IF(ISBLANK($C283),"",AY283)</f>
        <v/>
      </c>
      <c r="BL283" s="109" t="str">
        <f aca="false">IF($BC283&gt;$BB$7,"",VLOOKUP($BC283,$BE$8:$BK$507,7,FALSE()))</f>
        <v/>
      </c>
      <c r="BM283" s="110" t="str">
        <f aca="false">IF($BC283&gt;$BB$7,"",VLOOKUP($BC283,$BE$8:$BK$507,2,FALSE()))</f>
        <v/>
      </c>
      <c r="BN283" s="110" t="str">
        <f aca="false">IF($BC283&gt;$BB$7,"",VLOOKUP($BC283,$BE$8:$BK$507,3,FALSE()))</f>
        <v/>
      </c>
      <c r="BO283" s="110" t="str">
        <f aca="false">IF($BC283&gt;$BB$7,"",VLOOKUP($BC283,$BE$8:$BK$507,4,FALSE()))</f>
        <v/>
      </c>
      <c r="BP283" s="110" t="str">
        <f aca="false">IF($BC283&gt;$BB$7,"",VLOOKUP($BC283,$BE$8:$BK$507,5,FALSE()))</f>
        <v/>
      </c>
      <c r="BQ283" s="111" t="str">
        <f aca="false">IF($BC283&gt;$BB$7,"",VLOOKUP($BC283,$BE$8:$BK$507,6,FALSE()))</f>
        <v/>
      </c>
      <c r="BR283" s="54"/>
    </row>
    <row r="284" customFormat="false" ht="15.75" hidden="false" customHeight="false" outlineLevel="0" collapsed="false">
      <c r="A284" s="5"/>
      <c r="B284" s="124"/>
      <c r="C284" s="56"/>
      <c r="D284" s="57"/>
      <c r="E284" s="83"/>
      <c r="F284" s="59"/>
      <c r="G284" s="60"/>
      <c r="H284" s="61"/>
      <c r="I284" s="62"/>
      <c r="J284" s="59"/>
      <c r="K284" s="60"/>
      <c r="L284" s="61"/>
      <c r="M284" s="62"/>
      <c r="N284" s="59"/>
      <c r="O284" s="83"/>
      <c r="P284" s="64"/>
      <c r="Q284" s="66" t="str">
        <f aca="false">IF(ISBLANK($C284),"",IF(E284=Constants!$B$2, TRUE(), IF(E284=Constants!$B$3, FALSE(), TRUE())))</f>
        <v/>
      </c>
      <c r="R284" s="66" t="str">
        <f aca="false">IF(ISBLANK($C284),"",IF(F284=Constants!$B$16,Constants!$B$9,IF(F284=Constants!$B$17,Constants!$B$10,Constants!$B$8)))</f>
        <v/>
      </c>
      <c r="S284" s="66" t="str">
        <f aca="false">IF(ISBLANK($C284),"",IF(COUNTA(G284:H284)=0,"",IF(AND(OR(ISBLANK(G284),AND(ISNUMBER(G284),G284&gt;=0)),OR(ISBLANK(H284),AND(ISNUMBER(H284),H284&gt;=0))),60*IF(ISBLANK(G284),0,G284)+IF(ISBLANK(H284),0,H284),"")))</f>
        <v/>
      </c>
      <c r="T284" s="66" t="str">
        <f aca="false">IF(ISBLANK($C284),"",IF(I284=Constants!$B$2, TRUE(), IF(I284=Constants!$B$3, FALSE(), TRUE())))</f>
        <v/>
      </c>
      <c r="U284" s="66" t="str">
        <f aca="false">IF(ISBLANK($C284),"",IF(J284=Constants!$B$2, TRUE(), IF(J284=Constants!$B$3, FALSE(), TRUE())))</f>
        <v/>
      </c>
      <c r="V284" s="66" t="str">
        <f aca="false">IF(ISBLANK($C284),"",IF(COUNTA(K284:L284)=0,"",IF(AND(OR(ISBLANK(K284),AND(ISNUMBER(K284),K284&gt;=0)),OR(ISBLANK(L284),AND(ISNUMBER(L284),L284&gt;=0))),60*IF(ISBLANK(K284),0,K284)+IF(ISBLANK(L284),0,L284),"")))</f>
        <v/>
      </c>
      <c r="W284" s="66" t="str">
        <f aca="false">IF(ISBLANK($C284),"",IF(M284=Constants!$B$2, TRUE(), IF(M284=Constants!$B$3, FALSE(), TRUE())))</f>
        <v/>
      </c>
      <c r="X284" s="66" t="str">
        <f aca="false">IF(ISBLANK($C284),"",IF(N284=Constants!$B$2, TRUE(), IF(N284=Constants!$B$3, FALSE(), TRUE())))</f>
        <v/>
      </c>
      <c r="Y284" s="66" t="str">
        <f aca="false">IF(ISBLANK($C284),"",IF(O284=Constants!$B$2, TRUE(), IF(O284=Constants!$B$3, FALSE(), FALSE())))</f>
        <v/>
      </c>
      <c r="Z284" s="66" t="str">
        <f aca="false">IF(ISBLANK($C284),"",AND(S284&lt;&gt;"",Q284))</f>
        <v/>
      </c>
      <c r="AA284" s="66" t="str">
        <f aca="false">IF(ISBLANK($C284),"",AND(V284&lt;&gt;"",Q284))</f>
        <v/>
      </c>
      <c r="AB284" s="66" t="str">
        <f aca="false">IF(ISBLANK($C284),"",IF(Y284,Constants!$B$4,IF(COUNTA(E284:N284)=0,Constants!$B$5,IF(NOT(Q284),Constants!$B$6,IF(AND(NOT(Z284),NOT(AA284)),Constants!$B$6,Constants!$B$7)))))</f>
        <v/>
      </c>
      <c r="AC284" s="66" t="str">
        <f aca="false">IF(ISBLANK($C284),"",IF($AB284&lt;&gt;Constants!$B$7,$AB284,Constants!$B$20))</f>
        <v/>
      </c>
      <c r="AD284" s="66" t="str">
        <f aca="false">IF($AB284=Constants!$B$7,IF(Z284,S284,Constants!$B$13),"")</f>
        <v/>
      </c>
      <c r="AE284" s="66" t="str">
        <f aca="false">IF($AB284=Constants!$B$7,IF(Z284,R284*IF(T284, 1, Constants!$B$11)*IF(U284, 1, Constants!$B$12),Constants!$B$13),"")</f>
        <v/>
      </c>
      <c r="AF284" s="66" t="str">
        <f aca="false">IF($AB284=Constants!$B$7,AD284*AE284,"")</f>
        <v/>
      </c>
      <c r="AG284" s="66" t="str">
        <f aca="false">IF($AB284=Constants!$B$7,IF(AA284,V284,Constants!$B$13),"")</f>
        <v/>
      </c>
      <c r="AH284" s="66" t="str">
        <f aca="false">IF($AB284=Constants!$B$7,IF(AA284,R284*IF(W284, 1, Constants!$B$11)*IF(X284, 1, Constants!$B$12),Constants!$B$13),"")</f>
        <v/>
      </c>
      <c r="AI284" s="66" t="str">
        <f aca="false">IF($AB284=Constants!$B$7,AG284*AH284,"")</f>
        <v/>
      </c>
      <c r="AJ284" s="66" t="str">
        <f aca="false">IF($AB284=Constants!$B$7,IF(AI284&gt;AF284,2,1),"")</f>
        <v/>
      </c>
      <c r="AK284" s="66" t="str">
        <f aca="false">IF($AB284=Constants!$B$7,IF(AJ284=1,2,1),"")</f>
        <v/>
      </c>
      <c r="AL284" s="66" t="str">
        <f aca="false">IF(ISBLANK($C284),"",IF($AB284&lt;&gt;Constants!$B$7,$AB284,IF(AJ284=1,AF284,AI284)))</f>
        <v/>
      </c>
      <c r="AM284" s="66" t="str">
        <f aca="false">IF(ISBLANK($C284),"",IF($AB284=Constants!$B$7,IF(ISNUMBER(AL284),RANK(AL284,$AL$8:$AL$507),Constants!$B$14),$AB284))</f>
        <v/>
      </c>
      <c r="AN284" s="66" t="str">
        <f aca="false">IF(ISBLANK($C284),"",IF($AB284=Constants!$B$7,IF(AK284=1,AF284,AI284),""))</f>
        <v/>
      </c>
      <c r="AO284" s="66" t="str">
        <f aca="false">IF(ISBLANK($C284),"",IF($AB284=Constants!$B$7,RANK(AN284,$AN$8:$AN$507),$AB284))</f>
        <v/>
      </c>
      <c r="AP284" s="66" t="str">
        <f aca="false">IF(ISBLANK($C284),"",IF($AB284=Constants!$B$7,IF(ISNUMBER(AM284),COUNTIFS($AM$8:$AM$507,"&lt;"&amp;$AM284)+COUNTIFS($AM$8:$AM$507,$AM284,$AO$8:$AO$507,"&lt;"&amp;$AO284)+1,Constants!$B$14),$AB284))</f>
        <v/>
      </c>
      <c r="AQ284" s="66" t="str">
        <f aca="false">IF(ISBLANK($C284),"",IF($AB284=Constants!$B$7,IF(ISNUMBER(AM284),AM284-AP284,Constants!$B$14),$AB284))</f>
        <v/>
      </c>
      <c r="AR284" s="68"/>
      <c r="AS284" s="69" t="str">
        <f aca="false">IF(ISBLANK($C284),"",IF($AB284&lt;&gt;Constants!$B$7,"",AJ284))</f>
        <v/>
      </c>
      <c r="AT284" s="84" t="str">
        <f aca="false">IF(ISBLANK($C284),"",IF($AB284&lt;&gt;Constants!$B$7,"",IF(AJ284=1,AD284,AG284)))</f>
        <v/>
      </c>
      <c r="AU284" s="71" t="str">
        <f aca="false">IF(ISBLANK($C284),"",IF($AB284&lt;&gt;Constants!$B$7,"",IF(AJ284=1,AE284,AH284)))</f>
        <v/>
      </c>
      <c r="AV284" s="72" t="str">
        <f aca="false">IF(ISBLANK($C284),"",IF($AB284&lt;&gt;Constants!$B$7,$AB284,AL284))</f>
        <v/>
      </c>
      <c r="AW284" s="73" t="str">
        <f aca="false">IF(ISBLANK($C284),"",IF($AB284&lt;&gt;Constants!$B$7,$AB284,AC284))</f>
        <v/>
      </c>
      <c r="AX284" s="74" t="str">
        <f aca="false">IF(ISBLANK($C284),"",AQ284)</f>
        <v/>
      </c>
      <c r="AY284" s="74" t="str">
        <f aca="false">IF(ISBLANK($C284),"",AP284)</f>
        <v/>
      </c>
      <c r="AZ284" s="75" t="str">
        <f aca="false">IF(ISBLANK($C284),"",IF(AY284=Constants!$B$4,COUNTA($C$8:$C$507)+2,IF(AY284=Constants!$B$5,COUNTA($C$8:$C$507)+1,IF(AY284=Constants!$B$6,COUNTA($C$8:$C$507),AY284))))</f>
        <v/>
      </c>
      <c r="BA284" s="5"/>
      <c r="BB284" s="76" t="n">
        <f aca="false">IF(OR(ISNUMBER(AY284),AY284=Constants!$B$4,AY284=Constants!$B$6,AY284=Constants!$B$5),1,0)</f>
        <v>0</v>
      </c>
      <c r="BC284" s="76" t="n">
        <v>277</v>
      </c>
      <c r="BD284" s="76" t="str">
        <f aca="false">IF(ISBLANK($C284),"",IF(ISNUMBER(AZ284),AZ284+ROW($B284)/1000,""))</f>
        <v/>
      </c>
      <c r="BE284" s="76" t="str">
        <f aca="false">IF(ISNUMBER(BD284),RANK(BD284,$BD$8:$BD$507,1),"")</f>
        <v/>
      </c>
      <c r="BF284" s="76" t="str">
        <f aca="false">IF(ISBLANK($C284),"",$B284)</f>
        <v/>
      </c>
      <c r="BG284" s="76" t="str">
        <f aca="false">IF(ISBLANK($C284),"",$C284)</f>
        <v/>
      </c>
      <c r="BH284" s="76" t="str">
        <f aca="false">IF(ISBLANK($C284),"",$D284)</f>
        <v/>
      </c>
      <c r="BI284" s="77" t="str">
        <f aca="false">AW284</f>
        <v/>
      </c>
      <c r="BJ284" s="78" t="str">
        <f aca="false">AV284</f>
        <v/>
      </c>
      <c r="BK284" s="76" t="str">
        <f aca="false">IF(ISBLANK($C284),"",AY284)</f>
        <v/>
      </c>
      <c r="BL284" s="79" t="str">
        <f aca="false">IF($BC284&gt;$BB$7,"",VLOOKUP($BC284,$BE$8:$BK$507,7,FALSE()))</f>
        <v/>
      </c>
      <c r="BM284" s="80" t="str">
        <f aca="false">IF($BC284&gt;$BB$7,"",VLOOKUP($BC284,$BE$8:$BK$507,2,FALSE()))</f>
        <v/>
      </c>
      <c r="BN284" s="80" t="str">
        <f aca="false">IF($BC284&gt;$BB$7,"",VLOOKUP($BC284,$BE$8:$BK$507,3,FALSE()))</f>
        <v/>
      </c>
      <c r="BO284" s="80" t="str">
        <f aca="false">IF($BC284&gt;$BB$7,"",VLOOKUP($BC284,$BE$8:$BK$507,4,FALSE()))</f>
        <v/>
      </c>
      <c r="BP284" s="80" t="str">
        <f aca="false">IF($BC284&gt;$BB$7,"",VLOOKUP($BC284,$BE$8:$BK$507,5,FALSE()))</f>
        <v/>
      </c>
      <c r="BQ284" s="81" t="str">
        <f aca="false">IF($BC284&gt;$BB$7,"",VLOOKUP($BC284,$BE$8:$BK$507,6,FALSE()))</f>
        <v/>
      </c>
      <c r="BR284" s="54"/>
    </row>
    <row r="285" customFormat="false" ht="15.75" hidden="false" customHeight="false" outlineLevel="0" collapsed="false">
      <c r="A285" s="5"/>
      <c r="B285" s="124"/>
      <c r="C285" s="56"/>
      <c r="D285" s="57"/>
      <c r="E285" s="83"/>
      <c r="F285" s="59"/>
      <c r="G285" s="60"/>
      <c r="H285" s="61"/>
      <c r="I285" s="62"/>
      <c r="J285" s="59"/>
      <c r="K285" s="60"/>
      <c r="L285" s="61"/>
      <c r="M285" s="62"/>
      <c r="N285" s="59"/>
      <c r="O285" s="83"/>
      <c r="P285" s="64"/>
      <c r="Q285" s="66" t="str">
        <f aca="false">IF(ISBLANK($C285),"",IF(E285=Constants!$B$2, TRUE(), IF(E285=Constants!$B$3, FALSE(), TRUE())))</f>
        <v/>
      </c>
      <c r="R285" s="66" t="str">
        <f aca="false">IF(ISBLANK($C285),"",IF(F285=Constants!$B$16,Constants!$B$9,IF(F285=Constants!$B$17,Constants!$B$10,Constants!$B$8)))</f>
        <v/>
      </c>
      <c r="S285" s="66" t="str">
        <f aca="false">IF(ISBLANK($C285),"",IF(COUNTA(G285:H285)=0,"",IF(AND(OR(ISBLANK(G285),AND(ISNUMBER(G285),G285&gt;=0)),OR(ISBLANK(H285),AND(ISNUMBER(H285),H285&gt;=0))),60*IF(ISBLANK(G285),0,G285)+IF(ISBLANK(H285),0,H285),"")))</f>
        <v/>
      </c>
      <c r="T285" s="66" t="str">
        <f aca="false">IF(ISBLANK($C285),"",IF(I285=Constants!$B$2, TRUE(), IF(I285=Constants!$B$3, FALSE(), TRUE())))</f>
        <v/>
      </c>
      <c r="U285" s="66" t="str">
        <f aca="false">IF(ISBLANK($C285),"",IF(J285=Constants!$B$2, TRUE(), IF(J285=Constants!$B$3, FALSE(), TRUE())))</f>
        <v/>
      </c>
      <c r="V285" s="66" t="str">
        <f aca="false">IF(ISBLANK($C285),"",IF(COUNTA(K285:L285)=0,"",IF(AND(OR(ISBLANK(K285),AND(ISNUMBER(K285),K285&gt;=0)),OR(ISBLANK(L285),AND(ISNUMBER(L285),L285&gt;=0))),60*IF(ISBLANK(K285),0,K285)+IF(ISBLANK(L285),0,L285),"")))</f>
        <v/>
      </c>
      <c r="W285" s="66" t="str">
        <f aca="false">IF(ISBLANK($C285),"",IF(M285=Constants!$B$2, TRUE(), IF(M285=Constants!$B$3, FALSE(), TRUE())))</f>
        <v/>
      </c>
      <c r="X285" s="66" t="str">
        <f aca="false">IF(ISBLANK($C285),"",IF(N285=Constants!$B$2, TRUE(), IF(N285=Constants!$B$3, FALSE(), TRUE())))</f>
        <v/>
      </c>
      <c r="Y285" s="66" t="str">
        <f aca="false">IF(ISBLANK($C285),"",IF(O285=Constants!$B$2, TRUE(), IF(O285=Constants!$B$3, FALSE(), FALSE())))</f>
        <v/>
      </c>
      <c r="Z285" s="66" t="str">
        <f aca="false">IF(ISBLANK($C285),"",AND(S285&lt;&gt;"",Q285))</f>
        <v/>
      </c>
      <c r="AA285" s="66" t="str">
        <f aca="false">IF(ISBLANK($C285),"",AND(V285&lt;&gt;"",Q285))</f>
        <v/>
      </c>
      <c r="AB285" s="66" t="str">
        <f aca="false">IF(ISBLANK($C285),"",IF(Y285,Constants!$B$4,IF(COUNTA(E285:N285)=0,Constants!$B$5,IF(NOT(Q285),Constants!$B$6,IF(AND(NOT(Z285),NOT(AA285)),Constants!$B$6,Constants!$B$7)))))</f>
        <v/>
      </c>
      <c r="AC285" s="66" t="str">
        <f aca="false">IF(ISBLANK($C285),"",IF($AB285&lt;&gt;Constants!$B$7,$AB285,Constants!$B$20))</f>
        <v/>
      </c>
      <c r="AD285" s="66" t="str">
        <f aca="false">IF($AB285=Constants!$B$7,IF(Z285,S285,Constants!$B$13),"")</f>
        <v/>
      </c>
      <c r="AE285" s="66" t="str">
        <f aca="false">IF($AB285=Constants!$B$7,IF(Z285,R285*IF(T285, 1, Constants!$B$11)*IF(U285, 1, Constants!$B$12),Constants!$B$13),"")</f>
        <v/>
      </c>
      <c r="AF285" s="66" t="str">
        <f aca="false">IF($AB285=Constants!$B$7,AD285*AE285,"")</f>
        <v/>
      </c>
      <c r="AG285" s="66" t="str">
        <f aca="false">IF($AB285=Constants!$B$7,IF(AA285,V285,Constants!$B$13),"")</f>
        <v/>
      </c>
      <c r="AH285" s="66" t="str">
        <f aca="false">IF($AB285=Constants!$B$7,IF(AA285,R285*IF(W285, 1, Constants!$B$11)*IF(X285, 1, Constants!$B$12),Constants!$B$13),"")</f>
        <v/>
      </c>
      <c r="AI285" s="66" t="str">
        <f aca="false">IF($AB285=Constants!$B$7,AG285*AH285,"")</f>
        <v/>
      </c>
      <c r="AJ285" s="66" t="str">
        <f aca="false">IF($AB285=Constants!$B$7,IF(AI285&gt;AF285,2,1),"")</f>
        <v/>
      </c>
      <c r="AK285" s="66" t="str">
        <f aca="false">IF($AB285=Constants!$B$7,IF(AJ285=1,2,1),"")</f>
        <v/>
      </c>
      <c r="AL285" s="66" t="str">
        <f aca="false">IF(ISBLANK($C285),"",IF($AB285&lt;&gt;Constants!$B$7,$AB285,IF(AJ285=1,AF285,AI285)))</f>
        <v/>
      </c>
      <c r="AM285" s="66" t="str">
        <f aca="false">IF(ISBLANK($C285),"",IF($AB285=Constants!$B$7,IF(ISNUMBER(AL285),RANK(AL285,$AL$8:$AL$507),Constants!$B$14),$AB285))</f>
        <v/>
      </c>
      <c r="AN285" s="66" t="str">
        <f aca="false">IF(ISBLANK($C285),"",IF($AB285=Constants!$B$7,IF(AK285=1,AF285,AI285),""))</f>
        <v/>
      </c>
      <c r="AO285" s="66" t="str">
        <f aca="false">IF(ISBLANK($C285),"",IF($AB285=Constants!$B$7,RANK(AN285,$AN$8:$AN$507),$AB285))</f>
        <v/>
      </c>
      <c r="AP285" s="66" t="str">
        <f aca="false">IF(ISBLANK($C285),"",IF($AB285=Constants!$B$7,IF(ISNUMBER(AM285),COUNTIFS($AM$8:$AM$507,"&lt;"&amp;$AM285)+COUNTIFS($AM$8:$AM$507,$AM285,$AO$8:$AO$507,"&lt;"&amp;$AO285)+1,Constants!$B$14),$AB285))</f>
        <v/>
      </c>
      <c r="AQ285" s="66" t="str">
        <f aca="false">IF(ISBLANK($C285),"",IF($AB285=Constants!$B$7,IF(ISNUMBER(AM285),AM285-AP285,Constants!$B$14),$AB285))</f>
        <v/>
      </c>
      <c r="AR285" s="68"/>
      <c r="AS285" s="69" t="str">
        <f aca="false">IF(ISBLANK($C285),"",IF($AB285&lt;&gt;Constants!$B$7,"",AJ285))</f>
        <v/>
      </c>
      <c r="AT285" s="84" t="str">
        <f aca="false">IF(ISBLANK($C285),"",IF($AB285&lt;&gt;Constants!$B$7,"",IF(AJ285=1,AD285,AG285)))</f>
        <v/>
      </c>
      <c r="AU285" s="71" t="str">
        <f aca="false">IF(ISBLANK($C285),"",IF($AB285&lt;&gt;Constants!$B$7,"",IF(AJ285=1,AE285,AH285)))</f>
        <v/>
      </c>
      <c r="AV285" s="72" t="str">
        <f aca="false">IF(ISBLANK($C285),"",IF($AB285&lt;&gt;Constants!$B$7,$AB285,AL285))</f>
        <v/>
      </c>
      <c r="AW285" s="73" t="str">
        <f aca="false">IF(ISBLANK($C285),"",IF($AB285&lt;&gt;Constants!$B$7,$AB285,AC285))</f>
        <v/>
      </c>
      <c r="AX285" s="74" t="str">
        <f aca="false">IF(ISBLANK($C285),"",AQ285)</f>
        <v/>
      </c>
      <c r="AY285" s="74" t="str">
        <f aca="false">IF(ISBLANK($C285),"",AP285)</f>
        <v/>
      </c>
      <c r="AZ285" s="75" t="str">
        <f aca="false">IF(ISBLANK($C285),"",IF(AY285=Constants!$B$4,COUNTA($C$8:$C$507)+2,IF(AY285=Constants!$B$5,COUNTA($C$8:$C$507)+1,IF(AY285=Constants!$B$6,COUNTA($C$8:$C$507),AY285))))</f>
        <v/>
      </c>
      <c r="BA285" s="5"/>
      <c r="BB285" s="76" t="n">
        <f aca="false">IF(OR(ISNUMBER(AY285),AY285=Constants!$B$4,AY285=Constants!$B$6,AY285=Constants!$B$5),1,0)</f>
        <v>0</v>
      </c>
      <c r="BC285" s="76" t="n">
        <v>278</v>
      </c>
      <c r="BD285" s="76" t="str">
        <f aca="false">IF(ISBLANK($C285),"",IF(ISNUMBER(AZ285),AZ285+ROW($B285)/1000,""))</f>
        <v/>
      </c>
      <c r="BE285" s="76" t="str">
        <f aca="false">IF(ISNUMBER(BD285),RANK(BD285,$BD$8:$BD$507,1),"")</f>
        <v/>
      </c>
      <c r="BF285" s="76" t="str">
        <f aca="false">IF(ISBLANK($C285),"",$B285)</f>
        <v/>
      </c>
      <c r="BG285" s="76" t="str">
        <f aca="false">IF(ISBLANK($C285),"",$C285)</f>
        <v/>
      </c>
      <c r="BH285" s="76" t="str">
        <f aca="false">IF(ISBLANK($C285),"",$D285)</f>
        <v/>
      </c>
      <c r="BI285" s="77" t="str">
        <f aca="false">AW285</f>
        <v/>
      </c>
      <c r="BJ285" s="78" t="str">
        <f aca="false">AV285</f>
        <v/>
      </c>
      <c r="BK285" s="76" t="str">
        <f aca="false">IF(ISBLANK($C285),"",AY285)</f>
        <v/>
      </c>
      <c r="BL285" s="79" t="str">
        <f aca="false">IF($BC285&gt;$BB$7,"",VLOOKUP($BC285,$BE$8:$BK$507,7,FALSE()))</f>
        <v/>
      </c>
      <c r="BM285" s="80" t="str">
        <f aca="false">IF($BC285&gt;$BB$7,"",VLOOKUP($BC285,$BE$8:$BK$507,2,FALSE()))</f>
        <v/>
      </c>
      <c r="BN285" s="80" t="str">
        <f aca="false">IF($BC285&gt;$BB$7,"",VLOOKUP($BC285,$BE$8:$BK$507,3,FALSE()))</f>
        <v/>
      </c>
      <c r="BO285" s="80" t="str">
        <f aca="false">IF($BC285&gt;$BB$7,"",VLOOKUP($BC285,$BE$8:$BK$507,4,FALSE()))</f>
        <v/>
      </c>
      <c r="BP285" s="80" t="str">
        <f aca="false">IF($BC285&gt;$BB$7,"",VLOOKUP($BC285,$BE$8:$BK$507,5,FALSE()))</f>
        <v/>
      </c>
      <c r="BQ285" s="81" t="str">
        <f aca="false">IF($BC285&gt;$BB$7,"",VLOOKUP($BC285,$BE$8:$BK$507,6,FALSE()))</f>
        <v/>
      </c>
      <c r="BR285" s="54"/>
    </row>
    <row r="286" customFormat="false" ht="15.75" hidden="false" customHeight="false" outlineLevel="0" collapsed="false">
      <c r="A286" s="5"/>
      <c r="B286" s="124"/>
      <c r="C286" s="56"/>
      <c r="D286" s="57"/>
      <c r="E286" s="83"/>
      <c r="F286" s="59"/>
      <c r="G286" s="60"/>
      <c r="H286" s="61"/>
      <c r="I286" s="62"/>
      <c r="J286" s="59"/>
      <c r="K286" s="60"/>
      <c r="L286" s="61"/>
      <c r="M286" s="62"/>
      <c r="N286" s="59"/>
      <c r="O286" s="83"/>
      <c r="P286" s="64"/>
      <c r="Q286" s="66" t="str">
        <f aca="false">IF(ISBLANK($C286),"",IF(E286=Constants!$B$2, TRUE(), IF(E286=Constants!$B$3, FALSE(), TRUE())))</f>
        <v/>
      </c>
      <c r="R286" s="66" t="str">
        <f aca="false">IF(ISBLANK($C286),"",IF(F286=Constants!$B$16,Constants!$B$9,IF(F286=Constants!$B$17,Constants!$B$10,Constants!$B$8)))</f>
        <v/>
      </c>
      <c r="S286" s="66" t="str">
        <f aca="false">IF(ISBLANK($C286),"",IF(COUNTA(G286:H286)=0,"",IF(AND(OR(ISBLANK(G286),AND(ISNUMBER(G286),G286&gt;=0)),OR(ISBLANK(H286),AND(ISNUMBER(H286),H286&gt;=0))),60*IF(ISBLANK(G286),0,G286)+IF(ISBLANK(H286),0,H286),"")))</f>
        <v/>
      </c>
      <c r="T286" s="66" t="str">
        <f aca="false">IF(ISBLANK($C286),"",IF(I286=Constants!$B$2, TRUE(), IF(I286=Constants!$B$3, FALSE(), TRUE())))</f>
        <v/>
      </c>
      <c r="U286" s="66" t="str">
        <f aca="false">IF(ISBLANK($C286),"",IF(J286=Constants!$B$2, TRUE(), IF(J286=Constants!$B$3, FALSE(), TRUE())))</f>
        <v/>
      </c>
      <c r="V286" s="66" t="str">
        <f aca="false">IF(ISBLANK($C286),"",IF(COUNTA(K286:L286)=0,"",IF(AND(OR(ISBLANK(K286),AND(ISNUMBER(K286),K286&gt;=0)),OR(ISBLANK(L286),AND(ISNUMBER(L286),L286&gt;=0))),60*IF(ISBLANK(K286),0,K286)+IF(ISBLANK(L286),0,L286),"")))</f>
        <v/>
      </c>
      <c r="W286" s="66" t="str">
        <f aca="false">IF(ISBLANK($C286),"",IF(M286=Constants!$B$2, TRUE(), IF(M286=Constants!$B$3, FALSE(), TRUE())))</f>
        <v/>
      </c>
      <c r="X286" s="66" t="str">
        <f aca="false">IF(ISBLANK($C286),"",IF(N286=Constants!$B$2, TRUE(), IF(N286=Constants!$B$3, FALSE(), TRUE())))</f>
        <v/>
      </c>
      <c r="Y286" s="66" t="str">
        <f aca="false">IF(ISBLANK($C286),"",IF(O286=Constants!$B$2, TRUE(), IF(O286=Constants!$B$3, FALSE(), FALSE())))</f>
        <v/>
      </c>
      <c r="Z286" s="66" t="str">
        <f aca="false">IF(ISBLANK($C286),"",AND(S286&lt;&gt;"",Q286))</f>
        <v/>
      </c>
      <c r="AA286" s="66" t="str">
        <f aca="false">IF(ISBLANK($C286),"",AND(V286&lt;&gt;"",Q286))</f>
        <v/>
      </c>
      <c r="AB286" s="66" t="str">
        <f aca="false">IF(ISBLANK($C286),"",IF(Y286,Constants!$B$4,IF(COUNTA(E286:N286)=0,Constants!$B$5,IF(NOT(Q286),Constants!$B$6,IF(AND(NOT(Z286),NOT(AA286)),Constants!$B$6,Constants!$B$7)))))</f>
        <v/>
      </c>
      <c r="AC286" s="66" t="str">
        <f aca="false">IF(ISBLANK($C286),"",IF($AB286&lt;&gt;Constants!$B$7,$AB286,Constants!$B$20))</f>
        <v/>
      </c>
      <c r="AD286" s="66" t="str">
        <f aca="false">IF($AB286=Constants!$B$7,IF(Z286,S286,Constants!$B$13),"")</f>
        <v/>
      </c>
      <c r="AE286" s="66" t="str">
        <f aca="false">IF($AB286=Constants!$B$7,IF(Z286,R286*IF(T286, 1, Constants!$B$11)*IF(U286, 1, Constants!$B$12),Constants!$B$13),"")</f>
        <v/>
      </c>
      <c r="AF286" s="66" t="str">
        <f aca="false">IF($AB286=Constants!$B$7,AD286*AE286,"")</f>
        <v/>
      </c>
      <c r="AG286" s="66" t="str">
        <f aca="false">IF($AB286=Constants!$B$7,IF(AA286,V286,Constants!$B$13),"")</f>
        <v/>
      </c>
      <c r="AH286" s="66" t="str">
        <f aca="false">IF($AB286=Constants!$B$7,IF(AA286,R286*IF(W286, 1, Constants!$B$11)*IF(X286, 1, Constants!$B$12),Constants!$B$13),"")</f>
        <v/>
      </c>
      <c r="AI286" s="66" t="str">
        <f aca="false">IF($AB286=Constants!$B$7,AG286*AH286,"")</f>
        <v/>
      </c>
      <c r="AJ286" s="66" t="str">
        <f aca="false">IF($AB286=Constants!$B$7,IF(AI286&gt;AF286,2,1),"")</f>
        <v/>
      </c>
      <c r="AK286" s="66" t="str">
        <f aca="false">IF($AB286=Constants!$B$7,IF(AJ286=1,2,1),"")</f>
        <v/>
      </c>
      <c r="AL286" s="66" t="str">
        <f aca="false">IF(ISBLANK($C286),"",IF($AB286&lt;&gt;Constants!$B$7,$AB286,IF(AJ286=1,AF286,AI286)))</f>
        <v/>
      </c>
      <c r="AM286" s="66" t="str">
        <f aca="false">IF(ISBLANK($C286),"",IF($AB286=Constants!$B$7,IF(ISNUMBER(AL286),RANK(AL286,$AL$8:$AL$507),Constants!$B$14),$AB286))</f>
        <v/>
      </c>
      <c r="AN286" s="66" t="str">
        <f aca="false">IF(ISBLANK($C286),"",IF($AB286=Constants!$B$7,IF(AK286=1,AF286,AI286),""))</f>
        <v/>
      </c>
      <c r="AO286" s="66" t="str">
        <f aca="false">IF(ISBLANK($C286),"",IF($AB286=Constants!$B$7,RANK(AN286,$AN$8:$AN$507),$AB286))</f>
        <v/>
      </c>
      <c r="AP286" s="66" t="str">
        <f aca="false">IF(ISBLANK($C286),"",IF($AB286=Constants!$B$7,IF(ISNUMBER(AM286),COUNTIFS($AM$8:$AM$507,"&lt;"&amp;$AM286)+COUNTIFS($AM$8:$AM$507,$AM286,$AO$8:$AO$507,"&lt;"&amp;$AO286)+1,Constants!$B$14),$AB286))</f>
        <v/>
      </c>
      <c r="AQ286" s="66" t="str">
        <f aca="false">IF(ISBLANK($C286),"",IF($AB286=Constants!$B$7,IF(ISNUMBER(AM286),AM286-AP286,Constants!$B$14),$AB286))</f>
        <v/>
      </c>
      <c r="AR286" s="68"/>
      <c r="AS286" s="69" t="str">
        <f aca="false">IF(ISBLANK($C286),"",IF($AB286&lt;&gt;Constants!$B$7,"",AJ286))</f>
        <v/>
      </c>
      <c r="AT286" s="84" t="str">
        <f aca="false">IF(ISBLANK($C286),"",IF($AB286&lt;&gt;Constants!$B$7,"",IF(AJ286=1,AD286,AG286)))</f>
        <v/>
      </c>
      <c r="AU286" s="71" t="str">
        <f aca="false">IF(ISBLANK($C286),"",IF($AB286&lt;&gt;Constants!$B$7,"",IF(AJ286=1,AE286,AH286)))</f>
        <v/>
      </c>
      <c r="AV286" s="72" t="str">
        <f aca="false">IF(ISBLANK($C286),"",IF($AB286&lt;&gt;Constants!$B$7,$AB286,AL286))</f>
        <v/>
      </c>
      <c r="AW286" s="73" t="str">
        <f aca="false">IF(ISBLANK($C286),"",IF($AB286&lt;&gt;Constants!$B$7,$AB286,AC286))</f>
        <v/>
      </c>
      <c r="AX286" s="74" t="str">
        <f aca="false">IF(ISBLANK($C286),"",AQ286)</f>
        <v/>
      </c>
      <c r="AY286" s="74" t="str">
        <f aca="false">IF(ISBLANK($C286),"",AP286)</f>
        <v/>
      </c>
      <c r="AZ286" s="75" t="str">
        <f aca="false">IF(ISBLANK($C286),"",IF(AY286=Constants!$B$4,COUNTA($C$8:$C$507)+2,IF(AY286=Constants!$B$5,COUNTA($C$8:$C$507)+1,IF(AY286=Constants!$B$6,COUNTA($C$8:$C$507),AY286))))</f>
        <v/>
      </c>
      <c r="BA286" s="5"/>
      <c r="BB286" s="76" t="n">
        <f aca="false">IF(OR(ISNUMBER(AY286),AY286=Constants!$B$4,AY286=Constants!$B$6,AY286=Constants!$B$5),1,0)</f>
        <v>0</v>
      </c>
      <c r="BC286" s="76" t="n">
        <v>279</v>
      </c>
      <c r="BD286" s="76" t="str">
        <f aca="false">IF(ISBLANK($C286),"",IF(ISNUMBER(AZ286),AZ286+ROW($B286)/1000,""))</f>
        <v/>
      </c>
      <c r="BE286" s="76" t="str">
        <f aca="false">IF(ISNUMBER(BD286),RANK(BD286,$BD$8:$BD$507,1),"")</f>
        <v/>
      </c>
      <c r="BF286" s="76" t="str">
        <f aca="false">IF(ISBLANK($C286),"",$B286)</f>
        <v/>
      </c>
      <c r="BG286" s="76" t="str">
        <f aca="false">IF(ISBLANK($C286),"",$C286)</f>
        <v/>
      </c>
      <c r="BH286" s="76" t="str">
        <f aca="false">IF(ISBLANK($C286),"",$D286)</f>
        <v/>
      </c>
      <c r="BI286" s="77" t="str">
        <f aca="false">AW286</f>
        <v/>
      </c>
      <c r="BJ286" s="78" t="str">
        <f aca="false">AV286</f>
        <v/>
      </c>
      <c r="BK286" s="76" t="str">
        <f aca="false">IF(ISBLANK($C286),"",AY286)</f>
        <v/>
      </c>
      <c r="BL286" s="79" t="str">
        <f aca="false">IF($BC286&gt;$BB$7,"",VLOOKUP($BC286,$BE$8:$BK$507,7,FALSE()))</f>
        <v/>
      </c>
      <c r="BM286" s="80" t="str">
        <f aca="false">IF($BC286&gt;$BB$7,"",VLOOKUP($BC286,$BE$8:$BK$507,2,FALSE()))</f>
        <v/>
      </c>
      <c r="BN286" s="80" t="str">
        <f aca="false">IF($BC286&gt;$BB$7,"",VLOOKUP($BC286,$BE$8:$BK$507,3,FALSE()))</f>
        <v/>
      </c>
      <c r="BO286" s="80" t="str">
        <f aca="false">IF($BC286&gt;$BB$7,"",VLOOKUP($BC286,$BE$8:$BK$507,4,FALSE()))</f>
        <v/>
      </c>
      <c r="BP286" s="80" t="str">
        <f aca="false">IF($BC286&gt;$BB$7,"",VLOOKUP($BC286,$BE$8:$BK$507,5,FALSE()))</f>
        <v/>
      </c>
      <c r="BQ286" s="81" t="str">
        <f aca="false">IF($BC286&gt;$BB$7,"",VLOOKUP($BC286,$BE$8:$BK$507,6,FALSE()))</f>
        <v/>
      </c>
      <c r="BR286" s="54"/>
    </row>
    <row r="287" customFormat="false" ht="15.75" hidden="false" customHeight="false" outlineLevel="0" collapsed="false">
      <c r="A287" s="5"/>
      <c r="B287" s="120"/>
      <c r="C287" s="121"/>
      <c r="D287" s="112"/>
      <c r="E287" s="123"/>
      <c r="F287" s="91"/>
      <c r="G287" s="92"/>
      <c r="H287" s="93"/>
      <c r="I287" s="94"/>
      <c r="J287" s="91"/>
      <c r="K287" s="92"/>
      <c r="L287" s="93"/>
      <c r="M287" s="94"/>
      <c r="N287" s="91"/>
      <c r="O287" s="123"/>
      <c r="P287" s="96"/>
      <c r="Q287" s="97" t="str">
        <f aca="false">IF(ISBLANK($C287),"",IF(E287=Constants!$B$2, TRUE(), IF(E287=Constants!$B$3, FALSE(), TRUE())))</f>
        <v/>
      </c>
      <c r="R287" s="97" t="str">
        <f aca="false">IF(ISBLANK($C287),"",IF(F287=Constants!$B$16,Constants!$B$9,IF(F287=Constants!$B$17,Constants!$B$10,Constants!$B$8)))</f>
        <v/>
      </c>
      <c r="S287" s="97" t="str">
        <f aca="false">IF(ISBLANK($C287),"",IF(COUNTA(G287:H287)=0,"",IF(AND(OR(ISBLANK(G287),AND(ISNUMBER(G287),G287&gt;=0)),OR(ISBLANK(H287),AND(ISNUMBER(H287),H287&gt;=0))),60*IF(ISBLANK(G287),0,G287)+IF(ISBLANK(H287),0,H287),"")))</f>
        <v/>
      </c>
      <c r="T287" s="97" t="str">
        <f aca="false">IF(ISBLANK($C287),"",IF(I287=Constants!$B$2, TRUE(), IF(I287=Constants!$B$3, FALSE(), TRUE())))</f>
        <v/>
      </c>
      <c r="U287" s="97" t="str">
        <f aca="false">IF(ISBLANK($C287),"",IF(J287=Constants!$B$2, TRUE(), IF(J287=Constants!$B$3, FALSE(), TRUE())))</f>
        <v/>
      </c>
      <c r="V287" s="97" t="str">
        <f aca="false">IF(ISBLANK($C287),"",IF(COUNTA(K287:L287)=0,"",IF(AND(OR(ISBLANK(K287),AND(ISNUMBER(K287),K287&gt;=0)),OR(ISBLANK(L287),AND(ISNUMBER(L287),L287&gt;=0))),60*IF(ISBLANK(K287),0,K287)+IF(ISBLANK(L287),0,L287),"")))</f>
        <v/>
      </c>
      <c r="W287" s="97" t="str">
        <f aca="false">IF(ISBLANK($C287),"",IF(M287=Constants!$B$2, TRUE(), IF(M287=Constants!$B$3, FALSE(), TRUE())))</f>
        <v/>
      </c>
      <c r="X287" s="97" t="str">
        <f aca="false">IF(ISBLANK($C287),"",IF(N287=Constants!$B$2, TRUE(), IF(N287=Constants!$B$3, FALSE(), TRUE())))</f>
        <v/>
      </c>
      <c r="Y287" s="97" t="str">
        <f aca="false">IF(ISBLANK($C287),"",IF(O287=Constants!$B$2, TRUE(), IF(O287=Constants!$B$3, FALSE(), FALSE())))</f>
        <v/>
      </c>
      <c r="Z287" s="97" t="str">
        <f aca="false">IF(ISBLANK($C287),"",AND(S287&lt;&gt;"",Q287))</f>
        <v/>
      </c>
      <c r="AA287" s="97" t="str">
        <f aca="false">IF(ISBLANK($C287),"",AND(V287&lt;&gt;"",Q287))</f>
        <v/>
      </c>
      <c r="AB287" s="97" t="str">
        <f aca="false">IF(ISBLANK($C287),"",IF(Y287,Constants!$B$4,IF(COUNTA(E287:N287)=0,Constants!$B$5,IF(NOT(Q287),Constants!$B$6,IF(AND(NOT(Z287),NOT(AA287)),Constants!$B$6,Constants!$B$7)))))</f>
        <v/>
      </c>
      <c r="AC287" s="97" t="str">
        <f aca="false">IF(ISBLANK($C287),"",IF($AB287&lt;&gt;Constants!$B$7,$AB287,Constants!$B$20))</f>
        <v/>
      </c>
      <c r="AD287" s="97" t="str">
        <f aca="false">IF($AB287=Constants!$B$7,IF(Z287,S287,Constants!$B$13),"")</f>
        <v/>
      </c>
      <c r="AE287" s="97" t="str">
        <f aca="false">IF($AB287=Constants!$B$7,IF(Z287,R287*IF(T287, 1, Constants!$B$11)*IF(U287, 1, Constants!$B$12),Constants!$B$13),"")</f>
        <v/>
      </c>
      <c r="AF287" s="97" t="str">
        <f aca="false">IF($AB287=Constants!$B$7,AD287*AE287,"")</f>
        <v/>
      </c>
      <c r="AG287" s="97" t="str">
        <f aca="false">IF($AB287=Constants!$B$7,IF(AA287,V287,Constants!$B$13),"")</f>
        <v/>
      </c>
      <c r="AH287" s="97" t="str">
        <f aca="false">IF($AB287=Constants!$B$7,IF(AA287,R287*IF(W287, 1, Constants!$B$11)*IF(X287, 1, Constants!$B$12),Constants!$B$13),"")</f>
        <v/>
      </c>
      <c r="AI287" s="97" t="str">
        <f aca="false">IF($AB287=Constants!$B$7,AG287*AH287,"")</f>
        <v/>
      </c>
      <c r="AJ287" s="97" t="str">
        <f aca="false">IF($AB287=Constants!$B$7,IF(AI287&gt;AF287,2,1),"")</f>
        <v/>
      </c>
      <c r="AK287" s="97" t="str">
        <f aca="false">IF($AB287=Constants!$B$7,IF(AJ287=1,2,1),"")</f>
        <v/>
      </c>
      <c r="AL287" s="97" t="str">
        <f aca="false">IF(ISBLANK($C287),"",IF($AB287&lt;&gt;Constants!$B$7,$AB287,IF(AJ287=1,AF287,AI287)))</f>
        <v/>
      </c>
      <c r="AM287" s="97" t="str">
        <f aca="false">IF(ISBLANK($C287),"",IF($AB287=Constants!$B$7,IF(ISNUMBER(AL287),RANK(AL287,$AL$8:$AL$507),Constants!$B$14),$AB287))</f>
        <v/>
      </c>
      <c r="AN287" s="97" t="str">
        <f aca="false">IF(ISBLANK($C287),"",IF($AB287=Constants!$B$7,IF(AK287=1,AF287,AI287),""))</f>
        <v/>
      </c>
      <c r="AO287" s="97" t="str">
        <f aca="false">IF(ISBLANK($C287),"",IF($AB287=Constants!$B$7,RANK(AN287,$AN$8:$AN$507),$AB287))</f>
        <v/>
      </c>
      <c r="AP287" s="97" t="str">
        <f aca="false">IF(ISBLANK($C287),"",IF($AB287=Constants!$B$7,IF(ISNUMBER(AM287),COUNTIFS($AM$8:$AM$507,"&lt;"&amp;$AM287)+COUNTIFS($AM$8:$AM$507,$AM287,$AO$8:$AO$507,"&lt;"&amp;$AO287)+1,Constants!$B$14),$AB287))</f>
        <v/>
      </c>
      <c r="AQ287" s="97" t="str">
        <f aca="false">IF(ISBLANK($C287),"",IF($AB287=Constants!$B$7,IF(ISNUMBER(AM287),AM287-AP287,Constants!$B$14),$AB287))</f>
        <v/>
      </c>
      <c r="AR287" s="98"/>
      <c r="AS287" s="99" t="str">
        <f aca="false">IF(ISBLANK($C287),"",IF($AB287&lt;&gt;Constants!$B$7,"",AJ287))</f>
        <v/>
      </c>
      <c r="AT287" s="100" t="str">
        <f aca="false">IF(ISBLANK($C287),"",IF($AB287&lt;&gt;Constants!$B$7,"",IF(AJ287=1,AD287,AG287)))</f>
        <v/>
      </c>
      <c r="AU287" s="101" t="str">
        <f aca="false">IF(ISBLANK($C287),"",IF($AB287&lt;&gt;Constants!$B$7,"",IF(AJ287=1,AE287,AH287)))</f>
        <v/>
      </c>
      <c r="AV287" s="102" t="str">
        <f aca="false">IF(ISBLANK($C287),"",IF($AB287&lt;&gt;Constants!$B$7,$AB287,AL287))</f>
        <v/>
      </c>
      <c r="AW287" s="103" t="str">
        <f aca="false">IF(ISBLANK($C287),"",IF($AB287&lt;&gt;Constants!$B$7,$AB287,AC287))</f>
        <v/>
      </c>
      <c r="AX287" s="104" t="str">
        <f aca="false">IF(ISBLANK($C287),"",AQ287)</f>
        <v/>
      </c>
      <c r="AY287" s="104" t="str">
        <f aca="false">IF(ISBLANK($C287),"",AP287)</f>
        <v/>
      </c>
      <c r="AZ287" s="105" t="str">
        <f aca="false">IF(ISBLANK($C287),"",IF(AY287=Constants!$B$4,COUNTA($C$8:$C$507)+2,IF(AY287=Constants!$B$5,COUNTA($C$8:$C$507)+1,IF(AY287=Constants!$B$6,COUNTA($C$8:$C$507),AY287))))</f>
        <v/>
      </c>
      <c r="BA287" s="5"/>
      <c r="BB287" s="106" t="n">
        <f aca="false">IF(OR(ISNUMBER(AY287),AY287=Constants!$B$4,AY287=Constants!$B$6,AY287=Constants!$B$5),1,0)</f>
        <v>0</v>
      </c>
      <c r="BC287" s="106" t="n">
        <v>280</v>
      </c>
      <c r="BD287" s="106" t="str">
        <f aca="false">IF(ISBLANK($C287),"",IF(ISNUMBER(AZ287),AZ287+ROW($B287)/1000,""))</f>
        <v/>
      </c>
      <c r="BE287" s="106" t="str">
        <f aca="false">IF(ISNUMBER(BD287),RANK(BD287,$BD$8:$BD$507,1),"")</f>
        <v/>
      </c>
      <c r="BF287" s="106" t="str">
        <f aca="false">IF(ISBLANK($C287),"",$B287)</f>
        <v/>
      </c>
      <c r="BG287" s="106" t="str">
        <f aca="false">IF(ISBLANK($C287),"",$C287)</f>
        <v/>
      </c>
      <c r="BH287" s="106" t="str">
        <f aca="false">IF(ISBLANK($C287),"",$D287)</f>
        <v/>
      </c>
      <c r="BI287" s="107" t="str">
        <f aca="false">AW287</f>
        <v/>
      </c>
      <c r="BJ287" s="108" t="str">
        <f aca="false">AV287</f>
        <v/>
      </c>
      <c r="BK287" s="106" t="str">
        <f aca="false">IF(ISBLANK($C287),"",AY287)</f>
        <v/>
      </c>
      <c r="BL287" s="109" t="str">
        <f aca="false">IF($BC287&gt;$BB$7,"",VLOOKUP($BC287,$BE$8:$BK$507,7,FALSE()))</f>
        <v/>
      </c>
      <c r="BM287" s="110" t="str">
        <f aca="false">IF($BC287&gt;$BB$7,"",VLOOKUP($BC287,$BE$8:$BK$507,2,FALSE()))</f>
        <v/>
      </c>
      <c r="BN287" s="110" t="str">
        <f aca="false">IF($BC287&gt;$BB$7,"",VLOOKUP($BC287,$BE$8:$BK$507,3,FALSE()))</f>
        <v/>
      </c>
      <c r="BO287" s="110" t="str">
        <f aca="false">IF($BC287&gt;$BB$7,"",VLOOKUP($BC287,$BE$8:$BK$507,4,FALSE()))</f>
        <v/>
      </c>
      <c r="BP287" s="110" t="str">
        <f aca="false">IF($BC287&gt;$BB$7,"",VLOOKUP($BC287,$BE$8:$BK$507,5,FALSE()))</f>
        <v/>
      </c>
      <c r="BQ287" s="111" t="str">
        <f aca="false">IF($BC287&gt;$BB$7,"",VLOOKUP($BC287,$BE$8:$BK$507,6,FALSE()))</f>
        <v/>
      </c>
      <c r="BR287" s="54"/>
    </row>
    <row r="288" customFormat="false" ht="15.75" hidden="false" customHeight="false" outlineLevel="0" collapsed="false">
      <c r="A288" s="5"/>
      <c r="B288" s="120"/>
      <c r="C288" s="121"/>
      <c r="D288" s="112"/>
      <c r="E288" s="123"/>
      <c r="F288" s="91"/>
      <c r="G288" s="92"/>
      <c r="H288" s="93"/>
      <c r="I288" s="94"/>
      <c r="J288" s="91"/>
      <c r="K288" s="92"/>
      <c r="L288" s="93"/>
      <c r="M288" s="94"/>
      <c r="N288" s="91"/>
      <c r="O288" s="123"/>
      <c r="P288" s="96"/>
      <c r="Q288" s="97" t="str">
        <f aca="false">IF(ISBLANK($C288),"",IF(E288=Constants!$B$2, TRUE(), IF(E288=Constants!$B$3, FALSE(), TRUE())))</f>
        <v/>
      </c>
      <c r="R288" s="97" t="str">
        <f aca="false">IF(ISBLANK($C288),"",IF(F288=Constants!$B$16,Constants!$B$9,IF(F288=Constants!$B$17,Constants!$B$10,Constants!$B$8)))</f>
        <v/>
      </c>
      <c r="S288" s="97" t="str">
        <f aca="false">IF(ISBLANK($C288),"",IF(COUNTA(G288:H288)=0,"",IF(AND(OR(ISBLANK(G288),AND(ISNUMBER(G288),G288&gt;=0)),OR(ISBLANK(H288),AND(ISNUMBER(H288),H288&gt;=0))),60*IF(ISBLANK(G288),0,G288)+IF(ISBLANK(H288),0,H288),"")))</f>
        <v/>
      </c>
      <c r="T288" s="97" t="str">
        <f aca="false">IF(ISBLANK($C288),"",IF(I288=Constants!$B$2, TRUE(), IF(I288=Constants!$B$3, FALSE(), TRUE())))</f>
        <v/>
      </c>
      <c r="U288" s="97" t="str">
        <f aca="false">IF(ISBLANK($C288),"",IF(J288=Constants!$B$2, TRUE(), IF(J288=Constants!$B$3, FALSE(), TRUE())))</f>
        <v/>
      </c>
      <c r="V288" s="97" t="str">
        <f aca="false">IF(ISBLANK($C288),"",IF(COUNTA(K288:L288)=0,"",IF(AND(OR(ISBLANK(K288),AND(ISNUMBER(K288),K288&gt;=0)),OR(ISBLANK(L288),AND(ISNUMBER(L288),L288&gt;=0))),60*IF(ISBLANK(K288),0,K288)+IF(ISBLANK(L288),0,L288),"")))</f>
        <v/>
      </c>
      <c r="W288" s="97" t="str">
        <f aca="false">IF(ISBLANK($C288),"",IF(M288=Constants!$B$2, TRUE(), IF(M288=Constants!$B$3, FALSE(), TRUE())))</f>
        <v/>
      </c>
      <c r="X288" s="97" t="str">
        <f aca="false">IF(ISBLANK($C288),"",IF(N288=Constants!$B$2, TRUE(), IF(N288=Constants!$B$3, FALSE(), TRUE())))</f>
        <v/>
      </c>
      <c r="Y288" s="97" t="str">
        <f aca="false">IF(ISBLANK($C288),"",IF(O288=Constants!$B$2, TRUE(), IF(O288=Constants!$B$3, FALSE(), FALSE())))</f>
        <v/>
      </c>
      <c r="Z288" s="97" t="str">
        <f aca="false">IF(ISBLANK($C288),"",AND(S288&lt;&gt;"",Q288))</f>
        <v/>
      </c>
      <c r="AA288" s="97" t="str">
        <f aca="false">IF(ISBLANK($C288),"",AND(V288&lt;&gt;"",Q288))</f>
        <v/>
      </c>
      <c r="AB288" s="97" t="str">
        <f aca="false">IF(ISBLANK($C288),"",IF(Y288,Constants!$B$4,IF(COUNTA(E288:N288)=0,Constants!$B$5,IF(NOT(Q288),Constants!$B$6,IF(AND(NOT(Z288),NOT(AA288)),Constants!$B$6,Constants!$B$7)))))</f>
        <v/>
      </c>
      <c r="AC288" s="97" t="str">
        <f aca="false">IF(ISBLANK($C288),"",IF($AB288&lt;&gt;Constants!$B$7,$AB288,Constants!$B$20))</f>
        <v/>
      </c>
      <c r="AD288" s="97" t="str">
        <f aca="false">IF($AB288=Constants!$B$7,IF(Z288,S288,Constants!$B$13),"")</f>
        <v/>
      </c>
      <c r="AE288" s="97" t="str">
        <f aca="false">IF($AB288=Constants!$B$7,IF(Z288,R288*IF(T288, 1, Constants!$B$11)*IF(U288, 1, Constants!$B$12),Constants!$B$13),"")</f>
        <v/>
      </c>
      <c r="AF288" s="97" t="str">
        <f aca="false">IF($AB288=Constants!$B$7,AD288*AE288,"")</f>
        <v/>
      </c>
      <c r="AG288" s="97" t="str">
        <f aca="false">IF($AB288=Constants!$B$7,IF(AA288,V288,Constants!$B$13),"")</f>
        <v/>
      </c>
      <c r="AH288" s="97" t="str">
        <f aca="false">IF($AB288=Constants!$B$7,IF(AA288,R288*IF(W288, 1, Constants!$B$11)*IF(X288, 1, Constants!$B$12),Constants!$B$13),"")</f>
        <v/>
      </c>
      <c r="AI288" s="97" t="str">
        <f aca="false">IF($AB288=Constants!$B$7,AG288*AH288,"")</f>
        <v/>
      </c>
      <c r="AJ288" s="97" t="str">
        <f aca="false">IF($AB288=Constants!$B$7,IF(AI288&gt;AF288,2,1),"")</f>
        <v/>
      </c>
      <c r="AK288" s="97" t="str">
        <f aca="false">IF($AB288=Constants!$B$7,IF(AJ288=1,2,1),"")</f>
        <v/>
      </c>
      <c r="AL288" s="97" t="str">
        <f aca="false">IF(ISBLANK($C288),"",IF($AB288&lt;&gt;Constants!$B$7,$AB288,IF(AJ288=1,AF288,AI288)))</f>
        <v/>
      </c>
      <c r="AM288" s="97" t="str">
        <f aca="false">IF(ISBLANK($C288),"",IF($AB288=Constants!$B$7,IF(ISNUMBER(AL288),RANK(AL288,$AL$8:$AL$507),Constants!$B$14),$AB288))</f>
        <v/>
      </c>
      <c r="AN288" s="97" t="str">
        <f aca="false">IF(ISBLANK($C288),"",IF($AB288=Constants!$B$7,IF(AK288=1,AF288,AI288),""))</f>
        <v/>
      </c>
      <c r="AO288" s="97" t="str">
        <f aca="false">IF(ISBLANK($C288),"",IF($AB288=Constants!$B$7,RANK(AN288,$AN$8:$AN$507),$AB288))</f>
        <v/>
      </c>
      <c r="AP288" s="97" t="str">
        <f aca="false">IF(ISBLANK($C288),"",IF($AB288=Constants!$B$7,IF(ISNUMBER(AM288),COUNTIFS($AM$8:$AM$507,"&lt;"&amp;$AM288)+COUNTIFS($AM$8:$AM$507,$AM288,$AO$8:$AO$507,"&lt;"&amp;$AO288)+1,Constants!$B$14),$AB288))</f>
        <v/>
      </c>
      <c r="AQ288" s="97" t="str">
        <f aca="false">IF(ISBLANK($C288),"",IF($AB288=Constants!$B$7,IF(ISNUMBER(AM288),AM288-AP288,Constants!$B$14),$AB288))</f>
        <v/>
      </c>
      <c r="AR288" s="98"/>
      <c r="AS288" s="99" t="str">
        <f aca="false">IF(ISBLANK($C288),"",IF($AB288&lt;&gt;Constants!$B$7,"",AJ288))</f>
        <v/>
      </c>
      <c r="AT288" s="100" t="str">
        <f aca="false">IF(ISBLANK($C288),"",IF($AB288&lt;&gt;Constants!$B$7,"",IF(AJ288=1,AD288,AG288)))</f>
        <v/>
      </c>
      <c r="AU288" s="101" t="str">
        <f aca="false">IF(ISBLANK($C288),"",IF($AB288&lt;&gt;Constants!$B$7,"",IF(AJ288=1,AE288,AH288)))</f>
        <v/>
      </c>
      <c r="AV288" s="102" t="str">
        <f aca="false">IF(ISBLANK($C288),"",IF($AB288&lt;&gt;Constants!$B$7,$AB288,AL288))</f>
        <v/>
      </c>
      <c r="AW288" s="103" t="str">
        <f aca="false">IF(ISBLANK($C288),"",IF($AB288&lt;&gt;Constants!$B$7,$AB288,AC288))</f>
        <v/>
      </c>
      <c r="AX288" s="104" t="str">
        <f aca="false">IF(ISBLANK($C288),"",AQ288)</f>
        <v/>
      </c>
      <c r="AY288" s="104" t="str">
        <f aca="false">IF(ISBLANK($C288),"",AP288)</f>
        <v/>
      </c>
      <c r="AZ288" s="105" t="str">
        <f aca="false">IF(ISBLANK($C288),"",IF(AY288=Constants!$B$4,COUNTA($C$8:$C$507)+2,IF(AY288=Constants!$B$5,COUNTA($C$8:$C$507)+1,IF(AY288=Constants!$B$6,COUNTA($C$8:$C$507),AY288))))</f>
        <v/>
      </c>
      <c r="BA288" s="5"/>
      <c r="BB288" s="106" t="n">
        <f aca="false">IF(OR(ISNUMBER(AY288),AY288=Constants!$B$4,AY288=Constants!$B$6,AY288=Constants!$B$5),1,0)</f>
        <v>0</v>
      </c>
      <c r="BC288" s="106" t="n">
        <v>281</v>
      </c>
      <c r="BD288" s="106" t="str">
        <f aca="false">IF(ISBLANK($C288),"",IF(ISNUMBER(AZ288),AZ288+ROW($B288)/1000,""))</f>
        <v/>
      </c>
      <c r="BE288" s="106" t="str">
        <f aca="false">IF(ISNUMBER(BD288),RANK(BD288,$BD$8:$BD$507,1),"")</f>
        <v/>
      </c>
      <c r="BF288" s="106" t="str">
        <f aca="false">IF(ISBLANK($C288),"",$B288)</f>
        <v/>
      </c>
      <c r="BG288" s="106" t="str">
        <f aca="false">IF(ISBLANK($C288),"",$C288)</f>
        <v/>
      </c>
      <c r="BH288" s="106" t="str">
        <f aca="false">IF(ISBLANK($C288),"",$D288)</f>
        <v/>
      </c>
      <c r="BI288" s="107" t="str">
        <f aca="false">AW288</f>
        <v/>
      </c>
      <c r="BJ288" s="108" t="str">
        <f aca="false">AV288</f>
        <v/>
      </c>
      <c r="BK288" s="106" t="str">
        <f aca="false">IF(ISBLANK($C288),"",AY288)</f>
        <v/>
      </c>
      <c r="BL288" s="109" t="str">
        <f aca="false">IF($BC288&gt;$BB$7,"",VLOOKUP($BC288,$BE$8:$BK$507,7,FALSE()))</f>
        <v/>
      </c>
      <c r="BM288" s="110" t="str">
        <f aca="false">IF($BC288&gt;$BB$7,"",VLOOKUP($BC288,$BE$8:$BK$507,2,FALSE()))</f>
        <v/>
      </c>
      <c r="BN288" s="110" t="str">
        <f aca="false">IF($BC288&gt;$BB$7,"",VLOOKUP($BC288,$BE$8:$BK$507,3,FALSE()))</f>
        <v/>
      </c>
      <c r="BO288" s="110" t="str">
        <f aca="false">IF($BC288&gt;$BB$7,"",VLOOKUP($BC288,$BE$8:$BK$507,4,FALSE()))</f>
        <v/>
      </c>
      <c r="BP288" s="110" t="str">
        <f aca="false">IF($BC288&gt;$BB$7,"",VLOOKUP($BC288,$BE$8:$BK$507,5,FALSE()))</f>
        <v/>
      </c>
      <c r="BQ288" s="111" t="str">
        <f aca="false">IF($BC288&gt;$BB$7,"",VLOOKUP($BC288,$BE$8:$BK$507,6,FALSE()))</f>
        <v/>
      </c>
      <c r="BR288" s="54"/>
    </row>
    <row r="289" customFormat="false" ht="15.75" hidden="false" customHeight="false" outlineLevel="0" collapsed="false">
      <c r="A289" s="5"/>
      <c r="B289" s="120"/>
      <c r="C289" s="121"/>
      <c r="D289" s="112"/>
      <c r="E289" s="123"/>
      <c r="F289" s="91"/>
      <c r="G289" s="92"/>
      <c r="H289" s="93"/>
      <c r="I289" s="94"/>
      <c r="J289" s="91"/>
      <c r="K289" s="92"/>
      <c r="L289" s="93"/>
      <c r="M289" s="94"/>
      <c r="N289" s="91"/>
      <c r="O289" s="123"/>
      <c r="P289" s="96"/>
      <c r="Q289" s="97" t="str">
        <f aca="false">IF(ISBLANK($C289),"",IF(E289=Constants!$B$2, TRUE(), IF(E289=Constants!$B$3, FALSE(), TRUE())))</f>
        <v/>
      </c>
      <c r="R289" s="97" t="str">
        <f aca="false">IF(ISBLANK($C289),"",IF(F289=Constants!$B$16,Constants!$B$9,IF(F289=Constants!$B$17,Constants!$B$10,Constants!$B$8)))</f>
        <v/>
      </c>
      <c r="S289" s="97" t="str">
        <f aca="false">IF(ISBLANK($C289),"",IF(COUNTA(G289:H289)=0,"",IF(AND(OR(ISBLANK(G289),AND(ISNUMBER(G289),G289&gt;=0)),OR(ISBLANK(H289),AND(ISNUMBER(H289),H289&gt;=0))),60*IF(ISBLANK(G289),0,G289)+IF(ISBLANK(H289),0,H289),"")))</f>
        <v/>
      </c>
      <c r="T289" s="97" t="str">
        <f aca="false">IF(ISBLANK($C289),"",IF(I289=Constants!$B$2, TRUE(), IF(I289=Constants!$B$3, FALSE(), TRUE())))</f>
        <v/>
      </c>
      <c r="U289" s="97" t="str">
        <f aca="false">IF(ISBLANK($C289),"",IF(J289=Constants!$B$2, TRUE(), IF(J289=Constants!$B$3, FALSE(), TRUE())))</f>
        <v/>
      </c>
      <c r="V289" s="97" t="str">
        <f aca="false">IF(ISBLANK($C289),"",IF(COUNTA(K289:L289)=0,"",IF(AND(OR(ISBLANK(K289),AND(ISNUMBER(K289),K289&gt;=0)),OR(ISBLANK(L289),AND(ISNUMBER(L289),L289&gt;=0))),60*IF(ISBLANK(K289),0,K289)+IF(ISBLANK(L289),0,L289),"")))</f>
        <v/>
      </c>
      <c r="W289" s="97" t="str">
        <f aca="false">IF(ISBLANK($C289),"",IF(M289=Constants!$B$2, TRUE(), IF(M289=Constants!$B$3, FALSE(), TRUE())))</f>
        <v/>
      </c>
      <c r="X289" s="97" t="str">
        <f aca="false">IF(ISBLANK($C289),"",IF(N289=Constants!$B$2, TRUE(), IF(N289=Constants!$B$3, FALSE(), TRUE())))</f>
        <v/>
      </c>
      <c r="Y289" s="97" t="str">
        <f aca="false">IF(ISBLANK($C289),"",IF(O289=Constants!$B$2, TRUE(), IF(O289=Constants!$B$3, FALSE(), FALSE())))</f>
        <v/>
      </c>
      <c r="Z289" s="97" t="str">
        <f aca="false">IF(ISBLANK($C289),"",AND(S289&lt;&gt;"",Q289))</f>
        <v/>
      </c>
      <c r="AA289" s="97" t="str">
        <f aca="false">IF(ISBLANK($C289),"",AND(V289&lt;&gt;"",Q289))</f>
        <v/>
      </c>
      <c r="AB289" s="97" t="str">
        <f aca="false">IF(ISBLANK($C289),"",IF(Y289,Constants!$B$4,IF(COUNTA(E289:N289)=0,Constants!$B$5,IF(NOT(Q289),Constants!$B$6,IF(AND(NOT(Z289),NOT(AA289)),Constants!$B$6,Constants!$B$7)))))</f>
        <v/>
      </c>
      <c r="AC289" s="97" t="str">
        <f aca="false">IF(ISBLANK($C289),"",IF($AB289&lt;&gt;Constants!$B$7,$AB289,Constants!$B$20))</f>
        <v/>
      </c>
      <c r="AD289" s="97" t="str">
        <f aca="false">IF($AB289=Constants!$B$7,IF(Z289,S289,Constants!$B$13),"")</f>
        <v/>
      </c>
      <c r="AE289" s="97" t="str">
        <f aca="false">IF($AB289=Constants!$B$7,IF(Z289,R289*IF(T289, 1, Constants!$B$11)*IF(U289, 1, Constants!$B$12),Constants!$B$13),"")</f>
        <v/>
      </c>
      <c r="AF289" s="97" t="str">
        <f aca="false">IF($AB289=Constants!$B$7,AD289*AE289,"")</f>
        <v/>
      </c>
      <c r="AG289" s="97" t="str">
        <f aca="false">IF($AB289=Constants!$B$7,IF(AA289,V289,Constants!$B$13),"")</f>
        <v/>
      </c>
      <c r="AH289" s="97" t="str">
        <f aca="false">IF($AB289=Constants!$B$7,IF(AA289,R289*IF(W289, 1, Constants!$B$11)*IF(X289, 1, Constants!$B$12),Constants!$B$13),"")</f>
        <v/>
      </c>
      <c r="AI289" s="97" t="str">
        <f aca="false">IF($AB289=Constants!$B$7,AG289*AH289,"")</f>
        <v/>
      </c>
      <c r="AJ289" s="97" t="str">
        <f aca="false">IF($AB289=Constants!$B$7,IF(AI289&gt;AF289,2,1),"")</f>
        <v/>
      </c>
      <c r="AK289" s="97" t="str">
        <f aca="false">IF($AB289=Constants!$B$7,IF(AJ289=1,2,1),"")</f>
        <v/>
      </c>
      <c r="AL289" s="97" t="str">
        <f aca="false">IF(ISBLANK($C289),"",IF($AB289&lt;&gt;Constants!$B$7,$AB289,IF(AJ289=1,AF289,AI289)))</f>
        <v/>
      </c>
      <c r="AM289" s="97" t="str">
        <f aca="false">IF(ISBLANK($C289),"",IF($AB289=Constants!$B$7,IF(ISNUMBER(AL289),RANK(AL289,$AL$8:$AL$507),Constants!$B$14),$AB289))</f>
        <v/>
      </c>
      <c r="AN289" s="97" t="str">
        <f aca="false">IF(ISBLANK($C289),"",IF($AB289=Constants!$B$7,IF(AK289=1,AF289,AI289),""))</f>
        <v/>
      </c>
      <c r="AO289" s="97" t="str">
        <f aca="false">IF(ISBLANK($C289),"",IF($AB289=Constants!$B$7,RANK(AN289,$AN$8:$AN$507),$AB289))</f>
        <v/>
      </c>
      <c r="AP289" s="97" t="str">
        <f aca="false">IF(ISBLANK($C289),"",IF($AB289=Constants!$B$7,IF(ISNUMBER(AM289),COUNTIFS($AM$8:$AM$507,"&lt;"&amp;$AM289)+COUNTIFS($AM$8:$AM$507,$AM289,$AO$8:$AO$507,"&lt;"&amp;$AO289)+1,Constants!$B$14),$AB289))</f>
        <v/>
      </c>
      <c r="AQ289" s="97" t="str">
        <f aca="false">IF(ISBLANK($C289),"",IF($AB289=Constants!$B$7,IF(ISNUMBER(AM289),AM289-AP289,Constants!$B$14),$AB289))</f>
        <v/>
      </c>
      <c r="AR289" s="98"/>
      <c r="AS289" s="99" t="str">
        <f aca="false">IF(ISBLANK($C289),"",IF($AB289&lt;&gt;Constants!$B$7,"",AJ289))</f>
        <v/>
      </c>
      <c r="AT289" s="100" t="str">
        <f aca="false">IF(ISBLANK($C289),"",IF($AB289&lt;&gt;Constants!$B$7,"",IF(AJ289=1,AD289,AG289)))</f>
        <v/>
      </c>
      <c r="AU289" s="101" t="str">
        <f aca="false">IF(ISBLANK($C289),"",IF($AB289&lt;&gt;Constants!$B$7,"",IF(AJ289=1,AE289,AH289)))</f>
        <v/>
      </c>
      <c r="AV289" s="102" t="str">
        <f aca="false">IF(ISBLANK($C289),"",IF($AB289&lt;&gt;Constants!$B$7,$AB289,AL289))</f>
        <v/>
      </c>
      <c r="AW289" s="103" t="str">
        <f aca="false">IF(ISBLANK($C289),"",IF($AB289&lt;&gt;Constants!$B$7,$AB289,AC289))</f>
        <v/>
      </c>
      <c r="AX289" s="104" t="str">
        <f aca="false">IF(ISBLANK($C289),"",AQ289)</f>
        <v/>
      </c>
      <c r="AY289" s="104" t="str">
        <f aca="false">IF(ISBLANK($C289),"",AP289)</f>
        <v/>
      </c>
      <c r="AZ289" s="105" t="str">
        <f aca="false">IF(ISBLANK($C289),"",IF(AY289=Constants!$B$4,COUNTA($C$8:$C$507)+2,IF(AY289=Constants!$B$5,COUNTA($C$8:$C$507)+1,IF(AY289=Constants!$B$6,COUNTA($C$8:$C$507),AY289))))</f>
        <v/>
      </c>
      <c r="BA289" s="5"/>
      <c r="BB289" s="106" t="n">
        <f aca="false">IF(OR(ISNUMBER(AY289),AY289=Constants!$B$4,AY289=Constants!$B$6,AY289=Constants!$B$5),1,0)</f>
        <v>0</v>
      </c>
      <c r="BC289" s="106" t="n">
        <v>282</v>
      </c>
      <c r="BD289" s="106" t="str">
        <f aca="false">IF(ISBLANK($C289),"",IF(ISNUMBER(AZ289),AZ289+ROW($B289)/1000,""))</f>
        <v/>
      </c>
      <c r="BE289" s="106" t="str">
        <f aca="false">IF(ISNUMBER(BD289),RANK(BD289,$BD$8:$BD$507,1),"")</f>
        <v/>
      </c>
      <c r="BF289" s="106" t="str">
        <f aca="false">IF(ISBLANK($C289),"",$B289)</f>
        <v/>
      </c>
      <c r="BG289" s="106" t="str">
        <f aca="false">IF(ISBLANK($C289),"",$C289)</f>
        <v/>
      </c>
      <c r="BH289" s="106" t="str">
        <f aca="false">IF(ISBLANK($C289),"",$D289)</f>
        <v/>
      </c>
      <c r="BI289" s="107" t="str">
        <f aca="false">AW289</f>
        <v/>
      </c>
      <c r="BJ289" s="108" t="str">
        <f aca="false">AV289</f>
        <v/>
      </c>
      <c r="BK289" s="106" t="str">
        <f aca="false">IF(ISBLANK($C289),"",AY289)</f>
        <v/>
      </c>
      <c r="BL289" s="109" t="str">
        <f aca="false">IF($BC289&gt;$BB$7,"",VLOOKUP($BC289,$BE$8:$BK$507,7,FALSE()))</f>
        <v/>
      </c>
      <c r="BM289" s="110" t="str">
        <f aca="false">IF($BC289&gt;$BB$7,"",VLOOKUP($BC289,$BE$8:$BK$507,2,FALSE()))</f>
        <v/>
      </c>
      <c r="BN289" s="110" t="str">
        <f aca="false">IF($BC289&gt;$BB$7,"",VLOOKUP($BC289,$BE$8:$BK$507,3,FALSE()))</f>
        <v/>
      </c>
      <c r="BO289" s="110" t="str">
        <f aca="false">IF($BC289&gt;$BB$7,"",VLOOKUP($BC289,$BE$8:$BK$507,4,FALSE()))</f>
        <v/>
      </c>
      <c r="BP289" s="110" t="str">
        <f aca="false">IF($BC289&gt;$BB$7,"",VLOOKUP($BC289,$BE$8:$BK$507,5,FALSE()))</f>
        <v/>
      </c>
      <c r="BQ289" s="111" t="str">
        <f aca="false">IF($BC289&gt;$BB$7,"",VLOOKUP($BC289,$BE$8:$BK$507,6,FALSE()))</f>
        <v/>
      </c>
      <c r="BR289" s="54"/>
    </row>
    <row r="290" customFormat="false" ht="15.75" hidden="false" customHeight="false" outlineLevel="0" collapsed="false">
      <c r="A290" s="5"/>
      <c r="B290" s="124"/>
      <c r="C290" s="56"/>
      <c r="D290" s="57"/>
      <c r="E290" s="83"/>
      <c r="F290" s="59"/>
      <c r="G290" s="60"/>
      <c r="H290" s="61"/>
      <c r="I290" s="62"/>
      <c r="J290" s="59"/>
      <c r="K290" s="60"/>
      <c r="L290" s="61"/>
      <c r="M290" s="62"/>
      <c r="N290" s="59"/>
      <c r="O290" s="83"/>
      <c r="P290" s="64"/>
      <c r="Q290" s="66" t="str">
        <f aca="false">IF(ISBLANK($C290),"",IF(E290=Constants!$B$2, TRUE(), IF(E290=Constants!$B$3, FALSE(), TRUE())))</f>
        <v/>
      </c>
      <c r="R290" s="66" t="str">
        <f aca="false">IF(ISBLANK($C290),"",IF(F290=Constants!$B$16,Constants!$B$9,IF(F290=Constants!$B$17,Constants!$B$10,Constants!$B$8)))</f>
        <v/>
      </c>
      <c r="S290" s="66" t="str">
        <f aca="false">IF(ISBLANK($C290),"",IF(COUNTA(G290:H290)=0,"",IF(AND(OR(ISBLANK(G290),AND(ISNUMBER(G290),G290&gt;=0)),OR(ISBLANK(H290),AND(ISNUMBER(H290),H290&gt;=0))),60*IF(ISBLANK(G290),0,G290)+IF(ISBLANK(H290),0,H290),"")))</f>
        <v/>
      </c>
      <c r="T290" s="66" t="str">
        <f aca="false">IF(ISBLANK($C290),"",IF(I290=Constants!$B$2, TRUE(), IF(I290=Constants!$B$3, FALSE(), TRUE())))</f>
        <v/>
      </c>
      <c r="U290" s="66" t="str">
        <f aca="false">IF(ISBLANK($C290),"",IF(J290=Constants!$B$2, TRUE(), IF(J290=Constants!$B$3, FALSE(), TRUE())))</f>
        <v/>
      </c>
      <c r="V290" s="66" t="str">
        <f aca="false">IF(ISBLANK($C290),"",IF(COUNTA(K290:L290)=0,"",IF(AND(OR(ISBLANK(K290),AND(ISNUMBER(K290),K290&gt;=0)),OR(ISBLANK(L290),AND(ISNUMBER(L290),L290&gt;=0))),60*IF(ISBLANK(K290),0,K290)+IF(ISBLANK(L290),0,L290),"")))</f>
        <v/>
      </c>
      <c r="W290" s="66" t="str">
        <f aca="false">IF(ISBLANK($C290),"",IF(M290=Constants!$B$2, TRUE(), IF(M290=Constants!$B$3, FALSE(), TRUE())))</f>
        <v/>
      </c>
      <c r="X290" s="66" t="str">
        <f aca="false">IF(ISBLANK($C290),"",IF(N290=Constants!$B$2, TRUE(), IF(N290=Constants!$B$3, FALSE(), TRUE())))</f>
        <v/>
      </c>
      <c r="Y290" s="66" t="str">
        <f aca="false">IF(ISBLANK($C290),"",IF(O290=Constants!$B$2, TRUE(), IF(O290=Constants!$B$3, FALSE(), FALSE())))</f>
        <v/>
      </c>
      <c r="Z290" s="66" t="str">
        <f aca="false">IF(ISBLANK($C290),"",AND(S290&lt;&gt;"",Q290))</f>
        <v/>
      </c>
      <c r="AA290" s="66" t="str">
        <f aca="false">IF(ISBLANK($C290),"",AND(V290&lt;&gt;"",Q290))</f>
        <v/>
      </c>
      <c r="AB290" s="66" t="str">
        <f aca="false">IF(ISBLANK($C290),"",IF(Y290,Constants!$B$4,IF(COUNTA(E290:N290)=0,Constants!$B$5,IF(NOT(Q290),Constants!$B$6,IF(AND(NOT(Z290),NOT(AA290)),Constants!$B$6,Constants!$B$7)))))</f>
        <v/>
      </c>
      <c r="AC290" s="66" t="str">
        <f aca="false">IF(ISBLANK($C290),"",IF($AB290&lt;&gt;Constants!$B$7,$AB290,Constants!$B$20))</f>
        <v/>
      </c>
      <c r="AD290" s="66" t="str">
        <f aca="false">IF($AB290=Constants!$B$7,IF(Z290,S290,Constants!$B$13),"")</f>
        <v/>
      </c>
      <c r="AE290" s="66" t="str">
        <f aca="false">IF($AB290=Constants!$B$7,IF(Z290,R290*IF(T290, 1, Constants!$B$11)*IF(U290, 1, Constants!$B$12),Constants!$B$13),"")</f>
        <v/>
      </c>
      <c r="AF290" s="66" t="str">
        <f aca="false">IF($AB290=Constants!$B$7,AD290*AE290,"")</f>
        <v/>
      </c>
      <c r="AG290" s="66" t="str">
        <f aca="false">IF($AB290=Constants!$B$7,IF(AA290,V290,Constants!$B$13),"")</f>
        <v/>
      </c>
      <c r="AH290" s="66" t="str">
        <f aca="false">IF($AB290=Constants!$B$7,IF(AA290,R290*IF(W290, 1, Constants!$B$11)*IF(X290, 1, Constants!$B$12),Constants!$B$13),"")</f>
        <v/>
      </c>
      <c r="AI290" s="66" t="str">
        <f aca="false">IF($AB290=Constants!$B$7,AG290*AH290,"")</f>
        <v/>
      </c>
      <c r="AJ290" s="66" t="str">
        <f aca="false">IF($AB290=Constants!$B$7,IF(AI290&gt;AF290,2,1),"")</f>
        <v/>
      </c>
      <c r="AK290" s="66" t="str">
        <f aca="false">IF($AB290=Constants!$B$7,IF(AJ290=1,2,1),"")</f>
        <v/>
      </c>
      <c r="AL290" s="66" t="str">
        <f aca="false">IF(ISBLANK($C290),"",IF($AB290&lt;&gt;Constants!$B$7,$AB290,IF(AJ290=1,AF290,AI290)))</f>
        <v/>
      </c>
      <c r="AM290" s="66" t="str">
        <f aca="false">IF(ISBLANK($C290),"",IF($AB290=Constants!$B$7,IF(ISNUMBER(AL290),RANK(AL290,$AL$8:$AL$507),Constants!$B$14),$AB290))</f>
        <v/>
      </c>
      <c r="AN290" s="66" t="str">
        <f aca="false">IF(ISBLANK($C290),"",IF($AB290=Constants!$B$7,IF(AK290=1,AF290,AI290),""))</f>
        <v/>
      </c>
      <c r="AO290" s="66" t="str">
        <f aca="false">IF(ISBLANK($C290),"",IF($AB290=Constants!$B$7,RANK(AN290,$AN$8:$AN$507),$AB290))</f>
        <v/>
      </c>
      <c r="AP290" s="66" t="str">
        <f aca="false">IF(ISBLANK($C290),"",IF($AB290=Constants!$B$7,IF(ISNUMBER(AM290),COUNTIFS($AM$8:$AM$507,"&lt;"&amp;$AM290)+COUNTIFS($AM$8:$AM$507,$AM290,$AO$8:$AO$507,"&lt;"&amp;$AO290)+1,Constants!$B$14),$AB290))</f>
        <v/>
      </c>
      <c r="AQ290" s="66" t="str">
        <f aca="false">IF(ISBLANK($C290),"",IF($AB290=Constants!$B$7,IF(ISNUMBER(AM290),AM290-AP290,Constants!$B$14),$AB290))</f>
        <v/>
      </c>
      <c r="AR290" s="68"/>
      <c r="AS290" s="69" t="str">
        <f aca="false">IF(ISBLANK($C290),"",IF($AB290&lt;&gt;Constants!$B$7,"",AJ290))</f>
        <v/>
      </c>
      <c r="AT290" s="84" t="str">
        <f aca="false">IF(ISBLANK($C290),"",IF($AB290&lt;&gt;Constants!$B$7,"",IF(AJ290=1,AD290,AG290)))</f>
        <v/>
      </c>
      <c r="AU290" s="71" t="str">
        <f aca="false">IF(ISBLANK($C290),"",IF($AB290&lt;&gt;Constants!$B$7,"",IF(AJ290=1,AE290,AH290)))</f>
        <v/>
      </c>
      <c r="AV290" s="72" t="str">
        <f aca="false">IF(ISBLANK($C290),"",IF($AB290&lt;&gt;Constants!$B$7,$AB290,AL290))</f>
        <v/>
      </c>
      <c r="AW290" s="73" t="str">
        <f aca="false">IF(ISBLANK($C290),"",IF($AB290&lt;&gt;Constants!$B$7,$AB290,AC290))</f>
        <v/>
      </c>
      <c r="AX290" s="74" t="str">
        <f aca="false">IF(ISBLANK($C290),"",AQ290)</f>
        <v/>
      </c>
      <c r="AY290" s="74" t="str">
        <f aca="false">IF(ISBLANK($C290),"",AP290)</f>
        <v/>
      </c>
      <c r="AZ290" s="75" t="str">
        <f aca="false">IF(ISBLANK($C290),"",IF(AY290=Constants!$B$4,COUNTA($C$8:$C$507)+2,IF(AY290=Constants!$B$5,COUNTA($C$8:$C$507)+1,IF(AY290=Constants!$B$6,COUNTA($C$8:$C$507),AY290))))</f>
        <v/>
      </c>
      <c r="BA290" s="5"/>
      <c r="BB290" s="76" t="n">
        <f aca="false">IF(OR(ISNUMBER(AY290),AY290=Constants!$B$4,AY290=Constants!$B$6,AY290=Constants!$B$5),1,0)</f>
        <v>0</v>
      </c>
      <c r="BC290" s="76" t="n">
        <v>283</v>
      </c>
      <c r="BD290" s="76" t="str">
        <f aca="false">IF(ISBLANK($C290),"",IF(ISNUMBER(AZ290),AZ290+ROW($B290)/1000,""))</f>
        <v/>
      </c>
      <c r="BE290" s="76" t="str">
        <f aca="false">IF(ISNUMBER(BD290),RANK(BD290,$BD$8:$BD$507,1),"")</f>
        <v/>
      </c>
      <c r="BF290" s="76" t="str">
        <f aca="false">IF(ISBLANK($C290),"",$B290)</f>
        <v/>
      </c>
      <c r="BG290" s="76" t="str">
        <f aca="false">IF(ISBLANK($C290),"",$C290)</f>
        <v/>
      </c>
      <c r="BH290" s="76" t="str">
        <f aca="false">IF(ISBLANK($C290),"",$D290)</f>
        <v/>
      </c>
      <c r="BI290" s="77" t="str">
        <f aca="false">AW290</f>
        <v/>
      </c>
      <c r="BJ290" s="78" t="str">
        <f aca="false">AV290</f>
        <v/>
      </c>
      <c r="BK290" s="76" t="str">
        <f aca="false">IF(ISBLANK($C290),"",AY290)</f>
        <v/>
      </c>
      <c r="BL290" s="79" t="str">
        <f aca="false">IF($BC290&gt;$BB$7,"",VLOOKUP($BC290,$BE$8:$BK$507,7,FALSE()))</f>
        <v/>
      </c>
      <c r="BM290" s="80" t="str">
        <f aca="false">IF($BC290&gt;$BB$7,"",VLOOKUP($BC290,$BE$8:$BK$507,2,FALSE()))</f>
        <v/>
      </c>
      <c r="BN290" s="80" t="str">
        <f aca="false">IF($BC290&gt;$BB$7,"",VLOOKUP($BC290,$BE$8:$BK$507,3,FALSE()))</f>
        <v/>
      </c>
      <c r="BO290" s="80" t="str">
        <f aca="false">IF($BC290&gt;$BB$7,"",VLOOKUP($BC290,$BE$8:$BK$507,4,FALSE()))</f>
        <v/>
      </c>
      <c r="BP290" s="80" t="str">
        <f aca="false">IF($BC290&gt;$BB$7,"",VLOOKUP($BC290,$BE$8:$BK$507,5,FALSE()))</f>
        <v/>
      </c>
      <c r="BQ290" s="81" t="str">
        <f aca="false">IF($BC290&gt;$BB$7,"",VLOOKUP($BC290,$BE$8:$BK$507,6,FALSE()))</f>
        <v/>
      </c>
      <c r="BR290" s="54"/>
    </row>
    <row r="291" customFormat="false" ht="15.75" hidden="false" customHeight="false" outlineLevel="0" collapsed="false">
      <c r="A291" s="5"/>
      <c r="B291" s="124"/>
      <c r="C291" s="56"/>
      <c r="D291" s="57"/>
      <c r="E291" s="83"/>
      <c r="F291" s="59"/>
      <c r="G291" s="60"/>
      <c r="H291" s="61"/>
      <c r="I291" s="62"/>
      <c r="J291" s="59"/>
      <c r="K291" s="60"/>
      <c r="L291" s="61"/>
      <c r="M291" s="62"/>
      <c r="N291" s="59"/>
      <c r="O291" s="83"/>
      <c r="P291" s="64"/>
      <c r="Q291" s="66" t="str">
        <f aca="false">IF(ISBLANK($C291),"",IF(E291=Constants!$B$2, TRUE(), IF(E291=Constants!$B$3, FALSE(), TRUE())))</f>
        <v/>
      </c>
      <c r="R291" s="66" t="str">
        <f aca="false">IF(ISBLANK($C291),"",IF(F291=Constants!$B$16,Constants!$B$9,IF(F291=Constants!$B$17,Constants!$B$10,Constants!$B$8)))</f>
        <v/>
      </c>
      <c r="S291" s="66" t="str">
        <f aca="false">IF(ISBLANK($C291),"",IF(COUNTA(G291:H291)=0,"",IF(AND(OR(ISBLANK(G291),AND(ISNUMBER(G291),G291&gt;=0)),OR(ISBLANK(H291),AND(ISNUMBER(H291),H291&gt;=0))),60*IF(ISBLANK(G291),0,G291)+IF(ISBLANK(H291),0,H291),"")))</f>
        <v/>
      </c>
      <c r="T291" s="66" t="str">
        <f aca="false">IF(ISBLANK($C291),"",IF(I291=Constants!$B$2, TRUE(), IF(I291=Constants!$B$3, FALSE(), TRUE())))</f>
        <v/>
      </c>
      <c r="U291" s="66" t="str">
        <f aca="false">IF(ISBLANK($C291),"",IF(J291=Constants!$B$2, TRUE(), IF(J291=Constants!$B$3, FALSE(), TRUE())))</f>
        <v/>
      </c>
      <c r="V291" s="66" t="str">
        <f aca="false">IF(ISBLANK($C291),"",IF(COUNTA(K291:L291)=0,"",IF(AND(OR(ISBLANK(K291),AND(ISNUMBER(K291),K291&gt;=0)),OR(ISBLANK(L291),AND(ISNUMBER(L291),L291&gt;=0))),60*IF(ISBLANK(K291),0,K291)+IF(ISBLANK(L291),0,L291),"")))</f>
        <v/>
      </c>
      <c r="W291" s="66" t="str">
        <f aca="false">IF(ISBLANK($C291),"",IF(M291=Constants!$B$2, TRUE(), IF(M291=Constants!$B$3, FALSE(), TRUE())))</f>
        <v/>
      </c>
      <c r="X291" s="66" t="str">
        <f aca="false">IF(ISBLANK($C291),"",IF(N291=Constants!$B$2, TRUE(), IF(N291=Constants!$B$3, FALSE(), TRUE())))</f>
        <v/>
      </c>
      <c r="Y291" s="66" t="str">
        <f aca="false">IF(ISBLANK($C291),"",IF(O291=Constants!$B$2, TRUE(), IF(O291=Constants!$B$3, FALSE(), FALSE())))</f>
        <v/>
      </c>
      <c r="Z291" s="66" t="str">
        <f aca="false">IF(ISBLANK($C291),"",AND(S291&lt;&gt;"",Q291))</f>
        <v/>
      </c>
      <c r="AA291" s="66" t="str">
        <f aca="false">IF(ISBLANK($C291),"",AND(V291&lt;&gt;"",Q291))</f>
        <v/>
      </c>
      <c r="AB291" s="66" t="str">
        <f aca="false">IF(ISBLANK($C291),"",IF(Y291,Constants!$B$4,IF(COUNTA(E291:N291)=0,Constants!$B$5,IF(NOT(Q291),Constants!$B$6,IF(AND(NOT(Z291),NOT(AA291)),Constants!$B$6,Constants!$B$7)))))</f>
        <v/>
      </c>
      <c r="AC291" s="66" t="str">
        <f aca="false">IF(ISBLANK($C291),"",IF($AB291&lt;&gt;Constants!$B$7,$AB291,Constants!$B$20))</f>
        <v/>
      </c>
      <c r="AD291" s="66" t="str">
        <f aca="false">IF($AB291=Constants!$B$7,IF(Z291,S291,Constants!$B$13),"")</f>
        <v/>
      </c>
      <c r="AE291" s="66" t="str">
        <f aca="false">IF($AB291=Constants!$B$7,IF(Z291,R291*IF(T291, 1, Constants!$B$11)*IF(U291, 1, Constants!$B$12),Constants!$B$13),"")</f>
        <v/>
      </c>
      <c r="AF291" s="66" t="str">
        <f aca="false">IF($AB291=Constants!$B$7,AD291*AE291,"")</f>
        <v/>
      </c>
      <c r="AG291" s="66" t="str">
        <f aca="false">IF($AB291=Constants!$B$7,IF(AA291,V291,Constants!$B$13),"")</f>
        <v/>
      </c>
      <c r="AH291" s="66" t="str">
        <f aca="false">IF($AB291=Constants!$B$7,IF(AA291,R291*IF(W291, 1, Constants!$B$11)*IF(X291, 1, Constants!$B$12),Constants!$B$13),"")</f>
        <v/>
      </c>
      <c r="AI291" s="66" t="str">
        <f aca="false">IF($AB291=Constants!$B$7,AG291*AH291,"")</f>
        <v/>
      </c>
      <c r="AJ291" s="66" t="str">
        <f aca="false">IF($AB291=Constants!$B$7,IF(AI291&gt;AF291,2,1),"")</f>
        <v/>
      </c>
      <c r="AK291" s="66" t="str">
        <f aca="false">IF($AB291=Constants!$B$7,IF(AJ291=1,2,1),"")</f>
        <v/>
      </c>
      <c r="AL291" s="66" t="str">
        <f aca="false">IF(ISBLANK($C291),"",IF($AB291&lt;&gt;Constants!$B$7,$AB291,IF(AJ291=1,AF291,AI291)))</f>
        <v/>
      </c>
      <c r="AM291" s="66" t="str">
        <f aca="false">IF(ISBLANK($C291),"",IF($AB291=Constants!$B$7,IF(ISNUMBER(AL291),RANK(AL291,$AL$8:$AL$507),Constants!$B$14),$AB291))</f>
        <v/>
      </c>
      <c r="AN291" s="66" t="str">
        <f aca="false">IF(ISBLANK($C291),"",IF($AB291=Constants!$B$7,IF(AK291=1,AF291,AI291),""))</f>
        <v/>
      </c>
      <c r="AO291" s="66" t="str">
        <f aca="false">IF(ISBLANK($C291),"",IF($AB291=Constants!$B$7,RANK(AN291,$AN$8:$AN$507),$AB291))</f>
        <v/>
      </c>
      <c r="AP291" s="66" t="str">
        <f aca="false">IF(ISBLANK($C291),"",IF($AB291=Constants!$B$7,IF(ISNUMBER(AM291),COUNTIFS($AM$8:$AM$507,"&lt;"&amp;$AM291)+COUNTIFS($AM$8:$AM$507,$AM291,$AO$8:$AO$507,"&lt;"&amp;$AO291)+1,Constants!$B$14),$AB291))</f>
        <v/>
      </c>
      <c r="AQ291" s="66" t="str">
        <f aca="false">IF(ISBLANK($C291),"",IF($AB291=Constants!$B$7,IF(ISNUMBER(AM291),AM291-AP291,Constants!$B$14),$AB291))</f>
        <v/>
      </c>
      <c r="AR291" s="68"/>
      <c r="AS291" s="69" t="str">
        <f aca="false">IF(ISBLANK($C291),"",IF($AB291&lt;&gt;Constants!$B$7,"",AJ291))</f>
        <v/>
      </c>
      <c r="AT291" s="84" t="str">
        <f aca="false">IF(ISBLANK($C291),"",IF($AB291&lt;&gt;Constants!$B$7,"",IF(AJ291=1,AD291,AG291)))</f>
        <v/>
      </c>
      <c r="AU291" s="71" t="str">
        <f aca="false">IF(ISBLANK($C291),"",IF($AB291&lt;&gt;Constants!$B$7,"",IF(AJ291=1,AE291,AH291)))</f>
        <v/>
      </c>
      <c r="AV291" s="72" t="str">
        <f aca="false">IF(ISBLANK($C291),"",IF($AB291&lt;&gt;Constants!$B$7,$AB291,AL291))</f>
        <v/>
      </c>
      <c r="AW291" s="73" t="str">
        <f aca="false">IF(ISBLANK($C291),"",IF($AB291&lt;&gt;Constants!$B$7,$AB291,AC291))</f>
        <v/>
      </c>
      <c r="AX291" s="74" t="str">
        <f aca="false">IF(ISBLANK($C291),"",AQ291)</f>
        <v/>
      </c>
      <c r="AY291" s="74" t="str">
        <f aca="false">IF(ISBLANK($C291),"",AP291)</f>
        <v/>
      </c>
      <c r="AZ291" s="75" t="str">
        <f aca="false">IF(ISBLANK($C291),"",IF(AY291=Constants!$B$4,COUNTA($C$8:$C$507)+2,IF(AY291=Constants!$B$5,COUNTA($C$8:$C$507)+1,IF(AY291=Constants!$B$6,COUNTA($C$8:$C$507),AY291))))</f>
        <v/>
      </c>
      <c r="BA291" s="5"/>
      <c r="BB291" s="76" t="n">
        <f aca="false">IF(OR(ISNUMBER(AY291),AY291=Constants!$B$4,AY291=Constants!$B$6,AY291=Constants!$B$5),1,0)</f>
        <v>0</v>
      </c>
      <c r="BC291" s="76" t="n">
        <v>284</v>
      </c>
      <c r="BD291" s="76" t="str">
        <f aca="false">IF(ISBLANK($C291),"",IF(ISNUMBER(AZ291),AZ291+ROW($B291)/1000,""))</f>
        <v/>
      </c>
      <c r="BE291" s="76" t="str">
        <f aca="false">IF(ISNUMBER(BD291),RANK(BD291,$BD$8:$BD$507,1),"")</f>
        <v/>
      </c>
      <c r="BF291" s="76" t="str">
        <f aca="false">IF(ISBLANK($C291),"",$B291)</f>
        <v/>
      </c>
      <c r="BG291" s="76" t="str">
        <f aca="false">IF(ISBLANK($C291),"",$C291)</f>
        <v/>
      </c>
      <c r="BH291" s="76" t="str">
        <f aca="false">IF(ISBLANK($C291),"",$D291)</f>
        <v/>
      </c>
      <c r="BI291" s="77" t="str">
        <f aca="false">AW291</f>
        <v/>
      </c>
      <c r="BJ291" s="78" t="str">
        <f aca="false">AV291</f>
        <v/>
      </c>
      <c r="BK291" s="76" t="str">
        <f aca="false">IF(ISBLANK($C291),"",AY291)</f>
        <v/>
      </c>
      <c r="BL291" s="79" t="str">
        <f aca="false">IF($BC291&gt;$BB$7,"",VLOOKUP($BC291,$BE$8:$BK$507,7,FALSE()))</f>
        <v/>
      </c>
      <c r="BM291" s="80" t="str">
        <f aca="false">IF($BC291&gt;$BB$7,"",VLOOKUP($BC291,$BE$8:$BK$507,2,FALSE()))</f>
        <v/>
      </c>
      <c r="BN291" s="80" t="str">
        <f aca="false">IF($BC291&gt;$BB$7,"",VLOOKUP($BC291,$BE$8:$BK$507,3,FALSE()))</f>
        <v/>
      </c>
      <c r="BO291" s="80" t="str">
        <f aca="false">IF($BC291&gt;$BB$7,"",VLOOKUP($BC291,$BE$8:$BK$507,4,FALSE()))</f>
        <v/>
      </c>
      <c r="BP291" s="80" t="str">
        <f aca="false">IF($BC291&gt;$BB$7,"",VLOOKUP($BC291,$BE$8:$BK$507,5,FALSE()))</f>
        <v/>
      </c>
      <c r="BQ291" s="81" t="str">
        <f aca="false">IF($BC291&gt;$BB$7,"",VLOOKUP($BC291,$BE$8:$BK$507,6,FALSE()))</f>
        <v/>
      </c>
      <c r="BR291" s="54"/>
    </row>
    <row r="292" customFormat="false" ht="15.75" hidden="false" customHeight="false" outlineLevel="0" collapsed="false">
      <c r="A292" s="5"/>
      <c r="B292" s="124"/>
      <c r="C292" s="56"/>
      <c r="D292" s="57"/>
      <c r="E292" s="83"/>
      <c r="F292" s="59"/>
      <c r="G292" s="60"/>
      <c r="H292" s="61"/>
      <c r="I292" s="62"/>
      <c r="J292" s="59"/>
      <c r="K292" s="60"/>
      <c r="L292" s="61"/>
      <c r="M292" s="62"/>
      <c r="N292" s="59"/>
      <c r="O292" s="83"/>
      <c r="P292" s="64"/>
      <c r="Q292" s="66" t="str">
        <f aca="false">IF(ISBLANK($C292),"",IF(E292=Constants!$B$2, TRUE(), IF(E292=Constants!$B$3, FALSE(), TRUE())))</f>
        <v/>
      </c>
      <c r="R292" s="66" t="str">
        <f aca="false">IF(ISBLANK($C292),"",IF(F292=Constants!$B$16,Constants!$B$9,IF(F292=Constants!$B$17,Constants!$B$10,Constants!$B$8)))</f>
        <v/>
      </c>
      <c r="S292" s="66" t="str">
        <f aca="false">IF(ISBLANK($C292),"",IF(COUNTA(G292:H292)=0,"",IF(AND(OR(ISBLANK(G292),AND(ISNUMBER(G292),G292&gt;=0)),OR(ISBLANK(H292),AND(ISNUMBER(H292),H292&gt;=0))),60*IF(ISBLANK(G292),0,G292)+IF(ISBLANK(H292),0,H292),"")))</f>
        <v/>
      </c>
      <c r="T292" s="66" t="str">
        <f aca="false">IF(ISBLANK($C292),"",IF(I292=Constants!$B$2, TRUE(), IF(I292=Constants!$B$3, FALSE(), TRUE())))</f>
        <v/>
      </c>
      <c r="U292" s="66" t="str">
        <f aca="false">IF(ISBLANK($C292),"",IF(J292=Constants!$B$2, TRUE(), IF(J292=Constants!$B$3, FALSE(), TRUE())))</f>
        <v/>
      </c>
      <c r="V292" s="66" t="str">
        <f aca="false">IF(ISBLANK($C292),"",IF(COUNTA(K292:L292)=0,"",IF(AND(OR(ISBLANK(K292),AND(ISNUMBER(K292),K292&gt;=0)),OR(ISBLANK(L292),AND(ISNUMBER(L292),L292&gt;=0))),60*IF(ISBLANK(K292),0,K292)+IF(ISBLANK(L292),0,L292),"")))</f>
        <v/>
      </c>
      <c r="W292" s="66" t="str">
        <f aca="false">IF(ISBLANK($C292),"",IF(M292=Constants!$B$2, TRUE(), IF(M292=Constants!$B$3, FALSE(), TRUE())))</f>
        <v/>
      </c>
      <c r="X292" s="66" t="str">
        <f aca="false">IF(ISBLANK($C292),"",IF(N292=Constants!$B$2, TRUE(), IF(N292=Constants!$B$3, FALSE(), TRUE())))</f>
        <v/>
      </c>
      <c r="Y292" s="66" t="str">
        <f aca="false">IF(ISBLANK($C292),"",IF(O292=Constants!$B$2, TRUE(), IF(O292=Constants!$B$3, FALSE(), FALSE())))</f>
        <v/>
      </c>
      <c r="Z292" s="66" t="str">
        <f aca="false">IF(ISBLANK($C292),"",AND(S292&lt;&gt;"",Q292))</f>
        <v/>
      </c>
      <c r="AA292" s="66" t="str">
        <f aca="false">IF(ISBLANK($C292),"",AND(V292&lt;&gt;"",Q292))</f>
        <v/>
      </c>
      <c r="AB292" s="66" t="str">
        <f aca="false">IF(ISBLANK($C292),"",IF(Y292,Constants!$B$4,IF(COUNTA(E292:N292)=0,Constants!$B$5,IF(NOT(Q292),Constants!$B$6,IF(AND(NOT(Z292),NOT(AA292)),Constants!$B$6,Constants!$B$7)))))</f>
        <v/>
      </c>
      <c r="AC292" s="66" t="str">
        <f aca="false">IF(ISBLANK($C292),"",IF($AB292&lt;&gt;Constants!$B$7,$AB292,Constants!$B$20))</f>
        <v/>
      </c>
      <c r="AD292" s="66" t="str">
        <f aca="false">IF($AB292=Constants!$B$7,IF(Z292,S292,Constants!$B$13),"")</f>
        <v/>
      </c>
      <c r="AE292" s="66" t="str">
        <f aca="false">IF($AB292=Constants!$B$7,IF(Z292,R292*IF(T292, 1, Constants!$B$11)*IF(U292, 1, Constants!$B$12),Constants!$B$13),"")</f>
        <v/>
      </c>
      <c r="AF292" s="66" t="str">
        <f aca="false">IF($AB292=Constants!$B$7,AD292*AE292,"")</f>
        <v/>
      </c>
      <c r="AG292" s="66" t="str">
        <f aca="false">IF($AB292=Constants!$B$7,IF(AA292,V292,Constants!$B$13),"")</f>
        <v/>
      </c>
      <c r="AH292" s="66" t="str">
        <f aca="false">IF($AB292=Constants!$B$7,IF(AA292,R292*IF(W292, 1, Constants!$B$11)*IF(X292, 1, Constants!$B$12),Constants!$B$13),"")</f>
        <v/>
      </c>
      <c r="AI292" s="66" t="str">
        <f aca="false">IF($AB292=Constants!$B$7,AG292*AH292,"")</f>
        <v/>
      </c>
      <c r="AJ292" s="66" t="str">
        <f aca="false">IF($AB292=Constants!$B$7,IF(AI292&gt;AF292,2,1),"")</f>
        <v/>
      </c>
      <c r="AK292" s="66" t="str">
        <f aca="false">IF($AB292=Constants!$B$7,IF(AJ292=1,2,1),"")</f>
        <v/>
      </c>
      <c r="AL292" s="66" t="str">
        <f aca="false">IF(ISBLANK($C292),"",IF($AB292&lt;&gt;Constants!$B$7,$AB292,IF(AJ292=1,AF292,AI292)))</f>
        <v/>
      </c>
      <c r="AM292" s="66" t="str">
        <f aca="false">IF(ISBLANK($C292),"",IF($AB292=Constants!$B$7,IF(ISNUMBER(AL292),RANK(AL292,$AL$8:$AL$507),Constants!$B$14),$AB292))</f>
        <v/>
      </c>
      <c r="AN292" s="66" t="str">
        <f aca="false">IF(ISBLANK($C292),"",IF($AB292=Constants!$B$7,IF(AK292=1,AF292,AI292),""))</f>
        <v/>
      </c>
      <c r="AO292" s="66" t="str">
        <f aca="false">IF(ISBLANK($C292),"",IF($AB292=Constants!$B$7,RANK(AN292,$AN$8:$AN$507),$AB292))</f>
        <v/>
      </c>
      <c r="AP292" s="66" t="str">
        <f aca="false">IF(ISBLANK($C292),"",IF($AB292=Constants!$B$7,IF(ISNUMBER(AM292),COUNTIFS($AM$8:$AM$507,"&lt;"&amp;$AM292)+COUNTIFS($AM$8:$AM$507,$AM292,$AO$8:$AO$507,"&lt;"&amp;$AO292)+1,Constants!$B$14),$AB292))</f>
        <v/>
      </c>
      <c r="AQ292" s="66" t="str">
        <f aca="false">IF(ISBLANK($C292),"",IF($AB292=Constants!$B$7,IF(ISNUMBER(AM292),AM292-AP292,Constants!$B$14),$AB292))</f>
        <v/>
      </c>
      <c r="AR292" s="68"/>
      <c r="AS292" s="69" t="str">
        <f aca="false">IF(ISBLANK($C292),"",IF($AB292&lt;&gt;Constants!$B$7,"",AJ292))</f>
        <v/>
      </c>
      <c r="AT292" s="84" t="str">
        <f aca="false">IF(ISBLANK($C292),"",IF($AB292&lt;&gt;Constants!$B$7,"",IF(AJ292=1,AD292,AG292)))</f>
        <v/>
      </c>
      <c r="AU292" s="71" t="str">
        <f aca="false">IF(ISBLANK($C292),"",IF($AB292&lt;&gt;Constants!$B$7,"",IF(AJ292=1,AE292,AH292)))</f>
        <v/>
      </c>
      <c r="AV292" s="72" t="str">
        <f aca="false">IF(ISBLANK($C292),"",IF($AB292&lt;&gt;Constants!$B$7,$AB292,AL292))</f>
        <v/>
      </c>
      <c r="AW292" s="73" t="str">
        <f aca="false">IF(ISBLANK($C292),"",IF($AB292&lt;&gt;Constants!$B$7,$AB292,AC292))</f>
        <v/>
      </c>
      <c r="AX292" s="74" t="str">
        <f aca="false">IF(ISBLANK($C292),"",AQ292)</f>
        <v/>
      </c>
      <c r="AY292" s="74" t="str">
        <f aca="false">IF(ISBLANK($C292),"",AP292)</f>
        <v/>
      </c>
      <c r="AZ292" s="75" t="str">
        <f aca="false">IF(ISBLANK($C292),"",IF(AY292=Constants!$B$4,COUNTA($C$8:$C$507)+2,IF(AY292=Constants!$B$5,COUNTA($C$8:$C$507)+1,IF(AY292=Constants!$B$6,COUNTA($C$8:$C$507),AY292))))</f>
        <v/>
      </c>
      <c r="BA292" s="5"/>
      <c r="BB292" s="76" t="n">
        <f aca="false">IF(OR(ISNUMBER(AY292),AY292=Constants!$B$4,AY292=Constants!$B$6,AY292=Constants!$B$5),1,0)</f>
        <v>0</v>
      </c>
      <c r="BC292" s="76" t="n">
        <v>285</v>
      </c>
      <c r="BD292" s="76" t="str">
        <f aca="false">IF(ISBLANK($C292),"",IF(ISNUMBER(AZ292),AZ292+ROW($B292)/1000,""))</f>
        <v/>
      </c>
      <c r="BE292" s="76" t="str">
        <f aca="false">IF(ISNUMBER(BD292),RANK(BD292,$BD$8:$BD$507,1),"")</f>
        <v/>
      </c>
      <c r="BF292" s="76" t="str">
        <f aca="false">IF(ISBLANK($C292),"",$B292)</f>
        <v/>
      </c>
      <c r="BG292" s="76" t="str">
        <f aca="false">IF(ISBLANK($C292),"",$C292)</f>
        <v/>
      </c>
      <c r="BH292" s="76" t="str">
        <f aca="false">IF(ISBLANK($C292),"",$D292)</f>
        <v/>
      </c>
      <c r="BI292" s="77" t="str">
        <f aca="false">AW292</f>
        <v/>
      </c>
      <c r="BJ292" s="78" t="str">
        <f aca="false">AV292</f>
        <v/>
      </c>
      <c r="BK292" s="76" t="str">
        <f aca="false">IF(ISBLANK($C292),"",AY292)</f>
        <v/>
      </c>
      <c r="BL292" s="79" t="str">
        <f aca="false">IF($BC292&gt;$BB$7,"",VLOOKUP($BC292,$BE$8:$BK$507,7,FALSE()))</f>
        <v/>
      </c>
      <c r="BM292" s="80" t="str">
        <f aca="false">IF($BC292&gt;$BB$7,"",VLOOKUP($BC292,$BE$8:$BK$507,2,FALSE()))</f>
        <v/>
      </c>
      <c r="BN292" s="80" t="str">
        <f aca="false">IF($BC292&gt;$BB$7,"",VLOOKUP($BC292,$BE$8:$BK$507,3,FALSE()))</f>
        <v/>
      </c>
      <c r="BO292" s="80" t="str">
        <f aca="false">IF($BC292&gt;$BB$7,"",VLOOKUP($BC292,$BE$8:$BK$507,4,FALSE()))</f>
        <v/>
      </c>
      <c r="BP292" s="80" t="str">
        <f aca="false">IF($BC292&gt;$BB$7,"",VLOOKUP($BC292,$BE$8:$BK$507,5,FALSE()))</f>
        <v/>
      </c>
      <c r="BQ292" s="81" t="str">
        <f aca="false">IF($BC292&gt;$BB$7,"",VLOOKUP($BC292,$BE$8:$BK$507,6,FALSE()))</f>
        <v/>
      </c>
      <c r="BR292" s="54"/>
    </row>
    <row r="293" customFormat="false" ht="15.75" hidden="false" customHeight="false" outlineLevel="0" collapsed="false">
      <c r="A293" s="5"/>
      <c r="B293" s="120"/>
      <c r="C293" s="121"/>
      <c r="D293" s="112"/>
      <c r="E293" s="123"/>
      <c r="F293" s="91"/>
      <c r="G293" s="92"/>
      <c r="H293" s="93"/>
      <c r="I293" s="94"/>
      <c r="J293" s="91"/>
      <c r="K293" s="92"/>
      <c r="L293" s="93"/>
      <c r="M293" s="94"/>
      <c r="N293" s="91"/>
      <c r="O293" s="123"/>
      <c r="P293" s="96"/>
      <c r="Q293" s="97" t="str">
        <f aca="false">IF(ISBLANK($C293),"",IF(E293=Constants!$B$2, TRUE(), IF(E293=Constants!$B$3, FALSE(), TRUE())))</f>
        <v/>
      </c>
      <c r="R293" s="97" t="str">
        <f aca="false">IF(ISBLANK($C293),"",IF(F293=Constants!$B$16,Constants!$B$9,IF(F293=Constants!$B$17,Constants!$B$10,Constants!$B$8)))</f>
        <v/>
      </c>
      <c r="S293" s="97" t="str">
        <f aca="false">IF(ISBLANK($C293),"",IF(COUNTA(G293:H293)=0,"",IF(AND(OR(ISBLANK(G293),AND(ISNUMBER(G293),G293&gt;=0)),OR(ISBLANK(H293),AND(ISNUMBER(H293),H293&gt;=0))),60*IF(ISBLANK(G293),0,G293)+IF(ISBLANK(H293),0,H293),"")))</f>
        <v/>
      </c>
      <c r="T293" s="97" t="str">
        <f aca="false">IF(ISBLANK($C293),"",IF(I293=Constants!$B$2, TRUE(), IF(I293=Constants!$B$3, FALSE(), TRUE())))</f>
        <v/>
      </c>
      <c r="U293" s="97" t="str">
        <f aca="false">IF(ISBLANK($C293),"",IF(J293=Constants!$B$2, TRUE(), IF(J293=Constants!$B$3, FALSE(), TRUE())))</f>
        <v/>
      </c>
      <c r="V293" s="97" t="str">
        <f aca="false">IF(ISBLANK($C293),"",IF(COUNTA(K293:L293)=0,"",IF(AND(OR(ISBLANK(K293),AND(ISNUMBER(K293),K293&gt;=0)),OR(ISBLANK(L293),AND(ISNUMBER(L293),L293&gt;=0))),60*IF(ISBLANK(K293),0,K293)+IF(ISBLANK(L293),0,L293),"")))</f>
        <v/>
      </c>
      <c r="W293" s="97" t="str">
        <f aca="false">IF(ISBLANK($C293),"",IF(M293=Constants!$B$2, TRUE(), IF(M293=Constants!$B$3, FALSE(), TRUE())))</f>
        <v/>
      </c>
      <c r="X293" s="97" t="str">
        <f aca="false">IF(ISBLANK($C293),"",IF(N293=Constants!$B$2, TRUE(), IF(N293=Constants!$B$3, FALSE(), TRUE())))</f>
        <v/>
      </c>
      <c r="Y293" s="97" t="str">
        <f aca="false">IF(ISBLANK($C293),"",IF(O293=Constants!$B$2, TRUE(), IF(O293=Constants!$B$3, FALSE(), FALSE())))</f>
        <v/>
      </c>
      <c r="Z293" s="97" t="str">
        <f aca="false">IF(ISBLANK($C293),"",AND(S293&lt;&gt;"",Q293))</f>
        <v/>
      </c>
      <c r="AA293" s="97" t="str">
        <f aca="false">IF(ISBLANK($C293),"",AND(V293&lt;&gt;"",Q293))</f>
        <v/>
      </c>
      <c r="AB293" s="97" t="str">
        <f aca="false">IF(ISBLANK($C293),"",IF(Y293,Constants!$B$4,IF(COUNTA(E293:N293)=0,Constants!$B$5,IF(NOT(Q293),Constants!$B$6,IF(AND(NOT(Z293),NOT(AA293)),Constants!$B$6,Constants!$B$7)))))</f>
        <v/>
      </c>
      <c r="AC293" s="97" t="str">
        <f aca="false">IF(ISBLANK($C293),"",IF($AB293&lt;&gt;Constants!$B$7,$AB293,Constants!$B$20))</f>
        <v/>
      </c>
      <c r="AD293" s="97" t="str">
        <f aca="false">IF($AB293=Constants!$B$7,IF(Z293,S293,Constants!$B$13),"")</f>
        <v/>
      </c>
      <c r="AE293" s="97" t="str">
        <f aca="false">IF($AB293=Constants!$B$7,IF(Z293,R293*IF(T293, 1, Constants!$B$11)*IF(U293, 1, Constants!$B$12),Constants!$B$13),"")</f>
        <v/>
      </c>
      <c r="AF293" s="97" t="str">
        <f aca="false">IF($AB293=Constants!$B$7,AD293*AE293,"")</f>
        <v/>
      </c>
      <c r="AG293" s="97" t="str">
        <f aca="false">IF($AB293=Constants!$B$7,IF(AA293,V293,Constants!$B$13),"")</f>
        <v/>
      </c>
      <c r="AH293" s="97" t="str">
        <f aca="false">IF($AB293=Constants!$B$7,IF(AA293,R293*IF(W293, 1, Constants!$B$11)*IF(X293, 1, Constants!$B$12),Constants!$B$13),"")</f>
        <v/>
      </c>
      <c r="AI293" s="97" t="str">
        <f aca="false">IF($AB293=Constants!$B$7,AG293*AH293,"")</f>
        <v/>
      </c>
      <c r="AJ293" s="97" t="str">
        <f aca="false">IF($AB293=Constants!$B$7,IF(AI293&gt;AF293,2,1),"")</f>
        <v/>
      </c>
      <c r="AK293" s="97" t="str">
        <f aca="false">IF($AB293=Constants!$B$7,IF(AJ293=1,2,1),"")</f>
        <v/>
      </c>
      <c r="AL293" s="97" t="str">
        <f aca="false">IF(ISBLANK($C293),"",IF($AB293&lt;&gt;Constants!$B$7,$AB293,IF(AJ293=1,AF293,AI293)))</f>
        <v/>
      </c>
      <c r="AM293" s="97" t="str">
        <f aca="false">IF(ISBLANK($C293),"",IF($AB293=Constants!$B$7,IF(ISNUMBER(AL293),RANK(AL293,$AL$8:$AL$507),Constants!$B$14),$AB293))</f>
        <v/>
      </c>
      <c r="AN293" s="97" t="str">
        <f aca="false">IF(ISBLANK($C293),"",IF($AB293=Constants!$B$7,IF(AK293=1,AF293,AI293),""))</f>
        <v/>
      </c>
      <c r="AO293" s="97" t="str">
        <f aca="false">IF(ISBLANK($C293),"",IF($AB293=Constants!$B$7,RANK(AN293,$AN$8:$AN$507),$AB293))</f>
        <v/>
      </c>
      <c r="AP293" s="97" t="str">
        <f aca="false">IF(ISBLANK($C293),"",IF($AB293=Constants!$B$7,IF(ISNUMBER(AM293),COUNTIFS($AM$8:$AM$507,"&lt;"&amp;$AM293)+COUNTIFS($AM$8:$AM$507,$AM293,$AO$8:$AO$507,"&lt;"&amp;$AO293)+1,Constants!$B$14),$AB293))</f>
        <v/>
      </c>
      <c r="AQ293" s="97" t="str">
        <f aca="false">IF(ISBLANK($C293),"",IF($AB293=Constants!$B$7,IF(ISNUMBER(AM293),AM293-AP293,Constants!$B$14),$AB293))</f>
        <v/>
      </c>
      <c r="AR293" s="98"/>
      <c r="AS293" s="99" t="str">
        <f aca="false">IF(ISBLANK($C293),"",IF($AB293&lt;&gt;Constants!$B$7,"",AJ293))</f>
        <v/>
      </c>
      <c r="AT293" s="100" t="str">
        <f aca="false">IF(ISBLANK($C293),"",IF($AB293&lt;&gt;Constants!$B$7,"",IF(AJ293=1,AD293,AG293)))</f>
        <v/>
      </c>
      <c r="AU293" s="101" t="str">
        <f aca="false">IF(ISBLANK($C293),"",IF($AB293&lt;&gt;Constants!$B$7,"",IF(AJ293=1,AE293,AH293)))</f>
        <v/>
      </c>
      <c r="AV293" s="102" t="str">
        <f aca="false">IF(ISBLANK($C293),"",IF($AB293&lt;&gt;Constants!$B$7,$AB293,AL293))</f>
        <v/>
      </c>
      <c r="AW293" s="103" t="str">
        <f aca="false">IF(ISBLANK($C293),"",IF($AB293&lt;&gt;Constants!$B$7,$AB293,AC293))</f>
        <v/>
      </c>
      <c r="AX293" s="104" t="str">
        <f aca="false">IF(ISBLANK($C293),"",AQ293)</f>
        <v/>
      </c>
      <c r="AY293" s="104" t="str">
        <f aca="false">IF(ISBLANK($C293),"",AP293)</f>
        <v/>
      </c>
      <c r="AZ293" s="105" t="str">
        <f aca="false">IF(ISBLANK($C293),"",IF(AY293=Constants!$B$4,COUNTA($C$8:$C$507)+2,IF(AY293=Constants!$B$5,COUNTA($C$8:$C$507)+1,IF(AY293=Constants!$B$6,COUNTA($C$8:$C$507),AY293))))</f>
        <v/>
      </c>
      <c r="BA293" s="5"/>
      <c r="BB293" s="106" t="n">
        <f aca="false">IF(OR(ISNUMBER(AY293),AY293=Constants!$B$4,AY293=Constants!$B$6,AY293=Constants!$B$5),1,0)</f>
        <v>0</v>
      </c>
      <c r="BC293" s="106" t="n">
        <v>286</v>
      </c>
      <c r="BD293" s="106" t="str">
        <f aca="false">IF(ISBLANK($C293),"",IF(ISNUMBER(AZ293),AZ293+ROW($B293)/1000,""))</f>
        <v/>
      </c>
      <c r="BE293" s="106" t="str">
        <f aca="false">IF(ISNUMBER(BD293),RANK(BD293,$BD$8:$BD$507,1),"")</f>
        <v/>
      </c>
      <c r="BF293" s="106" t="str">
        <f aca="false">IF(ISBLANK($C293),"",$B293)</f>
        <v/>
      </c>
      <c r="BG293" s="106" t="str">
        <f aca="false">IF(ISBLANK($C293),"",$C293)</f>
        <v/>
      </c>
      <c r="BH293" s="106" t="str">
        <f aca="false">IF(ISBLANK($C293),"",$D293)</f>
        <v/>
      </c>
      <c r="BI293" s="107" t="str">
        <f aca="false">AW293</f>
        <v/>
      </c>
      <c r="BJ293" s="108" t="str">
        <f aca="false">AV293</f>
        <v/>
      </c>
      <c r="BK293" s="106" t="str">
        <f aca="false">IF(ISBLANK($C293),"",AY293)</f>
        <v/>
      </c>
      <c r="BL293" s="109" t="str">
        <f aca="false">IF($BC293&gt;$BB$7,"",VLOOKUP($BC293,$BE$8:$BK$507,7,FALSE()))</f>
        <v/>
      </c>
      <c r="BM293" s="110" t="str">
        <f aca="false">IF($BC293&gt;$BB$7,"",VLOOKUP($BC293,$BE$8:$BK$507,2,FALSE()))</f>
        <v/>
      </c>
      <c r="BN293" s="110" t="str">
        <f aca="false">IF($BC293&gt;$BB$7,"",VLOOKUP($BC293,$BE$8:$BK$507,3,FALSE()))</f>
        <v/>
      </c>
      <c r="BO293" s="110" t="str">
        <f aca="false">IF($BC293&gt;$BB$7,"",VLOOKUP($BC293,$BE$8:$BK$507,4,FALSE()))</f>
        <v/>
      </c>
      <c r="BP293" s="110" t="str">
        <f aca="false">IF($BC293&gt;$BB$7,"",VLOOKUP($BC293,$BE$8:$BK$507,5,FALSE()))</f>
        <v/>
      </c>
      <c r="BQ293" s="111" t="str">
        <f aca="false">IF($BC293&gt;$BB$7,"",VLOOKUP($BC293,$BE$8:$BK$507,6,FALSE()))</f>
        <v/>
      </c>
      <c r="BR293" s="54"/>
    </row>
    <row r="294" customFormat="false" ht="15.75" hidden="false" customHeight="false" outlineLevel="0" collapsed="false">
      <c r="A294" s="5"/>
      <c r="B294" s="120"/>
      <c r="C294" s="121"/>
      <c r="D294" s="112"/>
      <c r="E294" s="123"/>
      <c r="F294" s="91"/>
      <c r="G294" s="92"/>
      <c r="H294" s="93"/>
      <c r="I294" s="94"/>
      <c r="J294" s="91"/>
      <c r="K294" s="92"/>
      <c r="L294" s="93"/>
      <c r="M294" s="94"/>
      <c r="N294" s="91"/>
      <c r="O294" s="123"/>
      <c r="P294" s="96"/>
      <c r="Q294" s="97" t="str">
        <f aca="false">IF(ISBLANK($C294),"",IF(E294=Constants!$B$2, TRUE(), IF(E294=Constants!$B$3, FALSE(), TRUE())))</f>
        <v/>
      </c>
      <c r="R294" s="97" t="str">
        <f aca="false">IF(ISBLANK($C294),"",IF(F294=Constants!$B$16,Constants!$B$9,IF(F294=Constants!$B$17,Constants!$B$10,Constants!$B$8)))</f>
        <v/>
      </c>
      <c r="S294" s="97" t="str">
        <f aca="false">IF(ISBLANK($C294),"",IF(COUNTA(G294:H294)=0,"",IF(AND(OR(ISBLANK(G294),AND(ISNUMBER(G294),G294&gt;=0)),OR(ISBLANK(H294),AND(ISNUMBER(H294),H294&gt;=0))),60*IF(ISBLANK(G294),0,G294)+IF(ISBLANK(H294),0,H294),"")))</f>
        <v/>
      </c>
      <c r="T294" s="97" t="str">
        <f aca="false">IF(ISBLANK($C294),"",IF(I294=Constants!$B$2, TRUE(), IF(I294=Constants!$B$3, FALSE(), TRUE())))</f>
        <v/>
      </c>
      <c r="U294" s="97" t="str">
        <f aca="false">IF(ISBLANK($C294),"",IF(J294=Constants!$B$2, TRUE(), IF(J294=Constants!$B$3, FALSE(), TRUE())))</f>
        <v/>
      </c>
      <c r="V294" s="97" t="str">
        <f aca="false">IF(ISBLANK($C294),"",IF(COUNTA(K294:L294)=0,"",IF(AND(OR(ISBLANK(K294),AND(ISNUMBER(K294),K294&gt;=0)),OR(ISBLANK(L294),AND(ISNUMBER(L294),L294&gt;=0))),60*IF(ISBLANK(K294),0,K294)+IF(ISBLANK(L294),0,L294),"")))</f>
        <v/>
      </c>
      <c r="W294" s="97" t="str">
        <f aca="false">IF(ISBLANK($C294),"",IF(M294=Constants!$B$2, TRUE(), IF(M294=Constants!$B$3, FALSE(), TRUE())))</f>
        <v/>
      </c>
      <c r="X294" s="97" t="str">
        <f aca="false">IF(ISBLANK($C294),"",IF(N294=Constants!$B$2, TRUE(), IF(N294=Constants!$B$3, FALSE(), TRUE())))</f>
        <v/>
      </c>
      <c r="Y294" s="97" t="str">
        <f aca="false">IF(ISBLANK($C294),"",IF(O294=Constants!$B$2, TRUE(), IF(O294=Constants!$B$3, FALSE(), FALSE())))</f>
        <v/>
      </c>
      <c r="Z294" s="97" t="str">
        <f aca="false">IF(ISBLANK($C294),"",AND(S294&lt;&gt;"",Q294))</f>
        <v/>
      </c>
      <c r="AA294" s="97" t="str">
        <f aca="false">IF(ISBLANK($C294),"",AND(V294&lt;&gt;"",Q294))</f>
        <v/>
      </c>
      <c r="AB294" s="97" t="str">
        <f aca="false">IF(ISBLANK($C294),"",IF(Y294,Constants!$B$4,IF(COUNTA(E294:N294)=0,Constants!$B$5,IF(NOT(Q294),Constants!$B$6,IF(AND(NOT(Z294),NOT(AA294)),Constants!$B$6,Constants!$B$7)))))</f>
        <v/>
      </c>
      <c r="AC294" s="97" t="str">
        <f aca="false">IF(ISBLANK($C294),"",IF($AB294&lt;&gt;Constants!$B$7,$AB294,Constants!$B$20))</f>
        <v/>
      </c>
      <c r="AD294" s="97" t="str">
        <f aca="false">IF($AB294=Constants!$B$7,IF(Z294,S294,Constants!$B$13),"")</f>
        <v/>
      </c>
      <c r="AE294" s="97" t="str">
        <f aca="false">IF($AB294=Constants!$B$7,IF(Z294,R294*IF(T294, 1, Constants!$B$11)*IF(U294, 1, Constants!$B$12),Constants!$B$13),"")</f>
        <v/>
      </c>
      <c r="AF294" s="97" t="str">
        <f aca="false">IF($AB294=Constants!$B$7,AD294*AE294,"")</f>
        <v/>
      </c>
      <c r="AG294" s="97" t="str">
        <f aca="false">IF($AB294=Constants!$B$7,IF(AA294,V294,Constants!$B$13),"")</f>
        <v/>
      </c>
      <c r="AH294" s="97" t="str">
        <f aca="false">IF($AB294=Constants!$B$7,IF(AA294,R294*IF(W294, 1, Constants!$B$11)*IF(X294, 1, Constants!$B$12),Constants!$B$13),"")</f>
        <v/>
      </c>
      <c r="AI294" s="97" t="str">
        <f aca="false">IF($AB294=Constants!$B$7,AG294*AH294,"")</f>
        <v/>
      </c>
      <c r="AJ294" s="97" t="str">
        <f aca="false">IF($AB294=Constants!$B$7,IF(AI294&gt;AF294,2,1),"")</f>
        <v/>
      </c>
      <c r="AK294" s="97" t="str">
        <f aca="false">IF($AB294=Constants!$B$7,IF(AJ294=1,2,1),"")</f>
        <v/>
      </c>
      <c r="AL294" s="97" t="str">
        <f aca="false">IF(ISBLANK($C294),"",IF($AB294&lt;&gt;Constants!$B$7,$AB294,IF(AJ294=1,AF294,AI294)))</f>
        <v/>
      </c>
      <c r="AM294" s="97" t="str">
        <f aca="false">IF(ISBLANK($C294),"",IF($AB294=Constants!$B$7,IF(ISNUMBER(AL294),RANK(AL294,$AL$8:$AL$507),Constants!$B$14),$AB294))</f>
        <v/>
      </c>
      <c r="AN294" s="97" t="str">
        <f aca="false">IF(ISBLANK($C294),"",IF($AB294=Constants!$B$7,IF(AK294=1,AF294,AI294),""))</f>
        <v/>
      </c>
      <c r="AO294" s="97" t="str">
        <f aca="false">IF(ISBLANK($C294),"",IF($AB294=Constants!$B$7,RANK(AN294,$AN$8:$AN$507),$AB294))</f>
        <v/>
      </c>
      <c r="AP294" s="97" t="str">
        <f aca="false">IF(ISBLANK($C294),"",IF($AB294=Constants!$B$7,IF(ISNUMBER(AM294),COUNTIFS($AM$8:$AM$507,"&lt;"&amp;$AM294)+COUNTIFS($AM$8:$AM$507,$AM294,$AO$8:$AO$507,"&lt;"&amp;$AO294)+1,Constants!$B$14),$AB294))</f>
        <v/>
      </c>
      <c r="AQ294" s="97" t="str">
        <f aca="false">IF(ISBLANK($C294),"",IF($AB294=Constants!$B$7,IF(ISNUMBER(AM294),AM294-AP294,Constants!$B$14),$AB294))</f>
        <v/>
      </c>
      <c r="AR294" s="98"/>
      <c r="AS294" s="99" t="str">
        <f aca="false">IF(ISBLANK($C294),"",IF($AB294&lt;&gt;Constants!$B$7,"",AJ294))</f>
        <v/>
      </c>
      <c r="AT294" s="100" t="str">
        <f aca="false">IF(ISBLANK($C294),"",IF($AB294&lt;&gt;Constants!$B$7,"",IF(AJ294=1,AD294,AG294)))</f>
        <v/>
      </c>
      <c r="AU294" s="101" t="str">
        <f aca="false">IF(ISBLANK($C294),"",IF($AB294&lt;&gt;Constants!$B$7,"",IF(AJ294=1,AE294,AH294)))</f>
        <v/>
      </c>
      <c r="AV294" s="102" t="str">
        <f aca="false">IF(ISBLANK($C294),"",IF($AB294&lt;&gt;Constants!$B$7,$AB294,AL294))</f>
        <v/>
      </c>
      <c r="AW294" s="103" t="str">
        <f aca="false">IF(ISBLANK($C294),"",IF($AB294&lt;&gt;Constants!$B$7,$AB294,AC294))</f>
        <v/>
      </c>
      <c r="AX294" s="104" t="str">
        <f aca="false">IF(ISBLANK($C294),"",AQ294)</f>
        <v/>
      </c>
      <c r="AY294" s="104" t="str">
        <f aca="false">IF(ISBLANK($C294),"",AP294)</f>
        <v/>
      </c>
      <c r="AZ294" s="105" t="str">
        <f aca="false">IF(ISBLANK($C294),"",IF(AY294=Constants!$B$4,COUNTA($C$8:$C$507)+2,IF(AY294=Constants!$B$5,COUNTA($C$8:$C$507)+1,IF(AY294=Constants!$B$6,COUNTA($C$8:$C$507),AY294))))</f>
        <v/>
      </c>
      <c r="BA294" s="5"/>
      <c r="BB294" s="106" t="n">
        <f aca="false">IF(OR(ISNUMBER(AY294),AY294=Constants!$B$4,AY294=Constants!$B$6,AY294=Constants!$B$5),1,0)</f>
        <v>0</v>
      </c>
      <c r="BC294" s="106" t="n">
        <v>287</v>
      </c>
      <c r="BD294" s="106" t="str">
        <f aca="false">IF(ISBLANK($C294),"",IF(ISNUMBER(AZ294),AZ294+ROW($B294)/1000,""))</f>
        <v/>
      </c>
      <c r="BE294" s="106" t="str">
        <f aca="false">IF(ISNUMBER(BD294),RANK(BD294,$BD$8:$BD$507,1),"")</f>
        <v/>
      </c>
      <c r="BF294" s="106" t="str">
        <f aca="false">IF(ISBLANK($C294),"",$B294)</f>
        <v/>
      </c>
      <c r="BG294" s="106" t="str">
        <f aca="false">IF(ISBLANK($C294),"",$C294)</f>
        <v/>
      </c>
      <c r="BH294" s="106" t="str">
        <f aca="false">IF(ISBLANK($C294),"",$D294)</f>
        <v/>
      </c>
      <c r="BI294" s="107" t="str">
        <f aca="false">AW294</f>
        <v/>
      </c>
      <c r="BJ294" s="108" t="str">
        <f aca="false">AV294</f>
        <v/>
      </c>
      <c r="BK294" s="106" t="str">
        <f aca="false">IF(ISBLANK($C294),"",AY294)</f>
        <v/>
      </c>
      <c r="BL294" s="109" t="str">
        <f aca="false">IF($BC294&gt;$BB$7,"",VLOOKUP($BC294,$BE$8:$BK$507,7,FALSE()))</f>
        <v/>
      </c>
      <c r="BM294" s="110" t="str">
        <f aca="false">IF($BC294&gt;$BB$7,"",VLOOKUP($BC294,$BE$8:$BK$507,2,FALSE()))</f>
        <v/>
      </c>
      <c r="BN294" s="110" t="str">
        <f aca="false">IF($BC294&gt;$BB$7,"",VLOOKUP($BC294,$BE$8:$BK$507,3,FALSE()))</f>
        <v/>
      </c>
      <c r="BO294" s="110" t="str">
        <f aca="false">IF($BC294&gt;$BB$7,"",VLOOKUP($BC294,$BE$8:$BK$507,4,FALSE()))</f>
        <v/>
      </c>
      <c r="BP294" s="110" t="str">
        <f aca="false">IF($BC294&gt;$BB$7,"",VLOOKUP($BC294,$BE$8:$BK$507,5,FALSE()))</f>
        <v/>
      </c>
      <c r="BQ294" s="111" t="str">
        <f aca="false">IF($BC294&gt;$BB$7,"",VLOOKUP($BC294,$BE$8:$BK$507,6,FALSE()))</f>
        <v/>
      </c>
      <c r="BR294" s="54"/>
    </row>
    <row r="295" customFormat="false" ht="15.75" hidden="false" customHeight="false" outlineLevel="0" collapsed="false">
      <c r="A295" s="5"/>
      <c r="B295" s="120"/>
      <c r="C295" s="121"/>
      <c r="D295" s="112"/>
      <c r="E295" s="123"/>
      <c r="F295" s="91"/>
      <c r="G295" s="92"/>
      <c r="H295" s="93"/>
      <c r="I295" s="94"/>
      <c r="J295" s="91"/>
      <c r="K295" s="92"/>
      <c r="L295" s="93"/>
      <c r="M295" s="94"/>
      <c r="N295" s="91"/>
      <c r="O295" s="123"/>
      <c r="P295" s="96"/>
      <c r="Q295" s="97" t="str">
        <f aca="false">IF(ISBLANK($C295),"",IF(E295=Constants!$B$2, TRUE(), IF(E295=Constants!$B$3, FALSE(), TRUE())))</f>
        <v/>
      </c>
      <c r="R295" s="97" t="str">
        <f aca="false">IF(ISBLANK($C295),"",IF(F295=Constants!$B$16,Constants!$B$9,IF(F295=Constants!$B$17,Constants!$B$10,Constants!$B$8)))</f>
        <v/>
      </c>
      <c r="S295" s="97" t="str">
        <f aca="false">IF(ISBLANK($C295),"",IF(COUNTA(G295:H295)=0,"",IF(AND(OR(ISBLANK(G295),AND(ISNUMBER(G295),G295&gt;=0)),OR(ISBLANK(H295),AND(ISNUMBER(H295),H295&gt;=0))),60*IF(ISBLANK(G295),0,G295)+IF(ISBLANK(H295),0,H295),"")))</f>
        <v/>
      </c>
      <c r="T295" s="97" t="str">
        <f aca="false">IF(ISBLANK($C295),"",IF(I295=Constants!$B$2, TRUE(), IF(I295=Constants!$B$3, FALSE(), TRUE())))</f>
        <v/>
      </c>
      <c r="U295" s="97" t="str">
        <f aca="false">IF(ISBLANK($C295),"",IF(J295=Constants!$B$2, TRUE(), IF(J295=Constants!$B$3, FALSE(), TRUE())))</f>
        <v/>
      </c>
      <c r="V295" s="97" t="str">
        <f aca="false">IF(ISBLANK($C295),"",IF(COUNTA(K295:L295)=0,"",IF(AND(OR(ISBLANK(K295),AND(ISNUMBER(K295),K295&gt;=0)),OR(ISBLANK(L295),AND(ISNUMBER(L295),L295&gt;=0))),60*IF(ISBLANK(K295),0,K295)+IF(ISBLANK(L295),0,L295),"")))</f>
        <v/>
      </c>
      <c r="W295" s="97" t="str">
        <f aca="false">IF(ISBLANK($C295),"",IF(M295=Constants!$B$2, TRUE(), IF(M295=Constants!$B$3, FALSE(), TRUE())))</f>
        <v/>
      </c>
      <c r="X295" s="97" t="str">
        <f aca="false">IF(ISBLANK($C295),"",IF(N295=Constants!$B$2, TRUE(), IF(N295=Constants!$B$3, FALSE(), TRUE())))</f>
        <v/>
      </c>
      <c r="Y295" s="97" t="str">
        <f aca="false">IF(ISBLANK($C295),"",IF(O295=Constants!$B$2, TRUE(), IF(O295=Constants!$B$3, FALSE(), FALSE())))</f>
        <v/>
      </c>
      <c r="Z295" s="97" t="str">
        <f aca="false">IF(ISBLANK($C295),"",AND(S295&lt;&gt;"",Q295))</f>
        <v/>
      </c>
      <c r="AA295" s="97" t="str">
        <f aca="false">IF(ISBLANK($C295),"",AND(V295&lt;&gt;"",Q295))</f>
        <v/>
      </c>
      <c r="AB295" s="97" t="str">
        <f aca="false">IF(ISBLANK($C295),"",IF(Y295,Constants!$B$4,IF(COUNTA(E295:N295)=0,Constants!$B$5,IF(NOT(Q295),Constants!$B$6,IF(AND(NOT(Z295),NOT(AA295)),Constants!$B$6,Constants!$B$7)))))</f>
        <v/>
      </c>
      <c r="AC295" s="97" t="str">
        <f aca="false">IF(ISBLANK($C295),"",IF($AB295&lt;&gt;Constants!$B$7,$AB295,Constants!$B$20))</f>
        <v/>
      </c>
      <c r="AD295" s="97" t="str">
        <f aca="false">IF($AB295=Constants!$B$7,IF(Z295,S295,Constants!$B$13),"")</f>
        <v/>
      </c>
      <c r="AE295" s="97" t="str">
        <f aca="false">IF($AB295=Constants!$B$7,IF(Z295,R295*IF(T295, 1, Constants!$B$11)*IF(U295, 1, Constants!$B$12),Constants!$B$13),"")</f>
        <v/>
      </c>
      <c r="AF295" s="97" t="str">
        <f aca="false">IF($AB295=Constants!$B$7,AD295*AE295,"")</f>
        <v/>
      </c>
      <c r="AG295" s="97" t="str">
        <f aca="false">IF($AB295=Constants!$B$7,IF(AA295,V295,Constants!$B$13),"")</f>
        <v/>
      </c>
      <c r="AH295" s="97" t="str">
        <f aca="false">IF($AB295=Constants!$B$7,IF(AA295,R295*IF(W295, 1, Constants!$B$11)*IF(X295, 1, Constants!$B$12),Constants!$B$13),"")</f>
        <v/>
      </c>
      <c r="AI295" s="97" t="str">
        <f aca="false">IF($AB295=Constants!$B$7,AG295*AH295,"")</f>
        <v/>
      </c>
      <c r="AJ295" s="97" t="str">
        <f aca="false">IF($AB295=Constants!$B$7,IF(AI295&gt;AF295,2,1),"")</f>
        <v/>
      </c>
      <c r="AK295" s="97" t="str">
        <f aca="false">IF($AB295=Constants!$B$7,IF(AJ295=1,2,1),"")</f>
        <v/>
      </c>
      <c r="AL295" s="97" t="str">
        <f aca="false">IF(ISBLANK($C295),"",IF($AB295&lt;&gt;Constants!$B$7,$AB295,IF(AJ295=1,AF295,AI295)))</f>
        <v/>
      </c>
      <c r="AM295" s="97" t="str">
        <f aca="false">IF(ISBLANK($C295),"",IF($AB295=Constants!$B$7,IF(ISNUMBER(AL295),RANK(AL295,$AL$8:$AL$507),Constants!$B$14),$AB295))</f>
        <v/>
      </c>
      <c r="AN295" s="97" t="str">
        <f aca="false">IF(ISBLANK($C295),"",IF($AB295=Constants!$B$7,IF(AK295=1,AF295,AI295),""))</f>
        <v/>
      </c>
      <c r="AO295" s="97" t="str">
        <f aca="false">IF(ISBLANK($C295),"",IF($AB295=Constants!$B$7,RANK(AN295,$AN$8:$AN$507),$AB295))</f>
        <v/>
      </c>
      <c r="AP295" s="97" t="str">
        <f aca="false">IF(ISBLANK($C295),"",IF($AB295=Constants!$B$7,IF(ISNUMBER(AM295),COUNTIFS($AM$8:$AM$507,"&lt;"&amp;$AM295)+COUNTIFS($AM$8:$AM$507,$AM295,$AO$8:$AO$507,"&lt;"&amp;$AO295)+1,Constants!$B$14),$AB295))</f>
        <v/>
      </c>
      <c r="AQ295" s="97" t="str">
        <f aca="false">IF(ISBLANK($C295),"",IF($AB295=Constants!$B$7,IF(ISNUMBER(AM295),AM295-AP295,Constants!$B$14),$AB295))</f>
        <v/>
      </c>
      <c r="AR295" s="98"/>
      <c r="AS295" s="99" t="str">
        <f aca="false">IF(ISBLANK($C295),"",IF($AB295&lt;&gt;Constants!$B$7,"",AJ295))</f>
        <v/>
      </c>
      <c r="AT295" s="100" t="str">
        <f aca="false">IF(ISBLANK($C295),"",IF($AB295&lt;&gt;Constants!$B$7,"",IF(AJ295=1,AD295,AG295)))</f>
        <v/>
      </c>
      <c r="AU295" s="101" t="str">
        <f aca="false">IF(ISBLANK($C295),"",IF($AB295&lt;&gt;Constants!$B$7,"",IF(AJ295=1,AE295,AH295)))</f>
        <v/>
      </c>
      <c r="AV295" s="102" t="str">
        <f aca="false">IF(ISBLANK($C295),"",IF($AB295&lt;&gt;Constants!$B$7,$AB295,AL295))</f>
        <v/>
      </c>
      <c r="AW295" s="103" t="str">
        <f aca="false">IF(ISBLANK($C295),"",IF($AB295&lt;&gt;Constants!$B$7,$AB295,AC295))</f>
        <v/>
      </c>
      <c r="AX295" s="104" t="str">
        <f aca="false">IF(ISBLANK($C295),"",AQ295)</f>
        <v/>
      </c>
      <c r="AY295" s="104" t="str">
        <f aca="false">IF(ISBLANK($C295),"",AP295)</f>
        <v/>
      </c>
      <c r="AZ295" s="105" t="str">
        <f aca="false">IF(ISBLANK($C295),"",IF(AY295=Constants!$B$4,COUNTA($C$8:$C$507)+2,IF(AY295=Constants!$B$5,COUNTA($C$8:$C$507)+1,IF(AY295=Constants!$B$6,COUNTA($C$8:$C$507),AY295))))</f>
        <v/>
      </c>
      <c r="BA295" s="5"/>
      <c r="BB295" s="106" t="n">
        <f aca="false">IF(OR(ISNUMBER(AY295),AY295=Constants!$B$4,AY295=Constants!$B$6,AY295=Constants!$B$5),1,0)</f>
        <v>0</v>
      </c>
      <c r="BC295" s="106" t="n">
        <v>288</v>
      </c>
      <c r="BD295" s="106" t="str">
        <f aca="false">IF(ISBLANK($C295),"",IF(ISNUMBER(AZ295),AZ295+ROW($B295)/1000,""))</f>
        <v/>
      </c>
      <c r="BE295" s="106" t="str">
        <f aca="false">IF(ISNUMBER(BD295),RANK(BD295,$BD$8:$BD$507,1),"")</f>
        <v/>
      </c>
      <c r="BF295" s="106" t="str">
        <f aca="false">IF(ISBLANK($C295),"",$B295)</f>
        <v/>
      </c>
      <c r="BG295" s="106" t="str">
        <f aca="false">IF(ISBLANK($C295),"",$C295)</f>
        <v/>
      </c>
      <c r="BH295" s="106" t="str">
        <f aca="false">IF(ISBLANK($C295),"",$D295)</f>
        <v/>
      </c>
      <c r="BI295" s="107" t="str">
        <f aca="false">AW295</f>
        <v/>
      </c>
      <c r="BJ295" s="108" t="str">
        <f aca="false">AV295</f>
        <v/>
      </c>
      <c r="BK295" s="106" t="str">
        <f aca="false">IF(ISBLANK($C295),"",AY295)</f>
        <v/>
      </c>
      <c r="BL295" s="109" t="str">
        <f aca="false">IF($BC295&gt;$BB$7,"",VLOOKUP($BC295,$BE$8:$BK$507,7,FALSE()))</f>
        <v/>
      </c>
      <c r="BM295" s="110" t="str">
        <f aca="false">IF($BC295&gt;$BB$7,"",VLOOKUP($BC295,$BE$8:$BK$507,2,FALSE()))</f>
        <v/>
      </c>
      <c r="BN295" s="110" t="str">
        <f aca="false">IF($BC295&gt;$BB$7,"",VLOOKUP($BC295,$BE$8:$BK$507,3,FALSE()))</f>
        <v/>
      </c>
      <c r="BO295" s="110" t="str">
        <f aca="false">IF($BC295&gt;$BB$7,"",VLOOKUP($BC295,$BE$8:$BK$507,4,FALSE()))</f>
        <v/>
      </c>
      <c r="BP295" s="110" t="str">
        <f aca="false">IF($BC295&gt;$BB$7,"",VLOOKUP($BC295,$BE$8:$BK$507,5,FALSE()))</f>
        <v/>
      </c>
      <c r="BQ295" s="111" t="str">
        <f aca="false">IF($BC295&gt;$BB$7,"",VLOOKUP($BC295,$BE$8:$BK$507,6,FALSE()))</f>
        <v/>
      </c>
      <c r="BR295" s="54"/>
    </row>
    <row r="296" customFormat="false" ht="15.75" hidden="false" customHeight="false" outlineLevel="0" collapsed="false">
      <c r="A296" s="5"/>
      <c r="B296" s="124"/>
      <c r="C296" s="56"/>
      <c r="D296" s="57"/>
      <c r="E296" s="83"/>
      <c r="F296" s="59"/>
      <c r="G296" s="60"/>
      <c r="H296" s="61"/>
      <c r="I296" s="62"/>
      <c r="J296" s="59"/>
      <c r="K296" s="60"/>
      <c r="L296" s="61"/>
      <c r="M296" s="62"/>
      <c r="N296" s="59"/>
      <c r="O296" s="83"/>
      <c r="P296" s="64"/>
      <c r="Q296" s="66" t="str">
        <f aca="false">IF(ISBLANK($C296),"",IF(E296=Constants!$B$2, TRUE(), IF(E296=Constants!$B$3, FALSE(), TRUE())))</f>
        <v/>
      </c>
      <c r="R296" s="66" t="str">
        <f aca="false">IF(ISBLANK($C296),"",IF(F296=Constants!$B$16,Constants!$B$9,IF(F296=Constants!$B$17,Constants!$B$10,Constants!$B$8)))</f>
        <v/>
      </c>
      <c r="S296" s="66" t="str">
        <f aca="false">IF(ISBLANK($C296),"",IF(COUNTA(G296:H296)=0,"",IF(AND(OR(ISBLANK(G296),AND(ISNUMBER(G296),G296&gt;=0)),OR(ISBLANK(H296),AND(ISNUMBER(H296),H296&gt;=0))),60*IF(ISBLANK(G296),0,G296)+IF(ISBLANK(H296),0,H296),"")))</f>
        <v/>
      </c>
      <c r="T296" s="66" t="str">
        <f aca="false">IF(ISBLANK($C296),"",IF(I296=Constants!$B$2, TRUE(), IF(I296=Constants!$B$3, FALSE(), TRUE())))</f>
        <v/>
      </c>
      <c r="U296" s="66" t="str">
        <f aca="false">IF(ISBLANK($C296),"",IF(J296=Constants!$B$2, TRUE(), IF(J296=Constants!$B$3, FALSE(), TRUE())))</f>
        <v/>
      </c>
      <c r="V296" s="66" t="str">
        <f aca="false">IF(ISBLANK($C296),"",IF(COUNTA(K296:L296)=0,"",IF(AND(OR(ISBLANK(K296),AND(ISNUMBER(K296),K296&gt;=0)),OR(ISBLANK(L296),AND(ISNUMBER(L296),L296&gt;=0))),60*IF(ISBLANK(K296),0,K296)+IF(ISBLANK(L296),0,L296),"")))</f>
        <v/>
      </c>
      <c r="W296" s="66" t="str">
        <f aca="false">IF(ISBLANK($C296),"",IF(M296=Constants!$B$2, TRUE(), IF(M296=Constants!$B$3, FALSE(), TRUE())))</f>
        <v/>
      </c>
      <c r="X296" s="66" t="str">
        <f aca="false">IF(ISBLANK($C296),"",IF(N296=Constants!$B$2, TRUE(), IF(N296=Constants!$B$3, FALSE(), TRUE())))</f>
        <v/>
      </c>
      <c r="Y296" s="66" t="str">
        <f aca="false">IF(ISBLANK($C296),"",IF(O296=Constants!$B$2, TRUE(), IF(O296=Constants!$B$3, FALSE(), FALSE())))</f>
        <v/>
      </c>
      <c r="Z296" s="66" t="str">
        <f aca="false">IF(ISBLANK($C296),"",AND(S296&lt;&gt;"",Q296))</f>
        <v/>
      </c>
      <c r="AA296" s="66" t="str">
        <f aca="false">IF(ISBLANK($C296),"",AND(V296&lt;&gt;"",Q296))</f>
        <v/>
      </c>
      <c r="AB296" s="66" t="str">
        <f aca="false">IF(ISBLANK($C296),"",IF(Y296,Constants!$B$4,IF(COUNTA(E296:N296)=0,Constants!$B$5,IF(NOT(Q296),Constants!$B$6,IF(AND(NOT(Z296),NOT(AA296)),Constants!$B$6,Constants!$B$7)))))</f>
        <v/>
      </c>
      <c r="AC296" s="66" t="str">
        <f aca="false">IF(ISBLANK($C296),"",IF($AB296&lt;&gt;Constants!$B$7,$AB296,Constants!$B$20))</f>
        <v/>
      </c>
      <c r="AD296" s="66" t="str">
        <f aca="false">IF($AB296=Constants!$B$7,IF(Z296,S296,Constants!$B$13),"")</f>
        <v/>
      </c>
      <c r="AE296" s="66" t="str">
        <f aca="false">IF($AB296=Constants!$B$7,IF(Z296,R296*IF(T296, 1, Constants!$B$11)*IF(U296, 1, Constants!$B$12),Constants!$B$13),"")</f>
        <v/>
      </c>
      <c r="AF296" s="66" t="str">
        <f aca="false">IF($AB296=Constants!$B$7,AD296*AE296,"")</f>
        <v/>
      </c>
      <c r="AG296" s="66" t="str">
        <f aca="false">IF($AB296=Constants!$B$7,IF(AA296,V296,Constants!$B$13),"")</f>
        <v/>
      </c>
      <c r="AH296" s="66" t="str">
        <f aca="false">IF($AB296=Constants!$B$7,IF(AA296,R296*IF(W296, 1, Constants!$B$11)*IF(X296, 1, Constants!$B$12),Constants!$B$13),"")</f>
        <v/>
      </c>
      <c r="AI296" s="66" t="str">
        <f aca="false">IF($AB296=Constants!$B$7,AG296*AH296,"")</f>
        <v/>
      </c>
      <c r="AJ296" s="66" t="str">
        <f aca="false">IF($AB296=Constants!$B$7,IF(AI296&gt;AF296,2,1),"")</f>
        <v/>
      </c>
      <c r="AK296" s="66" t="str">
        <f aca="false">IF($AB296=Constants!$B$7,IF(AJ296=1,2,1),"")</f>
        <v/>
      </c>
      <c r="AL296" s="66" t="str">
        <f aca="false">IF(ISBLANK($C296),"",IF($AB296&lt;&gt;Constants!$B$7,$AB296,IF(AJ296=1,AF296,AI296)))</f>
        <v/>
      </c>
      <c r="AM296" s="66" t="str">
        <f aca="false">IF(ISBLANK($C296),"",IF($AB296=Constants!$B$7,IF(ISNUMBER(AL296),RANK(AL296,$AL$8:$AL$507),Constants!$B$14),$AB296))</f>
        <v/>
      </c>
      <c r="AN296" s="66" t="str">
        <f aca="false">IF(ISBLANK($C296),"",IF($AB296=Constants!$B$7,IF(AK296=1,AF296,AI296),""))</f>
        <v/>
      </c>
      <c r="AO296" s="66" t="str">
        <f aca="false">IF(ISBLANK($C296),"",IF($AB296=Constants!$B$7,RANK(AN296,$AN$8:$AN$507),$AB296))</f>
        <v/>
      </c>
      <c r="AP296" s="66" t="str">
        <f aca="false">IF(ISBLANK($C296),"",IF($AB296=Constants!$B$7,IF(ISNUMBER(AM296),COUNTIFS($AM$8:$AM$507,"&lt;"&amp;$AM296)+COUNTIFS($AM$8:$AM$507,$AM296,$AO$8:$AO$507,"&lt;"&amp;$AO296)+1,Constants!$B$14),$AB296))</f>
        <v/>
      </c>
      <c r="AQ296" s="66" t="str">
        <f aca="false">IF(ISBLANK($C296),"",IF($AB296=Constants!$B$7,IF(ISNUMBER(AM296),AM296-AP296,Constants!$B$14),$AB296))</f>
        <v/>
      </c>
      <c r="AR296" s="68"/>
      <c r="AS296" s="69" t="str">
        <f aca="false">IF(ISBLANK($C296),"",IF($AB296&lt;&gt;Constants!$B$7,"",AJ296))</f>
        <v/>
      </c>
      <c r="AT296" s="84" t="str">
        <f aca="false">IF(ISBLANK($C296),"",IF($AB296&lt;&gt;Constants!$B$7,"",IF(AJ296=1,AD296,AG296)))</f>
        <v/>
      </c>
      <c r="AU296" s="71" t="str">
        <f aca="false">IF(ISBLANK($C296),"",IF($AB296&lt;&gt;Constants!$B$7,"",IF(AJ296=1,AE296,AH296)))</f>
        <v/>
      </c>
      <c r="AV296" s="72" t="str">
        <f aca="false">IF(ISBLANK($C296),"",IF($AB296&lt;&gt;Constants!$B$7,$AB296,AL296))</f>
        <v/>
      </c>
      <c r="AW296" s="73" t="str">
        <f aca="false">IF(ISBLANK($C296),"",IF($AB296&lt;&gt;Constants!$B$7,$AB296,AC296))</f>
        <v/>
      </c>
      <c r="AX296" s="74" t="str">
        <f aca="false">IF(ISBLANK($C296),"",AQ296)</f>
        <v/>
      </c>
      <c r="AY296" s="74" t="str">
        <f aca="false">IF(ISBLANK($C296),"",AP296)</f>
        <v/>
      </c>
      <c r="AZ296" s="75" t="str">
        <f aca="false">IF(ISBLANK($C296),"",IF(AY296=Constants!$B$4,COUNTA($C$8:$C$507)+2,IF(AY296=Constants!$B$5,COUNTA($C$8:$C$507)+1,IF(AY296=Constants!$B$6,COUNTA($C$8:$C$507),AY296))))</f>
        <v/>
      </c>
      <c r="BA296" s="5"/>
      <c r="BB296" s="76" t="n">
        <f aca="false">IF(OR(ISNUMBER(AY296),AY296=Constants!$B$4,AY296=Constants!$B$6,AY296=Constants!$B$5),1,0)</f>
        <v>0</v>
      </c>
      <c r="BC296" s="76" t="n">
        <v>289</v>
      </c>
      <c r="BD296" s="76" t="str">
        <f aca="false">IF(ISBLANK($C296),"",IF(ISNUMBER(AZ296),AZ296+ROW($B296)/1000,""))</f>
        <v/>
      </c>
      <c r="BE296" s="76" t="str">
        <f aca="false">IF(ISNUMBER(BD296),RANK(BD296,$BD$8:$BD$507,1),"")</f>
        <v/>
      </c>
      <c r="BF296" s="76" t="str">
        <f aca="false">IF(ISBLANK($C296),"",$B296)</f>
        <v/>
      </c>
      <c r="BG296" s="76" t="str">
        <f aca="false">IF(ISBLANK($C296),"",$C296)</f>
        <v/>
      </c>
      <c r="BH296" s="76" t="str">
        <f aca="false">IF(ISBLANK($C296),"",$D296)</f>
        <v/>
      </c>
      <c r="BI296" s="77" t="str">
        <f aca="false">AW296</f>
        <v/>
      </c>
      <c r="BJ296" s="78" t="str">
        <f aca="false">AV296</f>
        <v/>
      </c>
      <c r="BK296" s="76" t="str">
        <f aca="false">IF(ISBLANK($C296),"",AY296)</f>
        <v/>
      </c>
      <c r="BL296" s="79" t="str">
        <f aca="false">IF($BC296&gt;$BB$7,"",VLOOKUP($BC296,$BE$8:$BK$507,7,FALSE()))</f>
        <v/>
      </c>
      <c r="BM296" s="80" t="str">
        <f aca="false">IF($BC296&gt;$BB$7,"",VLOOKUP($BC296,$BE$8:$BK$507,2,FALSE()))</f>
        <v/>
      </c>
      <c r="BN296" s="80" t="str">
        <f aca="false">IF($BC296&gt;$BB$7,"",VLOOKUP($BC296,$BE$8:$BK$507,3,FALSE()))</f>
        <v/>
      </c>
      <c r="BO296" s="80" t="str">
        <f aca="false">IF($BC296&gt;$BB$7,"",VLOOKUP($BC296,$BE$8:$BK$507,4,FALSE()))</f>
        <v/>
      </c>
      <c r="BP296" s="80" t="str">
        <f aca="false">IF($BC296&gt;$BB$7,"",VLOOKUP($BC296,$BE$8:$BK$507,5,FALSE()))</f>
        <v/>
      </c>
      <c r="BQ296" s="81" t="str">
        <f aca="false">IF($BC296&gt;$BB$7,"",VLOOKUP($BC296,$BE$8:$BK$507,6,FALSE()))</f>
        <v/>
      </c>
      <c r="BR296" s="54"/>
    </row>
    <row r="297" customFormat="false" ht="15.75" hidden="false" customHeight="false" outlineLevel="0" collapsed="false">
      <c r="A297" s="5"/>
      <c r="B297" s="124"/>
      <c r="C297" s="56"/>
      <c r="D297" s="57"/>
      <c r="E297" s="83"/>
      <c r="F297" s="59"/>
      <c r="G297" s="60"/>
      <c r="H297" s="61"/>
      <c r="I297" s="62"/>
      <c r="J297" s="59"/>
      <c r="K297" s="60"/>
      <c r="L297" s="61"/>
      <c r="M297" s="62"/>
      <c r="N297" s="59"/>
      <c r="O297" s="83"/>
      <c r="P297" s="64"/>
      <c r="Q297" s="66" t="str">
        <f aca="false">IF(ISBLANK($C297),"",IF(E297=Constants!$B$2, TRUE(), IF(E297=Constants!$B$3, FALSE(), TRUE())))</f>
        <v/>
      </c>
      <c r="R297" s="66" t="str">
        <f aca="false">IF(ISBLANK($C297),"",IF(F297=Constants!$B$16,Constants!$B$9,IF(F297=Constants!$B$17,Constants!$B$10,Constants!$B$8)))</f>
        <v/>
      </c>
      <c r="S297" s="66" t="str">
        <f aca="false">IF(ISBLANK($C297),"",IF(COUNTA(G297:H297)=0,"",IF(AND(OR(ISBLANK(G297),AND(ISNUMBER(G297),G297&gt;=0)),OR(ISBLANK(H297),AND(ISNUMBER(H297),H297&gt;=0))),60*IF(ISBLANK(G297),0,G297)+IF(ISBLANK(H297),0,H297),"")))</f>
        <v/>
      </c>
      <c r="T297" s="66" t="str">
        <f aca="false">IF(ISBLANK($C297),"",IF(I297=Constants!$B$2, TRUE(), IF(I297=Constants!$B$3, FALSE(), TRUE())))</f>
        <v/>
      </c>
      <c r="U297" s="66" t="str">
        <f aca="false">IF(ISBLANK($C297),"",IF(J297=Constants!$B$2, TRUE(), IF(J297=Constants!$B$3, FALSE(), TRUE())))</f>
        <v/>
      </c>
      <c r="V297" s="66" t="str">
        <f aca="false">IF(ISBLANK($C297),"",IF(COUNTA(K297:L297)=0,"",IF(AND(OR(ISBLANK(K297),AND(ISNUMBER(K297),K297&gt;=0)),OR(ISBLANK(L297),AND(ISNUMBER(L297),L297&gt;=0))),60*IF(ISBLANK(K297),0,K297)+IF(ISBLANK(L297),0,L297),"")))</f>
        <v/>
      </c>
      <c r="W297" s="66" t="str">
        <f aca="false">IF(ISBLANK($C297),"",IF(M297=Constants!$B$2, TRUE(), IF(M297=Constants!$B$3, FALSE(), TRUE())))</f>
        <v/>
      </c>
      <c r="X297" s="66" t="str">
        <f aca="false">IF(ISBLANK($C297),"",IF(N297=Constants!$B$2, TRUE(), IF(N297=Constants!$B$3, FALSE(), TRUE())))</f>
        <v/>
      </c>
      <c r="Y297" s="66" t="str">
        <f aca="false">IF(ISBLANK($C297),"",IF(O297=Constants!$B$2, TRUE(), IF(O297=Constants!$B$3, FALSE(), FALSE())))</f>
        <v/>
      </c>
      <c r="Z297" s="66" t="str">
        <f aca="false">IF(ISBLANK($C297),"",AND(S297&lt;&gt;"",Q297))</f>
        <v/>
      </c>
      <c r="AA297" s="66" t="str">
        <f aca="false">IF(ISBLANK($C297),"",AND(V297&lt;&gt;"",Q297))</f>
        <v/>
      </c>
      <c r="AB297" s="66" t="str">
        <f aca="false">IF(ISBLANK($C297),"",IF(Y297,Constants!$B$4,IF(COUNTA(E297:N297)=0,Constants!$B$5,IF(NOT(Q297),Constants!$B$6,IF(AND(NOT(Z297),NOT(AA297)),Constants!$B$6,Constants!$B$7)))))</f>
        <v/>
      </c>
      <c r="AC297" s="66" t="str">
        <f aca="false">IF(ISBLANK($C297),"",IF($AB297&lt;&gt;Constants!$B$7,$AB297,Constants!$B$20))</f>
        <v/>
      </c>
      <c r="AD297" s="66" t="str">
        <f aca="false">IF($AB297=Constants!$B$7,IF(Z297,S297,Constants!$B$13),"")</f>
        <v/>
      </c>
      <c r="AE297" s="66" t="str">
        <f aca="false">IF($AB297=Constants!$B$7,IF(Z297,R297*IF(T297, 1, Constants!$B$11)*IF(U297, 1, Constants!$B$12),Constants!$B$13),"")</f>
        <v/>
      </c>
      <c r="AF297" s="66" t="str">
        <f aca="false">IF($AB297=Constants!$B$7,AD297*AE297,"")</f>
        <v/>
      </c>
      <c r="AG297" s="66" t="str">
        <f aca="false">IF($AB297=Constants!$B$7,IF(AA297,V297,Constants!$B$13),"")</f>
        <v/>
      </c>
      <c r="AH297" s="66" t="str">
        <f aca="false">IF($AB297=Constants!$B$7,IF(AA297,R297*IF(W297, 1, Constants!$B$11)*IF(X297, 1, Constants!$B$12),Constants!$B$13),"")</f>
        <v/>
      </c>
      <c r="AI297" s="66" t="str">
        <f aca="false">IF($AB297=Constants!$B$7,AG297*AH297,"")</f>
        <v/>
      </c>
      <c r="AJ297" s="66" t="str">
        <f aca="false">IF($AB297=Constants!$B$7,IF(AI297&gt;AF297,2,1),"")</f>
        <v/>
      </c>
      <c r="AK297" s="66" t="str">
        <f aca="false">IF($AB297=Constants!$B$7,IF(AJ297=1,2,1),"")</f>
        <v/>
      </c>
      <c r="AL297" s="66" t="str">
        <f aca="false">IF(ISBLANK($C297),"",IF($AB297&lt;&gt;Constants!$B$7,$AB297,IF(AJ297=1,AF297,AI297)))</f>
        <v/>
      </c>
      <c r="AM297" s="66" t="str">
        <f aca="false">IF(ISBLANK($C297),"",IF($AB297=Constants!$B$7,IF(ISNUMBER(AL297),RANK(AL297,$AL$8:$AL$507),Constants!$B$14),$AB297))</f>
        <v/>
      </c>
      <c r="AN297" s="66" t="str">
        <f aca="false">IF(ISBLANK($C297),"",IF($AB297=Constants!$B$7,IF(AK297=1,AF297,AI297),""))</f>
        <v/>
      </c>
      <c r="AO297" s="66" t="str">
        <f aca="false">IF(ISBLANK($C297),"",IF($AB297=Constants!$B$7,RANK(AN297,$AN$8:$AN$507),$AB297))</f>
        <v/>
      </c>
      <c r="AP297" s="66" t="str">
        <f aca="false">IF(ISBLANK($C297),"",IF($AB297=Constants!$B$7,IF(ISNUMBER(AM297),COUNTIFS($AM$8:$AM$507,"&lt;"&amp;$AM297)+COUNTIFS($AM$8:$AM$507,$AM297,$AO$8:$AO$507,"&lt;"&amp;$AO297)+1,Constants!$B$14),$AB297))</f>
        <v/>
      </c>
      <c r="AQ297" s="66" t="str">
        <f aca="false">IF(ISBLANK($C297),"",IF($AB297=Constants!$B$7,IF(ISNUMBER(AM297),AM297-AP297,Constants!$B$14),$AB297))</f>
        <v/>
      </c>
      <c r="AR297" s="68"/>
      <c r="AS297" s="69" t="str">
        <f aca="false">IF(ISBLANK($C297),"",IF($AB297&lt;&gt;Constants!$B$7,"",AJ297))</f>
        <v/>
      </c>
      <c r="AT297" s="84" t="str">
        <f aca="false">IF(ISBLANK($C297),"",IF($AB297&lt;&gt;Constants!$B$7,"",IF(AJ297=1,AD297,AG297)))</f>
        <v/>
      </c>
      <c r="AU297" s="71" t="str">
        <f aca="false">IF(ISBLANK($C297),"",IF($AB297&lt;&gt;Constants!$B$7,"",IF(AJ297=1,AE297,AH297)))</f>
        <v/>
      </c>
      <c r="AV297" s="72" t="str">
        <f aca="false">IF(ISBLANK($C297),"",IF($AB297&lt;&gt;Constants!$B$7,$AB297,AL297))</f>
        <v/>
      </c>
      <c r="AW297" s="73" t="str">
        <f aca="false">IF(ISBLANK($C297),"",IF($AB297&lt;&gt;Constants!$B$7,$AB297,AC297))</f>
        <v/>
      </c>
      <c r="AX297" s="74" t="str">
        <f aca="false">IF(ISBLANK($C297),"",AQ297)</f>
        <v/>
      </c>
      <c r="AY297" s="74" t="str">
        <f aca="false">IF(ISBLANK($C297),"",AP297)</f>
        <v/>
      </c>
      <c r="AZ297" s="75" t="str">
        <f aca="false">IF(ISBLANK($C297),"",IF(AY297=Constants!$B$4,COUNTA($C$8:$C$507)+2,IF(AY297=Constants!$B$5,COUNTA($C$8:$C$507)+1,IF(AY297=Constants!$B$6,COUNTA($C$8:$C$507),AY297))))</f>
        <v/>
      </c>
      <c r="BA297" s="5"/>
      <c r="BB297" s="76" t="n">
        <f aca="false">IF(OR(ISNUMBER(AY297),AY297=Constants!$B$4,AY297=Constants!$B$6,AY297=Constants!$B$5),1,0)</f>
        <v>0</v>
      </c>
      <c r="BC297" s="76" t="n">
        <v>290</v>
      </c>
      <c r="BD297" s="76" t="str">
        <f aca="false">IF(ISBLANK($C297),"",IF(ISNUMBER(AZ297),AZ297+ROW($B297)/1000,""))</f>
        <v/>
      </c>
      <c r="BE297" s="76" t="str">
        <f aca="false">IF(ISNUMBER(BD297),RANK(BD297,$BD$8:$BD$507,1),"")</f>
        <v/>
      </c>
      <c r="BF297" s="76" t="str">
        <f aca="false">IF(ISBLANK($C297),"",$B297)</f>
        <v/>
      </c>
      <c r="BG297" s="76" t="str">
        <f aca="false">IF(ISBLANK($C297),"",$C297)</f>
        <v/>
      </c>
      <c r="BH297" s="76" t="str">
        <f aca="false">IF(ISBLANK($C297),"",$D297)</f>
        <v/>
      </c>
      <c r="BI297" s="77" t="str">
        <f aca="false">AW297</f>
        <v/>
      </c>
      <c r="BJ297" s="78" t="str">
        <f aca="false">AV297</f>
        <v/>
      </c>
      <c r="BK297" s="76" t="str">
        <f aca="false">IF(ISBLANK($C297),"",AY297)</f>
        <v/>
      </c>
      <c r="BL297" s="79" t="str">
        <f aca="false">IF($BC297&gt;$BB$7,"",VLOOKUP($BC297,$BE$8:$BK$507,7,FALSE()))</f>
        <v/>
      </c>
      <c r="BM297" s="80" t="str">
        <f aca="false">IF($BC297&gt;$BB$7,"",VLOOKUP($BC297,$BE$8:$BK$507,2,FALSE()))</f>
        <v/>
      </c>
      <c r="BN297" s="80" t="str">
        <f aca="false">IF($BC297&gt;$BB$7,"",VLOOKUP($BC297,$BE$8:$BK$507,3,FALSE()))</f>
        <v/>
      </c>
      <c r="BO297" s="80" t="str">
        <f aca="false">IF($BC297&gt;$BB$7,"",VLOOKUP($BC297,$BE$8:$BK$507,4,FALSE()))</f>
        <v/>
      </c>
      <c r="BP297" s="80" t="str">
        <f aca="false">IF($BC297&gt;$BB$7,"",VLOOKUP($BC297,$BE$8:$BK$507,5,FALSE()))</f>
        <v/>
      </c>
      <c r="BQ297" s="81" t="str">
        <f aca="false">IF($BC297&gt;$BB$7,"",VLOOKUP($BC297,$BE$8:$BK$507,6,FALSE()))</f>
        <v/>
      </c>
      <c r="BR297" s="54"/>
    </row>
    <row r="298" customFormat="false" ht="15.75" hidden="false" customHeight="false" outlineLevel="0" collapsed="false">
      <c r="A298" s="5"/>
      <c r="B298" s="124"/>
      <c r="C298" s="56"/>
      <c r="D298" s="57"/>
      <c r="E298" s="83"/>
      <c r="F298" s="59"/>
      <c r="G298" s="60"/>
      <c r="H298" s="61"/>
      <c r="I298" s="62"/>
      <c r="J298" s="59"/>
      <c r="K298" s="60"/>
      <c r="L298" s="61"/>
      <c r="M298" s="62"/>
      <c r="N298" s="59"/>
      <c r="O298" s="83"/>
      <c r="P298" s="64"/>
      <c r="Q298" s="66" t="str">
        <f aca="false">IF(ISBLANK($C298),"",IF(E298=Constants!$B$2, TRUE(), IF(E298=Constants!$B$3, FALSE(), TRUE())))</f>
        <v/>
      </c>
      <c r="R298" s="66" t="str">
        <f aca="false">IF(ISBLANK($C298),"",IF(F298=Constants!$B$16,Constants!$B$9,IF(F298=Constants!$B$17,Constants!$B$10,Constants!$B$8)))</f>
        <v/>
      </c>
      <c r="S298" s="66" t="str">
        <f aca="false">IF(ISBLANK($C298),"",IF(COUNTA(G298:H298)=0,"",IF(AND(OR(ISBLANK(G298),AND(ISNUMBER(G298),G298&gt;=0)),OR(ISBLANK(H298),AND(ISNUMBER(H298),H298&gt;=0))),60*IF(ISBLANK(G298),0,G298)+IF(ISBLANK(H298),0,H298),"")))</f>
        <v/>
      </c>
      <c r="T298" s="66" t="str">
        <f aca="false">IF(ISBLANK($C298),"",IF(I298=Constants!$B$2, TRUE(), IF(I298=Constants!$B$3, FALSE(), TRUE())))</f>
        <v/>
      </c>
      <c r="U298" s="66" t="str">
        <f aca="false">IF(ISBLANK($C298),"",IF(J298=Constants!$B$2, TRUE(), IF(J298=Constants!$B$3, FALSE(), TRUE())))</f>
        <v/>
      </c>
      <c r="V298" s="66" t="str">
        <f aca="false">IF(ISBLANK($C298),"",IF(COUNTA(K298:L298)=0,"",IF(AND(OR(ISBLANK(K298),AND(ISNUMBER(K298),K298&gt;=0)),OR(ISBLANK(L298),AND(ISNUMBER(L298),L298&gt;=0))),60*IF(ISBLANK(K298),0,K298)+IF(ISBLANK(L298),0,L298),"")))</f>
        <v/>
      </c>
      <c r="W298" s="66" t="str">
        <f aca="false">IF(ISBLANK($C298),"",IF(M298=Constants!$B$2, TRUE(), IF(M298=Constants!$B$3, FALSE(), TRUE())))</f>
        <v/>
      </c>
      <c r="X298" s="66" t="str">
        <f aca="false">IF(ISBLANK($C298),"",IF(N298=Constants!$B$2, TRUE(), IF(N298=Constants!$B$3, FALSE(), TRUE())))</f>
        <v/>
      </c>
      <c r="Y298" s="66" t="str">
        <f aca="false">IF(ISBLANK($C298),"",IF(O298=Constants!$B$2, TRUE(), IF(O298=Constants!$B$3, FALSE(), FALSE())))</f>
        <v/>
      </c>
      <c r="Z298" s="66" t="str">
        <f aca="false">IF(ISBLANK($C298),"",AND(S298&lt;&gt;"",Q298))</f>
        <v/>
      </c>
      <c r="AA298" s="66" t="str">
        <f aca="false">IF(ISBLANK($C298),"",AND(V298&lt;&gt;"",Q298))</f>
        <v/>
      </c>
      <c r="AB298" s="66" t="str">
        <f aca="false">IF(ISBLANK($C298),"",IF(Y298,Constants!$B$4,IF(COUNTA(E298:N298)=0,Constants!$B$5,IF(NOT(Q298),Constants!$B$6,IF(AND(NOT(Z298),NOT(AA298)),Constants!$B$6,Constants!$B$7)))))</f>
        <v/>
      </c>
      <c r="AC298" s="66" t="str">
        <f aca="false">IF(ISBLANK($C298),"",IF($AB298&lt;&gt;Constants!$B$7,$AB298,Constants!$B$20))</f>
        <v/>
      </c>
      <c r="AD298" s="66" t="str">
        <f aca="false">IF($AB298=Constants!$B$7,IF(Z298,S298,Constants!$B$13),"")</f>
        <v/>
      </c>
      <c r="AE298" s="66" t="str">
        <f aca="false">IF($AB298=Constants!$B$7,IF(Z298,R298*IF(T298, 1, Constants!$B$11)*IF(U298, 1, Constants!$B$12),Constants!$B$13),"")</f>
        <v/>
      </c>
      <c r="AF298" s="66" t="str">
        <f aca="false">IF($AB298=Constants!$B$7,AD298*AE298,"")</f>
        <v/>
      </c>
      <c r="AG298" s="66" t="str">
        <f aca="false">IF($AB298=Constants!$B$7,IF(AA298,V298,Constants!$B$13),"")</f>
        <v/>
      </c>
      <c r="AH298" s="66" t="str">
        <f aca="false">IF($AB298=Constants!$B$7,IF(AA298,R298*IF(W298, 1, Constants!$B$11)*IF(X298, 1, Constants!$B$12),Constants!$B$13),"")</f>
        <v/>
      </c>
      <c r="AI298" s="66" t="str">
        <f aca="false">IF($AB298=Constants!$B$7,AG298*AH298,"")</f>
        <v/>
      </c>
      <c r="AJ298" s="66" t="str">
        <f aca="false">IF($AB298=Constants!$B$7,IF(AI298&gt;AF298,2,1),"")</f>
        <v/>
      </c>
      <c r="AK298" s="66" t="str">
        <f aca="false">IF($AB298=Constants!$B$7,IF(AJ298=1,2,1),"")</f>
        <v/>
      </c>
      <c r="AL298" s="66" t="str">
        <f aca="false">IF(ISBLANK($C298),"",IF($AB298&lt;&gt;Constants!$B$7,$AB298,IF(AJ298=1,AF298,AI298)))</f>
        <v/>
      </c>
      <c r="AM298" s="66" t="str">
        <f aca="false">IF(ISBLANK($C298),"",IF($AB298=Constants!$B$7,IF(ISNUMBER(AL298),RANK(AL298,$AL$8:$AL$507),Constants!$B$14),$AB298))</f>
        <v/>
      </c>
      <c r="AN298" s="66" t="str">
        <f aca="false">IF(ISBLANK($C298),"",IF($AB298=Constants!$B$7,IF(AK298=1,AF298,AI298),""))</f>
        <v/>
      </c>
      <c r="AO298" s="66" t="str">
        <f aca="false">IF(ISBLANK($C298),"",IF($AB298=Constants!$B$7,RANK(AN298,$AN$8:$AN$507),$AB298))</f>
        <v/>
      </c>
      <c r="AP298" s="66" t="str">
        <f aca="false">IF(ISBLANK($C298),"",IF($AB298=Constants!$B$7,IF(ISNUMBER(AM298),COUNTIFS($AM$8:$AM$507,"&lt;"&amp;$AM298)+COUNTIFS($AM$8:$AM$507,$AM298,$AO$8:$AO$507,"&lt;"&amp;$AO298)+1,Constants!$B$14),$AB298))</f>
        <v/>
      </c>
      <c r="AQ298" s="66" t="str">
        <f aca="false">IF(ISBLANK($C298),"",IF($AB298=Constants!$B$7,IF(ISNUMBER(AM298),AM298-AP298,Constants!$B$14),$AB298))</f>
        <v/>
      </c>
      <c r="AR298" s="68"/>
      <c r="AS298" s="69" t="str">
        <f aca="false">IF(ISBLANK($C298),"",IF($AB298&lt;&gt;Constants!$B$7,"",AJ298))</f>
        <v/>
      </c>
      <c r="AT298" s="84" t="str">
        <f aca="false">IF(ISBLANK($C298),"",IF($AB298&lt;&gt;Constants!$B$7,"",IF(AJ298=1,AD298,AG298)))</f>
        <v/>
      </c>
      <c r="AU298" s="71" t="str">
        <f aca="false">IF(ISBLANK($C298),"",IF($AB298&lt;&gt;Constants!$B$7,"",IF(AJ298=1,AE298,AH298)))</f>
        <v/>
      </c>
      <c r="AV298" s="72" t="str">
        <f aca="false">IF(ISBLANK($C298),"",IF($AB298&lt;&gt;Constants!$B$7,$AB298,AL298))</f>
        <v/>
      </c>
      <c r="AW298" s="73" t="str">
        <f aca="false">IF(ISBLANK($C298),"",IF($AB298&lt;&gt;Constants!$B$7,$AB298,AC298))</f>
        <v/>
      </c>
      <c r="AX298" s="74" t="str">
        <f aca="false">IF(ISBLANK($C298),"",AQ298)</f>
        <v/>
      </c>
      <c r="AY298" s="74" t="str">
        <f aca="false">IF(ISBLANK($C298),"",AP298)</f>
        <v/>
      </c>
      <c r="AZ298" s="75" t="str">
        <f aca="false">IF(ISBLANK($C298),"",IF(AY298=Constants!$B$4,COUNTA($C$8:$C$507)+2,IF(AY298=Constants!$B$5,COUNTA($C$8:$C$507)+1,IF(AY298=Constants!$B$6,COUNTA($C$8:$C$507),AY298))))</f>
        <v/>
      </c>
      <c r="BA298" s="5"/>
      <c r="BB298" s="76" t="n">
        <f aca="false">IF(OR(ISNUMBER(AY298),AY298=Constants!$B$4,AY298=Constants!$B$6,AY298=Constants!$B$5),1,0)</f>
        <v>0</v>
      </c>
      <c r="BC298" s="76" t="n">
        <v>291</v>
      </c>
      <c r="BD298" s="76" t="str">
        <f aca="false">IF(ISBLANK($C298),"",IF(ISNUMBER(AZ298),AZ298+ROW($B298)/1000,""))</f>
        <v/>
      </c>
      <c r="BE298" s="76" t="str">
        <f aca="false">IF(ISNUMBER(BD298),RANK(BD298,$BD$8:$BD$507,1),"")</f>
        <v/>
      </c>
      <c r="BF298" s="76" t="str">
        <f aca="false">IF(ISBLANK($C298),"",$B298)</f>
        <v/>
      </c>
      <c r="BG298" s="76" t="str">
        <f aca="false">IF(ISBLANK($C298),"",$C298)</f>
        <v/>
      </c>
      <c r="BH298" s="76" t="str">
        <f aca="false">IF(ISBLANK($C298),"",$D298)</f>
        <v/>
      </c>
      <c r="BI298" s="77" t="str">
        <f aca="false">AW298</f>
        <v/>
      </c>
      <c r="BJ298" s="78" t="str">
        <f aca="false">AV298</f>
        <v/>
      </c>
      <c r="BK298" s="76" t="str">
        <f aca="false">IF(ISBLANK($C298),"",AY298)</f>
        <v/>
      </c>
      <c r="BL298" s="79" t="str">
        <f aca="false">IF($BC298&gt;$BB$7,"",VLOOKUP($BC298,$BE$8:$BK$507,7,FALSE()))</f>
        <v/>
      </c>
      <c r="BM298" s="80" t="str">
        <f aca="false">IF($BC298&gt;$BB$7,"",VLOOKUP($BC298,$BE$8:$BK$507,2,FALSE()))</f>
        <v/>
      </c>
      <c r="BN298" s="80" t="str">
        <f aca="false">IF($BC298&gt;$BB$7,"",VLOOKUP($BC298,$BE$8:$BK$507,3,FALSE()))</f>
        <v/>
      </c>
      <c r="BO298" s="80" t="str">
        <f aca="false">IF($BC298&gt;$BB$7,"",VLOOKUP($BC298,$BE$8:$BK$507,4,FALSE()))</f>
        <v/>
      </c>
      <c r="BP298" s="80" t="str">
        <f aca="false">IF($BC298&gt;$BB$7,"",VLOOKUP($BC298,$BE$8:$BK$507,5,FALSE()))</f>
        <v/>
      </c>
      <c r="BQ298" s="81" t="str">
        <f aca="false">IF($BC298&gt;$BB$7,"",VLOOKUP($BC298,$BE$8:$BK$507,6,FALSE()))</f>
        <v/>
      </c>
      <c r="BR298" s="54"/>
    </row>
    <row r="299" customFormat="false" ht="15.75" hidden="false" customHeight="false" outlineLevel="0" collapsed="false">
      <c r="A299" s="5"/>
      <c r="B299" s="120"/>
      <c r="C299" s="121"/>
      <c r="D299" s="112"/>
      <c r="E299" s="123"/>
      <c r="F299" s="91"/>
      <c r="G299" s="92"/>
      <c r="H299" s="93"/>
      <c r="I299" s="94"/>
      <c r="J299" s="91"/>
      <c r="K299" s="92"/>
      <c r="L299" s="93"/>
      <c r="M299" s="94"/>
      <c r="N299" s="91"/>
      <c r="O299" s="123"/>
      <c r="P299" s="96"/>
      <c r="Q299" s="97" t="str">
        <f aca="false">IF(ISBLANK($C299),"",IF(E299=Constants!$B$2, TRUE(), IF(E299=Constants!$B$3, FALSE(), TRUE())))</f>
        <v/>
      </c>
      <c r="R299" s="97" t="str">
        <f aca="false">IF(ISBLANK($C299),"",IF(F299=Constants!$B$16,Constants!$B$9,IF(F299=Constants!$B$17,Constants!$B$10,Constants!$B$8)))</f>
        <v/>
      </c>
      <c r="S299" s="97" t="str">
        <f aca="false">IF(ISBLANK($C299),"",IF(COUNTA(G299:H299)=0,"",IF(AND(OR(ISBLANK(G299),AND(ISNUMBER(G299),G299&gt;=0)),OR(ISBLANK(H299),AND(ISNUMBER(H299),H299&gt;=0))),60*IF(ISBLANK(G299),0,G299)+IF(ISBLANK(H299),0,H299),"")))</f>
        <v/>
      </c>
      <c r="T299" s="97" t="str">
        <f aca="false">IF(ISBLANK($C299),"",IF(I299=Constants!$B$2, TRUE(), IF(I299=Constants!$B$3, FALSE(), TRUE())))</f>
        <v/>
      </c>
      <c r="U299" s="97" t="str">
        <f aca="false">IF(ISBLANK($C299),"",IF(J299=Constants!$B$2, TRUE(), IF(J299=Constants!$B$3, FALSE(), TRUE())))</f>
        <v/>
      </c>
      <c r="V299" s="97" t="str">
        <f aca="false">IF(ISBLANK($C299),"",IF(COUNTA(K299:L299)=0,"",IF(AND(OR(ISBLANK(K299),AND(ISNUMBER(K299),K299&gt;=0)),OR(ISBLANK(L299),AND(ISNUMBER(L299),L299&gt;=0))),60*IF(ISBLANK(K299),0,K299)+IF(ISBLANK(L299),0,L299),"")))</f>
        <v/>
      </c>
      <c r="W299" s="97" t="str">
        <f aca="false">IF(ISBLANK($C299),"",IF(M299=Constants!$B$2, TRUE(), IF(M299=Constants!$B$3, FALSE(), TRUE())))</f>
        <v/>
      </c>
      <c r="X299" s="97" t="str">
        <f aca="false">IF(ISBLANK($C299),"",IF(N299=Constants!$B$2, TRUE(), IF(N299=Constants!$B$3, FALSE(), TRUE())))</f>
        <v/>
      </c>
      <c r="Y299" s="97" t="str">
        <f aca="false">IF(ISBLANK($C299),"",IF(O299=Constants!$B$2, TRUE(), IF(O299=Constants!$B$3, FALSE(), FALSE())))</f>
        <v/>
      </c>
      <c r="Z299" s="97" t="str">
        <f aca="false">IF(ISBLANK($C299),"",AND(S299&lt;&gt;"",Q299))</f>
        <v/>
      </c>
      <c r="AA299" s="97" t="str">
        <f aca="false">IF(ISBLANK($C299),"",AND(V299&lt;&gt;"",Q299))</f>
        <v/>
      </c>
      <c r="AB299" s="97" t="str">
        <f aca="false">IF(ISBLANK($C299),"",IF(Y299,Constants!$B$4,IF(COUNTA(E299:N299)=0,Constants!$B$5,IF(NOT(Q299),Constants!$B$6,IF(AND(NOT(Z299),NOT(AA299)),Constants!$B$6,Constants!$B$7)))))</f>
        <v/>
      </c>
      <c r="AC299" s="97" t="str">
        <f aca="false">IF(ISBLANK($C299),"",IF($AB299&lt;&gt;Constants!$B$7,$AB299,Constants!$B$20))</f>
        <v/>
      </c>
      <c r="AD299" s="97" t="str">
        <f aca="false">IF($AB299=Constants!$B$7,IF(Z299,S299,Constants!$B$13),"")</f>
        <v/>
      </c>
      <c r="AE299" s="97" t="str">
        <f aca="false">IF($AB299=Constants!$B$7,IF(Z299,R299*IF(T299, 1, Constants!$B$11)*IF(U299, 1, Constants!$B$12),Constants!$B$13),"")</f>
        <v/>
      </c>
      <c r="AF299" s="97" t="str">
        <f aca="false">IF($AB299=Constants!$B$7,AD299*AE299,"")</f>
        <v/>
      </c>
      <c r="AG299" s="97" t="str">
        <f aca="false">IF($AB299=Constants!$B$7,IF(AA299,V299,Constants!$B$13),"")</f>
        <v/>
      </c>
      <c r="AH299" s="97" t="str">
        <f aca="false">IF($AB299=Constants!$B$7,IF(AA299,R299*IF(W299, 1, Constants!$B$11)*IF(X299, 1, Constants!$B$12),Constants!$B$13),"")</f>
        <v/>
      </c>
      <c r="AI299" s="97" t="str">
        <f aca="false">IF($AB299=Constants!$B$7,AG299*AH299,"")</f>
        <v/>
      </c>
      <c r="AJ299" s="97" t="str">
        <f aca="false">IF($AB299=Constants!$B$7,IF(AI299&gt;AF299,2,1),"")</f>
        <v/>
      </c>
      <c r="AK299" s="97" t="str">
        <f aca="false">IF($AB299=Constants!$B$7,IF(AJ299=1,2,1),"")</f>
        <v/>
      </c>
      <c r="AL299" s="97" t="str">
        <f aca="false">IF(ISBLANK($C299),"",IF($AB299&lt;&gt;Constants!$B$7,$AB299,IF(AJ299=1,AF299,AI299)))</f>
        <v/>
      </c>
      <c r="AM299" s="97" t="str">
        <f aca="false">IF(ISBLANK($C299),"",IF($AB299=Constants!$B$7,IF(ISNUMBER(AL299),RANK(AL299,$AL$8:$AL$507),Constants!$B$14),$AB299))</f>
        <v/>
      </c>
      <c r="AN299" s="97" t="str">
        <f aca="false">IF(ISBLANK($C299),"",IF($AB299=Constants!$B$7,IF(AK299=1,AF299,AI299),""))</f>
        <v/>
      </c>
      <c r="AO299" s="97" t="str">
        <f aca="false">IF(ISBLANK($C299),"",IF($AB299=Constants!$B$7,RANK(AN299,$AN$8:$AN$507),$AB299))</f>
        <v/>
      </c>
      <c r="AP299" s="97" t="str">
        <f aca="false">IF(ISBLANK($C299),"",IF($AB299=Constants!$B$7,IF(ISNUMBER(AM299),COUNTIFS($AM$8:$AM$507,"&lt;"&amp;$AM299)+COUNTIFS($AM$8:$AM$507,$AM299,$AO$8:$AO$507,"&lt;"&amp;$AO299)+1,Constants!$B$14),$AB299))</f>
        <v/>
      </c>
      <c r="AQ299" s="97" t="str">
        <f aca="false">IF(ISBLANK($C299),"",IF($AB299=Constants!$B$7,IF(ISNUMBER(AM299),AM299-AP299,Constants!$B$14),$AB299))</f>
        <v/>
      </c>
      <c r="AR299" s="98"/>
      <c r="AS299" s="99" t="str">
        <f aca="false">IF(ISBLANK($C299),"",IF($AB299&lt;&gt;Constants!$B$7,"",AJ299))</f>
        <v/>
      </c>
      <c r="AT299" s="100" t="str">
        <f aca="false">IF(ISBLANK($C299),"",IF($AB299&lt;&gt;Constants!$B$7,"",IF(AJ299=1,AD299,AG299)))</f>
        <v/>
      </c>
      <c r="AU299" s="101" t="str">
        <f aca="false">IF(ISBLANK($C299),"",IF($AB299&lt;&gt;Constants!$B$7,"",IF(AJ299=1,AE299,AH299)))</f>
        <v/>
      </c>
      <c r="AV299" s="102" t="str">
        <f aca="false">IF(ISBLANK($C299),"",IF($AB299&lt;&gt;Constants!$B$7,$AB299,AL299))</f>
        <v/>
      </c>
      <c r="AW299" s="103" t="str">
        <f aca="false">IF(ISBLANK($C299),"",IF($AB299&lt;&gt;Constants!$B$7,$AB299,AC299))</f>
        <v/>
      </c>
      <c r="AX299" s="104" t="str">
        <f aca="false">IF(ISBLANK($C299),"",AQ299)</f>
        <v/>
      </c>
      <c r="AY299" s="104" t="str">
        <f aca="false">IF(ISBLANK($C299),"",AP299)</f>
        <v/>
      </c>
      <c r="AZ299" s="105" t="str">
        <f aca="false">IF(ISBLANK($C299),"",IF(AY299=Constants!$B$4,COUNTA($C$8:$C$507)+2,IF(AY299=Constants!$B$5,COUNTA($C$8:$C$507)+1,IF(AY299=Constants!$B$6,COUNTA($C$8:$C$507),AY299))))</f>
        <v/>
      </c>
      <c r="BA299" s="5"/>
      <c r="BB299" s="106" t="n">
        <f aca="false">IF(OR(ISNUMBER(AY299),AY299=Constants!$B$4,AY299=Constants!$B$6,AY299=Constants!$B$5),1,0)</f>
        <v>0</v>
      </c>
      <c r="BC299" s="106" t="n">
        <v>292</v>
      </c>
      <c r="BD299" s="106" t="str">
        <f aca="false">IF(ISBLANK($C299),"",IF(ISNUMBER(AZ299),AZ299+ROW($B299)/1000,""))</f>
        <v/>
      </c>
      <c r="BE299" s="106" t="str">
        <f aca="false">IF(ISNUMBER(BD299),RANK(BD299,$BD$8:$BD$507,1),"")</f>
        <v/>
      </c>
      <c r="BF299" s="106" t="str">
        <f aca="false">IF(ISBLANK($C299),"",$B299)</f>
        <v/>
      </c>
      <c r="BG299" s="106" t="str">
        <f aca="false">IF(ISBLANK($C299),"",$C299)</f>
        <v/>
      </c>
      <c r="BH299" s="106" t="str">
        <f aca="false">IF(ISBLANK($C299),"",$D299)</f>
        <v/>
      </c>
      <c r="BI299" s="107" t="str">
        <f aca="false">AW299</f>
        <v/>
      </c>
      <c r="BJ299" s="108" t="str">
        <f aca="false">AV299</f>
        <v/>
      </c>
      <c r="BK299" s="106" t="str">
        <f aca="false">IF(ISBLANK($C299),"",AY299)</f>
        <v/>
      </c>
      <c r="BL299" s="109" t="str">
        <f aca="false">IF($BC299&gt;$BB$7,"",VLOOKUP($BC299,$BE$8:$BK$507,7,FALSE()))</f>
        <v/>
      </c>
      <c r="BM299" s="110" t="str">
        <f aca="false">IF($BC299&gt;$BB$7,"",VLOOKUP($BC299,$BE$8:$BK$507,2,FALSE()))</f>
        <v/>
      </c>
      <c r="BN299" s="110" t="str">
        <f aca="false">IF($BC299&gt;$BB$7,"",VLOOKUP($BC299,$BE$8:$BK$507,3,FALSE()))</f>
        <v/>
      </c>
      <c r="BO299" s="110" t="str">
        <f aca="false">IF($BC299&gt;$BB$7,"",VLOOKUP($BC299,$BE$8:$BK$507,4,FALSE()))</f>
        <v/>
      </c>
      <c r="BP299" s="110" t="str">
        <f aca="false">IF($BC299&gt;$BB$7,"",VLOOKUP($BC299,$BE$8:$BK$507,5,FALSE()))</f>
        <v/>
      </c>
      <c r="BQ299" s="111" t="str">
        <f aca="false">IF($BC299&gt;$BB$7,"",VLOOKUP($BC299,$BE$8:$BK$507,6,FALSE()))</f>
        <v/>
      </c>
      <c r="BR299" s="54"/>
    </row>
    <row r="300" customFormat="false" ht="15.75" hidden="false" customHeight="false" outlineLevel="0" collapsed="false">
      <c r="A300" s="5"/>
      <c r="B300" s="120"/>
      <c r="C300" s="121"/>
      <c r="D300" s="112"/>
      <c r="E300" s="123"/>
      <c r="F300" s="91"/>
      <c r="G300" s="92"/>
      <c r="H300" s="93"/>
      <c r="I300" s="94"/>
      <c r="J300" s="91"/>
      <c r="K300" s="92"/>
      <c r="L300" s="93"/>
      <c r="M300" s="94"/>
      <c r="N300" s="91"/>
      <c r="O300" s="123"/>
      <c r="P300" s="96"/>
      <c r="Q300" s="97" t="str">
        <f aca="false">IF(ISBLANK($C300),"",IF(E300=Constants!$B$2, TRUE(), IF(E300=Constants!$B$3, FALSE(), TRUE())))</f>
        <v/>
      </c>
      <c r="R300" s="97" t="str">
        <f aca="false">IF(ISBLANK($C300),"",IF(F300=Constants!$B$16,Constants!$B$9,IF(F300=Constants!$B$17,Constants!$B$10,Constants!$B$8)))</f>
        <v/>
      </c>
      <c r="S300" s="97" t="str">
        <f aca="false">IF(ISBLANK($C300),"",IF(COUNTA(G300:H300)=0,"",IF(AND(OR(ISBLANK(G300),AND(ISNUMBER(G300),G300&gt;=0)),OR(ISBLANK(H300),AND(ISNUMBER(H300),H300&gt;=0))),60*IF(ISBLANK(G300),0,G300)+IF(ISBLANK(H300),0,H300),"")))</f>
        <v/>
      </c>
      <c r="T300" s="97" t="str">
        <f aca="false">IF(ISBLANK($C300),"",IF(I300=Constants!$B$2, TRUE(), IF(I300=Constants!$B$3, FALSE(), TRUE())))</f>
        <v/>
      </c>
      <c r="U300" s="97" t="str">
        <f aca="false">IF(ISBLANK($C300),"",IF(J300=Constants!$B$2, TRUE(), IF(J300=Constants!$B$3, FALSE(), TRUE())))</f>
        <v/>
      </c>
      <c r="V300" s="97" t="str">
        <f aca="false">IF(ISBLANK($C300),"",IF(COUNTA(K300:L300)=0,"",IF(AND(OR(ISBLANK(K300),AND(ISNUMBER(K300),K300&gt;=0)),OR(ISBLANK(L300),AND(ISNUMBER(L300),L300&gt;=0))),60*IF(ISBLANK(K300),0,K300)+IF(ISBLANK(L300),0,L300),"")))</f>
        <v/>
      </c>
      <c r="W300" s="97" t="str">
        <f aca="false">IF(ISBLANK($C300),"",IF(M300=Constants!$B$2, TRUE(), IF(M300=Constants!$B$3, FALSE(), TRUE())))</f>
        <v/>
      </c>
      <c r="X300" s="97" t="str">
        <f aca="false">IF(ISBLANK($C300),"",IF(N300=Constants!$B$2, TRUE(), IF(N300=Constants!$B$3, FALSE(), TRUE())))</f>
        <v/>
      </c>
      <c r="Y300" s="97" t="str">
        <f aca="false">IF(ISBLANK($C300),"",IF(O300=Constants!$B$2, TRUE(), IF(O300=Constants!$B$3, FALSE(), FALSE())))</f>
        <v/>
      </c>
      <c r="Z300" s="97" t="str">
        <f aca="false">IF(ISBLANK($C300),"",AND(S300&lt;&gt;"",Q300))</f>
        <v/>
      </c>
      <c r="AA300" s="97" t="str">
        <f aca="false">IF(ISBLANK($C300),"",AND(V300&lt;&gt;"",Q300))</f>
        <v/>
      </c>
      <c r="AB300" s="97" t="str">
        <f aca="false">IF(ISBLANK($C300),"",IF(Y300,Constants!$B$4,IF(COUNTA(E300:N300)=0,Constants!$B$5,IF(NOT(Q300),Constants!$B$6,IF(AND(NOT(Z300),NOT(AA300)),Constants!$B$6,Constants!$B$7)))))</f>
        <v/>
      </c>
      <c r="AC300" s="97" t="str">
        <f aca="false">IF(ISBLANK($C300),"",IF($AB300&lt;&gt;Constants!$B$7,$AB300,Constants!$B$20))</f>
        <v/>
      </c>
      <c r="AD300" s="97" t="str">
        <f aca="false">IF($AB300=Constants!$B$7,IF(Z300,S300,Constants!$B$13),"")</f>
        <v/>
      </c>
      <c r="AE300" s="97" t="str">
        <f aca="false">IF($AB300=Constants!$B$7,IF(Z300,R300*IF(T300, 1, Constants!$B$11)*IF(U300, 1, Constants!$B$12),Constants!$B$13),"")</f>
        <v/>
      </c>
      <c r="AF300" s="97" t="str">
        <f aca="false">IF($AB300=Constants!$B$7,AD300*AE300,"")</f>
        <v/>
      </c>
      <c r="AG300" s="97" t="str">
        <f aca="false">IF($AB300=Constants!$B$7,IF(AA300,V300,Constants!$B$13),"")</f>
        <v/>
      </c>
      <c r="AH300" s="97" t="str">
        <f aca="false">IF($AB300=Constants!$B$7,IF(AA300,R300*IF(W300, 1, Constants!$B$11)*IF(X300, 1, Constants!$B$12),Constants!$B$13),"")</f>
        <v/>
      </c>
      <c r="AI300" s="97" t="str">
        <f aca="false">IF($AB300=Constants!$B$7,AG300*AH300,"")</f>
        <v/>
      </c>
      <c r="AJ300" s="97" t="str">
        <f aca="false">IF($AB300=Constants!$B$7,IF(AI300&gt;AF300,2,1),"")</f>
        <v/>
      </c>
      <c r="AK300" s="97" t="str">
        <f aca="false">IF($AB300=Constants!$B$7,IF(AJ300=1,2,1),"")</f>
        <v/>
      </c>
      <c r="AL300" s="97" t="str">
        <f aca="false">IF(ISBLANK($C300),"",IF($AB300&lt;&gt;Constants!$B$7,$AB300,IF(AJ300=1,AF300,AI300)))</f>
        <v/>
      </c>
      <c r="AM300" s="97" t="str">
        <f aca="false">IF(ISBLANK($C300),"",IF($AB300=Constants!$B$7,IF(ISNUMBER(AL300),RANK(AL300,$AL$8:$AL$507),Constants!$B$14),$AB300))</f>
        <v/>
      </c>
      <c r="AN300" s="97" t="str">
        <f aca="false">IF(ISBLANK($C300),"",IF($AB300=Constants!$B$7,IF(AK300=1,AF300,AI300),""))</f>
        <v/>
      </c>
      <c r="AO300" s="97" t="str">
        <f aca="false">IF(ISBLANK($C300),"",IF($AB300=Constants!$B$7,RANK(AN300,$AN$8:$AN$507),$AB300))</f>
        <v/>
      </c>
      <c r="AP300" s="97" t="str">
        <f aca="false">IF(ISBLANK($C300),"",IF($AB300=Constants!$B$7,IF(ISNUMBER(AM300),COUNTIFS($AM$8:$AM$507,"&lt;"&amp;$AM300)+COUNTIFS($AM$8:$AM$507,$AM300,$AO$8:$AO$507,"&lt;"&amp;$AO300)+1,Constants!$B$14),$AB300))</f>
        <v/>
      </c>
      <c r="AQ300" s="97" t="str">
        <f aca="false">IF(ISBLANK($C300),"",IF($AB300=Constants!$B$7,IF(ISNUMBER(AM300),AM300-AP300,Constants!$B$14),$AB300))</f>
        <v/>
      </c>
      <c r="AR300" s="98"/>
      <c r="AS300" s="99" t="str">
        <f aca="false">IF(ISBLANK($C300),"",IF($AB300&lt;&gt;Constants!$B$7,"",AJ300))</f>
        <v/>
      </c>
      <c r="AT300" s="100" t="str">
        <f aca="false">IF(ISBLANK($C300),"",IF($AB300&lt;&gt;Constants!$B$7,"",IF(AJ300=1,AD300,AG300)))</f>
        <v/>
      </c>
      <c r="AU300" s="101" t="str">
        <f aca="false">IF(ISBLANK($C300),"",IF($AB300&lt;&gt;Constants!$B$7,"",IF(AJ300=1,AE300,AH300)))</f>
        <v/>
      </c>
      <c r="AV300" s="102" t="str">
        <f aca="false">IF(ISBLANK($C300),"",IF($AB300&lt;&gt;Constants!$B$7,$AB300,AL300))</f>
        <v/>
      </c>
      <c r="AW300" s="103" t="str">
        <f aca="false">IF(ISBLANK($C300),"",IF($AB300&lt;&gt;Constants!$B$7,$AB300,AC300))</f>
        <v/>
      </c>
      <c r="AX300" s="104" t="str">
        <f aca="false">IF(ISBLANK($C300),"",AQ300)</f>
        <v/>
      </c>
      <c r="AY300" s="104" t="str">
        <f aca="false">IF(ISBLANK($C300),"",AP300)</f>
        <v/>
      </c>
      <c r="AZ300" s="105" t="str">
        <f aca="false">IF(ISBLANK($C300),"",IF(AY300=Constants!$B$4,COUNTA($C$8:$C$507)+2,IF(AY300=Constants!$B$5,COUNTA($C$8:$C$507)+1,IF(AY300=Constants!$B$6,COUNTA($C$8:$C$507),AY300))))</f>
        <v/>
      </c>
      <c r="BA300" s="5"/>
      <c r="BB300" s="106" t="n">
        <f aca="false">IF(OR(ISNUMBER(AY300),AY300=Constants!$B$4,AY300=Constants!$B$6,AY300=Constants!$B$5),1,0)</f>
        <v>0</v>
      </c>
      <c r="BC300" s="106" t="n">
        <v>293</v>
      </c>
      <c r="BD300" s="106" t="str">
        <f aca="false">IF(ISBLANK($C300),"",IF(ISNUMBER(AZ300),AZ300+ROW($B300)/1000,""))</f>
        <v/>
      </c>
      <c r="BE300" s="106" t="str">
        <f aca="false">IF(ISNUMBER(BD300),RANK(BD300,$BD$8:$BD$507,1),"")</f>
        <v/>
      </c>
      <c r="BF300" s="106" t="str">
        <f aca="false">IF(ISBLANK($C300),"",$B300)</f>
        <v/>
      </c>
      <c r="BG300" s="106" t="str">
        <f aca="false">IF(ISBLANK($C300),"",$C300)</f>
        <v/>
      </c>
      <c r="BH300" s="106" t="str">
        <f aca="false">IF(ISBLANK($C300),"",$D300)</f>
        <v/>
      </c>
      <c r="BI300" s="107" t="str">
        <f aca="false">AW300</f>
        <v/>
      </c>
      <c r="BJ300" s="108" t="str">
        <f aca="false">AV300</f>
        <v/>
      </c>
      <c r="BK300" s="106" t="str">
        <f aca="false">IF(ISBLANK($C300),"",AY300)</f>
        <v/>
      </c>
      <c r="BL300" s="109" t="str">
        <f aca="false">IF($BC300&gt;$BB$7,"",VLOOKUP($BC300,$BE$8:$BK$507,7,FALSE()))</f>
        <v/>
      </c>
      <c r="BM300" s="110" t="str">
        <f aca="false">IF($BC300&gt;$BB$7,"",VLOOKUP($BC300,$BE$8:$BK$507,2,FALSE()))</f>
        <v/>
      </c>
      <c r="BN300" s="110" t="str">
        <f aca="false">IF($BC300&gt;$BB$7,"",VLOOKUP($BC300,$BE$8:$BK$507,3,FALSE()))</f>
        <v/>
      </c>
      <c r="BO300" s="110" t="str">
        <f aca="false">IF($BC300&gt;$BB$7,"",VLOOKUP($BC300,$BE$8:$BK$507,4,FALSE()))</f>
        <v/>
      </c>
      <c r="BP300" s="110" t="str">
        <f aca="false">IF($BC300&gt;$BB$7,"",VLOOKUP($BC300,$BE$8:$BK$507,5,FALSE()))</f>
        <v/>
      </c>
      <c r="BQ300" s="111" t="str">
        <f aca="false">IF($BC300&gt;$BB$7,"",VLOOKUP($BC300,$BE$8:$BK$507,6,FALSE()))</f>
        <v/>
      </c>
      <c r="BR300" s="54"/>
    </row>
    <row r="301" customFormat="false" ht="15.75" hidden="false" customHeight="false" outlineLevel="0" collapsed="false">
      <c r="A301" s="5"/>
      <c r="B301" s="120"/>
      <c r="C301" s="121"/>
      <c r="D301" s="112"/>
      <c r="E301" s="123"/>
      <c r="F301" s="91"/>
      <c r="G301" s="92"/>
      <c r="H301" s="93"/>
      <c r="I301" s="94"/>
      <c r="J301" s="91"/>
      <c r="K301" s="92"/>
      <c r="L301" s="93"/>
      <c r="M301" s="94"/>
      <c r="N301" s="91"/>
      <c r="O301" s="123"/>
      <c r="P301" s="96"/>
      <c r="Q301" s="97" t="str">
        <f aca="false">IF(ISBLANK($C301),"",IF(E301=Constants!$B$2, TRUE(), IF(E301=Constants!$B$3, FALSE(), TRUE())))</f>
        <v/>
      </c>
      <c r="R301" s="97" t="str">
        <f aca="false">IF(ISBLANK($C301),"",IF(F301=Constants!$B$16,Constants!$B$9,IF(F301=Constants!$B$17,Constants!$B$10,Constants!$B$8)))</f>
        <v/>
      </c>
      <c r="S301" s="97" t="str">
        <f aca="false">IF(ISBLANK($C301),"",IF(COUNTA(G301:H301)=0,"",IF(AND(OR(ISBLANK(G301),AND(ISNUMBER(G301),G301&gt;=0)),OR(ISBLANK(H301),AND(ISNUMBER(H301),H301&gt;=0))),60*IF(ISBLANK(G301),0,G301)+IF(ISBLANK(H301),0,H301),"")))</f>
        <v/>
      </c>
      <c r="T301" s="97" t="str">
        <f aca="false">IF(ISBLANK($C301),"",IF(I301=Constants!$B$2, TRUE(), IF(I301=Constants!$B$3, FALSE(), TRUE())))</f>
        <v/>
      </c>
      <c r="U301" s="97" t="str">
        <f aca="false">IF(ISBLANK($C301),"",IF(J301=Constants!$B$2, TRUE(), IF(J301=Constants!$B$3, FALSE(), TRUE())))</f>
        <v/>
      </c>
      <c r="V301" s="97" t="str">
        <f aca="false">IF(ISBLANK($C301),"",IF(COUNTA(K301:L301)=0,"",IF(AND(OR(ISBLANK(K301),AND(ISNUMBER(K301),K301&gt;=0)),OR(ISBLANK(L301),AND(ISNUMBER(L301),L301&gt;=0))),60*IF(ISBLANK(K301),0,K301)+IF(ISBLANK(L301),0,L301),"")))</f>
        <v/>
      </c>
      <c r="W301" s="97" t="str">
        <f aca="false">IF(ISBLANK($C301),"",IF(M301=Constants!$B$2, TRUE(), IF(M301=Constants!$B$3, FALSE(), TRUE())))</f>
        <v/>
      </c>
      <c r="X301" s="97" t="str">
        <f aca="false">IF(ISBLANK($C301),"",IF(N301=Constants!$B$2, TRUE(), IF(N301=Constants!$B$3, FALSE(), TRUE())))</f>
        <v/>
      </c>
      <c r="Y301" s="97" t="str">
        <f aca="false">IF(ISBLANK($C301),"",IF(O301=Constants!$B$2, TRUE(), IF(O301=Constants!$B$3, FALSE(), FALSE())))</f>
        <v/>
      </c>
      <c r="Z301" s="97" t="str">
        <f aca="false">IF(ISBLANK($C301),"",AND(S301&lt;&gt;"",Q301))</f>
        <v/>
      </c>
      <c r="AA301" s="97" t="str">
        <f aca="false">IF(ISBLANK($C301),"",AND(V301&lt;&gt;"",Q301))</f>
        <v/>
      </c>
      <c r="AB301" s="97" t="str">
        <f aca="false">IF(ISBLANK($C301),"",IF(Y301,Constants!$B$4,IF(COUNTA(E301:N301)=0,Constants!$B$5,IF(NOT(Q301),Constants!$B$6,IF(AND(NOT(Z301),NOT(AA301)),Constants!$B$6,Constants!$B$7)))))</f>
        <v/>
      </c>
      <c r="AC301" s="97" t="str">
        <f aca="false">IF(ISBLANK($C301),"",IF($AB301&lt;&gt;Constants!$B$7,$AB301,Constants!$B$20))</f>
        <v/>
      </c>
      <c r="AD301" s="97" t="str">
        <f aca="false">IF($AB301=Constants!$B$7,IF(Z301,S301,Constants!$B$13),"")</f>
        <v/>
      </c>
      <c r="AE301" s="97" t="str">
        <f aca="false">IF($AB301=Constants!$B$7,IF(Z301,R301*IF(T301, 1, Constants!$B$11)*IF(U301, 1, Constants!$B$12),Constants!$B$13),"")</f>
        <v/>
      </c>
      <c r="AF301" s="97" t="str">
        <f aca="false">IF($AB301=Constants!$B$7,AD301*AE301,"")</f>
        <v/>
      </c>
      <c r="AG301" s="97" t="str">
        <f aca="false">IF($AB301=Constants!$B$7,IF(AA301,V301,Constants!$B$13),"")</f>
        <v/>
      </c>
      <c r="AH301" s="97" t="str">
        <f aca="false">IF($AB301=Constants!$B$7,IF(AA301,R301*IF(W301, 1, Constants!$B$11)*IF(X301, 1, Constants!$B$12),Constants!$B$13),"")</f>
        <v/>
      </c>
      <c r="AI301" s="97" t="str">
        <f aca="false">IF($AB301=Constants!$B$7,AG301*AH301,"")</f>
        <v/>
      </c>
      <c r="AJ301" s="97" t="str">
        <f aca="false">IF($AB301=Constants!$B$7,IF(AI301&gt;AF301,2,1),"")</f>
        <v/>
      </c>
      <c r="AK301" s="97" t="str">
        <f aca="false">IF($AB301=Constants!$B$7,IF(AJ301=1,2,1),"")</f>
        <v/>
      </c>
      <c r="AL301" s="97" t="str">
        <f aca="false">IF(ISBLANK($C301),"",IF($AB301&lt;&gt;Constants!$B$7,$AB301,IF(AJ301=1,AF301,AI301)))</f>
        <v/>
      </c>
      <c r="AM301" s="97" t="str">
        <f aca="false">IF(ISBLANK($C301),"",IF($AB301=Constants!$B$7,IF(ISNUMBER(AL301),RANK(AL301,$AL$8:$AL$507),Constants!$B$14),$AB301))</f>
        <v/>
      </c>
      <c r="AN301" s="97" t="str">
        <f aca="false">IF(ISBLANK($C301),"",IF($AB301=Constants!$B$7,IF(AK301=1,AF301,AI301),""))</f>
        <v/>
      </c>
      <c r="AO301" s="97" t="str">
        <f aca="false">IF(ISBLANK($C301),"",IF($AB301=Constants!$B$7,RANK(AN301,$AN$8:$AN$507),$AB301))</f>
        <v/>
      </c>
      <c r="AP301" s="97" t="str">
        <f aca="false">IF(ISBLANK($C301),"",IF($AB301=Constants!$B$7,IF(ISNUMBER(AM301),COUNTIFS($AM$8:$AM$507,"&lt;"&amp;$AM301)+COUNTIFS($AM$8:$AM$507,$AM301,$AO$8:$AO$507,"&lt;"&amp;$AO301)+1,Constants!$B$14),$AB301))</f>
        <v/>
      </c>
      <c r="AQ301" s="97" t="str">
        <f aca="false">IF(ISBLANK($C301),"",IF($AB301=Constants!$B$7,IF(ISNUMBER(AM301),AM301-AP301,Constants!$B$14),$AB301))</f>
        <v/>
      </c>
      <c r="AR301" s="98"/>
      <c r="AS301" s="99" t="str">
        <f aca="false">IF(ISBLANK($C301),"",IF($AB301&lt;&gt;Constants!$B$7,"",AJ301))</f>
        <v/>
      </c>
      <c r="AT301" s="100" t="str">
        <f aca="false">IF(ISBLANK($C301),"",IF($AB301&lt;&gt;Constants!$B$7,"",IF(AJ301=1,AD301,AG301)))</f>
        <v/>
      </c>
      <c r="AU301" s="101" t="str">
        <f aca="false">IF(ISBLANK($C301),"",IF($AB301&lt;&gt;Constants!$B$7,"",IF(AJ301=1,AE301,AH301)))</f>
        <v/>
      </c>
      <c r="AV301" s="102" t="str">
        <f aca="false">IF(ISBLANK($C301),"",IF($AB301&lt;&gt;Constants!$B$7,$AB301,AL301))</f>
        <v/>
      </c>
      <c r="AW301" s="103" t="str">
        <f aca="false">IF(ISBLANK($C301),"",IF($AB301&lt;&gt;Constants!$B$7,$AB301,AC301))</f>
        <v/>
      </c>
      <c r="AX301" s="104" t="str">
        <f aca="false">IF(ISBLANK($C301),"",AQ301)</f>
        <v/>
      </c>
      <c r="AY301" s="104" t="str">
        <f aca="false">IF(ISBLANK($C301),"",AP301)</f>
        <v/>
      </c>
      <c r="AZ301" s="105" t="str">
        <f aca="false">IF(ISBLANK($C301),"",IF(AY301=Constants!$B$4,COUNTA($C$8:$C$507)+2,IF(AY301=Constants!$B$5,COUNTA($C$8:$C$507)+1,IF(AY301=Constants!$B$6,COUNTA($C$8:$C$507),AY301))))</f>
        <v/>
      </c>
      <c r="BA301" s="5"/>
      <c r="BB301" s="106" t="n">
        <f aca="false">IF(OR(ISNUMBER(AY301),AY301=Constants!$B$4,AY301=Constants!$B$6,AY301=Constants!$B$5),1,0)</f>
        <v>0</v>
      </c>
      <c r="BC301" s="106" t="n">
        <v>294</v>
      </c>
      <c r="BD301" s="106" t="str">
        <f aca="false">IF(ISBLANK($C301),"",IF(ISNUMBER(AZ301),AZ301+ROW($B301)/1000,""))</f>
        <v/>
      </c>
      <c r="BE301" s="106" t="str">
        <f aca="false">IF(ISNUMBER(BD301),RANK(BD301,$BD$8:$BD$507,1),"")</f>
        <v/>
      </c>
      <c r="BF301" s="106" t="str">
        <f aca="false">IF(ISBLANK($C301),"",$B301)</f>
        <v/>
      </c>
      <c r="BG301" s="106" t="str">
        <f aca="false">IF(ISBLANK($C301),"",$C301)</f>
        <v/>
      </c>
      <c r="BH301" s="106" t="str">
        <f aca="false">IF(ISBLANK($C301),"",$D301)</f>
        <v/>
      </c>
      <c r="BI301" s="107" t="str">
        <f aca="false">AW301</f>
        <v/>
      </c>
      <c r="BJ301" s="108" t="str">
        <f aca="false">AV301</f>
        <v/>
      </c>
      <c r="BK301" s="106" t="str">
        <f aca="false">IF(ISBLANK($C301),"",AY301)</f>
        <v/>
      </c>
      <c r="BL301" s="109" t="str">
        <f aca="false">IF($BC301&gt;$BB$7,"",VLOOKUP($BC301,$BE$8:$BK$507,7,FALSE()))</f>
        <v/>
      </c>
      <c r="BM301" s="110" t="str">
        <f aca="false">IF($BC301&gt;$BB$7,"",VLOOKUP($BC301,$BE$8:$BK$507,2,FALSE()))</f>
        <v/>
      </c>
      <c r="BN301" s="110" t="str">
        <f aca="false">IF($BC301&gt;$BB$7,"",VLOOKUP($BC301,$BE$8:$BK$507,3,FALSE()))</f>
        <v/>
      </c>
      <c r="BO301" s="110" t="str">
        <f aca="false">IF($BC301&gt;$BB$7,"",VLOOKUP($BC301,$BE$8:$BK$507,4,FALSE()))</f>
        <v/>
      </c>
      <c r="BP301" s="110" t="str">
        <f aca="false">IF($BC301&gt;$BB$7,"",VLOOKUP($BC301,$BE$8:$BK$507,5,FALSE()))</f>
        <v/>
      </c>
      <c r="BQ301" s="111" t="str">
        <f aca="false">IF($BC301&gt;$BB$7,"",VLOOKUP($BC301,$BE$8:$BK$507,6,FALSE()))</f>
        <v/>
      </c>
      <c r="BR301" s="54"/>
    </row>
    <row r="302" customFormat="false" ht="15.75" hidden="false" customHeight="false" outlineLevel="0" collapsed="false">
      <c r="A302" s="5"/>
      <c r="B302" s="124"/>
      <c r="C302" s="56"/>
      <c r="D302" s="57"/>
      <c r="E302" s="83"/>
      <c r="F302" s="59"/>
      <c r="G302" s="60"/>
      <c r="H302" s="61"/>
      <c r="I302" s="62"/>
      <c r="J302" s="59"/>
      <c r="K302" s="60"/>
      <c r="L302" s="61"/>
      <c r="M302" s="62"/>
      <c r="N302" s="59"/>
      <c r="O302" s="83"/>
      <c r="P302" s="64"/>
      <c r="Q302" s="66" t="str">
        <f aca="false">IF(ISBLANK($C302),"",IF(E302=Constants!$B$2, TRUE(), IF(E302=Constants!$B$3, FALSE(), TRUE())))</f>
        <v/>
      </c>
      <c r="R302" s="66" t="str">
        <f aca="false">IF(ISBLANK($C302),"",IF(F302=Constants!$B$16,Constants!$B$9,IF(F302=Constants!$B$17,Constants!$B$10,Constants!$B$8)))</f>
        <v/>
      </c>
      <c r="S302" s="66" t="str">
        <f aca="false">IF(ISBLANK($C302),"",IF(COUNTA(G302:H302)=0,"",IF(AND(OR(ISBLANK(G302),AND(ISNUMBER(G302),G302&gt;=0)),OR(ISBLANK(H302),AND(ISNUMBER(H302),H302&gt;=0))),60*IF(ISBLANK(G302),0,G302)+IF(ISBLANK(H302),0,H302),"")))</f>
        <v/>
      </c>
      <c r="T302" s="66" t="str">
        <f aca="false">IF(ISBLANK($C302),"",IF(I302=Constants!$B$2, TRUE(), IF(I302=Constants!$B$3, FALSE(), TRUE())))</f>
        <v/>
      </c>
      <c r="U302" s="66" t="str">
        <f aca="false">IF(ISBLANK($C302),"",IF(J302=Constants!$B$2, TRUE(), IF(J302=Constants!$B$3, FALSE(), TRUE())))</f>
        <v/>
      </c>
      <c r="V302" s="66" t="str">
        <f aca="false">IF(ISBLANK($C302),"",IF(COUNTA(K302:L302)=0,"",IF(AND(OR(ISBLANK(K302),AND(ISNUMBER(K302),K302&gt;=0)),OR(ISBLANK(L302),AND(ISNUMBER(L302),L302&gt;=0))),60*IF(ISBLANK(K302),0,K302)+IF(ISBLANK(L302),0,L302),"")))</f>
        <v/>
      </c>
      <c r="W302" s="66" t="str">
        <f aca="false">IF(ISBLANK($C302),"",IF(M302=Constants!$B$2, TRUE(), IF(M302=Constants!$B$3, FALSE(), TRUE())))</f>
        <v/>
      </c>
      <c r="X302" s="66" t="str">
        <f aca="false">IF(ISBLANK($C302),"",IF(N302=Constants!$B$2, TRUE(), IF(N302=Constants!$B$3, FALSE(), TRUE())))</f>
        <v/>
      </c>
      <c r="Y302" s="66" t="str">
        <f aca="false">IF(ISBLANK($C302),"",IF(O302=Constants!$B$2, TRUE(), IF(O302=Constants!$B$3, FALSE(), FALSE())))</f>
        <v/>
      </c>
      <c r="Z302" s="66" t="str">
        <f aca="false">IF(ISBLANK($C302),"",AND(S302&lt;&gt;"",Q302))</f>
        <v/>
      </c>
      <c r="AA302" s="66" t="str">
        <f aca="false">IF(ISBLANK($C302),"",AND(V302&lt;&gt;"",Q302))</f>
        <v/>
      </c>
      <c r="AB302" s="66" t="str">
        <f aca="false">IF(ISBLANK($C302),"",IF(Y302,Constants!$B$4,IF(COUNTA(E302:N302)=0,Constants!$B$5,IF(NOT(Q302),Constants!$B$6,IF(AND(NOT(Z302),NOT(AA302)),Constants!$B$6,Constants!$B$7)))))</f>
        <v/>
      </c>
      <c r="AC302" s="66" t="str">
        <f aca="false">IF(ISBLANK($C302),"",IF($AB302&lt;&gt;Constants!$B$7,$AB302,Constants!$B$20))</f>
        <v/>
      </c>
      <c r="AD302" s="66" t="str">
        <f aca="false">IF($AB302=Constants!$B$7,IF(Z302,S302,Constants!$B$13),"")</f>
        <v/>
      </c>
      <c r="AE302" s="66" t="str">
        <f aca="false">IF($AB302=Constants!$B$7,IF(Z302,R302*IF(T302, 1, Constants!$B$11)*IF(U302, 1, Constants!$B$12),Constants!$B$13),"")</f>
        <v/>
      </c>
      <c r="AF302" s="66" t="str">
        <f aca="false">IF($AB302=Constants!$B$7,AD302*AE302,"")</f>
        <v/>
      </c>
      <c r="AG302" s="66" t="str">
        <f aca="false">IF($AB302=Constants!$B$7,IF(AA302,V302,Constants!$B$13),"")</f>
        <v/>
      </c>
      <c r="AH302" s="66" t="str">
        <f aca="false">IF($AB302=Constants!$B$7,IF(AA302,R302*IF(W302, 1, Constants!$B$11)*IF(X302, 1, Constants!$B$12),Constants!$B$13),"")</f>
        <v/>
      </c>
      <c r="AI302" s="66" t="str">
        <f aca="false">IF($AB302=Constants!$B$7,AG302*AH302,"")</f>
        <v/>
      </c>
      <c r="AJ302" s="66" t="str">
        <f aca="false">IF($AB302=Constants!$B$7,IF(AI302&gt;AF302,2,1),"")</f>
        <v/>
      </c>
      <c r="AK302" s="66" t="str">
        <f aca="false">IF($AB302=Constants!$B$7,IF(AJ302=1,2,1),"")</f>
        <v/>
      </c>
      <c r="AL302" s="66" t="str">
        <f aca="false">IF(ISBLANK($C302),"",IF($AB302&lt;&gt;Constants!$B$7,$AB302,IF(AJ302=1,AF302,AI302)))</f>
        <v/>
      </c>
      <c r="AM302" s="66" t="str">
        <f aca="false">IF(ISBLANK($C302),"",IF($AB302=Constants!$B$7,IF(ISNUMBER(AL302),RANK(AL302,$AL$8:$AL$507),Constants!$B$14),$AB302))</f>
        <v/>
      </c>
      <c r="AN302" s="66" t="str">
        <f aca="false">IF(ISBLANK($C302),"",IF($AB302=Constants!$B$7,IF(AK302=1,AF302,AI302),""))</f>
        <v/>
      </c>
      <c r="AO302" s="66" t="str">
        <f aca="false">IF(ISBLANK($C302),"",IF($AB302=Constants!$B$7,RANK(AN302,$AN$8:$AN$507),$AB302))</f>
        <v/>
      </c>
      <c r="AP302" s="66" t="str">
        <f aca="false">IF(ISBLANK($C302),"",IF($AB302=Constants!$B$7,IF(ISNUMBER(AM302),COUNTIFS($AM$8:$AM$507,"&lt;"&amp;$AM302)+COUNTIFS($AM$8:$AM$507,$AM302,$AO$8:$AO$507,"&lt;"&amp;$AO302)+1,Constants!$B$14),$AB302))</f>
        <v/>
      </c>
      <c r="AQ302" s="66" t="str">
        <f aca="false">IF(ISBLANK($C302),"",IF($AB302=Constants!$B$7,IF(ISNUMBER(AM302),AM302-AP302,Constants!$B$14),$AB302))</f>
        <v/>
      </c>
      <c r="AR302" s="68"/>
      <c r="AS302" s="69" t="str">
        <f aca="false">IF(ISBLANK($C302),"",IF($AB302&lt;&gt;Constants!$B$7,"",AJ302))</f>
        <v/>
      </c>
      <c r="AT302" s="84" t="str">
        <f aca="false">IF(ISBLANK($C302),"",IF($AB302&lt;&gt;Constants!$B$7,"",IF(AJ302=1,AD302,AG302)))</f>
        <v/>
      </c>
      <c r="AU302" s="71" t="str">
        <f aca="false">IF(ISBLANK($C302),"",IF($AB302&lt;&gt;Constants!$B$7,"",IF(AJ302=1,AE302,AH302)))</f>
        <v/>
      </c>
      <c r="AV302" s="72" t="str">
        <f aca="false">IF(ISBLANK($C302),"",IF($AB302&lt;&gt;Constants!$B$7,$AB302,AL302))</f>
        <v/>
      </c>
      <c r="AW302" s="73" t="str">
        <f aca="false">IF(ISBLANK($C302),"",IF($AB302&lt;&gt;Constants!$B$7,$AB302,AC302))</f>
        <v/>
      </c>
      <c r="AX302" s="74" t="str">
        <f aca="false">IF(ISBLANK($C302),"",AQ302)</f>
        <v/>
      </c>
      <c r="AY302" s="74" t="str">
        <f aca="false">IF(ISBLANK($C302),"",AP302)</f>
        <v/>
      </c>
      <c r="AZ302" s="75" t="str">
        <f aca="false">IF(ISBLANK($C302),"",IF(AY302=Constants!$B$4,COUNTA($C$8:$C$507)+2,IF(AY302=Constants!$B$5,COUNTA($C$8:$C$507)+1,IF(AY302=Constants!$B$6,COUNTA($C$8:$C$507),AY302))))</f>
        <v/>
      </c>
      <c r="BA302" s="5"/>
      <c r="BB302" s="76" t="n">
        <f aca="false">IF(OR(ISNUMBER(AY302),AY302=Constants!$B$4,AY302=Constants!$B$6,AY302=Constants!$B$5),1,0)</f>
        <v>0</v>
      </c>
      <c r="BC302" s="76" t="n">
        <v>295</v>
      </c>
      <c r="BD302" s="76" t="str">
        <f aca="false">IF(ISBLANK($C302),"",IF(ISNUMBER(AZ302),AZ302+ROW($B302)/1000,""))</f>
        <v/>
      </c>
      <c r="BE302" s="76" t="str">
        <f aca="false">IF(ISNUMBER(BD302),RANK(BD302,$BD$8:$BD$507,1),"")</f>
        <v/>
      </c>
      <c r="BF302" s="76" t="str">
        <f aca="false">IF(ISBLANK($C302),"",$B302)</f>
        <v/>
      </c>
      <c r="BG302" s="76" t="str">
        <f aca="false">IF(ISBLANK($C302),"",$C302)</f>
        <v/>
      </c>
      <c r="BH302" s="76" t="str">
        <f aca="false">IF(ISBLANK($C302),"",$D302)</f>
        <v/>
      </c>
      <c r="BI302" s="77" t="str">
        <f aca="false">AW302</f>
        <v/>
      </c>
      <c r="BJ302" s="78" t="str">
        <f aca="false">AV302</f>
        <v/>
      </c>
      <c r="BK302" s="76" t="str">
        <f aca="false">IF(ISBLANK($C302),"",AY302)</f>
        <v/>
      </c>
      <c r="BL302" s="79" t="str">
        <f aca="false">IF($BC302&gt;$BB$7,"",VLOOKUP($BC302,$BE$8:$BK$507,7,FALSE()))</f>
        <v/>
      </c>
      <c r="BM302" s="80" t="str">
        <f aca="false">IF($BC302&gt;$BB$7,"",VLOOKUP($BC302,$BE$8:$BK$507,2,FALSE()))</f>
        <v/>
      </c>
      <c r="BN302" s="80" t="str">
        <f aca="false">IF($BC302&gt;$BB$7,"",VLOOKUP($BC302,$BE$8:$BK$507,3,FALSE()))</f>
        <v/>
      </c>
      <c r="BO302" s="80" t="str">
        <f aca="false">IF($BC302&gt;$BB$7,"",VLOOKUP($BC302,$BE$8:$BK$507,4,FALSE()))</f>
        <v/>
      </c>
      <c r="BP302" s="80" t="str">
        <f aca="false">IF($BC302&gt;$BB$7,"",VLOOKUP($BC302,$BE$8:$BK$507,5,FALSE()))</f>
        <v/>
      </c>
      <c r="BQ302" s="81" t="str">
        <f aca="false">IF($BC302&gt;$BB$7,"",VLOOKUP($BC302,$BE$8:$BK$507,6,FALSE()))</f>
        <v/>
      </c>
      <c r="BR302" s="54"/>
    </row>
    <row r="303" customFormat="false" ht="15.75" hidden="false" customHeight="false" outlineLevel="0" collapsed="false">
      <c r="A303" s="5"/>
      <c r="B303" s="124"/>
      <c r="C303" s="56"/>
      <c r="D303" s="57"/>
      <c r="E303" s="83"/>
      <c r="F303" s="59"/>
      <c r="G303" s="60"/>
      <c r="H303" s="61"/>
      <c r="I303" s="62"/>
      <c r="J303" s="59"/>
      <c r="K303" s="60"/>
      <c r="L303" s="61"/>
      <c r="M303" s="62"/>
      <c r="N303" s="59"/>
      <c r="O303" s="83"/>
      <c r="P303" s="64"/>
      <c r="Q303" s="66" t="str">
        <f aca="false">IF(ISBLANK($C303),"",IF(E303=Constants!$B$2, TRUE(), IF(E303=Constants!$B$3, FALSE(), TRUE())))</f>
        <v/>
      </c>
      <c r="R303" s="66" t="str">
        <f aca="false">IF(ISBLANK($C303),"",IF(F303=Constants!$B$16,Constants!$B$9,IF(F303=Constants!$B$17,Constants!$B$10,Constants!$B$8)))</f>
        <v/>
      </c>
      <c r="S303" s="66" t="str">
        <f aca="false">IF(ISBLANK($C303),"",IF(COUNTA(G303:H303)=0,"",IF(AND(OR(ISBLANK(G303),AND(ISNUMBER(G303),G303&gt;=0)),OR(ISBLANK(H303),AND(ISNUMBER(H303),H303&gt;=0))),60*IF(ISBLANK(G303),0,G303)+IF(ISBLANK(H303),0,H303),"")))</f>
        <v/>
      </c>
      <c r="T303" s="66" t="str">
        <f aca="false">IF(ISBLANK($C303),"",IF(I303=Constants!$B$2, TRUE(), IF(I303=Constants!$B$3, FALSE(), TRUE())))</f>
        <v/>
      </c>
      <c r="U303" s="66" t="str">
        <f aca="false">IF(ISBLANK($C303),"",IF(J303=Constants!$B$2, TRUE(), IF(J303=Constants!$B$3, FALSE(), TRUE())))</f>
        <v/>
      </c>
      <c r="V303" s="66" t="str">
        <f aca="false">IF(ISBLANK($C303),"",IF(COUNTA(K303:L303)=0,"",IF(AND(OR(ISBLANK(K303),AND(ISNUMBER(K303),K303&gt;=0)),OR(ISBLANK(L303),AND(ISNUMBER(L303),L303&gt;=0))),60*IF(ISBLANK(K303),0,K303)+IF(ISBLANK(L303),0,L303),"")))</f>
        <v/>
      </c>
      <c r="W303" s="66" t="str">
        <f aca="false">IF(ISBLANK($C303),"",IF(M303=Constants!$B$2, TRUE(), IF(M303=Constants!$B$3, FALSE(), TRUE())))</f>
        <v/>
      </c>
      <c r="X303" s="66" t="str">
        <f aca="false">IF(ISBLANK($C303),"",IF(N303=Constants!$B$2, TRUE(), IF(N303=Constants!$B$3, FALSE(), TRUE())))</f>
        <v/>
      </c>
      <c r="Y303" s="66" t="str">
        <f aca="false">IF(ISBLANK($C303),"",IF(O303=Constants!$B$2, TRUE(), IF(O303=Constants!$B$3, FALSE(), FALSE())))</f>
        <v/>
      </c>
      <c r="Z303" s="66" t="str">
        <f aca="false">IF(ISBLANK($C303),"",AND(S303&lt;&gt;"",Q303))</f>
        <v/>
      </c>
      <c r="AA303" s="66" t="str">
        <f aca="false">IF(ISBLANK($C303),"",AND(V303&lt;&gt;"",Q303))</f>
        <v/>
      </c>
      <c r="AB303" s="66" t="str">
        <f aca="false">IF(ISBLANK($C303),"",IF(Y303,Constants!$B$4,IF(COUNTA(E303:N303)=0,Constants!$B$5,IF(NOT(Q303),Constants!$B$6,IF(AND(NOT(Z303),NOT(AA303)),Constants!$B$6,Constants!$B$7)))))</f>
        <v/>
      </c>
      <c r="AC303" s="66" t="str">
        <f aca="false">IF(ISBLANK($C303),"",IF($AB303&lt;&gt;Constants!$B$7,$AB303,Constants!$B$20))</f>
        <v/>
      </c>
      <c r="AD303" s="66" t="str">
        <f aca="false">IF($AB303=Constants!$B$7,IF(Z303,S303,Constants!$B$13),"")</f>
        <v/>
      </c>
      <c r="AE303" s="66" t="str">
        <f aca="false">IF($AB303=Constants!$B$7,IF(Z303,R303*IF(T303, 1, Constants!$B$11)*IF(U303, 1, Constants!$B$12),Constants!$B$13),"")</f>
        <v/>
      </c>
      <c r="AF303" s="66" t="str">
        <f aca="false">IF($AB303=Constants!$B$7,AD303*AE303,"")</f>
        <v/>
      </c>
      <c r="AG303" s="66" t="str">
        <f aca="false">IF($AB303=Constants!$B$7,IF(AA303,V303,Constants!$B$13),"")</f>
        <v/>
      </c>
      <c r="AH303" s="66" t="str">
        <f aca="false">IF($AB303=Constants!$B$7,IF(AA303,R303*IF(W303, 1, Constants!$B$11)*IF(X303, 1, Constants!$B$12),Constants!$B$13),"")</f>
        <v/>
      </c>
      <c r="AI303" s="66" t="str">
        <f aca="false">IF($AB303=Constants!$B$7,AG303*AH303,"")</f>
        <v/>
      </c>
      <c r="AJ303" s="66" t="str">
        <f aca="false">IF($AB303=Constants!$B$7,IF(AI303&gt;AF303,2,1),"")</f>
        <v/>
      </c>
      <c r="AK303" s="66" t="str">
        <f aca="false">IF($AB303=Constants!$B$7,IF(AJ303=1,2,1),"")</f>
        <v/>
      </c>
      <c r="AL303" s="66" t="str">
        <f aca="false">IF(ISBLANK($C303),"",IF($AB303&lt;&gt;Constants!$B$7,$AB303,IF(AJ303=1,AF303,AI303)))</f>
        <v/>
      </c>
      <c r="AM303" s="66" t="str">
        <f aca="false">IF(ISBLANK($C303),"",IF($AB303=Constants!$B$7,IF(ISNUMBER(AL303),RANK(AL303,$AL$8:$AL$507),Constants!$B$14),$AB303))</f>
        <v/>
      </c>
      <c r="AN303" s="66" t="str">
        <f aca="false">IF(ISBLANK($C303),"",IF($AB303=Constants!$B$7,IF(AK303=1,AF303,AI303),""))</f>
        <v/>
      </c>
      <c r="AO303" s="66" t="str">
        <f aca="false">IF(ISBLANK($C303),"",IF($AB303=Constants!$B$7,RANK(AN303,$AN$8:$AN$507),$AB303))</f>
        <v/>
      </c>
      <c r="AP303" s="66" t="str">
        <f aca="false">IF(ISBLANK($C303),"",IF($AB303=Constants!$B$7,IF(ISNUMBER(AM303),COUNTIFS($AM$8:$AM$507,"&lt;"&amp;$AM303)+COUNTIFS($AM$8:$AM$507,$AM303,$AO$8:$AO$507,"&lt;"&amp;$AO303)+1,Constants!$B$14),$AB303))</f>
        <v/>
      </c>
      <c r="AQ303" s="66" t="str">
        <f aca="false">IF(ISBLANK($C303),"",IF($AB303=Constants!$B$7,IF(ISNUMBER(AM303),AM303-AP303,Constants!$B$14),$AB303))</f>
        <v/>
      </c>
      <c r="AR303" s="68"/>
      <c r="AS303" s="69" t="str">
        <f aca="false">IF(ISBLANK($C303),"",IF($AB303&lt;&gt;Constants!$B$7,"",AJ303))</f>
        <v/>
      </c>
      <c r="AT303" s="84" t="str">
        <f aca="false">IF(ISBLANK($C303),"",IF($AB303&lt;&gt;Constants!$B$7,"",IF(AJ303=1,AD303,AG303)))</f>
        <v/>
      </c>
      <c r="AU303" s="71" t="str">
        <f aca="false">IF(ISBLANK($C303),"",IF($AB303&lt;&gt;Constants!$B$7,"",IF(AJ303=1,AE303,AH303)))</f>
        <v/>
      </c>
      <c r="AV303" s="72" t="str">
        <f aca="false">IF(ISBLANK($C303),"",IF($AB303&lt;&gt;Constants!$B$7,$AB303,AL303))</f>
        <v/>
      </c>
      <c r="AW303" s="73" t="str">
        <f aca="false">IF(ISBLANK($C303),"",IF($AB303&lt;&gt;Constants!$B$7,$AB303,AC303))</f>
        <v/>
      </c>
      <c r="AX303" s="74" t="str">
        <f aca="false">IF(ISBLANK($C303),"",AQ303)</f>
        <v/>
      </c>
      <c r="AY303" s="74" t="str">
        <f aca="false">IF(ISBLANK($C303),"",AP303)</f>
        <v/>
      </c>
      <c r="AZ303" s="75" t="str">
        <f aca="false">IF(ISBLANK($C303),"",IF(AY303=Constants!$B$4,COUNTA($C$8:$C$507)+2,IF(AY303=Constants!$B$5,COUNTA($C$8:$C$507)+1,IF(AY303=Constants!$B$6,COUNTA($C$8:$C$507),AY303))))</f>
        <v/>
      </c>
      <c r="BA303" s="5"/>
      <c r="BB303" s="76" t="n">
        <f aca="false">IF(OR(ISNUMBER(AY303),AY303=Constants!$B$4,AY303=Constants!$B$6,AY303=Constants!$B$5),1,0)</f>
        <v>0</v>
      </c>
      <c r="BC303" s="76" t="n">
        <v>296</v>
      </c>
      <c r="BD303" s="76" t="str">
        <f aca="false">IF(ISBLANK($C303),"",IF(ISNUMBER(AZ303),AZ303+ROW($B303)/1000,""))</f>
        <v/>
      </c>
      <c r="BE303" s="76" t="str">
        <f aca="false">IF(ISNUMBER(BD303),RANK(BD303,$BD$8:$BD$507,1),"")</f>
        <v/>
      </c>
      <c r="BF303" s="76" t="str">
        <f aca="false">IF(ISBLANK($C303),"",$B303)</f>
        <v/>
      </c>
      <c r="BG303" s="76" t="str">
        <f aca="false">IF(ISBLANK($C303),"",$C303)</f>
        <v/>
      </c>
      <c r="BH303" s="76" t="str">
        <f aca="false">IF(ISBLANK($C303),"",$D303)</f>
        <v/>
      </c>
      <c r="BI303" s="77" t="str">
        <f aca="false">AW303</f>
        <v/>
      </c>
      <c r="BJ303" s="78" t="str">
        <f aca="false">AV303</f>
        <v/>
      </c>
      <c r="BK303" s="76" t="str">
        <f aca="false">IF(ISBLANK($C303),"",AY303)</f>
        <v/>
      </c>
      <c r="BL303" s="79" t="str">
        <f aca="false">IF($BC303&gt;$BB$7,"",VLOOKUP($BC303,$BE$8:$BK$507,7,FALSE()))</f>
        <v/>
      </c>
      <c r="BM303" s="80" t="str">
        <f aca="false">IF($BC303&gt;$BB$7,"",VLOOKUP($BC303,$BE$8:$BK$507,2,FALSE()))</f>
        <v/>
      </c>
      <c r="BN303" s="80" t="str">
        <f aca="false">IF($BC303&gt;$BB$7,"",VLOOKUP($BC303,$BE$8:$BK$507,3,FALSE()))</f>
        <v/>
      </c>
      <c r="BO303" s="80" t="str">
        <f aca="false">IF($BC303&gt;$BB$7,"",VLOOKUP($BC303,$BE$8:$BK$507,4,FALSE()))</f>
        <v/>
      </c>
      <c r="BP303" s="80" t="str">
        <f aca="false">IF($BC303&gt;$BB$7,"",VLOOKUP($BC303,$BE$8:$BK$507,5,FALSE()))</f>
        <v/>
      </c>
      <c r="BQ303" s="81" t="str">
        <f aca="false">IF($BC303&gt;$BB$7,"",VLOOKUP($BC303,$BE$8:$BK$507,6,FALSE()))</f>
        <v/>
      </c>
      <c r="BR303" s="54"/>
    </row>
    <row r="304" customFormat="false" ht="15.75" hidden="false" customHeight="false" outlineLevel="0" collapsed="false">
      <c r="A304" s="5"/>
      <c r="B304" s="124"/>
      <c r="C304" s="56"/>
      <c r="D304" s="57"/>
      <c r="E304" s="83"/>
      <c r="F304" s="59"/>
      <c r="G304" s="60"/>
      <c r="H304" s="61"/>
      <c r="I304" s="62"/>
      <c r="J304" s="59"/>
      <c r="K304" s="60"/>
      <c r="L304" s="61"/>
      <c r="M304" s="62"/>
      <c r="N304" s="59"/>
      <c r="O304" s="83"/>
      <c r="P304" s="64"/>
      <c r="Q304" s="66" t="str">
        <f aca="false">IF(ISBLANK($C304),"",IF(E304=Constants!$B$2, TRUE(), IF(E304=Constants!$B$3, FALSE(), TRUE())))</f>
        <v/>
      </c>
      <c r="R304" s="66" t="str">
        <f aca="false">IF(ISBLANK($C304),"",IF(F304=Constants!$B$16,Constants!$B$9,IF(F304=Constants!$B$17,Constants!$B$10,Constants!$B$8)))</f>
        <v/>
      </c>
      <c r="S304" s="66" t="str">
        <f aca="false">IF(ISBLANK($C304),"",IF(COUNTA(G304:H304)=0,"",IF(AND(OR(ISBLANK(G304),AND(ISNUMBER(G304),G304&gt;=0)),OR(ISBLANK(H304),AND(ISNUMBER(H304),H304&gt;=0))),60*IF(ISBLANK(G304),0,G304)+IF(ISBLANK(H304),0,H304),"")))</f>
        <v/>
      </c>
      <c r="T304" s="66" t="str">
        <f aca="false">IF(ISBLANK($C304),"",IF(I304=Constants!$B$2, TRUE(), IF(I304=Constants!$B$3, FALSE(), TRUE())))</f>
        <v/>
      </c>
      <c r="U304" s="66" t="str">
        <f aca="false">IF(ISBLANK($C304),"",IF(J304=Constants!$B$2, TRUE(), IF(J304=Constants!$B$3, FALSE(), TRUE())))</f>
        <v/>
      </c>
      <c r="V304" s="66" t="str">
        <f aca="false">IF(ISBLANK($C304),"",IF(COUNTA(K304:L304)=0,"",IF(AND(OR(ISBLANK(K304),AND(ISNUMBER(K304),K304&gt;=0)),OR(ISBLANK(L304),AND(ISNUMBER(L304),L304&gt;=0))),60*IF(ISBLANK(K304),0,K304)+IF(ISBLANK(L304),0,L304),"")))</f>
        <v/>
      </c>
      <c r="W304" s="66" t="str">
        <f aca="false">IF(ISBLANK($C304),"",IF(M304=Constants!$B$2, TRUE(), IF(M304=Constants!$B$3, FALSE(), TRUE())))</f>
        <v/>
      </c>
      <c r="X304" s="66" t="str">
        <f aca="false">IF(ISBLANK($C304),"",IF(N304=Constants!$B$2, TRUE(), IF(N304=Constants!$B$3, FALSE(), TRUE())))</f>
        <v/>
      </c>
      <c r="Y304" s="66" t="str">
        <f aca="false">IF(ISBLANK($C304),"",IF(O304=Constants!$B$2, TRUE(), IF(O304=Constants!$B$3, FALSE(), FALSE())))</f>
        <v/>
      </c>
      <c r="Z304" s="66" t="str">
        <f aca="false">IF(ISBLANK($C304),"",AND(S304&lt;&gt;"",Q304))</f>
        <v/>
      </c>
      <c r="AA304" s="66" t="str">
        <f aca="false">IF(ISBLANK($C304),"",AND(V304&lt;&gt;"",Q304))</f>
        <v/>
      </c>
      <c r="AB304" s="66" t="str">
        <f aca="false">IF(ISBLANK($C304),"",IF(Y304,Constants!$B$4,IF(COUNTA(E304:N304)=0,Constants!$B$5,IF(NOT(Q304),Constants!$B$6,IF(AND(NOT(Z304),NOT(AA304)),Constants!$B$6,Constants!$B$7)))))</f>
        <v/>
      </c>
      <c r="AC304" s="66" t="str">
        <f aca="false">IF(ISBLANK($C304),"",IF($AB304&lt;&gt;Constants!$B$7,$AB304,Constants!$B$20))</f>
        <v/>
      </c>
      <c r="AD304" s="66" t="str">
        <f aca="false">IF($AB304=Constants!$B$7,IF(Z304,S304,Constants!$B$13),"")</f>
        <v/>
      </c>
      <c r="AE304" s="66" t="str">
        <f aca="false">IF($AB304=Constants!$B$7,IF(Z304,R304*IF(T304, 1, Constants!$B$11)*IF(U304, 1, Constants!$B$12),Constants!$B$13),"")</f>
        <v/>
      </c>
      <c r="AF304" s="66" t="str">
        <f aca="false">IF($AB304=Constants!$B$7,AD304*AE304,"")</f>
        <v/>
      </c>
      <c r="AG304" s="66" t="str">
        <f aca="false">IF($AB304=Constants!$B$7,IF(AA304,V304,Constants!$B$13),"")</f>
        <v/>
      </c>
      <c r="AH304" s="66" t="str">
        <f aca="false">IF($AB304=Constants!$B$7,IF(AA304,R304*IF(W304, 1, Constants!$B$11)*IF(X304, 1, Constants!$B$12),Constants!$B$13),"")</f>
        <v/>
      </c>
      <c r="AI304" s="66" t="str">
        <f aca="false">IF($AB304=Constants!$B$7,AG304*AH304,"")</f>
        <v/>
      </c>
      <c r="AJ304" s="66" t="str">
        <f aca="false">IF($AB304=Constants!$B$7,IF(AI304&gt;AF304,2,1),"")</f>
        <v/>
      </c>
      <c r="AK304" s="66" t="str">
        <f aca="false">IF($AB304=Constants!$B$7,IF(AJ304=1,2,1),"")</f>
        <v/>
      </c>
      <c r="AL304" s="66" t="str">
        <f aca="false">IF(ISBLANK($C304),"",IF($AB304&lt;&gt;Constants!$B$7,$AB304,IF(AJ304=1,AF304,AI304)))</f>
        <v/>
      </c>
      <c r="AM304" s="66" t="str">
        <f aca="false">IF(ISBLANK($C304),"",IF($AB304=Constants!$B$7,IF(ISNUMBER(AL304),RANK(AL304,$AL$8:$AL$507),Constants!$B$14),$AB304))</f>
        <v/>
      </c>
      <c r="AN304" s="66" t="str">
        <f aca="false">IF(ISBLANK($C304),"",IF($AB304=Constants!$B$7,IF(AK304=1,AF304,AI304),""))</f>
        <v/>
      </c>
      <c r="AO304" s="66" t="str">
        <f aca="false">IF(ISBLANK($C304),"",IF($AB304=Constants!$B$7,RANK(AN304,$AN$8:$AN$507),$AB304))</f>
        <v/>
      </c>
      <c r="AP304" s="66" t="str">
        <f aca="false">IF(ISBLANK($C304),"",IF($AB304=Constants!$B$7,IF(ISNUMBER(AM304),COUNTIFS($AM$8:$AM$507,"&lt;"&amp;$AM304)+COUNTIFS($AM$8:$AM$507,$AM304,$AO$8:$AO$507,"&lt;"&amp;$AO304)+1,Constants!$B$14),$AB304))</f>
        <v/>
      </c>
      <c r="AQ304" s="66" t="str">
        <f aca="false">IF(ISBLANK($C304),"",IF($AB304=Constants!$B$7,IF(ISNUMBER(AM304),AM304-AP304,Constants!$B$14),$AB304))</f>
        <v/>
      </c>
      <c r="AR304" s="68"/>
      <c r="AS304" s="69" t="str">
        <f aca="false">IF(ISBLANK($C304),"",IF($AB304&lt;&gt;Constants!$B$7,"",AJ304))</f>
        <v/>
      </c>
      <c r="AT304" s="84" t="str">
        <f aca="false">IF(ISBLANK($C304),"",IF($AB304&lt;&gt;Constants!$B$7,"",IF(AJ304=1,AD304,AG304)))</f>
        <v/>
      </c>
      <c r="AU304" s="71" t="str">
        <f aca="false">IF(ISBLANK($C304),"",IF($AB304&lt;&gt;Constants!$B$7,"",IF(AJ304=1,AE304,AH304)))</f>
        <v/>
      </c>
      <c r="AV304" s="72" t="str">
        <f aca="false">IF(ISBLANK($C304),"",IF($AB304&lt;&gt;Constants!$B$7,$AB304,AL304))</f>
        <v/>
      </c>
      <c r="AW304" s="73" t="str">
        <f aca="false">IF(ISBLANK($C304),"",IF($AB304&lt;&gt;Constants!$B$7,$AB304,AC304))</f>
        <v/>
      </c>
      <c r="AX304" s="74" t="str">
        <f aca="false">IF(ISBLANK($C304),"",AQ304)</f>
        <v/>
      </c>
      <c r="AY304" s="74" t="str">
        <f aca="false">IF(ISBLANK($C304),"",AP304)</f>
        <v/>
      </c>
      <c r="AZ304" s="75" t="str">
        <f aca="false">IF(ISBLANK($C304),"",IF(AY304=Constants!$B$4,COUNTA($C$8:$C$507)+2,IF(AY304=Constants!$B$5,COUNTA($C$8:$C$507)+1,IF(AY304=Constants!$B$6,COUNTA($C$8:$C$507),AY304))))</f>
        <v/>
      </c>
      <c r="BA304" s="5"/>
      <c r="BB304" s="76" t="n">
        <f aca="false">IF(OR(ISNUMBER(AY304),AY304=Constants!$B$4,AY304=Constants!$B$6,AY304=Constants!$B$5),1,0)</f>
        <v>0</v>
      </c>
      <c r="BC304" s="76" t="n">
        <v>297</v>
      </c>
      <c r="BD304" s="76" t="str">
        <f aca="false">IF(ISBLANK($C304),"",IF(ISNUMBER(AZ304),AZ304+ROW($B304)/1000,""))</f>
        <v/>
      </c>
      <c r="BE304" s="76" t="str">
        <f aca="false">IF(ISNUMBER(BD304),RANK(BD304,$BD$8:$BD$507,1),"")</f>
        <v/>
      </c>
      <c r="BF304" s="76" t="str">
        <f aca="false">IF(ISBLANK($C304),"",$B304)</f>
        <v/>
      </c>
      <c r="BG304" s="76" t="str">
        <f aca="false">IF(ISBLANK($C304),"",$C304)</f>
        <v/>
      </c>
      <c r="BH304" s="76" t="str">
        <f aca="false">IF(ISBLANK($C304),"",$D304)</f>
        <v/>
      </c>
      <c r="BI304" s="77" t="str">
        <f aca="false">AW304</f>
        <v/>
      </c>
      <c r="BJ304" s="78" t="str">
        <f aca="false">AV304</f>
        <v/>
      </c>
      <c r="BK304" s="76" t="str">
        <f aca="false">IF(ISBLANK($C304),"",AY304)</f>
        <v/>
      </c>
      <c r="BL304" s="79" t="str">
        <f aca="false">IF($BC304&gt;$BB$7,"",VLOOKUP($BC304,$BE$8:$BK$507,7,FALSE()))</f>
        <v/>
      </c>
      <c r="BM304" s="80" t="str">
        <f aca="false">IF($BC304&gt;$BB$7,"",VLOOKUP($BC304,$BE$8:$BK$507,2,FALSE()))</f>
        <v/>
      </c>
      <c r="BN304" s="80" t="str">
        <f aca="false">IF($BC304&gt;$BB$7,"",VLOOKUP($BC304,$BE$8:$BK$507,3,FALSE()))</f>
        <v/>
      </c>
      <c r="BO304" s="80" t="str">
        <f aca="false">IF($BC304&gt;$BB$7,"",VLOOKUP($BC304,$BE$8:$BK$507,4,FALSE()))</f>
        <v/>
      </c>
      <c r="BP304" s="80" t="str">
        <f aca="false">IF($BC304&gt;$BB$7,"",VLOOKUP($BC304,$BE$8:$BK$507,5,FALSE()))</f>
        <v/>
      </c>
      <c r="BQ304" s="81" t="str">
        <f aca="false">IF($BC304&gt;$BB$7,"",VLOOKUP($BC304,$BE$8:$BK$507,6,FALSE()))</f>
        <v/>
      </c>
      <c r="BR304" s="54"/>
    </row>
    <row r="305" customFormat="false" ht="15.75" hidden="false" customHeight="false" outlineLevel="0" collapsed="false">
      <c r="A305" s="5"/>
      <c r="B305" s="120"/>
      <c r="C305" s="121"/>
      <c r="D305" s="112"/>
      <c r="E305" s="123"/>
      <c r="F305" s="91"/>
      <c r="G305" s="92"/>
      <c r="H305" s="93"/>
      <c r="I305" s="94"/>
      <c r="J305" s="91"/>
      <c r="K305" s="92"/>
      <c r="L305" s="93"/>
      <c r="M305" s="94"/>
      <c r="N305" s="91"/>
      <c r="O305" s="123"/>
      <c r="P305" s="96"/>
      <c r="Q305" s="97" t="str">
        <f aca="false">IF(ISBLANK($C305),"",IF(E305=Constants!$B$2, TRUE(), IF(E305=Constants!$B$3, FALSE(), TRUE())))</f>
        <v/>
      </c>
      <c r="R305" s="97" t="str">
        <f aca="false">IF(ISBLANK($C305),"",IF(F305=Constants!$B$16,Constants!$B$9,IF(F305=Constants!$B$17,Constants!$B$10,Constants!$B$8)))</f>
        <v/>
      </c>
      <c r="S305" s="97" t="str">
        <f aca="false">IF(ISBLANK($C305),"",IF(COUNTA(G305:H305)=0,"",IF(AND(OR(ISBLANK(G305),AND(ISNUMBER(G305),G305&gt;=0)),OR(ISBLANK(H305),AND(ISNUMBER(H305),H305&gt;=0))),60*IF(ISBLANK(G305),0,G305)+IF(ISBLANK(H305),0,H305),"")))</f>
        <v/>
      </c>
      <c r="T305" s="97" t="str">
        <f aca="false">IF(ISBLANK($C305),"",IF(I305=Constants!$B$2, TRUE(), IF(I305=Constants!$B$3, FALSE(), TRUE())))</f>
        <v/>
      </c>
      <c r="U305" s="97" t="str">
        <f aca="false">IF(ISBLANK($C305),"",IF(J305=Constants!$B$2, TRUE(), IF(J305=Constants!$B$3, FALSE(), TRUE())))</f>
        <v/>
      </c>
      <c r="V305" s="97" t="str">
        <f aca="false">IF(ISBLANK($C305),"",IF(COUNTA(K305:L305)=0,"",IF(AND(OR(ISBLANK(K305),AND(ISNUMBER(K305),K305&gt;=0)),OR(ISBLANK(L305),AND(ISNUMBER(L305),L305&gt;=0))),60*IF(ISBLANK(K305),0,K305)+IF(ISBLANK(L305),0,L305),"")))</f>
        <v/>
      </c>
      <c r="W305" s="97" t="str">
        <f aca="false">IF(ISBLANK($C305),"",IF(M305=Constants!$B$2, TRUE(), IF(M305=Constants!$B$3, FALSE(), TRUE())))</f>
        <v/>
      </c>
      <c r="X305" s="97" t="str">
        <f aca="false">IF(ISBLANK($C305),"",IF(N305=Constants!$B$2, TRUE(), IF(N305=Constants!$B$3, FALSE(), TRUE())))</f>
        <v/>
      </c>
      <c r="Y305" s="97" t="str">
        <f aca="false">IF(ISBLANK($C305),"",IF(O305=Constants!$B$2, TRUE(), IF(O305=Constants!$B$3, FALSE(), FALSE())))</f>
        <v/>
      </c>
      <c r="Z305" s="97" t="str">
        <f aca="false">IF(ISBLANK($C305),"",AND(S305&lt;&gt;"",Q305))</f>
        <v/>
      </c>
      <c r="AA305" s="97" t="str">
        <f aca="false">IF(ISBLANK($C305),"",AND(V305&lt;&gt;"",Q305))</f>
        <v/>
      </c>
      <c r="AB305" s="97" t="str">
        <f aca="false">IF(ISBLANK($C305),"",IF(Y305,Constants!$B$4,IF(COUNTA(E305:N305)=0,Constants!$B$5,IF(NOT(Q305),Constants!$B$6,IF(AND(NOT(Z305),NOT(AA305)),Constants!$B$6,Constants!$B$7)))))</f>
        <v/>
      </c>
      <c r="AC305" s="97" t="str">
        <f aca="false">IF(ISBLANK($C305),"",IF($AB305&lt;&gt;Constants!$B$7,$AB305,Constants!$B$20))</f>
        <v/>
      </c>
      <c r="AD305" s="97" t="str">
        <f aca="false">IF($AB305=Constants!$B$7,IF(Z305,S305,Constants!$B$13),"")</f>
        <v/>
      </c>
      <c r="AE305" s="97" t="str">
        <f aca="false">IF($AB305=Constants!$B$7,IF(Z305,R305*IF(T305, 1, Constants!$B$11)*IF(U305, 1, Constants!$B$12),Constants!$B$13),"")</f>
        <v/>
      </c>
      <c r="AF305" s="97" t="str">
        <f aca="false">IF($AB305=Constants!$B$7,AD305*AE305,"")</f>
        <v/>
      </c>
      <c r="AG305" s="97" t="str">
        <f aca="false">IF($AB305=Constants!$B$7,IF(AA305,V305,Constants!$B$13),"")</f>
        <v/>
      </c>
      <c r="AH305" s="97" t="str">
        <f aca="false">IF($AB305=Constants!$B$7,IF(AA305,R305*IF(W305, 1, Constants!$B$11)*IF(X305, 1, Constants!$B$12),Constants!$B$13),"")</f>
        <v/>
      </c>
      <c r="AI305" s="97" t="str">
        <f aca="false">IF($AB305=Constants!$B$7,AG305*AH305,"")</f>
        <v/>
      </c>
      <c r="AJ305" s="97" t="str">
        <f aca="false">IF($AB305=Constants!$B$7,IF(AI305&gt;AF305,2,1),"")</f>
        <v/>
      </c>
      <c r="AK305" s="97" t="str">
        <f aca="false">IF($AB305=Constants!$B$7,IF(AJ305=1,2,1),"")</f>
        <v/>
      </c>
      <c r="AL305" s="97" t="str">
        <f aca="false">IF(ISBLANK($C305),"",IF($AB305&lt;&gt;Constants!$B$7,$AB305,IF(AJ305=1,AF305,AI305)))</f>
        <v/>
      </c>
      <c r="AM305" s="97" t="str">
        <f aca="false">IF(ISBLANK($C305),"",IF($AB305=Constants!$B$7,IF(ISNUMBER(AL305),RANK(AL305,$AL$8:$AL$507),Constants!$B$14),$AB305))</f>
        <v/>
      </c>
      <c r="AN305" s="97" t="str">
        <f aca="false">IF(ISBLANK($C305),"",IF($AB305=Constants!$B$7,IF(AK305=1,AF305,AI305),""))</f>
        <v/>
      </c>
      <c r="AO305" s="97" t="str">
        <f aca="false">IF(ISBLANK($C305),"",IF($AB305=Constants!$B$7,RANK(AN305,$AN$8:$AN$507),$AB305))</f>
        <v/>
      </c>
      <c r="AP305" s="97" t="str">
        <f aca="false">IF(ISBLANK($C305),"",IF($AB305=Constants!$B$7,IF(ISNUMBER(AM305),COUNTIFS($AM$8:$AM$507,"&lt;"&amp;$AM305)+COUNTIFS($AM$8:$AM$507,$AM305,$AO$8:$AO$507,"&lt;"&amp;$AO305)+1,Constants!$B$14),$AB305))</f>
        <v/>
      </c>
      <c r="AQ305" s="97" t="str">
        <f aca="false">IF(ISBLANK($C305),"",IF($AB305=Constants!$B$7,IF(ISNUMBER(AM305),AM305-AP305,Constants!$B$14),$AB305))</f>
        <v/>
      </c>
      <c r="AR305" s="98"/>
      <c r="AS305" s="99" t="str">
        <f aca="false">IF(ISBLANK($C305),"",IF($AB305&lt;&gt;Constants!$B$7,"",AJ305))</f>
        <v/>
      </c>
      <c r="AT305" s="100" t="str">
        <f aca="false">IF(ISBLANK($C305),"",IF($AB305&lt;&gt;Constants!$B$7,"",IF(AJ305=1,AD305,AG305)))</f>
        <v/>
      </c>
      <c r="AU305" s="101" t="str">
        <f aca="false">IF(ISBLANK($C305),"",IF($AB305&lt;&gt;Constants!$B$7,"",IF(AJ305=1,AE305,AH305)))</f>
        <v/>
      </c>
      <c r="AV305" s="102" t="str">
        <f aca="false">IF(ISBLANK($C305),"",IF($AB305&lt;&gt;Constants!$B$7,$AB305,AL305))</f>
        <v/>
      </c>
      <c r="AW305" s="103" t="str">
        <f aca="false">IF(ISBLANK($C305),"",IF($AB305&lt;&gt;Constants!$B$7,$AB305,AC305))</f>
        <v/>
      </c>
      <c r="AX305" s="104" t="str">
        <f aca="false">IF(ISBLANK($C305),"",AQ305)</f>
        <v/>
      </c>
      <c r="AY305" s="104" t="str">
        <f aca="false">IF(ISBLANK($C305),"",AP305)</f>
        <v/>
      </c>
      <c r="AZ305" s="105" t="str">
        <f aca="false">IF(ISBLANK($C305),"",IF(AY305=Constants!$B$4,COUNTA($C$8:$C$507)+2,IF(AY305=Constants!$B$5,COUNTA($C$8:$C$507)+1,IF(AY305=Constants!$B$6,COUNTA($C$8:$C$507),AY305))))</f>
        <v/>
      </c>
      <c r="BA305" s="5"/>
      <c r="BB305" s="106" t="n">
        <f aca="false">IF(OR(ISNUMBER(AY305),AY305=Constants!$B$4,AY305=Constants!$B$6,AY305=Constants!$B$5),1,0)</f>
        <v>0</v>
      </c>
      <c r="BC305" s="106" t="n">
        <v>298</v>
      </c>
      <c r="BD305" s="106" t="str">
        <f aca="false">IF(ISBLANK($C305),"",IF(ISNUMBER(AZ305),AZ305+ROW($B305)/1000,""))</f>
        <v/>
      </c>
      <c r="BE305" s="106" t="str">
        <f aca="false">IF(ISNUMBER(BD305),RANK(BD305,$BD$8:$BD$507,1),"")</f>
        <v/>
      </c>
      <c r="BF305" s="106" t="str">
        <f aca="false">IF(ISBLANK($C305),"",$B305)</f>
        <v/>
      </c>
      <c r="BG305" s="106" t="str">
        <f aca="false">IF(ISBLANK($C305),"",$C305)</f>
        <v/>
      </c>
      <c r="BH305" s="106" t="str">
        <f aca="false">IF(ISBLANK($C305),"",$D305)</f>
        <v/>
      </c>
      <c r="BI305" s="107" t="str">
        <f aca="false">AW305</f>
        <v/>
      </c>
      <c r="BJ305" s="108" t="str">
        <f aca="false">AV305</f>
        <v/>
      </c>
      <c r="BK305" s="106" t="str">
        <f aca="false">IF(ISBLANK($C305),"",AY305)</f>
        <v/>
      </c>
      <c r="BL305" s="109" t="str">
        <f aca="false">IF($BC305&gt;$BB$7,"",VLOOKUP($BC305,$BE$8:$BK$507,7,FALSE()))</f>
        <v/>
      </c>
      <c r="BM305" s="110" t="str">
        <f aca="false">IF($BC305&gt;$BB$7,"",VLOOKUP($BC305,$BE$8:$BK$507,2,FALSE()))</f>
        <v/>
      </c>
      <c r="BN305" s="110" t="str">
        <f aca="false">IF($BC305&gt;$BB$7,"",VLOOKUP($BC305,$BE$8:$BK$507,3,FALSE()))</f>
        <v/>
      </c>
      <c r="BO305" s="110" t="str">
        <f aca="false">IF($BC305&gt;$BB$7,"",VLOOKUP($BC305,$BE$8:$BK$507,4,FALSE()))</f>
        <v/>
      </c>
      <c r="BP305" s="110" t="str">
        <f aca="false">IF($BC305&gt;$BB$7,"",VLOOKUP($BC305,$BE$8:$BK$507,5,FALSE()))</f>
        <v/>
      </c>
      <c r="BQ305" s="111" t="str">
        <f aca="false">IF($BC305&gt;$BB$7,"",VLOOKUP($BC305,$BE$8:$BK$507,6,FALSE()))</f>
        <v/>
      </c>
      <c r="BR305" s="54"/>
    </row>
    <row r="306" customFormat="false" ht="15.75" hidden="false" customHeight="false" outlineLevel="0" collapsed="false">
      <c r="A306" s="5"/>
      <c r="B306" s="120"/>
      <c r="C306" s="121"/>
      <c r="D306" s="112"/>
      <c r="E306" s="123"/>
      <c r="F306" s="91"/>
      <c r="G306" s="92"/>
      <c r="H306" s="93"/>
      <c r="I306" s="94"/>
      <c r="J306" s="91"/>
      <c r="K306" s="92"/>
      <c r="L306" s="93"/>
      <c r="M306" s="94"/>
      <c r="N306" s="91"/>
      <c r="O306" s="123"/>
      <c r="P306" s="96"/>
      <c r="Q306" s="97" t="str">
        <f aca="false">IF(ISBLANK($C306),"",IF(E306=Constants!$B$2, TRUE(), IF(E306=Constants!$B$3, FALSE(), TRUE())))</f>
        <v/>
      </c>
      <c r="R306" s="97" t="str">
        <f aca="false">IF(ISBLANK($C306),"",IF(F306=Constants!$B$16,Constants!$B$9,IF(F306=Constants!$B$17,Constants!$B$10,Constants!$B$8)))</f>
        <v/>
      </c>
      <c r="S306" s="97" t="str">
        <f aca="false">IF(ISBLANK($C306),"",IF(COUNTA(G306:H306)=0,"",IF(AND(OR(ISBLANK(G306),AND(ISNUMBER(G306),G306&gt;=0)),OR(ISBLANK(H306),AND(ISNUMBER(H306),H306&gt;=0))),60*IF(ISBLANK(G306),0,G306)+IF(ISBLANK(H306),0,H306),"")))</f>
        <v/>
      </c>
      <c r="T306" s="97" t="str">
        <f aca="false">IF(ISBLANK($C306),"",IF(I306=Constants!$B$2, TRUE(), IF(I306=Constants!$B$3, FALSE(), TRUE())))</f>
        <v/>
      </c>
      <c r="U306" s="97" t="str">
        <f aca="false">IF(ISBLANK($C306),"",IF(J306=Constants!$B$2, TRUE(), IF(J306=Constants!$B$3, FALSE(), TRUE())))</f>
        <v/>
      </c>
      <c r="V306" s="97" t="str">
        <f aca="false">IF(ISBLANK($C306),"",IF(COUNTA(K306:L306)=0,"",IF(AND(OR(ISBLANK(K306),AND(ISNUMBER(K306),K306&gt;=0)),OR(ISBLANK(L306),AND(ISNUMBER(L306),L306&gt;=0))),60*IF(ISBLANK(K306),0,K306)+IF(ISBLANK(L306),0,L306),"")))</f>
        <v/>
      </c>
      <c r="W306" s="97" t="str">
        <f aca="false">IF(ISBLANK($C306),"",IF(M306=Constants!$B$2, TRUE(), IF(M306=Constants!$B$3, FALSE(), TRUE())))</f>
        <v/>
      </c>
      <c r="X306" s="97" t="str">
        <f aca="false">IF(ISBLANK($C306),"",IF(N306=Constants!$B$2, TRUE(), IF(N306=Constants!$B$3, FALSE(), TRUE())))</f>
        <v/>
      </c>
      <c r="Y306" s="97" t="str">
        <f aca="false">IF(ISBLANK($C306),"",IF(O306=Constants!$B$2, TRUE(), IF(O306=Constants!$B$3, FALSE(), FALSE())))</f>
        <v/>
      </c>
      <c r="Z306" s="97" t="str">
        <f aca="false">IF(ISBLANK($C306),"",AND(S306&lt;&gt;"",Q306))</f>
        <v/>
      </c>
      <c r="AA306" s="97" t="str">
        <f aca="false">IF(ISBLANK($C306),"",AND(V306&lt;&gt;"",Q306))</f>
        <v/>
      </c>
      <c r="AB306" s="97" t="str">
        <f aca="false">IF(ISBLANK($C306),"",IF(Y306,Constants!$B$4,IF(COUNTA(E306:N306)=0,Constants!$B$5,IF(NOT(Q306),Constants!$B$6,IF(AND(NOT(Z306),NOT(AA306)),Constants!$B$6,Constants!$B$7)))))</f>
        <v/>
      </c>
      <c r="AC306" s="97" t="str">
        <f aca="false">IF(ISBLANK($C306),"",IF($AB306&lt;&gt;Constants!$B$7,$AB306,Constants!$B$20))</f>
        <v/>
      </c>
      <c r="AD306" s="97" t="str">
        <f aca="false">IF($AB306=Constants!$B$7,IF(Z306,S306,Constants!$B$13),"")</f>
        <v/>
      </c>
      <c r="AE306" s="97" t="str">
        <f aca="false">IF($AB306=Constants!$B$7,IF(Z306,R306*IF(T306, 1, Constants!$B$11)*IF(U306, 1, Constants!$B$12),Constants!$B$13),"")</f>
        <v/>
      </c>
      <c r="AF306" s="97" t="str">
        <f aca="false">IF($AB306=Constants!$B$7,AD306*AE306,"")</f>
        <v/>
      </c>
      <c r="AG306" s="97" t="str">
        <f aca="false">IF($AB306=Constants!$B$7,IF(AA306,V306,Constants!$B$13),"")</f>
        <v/>
      </c>
      <c r="AH306" s="97" t="str">
        <f aca="false">IF($AB306=Constants!$B$7,IF(AA306,R306*IF(W306, 1, Constants!$B$11)*IF(X306, 1, Constants!$B$12),Constants!$B$13),"")</f>
        <v/>
      </c>
      <c r="AI306" s="97" t="str">
        <f aca="false">IF($AB306=Constants!$B$7,AG306*AH306,"")</f>
        <v/>
      </c>
      <c r="AJ306" s="97" t="str">
        <f aca="false">IF($AB306=Constants!$B$7,IF(AI306&gt;AF306,2,1),"")</f>
        <v/>
      </c>
      <c r="AK306" s="97" t="str">
        <f aca="false">IF($AB306=Constants!$B$7,IF(AJ306=1,2,1),"")</f>
        <v/>
      </c>
      <c r="AL306" s="97" t="str">
        <f aca="false">IF(ISBLANK($C306),"",IF($AB306&lt;&gt;Constants!$B$7,$AB306,IF(AJ306=1,AF306,AI306)))</f>
        <v/>
      </c>
      <c r="AM306" s="97" t="str">
        <f aca="false">IF(ISBLANK($C306),"",IF($AB306=Constants!$B$7,IF(ISNUMBER(AL306),RANK(AL306,$AL$8:$AL$507),Constants!$B$14),$AB306))</f>
        <v/>
      </c>
      <c r="AN306" s="97" t="str">
        <f aca="false">IF(ISBLANK($C306),"",IF($AB306=Constants!$B$7,IF(AK306=1,AF306,AI306),""))</f>
        <v/>
      </c>
      <c r="AO306" s="97" t="str">
        <f aca="false">IF(ISBLANK($C306),"",IF($AB306=Constants!$B$7,RANK(AN306,$AN$8:$AN$507),$AB306))</f>
        <v/>
      </c>
      <c r="AP306" s="97" t="str">
        <f aca="false">IF(ISBLANK($C306),"",IF($AB306=Constants!$B$7,IF(ISNUMBER(AM306),COUNTIFS($AM$8:$AM$507,"&lt;"&amp;$AM306)+COUNTIFS($AM$8:$AM$507,$AM306,$AO$8:$AO$507,"&lt;"&amp;$AO306)+1,Constants!$B$14),$AB306))</f>
        <v/>
      </c>
      <c r="AQ306" s="97" t="str">
        <f aca="false">IF(ISBLANK($C306),"",IF($AB306=Constants!$B$7,IF(ISNUMBER(AM306),AM306-AP306,Constants!$B$14),$AB306))</f>
        <v/>
      </c>
      <c r="AR306" s="98"/>
      <c r="AS306" s="99" t="str">
        <f aca="false">IF(ISBLANK($C306),"",IF($AB306&lt;&gt;Constants!$B$7,"",AJ306))</f>
        <v/>
      </c>
      <c r="AT306" s="100" t="str">
        <f aca="false">IF(ISBLANK($C306),"",IF($AB306&lt;&gt;Constants!$B$7,"",IF(AJ306=1,AD306,AG306)))</f>
        <v/>
      </c>
      <c r="AU306" s="101" t="str">
        <f aca="false">IF(ISBLANK($C306),"",IF($AB306&lt;&gt;Constants!$B$7,"",IF(AJ306=1,AE306,AH306)))</f>
        <v/>
      </c>
      <c r="AV306" s="102" t="str">
        <f aca="false">IF(ISBLANK($C306),"",IF($AB306&lt;&gt;Constants!$B$7,$AB306,AL306))</f>
        <v/>
      </c>
      <c r="AW306" s="103" t="str">
        <f aca="false">IF(ISBLANK($C306),"",IF($AB306&lt;&gt;Constants!$B$7,$AB306,AC306))</f>
        <v/>
      </c>
      <c r="AX306" s="104" t="str">
        <f aca="false">IF(ISBLANK($C306),"",AQ306)</f>
        <v/>
      </c>
      <c r="AY306" s="104" t="str">
        <f aca="false">IF(ISBLANK($C306),"",AP306)</f>
        <v/>
      </c>
      <c r="AZ306" s="105" t="str">
        <f aca="false">IF(ISBLANK($C306),"",IF(AY306=Constants!$B$4,COUNTA($C$8:$C$507)+2,IF(AY306=Constants!$B$5,COUNTA($C$8:$C$507)+1,IF(AY306=Constants!$B$6,COUNTA($C$8:$C$507),AY306))))</f>
        <v/>
      </c>
      <c r="BA306" s="5"/>
      <c r="BB306" s="106" t="n">
        <f aca="false">IF(OR(ISNUMBER(AY306),AY306=Constants!$B$4,AY306=Constants!$B$6,AY306=Constants!$B$5),1,0)</f>
        <v>0</v>
      </c>
      <c r="BC306" s="106" t="n">
        <v>299</v>
      </c>
      <c r="BD306" s="106" t="str">
        <f aca="false">IF(ISBLANK($C306),"",IF(ISNUMBER(AZ306),AZ306+ROW($B306)/1000,""))</f>
        <v/>
      </c>
      <c r="BE306" s="106" t="str">
        <f aca="false">IF(ISNUMBER(BD306),RANK(BD306,$BD$8:$BD$507,1),"")</f>
        <v/>
      </c>
      <c r="BF306" s="106" t="str">
        <f aca="false">IF(ISBLANK($C306),"",$B306)</f>
        <v/>
      </c>
      <c r="BG306" s="106" t="str">
        <f aca="false">IF(ISBLANK($C306),"",$C306)</f>
        <v/>
      </c>
      <c r="BH306" s="106" t="str">
        <f aca="false">IF(ISBLANK($C306),"",$D306)</f>
        <v/>
      </c>
      <c r="BI306" s="107" t="str">
        <f aca="false">AW306</f>
        <v/>
      </c>
      <c r="BJ306" s="108" t="str">
        <f aca="false">AV306</f>
        <v/>
      </c>
      <c r="BK306" s="106" t="str">
        <f aca="false">IF(ISBLANK($C306),"",AY306)</f>
        <v/>
      </c>
      <c r="BL306" s="109" t="str">
        <f aca="false">IF($BC306&gt;$BB$7,"",VLOOKUP($BC306,$BE$8:$BK$507,7,FALSE()))</f>
        <v/>
      </c>
      <c r="BM306" s="110" t="str">
        <f aca="false">IF($BC306&gt;$BB$7,"",VLOOKUP($BC306,$BE$8:$BK$507,2,FALSE()))</f>
        <v/>
      </c>
      <c r="BN306" s="110" t="str">
        <f aca="false">IF($BC306&gt;$BB$7,"",VLOOKUP($BC306,$BE$8:$BK$507,3,FALSE()))</f>
        <v/>
      </c>
      <c r="BO306" s="110" t="str">
        <f aca="false">IF($BC306&gt;$BB$7,"",VLOOKUP($BC306,$BE$8:$BK$507,4,FALSE()))</f>
        <v/>
      </c>
      <c r="BP306" s="110" t="str">
        <f aca="false">IF($BC306&gt;$BB$7,"",VLOOKUP($BC306,$BE$8:$BK$507,5,FALSE()))</f>
        <v/>
      </c>
      <c r="BQ306" s="111" t="str">
        <f aca="false">IF($BC306&gt;$BB$7,"",VLOOKUP($BC306,$BE$8:$BK$507,6,FALSE()))</f>
        <v/>
      </c>
      <c r="BR306" s="54"/>
    </row>
    <row r="307" customFormat="false" ht="15.75" hidden="false" customHeight="false" outlineLevel="0" collapsed="false">
      <c r="A307" s="5"/>
      <c r="B307" s="120"/>
      <c r="C307" s="121"/>
      <c r="D307" s="112"/>
      <c r="E307" s="123"/>
      <c r="F307" s="91"/>
      <c r="G307" s="92"/>
      <c r="H307" s="93"/>
      <c r="I307" s="94"/>
      <c r="J307" s="91"/>
      <c r="K307" s="92"/>
      <c r="L307" s="93"/>
      <c r="M307" s="94"/>
      <c r="N307" s="91"/>
      <c r="O307" s="123"/>
      <c r="P307" s="96"/>
      <c r="Q307" s="97" t="str">
        <f aca="false">IF(ISBLANK($C307),"",IF(E307=Constants!$B$2, TRUE(), IF(E307=Constants!$B$3, FALSE(), TRUE())))</f>
        <v/>
      </c>
      <c r="R307" s="97" t="str">
        <f aca="false">IF(ISBLANK($C307),"",IF(F307=Constants!$B$16,Constants!$B$9,IF(F307=Constants!$B$17,Constants!$B$10,Constants!$B$8)))</f>
        <v/>
      </c>
      <c r="S307" s="97" t="str">
        <f aca="false">IF(ISBLANK($C307),"",IF(COUNTA(G307:H307)=0,"",IF(AND(OR(ISBLANK(G307),AND(ISNUMBER(G307),G307&gt;=0)),OR(ISBLANK(H307),AND(ISNUMBER(H307),H307&gt;=0))),60*IF(ISBLANK(G307),0,G307)+IF(ISBLANK(H307),0,H307),"")))</f>
        <v/>
      </c>
      <c r="T307" s="97" t="str">
        <f aca="false">IF(ISBLANK($C307),"",IF(I307=Constants!$B$2, TRUE(), IF(I307=Constants!$B$3, FALSE(), TRUE())))</f>
        <v/>
      </c>
      <c r="U307" s="97" t="str">
        <f aca="false">IF(ISBLANK($C307),"",IF(J307=Constants!$B$2, TRUE(), IF(J307=Constants!$B$3, FALSE(), TRUE())))</f>
        <v/>
      </c>
      <c r="V307" s="97" t="str">
        <f aca="false">IF(ISBLANK($C307),"",IF(COUNTA(K307:L307)=0,"",IF(AND(OR(ISBLANK(K307),AND(ISNUMBER(K307),K307&gt;=0)),OR(ISBLANK(L307),AND(ISNUMBER(L307),L307&gt;=0))),60*IF(ISBLANK(K307),0,K307)+IF(ISBLANK(L307),0,L307),"")))</f>
        <v/>
      </c>
      <c r="W307" s="97" t="str">
        <f aca="false">IF(ISBLANK($C307),"",IF(M307=Constants!$B$2, TRUE(), IF(M307=Constants!$B$3, FALSE(), TRUE())))</f>
        <v/>
      </c>
      <c r="X307" s="97" t="str">
        <f aca="false">IF(ISBLANK($C307),"",IF(N307=Constants!$B$2, TRUE(), IF(N307=Constants!$B$3, FALSE(), TRUE())))</f>
        <v/>
      </c>
      <c r="Y307" s="97" t="str">
        <f aca="false">IF(ISBLANK($C307),"",IF(O307=Constants!$B$2, TRUE(), IF(O307=Constants!$B$3, FALSE(), FALSE())))</f>
        <v/>
      </c>
      <c r="Z307" s="97" t="str">
        <f aca="false">IF(ISBLANK($C307),"",AND(S307&lt;&gt;"",Q307))</f>
        <v/>
      </c>
      <c r="AA307" s="97" t="str">
        <f aca="false">IF(ISBLANK($C307),"",AND(V307&lt;&gt;"",Q307))</f>
        <v/>
      </c>
      <c r="AB307" s="97" t="str">
        <f aca="false">IF(ISBLANK($C307),"",IF(Y307,Constants!$B$4,IF(COUNTA(E307:N307)=0,Constants!$B$5,IF(NOT(Q307),Constants!$B$6,IF(AND(NOT(Z307),NOT(AA307)),Constants!$B$6,Constants!$B$7)))))</f>
        <v/>
      </c>
      <c r="AC307" s="97" t="str">
        <f aca="false">IF(ISBLANK($C307),"",IF($AB307&lt;&gt;Constants!$B$7,$AB307,Constants!$B$20))</f>
        <v/>
      </c>
      <c r="AD307" s="97" t="str">
        <f aca="false">IF($AB307=Constants!$B$7,IF(Z307,S307,Constants!$B$13),"")</f>
        <v/>
      </c>
      <c r="AE307" s="97" t="str">
        <f aca="false">IF($AB307=Constants!$B$7,IF(Z307,R307*IF(T307, 1, Constants!$B$11)*IF(U307, 1, Constants!$B$12),Constants!$B$13),"")</f>
        <v/>
      </c>
      <c r="AF307" s="97" t="str">
        <f aca="false">IF($AB307=Constants!$B$7,AD307*AE307,"")</f>
        <v/>
      </c>
      <c r="AG307" s="97" t="str">
        <f aca="false">IF($AB307=Constants!$B$7,IF(AA307,V307,Constants!$B$13),"")</f>
        <v/>
      </c>
      <c r="AH307" s="97" t="str">
        <f aca="false">IF($AB307=Constants!$B$7,IF(AA307,R307*IF(W307, 1, Constants!$B$11)*IF(X307, 1, Constants!$B$12),Constants!$B$13),"")</f>
        <v/>
      </c>
      <c r="AI307" s="97" t="str">
        <f aca="false">IF($AB307=Constants!$B$7,AG307*AH307,"")</f>
        <v/>
      </c>
      <c r="AJ307" s="97" t="str">
        <f aca="false">IF($AB307=Constants!$B$7,IF(AI307&gt;AF307,2,1),"")</f>
        <v/>
      </c>
      <c r="AK307" s="97" t="str">
        <f aca="false">IF($AB307=Constants!$B$7,IF(AJ307=1,2,1),"")</f>
        <v/>
      </c>
      <c r="AL307" s="97" t="str">
        <f aca="false">IF(ISBLANK($C307),"",IF($AB307&lt;&gt;Constants!$B$7,$AB307,IF(AJ307=1,AF307,AI307)))</f>
        <v/>
      </c>
      <c r="AM307" s="97" t="str">
        <f aca="false">IF(ISBLANK($C307),"",IF($AB307=Constants!$B$7,IF(ISNUMBER(AL307),RANK(AL307,$AL$8:$AL$507),Constants!$B$14),$AB307))</f>
        <v/>
      </c>
      <c r="AN307" s="97" t="str">
        <f aca="false">IF(ISBLANK($C307),"",IF($AB307=Constants!$B$7,IF(AK307=1,AF307,AI307),""))</f>
        <v/>
      </c>
      <c r="AO307" s="97" t="str">
        <f aca="false">IF(ISBLANK($C307),"",IF($AB307=Constants!$B$7,RANK(AN307,$AN$8:$AN$507),$AB307))</f>
        <v/>
      </c>
      <c r="AP307" s="97" t="str">
        <f aca="false">IF(ISBLANK($C307),"",IF($AB307=Constants!$B$7,IF(ISNUMBER(AM307),COUNTIFS($AM$8:$AM$507,"&lt;"&amp;$AM307)+COUNTIFS($AM$8:$AM$507,$AM307,$AO$8:$AO$507,"&lt;"&amp;$AO307)+1,Constants!$B$14),$AB307))</f>
        <v/>
      </c>
      <c r="AQ307" s="97" t="str">
        <f aca="false">IF(ISBLANK($C307),"",IF($AB307=Constants!$B$7,IF(ISNUMBER(AM307),AM307-AP307,Constants!$B$14),$AB307))</f>
        <v/>
      </c>
      <c r="AR307" s="98"/>
      <c r="AS307" s="99" t="str">
        <f aca="false">IF(ISBLANK($C307),"",IF($AB307&lt;&gt;Constants!$B$7,"",AJ307))</f>
        <v/>
      </c>
      <c r="AT307" s="100" t="str">
        <f aca="false">IF(ISBLANK($C307),"",IF($AB307&lt;&gt;Constants!$B$7,"",IF(AJ307=1,AD307,AG307)))</f>
        <v/>
      </c>
      <c r="AU307" s="101" t="str">
        <f aca="false">IF(ISBLANK($C307),"",IF($AB307&lt;&gt;Constants!$B$7,"",IF(AJ307=1,AE307,AH307)))</f>
        <v/>
      </c>
      <c r="AV307" s="102" t="str">
        <f aca="false">IF(ISBLANK($C307),"",IF($AB307&lt;&gt;Constants!$B$7,$AB307,AL307))</f>
        <v/>
      </c>
      <c r="AW307" s="103" t="str">
        <f aca="false">IF(ISBLANK($C307),"",IF($AB307&lt;&gt;Constants!$B$7,$AB307,AC307))</f>
        <v/>
      </c>
      <c r="AX307" s="104" t="str">
        <f aca="false">IF(ISBLANK($C307),"",AQ307)</f>
        <v/>
      </c>
      <c r="AY307" s="104" t="str">
        <f aca="false">IF(ISBLANK($C307),"",AP307)</f>
        <v/>
      </c>
      <c r="AZ307" s="105" t="str">
        <f aca="false">IF(ISBLANK($C307),"",IF(AY307=Constants!$B$4,COUNTA($C$8:$C$507)+2,IF(AY307=Constants!$B$5,COUNTA($C$8:$C$507)+1,IF(AY307=Constants!$B$6,COUNTA($C$8:$C$507),AY307))))</f>
        <v/>
      </c>
      <c r="BA307" s="5"/>
      <c r="BB307" s="106" t="n">
        <f aca="false">IF(OR(ISNUMBER(AY307),AY307=Constants!$B$4,AY307=Constants!$B$6,AY307=Constants!$B$5),1,0)</f>
        <v>0</v>
      </c>
      <c r="BC307" s="106" t="n">
        <v>300</v>
      </c>
      <c r="BD307" s="106" t="str">
        <f aca="false">IF(ISBLANK($C307),"",IF(ISNUMBER(AZ307),AZ307+ROW($B307)/1000,""))</f>
        <v/>
      </c>
      <c r="BE307" s="106" t="str">
        <f aca="false">IF(ISNUMBER(BD307),RANK(BD307,$BD$8:$BD$507,1),"")</f>
        <v/>
      </c>
      <c r="BF307" s="106" t="str">
        <f aca="false">IF(ISBLANK($C307),"",$B307)</f>
        <v/>
      </c>
      <c r="BG307" s="106" t="str">
        <f aca="false">IF(ISBLANK($C307),"",$C307)</f>
        <v/>
      </c>
      <c r="BH307" s="106" t="str">
        <f aca="false">IF(ISBLANK($C307),"",$D307)</f>
        <v/>
      </c>
      <c r="BI307" s="107" t="str">
        <f aca="false">AW307</f>
        <v/>
      </c>
      <c r="BJ307" s="108" t="str">
        <f aca="false">AV307</f>
        <v/>
      </c>
      <c r="BK307" s="106" t="str">
        <f aca="false">IF(ISBLANK($C307),"",AY307)</f>
        <v/>
      </c>
      <c r="BL307" s="109" t="str">
        <f aca="false">IF($BC307&gt;$BB$7,"",VLOOKUP($BC307,$BE$8:$BK$507,7,FALSE()))</f>
        <v/>
      </c>
      <c r="BM307" s="110" t="str">
        <f aca="false">IF($BC307&gt;$BB$7,"",VLOOKUP($BC307,$BE$8:$BK$507,2,FALSE()))</f>
        <v/>
      </c>
      <c r="BN307" s="110" t="str">
        <f aca="false">IF($BC307&gt;$BB$7,"",VLOOKUP($BC307,$BE$8:$BK$507,3,FALSE()))</f>
        <v/>
      </c>
      <c r="BO307" s="110" t="str">
        <f aca="false">IF($BC307&gt;$BB$7,"",VLOOKUP($BC307,$BE$8:$BK$507,4,FALSE()))</f>
        <v/>
      </c>
      <c r="BP307" s="110" t="str">
        <f aca="false">IF($BC307&gt;$BB$7,"",VLOOKUP($BC307,$BE$8:$BK$507,5,FALSE()))</f>
        <v/>
      </c>
      <c r="BQ307" s="111" t="str">
        <f aca="false">IF($BC307&gt;$BB$7,"",VLOOKUP($BC307,$BE$8:$BK$507,6,FALSE()))</f>
        <v/>
      </c>
      <c r="BR307" s="54"/>
    </row>
    <row r="308" customFormat="false" ht="15.75" hidden="false" customHeight="false" outlineLevel="0" collapsed="false">
      <c r="A308" s="5"/>
      <c r="B308" s="124"/>
      <c r="C308" s="56"/>
      <c r="D308" s="57"/>
      <c r="E308" s="83"/>
      <c r="F308" s="59"/>
      <c r="G308" s="60"/>
      <c r="H308" s="61"/>
      <c r="I308" s="62"/>
      <c r="J308" s="59"/>
      <c r="K308" s="60"/>
      <c r="L308" s="61"/>
      <c r="M308" s="62"/>
      <c r="N308" s="59"/>
      <c r="O308" s="83"/>
      <c r="P308" s="64"/>
      <c r="Q308" s="66" t="str">
        <f aca="false">IF(ISBLANK($C308),"",IF(E308=Constants!$B$2, TRUE(), IF(E308=Constants!$B$3, FALSE(), TRUE())))</f>
        <v/>
      </c>
      <c r="R308" s="66" t="str">
        <f aca="false">IF(ISBLANK($C308),"",IF(F308=Constants!$B$16,Constants!$B$9,IF(F308=Constants!$B$17,Constants!$B$10,Constants!$B$8)))</f>
        <v/>
      </c>
      <c r="S308" s="66" t="str">
        <f aca="false">IF(ISBLANK($C308),"",IF(COUNTA(G308:H308)=0,"",IF(AND(OR(ISBLANK(G308),AND(ISNUMBER(G308),G308&gt;=0)),OR(ISBLANK(H308),AND(ISNUMBER(H308),H308&gt;=0))),60*IF(ISBLANK(G308),0,G308)+IF(ISBLANK(H308),0,H308),"")))</f>
        <v/>
      </c>
      <c r="T308" s="66" t="str">
        <f aca="false">IF(ISBLANK($C308),"",IF(I308=Constants!$B$2, TRUE(), IF(I308=Constants!$B$3, FALSE(), TRUE())))</f>
        <v/>
      </c>
      <c r="U308" s="66" t="str">
        <f aca="false">IF(ISBLANK($C308),"",IF(J308=Constants!$B$2, TRUE(), IF(J308=Constants!$B$3, FALSE(), TRUE())))</f>
        <v/>
      </c>
      <c r="V308" s="66" t="str">
        <f aca="false">IF(ISBLANK($C308),"",IF(COUNTA(K308:L308)=0,"",IF(AND(OR(ISBLANK(K308),AND(ISNUMBER(K308),K308&gt;=0)),OR(ISBLANK(L308),AND(ISNUMBER(L308),L308&gt;=0))),60*IF(ISBLANK(K308),0,K308)+IF(ISBLANK(L308),0,L308),"")))</f>
        <v/>
      </c>
      <c r="W308" s="66" t="str">
        <f aca="false">IF(ISBLANK($C308),"",IF(M308=Constants!$B$2, TRUE(), IF(M308=Constants!$B$3, FALSE(), TRUE())))</f>
        <v/>
      </c>
      <c r="X308" s="66" t="str">
        <f aca="false">IF(ISBLANK($C308),"",IF(N308=Constants!$B$2, TRUE(), IF(N308=Constants!$B$3, FALSE(), TRUE())))</f>
        <v/>
      </c>
      <c r="Y308" s="66" t="str">
        <f aca="false">IF(ISBLANK($C308),"",IF(O308=Constants!$B$2, TRUE(), IF(O308=Constants!$B$3, FALSE(), FALSE())))</f>
        <v/>
      </c>
      <c r="Z308" s="66" t="str">
        <f aca="false">IF(ISBLANK($C308),"",AND(S308&lt;&gt;"",Q308))</f>
        <v/>
      </c>
      <c r="AA308" s="66" t="str">
        <f aca="false">IF(ISBLANK($C308),"",AND(V308&lt;&gt;"",Q308))</f>
        <v/>
      </c>
      <c r="AB308" s="66" t="str">
        <f aca="false">IF(ISBLANK($C308),"",IF(Y308,Constants!$B$4,IF(COUNTA(E308:N308)=0,Constants!$B$5,IF(NOT(Q308),Constants!$B$6,IF(AND(NOT(Z308),NOT(AA308)),Constants!$B$6,Constants!$B$7)))))</f>
        <v/>
      </c>
      <c r="AC308" s="66" t="str">
        <f aca="false">IF(ISBLANK($C308),"",IF($AB308&lt;&gt;Constants!$B$7,$AB308,Constants!$B$20))</f>
        <v/>
      </c>
      <c r="AD308" s="66" t="str">
        <f aca="false">IF($AB308=Constants!$B$7,IF(Z308,S308,Constants!$B$13),"")</f>
        <v/>
      </c>
      <c r="AE308" s="66" t="str">
        <f aca="false">IF($AB308=Constants!$B$7,IF(Z308,R308*IF(T308, 1, Constants!$B$11)*IF(U308, 1, Constants!$B$12),Constants!$B$13),"")</f>
        <v/>
      </c>
      <c r="AF308" s="66" t="str">
        <f aca="false">IF($AB308=Constants!$B$7,AD308*AE308,"")</f>
        <v/>
      </c>
      <c r="AG308" s="66" t="str">
        <f aca="false">IF($AB308=Constants!$B$7,IF(AA308,V308,Constants!$B$13),"")</f>
        <v/>
      </c>
      <c r="AH308" s="66" t="str">
        <f aca="false">IF($AB308=Constants!$B$7,IF(AA308,R308*IF(W308, 1, Constants!$B$11)*IF(X308, 1, Constants!$B$12),Constants!$B$13),"")</f>
        <v/>
      </c>
      <c r="AI308" s="66" t="str">
        <f aca="false">IF($AB308=Constants!$B$7,AG308*AH308,"")</f>
        <v/>
      </c>
      <c r="AJ308" s="66" t="str">
        <f aca="false">IF($AB308=Constants!$B$7,IF(AI308&gt;AF308,2,1),"")</f>
        <v/>
      </c>
      <c r="AK308" s="66" t="str">
        <f aca="false">IF($AB308=Constants!$B$7,IF(AJ308=1,2,1),"")</f>
        <v/>
      </c>
      <c r="AL308" s="66" t="str">
        <f aca="false">IF(ISBLANK($C308),"",IF($AB308&lt;&gt;Constants!$B$7,$AB308,IF(AJ308=1,AF308,AI308)))</f>
        <v/>
      </c>
      <c r="AM308" s="66" t="str">
        <f aca="false">IF(ISBLANK($C308),"",IF($AB308=Constants!$B$7,IF(ISNUMBER(AL308),RANK(AL308,$AL$8:$AL$507),Constants!$B$14),$AB308))</f>
        <v/>
      </c>
      <c r="AN308" s="66" t="str">
        <f aca="false">IF(ISBLANK($C308),"",IF($AB308=Constants!$B$7,IF(AK308=1,AF308,AI308),""))</f>
        <v/>
      </c>
      <c r="AO308" s="66" t="str">
        <f aca="false">IF(ISBLANK($C308),"",IF($AB308=Constants!$B$7,RANK(AN308,$AN$8:$AN$507),$AB308))</f>
        <v/>
      </c>
      <c r="AP308" s="66" t="str">
        <f aca="false">IF(ISBLANK($C308),"",IF($AB308=Constants!$B$7,IF(ISNUMBER(AM308),COUNTIFS($AM$8:$AM$507,"&lt;"&amp;$AM308)+COUNTIFS($AM$8:$AM$507,$AM308,$AO$8:$AO$507,"&lt;"&amp;$AO308)+1,Constants!$B$14),$AB308))</f>
        <v/>
      </c>
      <c r="AQ308" s="66" t="str">
        <f aca="false">IF(ISBLANK($C308),"",IF($AB308=Constants!$B$7,IF(ISNUMBER(AM308),AM308-AP308,Constants!$B$14),$AB308))</f>
        <v/>
      </c>
      <c r="AR308" s="68"/>
      <c r="AS308" s="69" t="str">
        <f aca="false">IF(ISBLANK($C308),"",IF($AB308&lt;&gt;Constants!$B$7,"",AJ308))</f>
        <v/>
      </c>
      <c r="AT308" s="84" t="str">
        <f aca="false">IF(ISBLANK($C308),"",IF($AB308&lt;&gt;Constants!$B$7,"",IF(AJ308=1,AD308,AG308)))</f>
        <v/>
      </c>
      <c r="AU308" s="71" t="str">
        <f aca="false">IF(ISBLANK($C308),"",IF($AB308&lt;&gt;Constants!$B$7,"",IF(AJ308=1,AE308,AH308)))</f>
        <v/>
      </c>
      <c r="AV308" s="72" t="str">
        <f aca="false">IF(ISBLANK($C308),"",IF($AB308&lt;&gt;Constants!$B$7,$AB308,AL308))</f>
        <v/>
      </c>
      <c r="AW308" s="73" t="str">
        <f aca="false">IF(ISBLANK($C308),"",IF($AB308&lt;&gt;Constants!$B$7,$AB308,AC308))</f>
        <v/>
      </c>
      <c r="AX308" s="74" t="str">
        <f aca="false">IF(ISBLANK($C308),"",AQ308)</f>
        <v/>
      </c>
      <c r="AY308" s="74" t="str">
        <f aca="false">IF(ISBLANK($C308),"",AP308)</f>
        <v/>
      </c>
      <c r="AZ308" s="75" t="str">
        <f aca="false">IF(ISBLANK($C308),"",IF(AY308=Constants!$B$4,COUNTA($C$8:$C$507)+2,IF(AY308=Constants!$B$5,COUNTA($C$8:$C$507)+1,IF(AY308=Constants!$B$6,COUNTA($C$8:$C$507),AY308))))</f>
        <v/>
      </c>
      <c r="BA308" s="5"/>
      <c r="BB308" s="76" t="n">
        <f aca="false">IF(OR(ISNUMBER(AY308),AY308=Constants!$B$4,AY308=Constants!$B$6,AY308=Constants!$B$5),1,0)</f>
        <v>0</v>
      </c>
      <c r="BC308" s="76" t="n">
        <v>301</v>
      </c>
      <c r="BD308" s="76" t="str">
        <f aca="false">IF(ISBLANK($C308),"",IF(ISNUMBER(AZ308),AZ308+ROW($B308)/1000,""))</f>
        <v/>
      </c>
      <c r="BE308" s="76" t="str">
        <f aca="false">IF(ISNUMBER(BD308),RANK(BD308,$BD$8:$BD$507,1),"")</f>
        <v/>
      </c>
      <c r="BF308" s="76" t="str">
        <f aca="false">IF(ISBLANK($C308),"",$B308)</f>
        <v/>
      </c>
      <c r="BG308" s="76" t="str">
        <f aca="false">IF(ISBLANK($C308),"",$C308)</f>
        <v/>
      </c>
      <c r="BH308" s="76" t="str">
        <f aca="false">IF(ISBLANK($C308),"",$D308)</f>
        <v/>
      </c>
      <c r="BI308" s="77" t="str">
        <f aca="false">AW308</f>
        <v/>
      </c>
      <c r="BJ308" s="78" t="str">
        <f aca="false">AV308</f>
        <v/>
      </c>
      <c r="BK308" s="76" t="str">
        <f aca="false">IF(ISBLANK($C308),"",AY308)</f>
        <v/>
      </c>
      <c r="BL308" s="79" t="str">
        <f aca="false">IF($BC308&gt;$BB$7,"",VLOOKUP($BC308,$BE$8:$BK$507,7,FALSE()))</f>
        <v/>
      </c>
      <c r="BM308" s="80" t="str">
        <f aca="false">IF($BC308&gt;$BB$7,"",VLOOKUP($BC308,$BE$8:$BK$507,2,FALSE()))</f>
        <v/>
      </c>
      <c r="BN308" s="80" t="str">
        <f aca="false">IF($BC308&gt;$BB$7,"",VLOOKUP($BC308,$BE$8:$BK$507,3,FALSE()))</f>
        <v/>
      </c>
      <c r="BO308" s="80" t="str">
        <f aca="false">IF($BC308&gt;$BB$7,"",VLOOKUP($BC308,$BE$8:$BK$507,4,FALSE()))</f>
        <v/>
      </c>
      <c r="BP308" s="80" t="str">
        <f aca="false">IF($BC308&gt;$BB$7,"",VLOOKUP($BC308,$BE$8:$BK$507,5,FALSE()))</f>
        <v/>
      </c>
      <c r="BQ308" s="81" t="str">
        <f aca="false">IF($BC308&gt;$BB$7,"",VLOOKUP($BC308,$BE$8:$BK$507,6,FALSE()))</f>
        <v/>
      </c>
      <c r="BR308" s="54"/>
    </row>
    <row r="309" customFormat="false" ht="15.75" hidden="false" customHeight="false" outlineLevel="0" collapsed="false">
      <c r="A309" s="5"/>
      <c r="B309" s="124"/>
      <c r="C309" s="56"/>
      <c r="D309" s="57"/>
      <c r="E309" s="83"/>
      <c r="F309" s="59"/>
      <c r="G309" s="60"/>
      <c r="H309" s="61"/>
      <c r="I309" s="62"/>
      <c r="J309" s="59"/>
      <c r="K309" s="60"/>
      <c r="L309" s="61"/>
      <c r="M309" s="62"/>
      <c r="N309" s="59"/>
      <c r="O309" s="83"/>
      <c r="P309" s="64"/>
      <c r="Q309" s="66" t="str">
        <f aca="false">IF(ISBLANK($C309),"",IF(E309=Constants!$B$2, TRUE(), IF(E309=Constants!$B$3, FALSE(), TRUE())))</f>
        <v/>
      </c>
      <c r="R309" s="66" t="str">
        <f aca="false">IF(ISBLANK($C309),"",IF(F309=Constants!$B$16,Constants!$B$9,IF(F309=Constants!$B$17,Constants!$B$10,Constants!$B$8)))</f>
        <v/>
      </c>
      <c r="S309" s="66" t="str">
        <f aca="false">IF(ISBLANK($C309),"",IF(COUNTA(G309:H309)=0,"",IF(AND(OR(ISBLANK(G309),AND(ISNUMBER(G309),G309&gt;=0)),OR(ISBLANK(H309),AND(ISNUMBER(H309),H309&gt;=0))),60*IF(ISBLANK(G309),0,G309)+IF(ISBLANK(H309),0,H309),"")))</f>
        <v/>
      </c>
      <c r="T309" s="66" t="str">
        <f aca="false">IF(ISBLANK($C309),"",IF(I309=Constants!$B$2, TRUE(), IF(I309=Constants!$B$3, FALSE(), TRUE())))</f>
        <v/>
      </c>
      <c r="U309" s="66" t="str">
        <f aca="false">IF(ISBLANK($C309),"",IF(J309=Constants!$B$2, TRUE(), IF(J309=Constants!$B$3, FALSE(), TRUE())))</f>
        <v/>
      </c>
      <c r="V309" s="66" t="str">
        <f aca="false">IF(ISBLANK($C309),"",IF(COUNTA(K309:L309)=0,"",IF(AND(OR(ISBLANK(K309),AND(ISNUMBER(K309),K309&gt;=0)),OR(ISBLANK(L309),AND(ISNUMBER(L309),L309&gt;=0))),60*IF(ISBLANK(K309),0,K309)+IF(ISBLANK(L309),0,L309),"")))</f>
        <v/>
      </c>
      <c r="W309" s="66" t="str">
        <f aca="false">IF(ISBLANK($C309),"",IF(M309=Constants!$B$2, TRUE(), IF(M309=Constants!$B$3, FALSE(), TRUE())))</f>
        <v/>
      </c>
      <c r="X309" s="66" t="str">
        <f aca="false">IF(ISBLANK($C309),"",IF(N309=Constants!$B$2, TRUE(), IF(N309=Constants!$B$3, FALSE(), TRUE())))</f>
        <v/>
      </c>
      <c r="Y309" s="66" t="str">
        <f aca="false">IF(ISBLANK($C309),"",IF(O309=Constants!$B$2, TRUE(), IF(O309=Constants!$B$3, FALSE(), FALSE())))</f>
        <v/>
      </c>
      <c r="Z309" s="66" t="str">
        <f aca="false">IF(ISBLANK($C309),"",AND(S309&lt;&gt;"",Q309))</f>
        <v/>
      </c>
      <c r="AA309" s="66" t="str">
        <f aca="false">IF(ISBLANK($C309),"",AND(V309&lt;&gt;"",Q309))</f>
        <v/>
      </c>
      <c r="AB309" s="66" t="str">
        <f aca="false">IF(ISBLANK($C309),"",IF(Y309,Constants!$B$4,IF(COUNTA(E309:N309)=0,Constants!$B$5,IF(NOT(Q309),Constants!$B$6,IF(AND(NOT(Z309),NOT(AA309)),Constants!$B$6,Constants!$B$7)))))</f>
        <v/>
      </c>
      <c r="AC309" s="66" t="str">
        <f aca="false">IF(ISBLANK($C309),"",IF($AB309&lt;&gt;Constants!$B$7,$AB309,Constants!$B$20))</f>
        <v/>
      </c>
      <c r="AD309" s="66" t="str">
        <f aca="false">IF($AB309=Constants!$B$7,IF(Z309,S309,Constants!$B$13),"")</f>
        <v/>
      </c>
      <c r="AE309" s="66" t="str">
        <f aca="false">IF($AB309=Constants!$B$7,IF(Z309,R309*IF(T309, 1, Constants!$B$11)*IF(U309, 1, Constants!$B$12),Constants!$B$13),"")</f>
        <v/>
      </c>
      <c r="AF309" s="66" t="str">
        <f aca="false">IF($AB309=Constants!$B$7,AD309*AE309,"")</f>
        <v/>
      </c>
      <c r="AG309" s="66" t="str">
        <f aca="false">IF($AB309=Constants!$B$7,IF(AA309,V309,Constants!$B$13),"")</f>
        <v/>
      </c>
      <c r="AH309" s="66" t="str">
        <f aca="false">IF($AB309=Constants!$B$7,IF(AA309,R309*IF(W309, 1, Constants!$B$11)*IF(X309, 1, Constants!$B$12),Constants!$B$13),"")</f>
        <v/>
      </c>
      <c r="AI309" s="66" t="str">
        <f aca="false">IF($AB309=Constants!$B$7,AG309*AH309,"")</f>
        <v/>
      </c>
      <c r="AJ309" s="66" t="str">
        <f aca="false">IF($AB309=Constants!$B$7,IF(AI309&gt;AF309,2,1),"")</f>
        <v/>
      </c>
      <c r="AK309" s="66" t="str">
        <f aca="false">IF($AB309=Constants!$B$7,IF(AJ309=1,2,1),"")</f>
        <v/>
      </c>
      <c r="AL309" s="66" t="str">
        <f aca="false">IF(ISBLANK($C309),"",IF($AB309&lt;&gt;Constants!$B$7,$AB309,IF(AJ309=1,AF309,AI309)))</f>
        <v/>
      </c>
      <c r="AM309" s="66" t="str">
        <f aca="false">IF(ISBLANK($C309),"",IF($AB309=Constants!$B$7,IF(ISNUMBER(AL309),RANK(AL309,$AL$8:$AL$507),Constants!$B$14),$AB309))</f>
        <v/>
      </c>
      <c r="AN309" s="66" t="str">
        <f aca="false">IF(ISBLANK($C309),"",IF($AB309=Constants!$B$7,IF(AK309=1,AF309,AI309),""))</f>
        <v/>
      </c>
      <c r="AO309" s="66" t="str">
        <f aca="false">IF(ISBLANK($C309),"",IF($AB309=Constants!$B$7,RANK(AN309,$AN$8:$AN$507),$AB309))</f>
        <v/>
      </c>
      <c r="AP309" s="66" t="str">
        <f aca="false">IF(ISBLANK($C309),"",IF($AB309=Constants!$B$7,IF(ISNUMBER(AM309),COUNTIFS($AM$8:$AM$507,"&lt;"&amp;$AM309)+COUNTIFS($AM$8:$AM$507,$AM309,$AO$8:$AO$507,"&lt;"&amp;$AO309)+1,Constants!$B$14),$AB309))</f>
        <v/>
      </c>
      <c r="AQ309" s="66" t="str">
        <f aca="false">IF(ISBLANK($C309),"",IF($AB309=Constants!$B$7,IF(ISNUMBER(AM309),AM309-AP309,Constants!$B$14),$AB309))</f>
        <v/>
      </c>
      <c r="AR309" s="68"/>
      <c r="AS309" s="69" t="str">
        <f aca="false">IF(ISBLANK($C309),"",IF($AB309&lt;&gt;Constants!$B$7,"",AJ309))</f>
        <v/>
      </c>
      <c r="AT309" s="84" t="str">
        <f aca="false">IF(ISBLANK($C309),"",IF($AB309&lt;&gt;Constants!$B$7,"",IF(AJ309=1,AD309,AG309)))</f>
        <v/>
      </c>
      <c r="AU309" s="71" t="str">
        <f aca="false">IF(ISBLANK($C309),"",IF($AB309&lt;&gt;Constants!$B$7,"",IF(AJ309=1,AE309,AH309)))</f>
        <v/>
      </c>
      <c r="AV309" s="72" t="str">
        <f aca="false">IF(ISBLANK($C309),"",IF($AB309&lt;&gt;Constants!$B$7,$AB309,AL309))</f>
        <v/>
      </c>
      <c r="AW309" s="73" t="str">
        <f aca="false">IF(ISBLANK($C309),"",IF($AB309&lt;&gt;Constants!$B$7,$AB309,AC309))</f>
        <v/>
      </c>
      <c r="AX309" s="74" t="str">
        <f aca="false">IF(ISBLANK($C309),"",AQ309)</f>
        <v/>
      </c>
      <c r="AY309" s="74" t="str">
        <f aca="false">IF(ISBLANK($C309),"",AP309)</f>
        <v/>
      </c>
      <c r="AZ309" s="75" t="str">
        <f aca="false">IF(ISBLANK($C309),"",IF(AY309=Constants!$B$4,COUNTA($C$8:$C$507)+2,IF(AY309=Constants!$B$5,COUNTA($C$8:$C$507)+1,IF(AY309=Constants!$B$6,COUNTA($C$8:$C$507),AY309))))</f>
        <v/>
      </c>
      <c r="BA309" s="5"/>
      <c r="BB309" s="76" t="n">
        <f aca="false">IF(OR(ISNUMBER(AY309),AY309=Constants!$B$4,AY309=Constants!$B$6,AY309=Constants!$B$5),1,0)</f>
        <v>0</v>
      </c>
      <c r="BC309" s="76" t="n">
        <v>302</v>
      </c>
      <c r="BD309" s="76" t="str">
        <f aca="false">IF(ISBLANK($C309),"",IF(ISNUMBER(AZ309),AZ309+ROW($B309)/1000,""))</f>
        <v/>
      </c>
      <c r="BE309" s="76" t="str">
        <f aca="false">IF(ISNUMBER(BD309),RANK(BD309,$BD$8:$BD$507,1),"")</f>
        <v/>
      </c>
      <c r="BF309" s="76" t="str">
        <f aca="false">IF(ISBLANK($C309),"",$B309)</f>
        <v/>
      </c>
      <c r="BG309" s="76" t="str">
        <f aca="false">IF(ISBLANK($C309),"",$C309)</f>
        <v/>
      </c>
      <c r="BH309" s="76" t="str">
        <f aca="false">IF(ISBLANK($C309),"",$D309)</f>
        <v/>
      </c>
      <c r="BI309" s="77" t="str">
        <f aca="false">AW309</f>
        <v/>
      </c>
      <c r="BJ309" s="78" t="str">
        <f aca="false">AV309</f>
        <v/>
      </c>
      <c r="BK309" s="76" t="str">
        <f aca="false">IF(ISBLANK($C309),"",AY309)</f>
        <v/>
      </c>
      <c r="BL309" s="79" t="str">
        <f aca="false">IF($BC309&gt;$BB$7,"",VLOOKUP($BC309,$BE$8:$BK$507,7,FALSE()))</f>
        <v/>
      </c>
      <c r="BM309" s="80" t="str">
        <f aca="false">IF($BC309&gt;$BB$7,"",VLOOKUP($BC309,$BE$8:$BK$507,2,FALSE()))</f>
        <v/>
      </c>
      <c r="BN309" s="80" t="str">
        <f aca="false">IF($BC309&gt;$BB$7,"",VLOOKUP($BC309,$BE$8:$BK$507,3,FALSE()))</f>
        <v/>
      </c>
      <c r="BO309" s="80" t="str">
        <f aca="false">IF($BC309&gt;$BB$7,"",VLOOKUP($BC309,$BE$8:$BK$507,4,FALSE()))</f>
        <v/>
      </c>
      <c r="BP309" s="80" t="str">
        <f aca="false">IF($BC309&gt;$BB$7,"",VLOOKUP($BC309,$BE$8:$BK$507,5,FALSE()))</f>
        <v/>
      </c>
      <c r="BQ309" s="81" t="str">
        <f aca="false">IF($BC309&gt;$BB$7,"",VLOOKUP($BC309,$BE$8:$BK$507,6,FALSE()))</f>
        <v/>
      </c>
      <c r="BR309" s="54"/>
    </row>
    <row r="310" customFormat="false" ht="15.75" hidden="false" customHeight="false" outlineLevel="0" collapsed="false">
      <c r="A310" s="5"/>
      <c r="B310" s="124"/>
      <c r="C310" s="56"/>
      <c r="D310" s="57"/>
      <c r="E310" s="83"/>
      <c r="F310" s="59"/>
      <c r="G310" s="60"/>
      <c r="H310" s="61"/>
      <c r="I310" s="62"/>
      <c r="J310" s="59"/>
      <c r="K310" s="60"/>
      <c r="L310" s="61"/>
      <c r="M310" s="62"/>
      <c r="N310" s="59"/>
      <c r="O310" s="83"/>
      <c r="P310" s="64"/>
      <c r="Q310" s="66" t="str">
        <f aca="false">IF(ISBLANK($C310),"",IF(E310=Constants!$B$2, TRUE(), IF(E310=Constants!$B$3, FALSE(), TRUE())))</f>
        <v/>
      </c>
      <c r="R310" s="66" t="str">
        <f aca="false">IF(ISBLANK($C310),"",IF(F310=Constants!$B$16,Constants!$B$9,IF(F310=Constants!$B$17,Constants!$B$10,Constants!$B$8)))</f>
        <v/>
      </c>
      <c r="S310" s="66" t="str">
        <f aca="false">IF(ISBLANK($C310),"",IF(COUNTA(G310:H310)=0,"",IF(AND(OR(ISBLANK(G310),AND(ISNUMBER(G310),G310&gt;=0)),OR(ISBLANK(H310),AND(ISNUMBER(H310),H310&gt;=0))),60*IF(ISBLANK(G310),0,G310)+IF(ISBLANK(H310),0,H310),"")))</f>
        <v/>
      </c>
      <c r="T310" s="66" t="str">
        <f aca="false">IF(ISBLANK($C310),"",IF(I310=Constants!$B$2, TRUE(), IF(I310=Constants!$B$3, FALSE(), TRUE())))</f>
        <v/>
      </c>
      <c r="U310" s="66" t="str">
        <f aca="false">IF(ISBLANK($C310),"",IF(J310=Constants!$B$2, TRUE(), IF(J310=Constants!$B$3, FALSE(), TRUE())))</f>
        <v/>
      </c>
      <c r="V310" s="66" t="str">
        <f aca="false">IF(ISBLANK($C310),"",IF(COUNTA(K310:L310)=0,"",IF(AND(OR(ISBLANK(K310),AND(ISNUMBER(K310),K310&gt;=0)),OR(ISBLANK(L310),AND(ISNUMBER(L310),L310&gt;=0))),60*IF(ISBLANK(K310),0,K310)+IF(ISBLANK(L310),0,L310),"")))</f>
        <v/>
      </c>
      <c r="W310" s="66" t="str">
        <f aca="false">IF(ISBLANK($C310),"",IF(M310=Constants!$B$2, TRUE(), IF(M310=Constants!$B$3, FALSE(), TRUE())))</f>
        <v/>
      </c>
      <c r="X310" s="66" t="str">
        <f aca="false">IF(ISBLANK($C310),"",IF(N310=Constants!$B$2, TRUE(), IF(N310=Constants!$B$3, FALSE(), TRUE())))</f>
        <v/>
      </c>
      <c r="Y310" s="66" t="str">
        <f aca="false">IF(ISBLANK($C310),"",IF(O310=Constants!$B$2, TRUE(), IF(O310=Constants!$B$3, FALSE(), FALSE())))</f>
        <v/>
      </c>
      <c r="Z310" s="66" t="str">
        <f aca="false">IF(ISBLANK($C310),"",AND(S310&lt;&gt;"",Q310))</f>
        <v/>
      </c>
      <c r="AA310" s="66" t="str">
        <f aca="false">IF(ISBLANK($C310),"",AND(V310&lt;&gt;"",Q310))</f>
        <v/>
      </c>
      <c r="AB310" s="66" t="str">
        <f aca="false">IF(ISBLANK($C310),"",IF(Y310,Constants!$B$4,IF(COUNTA(E310:N310)=0,Constants!$B$5,IF(NOT(Q310),Constants!$B$6,IF(AND(NOT(Z310),NOT(AA310)),Constants!$B$6,Constants!$B$7)))))</f>
        <v/>
      </c>
      <c r="AC310" s="66" t="str">
        <f aca="false">IF(ISBLANK($C310),"",IF($AB310&lt;&gt;Constants!$B$7,$AB310,Constants!$B$20))</f>
        <v/>
      </c>
      <c r="AD310" s="66" t="str">
        <f aca="false">IF($AB310=Constants!$B$7,IF(Z310,S310,Constants!$B$13),"")</f>
        <v/>
      </c>
      <c r="AE310" s="66" t="str">
        <f aca="false">IF($AB310=Constants!$B$7,IF(Z310,R310*IF(T310, 1, Constants!$B$11)*IF(U310, 1, Constants!$B$12),Constants!$B$13),"")</f>
        <v/>
      </c>
      <c r="AF310" s="66" t="str">
        <f aca="false">IF($AB310=Constants!$B$7,AD310*AE310,"")</f>
        <v/>
      </c>
      <c r="AG310" s="66" t="str">
        <f aca="false">IF($AB310=Constants!$B$7,IF(AA310,V310,Constants!$B$13),"")</f>
        <v/>
      </c>
      <c r="AH310" s="66" t="str">
        <f aca="false">IF($AB310=Constants!$B$7,IF(AA310,R310*IF(W310, 1, Constants!$B$11)*IF(X310, 1, Constants!$B$12),Constants!$B$13),"")</f>
        <v/>
      </c>
      <c r="AI310" s="66" t="str">
        <f aca="false">IF($AB310=Constants!$B$7,AG310*AH310,"")</f>
        <v/>
      </c>
      <c r="AJ310" s="66" t="str">
        <f aca="false">IF($AB310=Constants!$B$7,IF(AI310&gt;AF310,2,1),"")</f>
        <v/>
      </c>
      <c r="AK310" s="66" t="str">
        <f aca="false">IF($AB310=Constants!$B$7,IF(AJ310=1,2,1),"")</f>
        <v/>
      </c>
      <c r="AL310" s="66" t="str">
        <f aca="false">IF(ISBLANK($C310),"",IF($AB310&lt;&gt;Constants!$B$7,$AB310,IF(AJ310=1,AF310,AI310)))</f>
        <v/>
      </c>
      <c r="AM310" s="66" t="str">
        <f aca="false">IF(ISBLANK($C310),"",IF($AB310=Constants!$B$7,IF(ISNUMBER(AL310),RANK(AL310,$AL$8:$AL$507),Constants!$B$14),$AB310))</f>
        <v/>
      </c>
      <c r="AN310" s="66" t="str">
        <f aca="false">IF(ISBLANK($C310),"",IF($AB310=Constants!$B$7,IF(AK310=1,AF310,AI310),""))</f>
        <v/>
      </c>
      <c r="AO310" s="66" t="str">
        <f aca="false">IF(ISBLANK($C310),"",IF($AB310=Constants!$B$7,RANK(AN310,$AN$8:$AN$507),$AB310))</f>
        <v/>
      </c>
      <c r="AP310" s="66" t="str">
        <f aca="false">IF(ISBLANK($C310),"",IF($AB310=Constants!$B$7,IF(ISNUMBER(AM310),COUNTIFS($AM$8:$AM$507,"&lt;"&amp;$AM310)+COUNTIFS($AM$8:$AM$507,$AM310,$AO$8:$AO$507,"&lt;"&amp;$AO310)+1,Constants!$B$14),$AB310))</f>
        <v/>
      </c>
      <c r="AQ310" s="66" t="str">
        <f aca="false">IF(ISBLANK($C310),"",IF($AB310=Constants!$B$7,IF(ISNUMBER(AM310),AM310-AP310,Constants!$B$14),$AB310))</f>
        <v/>
      </c>
      <c r="AR310" s="68"/>
      <c r="AS310" s="69" t="str">
        <f aca="false">IF(ISBLANK($C310),"",IF($AB310&lt;&gt;Constants!$B$7,"",AJ310))</f>
        <v/>
      </c>
      <c r="AT310" s="84" t="str">
        <f aca="false">IF(ISBLANK($C310),"",IF($AB310&lt;&gt;Constants!$B$7,"",IF(AJ310=1,AD310,AG310)))</f>
        <v/>
      </c>
      <c r="AU310" s="71" t="str">
        <f aca="false">IF(ISBLANK($C310),"",IF($AB310&lt;&gt;Constants!$B$7,"",IF(AJ310=1,AE310,AH310)))</f>
        <v/>
      </c>
      <c r="AV310" s="72" t="str">
        <f aca="false">IF(ISBLANK($C310),"",IF($AB310&lt;&gt;Constants!$B$7,$AB310,AL310))</f>
        <v/>
      </c>
      <c r="AW310" s="73" t="str">
        <f aca="false">IF(ISBLANK($C310),"",IF($AB310&lt;&gt;Constants!$B$7,$AB310,AC310))</f>
        <v/>
      </c>
      <c r="AX310" s="74" t="str">
        <f aca="false">IF(ISBLANK($C310),"",AQ310)</f>
        <v/>
      </c>
      <c r="AY310" s="74" t="str">
        <f aca="false">IF(ISBLANK($C310),"",AP310)</f>
        <v/>
      </c>
      <c r="AZ310" s="75" t="str">
        <f aca="false">IF(ISBLANK($C310),"",IF(AY310=Constants!$B$4,COUNTA($C$8:$C$507)+2,IF(AY310=Constants!$B$5,COUNTA($C$8:$C$507)+1,IF(AY310=Constants!$B$6,COUNTA($C$8:$C$507),AY310))))</f>
        <v/>
      </c>
      <c r="BA310" s="5"/>
      <c r="BB310" s="76" t="n">
        <f aca="false">IF(OR(ISNUMBER(AY310),AY310=Constants!$B$4,AY310=Constants!$B$6,AY310=Constants!$B$5),1,0)</f>
        <v>0</v>
      </c>
      <c r="BC310" s="76" t="n">
        <v>303</v>
      </c>
      <c r="BD310" s="76" t="str">
        <f aca="false">IF(ISBLANK($C310),"",IF(ISNUMBER(AZ310),AZ310+ROW($B310)/1000,""))</f>
        <v/>
      </c>
      <c r="BE310" s="76" t="str">
        <f aca="false">IF(ISNUMBER(BD310),RANK(BD310,$BD$8:$BD$507,1),"")</f>
        <v/>
      </c>
      <c r="BF310" s="76" t="str">
        <f aca="false">IF(ISBLANK($C310),"",$B310)</f>
        <v/>
      </c>
      <c r="BG310" s="76" t="str">
        <f aca="false">IF(ISBLANK($C310),"",$C310)</f>
        <v/>
      </c>
      <c r="BH310" s="76" t="str">
        <f aca="false">IF(ISBLANK($C310),"",$D310)</f>
        <v/>
      </c>
      <c r="BI310" s="77" t="str">
        <f aca="false">AW310</f>
        <v/>
      </c>
      <c r="BJ310" s="78" t="str">
        <f aca="false">AV310</f>
        <v/>
      </c>
      <c r="BK310" s="76" t="str">
        <f aca="false">IF(ISBLANK($C310),"",AY310)</f>
        <v/>
      </c>
      <c r="BL310" s="79" t="str">
        <f aca="false">IF($BC310&gt;$BB$7,"",VLOOKUP($BC310,$BE$8:$BK$507,7,FALSE()))</f>
        <v/>
      </c>
      <c r="BM310" s="80" t="str">
        <f aca="false">IF($BC310&gt;$BB$7,"",VLOOKUP($BC310,$BE$8:$BK$507,2,FALSE()))</f>
        <v/>
      </c>
      <c r="BN310" s="80" t="str">
        <f aca="false">IF($BC310&gt;$BB$7,"",VLOOKUP($BC310,$BE$8:$BK$507,3,FALSE()))</f>
        <v/>
      </c>
      <c r="BO310" s="80" t="str">
        <f aca="false">IF($BC310&gt;$BB$7,"",VLOOKUP($BC310,$BE$8:$BK$507,4,FALSE()))</f>
        <v/>
      </c>
      <c r="BP310" s="80" t="str">
        <f aca="false">IF($BC310&gt;$BB$7,"",VLOOKUP($BC310,$BE$8:$BK$507,5,FALSE()))</f>
        <v/>
      </c>
      <c r="BQ310" s="81" t="str">
        <f aca="false">IF($BC310&gt;$BB$7,"",VLOOKUP($BC310,$BE$8:$BK$507,6,FALSE()))</f>
        <v/>
      </c>
      <c r="BR310" s="54"/>
    </row>
    <row r="311" customFormat="false" ht="15.75" hidden="false" customHeight="false" outlineLevel="0" collapsed="false">
      <c r="A311" s="5"/>
      <c r="B311" s="120"/>
      <c r="C311" s="121"/>
      <c r="D311" s="112"/>
      <c r="E311" s="123"/>
      <c r="F311" s="91"/>
      <c r="G311" s="92"/>
      <c r="H311" s="93"/>
      <c r="I311" s="94"/>
      <c r="J311" s="91"/>
      <c r="K311" s="92"/>
      <c r="L311" s="93"/>
      <c r="M311" s="94"/>
      <c r="N311" s="91"/>
      <c r="O311" s="123"/>
      <c r="P311" s="96"/>
      <c r="Q311" s="97" t="str">
        <f aca="false">IF(ISBLANK($C311),"",IF(E311=Constants!$B$2, TRUE(), IF(E311=Constants!$B$3, FALSE(), TRUE())))</f>
        <v/>
      </c>
      <c r="R311" s="97" t="str">
        <f aca="false">IF(ISBLANK($C311),"",IF(F311=Constants!$B$16,Constants!$B$9,IF(F311=Constants!$B$17,Constants!$B$10,Constants!$B$8)))</f>
        <v/>
      </c>
      <c r="S311" s="97" t="str">
        <f aca="false">IF(ISBLANK($C311),"",IF(COUNTA(G311:H311)=0,"",IF(AND(OR(ISBLANK(G311),AND(ISNUMBER(G311),G311&gt;=0)),OR(ISBLANK(H311),AND(ISNUMBER(H311),H311&gt;=0))),60*IF(ISBLANK(G311),0,G311)+IF(ISBLANK(H311),0,H311),"")))</f>
        <v/>
      </c>
      <c r="T311" s="97" t="str">
        <f aca="false">IF(ISBLANK($C311),"",IF(I311=Constants!$B$2, TRUE(), IF(I311=Constants!$B$3, FALSE(), TRUE())))</f>
        <v/>
      </c>
      <c r="U311" s="97" t="str">
        <f aca="false">IF(ISBLANK($C311),"",IF(J311=Constants!$B$2, TRUE(), IF(J311=Constants!$B$3, FALSE(), TRUE())))</f>
        <v/>
      </c>
      <c r="V311" s="97" t="str">
        <f aca="false">IF(ISBLANK($C311),"",IF(COUNTA(K311:L311)=0,"",IF(AND(OR(ISBLANK(K311),AND(ISNUMBER(K311),K311&gt;=0)),OR(ISBLANK(L311),AND(ISNUMBER(L311),L311&gt;=0))),60*IF(ISBLANK(K311),0,K311)+IF(ISBLANK(L311),0,L311),"")))</f>
        <v/>
      </c>
      <c r="W311" s="97" t="str">
        <f aca="false">IF(ISBLANK($C311),"",IF(M311=Constants!$B$2, TRUE(), IF(M311=Constants!$B$3, FALSE(), TRUE())))</f>
        <v/>
      </c>
      <c r="X311" s="97" t="str">
        <f aca="false">IF(ISBLANK($C311),"",IF(N311=Constants!$B$2, TRUE(), IF(N311=Constants!$B$3, FALSE(), TRUE())))</f>
        <v/>
      </c>
      <c r="Y311" s="97" t="str">
        <f aca="false">IF(ISBLANK($C311),"",IF(O311=Constants!$B$2, TRUE(), IF(O311=Constants!$B$3, FALSE(), FALSE())))</f>
        <v/>
      </c>
      <c r="Z311" s="97" t="str">
        <f aca="false">IF(ISBLANK($C311),"",AND(S311&lt;&gt;"",Q311))</f>
        <v/>
      </c>
      <c r="AA311" s="97" t="str">
        <f aca="false">IF(ISBLANK($C311),"",AND(V311&lt;&gt;"",Q311))</f>
        <v/>
      </c>
      <c r="AB311" s="97" t="str">
        <f aca="false">IF(ISBLANK($C311),"",IF(Y311,Constants!$B$4,IF(COUNTA(E311:N311)=0,Constants!$B$5,IF(NOT(Q311),Constants!$B$6,IF(AND(NOT(Z311),NOT(AA311)),Constants!$B$6,Constants!$B$7)))))</f>
        <v/>
      </c>
      <c r="AC311" s="97" t="str">
        <f aca="false">IF(ISBLANK($C311),"",IF($AB311&lt;&gt;Constants!$B$7,$AB311,Constants!$B$20))</f>
        <v/>
      </c>
      <c r="AD311" s="97" t="str">
        <f aca="false">IF($AB311=Constants!$B$7,IF(Z311,S311,Constants!$B$13),"")</f>
        <v/>
      </c>
      <c r="AE311" s="97" t="str">
        <f aca="false">IF($AB311=Constants!$B$7,IF(Z311,R311*IF(T311, 1, Constants!$B$11)*IF(U311, 1, Constants!$B$12),Constants!$B$13),"")</f>
        <v/>
      </c>
      <c r="AF311" s="97" t="str">
        <f aca="false">IF($AB311=Constants!$B$7,AD311*AE311,"")</f>
        <v/>
      </c>
      <c r="AG311" s="97" t="str">
        <f aca="false">IF($AB311=Constants!$B$7,IF(AA311,V311,Constants!$B$13),"")</f>
        <v/>
      </c>
      <c r="AH311" s="97" t="str">
        <f aca="false">IF($AB311=Constants!$B$7,IF(AA311,R311*IF(W311, 1, Constants!$B$11)*IF(X311, 1, Constants!$B$12),Constants!$B$13),"")</f>
        <v/>
      </c>
      <c r="AI311" s="97" t="str">
        <f aca="false">IF($AB311=Constants!$B$7,AG311*AH311,"")</f>
        <v/>
      </c>
      <c r="AJ311" s="97" t="str">
        <f aca="false">IF($AB311=Constants!$B$7,IF(AI311&gt;AF311,2,1),"")</f>
        <v/>
      </c>
      <c r="AK311" s="97" t="str">
        <f aca="false">IF($AB311=Constants!$B$7,IF(AJ311=1,2,1),"")</f>
        <v/>
      </c>
      <c r="AL311" s="97" t="str">
        <f aca="false">IF(ISBLANK($C311),"",IF($AB311&lt;&gt;Constants!$B$7,$AB311,IF(AJ311=1,AF311,AI311)))</f>
        <v/>
      </c>
      <c r="AM311" s="97" t="str">
        <f aca="false">IF(ISBLANK($C311),"",IF($AB311=Constants!$B$7,IF(ISNUMBER(AL311),RANK(AL311,$AL$8:$AL$507),Constants!$B$14),$AB311))</f>
        <v/>
      </c>
      <c r="AN311" s="97" t="str">
        <f aca="false">IF(ISBLANK($C311),"",IF($AB311=Constants!$B$7,IF(AK311=1,AF311,AI311),""))</f>
        <v/>
      </c>
      <c r="AO311" s="97" t="str">
        <f aca="false">IF(ISBLANK($C311),"",IF($AB311=Constants!$B$7,RANK(AN311,$AN$8:$AN$507),$AB311))</f>
        <v/>
      </c>
      <c r="AP311" s="97" t="str">
        <f aca="false">IF(ISBLANK($C311),"",IF($AB311=Constants!$B$7,IF(ISNUMBER(AM311),COUNTIFS($AM$8:$AM$507,"&lt;"&amp;$AM311)+COUNTIFS($AM$8:$AM$507,$AM311,$AO$8:$AO$507,"&lt;"&amp;$AO311)+1,Constants!$B$14),$AB311))</f>
        <v/>
      </c>
      <c r="AQ311" s="97" t="str">
        <f aca="false">IF(ISBLANK($C311),"",IF($AB311=Constants!$B$7,IF(ISNUMBER(AM311),AM311-AP311,Constants!$B$14),$AB311))</f>
        <v/>
      </c>
      <c r="AR311" s="98"/>
      <c r="AS311" s="99" t="str">
        <f aca="false">IF(ISBLANK($C311),"",IF($AB311&lt;&gt;Constants!$B$7,"",AJ311))</f>
        <v/>
      </c>
      <c r="AT311" s="100" t="str">
        <f aca="false">IF(ISBLANK($C311),"",IF($AB311&lt;&gt;Constants!$B$7,"",IF(AJ311=1,AD311,AG311)))</f>
        <v/>
      </c>
      <c r="AU311" s="101" t="str">
        <f aca="false">IF(ISBLANK($C311),"",IF($AB311&lt;&gt;Constants!$B$7,"",IF(AJ311=1,AE311,AH311)))</f>
        <v/>
      </c>
      <c r="AV311" s="102" t="str">
        <f aca="false">IF(ISBLANK($C311),"",IF($AB311&lt;&gt;Constants!$B$7,$AB311,AL311))</f>
        <v/>
      </c>
      <c r="AW311" s="103" t="str">
        <f aca="false">IF(ISBLANK($C311),"",IF($AB311&lt;&gt;Constants!$B$7,$AB311,AC311))</f>
        <v/>
      </c>
      <c r="AX311" s="104" t="str">
        <f aca="false">IF(ISBLANK($C311),"",AQ311)</f>
        <v/>
      </c>
      <c r="AY311" s="104" t="str">
        <f aca="false">IF(ISBLANK($C311),"",AP311)</f>
        <v/>
      </c>
      <c r="AZ311" s="105" t="str">
        <f aca="false">IF(ISBLANK($C311),"",IF(AY311=Constants!$B$4,COUNTA($C$8:$C$507)+2,IF(AY311=Constants!$B$5,COUNTA($C$8:$C$507)+1,IF(AY311=Constants!$B$6,COUNTA($C$8:$C$507),AY311))))</f>
        <v/>
      </c>
      <c r="BA311" s="5"/>
      <c r="BB311" s="106" t="n">
        <f aca="false">IF(OR(ISNUMBER(AY311),AY311=Constants!$B$4,AY311=Constants!$B$6,AY311=Constants!$B$5),1,0)</f>
        <v>0</v>
      </c>
      <c r="BC311" s="106" t="n">
        <v>304</v>
      </c>
      <c r="BD311" s="106" t="str">
        <f aca="false">IF(ISBLANK($C311),"",IF(ISNUMBER(AZ311),AZ311+ROW($B311)/1000,""))</f>
        <v/>
      </c>
      <c r="BE311" s="106" t="str">
        <f aca="false">IF(ISNUMBER(BD311),RANK(BD311,$BD$8:$BD$507,1),"")</f>
        <v/>
      </c>
      <c r="BF311" s="106" t="str">
        <f aca="false">IF(ISBLANK($C311),"",$B311)</f>
        <v/>
      </c>
      <c r="BG311" s="106" t="str">
        <f aca="false">IF(ISBLANK($C311),"",$C311)</f>
        <v/>
      </c>
      <c r="BH311" s="106" t="str">
        <f aca="false">IF(ISBLANK($C311),"",$D311)</f>
        <v/>
      </c>
      <c r="BI311" s="107" t="str">
        <f aca="false">AW311</f>
        <v/>
      </c>
      <c r="BJ311" s="108" t="str">
        <f aca="false">AV311</f>
        <v/>
      </c>
      <c r="BK311" s="106" t="str">
        <f aca="false">IF(ISBLANK($C311),"",AY311)</f>
        <v/>
      </c>
      <c r="BL311" s="109" t="str">
        <f aca="false">IF($BC311&gt;$BB$7,"",VLOOKUP($BC311,$BE$8:$BK$507,7,FALSE()))</f>
        <v/>
      </c>
      <c r="BM311" s="110" t="str">
        <f aca="false">IF($BC311&gt;$BB$7,"",VLOOKUP($BC311,$BE$8:$BK$507,2,FALSE()))</f>
        <v/>
      </c>
      <c r="BN311" s="110" t="str">
        <f aca="false">IF($BC311&gt;$BB$7,"",VLOOKUP($BC311,$BE$8:$BK$507,3,FALSE()))</f>
        <v/>
      </c>
      <c r="BO311" s="110" t="str">
        <f aca="false">IF($BC311&gt;$BB$7,"",VLOOKUP($BC311,$BE$8:$BK$507,4,FALSE()))</f>
        <v/>
      </c>
      <c r="BP311" s="110" t="str">
        <f aca="false">IF($BC311&gt;$BB$7,"",VLOOKUP($BC311,$BE$8:$BK$507,5,FALSE()))</f>
        <v/>
      </c>
      <c r="BQ311" s="111" t="str">
        <f aca="false">IF($BC311&gt;$BB$7,"",VLOOKUP($BC311,$BE$8:$BK$507,6,FALSE()))</f>
        <v/>
      </c>
      <c r="BR311" s="54"/>
    </row>
    <row r="312" customFormat="false" ht="15.75" hidden="false" customHeight="false" outlineLevel="0" collapsed="false">
      <c r="A312" s="5"/>
      <c r="B312" s="120"/>
      <c r="C312" s="121"/>
      <c r="D312" s="112"/>
      <c r="E312" s="123"/>
      <c r="F312" s="91"/>
      <c r="G312" s="92"/>
      <c r="H312" s="93"/>
      <c r="I312" s="94"/>
      <c r="J312" s="91"/>
      <c r="K312" s="92"/>
      <c r="L312" s="93"/>
      <c r="M312" s="94"/>
      <c r="N312" s="91"/>
      <c r="O312" s="123"/>
      <c r="P312" s="96"/>
      <c r="Q312" s="97" t="str">
        <f aca="false">IF(ISBLANK($C312),"",IF(E312=Constants!$B$2, TRUE(), IF(E312=Constants!$B$3, FALSE(), TRUE())))</f>
        <v/>
      </c>
      <c r="R312" s="97" t="str">
        <f aca="false">IF(ISBLANK($C312),"",IF(F312=Constants!$B$16,Constants!$B$9,IF(F312=Constants!$B$17,Constants!$B$10,Constants!$B$8)))</f>
        <v/>
      </c>
      <c r="S312" s="97" t="str">
        <f aca="false">IF(ISBLANK($C312),"",IF(COUNTA(G312:H312)=0,"",IF(AND(OR(ISBLANK(G312),AND(ISNUMBER(G312),G312&gt;=0)),OR(ISBLANK(H312),AND(ISNUMBER(H312),H312&gt;=0))),60*IF(ISBLANK(G312),0,G312)+IF(ISBLANK(H312),0,H312),"")))</f>
        <v/>
      </c>
      <c r="T312" s="97" t="str">
        <f aca="false">IF(ISBLANK($C312),"",IF(I312=Constants!$B$2, TRUE(), IF(I312=Constants!$B$3, FALSE(), TRUE())))</f>
        <v/>
      </c>
      <c r="U312" s="97" t="str">
        <f aca="false">IF(ISBLANK($C312),"",IF(J312=Constants!$B$2, TRUE(), IF(J312=Constants!$B$3, FALSE(), TRUE())))</f>
        <v/>
      </c>
      <c r="V312" s="97" t="str">
        <f aca="false">IF(ISBLANK($C312),"",IF(COUNTA(K312:L312)=0,"",IF(AND(OR(ISBLANK(K312),AND(ISNUMBER(K312),K312&gt;=0)),OR(ISBLANK(L312),AND(ISNUMBER(L312),L312&gt;=0))),60*IF(ISBLANK(K312),0,K312)+IF(ISBLANK(L312),0,L312),"")))</f>
        <v/>
      </c>
      <c r="W312" s="97" t="str">
        <f aca="false">IF(ISBLANK($C312),"",IF(M312=Constants!$B$2, TRUE(), IF(M312=Constants!$B$3, FALSE(), TRUE())))</f>
        <v/>
      </c>
      <c r="X312" s="97" t="str">
        <f aca="false">IF(ISBLANK($C312),"",IF(N312=Constants!$B$2, TRUE(), IF(N312=Constants!$B$3, FALSE(), TRUE())))</f>
        <v/>
      </c>
      <c r="Y312" s="97" t="str">
        <f aca="false">IF(ISBLANK($C312),"",IF(O312=Constants!$B$2, TRUE(), IF(O312=Constants!$B$3, FALSE(), FALSE())))</f>
        <v/>
      </c>
      <c r="Z312" s="97" t="str">
        <f aca="false">IF(ISBLANK($C312),"",AND(S312&lt;&gt;"",Q312))</f>
        <v/>
      </c>
      <c r="AA312" s="97" t="str">
        <f aca="false">IF(ISBLANK($C312),"",AND(V312&lt;&gt;"",Q312))</f>
        <v/>
      </c>
      <c r="AB312" s="97" t="str">
        <f aca="false">IF(ISBLANK($C312),"",IF(Y312,Constants!$B$4,IF(COUNTA(E312:N312)=0,Constants!$B$5,IF(NOT(Q312),Constants!$B$6,IF(AND(NOT(Z312),NOT(AA312)),Constants!$B$6,Constants!$B$7)))))</f>
        <v/>
      </c>
      <c r="AC312" s="97" t="str">
        <f aca="false">IF(ISBLANK($C312),"",IF($AB312&lt;&gt;Constants!$B$7,$AB312,Constants!$B$20))</f>
        <v/>
      </c>
      <c r="AD312" s="97" t="str">
        <f aca="false">IF($AB312=Constants!$B$7,IF(Z312,S312,Constants!$B$13),"")</f>
        <v/>
      </c>
      <c r="AE312" s="97" t="str">
        <f aca="false">IF($AB312=Constants!$B$7,IF(Z312,R312*IF(T312, 1, Constants!$B$11)*IF(U312, 1, Constants!$B$12),Constants!$B$13),"")</f>
        <v/>
      </c>
      <c r="AF312" s="97" t="str">
        <f aca="false">IF($AB312=Constants!$B$7,AD312*AE312,"")</f>
        <v/>
      </c>
      <c r="AG312" s="97" t="str">
        <f aca="false">IF($AB312=Constants!$B$7,IF(AA312,V312,Constants!$B$13),"")</f>
        <v/>
      </c>
      <c r="AH312" s="97" t="str">
        <f aca="false">IF($AB312=Constants!$B$7,IF(AA312,R312*IF(W312, 1, Constants!$B$11)*IF(X312, 1, Constants!$B$12),Constants!$B$13),"")</f>
        <v/>
      </c>
      <c r="AI312" s="97" t="str">
        <f aca="false">IF($AB312=Constants!$B$7,AG312*AH312,"")</f>
        <v/>
      </c>
      <c r="AJ312" s="97" t="str">
        <f aca="false">IF($AB312=Constants!$B$7,IF(AI312&gt;AF312,2,1),"")</f>
        <v/>
      </c>
      <c r="AK312" s="97" t="str">
        <f aca="false">IF($AB312=Constants!$B$7,IF(AJ312=1,2,1),"")</f>
        <v/>
      </c>
      <c r="AL312" s="97" t="str">
        <f aca="false">IF(ISBLANK($C312),"",IF($AB312&lt;&gt;Constants!$B$7,$AB312,IF(AJ312=1,AF312,AI312)))</f>
        <v/>
      </c>
      <c r="AM312" s="97" t="str">
        <f aca="false">IF(ISBLANK($C312),"",IF($AB312=Constants!$B$7,IF(ISNUMBER(AL312),RANK(AL312,$AL$8:$AL$507),Constants!$B$14),$AB312))</f>
        <v/>
      </c>
      <c r="AN312" s="97" t="str">
        <f aca="false">IF(ISBLANK($C312),"",IF($AB312=Constants!$B$7,IF(AK312=1,AF312,AI312),""))</f>
        <v/>
      </c>
      <c r="AO312" s="97" t="str">
        <f aca="false">IF(ISBLANK($C312),"",IF($AB312=Constants!$B$7,RANK(AN312,$AN$8:$AN$507),$AB312))</f>
        <v/>
      </c>
      <c r="AP312" s="97" t="str">
        <f aca="false">IF(ISBLANK($C312),"",IF($AB312=Constants!$B$7,IF(ISNUMBER(AM312),COUNTIFS($AM$8:$AM$507,"&lt;"&amp;$AM312)+COUNTIFS($AM$8:$AM$507,$AM312,$AO$8:$AO$507,"&lt;"&amp;$AO312)+1,Constants!$B$14),$AB312))</f>
        <v/>
      </c>
      <c r="AQ312" s="97" t="str">
        <f aca="false">IF(ISBLANK($C312),"",IF($AB312=Constants!$B$7,IF(ISNUMBER(AM312),AM312-AP312,Constants!$B$14),$AB312))</f>
        <v/>
      </c>
      <c r="AR312" s="98"/>
      <c r="AS312" s="99" t="str">
        <f aca="false">IF(ISBLANK($C312),"",IF($AB312&lt;&gt;Constants!$B$7,"",AJ312))</f>
        <v/>
      </c>
      <c r="AT312" s="100" t="str">
        <f aca="false">IF(ISBLANK($C312),"",IF($AB312&lt;&gt;Constants!$B$7,"",IF(AJ312=1,AD312,AG312)))</f>
        <v/>
      </c>
      <c r="AU312" s="101" t="str">
        <f aca="false">IF(ISBLANK($C312),"",IF($AB312&lt;&gt;Constants!$B$7,"",IF(AJ312=1,AE312,AH312)))</f>
        <v/>
      </c>
      <c r="AV312" s="102" t="str">
        <f aca="false">IF(ISBLANK($C312),"",IF($AB312&lt;&gt;Constants!$B$7,$AB312,AL312))</f>
        <v/>
      </c>
      <c r="AW312" s="103" t="str">
        <f aca="false">IF(ISBLANK($C312),"",IF($AB312&lt;&gt;Constants!$B$7,$AB312,AC312))</f>
        <v/>
      </c>
      <c r="AX312" s="104" t="str">
        <f aca="false">IF(ISBLANK($C312),"",AQ312)</f>
        <v/>
      </c>
      <c r="AY312" s="104" t="str">
        <f aca="false">IF(ISBLANK($C312),"",AP312)</f>
        <v/>
      </c>
      <c r="AZ312" s="105" t="str">
        <f aca="false">IF(ISBLANK($C312),"",IF(AY312=Constants!$B$4,COUNTA($C$8:$C$507)+2,IF(AY312=Constants!$B$5,COUNTA($C$8:$C$507)+1,IF(AY312=Constants!$B$6,COUNTA($C$8:$C$507),AY312))))</f>
        <v/>
      </c>
      <c r="BA312" s="5"/>
      <c r="BB312" s="106" t="n">
        <f aca="false">IF(OR(ISNUMBER(AY312),AY312=Constants!$B$4,AY312=Constants!$B$6,AY312=Constants!$B$5),1,0)</f>
        <v>0</v>
      </c>
      <c r="BC312" s="106" t="n">
        <v>305</v>
      </c>
      <c r="BD312" s="106" t="str">
        <f aca="false">IF(ISBLANK($C312),"",IF(ISNUMBER(AZ312),AZ312+ROW($B312)/1000,""))</f>
        <v/>
      </c>
      <c r="BE312" s="106" t="str">
        <f aca="false">IF(ISNUMBER(BD312),RANK(BD312,$BD$8:$BD$507,1),"")</f>
        <v/>
      </c>
      <c r="BF312" s="106" t="str">
        <f aca="false">IF(ISBLANK($C312),"",$B312)</f>
        <v/>
      </c>
      <c r="BG312" s="106" t="str">
        <f aca="false">IF(ISBLANK($C312),"",$C312)</f>
        <v/>
      </c>
      <c r="BH312" s="106" t="str">
        <f aca="false">IF(ISBLANK($C312),"",$D312)</f>
        <v/>
      </c>
      <c r="BI312" s="107" t="str">
        <f aca="false">AW312</f>
        <v/>
      </c>
      <c r="BJ312" s="108" t="str">
        <f aca="false">AV312</f>
        <v/>
      </c>
      <c r="BK312" s="106" t="str">
        <f aca="false">IF(ISBLANK($C312),"",AY312)</f>
        <v/>
      </c>
      <c r="BL312" s="109" t="str">
        <f aca="false">IF($BC312&gt;$BB$7,"",VLOOKUP($BC312,$BE$8:$BK$507,7,FALSE()))</f>
        <v/>
      </c>
      <c r="BM312" s="110" t="str">
        <f aca="false">IF($BC312&gt;$BB$7,"",VLOOKUP($BC312,$BE$8:$BK$507,2,FALSE()))</f>
        <v/>
      </c>
      <c r="BN312" s="110" t="str">
        <f aca="false">IF($BC312&gt;$BB$7,"",VLOOKUP($BC312,$BE$8:$BK$507,3,FALSE()))</f>
        <v/>
      </c>
      <c r="BO312" s="110" t="str">
        <f aca="false">IF($BC312&gt;$BB$7,"",VLOOKUP($BC312,$BE$8:$BK$507,4,FALSE()))</f>
        <v/>
      </c>
      <c r="BP312" s="110" t="str">
        <f aca="false">IF($BC312&gt;$BB$7,"",VLOOKUP($BC312,$BE$8:$BK$507,5,FALSE()))</f>
        <v/>
      </c>
      <c r="BQ312" s="111" t="str">
        <f aca="false">IF($BC312&gt;$BB$7,"",VLOOKUP($BC312,$BE$8:$BK$507,6,FALSE()))</f>
        <v/>
      </c>
      <c r="BR312" s="54"/>
    </row>
    <row r="313" customFormat="false" ht="15.75" hidden="false" customHeight="false" outlineLevel="0" collapsed="false">
      <c r="A313" s="5"/>
      <c r="B313" s="120"/>
      <c r="C313" s="121"/>
      <c r="D313" s="112"/>
      <c r="E313" s="123"/>
      <c r="F313" s="91"/>
      <c r="G313" s="92"/>
      <c r="H313" s="93"/>
      <c r="I313" s="94"/>
      <c r="J313" s="91"/>
      <c r="K313" s="92"/>
      <c r="L313" s="93"/>
      <c r="M313" s="94"/>
      <c r="N313" s="91"/>
      <c r="O313" s="123"/>
      <c r="P313" s="96"/>
      <c r="Q313" s="97" t="str">
        <f aca="false">IF(ISBLANK($C313),"",IF(E313=Constants!$B$2, TRUE(), IF(E313=Constants!$B$3, FALSE(), TRUE())))</f>
        <v/>
      </c>
      <c r="R313" s="97" t="str">
        <f aca="false">IF(ISBLANK($C313),"",IF(F313=Constants!$B$16,Constants!$B$9,IF(F313=Constants!$B$17,Constants!$B$10,Constants!$B$8)))</f>
        <v/>
      </c>
      <c r="S313" s="97" t="str">
        <f aca="false">IF(ISBLANK($C313),"",IF(COUNTA(G313:H313)=0,"",IF(AND(OR(ISBLANK(G313),AND(ISNUMBER(G313),G313&gt;=0)),OR(ISBLANK(H313),AND(ISNUMBER(H313),H313&gt;=0))),60*IF(ISBLANK(G313),0,G313)+IF(ISBLANK(H313),0,H313),"")))</f>
        <v/>
      </c>
      <c r="T313" s="97" t="str">
        <f aca="false">IF(ISBLANK($C313),"",IF(I313=Constants!$B$2, TRUE(), IF(I313=Constants!$B$3, FALSE(), TRUE())))</f>
        <v/>
      </c>
      <c r="U313" s="97" t="str">
        <f aca="false">IF(ISBLANK($C313),"",IF(J313=Constants!$B$2, TRUE(), IF(J313=Constants!$B$3, FALSE(), TRUE())))</f>
        <v/>
      </c>
      <c r="V313" s="97" t="str">
        <f aca="false">IF(ISBLANK($C313),"",IF(COUNTA(K313:L313)=0,"",IF(AND(OR(ISBLANK(K313),AND(ISNUMBER(K313),K313&gt;=0)),OR(ISBLANK(L313),AND(ISNUMBER(L313),L313&gt;=0))),60*IF(ISBLANK(K313),0,K313)+IF(ISBLANK(L313),0,L313),"")))</f>
        <v/>
      </c>
      <c r="W313" s="97" t="str">
        <f aca="false">IF(ISBLANK($C313),"",IF(M313=Constants!$B$2, TRUE(), IF(M313=Constants!$B$3, FALSE(), TRUE())))</f>
        <v/>
      </c>
      <c r="X313" s="97" t="str">
        <f aca="false">IF(ISBLANK($C313),"",IF(N313=Constants!$B$2, TRUE(), IF(N313=Constants!$B$3, FALSE(), TRUE())))</f>
        <v/>
      </c>
      <c r="Y313" s="97" t="str">
        <f aca="false">IF(ISBLANK($C313),"",IF(O313=Constants!$B$2, TRUE(), IF(O313=Constants!$B$3, FALSE(), FALSE())))</f>
        <v/>
      </c>
      <c r="Z313" s="97" t="str">
        <f aca="false">IF(ISBLANK($C313),"",AND(S313&lt;&gt;"",Q313))</f>
        <v/>
      </c>
      <c r="AA313" s="97" t="str">
        <f aca="false">IF(ISBLANK($C313),"",AND(V313&lt;&gt;"",Q313))</f>
        <v/>
      </c>
      <c r="AB313" s="97" t="str">
        <f aca="false">IF(ISBLANK($C313),"",IF(Y313,Constants!$B$4,IF(COUNTA(E313:N313)=0,Constants!$B$5,IF(NOT(Q313),Constants!$B$6,IF(AND(NOT(Z313),NOT(AA313)),Constants!$B$6,Constants!$B$7)))))</f>
        <v/>
      </c>
      <c r="AC313" s="97" t="str">
        <f aca="false">IF(ISBLANK($C313),"",IF($AB313&lt;&gt;Constants!$B$7,$AB313,Constants!$B$20))</f>
        <v/>
      </c>
      <c r="AD313" s="97" t="str">
        <f aca="false">IF($AB313=Constants!$B$7,IF(Z313,S313,Constants!$B$13),"")</f>
        <v/>
      </c>
      <c r="AE313" s="97" t="str">
        <f aca="false">IF($AB313=Constants!$B$7,IF(Z313,R313*IF(T313, 1, Constants!$B$11)*IF(U313, 1, Constants!$B$12),Constants!$B$13),"")</f>
        <v/>
      </c>
      <c r="AF313" s="97" t="str">
        <f aca="false">IF($AB313=Constants!$B$7,AD313*AE313,"")</f>
        <v/>
      </c>
      <c r="AG313" s="97" t="str">
        <f aca="false">IF($AB313=Constants!$B$7,IF(AA313,V313,Constants!$B$13),"")</f>
        <v/>
      </c>
      <c r="AH313" s="97" t="str">
        <f aca="false">IF($AB313=Constants!$B$7,IF(AA313,R313*IF(W313, 1, Constants!$B$11)*IF(X313, 1, Constants!$B$12),Constants!$B$13),"")</f>
        <v/>
      </c>
      <c r="AI313" s="97" t="str">
        <f aca="false">IF($AB313=Constants!$B$7,AG313*AH313,"")</f>
        <v/>
      </c>
      <c r="AJ313" s="97" t="str">
        <f aca="false">IF($AB313=Constants!$B$7,IF(AI313&gt;AF313,2,1),"")</f>
        <v/>
      </c>
      <c r="AK313" s="97" t="str">
        <f aca="false">IF($AB313=Constants!$B$7,IF(AJ313=1,2,1),"")</f>
        <v/>
      </c>
      <c r="AL313" s="97" t="str">
        <f aca="false">IF(ISBLANK($C313),"",IF($AB313&lt;&gt;Constants!$B$7,$AB313,IF(AJ313=1,AF313,AI313)))</f>
        <v/>
      </c>
      <c r="AM313" s="97" t="str">
        <f aca="false">IF(ISBLANK($C313),"",IF($AB313=Constants!$B$7,IF(ISNUMBER(AL313),RANK(AL313,$AL$8:$AL$507),Constants!$B$14),$AB313))</f>
        <v/>
      </c>
      <c r="AN313" s="97" t="str">
        <f aca="false">IF(ISBLANK($C313),"",IF($AB313=Constants!$B$7,IF(AK313=1,AF313,AI313),""))</f>
        <v/>
      </c>
      <c r="AO313" s="97" t="str">
        <f aca="false">IF(ISBLANK($C313),"",IF($AB313=Constants!$B$7,RANK(AN313,$AN$8:$AN$507),$AB313))</f>
        <v/>
      </c>
      <c r="AP313" s="97" t="str">
        <f aca="false">IF(ISBLANK($C313),"",IF($AB313=Constants!$B$7,IF(ISNUMBER(AM313),COUNTIFS($AM$8:$AM$507,"&lt;"&amp;$AM313)+COUNTIFS($AM$8:$AM$507,$AM313,$AO$8:$AO$507,"&lt;"&amp;$AO313)+1,Constants!$B$14),$AB313))</f>
        <v/>
      </c>
      <c r="AQ313" s="97" t="str">
        <f aca="false">IF(ISBLANK($C313),"",IF($AB313=Constants!$B$7,IF(ISNUMBER(AM313),AM313-AP313,Constants!$B$14),$AB313))</f>
        <v/>
      </c>
      <c r="AR313" s="98"/>
      <c r="AS313" s="99" t="str">
        <f aca="false">IF(ISBLANK($C313),"",IF($AB313&lt;&gt;Constants!$B$7,"",AJ313))</f>
        <v/>
      </c>
      <c r="AT313" s="100" t="str">
        <f aca="false">IF(ISBLANK($C313),"",IF($AB313&lt;&gt;Constants!$B$7,"",IF(AJ313=1,AD313,AG313)))</f>
        <v/>
      </c>
      <c r="AU313" s="101" t="str">
        <f aca="false">IF(ISBLANK($C313),"",IF($AB313&lt;&gt;Constants!$B$7,"",IF(AJ313=1,AE313,AH313)))</f>
        <v/>
      </c>
      <c r="AV313" s="102" t="str">
        <f aca="false">IF(ISBLANK($C313),"",IF($AB313&lt;&gt;Constants!$B$7,$AB313,AL313))</f>
        <v/>
      </c>
      <c r="AW313" s="103" t="str">
        <f aca="false">IF(ISBLANK($C313),"",IF($AB313&lt;&gt;Constants!$B$7,$AB313,AC313))</f>
        <v/>
      </c>
      <c r="AX313" s="104" t="str">
        <f aca="false">IF(ISBLANK($C313),"",AQ313)</f>
        <v/>
      </c>
      <c r="AY313" s="104" t="str">
        <f aca="false">IF(ISBLANK($C313),"",AP313)</f>
        <v/>
      </c>
      <c r="AZ313" s="105" t="str">
        <f aca="false">IF(ISBLANK($C313),"",IF(AY313=Constants!$B$4,COUNTA($C$8:$C$507)+2,IF(AY313=Constants!$B$5,COUNTA($C$8:$C$507)+1,IF(AY313=Constants!$B$6,COUNTA($C$8:$C$507),AY313))))</f>
        <v/>
      </c>
      <c r="BA313" s="5"/>
      <c r="BB313" s="106" t="n">
        <f aca="false">IF(OR(ISNUMBER(AY313),AY313=Constants!$B$4,AY313=Constants!$B$6,AY313=Constants!$B$5),1,0)</f>
        <v>0</v>
      </c>
      <c r="BC313" s="106" t="n">
        <v>306</v>
      </c>
      <c r="BD313" s="106" t="str">
        <f aca="false">IF(ISBLANK($C313),"",IF(ISNUMBER(AZ313),AZ313+ROW($B313)/1000,""))</f>
        <v/>
      </c>
      <c r="BE313" s="106" t="str">
        <f aca="false">IF(ISNUMBER(BD313),RANK(BD313,$BD$8:$BD$507,1),"")</f>
        <v/>
      </c>
      <c r="BF313" s="106" t="str">
        <f aca="false">IF(ISBLANK($C313),"",$B313)</f>
        <v/>
      </c>
      <c r="BG313" s="106" t="str">
        <f aca="false">IF(ISBLANK($C313),"",$C313)</f>
        <v/>
      </c>
      <c r="BH313" s="106" t="str">
        <f aca="false">IF(ISBLANK($C313),"",$D313)</f>
        <v/>
      </c>
      <c r="BI313" s="107" t="str">
        <f aca="false">AW313</f>
        <v/>
      </c>
      <c r="BJ313" s="108" t="str">
        <f aca="false">AV313</f>
        <v/>
      </c>
      <c r="BK313" s="106" t="str">
        <f aca="false">IF(ISBLANK($C313),"",AY313)</f>
        <v/>
      </c>
      <c r="BL313" s="109" t="str">
        <f aca="false">IF($BC313&gt;$BB$7,"",VLOOKUP($BC313,$BE$8:$BK$507,7,FALSE()))</f>
        <v/>
      </c>
      <c r="BM313" s="110" t="str">
        <f aca="false">IF($BC313&gt;$BB$7,"",VLOOKUP($BC313,$BE$8:$BK$507,2,FALSE()))</f>
        <v/>
      </c>
      <c r="BN313" s="110" t="str">
        <f aca="false">IF($BC313&gt;$BB$7,"",VLOOKUP($BC313,$BE$8:$BK$507,3,FALSE()))</f>
        <v/>
      </c>
      <c r="BO313" s="110" t="str">
        <f aca="false">IF($BC313&gt;$BB$7,"",VLOOKUP($BC313,$BE$8:$BK$507,4,FALSE()))</f>
        <v/>
      </c>
      <c r="BP313" s="110" t="str">
        <f aca="false">IF($BC313&gt;$BB$7,"",VLOOKUP($BC313,$BE$8:$BK$507,5,FALSE()))</f>
        <v/>
      </c>
      <c r="BQ313" s="111" t="str">
        <f aca="false">IF($BC313&gt;$BB$7,"",VLOOKUP($BC313,$BE$8:$BK$507,6,FALSE()))</f>
        <v/>
      </c>
      <c r="BR313" s="54"/>
    </row>
    <row r="314" customFormat="false" ht="15.75" hidden="false" customHeight="false" outlineLevel="0" collapsed="false">
      <c r="A314" s="5"/>
      <c r="B314" s="124"/>
      <c r="C314" s="56"/>
      <c r="D314" s="57"/>
      <c r="E314" s="83"/>
      <c r="F314" s="59"/>
      <c r="G314" s="60"/>
      <c r="H314" s="61"/>
      <c r="I314" s="62"/>
      <c r="J314" s="59"/>
      <c r="K314" s="60"/>
      <c r="L314" s="61"/>
      <c r="M314" s="62"/>
      <c r="N314" s="59"/>
      <c r="O314" s="83"/>
      <c r="P314" s="64"/>
      <c r="Q314" s="66" t="str">
        <f aca="false">IF(ISBLANK($C314),"",IF(E314=Constants!$B$2, TRUE(), IF(E314=Constants!$B$3, FALSE(), TRUE())))</f>
        <v/>
      </c>
      <c r="R314" s="66" t="str">
        <f aca="false">IF(ISBLANK($C314),"",IF(F314=Constants!$B$16,Constants!$B$9,IF(F314=Constants!$B$17,Constants!$B$10,Constants!$B$8)))</f>
        <v/>
      </c>
      <c r="S314" s="66" t="str">
        <f aca="false">IF(ISBLANK($C314),"",IF(COUNTA(G314:H314)=0,"",IF(AND(OR(ISBLANK(G314),AND(ISNUMBER(G314),G314&gt;=0)),OR(ISBLANK(H314),AND(ISNUMBER(H314),H314&gt;=0))),60*IF(ISBLANK(G314),0,G314)+IF(ISBLANK(H314),0,H314),"")))</f>
        <v/>
      </c>
      <c r="T314" s="66" t="str">
        <f aca="false">IF(ISBLANK($C314),"",IF(I314=Constants!$B$2, TRUE(), IF(I314=Constants!$B$3, FALSE(), TRUE())))</f>
        <v/>
      </c>
      <c r="U314" s="66" t="str">
        <f aca="false">IF(ISBLANK($C314),"",IF(J314=Constants!$B$2, TRUE(), IF(J314=Constants!$B$3, FALSE(), TRUE())))</f>
        <v/>
      </c>
      <c r="V314" s="66" t="str">
        <f aca="false">IF(ISBLANK($C314),"",IF(COUNTA(K314:L314)=0,"",IF(AND(OR(ISBLANK(K314),AND(ISNUMBER(K314),K314&gt;=0)),OR(ISBLANK(L314),AND(ISNUMBER(L314),L314&gt;=0))),60*IF(ISBLANK(K314),0,K314)+IF(ISBLANK(L314),0,L314),"")))</f>
        <v/>
      </c>
      <c r="W314" s="66" t="str">
        <f aca="false">IF(ISBLANK($C314),"",IF(M314=Constants!$B$2, TRUE(), IF(M314=Constants!$B$3, FALSE(), TRUE())))</f>
        <v/>
      </c>
      <c r="X314" s="66" t="str">
        <f aca="false">IF(ISBLANK($C314),"",IF(N314=Constants!$B$2, TRUE(), IF(N314=Constants!$B$3, FALSE(), TRUE())))</f>
        <v/>
      </c>
      <c r="Y314" s="66" t="str">
        <f aca="false">IF(ISBLANK($C314),"",IF(O314=Constants!$B$2, TRUE(), IF(O314=Constants!$B$3, FALSE(), FALSE())))</f>
        <v/>
      </c>
      <c r="Z314" s="66" t="str">
        <f aca="false">IF(ISBLANK($C314),"",AND(S314&lt;&gt;"",Q314))</f>
        <v/>
      </c>
      <c r="AA314" s="66" t="str">
        <f aca="false">IF(ISBLANK($C314),"",AND(V314&lt;&gt;"",Q314))</f>
        <v/>
      </c>
      <c r="AB314" s="66" t="str">
        <f aca="false">IF(ISBLANK($C314),"",IF(Y314,Constants!$B$4,IF(COUNTA(E314:N314)=0,Constants!$B$5,IF(NOT(Q314),Constants!$B$6,IF(AND(NOT(Z314),NOT(AA314)),Constants!$B$6,Constants!$B$7)))))</f>
        <v/>
      </c>
      <c r="AC314" s="66" t="str">
        <f aca="false">IF(ISBLANK($C314),"",IF($AB314&lt;&gt;Constants!$B$7,$AB314,Constants!$B$20))</f>
        <v/>
      </c>
      <c r="AD314" s="66" t="str">
        <f aca="false">IF($AB314=Constants!$B$7,IF(Z314,S314,Constants!$B$13),"")</f>
        <v/>
      </c>
      <c r="AE314" s="66" t="str">
        <f aca="false">IF($AB314=Constants!$B$7,IF(Z314,R314*IF(T314, 1, Constants!$B$11)*IF(U314, 1, Constants!$B$12),Constants!$B$13),"")</f>
        <v/>
      </c>
      <c r="AF314" s="66" t="str">
        <f aca="false">IF($AB314=Constants!$B$7,AD314*AE314,"")</f>
        <v/>
      </c>
      <c r="AG314" s="66" t="str">
        <f aca="false">IF($AB314=Constants!$B$7,IF(AA314,V314,Constants!$B$13),"")</f>
        <v/>
      </c>
      <c r="AH314" s="66" t="str">
        <f aca="false">IF($AB314=Constants!$B$7,IF(AA314,R314*IF(W314, 1, Constants!$B$11)*IF(X314, 1, Constants!$B$12),Constants!$B$13),"")</f>
        <v/>
      </c>
      <c r="AI314" s="66" t="str">
        <f aca="false">IF($AB314=Constants!$B$7,AG314*AH314,"")</f>
        <v/>
      </c>
      <c r="AJ314" s="66" t="str">
        <f aca="false">IF($AB314=Constants!$B$7,IF(AI314&gt;AF314,2,1),"")</f>
        <v/>
      </c>
      <c r="AK314" s="66" t="str">
        <f aca="false">IF($AB314=Constants!$B$7,IF(AJ314=1,2,1),"")</f>
        <v/>
      </c>
      <c r="AL314" s="66" t="str">
        <f aca="false">IF(ISBLANK($C314),"",IF($AB314&lt;&gt;Constants!$B$7,$AB314,IF(AJ314=1,AF314,AI314)))</f>
        <v/>
      </c>
      <c r="AM314" s="66" t="str">
        <f aca="false">IF(ISBLANK($C314),"",IF($AB314=Constants!$B$7,IF(ISNUMBER(AL314),RANK(AL314,$AL$8:$AL$507),Constants!$B$14),$AB314))</f>
        <v/>
      </c>
      <c r="AN314" s="66" t="str">
        <f aca="false">IF(ISBLANK($C314),"",IF($AB314=Constants!$B$7,IF(AK314=1,AF314,AI314),""))</f>
        <v/>
      </c>
      <c r="AO314" s="66" t="str">
        <f aca="false">IF(ISBLANK($C314),"",IF($AB314=Constants!$B$7,RANK(AN314,$AN$8:$AN$507),$AB314))</f>
        <v/>
      </c>
      <c r="AP314" s="66" t="str">
        <f aca="false">IF(ISBLANK($C314),"",IF($AB314=Constants!$B$7,IF(ISNUMBER(AM314),COUNTIFS($AM$8:$AM$507,"&lt;"&amp;$AM314)+COUNTIFS($AM$8:$AM$507,$AM314,$AO$8:$AO$507,"&lt;"&amp;$AO314)+1,Constants!$B$14),$AB314))</f>
        <v/>
      </c>
      <c r="AQ314" s="66" t="str">
        <f aca="false">IF(ISBLANK($C314),"",IF($AB314=Constants!$B$7,IF(ISNUMBER(AM314),AM314-AP314,Constants!$B$14),$AB314))</f>
        <v/>
      </c>
      <c r="AR314" s="68"/>
      <c r="AS314" s="69" t="str">
        <f aca="false">IF(ISBLANK($C314),"",IF($AB314&lt;&gt;Constants!$B$7,"",AJ314))</f>
        <v/>
      </c>
      <c r="AT314" s="84" t="str">
        <f aca="false">IF(ISBLANK($C314),"",IF($AB314&lt;&gt;Constants!$B$7,"",IF(AJ314=1,AD314,AG314)))</f>
        <v/>
      </c>
      <c r="AU314" s="71" t="str">
        <f aca="false">IF(ISBLANK($C314),"",IF($AB314&lt;&gt;Constants!$B$7,"",IF(AJ314=1,AE314,AH314)))</f>
        <v/>
      </c>
      <c r="AV314" s="72" t="str">
        <f aca="false">IF(ISBLANK($C314),"",IF($AB314&lt;&gt;Constants!$B$7,$AB314,AL314))</f>
        <v/>
      </c>
      <c r="AW314" s="73" t="str">
        <f aca="false">IF(ISBLANK($C314),"",IF($AB314&lt;&gt;Constants!$B$7,$AB314,AC314))</f>
        <v/>
      </c>
      <c r="AX314" s="74" t="str">
        <f aca="false">IF(ISBLANK($C314),"",AQ314)</f>
        <v/>
      </c>
      <c r="AY314" s="74" t="str">
        <f aca="false">IF(ISBLANK($C314),"",AP314)</f>
        <v/>
      </c>
      <c r="AZ314" s="75" t="str">
        <f aca="false">IF(ISBLANK($C314),"",IF(AY314=Constants!$B$4,COUNTA($C$8:$C$507)+2,IF(AY314=Constants!$B$5,COUNTA($C$8:$C$507)+1,IF(AY314=Constants!$B$6,COUNTA($C$8:$C$507),AY314))))</f>
        <v/>
      </c>
      <c r="BA314" s="5"/>
      <c r="BB314" s="76" t="n">
        <f aca="false">IF(OR(ISNUMBER(AY314),AY314=Constants!$B$4,AY314=Constants!$B$6,AY314=Constants!$B$5),1,0)</f>
        <v>0</v>
      </c>
      <c r="BC314" s="76" t="n">
        <v>307</v>
      </c>
      <c r="BD314" s="76" t="str">
        <f aca="false">IF(ISBLANK($C314),"",IF(ISNUMBER(AZ314),AZ314+ROW($B314)/1000,""))</f>
        <v/>
      </c>
      <c r="BE314" s="76" t="str">
        <f aca="false">IF(ISNUMBER(BD314),RANK(BD314,$BD$8:$BD$507,1),"")</f>
        <v/>
      </c>
      <c r="BF314" s="76" t="str">
        <f aca="false">IF(ISBLANK($C314),"",$B314)</f>
        <v/>
      </c>
      <c r="BG314" s="76" t="str">
        <f aca="false">IF(ISBLANK($C314),"",$C314)</f>
        <v/>
      </c>
      <c r="BH314" s="76" t="str">
        <f aca="false">IF(ISBLANK($C314),"",$D314)</f>
        <v/>
      </c>
      <c r="BI314" s="77" t="str">
        <f aca="false">AW314</f>
        <v/>
      </c>
      <c r="BJ314" s="78" t="str">
        <f aca="false">AV314</f>
        <v/>
      </c>
      <c r="BK314" s="76" t="str">
        <f aca="false">IF(ISBLANK($C314),"",AY314)</f>
        <v/>
      </c>
      <c r="BL314" s="79" t="str">
        <f aca="false">IF($BC314&gt;$BB$7,"",VLOOKUP($BC314,$BE$8:$BK$507,7,FALSE()))</f>
        <v/>
      </c>
      <c r="BM314" s="80" t="str">
        <f aca="false">IF($BC314&gt;$BB$7,"",VLOOKUP($BC314,$BE$8:$BK$507,2,FALSE()))</f>
        <v/>
      </c>
      <c r="BN314" s="80" t="str">
        <f aca="false">IF($BC314&gt;$BB$7,"",VLOOKUP($BC314,$BE$8:$BK$507,3,FALSE()))</f>
        <v/>
      </c>
      <c r="BO314" s="80" t="str">
        <f aca="false">IF($BC314&gt;$BB$7,"",VLOOKUP($BC314,$BE$8:$BK$507,4,FALSE()))</f>
        <v/>
      </c>
      <c r="BP314" s="80" t="str">
        <f aca="false">IF($BC314&gt;$BB$7,"",VLOOKUP($BC314,$BE$8:$BK$507,5,FALSE()))</f>
        <v/>
      </c>
      <c r="BQ314" s="81" t="str">
        <f aca="false">IF($BC314&gt;$BB$7,"",VLOOKUP($BC314,$BE$8:$BK$507,6,FALSE()))</f>
        <v/>
      </c>
      <c r="BR314" s="54"/>
    </row>
    <row r="315" customFormat="false" ht="15.75" hidden="false" customHeight="false" outlineLevel="0" collapsed="false">
      <c r="A315" s="5"/>
      <c r="B315" s="124"/>
      <c r="C315" s="56"/>
      <c r="D315" s="57"/>
      <c r="E315" s="83"/>
      <c r="F315" s="59"/>
      <c r="G315" s="60"/>
      <c r="H315" s="61"/>
      <c r="I315" s="62"/>
      <c r="J315" s="59"/>
      <c r="K315" s="60"/>
      <c r="L315" s="61"/>
      <c r="M315" s="62"/>
      <c r="N315" s="59"/>
      <c r="O315" s="83"/>
      <c r="P315" s="64"/>
      <c r="Q315" s="66" t="str">
        <f aca="false">IF(ISBLANK($C315),"",IF(E315=Constants!$B$2, TRUE(), IF(E315=Constants!$B$3, FALSE(), TRUE())))</f>
        <v/>
      </c>
      <c r="R315" s="66" t="str">
        <f aca="false">IF(ISBLANK($C315),"",IF(F315=Constants!$B$16,Constants!$B$9,IF(F315=Constants!$B$17,Constants!$B$10,Constants!$B$8)))</f>
        <v/>
      </c>
      <c r="S315" s="66" t="str">
        <f aca="false">IF(ISBLANK($C315),"",IF(COUNTA(G315:H315)=0,"",IF(AND(OR(ISBLANK(G315),AND(ISNUMBER(G315),G315&gt;=0)),OR(ISBLANK(H315),AND(ISNUMBER(H315),H315&gt;=0))),60*IF(ISBLANK(G315),0,G315)+IF(ISBLANK(H315),0,H315),"")))</f>
        <v/>
      </c>
      <c r="T315" s="66" t="str">
        <f aca="false">IF(ISBLANK($C315),"",IF(I315=Constants!$B$2, TRUE(), IF(I315=Constants!$B$3, FALSE(), TRUE())))</f>
        <v/>
      </c>
      <c r="U315" s="66" t="str">
        <f aca="false">IF(ISBLANK($C315),"",IF(J315=Constants!$B$2, TRUE(), IF(J315=Constants!$B$3, FALSE(), TRUE())))</f>
        <v/>
      </c>
      <c r="V315" s="66" t="str">
        <f aca="false">IF(ISBLANK($C315),"",IF(COUNTA(K315:L315)=0,"",IF(AND(OR(ISBLANK(K315),AND(ISNUMBER(K315),K315&gt;=0)),OR(ISBLANK(L315),AND(ISNUMBER(L315),L315&gt;=0))),60*IF(ISBLANK(K315),0,K315)+IF(ISBLANK(L315),0,L315),"")))</f>
        <v/>
      </c>
      <c r="W315" s="66" t="str">
        <f aca="false">IF(ISBLANK($C315),"",IF(M315=Constants!$B$2, TRUE(), IF(M315=Constants!$B$3, FALSE(), TRUE())))</f>
        <v/>
      </c>
      <c r="X315" s="66" t="str">
        <f aca="false">IF(ISBLANK($C315),"",IF(N315=Constants!$B$2, TRUE(), IF(N315=Constants!$B$3, FALSE(), TRUE())))</f>
        <v/>
      </c>
      <c r="Y315" s="66" t="str">
        <f aca="false">IF(ISBLANK($C315),"",IF(O315=Constants!$B$2, TRUE(), IF(O315=Constants!$B$3, FALSE(), FALSE())))</f>
        <v/>
      </c>
      <c r="Z315" s="66" t="str">
        <f aca="false">IF(ISBLANK($C315),"",AND(S315&lt;&gt;"",Q315))</f>
        <v/>
      </c>
      <c r="AA315" s="66" t="str">
        <f aca="false">IF(ISBLANK($C315),"",AND(V315&lt;&gt;"",Q315))</f>
        <v/>
      </c>
      <c r="AB315" s="66" t="str">
        <f aca="false">IF(ISBLANK($C315),"",IF(Y315,Constants!$B$4,IF(COUNTA(E315:N315)=0,Constants!$B$5,IF(NOT(Q315),Constants!$B$6,IF(AND(NOT(Z315),NOT(AA315)),Constants!$B$6,Constants!$B$7)))))</f>
        <v/>
      </c>
      <c r="AC315" s="66" t="str">
        <f aca="false">IF(ISBLANK($C315),"",IF($AB315&lt;&gt;Constants!$B$7,$AB315,Constants!$B$20))</f>
        <v/>
      </c>
      <c r="AD315" s="66" t="str">
        <f aca="false">IF($AB315=Constants!$B$7,IF(Z315,S315,Constants!$B$13),"")</f>
        <v/>
      </c>
      <c r="AE315" s="66" t="str">
        <f aca="false">IF($AB315=Constants!$B$7,IF(Z315,R315*IF(T315, 1, Constants!$B$11)*IF(U315, 1, Constants!$B$12),Constants!$B$13),"")</f>
        <v/>
      </c>
      <c r="AF315" s="66" t="str">
        <f aca="false">IF($AB315=Constants!$B$7,AD315*AE315,"")</f>
        <v/>
      </c>
      <c r="AG315" s="66" t="str">
        <f aca="false">IF($AB315=Constants!$B$7,IF(AA315,V315,Constants!$B$13),"")</f>
        <v/>
      </c>
      <c r="AH315" s="66" t="str">
        <f aca="false">IF($AB315=Constants!$B$7,IF(AA315,R315*IF(W315, 1, Constants!$B$11)*IF(X315, 1, Constants!$B$12),Constants!$B$13),"")</f>
        <v/>
      </c>
      <c r="AI315" s="66" t="str">
        <f aca="false">IF($AB315=Constants!$B$7,AG315*AH315,"")</f>
        <v/>
      </c>
      <c r="AJ315" s="66" t="str">
        <f aca="false">IF($AB315=Constants!$B$7,IF(AI315&gt;AF315,2,1),"")</f>
        <v/>
      </c>
      <c r="AK315" s="66" t="str">
        <f aca="false">IF($AB315=Constants!$B$7,IF(AJ315=1,2,1),"")</f>
        <v/>
      </c>
      <c r="AL315" s="66" t="str">
        <f aca="false">IF(ISBLANK($C315),"",IF($AB315&lt;&gt;Constants!$B$7,$AB315,IF(AJ315=1,AF315,AI315)))</f>
        <v/>
      </c>
      <c r="AM315" s="66" t="str">
        <f aca="false">IF(ISBLANK($C315),"",IF($AB315=Constants!$B$7,IF(ISNUMBER(AL315),RANK(AL315,$AL$8:$AL$507),Constants!$B$14),$AB315))</f>
        <v/>
      </c>
      <c r="AN315" s="66" t="str">
        <f aca="false">IF(ISBLANK($C315),"",IF($AB315=Constants!$B$7,IF(AK315=1,AF315,AI315),""))</f>
        <v/>
      </c>
      <c r="AO315" s="66" t="str">
        <f aca="false">IF(ISBLANK($C315),"",IF($AB315=Constants!$B$7,RANK(AN315,$AN$8:$AN$507),$AB315))</f>
        <v/>
      </c>
      <c r="AP315" s="66" t="str">
        <f aca="false">IF(ISBLANK($C315),"",IF($AB315=Constants!$B$7,IF(ISNUMBER(AM315),COUNTIFS($AM$8:$AM$507,"&lt;"&amp;$AM315)+COUNTIFS($AM$8:$AM$507,$AM315,$AO$8:$AO$507,"&lt;"&amp;$AO315)+1,Constants!$B$14),$AB315))</f>
        <v/>
      </c>
      <c r="AQ315" s="66" t="str">
        <f aca="false">IF(ISBLANK($C315),"",IF($AB315=Constants!$B$7,IF(ISNUMBER(AM315),AM315-AP315,Constants!$B$14),$AB315))</f>
        <v/>
      </c>
      <c r="AR315" s="68"/>
      <c r="AS315" s="69" t="str">
        <f aca="false">IF(ISBLANK($C315),"",IF($AB315&lt;&gt;Constants!$B$7,"",AJ315))</f>
        <v/>
      </c>
      <c r="AT315" s="84" t="str">
        <f aca="false">IF(ISBLANK($C315),"",IF($AB315&lt;&gt;Constants!$B$7,"",IF(AJ315=1,AD315,AG315)))</f>
        <v/>
      </c>
      <c r="AU315" s="71" t="str">
        <f aca="false">IF(ISBLANK($C315),"",IF($AB315&lt;&gt;Constants!$B$7,"",IF(AJ315=1,AE315,AH315)))</f>
        <v/>
      </c>
      <c r="AV315" s="72" t="str">
        <f aca="false">IF(ISBLANK($C315),"",IF($AB315&lt;&gt;Constants!$B$7,$AB315,AL315))</f>
        <v/>
      </c>
      <c r="AW315" s="73" t="str">
        <f aca="false">IF(ISBLANK($C315),"",IF($AB315&lt;&gt;Constants!$B$7,$AB315,AC315))</f>
        <v/>
      </c>
      <c r="AX315" s="74" t="str">
        <f aca="false">IF(ISBLANK($C315),"",AQ315)</f>
        <v/>
      </c>
      <c r="AY315" s="74" t="str">
        <f aca="false">IF(ISBLANK($C315),"",AP315)</f>
        <v/>
      </c>
      <c r="AZ315" s="75" t="str">
        <f aca="false">IF(ISBLANK($C315),"",IF(AY315=Constants!$B$4,COUNTA($C$8:$C$507)+2,IF(AY315=Constants!$B$5,COUNTA($C$8:$C$507)+1,IF(AY315=Constants!$B$6,COUNTA($C$8:$C$507),AY315))))</f>
        <v/>
      </c>
      <c r="BA315" s="5"/>
      <c r="BB315" s="76" t="n">
        <f aca="false">IF(OR(ISNUMBER(AY315),AY315=Constants!$B$4,AY315=Constants!$B$6,AY315=Constants!$B$5),1,0)</f>
        <v>0</v>
      </c>
      <c r="BC315" s="76" t="n">
        <v>308</v>
      </c>
      <c r="BD315" s="76" t="str">
        <f aca="false">IF(ISBLANK($C315),"",IF(ISNUMBER(AZ315),AZ315+ROW($B315)/1000,""))</f>
        <v/>
      </c>
      <c r="BE315" s="76" t="str">
        <f aca="false">IF(ISNUMBER(BD315),RANK(BD315,$BD$8:$BD$507,1),"")</f>
        <v/>
      </c>
      <c r="BF315" s="76" t="str">
        <f aca="false">IF(ISBLANK($C315),"",$B315)</f>
        <v/>
      </c>
      <c r="BG315" s="76" t="str">
        <f aca="false">IF(ISBLANK($C315),"",$C315)</f>
        <v/>
      </c>
      <c r="BH315" s="76" t="str">
        <f aca="false">IF(ISBLANK($C315),"",$D315)</f>
        <v/>
      </c>
      <c r="BI315" s="77" t="str">
        <f aca="false">AW315</f>
        <v/>
      </c>
      <c r="BJ315" s="78" t="str">
        <f aca="false">AV315</f>
        <v/>
      </c>
      <c r="BK315" s="76" t="str">
        <f aca="false">IF(ISBLANK($C315),"",AY315)</f>
        <v/>
      </c>
      <c r="BL315" s="79" t="str">
        <f aca="false">IF($BC315&gt;$BB$7,"",VLOOKUP($BC315,$BE$8:$BK$507,7,FALSE()))</f>
        <v/>
      </c>
      <c r="BM315" s="80" t="str">
        <f aca="false">IF($BC315&gt;$BB$7,"",VLOOKUP($BC315,$BE$8:$BK$507,2,FALSE()))</f>
        <v/>
      </c>
      <c r="BN315" s="80" t="str">
        <f aca="false">IF($BC315&gt;$BB$7,"",VLOOKUP($BC315,$BE$8:$BK$507,3,FALSE()))</f>
        <v/>
      </c>
      <c r="BO315" s="80" t="str">
        <f aca="false">IF($BC315&gt;$BB$7,"",VLOOKUP($BC315,$BE$8:$BK$507,4,FALSE()))</f>
        <v/>
      </c>
      <c r="BP315" s="80" t="str">
        <f aca="false">IF($BC315&gt;$BB$7,"",VLOOKUP($BC315,$BE$8:$BK$507,5,FALSE()))</f>
        <v/>
      </c>
      <c r="BQ315" s="81" t="str">
        <f aca="false">IF($BC315&gt;$BB$7,"",VLOOKUP($BC315,$BE$8:$BK$507,6,FALSE()))</f>
        <v/>
      </c>
      <c r="BR315" s="54"/>
    </row>
    <row r="316" customFormat="false" ht="15.75" hidden="false" customHeight="false" outlineLevel="0" collapsed="false">
      <c r="A316" s="5"/>
      <c r="B316" s="124"/>
      <c r="C316" s="56"/>
      <c r="D316" s="57"/>
      <c r="E316" s="83"/>
      <c r="F316" s="59"/>
      <c r="G316" s="60"/>
      <c r="H316" s="61"/>
      <c r="I316" s="62"/>
      <c r="J316" s="59"/>
      <c r="K316" s="60"/>
      <c r="L316" s="61"/>
      <c r="M316" s="62"/>
      <c r="N316" s="59"/>
      <c r="O316" s="83"/>
      <c r="P316" s="64"/>
      <c r="Q316" s="66" t="str">
        <f aca="false">IF(ISBLANK($C316),"",IF(E316=Constants!$B$2, TRUE(), IF(E316=Constants!$B$3, FALSE(), TRUE())))</f>
        <v/>
      </c>
      <c r="R316" s="66" t="str">
        <f aca="false">IF(ISBLANK($C316),"",IF(F316=Constants!$B$16,Constants!$B$9,IF(F316=Constants!$B$17,Constants!$B$10,Constants!$B$8)))</f>
        <v/>
      </c>
      <c r="S316" s="66" t="str">
        <f aca="false">IF(ISBLANK($C316),"",IF(COUNTA(G316:H316)=0,"",IF(AND(OR(ISBLANK(G316),AND(ISNUMBER(G316),G316&gt;=0)),OR(ISBLANK(H316),AND(ISNUMBER(H316),H316&gt;=0))),60*IF(ISBLANK(G316),0,G316)+IF(ISBLANK(H316),0,H316),"")))</f>
        <v/>
      </c>
      <c r="T316" s="66" t="str">
        <f aca="false">IF(ISBLANK($C316),"",IF(I316=Constants!$B$2, TRUE(), IF(I316=Constants!$B$3, FALSE(), TRUE())))</f>
        <v/>
      </c>
      <c r="U316" s="66" t="str">
        <f aca="false">IF(ISBLANK($C316),"",IF(J316=Constants!$B$2, TRUE(), IF(J316=Constants!$B$3, FALSE(), TRUE())))</f>
        <v/>
      </c>
      <c r="V316" s="66" t="str">
        <f aca="false">IF(ISBLANK($C316),"",IF(COUNTA(K316:L316)=0,"",IF(AND(OR(ISBLANK(K316),AND(ISNUMBER(K316),K316&gt;=0)),OR(ISBLANK(L316),AND(ISNUMBER(L316),L316&gt;=0))),60*IF(ISBLANK(K316),0,K316)+IF(ISBLANK(L316),0,L316),"")))</f>
        <v/>
      </c>
      <c r="W316" s="66" t="str">
        <f aca="false">IF(ISBLANK($C316),"",IF(M316=Constants!$B$2, TRUE(), IF(M316=Constants!$B$3, FALSE(), TRUE())))</f>
        <v/>
      </c>
      <c r="X316" s="66" t="str">
        <f aca="false">IF(ISBLANK($C316),"",IF(N316=Constants!$B$2, TRUE(), IF(N316=Constants!$B$3, FALSE(), TRUE())))</f>
        <v/>
      </c>
      <c r="Y316" s="66" t="str">
        <f aca="false">IF(ISBLANK($C316),"",IF(O316=Constants!$B$2, TRUE(), IF(O316=Constants!$B$3, FALSE(), FALSE())))</f>
        <v/>
      </c>
      <c r="Z316" s="66" t="str">
        <f aca="false">IF(ISBLANK($C316),"",AND(S316&lt;&gt;"",Q316))</f>
        <v/>
      </c>
      <c r="AA316" s="66" t="str">
        <f aca="false">IF(ISBLANK($C316),"",AND(V316&lt;&gt;"",Q316))</f>
        <v/>
      </c>
      <c r="AB316" s="66" t="str">
        <f aca="false">IF(ISBLANK($C316),"",IF(Y316,Constants!$B$4,IF(COUNTA(E316:N316)=0,Constants!$B$5,IF(NOT(Q316),Constants!$B$6,IF(AND(NOT(Z316),NOT(AA316)),Constants!$B$6,Constants!$B$7)))))</f>
        <v/>
      </c>
      <c r="AC316" s="66" t="str">
        <f aca="false">IF(ISBLANK($C316),"",IF($AB316&lt;&gt;Constants!$B$7,$AB316,Constants!$B$20))</f>
        <v/>
      </c>
      <c r="AD316" s="66" t="str">
        <f aca="false">IF($AB316=Constants!$B$7,IF(Z316,S316,Constants!$B$13),"")</f>
        <v/>
      </c>
      <c r="AE316" s="66" t="str">
        <f aca="false">IF($AB316=Constants!$B$7,IF(Z316,R316*IF(T316, 1, Constants!$B$11)*IF(U316, 1, Constants!$B$12),Constants!$B$13),"")</f>
        <v/>
      </c>
      <c r="AF316" s="66" t="str">
        <f aca="false">IF($AB316=Constants!$B$7,AD316*AE316,"")</f>
        <v/>
      </c>
      <c r="AG316" s="66" t="str">
        <f aca="false">IF($AB316=Constants!$B$7,IF(AA316,V316,Constants!$B$13),"")</f>
        <v/>
      </c>
      <c r="AH316" s="66" t="str">
        <f aca="false">IF($AB316=Constants!$B$7,IF(AA316,R316*IF(W316, 1, Constants!$B$11)*IF(X316, 1, Constants!$B$12),Constants!$B$13),"")</f>
        <v/>
      </c>
      <c r="AI316" s="66" t="str">
        <f aca="false">IF($AB316=Constants!$B$7,AG316*AH316,"")</f>
        <v/>
      </c>
      <c r="AJ316" s="66" t="str">
        <f aca="false">IF($AB316=Constants!$B$7,IF(AI316&gt;AF316,2,1),"")</f>
        <v/>
      </c>
      <c r="AK316" s="66" t="str">
        <f aca="false">IF($AB316=Constants!$B$7,IF(AJ316=1,2,1),"")</f>
        <v/>
      </c>
      <c r="AL316" s="66" t="str">
        <f aca="false">IF(ISBLANK($C316),"",IF($AB316&lt;&gt;Constants!$B$7,$AB316,IF(AJ316=1,AF316,AI316)))</f>
        <v/>
      </c>
      <c r="AM316" s="66" t="str">
        <f aca="false">IF(ISBLANK($C316),"",IF($AB316=Constants!$B$7,IF(ISNUMBER(AL316),RANK(AL316,$AL$8:$AL$507),Constants!$B$14),$AB316))</f>
        <v/>
      </c>
      <c r="AN316" s="66" t="str">
        <f aca="false">IF(ISBLANK($C316),"",IF($AB316=Constants!$B$7,IF(AK316=1,AF316,AI316),""))</f>
        <v/>
      </c>
      <c r="AO316" s="66" t="str">
        <f aca="false">IF(ISBLANK($C316),"",IF($AB316=Constants!$B$7,RANK(AN316,$AN$8:$AN$507),$AB316))</f>
        <v/>
      </c>
      <c r="AP316" s="66" t="str">
        <f aca="false">IF(ISBLANK($C316),"",IF($AB316=Constants!$B$7,IF(ISNUMBER(AM316),COUNTIFS($AM$8:$AM$507,"&lt;"&amp;$AM316)+COUNTIFS($AM$8:$AM$507,$AM316,$AO$8:$AO$507,"&lt;"&amp;$AO316)+1,Constants!$B$14),$AB316))</f>
        <v/>
      </c>
      <c r="AQ316" s="66" t="str">
        <f aca="false">IF(ISBLANK($C316),"",IF($AB316=Constants!$B$7,IF(ISNUMBER(AM316),AM316-AP316,Constants!$B$14),$AB316))</f>
        <v/>
      </c>
      <c r="AR316" s="68"/>
      <c r="AS316" s="69" t="str">
        <f aca="false">IF(ISBLANK($C316),"",IF($AB316&lt;&gt;Constants!$B$7,"",AJ316))</f>
        <v/>
      </c>
      <c r="AT316" s="84" t="str">
        <f aca="false">IF(ISBLANK($C316),"",IF($AB316&lt;&gt;Constants!$B$7,"",IF(AJ316=1,AD316,AG316)))</f>
        <v/>
      </c>
      <c r="AU316" s="71" t="str">
        <f aca="false">IF(ISBLANK($C316),"",IF($AB316&lt;&gt;Constants!$B$7,"",IF(AJ316=1,AE316,AH316)))</f>
        <v/>
      </c>
      <c r="AV316" s="72" t="str">
        <f aca="false">IF(ISBLANK($C316),"",IF($AB316&lt;&gt;Constants!$B$7,$AB316,AL316))</f>
        <v/>
      </c>
      <c r="AW316" s="73" t="str">
        <f aca="false">IF(ISBLANK($C316),"",IF($AB316&lt;&gt;Constants!$B$7,$AB316,AC316))</f>
        <v/>
      </c>
      <c r="AX316" s="74" t="str">
        <f aca="false">IF(ISBLANK($C316),"",AQ316)</f>
        <v/>
      </c>
      <c r="AY316" s="74" t="str">
        <f aca="false">IF(ISBLANK($C316),"",AP316)</f>
        <v/>
      </c>
      <c r="AZ316" s="75" t="str">
        <f aca="false">IF(ISBLANK($C316),"",IF(AY316=Constants!$B$4,COUNTA($C$8:$C$507)+2,IF(AY316=Constants!$B$5,COUNTA($C$8:$C$507)+1,IF(AY316=Constants!$B$6,COUNTA($C$8:$C$507),AY316))))</f>
        <v/>
      </c>
      <c r="BA316" s="5"/>
      <c r="BB316" s="76" t="n">
        <f aca="false">IF(OR(ISNUMBER(AY316),AY316=Constants!$B$4,AY316=Constants!$B$6,AY316=Constants!$B$5),1,0)</f>
        <v>0</v>
      </c>
      <c r="BC316" s="76" t="n">
        <v>309</v>
      </c>
      <c r="BD316" s="76" t="str">
        <f aca="false">IF(ISBLANK($C316),"",IF(ISNUMBER(AZ316),AZ316+ROW($B316)/1000,""))</f>
        <v/>
      </c>
      <c r="BE316" s="76" t="str">
        <f aca="false">IF(ISNUMBER(BD316),RANK(BD316,$BD$8:$BD$507,1),"")</f>
        <v/>
      </c>
      <c r="BF316" s="76" t="str">
        <f aca="false">IF(ISBLANK($C316),"",$B316)</f>
        <v/>
      </c>
      <c r="BG316" s="76" t="str">
        <f aca="false">IF(ISBLANK($C316),"",$C316)</f>
        <v/>
      </c>
      <c r="BH316" s="76" t="str">
        <f aca="false">IF(ISBLANK($C316),"",$D316)</f>
        <v/>
      </c>
      <c r="BI316" s="77" t="str">
        <f aca="false">AW316</f>
        <v/>
      </c>
      <c r="BJ316" s="78" t="str">
        <f aca="false">AV316</f>
        <v/>
      </c>
      <c r="BK316" s="76" t="str">
        <f aca="false">IF(ISBLANK($C316),"",AY316)</f>
        <v/>
      </c>
      <c r="BL316" s="79" t="str">
        <f aca="false">IF($BC316&gt;$BB$7,"",VLOOKUP($BC316,$BE$8:$BK$507,7,FALSE()))</f>
        <v/>
      </c>
      <c r="BM316" s="80" t="str">
        <f aca="false">IF($BC316&gt;$BB$7,"",VLOOKUP($BC316,$BE$8:$BK$507,2,FALSE()))</f>
        <v/>
      </c>
      <c r="BN316" s="80" t="str">
        <f aca="false">IF($BC316&gt;$BB$7,"",VLOOKUP($BC316,$BE$8:$BK$507,3,FALSE()))</f>
        <v/>
      </c>
      <c r="BO316" s="80" t="str">
        <f aca="false">IF($BC316&gt;$BB$7,"",VLOOKUP($BC316,$BE$8:$BK$507,4,FALSE()))</f>
        <v/>
      </c>
      <c r="BP316" s="80" t="str">
        <f aca="false">IF($BC316&gt;$BB$7,"",VLOOKUP($BC316,$BE$8:$BK$507,5,FALSE()))</f>
        <v/>
      </c>
      <c r="BQ316" s="81" t="str">
        <f aca="false">IF($BC316&gt;$BB$7,"",VLOOKUP($BC316,$BE$8:$BK$507,6,FALSE()))</f>
        <v/>
      </c>
      <c r="BR316" s="54"/>
    </row>
    <row r="317" customFormat="false" ht="15.75" hidden="false" customHeight="false" outlineLevel="0" collapsed="false">
      <c r="A317" s="5"/>
      <c r="B317" s="120"/>
      <c r="C317" s="121"/>
      <c r="D317" s="112"/>
      <c r="E317" s="123"/>
      <c r="F317" s="91"/>
      <c r="G317" s="92"/>
      <c r="H317" s="93"/>
      <c r="I317" s="94"/>
      <c r="J317" s="91"/>
      <c r="K317" s="92"/>
      <c r="L317" s="93"/>
      <c r="M317" s="94"/>
      <c r="N317" s="91"/>
      <c r="O317" s="123"/>
      <c r="P317" s="96"/>
      <c r="Q317" s="97" t="str">
        <f aca="false">IF(ISBLANK($C317),"",IF(E317=Constants!$B$2, TRUE(), IF(E317=Constants!$B$3, FALSE(), TRUE())))</f>
        <v/>
      </c>
      <c r="R317" s="97" t="str">
        <f aca="false">IF(ISBLANK($C317),"",IF(F317=Constants!$B$16,Constants!$B$9,IF(F317=Constants!$B$17,Constants!$B$10,Constants!$B$8)))</f>
        <v/>
      </c>
      <c r="S317" s="97" t="str">
        <f aca="false">IF(ISBLANK($C317),"",IF(COUNTA(G317:H317)=0,"",IF(AND(OR(ISBLANK(G317),AND(ISNUMBER(G317),G317&gt;=0)),OR(ISBLANK(H317),AND(ISNUMBER(H317),H317&gt;=0))),60*IF(ISBLANK(G317),0,G317)+IF(ISBLANK(H317),0,H317),"")))</f>
        <v/>
      </c>
      <c r="T317" s="97" t="str">
        <f aca="false">IF(ISBLANK($C317),"",IF(I317=Constants!$B$2, TRUE(), IF(I317=Constants!$B$3, FALSE(), TRUE())))</f>
        <v/>
      </c>
      <c r="U317" s="97" t="str">
        <f aca="false">IF(ISBLANK($C317),"",IF(J317=Constants!$B$2, TRUE(), IF(J317=Constants!$B$3, FALSE(), TRUE())))</f>
        <v/>
      </c>
      <c r="V317" s="97" t="str">
        <f aca="false">IF(ISBLANK($C317),"",IF(COUNTA(K317:L317)=0,"",IF(AND(OR(ISBLANK(K317),AND(ISNUMBER(K317),K317&gt;=0)),OR(ISBLANK(L317),AND(ISNUMBER(L317),L317&gt;=0))),60*IF(ISBLANK(K317),0,K317)+IF(ISBLANK(L317),0,L317),"")))</f>
        <v/>
      </c>
      <c r="W317" s="97" t="str">
        <f aca="false">IF(ISBLANK($C317),"",IF(M317=Constants!$B$2, TRUE(), IF(M317=Constants!$B$3, FALSE(), TRUE())))</f>
        <v/>
      </c>
      <c r="X317" s="97" t="str">
        <f aca="false">IF(ISBLANK($C317),"",IF(N317=Constants!$B$2, TRUE(), IF(N317=Constants!$B$3, FALSE(), TRUE())))</f>
        <v/>
      </c>
      <c r="Y317" s="97" t="str">
        <f aca="false">IF(ISBLANK($C317),"",IF(O317=Constants!$B$2, TRUE(), IF(O317=Constants!$B$3, FALSE(), FALSE())))</f>
        <v/>
      </c>
      <c r="Z317" s="97" t="str">
        <f aca="false">IF(ISBLANK($C317),"",AND(S317&lt;&gt;"",Q317))</f>
        <v/>
      </c>
      <c r="AA317" s="97" t="str">
        <f aca="false">IF(ISBLANK($C317),"",AND(V317&lt;&gt;"",Q317))</f>
        <v/>
      </c>
      <c r="AB317" s="97" t="str">
        <f aca="false">IF(ISBLANK($C317),"",IF(Y317,Constants!$B$4,IF(COUNTA(E317:N317)=0,Constants!$B$5,IF(NOT(Q317),Constants!$B$6,IF(AND(NOT(Z317),NOT(AA317)),Constants!$B$6,Constants!$B$7)))))</f>
        <v/>
      </c>
      <c r="AC317" s="97" t="str">
        <f aca="false">IF(ISBLANK($C317),"",IF($AB317&lt;&gt;Constants!$B$7,$AB317,Constants!$B$20))</f>
        <v/>
      </c>
      <c r="AD317" s="97" t="str">
        <f aca="false">IF($AB317=Constants!$B$7,IF(Z317,S317,Constants!$B$13),"")</f>
        <v/>
      </c>
      <c r="AE317" s="97" t="str">
        <f aca="false">IF($AB317=Constants!$B$7,IF(Z317,R317*IF(T317, 1, Constants!$B$11)*IF(U317, 1, Constants!$B$12),Constants!$B$13),"")</f>
        <v/>
      </c>
      <c r="AF317" s="97" t="str">
        <f aca="false">IF($AB317=Constants!$B$7,AD317*AE317,"")</f>
        <v/>
      </c>
      <c r="AG317" s="97" t="str">
        <f aca="false">IF($AB317=Constants!$B$7,IF(AA317,V317,Constants!$B$13),"")</f>
        <v/>
      </c>
      <c r="AH317" s="97" t="str">
        <f aca="false">IF($AB317=Constants!$B$7,IF(AA317,R317*IF(W317, 1, Constants!$B$11)*IF(X317, 1, Constants!$B$12),Constants!$B$13),"")</f>
        <v/>
      </c>
      <c r="AI317" s="97" t="str">
        <f aca="false">IF($AB317=Constants!$B$7,AG317*AH317,"")</f>
        <v/>
      </c>
      <c r="AJ317" s="97" t="str">
        <f aca="false">IF($AB317=Constants!$B$7,IF(AI317&gt;AF317,2,1),"")</f>
        <v/>
      </c>
      <c r="AK317" s="97" t="str">
        <f aca="false">IF($AB317=Constants!$B$7,IF(AJ317=1,2,1),"")</f>
        <v/>
      </c>
      <c r="AL317" s="97" t="str">
        <f aca="false">IF(ISBLANK($C317),"",IF($AB317&lt;&gt;Constants!$B$7,$AB317,IF(AJ317=1,AF317,AI317)))</f>
        <v/>
      </c>
      <c r="AM317" s="97" t="str">
        <f aca="false">IF(ISBLANK($C317),"",IF($AB317=Constants!$B$7,IF(ISNUMBER(AL317),RANK(AL317,$AL$8:$AL$507),Constants!$B$14),$AB317))</f>
        <v/>
      </c>
      <c r="AN317" s="97" t="str">
        <f aca="false">IF(ISBLANK($C317),"",IF($AB317=Constants!$B$7,IF(AK317=1,AF317,AI317),""))</f>
        <v/>
      </c>
      <c r="AO317" s="97" t="str">
        <f aca="false">IF(ISBLANK($C317),"",IF($AB317=Constants!$B$7,RANK(AN317,$AN$8:$AN$507),$AB317))</f>
        <v/>
      </c>
      <c r="AP317" s="97" t="str">
        <f aca="false">IF(ISBLANK($C317),"",IF($AB317=Constants!$B$7,IF(ISNUMBER(AM317),COUNTIFS($AM$8:$AM$507,"&lt;"&amp;$AM317)+COUNTIFS($AM$8:$AM$507,$AM317,$AO$8:$AO$507,"&lt;"&amp;$AO317)+1,Constants!$B$14),$AB317))</f>
        <v/>
      </c>
      <c r="AQ317" s="97" t="str">
        <f aca="false">IF(ISBLANK($C317),"",IF($AB317=Constants!$B$7,IF(ISNUMBER(AM317),AM317-AP317,Constants!$B$14),$AB317))</f>
        <v/>
      </c>
      <c r="AR317" s="98"/>
      <c r="AS317" s="99" t="str">
        <f aca="false">IF(ISBLANK($C317),"",IF($AB317&lt;&gt;Constants!$B$7,"",AJ317))</f>
        <v/>
      </c>
      <c r="AT317" s="100" t="str">
        <f aca="false">IF(ISBLANK($C317),"",IF($AB317&lt;&gt;Constants!$B$7,"",IF(AJ317=1,AD317,AG317)))</f>
        <v/>
      </c>
      <c r="AU317" s="101" t="str">
        <f aca="false">IF(ISBLANK($C317),"",IF($AB317&lt;&gt;Constants!$B$7,"",IF(AJ317=1,AE317,AH317)))</f>
        <v/>
      </c>
      <c r="AV317" s="102" t="str">
        <f aca="false">IF(ISBLANK($C317),"",IF($AB317&lt;&gt;Constants!$B$7,$AB317,AL317))</f>
        <v/>
      </c>
      <c r="AW317" s="103" t="str">
        <f aca="false">IF(ISBLANK($C317),"",IF($AB317&lt;&gt;Constants!$B$7,$AB317,AC317))</f>
        <v/>
      </c>
      <c r="AX317" s="104" t="str">
        <f aca="false">IF(ISBLANK($C317),"",AQ317)</f>
        <v/>
      </c>
      <c r="AY317" s="104" t="str">
        <f aca="false">IF(ISBLANK($C317),"",AP317)</f>
        <v/>
      </c>
      <c r="AZ317" s="105" t="str">
        <f aca="false">IF(ISBLANK($C317),"",IF(AY317=Constants!$B$4,COUNTA($C$8:$C$507)+2,IF(AY317=Constants!$B$5,COUNTA($C$8:$C$507)+1,IF(AY317=Constants!$B$6,COUNTA($C$8:$C$507),AY317))))</f>
        <v/>
      </c>
      <c r="BA317" s="5"/>
      <c r="BB317" s="106" t="n">
        <f aca="false">IF(OR(ISNUMBER(AY317),AY317=Constants!$B$4,AY317=Constants!$B$6,AY317=Constants!$B$5),1,0)</f>
        <v>0</v>
      </c>
      <c r="BC317" s="106" t="n">
        <v>310</v>
      </c>
      <c r="BD317" s="106" t="str">
        <f aca="false">IF(ISBLANK($C317),"",IF(ISNUMBER(AZ317),AZ317+ROW($B317)/1000,""))</f>
        <v/>
      </c>
      <c r="BE317" s="106" t="str">
        <f aca="false">IF(ISNUMBER(BD317),RANK(BD317,$BD$8:$BD$507,1),"")</f>
        <v/>
      </c>
      <c r="BF317" s="106" t="str">
        <f aca="false">IF(ISBLANK($C317),"",$B317)</f>
        <v/>
      </c>
      <c r="BG317" s="106" t="str">
        <f aca="false">IF(ISBLANK($C317),"",$C317)</f>
        <v/>
      </c>
      <c r="BH317" s="106" t="str">
        <f aca="false">IF(ISBLANK($C317),"",$D317)</f>
        <v/>
      </c>
      <c r="BI317" s="107" t="str">
        <f aca="false">AW317</f>
        <v/>
      </c>
      <c r="BJ317" s="108" t="str">
        <f aca="false">AV317</f>
        <v/>
      </c>
      <c r="BK317" s="106" t="str">
        <f aca="false">IF(ISBLANK($C317),"",AY317)</f>
        <v/>
      </c>
      <c r="BL317" s="109" t="str">
        <f aca="false">IF($BC317&gt;$BB$7,"",VLOOKUP($BC317,$BE$8:$BK$507,7,FALSE()))</f>
        <v/>
      </c>
      <c r="BM317" s="110" t="str">
        <f aca="false">IF($BC317&gt;$BB$7,"",VLOOKUP($BC317,$BE$8:$BK$507,2,FALSE()))</f>
        <v/>
      </c>
      <c r="BN317" s="110" t="str">
        <f aca="false">IF($BC317&gt;$BB$7,"",VLOOKUP($BC317,$BE$8:$BK$507,3,FALSE()))</f>
        <v/>
      </c>
      <c r="BO317" s="110" t="str">
        <f aca="false">IF($BC317&gt;$BB$7,"",VLOOKUP($BC317,$BE$8:$BK$507,4,FALSE()))</f>
        <v/>
      </c>
      <c r="BP317" s="110" t="str">
        <f aca="false">IF($BC317&gt;$BB$7,"",VLOOKUP($BC317,$BE$8:$BK$507,5,FALSE()))</f>
        <v/>
      </c>
      <c r="BQ317" s="111" t="str">
        <f aca="false">IF($BC317&gt;$BB$7,"",VLOOKUP($BC317,$BE$8:$BK$507,6,FALSE()))</f>
        <v/>
      </c>
      <c r="BR317" s="54"/>
    </row>
    <row r="318" customFormat="false" ht="15.75" hidden="false" customHeight="false" outlineLevel="0" collapsed="false">
      <c r="A318" s="5"/>
      <c r="B318" s="120"/>
      <c r="C318" s="121"/>
      <c r="D318" s="112"/>
      <c r="E318" s="123"/>
      <c r="F318" s="91"/>
      <c r="G318" s="92"/>
      <c r="H318" s="93"/>
      <c r="I318" s="94"/>
      <c r="J318" s="91"/>
      <c r="K318" s="92"/>
      <c r="L318" s="93"/>
      <c r="M318" s="94"/>
      <c r="N318" s="91"/>
      <c r="O318" s="123"/>
      <c r="P318" s="96"/>
      <c r="Q318" s="97" t="str">
        <f aca="false">IF(ISBLANK($C318),"",IF(E318=Constants!$B$2, TRUE(), IF(E318=Constants!$B$3, FALSE(), TRUE())))</f>
        <v/>
      </c>
      <c r="R318" s="97" t="str">
        <f aca="false">IF(ISBLANK($C318),"",IF(F318=Constants!$B$16,Constants!$B$9,IF(F318=Constants!$B$17,Constants!$B$10,Constants!$B$8)))</f>
        <v/>
      </c>
      <c r="S318" s="97" t="str">
        <f aca="false">IF(ISBLANK($C318),"",IF(COUNTA(G318:H318)=0,"",IF(AND(OR(ISBLANK(G318),AND(ISNUMBER(G318),G318&gt;=0)),OR(ISBLANK(H318),AND(ISNUMBER(H318),H318&gt;=0))),60*IF(ISBLANK(G318),0,G318)+IF(ISBLANK(H318),0,H318),"")))</f>
        <v/>
      </c>
      <c r="T318" s="97" t="str">
        <f aca="false">IF(ISBLANK($C318),"",IF(I318=Constants!$B$2, TRUE(), IF(I318=Constants!$B$3, FALSE(), TRUE())))</f>
        <v/>
      </c>
      <c r="U318" s="97" t="str">
        <f aca="false">IF(ISBLANK($C318),"",IF(J318=Constants!$B$2, TRUE(), IF(J318=Constants!$B$3, FALSE(), TRUE())))</f>
        <v/>
      </c>
      <c r="V318" s="97" t="str">
        <f aca="false">IF(ISBLANK($C318),"",IF(COUNTA(K318:L318)=0,"",IF(AND(OR(ISBLANK(K318),AND(ISNUMBER(K318),K318&gt;=0)),OR(ISBLANK(L318),AND(ISNUMBER(L318),L318&gt;=0))),60*IF(ISBLANK(K318),0,K318)+IF(ISBLANK(L318),0,L318),"")))</f>
        <v/>
      </c>
      <c r="W318" s="97" t="str">
        <f aca="false">IF(ISBLANK($C318),"",IF(M318=Constants!$B$2, TRUE(), IF(M318=Constants!$B$3, FALSE(), TRUE())))</f>
        <v/>
      </c>
      <c r="X318" s="97" t="str">
        <f aca="false">IF(ISBLANK($C318),"",IF(N318=Constants!$B$2, TRUE(), IF(N318=Constants!$B$3, FALSE(), TRUE())))</f>
        <v/>
      </c>
      <c r="Y318" s="97" t="str">
        <f aca="false">IF(ISBLANK($C318),"",IF(O318=Constants!$B$2, TRUE(), IF(O318=Constants!$B$3, FALSE(), FALSE())))</f>
        <v/>
      </c>
      <c r="Z318" s="97" t="str">
        <f aca="false">IF(ISBLANK($C318),"",AND(S318&lt;&gt;"",Q318))</f>
        <v/>
      </c>
      <c r="AA318" s="97" t="str">
        <f aca="false">IF(ISBLANK($C318),"",AND(V318&lt;&gt;"",Q318))</f>
        <v/>
      </c>
      <c r="AB318" s="97" t="str">
        <f aca="false">IF(ISBLANK($C318),"",IF(Y318,Constants!$B$4,IF(COUNTA(E318:N318)=0,Constants!$B$5,IF(NOT(Q318),Constants!$B$6,IF(AND(NOT(Z318),NOT(AA318)),Constants!$B$6,Constants!$B$7)))))</f>
        <v/>
      </c>
      <c r="AC318" s="97" t="str">
        <f aca="false">IF(ISBLANK($C318),"",IF($AB318&lt;&gt;Constants!$B$7,$AB318,Constants!$B$20))</f>
        <v/>
      </c>
      <c r="AD318" s="97" t="str">
        <f aca="false">IF($AB318=Constants!$B$7,IF(Z318,S318,Constants!$B$13),"")</f>
        <v/>
      </c>
      <c r="AE318" s="97" t="str">
        <f aca="false">IF($AB318=Constants!$B$7,IF(Z318,R318*IF(T318, 1, Constants!$B$11)*IF(U318, 1, Constants!$B$12),Constants!$B$13),"")</f>
        <v/>
      </c>
      <c r="AF318" s="97" t="str">
        <f aca="false">IF($AB318=Constants!$B$7,AD318*AE318,"")</f>
        <v/>
      </c>
      <c r="AG318" s="97" t="str">
        <f aca="false">IF($AB318=Constants!$B$7,IF(AA318,V318,Constants!$B$13),"")</f>
        <v/>
      </c>
      <c r="AH318" s="97" t="str">
        <f aca="false">IF($AB318=Constants!$B$7,IF(AA318,R318*IF(W318, 1, Constants!$B$11)*IF(X318, 1, Constants!$B$12),Constants!$B$13),"")</f>
        <v/>
      </c>
      <c r="AI318" s="97" t="str">
        <f aca="false">IF($AB318=Constants!$B$7,AG318*AH318,"")</f>
        <v/>
      </c>
      <c r="AJ318" s="97" t="str">
        <f aca="false">IF($AB318=Constants!$B$7,IF(AI318&gt;AF318,2,1),"")</f>
        <v/>
      </c>
      <c r="AK318" s="97" t="str">
        <f aca="false">IF($AB318=Constants!$B$7,IF(AJ318=1,2,1),"")</f>
        <v/>
      </c>
      <c r="AL318" s="97" t="str">
        <f aca="false">IF(ISBLANK($C318),"",IF($AB318&lt;&gt;Constants!$B$7,$AB318,IF(AJ318=1,AF318,AI318)))</f>
        <v/>
      </c>
      <c r="AM318" s="97" t="str">
        <f aca="false">IF(ISBLANK($C318),"",IF($AB318=Constants!$B$7,IF(ISNUMBER(AL318),RANK(AL318,$AL$8:$AL$507),Constants!$B$14),$AB318))</f>
        <v/>
      </c>
      <c r="AN318" s="97" t="str">
        <f aca="false">IF(ISBLANK($C318),"",IF($AB318=Constants!$B$7,IF(AK318=1,AF318,AI318),""))</f>
        <v/>
      </c>
      <c r="AO318" s="97" t="str">
        <f aca="false">IF(ISBLANK($C318),"",IF($AB318=Constants!$B$7,RANK(AN318,$AN$8:$AN$507),$AB318))</f>
        <v/>
      </c>
      <c r="AP318" s="97" t="str">
        <f aca="false">IF(ISBLANK($C318),"",IF($AB318=Constants!$B$7,IF(ISNUMBER(AM318),COUNTIFS($AM$8:$AM$507,"&lt;"&amp;$AM318)+COUNTIFS($AM$8:$AM$507,$AM318,$AO$8:$AO$507,"&lt;"&amp;$AO318)+1,Constants!$B$14),$AB318))</f>
        <v/>
      </c>
      <c r="AQ318" s="97" t="str">
        <f aca="false">IF(ISBLANK($C318),"",IF($AB318=Constants!$B$7,IF(ISNUMBER(AM318),AM318-AP318,Constants!$B$14),$AB318))</f>
        <v/>
      </c>
      <c r="AR318" s="98"/>
      <c r="AS318" s="99" t="str">
        <f aca="false">IF(ISBLANK($C318),"",IF($AB318&lt;&gt;Constants!$B$7,"",AJ318))</f>
        <v/>
      </c>
      <c r="AT318" s="100" t="str">
        <f aca="false">IF(ISBLANK($C318),"",IF($AB318&lt;&gt;Constants!$B$7,"",IF(AJ318=1,AD318,AG318)))</f>
        <v/>
      </c>
      <c r="AU318" s="101" t="str">
        <f aca="false">IF(ISBLANK($C318),"",IF($AB318&lt;&gt;Constants!$B$7,"",IF(AJ318=1,AE318,AH318)))</f>
        <v/>
      </c>
      <c r="AV318" s="102" t="str">
        <f aca="false">IF(ISBLANK($C318),"",IF($AB318&lt;&gt;Constants!$B$7,$AB318,AL318))</f>
        <v/>
      </c>
      <c r="AW318" s="103" t="str">
        <f aca="false">IF(ISBLANK($C318),"",IF($AB318&lt;&gt;Constants!$B$7,$AB318,AC318))</f>
        <v/>
      </c>
      <c r="AX318" s="104" t="str">
        <f aca="false">IF(ISBLANK($C318),"",AQ318)</f>
        <v/>
      </c>
      <c r="AY318" s="104" t="str">
        <f aca="false">IF(ISBLANK($C318),"",AP318)</f>
        <v/>
      </c>
      <c r="AZ318" s="105" t="str">
        <f aca="false">IF(ISBLANK($C318),"",IF(AY318=Constants!$B$4,COUNTA($C$8:$C$507)+2,IF(AY318=Constants!$B$5,COUNTA($C$8:$C$507)+1,IF(AY318=Constants!$B$6,COUNTA($C$8:$C$507),AY318))))</f>
        <v/>
      </c>
      <c r="BA318" s="5"/>
      <c r="BB318" s="106" t="n">
        <f aca="false">IF(OR(ISNUMBER(AY318),AY318=Constants!$B$4,AY318=Constants!$B$6,AY318=Constants!$B$5),1,0)</f>
        <v>0</v>
      </c>
      <c r="BC318" s="106" t="n">
        <v>311</v>
      </c>
      <c r="BD318" s="106" t="str">
        <f aca="false">IF(ISBLANK($C318),"",IF(ISNUMBER(AZ318),AZ318+ROW($B318)/1000,""))</f>
        <v/>
      </c>
      <c r="BE318" s="106" t="str">
        <f aca="false">IF(ISNUMBER(BD318),RANK(BD318,$BD$8:$BD$507,1),"")</f>
        <v/>
      </c>
      <c r="BF318" s="106" t="str">
        <f aca="false">IF(ISBLANK($C318),"",$B318)</f>
        <v/>
      </c>
      <c r="BG318" s="106" t="str">
        <f aca="false">IF(ISBLANK($C318),"",$C318)</f>
        <v/>
      </c>
      <c r="BH318" s="106" t="str">
        <f aca="false">IF(ISBLANK($C318),"",$D318)</f>
        <v/>
      </c>
      <c r="BI318" s="107" t="str">
        <f aca="false">AW318</f>
        <v/>
      </c>
      <c r="BJ318" s="108" t="str">
        <f aca="false">AV318</f>
        <v/>
      </c>
      <c r="BK318" s="106" t="str">
        <f aca="false">IF(ISBLANK($C318),"",AY318)</f>
        <v/>
      </c>
      <c r="BL318" s="109" t="str">
        <f aca="false">IF($BC318&gt;$BB$7,"",VLOOKUP($BC318,$BE$8:$BK$507,7,FALSE()))</f>
        <v/>
      </c>
      <c r="BM318" s="110" t="str">
        <f aca="false">IF($BC318&gt;$BB$7,"",VLOOKUP($BC318,$BE$8:$BK$507,2,FALSE()))</f>
        <v/>
      </c>
      <c r="BN318" s="110" t="str">
        <f aca="false">IF($BC318&gt;$BB$7,"",VLOOKUP($BC318,$BE$8:$BK$507,3,FALSE()))</f>
        <v/>
      </c>
      <c r="BO318" s="110" t="str">
        <f aca="false">IF($BC318&gt;$BB$7,"",VLOOKUP($BC318,$BE$8:$BK$507,4,FALSE()))</f>
        <v/>
      </c>
      <c r="BP318" s="110" t="str">
        <f aca="false">IF($BC318&gt;$BB$7,"",VLOOKUP($BC318,$BE$8:$BK$507,5,FALSE()))</f>
        <v/>
      </c>
      <c r="BQ318" s="111" t="str">
        <f aca="false">IF($BC318&gt;$BB$7,"",VLOOKUP($BC318,$BE$8:$BK$507,6,FALSE()))</f>
        <v/>
      </c>
      <c r="BR318" s="54"/>
    </row>
    <row r="319" customFormat="false" ht="15.75" hidden="false" customHeight="false" outlineLevel="0" collapsed="false">
      <c r="A319" s="5"/>
      <c r="B319" s="120"/>
      <c r="C319" s="121"/>
      <c r="D319" s="112"/>
      <c r="E319" s="123"/>
      <c r="F319" s="91"/>
      <c r="G319" s="92"/>
      <c r="H319" s="93"/>
      <c r="I319" s="94"/>
      <c r="J319" s="91"/>
      <c r="K319" s="92"/>
      <c r="L319" s="93"/>
      <c r="M319" s="94"/>
      <c r="N319" s="91"/>
      <c r="O319" s="123"/>
      <c r="P319" s="96"/>
      <c r="Q319" s="97" t="str">
        <f aca="false">IF(ISBLANK($C319),"",IF(E319=Constants!$B$2, TRUE(), IF(E319=Constants!$B$3, FALSE(), TRUE())))</f>
        <v/>
      </c>
      <c r="R319" s="97" t="str">
        <f aca="false">IF(ISBLANK($C319),"",IF(F319=Constants!$B$16,Constants!$B$9,IF(F319=Constants!$B$17,Constants!$B$10,Constants!$B$8)))</f>
        <v/>
      </c>
      <c r="S319" s="97" t="str">
        <f aca="false">IF(ISBLANK($C319),"",IF(COUNTA(G319:H319)=0,"",IF(AND(OR(ISBLANK(G319),AND(ISNUMBER(G319),G319&gt;=0)),OR(ISBLANK(H319),AND(ISNUMBER(H319),H319&gt;=0))),60*IF(ISBLANK(G319),0,G319)+IF(ISBLANK(H319),0,H319),"")))</f>
        <v/>
      </c>
      <c r="T319" s="97" t="str">
        <f aca="false">IF(ISBLANK($C319),"",IF(I319=Constants!$B$2, TRUE(), IF(I319=Constants!$B$3, FALSE(), TRUE())))</f>
        <v/>
      </c>
      <c r="U319" s="97" t="str">
        <f aca="false">IF(ISBLANK($C319),"",IF(J319=Constants!$B$2, TRUE(), IF(J319=Constants!$B$3, FALSE(), TRUE())))</f>
        <v/>
      </c>
      <c r="V319" s="97" t="str">
        <f aca="false">IF(ISBLANK($C319),"",IF(COUNTA(K319:L319)=0,"",IF(AND(OR(ISBLANK(K319),AND(ISNUMBER(K319),K319&gt;=0)),OR(ISBLANK(L319),AND(ISNUMBER(L319),L319&gt;=0))),60*IF(ISBLANK(K319),0,K319)+IF(ISBLANK(L319),0,L319),"")))</f>
        <v/>
      </c>
      <c r="W319" s="97" t="str">
        <f aca="false">IF(ISBLANK($C319),"",IF(M319=Constants!$B$2, TRUE(), IF(M319=Constants!$B$3, FALSE(), TRUE())))</f>
        <v/>
      </c>
      <c r="X319" s="97" t="str">
        <f aca="false">IF(ISBLANK($C319),"",IF(N319=Constants!$B$2, TRUE(), IF(N319=Constants!$B$3, FALSE(), TRUE())))</f>
        <v/>
      </c>
      <c r="Y319" s="97" t="str">
        <f aca="false">IF(ISBLANK($C319),"",IF(O319=Constants!$B$2, TRUE(), IF(O319=Constants!$B$3, FALSE(), FALSE())))</f>
        <v/>
      </c>
      <c r="Z319" s="97" t="str">
        <f aca="false">IF(ISBLANK($C319),"",AND(S319&lt;&gt;"",Q319))</f>
        <v/>
      </c>
      <c r="AA319" s="97" t="str">
        <f aca="false">IF(ISBLANK($C319),"",AND(V319&lt;&gt;"",Q319))</f>
        <v/>
      </c>
      <c r="AB319" s="97" t="str">
        <f aca="false">IF(ISBLANK($C319),"",IF(Y319,Constants!$B$4,IF(COUNTA(E319:N319)=0,Constants!$B$5,IF(NOT(Q319),Constants!$B$6,IF(AND(NOT(Z319),NOT(AA319)),Constants!$B$6,Constants!$B$7)))))</f>
        <v/>
      </c>
      <c r="AC319" s="97" t="str">
        <f aca="false">IF(ISBLANK($C319),"",IF($AB319&lt;&gt;Constants!$B$7,$AB319,Constants!$B$20))</f>
        <v/>
      </c>
      <c r="AD319" s="97" t="str">
        <f aca="false">IF($AB319=Constants!$B$7,IF(Z319,S319,Constants!$B$13),"")</f>
        <v/>
      </c>
      <c r="AE319" s="97" t="str">
        <f aca="false">IF($AB319=Constants!$B$7,IF(Z319,R319*IF(T319, 1, Constants!$B$11)*IF(U319, 1, Constants!$B$12),Constants!$B$13),"")</f>
        <v/>
      </c>
      <c r="AF319" s="97" t="str">
        <f aca="false">IF($AB319=Constants!$B$7,AD319*AE319,"")</f>
        <v/>
      </c>
      <c r="AG319" s="97" t="str">
        <f aca="false">IF($AB319=Constants!$B$7,IF(AA319,V319,Constants!$B$13),"")</f>
        <v/>
      </c>
      <c r="AH319" s="97" t="str">
        <f aca="false">IF($AB319=Constants!$B$7,IF(AA319,R319*IF(W319, 1, Constants!$B$11)*IF(X319, 1, Constants!$B$12),Constants!$B$13),"")</f>
        <v/>
      </c>
      <c r="AI319" s="97" t="str">
        <f aca="false">IF($AB319=Constants!$B$7,AG319*AH319,"")</f>
        <v/>
      </c>
      <c r="AJ319" s="97" t="str">
        <f aca="false">IF($AB319=Constants!$B$7,IF(AI319&gt;AF319,2,1),"")</f>
        <v/>
      </c>
      <c r="AK319" s="97" t="str">
        <f aca="false">IF($AB319=Constants!$B$7,IF(AJ319=1,2,1),"")</f>
        <v/>
      </c>
      <c r="AL319" s="97" t="str">
        <f aca="false">IF(ISBLANK($C319),"",IF($AB319&lt;&gt;Constants!$B$7,$AB319,IF(AJ319=1,AF319,AI319)))</f>
        <v/>
      </c>
      <c r="AM319" s="97" t="str">
        <f aca="false">IF(ISBLANK($C319),"",IF($AB319=Constants!$B$7,IF(ISNUMBER(AL319),RANK(AL319,$AL$8:$AL$507),Constants!$B$14),$AB319))</f>
        <v/>
      </c>
      <c r="AN319" s="97" t="str">
        <f aca="false">IF(ISBLANK($C319),"",IF($AB319=Constants!$B$7,IF(AK319=1,AF319,AI319),""))</f>
        <v/>
      </c>
      <c r="AO319" s="97" t="str">
        <f aca="false">IF(ISBLANK($C319),"",IF($AB319=Constants!$B$7,RANK(AN319,$AN$8:$AN$507),$AB319))</f>
        <v/>
      </c>
      <c r="AP319" s="97" t="str">
        <f aca="false">IF(ISBLANK($C319),"",IF($AB319=Constants!$B$7,IF(ISNUMBER(AM319),COUNTIFS($AM$8:$AM$507,"&lt;"&amp;$AM319)+COUNTIFS($AM$8:$AM$507,$AM319,$AO$8:$AO$507,"&lt;"&amp;$AO319)+1,Constants!$B$14),$AB319))</f>
        <v/>
      </c>
      <c r="AQ319" s="97" t="str">
        <f aca="false">IF(ISBLANK($C319),"",IF($AB319=Constants!$B$7,IF(ISNUMBER(AM319),AM319-AP319,Constants!$B$14),$AB319))</f>
        <v/>
      </c>
      <c r="AR319" s="98"/>
      <c r="AS319" s="99" t="str">
        <f aca="false">IF(ISBLANK($C319),"",IF($AB319&lt;&gt;Constants!$B$7,"",AJ319))</f>
        <v/>
      </c>
      <c r="AT319" s="100" t="str">
        <f aca="false">IF(ISBLANK($C319),"",IF($AB319&lt;&gt;Constants!$B$7,"",IF(AJ319=1,AD319,AG319)))</f>
        <v/>
      </c>
      <c r="AU319" s="101" t="str">
        <f aca="false">IF(ISBLANK($C319),"",IF($AB319&lt;&gt;Constants!$B$7,"",IF(AJ319=1,AE319,AH319)))</f>
        <v/>
      </c>
      <c r="AV319" s="102" t="str">
        <f aca="false">IF(ISBLANK($C319),"",IF($AB319&lt;&gt;Constants!$B$7,$AB319,AL319))</f>
        <v/>
      </c>
      <c r="AW319" s="103" t="str">
        <f aca="false">IF(ISBLANK($C319),"",IF($AB319&lt;&gt;Constants!$B$7,$AB319,AC319))</f>
        <v/>
      </c>
      <c r="AX319" s="104" t="str">
        <f aca="false">IF(ISBLANK($C319),"",AQ319)</f>
        <v/>
      </c>
      <c r="AY319" s="104" t="str">
        <f aca="false">IF(ISBLANK($C319),"",AP319)</f>
        <v/>
      </c>
      <c r="AZ319" s="105" t="str">
        <f aca="false">IF(ISBLANK($C319),"",IF(AY319=Constants!$B$4,COUNTA($C$8:$C$507)+2,IF(AY319=Constants!$B$5,COUNTA($C$8:$C$507)+1,IF(AY319=Constants!$B$6,COUNTA($C$8:$C$507),AY319))))</f>
        <v/>
      </c>
      <c r="BA319" s="5"/>
      <c r="BB319" s="106" t="n">
        <f aca="false">IF(OR(ISNUMBER(AY319),AY319=Constants!$B$4,AY319=Constants!$B$6,AY319=Constants!$B$5),1,0)</f>
        <v>0</v>
      </c>
      <c r="BC319" s="106" t="n">
        <v>312</v>
      </c>
      <c r="BD319" s="106" t="str">
        <f aca="false">IF(ISBLANK($C319),"",IF(ISNUMBER(AZ319),AZ319+ROW($B319)/1000,""))</f>
        <v/>
      </c>
      <c r="BE319" s="106" t="str">
        <f aca="false">IF(ISNUMBER(BD319),RANK(BD319,$BD$8:$BD$507,1),"")</f>
        <v/>
      </c>
      <c r="BF319" s="106" t="str">
        <f aca="false">IF(ISBLANK($C319),"",$B319)</f>
        <v/>
      </c>
      <c r="BG319" s="106" t="str">
        <f aca="false">IF(ISBLANK($C319),"",$C319)</f>
        <v/>
      </c>
      <c r="BH319" s="106" t="str">
        <f aca="false">IF(ISBLANK($C319),"",$D319)</f>
        <v/>
      </c>
      <c r="BI319" s="107" t="str">
        <f aca="false">AW319</f>
        <v/>
      </c>
      <c r="BJ319" s="108" t="str">
        <f aca="false">AV319</f>
        <v/>
      </c>
      <c r="BK319" s="106" t="str">
        <f aca="false">IF(ISBLANK($C319),"",AY319)</f>
        <v/>
      </c>
      <c r="BL319" s="109" t="str">
        <f aca="false">IF($BC319&gt;$BB$7,"",VLOOKUP($BC319,$BE$8:$BK$507,7,FALSE()))</f>
        <v/>
      </c>
      <c r="BM319" s="110" t="str">
        <f aca="false">IF($BC319&gt;$BB$7,"",VLOOKUP($BC319,$BE$8:$BK$507,2,FALSE()))</f>
        <v/>
      </c>
      <c r="BN319" s="110" t="str">
        <f aca="false">IF($BC319&gt;$BB$7,"",VLOOKUP($BC319,$BE$8:$BK$507,3,FALSE()))</f>
        <v/>
      </c>
      <c r="BO319" s="110" t="str">
        <f aca="false">IF($BC319&gt;$BB$7,"",VLOOKUP($BC319,$BE$8:$BK$507,4,FALSE()))</f>
        <v/>
      </c>
      <c r="BP319" s="110" t="str">
        <f aca="false">IF($BC319&gt;$BB$7,"",VLOOKUP($BC319,$BE$8:$BK$507,5,FALSE()))</f>
        <v/>
      </c>
      <c r="BQ319" s="111" t="str">
        <f aca="false">IF($BC319&gt;$BB$7,"",VLOOKUP($BC319,$BE$8:$BK$507,6,FALSE()))</f>
        <v/>
      </c>
      <c r="BR319" s="54"/>
    </row>
    <row r="320" customFormat="false" ht="15.75" hidden="false" customHeight="false" outlineLevel="0" collapsed="false">
      <c r="A320" s="5"/>
      <c r="B320" s="124"/>
      <c r="C320" s="56"/>
      <c r="D320" s="57"/>
      <c r="E320" s="83"/>
      <c r="F320" s="59"/>
      <c r="G320" s="60"/>
      <c r="H320" s="61"/>
      <c r="I320" s="62"/>
      <c r="J320" s="59"/>
      <c r="K320" s="60"/>
      <c r="L320" s="61"/>
      <c r="M320" s="62"/>
      <c r="N320" s="59"/>
      <c r="O320" s="83"/>
      <c r="P320" s="64"/>
      <c r="Q320" s="66" t="str">
        <f aca="false">IF(ISBLANK($C320),"",IF(E320=Constants!$B$2, TRUE(), IF(E320=Constants!$B$3, FALSE(), TRUE())))</f>
        <v/>
      </c>
      <c r="R320" s="66" t="str">
        <f aca="false">IF(ISBLANK($C320),"",IF(F320=Constants!$B$16,Constants!$B$9,IF(F320=Constants!$B$17,Constants!$B$10,Constants!$B$8)))</f>
        <v/>
      </c>
      <c r="S320" s="66" t="str">
        <f aca="false">IF(ISBLANK($C320),"",IF(COUNTA(G320:H320)=0,"",IF(AND(OR(ISBLANK(G320),AND(ISNUMBER(G320),G320&gt;=0)),OR(ISBLANK(H320),AND(ISNUMBER(H320),H320&gt;=0))),60*IF(ISBLANK(G320),0,G320)+IF(ISBLANK(H320),0,H320),"")))</f>
        <v/>
      </c>
      <c r="T320" s="66" t="str">
        <f aca="false">IF(ISBLANK($C320),"",IF(I320=Constants!$B$2, TRUE(), IF(I320=Constants!$B$3, FALSE(), TRUE())))</f>
        <v/>
      </c>
      <c r="U320" s="66" t="str">
        <f aca="false">IF(ISBLANK($C320),"",IF(J320=Constants!$B$2, TRUE(), IF(J320=Constants!$B$3, FALSE(), TRUE())))</f>
        <v/>
      </c>
      <c r="V320" s="66" t="str">
        <f aca="false">IF(ISBLANK($C320),"",IF(COUNTA(K320:L320)=0,"",IF(AND(OR(ISBLANK(K320),AND(ISNUMBER(K320),K320&gt;=0)),OR(ISBLANK(L320),AND(ISNUMBER(L320),L320&gt;=0))),60*IF(ISBLANK(K320),0,K320)+IF(ISBLANK(L320),0,L320),"")))</f>
        <v/>
      </c>
      <c r="W320" s="66" t="str">
        <f aca="false">IF(ISBLANK($C320),"",IF(M320=Constants!$B$2, TRUE(), IF(M320=Constants!$B$3, FALSE(), TRUE())))</f>
        <v/>
      </c>
      <c r="X320" s="66" t="str">
        <f aca="false">IF(ISBLANK($C320),"",IF(N320=Constants!$B$2, TRUE(), IF(N320=Constants!$B$3, FALSE(), TRUE())))</f>
        <v/>
      </c>
      <c r="Y320" s="66" t="str">
        <f aca="false">IF(ISBLANK($C320),"",IF(O320=Constants!$B$2, TRUE(), IF(O320=Constants!$B$3, FALSE(), FALSE())))</f>
        <v/>
      </c>
      <c r="Z320" s="66" t="str">
        <f aca="false">IF(ISBLANK($C320),"",AND(S320&lt;&gt;"",Q320))</f>
        <v/>
      </c>
      <c r="AA320" s="66" t="str">
        <f aca="false">IF(ISBLANK($C320),"",AND(V320&lt;&gt;"",Q320))</f>
        <v/>
      </c>
      <c r="AB320" s="66" t="str">
        <f aca="false">IF(ISBLANK($C320),"",IF(Y320,Constants!$B$4,IF(COUNTA(E320:N320)=0,Constants!$B$5,IF(NOT(Q320),Constants!$B$6,IF(AND(NOT(Z320),NOT(AA320)),Constants!$B$6,Constants!$B$7)))))</f>
        <v/>
      </c>
      <c r="AC320" s="66" t="str">
        <f aca="false">IF(ISBLANK($C320),"",IF($AB320&lt;&gt;Constants!$B$7,$AB320,Constants!$B$20))</f>
        <v/>
      </c>
      <c r="AD320" s="66" t="str">
        <f aca="false">IF($AB320=Constants!$B$7,IF(Z320,S320,Constants!$B$13),"")</f>
        <v/>
      </c>
      <c r="AE320" s="66" t="str">
        <f aca="false">IF($AB320=Constants!$B$7,IF(Z320,R320*IF(T320, 1, Constants!$B$11)*IF(U320, 1, Constants!$B$12),Constants!$B$13),"")</f>
        <v/>
      </c>
      <c r="AF320" s="66" t="str">
        <f aca="false">IF($AB320=Constants!$B$7,AD320*AE320,"")</f>
        <v/>
      </c>
      <c r="AG320" s="66" t="str">
        <f aca="false">IF($AB320=Constants!$B$7,IF(AA320,V320,Constants!$B$13),"")</f>
        <v/>
      </c>
      <c r="AH320" s="66" t="str">
        <f aca="false">IF($AB320=Constants!$B$7,IF(AA320,R320*IF(W320, 1, Constants!$B$11)*IF(X320, 1, Constants!$B$12),Constants!$B$13),"")</f>
        <v/>
      </c>
      <c r="AI320" s="66" t="str">
        <f aca="false">IF($AB320=Constants!$B$7,AG320*AH320,"")</f>
        <v/>
      </c>
      <c r="AJ320" s="66" t="str">
        <f aca="false">IF($AB320=Constants!$B$7,IF(AI320&gt;AF320,2,1),"")</f>
        <v/>
      </c>
      <c r="AK320" s="66" t="str">
        <f aca="false">IF($AB320=Constants!$B$7,IF(AJ320=1,2,1),"")</f>
        <v/>
      </c>
      <c r="AL320" s="66" t="str">
        <f aca="false">IF(ISBLANK($C320),"",IF($AB320&lt;&gt;Constants!$B$7,$AB320,IF(AJ320=1,AF320,AI320)))</f>
        <v/>
      </c>
      <c r="AM320" s="66" t="str">
        <f aca="false">IF(ISBLANK($C320),"",IF($AB320=Constants!$B$7,IF(ISNUMBER(AL320),RANK(AL320,$AL$8:$AL$507),Constants!$B$14),$AB320))</f>
        <v/>
      </c>
      <c r="AN320" s="66" t="str">
        <f aca="false">IF(ISBLANK($C320),"",IF($AB320=Constants!$B$7,IF(AK320=1,AF320,AI320),""))</f>
        <v/>
      </c>
      <c r="AO320" s="66" t="str">
        <f aca="false">IF(ISBLANK($C320),"",IF($AB320=Constants!$B$7,RANK(AN320,$AN$8:$AN$507),$AB320))</f>
        <v/>
      </c>
      <c r="AP320" s="66" t="str">
        <f aca="false">IF(ISBLANK($C320),"",IF($AB320=Constants!$B$7,IF(ISNUMBER(AM320),COUNTIFS($AM$8:$AM$507,"&lt;"&amp;$AM320)+COUNTIFS($AM$8:$AM$507,$AM320,$AO$8:$AO$507,"&lt;"&amp;$AO320)+1,Constants!$B$14),$AB320))</f>
        <v/>
      </c>
      <c r="AQ320" s="66" t="str">
        <f aca="false">IF(ISBLANK($C320),"",IF($AB320=Constants!$B$7,IF(ISNUMBER(AM320),AM320-AP320,Constants!$B$14),$AB320))</f>
        <v/>
      </c>
      <c r="AR320" s="68"/>
      <c r="AS320" s="69" t="str">
        <f aca="false">IF(ISBLANK($C320),"",IF($AB320&lt;&gt;Constants!$B$7,"",AJ320))</f>
        <v/>
      </c>
      <c r="AT320" s="84" t="str">
        <f aca="false">IF(ISBLANK($C320),"",IF($AB320&lt;&gt;Constants!$B$7,"",IF(AJ320=1,AD320,AG320)))</f>
        <v/>
      </c>
      <c r="AU320" s="71" t="str">
        <f aca="false">IF(ISBLANK($C320),"",IF($AB320&lt;&gt;Constants!$B$7,"",IF(AJ320=1,AE320,AH320)))</f>
        <v/>
      </c>
      <c r="AV320" s="72" t="str">
        <f aca="false">IF(ISBLANK($C320),"",IF($AB320&lt;&gt;Constants!$B$7,$AB320,AL320))</f>
        <v/>
      </c>
      <c r="AW320" s="73" t="str">
        <f aca="false">IF(ISBLANK($C320),"",IF($AB320&lt;&gt;Constants!$B$7,$AB320,AC320))</f>
        <v/>
      </c>
      <c r="AX320" s="74" t="str">
        <f aca="false">IF(ISBLANK($C320),"",AQ320)</f>
        <v/>
      </c>
      <c r="AY320" s="74" t="str">
        <f aca="false">IF(ISBLANK($C320),"",AP320)</f>
        <v/>
      </c>
      <c r="AZ320" s="75" t="str">
        <f aca="false">IF(ISBLANK($C320),"",IF(AY320=Constants!$B$4,COUNTA($C$8:$C$507)+2,IF(AY320=Constants!$B$5,COUNTA($C$8:$C$507)+1,IF(AY320=Constants!$B$6,COUNTA($C$8:$C$507),AY320))))</f>
        <v/>
      </c>
      <c r="BA320" s="5"/>
      <c r="BB320" s="76" t="n">
        <f aca="false">IF(OR(ISNUMBER(AY320),AY320=Constants!$B$4,AY320=Constants!$B$6,AY320=Constants!$B$5),1,0)</f>
        <v>0</v>
      </c>
      <c r="BC320" s="76" t="n">
        <v>313</v>
      </c>
      <c r="BD320" s="76" t="str">
        <f aca="false">IF(ISBLANK($C320),"",IF(ISNUMBER(AZ320),AZ320+ROW($B320)/1000,""))</f>
        <v/>
      </c>
      <c r="BE320" s="76" t="str">
        <f aca="false">IF(ISNUMBER(BD320),RANK(BD320,$BD$8:$BD$507,1),"")</f>
        <v/>
      </c>
      <c r="BF320" s="76" t="str">
        <f aca="false">IF(ISBLANK($C320),"",$B320)</f>
        <v/>
      </c>
      <c r="BG320" s="76" t="str">
        <f aca="false">IF(ISBLANK($C320),"",$C320)</f>
        <v/>
      </c>
      <c r="BH320" s="76" t="str">
        <f aca="false">IF(ISBLANK($C320),"",$D320)</f>
        <v/>
      </c>
      <c r="BI320" s="77" t="str">
        <f aca="false">AW320</f>
        <v/>
      </c>
      <c r="BJ320" s="78" t="str">
        <f aca="false">AV320</f>
        <v/>
      </c>
      <c r="BK320" s="76" t="str">
        <f aca="false">IF(ISBLANK($C320),"",AY320)</f>
        <v/>
      </c>
      <c r="BL320" s="79" t="str">
        <f aca="false">IF($BC320&gt;$BB$7,"",VLOOKUP($BC320,$BE$8:$BK$507,7,FALSE()))</f>
        <v/>
      </c>
      <c r="BM320" s="80" t="str">
        <f aca="false">IF($BC320&gt;$BB$7,"",VLOOKUP($BC320,$BE$8:$BK$507,2,FALSE()))</f>
        <v/>
      </c>
      <c r="BN320" s="80" t="str">
        <f aca="false">IF($BC320&gt;$BB$7,"",VLOOKUP($BC320,$BE$8:$BK$507,3,FALSE()))</f>
        <v/>
      </c>
      <c r="BO320" s="80" t="str">
        <f aca="false">IF($BC320&gt;$BB$7,"",VLOOKUP($BC320,$BE$8:$BK$507,4,FALSE()))</f>
        <v/>
      </c>
      <c r="BP320" s="80" t="str">
        <f aca="false">IF($BC320&gt;$BB$7,"",VLOOKUP($BC320,$BE$8:$BK$507,5,FALSE()))</f>
        <v/>
      </c>
      <c r="BQ320" s="81" t="str">
        <f aca="false">IF($BC320&gt;$BB$7,"",VLOOKUP($BC320,$BE$8:$BK$507,6,FALSE()))</f>
        <v/>
      </c>
      <c r="BR320" s="54"/>
    </row>
    <row r="321" customFormat="false" ht="15.75" hidden="false" customHeight="false" outlineLevel="0" collapsed="false">
      <c r="A321" s="5"/>
      <c r="B321" s="124"/>
      <c r="C321" s="56"/>
      <c r="D321" s="57"/>
      <c r="E321" s="83"/>
      <c r="F321" s="59"/>
      <c r="G321" s="60"/>
      <c r="H321" s="61"/>
      <c r="I321" s="62"/>
      <c r="J321" s="59"/>
      <c r="K321" s="60"/>
      <c r="L321" s="61"/>
      <c r="M321" s="62"/>
      <c r="N321" s="59"/>
      <c r="O321" s="83"/>
      <c r="P321" s="64"/>
      <c r="Q321" s="66" t="str">
        <f aca="false">IF(ISBLANK($C321),"",IF(E321=Constants!$B$2, TRUE(), IF(E321=Constants!$B$3, FALSE(), TRUE())))</f>
        <v/>
      </c>
      <c r="R321" s="66" t="str">
        <f aca="false">IF(ISBLANK($C321),"",IF(F321=Constants!$B$16,Constants!$B$9,IF(F321=Constants!$B$17,Constants!$B$10,Constants!$B$8)))</f>
        <v/>
      </c>
      <c r="S321" s="66" t="str">
        <f aca="false">IF(ISBLANK($C321),"",IF(COUNTA(G321:H321)=0,"",IF(AND(OR(ISBLANK(G321),AND(ISNUMBER(G321),G321&gt;=0)),OR(ISBLANK(H321),AND(ISNUMBER(H321),H321&gt;=0))),60*IF(ISBLANK(G321),0,G321)+IF(ISBLANK(H321),0,H321),"")))</f>
        <v/>
      </c>
      <c r="T321" s="66" t="str">
        <f aca="false">IF(ISBLANK($C321),"",IF(I321=Constants!$B$2, TRUE(), IF(I321=Constants!$B$3, FALSE(), TRUE())))</f>
        <v/>
      </c>
      <c r="U321" s="66" t="str">
        <f aca="false">IF(ISBLANK($C321),"",IF(J321=Constants!$B$2, TRUE(), IF(J321=Constants!$B$3, FALSE(), TRUE())))</f>
        <v/>
      </c>
      <c r="V321" s="66" t="str">
        <f aca="false">IF(ISBLANK($C321),"",IF(COUNTA(K321:L321)=0,"",IF(AND(OR(ISBLANK(K321),AND(ISNUMBER(K321),K321&gt;=0)),OR(ISBLANK(L321),AND(ISNUMBER(L321),L321&gt;=0))),60*IF(ISBLANK(K321),0,K321)+IF(ISBLANK(L321),0,L321),"")))</f>
        <v/>
      </c>
      <c r="W321" s="66" t="str">
        <f aca="false">IF(ISBLANK($C321),"",IF(M321=Constants!$B$2, TRUE(), IF(M321=Constants!$B$3, FALSE(), TRUE())))</f>
        <v/>
      </c>
      <c r="X321" s="66" t="str">
        <f aca="false">IF(ISBLANK($C321),"",IF(N321=Constants!$B$2, TRUE(), IF(N321=Constants!$B$3, FALSE(), TRUE())))</f>
        <v/>
      </c>
      <c r="Y321" s="66" t="str">
        <f aca="false">IF(ISBLANK($C321),"",IF(O321=Constants!$B$2, TRUE(), IF(O321=Constants!$B$3, FALSE(), FALSE())))</f>
        <v/>
      </c>
      <c r="Z321" s="66" t="str">
        <f aca="false">IF(ISBLANK($C321),"",AND(S321&lt;&gt;"",Q321))</f>
        <v/>
      </c>
      <c r="AA321" s="66" t="str">
        <f aca="false">IF(ISBLANK($C321),"",AND(V321&lt;&gt;"",Q321))</f>
        <v/>
      </c>
      <c r="AB321" s="66" t="str">
        <f aca="false">IF(ISBLANK($C321),"",IF(Y321,Constants!$B$4,IF(COUNTA(E321:N321)=0,Constants!$B$5,IF(NOT(Q321),Constants!$B$6,IF(AND(NOT(Z321),NOT(AA321)),Constants!$B$6,Constants!$B$7)))))</f>
        <v/>
      </c>
      <c r="AC321" s="66" t="str">
        <f aca="false">IF(ISBLANK($C321),"",IF($AB321&lt;&gt;Constants!$B$7,$AB321,Constants!$B$20))</f>
        <v/>
      </c>
      <c r="AD321" s="66" t="str">
        <f aca="false">IF($AB321=Constants!$B$7,IF(Z321,S321,Constants!$B$13),"")</f>
        <v/>
      </c>
      <c r="AE321" s="66" t="str">
        <f aca="false">IF($AB321=Constants!$B$7,IF(Z321,R321*IF(T321, 1, Constants!$B$11)*IF(U321, 1, Constants!$B$12),Constants!$B$13),"")</f>
        <v/>
      </c>
      <c r="AF321" s="66" t="str">
        <f aca="false">IF($AB321=Constants!$B$7,AD321*AE321,"")</f>
        <v/>
      </c>
      <c r="AG321" s="66" t="str">
        <f aca="false">IF($AB321=Constants!$B$7,IF(AA321,V321,Constants!$B$13),"")</f>
        <v/>
      </c>
      <c r="AH321" s="66" t="str">
        <f aca="false">IF($AB321=Constants!$B$7,IF(AA321,R321*IF(W321, 1, Constants!$B$11)*IF(X321, 1, Constants!$B$12),Constants!$B$13),"")</f>
        <v/>
      </c>
      <c r="AI321" s="66" t="str">
        <f aca="false">IF($AB321=Constants!$B$7,AG321*AH321,"")</f>
        <v/>
      </c>
      <c r="AJ321" s="66" t="str">
        <f aca="false">IF($AB321=Constants!$B$7,IF(AI321&gt;AF321,2,1),"")</f>
        <v/>
      </c>
      <c r="AK321" s="66" t="str">
        <f aca="false">IF($AB321=Constants!$B$7,IF(AJ321=1,2,1),"")</f>
        <v/>
      </c>
      <c r="AL321" s="66" t="str">
        <f aca="false">IF(ISBLANK($C321),"",IF($AB321&lt;&gt;Constants!$B$7,$AB321,IF(AJ321=1,AF321,AI321)))</f>
        <v/>
      </c>
      <c r="AM321" s="66" t="str">
        <f aca="false">IF(ISBLANK($C321),"",IF($AB321=Constants!$B$7,IF(ISNUMBER(AL321),RANK(AL321,$AL$8:$AL$507),Constants!$B$14),$AB321))</f>
        <v/>
      </c>
      <c r="AN321" s="66" t="str">
        <f aca="false">IF(ISBLANK($C321),"",IF($AB321=Constants!$B$7,IF(AK321=1,AF321,AI321),""))</f>
        <v/>
      </c>
      <c r="AO321" s="66" t="str">
        <f aca="false">IF(ISBLANK($C321),"",IF($AB321=Constants!$B$7,RANK(AN321,$AN$8:$AN$507),$AB321))</f>
        <v/>
      </c>
      <c r="AP321" s="66" t="str">
        <f aca="false">IF(ISBLANK($C321),"",IF($AB321=Constants!$B$7,IF(ISNUMBER(AM321),COUNTIFS($AM$8:$AM$507,"&lt;"&amp;$AM321)+COUNTIFS($AM$8:$AM$507,$AM321,$AO$8:$AO$507,"&lt;"&amp;$AO321)+1,Constants!$B$14),$AB321))</f>
        <v/>
      </c>
      <c r="AQ321" s="66" t="str">
        <f aca="false">IF(ISBLANK($C321),"",IF($AB321=Constants!$B$7,IF(ISNUMBER(AM321),AM321-AP321,Constants!$B$14),$AB321))</f>
        <v/>
      </c>
      <c r="AR321" s="68"/>
      <c r="AS321" s="69" t="str">
        <f aca="false">IF(ISBLANK($C321),"",IF($AB321&lt;&gt;Constants!$B$7,"",AJ321))</f>
        <v/>
      </c>
      <c r="AT321" s="84" t="str">
        <f aca="false">IF(ISBLANK($C321),"",IF($AB321&lt;&gt;Constants!$B$7,"",IF(AJ321=1,AD321,AG321)))</f>
        <v/>
      </c>
      <c r="AU321" s="71" t="str">
        <f aca="false">IF(ISBLANK($C321),"",IF($AB321&lt;&gt;Constants!$B$7,"",IF(AJ321=1,AE321,AH321)))</f>
        <v/>
      </c>
      <c r="AV321" s="72" t="str">
        <f aca="false">IF(ISBLANK($C321),"",IF($AB321&lt;&gt;Constants!$B$7,$AB321,AL321))</f>
        <v/>
      </c>
      <c r="AW321" s="73" t="str">
        <f aca="false">IF(ISBLANK($C321),"",IF($AB321&lt;&gt;Constants!$B$7,$AB321,AC321))</f>
        <v/>
      </c>
      <c r="AX321" s="74" t="str">
        <f aca="false">IF(ISBLANK($C321),"",AQ321)</f>
        <v/>
      </c>
      <c r="AY321" s="74" t="str">
        <f aca="false">IF(ISBLANK($C321),"",AP321)</f>
        <v/>
      </c>
      <c r="AZ321" s="75" t="str">
        <f aca="false">IF(ISBLANK($C321),"",IF(AY321=Constants!$B$4,COUNTA($C$8:$C$507)+2,IF(AY321=Constants!$B$5,COUNTA($C$8:$C$507)+1,IF(AY321=Constants!$B$6,COUNTA($C$8:$C$507),AY321))))</f>
        <v/>
      </c>
      <c r="BA321" s="5"/>
      <c r="BB321" s="76" t="n">
        <f aca="false">IF(OR(ISNUMBER(AY321),AY321=Constants!$B$4,AY321=Constants!$B$6,AY321=Constants!$B$5),1,0)</f>
        <v>0</v>
      </c>
      <c r="BC321" s="76" t="n">
        <v>314</v>
      </c>
      <c r="BD321" s="76" t="str">
        <f aca="false">IF(ISBLANK($C321),"",IF(ISNUMBER(AZ321),AZ321+ROW($B321)/1000,""))</f>
        <v/>
      </c>
      <c r="BE321" s="76" t="str">
        <f aca="false">IF(ISNUMBER(BD321),RANK(BD321,$BD$8:$BD$507,1),"")</f>
        <v/>
      </c>
      <c r="BF321" s="76" t="str">
        <f aca="false">IF(ISBLANK($C321),"",$B321)</f>
        <v/>
      </c>
      <c r="BG321" s="76" t="str">
        <f aca="false">IF(ISBLANK($C321),"",$C321)</f>
        <v/>
      </c>
      <c r="BH321" s="76" t="str">
        <f aca="false">IF(ISBLANK($C321),"",$D321)</f>
        <v/>
      </c>
      <c r="BI321" s="77" t="str">
        <f aca="false">AW321</f>
        <v/>
      </c>
      <c r="BJ321" s="78" t="str">
        <f aca="false">AV321</f>
        <v/>
      </c>
      <c r="BK321" s="76" t="str">
        <f aca="false">IF(ISBLANK($C321),"",AY321)</f>
        <v/>
      </c>
      <c r="BL321" s="79" t="str">
        <f aca="false">IF($BC321&gt;$BB$7,"",VLOOKUP($BC321,$BE$8:$BK$507,7,FALSE()))</f>
        <v/>
      </c>
      <c r="BM321" s="80" t="str">
        <f aca="false">IF($BC321&gt;$BB$7,"",VLOOKUP($BC321,$BE$8:$BK$507,2,FALSE()))</f>
        <v/>
      </c>
      <c r="BN321" s="80" t="str">
        <f aca="false">IF($BC321&gt;$BB$7,"",VLOOKUP($BC321,$BE$8:$BK$507,3,FALSE()))</f>
        <v/>
      </c>
      <c r="BO321" s="80" t="str">
        <f aca="false">IF($BC321&gt;$BB$7,"",VLOOKUP($BC321,$BE$8:$BK$507,4,FALSE()))</f>
        <v/>
      </c>
      <c r="BP321" s="80" t="str">
        <f aca="false">IF($BC321&gt;$BB$7,"",VLOOKUP($BC321,$BE$8:$BK$507,5,FALSE()))</f>
        <v/>
      </c>
      <c r="BQ321" s="81" t="str">
        <f aca="false">IF($BC321&gt;$BB$7,"",VLOOKUP($BC321,$BE$8:$BK$507,6,FALSE()))</f>
        <v/>
      </c>
      <c r="BR321" s="54"/>
    </row>
    <row r="322" customFormat="false" ht="15.75" hidden="false" customHeight="false" outlineLevel="0" collapsed="false">
      <c r="A322" s="5"/>
      <c r="B322" s="124"/>
      <c r="C322" s="56"/>
      <c r="D322" s="57"/>
      <c r="E322" s="83"/>
      <c r="F322" s="59"/>
      <c r="G322" s="60"/>
      <c r="H322" s="61"/>
      <c r="I322" s="62"/>
      <c r="J322" s="59"/>
      <c r="K322" s="60"/>
      <c r="L322" s="61"/>
      <c r="M322" s="62"/>
      <c r="N322" s="59"/>
      <c r="O322" s="83"/>
      <c r="P322" s="64"/>
      <c r="Q322" s="66" t="str">
        <f aca="false">IF(ISBLANK($C322),"",IF(E322=Constants!$B$2, TRUE(), IF(E322=Constants!$B$3, FALSE(), TRUE())))</f>
        <v/>
      </c>
      <c r="R322" s="66" t="str">
        <f aca="false">IF(ISBLANK($C322),"",IF(F322=Constants!$B$16,Constants!$B$9,IF(F322=Constants!$B$17,Constants!$B$10,Constants!$B$8)))</f>
        <v/>
      </c>
      <c r="S322" s="66" t="str">
        <f aca="false">IF(ISBLANK($C322),"",IF(COUNTA(G322:H322)=0,"",IF(AND(OR(ISBLANK(G322),AND(ISNUMBER(G322),G322&gt;=0)),OR(ISBLANK(H322),AND(ISNUMBER(H322),H322&gt;=0))),60*IF(ISBLANK(G322),0,G322)+IF(ISBLANK(H322),0,H322),"")))</f>
        <v/>
      </c>
      <c r="T322" s="66" t="str">
        <f aca="false">IF(ISBLANK($C322),"",IF(I322=Constants!$B$2, TRUE(), IF(I322=Constants!$B$3, FALSE(), TRUE())))</f>
        <v/>
      </c>
      <c r="U322" s="66" t="str">
        <f aca="false">IF(ISBLANK($C322),"",IF(J322=Constants!$B$2, TRUE(), IF(J322=Constants!$B$3, FALSE(), TRUE())))</f>
        <v/>
      </c>
      <c r="V322" s="66" t="str">
        <f aca="false">IF(ISBLANK($C322),"",IF(COUNTA(K322:L322)=0,"",IF(AND(OR(ISBLANK(K322),AND(ISNUMBER(K322),K322&gt;=0)),OR(ISBLANK(L322),AND(ISNUMBER(L322),L322&gt;=0))),60*IF(ISBLANK(K322),0,K322)+IF(ISBLANK(L322),0,L322),"")))</f>
        <v/>
      </c>
      <c r="W322" s="66" t="str">
        <f aca="false">IF(ISBLANK($C322),"",IF(M322=Constants!$B$2, TRUE(), IF(M322=Constants!$B$3, FALSE(), TRUE())))</f>
        <v/>
      </c>
      <c r="X322" s="66" t="str">
        <f aca="false">IF(ISBLANK($C322),"",IF(N322=Constants!$B$2, TRUE(), IF(N322=Constants!$B$3, FALSE(), TRUE())))</f>
        <v/>
      </c>
      <c r="Y322" s="66" t="str">
        <f aca="false">IF(ISBLANK($C322),"",IF(O322=Constants!$B$2, TRUE(), IF(O322=Constants!$B$3, FALSE(), FALSE())))</f>
        <v/>
      </c>
      <c r="Z322" s="66" t="str">
        <f aca="false">IF(ISBLANK($C322),"",AND(S322&lt;&gt;"",Q322))</f>
        <v/>
      </c>
      <c r="AA322" s="66" t="str">
        <f aca="false">IF(ISBLANK($C322),"",AND(V322&lt;&gt;"",Q322))</f>
        <v/>
      </c>
      <c r="AB322" s="66" t="str">
        <f aca="false">IF(ISBLANK($C322),"",IF(Y322,Constants!$B$4,IF(COUNTA(E322:N322)=0,Constants!$B$5,IF(NOT(Q322),Constants!$B$6,IF(AND(NOT(Z322),NOT(AA322)),Constants!$B$6,Constants!$B$7)))))</f>
        <v/>
      </c>
      <c r="AC322" s="66" t="str">
        <f aca="false">IF(ISBLANK($C322),"",IF($AB322&lt;&gt;Constants!$B$7,$AB322,Constants!$B$20))</f>
        <v/>
      </c>
      <c r="AD322" s="66" t="str">
        <f aca="false">IF($AB322=Constants!$B$7,IF(Z322,S322,Constants!$B$13),"")</f>
        <v/>
      </c>
      <c r="AE322" s="66" t="str">
        <f aca="false">IF($AB322=Constants!$B$7,IF(Z322,R322*IF(T322, 1, Constants!$B$11)*IF(U322, 1, Constants!$B$12),Constants!$B$13),"")</f>
        <v/>
      </c>
      <c r="AF322" s="66" t="str">
        <f aca="false">IF($AB322=Constants!$B$7,AD322*AE322,"")</f>
        <v/>
      </c>
      <c r="AG322" s="66" t="str">
        <f aca="false">IF($AB322=Constants!$B$7,IF(AA322,V322,Constants!$B$13),"")</f>
        <v/>
      </c>
      <c r="AH322" s="66" t="str">
        <f aca="false">IF($AB322=Constants!$B$7,IF(AA322,R322*IF(W322, 1, Constants!$B$11)*IF(X322, 1, Constants!$B$12),Constants!$B$13),"")</f>
        <v/>
      </c>
      <c r="AI322" s="66" t="str">
        <f aca="false">IF($AB322=Constants!$B$7,AG322*AH322,"")</f>
        <v/>
      </c>
      <c r="AJ322" s="66" t="str">
        <f aca="false">IF($AB322=Constants!$B$7,IF(AI322&gt;AF322,2,1),"")</f>
        <v/>
      </c>
      <c r="AK322" s="66" t="str">
        <f aca="false">IF($AB322=Constants!$B$7,IF(AJ322=1,2,1),"")</f>
        <v/>
      </c>
      <c r="AL322" s="66" t="str">
        <f aca="false">IF(ISBLANK($C322),"",IF($AB322&lt;&gt;Constants!$B$7,$AB322,IF(AJ322=1,AF322,AI322)))</f>
        <v/>
      </c>
      <c r="AM322" s="66" t="str">
        <f aca="false">IF(ISBLANK($C322),"",IF($AB322=Constants!$B$7,IF(ISNUMBER(AL322),RANK(AL322,$AL$8:$AL$507),Constants!$B$14),$AB322))</f>
        <v/>
      </c>
      <c r="AN322" s="66" t="str">
        <f aca="false">IF(ISBLANK($C322),"",IF($AB322=Constants!$B$7,IF(AK322=1,AF322,AI322),""))</f>
        <v/>
      </c>
      <c r="AO322" s="66" t="str">
        <f aca="false">IF(ISBLANK($C322),"",IF($AB322=Constants!$B$7,RANK(AN322,$AN$8:$AN$507),$AB322))</f>
        <v/>
      </c>
      <c r="AP322" s="66" t="str">
        <f aca="false">IF(ISBLANK($C322),"",IF($AB322=Constants!$B$7,IF(ISNUMBER(AM322),COUNTIFS($AM$8:$AM$507,"&lt;"&amp;$AM322)+COUNTIFS($AM$8:$AM$507,$AM322,$AO$8:$AO$507,"&lt;"&amp;$AO322)+1,Constants!$B$14),$AB322))</f>
        <v/>
      </c>
      <c r="AQ322" s="66" t="str">
        <f aca="false">IF(ISBLANK($C322),"",IF($AB322=Constants!$B$7,IF(ISNUMBER(AM322),AM322-AP322,Constants!$B$14),$AB322))</f>
        <v/>
      </c>
      <c r="AR322" s="68"/>
      <c r="AS322" s="69" t="str">
        <f aca="false">IF(ISBLANK($C322),"",IF($AB322&lt;&gt;Constants!$B$7,"",AJ322))</f>
        <v/>
      </c>
      <c r="AT322" s="84" t="str">
        <f aca="false">IF(ISBLANK($C322),"",IF($AB322&lt;&gt;Constants!$B$7,"",IF(AJ322=1,AD322,AG322)))</f>
        <v/>
      </c>
      <c r="AU322" s="71" t="str">
        <f aca="false">IF(ISBLANK($C322),"",IF($AB322&lt;&gt;Constants!$B$7,"",IF(AJ322=1,AE322,AH322)))</f>
        <v/>
      </c>
      <c r="AV322" s="72" t="str">
        <f aca="false">IF(ISBLANK($C322),"",IF($AB322&lt;&gt;Constants!$B$7,$AB322,AL322))</f>
        <v/>
      </c>
      <c r="AW322" s="73" t="str">
        <f aca="false">IF(ISBLANK($C322),"",IF($AB322&lt;&gt;Constants!$B$7,$AB322,AC322))</f>
        <v/>
      </c>
      <c r="AX322" s="74" t="str">
        <f aca="false">IF(ISBLANK($C322),"",AQ322)</f>
        <v/>
      </c>
      <c r="AY322" s="74" t="str">
        <f aca="false">IF(ISBLANK($C322),"",AP322)</f>
        <v/>
      </c>
      <c r="AZ322" s="75" t="str">
        <f aca="false">IF(ISBLANK($C322),"",IF(AY322=Constants!$B$4,COUNTA($C$8:$C$507)+2,IF(AY322=Constants!$B$5,COUNTA($C$8:$C$507)+1,IF(AY322=Constants!$B$6,COUNTA($C$8:$C$507),AY322))))</f>
        <v/>
      </c>
      <c r="BA322" s="5"/>
      <c r="BB322" s="76" t="n">
        <f aca="false">IF(OR(ISNUMBER(AY322),AY322=Constants!$B$4,AY322=Constants!$B$6,AY322=Constants!$B$5),1,0)</f>
        <v>0</v>
      </c>
      <c r="BC322" s="76" t="n">
        <v>315</v>
      </c>
      <c r="BD322" s="76" t="str">
        <f aca="false">IF(ISBLANK($C322),"",IF(ISNUMBER(AZ322),AZ322+ROW($B322)/1000,""))</f>
        <v/>
      </c>
      <c r="BE322" s="76" t="str">
        <f aca="false">IF(ISNUMBER(BD322),RANK(BD322,$BD$8:$BD$507,1),"")</f>
        <v/>
      </c>
      <c r="BF322" s="76" t="str">
        <f aca="false">IF(ISBLANK($C322),"",$B322)</f>
        <v/>
      </c>
      <c r="BG322" s="76" t="str">
        <f aca="false">IF(ISBLANK($C322),"",$C322)</f>
        <v/>
      </c>
      <c r="BH322" s="76" t="str">
        <f aca="false">IF(ISBLANK($C322),"",$D322)</f>
        <v/>
      </c>
      <c r="BI322" s="77" t="str">
        <f aca="false">AW322</f>
        <v/>
      </c>
      <c r="BJ322" s="78" t="str">
        <f aca="false">AV322</f>
        <v/>
      </c>
      <c r="BK322" s="76" t="str">
        <f aca="false">IF(ISBLANK($C322),"",AY322)</f>
        <v/>
      </c>
      <c r="BL322" s="79" t="str">
        <f aca="false">IF($BC322&gt;$BB$7,"",VLOOKUP($BC322,$BE$8:$BK$507,7,FALSE()))</f>
        <v/>
      </c>
      <c r="BM322" s="80" t="str">
        <f aca="false">IF($BC322&gt;$BB$7,"",VLOOKUP($BC322,$BE$8:$BK$507,2,FALSE()))</f>
        <v/>
      </c>
      <c r="BN322" s="80" t="str">
        <f aca="false">IF($BC322&gt;$BB$7,"",VLOOKUP($BC322,$BE$8:$BK$507,3,FALSE()))</f>
        <v/>
      </c>
      <c r="BO322" s="80" t="str">
        <f aca="false">IF($BC322&gt;$BB$7,"",VLOOKUP($BC322,$BE$8:$BK$507,4,FALSE()))</f>
        <v/>
      </c>
      <c r="BP322" s="80" t="str">
        <f aca="false">IF($BC322&gt;$BB$7,"",VLOOKUP($BC322,$BE$8:$BK$507,5,FALSE()))</f>
        <v/>
      </c>
      <c r="BQ322" s="81" t="str">
        <f aca="false">IF($BC322&gt;$BB$7,"",VLOOKUP($BC322,$BE$8:$BK$507,6,FALSE()))</f>
        <v/>
      </c>
      <c r="BR322" s="54"/>
    </row>
    <row r="323" customFormat="false" ht="15.75" hidden="false" customHeight="false" outlineLevel="0" collapsed="false">
      <c r="A323" s="5"/>
      <c r="B323" s="120"/>
      <c r="C323" s="121"/>
      <c r="D323" s="112"/>
      <c r="E323" s="123"/>
      <c r="F323" s="91"/>
      <c r="G323" s="92"/>
      <c r="H323" s="93"/>
      <c r="I323" s="94"/>
      <c r="J323" s="91"/>
      <c r="K323" s="92"/>
      <c r="L323" s="93"/>
      <c r="M323" s="94"/>
      <c r="N323" s="91"/>
      <c r="O323" s="123"/>
      <c r="P323" s="96"/>
      <c r="Q323" s="97" t="str">
        <f aca="false">IF(ISBLANK($C323),"",IF(E323=Constants!$B$2, TRUE(), IF(E323=Constants!$B$3, FALSE(), TRUE())))</f>
        <v/>
      </c>
      <c r="R323" s="97" t="str">
        <f aca="false">IF(ISBLANK($C323),"",IF(F323=Constants!$B$16,Constants!$B$9,IF(F323=Constants!$B$17,Constants!$B$10,Constants!$B$8)))</f>
        <v/>
      </c>
      <c r="S323" s="97" t="str">
        <f aca="false">IF(ISBLANK($C323),"",IF(COUNTA(G323:H323)=0,"",IF(AND(OR(ISBLANK(G323),AND(ISNUMBER(G323),G323&gt;=0)),OR(ISBLANK(H323),AND(ISNUMBER(H323),H323&gt;=0))),60*IF(ISBLANK(G323),0,G323)+IF(ISBLANK(H323),0,H323),"")))</f>
        <v/>
      </c>
      <c r="T323" s="97" t="str">
        <f aca="false">IF(ISBLANK($C323),"",IF(I323=Constants!$B$2, TRUE(), IF(I323=Constants!$B$3, FALSE(), TRUE())))</f>
        <v/>
      </c>
      <c r="U323" s="97" t="str">
        <f aca="false">IF(ISBLANK($C323),"",IF(J323=Constants!$B$2, TRUE(), IF(J323=Constants!$B$3, FALSE(), TRUE())))</f>
        <v/>
      </c>
      <c r="V323" s="97" t="str">
        <f aca="false">IF(ISBLANK($C323),"",IF(COUNTA(K323:L323)=0,"",IF(AND(OR(ISBLANK(K323),AND(ISNUMBER(K323),K323&gt;=0)),OR(ISBLANK(L323),AND(ISNUMBER(L323),L323&gt;=0))),60*IF(ISBLANK(K323),0,K323)+IF(ISBLANK(L323),0,L323),"")))</f>
        <v/>
      </c>
      <c r="W323" s="97" t="str">
        <f aca="false">IF(ISBLANK($C323),"",IF(M323=Constants!$B$2, TRUE(), IF(M323=Constants!$B$3, FALSE(), TRUE())))</f>
        <v/>
      </c>
      <c r="X323" s="97" t="str">
        <f aca="false">IF(ISBLANK($C323),"",IF(N323=Constants!$B$2, TRUE(), IF(N323=Constants!$B$3, FALSE(), TRUE())))</f>
        <v/>
      </c>
      <c r="Y323" s="97" t="str">
        <f aca="false">IF(ISBLANK($C323),"",IF(O323=Constants!$B$2, TRUE(), IF(O323=Constants!$B$3, FALSE(), FALSE())))</f>
        <v/>
      </c>
      <c r="Z323" s="97" t="str">
        <f aca="false">IF(ISBLANK($C323),"",AND(S323&lt;&gt;"",Q323))</f>
        <v/>
      </c>
      <c r="AA323" s="97" t="str">
        <f aca="false">IF(ISBLANK($C323),"",AND(V323&lt;&gt;"",Q323))</f>
        <v/>
      </c>
      <c r="AB323" s="97" t="str">
        <f aca="false">IF(ISBLANK($C323),"",IF(Y323,Constants!$B$4,IF(COUNTA(E323:N323)=0,Constants!$B$5,IF(NOT(Q323),Constants!$B$6,IF(AND(NOT(Z323),NOT(AA323)),Constants!$B$6,Constants!$B$7)))))</f>
        <v/>
      </c>
      <c r="AC323" s="97" t="str">
        <f aca="false">IF(ISBLANK($C323),"",IF($AB323&lt;&gt;Constants!$B$7,$AB323,Constants!$B$20))</f>
        <v/>
      </c>
      <c r="AD323" s="97" t="str">
        <f aca="false">IF($AB323=Constants!$B$7,IF(Z323,S323,Constants!$B$13),"")</f>
        <v/>
      </c>
      <c r="AE323" s="97" t="str">
        <f aca="false">IF($AB323=Constants!$B$7,IF(Z323,R323*IF(T323, 1, Constants!$B$11)*IF(U323, 1, Constants!$B$12),Constants!$B$13),"")</f>
        <v/>
      </c>
      <c r="AF323" s="97" t="str">
        <f aca="false">IF($AB323=Constants!$B$7,AD323*AE323,"")</f>
        <v/>
      </c>
      <c r="AG323" s="97" t="str">
        <f aca="false">IF($AB323=Constants!$B$7,IF(AA323,V323,Constants!$B$13),"")</f>
        <v/>
      </c>
      <c r="AH323" s="97" t="str">
        <f aca="false">IF($AB323=Constants!$B$7,IF(AA323,R323*IF(W323, 1, Constants!$B$11)*IF(X323, 1, Constants!$B$12),Constants!$B$13),"")</f>
        <v/>
      </c>
      <c r="AI323" s="97" t="str">
        <f aca="false">IF($AB323=Constants!$B$7,AG323*AH323,"")</f>
        <v/>
      </c>
      <c r="AJ323" s="97" t="str">
        <f aca="false">IF($AB323=Constants!$B$7,IF(AI323&gt;AF323,2,1),"")</f>
        <v/>
      </c>
      <c r="AK323" s="97" t="str">
        <f aca="false">IF($AB323=Constants!$B$7,IF(AJ323=1,2,1),"")</f>
        <v/>
      </c>
      <c r="AL323" s="97" t="str">
        <f aca="false">IF(ISBLANK($C323),"",IF($AB323&lt;&gt;Constants!$B$7,$AB323,IF(AJ323=1,AF323,AI323)))</f>
        <v/>
      </c>
      <c r="AM323" s="97" t="str">
        <f aca="false">IF(ISBLANK($C323),"",IF($AB323=Constants!$B$7,IF(ISNUMBER(AL323),RANK(AL323,$AL$8:$AL$507),Constants!$B$14),$AB323))</f>
        <v/>
      </c>
      <c r="AN323" s="97" t="str">
        <f aca="false">IF(ISBLANK($C323),"",IF($AB323=Constants!$B$7,IF(AK323=1,AF323,AI323),""))</f>
        <v/>
      </c>
      <c r="AO323" s="97" t="str">
        <f aca="false">IF(ISBLANK($C323),"",IF($AB323=Constants!$B$7,RANK(AN323,$AN$8:$AN$507),$AB323))</f>
        <v/>
      </c>
      <c r="AP323" s="97" t="str">
        <f aca="false">IF(ISBLANK($C323),"",IF($AB323=Constants!$B$7,IF(ISNUMBER(AM323),COUNTIFS($AM$8:$AM$507,"&lt;"&amp;$AM323)+COUNTIFS($AM$8:$AM$507,$AM323,$AO$8:$AO$507,"&lt;"&amp;$AO323)+1,Constants!$B$14),$AB323))</f>
        <v/>
      </c>
      <c r="AQ323" s="97" t="str">
        <f aca="false">IF(ISBLANK($C323),"",IF($AB323=Constants!$B$7,IF(ISNUMBER(AM323),AM323-AP323,Constants!$B$14),$AB323))</f>
        <v/>
      </c>
      <c r="AR323" s="98"/>
      <c r="AS323" s="99" t="str">
        <f aca="false">IF(ISBLANK($C323),"",IF($AB323&lt;&gt;Constants!$B$7,"",AJ323))</f>
        <v/>
      </c>
      <c r="AT323" s="100" t="str">
        <f aca="false">IF(ISBLANK($C323),"",IF($AB323&lt;&gt;Constants!$B$7,"",IF(AJ323=1,AD323,AG323)))</f>
        <v/>
      </c>
      <c r="AU323" s="101" t="str">
        <f aca="false">IF(ISBLANK($C323),"",IF($AB323&lt;&gt;Constants!$B$7,"",IF(AJ323=1,AE323,AH323)))</f>
        <v/>
      </c>
      <c r="AV323" s="102" t="str">
        <f aca="false">IF(ISBLANK($C323),"",IF($AB323&lt;&gt;Constants!$B$7,$AB323,AL323))</f>
        <v/>
      </c>
      <c r="AW323" s="103" t="str">
        <f aca="false">IF(ISBLANK($C323),"",IF($AB323&lt;&gt;Constants!$B$7,$AB323,AC323))</f>
        <v/>
      </c>
      <c r="AX323" s="104" t="str">
        <f aca="false">IF(ISBLANK($C323),"",AQ323)</f>
        <v/>
      </c>
      <c r="AY323" s="104" t="str">
        <f aca="false">IF(ISBLANK($C323),"",AP323)</f>
        <v/>
      </c>
      <c r="AZ323" s="105" t="str">
        <f aca="false">IF(ISBLANK($C323),"",IF(AY323=Constants!$B$4,COUNTA($C$8:$C$507)+2,IF(AY323=Constants!$B$5,COUNTA($C$8:$C$507)+1,IF(AY323=Constants!$B$6,COUNTA($C$8:$C$507),AY323))))</f>
        <v/>
      </c>
      <c r="BA323" s="5"/>
      <c r="BB323" s="106" t="n">
        <f aca="false">IF(OR(ISNUMBER(AY323),AY323=Constants!$B$4,AY323=Constants!$B$6,AY323=Constants!$B$5),1,0)</f>
        <v>0</v>
      </c>
      <c r="BC323" s="106" t="n">
        <v>316</v>
      </c>
      <c r="BD323" s="106" t="str">
        <f aca="false">IF(ISBLANK($C323),"",IF(ISNUMBER(AZ323),AZ323+ROW($B323)/1000,""))</f>
        <v/>
      </c>
      <c r="BE323" s="106" t="str">
        <f aca="false">IF(ISNUMBER(BD323),RANK(BD323,$BD$8:$BD$507,1),"")</f>
        <v/>
      </c>
      <c r="BF323" s="106" t="str">
        <f aca="false">IF(ISBLANK($C323),"",$B323)</f>
        <v/>
      </c>
      <c r="BG323" s="106" t="str">
        <f aca="false">IF(ISBLANK($C323),"",$C323)</f>
        <v/>
      </c>
      <c r="BH323" s="106" t="str">
        <f aca="false">IF(ISBLANK($C323),"",$D323)</f>
        <v/>
      </c>
      <c r="BI323" s="107" t="str">
        <f aca="false">AW323</f>
        <v/>
      </c>
      <c r="BJ323" s="108" t="str">
        <f aca="false">AV323</f>
        <v/>
      </c>
      <c r="BK323" s="106" t="str">
        <f aca="false">IF(ISBLANK($C323),"",AY323)</f>
        <v/>
      </c>
      <c r="BL323" s="109" t="str">
        <f aca="false">IF($BC323&gt;$BB$7,"",VLOOKUP($BC323,$BE$8:$BK$507,7,FALSE()))</f>
        <v/>
      </c>
      <c r="BM323" s="110" t="str">
        <f aca="false">IF($BC323&gt;$BB$7,"",VLOOKUP($BC323,$BE$8:$BK$507,2,FALSE()))</f>
        <v/>
      </c>
      <c r="BN323" s="110" t="str">
        <f aca="false">IF($BC323&gt;$BB$7,"",VLOOKUP($BC323,$BE$8:$BK$507,3,FALSE()))</f>
        <v/>
      </c>
      <c r="BO323" s="110" t="str">
        <f aca="false">IF($BC323&gt;$BB$7,"",VLOOKUP($BC323,$BE$8:$BK$507,4,FALSE()))</f>
        <v/>
      </c>
      <c r="BP323" s="110" t="str">
        <f aca="false">IF($BC323&gt;$BB$7,"",VLOOKUP($BC323,$BE$8:$BK$507,5,FALSE()))</f>
        <v/>
      </c>
      <c r="BQ323" s="111" t="str">
        <f aca="false">IF($BC323&gt;$BB$7,"",VLOOKUP($BC323,$BE$8:$BK$507,6,FALSE()))</f>
        <v/>
      </c>
      <c r="BR323" s="54"/>
    </row>
    <row r="324" customFormat="false" ht="15.75" hidden="false" customHeight="false" outlineLevel="0" collapsed="false">
      <c r="A324" s="5"/>
      <c r="B324" s="120"/>
      <c r="C324" s="121"/>
      <c r="D324" s="112"/>
      <c r="E324" s="123"/>
      <c r="F324" s="91"/>
      <c r="G324" s="92"/>
      <c r="H324" s="93"/>
      <c r="I324" s="94"/>
      <c r="J324" s="91"/>
      <c r="K324" s="92"/>
      <c r="L324" s="93"/>
      <c r="M324" s="94"/>
      <c r="N324" s="91"/>
      <c r="O324" s="123"/>
      <c r="P324" s="96"/>
      <c r="Q324" s="97" t="str">
        <f aca="false">IF(ISBLANK($C324),"",IF(E324=Constants!$B$2, TRUE(), IF(E324=Constants!$B$3, FALSE(), TRUE())))</f>
        <v/>
      </c>
      <c r="R324" s="97" t="str">
        <f aca="false">IF(ISBLANK($C324),"",IF(F324=Constants!$B$16,Constants!$B$9,IF(F324=Constants!$B$17,Constants!$B$10,Constants!$B$8)))</f>
        <v/>
      </c>
      <c r="S324" s="97" t="str">
        <f aca="false">IF(ISBLANK($C324),"",IF(COUNTA(G324:H324)=0,"",IF(AND(OR(ISBLANK(G324),AND(ISNUMBER(G324),G324&gt;=0)),OR(ISBLANK(H324),AND(ISNUMBER(H324),H324&gt;=0))),60*IF(ISBLANK(G324),0,G324)+IF(ISBLANK(H324),0,H324),"")))</f>
        <v/>
      </c>
      <c r="T324" s="97" t="str">
        <f aca="false">IF(ISBLANK($C324),"",IF(I324=Constants!$B$2, TRUE(), IF(I324=Constants!$B$3, FALSE(), TRUE())))</f>
        <v/>
      </c>
      <c r="U324" s="97" t="str">
        <f aca="false">IF(ISBLANK($C324),"",IF(J324=Constants!$B$2, TRUE(), IF(J324=Constants!$B$3, FALSE(), TRUE())))</f>
        <v/>
      </c>
      <c r="V324" s="97" t="str">
        <f aca="false">IF(ISBLANK($C324),"",IF(COUNTA(K324:L324)=0,"",IF(AND(OR(ISBLANK(K324),AND(ISNUMBER(K324),K324&gt;=0)),OR(ISBLANK(L324),AND(ISNUMBER(L324),L324&gt;=0))),60*IF(ISBLANK(K324),0,K324)+IF(ISBLANK(L324),0,L324),"")))</f>
        <v/>
      </c>
      <c r="W324" s="97" t="str">
        <f aca="false">IF(ISBLANK($C324),"",IF(M324=Constants!$B$2, TRUE(), IF(M324=Constants!$B$3, FALSE(), TRUE())))</f>
        <v/>
      </c>
      <c r="X324" s="97" t="str">
        <f aca="false">IF(ISBLANK($C324),"",IF(N324=Constants!$B$2, TRUE(), IF(N324=Constants!$B$3, FALSE(), TRUE())))</f>
        <v/>
      </c>
      <c r="Y324" s="97" t="str">
        <f aca="false">IF(ISBLANK($C324),"",IF(O324=Constants!$B$2, TRUE(), IF(O324=Constants!$B$3, FALSE(), FALSE())))</f>
        <v/>
      </c>
      <c r="Z324" s="97" t="str">
        <f aca="false">IF(ISBLANK($C324),"",AND(S324&lt;&gt;"",Q324))</f>
        <v/>
      </c>
      <c r="AA324" s="97" t="str">
        <f aca="false">IF(ISBLANK($C324),"",AND(V324&lt;&gt;"",Q324))</f>
        <v/>
      </c>
      <c r="AB324" s="97" t="str">
        <f aca="false">IF(ISBLANK($C324),"",IF(Y324,Constants!$B$4,IF(COUNTA(E324:N324)=0,Constants!$B$5,IF(NOT(Q324),Constants!$B$6,IF(AND(NOT(Z324),NOT(AA324)),Constants!$B$6,Constants!$B$7)))))</f>
        <v/>
      </c>
      <c r="AC324" s="97" t="str">
        <f aca="false">IF(ISBLANK($C324),"",IF($AB324&lt;&gt;Constants!$B$7,$AB324,Constants!$B$20))</f>
        <v/>
      </c>
      <c r="AD324" s="97" t="str">
        <f aca="false">IF($AB324=Constants!$B$7,IF(Z324,S324,Constants!$B$13),"")</f>
        <v/>
      </c>
      <c r="AE324" s="97" t="str">
        <f aca="false">IF($AB324=Constants!$B$7,IF(Z324,R324*IF(T324, 1, Constants!$B$11)*IF(U324, 1, Constants!$B$12),Constants!$B$13),"")</f>
        <v/>
      </c>
      <c r="AF324" s="97" t="str">
        <f aca="false">IF($AB324=Constants!$B$7,AD324*AE324,"")</f>
        <v/>
      </c>
      <c r="AG324" s="97" t="str">
        <f aca="false">IF($AB324=Constants!$B$7,IF(AA324,V324,Constants!$B$13),"")</f>
        <v/>
      </c>
      <c r="AH324" s="97" t="str">
        <f aca="false">IF($AB324=Constants!$B$7,IF(AA324,R324*IF(W324, 1, Constants!$B$11)*IF(X324, 1, Constants!$B$12),Constants!$B$13),"")</f>
        <v/>
      </c>
      <c r="AI324" s="97" t="str">
        <f aca="false">IF($AB324=Constants!$B$7,AG324*AH324,"")</f>
        <v/>
      </c>
      <c r="AJ324" s="97" t="str">
        <f aca="false">IF($AB324=Constants!$B$7,IF(AI324&gt;AF324,2,1),"")</f>
        <v/>
      </c>
      <c r="AK324" s="97" t="str">
        <f aca="false">IF($AB324=Constants!$B$7,IF(AJ324=1,2,1),"")</f>
        <v/>
      </c>
      <c r="AL324" s="97" t="str">
        <f aca="false">IF(ISBLANK($C324),"",IF($AB324&lt;&gt;Constants!$B$7,$AB324,IF(AJ324=1,AF324,AI324)))</f>
        <v/>
      </c>
      <c r="AM324" s="97" t="str">
        <f aca="false">IF(ISBLANK($C324),"",IF($AB324=Constants!$B$7,IF(ISNUMBER(AL324),RANK(AL324,$AL$8:$AL$507),Constants!$B$14),$AB324))</f>
        <v/>
      </c>
      <c r="AN324" s="97" t="str">
        <f aca="false">IF(ISBLANK($C324),"",IF($AB324=Constants!$B$7,IF(AK324=1,AF324,AI324),""))</f>
        <v/>
      </c>
      <c r="AO324" s="97" t="str">
        <f aca="false">IF(ISBLANK($C324),"",IF($AB324=Constants!$B$7,RANK(AN324,$AN$8:$AN$507),$AB324))</f>
        <v/>
      </c>
      <c r="AP324" s="97" t="str">
        <f aca="false">IF(ISBLANK($C324),"",IF($AB324=Constants!$B$7,IF(ISNUMBER(AM324),COUNTIFS($AM$8:$AM$507,"&lt;"&amp;$AM324)+COUNTIFS($AM$8:$AM$507,$AM324,$AO$8:$AO$507,"&lt;"&amp;$AO324)+1,Constants!$B$14),$AB324))</f>
        <v/>
      </c>
      <c r="AQ324" s="97" t="str">
        <f aca="false">IF(ISBLANK($C324),"",IF($AB324=Constants!$B$7,IF(ISNUMBER(AM324),AM324-AP324,Constants!$B$14),$AB324))</f>
        <v/>
      </c>
      <c r="AR324" s="98"/>
      <c r="AS324" s="99" t="str">
        <f aca="false">IF(ISBLANK($C324),"",IF($AB324&lt;&gt;Constants!$B$7,"",AJ324))</f>
        <v/>
      </c>
      <c r="AT324" s="100" t="str">
        <f aca="false">IF(ISBLANK($C324),"",IF($AB324&lt;&gt;Constants!$B$7,"",IF(AJ324=1,AD324,AG324)))</f>
        <v/>
      </c>
      <c r="AU324" s="101" t="str">
        <f aca="false">IF(ISBLANK($C324),"",IF($AB324&lt;&gt;Constants!$B$7,"",IF(AJ324=1,AE324,AH324)))</f>
        <v/>
      </c>
      <c r="AV324" s="102" t="str">
        <f aca="false">IF(ISBLANK($C324),"",IF($AB324&lt;&gt;Constants!$B$7,$AB324,AL324))</f>
        <v/>
      </c>
      <c r="AW324" s="103" t="str">
        <f aca="false">IF(ISBLANK($C324),"",IF($AB324&lt;&gt;Constants!$B$7,$AB324,AC324))</f>
        <v/>
      </c>
      <c r="AX324" s="104" t="str">
        <f aca="false">IF(ISBLANK($C324),"",AQ324)</f>
        <v/>
      </c>
      <c r="AY324" s="104" t="str">
        <f aca="false">IF(ISBLANK($C324),"",AP324)</f>
        <v/>
      </c>
      <c r="AZ324" s="105" t="str">
        <f aca="false">IF(ISBLANK($C324),"",IF(AY324=Constants!$B$4,COUNTA($C$8:$C$507)+2,IF(AY324=Constants!$B$5,COUNTA($C$8:$C$507)+1,IF(AY324=Constants!$B$6,COUNTA($C$8:$C$507),AY324))))</f>
        <v/>
      </c>
      <c r="BA324" s="5"/>
      <c r="BB324" s="106" t="n">
        <f aca="false">IF(OR(ISNUMBER(AY324),AY324=Constants!$B$4,AY324=Constants!$B$6,AY324=Constants!$B$5),1,0)</f>
        <v>0</v>
      </c>
      <c r="BC324" s="106" t="n">
        <v>317</v>
      </c>
      <c r="BD324" s="106" t="str">
        <f aca="false">IF(ISBLANK($C324),"",IF(ISNUMBER(AZ324),AZ324+ROW($B324)/1000,""))</f>
        <v/>
      </c>
      <c r="BE324" s="106" t="str">
        <f aca="false">IF(ISNUMBER(BD324),RANK(BD324,$BD$8:$BD$507,1),"")</f>
        <v/>
      </c>
      <c r="BF324" s="106" t="str">
        <f aca="false">IF(ISBLANK($C324),"",$B324)</f>
        <v/>
      </c>
      <c r="BG324" s="106" t="str">
        <f aca="false">IF(ISBLANK($C324),"",$C324)</f>
        <v/>
      </c>
      <c r="BH324" s="106" t="str">
        <f aca="false">IF(ISBLANK($C324),"",$D324)</f>
        <v/>
      </c>
      <c r="BI324" s="107" t="str">
        <f aca="false">AW324</f>
        <v/>
      </c>
      <c r="BJ324" s="108" t="str">
        <f aca="false">AV324</f>
        <v/>
      </c>
      <c r="BK324" s="106" t="str">
        <f aca="false">IF(ISBLANK($C324),"",AY324)</f>
        <v/>
      </c>
      <c r="BL324" s="109" t="str">
        <f aca="false">IF($BC324&gt;$BB$7,"",VLOOKUP($BC324,$BE$8:$BK$507,7,FALSE()))</f>
        <v/>
      </c>
      <c r="BM324" s="110" t="str">
        <f aca="false">IF($BC324&gt;$BB$7,"",VLOOKUP($BC324,$BE$8:$BK$507,2,FALSE()))</f>
        <v/>
      </c>
      <c r="BN324" s="110" t="str">
        <f aca="false">IF($BC324&gt;$BB$7,"",VLOOKUP($BC324,$BE$8:$BK$507,3,FALSE()))</f>
        <v/>
      </c>
      <c r="BO324" s="110" t="str">
        <f aca="false">IF($BC324&gt;$BB$7,"",VLOOKUP($BC324,$BE$8:$BK$507,4,FALSE()))</f>
        <v/>
      </c>
      <c r="BP324" s="110" t="str">
        <f aca="false">IF($BC324&gt;$BB$7,"",VLOOKUP($BC324,$BE$8:$BK$507,5,FALSE()))</f>
        <v/>
      </c>
      <c r="BQ324" s="111" t="str">
        <f aca="false">IF($BC324&gt;$BB$7,"",VLOOKUP($BC324,$BE$8:$BK$507,6,FALSE()))</f>
        <v/>
      </c>
      <c r="BR324" s="54"/>
    </row>
    <row r="325" customFormat="false" ht="15.75" hidden="false" customHeight="false" outlineLevel="0" collapsed="false">
      <c r="A325" s="5"/>
      <c r="B325" s="120"/>
      <c r="C325" s="121"/>
      <c r="D325" s="112"/>
      <c r="E325" s="123"/>
      <c r="F325" s="91"/>
      <c r="G325" s="92"/>
      <c r="H325" s="93"/>
      <c r="I325" s="94"/>
      <c r="J325" s="91"/>
      <c r="K325" s="92"/>
      <c r="L325" s="93"/>
      <c r="M325" s="94"/>
      <c r="N325" s="91"/>
      <c r="O325" s="123"/>
      <c r="P325" s="96"/>
      <c r="Q325" s="97" t="str">
        <f aca="false">IF(ISBLANK($C325),"",IF(E325=Constants!$B$2, TRUE(), IF(E325=Constants!$B$3, FALSE(), TRUE())))</f>
        <v/>
      </c>
      <c r="R325" s="97" t="str">
        <f aca="false">IF(ISBLANK($C325),"",IF(F325=Constants!$B$16,Constants!$B$9,IF(F325=Constants!$B$17,Constants!$B$10,Constants!$B$8)))</f>
        <v/>
      </c>
      <c r="S325" s="97" t="str">
        <f aca="false">IF(ISBLANK($C325),"",IF(COUNTA(G325:H325)=0,"",IF(AND(OR(ISBLANK(G325),AND(ISNUMBER(G325),G325&gt;=0)),OR(ISBLANK(H325),AND(ISNUMBER(H325),H325&gt;=0))),60*IF(ISBLANK(G325),0,G325)+IF(ISBLANK(H325),0,H325),"")))</f>
        <v/>
      </c>
      <c r="T325" s="97" t="str">
        <f aca="false">IF(ISBLANK($C325),"",IF(I325=Constants!$B$2, TRUE(), IF(I325=Constants!$B$3, FALSE(), TRUE())))</f>
        <v/>
      </c>
      <c r="U325" s="97" t="str">
        <f aca="false">IF(ISBLANK($C325),"",IF(J325=Constants!$B$2, TRUE(), IF(J325=Constants!$B$3, FALSE(), TRUE())))</f>
        <v/>
      </c>
      <c r="V325" s="97" t="str">
        <f aca="false">IF(ISBLANK($C325),"",IF(COUNTA(K325:L325)=0,"",IF(AND(OR(ISBLANK(K325),AND(ISNUMBER(K325),K325&gt;=0)),OR(ISBLANK(L325),AND(ISNUMBER(L325),L325&gt;=0))),60*IF(ISBLANK(K325),0,K325)+IF(ISBLANK(L325),0,L325),"")))</f>
        <v/>
      </c>
      <c r="W325" s="97" t="str">
        <f aca="false">IF(ISBLANK($C325),"",IF(M325=Constants!$B$2, TRUE(), IF(M325=Constants!$B$3, FALSE(), TRUE())))</f>
        <v/>
      </c>
      <c r="X325" s="97" t="str">
        <f aca="false">IF(ISBLANK($C325),"",IF(N325=Constants!$B$2, TRUE(), IF(N325=Constants!$B$3, FALSE(), TRUE())))</f>
        <v/>
      </c>
      <c r="Y325" s="97" t="str">
        <f aca="false">IF(ISBLANK($C325),"",IF(O325=Constants!$B$2, TRUE(), IF(O325=Constants!$B$3, FALSE(), FALSE())))</f>
        <v/>
      </c>
      <c r="Z325" s="97" t="str">
        <f aca="false">IF(ISBLANK($C325),"",AND(S325&lt;&gt;"",Q325))</f>
        <v/>
      </c>
      <c r="AA325" s="97" t="str">
        <f aca="false">IF(ISBLANK($C325),"",AND(V325&lt;&gt;"",Q325))</f>
        <v/>
      </c>
      <c r="AB325" s="97" t="str">
        <f aca="false">IF(ISBLANK($C325),"",IF(Y325,Constants!$B$4,IF(COUNTA(E325:N325)=0,Constants!$B$5,IF(NOT(Q325),Constants!$B$6,IF(AND(NOT(Z325),NOT(AA325)),Constants!$B$6,Constants!$B$7)))))</f>
        <v/>
      </c>
      <c r="AC325" s="97" t="str">
        <f aca="false">IF(ISBLANK($C325),"",IF($AB325&lt;&gt;Constants!$B$7,$AB325,Constants!$B$20))</f>
        <v/>
      </c>
      <c r="AD325" s="97" t="str">
        <f aca="false">IF($AB325=Constants!$B$7,IF(Z325,S325,Constants!$B$13),"")</f>
        <v/>
      </c>
      <c r="AE325" s="97" t="str">
        <f aca="false">IF($AB325=Constants!$B$7,IF(Z325,R325*IF(T325, 1, Constants!$B$11)*IF(U325, 1, Constants!$B$12),Constants!$B$13),"")</f>
        <v/>
      </c>
      <c r="AF325" s="97" t="str">
        <f aca="false">IF($AB325=Constants!$B$7,AD325*AE325,"")</f>
        <v/>
      </c>
      <c r="AG325" s="97" t="str">
        <f aca="false">IF($AB325=Constants!$B$7,IF(AA325,V325,Constants!$B$13),"")</f>
        <v/>
      </c>
      <c r="AH325" s="97" t="str">
        <f aca="false">IF($AB325=Constants!$B$7,IF(AA325,R325*IF(W325, 1, Constants!$B$11)*IF(X325, 1, Constants!$B$12),Constants!$B$13),"")</f>
        <v/>
      </c>
      <c r="AI325" s="97" t="str">
        <f aca="false">IF($AB325=Constants!$B$7,AG325*AH325,"")</f>
        <v/>
      </c>
      <c r="AJ325" s="97" t="str">
        <f aca="false">IF($AB325=Constants!$B$7,IF(AI325&gt;AF325,2,1),"")</f>
        <v/>
      </c>
      <c r="AK325" s="97" t="str">
        <f aca="false">IF($AB325=Constants!$B$7,IF(AJ325=1,2,1),"")</f>
        <v/>
      </c>
      <c r="AL325" s="97" t="str">
        <f aca="false">IF(ISBLANK($C325),"",IF($AB325&lt;&gt;Constants!$B$7,$AB325,IF(AJ325=1,AF325,AI325)))</f>
        <v/>
      </c>
      <c r="AM325" s="97" t="str">
        <f aca="false">IF(ISBLANK($C325),"",IF($AB325=Constants!$B$7,IF(ISNUMBER(AL325),RANK(AL325,$AL$8:$AL$507),Constants!$B$14),$AB325))</f>
        <v/>
      </c>
      <c r="AN325" s="97" t="str">
        <f aca="false">IF(ISBLANK($C325),"",IF($AB325=Constants!$B$7,IF(AK325=1,AF325,AI325),""))</f>
        <v/>
      </c>
      <c r="AO325" s="97" t="str">
        <f aca="false">IF(ISBLANK($C325),"",IF($AB325=Constants!$B$7,RANK(AN325,$AN$8:$AN$507),$AB325))</f>
        <v/>
      </c>
      <c r="AP325" s="97" t="str">
        <f aca="false">IF(ISBLANK($C325),"",IF($AB325=Constants!$B$7,IF(ISNUMBER(AM325),COUNTIFS($AM$8:$AM$507,"&lt;"&amp;$AM325)+COUNTIFS($AM$8:$AM$507,$AM325,$AO$8:$AO$507,"&lt;"&amp;$AO325)+1,Constants!$B$14),$AB325))</f>
        <v/>
      </c>
      <c r="AQ325" s="97" t="str">
        <f aca="false">IF(ISBLANK($C325),"",IF($AB325=Constants!$B$7,IF(ISNUMBER(AM325),AM325-AP325,Constants!$B$14),$AB325))</f>
        <v/>
      </c>
      <c r="AR325" s="98"/>
      <c r="AS325" s="99" t="str">
        <f aca="false">IF(ISBLANK($C325),"",IF($AB325&lt;&gt;Constants!$B$7,"",AJ325))</f>
        <v/>
      </c>
      <c r="AT325" s="100" t="str">
        <f aca="false">IF(ISBLANK($C325),"",IF($AB325&lt;&gt;Constants!$B$7,"",IF(AJ325=1,AD325,AG325)))</f>
        <v/>
      </c>
      <c r="AU325" s="101" t="str">
        <f aca="false">IF(ISBLANK($C325),"",IF($AB325&lt;&gt;Constants!$B$7,"",IF(AJ325=1,AE325,AH325)))</f>
        <v/>
      </c>
      <c r="AV325" s="102" t="str">
        <f aca="false">IF(ISBLANK($C325),"",IF($AB325&lt;&gt;Constants!$B$7,$AB325,AL325))</f>
        <v/>
      </c>
      <c r="AW325" s="103" t="str">
        <f aca="false">IF(ISBLANK($C325),"",IF($AB325&lt;&gt;Constants!$B$7,$AB325,AC325))</f>
        <v/>
      </c>
      <c r="AX325" s="104" t="str">
        <f aca="false">IF(ISBLANK($C325),"",AQ325)</f>
        <v/>
      </c>
      <c r="AY325" s="104" t="str">
        <f aca="false">IF(ISBLANK($C325),"",AP325)</f>
        <v/>
      </c>
      <c r="AZ325" s="105" t="str">
        <f aca="false">IF(ISBLANK($C325),"",IF(AY325=Constants!$B$4,COUNTA($C$8:$C$507)+2,IF(AY325=Constants!$B$5,COUNTA($C$8:$C$507)+1,IF(AY325=Constants!$B$6,COUNTA($C$8:$C$507),AY325))))</f>
        <v/>
      </c>
      <c r="BA325" s="5"/>
      <c r="BB325" s="106" t="n">
        <f aca="false">IF(OR(ISNUMBER(AY325),AY325=Constants!$B$4,AY325=Constants!$B$6,AY325=Constants!$B$5),1,0)</f>
        <v>0</v>
      </c>
      <c r="BC325" s="106" t="n">
        <v>318</v>
      </c>
      <c r="BD325" s="106" t="str">
        <f aca="false">IF(ISBLANK($C325),"",IF(ISNUMBER(AZ325),AZ325+ROW($B325)/1000,""))</f>
        <v/>
      </c>
      <c r="BE325" s="106" t="str">
        <f aca="false">IF(ISNUMBER(BD325),RANK(BD325,$BD$8:$BD$507,1),"")</f>
        <v/>
      </c>
      <c r="BF325" s="106" t="str">
        <f aca="false">IF(ISBLANK($C325),"",$B325)</f>
        <v/>
      </c>
      <c r="BG325" s="106" t="str">
        <f aca="false">IF(ISBLANK($C325),"",$C325)</f>
        <v/>
      </c>
      <c r="BH325" s="106" t="str">
        <f aca="false">IF(ISBLANK($C325),"",$D325)</f>
        <v/>
      </c>
      <c r="BI325" s="107" t="str">
        <f aca="false">AW325</f>
        <v/>
      </c>
      <c r="BJ325" s="108" t="str">
        <f aca="false">AV325</f>
        <v/>
      </c>
      <c r="BK325" s="106" t="str">
        <f aca="false">IF(ISBLANK($C325),"",AY325)</f>
        <v/>
      </c>
      <c r="BL325" s="109" t="str">
        <f aca="false">IF($BC325&gt;$BB$7,"",VLOOKUP($BC325,$BE$8:$BK$507,7,FALSE()))</f>
        <v/>
      </c>
      <c r="BM325" s="110" t="str">
        <f aca="false">IF($BC325&gt;$BB$7,"",VLOOKUP($BC325,$BE$8:$BK$507,2,FALSE()))</f>
        <v/>
      </c>
      <c r="BN325" s="110" t="str">
        <f aca="false">IF($BC325&gt;$BB$7,"",VLOOKUP($BC325,$BE$8:$BK$507,3,FALSE()))</f>
        <v/>
      </c>
      <c r="BO325" s="110" t="str">
        <f aca="false">IF($BC325&gt;$BB$7,"",VLOOKUP($BC325,$BE$8:$BK$507,4,FALSE()))</f>
        <v/>
      </c>
      <c r="BP325" s="110" t="str">
        <f aca="false">IF($BC325&gt;$BB$7,"",VLOOKUP($BC325,$BE$8:$BK$507,5,FALSE()))</f>
        <v/>
      </c>
      <c r="BQ325" s="111" t="str">
        <f aca="false">IF($BC325&gt;$BB$7,"",VLOOKUP($BC325,$BE$8:$BK$507,6,FALSE()))</f>
        <v/>
      </c>
      <c r="BR325" s="54"/>
    </row>
    <row r="326" customFormat="false" ht="15.75" hidden="false" customHeight="false" outlineLevel="0" collapsed="false">
      <c r="A326" s="5"/>
      <c r="B326" s="124"/>
      <c r="C326" s="56"/>
      <c r="D326" s="57"/>
      <c r="E326" s="83"/>
      <c r="F326" s="59"/>
      <c r="G326" s="60"/>
      <c r="H326" s="61"/>
      <c r="I326" s="62"/>
      <c r="J326" s="59"/>
      <c r="K326" s="60"/>
      <c r="L326" s="61"/>
      <c r="M326" s="62"/>
      <c r="N326" s="59"/>
      <c r="O326" s="83"/>
      <c r="P326" s="64"/>
      <c r="Q326" s="66" t="str">
        <f aca="false">IF(ISBLANK($C326),"",IF(E326=Constants!$B$2, TRUE(), IF(E326=Constants!$B$3, FALSE(), TRUE())))</f>
        <v/>
      </c>
      <c r="R326" s="66" t="str">
        <f aca="false">IF(ISBLANK($C326),"",IF(F326=Constants!$B$16,Constants!$B$9,IF(F326=Constants!$B$17,Constants!$B$10,Constants!$B$8)))</f>
        <v/>
      </c>
      <c r="S326" s="66" t="str">
        <f aca="false">IF(ISBLANK($C326),"",IF(COUNTA(G326:H326)=0,"",IF(AND(OR(ISBLANK(G326),AND(ISNUMBER(G326),G326&gt;=0)),OR(ISBLANK(H326),AND(ISNUMBER(H326),H326&gt;=0))),60*IF(ISBLANK(G326),0,G326)+IF(ISBLANK(H326),0,H326),"")))</f>
        <v/>
      </c>
      <c r="T326" s="66" t="str">
        <f aca="false">IF(ISBLANK($C326),"",IF(I326=Constants!$B$2, TRUE(), IF(I326=Constants!$B$3, FALSE(), TRUE())))</f>
        <v/>
      </c>
      <c r="U326" s="66" t="str">
        <f aca="false">IF(ISBLANK($C326),"",IF(J326=Constants!$B$2, TRUE(), IF(J326=Constants!$B$3, FALSE(), TRUE())))</f>
        <v/>
      </c>
      <c r="V326" s="66" t="str">
        <f aca="false">IF(ISBLANK($C326),"",IF(COUNTA(K326:L326)=0,"",IF(AND(OR(ISBLANK(K326),AND(ISNUMBER(K326),K326&gt;=0)),OR(ISBLANK(L326),AND(ISNUMBER(L326),L326&gt;=0))),60*IF(ISBLANK(K326),0,K326)+IF(ISBLANK(L326),0,L326),"")))</f>
        <v/>
      </c>
      <c r="W326" s="66" t="str">
        <f aca="false">IF(ISBLANK($C326),"",IF(M326=Constants!$B$2, TRUE(), IF(M326=Constants!$B$3, FALSE(), TRUE())))</f>
        <v/>
      </c>
      <c r="X326" s="66" t="str">
        <f aca="false">IF(ISBLANK($C326),"",IF(N326=Constants!$B$2, TRUE(), IF(N326=Constants!$B$3, FALSE(), TRUE())))</f>
        <v/>
      </c>
      <c r="Y326" s="66" t="str">
        <f aca="false">IF(ISBLANK($C326),"",IF(O326=Constants!$B$2, TRUE(), IF(O326=Constants!$B$3, FALSE(), FALSE())))</f>
        <v/>
      </c>
      <c r="Z326" s="66" t="str">
        <f aca="false">IF(ISBLANK($C326),"",AND(S326&lt;&gt;"",Q326))</f>
        <v/>
      </c>
      <c r="AA326" s="66" t="str">
        <f aca="false">IF(ISBLANK($C326),"",AND(V326&lt;&gt;"",Q326))</f>
        <v/>
      </c>
      <c r="AB326" s="66" t="str">
        <f aca="false">IF(ISBLANK($C326),"",IF(Y326,Constants!$B$4,IF(COUNTA(E326:N326)=0,Constants!$B$5,IF(NOT(Q326),Constants!$B$6,IF(AND(NOT(Z326),NOT(AA326)),Constants!$B$6,Constants!$B$7)))))</f>
        <v/>
      </c>
      <c r="AC326" s="66" t="str">
        <f aca="false">IF(ISBLANK($C326),"",IF($AB326&lt;&gt;Constants!$B$7,$AB326,Constants!$B$20))</f>
        <v/>
      </c>
      <c r="AD326" s="66" t="str">
        <f aca="false">IF($AB326=Constants!$B$7,IF(Z326,S326,Constants!$B$13),"")</f>
        <v/>
      </c>
      <c r="AE326" s="66" t="str">
        <f aca="false">IF($AB326=Constants!$B$7,IF(Z326,R326*IF(T326, 1, Constants!$B$11)*IF(U326, 1, Constants!$B$12),Constants!$B$13),"")</f>
        <v/>
      </c>
      <c r="AF326" s="66" t="str">
        <f aca="false">IF($AB326=Constants!$B$7,AD326*AE326,"")</f>
        <v/>
      </c>
      <c r="AG326" s="66" t="str">
        <f aca="false">IF($AB326=Constants!$B$7,IF(AA326,V326,Constants!$B$13),"")</f>
        <v/>
      </c>
      <c r="AH326" s="66" t="str">
        <f aca="false">IF($AB326=Constants!$B$7,IF(AA326,R326*IF(W326, 1, Constants!$B$11)*IF(X326, 1, Constants!$B$12),Constants!$B$13),"")</f>
        <v/>
      </c>
      <c r="AI326" s="66" t="str">
        <f aca="false">IF($AB326=Constants!$B$7,AG326*AH326,"")</f>
        <v/>
      </c>
      <c r="AJ326" s="66" t="str">
        <f aca="false">IF($AB326=Constants!$B$7,IF(AI326&gt;AF326,2,1),"")</f>
        <v/>
      </c>
      <c r="AK326" s="66" t="str">
        <f aca="false">IF($AB326=Constants!$B$7,IF(AJ326=1,2,1),"")</f>
        <v/>
      </c>
      <c r="AL326" s="66" t="str">
        <f aca="false">IF(ISBLANK($C326),"",IF($AB326&lt;&gt;Constants!$B$7,$AB326,IF(AJ326=1,AF326,AI326)))</f>
        <v/>
      </c>
      <c r="AM326" s="66" t="str">
        <f aca="false">IF(ISBLANK($C326),"",IF($AB326=Constants!$B$7,IF(ISNUMBER(AL326),RANK(AL326,$AL$8:$AL$507),Constants!$B$14),$AB326))</f>
        <v/>
      </c>
      <c r="AN326" s="66" t="str">
        <f aca="false">IF(ISBLANK($C326),"",IF($AB326=Constants!$B$7,IF(AK326=1,AF326,AI326),""))</f>
        <v/>
      </c>
      <c r="AO326" s="66" t="str">
        <f aca="false">IF(ISBLANK($C326),"",IF($AB326=Constants!$B$7,RANK(AN326,$AN$8:$AN$507),$AB326))</f>
        <v/>
      </c>
      <c r="AP326" s="66" t="str">
        <f aca="false">IF(ISBLANK($C326),"",IF($AB326=Constants!$B$7,IF(ISNUMBER(AM326),COUNTIFS($AM$8:$AM$507,"&lt;"&amp;$AM326)+COUNTIFS($AM$8:$AM$507,$AM326,$AO$8:$AO$507,"&lt;"&amp;$AO326)+1,Constants!$B$14),$AB326))</f>
        <v/>
      </c>
      <c r="AQ326" s="66" t="str">
        <f aca="false">IF(ISBLANK($C326),"",IF($AB326=Constants!$B$7,IF(ISNUMBER(AM326),AM326-AP326,Constants!$B$14),$AB326))</f>
        <v/>
      </c>
      <c r="AR326" s="68"/>
      <c r="AS326" s="69" t="str">
        <f aca="false">IF(ISBLANK($C326),"",IF($AB326&lt;&gt;Constants!$B$7,"",AJ326))</f>
        <v/>
      </c>
      <c r="AT326" s="84" t="str">
        <f aca="false">IF(ISBLANK($C326),"",IF($AB326&lt;&gt;Constants!$B$7,"",IF(AJ326=1,AD326,AG326)))</f>
        <v/>
      </c>
      <c r="AU326" s="71" t="str">
        <f aca="false">IF(ISBLANK($C326),"",IF($AB326&lt;&gt;Constants!$B$7,"",IF(AJ326=1,AE326,AH326)))</f>
        <v/>
      </c>
      <c r="AV326" s="72" t="str">
        <f aca="false">IF(ISBLANK($C326),"",IF($AB326&lt;&gt;Constants!$B$7,$AB326,AL326))</f>
        <v/>
      </c>
      <c r="AW326" s="73" t="str">
        <f aca="false">IF(ISBLANK($C326),"",IF($AB326&lt;&gt;Constants!$B$7,$AB326,AC326))</f>
        <v/>
      </c>
      <c r="AX326" s="74" t="str">
        <f aca="false">IF(ISBLANK($C326),"",AQ326)</f>
        <v/>
      </c>
      <c r="AY326" s="74" t="str">
        <f aca="false">IF(ISBLANK($C326),"",AP326)</f>
        <v/>
      </c>
      <c r="AZ326" s="75" t="str">
        <f aca="false">IF(ISBLANK($C326),"",IF(AY326=Constants!$B$4,COUNTA($C$8:$C$507)+2,IF(AY326=Constants!$B$5,COUNTA($C$8:$C$507)+1,IF(AY326=Constants!$B$6,COUNTA($C$8:$C$507),AY326))))</f>
        <v/>
      </c>
      <c r="BA326" s="5"/>
      <c r="BB326" s="76" t="n">
        <f aca="false">IF(OR(ISNUMBER(AY326),AY326=Constants!$B$4,AY326=Constants!$B$6,AY326=Constants!$B$5),1,0)</f>
        <v>0</v>
      </c>
      <c r="BC326" s="76" t="n">
        <v>319</v>
      </c>
      <c r="BD326" s="76" t="str">
        <f aca="false">IF(ISBLANK($C326),"",IF(ISNUMBER(AZ326),AZ326+ROW($B326)/1000,""))</f>
        <v/>
      </c>
      <c r="BE326" s="76" t="str">
        <f aca="false">IF(ISNUMBER(BD326),RANK(BD326,$BD$8:$BD$507,1),"")</f>
        <v/>
      </c>
      <c r="BF326" s="76" t="str">
        <f aca="false">IF(ISBLANK($C326),"",$B326)</f>
        <v/>
      </c>
      <c r="BG326" s="76" t="str">
        <f aca="false">IF(ISBLANK($C326),"",$C326)</f>
        <v/>
      </c>
      <c r="BH326" s="76" t="str">
        <f aca="false">IF(ISBLANK($C326),"",$D326)</f>
        <v/>
      </c>
      <c r="BI326" s="77" t="str">
        <f aca="false">AW326</f>
        <v/>
      </c>
      <c r="BJ326" s="78" t="str">
        <f aca="false">AV326</f>
        <v/>
      </c>
      <c r="BK326" s="76" t="str">
        <f aca="false">IF(ISBLANK($C326),"",AY326)</f>
        <v/>
      </c>
      <c r="BL326" s="79" t="str">
        <f aca="false">IF($BC326&gt;$BB$7,"",VLOOKUP($BC326,$BE$8:$BK$507,7,FALSE()))</f>
        <v/>
      </c>
      <c r="BM326" s="80" t="str">
        <f aca="false">IF($BC326&gt;$BB$7,"",VLOOKUP($BC326,$BE$8:$BK$507,2,FALSE()))</f>
        <v/>
      </c>
      <c r="BN326" s="80" t="str">
        <f aca="false">IF($BC326&gt;$BB$7,"",VLOOKUP($BC326,$BE$8:$BK$507,3,FALSE()))</f>
        <v/>
      </c>
      <c r="BO326" s="80" t="str">
        <f aca="false">IF($BC326&gt;$BB$7,"",VLOOKUP($BC326,$BE$8:$BK$507,4,FALSE()))</f>
        <v/>
      </c>
      <c r="BP326" s="80" t="str">
        <f aca="false">IF($BC326&gt;$BB$7,"",VLOOKUP($BC326,$BE$8:$BK$507,5,FALSE()))</f>
        <v/>
      </c>
      <c r="BQ326" s="81" t="str">
        <f aca="false">IF($BC326&gt;$BB$7,"",VLOOKUP($BC326,$BE$8:$BK$507,6,FALSE()))</f>
        <v/>
      </c>
      <c r="BR326" s="54"/>
    </row>
    <row r="327" customFormat="false" ht="15.75" hidden="false" customHeight="false" outlineLevel="0" collapsed="false">
      <c r="A327" s="5"/>
      <c r="B327" s="124"/>
      <c r="C327" s="56"/>
      <c r="D327" s="57"/>
      <c r="E327" s="83"/>
      <c r="F327" s="59"/>
      <c r="G327" s="60"/>
      <c r="H327" s="61"/>
      <c r="I327" s="62"/>
      <c r="J327" s="59"/>
      <c r="K327" s="60"/>
      <c r="L327" s="61"/>
      <c r="M327" s="62"/>
      <c r="N327" s="59"/>
      <c r="O327" s="83"/>
      <c r="P327" s="64"/>
      <c r="Q327" s="66" t="str">
        <f aca="false">IF(ISBLANK($C327),"",IF(E327=Constants!$B$2, TRUE(), IF(E327=Constants!$B$3, FALSE(), TRUE())))</f>
        <v/>
      </c>
      <c r="R327" s="66" t="str">
        <f aca="false">IF(ISBLANK($C327),"",IF(F327=Constants!$B$16,Constants!$B$9,IF(F327=Constants!$B$17,Constants!$B$10,Constants!$B$8)))</f>
        <v/>
      </c>
      <c r="S327" s="66" t="str">
        <f aca="false">IF(ISBLANK($C327),"",IF(COUNTA(G327:H327)=0,"",IF(AND(OR(ISBLANK(G327),AND(ISNUMBER(G327),G327&gt;=0)),OR(ISBLANK(H327),AND(ISNUMBER(H327),H327&gt;=0))),60*IF(ISBLANK(G327),0,G327)+IF(ISBLANK(H327),0,H327),"")))</f>
        <v/>
      </c>
      <c r="T327" s="66" t="str">
        <f aca="false">IF(ISBLANK($C327),"",IF(I327=Constants!$B$2, TRUE(), IF(I327=Constants!$B$3, FALSE(), TRUE())))</f>
        <v/>
      </c>
      <c r="U327" s="66" t="str">
        <f aca="false">IF(ISBLANK($C327),"",IF(J327=Constants!$B$2, TRUE(), IF(J327=Constants!$B$3, FALSE(), TRUE())))</f>
        <v/>
      </c>
      <c r="V327" s="66" t="str">
        <f aca="false">IF(ISBLANK($C327),"",IF(COUNTA(K327:L327)=0,"",IF(AND(OR(ISBLANK(K327),AND(ISNUMBER(K327),K327&gt;=0)),OR(ISBLANK(L327),AND(ISNUMBER(L327),L327&gt;=0))),60*IF(ISBLANK(K327),0,K327)+IF(ISBLANK(L327),0,L327),"")))</f>
        <v/>
      </c>
      <c r="W327" s="66" t="str">
        <f aca="false">IF(ISBLANK($C327),"",IF(M327=Constants!$B$2, TRUE(), IF(M327=Constants!$B$3, FALSE(), TRUE())))</f>
        <v/>
      </c>
      <c r="X327" s="66" t="str">
        <f aca="false">IF(ISBLANK($C327),"",IF(N327=Constants!$B$2, TRUE(), IF(N327=Constants!$B$3, FALSE(), TRUE())))</f>
        <v/>
      </c>
      <c r="Y327" s="66" t="str">
        <f aca="false">IF(ISBLANK($C327),"",IF(O327=Constants!$B$2, TRUE(), IF(O327=Constants!$B$3, FALSE(), FALSE())))</f>
        <v/>
      </c>
      <c r="Z327" s="66" t="str">
        <f aca="false">IF(ISBLANK($C327),"",AND(S327&lt;&gt;"",Q327))</f>
        <v/>
      </c>
      <c r="AA327" s="66" t="str">
        <f aca="false">IF(ISBLANK($C327),"",AND(V327&lt;&gt;"",Q327))</f>
        <v/>
      </c>
      <c r="AB327" s="66" t="str">
        <f aca="false">IF(ISBLANK($C327),"",IF(Y327,Constants!$B$4,IF(COUNTA(E327:N327)=0,Constants!$B$5,IF(NOT(Q327),Constants!$B$6,IF(AND(NOT(Z327),NOT(AA327)),Constants!$B$6,Constants!$B$7)))))</f>
        <v/>
      </c>
      <c r="AC327" s="66" t="str">
        <f aca="false">IF(ISBLANK($C327),"",IF($AB327&lt;&gt;Constants!$B$7,$AB327,Constants!$B$20))</f>
        <v/>
      </c>
      <c r="AD327" s="66" t="str">
        <f aca="false">IF($AB327=Constants!$B$7,IF(Z327,S327,Constants!$B$13),"")</f>
        <v/>
      </c>
      <c r="AE327" s="66" t="str">
        <f aca="false">IF($AB327=Constants!$B$7,IF(Z327,R327*IF(T327, 1, Constants!$B$11)*IF(U327, 1, Constants!$B$12),Constants!$B$13),"")</f>
        <v/>
      </c>
      <c r="AF327" s="66" t="str">
        <f aca="false">IF($AB327=Constants!$B$7,AD327*AE327,"")</f>
        <v/>
      </c>
      <c r="AG327" s="66" t="str">
        <f aca="false">IF($AB327=Constants!$B$7,IF(AA327,V327,Constants!$B$13),"")</f>
        <v/>
      </c>
      <c r="AH327" s="66" t="str">
        <f aca="false">IF($AB327=Constants!$B$7,IF(AA327,R327*IF(W327, 1, Constants!$B$11)*IF(X327, 1, Constants!$B$12),Constants!$B$13),"")</f>
        <v/>
      </c>
      <c r="AI327" s="66" t="str">
        <f aca="false">IF($AB327=Constants!$B$7,AG327*AH327,"")</f>
        <v/>
      </c>
      <c r="AJ327" s="66" t="str">
        <f aca="false">IF($AB327=Constants!$B$7,IF(AI327&gt;AF327,2,1),"")</f>
        <v/>
      </c>
      <c r="AK327" s="66" t="str">
        <f aca="false">IF($AB327=Constants!$B$7,IF(AJ327=1,2,1),"")</f>
        <v/>
      </c>
      <c r="AL327" s="66" t="str">
        <f aca="false">IF(ISBLANK($C327),"",IF($AB327&lt;&gt;Constants!$B$7,$AB327,IF(AJ327=1,AF327,AI327)))</f>
        <v/>
      </c>
      <c r="AM327" s="66" t="str">
        <f aca="false">IF(ISBLANK($C327),"",IF($AB327=Constants!$B$7,IF(ISNUMBER(AL327),RANK(AL327,$AL$8:$AL$507),Constants!$B$14),$AB327))</f>
        <v/>
      </c>
      <c r="AN327" s="66" t="str">
        <f aca="false">IF(ISBLANK($C327),"",IF($AB327=Constants!$B$7,IF(AK327=1,AF327,AI327),""))</f>
        <v/>
      </c>
      <c r="AO327" s="66" t="str">
        <f aca="false">IF(ISBLANK($C327),"",IF($AB327=Constants!$B$7,RANK(AN327,$AN$8:$AN$507),$AB327))</f>
        <v/>
      </c>
      <c r="AP327" s="66" t="str">
        <f aca="false">IF(ISBLANK($C327),"",IF($AB327=Constants!$B$7,IF(ISNUMBER(AM327),COUNTIFS($AM$8:$AM$507,"&lt;"&amp;$AM327)+COUNTIFS($AM$8:$AM$507,$AM327,$AO$8:$AO$507,"&lt;"&amp;$AO327)+1,Constants!$B$14),$AB327))</f>
        <v/>
      </c>
      <c r="AQ327" s="66" t="str">
        <f aca="false">IF(ISBLANK($C327),"",IF($AB327=Constants!$B$7,IF(ISNUMBER(AM327),AM327-AP327,Constants!$B$14),$AB327))</f>
        <v/>
      </c>
      <c r="AR327" s="68"/>
      <c r="AS327" s="69" t="str">
        <f aca="false">IF(ISBLANK($C327),"",IF($AB327&lt;&gt;Constants!$B$7,"",AJ327))</f>
        <v/>
      </c>
      <c r="AT327" s="84" t="str">
        <f aca="false">IF(ISBLANK($C327),"",IF($AB327&lt;&gt;Constants!$B$7,"",IF(AJ327=1,AD327,AG327)))</f>
        <v/>
      </c>
      <c r="AU327" s="71" t="str">
        <f aca="false">IF(ISBLANK($C327),"",IF($AB327&lt;&gt;Constants!$B$7,"",IF(AJ327=1,AE327,AH327)))</f>
        <v/>
      </c>
      <c r="AV327" s="72" t="str">
        <f aca="false">IF(ISBLANK($C327),"",IF($AB327&lt;&gt;Constants!$B$7,$AB327,AL327))</f>
        <v/>
      </c>
      <c r="AW327" s="73" t="str">
        <f aca="false">IF(ISBLANK($C327),"",IF($AB327&lt;&gt;Constants!$B$7,$AB327,AC327))</f>
        <v/>
      </c>
      <c r="AX327" s="74" t="str">
        <f aca="false">IF(ISBLANK($C327),"",AQ327)</f>
        <v/>
      </c>
      <c r="AY327" s="74" t="str">
        <f aca="false">IF(ISBLANK($C327),"",AP327)</f>
        <v/>
      </c>
      <c r="AZ327" s="75" t="str">
        <f aca="false">IF(ISBLANK($C327),"",IF(AY327=Constants!$B$4,COUNTA($C$8:$C$507)+2,IF(AY327=Constants!$B$5,COUNTA($C$8:$C$507)+1,IF(AY327=Constants!$B$6,COUNTA($C$8:$C$507),AY327))))</f>
        <v/>
      </c>
      <c r="BA327" s="5"/>
      <c r="BB327" s="76" t="n">
        <f aca="false">IF(OR(ISNUMBER(AY327),AY327=Constants!$B$4,AY327=Constants!$B$6,AY327=Constants!$B$5),1,0)</f>
        <v>0</v>
      </c>
      <c r="BC327" s="76" t="n">
        <v>320</v>
      </c>
      <c r="BD327" s="76" t="str">
        <f aca="false">IF(ISBLANK($C327),"",IF(ISNUMBER(AZ327),AZ327+ROW($B327)/1000,""))</f>
        <v/>
      </c>
      <c r="BE327" s="76" t="str">
        <f aca="false">IF(ISNUMBER(BD327),RANK(BD327,$BD$8:$BD$507,1),"")</f>
        <v/>
      </c>
      <c r="BF327" s="76" t="str">
        <f aca="false">IF(ISBLANK($C327),"",$B327)</f>
        <v/>
      </c>
      <c r="BG327" s="76" t="str">
        <f aca="false">IF(ISBLANK($C327),"",$C327)</f>
        <v/>
      </c>
      <c r="BH327" s="76" t="str">
        <f aca="false">IF(ISBLANK($C327),"",$D327)</f>
        <v/>
      </c>
      <c r="BI327" s="77" t="str">
        <f aca="false">AW327</f>
        <v/>
      </c>
      <c r="BJ327" s="78" t="str">
        <f aca="false">AV327</f>
        <v/>
      </c>
      <c r="BK327" s="76" t="str">
        <f aca="false">IF(ISBLANK($C327),"",AY327)</f>
        <v/>
      </c>
      <c r="BL327" s="79" t="str">
        <f aca="false">IF($BC327&gt;$BB$7,"",VLOOKUP($BC327,$BE$8:$BK$507,7,FALSE()))</f>
        <v/>
      </c>
      <c r="BM327" s="80" t="str">
        <f aca="false">IF($BC327&gt;$BB$7,"",VLOOKUP($BC327,$BE$8:$BK$507,2,FALSE()))</f>
        <v/>
      </c>
      <c r="BN327" s="80" t="str">
        <f aca="false">IF($BC327&gt;$BB$7,"",VLOOKUP($BC327,$BE$8:$BK$507,3,FALSE()))</f>
        <v/>
      </c>
      <c r="BO327" s="80" t="str">
        <f aca="false">IF($BC327&gt;$BB$7,"",VLOOKUP($BC327,$BE$8:$BK$507,4,FALSE()))</f>
        <v/>
      </c>
      <c r="BP327" s="80" t="str">
        <f aca="false">IF($BC327&gt;$BB$7,"",VLOOKUP($BC327,$BE$8:$BK$507,5,FALSE()))</f>
        <v/>
      </c>
      <c r="BQ327" s="81" t="str">
        <f aca="false">IF($BC327&gt;$BB$7,"",VLOOKUP($BC327,$BE$8:$BK$507,6,FALSE()))</f>
        <v/>
      </c>
      <c r="BR327" s="54"/>
    </row>
    <row r="328" customFormat="false" ht="15.75" hidden="false" customHeight="false" outlineLevel="0" collapsed="false">
      <c r="A328" s="5"/>
      <c r="B328" s="124"/>
      <c r="C328" s="56"/>
      <c r="D328" s="57"/>
      <c r="E328" s="83"/>
      <c r="F328" s="59"/>
      <c r="G328" s="60"/>
      <c r="H328" s="61"/>
      <c r="I328" s="62"/>
      <c r="J328" s="59"/>
      <c r="K328" s="60"/>
      <c r="L328" s="61"/>
      <c r="M328" s="62"/>
      <c r="N328" s="59"/>
      <c r="O328" s="83"/>
      <c r="P328" s="64"/>
      <c r="Q328" s="66" t="str">
        <f aca="false">IF(ISBLANK($C328),"",IF(E328=Constants!$B$2, TRUE(), IF(E328=Constants!$B$3, FALSE(), TRUE())))</f>
        <v/>
      </c>
      <c r="R328" s="66" t="str">
        <f aca="false">IF(ISBLANK($C328),"",IF(F328=Constants!$B$16,Constants!$B$9,IF(F328=Constants!$B$17,Constants!$B$10,Constants!$B$8)))</f>
        <v/>
      </c>
      <c r="S328" s="66" t="str">
        <f aca="false">IF(ISBLANK($C328),"",IF(COUNTA(G328:H328)=0,"",IF(AND(OR(ISBLANK(G328),AND(ISNUMBER(G328),G328&gt;=0)),OR(ISBLANK(H328),AND(ISNUMBER(H328),H328&gt;=0))),60*IF(ISBLANK(G328),0,G328)+IF(ISBLANK(H328),0,H328),"")))</f>
        <v/>
      </c>
      <c r="T328" s="66" t="str">
        <f aca="false">IF(ISBLANK($C328),"",IF(I328=Constants!$B$2, TRUE(), IF(I328=Constants!$B$3, FALSE(), TRUE())))</f>
        <v/>
      </c>
      <c r="U328" s="66" t="str">
        <f aca="false">IF(ISBLANK($C328),"",IF(J328=Constants!$B$2, TRUE(), IF(J328=Constants!$B$3, FALSE(), TRUE())))</f>
        <v/>
      </c>
      <c r="V328" s="66" t="str">
        <f aca="false">IF(ISBLANK($C328),"",IF(COUNTA(K328:L328)=0,"",IF(AND(OR(ISBLANK(K328),AND(ISNUMBER(K328),K328&gt;=0)),OR(ISBLANK(L328),AND(ISNUMBER(L328),L328&gt;=0))),60*IF(ISBLANK(K328),0,K328)+IF(ISBLANK(L328),0,L328),"")))</f>
        <v/>
      </c>
      <c r="W328" s="66" t="str">
        <f aca="false">IF(ISBLANK($C328),"",IF(M328=Constants!$B$2, TRUE(), IF(M328=Constants!$B$3, FALSE(), TRUE())))</f>
        <v/>
      </c>
      <c r="X328" s="66" t="str">
        <f aca="false">IF(ISBLANK($C328),"",IF(N328=Constants!$B$2, TRUE(), IF(N328=Constants!$B$3, FALSE(), TRUE())))</f>
        <v/>
      </c>
      <c r="Y328" s="66" t="str">
        <f aca="false">IF(ISBLANK($C328),"",IF(O328=Constants!$B$2, TRUE(), IF(O328=Constants!$B$3, FALSE(), FALSE())))</f>
        <v/>
      </c>
      <c r="Z328" s="66" t="str">
        <f aca="false">IF(ISBLANK($C328),"",AND(S328&lt;&gt;"",Q328))</f>
        <v/>
      </c>
      <c r="AA328" s="66" t="str">
        <f aca="false">IF(ISBLANK($C328),"",AND(V328&lt;&gt;"",Q328))</f>
        <v/>
      </c>
      <c r="AB328" s="66" t="str">
        <f aca="false">IF(ISBLANK($C328),"",IF(Y328,Constants!$B$4,IF(COUNTA(E328:N328)=0,Constants!$B$5,IF(NOT(Q328),Constants!$B$6,IF(AND(NOT(Z328),NOT(AA328)),Constants!$B$6,Constants!$B$7)))))</f>
        <v/>
      </c>
      <c r="AC328" s="66" t="str">
        <f aca="false">IF(ISBLANK($C328),"",IF($AB328&lt;&gt;Constants!$B$7,$AB328,Constants!$B$20))</f>
        <v/>
      </c>
      <c r="AD328" s="66" t="str">
        <f aca="false">IF($AB328=Constants!$B$7,IF(Z328,S328,Constants!$B$13),"")</f>
        <v/>
      </c>
      <c r="AE328" s="66" t="str">
        <f aca="false">IF($AB328=Constants!$B$7,IF(Z328,R328*IF(T328, 1, Constants!$B$11)*IF(U328, 1, Constants!$B$12),Constants!$B$13),"")</f>
        <v/>
      </c>
      <c r="AF328" s="66" t="str">
        <f aca="false">IF($AB328=Constants!$B$7,AD328*AE328,"")</f>
        <v/>
      </c>
      <c r="AG328" s="66" t="str">
        <f aca="false">IF($AB328=Constants!$B$7,IF(AA328,V328,Constants!$B$13),"")</f>
        <v/>
      </c>
      <c r="AH328" s="66" t="str">
        <f aca="false">IF($AB328=Constants!$B$7,IF(AA328,R328*IF(W328, 1, Constants!$B$11)*IF(X328, 1, Constants!$B$12),Constants!$B$13),"")</f>
        <v/>
      </c>
      <c r="AI328" s="66" t="str">
        <f aca="false">IF($AB328=Constants!$B$7,AG328*AH328,"")</f>
        <v/>
      </c>
      <c r="AJ328" s="66" t="str">
        <f aca="false">IF($AB328=Constants!$B$7,IF(AI328&gt;AF328,2,1),"")</f>
        <v/>
      </c>
      <c r="AK328" s="66" t="str">
        <f aca="false">IF($AB328=Constants!$B$7,IF(AJ328=1,2,1),"")</f>
        <v/>
      </c>
      <c r="AL328" s="66" t="str">
        <f aca="false">IF(ISBLANK($C328),"",IF($AB328&lt;&gt;Constants!$B$7,$AB328,IF(AJ328=1,AF328,AI328)))</f>
        <v/>
      </c>
      <c r="AM328" s="66" t="str">
        <f aca="false">IF(ISBLANK($C328),"",IF($AB328=Constants!$B$7,IF(ISNUMBER(AL328),RANK(AL328,$AL$8:$AL$507),Constants!$B$14),$AB328))</f>
        <v/>
      </c>
      <c r="AN328" s="66" t="str">
        <f aca="false">IF(ISBLANK($C328),"",IF($AB328=Constants!$B$7,IF(AK328=1,AF328,AI328),""))</f>
        <v/>
      </c>
      <c r="AO328" s="66" t="str">
        <f aca="false">IF(ISBLANK($C328),"",IF($AB328=Constants!$B$7,RANK(AN328,$AN$8:$AN$507),$AB328))</f>
        <v/>
      </c>
      <c r="AP328" s="66" t="str">
        <f aca="false">IF(ISBLANK($C328),"",IF($AB328=Constants!$B$7,IF(ISNUMBER(AM328),COUNTIFS($AM$8:$AM$507,"&lt;"&amp;$AM328)+COUNTIFS($AM$8:$AM$507,$AM328,$AO$8:$AO$507,"&lt;"&amp;$AO328)+1,Constants!$B$14),$AB328))</f>
        <v/>
      </c>
      <c r="AQ328" s="66" t="str">
        <f aca="false">IF(ISBLANK($C328),"",IF($AB328=Constants!$B$7,IF(ISNUMBER(AM328),AM328-AP328,Constants!$B$14),$AB328))</f>
        <v/>
      </c>
      <c r="AR328" s="68"/>
      <c r="AS328" s="69" t="str">
        <f aca="false">IF(ISBLANK($C328),"",IF($AB328&lt;&gt;Constants!$B$7,"",AJ328))</f>
        <v/>
      </c>
      <c r="AT328" s="84" t="str">
        <f aca="false">IF(ISBLANK($C328),"",IF($AB328&lt;&gt;Constants!$B$7,"",IF(AJ328=1,AD328,AG328)))</f>
        <v/>
      </c>
      <c r="AU328" s="71" t="str">
        <f aca="false">IF(ISBLANK($C328),"",IF($AB328&lt;&gt;Constants!$B$7,"",IF(AJ328=1,AE328,AH328)))</f>
        <v/>
      </c>
      <c r="AV328" s="72" t="str">
        <f aca="false">IF(ISBLANK($C328),"",IF($AB328&lt;&gt;Constants!$B$7,$AB328,AL328))</f>
        <v/>
      </c>
      <c r="AW328" s="73" t="str">
        <f aca="false">IF(ISBLANK($C328),"",IF($AB328&lt;&gt;Constants!$B$7,$AB328,AC328))</f>
        <v/>
      </c>
      <c r="AX328" s="74" t="str">
        <f aca="false">IF(ISBLANK($C328),"",AQ328)</f>
        <v/>
      </c>
      <c r="AY328" s="74" t="str">
        <f aca="false">IF(ISBLANK($C328),"",AP328)</f>
        <v/>
      </c>
      <c r="AZ328" s="75" t="str">
        <f aca="false">IF(ISBLANK($C328),"",IF(AY328=Constants!$B$4,COUNTA($C$8:$C$507)+2,IF(AY328=Constants!$B$5,COUNTA($C$8:$C$507)+1,IF(AY328=Constants!$B$6,COUNTA($C$8:$C$507),AY328))))</f>
        <v/>
      </c>
      <c r="BA328" s="5"/>
      <c r="BB328" s="76" t="n">
        <f aca="false">IF(OR(ISNUMBER(AY328),AY328=Constants!$B$4,AY328=Constants!$B$6,AY328=Constants!$B$5),1,0)</f>
        <v>0</v>
      </c>
      <c r="BC328" s="76" t="n">
        <v>321</v>
      </c>
      <c r="BD328" s="76" t="str">
        <f aca="false">IF(ISBLANK($C328),"",IF(ISNUMBER(AZ328),AZ328+ROW($B328)/1000,""))</f>
        <v/>
      </c>
      <c r="BE328" s="76" t="str">
        <f aca="false">IF(ISNUMBER(BD328),RANK(BD328,$BD$8:$BD$507,1),"")</f>
        <v/>
      </c>
      <c r="BF328" s="76" t="str">
        <f aca="false">IF(ISBLANK($C328),"",$B328)</f>
        <v/>
      </c>
      <c r="BG328" s="76" t="str">
        <f aca="false">IF(ISBLANK($C328),"",$C328)</f>
        <v/>
      </c>
      <c r="BH328" s="76" t="str">
        <f aca="false">IF(ISBLANK($C328),"",$D328)</f>
        <v/>
      </c>
      <c r="BI328" s="77" t="str">
        <f aca="false">AW328</f>
        <v/>
      </c>
      <c r="BJ328" s="78" t="str">
        <f aca="false">AV328</f>
        <v/>
      </c>
      <c r="BK328" s="76" t="str">
        <f aca="false">IF(ISBLANK($C328),"",AY328)</f>
        <v/>
      </c>
      <c r="BL328" s="79" t="str">
        <f aca="false">IF($BC328&gt;$BB$7,"",VLOOKUP($BC328,$BE$8:$BK$507,7,FALSE()))</f>
        <v/>
      </c>
      <c r="BM328" s="80" t="str">
        <f aca="false">IF($BC328&gt;$BB$7,"",VLOOKUP($BC328,$BE$8:$BK$507,2,FALSE()))</f>
        <v/>
      </c>
      <c r="BN328" s="80" t="str">
        <f aca="false">IF($BC328&gt;$BB$7,"",VLOOKUP($BC328,$BE$8:$BK$507,3,FALSE()))</f>
        <v/>
      </c>
      <c r="BO328" s="80" t="str">
        <f aca="false">IF($BC328&gt;$BB$7,"",VLOOKUP($BC328,$BE$8:$BK$507,4,FALSE()))</f>
        <v/>
      </c>
      <c r="BP328" s="80" t="str">
        <f aca="false">IF($BC328&gt;$BB$7,"",VLOOKUP($BC328,$BE$8:$BK$507,5,FALSE()))</f>
        <v/>
      </c>
      <c r="BQ328" s="81" t="str">
        <f aca="false">IF($BC328&gt;$BB$7,"",VLOOKUP($BC328,$BE$8:$BK$507,6,FALSE()))</f>
        <v/>
      </c>
      <c r="BR328" s="54"/>
    </row>
    <row r="329" customFormat="false" ht="15.75" hidden="false" customHeight="false" outlineLevel="0" collapsed="false">
      <c r="A329" s="5"/>
      <c r="B329" s="120"/>
      <c r="C329" s="121"/>
      <c r="D329" s="112"/>
      <c r="E329" s="123"/>
      <c r="F329" s="91"/>
      <c r="G329" s="92"/>
      <c r="H329" s="93"/>
      <c r="I329" s="94"/>
      <c r="J329" s="91"/>
      <c r="K329" s="92"/>
      <c r="L329" s="93"/>
      <c r="M329" s="94"/>
      <c r="N329" s="91"/>
      <c r="O329" s="123"/>
      <c r="P329" s="96"/>
      <c r="Q329" s="97" t="str">
        <f aca="false">IF(ISBLANK($C329),"",IF(E329=Constants!$B$2, TRUE(), IF(E329=Constants!$B$3, FALSE(), TRUE())))</f>
        <v/>
      </c>
      <c r="R329" s="97" t="str">
        <f aca="false">IF(ISBLANK($C329),"",IF(F329=Constants!$B$16,Constants!$B$9,IF(F329=Constants!$B$17,Constants!$B$10,Constants!$B$8)))</f>
        <v/>
      </c>
      <c r="S329" s="97" t="str">
        <f aca="false">IF(ISBLANK($C329),"",IF(COUNTA(G329:H329)=0,"",IF(AND(OR(ISBLANK(G329),AND(ISNUMBER(G329),G329&gt;=0)),OR(ISBLANK(H329),AND(ISNUMBER(H329),H329&gt;=0))),60*IF(ISBLANK(G329),0,G329)+IF(ISBLANK(H329),0,H329),"")))</f>
        <v/>
      </c>
      <c r="T329" s="97" t="str">
        <f aca="false">IF(ISBLANK($C329),"",IF(I329=Constants!$B$2, TRUE(), IF(I329=Constants!$B$3, FALSE(), TRUE())))</f>
        <v/>
      </c>
      <c r="U329" s="97" t="str">
        <f aca="false">IF(ISBLANK($C329),"",IF(J329=Constants!$B$2, TRUE(), IF(J329=Constants!$B$3, FALSE(), TRUE())))</f>
        <v/>
      </c>
      <c r="V329" s="97" t="str">
        <f aca="false">IF(ISBLANK($C329),"",IF(COUNTA(K329:L329)=0,"",IF(AND(OR(ISBLANK(K329),AND(ISNUMBER(K329),K329&gt;=0)),OR(ISBLANK(L329),AND(ISNUMBER(L329),L329&gt;=0))),60*IF(ISBLANK(K329),0,K329)+IF(ISBLANK(L329),0,L329),"")))</f>
        <v/>
      </c>
      <c r="W329" s="97" t="str">
        <f aca="false">IF(ISBLANK($C329),"",IF(M329=Constants!$B$2, TRUE(), IF(M329=Constants!$B$3, FALSE(), TRUE())))</f>
        <v/>
      </c>
      <c r="X329" s="97" t="str">
        <f aca="false">IF(ISBLANK($C329),"",IF(N329=Constants!$B$2, TRUE(), IF(N329=Constants!$B$3, FALSE(), TRUE())))</f>
        <v/>
      </c>
      <c r="Y329" s="97" t="str">
        <f aca="false">IF(ISBLANK($C329),"",IF(O329=Constants!$B$2, TRUE(), IF(O329=Constants!$B$3, FALSE(), FALSE())))</f>
        <v/>
      </c>
      <c r="Z329" s="97" t="str">
        <f aca="false">IF(ISBLANK($C329),"",AND(S329&lt;&gt;"",Q329))</f>
        <v/>
      </c>
      <c r="AA329" s="97" t="str">
        <f aca="false">IF(ISBLANK($C329),"",AND(V329&lt;&gt;"",Q329))</f>
        <v/>
      </c>
      <c r="AB329" s="97" t="str">
        <f aca="false">IF(ISBLANK($C329),"",IF(Y329,Constants!$B$4,IF(COUNTA(E329:N329)=0,Constants!$B$5,IF(NOT(Q329),Constants!$B$6,IF(AND(NOT(Z329),NOT(AA329)),Constants!$B$6,Constants!$B$7)))))</f>
        <v/>
      </c>
      <c r="AC329" s="97" t="str">
        <f aca="false">IF(ISBLANK($C329),"",IF($AB329&lt;&gt;Constants!$B$7,$AB329,Constants!$B$20))</f>
        <v/>
      </c>
      <c r="AD329" s="97" t="str">
        <f aca="false">IF($AB329=Constants!$B$7,IF(Z329,S329,Constants!$B$13),"")</f>
        <v/>
      </c>
      <c r="AE329" s="97" t="str">
        <f aca="false">IF($AB329=Constants!$B$7,IF(Z329,R329*IF(T329, 1, Constants!$B$11)*IF(U329, 1, Constants!$B$12),Constants!$B$13),"")</f>
        <v/>
      </c>
      <c r="AF329" s="97" t="str">
        <f aca="false">IF($AB329=Constants!$B$7,AD329*AE329,"")</f>
        <v/>
      </c>
      <c r="AG329" s="97" t="str">
        <f aca="false">IF($AB329=Constants!$B$7,IF(AA329,V329,Constants!$B$13),"")</f>
        <v/>
      </c>
      <c r="AH329" s="97" t="str">
        <f aca="false">IF($AB329=Constants!$B$7,IF(AA329,R329*IF(W329, 1, Constants!$B$11)*IF(X329, 1, Constants!$B$12),Constants!$B$13),"")</f>
        <v/>
      </c>
      <c r="AI329" s="97" t="str">
        <f aca="false">IF($AB329=Constants!$B$7,AG329*AH329,"")</f>
        <v/>
      </c>
      <c r="AJ329" s="97" t="str">
        <f aca="false">IF($AB329=Constants!$B$7,IF(AI329&gt;AF329,2,1),"")</f>
        <v/>
      </c>
      <c r="AK329" s="97" t="str">
        <f aca="false">IF($AB329=Constants!$B$7,IF(AJ329=1,2,1),"")</f>
        <v/>
      </c>
      <c r="AL329" s="97" t="str">
        <f aca="false">IF(ISBLANK($C329),"",IF($AB329&lt;&gt;Constants!$B$7,$AB329,IF(AJ329=1,AF329,AI329)))</f>
        <v/>
      </c>
      <c r="AM329" s="97" t="str">
        <f aca="false">IF(ISBLANK($C329),"",IF($AB329=Constants!$B$7,IF(ISNUMBER(AL329),RANK(AL329,$AL$8:$AL$507),Constants!$B$14),$AB329))</f>
        <v/>
      </c>
      <c r="AN329" s="97" t="str">
        <f aca="false">IF(ISBLANK($C329),"",IF($AB329=Constants!$B$7,IF(AK329=1,AF329,AI329),""))</f>
        <v/>
      </c>
      <c r="AO329" s="97" t="str">
        <f aca="false">IF(ISBLANK($C329),"",IF($AB329=Constants!$B$7,RANK(AN329,$AN$8:$AN$507),$AB329))</f>
        <v/>
      </c>
      <c r="AP329" s="97" t="str">
        <f aca="false">IF(ISBLANK($C329),"",IF($AB329=Constants!$B$7,IF(ISNUMBER(AM329),COUNTIFS($AM$8:$AM$507,"&lt;"&amp;$AM329)+COUNTIFS($AM$8:$AM$507,$AM329,$AO$8:$AO$507,"&lt;"&amp;$AO329)+1,Constants!$B$14),$AB329))</f>
        <v/>
      </c>
      <c r="AQ329" s="97" t="str">
        <f aca="false">IF(ISBLANK($C329),"",IF($AB329=Constants!$B$7,IF(ISNUMBER(AM329),AM329-AP329,Constants!$B$14),$AB329))</f>
        <v/>
      </c>
      <c r="AR329" s="98"/>
      <c r="AS329" s="99" t="str">
        <f aca="false">IF(ISBLANK($C329),"",IF($AB329&lt;&gt;Constants!$B$7,"",AJ329))</f>
        <v/>
      </c>
      <c r="AT329" s="100" t="str">
        <f aca="false">IF(ISBLANK($C329),"",IF($AB329&lt;&gt;Constants!$B$7,"",IF(AJ329=1,AD329,AG329)))</f>
        <v/>
      </c>
      <c r="AU329" s="101" t="str">
        <f aca="false">IF(ISBLANK($C329),"",IF($AB329&lt;&gt;Constants!$B$7,"",IF(AJ329=1,AE329,AH329)))</f>
        <v/>
      </c>
      <c r="AV329" s="102" t="str">
        <f aca="false">IF(ISBLANK($C329),"",IF($AB329&lt;&gt;Constants!$B$7,$AB329,AL329))</f>
        <v/>
      </c>
      <c r="AW329" s="103" t="str">
        <f aca="false">IF(ISBLANK($C329),"",IF($AB329&lt;&gt;Constants!$B$7,$AB329,AC329))</f>
        <v/>
      </c>
      <c r="AX329" s="104" t="str">
        <f aca="false">IF(ISBLANK($C329),"",AQ329)</f>
        <v/>
      </c>
      <c r="AY329" s="104" t="str">
        <f aca="false">IF(ISBLANK($C329),"",AP329)</f>
        <v/>
      </c>
      <c r="AZ329" s="105" t="str">
        <f aca="false">IF(ISBLANK($C329),"",IF(AY329=Constants!$B$4,COUNTA($C$8:$C$507)+2,IF(AY329=Constants!$B$5,COUNTA($C$8:$C$507)+1,IF(AY329=Constants!$B$6,COUNTA($C$8:$C$507),AY329))))</f>
        <v/>
      </c>
      <c r="BA329" s="5"/>
      <c r="BB329" s="106" t="n">
        <f aca="false">IF(OR(ISNUMBER(AY329),AY329=Constants!$B$4,AY329=Constants!$B$6,AY329=Constants!$B$5),1,0)</f>
        <v>0</v>
      </c>
      <c r="BC329" s="106" t="n">
        <v>322</v>
      </c>
      <c r="BD329" s="106" t="str">
        <f aca="false">IF(ISBLANK($C329),"",IF(ISNUMBER(AZ329),AZ329+ROW($B329)/1000,""))</f>
        <v/>
      </c>
      <c r="BE329" s="106" t="str">
        <f aca="false">IF(ISNUMBER(BD329),RANK(BD329,$BD$8:$BD$507,1),"")</f>
        <v/>
      </c>
      <c r="BF329" s="106" t="str">
        <f aca="false">IF(ISBLANK($C329),"",$B329)</f>
        <v/>
      </c>
      <c r="BG329" s="106" t="str">
        <f aca="false">IF(ISBLANK($C329),"",$C329)</f>
        <v/>
      </c>
      <c r="BH329" s="106" t="str">
        <f aca="false">IF(ISBLANK($C329),"",$D329)</f>
        <v/>
      </c>
      <c r="BI329" s="107" t="str">
        <f aca="false">AW329</f>
        <v/>
      </c>
      <c r="BJ329" s="108" t="str">
        <f aca="false">AV329</f>
        <v/>
      </c>
      <c r="BK329" s="106" t="str">
        <f aca="false">IF(ISBLANK($C329),"",AY329)</f>
        <v/>
      </c>
      <c r="BL329" s="109" t="str">
        <f aca="false">IF($BC329&gt;$BB$7,"",VLOOKUP($BC329,$BE$8:$BK$507,7,FALSE()))</f>
        <v/>
      </c>
      <c r="BM329" s="110" t="str">
        <f aca="false">IF($BC329&gt;$BB$7,"",VLOOKUP($BC329,$BE$8:$BK$507,2,FALSE()))</f>
        <v/>
      </c>
      <c r="BN329" s="110" t="str">
        <f aca="false">IF($BC329&gt;$BB$7,"",VLOOKUP($BC329,$BE$8:$BK$507,3,FALSE()))</f>
        <v/>
      </c>
      <c r="BO329" s="110" t="str">
        <f aca="false">IF($BC329&gt;$BB$7,"",VLOOKUP($BC329,$BE$8:$BK$507,4,FALSE()))</f>
        <v/>
      </c>
      <c r="BP329" s="110" t="str">
        <f aca="false">IF($BC329&gt;$BB$7,"",VLOOKUP($BC329,$BE$8:$BK$507,5,FALSE()))</f>
        <v/>
      </c>
      <c r="BQ329" s="111" t="str">
        <f aca="false">IF($BC329&gt;$BB$7,"",VLOOKUP($BC329,$BE$8:$BK$507,6,FALSE()))</f>
        <v/>
      </c>
      <c r="BR329" s="54"/>
    </row>
    <row r="330" customFormat="false" ht="15.75" hidden="false" customHeight="false" outlineLevel="0" collapsed="false">
      <c r="A330" s="5"/>
      <c r="B330" s="120"/>
      <c r="C330" s="121"/>
      <c r="D330" s="112"/>
      <c r="E330" s="123"/>
      <c r="F330" s="91"/>
      <c r="G330" s="92"/>
      <c r="H330" s="93"/>
      <c r="I330" s="94"/>
      <c r="J330" s="91"/>
      <c r="K330" s="92"/>
      <c r="L330" s="93"/>
      <c r="M330" s="94"/>
      <c r="N330" s="91"/>
      <c r="O330" s="123"/>
      <c r="P330" s="96"/>
      <c r="Q330" s="97" t="str">
        <f aca="false">IF(ISBLANK($C330),"",IF(E330=Constants!$B$2, TRUE(), IF(E330=Constants!$B$3, FALSE(), TRUE())))</f>
        <v/>
      </c>
      <c r="R330" s="97" t="str">
        <f aca="false">IF(ISBLANK($C330),"",IF(F330=Constants!$B$16,Constants!$B$9,IF(F330=Constants!$B$17,Constants!$B$10,Constants!$B$8)))</f>
        <v/>
      </c>
      <c r="S330" s="97" t="str">
        <f aca="false">IF(ISBLANK($C330),"",IF(COUNTA(G330:H330)=0,"",IF(AND(OR(ISBLANK(G330),AND(ISNUMBER(G330),G330&gt;=0)),OR(ISBLANK(H330),AND(ISNUMBER(H330),H330&gt;=0))),60*IF(ISBLANK(G330),0,G330)+IF(ISBLANK(H330),0,H330),"")))</f>
        <v/>
      </c>
      <c r="T330" s="97" t="str">
        <f aca="false">IF(ISBLANK($C330),"",IF(I330=Constants!$B$2, TRUE(), IF(I330=Constants!$B$3, FALSE(), TRUE())))</f>
        <v/>
      </c>
      <c r="U330" s="97" t="str">
        <f aca="false">IF(ISBLANK($C330),"",IF(J330=Constants!$B$2, TRUE(), IF(J330=Constants!$B$3, FALSE(), TRUE())))</f>
        <v/>
      </c>
      <c r="V330" s="97" t="str">
        <f aca="false">IF(ISBLANK($C330),"",IF(COUNTA(K330:L330)=0,"",IF(AND(OR(ISBLANK(K330),AND(ISNUMBER(K330),K330&gt;=0)),OR(ISBLANK(L330),AND(ISNUMBER(L330),L330&gt;=0))),60*IF(ISBLANK(K330),0,K330)+IF(ISBLANK(L330),0,L330),"")))</f>
        <v/>
      </c>
      <c r="W330" s="97" t="str">
        <f aca="false">IF(ISBLANK($C330),"",IF(M330=Constants!$B$2, TRUE(), IF(M330=Constants!$B$3, FALSE(), TRUE())))</f>
        <v/>
      </c>
      <c r="X330" s="97" t="str">
        <f aca="false">IF(ISBLANK($C330),"",IF(N330=Constants!$B$2, TRUE(), IF(N330=Constants!$B$3, FALSE(), TRUE())))</f>
        <v/>
      </c>
      <c r="Y330" s="97" t="str">
        <f aca="false">IF(ISBLANK($C330),"",IF(O330=Constants!$B$2, TRUE(), IF(O330=Constants!$B$3, FALSE(), FALSE())))</f>
        <v/>
      </c>
      <c r="Z330" s="97" t="str">
        <f aca="false">IF(ISBLANK($C330),"",AND(S330&lt;&gt;"",Q330))</f>
        <v/>
      </c>
      <c r="AA330" s="97" t="str">
        <f aca="false">IF(ISBLANK($C330),"",AND(V330&lt;&gt;"",Q330))</f>
        <v/>
      </c>
      <c r="AB330" s="97" t="str">
        <f aca="false">IF(ISBLANK($C330),"",IF(Y330,Constants!$B$4,IF(COUNTA(E330:N330)=0,Constants!$B$5,IF(NOT(Q330),Constants!$B$6,IF(AND(NOT(Z330),NOT(AA330)),Constants!$B$6,Constants!$B$7)))))</f>
        <v/>
      </c>
      <c r="AC330" s="97" t="str">
        <f aca="false">IF(ISBLANK($C330),"",IF($AB330&lt;&gt;Constants!$B$7,$AB330,Constants!$B$20))</f>
        <v/>
      </c>
      <c r="AD330" s="97" t="str">
        <f aca="false">IF($AB330=Constants!$B$7,IF(Z330,S330,Constants!$B$13),"")</f>
        <v/>
      </c>
      <c r="AE330" s="97" t="str">
        <f aca="false">IF($AB330=Constants!$B$7,IF(Z330,R330*IF(T330, 1, Constants!$B$11)*IF(U330, 1, Constants!$B$12),Constants!$B$13),"")</f>
        <v/>
      </c>
      <c r="AF330" s="97" t="str">
        <f aca="false">IF($AB330=Constants!$B$7,AD330*AE330,"")</f>
        <v/>
      </c>
      <c r="AG330" s="97" t="str">
        <f aca="false">IF($AB330=Constants!$B$7,IF(AA330,V330,Constants!$B$13),"")</f>
        <v/>
      </c>
      <c r="AH330" s="97" t="str">
        <f aca="false">IF($AB330=Constants!$B$7,IF(AA330,R330*IF(W330, 1, Constants!$B$11)*IF(X330, 1, Constants!$B$12),Constants!$B$13),"")</f>
        <v/>
      </c>
      <c r="AI330" s="97" t="str">
        <f aca="false">IF($AB330=Constants!$B$7,AG330*AH330,"")</f>
        <v/>
      </c>
      <c r="AJ330" s="97" t="str">
        <f aca="false">IF($AB330=Constants!$B$7,IF(AI330&gt;AF330,2,1),"")</f>
        <v/>
      </c>
      <c r="AK330" s="97" t="str">
        <f aca="false">IF($AB330=Constants!$B$7,IF(AJ330=1,2,1),"")</f>
        <v/>
      </c>
      <c r="AL330" s="97" t="str">
        <f aca="false">IF(ISBLANK($C330),"",IF($AB330&lt;&gt;Constants!$B$7,$AB330,IF(AJ330=1,AF330,AI330)))</f>
        <v/>
      </c>
      <c r="AM330" s="97" t="str">
        <f aca="false">IF(ISBLANK($C330),"",IF($AB330=Constants!$B$7,IF(ISNUMBER(AL330),RANK(AL330,$AL$8:$AL$507),Constants!$B$14),$AB330))</f>
        <v/>
      </c>
      <c r="AN330" s="97" t="str">
        <f aca="false">IF(ISBLANK($C330),"",IF($AB330=Constants!$B$7,IF(AK330=1,AF330,AI330),""))</f>
        <v/>
      </c>
      <c r="AO330" s="97" t="str">
        <f aca="false">IF(ISBLANK($C330),"",IF($AB330=Constants!$B$7,RANK(AN330,$AN$8:$AN$507),$AB330))</f>
        <v/>
      </c>
      <c r="AP330" s="97" t="str">
        <f aca="false">IF(ISBLANK($C330),"",IF($AB330=Constants!$B$7,IF(ISNUMBER(AM330),COUNTIFS($AM$8:$AM$507,"&lt;"&amp;$AM330)+COUNTIFS($AM$8:$AM$507,$AM330,$AO$8:$AO$507,"&lt;"&amp;$AO330)+1,Constants!$B$14),$AB330))</f>
        <v/>
      </c>
      <c r="AQ330" s="97" t="str">
        <f aca="false">IF(ISBLANK($C330),"",IF($AB330=Constants!$B$7,IF(ISNUMBER(AM330),AM330-AP330,Constants!$B$14),$AB330))</f>
        <v/>
      </c>
      <c r="AR330" s="98"/>
      <c r="AS330" s="99" t="str">
        <f aca="false">IF(ISBLANK($C330),"",IF($AB330&lt;&gt;Constants!$B$7,"",AJ330))</f>
        <v/>
      </c>
      <c r="AT330" s="100" t="str">
        <f aca="false">IF(ISBLANK($C330),"",IF($AB330&lt;&gt;Constants!$B$7,"",IF(AJ330=1,AD330,AG330)))</f>
        <v/>
      </c>
      <c r="AU330" s="101" t="str">
        <f aca="false">IF(ISBLANK($C330),"",IF($AB330&lt;&gt;Constants!$B$7,"",IF(AJ330=1,AE330,AH330)))</f>
        <v/>
      </c>
      <c r="AV330" s="102" t="str">
        <f aca="false">IF(ISBLANK($C330),"",IF($AB330&lt;&gt;Constants!$B$7,$AB330,AL330))</f>
        <v/>
      </c>
      <c r="AW330" s="103" t="str">
        <f aca="false">IF(ISBLANK($C330),"",IF($AB330&lt;&gt;Constants!$B$7,$AB330,AC330))</f>
        <v/>
      </c>
      <c r="AX330" s="104" t="str">
        <f aca="false">IF(ISBLANK($C330),"",AQ330)</f>
        <v/>
      </c>
      <c r="AY330" s="104" t="str">
        <f aca="false">IF(ISBLANK($C330),"",AP330)</f>
        <v/>
      </c>
      <c r="AZ330" s="105" t="str">
        <f aca="false">IF(ISBLANK($C330),"",IF(AY330=Constants!$B$4,COUNTA($C$8:$C$507)+2,IF(AY330=Constants!$B$5,COUNTA($C$8:$C$507)+1,IF(AY330=Constants!$B$6,COUNTA($C$8:$C$507),AY330))))</f>
        <v/>
      </c>
      <c r="BA330" s="5"/>
      <c r="BB330" s="106" t="n">
        <f aca="false">IF(OR(ISNUMBER(AY330),AY330=Constants!$B$4,AY330=Constants!$B$6,AY330=Constants!$B$5),1,0)</f>
        <v>0</v>
      </c>
      <c r="BC330" s="106" t="n">
        <v>323</v>
      </c>
      <c r="BD330" s="106" t="str">
        <f aca="false">IF(ISBLANK($C330),"",IF(ISNUMBER(AZ330),AZ330+ROW($B330)/1000,""))</f>
        <v/>
      </c>
      <c r="BE330" s="106" t="str">
        <f aca="false">IF(ISNUMBER(BD330),RANK(BD330,$BD$8:$BD$507,1),"")</f>
        <v/>
      </c>
      <c r="BF330" s="106" t="str">
        <f aca="false">IF(ISBLANK($C330),"",$B330)</f>
        <v/>
      </c>
      <c r="BG330" s="106" t="str">
        <f aca="false">IF(ISBLANK($C330),"",$C330)</f>
        <v/>
      </c>
      <c r="BH330" s="106" t="str">
        <f aca="false">IF(ISBLANK($C330),"",$D330)</f>
        <v/>
      </c>
      <c r="BI330" s="107" t="str">
        <f aca="false">AW330</f>
        <v/>
      </c>
      <c r="BJ330" s="108" t="str">
        <f aca="false">AV330</f>
        <v/>
      </c>
      <c r="BK330" s="106" t="str">
        <f aca="false">IF(ISBLANK($C330),"",AY330)</f>
        <v/>
      </c>
      <c r="BL330" s="109" t="str">
        <f aca="false">IF($BC330&gt;$BB$7,"",VLOOKUP($BC330,$BE$8:$BK$507,7,FALSE()))</f>
        <v/>
      </c>
      <c r="BM330" s="110" t="str">
        <f aca="false">IF($BC330&gt;$BB$7,"",VLOOKUP($BC330,$BE$8:$BK$507,2,FALSE()))</f>
        <v/>
      </c>
      <c r="BN330" s="110" t="str">
        <f aca="false">IF($BC330&gt;$BB$7,"",VLOOKUP($BC330,$BE$8:$BK$507,3,FALSE()))</f>
        <v/>
      </c>
      <c r="BO330" s="110" t="str">
        <f aca="false">IF($BC330&gt;$BB$7,"",VLOOKUP($BC330,$BE$8:$BK$507,4,FALSE()))</f>
        <v/>
      </c>
      <c r="BP330" s="110" t="str">
        <f aca="false">IF($BC330&gt;$BB$7,"",VLOOKUP($BC330,$BE$8:$BK$507,5,FALSE()))</f>
        <v/>
      </c>
      <c r="BQ330" s="111" t="str">
        <f aca="false">IF($BC330&gt;$BB$7,"",VLOOKUP($BC330,$BE$8:$BK$507,6,FALSE()))</f>
        <v/>
      </c>
      <c r="BR330" s="54"/>
    </row>
    <row r="331" customFormat="false" ht="15.75" hidden="false" customHeight="false" outlineLevel="0" collapsed="false">
      <c r="A331" s="5"/>
      <c r="B331" s="120"/>
      <c r="C331" s="121"/>
      <c r="D331" s="112"/>
      <c r="E331" s="123"/>
      <c r="F331" s="91"/>
      <c r="G331" s="92"/>
      <c r="H331" s="93"/>
      <c r="I331" s="94"/>
      <c r="J331" s="91"/>
      <c r="K331" s="92"/>
      <c r="L331" s="93"/>
      <c r="M331" s="94"/>
      <c r="N331" s="91"/>
      <c r="O331" s="123"/>
      <c r="P331" s="96"/>
      <c r="Q331" s="97" t="str">
        <f aca="false">IF(ISBLANK($C331),"",IF(E331=Constants!$B$2, TRUE(), IF(E331=Constants!$B$3, FALSE(), TRUE())))</f>
        <v/>
      </c>
      <c r="R331" s="97" t="str">
        <f aca="false">IF(ISBLANK($C331),"",IF(F331=Constants!$B$16,Constants!$B$9,IF(F331=Constants!$B$17,Constants!$B$10,Constants!$B$8)))</f>
        <v/>
      </c>
      <c r="S331" s="97" t="str">
        <f aca="false">IF(ISBLANK($C331),"",IF(COUNTA(G331:H331)=0,"",IF(AND(OR(ISBLANK(G331),AND(ISNUMBER(G331),G331&gt;=0)),OR(ISBLANK(H331),AND(ISNUMBER(H331),H331&gt;=0))),60*IF(ISBLANK(G331),0,G331)+IF(ISBLANK(H331),0,H331),"")))</f>
        <v/>
      </c>
      <c r="T331" s="97" t="str">
        <f aca="false">IF(ISBLANK($C331),"",IF(I331=Constants!$B$2, TRUE(), IF(I331=Constants!$B$3, FALSE(), TRUE())))</f>
        <v/>
      </c>
      <c r="U331" s="97" t="str">
        <f aca="false">IF(ISBLANK($C331),"",IF(J331=Constants!$B$2, TRUE(), IF(J331=Constants!$B$3, FALSE(), TRUE())))</f>
        <v/>
      </c>
      <c r="V331" s="97" t="str">
        <f aca="false">IF(ISBLANK($C331),"",IF(COUNTA(K331:L331)=0,"",IF(AND(OR(ISBLANK(K331),AND(ISNUMBER(K331),K331&gt;=0)),OR(ISBLANK(L331),AND(ISNUMBER(L331),L331&gt;=0))),60*IF(ISBLANK(K331),0,K331)+IF(ISBLANK(L331),0,L331),"")))</f>
        <v/>
      </c>
      <c r="W331" s="97" t="str">
        <f aca="false">IF(ISBLANK($C331),"",IF(M331=Constants!$B$2, TRUE(), IF(M331=Constants!$B$3, FALSE(), TRUE())))</f>
        <v/>
      </c>
      <c r="X331" s="97" t="str">
        <f aca="false">IF(ISBLANK($C331),"",IF(N331=Constants!$B$2, TRUE(), IF(N331=Constants!$B$3, FALSE(), TRUE())))</f>
        <v/>
      </c>
      <c r="Y331" s="97" t="str">
        <f aca="false">IF(ISBLANK($C331),"",IF(O331=Constants!$B$2, TRUE(), IF(O331=Constants!$B$3, FALSE(), FALSE())))</f>
        <v/>
      </c>
      <c r="Z331" s="97" t="str">
        <f aca="false">IF(ISBLANK($C331),"",AND(S331&lt;&gt;"",Q331))</f>
        <v/>
      </c>
      <c r="AA331" s="97" t="str">
        <f aca="false">IF(ISBLANK($C331),"",AND(V331&lt;&gt;"",Q331))</f>
        <v/>
      </c>
      <c r="AB331" s="97" t="str">
        <f aca="false">IF(ISBLANK($C331),"",IF(Y331,Constants!$B$4,IF(COUNTA(E331:N331)=0,Constants!$B$5,IF(NOT(Q331),Constants!$B$6,IF(AND(NOT(Z331),NOT(AA331)),Constants!$B$6,Constants!$B$7)))))</f>
        <v/>
      </c>
      <c r="AC331" s="97" t="str">
        <f aca="false">IF(ISBLANK($C331),"",IF($AB331&lt;&gt;Constants!$B$7,$AB331,Constants!$B$20))</f>
        <v/>
      </c>
      <c r="AD331" s="97" t="str">
        <f aca="false">IF($AB331=Constants!$B$7,IF(Z331,S331,Constants!$B$13),"")</f>
        <v/>
      </c>
      <c r="AE331" s="97" t="str">
        <f aca="false">IF($AB331=Constants!$B$7,IF(Z331,R331*IF(T331, 1, Constants!$B$11)*IF(U331, 1, Constants!$B$12),Constants!$B$13),"")</f>
        <v/>
      </c>
      <c r="AF331" s="97" t="str">
        <f aca="false">IF($AB331=Constants!$B$7,AD331*AE331,"")</f>
        <v/>
      </c>
      <c r="AG331" s="97" t="str">
        <f aca="false">IF($AB331=Constants!$B$7,IF(AA331,V331,Constants!$B$13),"")</f>
        <v/>
      </c>
      <c r="AH331" s="97" t="str">
        <f aca="false">IF($AB331=Constants!$B$7,IF(AA331,R331*IF(W331, 1, Constants!$B$11)*IF(X331, 1, Constants!$B$12),Constants!$B$13),"")</f>
        <v/>
      </c>
      <c r="AI331" s="97" t="str">
        <f aca="false">IF($AB331=Constants!$B$7,AG331*AH331,"")</f>
        <v/>
      </c>
      <c r="AJ331" s="97" t="str">
        <f aca="false">IF($AB331=Constants!$B$7,IF(AI331&gt;AF331,2,1),"")</f>
        <v/>
      </c>
      <c r="AK331" s="97" t="str">
        <f aca="false">IF($AB331=Constants!$B$7,IF(AJ331=1,2,1),"")</f>
        <v/>
      </c>
      <c r="AL331" s="97" t="str">
        <f aca="false">IF(ISBLANK($C331),"",IF($AB331&lt;&gt;Constants!$B$7,$AB331,IF(AJ331=1,AF331,AI331)))</f>
        <v/>
      </c>
      <c r="AM331" s="97" t="str">
        <f aca="false">IF(ISBLANK($C331),"",IF($AB331=Constants!$B$7,IF(ISNUMBER(AL331),RANK(AL331,$AL$8:$AL$507),Constants!$B$14),$AB331))</f>
        <v/>
      </c>
      <c r="AN331" s="97" t="str">
        <f aca="false">IF(ISBLANK($C331),"",IF($AB331=Constants!$B$7,IF(AK331=1,AF331,AI331),""))</f>
        <v/>
      </c>
      <c r="AO331" s="97" t="str">
        <f aca="false">IF(ISBLANK($C331),"",IF($AB331=Constants!$B$7,RANK(AN331,$AN$8:$AN$507),$AB331))</f>
        <v/>
      </c>
      <c r="AP331" s="97" t="str">
        <f aca="false">IF(ISBLANK($C331),"",IF($AB331=Constants!$B$7,IF(ISNUMBER(AM331),COUNTIFS($AM$8:$AM$507,"&lt;"&amp;$AM331)+COUNTIFS($AM$8:$AM$507,$AM331,$AO$8:$AO$507,"&lt;"&amp;$AO331)+1,Constants!$B$14),$AB331))</f>
        <v/>
      </c>
      <c r="AQ331" s="97" t="str">
        <f aca="false">IF(ISBLANK($C331),"",IF($AB331=Constants!$B$7,IF(ISNUMBER(AM331),AM331-AP331,Constants!$B$14),$AB331))</f>
        <v/>
      </c>
      <c r="AR331" s="98"/>
      <c r="AS331" s="99" t="str">
        <f aca="false">IF(ISBLANK($C331),"",IF($AB331&lt;&gt;Constants!$B$7,"",AJ331))</f>
        <v/>
      </c>
      <c r="AT331" s="100" t="str">
        <f aca="false">IF(ISBLANK($C331),"",IF($AB331&lt;&gt;Constants!$B$7,"",IF(AJ331=1,AD331,AG331)))</f>
        <v/>
      </c>
      <c r="AU331" s="101" t="str">
        <f aca="false">IF(ISBLANK($C331),"",IF($AB331&lt;&gt;Constants!$B$7,"",IF(AJ331=1,AE331,AH331)))</f>
        <v/>
      </c>
      <c r="AV331" s="102" t="str">
        <f aca="false">IF(ISBLANK($C331),"",IF($AB331&lt;&gt;Constants!$B$7,$AB331,AL331))</f>
        <v/>
      </c>
      <c r="AW331" s="103" t="str">
        <f aca="false">IF(ISBLANK($C331),"",IF($AB331&lt;&gt;Constants!$B$7,$AB331,AC331))</f>
        <v/>
      </c>
      <c r="AX331" s="104" t="str">
        <f aca="false">IF(ISBLANK($C331),"",AQ331)</f>
        <v/>
      </c>
      <c r="AY331" s="104" t="str">
        <f aca="false">IF(ISBLANK($C331),"",AP331)</f>
        <v/>
      </c>
      <c r="AZ331" s="105" t="str">
        <f aca="false">IF(ISBLANK($C331),"",IF(AY331=Constants!$B$4,COUNTA($C$8:$C$507)+2,IF(AY331=Constants!$B$5,COUNTA($C$8:$C$507)+1,IF(AY331=Constants!$B$6,COUNTA($C$8:$C$507),AY331))))</f>
        <v/>
      </c>
      <c r="BA331" s="5"/>
      <c r="BB331" s="106" t="n">
        <f aca="false">IF(OR(ISNUMBER(AY331),AY331=Constants!$B$4,AY331=Constants!$B$6,AY331=Constants!$B$5),1,0)</f>
        <v>0</v>
      </c>
      <c r="BC331" s="106" t="n">
        <v>324</v>
      </c>
      <c r="BD331" s="106" t="str">
        <f aca="false">IF(ISBLANK($C331),"",IF(ISNUMBER(AZ331),AZ331+ROW($B331)/1000,""))</f>
        <v/>
      </c>
      <c r="BE331" s="106" t="str">
        <f aca="false">IF(ISNUMBER(BD331),RANK(BD331,$BD$8:$BD$507,1),"")</f>
        <v/>
      </c>
      <c r="BF331" s="106" t="str">
        <f aca="false">IF(ISBLANK($C331),"",$B331)</f>
        <v/>
      </c>
      <c r="BG331" s="106" t="str">
        <f aca="false">IF(ISBLANK($C331),"",$C331)</f>
        <v/>
      </c>
      <c r="BH331" s="106" t="str">
        <f aca="false">IF(ISBLANK($C331),"",$D331)</f>
        <v/>
      </c>
      <c r="BI331" s="107" t="str">
        <f aca="false">AW331</f>
        <v/>
      </c>
      <c r="BJ331" s="108" t="str">
        <f aca="false">AV331</f>
        <v/>
      </c>
      <c r="BK331" s="106" t="str">
        <f aca="false">IF(ISBLANK($C331),"",AY331)</f>
        <v/>
      </c>
      <c r="BL331" s="109" t="str">
        <f aca="false">IF($BC331&gt;$BB$7,"",VLOOKUP($BC331,$BE$8:$BK$507,7,FALSE()))</f>
        <v/>
      </c>
      <c r="BM331" s="110" t="str">
        <f aca="false">IF($BC331&gt;$BB$7,"",VLOOKUP($BC331,$BE$8:$BK$507,2,FALSE()))</f>
        <v/>
      </c>
      <c r="BN331" s="110" t="str">
        <f aca="false">IF($BC331&gt;$BB$7,"",VLOOKUP($BC331,$BE$8:$BK$507,3,FALSE()))</f>
        <v/>
      </c>
      <c r="BO331" s="110" t="str">
        <f aca="false">IF($BC331&gt;$BB$7,"",VLOOKUP($BC331,$BE$8:$BK$507,4,FALSE()))</f>
        <v/>
      </c>
      <c r="BP331" s="110" t="str">
        <f aca="false">IF($BC331&gt;$BB$7,"",VLOOKUP($BC331,$BE$8:$BK$507,5,FALSE()))</f>
        <v/>
      </c>
      <c r="BQ331" s="111" t="str">
        <f aca="false">IF($BC331&gt;$BB$7,"",VLOOKUP($BC331,$BE$8:$BK$507,6,FALSE()))</f>
        <v/>
      </c>
      <c r="BR331" s="54"/>
    </row>
    <row r="332" customFormat="false" ht="15.75" hidden="false" customHeight="false" outlineLevel="0" collapsed="false">
      <c r="A332" s="5"/>
      <c r="B332" s="124"/>
      <c r="C332" s="56"/>
      <c r="D332" s="57"/>
      <c r="E332" s="83"/>
      <c r="F332" s="59"/>
      <c r="G332" s="60"/>
      <c r="H332" s="61"/>
      <c r="I332" s="62"/>
      <c r="J332" s="59"/>
      <c r="K332" s="60"/>
      <c r="L332" s="61"/>
      <c r="M332" s="62"/>
      <c r="N332" s="59"/>
      <c r="O332" s="83"/>
      <c r="P332" s="64"/>
      <c r="Q332" s="66" t="str">
        <f aca="false">IF(ISBLANK($C332),"",IF(E332=Constants!$B$2, TRUE(), IF(E332=Constants!$B$3, FALSE(), TRUE())))</f>
        <v/>
      </c>
      <c r="R332" s="66" t="str">
        <f aca="false">IF(ISBLANK($C332),"",IF(F332=Constants!$B$16,Constants!$B$9,IF(F332=Constants!$B$17,Constants!$B$10,Constants!$B$8)))</f>
        <v/>
      </c>
      <c r="S332" s="66" t="str">
        <f aca="false">IF(ISBLANK($C332),"",IF(COUNTA(G332:H332)=0,"",IF(AND(OR(ISBLANK(G332),AND(ISNUMBER(G332),G332&gt;=0)),OR(ISBLANK(H332),AND(ISNUMBER(H332),H332&gt;=0))),60*IF(ISBLANK(G332),0,G332)+IF(ISBLANK(H332),0,H332),"")))</f>
        <v/>
      </c>
      <c r="T332" s="66" t="str">
        <f aca="false">IF(ISBLANK($C332),"",IF(I332=Constants!$B$2, TRUE(), IF(I332=Constants!$B$3, FALSE(), TRUE())))</f>
        <v/>
      </c>
      <c r="U332" s="66" t="str">
        <f aca="false">IF(ISBLANK($C332),"",IF(J332=Constants!$B$2, TRUE(), IF(J332=Constants!$B$3, FALSE(), TRUE())))</f>
        <v/>
      </c>
      <c r="V332" s="66" t="str">
        <f aca="false">IF(ISBLANK($C332),"",IF(COUNTA(K332:L332)=0,"",IF(AND(OR(ISBLANK(K332),AND(ISNUMBER(K332),K332&gt;=0)),OR(ISBLANK(L332),AND(ISNUMBER(L332),L332&gt;=0))),60*IF(ISBLANK(K332),0,K332)+IF(ISBLANK(L332),0,L332),"")))</f>
        <v/>
      </c>
      <c r="W332" s="66" t="str">
        <f aca="false">IF(ISBLANK($C332),"",IF(M332=Constants!$B$2, TRUE(), IF(M332=Constants!$B$3, FALSE(), TRUE())))</f>
        <v/>
      </c>
      <c r="X332" s="66" t="str">
        <f aca="false">IF(ISBLANK($C332),"",IF(N332=Constants!$B$2, TRUE(), IF(N332=Constants!$B$3, FALSE(), TRUE())))</f>
        <v/>
      </c>
      <c r="Y332" s="66" t="str">
        <f aca="false">IF(ISBLANK($C332),"",IF(O332=Constants!$B$2, TRUE(), IF(O332=Constants!$B$3, FALSE(), FALSE())))</f>
        <v/>
      </c>
      <c r="Z332" s="66" t="str">
        <f aca="false">IF(ISBLANK($C332),"",AND(S332&lt;&gt;"",Q332))</f>
        <v/>
      </c>
      <c r="AA332" s="66" t="str">
        <f aca="false">IF(ISBLANK($C332),"",AND(V332&lt;&gt;"",Q332))</f>
        <v/>
      </c>
      <c r="AB332" s="66" t="str">
        <f aca="false">IF(ISBLANK($C332),"",IF(Y332,Constants!$B$4,IF(COUNTA(E332:N332)=0,Constants!$B$5,IF(NOT(Q332),Constants!$B$6,IF(AND(NOT(Z332),NOT(AA332)),Constants!$B$6,Constants!$B$7)))))</f>
        <v/>
      </c>
      <c r="AC332" s="66" t="str">
        <f aca="false">IF(ISBLANK($C332),"",IF($AB332&lt;&gt;Constants!$B$7,$AB332,Constants!$B$20))</f>
        <v/>
      </c>
      <c r="AD332" s="66" t="str">
        <f aca="false">IF($AB332=Constants!$B$7,IF(Z332,S332,Constants!$B$13),"")</f>
        <v/>
      </c>
      <c r="AE332" s="66" t="str">
        <f aca="false">IF($AB332=Constants!$B$7,IF(Z332,R332*IF(T332, 1, Constants!$B$11)*IF(U332, 1, Constants!$B$12),Constants!$B$13),"")</f>
        <v/>
      </c>
      <c r="AF332" s="66" t="str">
        <f aca="false">IF($AB332=Constants!$B$7,AD332*AE332,"")</f>
        <v/>
      </c>
      <c r="AG332" s="66" t="str">
        <f aca="false">IF($AB332=Constants!$B$7,IF(AA332,V332,Constants!$B$13),"")</f>
        <v/>
      </c>
      <c r="AH332" s="66" t="str">
        <f aca="false">IF($AB332=Constants!$B$7,IF(AA332,R332*IF(W332, 1, Constants!$B$11)*IF(X332, 1, Constants!$B$12),Constants!$B$13),"")</f>
        <v/>
      </c>
      <c r="AI332" s="66" t="str">
        <f aca="false">IF($AB332=Constants!$B$7,AG332*AH332,"")</f>
        <v/>
      </c>
      <c r="AJ332" s="66" t="str">
        <f aca="false">IF($AB332=Constants!$B$7,IF(AI332&gt;AF332,2,1),"")</f>
        <v/>
      </c>
      <c r="AK332" s="66" t="str">
        <f aca="false">IF($AB332=Constants!$B$7,IF(AJ332=1,2,1),"")</f>
        <v/>
      </c>
      <c r="AL332" s="66" t="str">
        <f aca="false">IF(ISBLANK($C332),"",IF($AB332&lt;&gt;Constants!$B$7,$AB332,IF(AJ332=1,AF332,AI332)))</f>
        <v/>
      </c>
      <c r="AM332" s="66" t="str">
        <f aca="false">IF(ISBLANK($C332),"",IF($AB332=Constants!$B$7,IF(ISNUMBER(AL332),RANK(AL332,$AL$8:$AL$507),Constants!$B$14),$AB332))</f>
        <v/>
      </c>
      <c r="AN332" s="66" t="str">
        <f aca="false">IF(ISBLANK($C332),"",IF($AB332=Constants!$B$7,IF(AK332=1,AF332,AI332),""))</f>
        <v/>
      </c>
      <c r="AO332" s="66" t="str">
        <f aca="false">IF(ISBLANK($C332),"",IF($AB332=Constants!$B$7,RANK(AN332,$AN$8:$AN$507),$AB332))</f>
        <v/>
      </c>
      <c r="AP332" s="66" t="str">
        <f aca="false">IF(ISBLANK($C332),"",IF($AB332=Constants!$B$7,IF(ISNUMBER(AM332),COUNTIFS($AM$8:$AM$507,"&lt;"&amp;$AM332)+COUNTIFS($AM$8:$AM$507,$AM332,$AO$8:$AO$507,"&lt;"&amp;$AO332)+1,Constants!$B$14),$AB332))</f>
        <v/>
      </c>
      <c r="AQ332" s="66" t="str">
        <f aca="false">IF(ISBLANK($C332),"",IF($AB332=Constants!$B$7,IF(ISNUMBER(AM332),AM332-AP332,Constants!$B$14),$AB332))</f>
        <v/>
      </c>
      <c r="AR332" s="68"/>
      <c r="AS332" s="69" t="str">
        <f aca="false">IF(ISBLANK($C332),"",IF($AB332&lt;&gt;Constants!$B$7,"",AJ332))</f>
        <v/>
      </c>
      <c r="AT332" s="84" t="str">
        <f aca="false">IF(ISBLANK($C332),"",IF($AB332&lt;&gt;Constants!$B$7,"",IF(AJ332=1,AD332,AG332)))</f>
        <v/>
      </c>
      <c r="AU332" s="71" t="str">
        <f aca="false">IF(ISBLANK($C332),"",IF($AB332&lt;&gt;Constants!$B$7,"",IF(AJ332=1,AE332,AH332)))</f>
        <v/>
      </c>
      <c r="AV332" s="72" t="str">
        <f aca="false">IF(ISBLANK($C332),"",IF($AB332&lt;&gt;Constants!$B$7,$AB332,AL332))</f>
        <v/>
      </c>
      <c r="AW332" s="73" t="str">
        <f aca="false">IF(ISBLANK($C332),"",IF($AB332&lt;&gt;Constants!$B$7,$AB332,AC332))</f>
        <v/>
      </c>
      <c r="AX332" s="74" t="str">
        <f aca="false">IF(ISBLANK($C332),"",AQ332)</f>
        <v/>
      </c>
      <c r="AY332" s="74" t="str">
        <f aca="false">IF(ISBLANK($C332),"",AP332)</f>
        <v/>
      </c>
      <c r="AZ332" s="75" t="str">
        <f aca="false">IF(ISBLANK($C332),"",IF(AY332=Constants!$B$4,COUNTA($C$8:$C$507)+2,IF(AY332=Constants!$B$5,COUNTA($C$8:$C$507)+1,IF(AY332=Constants!$B$6,COUNTA($C$8:$C$507),AY332))))</f>
        <v/>
      </c>
      <c r="BA332" s="5"/>
      <c r="BB332" s="76" t="n">
        <f aca="false">IF(OR(ISNUMBER(AY332),AY332=Constants!$B$4,AY332=Constants!$B$6,AY332=Constants!$B$5),1,0)</f>
        <v>0</v>
      </c>
      <c r="BC332" s="76" t="n">
        <v>325</v>
      </c>
      <c r="BD332" s="76" t="str">
        <f aca="false">IF(ISBLANK($C332),"",IF(ISNUMBER(AZ332),AZ332+ROW($B332)/1000,""))</f>
        <v/>
      </c>
      <c r="BE332" s="76" t="str">
        <f aca="false">IF(ISNUMBER(BD332),RANK(BD332,$BD$8:$BD$507,1),"")</f>
        <v/>
      </c>
      <c r="BF332" s="76" t="str">
        <f aca="false">IF(ISBLANK($C332),"",$B332)</f>
        <v/>
      </c>
      <c r="BG332" s="76" t="str">
        <f aca="false">IF(ISBLANK($C332),"",$C332)</f>
        <v/>
      </c>
      <c r="BH332" s="76" t="str">
        <f aca="false">IF(ISBLANK($C332),"",$D332)</f>
        <v/>
      </c>
      <c r="BI332" s="77" t="str">
        <f aca="false">AW332</f>
        <v/>
      </c>
      <c r="BJ332" s="78" t="str">
        <f aca="false">AV332</f>
        <v/>
      </c>
      <c r="BK332" s="76" t="str">
        <f aca="false">IF(ISBLANK($C332),"",AY332)</f>
        <v/>
      </c>
      <c r="BL332" s="79" t="str">
        <f aca="false">IF($BC332&gt;$BB$7,"",VLOOKUP($BC332,$BE$8:$BK$507,7,FALSE()))</f>
        <v/>
      </c>
      <c r="BM332" s="80" t="str">
        <f aca="false">IF($BC332&gt;$BB$7,"",VLOOKUP($BC332,$BE$8:$BK$507,2,FALSE()))</f>
        <v/>
      </c>
      <c r="BN332" s="80" t="str">
        <f aca="false">IF($BC332&gt;$BB$7,"",VLOOKUP($BC332,$BE$8:$BK$507,3,FALSE()))</f>
        <v/>
      </c>
      <c r="BO332" s="80" t="str">
        <f aca="false">IF($BC332&gt;$BB$7,"",VLOOKUP($BC332,$BE$8:$BK$507,4,FALSE()))</f>
        <v/>
      </c>
      <c r="BP332" s="80" t="str">
        <f aca="false">IF($BC332&gt;$BB$7,"",VLOOKUP($BC332,$BE$8:$BK$507,5,FALSE()))</f>
        <v/>
      </c>
      <c r="BQ332" s="81" t="str">
        <f aca="false">IF($BC332&gt;$BB$7,"",VLOOKUP($BC332,$BE$8:$BK$507,6,FALSE()))</f>
        <v/>
      </c>
      <c r="BR332" s="54"/>
    </row>
    <row r="333" customFormat="false" ht="15.75" hidden="false" customHeight="false" outlineLevel="0" collapsed="false">
      <c r="A333" s="5"/>
      <c r="B333" s="124"/>
      <c r="C333" s="56"/>
      <c r="D333" s="57"/>
      <c r="E333" s="83"/>
      <c r="F333" s="59"/>
      <c r="G333" s="60"/>
      <c r="H333" s="61"/>
      <c r="I333" s="62"/>
      <c r="J333" s="59"/>
      <c r="K333" s="60"/>
      <c r="L333" s="61"/>
      <c r="M333" s="62"/>
      <c r="N333" s="59"/>
      <c r="O333" s="83"/>
      <c r="P333" s="64"/>
      <c r="Q333" s="66" t="str">
        <f aca="false">IF(ISBLANK($C333),"",IF(E333=Constants!$B$2, TRUE(), IF(E333=Constants!$B$3, FALSE(), TRUE())))</f>
        <v/>
      </c>
      <c r="R333" s="66" t="str">
        <f aca="false">IF(ISBLANK($C333),"",IF(F333=Constants!$B$16,Constants!$B$9,IF(F333=Constants!$B$17,Constants!$B$10,Constants!$B$8)))</f>
        <v/>
      </c>
      <c r="S333" s="66" t="str">
        <f aca="false">IF(ISBLANK($C333),"",IF(COUNTA(G333:H333)=0,"",IF(AND(OR(ISBLANK(G333),AND(ISNUMBER(G333),G333&gt;=0)),OR(ISBLANK(H333),AND(ISNUMBER(H333),H333&gt;=0))),60*IF(ISBLANK(G333),0,G333)+IF(ISBLANK(H333),0,H333),"")))</f>
        <v/>
      </c>
      <c r="T333" s="66" t="str">
        <f aca="false">IF(ISBLANK($C333),"",IF(I333=Constants!$B$2, TRUE(), IF(I333=Constants!$B$3, FALSE(), TRUE())))</f>
        <v/>
      </c>
      <c r="U333" s="66" t="str">
        <f aca="false">IF(ISBLANK($C333),"",IF(J333=Constants!$B$2, TRUE(), IF(J333=Constants!$B$3, FALSE(), TRUE())))</f>
        <v/>
      </c>
      <c r="V333" s="66" t="str">
        <f aca="false">IF(ISBLANK($C333),"",IF(COUNTA(K333:L333)=0,"",IF(AND(OR(ISBLANK(K333),AND(ISNUMBER(K333),K333&gt;=0)),OR(ISBLANK(L333),AND(ISNUMBER(L333),L333&gt;=0))),60*IF(ISBLANK(K333),0,K333)+IF(ISBLANK(L333),0,L333),"")))</f>
        <v/>
      </c>
      <c r="W333" s="66" t="str">
        <f aca="false">IF(ISBLANK($C333),"",IF(M333=Constants!$B$2, TRUE(), IF(M333=Constants!$B$3, FALSE(), TRUE())))</f>
        <v/>
      </c>
      <c r="X333" s="66" t="str">
        <f aca="false">IF(ISBLANK($C333),"",IF(N333=Constants!$B$2, TRUE(), IF(N333=Constants!$B$3, FALSE(), TRUE())))</f>
        <v/>
      </c>
      <c r="Y333" s="66" t="str">
        <f aca="false">IF(ISBLANK($C333),"",IF(O333=Constants!$B$2, TRUE(), IF(O333=Constants!$B$3, FALSE(), FALSE())))</f>
        <v/>
      </c>
      <c r="Z333" s="66" t="str">
        <f aca="false">IF(ISBLANK($C333),"",AND(S333&lt;&gt;"",Q333))</f>
        <v/>
      </c>
      <c r="AA333" s="66" t="str">
        <f aca="false">IF(ISBLANK($C333),"",AND(V333&lt;&gt;"",Q333))</f>
        <v/>
      </c>
      <c r="AB333" s="66" t="str">
        <f aca="false">IF(ISBLANK($C333),"",IF(Y333,Constants!$B$4,IF(COUNTA(E333:N333)=0,Constants!$B$5,IF(NOT(Q333),Constants!$B$6,IF(AND(NOT(Z333),NOT(AA333)),Constants!$B$6,Constants!$B$7)))))</f>
        <v/>
      </c>
      <c r="AC333" s="66" t="str">
        <f aca="false">IF(ISBLANK($C333),"",IF($AB333&lt;&gt;Constants!$B$7,$AB333,Constants!$B$20))</f>
        <v/>
      </c>
      <c r="AD333" s="66" t="str">
        <f aca="false">IF($AB333=Constants!$B$7,IF(Z333,S333,Constants!$B$13),"")</f>
        <v/>
      </c>
      <c r="AE333" s="66" t="str">
        <f aca="false">IF($AB333=Constants!$B$7,IF(Z333,R333*IF(T333, 1, Constants!$B$11)*IF(U333, 1, Constants!$B$12),Constants!$B$13),"")</f>
        <v/>
      </c>
      <c r="AF333" s="66" t="str">
        <f aca="false">IF($AB333=Constants!$B$7,AD333*AE333,"")</f>
        <v/>
      </c>
      <c r="AG333" s="66" t="str">
        <f aca="false">IF($AB333=Constants!$B$7,IF(AA333,V333,Constants!$B$13),"")</f>
        <v/>
      </c>
      <c r="AH333" s="66" t="str">
        <f aca="false">IF($AB333=Constants!$B$7,IF(AA333,R333*IF(W333, 1, Constants!$B$11)*IF(X333, 1, Constants!$B$12),Constants!$B$13),"")</f>
        <v/>
      </c>
      <c r="AI333" s="66" t="str">
        <f aca="false">IF($AB333=Constants!$B$7,AG333*AH333,"")</f>
        <v/>
      </c>
      <c r="AJ333" s="66" t="str">
        <f aca="false">IF($AB333=Constants!$B$7,IF(AI333&gt;AF333,2,1),"")</f>
        <v/>
      </c>
      <c r="AK333" s="66" t="str">
        <f aca="false">IF($AB333=Constants!$B$7,IF(AJ333=1,2,1),"")</f>
        <v/>
      </c>
      <c r="AL333" s="66" t="str">
        <f aca="false">IF(ISBLANK($C333),"",IF($AB333&lt;&gt;Constants!$B$7,$AB333,IF(AJ333=1,AF333,AI333)))</f>
        <v/>
      </c>
      <c r="AM333" s="66" t="str">
        <f aca="false">IF(ISBLANK($C333),"",IF($AB333=Constants!$B$7,IF(ISNUMBER(AL333),RANK(AL333,$AL$8:$AL$507),Constants!$B$14),$AB333))</f>
        <v/>
      </c>
      <c r="AN333" s="66" t="str">
        <f aca="false">IF(ISBLANK($C333),"",IF($AB333=Constants!$B$7,IF(AK333=1,AF333,AI333),""))</f>
        <v/>
      </c>
      <c r="AO333" s="66" t="str">
        <f aca="false">IF(ISBLANK($C333),"",IF($AB333=Constants!$B$7,RANK(AN333,$AN$8:$AN$507),$AB333))</f>
        <v/>
      </c>
      <c r="AP333" s="66" t="str">
        <f aca="false">IF(ISBLANK($C333),"",IF($AB333=Constants!$B$7,IF(ISNUMBER(AM333),COUNTIFS($AM$8:$AM$507,"&lt;"&amp;$AM333)+COUNTIFS($AM$8:$AM$507,$AM333,$AO$8:$AO$507,"&lt;"&amp;$AO333)+1,Constants!$B$14),$AB333))</f>
        <v/>
      </c>
      <c r="AQ333" s="66" t="str">
        <f aca="false">IF(ISBLANK($C333),"",IF($AB333=Constants!$B$7,IF(ISNUMBER(AM333),AM333-AP333,Constants!$B$14),$AB333))</f>
        <v/>
      </c>
      <c r="AR333" s="68"/>
      <c r="AS333" s="69" t="str">
        <f aca="false">IF(ISBLANK($C333),"",IF($AB333&lt;&gt;Constants!$B$7,"",AJ333))</f>
        <v/>
      </c>
      <c r="AT333" s="84" t="str">
        <f aca="false">IF(ISBLANK($C333),"",IF($AB333&lt;&gt;Constants!$B$7,"",IF(AJ333=1,AD333,AG333)))</f>
        <v/>
      </c>
      <c r="AU333" s="71" t="str">
        <f aca="false">IF(ISBLANK($C333),"",IF($AB333&lt;&gt;Constants!$B$7,"",IF(AJ333=1,AE333,AH333)))</f>
        <v/>
      </c>
      <c r="AV333" s="72" t="str">
        <f aca="false">IF(ISBLANK($C333),"",IF($AB333&lt;&gt;Constants!$B$7,$AB333,AL333))</f>
        <v/>
      </c>
      <c r="AW333" s="73" t="str">
        <f aca="false">IF(ISBLANK($C333),"",IF($AB333&lt;&gt;Constants!$B$7,$AB333,AC333))</f>
        <v/>
      </c>
      <c r="AX333" s="74" t="str">
        <f aca="false">IF(ISBLANK($C333),"",AQ333)</f>
        <v/>
      </c>
      <c r="AY333" s="74" t="str">
        <f aca="false">IF(ISBLANK($C333),"",AP333)</f>
        <v/>
      </c>
      <c r="AZ333" s="75" t="str">
        <f aca="false">IF(ISBLANK($C333),"",IF(AY333=Constants!$B$4,COUNTA($C$8:$C$507)+2,IF(AY333=Constants!$B$5,COUNTA($C$8:$C$507)+1,IF(AY333=Constants!$B$6,COUNTA($C$8:$C$507),AY333))))</f>
        <v/>
      </c>
      <c r="BA333" s="5"/>
      <c r="BB333" s="76" t="n">
        <f aca="false">IF(OR(ISNUMBER(AY333),AY333=Constants!$B$4,AY333=Constants!$B$6,AY333=Constants!$B$5),1,0)</f>
        <v>0</v>
      </c>
      <c r="BC333" s="76" t="n">
        <v>326</v>
      </c>
      <c r="BD333" s="76" t="str">
        <f aca="false">IF(ISBLANK($C333),"",IF(ISNUMBER(AZ333),AZ333+ROW($B333)/1000,""))</f>
        <v/>
      </c>
      <c r="BE333" s="76" t="str">
        <f aca="false">IF(ISNUMBER(BD333),RANK(BD333,$BD$8:$BD$507,1),"")</f>
        <v/>
      </c>
      <c r="BF333" s="76" t="str">
        <f aca="false">IF(ISBLANK($C333),"",$B333)</f>
        <v/>
      </c>
      <c r="BG333" s="76" t="str">
        <f aca="false">IF(ISBLANK($C333),"",$C333)</f>
        <v/>
      </c>
      <c r="BH333" s="76" t="str">
        <f aca="false">IF(ISBLANK($C333),"",$D333)</f>
        <v/>
      </c>
      <c r="BI333" s="77" t="str">
        <f aca="false">AW333</f>
        <v/>
      </c>
      <c r="BJ333" s="78" t="str">
        <f aca="false">AV333</f>
        <v/>
      </c>
      <c r="BK333" s="76" t="str">
        <f aca="false">IF(ISBLANK($C333),"",AY333)</f>
        <v/>
      </c>
      <c r="BL333" s="79" t="str">
        <f aca="false">IF($BC333&gt;$BB$7,"",VLOOKUP($BC333,$BE$8:$BK$507,7,FALSE()))</f>
        <v/>
      </c>
      <c r="BM333" s="80" t="str">
        <f aca="false">IF($BC333&gt;$BB$7,"",VLOOKUP($BC333,$BE$8:$BK$507,2,FALSE()))</f>
        <v/>
      </c>
      <c r="BN333" s="80" t="str">
        <f aca="false">IF($BC333&gt;$BB$7,"",VLOOKUP($BC333,$BE$8:$BK$507,3,FALSE()))</f>
        <v/>
      </c>
      <c r="BO333" s="80" t="str">
        <f aca="false">IF($BC333&gt;$BB$7,"",VLOOKUP($BC333,$BE$8:$BK$507,4,FALSE()))</f>
        <v/>
      </c>
      <c r="BP333" s="80" t="str">
        <f aca="false">IF($BC333&gt;$BB$7,"",VLOOKUP($BC333,$BE$8:$BK$507,5,FALSE()))</f>
        <v/>
      </c>
      <c r="BQ333" s="81" t="str">
        <f aca="false">IF($BC333&gt;$BB$7,"",VLOOKUP($BC333,$BE$8:$BK$507,6,FALSE()))</f>
        <v/>
      </c>
      <c r="BR333" s="54"/>
    </row>
    <row r="334" customFormat="false" ht="15.75" hidden="false" customHeight="false" outlineLevel="0" collapsed="false">
      <c r="A334" s="5"/>
      <c r="B334" s="124"/>
      <c r="C334" s="56"/>
      <c r="D334" s="57"/>
      <c r="E334" s="83"/>
      <c r="F334" s="59"/>
      <c r="G334" s="60"/>
      <c r="H334" s="61"/>
      <c r="I334" s="62"/>
      <c r="J334" s="59"/>
      <c r="K334" s="60"/>
      <c r="L334" s="61"/>
      <c r="M334" s="62"/>
      <c r="N334" s="59"/>
      <c r="O334" s="83"/>
      <c r="P334" s="64"/>
      <c r="Q334" s="66" t="str">
        <f aca="false">IF(ISBLANK($C334),"",IF(E334=Constants!$B$2, TRUE(), IF(E334=Constants!$B$3, FALSE(), TRUE())))</f>
        <v/>
      </c>
      <c r="R334" s="66" t="str">
        <f aca="false">IF(ISBLANK($C334),"",IF(F334=Constants!$B$16,Constants!$B$9,IF(F334=Constants!$B$17,Constants!$B$10,Constants!$B$8)))</f>
        <v/>
      </c>
      <c r="S334" s="66" t="str">
        <f aca="false">IF(ISBLANK($C334),"",IF(COUNTA(G334:H334)=0,"",IF(AND(OR(ISBLANK(G334),AND(ISNUMBER(G334),G334&gt;=0)),OR(ISBLANK(H334),AND(ISNUMBER(H334),H334&gt;=0))),60*IF(ISBLANK(G334),0,G334)+IF(ISBLANK(H334),0,H334),"")))</f>
        <v/>
      </c>
      <c r="T334" s="66" t="str">
        <f aca="false">IF(ISBLANK($C334),"",IF(I334=Constants!$B$2, TRUE(), IF(I334=Constants!$B$3, FALSE(), TRUE())))</f>
        <v/>
      </c>
      <c r="U334" s="66" t="str">
        <f aca="false">IF(ISBLANK($C334),"",IF(J334=Constants!$B$2, TRUE(), IF(J334=Constants!$B$3, FALSE(), TRUE())))</f>
        <v/>
      </c>
      <c r="V334" s="66" t="str">
        <f aca="false">IF(ISBLANK($C334),"",IF(COUNTA(K334:L334)=0,"",IF(AND(OR(ISBLANK(K334),AND(ISNUMBER(K334),K334&gt;=0)),OR(ISBLANK(L334),AND(ISNUMBER(L334),L334&gt;=0))),60*IF(ISBLANK(K334),0,K334)+IF(ISBLANK(L334),0,L334),"")))</f>
        <v/>
      </c>
      <c r="W334" s="66" t="str">
        <f aca="false">IF(ISBLANK($C334),"",IF(M334=Constants!$B$2, TRUE(), IF(M334=Constants!$B$3, FALSE(), TRUE())))</f>
        <v/>
      </c>
      <c r="X334" s="66" t="str">
        <f aca="false">IF(ISBLANK($C334),"",IF(N334=Constants!$B$2, TRUE(), IF(N334=Constants!$B$3, FALSE(), TRUE())))</f>
        <v/>
      </c>
      <c r="Y334" s="66" t="str">
        <f aca="false">IF(ISBLANK($C334),"",IF(O334=Constants!$B$2, TRUE(), IF(O334=Constants!$B$3, FALSE(), FALSE())))</f>
        <v/>
      </c>
      <c r="Z334" s="66" t="str">
        <f aca="false">IF(ISBLANK($C334),"",AND(S334&lt;&gt;"",Q334))</f>
        <v/>
      </c>
      <c r="AA334" s="66" t="str">
        <f aca="false">IF(ISBLANK($C334),"",AND(V334&lt;&gt;"",Q334))</f>
        <v/>
      </c>
      <c r="AB334" s="66" t="str">
        <f aca="false">IF(ISBLANK($C334),"",IF(Y334,Constants!$B$4,IF(COUNTA(E334:N334)=0,Constants!$B$5,IF(NOT(Q334),Constants!$B$6,IF(AND(NOT(Z334),NOT(AA334)),Constants!$B$6,Constants!$B$7)))))</f>
        <v/>
      </c>
      <c r="AC334" s="66" t="str">
        <f aca="false">IF(ISBLANK($C334),"",IF($AB334&lt;&gt;Constants!$B$7,$AB334,Constants!$B$20))</f>
        <v/>
      </c>
      <c r="AD334" s="66" t="str">
        <f aca="false">IF($AB334=Constants!$B$7,IF(Z334,S334,Constants!$B$13),"")</f>
        <v/>
      </c>
      <c r="AE334" s="66" t="str">
        <f aca="false">IF($AB334=Constants!$B$7,IF(Z334,R334*IF(T334, 1, Constants!$B$11)*IF(U334, 1, Constants!$B$12),Constants!$B$13),"")</f>
        <v/>
      </c>
      <c r="AF334" s="66" t="str">
        <f aca="false">IF($AB334=Constants!$B$7,AD334*AE334,"")</f>
        <v/>
      </c>
      <c r="AG334" s="66" t="str">
        <f aca="false">IF($AB334=Constants!$B$7,IF(AA334,V334,Constants!$B$13),"")</f>
        <v/>
      </c>
      <c r="AH334" s="66" t="str">
        <f aca="false">IF($AB334=Constants!$B$7,IF(AA334,R334*IF(W334, 1, Constants!$B$11)*IF(X334, 1, Constants!$B$12),Constants!$B$13),"")</f>
        <v/>
      </c>
      <c r="AI334" s="66" t="str">
        <f aca="false">IF($AB334=Constants!$B$7,AG334*AH334,"")</f>
        <v/>
      </c>
      <c r="AJ334" s="66" t="str">
        <f aca="false">IF($AB334=Constants!$B$7,IF(AI334&gt;AF334,2,1),"")</f>
        <v/>
      </c>
      <c r="AK334" s="66" t="str">
        <f aca="false">IF($AB334=Constants!$B$7,IF(AJ334=1,2,1),"")</f>
        <v/>
      </c>
      <c r="AL334" s="66" t="str">
        <f aca="false">IF(ISBLANK($C334),"",IF($AB334&lt;&gt;Constants!$B$7,$AB334,IF(AJ334=1,AF334,AI334)))</f>
        <v/>
      </c>
      <c r="AM334" s="66" t="str">
        <f aca="false">IF(ISBLANK($C334),"",IF($AB334=Constants!$B$7,IF(ISNUMBER(AL334),RANK(AL334,$AL$8:$AL$507),Constants!$B$14),$AB334))</f>
        <v/>
      </c>
      <c r="AN334" s="66" t="str">
        <f aca="false">IF(ISBLANK($C334),"",IF($AB334=Constants!$B$7,IF(AK334=1,AF334,AI334),""))</f>
        <v/>
      </c>
      <c r="AO334" s="66" t="str">
        <f aca="false">IF(ISBLANK($C334),"",IF($AB334=Constants!$B$7,RANK(AN334,$AN$8:$AN$507),$AB334))</f>
        <v/>
      </c>
      <c r="AP334" s="66" t="str">
        <f aca="false">IF(ISBLANK($C334),"",IF($AB334=Constants!$B$7,IF(ISNUMBER(AM334),COUNTIFS($AM$8:$AM$507,"&lt;"&amp;$AM334)+COUNTIFS($AM$8:$AM$507,$AM334,$AO$8:$AO$507,"&lt;"&amp;$AO334)+1,Constants!$B$14),$AB334))</f>
        <v/>
      </c>
      <c r="AQ334" s="66" t="str">
        <f aca="false">IF(ISBLANK($C334),"",IF($AB334=Constants!$B$7,IF(ISNUMBER(AM334),AM334-AP334,Constants!$B$14),$AB334))</f>
        <v/>
      </c>
      <c r="AR334" s="68"/>
      <c r="AS334" s="69" t="str">
        <f aca="false">IF(ISBLANK($C334),"",IF($AB334&lt;&gt;Constants!$B$7,"",AJ334))</f>
        <v/>
      </c>
      <c r="AT334" s="84" t="str">
        <f aca="false">IF(ISBLANK($C334),"",IF($AB334&lt;&gt;Constants!$B$7,"",IF(AJ334=1,AD334,AG334)))</f>
        <v/>
      </c>
      <c r="AU334" s="71" t="str">
        <f aca="false">IF(ISBLANK($C334),"",IF($AB334&lt;&gt;Constants!$B$7,"",IF(AJ334=1,AE334,AH334)))</f>
        <v/>
      </c>
      <c r="AV334" s="72" t="str">
        <f aca="false">IF(ISBLANK($C334),"",IF($AB334&lt;&gt;Constants!$B$7,$AB334,AL334))</f>
        <v/>
      </c>
      <c r="AW334" s="73" t="str">
        <f aca="false">IF(ISBLANK($C334),"",IF($AB334&lt;&gt;Constants!$B$7,$AB334,AC334))</f>
        <v/>
      </c>
      <c r="AX334" s="74" t="str">
        <f aca="false">IF(ISBLANK($C334),"",AQ334)</f>
        <v/>
      </c>
      <c r="AY334" s="74" t="str">
        <f aca="false">IF(ISBLANK($C334),"",AP334)</f>
        <v/>
      </c>
      <c r="AZ334" s="75" t="str">
        <f aca="false">IF(ISBLANK($C334),"",IF(AY334=Constants!$B$4,COUNTA($C$8:$C$507)+2,IF(AY334=Constants!$B$5,COUNTA($C$8:$C$507)+1,IF(AY334=Constants!$B$6,COUNTA($C$8:$C$507),AY334))))</f>
        <v/>
      </c>
      <c r="BA334" s="5"/>
      <c r="BB334" s="76" t="n">
        <f aca="false">IF(OR(ISNUMBER(AY334),AY334=Constants!$B$4,AY334=Constants!$B$6,AY334=Constants!$B$5),1,0)</f>
        <v>0</v>
      </c>
      <c r="BC334" s="76" t="n">
        <v>327</v>
      </c>
      <c r="BD334" s="76" t="str">
        <f aca="false">IF(ISBLANK($C334),"",IF(ISNUMBER(AZ334),AZ334+ROW($B334)/1000,""))</f>
        <v/>
      </c>
      <c r="BE334" s="76" t="str">
        <f aca="false">IF(ISNUMBER(BD334),RANK(BD334,$BD$8:$BD$507,1),"")</f>
        <v/>
      </c>
      <c r="BF334" s="76" t="str">
        <f aca="false">IF(ISBLANK($C334),"",$B334)</f>
        <v/>
      </c>
      <c r="BG334" s="76" t="str">
        <f aca="false">IF(ISBLANK($C334),"",$C334)</f>
        <v/>
      </c>
      <c r="BH334" s="76" t="str">
        <f aca="false">IF(ISBLANK($C334),"",$D334)</f>
        <v/>
      </c>
      <c r="BI334" s="77" t="str">
        <f aca="false">AW334</f>
        <v/>
      </c>
      <c r="BJ334" s="78" t="str">
        <f aca="false">AV334</f>
        <v/>
      </c>
      <c r="BK334" s="76" t="str">
        <f aca="false">IF(ISBLANK($C334),"",AY334)</f>
        <v/>
      </c>
      <c r="BL334" s="79" t="str">
        <f aca="false">IF($BC334&gt;$BB$7,"",VLOOKUP($BC334,$BE$8:$BK$507,7,FALSE()))</f>
        <v/>
      </c>
      <c r="BM334" s="80" t="str">
        <f aca="false">IF($BC334&gt;$BB$7,"",VLOOKUP($BC334,$BE$8:$BK$507,2,FALSE()))</f>
        <v/>
      </c>
      <c r="BN334" s="80" t="str">
        <f aca="false">IF($BC334&gt;$BB$7,"",VLOOKUP($BC334,$BE$8:$BK$507,3,FALSE()))</f>
        <v/>
      </c>
      <c r="BO334" s="80" t="str">
        <f aca="false">IF($BC334&gt;$BB$7,"",VLOOKUP($BC334,$BE$8:$BK$507,4,FALSE()))</f>
        <v/>
      </c>
      <c r="BP334" s="80" t="str">
        <f aca="false">IF($BC334&gt;$BB$7,"",VLOOKUP($BC334,$BE$8:$BK$507,5,FALSE()))</f>
        <v/>
      </c>
      <c r="BQ334" s="81" t="str">
        <f aca="false">IF($BC334&gt;$BB$7,"",VLOOKUP($BC334,$BE$8:$BK$507,6,FALSE()))</f>
        <v/>
      </c>
      <c r="BR334" s="54"/>
    </row>
    <row r="335" customFormat="false" ht="15.75" hidden="false" customHeight="false" outlineLevel="0" collapsed="false">
      <c r="A335" s="5"/>
      <c r="B335" s="120"/>
      <c r="C335" s="121"/>
      <c r="D335" s="112"/>
      <c r="E335" s="123"/>
      <c r="F335" s="91"/>
      <c r="G335" s="92"/>
      <c r="H335" s="93"/>
      <c r="I335" s="94"/>
      <c r="J335" s="91"/>
      <c r="K335" s="92"/>
      <c r="L335" s="93"/>
      <c r="M335" s="94"/>
      <c r="N335" s="91"/>
      <c r="O335" s="123"/>
      <c r="P335" s="96"/>
      <c r="Q335" s="97" t="str">
        <f aca="false">IF(ISBLANK($C335),"",IF(E335=Constants!$B$2, TRUE(), IF(E335=Constants!$B$3, FALSE(), TRUE())))</f>
        <v/>
      </c>
      <c r="R335" s="97" t="str">
        <f aca="false">IF(ISBLANK($C335),"",IF(F335=Constants!$B$16,Constants!$B$9,IF(F335=Constants!$B$17,Constants!$B$10,Constants!$B$8)))</f>
        <v/>
      </c>
      <c r="S335" s="97" t="str">
        <f aca="false">IF(ISBLANK($C335),"",IF(COUNTA(G335:H335)=0,"",IF(AND(OR(ISBLANK(G335),AND(ISNUMBER(G335),G335&gt;=0)),OR(ISBLANK(H335),AND(ISNUMBER(H335),H335&gt;=0))),60*IF(ISBLANK(G335),0,G335)+IF(ISBLANK(H335),0,H335),"")))</f>
        <v/>
      </c>
      <c r="T335" s="97" t="str">
        <f aca="false">IF(ISBLANK($C335),"",IF(I335=Constants!$B$2, TRUE(), IF(I335=Constants!$B$3, FALSE(), TRUE())))</f>
        <v/>
      </c>
      <c r="U335" s="97" t="str">
        <f aca="false">IF(ISBLANK($C335),"",IF(J335=Constants!$B$2, TRUE(), IF(J335=Constants!$B$3, FALSE(), TRUE())))</f>
        <v/>
      </c>
      <c r="V335" s="97" t="str">
        <f aca="false">IF(ISBLANK($C335),"",IF(COUNTA(K335:L335)=0,"",IF(AND(OR(ISBLANK(K335),AND(ISNUMBER(K335),K335&gt;=0)),OR(ISBLANK(L335),AND(ISNUMBER(L335),L335&gt;=0))),60*IF(ISBLANK(K335),0,K335)+IF(ISBLANK(L335),0,L335),"")))</f>
        <v/>
      </c>
      <c r="W335" s="97" t="str">
        <f aca="false">IF(ISBLANK($C335),"",IF(M335=Constants!$B$2, TRUE(), IF(M335=Constants!$B$3, FALSE(), TRUE())))</f>
        <v/>
      </c>
      <c r="X335" s="97" t="str">
        <f aca="false">IF(ISBLANK($C335),"",IF(N335=Constants!$B$2, TRUE(), IF(N335=Constants!$B$3, FALSE(), TRUE())))</f>
        <v/>
      </c>
      <c r="Y335" s="97" t="str">
        <f aca="false">IF(ISBLANK($C335),"",IF(O335=Constants!$B$2, TRUE(), IF(O335=Constants!$B$3, FALSE(), FALSE())))</f>
        <v/>
      </c>
      <c r="Z335" s="97" t="str">
        <f aca="false">IF(ISBLANK($C335),"",AND(S335&lt;&gt;"",Q335))</f>
        <v/>
      </c>
      <c r="AA335" s="97" t="str">
        <f aca="false">IF(ISBLANK($C335),"",AND(V335&lt;&gt;"",Q335))</f>
        <v/>
      </c>
      <c r="AB335" s="97" t="str">
        <f aca="false">IF(ISBLANK($C335),"",IF(Y335,Constants!$B$4,IF(COUNTA(E335:N335)=0,Constants!$B$5,IF(NOT(Q335),Constants!$B$6,IF(AND(NOT(Z335),NOT(AA335)),Constants!$B$6,Constants!$B$7)))))</f>
        <v/>
      </c>
      <c r="AC335" s="97" t="str">
        <f aca="false">IF(ISBLANK($C335),"",IF($AB335&lt;&gt;Constants!$B$7,$AB335,Constants!$B$20))</f>
        <v/>
      </c>
      <c r="AD335" s="97" t="str">
        <f aca="false">IF($AB335=Constants!$B$7,IF(Z335,S335,Constants!$B$13),"")</f>
        <v/>
      </c>
      <c r="AE335" s="97" t="str">
        <f aca="false">IF($AB335=Constants!$B$7,IF(Z335,R335*IF(T335, 1, Constants!$B$11)*IF(U335, 1, Constants!$B$12),Constants!$B$13),"")</f>
        <v/>
      </c>
      <c r="AF335" s="97" t="str">
        <f aca="false">IF($AB335=Constants!$B$7,AD335*AE335,"")</f>
        <v/>
      </c>
      <c r="AG335" s="97" t="str">
        <f aca="false">IF($AB335=Constants!$B$7,IF(AA335,V335,Constants!$B$13),"")</f>
        <v/>
      </c>
      <c r="AH335" s="97" t="str">
        <f aca="false">IF($AB335=Constants!$B$7,IF(AA335,R335*IF(W335, 1, Constants!$B$11)*IF(X335, 1, Constants!$B$12),Constants!$B$13),"")</f>
        <v/>
      </c>
      <c r="AI335" s="97" t="str">
        <f aca="false">IF($AB335=Constants!$B$7,AG335*AH335,"")</f>
        <v/>
      </c>
      <c r="AJ335" s="97" t="str">
        <f aca="false">IF($AB335=Constants!$B$7,IF(AI335&gt;AF335,2,1),"")</f>
        <v/>
      </c>
      <c r="AK335" s="97" t="str">
        <f aca="false">IF($AB335=Constants!$B$7,IF(AJ335=1,2,1),"")</f>
        <v/>
      </c>
      <c r="AL335" s="97" t="str">
        <f aca="false">IF(ISBLANK($C335),"",IF($AB335&lt;&gt;Constants!$B$7,$AB335,IF(AJ335=1,AF335,AI335)))</f>
        <v/>
      </c>
      <c r="AM335" s="97" t="str">
        <f aca="false">IF(ISBLANK($C335),"",IF($AB335=Constants!$B$7,IF(ISNUMBER(AL335),RANK(AL335,$AL$8:$AL$507),Constants!$B$14),$AB335))</f>
        <v/>
      </c>
      <c r="AN335" s="97" t="str">
        <f aca="false">IF(ISBLANK($C335),"",IF($AB335=Constants!$B$7,IF(AK335=1,AF335,AI335),""))</f>
        <v/>
      </c>
      <c r="AO335" s="97" t="str">
        <f aca="false">IF(ISBLANK($C335),"",IF($AB335=Constants!$B$7,RANK(AN335,$AN$8:$AN$507),$AB335))</f>
        <v/>
      </c>
      <c r="AP335" s="97" t="str">
        <f aca="false">IF(ISBLANK($C335),"",IF($AB335=Constants!$B$7,IF(ISNUMBER(AM335),COUNTIFS($AM$8:$AM$507,"&lt;"&amp;$AM335)+COUNTIFS($AM$8:$AM$507,$AM335,$AO$8:$AO$507,"&lt;"&amp;$AO335)+1,Constants!$B$14),$AB335))</f>
        <v/>
      </c>
      <c r="AQ335" s="97" t="str">
        <f aca="false">IF(ISBLANK($C335),"",IF($AB335=Constants!$B$7,IF(ISNUMBER(AM335),AM335-AP335,Constants!$B$14),$AB335))</f>
        <v/>
      </c>
      <c r="AR335" s="98"/>
      <c r="AS335" s="99" t="str">
        <f aca="false">IF(ISBLANK($C335),"",IF($AB335&lt;&gt;Constants!$B$7,"",AJ335))</f>
        <v/>
      </c>
      <c r="AT335" s="100" t="str">
        <f aca="false">IF(ISBLANK($C335),"",IF($AB335&lt;&gt;Constants!$B$7,"",IF(AJ335=1,AD335,AG335)))</f>
        <v/>
      </c>
      <c r="AU335" s="101" t="str">
        <f aca="false">IF(ISBLANK($C335),"",IF($AB335&lt;&gt;Constants!$B$7,"",IF(AJ335=1,AE335,AH335)))</f>
        <v/>
      </c>
      <c r="AV335" s="102" t="str">
        <f aca="false">IF(ISBLANK($C335),"",IF($AB335&lt;&gt;Constants!$B$7,$AB335,AL335))</f>
        <v/>
      </c>
      <c r="AW335" s="103" t="str">
        <f aca="false">IF(ISBLANK($C335),"",IF($AB335&lt;&gt;Constants!$B$7,$AB335,AC335))</f>
        <v/>
      </c>
      <c r="AX335" s="104" t="str">
        <f aca="false">IF(ISBLANK($C335),"",AQ335)</f>
        <v/>
      </c>
      <c r="AY335" s="104" t="str">
        <f aca="false">IF(ISBLANK($C335),"",AP335)</f>
        <v/>
      </c>
      <c r="AZ335" s="105" t="str">
        <f aca="false">IF(ISBLANK($C335),"",IF(AY335=Constants!$B$4,COUNTA($C$8:$C$507)+2,IF(AY335=Constants!$B$5,COUNTA($C$8:$C$507)+1,IF(AY335=Constants!$B$6,COUNTA($C$8:$C$507),AY335))))</f>
        <v/>
      </c>
      <c r="BA335" s="5"/>
      <c r="BB335" s="106" t="n">
        <f aca="false">IF(OR(ISNUMBER(AY335),AY335=Constants!$B$4,AY335=Constants!$B$6,AY335=Constants!$B$5),1,0)</f>
        <v>0</v>
      </c>
      <c r="BC335" s="106" t="n">
        <v>328</v>
      </c>
      <c r="BD335" s="106" t="str">
        <f aca="false">IF(ISBLANK($C335),"",IF(ISNUMBER(AZ335),AZ335+ROW($B335)/1000,""))</f>
        <v/>
      </c>
      <c r="BE335" s="106" t="str">
        <f aca="false">IF(ISNUMBER(BD335),RANK(BD335,$BD$8:$BD$507,1),"")</f>
        <v/>
      </c>
      <c r="BF335" s="106" t="str">
        <f aca="false">IF(ISBLANK($C335),"",$B335)</f>
        <v/>
      </c>
      <c r="BG335" s="106" t="str">
        <f aca="false">IF(ISBLANK($C335),"",$C335)</f>
        <v/>
      </c>
      <c r="BH335" s="106" t="str">
        <f aca="false">IF(ISBLANK($C335),"",$D335)</f>
        <v/>
      </c>
      <c r="BI335" s="107" t="str">
        <f aca="false">AW335</f>
        <v/>
      </c>
      <c r="BJ335" s="108" t="str">
        <f aca="false">AV335</f>
        <v/>
      </c>
      <c r="BK335" s="106" t="str">
        <f aca="false">IF(ISBLANK($C335),"",AY335)</f>
        <v/>
      </c>
      <c r="BL335" s="109" t="str">
        <f aca="false">IF($BC335&gt;$BB$7,"",VLOOKUP($BC335,$BE$8:$BK$507,7,FALSE()))</f>
        <v/>
      </c>
      <c r="BM335" s="110" t="str">
        <f aca="false">IF($BC335&gt;$BB$7,"",VLOOKUP($BC335,$BE$8:$BK$507,2,FALSE()))</f>
        <v/>
      </c>
      <c r="BN335" s="110" t="str">
        <f aca="false">IF($BC335&gt;$BB$7,"",VLOOKUP($BC335,$BE$8:$BK$507,3,FALSE()))</f>
        <v/>
      </c>
      <c r="BO335" s="110" t="str">
        <f aca="false">IF($BC335&gt;$BB$7,"",VLOOKUP($BC335,$BE$8:$BK$507,4,FALSE()))</f>
        <v/>
      </c>
      <c r="BP335" s="110" t="str">
        <f aca="false">IF($BC335&gt;$BB$7,"",VLOOKUP($BC335,$BE$8:$BK$507,5,FALSE()))</f>
        <v/>
      </c>
      <c r="BQ335" s="111" t="str">
        <f aca="false">IF($BC335&gt;$BB$7,"",VLOOKUP($BC335,$BE$8:$BK$507,6,FALSE()))</f>
        <v/>
      </c>
      <c r="BR335" s="54"/>
    </row>
    <row r="336" customFormat="false" ht="15.75" hidden="false" customHeight="false" outlineLevel="0" collapsed="false">
      <c r="A336" s="5"/>
      <c r="B336" s="120"/>
      <c r="C336" s="121"/>
      <c r="D336" s="112"/>
      <c r="E336" s="123"/>
      <c r="F336" s="91"/>
      <c r="G336" s="92"/>
      <c r="H336" s="93"/>
      <c r="I336" s="94"/>
      <c r="J336" s="91"/>
      <c r="K336" s="92"/>
      <c r="L336" s="93"/>
      <c r="M336" s="94"/>
      <c r="N336" s="91"/>
      <c r="O336" s="123"/>
      <c r="P336" s="96"/>
      <c r="Q336" s="97" t="str">
        <f aca="false">IF(ISBLANK($C336),"",IF(E336=Constants!$B$2, TRUE(), IF(E336=Constants!$B$3, FALSE(), TRUE())))</f>
        <v/>
      </c>
      <c r="R336" s="97" t="str">
        <f aca="false">IF(ISBLANK($C336),"",IF(F336=Constants!$B$16,Constants!$B$9,IF(F336=Constants!$B$17,Constants!$B$10,Constants!$B$8)))</f>
        <v/>
      </c>
      <c r="S336" s="97" t="str">
        <f aca="false">IF(ISBLANK($C336),"",IF(COUNTA(G336:H336)=0,"",IF(AND(OR(ISBLANK(G336),AND(ISNUMBER(G336),G336&gt;=0)),OR(ISBLANK(H336),AND(ISNUMBER(H336),H336&gt;=0))),60*IF(ISBLANK(G336),0,G336)+IF(ISBLANK(H336),0,H336),"")))</f>
        <v/>
      </c>
      <c r="T336" s="97" t="str">
        <f aca="false">IF(ISBLANK($C336),"",IF(I336=Constants!$B$2, TRUE(), IF(I336=Constants!$B$3, FALSE(), TRUE())))</f>
        <v/>
      </c>
      <c r="U336" s="97" t="str">
        <f aca="false">IF(ISBLANK($C336),"",IF(J336=Constants!$B$2, TRUE(), IF(J336=Constants!$B$3, FALSE(), TRUE())))</f>
        <v/>
      </c>
      <c r="V336" s="97" t="str">
        <f aca="false">IF(ISBLANK($C336),"",IF(COUNTA(K336:L336)=0,"",IF(AND(OR(ISBLANK(K336),AND(ISNUMBER(K336),K336&gt;=0)),OR(ISBLANK(L336),AND(ISNUMBER(L336),L336&gt;=0))),60*IF(ISBLANK(K336),0,K336)+IF(ISBLANK(L336),0,L336),"")))</f>
        <v/>
      </c>
      <c r="W336" s="97" t="str">
        <f aca="false">IF(ISBLANK($C336),"",IF(M336=Constants!$B$2, TRUE(), IF(M336=Constants!$B$3, FALSE(), TRUE())))</f>
        <v/>
      </c>
      <c r="X336" s="97" t="str">
        <f aca="false">IF(ISBLANK($C336),"",IF(N336=Constants!$B$2, TRUE(), IF(N336=Constants!$B$3, FALSE(), TRUE())))</f>
        <v/>
      </c>
      <c r="Y336" s="97" t="str">
        <f aca="false">IF(ISBLANK($C336),"",IF(O336=Constants!$B$2, TRUE(), IF(O336=Constants!$B$3, FALSE(), FALSE())))</f>
        <v/>
      </c>
      <c r="Z336" s="97" t="str">
        <f aca="false">IF(ISBLANK($C336),"",AND(S336&lt;&gt;"",Q336))</f>
        <v/>
      </c>
      <c r="AA336" s="97" t="str">
        <f aca="false">IF(ISBLANK($C336),"",AND(V336&lt;&gt;"",Q336))</f>
        <v/>
      </c>
      <c r="AB336" s="97" t="str">
        <f aca="false">IF(ISBLANK($C336),"",IF(Y336,Constants!$B$4,IF(COUNTA(E336:N336)=0,Constants!$B$5,IF(NOT(Q336),Constants!$B$6,IF(AND(NOT(Z336),NOT(AA336)),Constants!$B$6,Constants!$B$7)))))</f>
        <v/>
      </c>
      <c r="AC336" s="97" t="str">
        <f aca="false">IF(ISBLANK($C336),"",IF($AB336&lt;&gt;Constants!$B$7,$AB336,Constants!$B$20))</f>
        <v/>
      </c>
      <c r="AD336" s="97" t="str">
        <f aca="false">IF($AB336=Constants!$B$7,IF(Z336,S336,Constants!$B$13),"")</f>
        <v/>
      </c>
      <c r="AE336" s="97" t="str">
        <f aca="false">IF($AB336=Constants!$B$7,IF(Z336,R336*IF(T336, 1, Constants!$B$11)*IF(U336, 1, Constants!$B$12),Constants!$B$13),"")</f>
        <v/>
      </c>
      <c r="AF336" s="97" t="str">
        <f aca="false">IF($AB336=Constants!$B$7,AD336*AE336,"")</f>
        <v/>
      </c>
      <c r="AG336" s="97" t="str">
        <f aca="false">IF($AB336=Constants!$B$7,IF(AA336,V336,Constants!$B$13),"")</f>
        <v/>
      </c>
      <c r="AH336" s="97" t="str">
        <f aca="false">IF($AB336=Constants!$B$7,IF(AA336,R336*IF(W336, 1, Constants!$B$11)*IF(X336, 1, Constants!$B$12),Constants!$B$13),"")</f>
        <v/>
      </c>
      <c r="AI336" s="97" t="str">
        <f aca="false">IF($AB336=Constants!$B$7,AG336*AH336,"")</f>
        <v/>
      </c>
      <c r="AJ336" s="97" t="str">
        <f aca="false">IF($AB336=Constants!$B$7,IF(AI336&gt;AF336,2,1),"")</f>
        <v/>
      </c>
      <c r="AK336" s="97" t="str">
        <f aca="false">IF($AB336=Constants!$B$7,IF(AJ336=1,2,1),"")</f>
        <v/>
      </c>
      <c r="AL336" s="97" t="str">
        <f aca="false">IF(ISBLANK($C336),"",IF($AB336&lt;&gt;Constants!$B$7,$AB336,IF(AJ336=1,AF336,AI336)))</f>
        <v/>
      </c>
      <c r="AM336" s="97" t="str">
        <f aca="false">IF(ISBLANK($C336),"",IF($AB336=Constants!$B$7,IF(ISNUMBER(AL336),RANK(AL336,$AL$8:$AL$507),Constants!$B$14),$AB336))</f>
        <v/>
      </c>
      <c r="AN336" s="97" t="str">
        <f aca="false">IF(ISBLANK($C336),"",IF($AB336=Constants!$B$7,IF(AK336=1,AF336,AI336),""))</f>
        <v/>
      </c>
      <c r="AO336" s="97" t="str">
        <f aca="false">IF(ISBLANK($C336),"",IF($AB336=Constants!$B$7,RANK(AN336,$AN$8:$AN$507),$AB336))</f>
        <v/>
      </c>
      <c r="AP336" s="97" t="str">
        <f aca="false">IF(ISBLANK($C336),"",IF($AB336=Constants!$B$7,IF(ISNUMBER(AM336),COUNTIFS($AM$8:$AM$507,"&lt;"&amp;$AM336)+COUNTIFS($AM$8:$AM$507,$AM336,$AO$8:$AO$507,"&lt;"&amp;$AO336)+1,Constants!$B$14),$AB336))</f>
        <v/>
      </c>
      <c r="AQ336" s="97" t="str">
        <f aca="false">IF(ISBLANK($C336),"",IF($AB336=Constants!$B$7,IF(ISNUMBER(AM336),AM336-AP336,Constants!$B$14),$AB336))</f>
        <v/>
      </c>
      <c r="AR336" s="98"/>
      <c r="AS336" s="99" t="str">
        <f aca="false">IF(ISBLANK($C336),"",IF($AB336&lt;&gt;Constants!$B$7,"",AJ336))</f>
        <v/>
      </c>
      <c r="AT336" s="100" t="str">
        <f aca="false">IF(ISBLANK($C336),"",IF($AB336&lt;&gt;Constants!$B$7,"",IF(AJ336=1,AD336,AG336)))</f>
        <v/>
      </c>
      <c r="AU336" s="101" t="str">
        <f aca="false">IF(ISBLANK($C336),"",IF($AB336&lt;&gt;Constants!$B$7,"",IF(AJ336=1,AE336,AH336)))</f>
        <v/>
      </c>
      <c r="AV336" s="102" t="str">
        <f aca="false">IF(ISBLANK($C336),"",IF($AB336&lt;&gt;Constants!$B$7,$AB336,AL336))</f>
        <v/>
      </c>
      <c r="AW336" s="103" t="str">
        <f aca="false">IF(ISBLANK($C336),"",IF($AB336&lt;&gt;Constants!$B$7,$AB336,AC336))</f>
        <v/>
      </c>
      <c r="AX336" s="104" t="str">
        <f aca="false">IF(ISBLANK($C336),"",AQ336)</f>
        <v/>
      </c>
      <c r="AY336" s="104" t="str">
        <f aca="false">IF(ISBLANK($C336),"",AP336)</f>
        <v/>
      </c>
      <c r="AZ336" s="105" t="str">
        <f aca="false">IF(ISBLANK($C336),"",IF(AY336=Constants!$B$4,COUNTA($C$8:$C$507)+2,IF(AY336=Constants!$B$5,COUNTA($C$8:$C$507)+1,IF(AY336=Constants!$B$6,COUNTA($C$8:$C$507),AY336))))</f>
        <v/>
      </c>
      <c r="BA336" s="5"/>
      <c r="BB336" s="106" t="n">
        <f aca="false">IF(OR(ISNUMBER(AY336),AY336=Constants!$B$4,AY336=Constants!$B$6,AY336=Constants!$B$5),1,0)</f>
        <v>0</v>
      </c>
      <c r="BC336" s="106" t="n">
        <v>329</v>
      </c>
      <c r="BD336" s="106" t="str">
        <f aca="false">IF(ISBLANK($C336),"",IF(ISNUMBER(AZ336),AZ336+ROW($B336)/1000,""))</f>
        <v/>
      </c>
      <c r="BE336" s="106" t="str">
        <f aca="false">IF(ISNUMBER(BD336),RANK(BD336,$BD$8:$BD$507,1),"")</f>
        <v/>
      </c>
      <c r="BF336" s="106" t="str">
        <f aca="false">IF(ISBLANK($C336),"",$B336)</f>
        <v/>
      </c>
      <c r="BG336" s="106" t="str">
        <f aca="false">IF(ISBLANK($C336),"",$C336)</f>
        <v/>
      </c>
      <c r="BH336" s="106" t="str">
        <f aca="false">IF(ISBLANK($C336),"",$D336)</f>
        <v/>
      </c>
      <c r="BI336" s="107" t="str">
        <f aca="false">AW336</f>
        <v/>
      </c>
      <c r="BJ336" s="108" t="str">
        <f aca="false">AV336</f>
        <v/>
      </c>
      <c r="BK336" s="106" t="str">
        <f aca="false">IF(ISBLANK($C336),"",AY336)</f>
        <v/>
      </c>
      <c r="BL336" s="109" t="str">
        <f aca="false">IF($BC336&gt;$BB$7,"",VLOOKUP($BC336,$BE$8:$BK$507,7,FALSE()))</f>
        <v/>
      </c>
      <c r="BM336" s="110" t="str">
        <f aca="false">IF($BC336&gt;$BB$7,"",VLOOKUP($BC336,$BE$8:$BK$507,2,FALSE()))</f>
        <v/>
      </c>
      <c r="BN336" s="110" t="str">
        <f aca="false">IF($BC336&gt;$BB$7,"",VLOOKUP($BC336,$BE$8:$BK$507,3,FALSE()))</f>
        <v/>
      </c>
      <c r="BO336" s="110" t="str">
        <f aca="false">IF($BC336&gt;$BB$7,"",VLOOKUP($BC336,$BE$8:$BK$507,4,FALSE()))</f>
        <v/>
      </c>
      <c r="BP336" s="110" t="str">
        <f aca="false">IF($BC336&gt;$BB$7,"",VLOOKUP($BC336,$BE$8:$BK$507,5,FALSE()))</f>
        <v/>
      </c>
      <c r="BQ336" s="111" t="str">
        <f aca="false">IF($BC336&gt;$BB$7,"",VLOOKUP($BC336,$BE$8:$BK$507,6,FALSE()))</f>
        <v/>
      </c>
      <c r="BR336" s="54"/>
    </row>
    <row r="337" customFormat="false" ht="15.75" hidden="false" customHeight="false" outlineLevel="0" collapsed="false">
      <c r="A337" s="5"/>
      <c r="B337" s="120"/>
      <c r="C337" s="121"/>
      <c r="D337" s="112"/>
      <c r="E337" s="123"/>
      <c r="F337" s="91"/>
      <c r="G337" s="92"/>
      <c r="H337" s="93"/>
      <c r="I337" s="94"/>
      <c r="J337" s="91"/>
      <c r="K337" s="92"/>
      <c r="L337" s="93"/>
      <c r="M337" s="94"/>
      <c r="N337" s="91"/>
      <c r="O337" s="123"/>
      <c r="P337" s="96"/>
      <c r="Q337" s="97" t="str">
        <f aca="false">IF(ISBLANK($C337),"",IF(E337=Constants!$B$2, TRUE(), IF(E337=Constants!$B$3, FALSE(), TRUE())))</f>
        <v/>
      </c>
      <c r="R337" s="97" t="str">
        <f aca="false">IF(ISBLANK($C337),"",IF(F337=Constants!$B$16,Constants!$B$9,IF(F337=Constants!$B$17,Constants!$B$10,Constants!$B$8)))</f>
        <v/>
      </c>
      <c r="S337" s="97" t="str">
        <f aca="false">IF(ISBLANK($C337),"",IF(COUNTA(G337:H337)=0,"",IF(AND(OR(ISBLANK(G337),AND(ISNUMBER(G337),G337&gt;=0)),OR(ISBLANK(H337),AND(ISNUMBER(H337),H337&gt;=0))),60*IF(ISBLANK(G337),0,G337)+IF(ISBLANK(H337),0,H337),"")))</f>
        <v/>
      </c>
      <c r="T337" s="97" t="str">
        <f aca="false">IF(ISBLANK($C337),"",IF(I337=Constants!$B$2, TRUE(), IF(I337=Constants!$B$3, FALSE(), TRUE())))</f>
        <v/>
      </c>
      <c r="U337" s="97" t="str">
        <f aca="false">IF(ISBLANK($C337),"",IF(J337=Constants!$B$2, TRUE(), IF(J337=Constants!$B$3, FALSE(), TRUE())))</f>
        <v/>
      </c>
      <c r="V337" s="97" t="str">
        <f aca="false">IF(ISBLANK($C337),"",IF(COUNTA(K337:L337)=0,"",IF(AND(OR(ISBLANK(K337),AND(ISNUMBER(K337),K337&gt;=0)),OR(ISBLANK(L337),AND(ISNUMBER(L337),L337&gt;=0))),60*IF(ISBLANK(K337),0,K337)+IF(ISBLANK(L337),0,L337),"")))</f>
        <v/>
      </c>
      <c r="W337" s="97" t="str">
        <f aca="false">IF(ISBLANK($C337),"",IF(M337=Constants!$B$2, TRUE(), IF(M337=Constants!$B$3, FALSE(), TRUE())))</f>
        <v/>
      </c>
      <c r="X337" s="97" t="str">
        <f aca="false">IF(ISBLANK($C337),"",IF(N337=Constants!$B$2, TRUE(), IF(N337=Constants!$B$3, FALSE(), TRUE())))</f>
        <v/>
      </c>
      <c r="Y337" s="97" t="str">
        <f aca="false">IF(ISBLANK($C337),"",IF(O337=Constants!$B$2, TRUE(), IF(O337=Constants!$B$3, FALSE(), FALSE())))</f>
        <v/>
      </c>
      <c r="Z337" s="97" t="str">
        <f aca="false">IF(ISBLANK($C337),"",AND(S337&lt;&gt;"",Q337))</f>
        <v/>
      </c>
      <c r="AA337" s="97" t="str">
        <f aca="false">IF(ISBLANK($C337),"",AND(V337&lt;&gt;"",Q337))</f>
        <v/>
      </c>
      <c r="AB337" s="97" t="str">
        <f aca="false">IF(ISBLANK($C337),"",IF(Y337,Constants!$B$4,IF(COUNTA(E337:N337)=0,Constants!$B$5,IF(NOT(Q337),Constants!$B$6,IF(AND(NOT(Z337),NOT(AA337)),Constants!$B$6,Constants!$B$7)))))</f>
        <v/>
      </c>
      <c r="AC337" s="97" t="str">
        <f aca="false">IF(ISBLANK($C337),"",IF($AB337&lt;&gt;Constants!$B$7,$AB337,Constants!$B$20))</f>
        <v/>
      </c>
      <c r="AD337" s="97" t="str">
        <f aca="false">IF($AB337=Constants!$B$7,IF(Z337,S337,Constants!$B$13),"")</f>
        <v/>
      </c>
      <c r="AE337" s="97" t="str">
        <f aca="false">IF($AB337=Constants!$B$7,IF(Z337,R337*IF(T337, 1, Constants!$B$11)*IF(U337, 1, Constants!$B$12),Constants!$B$13),"")</f>
        <v/>
      </c>
      <c r="AF337" s="97" t="str">
        <f aca="false">IF($AB337=Constants!$B$7,AD337*AE337,"")</f>
        <v/>
      </c>
      <c r="AG337" s="97" t="str">
        <f aca="false">IF($AB337=Constants!$B$7,IF(AA337,V337,Constants!$B$13),"")</f>
        <v/>
      </c>
      <c r="AH337" s="97" t="str">
        <f aca="false">IF($AB337=Constants!$B$7,IF(AA337,R337*IF(W337, 1, Constants!$B$11)*IF(X337, 1, Constants!$B$12),Constants!$B$13),"")</f>
        <v/>
      </c>
      <c r="AI337" s="97" t="str">
        <f aca="false">IF($AB337=Constants!$B$7,AG337*AH337,"")</f>
        <v/>
      </c>
      <c r="AJ337" s="97" t="str">
        <f aca="false">IF($AB337=Constants!$B$7,IF(AI337&gt;AF337,2,1),"")</f>
        <v/>
      </c>
      <c r="AK337" s="97" t="str">
        <f aca="false">IF($AB337=Constants!$B$7,IF(AJ337=1,2,1),"")</f>
        <v/>
      </c>
      <c r="AL337" s="97" t="str">
        <f aca="false">IF(ISBLANK($C337),"",IF($AB337&lt;&gt;Constants!$B$7,$AB337,IF(AJ337=1,AF337,AI337)))</f>
        <v/>
      </c>
      <c r="AM337" s="97" t="str">
        <f aca="false">IF(ISBLANK($C337),"",IF($AB337=Constants!$B$7,IF(ISNUMBER(AL337),RANK(AL337,$AL$8:$AL$507),Constants!$B$14),$AB337))</f>
        <v/>
      </c>
      <c r="AN337" s="97" t="str">
        <f aca="false">IF(ISBLANK($C337),"",IF($AB337=Constants!$B$7,IF(AK337=1,AF337,AI337),""))</f>
        <v/>
      </c>
      <c r="AO337" s="97" t="str">
        <f aca="false">IF(ISBLANK($C337),"",IF($AB337=Constants!$B$7,RANK(AN337,$AN$8:$AN$507),$AB337))</f>
        <v/>
      </c>
      <c r="AP337" s="97" t="str">
        <f aca="false">IF(ISBLANK($C337),"",IF($AB337=Constants!$B$7,IF(ISNUMBER(AM337),COUNTIFS($AM$8:$AM$507,"&lt;"&amp;$AM337)+COUNTIFS($AM$8:$AM$507,$AM337,$AO$8:$AO$507,"&lt;"&amp;$AO337)+1,Constants!$B$14),$AB337))</f>
        <v/>
      </c>
      <c r="AQ337" s="97" t="str">
        <f aca="false">IF(ISBLANK($C337),"",IF($AB337=Constants!$B$7,IF(ISNUMBER(AM337),AM337-AP337,Constants!$B$14),$AB337))</f>
        <v/>
      </c>
      <c r="AR337" s="98"/>
      <c r="AS337" s="99" t="str">
        <f aca="false">IF(ISBLANK($C337),"",IF($AB337&lt;&gt;Constants!$B$7,"",AJ337))</f>
        <v/>
      </c>
      <c r="AT337" s="100" t="str">
        <f aca="false">IF(ISBLANK($C337),"",IF($AB337&lt;&gt;Constants!$B$7,"",IF(AJ337=1,AD337,AG337)))</f>
        <v/>
      </c>
      <c r="AU337" s="101" t="str">
        <f aca="false">IF(ISBLANK($C337),"",IF($AB337&lt;&gt;Constants!$B$7,"",IF(AJ337=1,AE337,AH337)))</f>
        <v/>
      </c>
      <c r="AV337" s="102" t="str">
        <f aca="false">IF(ISBLANK($C337),"",IF($AB337&lt;&gt;Constants!$B$7,$AB337,AL337))</f>
        <v/>
      </c>
      <c r="AW337" s="103" t="str">
        <f aca="false">IF(ISBLANK($C337),"",IF($AB337&lt;&gt;Constants!$B$7,$AB337,AC337))</f>
        <v/>
      </c>
      <c r="AX337" s="104" t="str">
        <f aca="false">IF(ISBLANK($C337),"",AQ337)</f>
        <v/>
      </c>
      <c r="AY337" s="104" t="str">
        <f aca="false">IF(ISBLANK($C337),"",AP337)</f>
        <v/>
      </c>
      <c r="AZ337" s="105" t="str">
        <f aca="false">IF(ISBLANK($C337),"",IF(AY337=Constants!$B$4,COUNTA($C$8:$C$507)+2,IF(AY337=Constants!$B$5,COUNTA($C$8:$C$507)+1,IF(AY337=Constants!$B$6,COUNTA($C$8:$C$507),AY337))))</f>
        <v/>
      </c>
      <c r="BA337" s="5"/>
      <c r="BB337" s="106" t="n">
        <f aca="false">IF(OR(ISNUMBER(AY337),AY337=Constants!$B$4,AY337=Constants!$B$6,AY337=Constants!$B$5),1,0)</f>
        <v>0</v>
      </c>
      <c r="BC337" s="106" t="n">
        <v>330</v>
      </c>
      <c r="BD337" s="106" t="str">
        <f aca="false">IF(ISBLANK($C337),"",IF(ISNUMBER(AZ337),AZ337+ROW($B337)/1000,""))</f>
        <v/>
      </c>
      <c r="BE337" s="106" t="str">
        <f aca="false">IF(ISNUMBER(BD337),RANK(BD337,$BD$8:$BD$507,1),"")</f>
        <v/>
      </c>
      <c r="BF337" s="106" t="str">
        <f aca="false">IF(ISBLANK($C337),"",$B337)</f>
        <v/>
      </c>
      <c r="BG337" s="106" t="str">
        <f aca="false">IF(ISBLANK($C337),"",$C337)</f>
        <v/>
      </c>
      <c r="BH337" s="106" t="str">
        <f aca="false">IF(ISBLANK($C337),"",$D337)</f>
        <v/>
      </c>
      <c r="BI337" s="107" t="str">
        <f aca="false">AW337</f>
        <v/>
      </c>
      <c r="BJ337" s="108" t="str">
        <f aca="false">AV337</f>
        <v/>
      </c>
      <c r="BK337" s="106" t="str">
        <f aca="false">IF(ISBLANK($C337),"",AY337)</f>
        <v/>
      </c>
      <c r="BL337" s="109" t="str">
        <f aca="false">IF($BC337&gt;$BB$7,"",VLOOKUP($BC337,$BE$8:$BK$507,7,FALSE()))</f>
        <v/>
      </c>
      <c r="BM337" s="110" t="str">
        <f aca="false">IF($BC337&gt;$BB$7,"",VLOOKUP($BC337,$BE$8:$BK$507,2,FALSE()))</f>
        <v/>
      </c>
      <c r="BN337" s="110" t="str">
        <f aca="false">IF($BC337&gt;$BB$7,"",VLOOKUP($BC337,$BE$8:$BK$507,3,FALSE()))</f>
        <v/>
      </c>
      <c r="BO337" s="110" t="str">
        <f aca="false">IF($BC337&gt;$BB$7,"",VLOOKUP($BC337,$BE$8:$BK$507,4,FALSE()))</f>
        <v/>
      </c>
      <c r="BP337" s="110" t="str">
        <f aca="false">IF($BC337&gt;$BB$7,"",VLOOKUP($BC337,$BE$8:$BK$507,5,FALSE()))</f>
        <v/>
      </c>
      <c r="BQ337" s="111" t="str">
        <f aca="false">IF($BC337&gt;$BB$7,"",VLOOKUP($BC337,$BE$8:$BK$507,6,FALSE()))</f>
        <v/>
      </c>
      <c r="BR337" s="54"/>
    </row>
    <row r="338" customFormat="false" ht="15.75" hidden="false" customHeight="false" outlineLevel="0" collapsed="false">
      <c r="A338" s="5"/>
      <c r="B338" s="124"/>
      <c r="C338" s="56"/>
      <c r="D338" s="57"/>
      <c r="E338" s="83"/>
      <c r="F338" s="59"/>
      <c r="G338" s="60"/>
      <c r="H338" s="61"/>
      <c r="I338" s="62"/>
      <c r="J338" s="59"/>
      <c r="K338" s="60"/>
      <c r="L338" s="61"/>
      <c r="M338" s="62"/>
      <c r="N338" s="59"/>
      <c r="O338" s="83"/>
      <c r="P338" s="64"/>
      <c r="Q338" s="66" t="str">
        <f aca="false">IF(ISBLANK($C338),"",IF(E338=Constants!$B$2, TRUE(), IF(E338=Constants!$B$3, FALSE(), TRUE())))</f>
        <v/>
      </c>
      <c r="R338" s="66" t="str">
        <f aca="false">IF(ISBLANK($C338),"",IF(F338=Constants!$B$16,Constants!$B$9,IF(F338=Constants!$B$17,Constants!$B$10,Constants!$B$8)))</f>
        <v/>
      </c>
      <c r="S338" s="66" t="str">
        <f aca="false">IF(ISBLANK($C338),"",IF(COUNTA(G338:H338)=0,"",IF(AND(OR(ISBLANK(G338),AND(ISNUMBER(G338),G338&gt;=0)),OR(ISBLANK(H338),AND(ISNUMBER(H338),H338&gt;=0))),60*IF(ISBLANK(G338),0,G338)+IF(ISBLANK(H338),0,H338),"")))</f>
        <v/>
      </c>
      <c r="T338" s="66" t="str">
        <f aca="false">IF(ISBLANK($C338),"",IF(I338=Constants!$B$2, TRUE(), IF(I338=Constants!$B$3, FALSE(), TRUE())))</f>
        <v/>
      </c>
      <c r="U338" s="66" t="str">
        <f aca="false">IF(ISBLANK($C338),"",IF(J338=Constants!$B$2, TRUE(), IF(J338=Constants!$B$3, FALSE(), TRUE())))</f>
        <v/>
      </c>
      <c r="V338" s="66" t="str">
        <f aca="false">IF(ISBLANK($C338),"",IF(COUNTA(K338:L338)=0,"",IF(AND(OR(ISBLANK(K338),AND(ISNUMBER(K338),K338&gt;=0)),OR(ISBLANK(L338),AND(ISNUMBER(L338),L338&gt;=0))),60*IF(ISBLANK(K338),0,K338)+IF(ISBLANK(L338),0,L338),"")))</f>
        <v/>
      </c>
      <c r="W338" s="66" t="str">
        <f aca="false">IF(ISBLANK($C338),"",IF(M338=Constants!$B$2, TRUE(), IF(M338=Constants!$B$3, FALSE(), TRUE())))</f>
        <v/>
      </c>
      <c r="X338" s="66" t="str">
        <f aca="false">IF(ISBLANK($C338),"",IF(N338=Constants!$B$2, TRUE(), IF(N338=Constants!$B$3, FALSE(), TRUE())))</f>
        <v/>
      </c>
      <c r="Y338" s="66" t="str">
        <f aca="false">IF(ISBLANK($C338),"",IF(O338=Constants!$B$2, TRUE(), IF(O338=Constants!$B$3, FALSE(), FALSE())))</f>
        <v/>
      </c>
      <c r="Z338" s="66" t="str">
        <f aca="false">IF(ISBLANK($C338),"",AND(S338&lt;&gt;"",Q338))</f>
        <v/>
      </c>
      <c r="AA338" s="66" t="str">
        <f aca="false">IF(ISBLANK($C338),"",AND(V338&lt;&gt;"",Q338))</f>
        <v/>
      </c>
      <c r="AB338" s="66" t="str">
        <f aca="false">IF(ISBLANK($C338),"",IF(Y338,Constants!$B$4,IF(COUNTA(E338:N338)=0,Constants!$B$5,IF(NOT(Q338),Constants!$B$6,IF(AND(NOT(Z338),NOT(AA338)),Constants!$B$6,Constants!$B$7)))))</f>
        <v/>
      </c>
      <c r="AC338" s="66" t="str">
        <f aca="false">IF(ISBLANK($C338),"",IF($AB338&lt;&gt;Constants!$B$7,$AB338,Constants!$B$20))</f>
        <v/>
      </c>
      <c r="AD338" s="66" t="str">
        <f aca="false">IF($AB338=Constants!$B$7,IF(Z338,S338,Constants!$B$13),"")</f>
        <v/>
      </c>
      <c r="AE338" s="66" t="str">
        <f aca="false">IF($AB338=Constants!$B$7,IF(Z338,R338*IF(T338, 1, Constants!$B$11)*IF(U338, 1, Constants!$B$12),Constants!$B$13),"")</f>
        <v/>
      </c>
      <c r="AF338" s="66" t="str">
        <f aca="false">IF($AB338=Constants!$B$7,AD338*AE338,"")</f>
        <v/>
      </c>
      <c r="AG338" s="66" t="str">
        <f aca="false">IF($AB338=Constants!$B$7,IF(AA338,V338,Constants!$B$13),"")</f>
        <v/>
      </c>
      <c r="AH338" s="66" t="str">
        <f aca="false">IF($AB338=Constants!$B$7,IF(AA338,R338*IF(W338, 1, Constants!$B$11)*IF(X338, 1, Constants!$B$12),Constants!$B$13),"")</f>
        <v/>
      </c>
      <c r="AI338" s="66" t="str">
        <f aca="false">IF($AB338=Constants!$B$7,AG338*AH338,"")</f>
        <v/>
      </c>
      <c r="AJ338" s="66" t="str">
        <f aca="false">IF($AB338=Constants!$B$7,IF(AI338&gt;AF338,2,1),"")</f>
        <v/>
      </c>
      <c r="AK338" s="66" t="str">
        <f aca="false">IF($AB338=Constants!$B$7,IF(AJ338=1,2,1),"")</f>
        <v/>
      </c>
      <c r="AL338" s="66" t="str">
        <f aca="false">IF(ISBLANK($C338),"",IF($AB338&lt;&gt;Constants!$B$7,$AB338,IF(AJ338=1,AF338,AI338)))</f>
        <v/>
      </c>
      <c r="AM338" s="66" t="str">
        <f aca="false">IF(ISBLANK($C338),"",IF($AB338=Constants!$B$7,IF(ISNUMBER(AL338),RANK(AL338,$AL$8:$AL$507),Constants!$B$14),$AB338))</f>
        <v/>
      </c>
      <c r="AN338" s="66" t="str">
        <f aca="false">IF(ISBLANK($C338),"",IF($AB338=Constants!$B$7,IF(AK338=1,AF338,AI338),""))</f>
        <v/>
      </c>
      <c r="AO338" s="66" t="str">
        <f aca="false">IF(ISBLANK($C338),"",IF($AB338=Constants!$B$7,RANK(AN338,$AN$8:$AN$507),$AB338))</f>
        <v/>
      </c>
      <c r="AP338" s="66" t="str">
        <f aca="false">IF(ISBLANK($C338),"",IF($AB338=Constants!$B$7,IF(ISNUMBER(AM338),COUNTIFS($AM$8:$AM$507,"&lt;"&amp;$AM338)+COUNTIFS($AM$8:$AM$507,$AM338,$AO$8:$AO$507,"&lt;"&amp;$AO338)+1,Constants!$B$14),$AB338))</f>
        <v/>
      </c>
      <c r="AQ338" s="66" t="str">
        <f aca="false">IF(ISBLANK($C338),"",IF($AB338=Constants!$B$7,IF(ISNUMBER(AM338),AM338-AP338,Constants!$B$14),$AB338))</f>
        <v/>
      </c>
      <c r="AR338" s="68"/>
      <c r="AS338" s="69" t="str">
        <f aca="false">IF(ISBLANK($C338),"",IF($AB338&lt;&gt;Constants!$B$7,"",AJ338))</f>
        <v/>
      </c>
      <c r="AT338" s="84" t="str">
        <f aca="false">IF(ISBLANK($C338),"",IF($AB338&lt;&gt;Constants!$B$7,"",IF(AJ338=1,AD338,AG338)))</f>
        <v/>
      </c>
      <c r="AU338" s="71" t="str">
        <f aca="false">IF(ISBLANK($C338),"",IF($AB338&lt;&gt;Constants!$B$7,"",IF(AJ338=1,AE338,AH338)))</f>
        <v/>
      </c>
      <c r="AV338" s="72" t="str">
        <f aca="false">IF(ISBLANK($C338),"",IF($AB338&lt;&gt;Constants!$B$7,$AB338,AL338))</f>
        <v/>
      </c>
      <c r="AW338" s="73" t="str">
        <f aca="false">IF(ISBLANK($C338),"",IF($AB338&lt;&gt;Constants!$B$7,$AB338,AC338))</f>
        <v/>
      </c>
      <c r="AX338" s="74" t="str">
        <f aca="false">IF(ISBLANK($C338),"",AQ338)</f>
        <v/>
      </c>
      <c r="AY338" s="74" t="str">
        <f aca="false">IF(ISBLANK($C338),"",AP338)</f>
        <v/>
      </c>
      <c r="AZ338" s="75" t="str">
        <f aca="false">IF(ISBLANK($C338),"",IF(AY338=Constants!$B$4,COUNTA($C$8:$C$507)+2,IF(AY338=Constants!$B$5,COUNTA($C$8:$C$507)+1,IF(AY338=Constants!$B$6,COUNTA($C$8:$C$507),AY338))))</f>
        <v/>
      </c>
      <c r="BA338" s="5"/>
      <c r="BB338" s="76" t="n">
        <f aca="false">IF(OR(ISNUMBER(AY338),AY338=Constants!$B$4,AY338=Constants!$B$6,AY338=Constants!$B$5),1,0)</f>
        <v>0</v>
      </c>
      <c r="BC338" s="76" t="n">
        <v>331</v>
      </c>
      <c r="BD338" s="76" t="str">
        <f aca="false">IF(ISBLANK($C338),"",IF(ISNUMBER(AZ338),AZ338+ROW($B338)/1000,""))</f>
        <v/>
      </c>
      <c r="BE338" s="76" t="str">
        <f aca="false">IF(ISNUMBER(BD338),RANK(BD338,$BD$8:$BD$507,1),"")</f>
        <v/>
      </c>
      <c r="BF338" s="76" t="str">
        <f aca="false">IF(ISBLANK($C338),"",$B338)</f>
        <v/>
      </c>
      <c r="BG338" s="76" t="str">
        <f aca="false">IF(ISBLANK($C338),"",$C338)</f>
        <v/>
      </c>
      <c r="BH338" s="76" t="str">
        <f aca="false">IF(ISBLANK($C338),"",$D338)</f>
        <v/>
      </c>
      <c r="BI338" s="77" t="str">
        <f aca="false">AW338</f>
        <v/>
      </c>
      <c r="BJ338" s="78" t="str">
        <f aca="false">AV338</f>
        <v/>
      </c>
      <c r="BK338" s="76" t="str">
        <f aca="false">IF(ISBLANK($C338),"",AY338)</f>
        <v/>
      </c>
      <c r="BL338" s="79" t="str">
        <f aca="false">IF($BC338&gt;$BB$7,"",VLOOKUP($BC338,$BE$8:$BK$507,7,FALSE()))</f>
        <v/>
      </c>
      <c r="BM338" s="80" t="str">
        <f aca="false">IF($BC338&gt;$BB$7,"",VLOOKUP($BC338,$BE$8:$BK$507,2,FALSE()))</f>
        <v/>
      </c>
      <c r="BN338" s="80" t="str">
        <f aca="false">IF($BC338&gt;$BB$7,"",VLOOKUP($BC338,$BE$8:$BK$507,3,FALSE()))</f>
        <v/>
      </c>
      <c r="BO338" s="80" t="str">
        <f aca="false">IF($BC338&gt;$BB$7,"",VLOOKUP($BC338,$BE$8:$BK$507,4,FALSE()))</f>
        <v/>
      </c>
      <c r="BP338" s="80" t="str">
        <f aca="false">IF($BC338&gt;$BB$7,"",VLOOKUP($BC338,$BE$8:$BK$507,5,FALSE()))</f>
        <v/>
      </c>
      <c r="BQ338" s="81" t="str">
        <f aca="false">IF($BC338&gt;$BB$7,"",VLOOKUP($BC338,$BE$8:$BK$507,6,FALSE()))</f>
        <v/>
      </c>
      <c r="BR338" s="54"/>
    </row>
    <row r="339" customFormat="false" ht="15.75" hidden="false" customHeight="false" outlineLevel="0" collapsed="false">
      <c r="A339" s="5"/>
      <c r="B339" s="124"/>
      <c r="C339" s="56"/>
      <c r="D339" s="57"/>
      <c r="E339" s="83"/>
      <c r="F339" s="59"/>
      <c r="G339" s="60"/>
      <c r="H339" s="61"/>
      <c r="I339" s="62"/>
      <c r="J339" s="59"/>
      <c r="K339" s="60"/>
      <c r="L339" s="61"/>
      <c r="M339" s="62"/>
      <c r="N339" s="59"/>
      <c r="O339" s="83"/>
      <c r="P339" s="64"/>
      <c r="Q339" s="66" t="str">
        <f aca="false">IF(ISBLANK($C339),"",IF(E339=Constants!$B$2, TRUE(), IF(E339=Constants!$B$3, FALSE(), TRUE())))</f>
        <v/>
      </c>
      <c r="R339" s="66" t="str">
        <f aca="false">IF(ISBLANK($C339),"",IF(F339=Constants!$B$16,Constants!$B$9,IF(F339=Constants!$B$17,Constants!$B$10,Constants!$B$8)))</f>
        <v/>
      </c>
      <c r="S339" s="66" t="str">
        <f aca="false">IF(ISBLANK($C339),"",IF(COUNTA(G339:H339)=0,"",IF(AND(OR(ISBLANK(G339),AND(ISNUMBER(G339),G339&gt;=0)),OR(ISBLANK(H339),AND(ISNUMBER(H339),H339&gt;=0))),60*IF(ISBLANK(G339),0,G339)+IF(ISBLANK(H339),0,H339),"")))</f>
        <v/>
      </c>
      <c r="T339" s="66" t="str">
        <f aca="false">IF(ISBLANK($C339),"",IF(I339=Constants!$B$2, TRUE(), IF(I339=Constants!$B$3, FALSE(), TRUE())))</f>
        <v/>
      </c>
      <c r="U339" s="66" t="str">
        <f aca="false">IF(ISBLANK($C339),"",IF(J339=Constants!$B$2, TRUE(), IF(J339=Constants!$B$3, FALSE(), TRUE())))</f>
        <v/>
      </c>
      <c r="V339" s="66" t="str">
        <f aca="false">IF(ISBLANK($C339),"",IF(COUNTA(K339:L339)=0,"",IF(AND(OR(ISBLANK(K339),AND(ISNUMBER(K339),K339&gt;=0)),OR(ISBLANK(L339),AND(ISNUMBER(L339),L339&gt;=0))),60*IF(ISBLANK(K339),0,K339)+IF(ISBLANK(L339),0,L339),"")))</f>
        <v/>
      </c>
      <c r="W339" s="66" t="str">
        <f aca="false">IF(ISBLANK($C339),"",IF(M339=Constants!$B$2, TRUE(), IF(M339=Constants!$B$3, FALSE(), TRUE())))</f>
        <v/>
      </c>
      <c r="X339" s="66" t="str">
        <f aca="false">IF(ISBLANK($C339),"",IF(N339=Constants!$B$2, TRUE(), IF(N339=Constants!$B$3, FALSE(), TRUE())))</f>
        <v/>
      </c>
      <c r="Y339" s="66" t="str">
        <f aca="false">IF(ISBLANK($C339),"",IF(O339=Constants!$B$2, TRUE(), IF(O339=Constants!$B$3, FALSE(), FALSE())))</f>
        <v/>
      </c>
      <c r="Z339" s="66" t="str">
        <f aca="false">IF(ISBLANK($C339),"",AND(S339&lt;&gt;"",Q339))</f>
        <v/>
      </c>
      <c r="AA339" s="66" t="str">
        <f aca="false">IF(ISBLANK($C339),"",AND(V339&lt;&gt;"",Q339))</f>
        <v/>
      </c>
      <c r="AB339" s="66" t="str">
        <f aca="false">IF(ISBLANK($C339),"",IF(Y339,Constants!$B$4,IF(COUNTA(E339:N339)=0,Constants!$B$5,IF(NOT(Q339),Constants!$B$6,IF(AND(NOT(Z339),NOT(AA339)),Constants!$B$6,Constants!$B$7)))))</f>
        <v/>
      </c>
      <c r="AC339" s="66" t="str">
        <f aca="false">IF(ISBLANK($C339),"",IF($AB339&lt;&gt;Constants!$B$7,$AB339,Constants!$B$20))</f>
        <v/>
      </c>
      <c r="AD339" s="66" t="str">
        <f aca="false">IF($AB339=Constants!$B$7,IF(Z339,S339,Constants!$B$13),"")</f>
        <v/>
      </c>
      <c r="AE339" s="66" t="str">
        <f aca="false">IF($AB339=Constants!$B$7,IF(Z339,R339*IF(T339, 1, Constants!$B$11)*IF(U339, 1, Constants!$B$12),Constants!$B$13),"")</f>
        <v/>
      </c>
      <c r="AF339" s="66" t="str">
        <f aca="false">IF($AB339=Constants!$B$7,AD339*AE339,"")</f>
        <v/>
      </c>
      <c r="AG339" s="66" t="str">
        <f aca="false">IF($AB339=Constants!$B$7,IF(AA339,V339,Constants!$B$13),"")</f>
        <v/>
      </c>
      <c r="AH339" s="66" t="str">
        <f aca="false">IF($AB339=Constants!$B$7,IF(AA339,R339*IF(W339, 1, Constants!$B$11)*IF(X339, 1, Constants!$B$12),Constants!$B$13),"")</f>
        <v/>
      </c>
      <c r="AI339" s="66" t="str">
        <f aca="false">IF($AB339=Constants!$B$7,AG339*AH339,"")</f>
        <v/>
      </c>
      <c r="AJ339" s="66" t="str">
        <f aca="false">IF($AB339=Constants!$B$7,IF(AI339&gt;AF339,2,1),"")</f>
        <v/>
      </c>
      <c r="AK339" s="66" t="str">
        <f aca="false">IF($AB339=Constants!$B$7,IF(AJ339=1,2,1),"")</f>
        <v/>
      </c>
      <c r="AL339" s="66" t="str">
        <f aca="false">IF(ISBLANK($C339),"",IF($AB339&lt;&gt;Constants!$B$7,$AB339,IF(AJ339=1,AF339,AI339)))</f>
        <v/>
      </c>
      <c r="AM339" s="66" t="str">
        <f aca="false">IF(ISBLANK($C339),"",IF($AB339=Constants!$B$7,IF(ISNUMBER(AL339),RANK(AL339,$AL$8:$AL$507),Constants!$B$14),$AB339))</f>
        <v/>
      </c>
      <c r="AN339" s="66" t="str">
        <f aca="false">IF(ISBLANK($C339),"",IF($AB339=Constants!$B$7,IF(AK339=1,AF339,AI339),""))</f>
        <v/>
      </c>
      <c r="AO339" s="66" t="str">
        <f aca="false">IF(ISBLANK($C339),"",IF($AB339=Constants!$B$7,RANK(AN339,$AN$8:$AN$507),$AB339))</f>
        <v/>
      </c>
      <c r="AP339" s="66" t="str">
        <f aca="false">IF(ISBLANK($C339),"",IF($AB339=Constants!$B$7,IF(ISNUMBER(AM339),COUNTIFS($AM$8:$AM$507,"&lt;"&amp;$AM339)+COUNTIFS($AM$8:$AM$507,$AM339,$AO$8:$AO$507,"&lt;"&amp;$AO339)+1,Constants!$B$14),$AB339))</f>
        <v/>
      </c>
      <c r="AQ339" s="66" t="str">
        <f aca="false">IF(ISBLANK($C339),"",IF($AB339=Constants!$B$7,IF(ISNUMBER(AM339),AM339-AP339,Constants!$B$14),$AB339))</f>
        <v/>
      </c>
      <c r="AR339" s="68"/>
      <c r="AS339" s="69" t="str">
        <f aca="false">IF(ISBLANK($C339),"",IF($AB339&lt;&gt;Constants!$B$7,"",AJ339))</f>
        <v/>
      </c>
      <c r="AT339" s="84" t="str">
        <f aca="false">IF(ISBLANK($C339),"",IF($AB339&lt;&gt;Constants!$B$7,"",IF(AJ339=1,AD339,AG339)))</f>
        <v/>
      </c>
      <c r="AU339" s="71" t="str">
        <f aca="false">IF(ISBLANK($C339),"",IF($AB339&lt;&gt;Constants!$B$7,"",IF(AJ339=1,AE339,AH339)))</f>
        <v/>
      </c>
      <c r="AV339" s="72" t="str">
        <f aca="false">IF(ISBLANK($C339),"",IF($AB339&lt;&gt;Constants!$B$7,$AB339,AL339))</f>
        <v/>
      </c>
      <c r="AW339" s="73" t="str">
        <f aca="false">IF(ISBLANK($C339),"",IF($AB339&lt;&gt;Constants!$B$7,$AB339,AC339))</f>
        <v/>
      </c>
      <c r="AX339" s="74" t="str">
        <f aca="false">IF(ISBLANK($C339),"",AQ339)</f>
        <v/>
      </c>
      <c r="AY339" s="74" t="str">
        <f aca="false">IF(ISBLANK($C339),"",AP339)</f>
        <v/>
      </c>
      <c r="AZ339" s="75" t="str">
        <f aca="false">IF(ISBLANK($C339),"",IF(AY339=Constants!$B$4,COUNTA($C$8:$C$507)+2,IF(AY339=Constants!$B$5,COUNTA($C$8:$C$507)+1,IF(AY339=Constants!$B$6,COUNTA($C$8:$C$507),AY339))))</f>
        <v/>
      </c>
      <c r="BA339" s="5"/>
      <c r="BB339" s="76" t="n">
        <f aca="false">IF(OR(ISNUMBER(AY339),AY339=Constants!$B$4,AY339=Constants!$B$6,AY339=Constants!$B$5),1,0)</f>
        <v>0</v>
      </c>
      <c r="BC339" s="76" t="n">
        <v>332</v>
      </c>
      <c r="BD339" s="76" t="str">
        <f aca="false">IF(ISBLANK($C339),"",IF(ISNUMBER(AZ339),AZ339+ROW($B339)/1000,""))</f>
        <v/>
      </c>
      <c r="BE339" s="76" t="str">
        <f aca="false">IF(ISNUMBER(BD339),RANK(BD339,$BD$8:$BD$507,1),"")</f>
        <v/>
      </c>
      <c r="BF339" s="76" t="str">
        <f aca="false">IF(ISBLANK($C339),"",$B339)</f>
        <v/>
      </c>
      <c r="BG339" s="76" t="str">
        <f aca="false">IF(ISBLANK($C339),"",$C339)</f>
        <v/>
      </c>
      <c r="BH339" s="76" t="str">
        <f aca="false">IF(ISBLANK($C339),"",$D339)</f>
        <v/>
      </c>
      <c r="BI339" s="77" t="str">
        <f aca="false">AW339</f>
        <v/>
      </c>
      <c r="BJ339" s="78" t="str">
        <f aca="false">AV339</f>
        <v/>
      </c>
      <c r="BK339" s="76" t="str">
        <f aca="false">IF(ISBLANK($C339),"",AY339)</f>
        <v/>
      </c>
      <c r="BL339" s="79" t="str">
        <f aca="false">IF($BC339&gt;$BB$7,"",VLOOKUP($BC339,$BE$8:$BK$507,7,FALSE()))</f>
        <v/>
      </c>
      <c r="BM339" s="80" t="str">
        <f aca="false">IF($BC339&gt;$BB$7,"",VLOOKUP($BC339,$BE$8:$BK$507,2,FALSE()))</f>
        <v/>
      </c>
      <c r="BN339" s="80" t="str">
        <f aca="false">IF($BC339&gt;$BB$7,"",VLOOKUP($BC339,$BE$8:$BK$507,3,FALSE()))</f>
        <v/>
      </c>
      <c r="BO339" s="80" t="str">
        <f aca="false">IF($BC339&gt;$BB$7,"",VLOOKUP($BC339,$BE$8:$BK$507,4,FALSE()))</f>
        <v/>
      </c>
      <c r="BP339" s="80" t="str">
        <f aca="false">IF($BC339&gt;$BB$7,"",VLOOKUP($BC339,$BE$8:$BK$507,5,FALSE()))</f>
        <v/>
      </c>
      <c r="BQ339" s="81" t="str">
        <f aca="false">IF($BC339&gt;$BB$7,"",VLOOKUP($BC339,$BE$8:$BK$507,6,FALSE()))</f>
        <v/>
      </c>
      <c r="BR339" s="54"/>
    </row>
    <row r="340" customFormat="false" ht="15.75" hidden="false" customHeight="false" outlineLevel="0" collapsed="false">
      <c r="A340" s="5"/>
      <c r="B340" s="124"/>
      <c r="C340" s="56"/>
      <c r="D340" s="57"/>
      <c r="E340" s="83"/>
      <c r="F340" s="59"/>
      <c r="G340" s="60"/>
      <c r="H340" s="61"/>
      <c r="I340" s="62"/>
      <c r="J340" s="59"/>
      <c r="K340" s="60"/>
      <c r="L340" s="61"/>
      <c r="M340" s="62"/>
      <c r="N340" s="59"/>
      <c r="O340" s="83"/>
      <c r="P340" s="64"/>
      <c r="Q340" s="66" t="str">
        <f aca="false">IF(ISBLANK($C340),"",IF(E340=Constants!$B$2, TRUE(), IF(E340=Constants!$B$3, FALSE(), TRUE())))</f>
        <v/>
      </c>
      <c r="R340" s="66" t="str">
        <f aca="false">IF(ISBLANK($C340),"",IF(F340=Constants!$B$16,Constants!$B$9,IF(F340=Constants!$B$17,Constants!$B$10,Constants!$B$8)))</f>
        <v/>
      </c>
      <c r="S340" s="66" t="str">
        <f aca="false">IF(ISBLANK($C340),"",IF(COUNTA(G340:H340)=0,"",IF(AND(OR(ISBLANK(G340),AND(ISNUMBER(G340),G340&gt;=0)),OR(ISBLANK(H340),AND(ISNUMBER(H340),H340&gt;=0))),60*IF(ISBLANK(G340),0,G340)+IF(ISBLANK(H340),0,H340),"")))</f>
        <v/>
      </c>
      <c r="T340" s="66" t="str">
        <f aca="false">IF(ISBLANK($C340),"",IF(I340=Constants!$B$2, TRUE(), IF(I340=Constants!$B$3, FALSE(), TRUE())))</f>
        <v/>
      </c>
      <c r="U340" s="66" t="str">
        <f aca="false">IF(ISBLANK($C340),"",IF(J340=Constants!$B$2, TRUE(), IF(J340=Constants!$B$3, FALSE(), TRUE())))</f>
        <v/>
      </c>
      <c r="V340" s="66" t="str">
        <f aca="false">IF(ISBLANK($C340),"",IF(COUNTA(K340:L340)=0,"",IF(AND(OR(ISBLANK(K340),AND(ISNUMBER(K340),K340&gt;=0)),OR(ISBLANK(L340),AND(ISNUMBER(L340),L340&gt;=0))),60*IF(ISBLANK(K340),0,K340)+IF(ISBLANK(L340),0,L340),"")))</f>
        <v/>
      </c>
      <c r="W340" s="66" t="str">
        <f aca="false">IF(ISBLANK($C340),"",IF(M340=Constants!$B$2, TRUE(), IF(M340=Constants!$B$3, FALSE(), TRUE())))</f>
        <v/>
      </c>
      <c r="X340" s="66" t="str">
        <f aca="false">IF(ISBLANK($C340),"",IF(N340=Constants!$B$2, TRUE(), IF(N340=Constants!$B$3, FALSE(), TRUE())))</f>
        <v/>
      </c>
      <c r="Y340" s="66" t="str">
        <f aca="false">IF(ISBLANK($C340),"",IF(O340=Constants!$B$2, TRUE(), IF(O340=Constants!$B$3, FALSE(), FALSE())))</f>
        <v/>
      </c>
      <c r="Z340" s="66" t="str">
        <f aca="false">IF(ISBLANK($C340),"",AND(S340&lt;&gt;"",Q340))</f>
        <v/>
      </c>
      <c r="AA340" s="66" t="str">
        <f aca="false">IF(ISBLANK($C340),"",AND(V340&lt;&gt;"",Q340))</f>
        <v/>
      </c>
      <c r="AB340" s="66" t="str">
        <f aca="false">IF(ISBLANK($C340),"",IF(Y340,Constants!$B$4,IF(COUNTA(E340:N340)=0,Constants!$B$5,IF(NOT(Q340),Constants!$B$6,IF(AND(NOT(Z340),NOT(AA340)),Constants!$B$6,Constants!$B$7)))))</f>
        <v/>
      </c>
      <c r="AC340" s="66" t="str">
        <f aca="false">IF(ISBLANK($C340),"",IF($AB340&lt;&gt;Constants!$B$7,$AB340,Constants!$B$20))</f>
        <v/>
      </c>
      <c r="AD340" s="66" t="str">
        <f aca="false">IF($AB340=Constants!$B$7,IF(Z340,S340,Constants!$B$13),"")</f>
        <v/>
      </c>
      <c r="AE340" s="66" t="str">
        <f aca="false">IF($AB340=Constants!$B$7,IF(Z340,R340*IF(T340, 1, Constants!$B$11)*IF(U340, 1, Constants!$B$12),Constants!$B$13),"")</f>
        <v/>
      </c>
      <c r="AF340" s="66" t="str">
        <f aca="false">IF($AB340=Constants!$B$7,AD340*AE340,"")</f>
        <v/>
      </c>
      <c r="AG340" s="66" t="str">
        <f aca="false">IF($AB340=Constants!$B$7,IF(AA340,V340,Constants!$B$13),"")</f>
        <v/>
      </c>
      <c r="AH340" s="66" t="str">
        <f aca="false">IF($AB340=Constants!$B$7,IF(AA340,R340*IF(W340, 1, Constants!$B$11)*IF(X340, 1, Constants!$B$12),Constants!$B$13),"")</f>
        <v/>
      </c>
      <c r="AI340" s="66" t="str">
        <f aca="false">IF($AB340=Constants!$B$7,AG340*AH340,"")</f>
        <v/>
      </c>
      <c r="AJ340" s="66" t="str">
        <f aca="false">IF($AB340=Constants!$B$7,IF(AI340&gt;AF340,2,1),"")</f>
        <v/>
      </c>
      <c r="AK340" s="66" t="str">
        <f aca="false">IF($AB340=Constants!$B$7,IF(AJ340=1,2,1),"")</f>
        <v/>
      </c>
      <c r="AL340" s="66" t="str">
        <f aca="false">IF(ISBLANK($C340),"",IF($AB340&lt;&gt;Constants!$B$7,$AB340,IF(AJ340=1,AF340,AI340)))</f>
        <v/>
      </c>
      <c r="AM340" s="66" t="str">
        <f aca="false">IF(ISBLANK($C340),"",IF($AB340=Constants!$B$7,IF(ISNUMBER(AL340),RANK(AL340,$AL$8:$AL$507),Constants!$B$14),$AB340))</f>
        <v/>
      </c>
      <c r="AN340" s="66" t="str">
        <f aca="false">IF(ISBLANK($C340),"",IF($AB340=Constants!$B$7,IF(AK340=1,AF340,AI340),""))</f>
        <v/>
      </c>
      <c r="AO340" s="66" t="str">
        <f aca="false">IF(ISBLANK($C340),"",IF($AB340=Constants!$B$7,RANK(AN340,$AN$8:$AN$507),$AB340))</f>
        <v/>
      </c>
      <c r="AP340" s="66" t="str">
        <f aca="false">IF(ISBLANK($C340),"",IF($AB340=Constants!$B$7,IF(ISNUMBER(AM340),COUNTIFS($AM$8:$AM$507,"&lt;"&amp;$AM340)+COUNTIFS($AM$8:$AM$507,$AM340,$AO$8:$AO$507,"&lt;"&amp;$AO340)+1,Constants!$B$14),$AB340))</f>
        <v/>
      </c>
      <c r="AQ340" s="66" t="str">
        <f aca="false">IF(ISBLANK($C340),"",IF($AB340=Constants!$B$7,IF(ISNUMBER(AM340),AM340-AP340,Constants!$B$14),$AB340))</f>
        <v/>
      </c>
      <c r="AR340" s="68"/>
      <c r="AS340" s="69" t="str">
        <f aca="false">IF(ISBLANK($C340),"",IF($AB340&lt;&gt;Constants!$B$7,"",AJ340))</f>
        <v/>
      </c>
      <c r="AT340" s="84" t="str">
        <f aca="false">IF(ISBLANK($C340),"",IF($AB340&lt;&gt;Constants!$B$7,"",IF(AJ340=1,AD340,AG340)))</f>
        <v/>
      </c>
      <c r="AU340" s="71" t="str">
        <f aca="false">IF(ISBLANK($C340),"",IF($AB340&lt;&gt;Constants!$B$7,"",IF(AJ340=1,AE340,AH340)))</f>
        <v/>
      </c>
      <c r="AV340" s="72" t="str">
        <f aca="false">IF(ISBLANK($C340),"",IF($AB340&lt;&gt;Constants!$B$7,$AB340,AL340))</f>
        <v/>
      </c>
      <c r="AW340" s="73" t="str">
        <f aca="false">IF(ISBLANK($C340),"",IF($AB340&lt;&gt;Constants!$B$7,$AB340,AC340))</f>
        <v/>
      </c>
      <c r="AX340" s="74" t="str">
        <f aca="false">IF(ISBLANK($C340),"",AQ340)</f>
        <v/>
      </c>
      <c r="AY340" s="74" t="str">
        <f aca="false">IF(ISBLANK($C340),"",AP340)</f>
        <v/>
      </c>
      <c r="AZ340" s="75" t="str">
        <f aca="false">IF(ISBLANK($C340),"",IF(AY340=Constants!$B$4,COUNTA($C$8:$C$507)+2,IF(AY340=Constants!$B$5,COUNTA($C$8:$C$507)+1,IF(AY340=Constants!$B$6,COUNTA($C$8:$C$507),AY340))))</f>
        <v/>
      </c>
      <c r="BA340" s="5"/>
      <c r="BB340" s="76" t="n">
        <f aca="false">IF(OR(ISNUMBER(AY340),AY340=Constants!$B$4,AY340=Constants!$B$6,AY340=Constants!$B$5),1,0)</f>
        <v>0</v>
      </c>
      <c r="BC340" s="76" t="n">
        <v>333</v>
      </c>
      <c r="BD340" s="76" t="str">
        <f aca="false">IF(ISBLANK($C340),"",IF(ISNUMBER(AZ340),AZ340+ROW($B340)/1000,""))</f>
        <v/>
      </c>
      <c r="BE340" s="76" t="str">
        <f aca="false">IF(ISNUMBER(BD340),RANK(BD340,$BD$8:$BD$507,1),"")</f>
        <v/>
      </c>
      <c r="BF340" s="76" t="str">
        <f aca="false">IF(ISBLANK($C340),"",$B340)</f>
        <v/>
      </c>
      <c r="BG340" s="76" t="str">
        <f aca="false">IF(ISBLANK($C340),"",$C340)</f>
        <v/>
      </c>
      <c r="BH340" s="76" t="str">
        <f aca="false">IF(ISBLANK($C340),"",$D340)</f>
        <v/>
      </c>
      <c r="BI340" s="77" t="str">
        <f aca="false">AW340</f>
        <v/>
      </c>
      <c r="BJ340" s="78" t="str">
        <f aca="false">AV340</f>
        <v/>
      </c>
      <c r="BK340" s="76" t="str">
        <f aca="false">IF(ISBLANK($C340),"",AY340)</f>
        <v/>
      </c>
      <c r="BL340" s="79" t="str">
        <f aca="false">IF($BC340&gt;$BB$7,"",VLOOKUP($BC340,$BE$8:$BK$507,7,FALSE()))</f>
        <v/>
      </c>
      <c r="BM340" s="80" t="str">
        <f aca="false">IF($BC340&gt;$BB$7,"",VLOOKUP($BC340,$BE$8:$BK$507,2,FALSE()))</f>
        <v/>
      </c>
      <c r="BN340" s="80" t="str">
        <f aca="false">IF($BC340&gt;$BB$7,"",VLOOKUP($BC340,$BE$8:$BK$507,3,FALSE()))</f>
        <v/>
      </c>
      <c r="BO340" s="80" t="str">
        <f aca="false">IF($BC340&gt;$BB$7,"",VLOOKUP($BC340,$BE$8:$BK$507,4,FALSE()))</f>
        <v/>
      </c>
      <c r="BP340" s="80" t="str">
        <f aca="false">IF($BC340&gt;$BB$7,"",VLOOKUP($BC340,$BE$8:$BK$507,5,FALSE()))</f>
        <v/>
      </c>
      <c r="BQ340" s="81" t="str">
        <f aca="false">IF($BC340&gt;$BB$7,"",VLOOKUP($BC340,$BE$8:$BK$507,6,FALSE()))</f>
        <v/>
      </c>
      <c r="BR340" s="54"/>
    </row>
    <row r="341" customFormat="false" ht="15.75" hidden="false" customHeight="false" outlineLevel="0" collapsed="false">
      <c r="A341" s="5"/>
      <c r="B341" s="120"/>
      <c r="C341" s="121"/>
      <c r="D341" s="112"/>
      <c r="E341" s="123"/>
      <c r="F341" s="91"/>
      <c r="G341" s="92"/>
      <c r="H341" s="93"/>
      <c r="I341" s="94"/>
      <c r="J341" s="91"/>
      <c r="K341" s="92"/>
      <c r="L341" s="93"/>
      <c r="M341" s="94"/>
      <c r="N341" s="91"/>
      <c r="O341" s="123"/>
      <c r="P341" s="96"/>
      <c r="Q341" s="97" t="str">
        <f aca="false">IF(ISBLANK($C341),"",IF(E341=Constants!$B$2, TRUE(), IF(E341=Constants!$B$3, FALSE(), TRUE())))</f>
        <v/>
      </c>
      <c r="R341" s="97" t="str">
        <f aca="false">IF(ISBLANK($C341),"",IF(F341=Constants!$B$16,Constants!$B$9,IF(F341=Constants!$B$17,Constants!$B$10,Constants!$B$8)))</f>
        <v/>
      </c>
      <c r="S341" s="97" t="str">
        <f aca="false">IF(ISBLANK($C341),"",IF(COUNTA(G341:H341)=0,"",IF(AND(OR(ISBLANK(G341),AND(ISNUMBER(G341),G341&gt;=0)),OR(ISBLANK(H341),AND(ISNUMBER(H341),H341&gt;=0))),60*IF(ISBLANK(G341),0,G341)+IF(ISBLANK(H341),0,H341),"")))</f>
        <v/>
      </c>
      <c r="T341" s="97" t="str">
        <f aca="false">IF(ISBLANK($C341),"",IF(I341=Constants!$B$2, TRUE(), IF(I341=Constants!$B$3, FALSE(), TRUE())))</f>
        <v/>
      </c>
      <c r="U341" s="97" t="str">
        <f aca="false">IF(ISBLANK($C341),"",IF(J341=Constants!$B$2, TRUE(), IF(J341=Constants!$B$3, FALSE(), TRUE())))</f>
        <v/>
      </c>
      <c r="V341" s="97" t="str">
        <f aca="false">IF(ISBLANK($C341),"",IF(COUNTA(K341:L341)=0,"",IF(AND(OR(ISBLANK(K341),AND(ISNUMBER(K341),K341&gt;=0)),OR(ISBLANK(L341),AND(ISNUMBER(L341),L341&gt;=0))),60*IF(ISBLANK(K341),0,K341)+IF(ISBLANK(L341),0,L341),"")))</f>
        <v/>
      </c>
      <c r="W341" s="97" t="str">
        <f aca="false">IF(ISBLANK($C341),"",IF(M341=Constants!$B$2, TRUE(), IF(M341=Constants!$B$3, FALSE(), TRUE())))</f>
        <v/>
      </c>
      <c r="X341" s="97" t="str">
        <f aca="false">IF(ISBLANK($C341),"",IF(N341=Constants!$B$2, TRUE(), IF(N341=Constants!$B$3, FALSE(), TRUE())))</f>
        <v/>
      </c>
      <c r="Y341" s="97" t="str">
        <f aca="false">IF(ISBLANK($C341),"",IF(O341=Constants!$B$2, TRUE(), IF(O341=Constants!$B$3, FALSE(), FALSE())))</f>
        <v/>
      </c>
      <c r="Z341" s="97" t="str">
        <f aca="false">IF(ISBLANK($C341),"",AND(S341&lt;&gt;"",Q341))</f>
        <v/>
      </c>
      <c r="AA341" s="97" t="str">
        <f aca="false">IF(ISBLANK($C341),"",AND(V341&lt;&gt;"",Q341))</f>
        <v/>
      </c>
      <c r="AB341" s="97" t="str">
        <f aca="false">IF(ISBLANK($C341),"",IF(Y341,Constants!$B$4,IF(COUNTA(E341:N341)=0,Constants!$B$5,IF(NOT(Q341),Constants!$B$6,IF(AND(NOT(Z341),NOT(AA341)),Constants!$B$6,Constants!$B$7)))))</f>
        <v/>
      </c>
      <c r="AC341" s="97" t="str">
        <f aca="false">IF(ISBLANK($C341),"",IF($AB341&lt;&gt;Constants!$B$7,$AB341,Constants!$B$20))</f>
        <v/>
      </c>
      <c r="AD341" s="97" t="str">
        <f aca="false">IF($AB341=Constants!$B$7,IF(Z341,S341,Constants!$B$13),"")</f>
        <v/>
      </c>
      <c r="AE341" s="97" t="str">
        <f aca="false">IF($AB341=Constants!$B$7,IF(Z341,R341*IF(T341, 1, Constants!$B$11)*IF(U341, 1, Constants!$B$12),Constants!$B$13),"")</f>
        <v/>
      </c>
      <c r="AF341" s="97" t="str">
        <f aca="false">IF($AB341=Constants!$B$7,AD341*AE341,"")</f>
        <v/>
      </c>
      <c r="AG341" s="97" t="str">
        <f aca="false">IF($AB341=Constants!$B$7,IF(AA341,V341,Constants!$B$13),"")</f>
        <v/>
      </c>
      <c r="AH341" s="97" t="str">
        <f aca="false">IF($AB341=Constants!$B$7,IF(AA341,R341*IF(W341, 1, Constants!$B$11)*IF(X341, 1, Constants!$B$12),Constants!$B$13),"")</f>
        <v/>
      </c>
      <c r="AI341" s="97" t="str">
        <f aca="false">IF($AB341=Constants!$B$7,AG341*AH341,"")</f>
        <v/>
      </c>
      <c r="AJ341" s="97" t="str">
        <f aca="false">IF($AB341=Constants!$B$7,IF(AI341&gt;AF341,2,1),"")</f>
        <v/>
      </c>
      <c r="AK341" s="97" t="str">
        <f aca="false">IF($AB341=Constants!$B$7,IF(AJ341=1,2,1),"")</f>
        <v/>
      </c>
      <c r="AL341" s="97" t="str">
        <f aca="false">IF(ISBLANK($C341),"",IF($AB341&lt;&gt;Constants!$B$7,$AB341,IF(AJ341=1,AF341,AI341)))</f>
        <v/>
      </c>
      <c r="AM341" s="97" t="str">
        <f aca="false">IF(ISBLANK($C341),"",IF($AB341=Constants!$B$7,IF(ISNUMBER(AL341),RANK(AL341,$AL$8:$AL$507),Constants!$B$14),$AB341))</f>
        <v/>
      </c>
      <c r="AN341" s="97" t="str">
        <f aca="false">IF(ISBLANK($C341),"",IF($AB341=Constants!$B$7,IF(AK341=1,AF341,AI341),""))</f>
        <v/>
      </c>
      <c r="AO341" s="97" t="str">
        <f aca="false">IF(ISBLANK($C341),"",IF($AB341=Constants!$B$7,RANK(AN341,$AN$8:$AN$507),$AB341))</f>
        <v/>
      </c>
      <c r="AP341" s="97" t="str">
        <f aca="false">IF(ISBLANK($C341),"",IF($AB341=Constants!$B$7,IF(ISNUMBER(AM341),COUNTIFS($AM$8:$AM$507,"&lt;"&amp;$AM341)+COUNTIFS($AM$8:$AM$507,$AM341,$AO$8:$AO$507,"&lt;"&amp;$AO341)+1,Constants!$B$14),$AB341))</f>
        <v/>
      </c>
      <c r="AQ341" s="97" t="str">
        <f aca="false">IF(ISBLANK($C341),"",IF($AB341=Constants!$B$7,IF(ISNUMBER(AM341),AM341-AP341,Constants!$B$14),$AB341))</f>
        <v/>
      </c>
      <c r="AR341" s="98"/>
      <c r="AS341" s="99" t="str">
        <f aca="false">IF(ISBLANK($C341),"",IF($AB341&lt;&gt;Constants!$B$7,"",AJ341))</f>
        <v/>
      </c>
      <c r="AT341" s="100" t="str">
        <f aca="false">IF(ISBLANK($C341),"",IF($AB341&lt;&gt;Constants!$B$7,"",IF(AJ341=1,AD341,AG341)))</f>
        <v/>
      </c>
      <c r="AU341" s="101" t="str">
        <f aca="false">IF(ISBLANK($C341),"",IF($AB341&lt;&gt;Constants!$B$7,"",IF(AJ341=1,AE341,AH341)))</f>
        <v/>
      </c>
      <c r="AV341" s="102" t="str">
        <f aca="false">IF(ISBLANK($C341),"",IF($AB341&lt;&gt;Constants!$B$7,$AB341,AL341))</f>
        <v/>
      </c>
      <c r="AW341" s="103" t="str">
        <f aca="false">IF(ISBLANK($C341),"",IF($AB341&lt;&gt;Constants!$B$7,$AB341,AC341))</f>
        <v/>
      </c>
      <c r="AX341" s="104" t="str">
        <f aca="false">IF(ISBLANK($C341),"",AQ341)</f>
        <v/>
      </c>
      <c r="AY341" s="104" t="str">
        <f aca="false">IF(ISBLANK($C341),"",AP341)</f>
        <v/>
      </c>
      <c r="AZ341" s="105" t="str">
        <f aca="false">IF(ISBLANK($C341),"",IF(AY341=Constants!$B$4,COUNTA($C$8:$C$507)+2,IF(AY341=Constants!$B$5,COUNTA($C$8:$C$507)+1,IF(AY341=Constants!$B$6,COUNTA($C$8:$C$507),AY341))))</f>
        <v/>
      </c>
      <c r="BA341" s="5"/>
      <c r="BB341" s="106" t="n">
        <f aca="false">IF(OR(ISNUMBER(AY341),AY341=Constants!$B$4,AY341=Constants!$B$6,AY341=Constants!$B$5),1,0)</f>
        <v>0</v>
      </c>
      <c r="BC341" s="106" t="n">
        <v>334</v>
      </c>
      <c r="BD341" s="106" t="str">
        <f aca="false">IF(ISBLANK($C341),"",IF(ISNUMBER(AZ341),AZ341+ROW($B341)/1000,""))</f>
        <v/>
      </c>
      <c r="BE341" s="106" t="str">
        <f aca="false">IF(ISNUMBER(BD341),RANK(BD341,$BD$8:$BD$507,1),"")</f>
        <v/>
      </c>
      <c r="BF341" s="106" t="str">
        <f aca="false">IF(ISBLANK($C341),"",$B341)</f>
        <v/>
      </c>
      <c r="BG341" s="106" t="str">
        <f aca="false">IF(ISBLANK($C341),"",$C341)</f>
        <v/>
      </c>
      <c r="BH341" s="106" t="str">
        <f aca="false">IF(ISBLANK($C341),"",$D341)</f>
        <v/>
      </c>
      <c r="BI341" s="107" t="str">
        <f aca="false">AW341</f>
        <v/>
      </c>
      <c r="BJ341" s="108" t="str">
        <f aca="false">AV341</f>
        <v/>
      </c>
      <c r="BK341" s="106" t="str">
        <f aca="false">IF(ISBLANK($C341),"",AY341)</f>
        <v/>
      </c>
      <c r="BL341" s="109" t="str">
        <f aca="false">IF($BC341&gt;$BB$7,"",VLOOKUP($BC341,$BE$8:$BK$507,7,FALSE()))</f>
        <v/>
      </c>
      <c r="BM341" s="110" t="str">
        <f aca="false">IF($BC341&gt;$BB$7,"",VLOOKUP($BC341,$BE$8:$BK$507,2,FALSE()))</f>
        <v/>
      </c>
      <c r="BN341" s="110" t="str">
        <f aca="false">IF($BC341&gt;$BB$7,"",VLOOKUP($BC341,$BE$8:$BK$507,3,FALSE()))</f>
        <v/>
      </c>
      <c r="BO341" s="110" t="str">
        <f aca="false">IF($BC341&gt;$BB$7,"",VLOOKUP($BC341,$BE$8:$BK$507,4,FALSE()))</f>
        <v/>
      </c>
      <c r="BP341" s="110" t="str">
        <f aca="false">IF($BC341&gt;$BB$7,"",VLOOKUP($BC341,$BE$8:$BK$507,5,FALSE()))</f>
        <v/>
      </c>
      <c r="BQ341" s="111" t="str">
        <f aca="false">IF($BC341&gt;$BB$7,"",VLOOKUP($BC341,$BE$8:$BK$507,6,FALSE()))</f>
        <v/>
      </c>
      <c r="BR341" s="54"/>
    </row>
    <row r="342" customFormat="false" ht="15.75" hidden="false" customHeight="false" outlineLevel="0" collapsed="false">
      <c r="A342" s="5"/>
      <c r="B342" s="120"/>
      <c r="C342" s="121"/>
      <c r="D342" s="112"/>
      <c r="E342" s="123"/>
      <c r="F342" s="91"/>
      <c r="G342" s="92"/>
      <c r="H342" s="93"/>
      <c r="I342" s="94"/>
      <c r="J342" s="91"/>
      <c r="K342" s="92"/>
      <c r="L342" s="93"/>
      <c r="M342" s="94"/>
      <c r="N342" s="91"/>
      <c r="O342" s="123"/>
      <c r="P342" s="96"/>
      <c r="Q342" s="97" t="str">
        <f aca="false">IF(ISBLANK($C342),"",IF(E342=Constants!$B$2, TRUE(), IF(E342=Constants!$B$3, FALSE(), TRUE())))</f>
        <v/>
      </c>
      <c r="R342" s="97" t="str">
        <f aca="false">IF(ISBLANK($C342),"",IF(F342=Constants!$B$16,Constants!$B$9,IF(F342=Constants!$B$17,Constants!$B$10,Constants!$B$8)))</f>
        <v/>
      </c>
      <c r="S342" s="97" t="str">
        <f aca="false">IF(ISBLANK($C342),"",IF(COUNTA(G342:H342)=0,"",IF(AND(OR(ISBLANK(G342),AND(ISNUMBER(G342),G342&gt;=0)),OR(ISBLANK(H342),AND(ISNUMBER(H342),H342&gt;=0))),60*IF(ISBLANK(G342),0,G342)+IF(ISBLANK(H342),0,H342),"")))</f>
        <v/>
      </c>
      <c r="T342" s="97" t="str">
        <f aca="false">IF(ISBLANK($C342),"",IF(I342=Constants!$B$2, TRUE(), IF(I342=Constants!$B$3, FALSE(), TRUE())))</f>
        <v/>
      </c>
      <c r="U342" s="97" t="str">
        <f aca="false">IF(ISBLANK($C342),"",IF(J342=Constants!$B$2, TRUE(), IF(J342=Constants!$B$3, FALSE(), TRUE())))</f>
        <v/>
      </c>
      <c r="V342" s="97" t="str">
        <f aca="false">IF(ISBLANK($C342),"",IF(COUNTA(K342:L342)=0,"",IF(AND(OR(ISBLANK(K342),AND(ISNUMBER(K342),K342&gt;=0)),OR(ISBLANK(L342),AND(ISNUMBER(L342),L342&gt;=0))),60*IF(ISBLANK(K342),0,K342)+IF(ISBLANK(L342),0,L342),"")))</f>
        <v/>
      </c>
      <c r="W342" s="97" t="str">
        <f aca="false">IF(ISBLANK($C342),"",IF(M342=Constants!$B$2, TRUE(), IF(M342=Constants!$B$3, FALSE(), TRUE())))</f>
        <v/>
      </c>
      <c r="X342" s="97" t="str">
        <f aca="false">IF(ISBLANK($C342),"",IF(N342=Constants!$B$2, TRUE(), IF(N342=Constants!$B$3, FALSE(), TRUE())))</f>
        <v/>
      </c>
      <c r="Y342" s="97" t="str">
        <f aca="false">IF(ISBLANK($C342),"",IF(O342=Constants!$B$2, TRUE(), IF(O342=Constants!$B$3, FALSE(), FALSE())))</f>
        <v/>
      </c>
      <c r="Z342" s="97" t="str">
        <f aca="false">IF(ISBLANK($C342),"",AND(S342&lt;&gt;"",Q342))</f>
        <v/>
      </c>
      <c r="AA342" s="97" t="str">
        <f aca="false">IF(ISBLANK($C342),"",AND(V342&lt;&gt;"",Q342))</f>
        <v/>
      </c>
      <c r="AB342" s="97" t="str">
        <f aca="false">IF(ISBLANK($C342),"",IF(Y342,Constants!$B$4,IF(COUNTA(E342:N342)=0,Constants!$B$5,IF(NOT(Q342),Constants!$B$6,IF(AND(NOT(Z342),NOT(AA342)),Constants!$B$6,Constants!$B$7)))))</f>
        <v/>
      </c>
      <c r="AC342" s="97" t="str">
        <f aca="false">IF(ISBLANK($C342),"",IF($AB342&lt;&gt;Constants!$B$7,$AB342,Constants!$B$20))</f>
        <v/>
      </c>
      <c r="AD342" s="97" t="str">
        <f aca="false">IF($AB342=Constants!$B$7,IF(Z342,S342,Constants!$B$13),"")</f>
        <v/>
      </c>
      <c r="AE342" s="97" t="str">
        <f aca="false">IF($AB342=Constants!$B$7,IF(Z342,R342*IF(T342, 1, Constants!$B$11)*IF(U342, 1, Constants!$B$12),Constants!$B$13),"")</f>
        <v/>
      </c>
      <c r="AF342" s="97" t="str">
        <f aca="false">IF($AB342=Constants!$B$7,AD342*AE342,"")</f>
        <v/>
      </c>
      <c r="AG342" s="97" t="str">
        <f aca="false">IF($AB342=Constants!$B$7,IF(AA342,V342,Constants!$B$13),"")</f>
        <v/>
      </c>
      <c r="AH342" s="97" t="str">
        <f aca="false">IF($AB342=Constants!$B$7,IF(AA342,R342*IF(W342, 1, Constants!$B$11)*IF(X342, 1, Constants!$B$12),Constants!$B$13),"")</f>
        <v/>
      </c>
      <c r="AI342" s="97" t="str">
        <f aca="false">IF($AB342=Constants!$B$7,AG342*AH342,"")</f>
        <v/>
      </c>
      <c r="AJ342" s="97" t="str">
        <f aca="false">IF($AB342=Constants!$B$7,IF(AI342&gt;AF342,2,1),"")</f>
        <v/>
      </c>
      <c r="AK342" s="97" t="str">
        <f aca="false">IF($AB342=Constants!$B$7,IF(AJ342=1,2,1),"")</f>
        <v/>
      </c>
      <c r="AL342" s="97" t="str">
        <f aca="false">IF(ISBLANK($C342),"",IF($AB342&lt;&gt;Constants!$B$7,$AB342,IF(AJ342=1,AF342,AI342)))</f>
        <v/>
      </c>
      <c r="AM342" s="97" t="str">
        <f aca="false">IF(ISBLANK($C342),"",IF($AB342=Constants!$B$7,IF(ISNUMBER(AL342),RANK(AL342,$AL$8:$AL$507),Constants!$B$14),$AB342))</f>
        <v/>
      </c>
      <c r="AN342" s="97" t="str">
        <f aca="false">IF(ISBLANK($C342),"",IF($AB342=Constants!$B$7,IF(AK342=1,AF342,AI342),""))</f>
        <v/>
      </c>
      <c r="AO342" s="97" t="str">
        <f aca="false">IF(ISBLANK($C342),"",IF($AB342=Constants!$B$7,RANK(AN342,$AN$8:$AN$507),$AB342))</f>
        <v/>
      </c>
      <c r="AP342" s="97" t="str">
        <f aca="false">IF(ISBLANK($C342),"",IF($AB342=Constants!$B$7,IF(ISNUMBER(AM342),COUNTIFS($AM$8:$AM$507,"&lt;"&amp;$AM342)+COUNTIFS($AM$8:$AM$507,$AM342,$AO$8:$AO$507,"&lt;"&amp;$AO342)+1,Constants!$B$14),$AB342))</f>
        <v/>
      </c>
      <c r="AQ342" s="97" t="str">
        <f aca="false">IF(ISBLANK($C342),"",IF($AB342=Constants!$B$7,IF(ISNUMBER(AM342),AM342-AP342,Constants!$B$14),$AB342))</f>
        <v/>
      </c>
      <c r="AR342" s="98"/>
      <c r="AS342" s="99" t="str">
        <f aca="false">IF(ISBLANK($C342),"",IF($AB342&lt;&gt;Constants!$B$7,"",AJ342))</f>
        <v/>
      </c>
      <c r="AT342" s="100" t="str">
        <f aca="false">IF(ISBLANK($C342),"",IF($AB342&lt;&gt;Constants!$B$7,"",IF(AJ342=1,AD342,AG342)))</f>
        <v/>
      </c>
      <c r="AU342" s="101" t="str">
        <f aca="false">IF(ISBLANK($C342),"",IF($AB342&lt;&gt;Constants!$B$7,"",IF(AJ342=1,AE342,AH342)))</f>
        <v/>
      </c>
      <c r="AV342" s="102" t="str">
        <f aca="false">IF(ISBLANK($C342),"",IF($AB342&lt;&gt;Constants!$B$7,$AB342,AL342))</f>
        <v/>
      </c>
      <c r="AW342" s="103" t="str">
        <f aca="false">IF(ISBLANK($C342),"",IF($AB342&lt;&gt;Constants!$B$7,$AB342,AC342))</f>
        <v/>
      </c>
      <c r="AX342" s="104" t="str">
        <f aca="false">IF(ISBLANK($C342),"",AQ342)</f>
        <v/>
      </c>
      <c r="AY342" s="104" t="str">
        <f aca="false">IF(ISBLANK($C342),"",AP342)</f>
        <v/>
      </c>
      <c r="AZ342" s="105" t="str">
        <f aca="false">IF(ISBLANK($C342),"",IF(AY342=Constants!$B$4,COUNTA($C$8:$C$507)+2,IF(AY342=Constants!$B$5,COUNTA($C$8:$C$507)+1,IF(AY342=Constants!$B$6,COUNTA($C$8:$C$507),AY342))))</f>
        <v/>
      </c>
      <c r="BA342" s="5"/>
      <c r="BB342" s="106" t="n">
        <f aca="false">IF(OR(ISNUMBER(AY342),AY342=Constants!$B$4,AY342=Constants!$B$6,AY342=Constants!$B$5),1,0)</f>
        <v>0</v>
      </c>
      <c r="BC342" s="106" t="n">
        <v>335</v>
      </c>
      <c r="BD342" s="106" t="str">
        <f aca="false">IF(ISBLANK($C342),"",IF(ISNUMBER(AZ342),AZ342+ROW($B342)/1000,""))</f>
        <v/>
      </c>
      <c r="BE342" s="106" t="str">
        <f aca="false">IF(ISNUMBER(BD342),RANK(BD342,$BD$8:$BD$507,1),"")</f>
        <v/>
      </c>
      <c r="BF342" s="106" t="str">
        <f aca="false">IF(ISBLANK($C342),"",$B342)</f>
        <v/>
      </c>
      <c r="BG342" s="106" t="str">
        <f aca="false">IF(ISBLANK($C342),"",$C342)</f>
        <v/>
      </c>
      <c r="BH342" s="106" t="str">
        <f aca="false">IF(ISBLANK($C342),"",$D342)</f>
        <v/>
      </c>
      <c r="BI342" s="107" t="str">
        <f aca="false">AW342</f>
        <v/>
      </c>
      <c r="BJ342" s="108" t="str">
        <f aca="false">AV342</f>
        <v/>
      </c>
      <c r="BK342" s="106" t="str">
        <f aca="false">IF(ISBLANK($C342),"",AY342)</f>
        <v/>
      </c>
      <c r="BL342" s="109" t="str">
        <f aca="false">IF($BC342&gt;$BB$7,"",VLOOKUP($BC342,$BE$8:$BK$507,7,FALSE()))</f>
        <v/>
      </c>
      <c r="BM342" s="110" t="str">
        <f aca="false">IF($BC342&gt;$BB$7,"",VLOOKUP($BC342,$BE$8:$BK$507,2,FALSE()))</f>
        <v/>
      </c>
      <c r="BN342" s="110" t="str">
        <f aca="false">IF($BC342&gt;$BB$7,"",VLOOKUP($BC342,$BE$8:$BK$507,3,FALSE()))</f>
        <v/>
      </c>
      <c r="BO342" s="110" t="str">
        <f aca="false">IF($BC342&gt;$BB$7,"",VLOOKUP($BC342,$BE$8:$BK$507,4,FALSE()))</f>
        <v/>
      </c>
      <c r="BP342" s="110" t="str">
        <f aca="false">IF($BC342&gt;$BB$7,"",VLOOKUP($BC342,$BE$8:$BK$507,5,FALSE()))</f>
        <v/>
      </c>
      <c r="BQ342" s="111" t="str">
        <f aca="false">IF($BC342&gt;$BB$7,"",VLOOKUP($BC342,$BE$8:$BK$507,6,FALSE()))</f>
        <v/>
      </c>
      <c r="BR342" s="54"/>
    </row>
    <row r="343" customFormat="false" ht="15.75" hidden="false" customHeight="false" outlineLevel="0" collapsed="false">
      <c r="A343" s="5"/>
      <c r="B343" s="120"/>
      <c r="C343" s="121"/>
      <c r="D343" s="112"/>
      <c r="E343" s="123"/>
      <c r="F343" s="91"/>
      <c r="G343" s="92"/>
      <c r="H343" s="93"/>
      <c r="I343" s="94"/>
      <c r="J343" s="91"/>
      <c r="K343" s="92"/>
      <c r="L343" s="93"/>
      <c r="M343" s="94"/>
      <c r="N343" s="91"/>
      <c r="O343" s="123"/>
      <c r="P343" s="96"/>
      <c r="Q343" s="97" t="str">
        <f aca="false">IF(ISBLANK($C343),"",IF(E343=Constants!$B$2, TRUE(), IF(E343=Constants!$B$3, FALSE(), TRUE())))</f>
        <v/>
      </c>
      <c r="R343" s="97" t="str">
        <f aca="false">IF(ISBLANK($C343),"",IF(F343=Constants!$B$16,Constants!$B$9,IF(F343=Constants!$B$17,Constants!$B$10,Constants!$B$8)))</f>
        <v/>
      </c>
      <c r="S343" s="97" t="str">
        <f aca="false">IF(ISBLANK($C343),"",IF(COUNTA(G343:H343)=0,"",IF(AND(OR(ISBLANK(G343),AND(ISNUMBER(G343),G343&gt;=0)),OR(ISBLANK(H343),AND(ISNUMBER(H343),H343&gt;=0))),60*IF(ISBLANK(G343),0,G343)+IF(ISBLANK(H343),0,H343),"")))</f>
        <v/>
      </c>
      <c r="T343" s="97" t="str">
        <f aca="false">IF(ISBLANK($C343),"",IF(I343=Constants!$B$2, TRUE(), IF(I343=Constants!$B$3, FALSE(), TRUE())))</f>
        <v/>
      </c>
      <c r="U343" s="97" t="str">
        <f aca="false">IF(ISBLANK($C343),"",IF(J343=Constants!$B$2, TRUE(), IF(J343=Constants!$B$3, FALSE(), TRUE())))</f>
        <v/>
      </c>
      <c r="V343" s="97" t="str">
        <f aca="false">IF(ISBLANK($C343),"",IF(COUNTA(K343:L343)=0,"",IF(AND(OR(ISBLANK(K343),AND(ISNUMBER(K343),K343&gt;=0)),OR(ISBLANK(L343),AND(ISNUMBER(L343),L343&gt;=0))),60*IF(ISBLANK(K343),0,K343)+IF(ISBLANK(L343),0,L343),"")))</f>
        <v/>
      </c>
      <c r="W343" s="97" t="str">
        <f aca="false">IF(ISBLANK($C343),"",IF(M343=Constants!$B$2, TRUE(), IF(M343=Constants!$B$3, FALSE(), TRUE())))</f>
        <v/>
      </c>
      <c r="X343" s="97" t="str">
        <f aca="false">IF(ISBLANK($C343),"",IF(N343=Constants!$B$2, TRUE(), IF(N343=Constants!$B$3, FALSE(), TRUE())))</f>
        <v/>
      </c>
      <c r="Y343" s="97" t="str">
        <f aca="false">IF(ISBLANK($C343),"",IF(O343=Constants!$B$2, TRUE(), IF(O343=Constants!$B$3, FALSE(), FALSE())))</f>
        <v/>
      </c>
      <c r="Z343" s="97" t="str">
        <f aca="false">IF(ISBLANK($C343),"",AND(S343&lt;&gt;"",Q343))</f>
        <v/>
      </c>
      <c r="AA343" s="97" t="str">
        <f aca="false">IF(ISBLANK($C343),"",AND(V343&lt;&gt;"",Q343))</f>
        <v/>
      </c>
      <c r="AB343" s="97" t="str">
        <f aca="false">IF(ISBLANK($C343),"",IF(Y343,Constants!$B$4,IF(COUNTA(E343:N343)=0,Constants!$B$5,IF(NOT(Q343),Constants!$B$6,IF(AND(NOT(Z343),NOT(AA343)),Constants!$B$6,Constants!$B$7)))))</f>
        <v/>
      </c>
      <c r="AC343" s="97" t="str">
        <f aca="false">IF(ISBLANK($C343),"",IF($AB343&lt;&gt;Constants!$B$7,$AB343,Constants!$B$20))</f>
        <v/>
      </c>
      <c r="AD343" s="97" t="str">
        <f aca="false">IF($AB343=Constants!$B$7,IF(Z343,S343,Constants!$B$13),"")</f>
        <v/>
      </c>
      <c r="AE343" s="97" t="str">
        <f aca="false">IF($AB343=Constants!$B$7,IF(Z343,R343*IF(T343, 1, Constants!$B$11)*IF(U343, 1, Constants!$B$12),Constants!$B$13),"")</f>
        <v/>
      </c>
      <c r="AF343" s="97" t="str">
        <f aca="false">IF($AB343=Constants!$B$7,AD343*AE343,"")</f>
        <v/>
      </c>
      <c r="AG343" s="97" t="str">
        <f aca="false">IF($AB343=Constants!$B$7,IF(AA343,V343,Constants!$B$13),"")</f>
        <v/>
      </c>
      <c r="AH343" s="97" t="str">
        <f aca="false">IF($AB343=Constants!$B$7,IF(AA343,R343*IF(W343, 1, Constants!$B$11)*IF(X343, 1, Constants!$B$12),Constants!$B$13),"")</f>
        <v/>
      </c>
      <c r="AI343" s="97" t="str">
        <f aca="false">IF($AB343=Constants!$B$7,AG343*AH343,"")</f>
        <v/>
      </c>
      <c r="AJ343" s="97" t="str">
        <f aca="false">IF($AB343=Constants!$B$7,IF(AI343&gt;AF343,2,1),"")</f>
        <v/>
      </c>
      <c r="AK343" s="97" t="str">
        <f aca="false">IF($AB343=Constants!$B$7,IF(AJ343=1,2,1),"")</f>
        <v/>
      </c>
      <c r="AL343" s="97" t="str">
        <f aca="false">IF(ISBLANK($C343),"",IF($AB343&lt;&gt;Constants!$B$7,$AB343,IF(AJ343=1,AF343,AI343)))</f>
        <v/>
      </c>
      <c r="AM343" s="97" t="str">
        <f aca="false">IF(ISBLANK($C343),"",IF($AB343=Constants!$B$7,IF(ISNUMBER(AL343),RANK(AL343,$AL$8:$AL$507),Constants!$B$14),$AB343))</f>
        <v/>
      </c>
      <c r="AN343" s="97" t="str">
        <f aca="false">IF(ISBLANK($C343),"",IF($AB343=Constants!$B$7,IF(AK343=1,AF343,AI343),""))</f>
        <v/>
      </c>
      <c r="AO343" s="97" t="str">
        <f aca="false">IF(ISBLANK($C343),"",IF($AB343=Constants!$B$7,RANK(AN343,$AN$8:$AN$507),$AB343))</f>
        <v/>
      </c>
      <c r="AP343" s="97" t="str">
        <f aca="false">IF(ISBLANK($C343),"",IF($AB343=Constants!$B$7,IF(ISNUMBER(AM343),COUNTIFS($AM$8:$AM$507,"&lt;"&amp;$AM343)+COUNTIFS($AM$8:$AM$507,$AM343,$AO$8:$AO$507,"&lt;"&amp;$AO343)+1,Constants!$B$14),$AB343))</f>
        <v/>
      </c>
      <c r="AQ343" s="97" t="str">
        <f aca="false">IF(ISBLANK($C343),"",IF($AB343=Constants!$B$7,IF(ISNUMBER(AM343),AM343-AP343,Constants!$B$14),$AB343))</f>
        <v/>
      </c>
      <c r="AR343" s="98"/>
      <c r="AS343" s="99" t="str">
        <f aca="false">IF(ISBLANK($C343),"",IF($AB343&lt;&gt;Constants!$B$7,"",AJ343))</f>
        <v/>
      </c>
      <c r="AT343" s="100" t="str">
        <f aca="false">IF(ISBLANK($C343),"",IF($AB343&lt;&gt;Constants!$B$7,"",IF(AJ343=1,AD343,AG343)))</f>
        <v/>
      </c>
      <c r="AU343" s="101" t="str">
        <f aca="false">IF(ISBLANK($C343),"",IF($AB343&lt;&gt;Constants!$B$7,"",IF(AJ343=1,AE343,AH343)))</f>
        <v/>
      </c>
      <c r="AV343" s="102" t="str">
        <f aca="false">IF(ISBLANK($C343),"",IF($AB343&lt;&gt;Constants!$B$7,$AB343,AL343))</f>
        <v/>
      </c>
      <c r="AW343" s="103" t="str">
        <f aca="false">IF(ISBLANK($C343),"",IF($AB343&lt;&gt;Constants!$B$7,$AB343,AC343))</f>
        <v/>
      </c>
      <c r="AX343" s="104" t="str">
        <f aca="false">IF(ISBLANK($C343),"",AQ343)</f>
        <v/>
      </c>
      <c r="AY343" s="104" t="str">
        <f aca="false">IF(ISBLANK($C343),"",AP343)</f>
        <v/>
      </c>
      <c r="AZ343" s="105" t="str">
        <f aca="false">IF(ISBLANK($C343),"",IF(AY343=Constants!$B$4,COUNTA($C$8:$C$507)+2,IF(AY343=Constants!$B$5,COUNTA($C$8:$C$507)+1,IF(AY343=Constants!$B$6,COUNTA($C$8:$C$507),AY343))))</f>
        <v/>
      </c>
      <c r="BA343" s="5"/>
      <c r="BB343" s="106" t="n">
        <f aca="false">IF(OR(ISNUMBER(AY343),AY343=Constants!$B$4,AY343=Constants!$B$6,AY343=Constants!$B$5),1,0)</f>
        <v>0</v>
      </c>
      <c r="BC343" s="106" t="n">
        <v>336</v>
      </c>
      <c r="BD343" s="106" t="str">
        <f aca="false">IF(ISBLANK($C343),"",IF(ISNUMBER(AZ343),AZ343+ROW($B343)/1000,""))</f>
        <v/>
      </c>
      <c r="BE343" s="106" t="str">
        <f aca="false">IF(ISNUMBER(BD343),RANK(BD343,$BD$8:$BD$507,1),"")</f>
        <v/>
      </c>
      <c r="BF343" s="106" t="str">
        <f aca="false">IF(ISBLANK($C343),"",$B343)</f>
        <v/>
      </c>
      <c r="BG343" s="106" t="str">
        <f aca="false">IF(ISBLANK($C343),"",$C343)</f>
        <v/>
      </c>
      <c r="BH343" s="106" t="str">
        <f aca="false">IF(ISBLANK($C343),"",$D343)</f>
        <v/>
      </c>
      <c r="BI343" s="107" t="str">
        <f aca="false">AW343</f>
        <v/>
      </c>
      <c r="BJ343" s="108" t="str">
        <f aca="false">AV343</f>
        <v/>
      </c>
      <c r="BK343" s="106" t="str">
        <f aca="false">IF(ISBLANK($C343),"",AY343)</f>
        <v/>
      </c>
      <c r="BL343" s="109" t="str">
        <f aca="false">IF($BC343&gt;$BB$7,"",VLOOKUP($BC343,$BE$8:$BK$507,7,FALSE()))</f>
        <v/>
      </c>
      <c r="BM343" s="110" t="str">
        <f aca="false">IF($BC343&gt;$BB$7,"",VLOOKUP($BC343,$BE$8:$BK$507,2,FALSE()))</f>
        <v/>
      </c>
      <c r="BN343" s="110" t="str">
        <f aca="false">IF($BC343&gt;$BB$7,"",VLOOKUP($BC343,$BE$8:$BK$507,3,FALSE()))</f>
        <v/>
      </c>
      <c r="BO343" s="110" t="str">
        <f aca="false">IF($BC343&gt;$BB$7,"",VLOOKUP($BC343,$BE$8:$BK$507,4,FALSE()))</f>
        <v/>
      </c>
      <c r="BP343" s="110" t="str">
        <f aca="false">IF($BC343&gt;$BB$7,"",VLOOKUP($BC343,$BE$8:$BK$507,5,FALSE()))</f>
        <v/>
      </c>
      <c r="BQ343" s="111" t="str">
        <f aca="false">IF($BC343&gt;$BB$7,"",VLOOKUP($BC343,$BE$8:$BK$507,6,FALSE()))</f>
        <v/>
      </c>
      <c r="BR343" s="54"/>
    </row>
    <row r="344" customFormat="false" ht="15.75" hidden="false" customHeight="false" outlineLevel="0" collapsed="false">
      <c r="A344" s="5"/>
      <c r="B344" s="124"/>
      <c r="C344" s="56"/>
      <c r="D344" s="57"/>
      <c r="E344" s="83"/>
      <c r="F344" s="59"/>
      <c r="G344" s="60"/>
      <c r="H344" s="61"/>
      <c r="I344" s="62"/>
      <c r="J344" s="59"/>
      <c r="K344" s="60"/>
      <c r="L344" s="61"/>
      <c r="M344" s="62"/>
      <c r="N344" s="59"/>
      <c r="O344" s="83"/>
      <c r="P344" s="64"/>
      <c r="Q344" s="66" t="str">
        <f aca="false">IF(ISBLANK($C344),"",IF(E344=Constants!$B$2, TRUE(), IF(E344=Constants!$B$3, FALSE(), TRUE())))</f>
        <v/>
      </c>
      <c r="R344" s="66" t="str">
        <f aca="false">IF(ISBLANK($C344),"",IF(F344=Constants!$B$16,Constants!$B$9,IF(F344=Constants!$B$17,Constants!$B$10,Constants!$B$8)))</f>
        <v/>
      </c>
      <c r="S344" s="66" t="str">
        <f aca="false">IF(ISBLANK($C344),"",IF(COUNTA(G344:H344)=0,"",IF(AND(OR(ISBLANK(G344),AND(ISNUMBER(G344),G344&gt;=0)),OR(ISBLANK(H344),AND(ISNUMBER(H344),H344&gt;=0))),60*IF(ISBLANK(G344),0,G344)+IF(ISBLANK(H344),0,H344),"")))</f>
        <v/>
      </c>
      <c r="T344" s="66" t="str">
        <f aca="false">IF(ISBLANK($C344),"",IF(I344=Constants!$B$2, TRUE(), IF(I344=Constants!$B$3, FALSE(), TRUE())))</f>
        <v/>
      </c>
      <c r="U344" s="66" t="str">
        <f aca="false">IF(ISBLANK($C344),"",IF(J344=Constants!$B$2, TRUE(), IF(J344=Constants!$B$3, FALSE(), TRUE())))</f>
        <v/>
      </c>
      <c r="V344" s="66" t="str">
        <f aca="false">IF(ISBLANK($C344),"",IF(COUNTA(K344:L344)=0,"",IF(AND(OR(ISBLANK(K344),AND(ISNUMBER(K344),K344&gt;=0)),OR(ISBLANK(L344),AND(ISNUMBER(L344),L344&gt;=0))),60*IF(ISBLANK(K344),0,K344)+IF(ISBLANK(L344),0,L344),"")))</f>
        <v/>
      </c>
      <c r="W344" s="66" t="str">
        <f aca="false">IF(ISBLANK($C344),"",IF(M344=Constants!$B$2, TRUE(), IF(M344=Constants!$B$3, FALSE(), TRUE())))</f>
        <v/>
      </c>
      <c r="X344" s="66" t="str">
        <f aca="false">IF(ISBLANK($C344),"",IF(N344=Constants!$B$2, TRUE(), IF(N344=Constants!$B$3, FALSE(), TRUE())))</f>
        <v/>
      </c>
      <c r="Y344" s="66" t="str">
        <f aca="false">IF(ISBLANK($C344),"",IF(O344=Constants!$B$2, TRUE(), IF(O344=Constants!$B$3, FALSE(), FALSE())))</f>
        <v/>
      </c>
      <c r="Z344" s="66" t="str">
        <f aca="false">IF(ISBLANK($C344),"",AND(S344&lt;&gt;"",Q344))</f>
        <v/>
      </c>
      <c r="AA344" s="66" t="str">
        <f aca="false">IF(ISBLANK($C344),"",AND(V344&lt;&gt;"",Q344))</f>
        <v/>
      </c>
      <c r="AB344" s="66" t="str">
        <f aca="false">IF(ISBLANK($C344),"",IF(Y344,Constants!$B$4,IF(COUNTA(E344:N344)=0,Constants!$B$5,IF(NOT(Q344),Constants!$B$6,IF(AND(NOT(Z344),NOT(AA344)),Constants!$B$6,Constants!$B$7)))))</f>
        <v/>
      </c>
      <c r="AC344" s="66" t="str">
        <f aca="false">IF(ISBLANK($C344),"",IF($AB344&lt;&gt;Constants!$B$7,$AB344,Constants!$B$20))</f>
        <v/>
      </c>
      <c r="AD344" s="66" t="str">
        <f aca="false">IF($AB344=Constants!$B$7,IF(Z344,S344,Constants!$B$13),"")</f>
        <v/>
      </c>
      <c r="AE344" s="66" t="str">
        <f aca="false">IF($AB344=Constants!$B$7,IF(Z344,R344*IF(T344, 1, Constants!$B$11)*IF(U344, 1, Constants!$B$12),Constants!$B$13),"")</f>
        <v/>
      </c>
      <c r="AF344" s="66" t="str">
        <f aca="false">IF($AB344=Constants!$B$7,AD344*AE344,"")</f>
        <v/>
      </c>
      <c r="AG344" s="66" t="str">
        <f aca="false">IF($AB344=Constants!$B$7,IF(AA344,V344,Constants!$B$13),"")</f>
        <v/>
      </c>
      <c r="AH344" s="66" t="str">
        <f aca="false">IF($AB344=Constants!$B$7,IF(AA344,R344*IF(W344, 1, Constants!$B$11)*IF(X344, 1, Constants!$B$12),Constants!$B$13),"")</f>
        <v/>
      </c>
      <c r="AI344" s="66" t="str">
        <f aca="false">IF($AB344=Constants!$B$7,AG344*AH344,"")</f>
        <v/>
      </c>
      <c r="AJ344" s="66" t="str">
        <f aca="false">IF($AB344=Constants!$B$7,IF(AI344&gt;AF344,2,1),"")</f>
        <v/>
      </c>
      <c r="AK344" s="66" t="str">
        <f aca="false">IF($AB344=Constants!$B$7,IF(AJ344=1,2,1),"")</f>
        <v/>
      </c>
      <c r="AL344" s="66" t="str">
        <f aca="false">IF(ISBLANK($C344),"",IF($AB344&lt;&gt;Constants!$B$7,$AB344,IF(AJ344=1,AF344,AI344)))</f>
        <v/>
      </c>
      <c r="AM344" s="66" t="str">
        <f aca="false">IF(ISBLANK($C344),"",IF($AB344=Constants!$B$7,IF(ISNUMBER(AL344),RANK(AL344,$AL$8:$AL$507),Constants!$B$14),$AB344))</f>
        <v/>
      </c>
      <c r="AN344" s="66" t="str">
        <f aca="false">IF(ISBLANK($C344),"",IF($AB344=Constants!$B$7,IF(AK344=1,AF344,AI344),""))</f>
        <v/>
      </c>
      <c r="AO344" s="66" t="str">
        <f aca="false">IF(ISBLANK($C344),"",IF($AB344=Constants!$B$7,RANK(AN344,$AN$8:$AN$507),$AB344))</f>
        <v/>
      </c>
      <c r="AP344" s="66" t="str">
        <f aca="false">IF(ISBLANK($C344),"",IF($AB344=Constants!$B$7,IF(ISNUMBER(AM344),COUNTIFS($AM$8:$AM$507,"&lt;"&amp;$AM344)+COUNTIFS($AM$8:$AM$507,$AM344,$AO$8:$AO$507,"&lt;"&amp;$AO344)+1,Constants!$B$14),$AB344))</f>
        <v/>
      </c>
      <c r="AQ344" s="66" t="str">
        <f aca="false">IF(ISBLANK($C344),"",IF($AB344=Constants!$B$7,IF(ISNUMBER(AM344),AM344-AP344,Constants!$B$14),$AB344))</f>
        <v/>
      </c>
      <c r="AR344" s="68"/>
      <c r="AS344" s="69" t="str">
        <f aca="false">IF(ISBLANK($C344),"",IF($AB344&lt;&gt;Constants!$B$7,"",AJ344))</f>
        <v/>
      </c>
      <c r="AT344" s="84" t="str">
        <f aca="false">IF(ISBLANK($C344),"",IF($AB344&lt;&gt;Constants!$B$7,"",IF(AJ344=1,AD344,AG344)))</f>
        <v/>
      </c>
      <c r="AU344" s="71" t="str">
        <f aca="false">IF(ISBLANK($C344),"",IF($AB344&lt;&gt;Constants!$B$7,"",IF(AJ344=1,AE344,AH344)))</f>
        <v/>
      </c>
      <c r="AV344" s="72" t="str">
        <f aca="false">IF(ISBLANK($C344),"",IF($AB344&lt;&gt;Constants!$B$7,$AB344,AL344))</f>
        <v/>
      </c>
      <c r="AW344" s="73" t="str">
        <f aca="false">IF(ISBLANK($C344),"",IF($AB344&lt;&gt;Constants!$B$7,$AB344,AC344))</f>
        <v/>
      </c>
      <c r="AX344" s="74" t="str">
        <f aca="false">IF(ISBLANK($C344),"",AQ344)</f>
        <v/>
      </c>
      <c r="AY344" s="74" t="str">
        <f aca="false">IF(ISBLANK($C344),"",AP344)</f>
        <v/>
      </c>
      <c r="AZ344" s="75" t="str">
        <f aca="false">IF(ISBLANK($C344),"",IF(AY344=Constants!$B$4,COUNTA($C$8:$C$507)+2,IF(AY344=Constants!$B$5,COUNTA($C$8:$C$507)+1,IF(AY344=Constants!$B$6,COUNTA($C$8:$C$507),AY344))))</f>
        <v/>
      </c>
      <c r="BA344" s="5"/>
      <c r="BB344" s="76" t="n">
        <f aca="false">IF(OR(ISNUMBER(AY344),AY344=Constants!$B$4,AY344=Constants!$B$6,AY344=Constants!$B$5),1,0)</f>
        <v>0</v>
      </c>
      <c r="BC344" s="76" t="n">
        <v>337</v>
      </c>
      <c r="BD344" s="76" t="str">
        <f aca="false">IF(ISBLANK($C344),"",IF(ISNUMBER(AZ344),AZ344+ROW($B344)/1000,""))</f>
        <v/>
      </c>
      <c r="BE344" s="76" t="str">
        <f aca="false">IF(ISNUMBER(BD344),RANK(BD344,$BD$8:$BD$507,1),"")</f>
        <v/>
      </c>
      <c r="BF344" s="76" t="str">
        <f aca="false">IF(ISBLANK($C344),"",$B344)</f>
        <v/>
      </c>
      <c r="BG344" s="76" t="str">
        <f aca="false">IF(ISBLANK($C344),"",$C344)</f>
        <v/>
      </c>
      <c r="BH344" s="76" t="str">
        <f aca="false">IF(ISBLANK($C344),"",$D344)</f>
        <v/>
      </c>
      <c r="BI344" s="77" t="str">
        <f aca="false">AW344</f>
        <v/>
      </c>
      <c r="BJ344" s="78" t="str">
        <f aca="false">AV344</f>
        <v/>
      </c>
      <c r="BK344" s="76" t="str">
        <f aca="false">IF(ISBLANK($C344),"",AY344)</f>
        <v/>
      </c>
      <c r="BL344" s="79" t="str">
        <f aca="false">IF($BC344&gt;$BB$7,"",VLOOKUP($BC344,$BE$8:$BK$507,7,FALSE()))</f>
        <v/>
      </c>
      <c r="BM344" s="80" t="str">
        <f aca="false">IF($BC344&gt;$BB$7,"",VLOOKUP($BC344,$BE$8:$BK$507,2,FALSE()))</f>
        <v/>
      </c>
      <c r="BN344" s="80" t="str">
        <f aca="false">IF($BC344&gt;$BB$7,"",VLOOKUP($BC344,$BE$8:$BK$507,3,FALSE()))</f>
        <v/>
      </c>
      <c r="BO344" s="80" t="str">
        <f aca="false">IF($BC344&gt;$BB$7,"",VLOOKUP($BC344,$BE$8:$BK$507,4,FALSE()))</f>
        <v/>
      </c>
      <c r="BP344" s="80" t="str">
        <f aca="false">IF($BC344&gt;$BB$7,"",VLOOKUP($BC344,$BE$8:$BK$507,5,FALSE()))</f>
        <v/>
      </c>
      <c r="BQ344" s="81" t="str">
        <f aca="false">IF($BC344&gt;$BB$7,"",VLOOKUP($BC344,$BE$8:$BK$507,6,FALSE()))</f>
        <v/>
      </c>
      <c r="BR344" s="54"/>
    </row>
    <row r="345" customFormat="false" ht="15.75" hidden="false" customHeight="false" outlineLevel="0" collapsed="false">
      <c r="A345" s="5"/>
      <c r="B345" s="124"/>
      <c r="C345" s="56"/>
      <c r="D345" s="57"/>
      <c r="E345" s="83"/>
      <c r="F345" s="59"/>
      <c r="G345" s="60"/>
      <c r="H345" s="61"/>
      <c r="I345" s="62"/>
      <c r="J345" s="59"/>
      <c r="K345" s="60"/>
      <c r="L345" s="61"/>
      <c r="M345" s="62"/>
      <c r="N345" s="59"/>
      <c r="O345" s="83"/>
      <c r="P345" s="64"/>
      <c r="Q345" s="66" t="str">
        <f aca="false">IF(ISBLANK($C345),"",IF(E345=Constants!$B$2, TRUE(), IF(E345=Constants!$B$3, FALSE(), TRUE())))</f>
        <v/>
      </c>
      <c r="R345" s="66" t="str">
        <f aca="false">IF(ISBLANK($C345),"",IF(F345=Constants!$B$16,Constants!$B$9,IF(F345=Constants!$B$17,Constants!$B$10,Constants!$B$8)))</f>
        <v/>
      </c>
      <c r="S345" s="66" t="str">
        <f aca="false">IF(ISBLANK($C345),"",IF(COUNTA(G345:H345)=0,"",IF(AND(OR(ISBLANK(G345),AND(ISNUMBER(G345),G345&gt;=0)),OR(ISBLANK(H345),AND(ISNUMBER(H345),H345&gt;=0))),60*IF(ISBLANK(G345),0,G345)+IF(ISBLANK(H345),0,H345),"")))</f>
        <v/>
      </c>
      <c r="T345" s="66" t="str">
        <f aca="false">IF(ISBLANK($C345),"",IF(I345=Constants!$B$2, TRUE(), IF(I345=Constants!$B$3, FALSE(), TRUE())))</f>
        <v/>
      </c>
      <c r="U345" s="66" t="str">
        <f aca="false">IF(ISBLANK($C345),"",IF(J345=Constants!$B$2, TRUE(), IF(J345=Constants!$B$3, FALSE(), TRUE())))</f>
        <v/>
      </c>
      <c r="V345" s="66" t="str">
        <f aca="false">IF(ISBLANK($C345),"",IF(COUNTA(K345:L345)=0,"",IF(AND(OR(ISBLANK(K345),AND(ISNUMBER(K345),K345&gt;=0)),OR(ISBLANK(L345),AND(ISNUMBER(L345),L345&gt;=0))),60*IF(ISBLANK(K345),0,K345)+IF(ISBLANK(L345),0,L345),"")))</f>
        <v/>
      </c>
      <c r="W345" s="66" t="str">
        <f aca="false">IF(ISBLANK($C345),"",IF(M345=Constants!$B$2, TRUE(), IF(M345=Constants!$B$3, FALSE(), TRUE())))</f>
        <v/>
      </c>
      <c r="X345" s="66" t="str">
        <f aca="false">IF(ISBLANK($C345),"",IF(N345=Constants!$B$2, TRUE(), IF(N345=Constants!$B$3, FALSE(), TRUE())))</f>
        <v/>
      </c>
      <c r="Y345" s="66" t="str">
        <f aca="false">IF(ISBLANK($C345),"",IF(O345=Constants!$B$2, TRUE(), IF(O345=Constants!$B$3, FALSE(), FALSE())))</f>
        <v/>
      </c>
      <c r="Z345" s="66" t="str">
        <f aca="false">IF(ISBLANK($C345),"",AND(S345&lt;&gt;"",Q345))</f>
        <v/>
      </c>
      <c r="AA345" s="66" t="str">
        <f aca="false">IF(ISBLANK($C345),"",AND(V345&lt;&gt;"",Q345))</f>
        <v/>
      </c>
      <c r="AB345" s="66" t="str">
        <f aca="false">IF(ISBLANK($C345),"",IF(Y345,Constants!$B$4,IF(COUNTA(E345:N345)=0,Constants!$B$5,IF(NOT(Q345),Constants!$B$6,IF(AND(NOT(Z345),NOT(AA345)),Constants!$B$6,Constants!$B$7)))))</f>
        <v/>
      </c>
      <c r="AC345" s="66" t="str">
        <f aca="false">IF(ISBLANK($C345),"",IF($AB345&lt;&gt;Constants!$B$7,$AB345,Constants!$B$20))</f>
        <v/>
      </c>
      <c r="AD345" s="66" t="str">
        <f aca="false">IF($AB345=Constants!$B$7,IF(Z345,S345,Constants!$B$13),"")</f>
        <v/>
      </c>
      <c r="AE345" s="66" t="str">
        <f aca="false">IF($AB345=Constants!$B$7,IF(Z345,R345*IF(T345, 1, Constants!$B$11)*IF(U345, 1, Constants!$B$12),Constants!$B$13),"")</f>
        <v/>
      </c>
      <c r="AF345" s="66" t="str">
        <f aca="false">IF($AB345=Constants!$B$7,AD345*AE345,"")</f>
        <v/>
      </c>
      <c r="AG345" s="66" t="str">
        <f aca="false">IF($AB345=Constants!$B$7,IF(AA345,V345,Constants!$B$13),"")</f>
        <v/>
      </c>
      <c r="AH345" s="66" t="str">
        <f aca="false">IF($AB345=Constants!$B$7,IF(AA345,R345*IF(W345, 1, Constants!$B$11)*IF(X345, 1, Constants!$B$12),Constants!$B$13),"")</f>
        <v/>
      </c>
      <c r="AI345" s="66" t="str">
        <f aca="false">IF($AB345=Constants!$B$7,AG345*AH345,"")</f>
        <v/>
      </c>
      <c r="AJ345" s="66" t="str">
        <f aca="false">IF($AB345=Constants!$B$7,IF(AI345&gt;AF345,2,1),"")</f>
        <v/>
      </c>
      <c r="AK345" s="66" t="str">
        <f aca="false">IF($AB345=Constants!$B$7,IF(AJ345=1,2,1),"")</f>
        <v/>
      </c>
      <c r="AL345" s="66" t="str">
        <f aca="false">IF(ISBLANK($C345),"",IF($AB345&lt;&gt;Constants!$B$7,$AB345,IF(AJ345=1,AF345,AI345)))</f>
        <v/>
      </c>
      <c r="AM345" s="66" t="str">
        <f aca="false">IF(ISBLANK($C345),"",IF($AB345=Constants!$B$7,IF(ISNUMBER(AL345),RANK(AL345,$AL$8:$AL$507),Constants!$B$14),$AB345))</f>
        <v/>
      </c>
      <c r="AN345" s="66" t="str">
        <f aca="false">IF(ISBLANK($C345),"",IF($AB345=Constants!$B$7,IF(AK345=1,AF345,AI345),""))</f>
        <v/>
      </c>
      <c r="AO345" s="66" t="str">
        <f aca="false">IF(ISBLANK($C345),"",IF($AB345=Constants!$B$7,RANK(AN345,$AN$8:$AN$507),$AB345))</f>
        <v/>
      </c>
      <c r="AP345" s="66" t="str">
        <f aca="false">IF(ISBLANK($C345),"",IF($AB345=Constants!$B$7,IF(ISNUMBER(AM345),COUNTIFS($AM$8:$AM$507,"&lt;"&amp;$AM345)+COUNTIFS($AM$8:$AM$507,$AM345,$AO$8:$AO$507,"&lt;"&amp;$AO345)+1,Constants!$B$14),$AB345))</f>
        <v/>
      </c>
      <c r="AQ345" s="66" t="str">
        <f aca="false">IF(ISBLANK($C345),"",IF($AB345=Constants!$B$7,IF(ISNUMBER(AM345),AM345-AP345,Constants!$B$14),$AB345))</f>
        <v/>
      </c>
      <c r="AR345" s="68"/>
      <c r="AS345" s="69" t="str">
        <f aca="false">IF(ISBLANK($C345),"",IF($AB345&lt;&gt;Constants!$B$7,"",AJ345))</f>
        <v/>
      </c>
      <c r="AT345" s="84" t="str">
        <f aca="false">IF(ISBLANK($C345),"",IF($AB345&lt;&gt;Constants!$B$7,"",IF(AJ345=1,AD345,AG345)))</f>
        <v/>
      </c>
      <c r="AU345" s="71" t="str">
        <f aca="false">IF(ISBLANK($C345),"",IF($AB345&lt;&gt;Constants!$B$7,"",IF(AJ345=1,AE345,AH345)))</f>
        <v/>
      </c>
      <c r="AV345" s="72" t="str">
        <f aca="false">IF(ISBLANK($C345),"",IF($AB345&lt;&gt;Constants!$B$7,$AB345,AL345))</f>
        <v/>
      </c>
      <c r="AW345" s="73" t="str">
        <f aca="false">IF(ISBLANK($C345),"",IF($AB345&lt;&gt;Constants!$B$7,$AB345,AC345))</f>
        <v/>
      </c>
      <c r="AX345" s="74" t="str">
        <f aca="false">IF(ISBLANK($C345),"",AQ345)</f>
        <v/>
      </c>
      <c r="AY345" s="74" t="str">
        <f aca="false">IF(ISBLANK($C345),"",AP345)</f>
        <v/>
      </c>
      <c r="AZ345" s="75" t="str">
        <f aca="false">IF(ISBLANK($C345),"",IF(AY345=Constants!$B$4,COUNTA($C$8:$C$507)+2,IF(AY345=Constants!$B$5,COUNTA($C$8:$C$507)+1,IF(AY345=Constants!$B$6,COUNTA($C$8:$C$507),AY345))))</f>
        <v/>
      </c>
      <c r="BA345" s="5"/>
      <c r="BB345" s="76" t="n">
        <f aca="false">IF(OR(ISNUMBER(AY345),AY345=Constants!$B$4,AY345=Constants!$B$6,AY345=Constants!$B$5),1,0)</f>
        <v>0</v>
      </c>
      <c r="BC345" s="76" t="n">
        <v>338</v>
      </c>
      <c r="BD345" s="76" t="str">
        <f aca="false">IF(ISBLANK($C345),"",IF(ISNUMBER(AZ345),AZ345+ROW($B345)/1000,""))</f>
        <v/>
      </c>
      <c r="BE345" s="76" t="str">
        <f aca="false">IF(ISNUMBER(BD345),RANK(BD345,$BD$8:$BD$507,1),"")</f>
        <v/>
      </c>
      <c r="BF345" s="76" t="str">
        <f aca="false">IF(ISBLANK($C345),"",$B345)</f>
        <v/>
      </c>
      <c r="BG345" s="76" t="str">
        <f aca="false">IF(ISBLANK($C345),"",$C345)</f>
        <v/>
      </c>
      <c r="BH345" s="76" t="str">
        <f aca="false">IF(ISBLANK($C345),"",$D345)</f>
        <v/>
      </c>
      <c r="BI345" s="77" t="str">
        <f aca="false">AW345</f>
        <v/>
      </c>
      <c r="BJ345" s="78" t="str">
        <f aca="false">AV345</f>
        <v/>
      </c>
      <c r="BK345" s="76" t="str">
        <f aca="false">IF(ISBLANK($C345),"",AY345)</f>
        <v/>
      </c>
      <c r="BL345" s="79" t="str">
        <f aca="false">IF($BC345&gt;$BB$7,"",VLOOKUP($BC345,$BE$8:$BK$507,7,FALSE()))</f>
        <v/>
      </c>
      <c r="BM345" s="80" t="str">
        <f aca="false">IF($BC345&gt;$BB$7,"",VLOOKUP($BC345,$BE$8:$BK$507,2,FALSE()))</f>
        <v/>
      </c>
      <c r="BN345" s="80" t="str">
        <f aca="false">IF($BC345&gt;$BB$7,"",VLOOKUP($BC345,$BE$8:$BK$507,3,FALSE()))</f>
        <v/>
      </c>
      <c r="BO345" s="80" t="str">
        <f aca="false">IF($BC345&gt;$BB$7,"",VLOOKUP($BC345,$BE$8:$BK$507,4,FALSE()))</f>
        <v/>
      </c>
      <c r="BP345" s="80" t="str">
        <f aca="false">IF($BC345&gt;$BB$7,"",VLOOKUP($BC345,$BE$8:$BK$507,5,FALSE()))</f>
        <v/>
      </c>
      <c r="BQ345" s="81" t="str">
        <f aca="false">IF($BC345&gt;$BB$7,"",VLOOKUP($BC345,$BE$8:$BK$507,6,FALSE()))</f>
        <v/>
      </c>
      <c r="BR345" s="54"/>
    </row>
    <row r="346" customFormat="false" ht="15.75" hidden="false" customHeight="false" outlineLevel="0" collapsed="false">
      <c r="A346" s="5"/>
      <c r="B346" s="124"/>
      <c r="C346" s="56"/>
      <c r="D346" s="57"/>
      <c r="E346" s="83"/>
      <c r="F346" s="59"/>
      <c r="G346" s="60"/>
      <c r="H346" s="61"/>
      <c r="I346" s="62"/>
      <c r="J346" s="59"/>
      <c r="K346" s="60"/>
      <c r="L346" s="61"/>
      <c r="M346" s="62"/>
      <c r="N346" s="59"/>
      <c r="O346" s="83"/>
      <c r="P346" s="64"/>
      <c r="Q346" s="66" t="str">
        <f aca="false">IF(ISBLANK($C346),"",IF(E346=Constants!$B$2, TRUE(), IF(E346=Constants!$B$3, FALSE(), TRUE())))</f>
        <v/>
      </c>
      <c r="R346" s="66" t="str">
        <f aca="false">IF(ISBLANK($C346),"",IF(F346=Constants!$B$16,Constants!$B$9,IF(F346=Constants!$B$17,Constants!$B$10,Constants!$B$8)))</f>
        <v/>
      </c>
      <c r="S346" s="66" t="str">
        <f aca="false">IF(ISBLANK($C346),"",IF(COUNTA(G346:H346)=0,"",IF(AND(OR(ISBLANK(G346),AND(ISNUMBER(G346),G346&gt;=0)),OR(ISBLANK(H346),AND(ISNUMBER(H346),H346&gt;=0))),60*IF(ISBLANK(G346),0,G346)+IF(ISBLANK(H346),0,H346),"")))</f>
        <v/>
      </c>
      <c r="T346" s="66" t="str">
        <f aca="false">IF(ISBLANK($C346),"",IF(I346=Constants!$B$2, TRUE(), IF(I346=Constants!$B$3, FALSE(), TRUE())))</f>
        <v/>
      </c>
      <c r="U346" s="66" t="str">
        <f aca="false">IF(ISBLANK($C346),"",IF(J346=Constants!$B$2, TRUE(), IF(J346=Constants!$B$3, FALSE(), TRUE())))</f>
        <v/>
      </c>
      <c r="V346" s="66" t="str">
        <f aca="false">IF(ISBLANK($C346),"",IF(COUNTA(K346:L346)=0,"",IF(AND(OR(ISBLANK(K346),AND(ISNUMBER(K346),K346&gt;=0)),OR(ISBLANK(L346),AND(ISNUMBER(L346),L346&gt;=0))),60*IF(ISBLANK(K346),0,K346)+IF(ISBLANK(L346),0,L346),"")))</f>
        <v/>
      </c>
      <c r="W346" s="66" t="str">
        <f aca="false">IF(ISBLANK($C346),"",IF(M346=Constants!$B$2, TRUE(), IF(M346=Constants!$B$3, FALSE(), TRUE())))</f>
        <v/>
      </c>
      <c r="X346" s="66" t="str">
        <f aca="false">IF(ISBLANK($C346),"",IF(N346=Constants!$B$2, TRUE(), IF(N346=Constants!$B$3, FALSE(), TRUE())))</f>
        <v/>
      </c>
      <c r="Y346" s="66" t="str">
        <f aca="false">IF(ISBLANK($C346),"",IF(O346=Constants!$B$2, TRUE(), IF(O346=Constants!$B$3, FALSE(), FALSE())))</f>
        <v/>
      </c>
      <c r="Z346" s="66" t="str">
        <f aca="false">IF(ISBLANK($C346),"",AND(S346&lt;&gt;"",Q346))</f>
        <v/>
      </c>
      <c r="AA346" s="66" t="str">
        <f aca="false">IF(ISBLANK($C346),"",AND(V346&lt;&gt;"",Q346))</f>
        <v/>
      </c>
      <c r="AB346" s="66" t="str">
        <f aca="false">IF(ISBLANK($C346),"",IF(Y346,Constants!$B$4,IF(COUNTA(E346:N346)=0,Constants!$B$5,IF(NOT(Q346),Constants!$B$6,IF(AND(NOT(Z346),NOT(AA346)),Constants!$B$6,Constants!$B$7)))))</f>
        <v/>
      </c>
      <c r="AC346" s="66" t="str">
        <f aca="false">IF(ISBLANK($C346),"",IF($AB346&lt;&gt;Constants!$B$7,$AB346,Constants!$B$20))</f>
        <v/>
      </c>
      <c r="AD346" s="66" t="str">
        <f aca="false">IF($AB346=Constants!$B$7,IF(Z346,S346,Constants!$B$13),"")</f>
        <v/>
      </c>
      <c r="AE346" s="66" t="str">
        <f aca="false">IF($AB346=Constants!$B$7,IF(Z346,R346*IF(T346, 1, Constants!$B$11)*IF(U346, 1, Constants!$B$12),Constants!$B$13),"")</f>
        <v/>
      </c>
      <c r="AF346" s="66" t="str">
        <f aca="false">IF($AB346=Constants!$B$7,AD346*AE346,"")</f>
        <v/>
      </c>
      <c r="AG346" s="66" t="str">
        <f aca="false">IF($AB346=Constants!$B$7,IF(AA346,V346,Constants!$B$13),"")</f>
        <v/>
      </c>
      <c r="AH346" s="66" t="str">
        <f aca="false">IF($AB346=Constants!$B$7,IF(AA346,R346*IF(W346, 1, Constants!$B$11)*IF(X346, 1, Constants!$B$12),Constants!$B$13),"")</f>
        <v/>
      </c>
      <c r="AI346" s="66" t="str">
        <f aca="false">IF($AB346=Constants!$B$7,AG346*AH346,"")</f>
        <v/>
      </c>
      <c r="AJ346" s="66" t="str">
        <f aca="false">IF($AB346=Constants!$B$7,IF(AI346&gt;AF346,2,1),"")</f>
        <v/>
      </c>
      <c r="AK346" s="66" t="str">
        <f aca="false">IF($AB346=Constants!$B$7,IF(AJ346=1,2,1),"")</f>
        <v/>
      </c>
      <c r="AL346" s="66" t="str">
        <f aca="false">IF(ISBLANK($C346),"",IF($AB346&lt;&gt;Constants!$B$7,$AB346,IF(AJ346=1,AF346,AI346)))</f>
        <v/>
      </c>
      <c r="AM346" s="66" t="str">
        <f aca="false">IF(ISBLANK($C346),"",IF($AB346=Constants!$B$7,IF(ISNUMBER(AL346),RANK(AL346,$AL$8:$AL$507),Constants!$B$14),$AB346))</f>
        <v/>
      </c>
      <c r="AN346" s="66" t="str">
        <f aca="false">IF(ISBLANK($C346),"",IF($AB346=Constants!$B$7,IF(AK346=1,AF346,AI346),""))</f>
        <v/>
      </c>
      <c r="AO346" s="66" t="str">
        <f aca="false">IF(ISBLANK($C346),"",IF($AB346=Constants!$B$7,RANK(AN346,$AN$8:$AN$507),$AB346))</f>
        <v/>
      </c>
      <c r="AP346" s="66" t="str">
        <f aca="false">IF(ISBLANK($C346),"",IF($AB346=Constants!$B$7,IF(ISNUMBER(AM346),COUNTIFS($AM$8:$AM$507,"&lt;"&amp;$AM346)+COUNTIFS($AM$8:$AM$507,$AM346,$AO$8:$AO$507,"&lt;"&amp;$AO346)+1,Constants!$B$14),$AB346))</f>
        <v/>
      </c>
      <c r="AQ346" s="66" t="str">
        <f aca="false">IF(ISBLANK($C346),"",IF($AB346=Constants!$B$7,IF(ISNUMBER(AM346),AM346-AP346,Constants!$B$14),$AB346))</f>
        <v/>
      </c>
      <c r="AR346" s="68"/>
      <c r="AS346" s="69" t="str">
        <f aca="false">IF(ISBLANK($C346),"",IF($AB346&lt;&gt;Constants!$B$7,"",AJ346))</f>
        <v/>
      </c>
      <c r="AT346" s="84" t="str">
        <f aca="false">IF(ISBLANK($C346),"",IF($AB346&lt;&gt;Constants!$B$7,"",IF(AJ346=1,AD346,AG346)))</f>
        <v/>
      </c>
      <c r="AU346" s="71" t="str">
        <f aca="false">IF(ISBLANK($C346),"",IF($AB346&lt;&gt;Constants!$B$7,"",IF(AJ346=1,AE346,AH346)))</f>
        <v/>
      </c>
      <c r="AV346" s="72" t="str">
        <f aca="false">IF(ISBLANK($C346),"",IF($AB346&lt;&gt;Constants!$B$7,$AB346,AL346))</f>
        <v/>
      </c>
      <c r="AW346" s="73" t="str">
        <f aca="false">IF(ISBLANK($C346),"",IF($AB346&lt;&gt;Constants!$B$7,$AB346,AC346))</f>
        <v/>
      </c>
      <c r="AX346" s="74" t="str">
        <f aca="false">IF(ISBLANK($C346),"",AQ346)</f>
        <v/>
      </c>
      <c r="AY346" s="74" t="str">
        <f aca="false">IF(ISBLANK($C346),"",AP346)</f>
        <v/>
      </c>
      <c r="AZ346" s="75" t="str">
        <f aca="false">IF(ISBLANK($C346),"",IF(AY346=Constants!$B$4,COUNTA($C$8:$C$507)+2,IF(AY346=Constants!$B$5,COUNTA($C$8:$C$507)+1,IF(AY346=Constants!$B$6,COUNTA($C$8:$C$507),AY346))))</f>
        <v/>
      </c>
      <c r="BA346" s="5"/>
      <c r="BB346" s="76" t="n">
        <f aca="false">IF(OR(ISNUMBER(AY346),AY346=Constants!$B$4,AY346=Constants!$B$6,AY346=Constants!$B$5),1,0)</f>
        <v>0</v>
      </c>
      <c r="BC346" s="76" t="n">
        <v>339</v>
      </c>
      <c r="BD346" s="76" t="str">
        <f aca="false">IF(ISBLANK($C346),"",IF(ISNUMBER(AZ346),AZ346+ROW($B346)/1000,""))</f>
        <v/>
      </c>
      <c r="BE346" s="76" t="str">
        <f aca="false">IF(ISNUMBER(BD346),RANK(BD346,$BD$8:$BD$507,1),"")</f>
        <v/>
      </c>
      <c r="BF346" s="76" t="str">
        <f aca="false">IF(ISBLANK($C346),"",$B346)</f>
        <v/>
      </c>
      <c r="BG346" s="76" t="str">
        <f aca="false">IF(ISBLANK($C346),"",$C346)</f>
        <v/>
      </c>
      <c r="BH346" s="76" t="str">
        <f aca="false">IF(ISBLANK($C346),"",$D346)</f>
        <v/>
      </c>
      <c r="BI346" s="77" t="str">
        <f aca="false">AW346</f>
        <v/>
      </c>
      <c r="BJ346" s="78" t="str">
        <f aca="false">AV346</f>
        <v/>
      </c>
      <c r="BK346" s="76" t="str">
        <f aca="false">IF(ISBLANK($C346),"",AY346)</f>
        <v/>
      </c>
      <c r="BL346" s="79" t="str">
        <f aca="false">IF($BC346&gt;$BB$7,"",VLOOKUP($BC346,$BE$8:$BK$507,7,FALSE()))</f>
        <v/>
      </c>
      <c r="BM346" s="80" t="str">
        <f aca="false">IF($BC346&gt;$BB$7,"",VLOOKUP($BC346,$BE$8:$BK$507,2,FALSE()))</f>
        <v/>
      </c>
      <c r="BN346" s="80" t="str">
        <f aca="false">IF($BC346&gt;$BB$7,"",VLOOKUP($BC346,$BE$8:$BK$507,3,FALSE()))</f>
        <v/>
      </c>
      <c r="BO346" s="80" t="str">
        <f aca="false">IF($BC346&gt;$BB$7,"",VLOOKUP($BC346,$BE$8:$BK$507,4,FALSE()))</f>
        <v/>
      </c>
      <c r="BP346" s="80" t="str">
        <f aca="false">IF($BC346&gt;$BB$7,"",VLOOKUP($BC346,$BE$8:$BK$507,5,FALSE()))</f>
        <v/>
      </c>
      <c r="BQ346" s="81" t="str">
        <f aca="false">IF($BC346&gt;$BB$7,"",VLOOKUP($BC346,$BE$8:$BK$507,6,FALSE()))</f>
        <v/>
      </c>
      <c r="BR346" s="54"/>
    </row>
    <row r="347" customFormat="false" ht="15.75" hidden="false" customHeight="false" outlineLevel="0" collapsed="false">
      <c r="A347" s="5"/>
      <c r="B347" s="120"/>
      <c r="C347" s="121"/>
      <c r="D347" s="112"/>
      <c r="E347" s="123"/>
      <c r="F347" s="91"/>
      <c r="G347" s="92"/>
      <c r="H347" s="93"/>
      <c r="I347" s="94"/>
      <c r="J347" s="91"/>
      <c r="K347" s="92"/>
      <c r="L347" s="93"/>
      <c r="M347" s="94"/>
      <c r="N347" s="91"/>
      <c r="O347" s="123"/>
      <c r="P347" s="96"/>
      <c r="Q347" s="97" t="str">
        <f aca="false">IF(ISBLANK($C347),"",IF(E347=Constants!$B$2, TRUE(), IF(E347=Constants!$B$3, FALSE(), TRUE())))</f>
        <v/>
      </c>
      <c r="R347" s="97" t="str">
        <f aca="false">IF(ISBLANK($C347),"",IF(F347=Constants!$B$16,Constants!$B$9,IF(F347=Constants!$B$17,Constants!$B$10,Constants!$B$8)))</f>
        <v/>
      </c>
      <c r="S347" s="97" t="str">
        <f aca="false">IF(ISBLANK($C347),"",IF(COUNTA(G347:H347)=0,"",IF(AND(OR(ISBLANK(G347),AND(ISNUMBER(G347),G347&gt;=0)),OR(ISBLANK(H347),AND(ISNUMBER(H347),H347&gt;=0))),60*IF(ISBLANK(G347),0,G347)+IF(ISBLANK(H347),0,H347),"")))</f>
        <v/>
      </c>
      <c r="T347" s="97" t="str">
        <f aca="false">IF(ISBLANK($C347),"",IF(I347=Constants!$B$2, TRUE(), IF(I347=Constants!$B$3, FALSE(), TRUE())))</f>
        <v/>
      </c>
      <c r="U347" s="97" t="str">
        <f aca="false">IF(ISBLANK($C347),"",IF(J347=Constants!$B$2, TRUE(), IF(J347=Constants!$B$3, FALSE(), TRUE())))</f>
        <v/>
      </c>
      <c r="V347" s="97" t="str">
        <f aca="false">IF(ISBLANK($C347),"",IF(COUNTA(K347:L347)=0,"",IF(AND(OR(ISBLANK(K347),AND(ISNUMBER(K347),K347&gt;=0)),OR(ISBLANK(L347),AND(ISNUMBER(L347),L347&gt;=0))),60*IF(ISBLANK(K347),0,K347)+IF(ISBLANK(L347),0,L347),"")))</f>
        <v/>
      </c>
      <c r="W347" s="97" t="str">
        <f aca="false">IF(ISBLANK($C347),"",IF(M347=Constants!$B$2, TRUE(), IF(M347=Constants!$B$3, FALSE(), TRUE())))</f>
        <v/>
      </c>
      <c r="X347" s="97" t="str">
        <f aca="false">IF(ISBLANK($C347),"",IF(N347=Constants!$B$2, TRUE(), IF(N347=Constants!$B$3, FALSE(), TRUE())))</f>
        <v/>
      </c>
      <c r="Y347" s="97" t="str">
        <f aca="false">IF(ISBLANK($C347),"",IF(O347=Constants!$B$2, TRUE(), IF(O347=Constants!$B$3, FALSE(), FALSE())))</f>
        <v/>
      </c>
      <c r="Z347" s="97" t="str">
        <f aca="false">IF(ISBLANK($C347),"",AND(S347&lt;&gt;"",Q347))</f>
        <v/>
      </c>
      <c r="AA347" s="97" t="str">
        <f aca="false">IF(ISBLANK($C347),"",AND(V347&lt;&gt;"",Q347))</f>
        <v/>
      </c>
      <c r="AB347" s="97" t="str">
        <f aca="false">IF(ISBLANK($C347),"",IF(Y347,Constants!$B$4,IF(COUNTA(E347:N347)=0,Constants!$B$5,IF(NOT(Q347),Constants!$B$6,IF(AND(NOT(Z347),NOT(AA347)),Constants!$B$6,Constants!$B$7)))))</f>
        <v/>
      </c>
      <c r="AC347" s="97" t="str">
        <f aca="false">IF(ISBLANK($C347),"",IF($AB347&lt;&gt;Constants!$B$7,$AB347,Constants!$B$20))</f>
        <v/>
      </c>
      <c r="AD347" s="97" t="str">
        <f aca="false">IF($AB347=Constants!$B$7,IF(Z347,S347,Constants!$B$13),"")</f>
        <v/>
      </c>
      <c r="AE347" s="97" t="str">
        <f aca="false">IF($AB347=Constants!$B$7,IF(Z347,R347*IF(T347, 1, Constants!$B$11)*IF(U347, 1, Constants!$B$12),Constants!$B$13),"")</f>
        <v/>
      </c>
      <c r="AF347" s="97" t="str">
        <f aca="false">IF($AB347=Constants!$B$7,AD347*AE347,"")</f>
        <v/>
      </c>
      <c r="AG347" s="97" t="str">
        <f aca="false">IF($AB347=Constants!$B$7,IF(AA347,V347,Constants!$B$13),"")</f>
        <v/>
      </c>
      <c r="AH347" s="97" t="str">
        <f aca="false">IF($AB347=Constants!$B$7,IF(AA347,R347*IF(W347, 1, Constants!$B$11)*IF(X347, 1, Constants!$B$12),Constants!$B$13),"")</f>
        <v/>
      </c>
      <c r="AI347" s="97" t="str">
        <f aca="false">IF($AB347=Constants!$B$7,AG347*AH347,"")</f>
        <v/>
      </c>
      <c r="AJ347" s="97" t="str">
        <f aca="false">IF($AB347=Constants!$B$7,IF(AI347&gt;AF347,2,1),"")</f>
        <v/>
      </c>
      <c r="AK347" s="97" t="str">
        <f aca="false">IF($AB347=Constants!$B$7,IF(AJ347=1,2,1),"")</f>
        <v/>
      </c>
      <c r="AL347" s="97" t="str">
        <f aca="false">IF(ISBLANK($C347),"",IF($AB347&lt;&gt;Constants!$B$7,$AB347,IF(AJ347=1,AF347,AI347)))</f>
        <v/>
      </c>
      <c r="AM347" s="97" t="str">
        <f aca="false">IF(ISBLANK($C347),"",IF($AB347=Constants!$B$7,IF(ISNUMBER(AL347),RANK(AL347,$AL$8:$AL$507),Constants!$B$14),$AB347))</f>
        <v/>
      </c>
      <c r="AN347" s="97" t="str">
        <f aca="false">IF(ISBLANK($C347),"",IF($AB347=Constants!$B$7,IF(AK347=1,AF347,AI347),""))</f>
        <v/>
      </c>
      <c r="AO347" s="97" t="str">
        <f aca="false">IF(ISBLANK($C347),"",IF($AB347=Constants!$B$7,RANK(AN347,$AN$8:$AN$507),$AB347))</f>
        <v/>
      </c>
      <c r="AP347" s="97" t="str">
        <f aca="false">IF(ISBLANK($C347),"",IF($AB347=Constants!$B$7,IF(ISNUMBER(AM347),COUNTIFS($AM$8:$AM$507,"&lt;"&amp;$AM347)+COUNTIFS($AM$8:$AM$507,$AM347,$AO$8:$AO$507,"&lt;"&amp;$AO347)+1,Constants!$B$14),$AB347))</f>
        <v/>
      </c>
      <c r="AQ347" s="97" t="str">
        <f aca="false">IF(ISBLANK($C347),"",IF($AB347=Constants!$B$7,IF(ISNUMBER(AM347),AM347-AP347,Constants!$B$14),$AB347))</f>
        <v/>
      </c>
      <c r="AR347" s="98"/>
      <c r="AS347" s="99" t="str">
        <f aca="false">IF(ISBLANK($C347),"",IF($AB347&lt;&gt;Constants!$B$7,"",AJ347))</f>
        <v/>
      </c>
      <c r="AT347" s="100" t="str">
        <f aca="false">IF(ISBLANK($C347),"",IF($AB347&lt;&gt;Constants!$B$7,"",IF(AJ347=1,AD347,AG347)))</f>
        <v/>
      </c>
      <c r="AU347" s="101" t="str">
        <f aca="false">IF(ISBLANK($C347),"",IF($AB347&lt;&gt;Constants!$B$7,"",IF(AJ347=1,AE347,AH347)))</f>
        <v/>
      </c>
      <c r="AV347" s="102" t="str">
        <f aca="false">IF(ISBLANK($C347),"",IF($AB347&lt;&gt;Constants!$B$7,$AB347,AL347))</f>
        <v/>
      </c>
      <c r="AW347" s="103" t="str">
        <f aca="false">IF(ISBLANK($C347),"",IF($AB347&lt;&gt;Constants!$B$7,$AB347,AC347))</f>
        <v/>
      </c>
      <c r="AX347" s="104" t="str">
        <f aca="false">IF(ISBLANK($C347),"",AQ347)</f>
        <v/>
      </c>
      <c r="AY347" s="104" t="str">
        <f aca="false">IF(ISBLANK($C347),"",AP347)</f>
        <v/>
      </c>
      <c r="AZ347" s="105" t="str">
        <f aca="false">IF(ISBLANK($C347),"",IF(AY347=Constants!$B$4,COUNTA($C$8:$C$507)+2,IF(AY347=Constants!$B$5,COUNTA($C$8:$C$507)+1,IF(AY347=Constants!$B$6,COUNTA($C$8:$C$507),AY347))))</f>
        <v/>
      </c>
      <c r="BA347" s="5"/>
      <c r="BB347" s="106" t="n">
        <f aca="false">IF(OR(ISNUMBER(AY347),AY347=Constants!$B$4,AY347=Constants!$B$6,AY347=Constants!$B$5),1,0)</f>
        <v>0</v>
      </c>
      <c r="BC347" s="106" t="n">
        <v>340</v>
      </c>
      <c r="BD347" s="106" t="str">
        <f aca="false">IF(ISBLANK($C347),"",IF(ISNUMBER(AZ347),AZ347+ROW($B347)/1000,""))</f>
        <v/>
      </c>
      <c r="BE347" s="106" t="str">
        <f aca="false">IF(ISNUMBER(BD347),RANK(BD347,$BD$8:$BD$507,1),"")</f>
        <v/>
      </c>
      <c r="BF347" s="106" t="str">
        <f aca="false">IF(ISBLANK($C347),"",$B347)</f>
        <v/>
      </c>
      <c r="BG347" s="106" t="str">
        <f aca="false">IF(ISBLANK($C347),"",$C347)</f>
        <v/>
      </c>
      <c r="BH347" s="106" t="str">
        <f aca="false">IF(ISBLANK($C347),"",$D347)</f>
        <v/>
      </c>
      <c r="BI347" s="107" t="str">
        <f aca="false">AW347</f>
        <v/>
      </c>
      <c r="BJ347" s="108" t="str">
        <f aca="false">AV347</f>
        <v/>
      </c>
      <c r="BK347" s="106" t="str">
        <f aca="false">IF(ISBLANK($C347),"",AY347)</f>
        <v/>
      </c>
      <c r="BL347" s="109" t="str">
        <f aca="false">IF($BC347&gt;$BB$7,"",VLOOKUP($BC347,$BE$8:$BK$507,7,FALSE()))</f>
        <v/>
      </c>
      <c r="BM347" s="110" t="str">
        <f aca="false">IF($BC347&gt;$BB$7,"",VLOOKUP($BC347,$BE$8:$BK$507,2,FALSE()))</f>
        <v/>
      </c>
      <c r="BN347" s="110" t="str">
        <f aca="false">IF($BC347&gt;$BB$7,"",VLOOKUP($BC347,$BE$8:$BK$507,3,FALSE()))</f>
        <v/>
      </c>
      <c r="BO347" s="110" t="str">
        <f aca="false">IF($BC347&gt;$BB$7,"",VLOOKUP($BC347,$BE$8:$BK$507,4,FALSE()))</f>
        <v/>
      </c>
      <c r="BP347" s="110" t="str">
        <f aca="false">IF($BC347&gt;$BB$7,"",VLOOKUP($BC347,$BE$8:$BK$507,5,FALSE()))</f>
        <v/>
      </c>
      <c r="BQ347" s="111" t="str">
        <f aca="false">IF($BC347&gt;$BB$7,"",VLOOKUP($BC347,$BE$8:$BK$507,6,FALSE()))</f>
        <v/>
      </c>
      <c r="BR347" s="54"/>
    </row>
    <row r="348" customFormat="false" ht="15.75" hidden="false" customHeight="false" outlineLevel="0" collapsed="false">
      <c r="A348" s="5"/>
      <c r="B348" s="120"/>
      <c r="C348" s="121"/>
      <c r="D348" s="112"/>
      <c r="E348" s="123"/>
      <c r="F348" s="91"/>
      <c r="G348" s="92"/>
      <c r="H348" s="93"/>
      <c r="I348" s="94"/>
      <c r="J348" s="91"/>
      <c r="K348" s="92"/>
      <c r="L348" s="93"/>
      <c r="M348" s="94"/>
      <c r="N348" s="91"/>
      <c r="O348" s="123"/>
      <c r="P348" s="96"/>
      <c r="Q348" s="97" t="str">
        <f aca="false">IF(ISBLANK($C348),"",IF(E348=Constants!$B$2, TRUE(), IF(E348=Constants!$B$3, FALSE(), TRUE())))</f>
        <v/>
      </c>
      <c r="R348" s="97" t="str">
        <f aca="false">IF(ISBLANK($C348),"",IF(F348=Constants!$B$16,Constants!$B$9,IF(F348=Constants!$B$17,Constants!$B$10,Constants!$B$8)))</f>
        <v/>
      </c>
      <c r="S348" s="97" t="str">
        <f aca="false">IF(ISBLANK($C348),"",IF(COUNTA(G348:H348)=0,"",IF(AND(OR(ISBLANK(G348),AND(ISNUMBER(G348),G348&gt;=0)),OR(ISBLANK(H348),AND(ISNUMBER(H348),H348&gt;=0))),60*IF(ISBLANK(G348),0,G348)+IF(ISBLANK(H348),0,H348),"")))</f>
        <v/>
      </c>
      <c r="T348" s="97" t="str">
        <f aca="false">IF(ISBLANK($C348),"",IF(I348=Constants!$B$2, TRUE(), IF(I348=Constants!$B$3, FALSE(), TRUE())))</f>
        <v/>
      </c>
      <c r="U348" s="97" t="str">
        <f aca="false">IF(ISBLANK($C348),"",IF(J348=Constants!$B$2, TRUE(), IF(J348=Constants!$B$3, FALSE(), TRUE())))</f>
        <v/>
      </c>
      <c r="V348" s="97" t="str">
        <f aca="false">IF(ISBLANK($C348),"",IF(COUNTA(K348:L348)=0,"",IF(AND(OR(ISBLANK(K348),AND(ISNUMBER(K348),K348&gt;=0)),OR(ISBLANK(L348),AND(ISNUMBER(L348),L348&gt;=0))),60*IF(ISBLANK(K348),0,K348)+IF(ISBLANK(L348),0,L348),"")))</f>
        <v/>
      </c>
      <c r="W348" s="97" t="str">
        <f aca="false">IF(ISBLANK($C348),"",IF(M348=Constants!$B$2, TRUE(), IF(M348=Constants!$B$3, FALSE(), TRUE())))</f>
        <v/>
      </c>
      <c r="X348" s="97" t="str">
        <f aca="false">IF(ISBLANK($C348),"",IF(N348=Constants!$B$2, TRUE(), IF(N348=Constants!$B$3, FALSE(), TRUE())))</f>
        <v/>
      </c>
      <c r="Y348" s="97" t="str">
        <f aca="false">IF(ISBLANK($C348),"",IF(O348=Constants!$B$2, TRUE(), IF(O348=Constants!$B$3, FALSE(), FALSE())))</f>
        <v/>
      </c>
      <c r="Z348" s="97" t="str">
        <f aca="false">IF(ISBLANK($C348),"",AND(S348&lt;&gt;"",Q348))</f>
        <v/>
      </c>
      <c r="AA348" s="97" t="str">
        <f aca="false">IF(ISBLANK($C348),"",AND(V348&lt;&gt;"",Q348))</f>
        <v/>
      </c>
      <c r="AB348" s="97" t="str">
        <f aca="false">IF(ISBLANK($C348),"",IF(Y348,Constants!$B$4,IF(COUNTA(E348:N348)=0,Constants!$B$5,IF(NOT(Q348),Constants!$B$6,IF(AND(NOT(Z348),NOT(AA348)),Constants!$B$6,Constants!$B$7)))))</f>
        <v/>
      </c>
      <c r="AC348" s="97" t="str">
        <f aca="false">IF(ISBLANK($C348),"",IF($AB348&lt;&gt;Constants!$B$7,$AB348,Constants!$B$20))</f>
        <v/>
      </c>
      <c r="AD348" s="97" t="str">
        <f aca="false">IF($AB348=Constants!$B$7,IF(Z348,S348,Constants!$B$13),"")</f>
        <v/>
      </c>
      <c r="AE348" s="97" t="str">
        <f aca="false">IF($AB348=Constants!$B$7,IF(Z348,R348*IF(T348, 1, Constants!$B$11)*IF(U348, 1, Constants!$B$12),Constants!$B$13),"")</f>
        <v/>
      </c>
      <c r="AF348" s="97" t="str">
        <f aca="false">IF($AB348=Constants!$B$7,AD348*AE348,"")</f>
        <v/>
      </c>
      <c r="AG348" s="97" t="str">
        <f aca="false">IF($AB348=Constants!$B$7,IF(AA348,V348,Constants!$B$13),"")</f>
        <v/>
      </c>
      <c r="AH348" s="97" t="str">
        <f aca="false">IF($AB348=Constants!$B$7,IF(AA348,R348*IF(W348, 1, Constants!$B$11)*IF(X348, 1, Constants!$B$12),Constants!$B$13),"")</f>
        <v/>
      </c>
      <c r="AI348" s="97" t="str">
        <f aca="false">IF($AB348=Constants!$B$7,AG348*AH348,"")</f>
        <v/>
      </c>
      <c r="AJ348" s="97" t="str">
        <f aca="false">IF($AB348=Constants!$B$7,IF(AI348&gt;AF348,2,1),"")</f>
        <v/>
      </c>
      <c r="AK348" s="97" t="str">
        <f aca="false">IF($AB348=Constants!$B$7,IF(AJ348=1,2,1),"")</f>
        <v/>
      </c>
      <c r="AL348" s="97" t="str">
        <f aca="false">IF(ISBLANK($C348),"",IF($AB348&lt;&gt;Constants!$B$7,$AB348,IF(AJ348=1,AF348,AI348)))</f>
        <v/>
      </c>
      <c r="AM348" s="97" t="str">
        <f aca="false">IF(ISBLANK($C348),"",IF($AB348=Constants!$B$7,IF(ISNUMBER(AL348),RANK(AL348,$AL$8:$AL$507),Constants!$B$14),$AB348))</f>
        <v/>
      </c>
      <c r="AN348" s="97" t="str">
        <f aca="false">IF(ISBLANK($C348),"",IF($AB348=Constants!$B$7,IF(AK348=1,AF348,AI348),""))</f>
        <v/>
      </c>
      <c r="AO348" s="97" t="str">
        <f aca="false">IF(ISBLANK($C348),"",IF($AB348=Constants!$B$7,RANK(AN348,$AN$8:$AN$507),$AB348))</f>
        <v/>
      </c>
      <c r="AP348" s="97" t="str">
        <f aca="false">IF(ISBLANK($C348),"",IF($AB348=Constants!$B$7,IF(ISNUMBER(AM348),COUNTIFS($AM$8:$AM$507,"&lt;"&amp;$AM348)+COUNTIFS($AM$8:$AM$507,$AM348,$AO$8:$AO$507,"&lt;"&amp;$AO348)+1,Constants!$B$14),$AB348))</f>
        <v/>
      </c>
      <c r="AQ348" s="97" t="str">
        <f aca="false">IF(ISBLANK($C348),"",IF($AB348=Constants!$B$7,IF(ISNUMBER(AM348),AM348-AP348,Constants!$B$14),$AB348))</f>
        <v/>
      </c>
      <c r="AR348" s="98"/>
      <c r="AS348" s="99" t="str">
        <f aca="false">IF(ISBLANK($C348),"",IF($AB348&lt;&gt;Constants!$B$7,"",AJ348))</f>
        <v/>
      </c>
      <c r="AT348" s="100" t="str">
        <f aca="false">IF(ISBLANK($C348),"",IF($AB348&lt;&gt;Constants!$B$7,"",IF(AJ348=1,AD348,AG348)))</f>
        <v/>
      </c>
      <c r="AU348" s="101" t="str">
        <f aca="false">IF(ISBLANK($C348),"",IF($AB348&lt;&gt;Constants!$B$7,"",IF(AJ348=1,AE348,AH348)))</f>
        <v/>
      </c>
      <c r="AV348" s="102" t="str">
        <f aca="false">IF(ISBLANK($C348),"",IF($AB348&lt;&gt;Constants!$B$7,$AB348,AL348))</f>
        <v/>
      </c>
      <c r="AW348" s="103" t="str">
        <f aca="false">IF(ISBLANK($C348),"",IF($AB348&lt;&gt;Constants!$B$7,$AB348,AC348))</f>
        <v/>
      </c>
      <c r="AX348" s="104" t="str">
        <f aca="false">IF(ISBLANK($C348),"",AQ348)</f>
        <v/>
      </c>
      <c r="AY348" s="104" t="str">
        <f aca="false">IF(ISBLANK($C348),"",AP348)</f>
        <v/>
      </c>
      <c r="AZ348" s="105" t="str">
        <f aca="false">IF(ISBLANK($C348),"",IF(AY348=Constants!$B$4,COUNTA($C$8:$C$507)+2,IF(AY348=Constants!$B$5,COUNTA($C$8:$C$507)+1,IF(AY348=Constants!$B$6,COUNTA($C$8:$C$507),AY348))))</f>
        <v/>
      </c>
      <c r="BA348" s="5"/>
      <c r="BB348" s="106" t="n">
        <f aca="false">IF(OR(ISNUMBER(AY348),AY348=Constants!$B$4,AY348=Constants!$B$6,AY348=Constants!$B$5),1,0)</f>
        <v>0</v>
      </c>
      <c r="BC348" s="106" t="n">
        <v>341</v>
      </c>
      <c r="BD348" s="106" t="str">
        <f aca="false">IF(ISBLANK($C348),"",IF(ISNUMBER(AZ348),AZ348+ROW($B348)/1000,""))</f>
        <v/>
      </c>
      <c r="BE348" s="106" t="str">
        <f aca="false">IF(ISNUMBER(BD348),RANK(BD348,$BD$8:$BD$507,1),"")</f>
        <v/>
      </c>
      <c r="BF348" s="106" t="str">
        <f aca="false">IF(ISBLANK($C348),"",$B348)</f>
        <v/>
      </c>
      <c r="BG348" s="106" t="str">
        <f aca="false">IF(ISBLANK($C348),"",$C348)</f>
        <v/>
      </c>
      <c r="BH348" s="106" t="str">
        <f aca="false">IF(ISBLANK($C348),"",$D348)</f>
        <v/>
      </c>
      <c r="BI348" s="107" t="str">
        <f aca="false">AW348</f>
        <v/>
      </c>
      <c r="BJ348" s="108" t="str">
        <f aca="false">AV348</f>
        <v/>
      </c>
      <c r="BK348" s="106" t="str">
        <f aca="false">IF(ISBLANK($C348),"",AY348)</f>
        <v/>
      </c>
      <c r="BL348" s="109" t="str">
        <f aca="false">IF($BC348&gt;$BB$7,"",VLOOKUP($BC348,$BE$8:$BK$507,7,FALSE()))</f>
        <v/>
      </c>
      <c r="BM348" s="110" t="str">
        <f aca="false">IF($BC348&gt;$BB$7,"",VLOOKUP($BC348,$BE$8:$BK$507,2,FALSE()))</f>
        <v/>
      </c>
      <c r="BN348" s="110" t="str">
        <f aca="false">IF($BC348&gt;$BB$7,"",VLOOKUP($BC348,$BE$8:$BK$507,3,FALSE()))</f>
        <v/>
      </c>
      <c r="BO348" s="110" t="str">
        <f aca="false">IF($BC348&gt;$BB$7,"",VLOOKUP($BC348,$BE$8:$BK$507,4,FALSE()))</f>
        <v/>
      </c>
      <c r="BP348" s="110" t="str">
        <f aca="false">IF($BC348&gt;$BB$7,"",VLOOKUP($BC348,$BE$8:$BK$507,5,FALSE()))</f>
        <v/>
      </c>
      <c r="BQ348" s="111" t="str">
        <f aca="false">IF($BC348&gt;$BB$7,"",VLOOKUP($BC348,$BE$8:$BK$507,6,FALSE()))</f>
        <v/>
      </c>
      <c r="BR348" s="54"/>
    </row>
    <row r="349" customFormat="false" ht="15.75" hidden="false" customHeight="false" outlineLevel="0" collapsed="false">
      <c r="A349" s="5"/>
      <c r="B349" s="120"/>
      <c r="C349" s="121"/>
      <c r="D349" s="112"/>
      <c r="E349" s="123"/>
      <c r="F349" s="91"/>
      <c r="G349" s="92"/>
      <c r="H349" s="93"/>
      <c r="I349" s="94"/>
      <c r="J349" s="91"/>
      <c r="K349" s="92"/>
      <c r="L349" s="93"/>
      <c r="M349" s="94"/>
      <c r="N349" s="91"/>
      <c r="O349" s="123"/>
      <c r="P349" s="96"/>
      <c r="Q349" s="97" t="str">
        <f aca="false">IF(ISBLANK($C349),"",IF(E349=Constants!$B$2, TRUE(), IF(E349=Constants!$B$3, FALSE(), TRUE())))</f>
        <v/>
      </c>
      <c r="R349" s="97" t="str">
        <f aca="false">IF(ISBLANK($C349),"",IF(F349=Constants!$B$16,Constants!$B$9,IF(F349=Constants!$B$17,Constants!$B$10,Constants!$B$8)))</f>
        <v/>
      </c>
      <c r="S349" s="97" t="str">
        <f aca="false">IF(ISBLANK($C349),"",IF(COUNTA(G349:H349)=0,"",IF(AND(OR(ISBLANK(G349),AND(ISNUMBER(G349),G349&gt;=0)),OR(ISBLANK(H349),AND(ISNUMBER(H349),H349&gt;=0))),60*IF(ISBLANK(G349),0,G349)+IF(ISBLANK(H349),0,H349),"")))</f>
        <v/>
      </c>
      <c r="T349" s="97" t="str">
        <f aca="false">IF(ISBLANK($C349),"",IF(I349=Constants!$B$2, TRUE(), IF(I349=Constants!$B$3, FALSE(), TRUE())))</f>
        <v/>
      </c>
      <c r="U349" s="97" t="str">
        <f aca="false">IF(ISBLANK($C349),"",IF(J349=Constants!$B$2, TRUE(), IF(J349=Constants!$B$3, FALSE(), TRUE())))</f>
        <v/>
      </c>
      <c r="V349" s="97" t="str">
        <f aca="false">IF(ISBLANK($C349),"",IF(COUNTA(K349:L349)=0,"",IF(AND(OR(ISBLANK(K349),AND(ISNUMBER(K349),K349&gt;=0)),OR(ISBLANK(L349),AND(ISNUMBER(L349),L349&gt;=0))),60*IF(ISBLANK(K349),0,K349)+IF(ISBLANK(L349),0,L349),"")))</f>
        <v/>
      </c>
      <c r="W349" s="97" t="str">
        <f aca="false">IF(ISBLANK($C349),"",IF(M349=Constants!$B$2, TRUE(), IF(M349=Constants!$B$3, FALSE(), TRUE())))</f>
        <v/>
      </c>
      <c r="X349" s="97" t="str">
        <f aca="false">IF(ISBLANK($C349),"",IF(N349=Constants!$B$2, TRUE(), IF(N349=Constants!$B$3, FALSE(), TRUE())))</f>
        <v/>
      </c>
      <c r="Y349" s="97" t="str">
        <f aca="false">IF(ISBLANK($C349),"",IF(O349=Constants!$B$2, TRUE(), IF(O349=Constants!$B$3, FALSE(), FALSE())))</f>
        <v/>
      </c>
      <c r="Z349" s="97" t="str">
        <f aca="false">IF(ISBLANK($C349),"",AND(S349&lt;&gt;"",Q349))</f>
        <v/>
      </c>
      <c r="AA349" s="97" t="str">
        <f aca="false">IF(ISBLANK($C349),"",AND(V349&lt;&gt;"",Q349))</f>
        <v/>
      </c>
      <c r="AB349" s="97" t="str">
        <f aca="false">IF(ISBLANK($C349),"",IF(Y349,Constants!$B$4,IF(COUNTA(E349:N349)=0,Constants!$B$5,IF(NOT(Q349),Constants!$B$6,IF(AND(NOT(Z349),NOT(AA349)),Constants!$B$6,Constants!$B$7)))))</f>
        <v/>
      </c>
      <c r="AC349" s="97" t="str">
        <f aca="false">IF(ISBLANK($C349),"",IF($AB349&lt;&gt;Constants!$B$7,$AB349,Constants!$B$20))</f>
        <v/>
      </c>
      <c r="AD349" s="97" t="str">
        <f aca="false">IF($AB349=Constants!$B$7,IF(Z349,S349,Constants!$B$13),"")</f>
        <v/>
      </c>
      <c r="AE349" s="97" t="str">
        <f aca="false">IF($AB349=Constants!$B$7,IF(Z349,R349*IF(T349, 1, Constants!$B$11)*IF(U349, 1, Constants!$B$12),Constants!$B$13),"")</f>
        <v/>
      </c>
      <c r="AF349" s="97" t="str">
        <f aca="false">IF($AB349=Constants!$B$7,AD349*AE349,"")</f>
        <v/>
      </c>
      <c r="AG349" s="97" t="str">
        <f aca="false">IF($AB349=Constants!$B$7,IF(AA349,V349,Constants!$B$13),"")</f>
        <v/>
      </c>
      <c r="AH349" s="97" t="str">
        <f aca="false">IF($AB349=Constants!$B$7,IF(AA349,R349*IF(W349, 1, Constants!$B$11)*IF(X349, 1, Constants!$B$12),Constants!$B$13),"")</f>
        <v/>
      </c>
      <c r="AI349" s="97" t="str">
        <f aca="false">IF($AB349=Constants!$B$7,AG349*AH349,"")</f>
        <v/>
      </c>
      <c r="AJ349" s="97" t="str">
        <f aca="false">IF($AB349=Constants!$B$7,IF(AI349&gt;AF349,2,1),"")</f>
        <v/>
      </c>
      <c r="AK349" s="97" t="str">
        <f aca="false">IF($AB349=Constants!$B$7,IF(AJ349=1,2,1),"")</f>
        <v/>
      </c>
      <c r="AL349" s="97" t="str">
        <f aca="false">IF(ISBLANK($C349),"",IF($AB349&lt;&gt;Constants!$B$7,$AB349,IF(AJ349=1,AF349,AI349)))</f>
        <v/>
      </c>
      <c r="AM349" s="97" t="str">
        <f aca="false">IF(ISBLANK($C349),"",IF($AB349=Constants!$B$7,IF(ISNUMBER(AL349),RANK(AL349,$AL$8:$AL$507),Constants!$B$14),$AB349))</f>
        <v/>
      </c>
      <c r="AN349" s="97" t="str">
        <f aca="false">IF(ISBLANK($C349),"",IF($AB349=Constants!$B$7,IF(AK349=1,AF349,AI349),""))</f>
        <v/>
      </c>
      <c r="AO349" s="97" t="str">
        <f aca="false">IF(ISBLANK($C349),"",IF($AB349=Constants!$B$7,RANK(AN349,$AN$8:$AN$507),$AB349))</f>
        <v/>
      </c>
      <c r="AP349" s="97" t="str">
        <f aca="false">IF(ISBLANK($C349),"",IF($AB349=Constants!$B$7,IF(ISNUMBER(AM349),COUNTIFS($AM$8:$AM$507,"&lt;"&amp;$AM349)+COUNTIFS($AM$8:$AM$507,$AM349,$AO$8:$AO$507,"&lt;"&amp;$AO349)+1,Constants!$B$14),$AB349))</f>
        <v/>
      </c>
      <c r="AQ349" s="97" t="str">
        <f aca="false">IF(ISBLANK($C349),"",IF($AB349=Constants!$B$7,IF(ISNUMBER(AM349),AM349-AP349,Constants!$B$14),$AB349))</f>
        <v/>
      </c>
      <c r="AR349" s="98"/>
      <c r="AS349" s="99" t="str">
        <f aca="false">IF(ISBLANK($C349),"",IF($AB349&lt;&gt;Constants!$B$7,"",AJ349))</f>
        <v/>
      </c>
      <c r="AT349" s="100" t="str">
        <f aca="false">IF(ISBLANK($C349),"",IF($AB349&lt;&gt;Constants!$B$7,"",IF(AJ349=1,AD349,AG349)))</f>
        <v/>
      </c>
      <c r="AU349" s="101" t="str">
        <f aca="false">IF(ISBLANK($C349),"",IF($AB349&lt;&gt;Constants!$B$7,"",IF(AJ349=1,AE349,AH349)))</f>
        <v/>
      </c>
      <c r="AV349" s="102" t="str">
        <f aca="false">IF(ISBLANK($C349),"",IF($AB349&lt;&gt;Constants!$B$7,$AB349,AL349))</f>
        <v/>
      </c>
      <c r="AW349" s="103" t="str">
        <f aca="false">IF(ISBLANK($C349),"",IF($AB349&lt;&gt;Constants!$B$7,$AB349,AC349))</f>
        <v/>
      </c>
      <c r="AX349" s="104" t="str">
        <f aca="false">IF(ISBLANK($C349),"",AQ349)</f>
        <v/>
      </c>
      <c r="AY349" s="104" t="str">
        <f aca="false">IF(ISBLANK($C349),"",AP349)</f>
        <v/>
      </c>
      <c r="AZ349" s="105" t="str">
        <f aca="false">IF(ISBLANK($C349),"",IF(AY349=Constants!$B$4,COUNTA($C$8:$C$507)+2,IF(AY349=Constants!$B$5,COUNTA($C$8:$C$507)+1,IF(AY349=Constants!$B$6,COUNTA($C$8:$C$507),AY349))))</f>
        <v/>
      </c>
      <c r="BA349" s="5"/>
      <c r="BB349" s="106" t="n">
        <f aca="false">IF(OR(ISNUMBER(AY349),AY349=Constants!$B$4,AY349=Constants!$B$6,AY349=Constants!$B$5),1,0)</f>
        <v>0</v>
      </c>
      <c r="BC349" s="106" t="n">
        <v>342</v>
      </c>
      <c r="BD349" s="106" t="str">
        <f aca="false">IF(ISBLANK($C349),"",IF(ISNUMBER(AZ349),AZ349+ROW($B349)/1000,""))</f>
        <v/>
      </c>
      <c r="BE349" s="106" t="str">
        <f aca="false">IF(ISNUMBER(BD349),RANK(BD349,$BD$8:$BD$507,1),"")</f>
        <v/>
      </c>
      <c r="BF349" s="106" t="str">
        <f aca="false">IF(ISBLANK($C349),"",$B349)</f>
        <v/>
      </c>
      <c r="BG349" s="106" t="str">
        <f aca="false">IF(ISBLANK($C349),"",$C349)</f>
        <v/>
      </c>
      <c r="BH349" s="106" t="str">
        <f aca="false">IF(ISBLANK($C349),"",$D349)</f>
        <v/>
      </c>
      <c r="BI349" s="107" t="str">
        <f aca="false">AW349</f>
        <v/>
      </c>
      <c r="BJ349" s="108" t="str">
        <f aca="false">AV349</f>
        <v/>
      </c>
      <c r="BK349" s="106" t="str">
        <f aca="false">IF(ISBLANK($C349),"",AY349)</f>
        <v/>
      </c>
      <c r="BL349" s="109" t="str">
        <f aca="false">IF($BC349&gt;$BB$7,"",VLOOKUP($BC349,$BE$8:$BK$507,7,FALSE()))</f>
        <v/>
      </c>
      <c r="BM349" s="110" t="str">
        <f aca="false">IF($BC349&gt;$BB$7,"",VLOOKUP($BC349,$BE$8:$BK$507,2,FALSE()))</f>
        <v/>
      </c>
      <c r="BN349" s="110" t="str">
        <f aca="false">IF($BC349&gt;$BB$7,"",VLOOKUP($BC349,$BE$8:$BK$507,3,FALSE()))</f>
        <v/>
      </c>
      <c r="BO349" s="110" t="str">
        <f aca="false">IF($BC349&gt;$BB$7,"",VLOOKUP($BC349,$BE$8:$BK$507,4,FALSE()))</f>
        <v/>
      </c>
      <c r="BP349" s="110" t="str">
        <f aca="false">IF($BC349&gt;$BB$7,"",VLOOKUP($BC349,$BE$8:$BK$507,5,FALSE()))</f>
        <v/>
      </c>
      <c r="BQ349" s="111" t="str">
        <f aca="false">IF($BC349&gt;$BB$7,"",VLOOKUP($BC349,$BE$8:$BK$507,6,FALSE()))</f>
        <v/>
      </c>
      <c r="BR349" s="54"/>
    </row>
    <row r="350" customFormat="false" ht="15.75" hidden="false" customHeight="false" outlineLevel="0" collapsed="false">
      <c r="A350" s="5"/>
      <c r="B350" s="124"/>
      <c r="C350" s="56"/>
      <c r="D350" s="57"/>
      <c r="E350" s="83"/>
      <c r="F350" s="59"/>
      <c r="G350" s="60"/>
      <c r="H350" s="61"/>
      <c r="I350" s="62"/>
      <c r="J350" s="59"/>
      <c r="K350" s="60"/>
      <c r="L350" s="61"/>
      <c r="M350" s="62"/>
      <c r="N350" s="59"/>
      <c r="O350" s="83"/>
      <c r="P350" s="64"/>
      <c r="Q350" s="66" t="str">
        <f aca="false">IF(ISBLANK($C350),"",IF(E350=Constants!$B$2, TRUE(), IF(E350=Constants!$B$3, FALSE(), TRUE())))</f>
        <v/>
      </c>
      <c r="R350" s="66" t="str">
        <f aca="false">IF(ISBLANK($C350),"",IF(F350=Constants!$B$16,Constants!$B$9,IF(F350=Constants!$B$17,Constants!$B$10,Constants!$B$8)))</f>
        <v/>
      </c>
      <c r="S350" s="66" t="str">
        <f aca="false">IF(ISBLANK($C350),"",IF(COUNTA(G350:H350)=0,"",IF(AND(OR(ISBLANK(G350),AND(ISNUMBER(G350),G350&gt;=0)),OR(ISBLANK(H350),AND(ISNUMBER(H350),H350&gt;=0))),60*IF(ISBLANK(G350),0,G350)+IF(ISBLANK(H350),0,H350),"")))</f>
        <v/>
      </c>
      <c r="T350" s="66" t="str">
        <f aca="false">IF(ISBLANK($C350),"",IF(I350=Constants!$B$2, TRUE(), IF(I350=Constants!$B$3, FALSE(), TRUE())))</f>
        <v/>
      </c>
      <c r="U350" s="66" t="str">
        <f aca="false">IF(ISBLANK($C350),"",IF(J350=Constants!$B$2, TRUE(), IF(J350=Constants!$B$3, FALSE(), TRUE())))</f>
        <v/>
      </c>
      <c r="V350" s="66" t="str">
        <f aca="false">IF(ISBLANK($C350),"",IF(COUNTA(K350:L350)=0,"",IF(AND(OR(ISBLANK(K350),AND(ISNUMBER(K350),K350&gt;=0)),OR(ISBLANK(L350),AND(ISNUMBER(L350),L350&gt;=0))),60*IF(ISBLANK(K350),0,K350)+IF(ISBLANK(L350),0,L350),"")))</f>
        <v/>
      </c>
      <c r="W350" s="66" t="str">
        <f aca="false">IF(ISBLANK($C350),"",IF(M350=Constants!$B$2, TRUE(), IF(M350=Constants!$B$3, FALSE(), TRUE())))</f>
        <v/>
      </c>
      <c r="X350" s="66" t="str">
        <f aca="false">IF(ISBLANK($C350),"",IF(N350=Constants!$B$2, TRUE(), IF(N350=Constants!$B$3, FALSE(), TRUE())))</f>
        <v/>
      </c>
      <c r="Y350" s="66" t="str">
        <f aca="false">IF(ISBLANK($C350),"",IF(O350=Constants!$B$2, TRUE(), IF(O350=Constants!$B$3, FALSE(), FALSE())))</f>
        <v/>
      </c>
      <c r="Z350" s="66" t="str">
        <f aca="false">IF(ISBLANK($C350),"",AND(S350&lt;&gt;"",Q350))</f>
        <v/>
      </c>
      <c r="AA350" s="66" t="str">
        <f aca="false">IF(ISBLANK($C350),"",AND(V350&lt;&gt;"",Q350))</f>
        <v/>
      </c>
      <c r="AB350" s="66" t="str">
        <f aca="false">IF(ISBLANK($C350),"",IF(Y350,Constants!$B$4,IF(COUNTA(E350:N350)=0,Constants!$B$5,IF(NOT(Q350),Constants!$B$6,IF(AND(NOT(Z350),NOT(AA350)),Constants!$B$6,Constants!$B$7)))))</f>
        <v/>
      </c>
      <c r="AC350" s="66" t="str">
        <f aca="false">IF(ISBLANK($C350),"",IF($AB350&lt;&gt;Constants!$B$7,$AB350,Constants!$B$20))</f>
        <v/>
      </c>
      <c r="AD350" s="66" t="str">
        <f aca="false">IF($AB350=Constants!$B$7,IF(Z350,S350,Constants!$B$13),"")</f>
        <v/>
      </c>
      <c r="AE350" s="66" t="str">
        <f aca="false">IF($AB350=Constants!$B$7,IF(Z350,R350*IF(T350, 1, Constants!$B$11)*IF(U350, 1, Constants!$B$12),Constants!$B$13),"")</f>
        <v/>
      </c>
      <c r="AF350" s="66" t="str">
        <f aca="false">IF($AB350=Constants!$B$7,AD350*AE350,"")</f>
        <v/>
      </c>
      <c r="AG350" s="66" t="str">
        <f aca="false">IF($AB350=Constants!$B$7,IF(AA350,V350,Constants!$B$13),"")</f>
        <v/>
      </c>
      <c r="AH350" s="66" t="str">
        <f aca="false">IF($AB350=Constants!$B$7,IF(AA350,R350*IF(W350, 1, Constants!$B$11)*IF(X350, 1, Constants!$B$12),Constants!$B$13),"")</f>
        <v/>
      </c>
      <c r="AI350" s="66" t="str">
        <f aca="false">IF($AB350=Constants!$B$7,AG350*AH350,"")</f>
        <v/>
      </c>
      <c r="AJ350" s="66" t="str">
        <f aca="false">IF($AB350=Constants!$B$7,IF(AI350&gt;AF350,2,1),"")</f>
        <v/>
      </c>
      <c r="AK350" s="66" t="str">
        <f aca="false">IF($AB350=Constants!$B$7,IF(AJ350=1,2,1),"")</f>
        <v/>
      </c>
      <c r="AL350" s="66" t="str">
        <f aca="false">IF(ISBLANK($C350),"",IF($AB350&lt;&gt;Constants!$B$7,$AB350,IF(AJ350=1,AF350,AI350)))</f>
        <v/>
      </c>
      <c r="AM350" s="66" t="str">
        <f aca="false">IF(ISBLANK($C350),"",IF($AB350=Constants!$B$7,IF(ISNUMBER(AL350),RANK(AL350,$AL$8:$AL$507),Constants!$B$14),$AB350))</f>
        <v/>
      </c>
      <c r="AN350" s="66" t="str">
        <f aca="false">IF(ISBLANK($C350),"",IF($AB350=Constants!$B$7,IF(AK350=1,AF350,AI350),""))</f>
        <v/>
      </c>
      <c r="AO350" s="66" t="str">
        <f aca="false">IF(ISBLANK($C350),"",IF($AB350=Constants!$B$7,RANK(AN350,$AN$8:$AN$507),$AB350))</f>
        <v/>
      </c>
      <c r="AP350" s="66" t="str">
        <f aca="false">IF(ISBLANK($C350),"",IF($AB350=Constants!$B$7,IF(ISNUMBER(AM350),COUNTIFS($AM$8:$AM$507,"&lt;"&amp;$AM350)+COUNTIFS($AM$8:$AM$507,$AM350,$AO$8:$AO$507,"&lt;"&amp;$AO350)+1,Constants!$B$14),$AB350))</f>
        <v/>
      </c>
      <c r="AQ350" s="66" t="str">
        <f aca="false">IF(ISBLANK($C350),"",IF($AB350=Constants!$B$7,IF(ISNUMBER(AM350),AM350-AP350,Constants!$B$14),$AB350))</f>
        <v/>
      </c>
      <c r="AR350" s="68"/>
      <c r="AS350" s="69" t="str">
        <f aca="false">IF(ISBLANK($C350),"",IF($AB350&lt;&gt;Constants!$B$7,"",AJ350))</f>
        <v/>
      </c>
      <c r="AT350" s="84" t="str">
        <f aca="false">IF(ISBLANK($C350),"",IF($AB350&lt;&gt;Constants!$B$7,"",IF(AJ350=1,AD350,AG350)))</f>
        <v/>
      </c>
      <c r="AU350" s="71" t="str">
        <f aca="false">IF(ISBLANK($C350),"",IF($AB350&lt;&gt;Constants!$B$7,"",IF(AJ350=1,AE350,AH350)))</f>
        <v/>
      </c>
      <c r="AV350" s="72" t="str">
        <f aca="false">IF(ISBLANK($C350),"",IF($AB350&lt;&gt;Constants!$B$7,$AB350,AL350))</f>
        <v/>
      </c>
      <c r="AW350" s="73" t="str">
        <f aca="false">IF(ISBLANK($C350),"",IF($AB350&lt;&gt;Constants!$B$7,$AB350,AC350))</f>
        <v/>
      </c>
      <c r="AX350" s="74" t="str">
        <f aca="false">IF(ISBLANK($C350),"",AQ350)</f>
        <v/>
      </c>
      <c r="AY350" s="74" t="str">
        <f aca="false">IF(ISBLANK($C350),"",AP350)</f>
        <v/>
      </c>
      <c r="AZ350" s="75" t="str">
        <f aca="false">IF(ISBLANK($C350),"",IF(AY350=Constants!$B$4,COUNTA($C$8:$C$507)+2,IF(AY350=Constants!$B$5,COUNTA($C$8:$C$507)+1,IF(AY350=Constants!$B$6,COUNTA($C$8:$C$507),AY350))))</f>
        <v/>
      </c>
      <c r="BA350" s="5"/>
      <c r="BB350" s="76" t="n">
        <f aca="false">IF(OR(ISNUMBER(AY350),AY350=Constants!$B$4,AY350=Constants!$B$6,AY350=Constants!$B$5),1,0)</f>
        <v>0</v>
      </c>
      <c r="BC350" s="76" t="n">
        <v>343</v>
      </c>
      <c r="BD350" s="76" t="str">
        <f aca="false">IF(ISBLANK($C350),"",IF(ISNUMBER(AZ350),AZ350+ROW($B350)/1000,""))</f>
        <v/>
      </c>
      <c r="BE350" s="76" t="str">
        <f aca="false">IF(ISNUMBER(BD350),RANK(BD350,$BD$8:$BD$507,1),"")</f>
        <v/>
      </c>
      <c r="BF350" s="76" t="str">
        <f aca="false">IF(ISBLANK($C350),"",$B350)</f>
        <v/>
      </c>
      <c r="BG350" s="76" t="str">
        <f aca="false">IF(ISBLANK($C350),"",$C350)</f>
        <v/>
      </c>
      <c r="BH350" s="76" t="str">
        <f aca="false">IF(ISBLANK($C350),"",$D350)</f>
        <v/>
      </c>
      <c r="BI350" s="77" t="str">
        <f aca="false">AW350</f>
        <v/>
      </c>
      <c r="BJ350" s="78" t="str">
        <f aca="false">AV350</f>
        <v/>
      </c>
      <c r="BK350" s="76" t="str">
        <f aca="false">IF(ISBLANK($C350),"",AY350)</f>
        <v/>
      </c>
      <c r="BL350" s="79" t="str">
        <f aca="false">IF($BC350&gt;$BB$7,"",VLOOKUP($BC350,$BE$8:$BK$507,7,FALSE()))</f>
        <v/>
      </c>
      <c r="BM350" s="80" t="str">
        <f aca="false">IF($BC350&gt;$BB$7,"",VLOOKUP($BC350,$BE$8:$BK$507,2,FALSE()))</f>
        <v/>
      </c>
      <c r="BN350" s="80" t="str">
        <f aca="false">IF($BC350&gt;$BB$7,"",VLOOKUP($BC350,$BE$8:$BK$507,3,FALSE()))</f>
        <v/>
      </c>
      <c r="BO350" s="80" t="str">
        <f aca="false">IF($BC350&gt;$BB$7,"",VLOOKUP($BC350,$BE$8:$BK$507,4,FALSE()))</f>
        <v/>
      </c>
      <c r="BP350" s="80" t="str">
        <f aca="false">IF($BC350&gt;$BB$7,"",VLOOKUP($BC350,$BE$8:$BK$507,5,FALSE()))</f>
        <v/>
      </c>
      <c r="BQ350" s="81" t="str">
        <f aca="false">IF($BC350&gt;$BB$7,"",VLOOKUP($BC350,$BE$8:$BK$507,6,FALSE()))</f>
        <v/>
      </c>
      <c r="BR350" s="54"/>
    </row>
    <row r="351" customFormat="false" ht="15.75" hidden="false" customHeight="false" outlineLevel="0" collapsed="false">
      <c r="A351" s="5"/>
      <c r="B351" s="124"/>
      <c r="C351" s="56"/>
      <c r="D351" s="57"/>
      <c r="E351" s="83"/>
      <c r="F351" s="59"/>
      <c r="G351" s="60"/>
      <c r="H351" s="61"/>
      <c r="I351" s="62"/>
      <c r="J351" s="59"/>
      <c r="K351" s="60"/>
      <c r="L351" s="61"/>
      <c r="M351" s="62"/>
      <c r="N351" s="59"/>
      <c r="O351" s="83"/>
      <c r="P351" s="64"/>
      <c r="Q351" s="66" t="str">
        <f aca="false">IF(ISBLANK($C351),"",IF(E351=Constants!$B$2, TRUE(), IF(E351=Constants!$B$3, FALSE(), TRUE())))</f>
        <v/>
      </c>
      <c r="R351" s="66" t="str">
        <f aca="false">IF(ISBLANK($C351),"",IF(F351=Constants!$B$16,Constants!$B$9,IF(F351=Constants!$B$17,Constants!$B$10,Constants!$B$8)))</f>
        <v/>
      </c>
      <c r="S351" s="66" t="str">
        <f aca="false">IF(ISBLANK($C351),"",IF(COUNTA(G351:H351)=0,"",IF(AND(OR(ISBLANK(G351),AND(ISNUMBER(G351),G351&gt;=0)),OR(ISBLANK(H351),AND(ISNUMBER(H351),H351&gt;=0))),60*IF(ISBLANK(G351),0,G351)+IF(ISBLANK(H351),0,H351),"")))</f>
        <v/>
      </c>
      <c r="T351" s="66" t="str">
        <f aca="false">IF(ISBLANK($C351),"",IF(I351=Constants!$B$2, TRUE(), IF(I351=Constants!$B$3, FALSE(), TRUE())))</f>
        <v/>
      </c>
      <c r="U351" s="66" t="str">
        <f aca="false">IF(ISBLANK($C351),"",IF(J351=Constants!$B$2, TRUE(), IF(J351=Constants!$B$3, FALSE(), TRUE())))</f>
        <v/>
      </c>
      <c r="V351" s="66" t="str">
        <f aca="false">IF(ISBLANK($C351),"",IF(COUNTA(K351:L351)=0,"",IF(AND(OR(ISBLANK(K351),AND(ISNUMBER(K351),K351&gt;=0)),OR(ISBLANK(L351),AND(ISNUMBER(L351),L351&gt;=0))),60*IF(ISBLANK(K351),0,K351)+IF(ISBLANK(L351),0,L351),"")))</f>
        <v/>
      </c>
      <c r="W351" s="66" t="str">
        <f aca="false">IF(ISBLANK($C351),"",IF(M351=Constants!$B$2, TRUE(), IF(M351=Constants!$B$3, FALSE(), TRUE())))</f>
        <v/>
      </c>
      <c r="X351" s="66" t="str">
        <f aca="false">IF(ISBLANK($C351),"",IF(N351=Constants!$B$2, TRUE(), IF(N351=Constants!$B$3, FALSE(), TRUE())))</f>
        <v/>
      </c>
      <c r="Y351" s="66" t="str">
        <f aca="false">IF(ISBLANK($C351),"",IF(O351=Constants!$B$2, TRUE(), IF(O351=Constants!$B$3, FALSE(), FALSE())))</f>
        <v/>
      </c>
      <c r="Z351" s="66" t="str">
        <f aca="false">IF(ISBLANK($C351),"",AND(S351&lt;&gt;"",Q351))</f>
        <v/>
      </c>
      <c r="AA351" s="66" t="str">
        <f aca="false">IF(ISBLANK($C351),"",AND(V351&lt;&gt;"",Q351))</f>
        <v/>
      </c>
      <c r="AB351" s="66" t="str">
        <f aca="false">IF(ISBLANK($C351),"",IF(Y351,Constants!$B$4,IF(COUNTA(E351:N351)=0,Constants!$B$5,IF(NOT(Q351),Constants!$B$6,IF(AND(NOT(Z351),NOT(AA351)),Constants!$B$6,Constants!$B$7)))))</f>
        <v/>
      </c>
      <c r="AC351" s="66" t="str">
        <f aca="false">IF(ISBLANK($C351),"",IF($AB351&lt;&gt;Constants!$B$7,$AB351,Constants!$B$20))</f>
        <v/>
      </c>
      <c r="AD351" s="66" t="str">
        <f aca="false">IF($AB351=Constants!$B$7,IF(Z351,S351,Constants!$B$13),"")</f>
        <v/>
      </c>
      <c r="AE351" s="66" t="str">
        <f aca="false">IF($AB351=Constants!$B$7,IF(Z351,R351*IF(T351, 1, Constants!$B$11)*IF(U351, 1, Constants!$B$12),Constants!$B$13),"")</f>
        <v/>
      </c>
      <c r="AF351" s="66" t="str">
        <f aca="false">IF($AB351=Constants!$B$7,AD351*AE351,"")</f>
        <v/>
      </c>
      <c r="AG351" s="66" t="str">
        <f aca="false">IF($AB351=Constants!$B$7,IF(AA351,V351,Constants!$B$13),"")</f>
        <v/>
      </c>
      <c r="AH351" s="66" t="str">
        <f aca="false">IF($AB351=Constants!$B$7,IF(AA351,R351*IF(W351, 1, Constants!$B$11)*IF(X351, 1, Constants!$B$12),Constants!$B$13),"")</f>
        <v/>
      </c>
      <c r="AI351" s="66" t="str">
        <f aca="false">IF($AB351=Constants!$B$7,AG351*AH351,"")</f>
        <v/>
      </c>
      <c r="AJ351" s="66" t="str">
        <f aca="false">IF($AB351=Constants!$B$7,IF(AI351&gt;AF351,2,1),"")</f>
        <v/>
      </c>
      <c r="AK351" s="66" t="str">
        <f aca="false">IF($AB351=Constants!$B$7,IF(AJ351=1,2,1),"")</f>
        <v/>
      </c>
      <c r="AL351" s="66" t="str">
        <f aca="false">IF(ISBLANK($C351),"",IF($AB351&lt;&gt;Constants!$B$7,$AB351,IF(AJ351=1,AF351,AI351)))</f>
        <v/>
      </c>
      <c r="AM351" s="66" t="str">
        <f aca="false">IF(ISBLANK($C351),"",IF($AB351=Constants!$B$7,IF(ISNUMBER(AL351),RANK(AL351,$AL$8:$AL$507),Constants!$B$14),$AB351))</f>
        <v/>
      </c>
      <c r="AN351" s="66" t="str">
        <f aca="false">IF(ISBLANK($C351),"",IF($AB351=Constants!$B$7,IF(AK351=1,AF351,AI351),""))</f>
        <v/>
      </c>
      <c r="AO351" s="66" t="str">
        <f aca="false">IF(ISBLANK($C351),"",IF($AB351=Constants!$B$7,RANK(AN351,$AN$8:$AN$507),$AB351))</f>
        <v/>
      </c>
      <c r="AP351" s="66" t="str">
        <f aca="false">IF(ISBLANK($C351),"",IF($AB351=Constants!$B$7,IF(ISNUMBER(AM351),COUNTIFS($AM$8:$AM$507,"&lt;"&amp;$AM351)+COUNTIFS($AM$8:$AM$507,$AM351,$AO$8:$AO$507,"&lt;"&amp;$AO351)+1,Constants!$B$14),$AB351))</f>
        <v/>
      </c>
      <c r="AQ351" s="66" t="str">
        <f aca="false">IF(ISBLANK($C351),"",IF($AB351=Constants!$B$7,IF(ISNUMBER(AM351),AM351-AP351,Constants!$B$14),$AB351))</f>
        <v/>
      </c>
      <c r="AR351" s="68"/>
      <c r="AS351" s="69" t="str">
        <f aca="false">IF(ISBLANK($C351),"",IF($AB351&lt;&gt;Constants!$B$7,"",AJ351))</f>
        <v/>
      </c>
      <c r="AT351" s="84" t="str">
        <f aca="false">IF(ISBLANK($C351),"",IF($AB351&lt;&gt;Constants!$B$7,"",IF(AJ351=1,AD351,AG351)))</f>
        <v/>
      </c>
      <c r="AU351" s="71" t="str">
        <f aca="false">IF(ISBLANK($C351),"",IF($AB351&lt;&gt;Constants!$B$7,"",IF(AJ351=1,AE351,AH351)))</f>
        <v/>
      </c>
      <c r="AV351" s="72" t="str">
        <f aca="false">IF(ISBLANK($C351),"",IF($AB351&lt;&gt;Constants!$B$7,$AB351,AL351))</f>
        <v/>
      </c>
      <c r="AW351" s="73" t="str">
        <f aca="false">IF(ISBLANK($C351),"",IF($AB351&lt;&gt;Constants!$B$7,$AB351,AC351))</f>
        <v/>
      </c>
      <c r="AX351" s="74" t="str">
        <f aca="false">IF(ISBLANK($C351),"",AQ351)</f>
        <v/>
      </c>
      <c r="AY351" s="74" t="str">
        <f aca="false">IF(ISBLANK($C351),"",AP351)</f>
        <v/>
      </c>
      <c r="AZ351" s="75" t="str">
        <f aca="false">IF(ISBLANK($C351),"",IF(AY351=Constants!$B$4,COUNTA($C$8:$C$507)+2,IF(AY351=Constants!$B$5,COUNTA($C$8:$C$507)+1,IF(AY351=Constants!$B$6,COUNTA($C$8:$C$507),AY351))))</f>
        <v/>
      </c>
      <c r="BA351" s="5"/>
      <c r="BB351" s="76" t="n">
        <f aca="false">IF(OR(ISNUMBER(AY351),AY351=Constants!$B$4,AY351=Constants!$B$6,AY351=Constants!$B$5),1,0)</f>
        <v>0</v>
      </c>
      <c r="BC351" s="76" t="n">
        <v>344</v>
      </c>
      <c r="BD351" s="76" t="str">
        <f aca="false">IF(ISBLANK($C351),"",IF(ISNUMBER(AZ351),AZ351+ROW($B351)/1000,""))</f>
        <v/>
      </c>
      <c r="BE351" s="76" t="str">
        <f aca="false">IF(ISNUMBER(BD351),RANK(BD351,$BD$8:$BD$507,1),"")</f>
        <v/>
      </c>
      <c r="BF351" s="76" t="str">
        <f aca="false">IF(ISBLANK($C351),"",$B351)</f>
        <v/>
      </c>
      <c r="BG351" s="76" t="str">
        <f aca="false">IF(ISBLANK($C351),"",$C351)</f>
        <v/>
      </c>
      <c r="BH351" s="76" t="str">
        <f aca="false">IF(ISBLANK($C351),"",$D351)</f>
        <v/>
      </c>
      <c r="BI351" s="77" t="str">
        <f aca="false">AW351</f>
        <v/>
      </c>
      <c r="BJ351" s="78" t="str">
        <f aca="false">AV351</f>
        <v/>
      </c>
      <c r="BK351" s="76" t="str">
        <f aca="false">IF(ISBLANK($C351),"",AY351)</f>
        <v/>
      </c>
      <c r="BL351" s="79" t="str">
        <f aca="false">IF($BC351&gt;$BB$7,"",VLOOKUP($BC351,$BE$8:$BK$507,7,FALSE()))</f>
        <v/>
      </c>
      <c r="BM351" s="80" t="str">
        <f aca="false">IF($BC351&gt;$BB$7,"",VLOOKUP($BC351,$BE$8:$BK$507,2,FALSE()))</f>
        <v/>
      </c>
      <c r="BN351" s="80" t="str">
        <f aca="false">IF($BC351&gt;$BB$7,"",VLOOKUP($BC351,$BE$8:$BK$507,3,FALSE()))</f>
        <v/>
      </c>
      <c r="BO351" s="80" t="str">
        <f aca="false">IF($BC351&gt;$BB$7,"",VLOOKUP($BC351,$BE$8:$BK$507,4,FALSE()))</f>
        <v/>
      </c>
      <c r="BP351" s="80" t="str">
        <f aca="false">IF($BC351&gt;$BB$7,"",VLOOKUP($BC351,$BE$8:$BK$507,5,FALSE()))</f>
        <v/>
      </c>
      <c r="BQ351" s="81" t="str">
        <f aca="false">IF($BC351&gt;$BB$7,"",VLOOKUP($BC351,$BE$8:$BK$507,6,FALSE()))</f>
        <v/>
      </c>
      <c r="BR351" s="54"/>
    </row>
    <row r="352" customFormat="false" ht="15.75" hidden="false" customHeight="false" outlineLevel="0" collapsed="false">
      <c r="A352" s="5"/>
      <c r="B352" s="124"/>
      <c r="C352" s="56"/>
      <c r="D352" s="57"/>
      <c r="E352" s="83"/>
      <c r="F352" s="59"/>
      <c r="G352" s="60"/>
      <c r="H352" s="61"/>
      <c r="I352" s="62"/>
      <c r="J352" s="59"/>
      <c r="K352" s="60"/>
      <c r="L352" s="61"/>
      <c r="M352" s="62"/>
      <c r="N352" s="59"/>
      <c r="O352" s="83"/>
      <c r="P352" s="64"/>
      <c r="Q352" s="66" t="str">
        <f aca="false">IF(ISBLANK($C352),"",IF(E352=Constants!$B$2, TRUE(), IF(E352=Constants!$B$3, FALSE(), TRUE())))</f>
        <v/>
      </c>
      <c r="R352" s="66" t="str">
        <f aca="false">IF(ISBLANK($C352),"",IF(F352=Constants!$B$16,Constants!$B$9,IF(F352=Constants!$B$17,Constants!$B$10,Constants!$B$8)))</f>
        <v/>
      </c>
      <c r="S352" s="66" t="str">
        <f aca="false">IF(ISBLANK($C352),"",IF(COUNTA(G352:H352)=0,"",IF(AND(OR(ISBLANK(G352),AND(ISNUMBER(G352),G352&gt;=0)),OR(ISBLANK(H352),AND(ISNUMBER(H352),H352&gt;=0))),60*IF(ISBLANK(G352),0,G352)+IF(ISBLANK(H352),0,H352),"")))</f>
        <v/>
      </c>
      <c r="T352" s="66" t="str">
        <f aca="false">IF(ISBLANK($C352),"",IF(I352=Constants!$B$2, TRUE(), IF(I352=Constants!$B$3, FALSE(), TRUE())))</f>
        <v/>
      </c>
      <c r="U352" s="66" t="str">
        <f aca="false">IF(ISBLANK($C352),"",IF(J352=Constants!$B$2, TRUE(), IF(J352=Constants!$B$3, FALSE(), TRUE())))</f>
        <v/>
      </c>
      <c r="V352" s="66" t="str">
        <f aca="false">IF(ISBLANK($C352),"",IF(COUNTA(K352:L352)=0,"",IF(AND(OR(ISBLANK(K352),AND(ISNUMBER(K352),K352&gt;=0)),OR(ISBLANK(L352),AND(ISNUMBER(L352),L352&gt;=0))),60*IF(ISBLANK(K352),0,K352)+IF(ISBLANK(L352),0,L352),"")))</f>
        <v/>
      </c>
      <c r="W352" s="66" t="str">
        <f aca="false">IF(ISBLANK($C352),"",IF(M352=Constants!$B$2, TRUE(), IF(M352=Constants!$B$3, FALSE(), TRUE())))</f>
        <v/>
      </c>
      <c r="X352" s="66" t="str">
        <f aca="false">IF(ISBLANK($C352),"",IF(N352=Constants!$B$2, TRUE(), IF(N352=Constants!$B$3, FALSE(), TRUE())))</f>
        <v/>
      </c>
      <c r="Y352" s="66" t="str">
        <f aca="false">IF(ISBLANK($C352),"",IF(O352=Constants!$B$2, TRUE(), IF(O352=Constants!$B$3, FALSE(), FALSE())))</f>
        <v/>
      </c>
      <c r="Z352" s="66" t="str">
        <f aca="false">IF(ISBLANK($C352),"",AND(S352&lt;&gt;"",Q352))</f>
        <v/>
      </c>
      <c r="AA352" s="66" t="str">
        <f aca="false">IF(ISBLANK($C352),"",AND(V352&lt;&gt;"",Q352))</f>
        <v/>
      </c>
      <c r="AB352" s="66" t="str">
        <f aca="false">IF(ISBLANK($C352),"",IF(Y352,Constants!$B$4,IF(COUNTA(E352:N352)=0,Constants!$B$5,IF(NOT(Q352),Constants!$B$6,IF(AND(NOT(Z352),NOT(AA352)),Constants!$B$6,Constants!$B$7)))))</f>
        <v/>
      </c>
      <c r="AC352" s="66" t="str">
        <f aca="false">IF(ISBLANK($C352),"",IF($AB352&lt;&gt;Constants!$B$7,$AB352,Constants!$B$20))</f>
        <v/>
      </c>
      <c r="AD352" s="66" t="str">
        <f aca="false">IF($AB352=Constants!$B$7,IF(Z352,S352,Constants!$B$13),"")</f>
        <v/>
      </c>
      <c r="AE352" s="66" t="str">
        <f aca="false">IF($AB352=Constants!$B$7,IF(Z352,R352*IF(T352, 1, Constants!$B$11)*IF(U352, 1, Constants!$B$12),Constants!$B$13),"")</f>
        <v/>
      </c>
      <c r="AF352" s="66" t="str">
        <f aca="false">IF($AB352=Constants!$B$7,AD352*AE352,"")</f>
        <v/>
      </c>
      <c r="AG352" s="66" t="str">
        <f aca="false">IF($AB352=Constants!$B$7,IF(AA352,V352,Constants!$B$13),"")</f>
        <v/>
      </c>
      <c r="AH352" s="66" t="str">
        <f aca="false">IF($AB352=Constants!$B$7,IF(AA352,R352*IF(W352, 1, Constants!$B$11)*IF(X352, 1, Constants!$B$12),Constants!$B$13),"")</f>
        <v/>
      </c>
      <c r="AI352" s="66" t="str">
        <f aca="false">IF($AB352=Constants!$B$7,AG352*AH352,"")</f>
        <v/>
      </c>
      <c r="AJ352" s="66" t="str">
        <f aca="false">IF($AB352=Constants!$B$7,IF(AI352&gt;AF352,2,1),"")</f>
        <v/>
      </c>
      <c r="AK352" s="66" t="str">
        <f aca="false">IF($AB352=Constants!$B$7,IF(AJ352=1,2,1),"")</f>
        <v/>
      </c>
      <c r="AL352" s="66" t="str">
        <f aca="false">IF(ISBLANK($C352),"",IF($AB352&lt;&gt;Constants!$B$7,$AB352,IF(AJ352=1,AF352,AI352)))</f>
        <v/>
      </c>
      <c r="AM352" s="66" t="str">
        <f aca="false">IF(ISBLANK($C352),"",IF($AB352=Constants!$B$7,IF(ISNUMBER(AL352),RANK(AL352,$AL$8:$AL$507),Constants!$B$14),$AB352))</f>
        <v/>
      </c>
      <c r="AN352" s="66" t="str">
        <f aca="false">IF(ISBLANK($C352),"",IF($AB352=Constants!$B$7,IF(AK352=1,AF352,AI352),""))</f>
        <v/>
      </c>
      <c r="AO352" s="66" t="str">
        <f aca="false">IF(ISBLANK($C352),"",IF($AB352=Constants!$B$7,RANK(AN352,$AN$8:$AN$507),$AB352))</f>
        <v/>
      </c>
      <c r="AP352" s="66" t="str">
        <f aca="false">IF(ISBLANK($C352),"",IF($AB352=Constants!$B$7,IF(ISNUMBER(AM352),COUNTIFS($AM$8:$AM$507,"&lt;"&amp;$AM352)+COUNTIFS($AM$8:$AM$507,$AM352,$AO$8:$AO$507,"&lt;"&amp;$AO352)+1,Constants!$B$14),$AB352))</f>
        <v/>
      </c>
      <c r="AQ352" s="66" t="str">
        <f aca="false">IF(ISBLANK($C352),"",IF($AB352=Constants!$B$7,IF(ISNUMBER(AM352),AM352-AP352,Constants!$B$14),$AB352))</f>
        <v/>
      </c>
      <c r="AR352" s="68"/>
      <c r="AS352" s="69" t="str">
        <f aca="false">IF(ISBLANK($C352),"",IF($AB352&lt;&gt;Constants!$B$7,"",AJ352))</f>
        <v/>
      </c>
      <c r="AT352" s="84" t="str">
        <f aca="false">IF(ISBLANK($C352),"",IF($AB352&lt;&gt;Constants!$B$7,"",IF(AJ352=1,AD352,AG352)))</f>
        <v/>
      </c>
      <c r="AU352" s="71" t="str">
        <f aca="false">IF(ISBLANK($C352),"",IF($AB352&lt;&gt;Constants!$B$7,"",IF(AJ352=1,AE352,AH352)))</f>
        <v/>
      </c>
      <c r="AV352" s="72" t="str">
        <f aca="false">IF(ISBLANK($C352),"",IF($AB352&lt;&gt;Constants!$B$7,$AB352,AL352))</f>
        <v/>
      </c>
      <c r="AW352" s="73" t="str">
        <f aca="false">IF(ISBLANK($C352),"",IF($AB352&lt;&gt;Constants!$B$7,$AB352,AC352))</f>
        <v/>
      </c>
      <c r="AX352" s="74" t="str">
        <f aca="false">IF(ISBLANK($C352),"",AQ352)</f>
        <v/>
      </c>
      <c r="AY352" s="74" t="str">
        <f aca="false">IF(ISBLANK($C352),"",AP352)</f>
        <v/>
      </c>
      <c r="AZ352" s="75" t="str">
        <f aca="false">IF(ISBLANK($C352),"",IF(AY352=Constants!$B$4,COUNTA($C$8:$C$507)+2,IF(AY352=Constants!$B$5,COUNTA($C$8:$C$507)+1,IF(AY352=Constants!$B$6,COUNTA($C$8:$C$507),AY352))))</f>
        <v/>
      </c>
      <c r="BA352" s="5"/>
      <c r="BB352" s="76" t="n">
        <f aca="false">IF(OR(ISNUMBER(AY352),AY352=Constants!$B$4,AY352=Constants!$B$6,AY352=Constants!$B$5),1,0)</f>
        <v>0</v>
      </c>
      <c r="BC352" s="76" t="n">
        <v>345</v>
      </c>
      <c r="BD352" s="76" t="str">
        <f aca="false">IF(ISBLANK($C352),"",IF(ISNUMBER(AZ352),AZ352+ROW($B352)/1000,""))</f>
        <v/>
      </c>
      <c r="BE352" s="76" t="str">
        <f aca="false">IF(ISNUMBER(BD352),RANK(BD352,$BD$8:$BD$507,1),"")</f>
        <v/>
      </c>
      <c r="BF352" s="76" t="str">
        <f aca="false">IF(ISBLANK($C352),"",$B352)</f>
        <v/>
      </c>
      <c r="BG352" s="76" t="str">
        <f aca="false">IF(ISBLANK($C352),"",$C352)</f>
        <v/>
      </c>
      <c r="BH352" s="76" t="str">
        <f aca="false">IF(ISBLANK($C352),"",$D352)</f>
        <v/>
      </c>
      <c r="BI352" s="77" t="str">
        <f aca="false">AW352</f>
        <v/>
      </c>
      <c r="BJ352" s="78" t="str">
        <f aca="false">AV352</f>
        <v/>
      </c>
      <c r="BK352" s="76" t="str">
        <f aca="false">IF(ISBLANK($C352),"",AY352)</f>
        <v/>
      </c>
      <c r="BL352" s="79" t="str">
        <f aca="false">IF($BC352&gt;$BB$7,"",VLOOKUP($BC352,$BE$8:$BK$507,7,FALSE()))</f>
        <v/>
      </c>
      <c r="BM352" s="80" t="str">
        <f aca="false">IF($BC352&gt;$BB$7,"",VLOOKUP($BC352,$BE$8:$BK$507,2,FALSE()))</f>
        <v/>
      </c>
      <c r="BN352" s="80" t="str">
        <f aca="false">IF($BC352&gt;$BB$7,"",VLOOKUP($BC352,$BE$8:$BK$507,3,FALSE()))</f>
        <v/>
      </c>
      <c r="BO352" s="80" t="str">
        <f aca="false">IF($BC352&gt;$BB$7,"",VLOOKUP($BC352,$BE$8:$BK$507,4,FALSE()))</f>
        <v/>
      </c>
      <c r="BP352" s="80" t="str">
        <f aca="false">IF($BC352&gt;$BB$7,"",VLOOKUP($BC352,$BE$8:$BK$507,5,FALSE()))</f>
        <v/>
      </c>
      <c r="BQ352" s="81" t="str">
        <f aca="false">IF($BC352&gt;$BB$7,"",VLOOKUP($BC352,$BE$8:$BK$507,6,FALSE()))</f>
        <v/>
      </c>
      <c r="BR352" s="54"/>
    </row>
    <row r="353" customFormat="false" ht="15.75" hidden="false" customHeight="false" outlineLevel="0" collapsed="false">
      <c r="A353" s="5"/>
      <c r="B353" s="120"/>
      <c r="C353" s="121"/>
      <c r="D353" s="112"/>
      <c r="E353" s="123"/>
      <c r="F353" s="91"/>
      <c r="G353" s="92"/>
      <c r="H353" s="93"/>
      <c r="I353" s="94"/>
      <c r="J353" s="91"/>
      <c r="K353" s="92"/>
      <c r="L353" s="93"/>
      <c r="M353" s="94"/>
      <c r="N353" s="91"/>
      <c r="O353" s="123"/>
      <c r="P353" s="96"/>
      <c r="Q353" s="97" t="str">
        <f aca="false">IF(ISBLANK($C353),"",IF(E353=Constants!$B$2, TRUE(), IF(E353=Constants!$B$3, FALSE(), TRUE())))</f>
        <v/>
      </c>
      <c r="R353" s="97" t="str">
        <f aca="false">IF(ISBLANK($C353),"",IF(F353=Constants!$B$16,Constants!$B$9,IF(F353=Constants!$B$17,Constants!$B$10,Constants!$B$8)))</f>
        <v/>
      </c>
      <c r="S353" s="97" t="str">
        <f aca="false">IF(ISBLANK($C353),"",IF(COUNTA(G353:H353)=0,"",IF(AND(OR(ISBLANK(G353),AND(ISNUMBER(G353),G353&gt;=0)),OR(ISBLANK(H353),AND(ISNUMBER(H353),H353&gt;=0))),60*IF(ISBLANK(G353),0,G353)+IF(ISBLANK(H353),0,H353),"")))</f>
        <v/>
      </c>
      <c r="T353" s="97" t="str">
        <f aca="false">IF(ISBLANK($C353),"",IF(I353=Constants!$B$2, TRUE(), IF(I353=Constants!$B$3, FALSE(), TRUE())))</f>
        <v/>
      </c>
      <c r="U353" s="97" t="str">
        <f aca="false">IF(ISBLANK($C353),"",IF(J353=Constants!$B$2, TRUE(), IF(J353=Constants!$B$3, FALSE(), TRUE())))</f>
        <v/>
      </c>
      <c r="V353" s="97" t="str">
        <f aca="false">IF(ISBLANK($C353),"",IF(COUNTA(K353:L353)=0,"",IF(AND(OR(ISBLANK(K353),AND(ISNUMBER(K353),K353&gt;=0)),OR(ISBLANK(L353),AND(ISNUMBER(L353),L353&gt;=0))),60*IF(ISBLANK(K353),0,K353)+IF(ISBLANK(L353),0,L353),"")))</f>
        <v/>
      </c>
      <c r="W353" s="97" t="str">
        <f aca="false">IF(ISBLANK($C353),"",IF(M353=Constants!$B$2, TRUE(), IF(M353=Constants!$B$3, FALSE(), TRUE())))</f>
        <v/>
      </c>
      <c r="X353" s="97" t="str">
        <f aca="false">IF(ISBLANK($C353),"",IF(N353=Constants!$B$2, TRUE(), IF(N353=Constants!$B$3, FALSE(), TRUE())))</f>
        <v/>
      </c>
      <c r="Y353" s="97" t="str">
        <f aca="false">IF(ISBLANK($C353),"",IF(O353=Constants!$B$2, TRUE(), IF(O353=Constants!$B$3, FALSE(), FALSE())))</f>
        <v/>
      </c>
      <c r="Z353" s="97" t="str">
        <f aca="false">IF(ISBLANK($C353),"",AND(S353&lt;&gt;"",Q353))</f>
        <v/>
      </c>
      <c r="AA353" s="97" t="str">
        <f aca="false">IF(ISBLANK($C353),"",AND(V353&lt;&gt;"",Q353))</f>
        <v/>
      </c>
      <c r="AB353" s="97" t="str">
        <f aca="false">IF(ISBLANK($C353),"",IF(Y353,Constants!$B$4,IF(COUNTA(E353:N353)=0,Constants!$B$5,IF(NOT(Q353),Constants!$B$6,IF(AND(NOT(Z353),NOT(AA353)),Constants!$B$6,Constants!$B$7)))))</f>
        <v/>
      </c>
      <c r="AC353" s="97" t="str">
        <f aca="false">IF(ISBLANK($C353),"",IF($AB353&lt;&gt;Constants!$B$7,$AB353,Constants!$B$20))</f>
        <v/>
      </c>
      <c r="AD353" s="97" t="str">
        <f aca="false">IF($AB353=Constants!$B$7,IF(Z353,S353,Constants!$B$13),"")</f>
        <v/>
      </c>
      <c r="AE353" s="97" t="str">
        <f aca="false">IF($AB353=Constants!$B$7,IF(Z353,R353*IF(T353, 1, Constants!$B$11)*IF(U353, 1, Constants!$B$12),Constants!$B$13),"")</f>
        <v/>
      </c>
      <c r="AF353" s="97" t="str">
        <f aca="false">IF($AB353=Constants!$B$7,AD353*AE353,"")</f>
        <v/>
      </c>
      <c r="AG353" s="97" t="str">
        <f aca="false">IF($AB353=Constants!$B$7,IF(AA353,V353,Constants!$B$13),"")</f>
        <v/>
      </c>
      <c r="AH353" s="97" t="str">
        <f aca="false">IF($AB353=Constants!$B$7,IF(AA353,R353*IF(W353, 1, Constants!$B$11)*IF(X353, 1, Constants!$B$12),Constants!$B$13),"")</f>
        <v/>
      </c>
      <c r="AI353" s="97" t="str">
        <f aca="false">IF($AB353=Constants!$B$7,AG353*AH353,"")</f>
        <v/>
      </c>
      <c r="AJ353" s="97" t="str">
        <f aca="false">IF($AB353=Constants!$B$7,IF(AI353&gt;AF353,2,1),"")</f>
        <v/>
      </c>
      <c r="AK353" s="97" t="str">
        <f aca="false">IF($AB353=Constants!$B$7,IF(AJ353=1,2,1),"")</f>
        <v/>
      </c>
      <c r="AL353" s="97" t="str">
        <f aca="false">IF(ISBLANK($C353),"",IF($AB353&lt;&gt;Constants!$B$7,$AB353,IF(AJ353=1,AF353,AI353)))</f>
        <v/>
      </c>
      <c r="AM353" s="97" t="str">
        <f aca="false">IF(ISBLANK($C353),"",IF($AB353=Constants!$B$7,IF(ISNUMBER(AL353),RANK(AL353,$AL$8:$AL$507),Constants!$B$14),$AB353))</f>
        <v/>
      </c>
      <c r="AN353" s="97" t="str">
        <f aca="false">IF(ISBLANK($C353),"",IF($AB353=Constants!$B$7,IF(AK353=1,AF353,AI353),""))</f>
        <v/>
      </c>
      <c r="AO353" s="97" t="str">
        <f aca="false">IF(ISBLANK($C353),"",IF($AB353=Constants!$B$7,RANK(AN353,$AN$8:$AN$507),$AB353))</f>
        <v/>
      </c>
      <c r="AP353" s="97" t="str">
        <f aca="false">IF(ISBLANK($C353),"",IF($AB353=Constants!$B$7,IF(ISNUMBER(AM353),COUNTIFS($AM$8:$AM$507,"&lt;"&amp;$AM353)+COUNTIFS($AM$8:$AM$507,$AM353,$AO$8:$AO$507,"&lt;"&amp;$AO353)+1,Constants!$B$14),$AB353))</f>
        <v/>
      </c>
      <c r="AQ353" s="97" t="str">
        <f aca="false">IF(ISBLANK($C353),"",IF($AB353=Constants!$B$7,IF(ISNUMBER(AM353),AM353-AP353,Constants!$B$14),$AB353))</f>
        <v/>
      </c>
      <c r="AR353" s="98"/>
      <c r="AS353" s="99" t="str">
        <f aca="false">IF(ISBLANK($C353),"",IF($AB353&lt;&gt;Constants!$B$7,"",AJ353))</f>
        <v/>
      </c>
      <c r="AT353" s="100" t="str">
        <f aca="false">IF(ISBLANK($C353),"",IF($AB353&lt;&gt;Constants!$B$7,"",IF(AJ353=1,AD353,AG353)))</f>
        <v/>
      </c>
      <c r="AU353" s="101" t="str">
        <f aca="false">IF(ISBLANK($C353),"",IF($AB353&lt;&gt;Constants!$B$7,"",IF(AJ353=1,AE353,AH353)))</f>
        <v/>
      </c>
      <c r="AV353" s="102" t="str">
        <f aca="false">IF(ISBLANK($C353),"",IF($AB353&lt;&gt;Constants!$B$7,$AB353,AL353))</f>
        <v/>
      </c>
      <c r="AW353" s="103" t="str">
        <f aca="false">IF(ISBLANK($C353),"",IF($AB353&lt;&gt;Constants!$B$7,$AB353,AC353))</f>
        <v/>
      </c>
      <c r="AX353" s="104" t="str">
        <f aca="false">IF(ISBLANK($C353),"",AQ353)</f>
        <v/>
      </c>
      <c r="AY353" s="104" t="str">
        <f aca="false">IF(ISBLANK($C353),"",AP353)</f>
        <v/>
      </c>
      <c r="AZ353" s="105" t="str">
        <f aca="false">IF(ISBLANK($C353),"",IF(AY353=Constants!$B$4,COUNTA($C$8:$C$507)+2,IF(AY353=Constants!$B$5,COUNTA($C$8:$C$507)+1,IF(AY353=Constants!$B$6,COUNTA($C$8:$C$507),AY353))))</f>
        <v/>
      </c>
      <c r="BA353" s="5"/>
      <c r="BB353" s="106" t="n">
        <f aca="false">IF(OR(ISNUMBER(AY353),AY353=Constants!$B$4,AY353=Constants!$B$6,AY353=Constants!$B$5),1,0)</f>
        <v>0</v>
      </c>
      <c r="BC353" s="106" t="n">
        <v>346</v>
      </c>
      <c r="BD353" s="106" t="str">
        <f aca="false">IF(ISBLANK($C353),"",IF(ISNUMBER(AZ353),AZ353+ROW($B353)/1000,""))</f>
        <v/>
      </c>
      <c r="BE353" s="106" t="str">
        <f aca="false">IF(ISNUMBER(BD353),RANK(BD353,$BD$8:$BD$507,1),"")</f>
        <v/>
      </c>
      <c r="BF353" s="106" t="str">
        <f aca="false">IF(ISBLANK($C353),"",$B353)</f>
        <v/>
      </c>
      <c r="BG353" s="106" t="str">
        <f aca="false">IF(ISBLANK($C353),"",$C353)</f>
        <v/>
      </c>
      <c r="BH353" s="106" t="str">
        <f aca="false">IF(ISBLANK($C353),"",$D353)</f>
        <v/>
      </c>
      <c r="BI353" s="107" t="str">
        <f aca="false">AW353</f>
        <v/>
      </c>
      <c r="BJ353" s="108" t="str">
        <f aca="false">AV353</f>
        <v/>
      </c>
      <c r="BK353" s="106" t="str">
        <f aca="false">IF(ISBLANK($C353),"",AY353)</f>
        <v/>
      </c>
      <c r="BL353" s="109" t="str">
        <f aca="false">IF($BC353&gt;$BB$7,"",VLOOKUP($BC353,$BE$8:$BK$507,7,FALSE()))</f>
        <v/>
      </c>
      <c r="BM353" s="110" t="str">
        <f aca="false">IF($BC353&gt;$BB$7,"",VLOOKUP($BC353,$BE$8:$BK$507,2,FALSE()))</f>
        <v/>
      </c>
      <c r="BN353" s="110" t="str">
        <f aca="false">IF($BC353&gt;$BB$7,"",VLOOKUP($BC353,$BE$8:$BK$507,3,FALSE()))</f>
        <v/>
      </c>
      <c r="BO353" s="110" t="str">
        <f aca="false">IF($BC353&gt;$BB$7,"",VLOOKUP($BC353,$BE$8:$BK$507,4,FALSE()))</f>
        <v/>
      </c>
      <c r="BP353" s="110" t="str">
        <f aca="false">IF($BC353&gt;$BB$7,"",VLOOKUP($BC353,$BE$8:$BK$507,5,FALSE()))</f>
        <v/>
      </c>
      <c r="BQ353" s="111" t="str">
        <f aca="false">IF($BC353&gt;$BB$7,"",VLOOKUP($BC353,$BE$8:$BK$507,6,FALSE()))</f>
        <v/>
      </c>
      <c r="BR353" s="54"/>
    </row>
    <row r="354" customFormat="false" ht="15.75" hidden="false" customHeight="false" outlineLevel="0" collapsed="false">
      <c r="A354" s="5"/>
      <c r="B354" s="120"/>
      <c r="C354" s="121"/>
      <c r="D354" s="112"/>
      <c r="E354" s="123"/>
      <c r="F354" s="91"/>
      <c r="G354" s="92"/>
      <c r="H354" s="93"/>
      <c r="I354" s="94"/>
      <c r="J354" s="91"/>
      <c r="K354" s="92"/>
      <c r="L354" s="93"/>
      <c r="M354" s="94"/>
      <c r="N354" s="91"/>
      <c r="O354" s="123"/>
      <c r="P354" s="96"/>
      <c r="Q354" s="97" t="str">
        <f aca="false">IF(ISBLANK($C354),"",IF(E354=Constants!$B$2, TRUE(), IF(E354=Constants!$B$3, FALSE(), TRUE())))</f>
        <v/>
      </c>
      <c r="R354" s="97" t="str">
        <f aca="false">IF(ISBLANK($C354),"",IF(F354=Constants!$B$16,Constants!$B$9,IF(F354=Constants!$B$17,Constants!$B$10,Constants!$B$8)))</f>
        <v/>
      </c>
      <c r="S354" s="97" t="str">
        <f aca="false">IF(ISBLANK($C354),"",IF(COUNTA(G354:H354)=0,"",IF(AND(OR(ISBLANK(G354),AND(ISNUMBER(G354),G354&gt;=0)),OR(ISBLANK(H354),AND(ISNUMBER(H354),H354&gt;=0))),60*IF(ISBLANK(G354),0,G354)+IF(ISBLANK(H354),0,H354),"")))</f>
        <v/>
      </c>
      <c r="T354" s="97" t="str">
        <f aca="false">IF(ISBLANK($C354),"",IF(I354=Constants!$B$2, TRUE(), IF(I354=Constants!$B$3, FALSE(), TRUE())))</f>
        <v/>
      </c>
      <c r="U354" s="97" t="str">
        <f aca="false">IF(ISBLANK($C354),"",IF(J354=Constants!$B$2, TRUE(), IF(J354=Constants!$B$3, FALSE(), TRUE())))</f>
        <v/>
      </c>
      <c r="V354" s="97" t="str">
        <f aca="false">IF(ISBLANK($C354),"",IF(COUNTA(K354:L354)=0,"",IF(AND(OR(ISBLANK(K354),AND(ISNUMBER(K354),K354&gt;=0)),OR(ISBLANK(L354),AND(ISNUMBER(L354),L354&gt;=0))),60*IF(ISBLANK(K354),0,K354)+IF(ISBLANK(L354),0,L354),"")))</f>
        <v/>
      </c>
      <c r="W354" s="97" t="str">
        <f aca="false">IF(ISBLANK($C354),"",IF(M354=Constants!$B$2, TRUE(), IF(M354=Constants!$B$3, FALSE(), TRUE())))</f>
        <v/>
      </c>
      <c r="X354" s="97" t="str">
        <f aca="false">IF(ISBLANK($C354),"",IF(N354=Constants!$B$2, TRUE(), IF(N354=Constants!$B$3, FALSE(), TRUE())))</f>
        <v/>
      </c>
      <c r="Y354" s="97" t="str">
        <f aca="false">IF(ISBLANK($C354),"",IF(O354=Constants!$B$2, TRUE(), IF(O354=Constants!$B$3, FALSE(), FALSE())))</f>
        <v/>
      </c>
      <c r="Z354" s="97" t="str">
        <f aca="false">IF(ISBLANK($C354),"",AND(S354&lt;&gt;"",Q354))</f>
        <v/>
      </c>
      <c r="AA354" s="97" t="str">
        <f aca="false">IF(ISBLANK($C354),"",AND(V354&lt;&gt;"",Q354))</f>
        <v/>
      </c>
      <c r="AB354" s="97" t="str">
        <f aca="false">IF(ISBLANK($C354),"",IF(Y354,Constants!$B$4,IF(COUNTA(E354:N354)=0,Constants!$B$5,IF(NOT(Q354),Constants!$B$6,IF(AND(NOT(Z354),NOT(AA354)),Constants!$B$6,Constants!$B$7)))))</f>
        <v/>
      </c>
      <c r="AC354" s="97" t="str">
        <f aca="false">IF(ISBLANK($C354),"",IF($AB354&lt;&gt;Constants!$B$7,$AB354,Constants!$B$20))</f>
        <v/>
      </c>
      <c r="AD354" s="97" t="str">
        <f aca="false">IF($AB354=Constants!$B$7,IF(Z354,S354,Constants!$B$13),"")</f>
        <v/>
      </c>
      <c r="AE354" s="97" t="str">
        <f aca="false">IF($AB354=Constants!$B$7,IF(Z354,R354*IF(T354, 1, Constants!$B$11)*IF(U354, 1, Constants!$B$12),Constants!$B$13),"")</f>
        <v/>
      </c>
      <c r="AF354" s="97" t="str">
        <f aca="false">IF($AB354=Constants!$B$7,AD354*AE354,"")</f>
        <v/>
      </c>
      <c r="AG354" s="97" t="str">
        <f aca="false">IF($AB354=Constants!$B$7,IF(AA354,V354,Constants!$B$13),"")</f>
        <v/>
      </c>
      <c r="AH354" s="97" t="str">
        <f aca="false">IF($AB354=Constants!$B$7,IF(AA354,R354*IF(W354, 1, Constants!$B$11)*IF(X354, 1, Constants!$B$12),Constants!$B$13),"")</f>
        <v/>
      </c>
      <c r="AI354" s="97" t="str">
        <f aca="false">IF($AB354=Constants!$B$7,AG354*AH354,"")</f>
        <v/>
      </c>
      <c r="AJ354" s="97" t="str">
        <f aca="false">IF($AB354=Constants!$B$7,IF(AI354&gt;AF354,2,1),"")</f>
        <v/>
      </c>
      <c r="AK354" s="97" t="str">
        <f aca="false">IF($AB354=Constants!$B$7,IF(AJ354=1,2,1),"")</f>
        <v/>
      </c>
      <c r="AL354" s="97" t="str">
        <f aca="false">IF(ISBLANK($C354),"",IF($AB354&lt;&gt;Constants!$B$7,$AB354,IF(AJ354=1,AF354,AI354)))</f>
        <v/>
      </c>
      <c r="AM354" s="97" t="str">
        <f aca="false">IF(ISBLANK($C354),"",IF($AB354=Constants!$B$7,IF(ISNUMBER(AL354),RANK(AL354,$AL$8:$AL$507),Constants!$B$14),$AB354))</f>
        <v/>
      </c>
      <c r="AN354" s="97" t="str">
        <f aca="false">IF(ISBLANK($C354),"",IF($AB354=Constants!$B$7,IF(AK354=1,AF354,AI354),""))</f>
        <v/>
      </c>
      <c r="AO354" s="97" t="str">
        <f aca="false">IF(ISBLANK($C354),"",IF($AB354=Constants!$B$7,RANK(AN354,$AN$8:$AN$507),$AB354))</f>
        <v/>
      </c>
      <c r="AP354" s="97" t="str">
        <f aca="false">IF(ISBLANK($C354),"",IF($AB354=Constants!$B$7,IF(ISNUMBER(AM354),COUNTIFS($AM$8:$AM$507,"&lt;"&amp;$AM354)+COUNTIFS($AM$8:$AM$507,$AM354,$AO$8:$AO$507,"&lt;"&amp;$AO354)+1,Constants!$B$14),$AB354))</f>
        <v/>
      </c>
      <c r="AQ354" s="97" t="str">
        <f aca="false">IF(ISBLANK($C354),"",IF($AB354=Constants!$B$7,IF(ISNUMBER(AM354),AM354-AP354,Constants!$B$14),$AB354))</f>
        <v/>
      </c>
      <c r="AR354" s="98"/>
      <c r="AS354" s="99" t="str">
        <f aca="false">IF(ISBLANK($C354),"",IF($AB354&lt;&gt;Constants!$B$7,"",AJ354))</f>
        <v/>
      </c>
      <c r="AT354" s="100" t="str">
        <f aca="false">IF(ISBLANK($C354),"",IF($AB354&lt;&gt;Constants!$B$7,"",IF(AJ354=1,AD354,AG354)))</f>
        <v/>
      </c>
      <c r="AU354" s="101" t="str">
        <f aca="false">IF(ISBLANK($C354),"",IF($AB354&lt;&gt;Constants!$B$7,"",IF(AJ354=1,AE354,AH354)))</f>
        <v/>
      </c>
      <c r="AV354" s="102" t="str">
        <f aca="false">IF(ISBLANK($C354),"",IF($AB354&lt;&gt;Constants!$B$7,$AB354,AL354))</f>
        <v/>
      </c>
      <c r="AW354" s="103" t="str">
        <f aca="false">IF(ISBLANK($C354),"",IF($AB354&lt;&gt;Constants!$B$7,$AB354,AC354))</f>
        <v/>
      </c>
      <c r="AX354" s="104" t="str">
        <f aca="false">IF(ISBLANK($C354),"",AQ354)</f>
        <v/>
      </c>
      <c r="AY354" s="104" t="str">
        <f aca="false">IF(ISBLANK($C354),"",AP354)</f>
        <v/>
      </c>
      <c r="AZ354" s="105" t="str">
        <f aca="false">IF(ISBLANK($C354),"",IF(AY354=Constants!$B$4,COUNTA($C$8:$C$507)+2,IF(AY354=Constants!$B$5,COUNTA($C$8:$C$507)+1,IF(AY354=Constants!$B$6,COUNTA($C$8:$C$507),AY354))))</f>
        <v/>
      </c>
      <c r="BA354" s="5"/>
      <c r="BB354" s="106" t="n">
        <f aca="false">IF(OR(ISNUMBER(AY354),AY354=Constants!$B$4,AY354=Constants!$B$6,AY354=Constants!$B$5),1,0)</f>
        <v>0</v>
      </c>
      <c r="BC354" s="106" t="n">
        <v>347</v>
      </c>
      <c r="BD354" s="106" t="str">
        <f aca="false">IF(ISBLANK($C354),"",IF(ISNUMBER(AZ354),AZ354+ROW($B354)/1000,""))</f>
        <v/>
      </c>
      <c r="BE354" s="106" t="str">
        <f aca="false">IF(ISNUMBER(BD354),RANK(BD354,$BD$8:$BD$507,1),"")</f>
        <v/>
      </c>
      <c r="BF354" s="106" t="str">
        <f aca="false">IF(ISBLANK($C354),"",$B354)</f>
        <v/>
      </c>
      <c r="BG354" s="106" t="str">
        <f aca="false">IF(ISBLANK($C354),"",$C354)</f>
        <v/>
      </c>
      <c r="BH354" s="106" t="str">
        <f aca="false">IF(ISBLANK($C354),"",$D354)</f>
        <v/>
      </c>
      <c r="BI354" s="107" t="str">
        <f aca="false">AW354</f>
        <v/>
      </c>
      <c r="BJ354" s="108" t="str">
        <f aca="false">AV354</f>
        <v/>
      </c>
      <c r="BK354" s="106" t="str">
        <f aca="false">IF(ISBLANK($C354),"",AY354)</f>
        <v/>
      </c>
      <c r="BL354" s="109" t="str">
        <f aca="false">IF($BC354&gt;$BB$7,"",VLOOKUP($BC354,$BE$8:$BK$507,7,FALSE()))</f>
        <v/>
      </c>
      <c r="BM354" s="110" t="str">
        <f aca="false">IF($BC354&gt;$BB$7,"",VLOOKUP($BC354,$BE$8:$BK$507,2,FALSE()))</f>
        <v/>
      </c>
      <c r="BN354" s="110" t="str">
        <f aca="false">IF($BC354&gt;$BB$7,"",VLOOKUP($BC354,$BE$8:$BK$507,3,FALSE()))</f>
        <v/>
      </c>
      <c r="BO354" s="110" t="str">
        <f aca="false">IF($BC354&gt;$BB$7,"",VLOOKUP($BC354,$BE$8:$BK$507,4,FALSE()))</f>
        <v/>
      </c>
      <c r="BP354" s="110" t="str">
        <f aca="false">IF($BC354&gt;$BB$7,"",VLOOKUP($BC354,$BE$8:$BK$507,5,FALSE()))</f>
        <v/>
      </c>
      <c r="BQ354" s="111" t="str">
        <f aca="false">IF($BC354&gt;$BB$7,"",VLOOKUP($BC354,$BE$8:$BK$507,6,FALSE()))</f>
        <v/>
      </c>
      <c r="BR354" s="54"/>
    </row>
    <row r="355" customFormat="false" ht="15.75" hidden="false" customHeight="false" outlineLevel="0" collapsed="false">
      <c r="A355" s="5"/>
      <c r="B355" s="120"/>
      <c r="C355" s="121"/>
      <c r="D355" s="112"/>
      <c r="E355" s="123"/>
      <c r="F355" s="91"/>
      <c r="G355" s="92"/>
      <c r="H355" s="93"/>
      <c r="I355" s="94"/>
      <c r="J355" s="91"/>
      <c r="K355" s="92"/>
      <c r="L355" s="93"/>
      <c r="M355" s="94"/>
      <c r="N355" s="91"/>
      <c r="O355" s="123"/>
      <c r="P355" s="96"/>
      <c r="Q355" s="97" t="str">
        <f aca="false">IF(ISBLANK($C355),"",IF(E355=Constants!$B$2, TRUE(), IF(E355=Constants!$B$3, FALSE(), TRUE())))</f>
        <v/>
      </c>
      <c r="R355" s="97" t="str">
        <f aca="false">IF(ISBLANK($C355),"",IF(F355=Constants!$B$16,Constants!$B$9,IF(F355=Constants!$B$17,Constants!$B$10,Constants!$B$8)))</f>
        <v/>
      </c>
      <c r="S355" s="97" t="str">
        <f aca="false">IF(ISBLANK($C355),"",IF(COUNTA(G355:H355)=0,"",IF(AND(OR(ISBLANK(G355),AND(ISNUMBER(G355),G355&gt;=0)),OR(ISBLANK(H355),AND(ISNUMBER(H355),H355&gt;=0))),60*IF(ISBLANK(G355),0,G355)+IF(ISBLANK(H355),0,H355),"")))</f>
        <v/>
      </c>
      <c r="T355" s="97" t="str">
        <f aca="false">IF(ISBLANK($C355),"",IF(I355=Constants!$B$2, TRUE(), IF(I355=Constants!$B$3, FALSE(), TRUE())))</f>
        <v/>
      </c>
      <c r="U355" s="97" t="str">
        <f aca="false">IF(ISBLANK($C355),"",IF(J355=Constants!$B$2, TRUE(), IF(J355=Constants!$B$3, FALSE(), TRUE())))</f>
        <v/>
      </c>
      <c r="V355" s="97" t="str">
        <f aca="false">IF(ISBLANK($C355),"",IF(COUNTA(K355:L355)=0,"",IF(AND(OR(ISBLANK(K355),AND(ISNUMBER(K355),K355&gt;=0)),OR(ISBLANK(L355),AND(ISNUMBER(L355),L355&gt;=0))),60*IF(ISBLANK(K355),0,K355)+IF(ISBLANK(L355),0,L355),"")))</f>
        <v/>
      </c>
      <c r="W355" s="97" t="str">
        <f aca="false">IF(ISBLANK($C355),"",IF(M355=Constants!$B$2, TRUE(), IF(M355=Constants!$B$3, FALSE(), TRUE())))</f>
        <v/>
      </c>
      <c r="X355" s="97" t="str">
        <f aca="false">IF(ISBLANK($C355),"",IF(N355=Constants!$B$2, TRUE(), IF(N355=Constants!$B$3, FALSE(), TRUE())))</f>
        <v/>
      </c>
      <c r="Y355" s="97" t="str">
        <f aca="false">IF(ISBLANK($C355),"",IF(O355=Constants!$B$2, TRUE(), IF(O355=Constants!$B$3, FALSE(), FALSE())))</f>
        <v/>
      </c>
      <c r="Z355" s="97" t="str">
        <f aca="false">IF(ISBLANK($C355),"",AND(S355&lt;&gt;"",Q355))</f>
        <v/>
      </c>
      <c r="AA355" s="97" t="str">
        <f aca="false">IF(ISBLANK($C355),"",AND(V355&lt;&gt;"",Q355))</f>
        <v/>
      </c>
      <c r="AB355" s="97" t="str">
        <f aca="false">IF(ISBLANK($C355),"",IF(Y355,Constants!$B$4,IF(COUNTA(E355:N355)=0,Constants!$B$5,IF(NOT(Q355),Constants!$B$6,IF(AND(NOT(Z355),NOT(AA355)),Constants!$B$6,Constants!$B$7)))))</f>
        <v/>
      </c>
      <c r="AC355" s="97" t="str">
        <f aca="false">IF(ISBLANK($C355),"",IF($AB355&lt;&gt;Constants!$B$7,$AB355,Constants!$B$20))</f>
        <v/>
      </c>
      <c r="AD355" s="97" t="str">
        <f aca="false">IF($AB355=Constants!$B$7,IF(Z355,S355,Constants!$B$13),"")</f>
        <v/>
      </c>
      <c r="AE355" s="97" t="str">
        <f aca="false">IF($AB355=Constants!$B$7,IF(Z355,R355*IF(T355, 1, Constants!$B$11)*IF(U355, 1, Constants!$B$12),Constants!$B$13),"")</f>
        <v/>
      </c>
      <c r="AF355" s="97" t="str">
        <f aca="false">IF($AB355=Constants!$B$7,AD355*AE355,"")</f>
        <v/>
      </c>
      <c r="AG355" s="97" t="str">
        <f aca="false">IF($AB355=Constants!$B$7,IF(AA355,V355,Constants!$B$13),"")</f>
        <v/>
      </c>
      <c r="AH355" s="97" t="str">
        <f aca="false">IF($AB355=Constants!$B$7,IF(AA355,R355*IF(W355, 1, Constants!$B$11)*IF(X355, 1, Constants!$B$12),Constants!$B$13),"")</f>
        <v/>
      </c>
      <c r="AI355" s="97" t="str">
        <f aca="false">IF($AB355=Constants!$B$7,AG355*AH355,"")</f>
        <v/>
      </c>
      <c r="AJ355" s="97" t="str">
        <f aca="false">IF($AB355=Constants!$B$7,IF(AI355&gt;AF355,2,1),"")</f>
        <v/>
      </c>
      <c r="AK355" s="97" t="str">
        <f aca="false">IF($AB355=Constants!$B$7,IF(AJ355=1,2,1),"")</f>
        <v/>
      </c>
      <c r="AL355" s="97" t="str">
        <f aca="false">IF(ISBLANK($C355),"",IF($AB355&lt;&gt;Constants!$B$7,$AB355,IF(AJ355=1,AF355,AI355)))</f>
        <v/>
      </c>
      <c r="AM355" s="97" t="str">
        <f aca="false">IF(ISBLANK($C355),"",IF($AB355=Constants!$B$7,IF(ISNUMBER(AL355),RANK(AL355,$AL$8:$AL$507),Constants!$B$14),$AB355))</f>
        <v/>
      </c>
      <c r="AN355" s="97" t="str">
        <f aca="false">IF(ISBLANK($C355),"",IF($AB355=Constants!$B$7,IF(AK355=1,AF355,AI355),""))</f>
        <v/>
      </c>
      <c r="AO355" s="97" t="str">
        <f aca="false">IF(ISBLANK($C355),"",IF($AB355=Constants!$B$7,RANK(AN355,$AN$8:$AN$507),$AB355))</f>
        <v/>
      </c>
      <c r="AP355" s="97" t="str">
        <f aca="false">IF(ISBLANK($C355),"",IF($AB355=Constants!$B$7,IF(ISNUMBER(AM355),COUNTIFS($AM$8:$AM$507,"&lt;"&amp;$AM355)+COUNTIFS($AM$8:$AM$507,$AM355,$AO$8:$AO$507,"&lt;"&amp;$AO355)+1,Constants!$B$14),$AB355))</f>
        <v/>
      </c>
      <c r="AQ355" s="97" t="str">
        <f aca="false">IF(ISBLANK($C355),"",IF($AB355=Constants!$B$7,IF(ISNUMBER(AM355),AM355-AP355,Constants!$B$14),$AB355))</f>
        <v/>
      </c>
      <c r="AR355" s="98"/>
      <c r="AS355" s="99" t="str">
        <f aca="false">IF(ISBLANK($C355),"",IF($AB355&lt;&gt;Constants!$B$7,"",AJ355))</f>
        <v/>
      </c>
      <c r="AT355" s="100" t="str">
        <f aca="false">IF(ISBLANK($C355),"",IF($AB355&lt;&gt;Constants!$B$7,"",IF(AJ355=1,AD355,AG355)))</f>
        <v/>
      </c>
      <c r="AU355" s="101" t="str">
        <f aca="false">IF(ISBLANK($C355),"",IF($AB355&lt;&gt;Constants!$B$7,"",IF(AJ355=1,AE355,AH355)))</f>
        <v/>
      </c>
      <c r="AV355" s="102" t="str">
        <f aca="false">IF(ISBLANK($C355),"",IF($AB355&lt;&gt;Constants!$B$7,$AB355,AL355))</f>
        <v/>
      </c>
      <c r="AW355" s="103" t="str">
        <f aca="false">IF(ISBLANK($C355),"",IF($AB355&lt;&gt;Constants!$B$7,$AB355,AC355))</f>
        <v/>
      </c>
      <c r="AX355" s="104" t="str">
        <f aca="false">IF(ISBLANK($C355),"",AQ355)</f>
        <v/>
      </c>
      <c r="AY355" s="104" t="str">
        <f aca="false">IF(ISBLANK($C355),"",AP355)</f>
        <v/>
      </c>
      <c r="AZ355" s="105" t="str">
        <f aca="false">IF(ISBLANK($C355),"",IF(AY355=Constants!$B$4,COUNTA($C$8:$C$507)+2,IF(AY355=Constants!$B$5,COUNTA($C$8:$C$507)+1,IF(AY355=Constants!$B$6,COUNTA($C$8:$C$507),AY355))))</f>
        <v/>
      </c>
      <c r="BA355" s="5"/>
      <c r="BB355" s="106" t="n">
        <f aca="false">IF(OR(ISNUMBER(AY355),AY355=Constants!$B$4,AY355=Constants!$B$6,AY355=Constants!$B$5),1,0)</f>
        <v>0</v>
      </c>
      <c r="BC355" s="106" t="n">
        <v>348</v>
      </c>
      <c r="BD355" s="106" t="str">
        <f aca="false">IF(ISBLANK($C355),"",IF(ISNUMBER(AZ355),AZ355+ROW($B355)/1000,""))</f>
        <v/>
      </c>
      <c r="BE355" s="106" t="str">
        <f aca="false">IF(ISNUMBER(BD355),RANK(BD355,$BD$8:$BD$507,1),"")</f>
        <v/>
      </c>
      <c r="BF355" s="106" t="str">
        <f aca="false">IF(ISBLANK($C355),"",$B355)</f>
        <v/>
      </c>
      <c r="BG355" s="106" t="str">
        <f aca="false">IF(ISBLANK($C355),"",$C355)</f>
        <v/>
      </c>
      <c r="BH355" s="106" t="str">
        <f aca="false">IF(ISBLANK($C355),"",$D355)</f>
        <v/>
      </c>
      <c r="BI355" s="107" t="str">
        <f aca="false">AW355</f>
        <v/>
      </c>
      <c r="BJ355" s="108" t="str">
        <f aca="false">AV355</f>
        <v/>
      </c>
      <c r="BK355" s="106" t="str">
        <f aca="false">IF(ISBLANK($C355),"",AY355)</f>
        <v/>
      </c>
      <c r="BL355" s="109" t="str">
        <f aca="false">IF($BC355&gt;$BB$7,"",VLOOKUP($BC355,$BE$8:$BK$507,7,FALSE()))</f>
        <v/>
      </c>
      <c r="BM355" s="110" t="str">
        <f aca="false">IF($BC355&gt;$BB$7,"",VLOOKUP($BC355,$BE$8:$BK$507,2,FALSE()))</f>
        <v/>
      </c>
      <c r="BN355" s="110" t="str">
        <f aca="false">IF($BC355&gt;$BB$7,"",VLOOKUP($BC355,$BE$8:$BK$507,3,FALSE()))</f>
        <v/>
      </c>
      <c r="BO355" s="110" t="str">
        <f aca="false">IF($BC355&gt;$BB$7,"",VLOOKUP($BC355,$BE$8:$BK$507,4,FALSE()))</f>
        <v/>
      </c>
      <c r="BP355" s="110" t="str">
        <f aca="false">IF($BC355&gt;$BB$7,"",VLOOKUP($BC355,$BE$8:$BK$507,5,FALSE()))</f>
        <v/>
      </c>
      <c r="BQ355" s="111" t="str">
        <f aca="false">IF($BC355&gt;$BB$7,"",VLOOKUP($BC355,$BE$8:$BK$507,6,FALSE()))</f>
        <v/>
      </c>
      <c r="BR355" s="54"/>
    </row>
    <row r="356" customFormat="false" ht="15.75" hidden="false" customHeight="false" outlineLevel="0" collapsed="false">
      <c r="A356" s="5"/>
      <c r="B356" s="124"/>
      <c r="C356" s="56"/>
      <c r="D356" s="57"/>
      <c r="E356" s="83"/>
      <c r="F356" s="59"/>
      <c r="G356" s="60"/>
      <c r="H356" s="61"/>
      <c r="I356" s="62"/>
      <c r="J356" s="59"/>
      <c r="K356" s="60"/>
      <c r="L356" s="61"/>
      <c r="M356" s="62"/>
      <c r="N356" s="59"/>
      <c r="O356" s="83"/>
      <c r="P356" s="64"/>
      <c r="Q356" s="66" t="str">
        <f aca="false">IF(ISBLANK($C356),"",IF(E356=Constants!$B$2, TRUE(), IF(E356=Constants!$B$3, FALSE(), TRUE())))</f>
        <v/>
      </c>
      <c r="R356" s="66" t="str">
        <f aca="false">IF(ISBLANK($C356),"",IF(F356=Constants!$B$16,Constants!$B$9,IF(F356=Constants!$B$17,Constants!$B$10,Constants!$B$8)))</f>
        <v/>
      </c>
      <c r="S356" s="66" t="str">
        <f aca="false">IF(ISBLANK($C356),"",IF(COUNTA(G356:H356)=0,"",IF(AND(OR(ISBLANK(G356),AND(ISNUMBER(G356),G356&gt;=0)),OR(ISBLANK(H356),AND(ISNUMBER(H356),H356&gt;=0))),60*IF(ISBLANK(G356),0,G356)+IF(ISBLANK(H356),0,H356),"")))</f>
        <v/>
      </c>
      <c r="T356" s="66" t="str">
        <f aca="false">IF(ISBLANK($C356),"",IF(I356=Constants!$B$2, TRUE(), IF(I356=Constants!$B$3, FALSE(), TRUE())))</f>
        <v/>
      </c>
      <c r="U356" s="66" t="str">
        <f aca="false">IF(ISBLANK($C356),"",IF(J356=Constants!$B$2, TRUE(), IF(J356=Constants!$B$3, FALSE(), TRUE())))</f>
        <v/>
      </c>
      <c r="V356" s="66" t="str">
        <f aca="false">IF(ISBLANK($C356),"",IF(COUNTA(K356:L356)=0,"",IF(AND(OR(ISBLANK(K356),AND(ISNUMBER(K356),K356&gt;=0)),OR(ISBLANK(L356),AND(ISNUMBER(L356),L356&gt;=0))),60*IF(ISBLANK(K356),0,K356)+IF(ISBLANK(L356),0,L356),"")))</f>
        <v/>
      </c>
      <c r="W356" s="66" t="str">
        <f aca="false">IF(ISBLANK($C356),"",IF(M356=Constants!$B$2, TRUE(), IF(M356=Constants!$B$3, FALSE(), TRUE())))</f>
        <v/>
      </c>
      <c r="X356" s="66" t="str">
        <f aca="false">IF(ISBLANK($C356),"",IF(N356=Constants!$B$2, TRUE(), IF(N356=Constants!$B$3, FALSE(), TRUE())))</f>
        <v/>
      </c>
      <c r="Y356" s="66" t="str">
        <f aca="false">IF(ISBLANK($C356),"",IF(O356=Constants!$B$2, TRUE(), IF(O356=Constants!$B$3, FALSE(), FALSE())))</f>
        <v/>
      </c>
      <c r="Z356" s="66" t="str">
        <f aca="false">IF(ISBLANK($C356),"",AND(S356&lt;&gt;"",Q356))</f>
        <v/>
      </c>
      <c r="AA356" s="66" t="str">
        <f aca="false">IF(ISBLANK($C356),"",AND(V356&lt;&gt;"",Q356))</f>
        <v/>
      </c>
      <c r="AB356" s="66" t="str">
        <f aca="false">IF(ISBLANK($C356),"",IF(Y356,Constants!$B$4,IF(COUNTA(E356:N356)=0,Constants!$B$5,IF(NOT(Q356),Constants!$B$6,IF(AND(NOT(Z356),NOT(AA356)),Constants!$B$6,Constants!$B$7)))))</f>
        <v/>
      </c>
      <c r="AC356" s="66" t="str">
        <f aca="false">IF(ISBLANK($C356),"",IF($AB356&lt;&gt;Constants!$B$7,$AB356,Constants!$B$20))</f>
        <v/>
      </c>
      <c r="AD356" s="66" t="str">
        <f aca="false">IF($AB356=Constants!$B$7,IF(Z356,S356,Constants!$B$13),"")</f>
        <v/>
      </c>
      <c r="AE356" s="66" t="str">
        <f aca="false">IF($AB356=Constants!$B$7,IF(Z356,R356*IF(T356, 1, Constants!$B$11)*IF(U356, 1, Constants!$B$12),Constants!$B$13),"")</f>
        <v/>
      </c>
      <c r="AF356" s="66" t="str">
        <f aca="false">IF($AB356=Constants!$B$7,AD356*AE356,"")</f>
        <v/>
      </c>
      <c r="AG356" s="66" t="str">
        <f aca="false">IF($AB356=Constants!$B$7,IF(AA356,V356,Constants!$B$13),"")</f>
        <v/>
      </c>
      <c r="AH356" s="66" t="str">
        <f aca="false">IF($AB356=Constants!$B$7,IF(AA356,R356*IF(W356, 1, Constants!$B$11)*IF(X356, 1, Constants!$B$12),Constants!$B$13),"")</f>
        <v/>
      </c>
      <c r="AI356" s="66" t="str">
        <f aca="false">IF($AB356=Constants!$B$7,AG356*AH356,"")</f>
        <v/>
      </c>
      <c r="AJ356" s="66" t="str">
        <f aca="false">IF($AB356=Constants!$B$7,IF(AI356&gt;AF356,2,1),"")</f>
        <v/>
      </c>
      <c r="AK356" s="66" t="str">
        <f aca="false">IF($AB356=Constants!$B$7,IF(AJ356=1,2,1),"")</f>
        <v/>
      </c>
      <c r="AL356" s="66" t="str">
        <f aca="false">IF(ISBLANK($C356),"",IF($AB356&lt;&gt;Constants!$B$7,$AB356,IF(AJ356=1,AF356,AI356)))</f>
        <v/>
      </c>
      <c r="AM356" s="66" t="str">
        <f aca="false">IF(ISBLANK($C356),"",IF($AB356=Constants!$B$7,IF(ISNUMBER(AL356),RANK(AL356,$AL$8:$AL$507),Constants!$B$14),$AB356))</f>
        <v/>
      </c>
      <c r="AN356" s="66" t="str">
        <f aca="false">IF(ISBLANK($C356),"",IF($AB356=Constants!$B$7,IF(AK356=1,AF356,AI356),""))</f>
        <v/>
      </c>
      <c r="AO356" s="66" t="str">
        <f aca="false">IF(ISBLANK($C356),"",IF($AB356=Constants!$B$7,RANK(AN356,$AN$8:$AN$507),$AB356))</f>
        <v/>
      </c>
      <c r="AP356" s="66" t="str">
        <f aca="false">IF(ISBLANK($C356),"",IF($AB356=Constants!$B$7,IF(ISNUMBER(AM356),COUNTIFS($AM$8:$AM$507,"&lt;"&amp;$AM356)+COUNTIFS($AM$8:$AM$507,$AM356,$AO$8:$AO$507,"&lt;"&amp;$AO356)+1,Constants!$B$14),$AB356))</f>
        <v/>
      </c>
      <c r="AQ356" s="66" t="str">
        <f aca="false">IF(ISBLANK($C356),"",IF($AB356=Constants!$B$7,IF(ISNUMBER(AM356),AM356-AP356,Constants!$B$14),$AB356))</f>
        <v/>
      </c>
      <c r="AR356" s="68"/>
      <c r="AS356" s="69" t="str">
        <f aca="false">IF(ISBLANK($C356),"",IF($AB356&lt;&gt;Constants!$B$7,"",AJ356))</f>
        <v/>
      </c>
      <c r="AT356" s="84" t="str">
        <f aca="false">IF(ISBLANK($C356),"",IF($AB356&lt;&gt;Constants!$B$7,"",IF(AJ356=1,AD356,AG356)))</f>
        <v/>
      </c>
      <c r="AU356" s="71" t="str">
        <f aca="false">IF(ISBLANK($C356),"",IF($AB356&lt;&gt;Constants!$B$7,"",IF(AJ356=1,AE356,AH356)))</f>
        <v/>
      </c>
      <c r="AV356" s="72" t="str">
        <f aca="false">IF(ISBLANK($C356),"",IF($AB356&lt;&gt;Constants!$B$7,$AB356,AL356))</f>
        <v/>
      </c>
      <c r="AW356" s="73" t="str">
        <f aca="false">IF(ISBLANK($C356),"",IF($AB356&lt;&gt;Constants!$B$7,$AB356,AC356))</f>
        <v/>
      </c>
      <c r="AX356" s="74" t="str">
        <f aca="false">IF(ISBLANK($C356),"",AQ356)</f>
        <v/>
      </c>
      <c r="AY356" s="74" t="str">
        <f aca="false">IF(ISBLANK($C356),"",AP356)</f>
        <v/>
      </c>
      <c r="AZ356" s="75" t="str">
        <f aca="false">IF(ISBLANK($C356),"",IF(AY356=Constants!$B$4,COUNTA($C$8:$C$507)+2,IF(AY356=Constants!$B$5,COUNTA($C$8:$C$507)+1,IF(AY356=Constants!$B$6,COUNTA($C$8:$C$507),AY356))))</f>
        <v/>
      </c>
      <c r="BA356" s="5"/>
      <c r="BB356" s="76" t="n">
        <f aca="false">IF(OR(ISNUMBER(AY356),AY356=Constants!$B$4,AY356=Constants!$B$6,AY356=Constants!$B$5),1,0)</f>
        <v>0</v>
      </c>
      <c r="BC356" s="76" t="n">
        <v>349</v>
      </c>
      <c r="BD356" s="76" t="str">
        <f aca="false">IF(ISBLANK($C356),"",IF(ISNUMBER(AZ356),AZ356+ROW($B356)/1000,""))</f>
        <v/>
      </c>
      <c r="BE356" s="76" t="str">
        <f aca="false">IF(ISNUMBER(BD356),RANK(BD356,$BD$8:$BD$507,1),"")</f>
        <v/>
      </c>
      <c r="BF356" s="76" t="str">
        <f aca="false">IF(ISBLANK($C356),"",$B356)</f>
        <v/>
      </c>
      <c r="BG356" s="76" t="str">
        <f aca="false">IF(ISBLANK($C356),"",$C356)</f>
        <v/>
      </c>
      <c r="BH356" s="76" t="str">
        <f aca="false">IF(ISBLANK($C356),"",$D356)</f>
        <v/>
      </c>
      <c r="BI356" s="77" t="str">
        <f aca="false">AW356</f>
        <v/>
      </c>
      <c r="BJ356" s="78" t="str">
        <f aca="false">AV356</f>
        <v/>
      </c>
      <c r="BK356" s="76" t="str">
        <f aca="false">IF(ISBLANK($C356),"",AY356)</f>
        <v/>
      </c>
      <c r="BL356" s="79" t="str">
        <f aca="false">IF($BC356&gt;$BB$7,"",VLOOKUP($BC356,$BE$8:$BK$507,7,FALSE()))</f>
        <v/>
      </c>
      <c r="BM356" s="80" t="str">
        <f aca="false">IF($BC356&gt;$BB$7,"",VLOOKUP($BC356,$BE$8:$BK$507,2,FALSE()))</f>
        <v/>
      </c>
      <c r="BN356" s="80" t="str">
        <f aca="false">IF($BC356&gt;$BB$7,"",VLOOKUP($BC356,$BE$8:$BK$507,3,FALSE()))</f>
        <v/>
      </c>
      <c r="BO356" s="80" t="str">
        <f aca="false">IF($BC356&gt;$BB$7,"",VLOOKUP($BC356,$BE$8:$BK$507,4,FALSE()))</f>
        <v/>
      </c>
      <c r="BP356" s="80" t="str">
        <f aca="false">IF($BC356&gt;$BB$7,"",VLOOKUP($BC356,$BE$8:$BK$507,5,FALSE()))</f>
        <v/>
      </c>
      <c r="BQ356" s="81" t="str">
        <f aca="false">IF($BC356&gt;$BB$7,"",VLOOKUP($BC356,$BE$8:$BK$507,6,FALSE()))</f>
        <v/>
      </c>
      <c r="BR356" s="54"/>
    </row>
    <row r="357" customFormat="false" ht="15.75" hidden="false" customHeight="false" outlineLevel="0" collapsed="false">
      <c r="A357" s="5"/>
      <c r="B357" s="124"/>
      <c r="C357" s="56"/>
      <c r="D357" s="57"/>
      <c r="E357" s="83"/>
      <c r="F357" s="59"/>
      <c r="G357" s="60"/>
      <c r="H357" s="61"/>
      <c r="I357" s="62"/>
      <c r="J357" s="59"/>
      <c r="K357" s="60"/>
      <c r="L357" s="61"/>
      <c r="M357" s="62"/>
      <c r="N357" s="59"/>
      <c r="O357" s="83"/>
      <c r="P357" s="64"/>
      <c r="Q357" s="66" t="str">
        <f aca="false">IF(ISBLANK($C357),"",IF(E357=Constants!$B$2, TRUE(), IF(E357=Constants!$B$3, FALSE(), TRUE())))</f>
        <v/>
      </c>
      <c r="R357" s="66" t="str">
        <f aca="false">IF(ISBLANK($C357),"",IF(F357=Constants!$B$16,Constants!$B$9,IF(F357=Constants!$B$17,Constants!$B$10,Constants!$B$8)))</f>
        <v/>
      </c>
      <c r="S357" s="66" t="str">
        <f aca="false">IF(ISBLANK($C357),"",IF(COUNTA(G357:H357)=0,"",IF(AND(OR(ISBLANK(G357),AND(ISNUMBER(G357),G357&gt;=0)),OR(ISBLANK(H357),AND(ISNUMBER(H357),H357&gt;=0))),60*IF(ISBLANK(G357),0,G357)+IF(ISBLANK(H357),0,H357),"")))</f>
        <v/>
      </c>
      <c r="T357" s="66" t="str">
        <f aca="false">IF(ISBLANK($C357),"",IF(I357=Constants!$B$2, TRUE(), IF(I357=Constants!$B$3, FALSE(), TRUE())))</f>
        <v/>
      </c>
      <c r="U357" s="66" t="str">
        <f aca="false">IF(ISBLANK($C357),"",IF(J357=Constants!$B$2, TRUE(), IF(J357=Constants!$B$3, FALSE(), TRUE())))</f>
        <v/>
      </c>
      <c r="V357" s="66" t="str">
        <f aca="false">IF(ISBLANK($C357),"",IF(COUNTA(K357:L357)=0,"",IF(AND(OR(ISBLANK(K357),AND(ISNUMBER(K357),K357&gt;=0)),OR(ISBLANK(L357),AND(ISNUMBER(L357),L357&gt;=0))),60*IF(ISBLANK(K357),0,K357)+IF(ISBLANK(L357),0,L357),"")))</f>
        <v/>
      </c>
      <c r="W357" s="66" t="str">
        <f aca="false">IF(ISBLANK($C357),"",IF(M357=Constants!$B$2, TRUE(), IF(M357=Constants!$B$3, FALSE(), TRUE())))</f>
        <v/>
      </c>
      <c r="X357" s="66" t="str">
        <f aca="false">IF(ISBLANK($C357),"",IF(N357=Constants!$B$2, TRUE(), IF(N357=Constants!$B$3, FALSE(), TRUE())))</f>
        <v/>
      </c>
      <c r="Y357" s="66" t="str">
        <f aca="false">IF(ISBLANK($C357),"",IF(O357=Constants!$B$2, TRUE(), IF(O357=Constants!$B$3, FALSE(), FALSE())))</f>
        <v/>
      </c>
      <c r="Z357" s="66" t="str">
        <f aca="false">IF(ISBLANK($C357),"",AND(S357&lt;&gt;"",Q357))</f>
        <v/>
      </c>
      <c r="AA357" s="66" t="str">
        <f aca="false">IF(ISBLANK($C357),"",AND(V357&lt;&gt;"",Q357))</f>
        <v/>
      </c>
      <c r="AB357" s="66" t="str">
        <f aca="false">IF(ISBLANK($C357),"",IF(Y357,Constants!$B$4,IF(COUNTA(E357:N357)=0,Constants!$B$5,IF(NOT(Q357),Constants!$B$6,IF(AND(NOT(Z357),NOT(AA357)),Constants!$B$6,Constants!$B$7)))))</f>
        <v/>
      </c>
      <c r="AC357" s="66" t="str">
        <f aca="false">IF(ISBLANK($C357),"",IF($AB357&lt;&gt;Constants!$B$7,$AB357,Constants!$B$20))</f>
        <v/>
      </c>
      <c r="AD357" s="66" t="str">
        <f aca="false">IF($AB357=Constants!$B$7,IF(Z357,S357,Constants!$B$13),"")</f>
        <v/>
      </c>
      <c r="AE357" s="66" t="str">
        <f aca="false">IF($AB357=Constants!$B$7,IF(Z357,R357*IF(T357, 1, Constants!$B$11)*IF(U357, 1, Constants!$B$12),Constants!$B$13),"")</f>
        <v/>
      </c>
      <c r="AF357" s="66" t="str">
        <f aca="false">IF($AB357=Constants!$B$7,AD357*AE357,"")</f>
        <v/>
      </c>
      <c r="AG357" s="66" t="str">
        <f aca="false">IF($AB357=Constants!$B$7,IF(AA357,V357,Constants!$B$13),"")</f>
        <v/>
      </c>
      <c r="AH357" s="66" t="str">
        <f aca="false">IF($AB357=Constants!$B$7,IF(AA357,R357*IF(W357, 1, Constants!$B$11)*IF(X357, 1, Constants!$B$12),Constants!$B$13),"")</f>
        <v/>
      </c>
      <c r="AI357" s="66" t="str">
        <f aca="false">IF($AB357=Constants!$B$7,AG357*AH357,"")</f>
        <v/>
      </c>
      <c r="AJ357" s="66" t="str">
        <f aca="false">IF($AB357=Constants!$B$7,IF(AI357&gt;AF357,2,1),"")</f>
        <v/>
      </c>
      <c r="AK357" s="66" t="str">
        <f aca="false">IF($AB357=Constants!$B$7,IF(AJ357=1,2,1),"")</f>
        <v/>
      </c>
      <c r="AL357" s="66" t="str">
        <f aca="false">IF(ISBLANK($C357),"",IF($AB357&lt;&gt;Constants!$B$7,$AB357,IF(AJ357=1,AF357,AI357)))</f>
        <v/>
      </c>
      <c r="AM357" s="66" t="str">
        <f aca="false">IF(ISBLANK($C357),"",IF($AB357=Constants!$B$7,IF(ISNUMBER(AL357),RANK(AL357,$AL$8:$AL$507),Constants!$B$14),$AB357))</f>
        <v/>
      </c>
      <c r="AN357" s="66" t="str">
        <f aca="false">IF(ISBLANK($C357),"",IF($AB357=Constants!$B$7,IF(AK357=1,AF357,AI357),""))</f>
        <v/>
      </c>
      <c r="AO357" s="66" t="str">
        <f aca="false">IF(ISBLANK($C357),"",IF($AB357=Constants!$B$7,RANK(AN357,$AN$8:$AN$507),$AB357))</f>
        <v/>
      </c>
      <c r="AP357" s="66" t="str">
        <f aca="false">IF(ISBLANK($C357),"",IF($AB357=Constants!$B$7,IF(ISNUMBER(AM357),COUNTIFS($AM$8:$AM$507,"&lt;"&amp;$AM357)+COUNTIFS($AM$8:$AM$507,$AM357,$AO$8:$AO$507,"&lt;"&amp;$AO357)+1,Constants!$B$14),$AB357))</f>
        <v/>
      </c>
      <c r="AQ357" s="66" t="str">
        <f aca="false">IF(ISBLANK($C357),"",IF($AB357=Constants!$B$7,IF(ISNUMBER(AM357),AM357-AP357,Constants!$B$14),$AB357))</f>
        <v/>
      </c>
      <c r="AR357" s="68"/>
      <c r="AS357" s="69" t="str">
        <f aca="false">IF(ISBLANK($C357),"",IF($AB357&lt;&gt;Constants!$B$7,"",AJ357))</f>
        <v/>
      </c>
      <c r="AT357" s="84" t="str">
        <f aca="false">IF(ISBLANK($C357),"",IF($AB357&lt;&gt;Constants!$B$7,"",IF(AJ357=1,AD357,AG357)))</f>
        <v/>
      </c>
      <c r="AU357" s="71" t="str">
        <f aca="false">IF(ISBLANK($C357),"",IF($AB357&lt;&gt;Constants!$B$7,"",IF(AJ357=1,AE357,AH357)))</f>
        <v/>
      </c>
      <c r="AV357" s="72" t="str">
        <f aca="false">IF(ISBLANK($C357),"",IF($AB357&lt;&gt;Constants!$B$7,$AB357,AL357))</f>
        <v/>
      </c>
      <c r="AW357" s="73" t="str">
        <f aca="false">IF(ISBLANK($C357),"",IF($AB357&lt;&gt;Constants!$B$7,$AB357,AC357))</f>
        <v/>
      </c>
      <c r="AX357" s="74" t="str">
        <f aca="false">IF(ISBLANK($C357),"",AQ357)</f>
        <v/>
      </c>
      <c r="AY357" s="74" t="str">
        <f aca="false">IF(ISBLANK($C357),"",AP357)</f>
        <v/>
      </c>
      <c r="AZ357" s="75" t="str">
        <f aca="false">IF(ISBLANK($C357),"",IF(AY357=Constants!$B$4,COUNTA($C$8:$C$507)+2,IF(AY357=Constants!$B$5,COUNTA($C$8:$C$507)+1,IF(AY357=Constants!$B$6,COUNTA($C$8:$C$507),AY357))))</f>
        <v/>
      </c>
      <c r="BA357" s="5"/>
      <c r="BB357" s="76" t="n">
        <f aca="false">IF(OR(ISNUMBER(AY357),AY357=Constants!$B$4,AY357=Constants!$B$6,AY357=Constants!$B$5),1,0)</f>
        <v>0</v>
      </c>
      <c r="BC357" s="76" t="n">
        <v>350</v>
      </c>
      <c r="BD357" s="76" t="str">
        <f aca="false">IF(ISBLANK($C357),"",IF(ISNUMBER(AZ357),AZ357+ROW($B357)/1000,""))</f>
        <v/>
      </c>
      <c r="BE357" s="76" t="str">
        <f aca="false">IF(ISNUMBER(BD357),RANK(BD357,$BD$8:$BD$507,1),"")</f>
        <v/>
      </c>
      <c r="BF357" s="76" t="str">
        <f aca="false">IF(ISBLANK($C357),"",$B357)</f>
        <v/>
      </c>
      <c r="BG357" s="76" t="str">
        <f aca="false">IF(ISBLANK($C357),"",$C357)</f>
        <v/>
      </c>
      <c r="BH357" s="76" t="str">
        <f aca="false">IF(ISBLANK($C357),"",$D357)</f>
        <v/>
      </c>
      <c r="BI357" s="77" t="str">
        <f aca="false">AW357</f>
        <v/>
      </c>
      <c r="BJ357" s="78" t="str">
        <f aca="false">AV357</f>
        <v/>
      </c>
      <c r="BK357" s="76" t="str">
        <f aca="false">IF(ISBLANK($C357),"",AY357)</f>
        <v/>
      </c>
      <c r="BL357" s="79" t="str">
        <f aca="false">IF($BC357&gt;$BB$7,"",VLOOKUP($BC357,$BE$8:$BK$507,7,FALSE()))</f>
        <v/>
      </c>
      <c r="BM357" s="80" t="str">
        <f aca="false">IF($BC357&gt;$BB$7,"",VLOOKUP($BC357,$BE$8:$BK$507,2,FALSE()))</f>
        <v/>
      </c>
      <c r="BN357" s="80" t="str">
        <f aca="false">IF($BC357&gt;$BB$7,"",VLOOKUP($BC357,$BE$8:$BK$507,3,FALSE()))</f>
        <v/>
      </c>
      <c r="BO357" s="80" t="str">
        <f aca="false">IF($BC357&gt;$BB$7,"",VLOOKUP($BC357,$BE$8:$BK$507,4,FALSE()))</f>
        <v/>
      </c>
      <c r="BP357" s="80" t="str">
        <f aca="false">IF($BC357&gt;$BB$7,"",VLOOKUP($BC357,$BE$8:$BK$507,5,FALSE()))</f>
        <v/>
      </c>
      <c r="BQ357" s="81" t="str">
        <f aca="false">IF($BC357&gt;$BB$7,"",VLOOKUP($BC357,$BE$8:$BK$507,6,FALSE()))</f>
        <v/>
      </c>
      <c r="BR357" s="54"/>
    </row>
    <row r="358" customFormat="false" ht="15.75" hidden="false" customHeight="false" outlineLevel="0" collapsed="false">
      <c r="A358" s="5"/>
      <c r="B358" s="124"/>
      <c r="C358" s="56"/>
      <c r="D358" s="57"/>
      <c r="E358" s="83"/>
      <c r="F358" s="59"/>
      <c r="G358" s="60"/>
      <c r="H358" s="61"/>
      <c r="I358" s="62"/>
      <c r="J358" s="59"/>
      <c r="K358" s="60"/>
      <c r="L358" s="61"/>
      <c r="M358" s="62"/>
      <c r="N358" s="59"/>
      <c r="O358" s="83"/>
      <c r="P358" s="64"/>
      <c r="Q358" s="66" t="str">
        <f aca="false">IF(ISBLANK($C358),"",IF(E358=Constants!$B$2, TRUE(), IF(E358=Constants!$B$3, FALSE(), TRUE())))</f>
        <v/>
      </c>
      <c r="R358" s="66" t="str">
        <f aca="false">IF(ISBLANK($C358),"",IF(F358=Constants!$B$16,Constants!$B$9,IF(F358=Constants!$B$17,Constants!$B$10,Constants!$B$8)))</f>
        <v/>
      </c>
      <c r="S358" s="66" t="str">
        <f aca="false">IF(ISBLANK($C358),"",IF(COUNTA(G358:H358)=0,"",IF(AND(OR(ISBLANK(G358),AND(ISNUMBER(G358),G358&gt;=0)),OR(ISBLANK(H358),AND(ISNUMBER(H358),H358&gt;=0))),60*IF(ISBLANK(G358),0,G358)+IF(ISBLANK(H358),0,H358),"")))</f>
        <v/>
      </c>
      <c r="T358" s="66" t="str">
        <f aca="false">IF(ISBLANK($C358),"",IF(I358=Constants!$B$2, TRUE(), IF(I358=Constants!$B$3, FALSE(), TRUE())))</f>
        <v/>
      </c>
      <c r="U358" s="66" t="str">
        <f aca="false">IF(ISBLANK($C358),"",IF(J358=Constants!$B$2, TRUE(), IF(J358=Constants!$B$3, FALSE(), TRUE())))</f>
        <v/>
      </c>
      <c r="V358" s="66" t="str">
        <f aca="false">IF(ISBLANK($C358),"",IF(COUNTA(K358:L358)=0,"",IF(AND(OR(ISBLANK(K358),AND(ISNUMBER(K358),K358&gt;=0)),OR(ISBLANK(L358),AND(ISNUMBER(L358),L358&gt;=0))),60*IF(ISBLANK(K358),0,K358)+IF(ISBLANK(L358),0,L358),"")))</f>
        <v/>
      </c>
      <c r="W358" s="66" t="str">
        <f aca="false">IF(ISBLANK($C358),"",IF(M358=Constants!$B$2, TRUE(), IF(M358=Constants!$B$3, FALSE(), TRUE())))</f>
        <v/>
      </c>
      <c r="X358" s="66" t="str">
        <f aca="false">IF(ISBLANK($C358),"",IF(N358=Constants!$B$2, TRUE(), IF(N358=Constants!$B$3, FALSE(), TRUE())))</f>
        <v/>
      </c>
      <c r="Y358" s="66" t="str">
        <f aca="false">IF(ISBLANK($C358),"",IF(O358=Constants!$B$2, TRUE(), IF(O358=Constants!$B$3, FALSE(), FALSE())))</f>
        <v/>
      </c>
      <c r="Z358" s="66" t="str">
        <f aca="false">IF(ISBLANK($C358),"",AND(S358&lt;&gt;"",Q358))</f>
        <v/>
      </c>
      <c r="AA358" s="66" t="str">
        <f aca="false">IF(ISBLANK($C358),"",AND(V358&lt;&gt;"",Q358))</f>
        <v/>
      </c>
      <c r="AB358" s="66" t="str">
        <f aca="false">IF(ISBLANK($C358),"",IF(Y358,Constants!$B$4,IF(COUNTA(E358:N358)=0,Constants!$B$5,IF(NOT(Q358),Constants!$B$6,IF(AND(NOT(Z358),NOT(AA358)),Constants!$B$6,Constants!$B$7)))))</f>
        <v/>
      </c>
      <c r="AC358" s="66" t="str">
        <f aca="false">IF(ISBLANK($C358),"",IF($AB358&lt;&gt;Constants!$B$7,$AB358,Constants!$B$20))</f>
        <v/>
      </c>
      <c r="AD358" s="66" t="str">
        <f aca="false">IF($AB358=Constants!$B$7,IF(Z358,S358,Constants!$B$13),"")</f>
        <v/>
      </c>
      <c r="AE358" s="66" t="str">
        <f aca="false">IF($AB358=Constants!$B$7,IF(Z358,R358*IF(T358, 1, Constants!$B$11)*IF(U358, 1, Constants!$B$12),Constants!$B$13),"")</f>
        <v/>
      </c>
      <c r="AF358" s="66" t="str">
        <f aca="false">IF($AB358=Constants!$B$7,AD358*AE358,"")</f>
        <v/>
      </c>
      <c r="AG358" s="66" t="str">
        <f aca="false">IF($AB358=Constants!$B$7,IF(AA358,V358,Constants!$B$13),"")</f>
        <v/>
      </c>
      <c r="AH358" s="66" t="str">
        <f aca="false">IF($AB358=Constants!$B$7,IF(AA358,R358*IF(W358, 1, Constants!$B$11)*IF(X358, 1, Constants!$B$12),Constants!$B$13),"")</f>
        <v/>
      </c>
      <c r="AI358" s="66" t="str">
        <f aca="false">IF($AB358=Constants!$B$7,AG358*AH358,"")</f>
        <v/>
      </c>
      <c r="AJ358" s="66" t="str">
        <f aca="false">IF($AB358=Constants!$B$7,IF(AI358&gt;AF358,2,1),"")</f>
        <v/>
      </c>
      <c r="AK358" s="66" t="str">
        <f aca="false">IF($AB358=Constants!$B$7,IF(AJ358=1,2,1),"")</f>
        <v/>
      </c>
      <c r="AL358" s="66" t="str">
        <f aca="false">IF(ISBLANK($C358),"",IF($AB358&lt;&gt;Constants!$B$7,$AB358,IF(AJ358=1,AF358,AI358)))</f>
        <v/>
      </c>
      <c r="AM358" s="66" t="str">
        <f aca="false">IF(ISBLANK($C358),"",IF($AB358=Constants!$B$7,IF(ISNUMBER(AL358),RANK(AL358,$AL$8:$AL$507),Constants!$B$14),$AB358))</f>
        <v/>
      </c>
      <c r="AN358" s="66" t="str">
        <f aca="false">IF(ISBLANK($C358),"",IF($AB358=Constants!$B$7,IF(AK358=1,AF358,AI358),""))</f>
        <v/>
      </c>
      <c r="AO358" s="66" t="str">
        <f aca="false">IF(ISBLANK($C358),"",IF($AB358=Constants!$B$7,RANK(AN358,$AN$8:$AN$507),$AB358))</f>
        <v/>
      </c>
      <c r="AP358" s="66" t="str">
        <f aca="false">IF(ISBLANK($C358),"",IF($AB358=Constants!$B$7,IF(ISNUMBER(AM358),COUNTIFS($AM$8:$AM$507,"&lt;"&amp;$AM358)+COUNTIFS($AM$8:$AM$507,$AM358,$AO$8:$AO$507,"&lt;"&amp;$AO358)+1,Constants!$B$14),$AB358))</f>
        <v/>
      </c>
      <c r="AQ358" s="66" t="str">
        <f aca="false">IF(ISBLANK($C358),"",IF($AB358=Constants!$B$7,IF(ISNUMBER(AM358),AM358-AP358,Constants!$B$14),$AB358))</f>
        <v/>
      </c>
      <c r="AR358" s="68"/>
      <c r="AS358" s="69" t="str">
        <f aca="false">IF(ISBLANK($C358),"",IF($AB358&lt;&gt;Constants!$B$7,"",AJ358))</f>
        <v/>
      </c>
      <c r="AT358" s="84" t="str">
        <f aca="false">IF(ISBLANK($C358),"",IF($AB358&lt;&gt;Constants!$B$7,"",IF(AJ358=1,AD358,AG358)))</f>
        <v/>
      </c>
      <c r="AU358" s="71" t="str">
        <f aca="false">IF(ISBLANK($C358),"",IF($AB358&lt;&gt;Constants!$B$7,"",IF(AJ358=1,AE358,AH358)))</f>
        <v/>
      </c>
      <c r="AV358" s="72" t="str">
        <f aca="false">IF(ISBLANK($C358),"",IF($AB358&lt;&gt;Constants!$B$7,$AB358,AL358))</f>
        <v/>
      </c>
      <c r="AW358" s="73" t="str">
        <f aca="false">IF(ISBLANK($C358),"",IF($AB358&lt;&gt;Constants!$B$7,$AB358,AC358))</f>
        <v/>
      </c>
      <c r="AX358" s="74" t="str">
        <f aca="false">IF(ISBLANK($C358),"",AQ358)</f>
        <v/>
      </c>
      <c r="AY358" s="74" t="str">
        <f aca="false">IF(ISBLANK($C358),"",AP358)</f>
        <v/>
      </c>
      <c r="AZ358" s="75" t="str">
        <f aca="false">IF(ISBLANK($C358),"",IF(AY358=Constants!$B$4,COUNTA($C$8:$C$507)+2,IF(AY358=Constants!$B$5,COUNTA($C$8:$C$507)+1,IF(AY358=Constants!$B$6,COUNTA($C$8:$C$507),AY358))))</f>
        <v/>
      </c>
      <c r="BA358" s="5"/>
      <c r="BB358" s="76" t="n">
        <f aca="false">IF(OR(ISNUMBER(AY358),AY358=Constants!$B$4,AY358=Constants!$B$6,AY358=Constants!$B$5),1,0)</f>
        <v>0</v>
      </c>
      <c r="BC358" s="76" t="n">
        <v>351</v>
      </c>
      <c r="BD358" s="76" t="str">
        <f aca="false">IF(ISBLANK($C358),"",IF(ISNUMBER(AZ358),AZ358+ROW($B358)/1000,""))</f>
        <v/>
      </c>
      <c r="BE358" s="76" t="str">
        <f aca="false">IF(ISNUMBER(BD358),RANK(BD358,$BD$8:$BD$507,1),"")</f>
        <v/>
      </c>
      <c r="BF358" s="76" t="str">
        <f aca="false">IF(ISBLANK($C358),"",$B358)</f>
        <v/>
      </c>
      <c r="BG358" s="76" t="str">
        <f aca="false">IF(ISBLANK($C358),"",$C358)</f>
        <v/>
      </c>
      <c r="BH358" s="76" t="str">
        <f aca="false">IF(ISBLANK($C358),"",$D358)</f>
        <v/>
      </c>
      <c r="BI358" s="77" t="str">
        <f aca="false">AW358</f>
        <v/>
      </c>
      <c r="BJ358" s="78" t="str">
        <f aca="false">AV358</f>
        <v/>
      </c>
      <c r="BK358" s="76" t="str">
        <f aca="false">IF(ISBLANK($C358),"",AY358)</f>
        <v/>
      </c>
      <c r="BL358" s="79" t="str">
        <f aca="false">IF($BC358&gt;$BB$7,"",VLOOKUP($BC358,$BE$8:$BK$507,7,FALSE()))</f>
        <v/>
      </c>
      <c r="BM358" s="80" t="str">
        <f aca="false">IF($BC358&gt;$BB$7,"",VLOOKUP($BC358,$BE$8:$BK$507,2,FALSE()))</f>
        <v/>
      </c>
      <c r="BN358" s="80" t="str">
        <f aca="false">IF($BC358&gt;$BB$7,"",VLOOKUP($BC358,$BE$8:$BK$507,3,FALSE()))</f>
        <v/>
      </c>
      <c r="BO358" s="80" t="str">
        <f aca="false">IF($BC358&gt;$BB$7,"",VLOOKUP($BC358,$BE$8:$BK$507,4,FALSE()))</f>
        <v/>
      </c>
      <c r="BP358" s="80" t="str">
        <f aca="false">IF($BC358&gt;$BB$7,"",VLOOKUP($BC358,$BE$8:$BK$507,5,FALSE()))</f>
        <v/>
      </c>
      <c r="BQ358" s="81" t="str">
        <f aca="false">IF($BC358&gt;$BB$7,"",VLOOKUP($BC358,$BE$8:$BK$507,6,FALSE()))</f>
        <v/>
      </c>
      <c r="BR358" s="54"/>
    </row>
    <row r="359" customFormat="false" ht="15.75" hidden="false" customHeight="false" outlineLevel="0" collapsed="false">
      <c r="A359" s="5"/>
      <c r="B359" s="120"/>
      <c r="C359" s="121"/>
      <c r="D359" s="112"/>
      <c r="E359" s="123"/>
      <c r="F359" s="91"/>
      <c r="G359" s="92"/>
      <c r="H359" s="93"/>
      <c r="I359" s="94"/>
      <c r="J359" s="91"/>
      <c r="K359" s="92"/>
      <c r="L359" s="93"/>
      <c r="M359" s="94"/>
      <c r="N359" s="91"/>
      <c r="O359" s="123"/>
      <c r="P359" s="96"/>
      <c r="Q359" s="97" t="str">
        <f aca="false">IF(ISBLANK($C359),"",IF(E359=Constants!$B$2, TRUE(), IF(E359=Constants!$B$3, FALSE(), TRUE())))</f>
        <v/>
      </c>
      <c r="R359" s="97" t="str">
        <f aca="false">IF(ISBLANK($C359),"",IF(F359=Constants!$B$16,Constants!$B$9,IF(F359=Constants!$B$17,Constants!$B$10,Constants!$B$8)))</f>
        <v/>
      </c>
      <c r="S359" s="97" t="str">
        <f aca="false">IF(ISBLANK($C359),"",IF(COUNTA(G359:H359)=0,"",IF(AND(OR(ISBLANK(G359),AND(ISNUMBER(G359),G359&gt;=0)),OR(ISBLANK(H359),AND(ISNUMBER(H359),H359&gt;=0))),60*IF(ISBLANK(G359),0,G359)+IF(ISBLANK(H359),0,H359),"")))</f>
        <v/>
      </c>
      <c r="T359" s="97" t="str">
        <f aca="false">IF(ISBLANK($C359),"",IF(I359=Constants!$B$2, TRUE(), IF(I359=Constants!$B$3, FALSE(), TRUE())))</f>
        <v/>
      </c>
      <c r="U359" s="97" t="str">
        <f aca="false">IF(ISBLANK($C359),"",IF(J359=Constants!$B$2, TRUE(), IF(J359=Constants!$B$3, FALSE(), TRUE())))</f>
        <v/>
      </c>
      <c r="V359" s="97" t="str">
        <f aca="false">IF(ISBLANK($C359),"",IF(COUNTA(K359:L359)=0,"",IF(AND(OR(ISBLANK(K359),AND(ISNUMBER(K359),K359&gt;=0)),OR(ISBLANK(L359),AND(ISNUMBER(L359),L359&gt;=0))),60*IF(ISBLANK(K359),0,K359)+IF(ISBLANK(L359),0,L359),"")))</f>
        <v/>
      </c>
      <c r="W359" s="97" t="str">
        <f aca="false">IF(ISBLANK($C359),"",IF(M359=Constants!$B$2, TRUE(), IF(M359=Constants!$B$3, FALSE(), TRUE())))</f>
        <v/>
      </c>
      <c r="X359" s="97" t="str">
        <f aca="false">IF(ISBLANK($C359),"",IF(N359=Constants!$B$2, TRUE(), IF(N359=Constants!$B$3, FALSE(), TRUE())))</f>
        <v/>
      </c>
      <c r="Y359" s="97" t="str">
        <f aca="false">IF(ISBLANK($C359),"",IF(O359=Constants!$B$2, TRUE(), IF(O359=Constants!$B$3, FALSE(), FALSE())))</f>
        <v/>
      </c>
      <c r="Z359" s="97" t="str">
        <f aca="false">IF(ISBLANK($C359),"",AND(S359&lt;&gt;"",Q359))</f>
        <v/>
      </c>
      <c r="AA359" s="97" t="str">
        <f aca="false">IF(ISBLANK($C359),"",AND(V359&lt;&gt;"",Q359))</f>
        <v/>
      </c>
      <c r="AB359" s="97" t="str">
        <f aca="false">IF(ISBLANK($C359),"",IF(Y359,Constants!$B$4,IF(COUNTA(E359:N359)=0,Constants!$B$5,IF(NOT(Q359),Constants!$B$6,IF(AND(NOT(Z359),NOT(AA359)),Constants!$B$6,Constants!$B$7)))))</f>
        <v/>
      </c>
      <c r="AC359" s="97" t="str">
        <f aca="false">IF(ISBLANK($C359),"",IF($AB359&lt;&gt;Constants!$B$7,$AB359,Constants!$B$20))</f>
        <v/>
      </c>
      <c r="AD359" s="97" t="str">
        <f aca="false">IF($AB359=Constants!$B$7,IF(Z359,S359,Constants!$B$13),"")</f>
        <v/>
      </c>
      <c r="AE359" s="97" t="str">
        <f aca="false">IF($AB359=Constants!$B$7,IF(Z359,R359*IF(T359, 1, Constants!$B$11)*IF(U359, 1, Constants!$B$12),Constants!$B$13),"")</f>
        <v/>
      </c>
      <c r="AF359" s="97" t="str">
        <f aca="false">IF($AB359=Constants!$B$7,AD359*AE359,"")</f>
        <v/>
      </c>
      <c r="AG359" s="97" t="str">
        <f aca="false">IF($AB359=Constants!$B$7,IF(AA359,V359,Constants!$B$13),"")</f>
        <v/>
      </c>
      <c r="AH359" s="97" t="str">
        <f aca="false">IF($AB359=Constants!$B$7,IF(AA359,R359*IF(W359, 1, Constants!$B$11)*IF(X359, 1, Constants!$B$12),Constants!$B$13),"")</f>
        <v/>
      </c>
      <c r="AI359" s="97" t="str">
        <f aca="false">IF($AB359=Constants!$B$7,AG359*AH359,"")</f>
        <v/>
      </c>
      <c r="AJ359" s="97" t="str">
        <f aca="false">IF($AB359=Constants!$B$7,IF(AI359&gt;AF359,2,1),"")</f>
        <v/>
      </c>
      <c r="AK359" s="97" t="str">
        <f aca="false">IF($AB359=Constants!$B$7,IF(AJ359=1,2,1),"")</f>
        <v/>
      </c>
      <c r="AL359" s="97" t="str">
        <f aca="false">IF(ISBLANK($C359),"",IF($AB359&lt;&gt;Constants!$B$7,$AB359,IF(AJ359=1,AF359,AI359)))</f>
        <v/>
      </c>
      <c r="AM359" s="97" t="str">
        <f aca="false">IF(ISBLANK($C359),"",IF($AB359=Constants!$B$7,IF(ISNUMBER(AL359),RANK(AL359,$AL$8:$AL$507),Constants!$B$14),$AB359))</f>
        <v/>
      </c>
      <c r="AN359" s="97" t="str">
        <f aca="false">IF(ISBLANK($C359),"",IF($AB359=Constants!$B$7,IF(AK359=1,AF359,AI359),""))</f>
        <v/>
      </c>
      <c r="AO359" s="97" t="str">
        <f aca="false">IF(ISBLANK($C359),"",IF($AB359=Constants!$B$7,RANK(AN359,$AN$8:$AN$507),$AB359))</f>
        <v/>
      </c>
      <c r="AP359" s="97" t="str">
        <f aca="false">IF(ISBLANK($C359),"",IF($AB359=Constants!$B$7,IF(ISNUMBER(AM359),COUNTIFS($AM$8:$AM$507,"&lt;"&amp;$AM359)+COUNTIFS($AM$8:$AM$507,$AM359,$AO$8:$AO$507,"&lt;"&amp;$AO359)+1,Constants!$B$14),$AB359))</f>
        <v/>
      </c>
      <c r="AQ359" s="97" t="str">
        <f aca="false">IF(ISBLANK($C359),"",IF($AB359=Constants!$B$7,IF(ISNUMBER(AM359),AM359-AP359,Constants!$B$14),$AB359))</f>
        <v/>
      </c>
      <c r="AR359" s="98"/>
      <c r="AS359" s="99" t="str">
        <f aca="false">IF(ISBLANK($C359),"",IF($AB359&lt;&gt;Constants!$B$7,"",AJ359))</f>
        <v/>
      </c>
      <c r="AT359" s="100" t="str">
        <f aca="false">IF(ISBLANK($C359),"",IF($AB359&lt;&gt;Constants!$B$7,"",IF(AJ359=1,AD359,AG359)))</f>
        <v/>
      </c>
      <c r="AU359" s="101" t="str">
        <f aca="false">IF(ISBLANK($C359),"",IF($AB359&lt;&gt;Constants!$B$7,"",IF(AJ359=1,AE359,AH359)))</f>
        <v/>
      </c>
      <c r="AV359" s="102" t="str">
        <f aca="false">IF(ISBLANK($C359),"",IF($AB359&lt;&gt;Constants!$B$7,$AB359,AL359))</f>
        <v/>
      </c>
      <c r="AW359" s="103" t="str">
        <f aca="false">IF(ISBLANK($C359),"",IF($AB359&lt;&gt;Constants!$B$7,$AB359,AC359))</f>
        <v/>
      </c>
      <c r="AX359" s="104" t="str">
        <f aca="false">IF(ISBLANK($C359),"",AQ359)</f>
        <v/>
      </c>
      <c r="AY359" s="104" t="str">
        <f aca="false">IF(ISBLANK($C359),"",AP359)</f>
        <v/>
      </c>
      <c r="AZ359" s="105" t="str">
        <f aca="false">IF(ISBLANK($C359),"",IF(AY359=Constants!$B$4,COUNTA($C$8:$C$507)+2,IF(AY359=Constants!$B$5,COUNTA($C$8:$C$507)+1,IF(AY359=Constants!$B$6,COUNTA($C$8:$C$507),AY359))))</f>
        <v/>
      </c>
      <c r="BA359" s="5"/>
      <c r="BB359" s="106" t="n">
        <f aca="false">IF(OR(ISNUMBER(AY359),AY359=Constants!$B$4,AY359=Constants!$B$6,AY359=Constants!$B$5),1,0)</f>
        <v>0</v>
      </c>
      <c r="BC359" s="106" t="n">
        <v>352</v>
      </c>
      <c r="BD359" s="106" t="str">
        <f aca="false">IF(ISBLANK($C359),"",IF(ISNUMBER(AZ359),AZ359+ROW($B359)/1000,""))</f>
        <v/>
      </c>
      <c r="BE359" s="106" t="str">
        <f aca="false">IF(ISNUMBER(BD359),RANK(BD359,$BD$8:$BD$507,1),"")</f>
        <v/>
      </c>
      <c r="BF359" s="106" t="str">
        <f aca="false">IF(ISBLANK($C359),"",$B359)</f>
        <v/>
      </c>
      <c r="BG359" s="106" t="str">
        <f aca="false">IF(ISBLANK($C359),"",$C359)</f>
        <v/>
      </c>
      <c r="BH359" s="106" t="str">
        <f aca="false">IF(ISBLANK($C359),"",$D359)</f>
        <v/>
      </c>
      <c r="BI359" s="107" t="str">
        <f aca="false">AW359</f>
        <v/>
      </c>
      <c r="BJ359" s="108" t="str">
        <f aca="false">AV359</f>
        <v/>
      </c>
      <c r="BK359" s="106" t="str">
        <f aca="false">IF(ISBLANK($C359),"",AY359)</f>
        <v/>
      </c>
      <c r="BL359" s="109" t="str">
        <f aca="false">IF($BC359&gt;$BB$7,"",VLOOKUP($BC359,$BE$8:$BK$507,7,FALSE()))</f>
        <v/>
      </c>
      <c r="BM359" s="110" t="str">
        <f aca="false">IF($BC359&gt;$BB$7,"",VLOOKUP($BC359,$BE$8:$BK$507,2,FALSE()))</f>
        <v/>
      </c>
      <c r="BN359" s="110" t="str">
        <f aca="false">IF($BC359&gt;$BB$7,"",VLOOKUP($BC359,$BE$8:$BK$507,3,FALSE()))</f>
        <v/>
      </c>
      <c r="BO359" s="110" t="str">
        <f aca="false">IF($BC359&gt;$BB$7,"",VLOOKUP($BC359,$BE$8:$BK$507,4,FALSE()))</f>
        <v/>
      </c>
      <c r="BP359" s="110" t="str">
        <f aca="false">IF($BC359&gt;$BB$7,"",VLOOKUP($BC359,$BE$8:$BK$507,5,FALSE()))</f>
        <v/>
      </c>
      <c r="BQ359" s="111" t="str">
        <f aca="false">IF($BC359&gt;$BB$7,"",VLOOKUP($BC359,$BE$8:$BK$507,6,FALSE()))</f>
        <v/>
      </c>
      <c r="BR359" s="54"/>
    </row>
    <row r="360" customFormat="false" ht="15.75" hidden="false" customHeight="false" outlineLevel="0" collapsed="false">
      <c r="A360" s="5"/>
      <c r="B360" s="120"/>
      <c r="C360" s="121"/>
      <c r="D360" s="112"/>
      <c r="E360" s="123"/>
      <c r="F360" s="91"/>
      <c r="G360" s="92"/>
      <c r="H360" s="93"/>
      <c r="I360" s="94"/>
      <c r="J360" s="91"/>
      <c r="K360" s="92"/>
      <c r="L360" s="93"/>
      <c r="M360" s="94"/>
      <c r="N360" s="91"/>
      <c r="O360" s="123"/>
      <c r="P360" s="96"/>
      <c r="Q360" s="97" t="str">
        <f aca="false">IF(ISBLANK($C360),"",IF(E360=Constants!$B$2, TRUE(), IF(E360=Constants!$B$3, FALSE(), TRUE())))</f>
        <v/>
      </c>
      <c r="R360" s="97" t="str">
        <f aca="false">IF(ISBLANK($C360),"",IF(F360=Constants!$B$16,Constants!$B$9,IF(F360=Constants!$B$17,Constants!$B$10,Constants!$B$8)))</f>
        <v/>
      </c>
      <c r="S360" s="97" t="str">
        <f aca="false">IF(ISBLANK($C360),"",IF(COUNTA(G360:H360)=0,"",IF(AND(OR(ISBLANK(G360),AND(ISNUMBER(G360),G360&gt;=0)),OR(ISBLANK(H360),AND(ISNUMBER(H360),H360&gt;=0))),60*IF(ISBLANK(G360),0,G360)+IF(ISBLANK(H360),0,H360),"")))</f>
        <v/>
      </c>
      <c r="T360" s="97" t="str">
        <f aca="false">IF(ISBLANK($C360),"",IF(I360=Constants!$B$2, TRUE(), IF(I360=Constants!$B$3, FALSE(), TRUE())))</f>
        <v/>
      </c>
      <c r="U360" s="97" t="str">
        <f aca="false">IF(ISBLANK($C360),"",IF(J360=Constants!$B$2, TRUE(), IF(J360=Constants!$B$3, FALSE(), TRUE())))</f>
        <v/>
      </c>
      <c r="V360" s="97" t="str">
        <f aca="false">IF(ISBLANK($C360),"",IF(COUNTA(K360:L360)=0,"",IF(AND(OR(ISBLANK(K360),AND(ISNUMBER(K360),K360&gt;=0)),OR(ISBLANK(L360),AND(ISNUMBER(L360),L360&gt;=0))),60*IF(ISBLANK(K360),0,K360)+IF(ISBLANK(L360),0,L360),"")))</f>
        <v/>
      </c>
      <c r="W360" s="97" t="str">
        <f aca="false">IF(ISBLANK($C360),"",IF(M360=Constants!$B$2, TRUE(), IF(M360=Constants!$B$3, FALSE(), TRUE())))</f>
        <v/>
      </c>
      <c r="X360" s="97" t="str">
        <f aca="false">IF(ISBLANK($C360),"",IF(N360=Constants!$B$2, TRUE(), IF(N360=Constants!$B$3, FALSE(), TRUE())))</f>
        <v/>
      </c>
      <c r="Y360" s="97" t="str">
        <f aca="false">IF(ISBLANK($C360),"",IF(O360=Constants!$B$2, TRUE(), IF(O360=Constants!$B$3, FALSE(), FALSE())))</f>
        <v/>
      </c>
      <c r="Z360" s="97" t="str">
        <f aca="false">IF(ISBLANK($C360),"",AND(S360&lt;&gt;"",Q360))</f>
        <v/>
      </c>
      <c r="AA360" s="97" t="str">
        <f aca="false">IF(ISBLANK($C360),"",AND(V360&lt;&gt;"",Q360))</f>
        <v/>
      </c>
      <c r="AB360" s="97" t="str">
        <f aca="false">IF(ISBLANK($C360),"",IF(Y360,Constants!$B$4,IF(COUNTA(E360:N360)=0,Constants!$B$5,IF(NOT(Q360),Constants!$B$6,IF(AND(NOT(Z360),NOT(AA360)),Constants!$B$6,Constants!$B$7)))))</f>
        <v/>
      </c>
      <c r="AC360" s="97" t="str">
        <f aca="false">IF(ISBLANK($C360),"",IF($AB360&lt;&gt;Constants!$B$7,$AB360,Constants!$B$20))</f>
        <v/>
      </c>
      <c r="AD360" s="97" t="str">
        <f aca="false">IF($AB360=Constants!$B$7,IF(Z360,S360,Constants!$B$13),"")</f>
        <v/>
      </c>
      <c r="AE360" s="97" t="str">
        <f aca="false">IF($AB360=Constants!$B$7,IF(Z360,R360*IF(T360, 1, Constants!$B$11)*IF(U360, 1, Constants!$B$12),Constants!$B$13),"")</f>
        <v/>
      </c>
      <c r="AF360" s="97" t="str">
        <f aca="false">IF($AB360=Constants!$B$7,AD360*AE360,"")</f>
        <v/>
      </c>
      <c r="AG360" s="97" t="str">
        <f aca="false">IF($AB360=Constants!$B$7,IF(AA360,V360,Constants!$B$13),"")</f>
        <v/>
      </c>
      <c r="AH360" s="97" t="str">
        <f aca="false">IF($AB360=Constants!$B$7,IF(AA360,R360*IF(W360, 1, Constants!$B$11)*IF(X360, 1, Constants!$B$12),Constants!$B$13),"")</f>
        <v/>
      </c>
      <c r="AI360" s="97" t="str">
        <f aca="false">IF($AB360=Constants!$B$7,AG360*AH360,"")</f>
        <v/>
      </c>
      <c r="AJ360" s="97" t="str">
        <f aca="false">IF($AB360=Constants!$B$7,IF(AI360&gt;AF360,2,1),"")</f>
        <v/>
      </c>
      <c r="AK360" s="97" t="str">
        <f aca="false">IF($AB360=Constants!$B$7,IF(AJ360=1,2,1),"")</f>
        <v/>
      </c>
      <c r="AL360" s="97" t="str">
        <f aca="false">IF(ISBLANK($C360),"",IF($AB360&lt;&gt;Constants!$B$7,$AB360,IF(AJ360=1,AF360,AI360)))</f>
        <v/>
      </c>
      <c r="AM360" s="97" t="str">
        <f aca="false">IF(ISBLANK($C360),"",IF($AB360=Constants!$B$7,IF(ISNUMBER(AL360),RANK(AL360,$AL$8:$AL$507),Constants!$B$14),$AB360))</f>
        <v/>
      </c>
      <c r="AN360" s="97" t="str">
        <f aca="false">IF(ISBLANK($C360),"",IF($AB360=Constants!$B$7,IF(AK360=1,AF360,AI360),""))</f>
        <v/>
      </c>
      <c r="AO360" s="97" t="str">
        <f aca="false">IF(ISBLANK($C360),"",IF($AB360=Constants!$B$7,RANK(AN360,$AN$8:$AN$507),$AB360))</f>
        <v/>
      </c>
      <c r="AP360" s="97" t="str">
        <f aca="false">IF(ISBLANK($C360),"",IF($AB360=Constants!$B$7,IF(ISNUMBER(AM360),COUNTIFS($AM$8:$AM$507,"&lt;"&amp;$AM360)+COUNTIFS($AM$8:$AM$507,$AM360,$AO$8:$AO$507,"&lt;"&amp;$AO360)+1,Constants!$B$14),$AB360))</f>
        <v/>
      </c>
      <c r="AQ360" s="97" t="str">
        <f aca="false">IF(ISBLANK($C360),"",IF($AB360=Constants!$B$7,IF(ISNUMBER(AM360),AM360-AP360,Constants!$B$14),$AB360))</f>
        <v/>
      </c>
      <c r="AR360" s="98"/>
      <c r="AS360" s="99" t="str">
        <f aca="false">IF(ISBLANK($C360),"",IF($AB360&lt;&gt;Constants!$B$7,"",AJ360))</f>
        <v/>
      </c>
      <c r="AT360" s="100" t="str">
        <f aca="false">IF(ISBLANK($C360),"",IF($AB360&lt;&gt;Constants!$B$7,"",IF(AJ360=1,AD360,AG360)))</f>
        <v/>
      </c>
      <c r="AU360" s="101" t="str">
        <f aca="false">IF(ISBLANK($C360),"",IF($AB360&lt;&gt;Constants!$B$7,"",IF(AJ360=1,AE360,AH360)))</f>
        <v/>
      </c>
      <c r="AV360" s="102" t="str">
        <f aca="false">IF(ISBLANK($C360),"",IF($AB360&lt;&gt;Constants!$B$7,$AB360,AL360))</f>
        <v/>
      </c>
      <c r="AW360" s="103" t="str">
        <f aca="false">IF(ISBLANK($C360),"",IF($AB360&lt;&gt;Constants!$B$7,$AB360,AC360))</f>
        <v/>
      </c>
      <c r="AX360" s="104" t="str">
        <f aca="false">IF(ISBLANK($C360),"",AQ360)</f>
        <v/>
      </c>
      <c r="AY360" s="104" t="str">
        <f aca="false">IF(ISBLANK($C360),"",AP360)</f>
        <v/>
      </c>
      <c r="AZ360" s="105" t="str">
        <f aca="false">IF(ISBLANK($C360),"",IF(AY360=Constants!$B$4,COUNTA($C$8:$C$507)+2,IF(AY360=Constants!$B$5,COUNTA($C$8:$C$507)+1,IF(AY360=Constants!$B$6,COUNTA($C$8:$C$507),AY360))))</f>
        <v/>
      </c>
      <c r="BA360" s="5"/>
      <c r="BB360" s="106" t="n">
        <f aca="false">IF(OR(ISNUMBER(AY360),AY360=Constants!$B$4,AY360=Constants!$B$6,AY360=Constants!$B$5),1,0)</f>
        <v>0</v>
      </c>
      <c r="BC360" s="106" t="n">
        <v>353</v>
      </c>
      <c r="BD360" s="106" t="str">
        <f aca="false">IF(ISBLANK($C360),"",IF(ISNUMBER(AZ360),AZ360+ROW($B360)/1000,""))</f>
        <v/>
      </c>
      <c r="BE360" s="106" t="str">
        <f aca="false">IF(ISNUMBER(BD360),RANK(BD360,$BD$8:$BD$507,1),"")</f>
        <v/>
      </c>
      <c r="BF360" s="106" t="str">
        <f aca="false">IF(ISBLANK($C360),"",$B360)</f>
        <v/>
      </c>
      <c r="BG360" s="106" t="str">
        <f aca="false">IF(ISBLANK($C360),"",$C360)</f>
        <v/>
      </c>
      <c r="BH360" s="106" t="str">
        <f aca="false">IF(ISBLANK($C360),"",$D360)</f>
        <v/>
      </c>
      <c r="BI360" s="107" t="str">
        <f aca="false">AW360</f>
        <v/>
      </c>
      <c r="BJ360" s="108" t="str">
        <f aca="false">AV360</f>
        <v/>
      </c>
      <c r="BK360" s="106" t="str">
        <f aca="false">IF(ISBLANK($C360),"",AY360)</f>
        <v/>
      </c>
      <c r="BL360" s="109" t="str">
        <f aca="false">IF($BC360&gt;$BB$7,"",VLOOKUP($BC360,$BE$8:$BK$507,7,FALSE()))</f>
        <v/>
      </c>
      <c r="BM360" s="110" t="str">
        <f aca="false">IF($BC360&gt;$BB$7,"",VLOOKUP($BC360,$BE$8:$BK$507,2,FALSE()))</f>
        <v/>
      </c>
      <c r="BN360" s="110" t="str">
        <f aca="false">IF($BC360&gt;$BB$7,"",VLOOKUP($BC360,$BE$8:$BK$507,3,FALSE()))</f>
        <v/>
      </c>
      <c r="BO360" s="110" t="str">
        <f aca="false">IF($BC360&gt;$BB$7,"",VLOOKUP($BC360,$BE$8:$BK$507,4,FALSE()))</f>
        <v/>
      </c>
      <c r="BP360" s="110" t="str">
        <f aca="false">IF($BC360&gt;$BB$7,"",VLOOKUP($BC360,$BE$8:$BK$507,5,FALSE()))</f>
        <v/>
      </c>
      <c r="BQ360" s="111" t="str">
        <f aca="false">IF($BC360&gt;$BB$7,"",VLOOKUP($BC360,$BE$8:$BK$507,6,FALSE()))</f>
        <v/>
      </c>
      <c r="BR360" s="54"/>
    </row>
    <row r="361" customFormat="false" ht="15.75" hidden="false" customHeight="false" outlineLevel="0" collapsed="false">
      <c r="A361" s="5"/>
      <c r="B361" s="120"/>
      <c r="C361" s="121"/>
      <c r="D361" s="112"/>
      <c r="E361" s="123"/>
      <c r="F361" s="91"/>
      <c r="G361" s="92"/>
      <c r="H361" s="93"/>
      <c r="I361" s="94"/>
      <c r="J361" s="91"/>
      <c r="K361" s="92"/>
      <c r="L361" s="93"/>
      <c r="M361" s="94"/>
      <c r="N361" s="91"/>
      <c r="O361" s="123"/>
      <c r="P361" s="96"/>
      <c r="Q361" s="97" t="str">
        <f aca="false">IF(ISBLANK($C361),"",IF(E361=Constants!$B$2, TRUE(), IF(E361=Constants!$B$3, FALSE(), TRUE())))</f>
        <v/>
      </c>
      <c r="R361" s="97" t="str">
        <f aca="false">IF(ISBLANK($C361),"",IF(F361=Constants!$B$16,Constants!$B$9,IF(F361=Constants!$B$17,Constants!$B$10,Constants!$B$8)))</f>
        <v/>
      </c>
      <c r="S361" s="97" t="str">
        <f aca="false">IF(ISBLANK($C361),"",IF(COUNTA(G361:H361)=0,"",IF(AND(OR(ISBLANK(G361),AND(ISNUMBER(G361),G361&gt;=0)),OR(ISBLANK(H361),AND(ISNUMBER(H361),H361&gt;=0))),60*IF(ISBLANK(G361),0,G361)+IF(ISBLANK(H361),0,H361),"")))</f>
        <v/>
      </c>
      <c r="T361" s="97" t="str">
        <f aca="false">IF(ISBLANK($C361),"",IF(I361=Constants!$B$2, TRUE(), IF(I361=Constants!$B$3, FALSE(), TRUE())))</f>
        <v/>
      </c>
      <c r="U361" s="97" t="str">
        <f aca="false">IF(ISBLANK($C361),"",IF(J361=Constants!$B$2, TRUE(), IF(J361=Constants!$B$3, FALSE(), TRUE())))</f>
        <v/>
      </c>
      <c r="V361" s="97" t="str">
        <f aca="false">IF(ISBLANK($C361),"",IF(COUNTA(K361:L361)=0,"",IF(AND(OR(ISBLANK(K361),AND(ISNUMBER(K361),K361&gt;=0)),OR(ISBLANK(L361),AND(ISNUMBER(L361),L361&gt;=0))),60*IF(ISBLANK(K361),0,K361)+IF(ISBLANK(L361),0,L361),"")))</f>
        <v/>
      </c>
      <c r="W361" s="97" t="str">
        <f aca="false">IF(ISBLANK($C361),"",IF(M361=Constants!$B$2, TRUE(), IF(M361=Constants!$B$3, FALSE(), TRUE())))</f>
        <v/>
      </c>
      <c r="X361" s="97" t="str">
        <f aca="false">IF(ISBLANK($C361),"",IF(N361=Constants!$B$2, TRUE(), IF(N361=Constants!$B$3, FALSE(), TRUE())))</f>
        <v/>
      </c>
      <c r="Y361" s="97" t="str">
        <f aca="false">IF(ISBLANK($C361),"",IF(O361=Constants!$B$2, TRUE(), IF(O361=Constants!$B$3, FALSE(), FALSE())))</f>
        <v/>
      </c>
      <c r="Z361" s="97" t="str">
        <f aca="false">IF(ISBLANK($C361),"",AND(S361&lt;&gt;"",Q361))</f>
        <v/>
      </c>
      <c r="AA361" s="97" t="str">
        <f aca="false">IF(ISBLANK($C361),"",AND(V361&lt;&gt;"",Q361))</f>
        <v/>
      </c>
      <c r="AB361" s="97" t="str">
        <f aca="false">IF(ISBLANK($C361),"",IF(Y361,Constants!$B$4,IF(COUNTA(E361:N361)=0,Constants!$B$5,IF(NOT(Q361),Constants!$B$6,IF(AND(NOT(Z361),NOT(AA361)),Constants!$B$6,Constants!$B$7)))))</f>
        <v/>
      </c>
      <c r="AC361" s="97" t="str">
        <f aca="false">IF(ISBLANK($C361),"",IF($AB361&lt;&gt;Constants!$B$7,$AB361,Constants!$B$20))</f>
        <v/>
      </c>
      <c r="AD361" s="97" t="str">
        <f aca="false">IF($AB361=Constants!$B$7,IF(Z361,S361,Constants!$B$13),"")</f>
        <v/>
      </c>
      <c r="AE361" s="97" t="str">
        <f aca="false">IF($AB361=Constants!$B$7,IF(Z361,R361*IF(T361, 1, Constants!$B$11)*IF(U361, 1, Constants!$B$12),Constants!$B$13),"")</f>
        <v/>
      </c>
      <c r="AF361" s="97" t="str">
        <f aca="false">IF($AB361=Constants!$B$7,AD361*AE361,"")</f>
        <v/>
      </c>
      <c r="AG361" s="97" t="str">
        <f aca="false">IF($AB361=Constants!$B$7,IF(AA361,V361,Constants!$B$13),"")</f>
        <v/>
      </c>
      <c r="AH361" s="97" t="str">
        <f aca="false">IF($AB361=Constants!$B$7,IF(AA361,R361*IF(W361, 1, Constants!$B$11)*IF(X361, 1, Constants!$B$12),Constants!$B$13),"")</f>
        <v/>
      </c>
      <c r="AI361" s="97" t="str">
        <f aca="false">IF($AB361=Constants!$B$7,AG361*AH361,"")</f>
        <v/>
      </c>
      <c r="AJ361" s="97" t="str">
        <f aca="false">IF($AB361=Constants!$B$7,IF(AI361&gt;AF361,2,1),"")</f>
        <v/>
      </c>
      <c r="AK361" s="97" t="str">
        <f aca="false">IF($AB361=Constants!$B$7,IF(AJ361=1,2,1),"")</f>
        <v/>
      </c>
      <c r="AL361" s="97" t="str">
        <f aca="false">IF(ISBLANK($C361),"",IF($AB361&lt;&gt;Constants!$B$7,$AB361,IF(AJ361=1,AF361,AI361)))</f>
        <v/>
      </c>
      <c r="AM361" s="97" t="str">
        <f aca="false">IF(ISBLANK($C361),"",IF($AB361=Constants!$B$7,IF(ISNUMBER(AL361),RANK(AL361,$AL$8:$AL$507),Constants!$B$14),$AB361))</f>
        <v/>
      </c>
      <c r="AN361" s="97" t="str">
        <f aca="false">IF(ISBLANK($C361),"",IF($AB361=Constants!$B$7,IF(AK361=1,AF361,AI361),""))</f>
        <v/>
      </c>
      <c r="AO361" s="97" t="str">
        <f aca="false">IF(ISBLANK($C361),"",IF($AB361=Constants!$B$7,RANK(AN361,$AN$8:$AN$507),$AB361))</f>
        <v/>
      </c>
      <c r="AP361" s="97" t="str">
        <f aca="false">IF(ISBLANK($C361),"",IF($AB361=Constants!$B$7,IF(ISNUMBER(AM361),COUNTIFS($AM$8:$AM$507,"&lt;"&amp;$AM361)+COUNTIFS($AM$8:$AM$507,$AM361,$AO$8:$AO$507,"&lt;"&amp;$AO361)+1,Constants!$B$14),$AB361))</f>
        <v/>
      </c>
      <c r="AQ361" s="97" t="str">
        <f aca="false">IF(ISBLANK($C361),"",IF($AB361=Constants!$B$7,IF(ISNUMBER(AM361),AM361-AP361,Constants!$B$14),$AB361))</f>
        <v/>
      </c>
      <c r="AR361" s="98"/>
      <c r="AS361" s="99" t="str">
        <f aca="false">IF(ISBLANK($C361),"",IF($AB361&lt;&gt;Constants!$B$7,"",AJ361))</f>
        <v/>
      </c>
      <c r="AT361" s="100" t="str">
        <f aca="false">IF(ISBLANK($C361),"",IF($AB361&lt;&gt;Constants!$B$7,"",IF(AJ361=1,AD361,AG361)))</f>
        <v/>
      </c>
      <c r="AU361" s="101" t="str">
        <f aca="false">IF(ISBLANK($C361),"",IF($AB361&lt;&gt;Constants!$B$7,"",IF(AJ361=1,AE361,AH361)))</f>
        <v/>
      </c>
      <c r="AV361" s="102" t="str">
        <f aca="false">IF(ISBLANK($C361),"",IF($AB361&lt;&gt;Constants!$B$7,$AB361,AL361))</f>
        <v/>
      </c>
      <c r="AW361" s="103" t="str">
        <f aca="false">IF(ISBLANK($C361),"",IF($AB361&lt;&gt;Constants!$B$7,$AB361,AC361))</f>
        <v/>
      </c>
      <c r="AX361" s="104" t="str">
        <f aca="false">IF(ISBLANK($C361),"",AQ361)</f>
        <v/>
      </c>
      <c r="AY361" s="104" t="str">
        <f aca="false">IF(ISBLANK($C361),"",AP361)</f>
        <v/>
      </c>
      <c r="AZ361" s="105" t="str">
        <f aca="false">IF(ISBLANK($C361),"",IF(AY361=Constants!$B$4,COUNTA($C$8:$C$507)+2,IF(AY361=Constants!$B$5,COUNTA($C$8:$C$507)+1,IF(AY361=Constants!$B$6,COUNTA($C$8:$C$507),AY361))))</f>
        <v/>
      </c>
      <c r="BA361" s="5"/>
      <c r="BB361" s="106" t="n">
        <f aca="false">IF(OR(ISNUMBER(AY361),AY361=Constants!$B$4,AY361=Constants!$B$6,AY361=Constants!$B$5),1,0)</f>
        <v>0</v>
      </c>
      <c r="BC361" s="106" t="n">
        <v>354</v>
      </c>
      <c r="BD361" s="106" t="str">
        <f aca="false">IF(ISBLANK($C361),"",IF(ISNUMBER(AZ361),AZ361+ROW($B361)/1000,""))</f>
        <v/>
      </c>
      <c r="BE361" s="106" t="str">
        <f aca="false">IF(ISNUMBER(BD361),RANK(BD361,$BD$8:$BD$507,1),"")</f>
        <v/>
      </c>
      <c r="BF361" s="106" t="str">
        <f aca="false">IF(ISBLANK($C361),"",$B361)</f>
        <v/>
      </c>
      <c r="BG361" s="106" t="str">
        <f aca="false">IF(ISBLANK($C361),"",$C361)</f>
        <v/>
      </c>
      <c r="BH361" s="106" t="str">
        <f aca="false">IF(ISBLANK($C361),"",$D361)</f>
        <v/>
      </c>
      <c r="BI361" s="107" t="str">
        <f aca="false">AW361</f>
        <v/>
      </c>
      <c r="BJ361" s="108" t="str">
        <f aca="false">AV361</f>
        <v/>
      </c>
      <c r="BK361" s="106" t="str">
        <f aca="false">IF(ISBLANK($C361),"",AY361)</f>
        <v/>
      </c>
      <c r="BL361" s="109" t="str">
        <f aca="false">IF($BC361&gt;$BB$7,"",VLOOKUP($BC361,$BE$8:$BK$507,7,FALSE()))</f>
        <v/>
      </c>
      <c r="BM361" s="110" t="str">
        <f aca="false">IF($BC361&gt;$BB$7,"",VLOOKUP($BC361,$BE$8:$BK$507,2,FALSE()))</f>
        <v/>
      </c>
      <c r="BN361" s="110" t="str">
        <f aca="false">IF($BC361&gt;$BB$7,"",VLOOKUP($BC361,$BE$8:$BK$507,3,FALSE()))</f>
        <v/>
      </c>
      <c r="BO361" s="110" t="str">
        <f aca="false">IF($BC361&gt;$BB$7,"",VLOOKUP($BC361,$BE$8:$BK$507,4,FALSE()))</f>
        <v/>
      </c>
      <c r="BP361" s="110" t="str">
        <f aca="false">IF($BC361&gt;$BB$7,"",VLOOKUP($BC361,$BE$8:$BK$507,5,FALSE()))</f>
        <v/>
      </c>
      <c r="BQ361" s="111" t="str">
        <f aca="false">IF($BC361&gt;$BB$7,"",VLOOKUP($BC361,$BE$8:$BK$507,6,FALSE()))</f>
        <v/>
      </c>
      <c r="BR361" s="54"/>
    </row>
    <row r="362" customFormat="false" ht="15.75" hidden="false" customHeight="false" outlineLevel="0" collapsed="false">
      <c r="A362" s="5"/>
      <c r="B362" s="124"/>
      <c r="C362" s="56"/>
      <c r="D362" s="57"/>
      <c r="E362" s="83"/>
      <c r="F362" s="59"/>
      <c r="G362" s="60"/>
      <c r="H362" s="61"/>
      <c r="I362" s="62"/>
      <c r="J362" s="59"/>
      <c r="K362" s="60"/>
      <c r="L362" s="61"/>
      <c r="M362" s="62"/>
      <c r="N362" s="59"/>
      <c r="O362" s="83"/>
      <c r="P362" s="64"/>
      <c r="Q362" s="66" t="str">
        <f aca="false">IF(ISBLANK($C362),"",IF(E362=Constants!$B$2, TRUE(), IF(E362=Constants!$B$3, FALSE(), TRUE())))</f>
        <v/>
      </c>
      <c r="R362" s="66" t="str">
        <f aca="false">IF(ISBLANK($C362),"",IF(F362=Constants!$B$16,Constants!$B$9,IF(F362=Constants!$B$17,Constants!$B$10,Constants!$B$8)))</f>
        <v/>
      </c>
      <c r="S362" s="66" t="str">
        <f aca="false">IF(ISBLANK($C362),"",IF(COUNTA(G362:H362)=0,"",IF(AND(OR(ISBLANK(G362),AND(ISNUMBER(G362),G362&gt;=0)),OR(ISBLANK(H362),AND(ISNUMBER(H362),H362&gt;=0))),60*IF(ISBLANK(G362),0,G362)+IF(ISBLANK(H362),0,H362),"")))</f>
        <v/>
      </c>
      <c r="T362" s="66" t="str">
        <f aca="false">IF(ISBLANK($C362),"",IF(I362=Constants!$B$2, TRUE(), IF(I362=Constants!$B$3, FALSE(), TRUE())))</f>
        <v/>
      </c>
      <c r="U362" s="66" t="str">
        <f aca="false">IF(ISBLANK($C362),"",IF(J362=Constants!$B$2, TRUE(), IF(J362=Constants!$B$3, FALSE(), TRUE())))</f>
        <v/>
      </c>
      <c r="V362" s="66" t="str">
        <f aca="false">IF(ISBLANK($C362),"",IF(COUNTA(K362:L362)=0,"",IF(AND(OR(ISBLANK(K362),AND(ISNUMBER(K362),K362&gt;=0)),OR(ISBLANK(L362),AND(ISNUMBER(L362),L362&gt;=0))),60*IF(ISBLANK(K362),0,K362)+IF(ISBLANK(L362),0,L362),"")))</f>
        <v/>
      </c>
      <c r="W362" s="66" t="str">
        <f aca="false">IF(ISBLANK($C362),"",IF(M362=Constants!$B$2, TRUE(), IF(M362=Constants!$B$3, FALSE(), TRUE())))</f>
        <v/>
      </c>
      <c r="X362" s="66" t="str">
        <f aca="false">IF(ISBLANK($C362),"",IF(N362=Constants!$B$2, TRUE(), IF(N362=Constants!$B$3, FALSE(), TRUE())))</f>
        <v/>
      </c>
      <c r="Y362" s="66" t="str">
        <f aca="false">IF(ISBLANK($C362),"",IF(O362=Constants!$B$2, TRUE(), IF(O362=Constants!$B$3, FALSE(), FALSE())))</f>
        <v/>
      </c>
      <c r="Z362" s="66" t="str">
        <f aca="false">IF(ISBLANK($C362),"",AND(S362&lt;&gt;"",Q362))</f>
        <v/>
      </c>
      <c r="AA362" s="66" t="str">
        <f aca="false">IF(ISBLANK($C362),"",AND(V362&lt;&gt;"",Q362))</f>
        <v/>
      </c>
      <c r="AB362" s="66" t="str">
        <f aca="false">IF(ISBLANK($C362),"",IF(Y362,Constants!$B$4,IF(COUNTA(E362:N362)=0,Constants!$B$5,IF(NOT(Q362),Constants!$B$6,IF(AND(NOT(Z362),NOT(AA362)),Constants!$B$6,Constants!$B$7)))))</f>
        <v/>
      </c>
      <c r="AC362" s="66" t="str">
        <f aca="false">IF(ISBLANK($C362),"",IF($AB362&lt;&gt;Constants!$B$7,$AB362,Constants!$B$20))</f>
        <v/>
      </c>
      <c r="AD362" s="66" t="str">
        <f aca="false">IF($AB362=Constants!$B$7,IF(Z362,S362,Constants!$B$13),"")</f>
        <v/>
      </c>
      <c r="AE362" s="66" t="str">
        <f aca="false">IF($AB362=Constants!$B$7,IF(Z362,R362*IF(T362, 1, Constants!$B$11)*IF(U362, 1, Constants!$B$12),Constants!$B$13),"")</f>
        <v/>
      </c>
      <c r="AF362" s="66" t="str">
        <f aca="false">IF($AB362=Constants!$B$7,AD362*AE362,"")</f>
        <v/>
      </c>
      <c r="AG362" s="66" t="str">
        <f aca="false">IF($AB362=Constants!$B$7,IF(AA362,V362,Constants!$B$13),"")</f>
        <v/>
      </c>
      <c r="AH362" s="66" t="str">
        <f aca="false">IF($AB362=Constants!$B$7,IF(AA362,R362*IF(W362, 1, Constants!$B$11)*IF(X362, 1, Constants!$B$12),Constants!$B$13),"")</f>
        <v/>
      </c>
      <c r="AI362" s="66" t="str">
        <f aca="false">IF($AB362=Constants!$B$7,AG362*AH362,"")</f>
        <v/>
      </c>
      <c r="AJ362" s="66" t="str">
        <f aca="false">IF($AB362=Constants!$B$7,IF(AI362&gt;AF362,2,1),"")</f>
        <v/>
      </c>
      <c r="AK362" s="66" t="str">
        <f aca="false">IF($AB362=Constants!$B$7,IF(AJ362=1,2,1),"")</f>
        <v/>
      </c>
      <c r="AL362" s="66" t="str">
        <f aca="false">IF(ISBLANK($C362),"",IF($AB362&lt;&gt;Constants!$B$7,$AB362,IF(AJ362=1,AF362,AI362)))</f>
        <v/>
      </c>
      <c r="AM362" s="66" t="str">
        <f aca="false">IF(ISBLANK($C362),"",IF($AB362=Constants!$B$7,IF(ISNUMBER(AL362),RANK(AL362,$AL$8:$AL$507),Constants!$B$14),$AB362))</f>
        <v/>
      </c>
      <c r="AN362" s="66" t="str">
        <f aca="false">IF(ISBLANK($C362),"",IF($AB362=Constants!$B$7,IF(AK362=1,AF362,AI362),""))</f>
        <v/>
      </c>
      <c r="AO362" s="66" t="str">
        <f aca="false">IF(ISBLANK($C362),"",IF($AB362=Constants!$B$7,RANK(AN362,$AN$8:$AN$507),$AB362))</f>
        <v/>
      </c>
      <c r="AP362" s="66" t="str">
        <f aca="false">IF(ISBLANK($C362),"",IF($AB362=Constants!$B$7,IF(ISNUMBER(AM362),COUNTIFS($AM$8:$AM$507,"&lt;"&amp;$AM362)+COUNTIFS($AM$8:$AM$507,$AM362,$AO$8:$AO$507,"&lt;"&amp;$AO362)+1,Constants!$B$14),$AB362))</f>
        <v/>
      </c>
      <c r="AQ362" s="66" t="str">
        <f aca="false">IF(ISBLANK($C362),"",IF($AB362=Constants!$B$7,IF(ISNUMBER(AM362),AM362-AP362,Constants!$B$14),$AB362))</f>
        <v/>
      </c>
      <c r="AR362" s="68"/>
      <c r="AS362" s="69" t="str">
        <f aca="false">IF(ISBLANK($C362),"",IF($AB362&lt;&gt;Constants!$B$7,"",AJ362))</f>
        <v/>
      </c>
      <c r="AT362" s="84" t="str">
        <f aca="false">IF(ISBLANK($C362),"",IF($AB362&lt;&gt;Constants!$B$7,"",IF(AJ362=1,AD362,AG362)))</f>
        <v/>
      </c>
      <c r="AU362" s="71" t="str">
        <f aca="false">IF(ISBLANK($C362),"",IF($AB362&lt;&gt;Constants!$B$7,"",IF(AJ362=1,AE362,AH362)))</f>
        <v/>
      </c>
      <c r="AV362" s="72" t="str">
        <f aca="false">IF(ISBLANK($C362),"",IF($AB362&lt;&gt;Constants!$B$7,$AB362,AL362))</f>
        <v/>
      </c>
      <c r="AW362" s="73" t="str">
        <f aca="false">IF(ISBLANK($C362),"",IF($AB362&lt;&gt;Constants!$B$7,$AB362,AC362))</f>
        <v/>
      </c>
      <c r="AX362" s="74" t="str">
        <f aca="false">IF(ISBLANK($C362),"",AQ362)</f>
        <v/>
      </c>
      <c r="AY362" s="74" t="str">
        <f aca="false">IF(ISBLANK($C362),"",AP362)</f>
        <v/>
      </c>
      <c r="AZ362" s="75" t="str">
        <f aca="false">IF(ISBLANK($C362),"",IF(AY362=Constants!$B$4,COUNTA($C$8:$C$507)+2,IF(AY362=Constants!$B$5,COUNTA($C$8:$C$507)+1,IF(AY362=Constants!$B$6,COUNTA($C$8:$C$507),AY362))))</f>
        <v/>
      </c>
      <c r="BA362" s="5"/>
      <c r="BB362" s="76" t="n">
        <f aca="false">IF(OR(ISNUMBER(AY362),AY362=Constants!$B$4,AY362=Constants!$B$6,AY362=Constants!$B$5),1,0)</f>
        <v>0</v>
      </c>
      <c r="BC362" s="76" t="n">
        <v>355</v>
      </c>
      <c r="BD362" s="76" t="str">
        <f aca="false">IF(ISBLANK($C362),"",IF(ISNUMBER(AZ362),AZ362+ROW($B362)/1000,""))</f>
        <v/>
      </c>
      <c r="BE362" s="76" t="str">
        <f aca="false">IF(ISNUMBER(BD362),RANK(BD362,$BD$8:$BD$507,1),"")</f>
        <v/>
      </c>
      <c r="BF362" s="76" t="str">
        <f aca="false">IF(ISBLANK($C362),"",$B362)</f>
        <v/>
      </c>
      <c r="BG362" s="76" t="str">
        <f aca="false">IF(ISBLANK($C362),"",$C362)</f>
        <v/>
      </c>
      <c r="BH362" s="76" t="str">
        <f aca="false">IF(ISBLANK($C362),"",$D362)</f>
        <v/>
      </c>
      <c r="BI362" s="77" t="str">
        <f aca="false">AW362</f>
        <v/>
      </c>
      <c r="BJ362" s="78" t="str">
        <f aca="false">AV362</f>
        <v/>
      </c>
      <c r="BK362" s="76" t="str">
        <f aca="false">IF(ISBLANK($C362),"",AY362)</f>
        <v/>
      </c>
      <c r="BL362" s="79" t="str">
        <f aca="false">IF($BC362&gt;$BB$7,"",VLOOKUP($BC362,$BE$8:$BK$507,7,FALSE()))</f>
        <v/>
      </c>
      <c r="BM362" s="80" t="str">
        <f aca="false">IF($BC362&gt;$BB$7,"",VLOOKUP($BC362,$BE$8:$BK$507,2,FALSE()))</f>
        <v/>
      </c>
      <c r="BN362" s="80" t="str">
        <f aca="false">IF($BC362&gt;$BB$7,"",VLOOKUP($BC362,$BE$8:$BK$507,3,FALSE()))</f>
        <v/>
      </c>
      <c r="BO362" s="80" t="str">
        <f aca="false">IF($BC362&gt;$BB$7,"",VLOOKUP($BC362,$BE$8:$BK$507,4,FALSE()))</f>
        <v/>
      </c>
      <c r="BP362" s="80" t="str">
        <f aca="false">IF($BC362&gt;$BB$7,"",VLOOKUP($BC362,$BE$8:$BK$507,5,FALSE()))</f>
        <v/>
      </c>
      <c r="BQ362" s="81" t="str">
        <f aca="false">IF($BC362&gt;$BB$7,"",VLOOKUP($BC362,$BE$8:$BK$507,6,FALSE()))</f>
        <v/>
      </c>
      <c r="BR362" s="54"/>
    </row>
    <row r="363" customFormat="false" ht="15.75" hidden="false" customHeight="false" outlineLevel="0" collapsed="false">
      <c r="A363" s="5"/>
      <c r="B363" s="124"/>
      <c r="C363" s="56"/>
      <c r="D363" s="57"/>
      <c r="E363" s="83"/>
      <c r="F363" s="59"/>
      <c r="G363" s="60"/>
      <c r="H363" s="61"/>
      <c r="I363" s="62"/>
      <c r="J363" s="59"/>
      <c r="K363" s="60"/>
      <c r="L363" s="61"/>
      <c r="M363" s="62"/>
      <c r="N363" s="59"/>
      <c r="O363" s="83"/>
      <c r="P363" s="64"/>
      <c r="Q363" s="66" t="str">
        <f aca="false">IF(ISBLANK($C363),"",IF(E363=Constants!$B$2, TRUE(), IF(E363=Constants!$B$3, FALSE(), TRUE())))</f>
        <v/>
      </c>
      <c r="R363" s="66" t="str">
        <f aca="false">IF(ISBLANK($C363),"",IF(F363=Constants!$B$16,Constants!$B$9,IF(F363=Constants!$B$17,Constants!$B$10,Constants!$B$8)))</f>
        <v/>
      </c>
      <c r="S363" s="66" t="str">
        <f aca="false">IF(ISBLANK($C363),"",IF(COUNTA(G363:H363)=0,"",IF(AND(OR(ISBLANK(G363),AND(ISNUMBER(G363),G363&gt;=0)),OR(ISBLANK(H363),AND(ISNUMBER(H363),H363&gt;=0))),60*IF(ISBLANK(G363),0,G363)+IF(ISBLANK(H363),0,H363),"")))</f>
        <v/>
      </c>
      <c r="T363" s="66" t="str">
        <f aca="false">IF(ISBLANK($C363),"",IF(I363=Constants!$B$2, TRUE(), IF(I363=Constants!$B$3, FALSE(), TRUE())))</f>
        <v/>
      </c>
      <c r="U363" s="66" t="str">
        <f aca="false">IF(ISBLANK($C363),"",IF(J363=Constants!$B$2, TRUE(), IF(J363=Constants!$B$3, FALSE(), TRUE())))</f>
        <v/>
      </c>
      <c r="V363" s="66" t="str">
        <f aca="false">IF(ISBLANK($C363),"",IF(COUNTA(K363:L363)=0,"",IF(AND(OR(ISBLANK(K363),AND(ISNUMBER(K363),K363&gt;=0)),OR(ISBLANK(L363),AND(ISNUMBER(L363),L363&gt;=0))),60*IF(ISBLANK(K363),0,K363)+IF(ISBLANK(L363),0,L363),"")))</f>
        <v/>
      </c>
      <c r="W363" s="66" t="str">
        <f aca="false">IF(ISBLANK($C363),"",IF(M363=Constants!$B$2, TRUE(), IF(M363=Constants!$B$3, FALSE(), TRUE())))</f>
        <v/>
      </c>
      <c r="X363" s="66" t="str">
        <f aca="false">IF(ISBLANK($C363),"",IF(N363=Constants!$B$2, TRUE(), IF(N363=Constants!$B$3, FALSE(), TRUE())))</f>
        <v/>
      </c>
      <c r="Y363" s="66" t="str">
        <f aca="false">IF(ISBLANK($C363),"",IF(O363=Constants!$B$2, TRUE(), IF(O363=Constants!$B$3, FALSE(), FALSE())))</f>
        <v/>
      </c>
      <c r="Z363" s="66" t="str">
        <f aca="false">IF(ISBLANK($C363),"",AND(S363&lt;&gt;"",Q363))</f>
        <v/>
      </c>
      <c r="AA363" s="66" t="str">
        <f aca="false">IF(ISBLANK($C363),"",AND(V363&lt;&gt;"",Q363))</f>
        <v/>
      </c>
      <c r="AB363" s="66" t="str">
        <f aca="false">IF(ISBLANK($C363),"",IF(Y363,Constants!$B$4,IF(COUNTA(E363:N363)=0,Constants!$B$5,IF(NOT(Q363),Constants!$B$6,IF(AND(NOT(Z363),NOT(AA363)),Constants!$B$6,Constants!$B$7)))))</f>
        <v/>
      </c>
      <c r="AC363" s="66" t="str">
        <f aca="false">IF(ISBLANK($C363),"",IF($AB363&lt;&gt;Constants!$B$7,$AB363,Constants!$B$20))</f>
        <v/>
      </c>
      <c r="AD363" s="66" t="str">
        <f aca="false">IF($AB363=Constants!$B$7,IF(Z363,S363,Constants!$B$13),"")</f>
        <v/>
      </c>
      <c r="AE363" s="66" t="str">
        <f aca="false">IF($AB363=Constants!$B$7,IF(Z363,R363*IF(T363, 1, Constants!$B$11)*IF(U363, 1, Constants!$B$12),Constants!$B$13),"")</f>
        <v/>
      </c>
      <c r="AF363" s="66" t="str">
        <f aca="false">IF($AB363=Constants!$B$7,AD363*AE363,"")</f>
        <v/>
      </c>
      <c r="AG363" s="66" t="str">
        <f aca="false">IF($AB363=Constants!$B$7,IF(AA363,V363,Constants!$B$13),"")</f>
        <v/>
      </c>
      <c r="AH363" s="66" t="str">
        <f aca="false">IF($AB363=Constants!$B$7,IF(AA363,R363*IF(W363, 1, Constants!$B$11)*IF(X363, 1, Constants!$B$12),Constants!$B$13),"")</f>
        <v/>
      </c>
      <c r="AI363" s="66" t="str">
        <f aca="false">IF($AB363=Constants!$B$7,AG363*AH363,"")</f>
        <v/>
      </c>
      <c r="AJ363" s="66" t="str">
        <f aca="false">IF($AB363=Constants!$B$7,IF(AI363&gt;AF363,2,1),"")</f>
        <v/>
      </c>
      <c r="AK363" s="66" t="str">
        <f aca="false">IF($AB363=Constants!$B$7,IF(AJ363=1,2,1),"")</f>
        <v/>
      </c>
      <c r="AL363" s="66" t="str">
        <f aca="false">IF(ISBLANK($C363),"",IF($AB363&lt;&gt;Constants!$B$7,$AB363,IF(AJ363=1,AF363,AI363)))</f>
        <v/>
      </c>
      <c r="AM363" s="66" t="str">
        <f aca="false">IF(ISBLANK($C363),"",IF($AB363=Constants!$B$7,IF(ISNUMBER(AL363),RANK(AL363,$AL$8:$AL$507),Constants!$B$14),$AB363))</f>
        <v/>
      </c>
      <c r="AN363" s="66" t="str">
        <f aca="false">IF(ISBLANK($C363),"",IF($AB363=Constants!$B$7,IF(AK363=1,AF363,AI363),""))</f>
        <v/>
      </c>
      <c r="AO363" s="66" t="str">
        <f aca="false">IF(ISBLANK($C363),"",IF($AB363=Constants!$B$7,RANK(AN363,$AN$8:$AN$507),$AB363))</f>
        <v/>
      </c>
      <c r="AP363" s="66" t="str">
        <f aca="false">IF(ISBLANK($C363),"",IF($AB363=Constants!$B$7,IF(ISNUMBER(AM363),COUNTIFS($AM$8:$AM$507,"&lt;"&amp;$AM363)+COUNTIFS($AM$8:$AM$507,$AM363,$AO$8:$AO$507,"&lt;"&amp;$AO363)+1,Constants!$B$14),$AB363))</f>
        <v/>
      </c>
      <c r="AQ363" s="66" t="str">
        <f aca="false">IF(ISBLANK($C363),"",IF($AB363=Constants!$B$7,IF(ISNUMBER(AM363),AM363-AP363,Constants!$B$14),$AB363))</f>
        <v/>
      </c>
      <c r="AR363" s="68"/>
      <c r="AS363" s="69" t="str">
        <f aca="false">IF(ISBLANK($C363),"",IF($AB363&lt;&gt;Constants!$B$7,"",AJ363))</f>
        <v/>
      </c>
      <c r="AT363" s="84" t="str">
        <f aca="false">IF(ISBLANK($C363),"",IF($AB363&lt;&gt;Constants!$B$7,"",IF(AJ363=1,AD363,AG363)))</f>
        <v/>
      </c>
      <c r="AU363" s="71" t="str">
        <f aca="false">IF(ISBLANK($C363),"",IF($AB363&lt;&gt;Constants!$B$7,"",IF(AJ363=1,AE363,AH363)))</f>
        <v/>
      </c>
      <c r="AV363" s="72" t="str">
        <f aca="false">IF(ISBLANK($C363),"",IF($AB363&lt;&gt;Constants!$B$7,$AB363,AL363))</f>
        <v/>
      </c>
      <c r="AW363" s="73" t="str">
        <f aca="false">IF(ISBLANK($C363),"",IF($AB363&lt;&gt;Constants!$B$7,$AB363,AC363))</f>
        <v/>
      </c>
      <c r="AX363" s="74" t="str">
        <f aca="false">IF(ISBLANK($C363),"",AQ363)</f>
        <v/>
      </c>
      <c r="AY363" s="74" t="str">
        <f aca="false">IF(ISBLANK($C363),"",AP363)</f>
        <v/>
      </c>
      <c r="AZ363" s="75" t="str">
        <f aca="false">IF(ISBLANK($C363),"",IF(AY363=Constants!$B$4,COUNTA($C$8:$C$507)+2,IF(AY363=Constants!$B$5,COUNTA($C$8:$C$507)+1,IF(AY363=Constants!$B$6,COUNTA($C$8:$C$507),AY363))))</f>
        <v/>
      </c>
      <c r="BA363" s="5"/>
      <c r="BB363" s="76" t="n">
        <f aca="false">IF(OR(ISNUMBER(AY363),AY363=Constants!$B$4,AY363=Constants!$B$6,AY363=Constants!$B$5),1,0)</f>
        <v>0</v>
      </c>
      <c r="BC363" s="76" t="n">
        <v>356</v>
      </c>
      <c r="BD363" s="76" t="str">
        <f aca="false">IF(ISBLANK($C363),"",IF(ISNUMBER(AZ363),AZ363+ROW($B363)/1000,""))</f>
        <v/>
      </c>
      <c r="BE363" s="76" t="str">
        <f aca="false">IF(ISNUMBER(BD363),RANK(BD363,$BD$8:$BD$507,1),"")</f>
        <v/>
      </c>
      <c r="BF363" s="76" t="str">
        <f aca="false">IF(ISBLANK($C363),"",$B363)</f>
        <v/>
      </c>
      <c r="BG363" s="76" t="str">
        <f aca="false">IF(ISBLANK($C363),"",$C363)</f>
        <v/>
      </c>
      <c r="BH363" s="76" t="str">
        <f aca="false">IF(ISBLANK($C363),"",$D363)</f>
        <v/>
      </c>
      <c r="BI363" s="77" t="str">
        <f aca="false">AW363</f>
        <v/>
      </c>
      <c r="BJ363" s="78" t="str">
        <f aca="false">AV363</f>
        <v/>
      </c>
      <c r="BK363" s="76" t="str">
        <f aca="false">IF(ISBLANK($C363),"",AY363)</f>
        <v/>
      </c>
      <c r="BL363" s="79" t="str">
        <f aca="false">IF($BC363&gt;$BB$7,"",VLOOKUP($BC363,$BE$8:$BK$507,7,FALSE()))</f>
        <v/>
      </c>
      <c r="BM363" s="80" t="str">
        <f aca="false">IF($BC363&gt;$BB$7,"",VLOOKUP($BC363,$BE$8:$BK$507,2,FALSE()))</f>
        <v/>
      </c>
      <c r="BN363" s="80" t="str">
        <f aca="false">IF($BC363&gt;$BB$7,"",VLOOKUP($BC363,$BE$8:$BK$507,3,FALSE()))</f>
        <v/>
      </c>
      <c r="BO363" s="80" t="str">
        <f aca="false">IF($BC363&gt;$BB$7,"",VLOOKUP($BC363,$BE$8:$BK$507,4,FALSE()))</f>
        <v/>
      </c>
      <c r="BP363" s="80" t="str">
        <f aca="false">IF($BC363&gt;$BB$7,"",VLOOKUP($BC363,$BE$8:$BK$507,5,FALSE()))</f>
        <v/>
      </c>
      <c r="BQ363" s="81" t="str">
        <f aca="false">IF($BC363&gt;$BB$7,"",VLOOKUP($BC363,$BE$8:$BK$507,6,FALSE()))</f>
        <v/>
      </c>
      <c r="BR363" s="54"/>
    </row>
    <row r="364" customFormat="false" ht="15.75" hidden="false" customHeight="false" outlineLevel="0" collapsed="false">
      <c r="A364" s="5"/>
      <c r="B364" s="124"/>
      <c r="C364" s="56"/>
      <c r="D364" s="57"/>
      <c r="E364" s="83"/>
      <c r="F364" s="59"/>
      <c r="G364" s="60"/>
      <c r="H364" s="61"/>
      <c r="I364" s="62"/>
      <c r="J364" s="59"/>
      <c r="K364" s="60"/>
      <c r="L364" s="61"/>
      <c r="M364" s="62"/>
      <c r="N364" s="59"/>
      <c r="O364" s="83"/>
      <c r="P364" s="64"/>
      <c r="Q364" s="66" t="str">
        <f aca="false">IF(ISBLANK($C364),"",IF(E364=Constants!$B$2, TRUE(), IF(E364=Constants!$B$3, FALSE(), TRUE())))</f>
        <v/>
      </c>
      <c r="R364" s="66" t="str">
        <f aca="false">IF(ISBLANK($C364),"",IF(F364=Constants!$B$16,Constants!$B$9,IF(F364=Constants!$B$17,Constants!$B$10,Constants!$B$8)))</f>
        <v/>
      </c>
      <c r="S364" s="66" t="str">
        <f aca="false">IF(ISBLANK($C364),"",IF(COUNTA(G364:H364)=0,"",IF(AND(OR(ISBLANK(G364),AND(ISNUMBER(G364),G364&gt;=0)),OR(ISBLANK(H364),AND(ISNUMBER(H364),H364&gt;=0))),60*IF(ISBLANK(G364),0,G364)+IF(ISBLANK(H364),0,H364),"")))</f>
        <v/>
      </c>
      <c r="T364" s="66" t="str">
        <f aca="false">IF(ISBLANK($C364),"",IF(I364=Constants!$B$2, TRUE(), IF(I364=Constants!$B$3, FALSE(), TRUE())))</f>
        <v/>
      </c>
      <c r="U364" s="66" t="str">
        <f aca="false">IF(ISBLANK($C364),"",IF(J364=Constants!$B$2, TRUE(), IF(J364=Constants!$B$3, FALSE(), TRUE())))</f>
        <v/>
      </c>
      <c r="V364" s="66" t="str">
        <f aca="false">IF(ISBLANK($C364),"",IF(COUNTA(K364:L364)=0,"",IF(AND(OR(ISBLANK(K364),AND(ISNUMBER(K364),K364&gt;=0)),OR(ISBLANK(L364),AND(ISNUMBER(L364),L364&gt;=0))),60*IF(ISBLANK(K364),0,K364)+IF(ISBLANK(L364),0,L364),"")))</f>
        <v/>
      </c>
      <c r="W364" s="66" t="str">
        <f aca="false">IF(ISBLANK($C364),"",IF(M364=Constants!$B$2, TRUE(), IF(M364=Constants!$B$3, FALSE(), TRUE())))</f>
        <v/>
      </c>
      <c r="X364" s="66" t="str">
        <f aca="false">IF(ISBLANK($C364),"",IF(N364=Constants!$B$2, TRUE(), IF(N364=Constants!$B$3, FALSE(), TRUE())))</f>
        <v/>
      </c>
      <c r="Y364" s="66" t="str">
        <f aca="false">IF(ISBLANK($C364),"",IF(O364=Constants!$B$2, TRUE(), IF(O364=Constants!$B$3, FALSE(), FALSE())))</f>
        <v/>
      </c>
      <c r="Z364" s="66" t="str">
        <f aca="false">IF(ISBLANK($C364),"",AND(S364&lt;&gt;"",Q364))</f>
        <v/>
      </c>
      <c r="AA364" s="66" t="str">
        <f aca="false">IF(ISBLANK($C364),"",AND(V364&lt;&gt;"",Q364))</f>
        <v/>
      </c>
      <c r="AB364" s="66" t="str">
        <f aca="false">IF(ISBLANK($C364),"",IF(Y364,Constants!$B$4,IF(COUNTA(E364:N364)=0,Constants!$B$5,IF(NOT(Q364),Constants!$B$6,IF(AND(NOT(Z364),NOT(AA364)),Constants!$B$6,Constants!$B$7)))))</f>
        <v/>
      </c>
      <c r="AC364" s="66" t="str">
        <f aca="false">IF(ISBLANK($C364),"",IF($AB364&lt;&gt;Constants!$B$7,$AB364,Constants!$B$20))</f>
        <v/>
      </c>
      <c r="AD364" s="66" t="str">
        <f aca="false">IF($AB364=Constants!$B$7,IF(Z364,S364,Constants!$B$13),"")</f>
        <v/>
      </c>
      <c r="AE364" s="66" t="str">
        <f aca="false">IF($AB364=Constants!$B$7,IF(Z364,R364*IF(T364, 1, Constants!$B$11)*IF(U364, 1, Constants!$B$12),Constants!$B$13),"")</f>
        <v/>
      </c>
      <c r="AF364" s="66" t="str">
        <f aca="false">IF($AB364=Constants!$B$7,AD364*AE364,"")</f>
        <v/>
      </c>
      <c r="AG364" s="66" t="str">
        <f aca="false">IF($AB364=Constants!$B$7,IF(AA364,V364,Constants!$B$13),"")</f>
        <v/>
      </c>
      <c r="AH364" s="66" t="str">
        <f aca="false">IF($AB364=Constants!$B$7,IF(AA364,R364*IF(W364, 1, Constants!$B$11)*IF(X364, 1, Constants!$B$12),Constants!$B$13),"")</f>
        <v/>
      </c>
      <c r="AI364" s="66" t="str">
        <f aca="false">IF($AB364=Constants!$B$7,AG364*AH364,"")</f>
        <v/>
      </c>
      <c r="AJ364" s="66" t="str">
        <f aca="false">IF($AB364=Constants!$B$7,IF(AI364&gt;AF364,2,1),"")</f>
        <v/>
      </c>
      <c r="AK364" s="66" t="str">
        <f aca="false">IF($AB364=Constants!$B$7,IF(AJ364=1,2,1),"")</f>
        <v/>
      </c>
      <c r="AL364" s="66" t="str">
        <f aca="false">IF(ISBLANK($C364),"",IF($AB364&lt;&gt;Constants!$B$7,$AB364,IF(AJ364=1,AF364,AI364)))</f>
        <v/>
      </c>
      <c r="AM364" s="66" t="str">
        <f aca="false">IF(ISBLANK($C364),"",IF($AB364=Constants!$B$7,IF(ISNUMBER(AL364),RANK(AL364,$AL$8:$AL$507),Constants!$B$14),$AB364))</f>
        <v/>
      </c>
      <c r="AN364" s="66" t="str">
        <f aca="false">IF(ISBLANK($C364),"",IF($AB364=Constants!$B$7,IF(AK364=1,AF364,AI364),""))</f>
        <v/>
      </c>
      <c r="AO364" s="66" t="str">
        <f aca="false">IF(ISBLANK($C364),"",IF($AB364=Constants!$B$7,RANK(AN364,$AN$8:$AN$507),$AB364))</f>
        <v/>
      </c>
      <c r="AP364" s="66" t="str">
        <f aca="false">IF(ISBLANK($C364),"",IF($AB364=Constants!$B$7,IF(ISNUMBER(AM364),COUNTIFS($AM$8:$AM$507,"&lt;"&amp;$AM364)+COUNTIFS($AM$8:$AM$507,$AM364,$AO$8:$AO$507,"&lt;"&amp;$AO364)+1,Constants!$B$14),$AB364))</f>
        <v/>
      </c>
      <c r="AQ364" s="66" t="str">
        <f aca="false">IF(ISBLANK($C364),"",IF($AB364=Constants!$B$7,IF(ISNUMBER(AM364),AM364-AP364,Constants!$B$14),$AB364))</f>
        <v/>
      </c>
      <c r="AR364" s="68"/>
      <c r="AS364" s="69" t="str">
        <f aca="false">IF(ISBLANK($C364),"",IF($AB364&lt;&gt;Constants!$B$7,"",AJ364))</f>
        <v/>
      </c>
      <c r="AT364" s="84" t="str">
        <f aca="false">IF(ISBLANK($C364),"",IF($AB364&lt;&gt;Constants!$B$7,"",IF(AJ364=1,AD364,AG364)))</f>
        <v/>
      </c>
      <c r="AU364" s="71" t="str">
        <f aca="false">IF(ISBLANK($C364),"",IF($AB364&lt;&gt;Constants!$B$7,"",IF(AJ364=1,AE364,AH364)))</f>
        <v/>
      </c>
      <c r="AV364" s="72" t="str">
        <f aca="false">IF(ISBLANK($C364),"",IF($AB364&lt;&gt;Constants!$B$7,$AB364,AL364))</f>
        <v/>
      </c>
      <c r="AW364" s="73" t="str">
        <f aca="false">IF(ISBLANK($C364),"",IF($AB364&lt;&gt;Constants!$B$7,$AB364,AC364))</f>
        <v/>
      </c>
      <c r="AX364" s="74" t="str">
        <f aca="false">IF(ISBLANK($C364),"",AQ364)</f>
        <v/>
      </c>
      <c r="AY364" s="74" t="str">
        <f aca="false">IF(ISBLANK($C364),"",AP364)</f>
        <v/>
      </c>
      <c r="AZ364" s="75" t="str">
        <f aca="false">IF(ISBLANK($C364),"",IF(AY364=Constants!$B$4,COUNTA($C$8:$C$507)+2,IF(AY364=Constants!$B$5,COUNTA($C$8:$C$507)+1,IF(AY364=Constants!$B$6,COUNTA($C$8:$C$507),AY364))))</f>
        <v/>
      </c>
      <c r="BA364" s="5"/>
      <c r="BB364" s="76" t="n">
        <f aca="false">IF(OR(ISNUMBER(AY364),AY364=Constants!$B$4,AY364=Constants!$B$6,AY364=Constants!$B$5),1,0)</f>
        <v>0</v>
      </c>
      <c r="BC364" s="76" t="n">
        <v>357</v>
      </c>
      <c r="BD364" s="76" t="str">
        <f aca="false">IF(ISBLANK($C364),"",IF(ISNUMBER(AZ364),AZ364+ROW($B364)/1000,""))</f>
        <v/>
      </c>
      <c r="BE364" s="76" t="str">
        <f aca="false">IF(ISNUMBER(BD364),RANK(BD364,$BD$8:$BD$507,1),"")</f>
        <v/>
      </c>
      <c r="BF364" s="76" t="str">
        <f aca="false">IF(ISBLANK($C364),"",$B364)</f>
        <v/>
      </c>
      <c r="BG364" s="76" t="str">
        <f aca="false">IF(ISBLANK($C364),"",$C364)</f>
        <v/>
      </c>
      <c r="BH364" s="76" t="str">
        <f aca="false">IF(ISBLANK($C364),"",$D364)</f>
        <v/>
      </c>
      <c r="BI364" s="77" t="str">
        <f aca="false">AW364</f>
        <v/>
      </c>
      <c r="BJ364" s="78" t="str">
        <f aca="false">AV364</f>
        <v/>
      </c>
      <c r="BK364" s="76" t="str">
        <f aca="false">IF(ISBLANK($C364),"",AY364)</f>
        <v/>
      </c>
      <c r="BL364" s="79" t="str">
        <f aca="false">IF($BC364&gt;$BB$7,"",VLOOKUP($BC364,$BE$8:$BK$507,7,FALSE()))</f>
        <v/>
      </c>
      <c r="BM364" s="80" t="str">
        <f aca="false">IF($BC364&gt;$BB$7,"",VLOOKUP($BC364,$BE$8:$BK$507,2,FALSE()))</f>
        <v/>
      </c>
      <c r="BN364" s="80" t="str">
        <f aca="false">IF($BC364&gt;$BB$7,"",VLOOKUP($BC364,$BE$8:$BK$507,3,FALSE()))</f>
        <v/>
      </c>
      <c r="BO364" s="80" t="str">
        <f aca="false">IF($BC364&gt;$BB$7,"",VLOOKUP($BC364,$BE$8:$BK$507,4,FALSE()))</f>
        <v/>
      </c>
      <c r="BP364" s="80" t="str">
        <f aca="false">IF($BC364&gt;$BB$7,"",VLOOKUP($BC364,$BE$8:$BK$507,5,FALSE()))</f>
        <v/>
      </c>
      <c r="BQ364" s="81" t="str">
        <f aca="false">IF($BC364&gt;$BB$7,"",VLOOKUP($BC364,$BE$8:$BK$507,6,FALSE()))</f>
        <v/>
      </c>
      <c r="BR364" s="54"/>
    </row>
    <row r="365" customFormat="false" ht="15.75" hidden="false" customHeight="false" outlineLevel="0" collapsed="false">
      <c r="A365" s="5"/>
      <c r="B365" s="120"/>
      <c r="C365" s="121"/>
      <c r="D365" s="112"/>
      <c r="E365" s="123"/>
      <c r="F365" s="91"/>
      <c r="G365" s="92"/>
      <c r="H365" s="93"/>
      <c r="I365" s="94"/>
      <c r="J365" s="91"/>
      <c r="K365" s="92"/>
      <c r="L365" s="93"/>
      <c r="M365" s="94"/>
      <c r="N365" s="91"/>
      <c r="O365" s="123"/>
      <c r="P365" s="96"/>
      <c r="Q365" s="97" t="str">
        <f aca="false">IF(ISBLANK($C365),"",IF(E365=Constants!$B$2, TRUE(), IF(E365=Constants!$B$3, FALSE(), TRUE())))</f>
        <v/>
      </c>
      <c r="R365" s="97" t="str">
        <f aca="false">IF(ISBLANK($C365),"",IF(F365=Constants!$B$16,Constants!$B$9,IF(F365=Constants!$B$17,Constants!$B$10,Constants!$B$8)))</f>
        <v/>
      </c>
      <c r="S365" s="97" t="str">
        <f aca="false">IF(ISBLANK($C365),"",IF(COUNTA(G365:H365)=0,"",IF(AND(OR(ISBLANK(G365),AND(ISNUMBER(G365),G365&gt;=0)),OR(ISBLANK(H365),AND(ISNUMBER(H365),H365&gt;=0))),60*IF(ISBLANK(G365),0,G365)+IF(ISBLANK(H365),0,H365),"")))</f>
        <v/>
      </c>
      <c r="T365" s="97" t="str">
        <f aca="false">IF(ISBLANK($C365),"",IF(I365=Constants!$B$2, TRUE(), IF(I365=Constants!$B$3, FALSE(), TRUE())))</f>
        <v/>
      </c>
      <c r="U365" s="97" t="str">
        <f aca="false">IF(ISBLANK($C365),"",IF(J365=Constants!$B$2, TRUE(), IF(J365=Constants!$B$3, FALSE(), TRUE())))</f>
        <v/>
      </c>
      <c r="V365" s="97" t="str">
        <f aca="false">IF(ISBLANK($C365),"",IF(COUNTA(K365:L365)=0,"",IF(AND(OR(ISBLANK(K365),AND(ISNUMBER(K365),K365&gt;=0)),OR(ISBLANK(L365),AND(ISNUMBER(L365),L365&gt;=0))),60*IF(ISBLANK(K365),0,K365)+IF(ISBLANK(L365),0,L365),"")))</f>
        <v/>
      </c>
      <c r="W365" s="97" t="str">
        <f aca="false">IF(ISBLANK($C365),"",IF(M365=Constants!$B$2, TRUE(), IF(M365=Constants!$B$3, FALSE(), TRUE())))</f>
        <v/>
      </c>
      <c r="X365" s="97" t="str">
        <f aca="false">IF(ISBLANK($C365),"",IF(N365=Constants!$B$2, TRUE(), IF(N365=Constants!$B$3, FALSE(), TRUE())))</f>
        <v/>
      </c>
      <c r="Y365" s="97" t="str">
        <f aca="false">IF(ISBLANK($C365),"",IF(O365=Constants!$B$2, TRUE(), IF(O365=Constants!$B$3, FALSE(), FALSE())))</f>
        <v/>
      </c>
      <c r="Z365" s="97" t="str">
        <f aca="false">IF(ISBLANK($C365),"",AND(S365&lt;&gt;"",Q365))</f>
        <v/>
      </c>
      <c r="AA365" s="97" t="str">
        <f aca="false">IF(ISBLANK($C365),"",AND(V365&lt;&gt;"",Q365))</f>
        <v/>
      </c>
      <c r="AB365" s="97" t="str">
        <f aca="false">IF(ISBLANK($C365),"",IF(Y365,Constants!$B$4,IF(COUNTA(E365:N365)=0,Constants!$B$5,IF(NOT(Q365),Constants!$B$6,IF(AND(NOT(Z365),NOT(AA365)),Constants!$B$6,Constants!$B$7)))))</f>
        <v/>
      </c>
      <c r="AC365" s="97" t="str">
        <f aca="false">IF(ISBLANK($C365),"",IF($AB365&lt;&gt;Constants!$B$7,$AB365,Constants!$B$20))</f>
        <v/>
      </c>
      <c r="AD365" s="97" t="str">
        <f aca="false">IF($AB365=Constants!$B$7,IF(Z365,S365,Constants!$B$13),"")</f>
        <v/>
      </c>
      <c r="AE365" s="97" t="str">
        <f aca="false">IF($AB365=Constants!$B$7,IF(Z365,R365*IF(T365, 1, Constants!$B$11)*IF(U365, 1, Constants!$B$12),Constants!$B$13),"")</f>
        <v/>
      </c>
      <c r="AF365" s="97" t="str">
        <f aca="false">IF($AB365=Constants!$B$7,AD365*AE365,"")</f>
        <v/>
      </c>
      <c r="AG365" s="97" t="str">
        <f aca="false">IF($AB365=Constants!$B$7,IF(AA365,V365,Constants!$B$13),"")</f>
        <v/>
      </c>
      <c r="AH365" s="97" t="str">
        <f aca="false">IF($AB365=Constants!$B$7,IF(AA365,R365*IF(W365, 1, Constants!$B$11)*IF(X365, 1, Constants!$B$12),Constants!$B$13),"")</f>
        <v/>
      </c>
      <c r="AI365" s="97" t="str">
        <f aca="false">IF($AB365=Constants!$B$7,AG365*AH365,"")</f>
        <v/>
      </c>
      <c r="AJ365" s="97" t="str">
        <f aca="false">IF($AB365=Constants!$B$7,IF(AI365&gt;AF365,2,1),"")</f>
        <v/>
      </c>
      <c r="AK365" s="97" t="str">
        <f aca="false">IF($AB365=Constants!$B$7,IF(AJ365=1,2,1),"")</f>
        <v/>
      </c>
      <c r="AL365" s="97" t="str">
        <f aca="false">IF(ISBLANK($C365),"",IF($AB365&lt;&gt;Constants!$B$7,$AB365,IF(AJ365=1,AF365,AI365)))</f>
        <v/>
      </c>
      <c r="AM365" s="97" t="str">
        <f aca="false">IF(ISBLANK($C365),"",IF($AB365=Constants!$B$7,IF(ISNUMBER(AL365),RANK(AL365,$AL$8:$AL$507),Constants!$B$14),$AB365))</f>
        <v/>
      </c>
      <c r="AN365" s="97" t="str">
        <f aca="false">IF(ISBLANK($C365),"",IF($AB365=Constants!$B$7,IF(AK365=1,AF365,AI365),""))</f>
        <v/>
      </c>
      <c r="AO365" s="97" t="str">
        <f aca="false">IF(ISBLANK($C365),"",IF($AB365=Constants!$B$7,RANK(AN365,$AN$8:$AN$507),$AB365))</f>
        <v/>
      </c>
      <c r="AP365" s="97" t="str">
        <f aca="false">IF(ISBLANK($C365),"",IF($AB365=Constants!$B$7,IF(ISNUMBER(AM365),COUNTIFS($AM$8:$AM$507,"&lt;"&amp;$AM365)+COUNTIFS($AM$8:$AM$507,$AM365,$AO$8:$AO$507,"&lt;"&amp;$AO365)+1,Constants!$B$14),$AB365))</f>
        <v/>
      </c>
      <c r="AQ365" s="97" t="str">
        <f aca="false">IF(ISBLANK($C365),"",IF($AB365=Constants!$B$7,IF(ISNUMBER(AM365),AM365-AP365,Constants!$B$14),$AB365))</f>
        <v/>
      </c>
      <c r="AR365" s="98"/>
      <c r="AS365" s="99" t="str">
        <f aca="false">IF(ISBLANK($C365),"",IF($AB365&lt;&gt;Constants!$B$7,"",AJ365))</f>
        <v/>
      </c>
      <c r="AT365" s="100" t="str">
        <f aca="false">IF(ISBLANK($C365),"",IF($AB365&lt;&gt;Constants!$B$7,"",IF(AJ365=1,AD365,AG365)))</f>
        <v/>
      </c>
      <c r="AU365" s="101" t="str">
        <f aca="false">IF(ISBLANK($C365),"",IF($AB365&lt;&gt;Constants!$B$7,"",IF(AJ365=1,AE365,AH365)))</f>
        <v/>
      </c>
      <c r="AV365" s="102" t="str">
        <f aca="false">IF(ISBLANK($C365),"",IF($AB365&lt;&gt;Constants!$B$7,$AB365,AL365))</f>
        <v/>
      </c>
      <c r="AW365" s="103" t="str">
        <f aca="false">IF(ISBLANK($C365),"",IF($AB365&lt;&gt;Constants!$B$7,$AB365,AC365))</f>
        <v/>
      </c>
      <c r="AX365" s="104" t="str">
        <f aca="false">IF(ISBLANK($C365),"",AQ365)</f>
        <v/>
      </c>
      <c r="AY365" s="104" t="str">
        <f aca="false">IF(ISBLANK($C365),"",AP365)</f>
        <v/>
      </c>
      <c r="AZ365" s="105" t="str">
        <f aca="false">IF(ISBLANK($C365),"",IF(AY365=Constants!$B$4,COUNTA($C$8:$C$507)+2,IF(AY365=Constants!$B$5,COUNTA($C$8:$C$507)+1,IF(AY365=Constants!$B$6,COUNTA($C$8:$C$507),AY365))))</f>
        <v/>
      </c>
      <c r="BA365" s="5"/>
      <c r="BB365" s="106" t="n">
        <f aca="false">IF(OR(ISNUMBER(AY365),AY365=Constants!$B$4,AY365=Constants!$B$6,AY365=Constants!$B$5),1,0)</f>
        <v>0</v>
      </c>
      <c r="BC365" s="106" t="n">
        <v>358</v>
      </c>
      <c r="BD365" s="106" t="str">
        <f aca="false">IF(ISBLANK($C365),"",IF(ISNUMBER(AZ365),AZ365+ROW($B365)/1000,""))</f>
        <v/>
      </c>
      <c r="BE365" s="106" t="str">
        <f aca="false">IF(ISNUMBER(BD365),RANK(BD365,$BD$8:$BD$507,1),"")</f>
        <v/>
      </c>
      <c r="BF365" s="106" t="str">
        <f aca="false">IF(ISBLANK($C365),"",$B365)</f>
        <v/>
      </c>
      <c r="BG365" s="106" t="str">
        <f aca="false">IF(ISBLANK($C365),"",$C365)</f>
        <v/>
      </c>
      <c r="BH365" s="106" t="str">
        <f aca="false">IF(ISBLANK($C365),"",$D365)</f>
        <v/>
      </c>
      <c r="BI365" s="107" t="str">
        <f aca="false">AW365</f>
        <v/>
      </c>
      <c r="BJ365" s="108" t="str">
        <f aca="false">AV365</f>
        <v/>
      </c>
      <c r="BK365" s="106" t="str">
        <f aca="false">IF(ISBLANK($C365),"",AY365)</f>
        <v/>
      </c>
      <c r="BL365" s="109" t="str">
        <f aca="false">IF($BC365&gt;$BB$7,"",VLOOKUP($BC365,$BE$8:$BK$507,7,FALSE()))</f>
        <v/>
      </c>
      <c r="BM365" s="110" t="str">
        <f aca="false">IF($BC365&gt;$BB$7,"",VLOOKUP($BC365,$BE$8:$BK$507,2,FALSE()))</f>
        <v/>
      </c>
      <c r="BN365" s="110" t="str">
        <f aca="false">IF($BC365&gt;$BB$7,"",VLOOKUP($BC365,$BE$8:$BK$507,3,FALSE()))</f>
        <v/>
      </c>
      <c r="BO365" s="110" t="str">
        <f aca="false">IF($BC365&gt;$BB$7,"",VLOOKUP($BC365,$BE$8:$BK$507,4,FALSE()))</f>
        <v/>
      </c>
      <c r="BP365" s="110" t="str">
        <f aca="false">IF($BC365&gt;$BB$7,"",VLOOKUP($BC365,$BE$8:$BK$507,5,FALSE()))</f>
        <v/>
      </c>
      <c r="BQ365" s="111" t="str">
        <f aca="false">IF($BC365&gt;$BB$7,"",VLOOKUP($BC365,$BE$8:$BK$507,6,FALSE()))</f>
        <v/>
      </c>
      <c r="BR365" s="54"/>
    </row>
    <row r="366" customFormat="false" ht="15.75" hidden="false" customHeight="false" outlineLevel="0" collapsed="false">
      <c r="A366" s="5"/>
      <c r="B366" s="120"/>
      <c r="C366" s="121"/>
      <c r="D366" s="112"/>
      <c r="E366" s="123"/>
      <c r="F366" s="91"/>
      <c r="G366" s="92"/>
      <c r="H366" s="93"/>
      <c r="I366" s="94"/>
      <c r="J366" s="91"/>
      <c r="K366" s="92"/>
      <c r="L366" s="93"/>
      <c r="M366" s="94"/>
      <c r="N366" s="91"/>
      <c r="O366" s="123"/>
      <c r="P366" s="96"/>
      <c r="Q366" s="97" t="str">
        <f aca="false">IF(ISBLANK($C366),"",IF(E366=Constants!$B$2, TRUE(), IF(E366=Constants!$B$3, FALSE(), TRUE())))</f>
        <v/>
      </c>
      <c r="R366" s="97" t="str">
        <f aca="false">IF(ISBLANK($C366),"",IF(F366=Constants!$B$16,Constants!$B$9,IF(F366=Constants!$B$17,Constants!$B$10,Constants!$B$8)))</f>
        <v/>
      </c>
      <c r="S366" s="97" t="str">
        <f aca="false">IF(ISBLANK($C366),"",IF(COUNTA(G366:H366)=0,"",IF(AND(OR(ISBLANK(G366),AND(ISNUMBER(G366),G366&gt;=0)),OR(ISBLANK(H366),AND(ISNUMBER(H366),H366&gt;=0))),60*IF(ISBLANK(G366),0,G366)+IF(ISBLANK(H366),0,H366),"")))</f>
        <v/>
      </c>
      <c r="T366" s="97" t="str">
        <f aca="false">IF(ISBLANK($C366),"",IF(I366=Constants!$B$2, TRUE(), IF(I366=Constants!$B$3, FALSE(), TRUE())))</f>
        <v/>
      </c>
      <c r="U366" s="97" t="str">
        <f aca="false">IF(ISBLANK($C366),"",IF(J366=Constants!$B$2, TRUE(), IF(J366=Constants!$B$3, FALSE(), TRUE())))</f>
        <v/>
      </c>
      <c r="V366" s="97" t="str">
        <f aca="false">IF(ISBLANK($C366),"",IF(COUNTA(K366:L366)=0,"",IF(AND(OR(ISBLANK(K366),AND(ISNUMBER(K366),K366&gt;=0)),OR(ISBLANK(L366),AND(ISNUMBER(L366),L366&gt;=0))),60*IF(ISBLANK(K366),0,K366)+IF(ISBLANK(L366),0,L366),"")))</f>
        <v/>
      </c>
      <c r="W366" s="97" t="str">
        <f aca="false">IF(ISBLANK($C366),"",IF(M366=Constants!$B$2, TRUE(), IF(M366=Constants!$B$3, FALSE(), TRUE())))</f>
        <v/>
      </c>
      <c r="X366" s="97" t="str">
        <f aca="false">IF(ISBLANK($C366),"",IF(N366=Constants!$B$2, TRUE(), IF(N366=Constants!$B$3, FALSE(), TRUE())))</f>
        <v/>
      </c>
      <c r="Y366" s="97" t="str">
        <f aca="false">IF(ISBLANK($C366),"",IF(O366=Constants!$B$2, TRUE(), IF(O366=Constants!$B$3, FALSE(), FALSE())))</f>
        <v/>
      </c>
      <c r="Z366" s="97" t="str">
        <f aca="false">IF(ISBLANK($C366),"",AND(S366&lt;&gt;"",Q366))</f>
        <v/>
      </c>
      <c r="AA366" s="97" t="str">
        <f aca="false">IF(ISBLANK($C366),"",AND(V366&lt;&gt;"",Q366))</f>
        <v/>
      </c>
      <c r="AB366" s="97" t="str">
        <f aca="false">IF(ISBLANK($C366),"",IF(Y366,Constants!$B$4,IF(COUNTA(E366:N366)=0,Constants!$B$5,IF(NOT(Q366),Constants!$B$6,IF(AND(NOT(Z366),NOT(AA366)),Constants!$B$6,Constants!$B$7)))))</f>
        <v/>
      </c>
      <c r="AC366" s="97" t="str">
        <f aca="false">IF(ISBLANK($C366),"",IF($AB366&lt;&gt;Constants!$B$7,$AB366,Constants!$B$20))</f>
        <v/>
      </c>
      <c r="AD366" s="97" t="str">
        <f aca="false">IF($AB366=Constants!$B$7,IF(Z366,S366,Constants!$B$13),"")</f>
        <v/>
      </c>
      <c r="AE366" s="97" t="str">
        <f aca="false">IF($AB366=Constants!$B$7,IF(Z366,R366*IF(T366, 1, Constants!$B$11)*IF(U366, 1, Constants!$B$12),Constants!$B$13),"")</f>
        <v/>
      </c>
      <c r="AF366" s="97" t="str">
        <f aca="false">IF($AB366=Constants!$B$7,AD366*AE366,"")</f>
        <v/>
      </c>
      <c r="AG366" s="97" t="str">
        <f aca="false">IF($AB366=Constants!$B$7,IF(AA366,V366,Constants!$B$13),"")</f>
        <v/>
      </c>
      <c r="AH366" s="97" t="str">
        <f aca="false">IF($AB366=Constants!$B$7,IF(AA366,R366*IF(W366, 1, Constants!$B$11)*IF(X366, 1, Constants!$B$12),Constants!$B$13),"")</f>
        <v/>
      </c>
      <c r="AI366" s="97" t="str">
        <f aca="false">IF($AB366=Constants!$B$7,AG366*AH366,"")</f>
        <v/>
      </c>
      <c r="AJ366" s="97" t="str">
        <f aca="false">IF($AB366=Constants!$B$7,IF(AI366&gt;AF366,2,1),"")</f>
        <v/>
      </c>
      <c r="AK366" s="97" t="str">
        <f aca="false">IF($AB366=Constants!$B$7,IF(AJ366=1,2,1),"")</f>
        <v/>
      </c>
      <c r="AL366" s="97" t="str">
        <f aca="false">IF(ISBLANK($C366),"",IF($AB366&lt;&gt;Constants!$B$7,$AB366,IF(AJ366=1,AF366,AI366)))</f>
        <v/>
      </c>
      <c r="AM366" s="97" t="str">
        <f aca="false">IF(ISBLANK($C366),"",IF($AB366=Constants!$B$7,IF(ISNUMBER(AL366),RANK(AL366,$AL$8:$AL$507),Constants!$B$14),$AB366))</f>
        <v/>
      </c>
      <c r="AN366" s="97" t="str">
        <f aca="false">IF(ISBLANK($C366),"",IF($AB366=Constants!$B$7,IF(AK366=1,AF366,AI366),""))</f>
        <v/>
      </c>
      <c r="AO366" s="97" t="str">
        <f aca="false">IF(ISBLANK($C366),"",IF($AB366=Constants!$B$7,RANK(AN366,$AN$8:$AN$507),$AB366))</f>
        <v/>
      </c>
      <c r="AP366" s="97" t="str">
        <f aca="false">IF(ISBLANK($C366),"",IF($AB366=Constants!$B$7,IF(ISNUMBER(AM366),COUNTIFS($AM$8:$AM$507,"&lt;"&amp;$AM366)+COUNTIFS($AM$8:$AM$507,$AM366,$AO$8:$AO$507,"&lt;"&amp;$AO366)+1,Constants!$B$14),$AB366))</f>
        <v/>
      </c>
      <c r="AQ366" s="97" t="str">
        <f aca="false">IF(ISBLANK($C366),"",IF($AB366=Constants!$B$7,IF(ISNUMBER(AM366),AM366-AP366,Constants!$B$14),$AB366))</f>
        <v/>
      </c>
      <c r="AR366" s="98"/>
      <c r="AS366" s="99" t="str">
        <f aca="false">IF(ISBLANK($C366),"",IF($AB366&lt;&gt;Constants!$B$7,"",AJ366))</f>
        <v/>
      </c>
      <c r="AT366" s="100" t="str">
        <f aca="false">IF(ISBLANK($C366),"",IF($AB366&lt;&gt;Constants!$B$7,"",IF(AJ366=1,AD366,AG366)))</f>
        <v/>
      </c>
      <c r="AU366" s="101" t="str">
        <f aca="false">IF(ISBLANK($C366),"",IF($AB366&lt;&gt;Constants!$B$7,"",IF(AJ366=1,AE366,AH366)))</f>
        <v/>
      </c>
      <c r="AV366" s="102" t="str">
        <f aca="false">IF(ISBLANK($C366),"",IF($AB366&lt;&gt;Constants!$B$7,$AB366,AL366))</f>
        <v/>
      </c>
      <c r="AW366" s="103" t="str">
        <f aca="false">IF(ISBLANK($C366),"",IF($AB366&lt;&gt;Constants!$B$7,$AB366,AC366))</f>
        <v/>
      </c>
      <c r="AX366" s="104" t="str">
        <f aca="false">IF(ISBLANK($C366),"",AQ366)</f>
        <v/>
      </c>
      <c r="AY366" s="104" t="str">
        <f aca="false">IF(ISBLANK($C366),"",AP366)</f>
        <v/>
      </c>
      <c r="AZ366" s="105" t="str">
        <f aca="false">IF(ISBLANK($C366),"",IF(AY366=Constants!$B$4,COUNTA($C$8:$C$507)+2,IF(AY366=Constants!$B$5,COUNTA($C$8:$C$507)+1,IF(AY366=Constants!$B$6,COUNTA($C$8:$C$507),AY366))))</f>
        <v/>
      </c>
      <c r="BA366" s="5"/>
      <c r="BB366" s="106" t="n">
        <f aca="false">IF(OR(ISNUMBER(AY366),AY366=Constants!$B$4,AY366=Constants!$B$6,AY366=Constants!$B$5),1,0)</f>
        <v>0</v>
      </c>
      <c r="BC366" s="106" t="n">
        <v>359</v>
      </c>
      <c r="BD366" s="106" t="str">
        <f aca="false">IF(ISBLANK($C366),"",IF(ISNUMBER(AZ366),AZ366+ROW($B366)/1000,""))</f>
        <v/>
      </c>
      <c r="BE366" s="106" t="str">
        <f aca="false">IF(ISNUMBER(BD366),RANK(BD366,$BD$8:$BD$507,1),"")</f>
        <v/>
      </c>
      <c r="BF366" s="106" t="str">
        <f aca="false">IF(ISBLANK($C366),"",$B366)</f>
        <v/>
      </c>
      <c r="BG366" s="106" t="str">
        <f aca="false">IF(ISBLANK($C366),"",$C366)</f>
        <v/>
      </c>
      <c r="BH366" s="106" t="str">
        <f aca="false">IF(ISBLANK($C366),"",$D366)</f>
        <v/>
      </c>
      <c r="BI366" s="107" t="str">
        <f aca="false">AW366</f>
        <v/>
      </c>
      <c r="BJ366" s="108" t="str">
        <f aca="false">AV366</f>
        <v/>
      </c>
      <c r="BK366" s="106" t="str">
        <f aca="false">IF(ISBLANK($C366),"",AY366)</f>
        <v/>
      </c>
      <c r="BL366" s="109" t="str">
        <f aca="false">IF($BC366&gt;$BB$7,"",VLOOKUP($BC366,$BE$8:$BK$507,7,FALSE()))</f>
        <v/>
      </c>
      <c r="BM366" s="110" t="str">
        <f aca="false">IF($BC366&gt;$BB$7,"",VLOOKUP($BC366,$BE$8:$BK$507,2,FALSE()))</f>
        <v/>
      </c>
      <c r="BN366" s="110" t="str">
        <f aca="false">IF($BC366&gt;$BB$7,"",VLOOKUP($BC366,$BE$8:$BK$507,3,FALSE()))</f>
        <v/>
      </c>
      <c r="BO366" s="110" t="str">
        <f aca="false">IF($BC366&gt;$BB$7,"",VLOOKUP($BC366,$BE$8:$BK$507,4,FALSE()))</f>
        <v/>
      </c>
      <c r="BP366" s="110" t="str">
        <f aca="false">IF($BC366&gt;$BB$7,"",VLOOKUP($BC366,$BE$8:$BK$507,5,FALSE()))</f>
        <v/>
      </c>
      <c r="BQ366" s="111" t="str">
        <f aca="false">IF($BC366&gt;$BB$7,"",VLOOKUP($BC366,$BE$8:$BK$507,6,FALSE()))</f>
        <v/>
      </c>
      <c r="BR366" s="54"/>
    </row>
    <row r="367" customFormat="false" ht="15.75" hidden="false" customHeight="false" outlineLevel="0" collapsed="false">
      <c r="A367" s="5"/>
      <c r="B367" s="120"/>
      <c r="C367" s="121"/>
      <c r="D367" s="112"/>
      <c r="E367" s="123"/>
      <c r="F367" s="91"/>
      <c r="G367" s="92"/>
      <c r="H367" s="93"/>
      <c r="I367" s="94"/>
      <c r="J367" s="91"/>
      <c r="K367" s="92"/>
      <c r="L367" s="93"/>
      <c r="M367" s="94"/>
      <c r="N367" s="91"/>
      <c r="O367" s="123"/>
      <c r="P367" s="96"/>
      <c r="Q367" s="97" t="str">
        <f aca="false">IF(ISBLANK($C367),"",IF(E367=Constants!$B$2, TRUE(), IF(E367=Constants!$B$3, FALSE(), TRUE())))</f>
        <v/>
      </c>
      <c r="R367" s="97" t="str">
        <f aca="false">IF(ISBLANK($C367),"",IF(F367=Constants!$B$16,Constants!$B$9,IF(F367=Constants!$B$17,Constants!$B$10,Constants!$B$8)))</f>
        <v/>
      </c>
      <c r="S367" s="97" t="str">
        <f aca="false">IF(ISBLANK($C367),"",IF(COUNTA(G367:H367)=0,"",IF(AND(OR(ISBLANK(G367),AND(ISNUMBER(G367),G367&gt;=0)),OR(ISBLANK(H367),AND(ISNUMBER(H367),H367&gt;=0))),60*IF(ISBLANK(G367),0,G367)+IF(ISBLANK(H367),0,H367),"")))</f>
        <v/>
      </c>
      <c r="T367" s="97" t="str">
        <f aca="false">IF(ISBLANK($C367),"",IF(I367=Constants!$B$2, TRUE(), IF(I367=Constants!$B$3, FALSE(), TRUE())))</f>
        <v/>
      </c>
      <c r="U367" s="97" t="str">
        <f aca="false">IF(ISBLANK($C367),"",IF(J367=Constants!$B$2, TRUE(), IF(J367=Constants!$B$3, FALSE(), TRUE())))</f>
        <v/>
      </c>
      <c r="V367" s="97" t="str">
        <f aca="false">IF(ISBLANK($C367),"",IF(COUNTA(K367:L367)=0,"",IF(AND(OR(ISBLANK(K367),AND(ISNUMBER(K367),K367&gt;=0)),OR(ISBLANK(L367),AND(ISNUMBER(L367),L367&gt;=0))),60*IF(ISBLANK(K367),0,K367)+IF(ISBLANK(L367),0,L367),"")))</f>
        <v/>
      </c>
      <c r="W367" s="97" t="str">
        <f aca="false">IF(ISBLANK($C367),"",IF(M367=Constants!$B$2, TRUE(), IF(M367=Constants!$B$3, FALSE(), TRUE())))</f>
        <v/>
      </c>
      <c r="X367" s="97" t="str">
        <f aca="false">IF(ISBLANK($C367),"",IF(N367=Constants!$B$2, TRUE(), IF(N367=Constants!$B$3, FALSE(), TRUE())))</f>
        <v/>
      </c>
      <c r="Y367" s="97" t="str">
        <f aca="false">IF(ISBLANK($C367),"",IF(O367=Constants!$B$2, TRUE(), IF(O367=Constants!$B$3, FALSE(), FALSE())))</f>
        <v/>
      </c>
      <c r="Z367" s="97" t="str">
        <f aca="false">IF(ISBLANK($C367),"",AND(S367&lt;&gt;"",Q367))</f>
        <v/>
      </c>
      <c r="AA367" s="97" t="str">
        <f aca="false">IF(ISBLANK($C367),"",AND(V367&lt;&gt;"",Q367))</f>
        <v/>
      </c>
      <c r="AB367" s="97" t="str">
        <f aca="false">IF(ISBLANK($C367),"",IF(Y367,Constants!$B$4,IF(COUNTA(E367:N367)=0,Constants!$B$5,IF(NOT(Q367),Constants!$B$6,IF(AND(NOT(Z367),NOT(AA367)),Constants!$B$6,Constants!$B$7)))))</f>
        <v/>
      </c>
      <c r="AC367" s="97" t="str">
        <f aca="false">IF(ISBLANK($C367),"",IF($AB367&lt;&gt;Constants!$B$7,$AB367,Constants!$B$20))</f>
        <v/>
      </c>
      <c r="AD367" s="97" t="str">
        <f aca="false">IF($AB367=Constants!$B$7,IF(Z367,S367,Constants!$B$13),"")</f>
        <v/>
      </c>
      <c r="AE367" s="97" t="str">
        <f aca="false">IF($AB367=Constants!$B$7,IF(Z367,R367*IF(T367, 1, Constants!$B$11)*IF(U367, 1, Constants!$B$12),Constants!$B$13),"")</f>
        <v/>
      </c>
      <c r="AF367" s="97" t="str">
        <f aca="false">IF($AB367=Constants!$B$7,AD367*AE367,"")</f>
        <v/>
      </c>
      <c r="AG367" s="97" t="str">
        <f aca="false">IF($AB367=Constants!$B$7,IF(AA367,V367,Constants!$B$13),"")</f>
        <v/>
      </c>
      <c r="AH367" s="97" t="str">
        <f aca="false">IF($AB367=Constants!$B$7,IF(AA367,R367*IF(W367, 1, Constants!$B$11)*IF(X367, 1, Constants!$B$12),Constants!$B$13),"")</f>
        <v/>
      </c>
      <c r="AI367" s="97" t="str">
        <f aca="false">IF($AB367=Constants!$B$7,AG367*AH367,"")</f>
        <v/>
      </c>
      <c r="AJ367" s="97" t="str">
        <f aca="false">IF($AB367=Constants!$B$7,IF(AI367&gt;AF367,2,1),"")</f>
        <v/>
      </c>
      <c r="AK367" s="97" t="str">
        <f aca="false">IF($AB367=Constants!$B$7,IF(AJ367=1,2,1),"")</f>
        <v/>
      </c>
      <c r="AL367" s="97" t="str">
        <f aca="false">IF(ISBLANK($C367),"",IF($AB367&lt;&gt;Constants!$B$7,$AB367,IF(AJ367=1,AF367,AI367)))</f>
        <v/>
      </c>
      <c r="AM367" s="97" t="str">
        <f aca="false">IF(ISBLANK($C367),"",IF($AB367=Constants!$B$7,IF(ISNUMBER(AL367),RANK(AL367,$AL$8:$AL$507),Constants!$B$14),$AB367))</f>
        <v/>
      </c>
      <c r="AN367" s="97" t="str">
        <f aca="false">IF(ISBLANK($C367),"",IF($AB367=Constants!$B$7,IF(AK367=1,AF367,AI367),""))</f>
        <v/>
      </c>
      <c r="AO367" s="97" t="str">
        <f aca="false">IF(ISBLANK($C367),"",IF($AB367=Constants!$B$7,RANK(AN367,$AN$8:$AN$507),$AB367))</f>
        <v/>
      </c>
      <c r="AP367" s="97" t="str">
        <f aca="false">IF(ISBLANK($C367),"",IF($AB367=Constants!$B$7,IF(ISNUMBER(AM367),COUNTIFS($AM$8:$AM$507,"&lt;"&amp;$AM367)+COUNTIFS($AM$8:$AM$507,$AM367,$AO$8:$AO$507,"&lt;"&amp;$AO367)+1,Constants!$B$14),$AB367))</f>
        <v/>
      </c>
      <c r="AQ367" s="97" t="str">
        <f aca="false">IF(ISBLANK($C367),"",IF($AB367=Constants!$B$7,IF(ISNUMBER(AM367),AM367-AP367,Constants!$B$14),$AB367))</f>
        <v/>
      </c>
      <c r="AR367" s="98"/>
      <c r="AS367" s="99" t="str">
        <f aca="false">IF(ISBLANK($C367),"",IF($AB367&lt;&gt;Constants!$B$7,"",AJ367))</f>
        <v/>
      </c>
      <c r="AT367" s="100" t="str">
        <f aca="false">IF(ISBLANK($C367),"",IF($AB367&lt;&gt;Constants!$B$7,"",IF(AJ367=1,AD367,AG367)))</f>
        <v/>
      </c>
      <c r="AU367" s="101" t="str">
        <f aca="false">IF(ISBLANK($C367),"",IF($AB367&lt;&gt;Constants!$B$7,"",IF(AJ367=1,AE367,AH367)))</f>
        <v/>
      </c>
      <c r="AV367" s="102" t="str">
        <f aca="false">IF(ISBLANK($C367),"",IF($AB367&lt;&gt;Constants!$B$7,$AB367,AL367))</f>
        <v/>
      </c>
      <c r="AW367" s="103" t="str">
        <f aca="false">IF(ISBLANK($C367),"",IF($AB367&lt;&gt;Constants!$B$7,$AB367,AC367))</f>
        <v/>
      </c>
      <c r="AX367" s="104" t="str">
        <f aca="false">IF(ISBLANK($C367),"",AQ367)</f>
        <v/>
      </c>
      <c r="AY367" s="104" t="str">
        <f aca="false">IF(ISBLANK($C367),"",AP367)</f>
        <v/>
      </c>
      <c r="AZ367" s="105" t="str">
        <f aca="false">IF(ISBLANK($C367),"",IF(AY367=Constants!$B$4,COUNTA($C$8:$C$507)+2,IF(AY367=Constants!$B$5,COUNTA($C$8:$C$507)+1,IF(AY367=Constants!$B$6,COUNTA($C$8:$C$507),AY367))))</f>
        <v/>
      </c>
      <c r="BA367" s="5"/>
      <c r="BB367" s="106" t="n">
        <f aca="false">IF(OR(ISNUMBER(AY367),AY367=Constants!$B$4,AY367=Constants!$B$6,AY367=Constants!$B$5),1,0)</f>
        <v>0</v>
      </c>
      <c r="BC367" s="106" t="n">
        <v>360</v>
      </c>
      <c r="BD367" s="106" t="str">
        <f aca="false">IF(ISBLANK($C367),"",IF(ISNUMBER(AZ367),AZ367+ROW($B367)/1000,""))</f>
        <v/>
      </c>
      <c r="BE367" s="106" t="str">
        <f aca="false">IF(ISNUMBER(BD367),RANK(BD367,$BD$8:$BD$507,1),"")</f>
        <v/>
      </c>
      <c r="BF367" s="106" t="str">
        <f aca="false">IF(ISBLANK($C367),"",$B367)</f>
        <v/>
      </c>
      <c r="BG367" s="106" t="str">
        <f aca="false">IF(ISBLANK($C367),"",$C367)</f>
        <v/>
      </c>
      <c r="BH367" s="106" t="str">
        <f aca="false">IF(ISBLANK($C367),"",$D367)</f>
        <v/>
      </c>
      <c r="BI367" s="107" t="str">
        <f aca="false">AW367</f>
        <v/>
      </c>
      <c r="BJ367" s="108" t="str">
        <f aca="false">AV367</f>
        <v/>
      </c>
      <c r="BK367" s="106" t="str">
        <f aca="false">IF(ISBLANK($C367),"",AY367)</f>
        <v/>
      </c>
      <c r="BL367" s="109" t="str">
        <f aca="false">IF($BC367&gt;$BB$7,"",VLOOKUP($BC367,$BE$8:$BK$507,7,FALSE()))</f>
        <v/>
      </c>
      <c r="BM367" s="110" t="str">
        <f aca="false">IF($BC367&gt;$BB$7,"",VLOOKUP($BC367,$BE$8:$BK$507,2,FALSE()))</f>
        <v/>
      </c>
      <c r="BN367" s="110" t="str">
        <f aca="false">IF($BC367&gt;$BB$7,"",VLOOKUP($BC367,$BE$8:$BK$507,3,FALSE()))</f>
        <v/>
      </c>
      <c r="BO367" s="110" t="str">
        <f aca="false">IF($BC367&gt;$BB$7,"",VLOOKUP($BC367,$BE$8:$BK$507,4,FALSE()))</f>
        <v/>
      </c>
      <c r="BP367" s="110" t="str">
        <f aca="false">IF($BC367&gt;$BB$7,"",VLOOKUP($BC367,$BE$8:$BK$507,5,FALSE()))</f>
        <v/>
      </c>
      <c r="BQ367" s="111" t="str">
        <f aca="false">IF($BC367&gt;$BB$7,"",VLOOKUP($BC367,$BE$8:$BK$507,6,FALSE()))</f>
        <v/>
      </c>
      <c r="BR367" s="54"/>
    </row>
    <row r="368" customFormat="false" ht="15.75" hidden="false" customHeight="false" outlineLevel="0" collapsed="false">
      <c r="A368" s="5"/>
      <c r="B368" s="124"/>
      <c r="C368" s="56"/>
      <c r="D368" s="57"/>
      <c r="E368" s="83"/>
      <c r="F368" s="59"/>
      <c r="G368" s="60"/>
      <c r="H368" s="61"/>
      <c r="I368" s="62"/>
      <c r="J368" s="59"/>
      <c r="K368" s="60"/>
      <c r="L368" s="61"/>
      <c r="M368" s="62"/>
      <c r="N368" s="59"/>
      <c r="O368" s="83"/>
      <c r="P368" s="64"/>
      <c r="Q368" s="66" t="str">
        <f aca="false">IF(ISBLANK($C368),"",IF(E368=Constants!$B$2, TRUE(), IF(E368=Constants!$B$3, FALSE(), TRUE())))</f>
        <v/>
      </c>
      <c r="R368" s="66" t="str">
        <f aca="false">IF(ISBLANK($C368),"",IF(F368=Constants!$B$16,Constants!$B$9,IF(F368=Constants!$B$17,Constants!$B$10,Constants!$B$8)))</f>
        <v/>
      </c>
      <c r="S368" s="66" t="str">
        <f aca="false">IF(ISBLANK($C368),"",IF(COUNTA(G368:H368)=0,"",IF(AND(OR(ISBLANK(G368),AND(ISNUMBER(G368),G368&gt;=0)),OR(ISBLANK(H368),AND(ISNUMBER(H368),H368&gt;=0))),60*IF(ISBLANK(G368),0,G368)+IF(ISBLANK(H368),0,H368),"")))</f>
        <v/>
      </c>
      <c r="T368" s="66" t="str">
        <f aca="false">IF(ISBLANK($C368),"",IF(I368=Constants!$B$2, TRUE(), IF(I368=Constants!$B$3, FALSE(), TRUE())))</f>
        <v/>
      </c>
      <c r="U368" s="66" t="str">
        <f aca="false">IF(ISBLANK($C368),"",IF(J368=Constants!$B$2, TRUE(), IF(J368=Constants!$B$3, FALSE(), TRUE())))</f>
        <v/>
      </c>
      <c r="V368" s="66" t="str">
        <f aca="false">IF(ISBLANK($C368),"",IF(COUNTA(K368:L368)=0,"",IF(AND(OR(ISBLANK(K368),AND(ISNUMBER(K368),K368&gt;=0)),OR(ISBLANK(L368),AND(ISNUMBER(L368),L368&gt;=0))),60*IF(ISBLANK(K368),0,K368)+IF(ISBLANK(L368),0,L368),"")))</f>
        <v/>
      </c>
      <c r="W368" s="66" t="str">
        <f aca="false">IF(ISBLANK($C368),"",IF(M368=Constants!$B$2, TRUE(), IF(M368=Constants!$B$3, FALSE(), TRUE())))</f>
        <v/>
      </c>
      <c r="X368" s="66" t="str">
        <f aca="false">IF(ISBLANK($C368),"",IF(N368=Constants!$B$2, TRUE(), IF(N368=Constants!$B$3, FALSE(), TRUE())))</f>
        <v/>
      </c>
      <c r="Y368" s="66" t="str">
        <f aca="false">IF(ISBLANK($C368),"",IF(O368=Constants!$B$2, TRUE(), IF(O368=Constants!$B$3, FALSE(), FALSE())))</f>
        <v/>
      </c>
      <c r="Z368" s="66" t="str">
        <f aca="false">IF(ISBLANK($C368),"",AND(S368&lt;&gt;"",Q368))</f>
        <v/>
      </c>
      <c r="AA368" s="66" t="str">
        <f aca="false">IF(ISBLANK($C368),"",AND(V368&lt;&gt;"",Q368))</f>
        <v/>
      </c>
      <c r="AB368" s="66" t="str">
        <f aca="false">IF(ISBLANK($C368),"",IF(Y368,Constants!$B$4,IF(COUNTA(E368:N368)=0,Constants!$B$5,IF(NOT(Q368),Constants!$B$6,IF(AND(NOT(Z368),NOT(AA368)),Constants!$B$6,Constants!$B$7)))))</f>
        <v/>
      </c>
      <c r="AC368" s="66" t="str">
        <f aca="false">IF(ISBLANK($C368),"",IF($AB368&lt;&gt;Constants!$B$7,$AB368,Constants!$B$20))</f>
        <v/>
      </c>
      <c r="AD368" s="66" t="str">
        <f aca="false">IF($AB368=Constants!$B$7,IF(Z368,S368,Constants!$B$13),"")</f>
        <v/>
      </c>
      <c r="AE368" s="66" t="str">
        <f aca="false">IF($AB368=Constants!$B$7,IF(Z368,R368*IF(T368, 1, Constants!$B$11)*IF(U368, 1, Constants!$B$12),Constants!$B$13),"")</f>
        <v/>
      </c>
      <c r="AF368" s="66" t="str">
        <f aca="false">IF($AB368=Constants!$B$7,AD368*AE368,"")</f>
        <v/>
      </c>
      <c r="AG368" s="66" t="str">
        <f aca="false">IF($AB368=Constants!$B$7,IF(AA368,V368,Constants!$B$13),"")</f>
        <v/>
      </c>
      <c r="AH368" s="66" t="str">
        <f aca="false">IF($AB368=Constants!$B$7,IF(AA368,R368*IF(W368, 1, Constants!$B$11)*IF(X368, 1, Constants!$B$12),Constants!$B$13),"")</f>
        <v/>
      </c>
      <c r="AI368" s="66" t="str">
        <f aca="false">IF($AB368=Constants!$B$7,AG368*AH368,"")</f>
        <v/>
      </c>
      <c r="AJ368" s="66" t="str">
        <f aca="false">IF($AB368=Constants!$B$7,IF(AI368&gt;AF368,2,1),"")</f>
        <v/>
      </c>
      <c r="AK368" s="66" t="str">
        <f aca="false">IF($AB368=Constants!$B$7,IF(AJ368=1,2,1),"")</f>
        <v/>
      </c>
      <c r="AL368" s="66" t="str">
        <f aca="false">IF(ISBLANK($C368),"",IF($AB368&lt;&gt;Constants!$B$7,$AB368,IF(AJ368=1,AF368,AI368)))</f>
        <v/>
      </c>
      <c r="AM368" s="66" t="str">
        <f aca="false">IF(ISBLANK($C368),"",IF($AB368=Constants!$B$7,IF(ISNUMBER(AL368),RANK(AL368,$AL$8:$AL$507),Constants!$B$14),$AB368))</f>
        <v/>
      </c>
      <c r="AN368" s="66" t="str">
        <f aca="false">IF(ISBLANK($C368),"",IF($AB368=Constants!$B$7,IF(AK368=1,AF368,AI368),""))</f>
        <v/>
      </c>
      <c r="AO368" s="66" t="str">
        <f aca="false">IF(ISBLANK($C368),"",IF($AB368=Constants!$B$7,RANK(AN368,$AN$8:$AN$507),$AB368))</f>
        <v/>
      </c>
      <c r="AP368" s="66" t="str">
        <f aca="false">IF(ISBLANK($C368),"",IF($AB368=Constants!$B$7,IF(ISNUMBER(AM368),COUNTIFS($AM$8:$AM$507,"&lt;"&amp;$AM368)+COUNTIFS($AM$8:$AM$507,$AM368,$AO$8:$AO$507,"&lt;"&amp;$AO368)+1,Constants!$B$14),$AB368))</f>
        <v/>
      </c>
      <c r="AQ368" s="66" t="str">
        <f aca="false">IF(ISBLANK($C368),"",IF($AB368=Constants!$B$7,IF(ISNUMBER(AM368),AM368-AP368,Constants!$B$14),$AB368))</f>
        <v/>
      </c>
      <c r="AR368" s="68"/>
      <c r="AS368" s="69" t="str">
        <f aca="false">IF(ISBLANK($C368),"",IF($AB368&lt;&gt;Constants!$B$7,"",AJ368))</f>
        <v/>
      </c>
      <c r="AT368" s="84" t="str">
        <f aca="false">IF(ISBLANK($C368),"",IF($AB368&lt;&gt;Constants!$B$7,"",IF(AJ368=1,AD368,AG368)))</f>
        <v/>
      </c>
      <c r="AU368" s="71" t="str">
        <f aca="false">IF(ISBLANK($C368),"",IF($AB368&lt;&gt;Constants!$B$7,"",IF(AJ368=1,AE368,AH368)))</f>
        <v/>
      </c>
      <c r="AV368" s="72" t="str">
        <f aca="false">IF(ISBLANK($C368),"",IF($AB368&lt;&gt;Constants!$B$7,$AB368,AL368))</f>
        <v/>
      </c>
      <c r="AW368" s="73" t="str">
        <f aca="false">IF(ISBLANK($C368),"",IF($AB368&lt;&gt;Constants!$B$7,$AB368,AC368))</f>
        <v/>
      </c>
      <c r="AX368" s="74" t="str">
        <f aca="false">IF(ISBLANK($C368),"",AQ368)</f>
        <v/>
      </c>
      <c r="AY368" s="74" t="str">
        <f aca="false">IF(ISBLANK($C368),"",AP368)</f>
        <v/>
      </c>
      <c r="AZ368" s="75" t="str">
        <f aca="false">IF(ISBLANK($C368),"",IF(AY368=Constants!$B$4,COUNTA($C$8:$C$507)+2,IF(AY368=Constants!$B$5,COUNTA($C$8:$C$507)+1,IF(AY368=Constants!$B$6,COUNTA($C$8:$C$507),AY368))))</f>
        <v/>
      </c>
      <c r="BA368" s="5"/>
      <c r="BB368" s="76" t="n">
        <f aca="false">IF(OR(ISNUMBER(AY368),AY368=Constants!$B$4,AY368=Constants!$B$6,AY368=Constants!$B$5),1,0)</f>
        <v>0</v>
      </c>
      <c r="BC368" s="76" t="n">
        <v>361</v>
      </c>
      <c r="BD368" s="76" t="str">
        <f aca="false">IF(ISBLANK($C368),"",IF(ISNUMBER(AZ368),AZ368+ROW($B368)/1000,""))</f>
        <v/>
      </c>
      <c r="BE368" s="76" t="str">
        <f aca="false">IF(ISNUMBER(BD368),RANK(BD368,$BD$8:$BD$507,1),"")</f>
        <v/>
      </c>
      <c r="BF368" s="76" t="str">
        <f aca="false">IF(ISBLANK($C368),"",$B368)</f>
        <v/>
      </c>
      <c r="BG368" s="76" t="str">
        <f aca="false">IF(ISBLANK($C368),"",$C368)</f>
        <v/>
      </c>
      <c r="BH368" s="76" t="str">
        <f aca="false">IF(ISBLANK($C368),"",$D368)</f>
        <v/>
      </c>
      <c r="BI368" s="77" t="str">
        <f aca="false">AW368</f>
        <v/>
      </c>
      <c r="BJ368" s="78" t="str">
        <f aca="false">AV368</f>
        <v/>
      </c>
      <c r="BK368" s="76" t="str">
        <f aca="false">IF(ISBLANK($C368),"",AY368)</f>
        <v/>
      </c>
      <c r="BL368" s="79" t="str">
        <f aca="false">IF($BC368&gt;$BB$7,"",VLOOKUP($BC368,$BE$8:$BK$507,7,FALSE()))</f>
        <v/>
      </c>
      <c r="BM368" s="80" t="str">
        <f aca="false">IF($BC368&gt;$BB$7,"",VLOOKUP($BC368,$BE$8:$BK$507,2,FALSE()))</f>
        <v/>
      </c>
      <c r="BN368" s="80" t="str">
        <f aca="false">IF($BC368&gt;$BB$7,"",VLOOKUP($BC368,$BE$8:$BK$507,3,FALSE()))</f>
        <v/>
      </c>
      <c r="BO368" s="80" t="str">
        <f aca="false">IF($BC368&gt;$BB$7,"",VLOOKUP($BC368,$BE$8:$BK$507,4,FALSE()))</f>
        <v/>
      </c>
      <c r="BP368" s="80" t="str">
        <f aca="false">IF($BC368&gt;$BB$7,"",VLOOKUP($BC368,$BE$8:$BK$507,5,FALSE()))</f>
        <v/>
      </c>
      <c r="BQ368" s="81" t="str">
        <f aca="false">IF($BC368&gt;$BB$7,"",VLOOKUP($BC368,$BE$8:$BK$507,6,FALSE()))</f>
        <v/>
      </c>
      <c r="BR368" s="54"/>
    </row>
    <row r="369" customFormat="false" ht="15.75" hidden="false" customHeight="false" outlineLevel="0" collapsed="false">
      <c r="A369" s="5"/>
      <c r="B369" s="124"/>
      <c r="C369" s="56"/>
      <c r="D369" s="57"/>
      <c r="E369" s="83"/>
      <c r="F369" s="59"/>
      <c r="G369" s="60"/>
      <c r="H369" s="61"/>
      <c r="I369" s="62"/>
      <c r="J369" s="59"/>
      <c r="K369" s="60"/>
      <c r="L369" s="61"/>
      <c r="M369" s="62"/>
      <c r="N369" s="59"/>
      <c r="O369" s="83"/>
      <c r="P369" s="64"/>
      <c r="Q369" s="66" t="str">
        <f aca="false">IF(ISBLANK($C369),"",IF(E369=Constants!$B$2, TRUE(), IF(E369=Constants!$B$3, FALSE(), TRUE())))</f>
        <v/>
      </c>
      <c r="R369" s="66" t="str">
        <f aca="false">IF(ISBLANK($C369),"",IF(F369=Constants!$B$16,Constants!$B$9,IF(F369=Constants!$B$17,Constants!$B$10,Constants!$B$8)))</f>
        <v/>
      </c>
      <c r="S369" s="66" t="str">
        <f aca="false">IF(ISBLANK($C369),"",IF(COUNTA(G369:H369)=0,"",IF(AND(OR(ISBLANK(G369),AND(ISNUMBER(G369),G369&gt;=0)),OR(ISBLANK(H369),AND(ISNUMBER(H369),H369&gt;=0))),60*IF(ISBLANK(G369),0,G369)+IF(ISBLANK(H369),0,H369),"")))</f>
        <v/>
      </c>
      <c r="T369" s="66" t="str">
        <f aca="false">IF(ISBLANK($C369),"",IF(I369=Constants!$B$2, TRUE(), IF(I369=Constants!$B$3, FALSE(), TRUE())))</f>
        <v/>
      </c>
      <c r="U369" s="66" t="str">
        <f aca="false">IF(ISBLANK($C369),"",IF(J369=Constants!$B$2, TRUE(), IF(J369=Constants!$B$3, FALSE(), TRUE())))</f>
        <v/>
      </c>
      <c r="V369" s="66" t="str">
        <f aca="false">IF(ISBLANK($C369),"",IF(COUNTA(K369:L369)=0,"",IF(AND(OR(ISBLANK(K369),AND(ISNUMBER(K369),K369&gt;=0)),OR(ISBLANK(L369),AND(ISNUMBER(L369),L369&gt;=0))),60*IF(ISBLANK(K369),0,K369)+IF(ISBLANK(L369),0,L369),"")))</f>
        <v/>
      </c>
      <c r="W369" s="66" t="str">
        <f aca="false">IF(ISBLANK($C369),"",IF(M369=Constants!$B$2, TRUE(), IF(M369=Constants!$B$3, FALSE(), TRUE())))</f>
        <v/>
      </c>
      <c r="X369" s="66" t="str">
        <f aca="false">IF(ISBLANK($C369),"",IF(N369=Constants!$B$2, TRUE(), IF(N369=Constants!$B$3, FALSE(), TRUE())))</f>
        <v/>
      </c>
      <c r="Y369" s="66" t="str">
        <f aca="false">IF(ISBLANK($C369),"",IF(O369=Constants!$B$2, TRUE(), IF(O369=Constants!$B$3, FALSE(), FALSE())))</f>
        <v/>
      </c>
      <c r="Z369" s="66" t="str">
        <f aca="false">IF(ISBLANK($C369),"",AND(S369&lt;&gt;"",Q369))</f>
        <v/>
      </c>
      <c r="AA369" s="66" t="str">
        <f aca="false">IF(ISBLANK($C369),"",AND(V369&lt;&gt;"",Q369))</f>
        <v/>
      </c>
      <c r="AB369" s="66" t="str">
        <f aca="false">IF(ISBLANK($C369),"",IF(Y369,Constants!$B$4,IF(COUNTA(E369:N369)=0,Constants!$B$5,IF(NOT(Q369),Constants!$B$6,IF(AND(NOT(Z369),NOT(AA369)),Constants!$B$6,Constants!$B$7)))))</f>
        <v/>
      </c>
      <c r="AC369" s="66" t="str">
        <f aca="false">IF(ISBLANK($C369),"",IF($AB369&lt;&gt;Constants!$B$7,$AB369,Constants!$B$20))</f>
        <v/>
      </c>
      <c r="AD369" s="66" t="str">
        <f aca="false">IF($AB369=Constants!$B$7,IF(Z369,S369,Constants!$B$13),"")</f>
        <v/>
      </c>
      <c r="AE369" s="66" t="str">
        <f aca="false">IF($AB369=Constants!$B$7,IF(Z369,R369*IF(T369, 1, Constants!$B$11)*IF(U369, 1, Constants!$B$12),Constants!$B$13),"")</f>
        <v/>
      </c>
      <c r="AF369" s="66" t="str">
        <f aca="false">IF($AB369=Constants!$B$7,AD369*AE369,"")</f>
        <v/>
      </c>
      <c r="AG369" s="66" t="str">
        <f aca="false">IF($AB369=Constants!$B$7,IF(AA369,V369,Constants!$B$13),"")</f>
        <v/>
      </c>
      <c r="AH369" s="66" t="str">
        <f aca="false">IF($AB369=Constants!$B$7,IF(AA369,R369*IF(W369, 1, Constants!$B$11)*IF(X369, 1, Constants!$B$12),Constants!$B$13),"")</f>
        <v/>
      </c>
      <c r="AI369" s="66" t="str">
        <f aca="false">IF($AB369=Constants!$B$7,AG369*AH369,"")</f>
        <v/>
      </c>
      <c r="AJ369" s="66" t="str">
        <f aca="false">IF($AB369=Constants!$B$7,IF(AI369&gt;AF369,2,1),"")</f>
        <v/>
      </c>
      <c r="AK369" s="66" t="str">
        <f aca="false">IF($AB369=Constants!$B$7,IF(AJ369=1,2,1),"")</f>
        <v/>
      </c>
      <c r="AL369" s="66" t="str">
        <f aca="false">IF(ISBLANK($C369),"",IF($AB369&lt;&gt;Constants!$B$7,$AB369,IF(AJ369=1,AF369,AI369)))</f>
        <v/>
      </c>
      <c r="AM369" s="66" t="str">
        <f aca="false">IF(ISBLANK($C369),"",IF($AB369=Constants!$B$7,IF(ISNUMBER(AL369),RANK(AL369,$AL$8:$AL$507),Constants!$B$14),$AB369))</f>
        <v/>
      </c>
      <c r="AN369" s="66" t="str">
        <f aca="false">IF(ISBLANK($C369),"",IF($AB369=Constants!$B$7,IF(AK369=1,AF369,AI369),""))</f>
        <v/>
      </c>
      <c r="AO369" s="66" t="str">
        <f aca="false">IF(ISBLANK($C369),"",IF($AB369=Constants!$B$7,RANK(AN369,$AN$8:$AN$507),$AB369))</f>
        <v/>
      </c>
      <c r="AP369" s="66" t="str">
        <f aca="false">IF(ISBLANK($C369),"",IF($AB369=Constants!$B$7,IF(ISNUMBER(AM369),COUNTIFS($AM$8:$AM$507,"&lt;"&amp;$AM369)+COUNTIFS($AM$8:$AM$507,$AM369,$AO$8:$AO$507,"&lt;"&amp;$AO369)+1,Constants!$B$14),$AB369))</f>
        <v/>
      </c>
      <c r="AQ369" s="66" t="str">
        <f aca="false">IF(ISBLANK($C369),"",IF($AB369=Constants!$B$7,IF(ISNUMBER(AM369),AM369-AP369,Constants!$B$14),$AB369))</f>
        <v/>
      </c>
      <c r="AR369" s="68"/>
      <c r="AS369" s="69" t="str">
        <f aca="false">IF(ISBLANK($C369),"",IF($AB369&lt;&gt;Constants!$B$7,"",AJ369))</f>
        <v/>
      </c>
      <c r="AT369" s="84" t="str">
        <f aca="false">IF(ISBLANK($C369),"",IF($AB369&lt;&gt;Constants!$B$7,"",IF(AJ369=1,AD369,AG369)))</f>
        <v/>
      </c>
      <c r="AU369" s="71" t="str">
        <f aca="false">IF(ISBLANK($C369),"",IF($AB369&lt;&gt;Constants!$B$7,"",IF(AJ369=1,AE369,AH369)))</f>
        <v/>
      </c>
      <c r="AV369" s="72" t="str">
        <f aca="false">IF(ISBLANK($C369),"",IF($AB369&lt;&gt;Constants!$B$7,$AB369,AL369))</f>
        <v/>
      </c>
      <c r="AW369" s="73" t="str">
        <f aca="false">IF(ISBLANK($C369),"",IF($AB369&lt;&gt;Constants!$B$7,$AB369,AC369))</f>
        <v/>
      </c>
      <c r="AX369" s="74" t="str">
        <f aca="false">IF(ISBLANK($C369),"",AQ369)</f>
        <v/>
      </c>
      <c r="AY369" s="74" t="str">
        <f aca="false">IF(ISBLANK($C369),"",AP369)</f>
        <v/>
      </c>
      <c r="AZ369" s="75" t="str">
        <f aca="false">IF(ISBLANK($C369),"",IF(AY369=Constants!$B$4,COUNTA($C$8:$C$507)+2,IF(AY369=Constants!$B$5,COUNTA($C$8:$C$507)+1,IF(AY369=Constants!$B$6,COUNTA($C$8:$C$507),AY369))))</f>
        <v/>
      </c>
      <c r="BA369" s="5"/>
      <c r="BB369" s="76" t="n">
        <f aca="false">IF(OR(ISNUMBER(AY369),AY369=Constants!$B$4,AY369=Constants!$B$6,AY369=Constants!$B$5),1,0)</f>
        <v>0</v>
      </c>
      <c r="BC369" s="76" t="n">
        <v>362</v>
      </c>
      <c r="BD369" s="76" t="str">
        <f aca="false">IF(ISBLANK($C369),"",IF(ISNUMBER(AZ369),AZ369+ROW($B369)/1000,""))</f>
        <v/>
      </c>
      <c r="BE369" s="76" t="str">
        <f aca="false">IF(ISNUMBER(BD369),RANK(BD369,$BD$8:$BD$507,1),"")</f>
        <v/>
      </c>
      <c r="BF369" s="76" t="str">
        <f aca="false">IF(ISBLANK($C369),"",$B369)</f>
        <v/>
      </c>
      <c r="BG369" s="76" t="str">
        <f aca="false">IF(ISBLANK($C369),"",$C369)</f>
        <v/>
      </c>
      <c r="BH369" s="76" t="str">
        <f aca="false">IF(ISBLANK($C369),"",$D369)</f>
        <v/>
      </c>
      <c r="BI369" s="77" t="str">
        <f aca="false">AW369</f>
        <v/>
      </c>
      <c r="BJ369" s="78" t="str">
        <f aca="false">AV369</f>
        <v/>
      </c>
      <c r="BK369" s="76" t="str">
        <f aca="false">IF(ISBLANK($C369),"",AY369)</f>
        <v/>
      </c>
      <c r="BL369" s="79" t="str">
        <f aca="false">IF($BC369&gt;$BB$7,"",VLOOKUP($BC369,$BE$8:$BK$507,7,FALSE()))</f>
        <v/>
      </c>
      <c r="BM369" s="80" t="str">
        <f aca="false">IF($BC369&gt;$BB$7,"",VLOOKUP($BC369,$BE$8:$BK$507,2,FALSE()))</f>
        <v/>
      </c>
      <c r="BN369" s="80" t="str">
        <f aca="false">IF($BC369&gt;$BB$7,"",VLOOKUP($BC369,$BE$8:$BK$507,3,FALSE()))</f>
        <v/>
      </c>
      <c r="BO369" s="80" t="str">
        <f aca="false">IF($BC369&gt;$BB$7,"",VLOOKUP($BC369,$BE$8:$BK$507,4,FALSE()))</f>
        <v/>
      </c>
      <c r="BP369" s="80" t="str">
        <f aca="false">IF($BC369&gt;$BB$7,"",VLOOKUP($BC369,$BE$8:$BK$507,5,FALSE()))</f>
        <v/>
      </c>
      <c r="BQ369" s="81" t="str">
        <f aca="false">IF($BC369&gt;$BB$7,"",VLOOKUP($BC369,$BE$8:$BK$507,6,FALSE()))</f>
        <v/>
      </c>
      <c r="BR369" s="54"/>
    </row>
    <row r="370" customFormat="false" ht="15.75" hidden="false" customHeight="false" outlineLevel="0" collapsed="false">
      <c r="A370" s="5"/>
      <c r="B370" s="124"/>
      <c r="C370" s="56"/>
      <c r="D370" s="57"/>
      <c r="E370" s="83"/>
      <c r="F370" s="59"/>
      <c r="G370" s="60"/>
      <c r="H370" s="61"/>
      <c r="I370" s="62"/>
      <c r="J370" s="59"/>
      <c r="K370" s="60"/>
      <c r="L370" s="61"/>
      <c r="M370" s="62"/>
      <c r="N370" s="59"/>
      <c r="O370" s="83"/>
      <c r="P370" s="64"/>
      <c r="Q370" s="66" t="str">
        <f aca="false">IF(ISBLANK($C370),"",IF(E370=Constants!$B$2, TRUE(), IF(E370=Constants!$B$3, FALSE(), TRUE())))</f>
        <v/>
      </c>
      <c r="R370" s="66" t="str">
        <f aca="false">IF(ISBLANK($C370),"",IF(F370=Constants!$B$16,Constants!$B$9,IF(F370=Constants!$B$17,Constants!$B$10,Constants!$B$8)))</f>
        <v/>
      </c>
      <c r="S370" s="66" t="str">
        <f aca="false">IF(ISBLANK($C370),"",IF(COUNTA(G370:H370)=0,"",IF(AND(OR(ISBLANK(G370),AND(ISNUMBER(G370),G370&gt;=0)),OR(ISBLANK(H370),AND(ISNUMBER(H370),H370&gt;=0))),60*IF(ISBLANK(G370),0,G370)+IF(ISBLANK(H370),0,H370),"")))</f>
        <v/>
      </c>
      <c r="T370" s="66" t="str">
        <f aca="false">IF(ISBLANK($C370),"",IF(I370=Constants!$B$2, TRUE(), IF(I370=Constants!$B$3, FALSE(), TRUE())))</f>
        <v/>
      </c>
      <c r="U370" s="66" t="str">
        <f aca="false">IF(ISBLANK($C370),"",IF(J370=Constants!$B$2, TRUE(), IF(J370=Constants!$B$3, FALSE(), TRUE())))</f>
        <v/>
      </c>
      <c r="V370" s="66" t="str">
        <f aca="false">IF(ISBLANK($C370),"",IF(COUNTA(K370:L370)=0,"",IF(AND(OR(ISBLANK(K370),AND(ISNUMBER(K370),K370&gt;=0)),OR(ISBLANK(L370),AND(ISNUMBER(L370),L370&gt;=0))),60*IF(ISBLANK(K370),0,K370)+IF(ISBLANK(L370),0,L370),"")))</f>
        <v/>
      </c>
      <c r="W370" s="66" t="str">
        <f aca="false">IF(ISBLANK($C370),"",IF(M370=Constants!$B$2, TRUE(), IF(M370=Constants!$B$3, FALSE(), TRUE())))</f>
        <v/>
      </c>
      <c r="X370" s="66" t="str">
        <f aca="false">IF(ISBLANK($C370),"",IF(N370=Constants!$B$2, TRUE(), IF(N370=Constants!$B$3, FALSE(), TRUE())))</f>
        <v/>
      </c>
      <c r="Y370" s="66" t="str">
        <f aca="false">IF(ISBLANK($C370),"",IF(O370=Constants!$B$2, TRUE(), IF(O370=Constants!$B$3, FALSE(), FALSE())))</f>
        <v/>
      </c>
      <c r="Z370" s="66" t="str">
        <f aca="false">IF(ISBLANK($C370),"",AND(S370&lt;&gt;"",Q370))</f>
        <v/>
      </c>
      <c r="AA370" s="66" t="str">
        <f aca="false">IF(ISBLANK($C370),"",AND(V370&lt;&gt;"",Q370))</f>
        <v/>
      </c>
      <c r="AB370" s="66" t="str">
        <f aca="false">IF(ISBLANK($C370),"",IF(Y370,Constants!$B$4,IF(COUNTA(E370:N370)=0,Constants!$B$5,IF(NOT(Q370),Constants!$B$6,IF(AND(NOT(Z370),NOT(AA370)),Constants!$B$6,Constants!$B$7)))))</f>
        <v/>
      </c>
      <c r="AC370" s="66" t="str">
        <f aca="false">IF(ISBLANK($C370),"",IF($AB370&lt;&gt;Constants!$B$7,$AB370,Constants!$B$20))</f>
        <v/>
      </c>
      <c r="AD370" s="66" t="str">
        <f aca="false">IF($AB370=Constants!$B$7,IF(Z370,S370,Constants!$B$13),"")</f>
        <v/>
      </c>
      <c r="AE370" s="66" t="str">
        <f aca="false">IF($AB370=Constants!$B$7,IF(Z370,R370*IF(T370, 1, Constants!$B$11)*IF(U370, 1, Constants!$B$12),Constants!$B$13),"")</f>
        <v/>
      </c>
      <c r="AF370" s="66" t="str">
        <f aca="false">IF($AB370=Constants!$B$7,AD370*AE370,"")</f>
        <v/>
      </c>
      <c r="AG370" s="66" t="str">
        <f aca="false">IF($AB370=Constants!$B$7,IF(AA370,V370,Constants!$B$13),"")</f>
        <v/>
      </c>
      <c r="AH370" s="66" t="str">
        <f aca="false">IF($AB370=Constants!$B$7,IF(AA370,R370*IF(W370, 1, Constants!$B$11)*IF(X370, 1, Constants!$B$12),Constants!$B$13),"")</f>
        <v/>
      </c>
      <c r="AI370" s="66" t="str">
        <f aca="false">IF($AB370=Constants!$B$7,AG370*AH370,"")</f>
        <v/>
      </c>
      <c r="AJ370" s="66" t="str">
        <f aca="false">IF($AB370=Constants!$B$7,IF(AI370&gt;AF370,2,1),"")</f>
        <v/>
      </c>
      <c r="AK370" s="66" t="str">
        <f aca="false">IF($AB370=Constants!$B$7,IF(AJ370=1,2,1),"")</f>
        <v/>
      </c>
      <c r="AL370" s="66" t="str">
        <f aca="false">IF(ISBLANK($C370),"",IF($AB370&lt;&gt;Constants!$B$7,$AB370,IF(AJ370=1,AF370,AI370)))</f>
        <v/>
      </c>
      <c r="AM370" s="66" t="str">
        <f aca="false">IF(ISBLANK($C370),"",IF($AB370=Constants!$B$7,IF(ISNUMBER(AL370),RANK(AL370,$AL$8:$AL$507),Constants!$B$14),$AB370))</f>
        <v/>
      </c>
      <c r="AN370" s="66" t="str">
        <f aca="false">IF(ISBLANK($C370),"",IF($AB370=Constants!$B$7,IF(AK370=1,AF370,AI370),""))</f>
        <v/>
      </c>
      <c r="AO370" s="66" t="str">
        <f aca="false">IF(ISBLANK($C370),"",IF($AB370=Constants!$B$7,RANK(AN370,$AN$8:$AN$507),$AB370))</f>
        <v/>
      </c>
      <c r="AP370" s="66" t="str">
        <f aca="false">IF(ISBLANK($C370),"",IF($AB370=Constants!$B$7,IF(ISNUMBER(AM370),COUNTIFS($AM$8:$AM$507,"&lt;"&amp;$AM370)+COUNTIFS($AM$8:$AM$507,$AM370,$AO$8:$AO$507,"&lt;"&amp;$AO370)+1,Constants!$B$14),$AB370))</f>
        <v/>
      </c>
      <c r="AQ370" s="66" t="str">
        <f aca="false">IF(ISBLANK($C370),"",IF($AB370=Constants!$B$7,IF(ISNUMBER(AM370),AM370-AP370,Constants!$B$14),$AB370))</f>
        <v/>
      </c>
      <c r="AR370" s="68"/>
      <c r="AS370" s="69" t="str">
        <f aca="false">IF(ISBLANK($C370),"",IF($AB370&lt;&gt;Constants!$B$7,"",AJ370))</f>
        <v/>
      </c>
      <c r="AT370" s="84" t="str">
        <f aca="false">IF(ISBLANK($C370),"",IF($AB370&lt;&gt;Constants!$B$7,"",IF(AJ370=1,AD370,AG370)))</f>
        <v/>
      </c>
      <c r="AU370" s="71" t="str">
        <f aca="false">IF(ISBLANK($C370),"",IF($AB370&lt;&gt;Constants!$B$7,"",IF(AJ370=1,AE370,AH370)))</f>
        <v/>
      </c>
      <c r="AV370" s="72" t="str">
        <f aca="false">IF(ISBLANK($C370),"",IF($AB370&lt;&gt;Constants!$B$7,$AB370,AL370))</f>
        <v/>
      </c>
      <c r="AW370" s="73" t="str">
        <f aca="false">IF(ISBLANK($C370),"",IF($AB370&lt;&gt;Constants!$B$7,$AB370,AC370))</f>
        <v/>
      </c>
      <c r="AX370" s="74" t="str">
        <f aca="false">IF(ISBLANK($C370),"",AQ370)</f>
        <v/>
      </c>
      <c r="AY370" s="74" t="str">
        <f aca="false">IF(ISBLANK($C370),"",AP370)</f>
        <v/>
      </c>
      <c r="AZ370" s="75" t="str">
        <f aca="false">IF(ISBLANK($C370),"",IF(AY370=Constants!$B$4,COUNTA($C$8:$C$507)+2,IF(AY370=Constants!$B$5,COUNTA($C$8:$C$507)+1,IF(AY370=Constants!$B$6,COUNTA($C$8:$C$507),AY370))))</f>
        <v/>
      </c>
      <c r="BA370" s="5"/>
      <c r="BB370" s="76" t="n">
        <f aca="false">IF(OR(ISNUMBER(AY370),AY370=Constants!$B$4,AY370=Constants!$B$6,AY370=Constants!$B$5),1,0)</f>
        <v>0</v>
      </c>
      <c r="BC370" s="76" t="n">
        <v>363</v>
      </c>
      <c r="BD370" s="76" t="str">
        <f aca="false">IF(ISBLANK($C370),"",IF(ISNUMBER(AZ370),AZ370+ROW($B370)/1000,""))</f>
        <v/>
      </c>
      <c r="BE370" s="76" t="str">
        <f aca="false">IF(ISNUMBER(BD370),RANK(BD370,$BD$8:$BD$507,1),"")</f>
        <v/>
      </c>
      <c r="BF370" s="76" t="str">
        <f aca="false">IF(ISBLANK($C370),"",$B370)</f>
        <v/>
      </c>
      <c r="BG370" s="76" t="str">
        <f aca="false">IF(ISBLANK($C370),"",$C370)</f>
        <v/>
      </c>
      <c r="BH370" s="76" t="str">
        <f aca="false">IF(ISBLANK($C370),"",$D370)</f>
        <v/>
      </c>
      <c r="BI370" s="77" t="str">
        <f aca="false">AW370</f>
        <v/>
      </c>
      <c r="BJ370" s="78" t="str">
        <f aca="false">AV370</f>
        <v/>
      </c>
      <c r="BK370" s="76" t="str">
        <f aca="false">IF(ISBLANK($C370),"",AY370)</f>
        <v/>
      </c>
      <c r="BL370" s="79" t="str">
        <f aca="false">IF($BC370&gt;$BB$7,"",VLOOKUP($BC370,$BE$8:$BK$507,7,FALSE()))</f>
        <v/>
      </c>
      <c r="BM370" s="80" t="str">
        <f aca="false">IF($BC370&gt;$BB$7,"",VLOOKUP($BC370,$BE$8:$BK$507,2,FALSE()))</f>
        <v/>
      </c>
      <c r="BN370" s="80" t="str">
        <f aca="false">IF($BC370&gt;$BB$7,"",VLOOKUP($BC370,$BE$8:$BK$507,3,FALSE()))</f>
        <v/>
      </c>
      <c r="BO370" s="80" t="str">
        <f aca="false">IF($BC370&gt;$BB$7,"",VLOOKUP($BC370,$BE$8:$BK$507,4,FALSE()))</f>
        <v/>
      </c>
      <c r="BP370" s="80" t="str">
        <f aca="false">IF($BC370&gt;$BB$7,"",VLOOKUP($BC370,$BE$8:$BK$507,5,FALSE()))</f>
        <v/>
      </c>
      <c r="BQ370" s="81" t="str">
        <f aca="false">IF($BC370&gt;$BB$7,"",VLOOKUP($BC370,$BE$8:$BK$507,6,FALSE()))</f>
        <v/>
      </c>
      <c r="BR370" s="54"/>
    </row>
    <row r="371" customFormat="false" ht="15.75" hidden="false" customHeight="false" outlineLevel="0" collapsed="false">
      <c r="A371" s="5"/>
      <c r="B371" s="120"/>
      <c r="C371" s="121"/>
      <c r="D371" s="112"/>
      <c r="E371" s="123"/>
      <c r="F371" s="91"/>
      <c r="G371" s="92"/>
      <c r="H371" s="93"/>
      <c r="I371" s="94"/>
      <c r="J371" s="91"/>
      <c r="K371" s="92"/>
      <c r="L371" s="93"/>
      <c r="M371" s="94"/>
      <c r="N371" s="91"/>
      <c r="O371" s="123"/>
      <c r="P371" s="96"/>
      <c r="Q371" s="97" t="str">
        <f aca="false">IF(ISBLANK($C371),"",IF(E371=Constants!$B$2, TRUE(), IF(E371=Constants!$B$3, FALSE(), TRUE())))</f>
        <v/>
      </c>
      <c r="R371" s="97" t="str">
        <f aca="false">IF(ISBLANK($C371),"",IF(F371=Constants!$B$16,Constants!$B$9,IF(F371=Constants!$B$17,Constants!$B$10,Constants!$B$8)))</f>
        <v/>
      </c>
      <c r="S371" s="97" t="str">
        <f aca="false">IF(ISBLANK($C371),"",IF(COUNTA(G371:H371)=0,"",IF(AND(OR(ISBLANK(G371),AND(ISNUMBER(G371),G371&gt;=0)),OR(ISBLANK(H371),AND(ISNUMBER(H371),H371&gt;=0))),60*IF(ISBLANK(G371),0,G371)+IF(ISBLANK(H371),0,H371),"")))</f>
        <v/>
      </c>
      <c r="T371" s="97" t="str">
        <f aca="false">IF(ISBLANK($C371),"",IF(I371=Constants!$B$2, TRUE(), IF(I371=Constants!$B$3, FALSE(), TRUE())))</f>
        <v/>
      </c>
      <c r="U371" s="97" t="str">
        <f aca="false">IF(ISBLANK($C371),"",IF(J371=Constants!$B$2, TRUE(), IF(J371=Constants!$B$3, FALSE(), TRUE())))</f>
        <v/>
      </c>
      <c r="V371" s="97" t="str">
        <f aca="false">IF(ISBLANK($C371),"",IF(COUNTA(K371:L371)=0,"",IF(AND(OR(ISBLANK(K371),AND(ISNUMBER(K371),K371&gt;=0)),OR(ISBLANK(L371),AND(ISNUMBER(L371),L371&gt;=0))),60*IF(ISBLANK(K371),0,K371)+IF(ISBLANK(L371),0,L371),"")))</f>
        <v/>
      </c>
      <c r="W371" s="97" t="str">
        <f aca="false">IF(ISBLANK($C371),"",IF(M371=Constants!$B$2, TRUE(), IF(M371=Constants!$B$3, FALSE(), TRUE())))</f>
        <v/>
      </c>
      <c r="X371" s="97" t="str">
        <f aca="false">IF(ISBLANK($C371),"",IF(N371=Constants!$B$2, TRUE(), IF(N371=Constants!$B$3, FALSE(), TRUE())))</f>
        <v/>
      </c>
      <c r="Y371" s="97" t="str">
        <f aca="false">IF(ISBLANK($C371),"",IF(O371=Constants!$B$2, TRUE(), IF(O371=Constants!$B$3, FALSE(), FALSE())))</f>
        <v/>
      </c>
      <c r="Z371" s="97" t="str">
        <f aca="false">IF(ISBLANK($C371),"",AND(S371&lt;&gt;"",Q371))</f>
        <v/>
      </c>
      <c r="AA371" s="97" t="str">
        <f aca="false">IF(ISBLANK($C371),"",AND(V371&lt;&gt;"",Q371))</f>
        <v/>
      </c>
      <c r="AB371" s="97" t="str">
        <f aca="false">IF(ISBLANK($C371),"",IF(Y371,Constants!$B$4,IF(COUNTA(E371:N371)=0,Constants!$B$5,IF(NOT(Q371),Constants!$B$6,IF(AND(NOT(Z371),NOT(AA371)),Constants!$B$6,Constants!$B$7)))))</f>
        <v/>
      </c>
      <c r="AC371" s="97" t="str">
        <f aca="false">IF(ISBLANK($C371),"",IF($AB371&lt;&gt;Constants!$B$7,$AB371,Constants!$B$20))</f>
        <v/>
      </c>
      <c r="AD371" s="97" t="str">
        <f aca="false">IF($AB371=Constants!$B$7,IF(Z371,S371,Constants!$B$13),"")</f>
        <v/>
      </c>
      <c r="AE371" s="97" t="str">
        <f aca="false">IF($AB371=Constants!$B$7,IF(Z371,R371*IF(T371, 1, Constants!$B$11)*IF(U371, 1, Constants!$B$12),Constants!$B$13),"")</f>
        <v/>
      </c>
      <c r="AF371" s="97" t="str">
        <f aca="false">IF($AB371=Constants!$B$7,AD371*AE371,"")</f>
        <v/>
      </c>
      <c r="AG371" s="97" t="str">
        <f aca="false">IF($AB371=Constants!$B$7,IF(AA371,V371,Constants!$B$13),"")</f>
        <v/>
      </c>
      <c r="AH371" s="97" t="str">
        <f aca="false">IF($AB371=Constants!$B$7,IF(AA371,R371*IF(W371, 1, Constants!$B$11)*IF(X371, 1, Constants!$B$12),Constants!$B$13),"")</f>
        <v/>
      </c>
      <c r="AI371" s="97" t="str">
        <f aca="false">IF($AB371=Constants!$B$7,AG371*AH371,"")</f>
        <v/>
      </c>
      <c r="AJ371" s="97" t="str">
        <f aca="false">IF($AB371=Constants!$B$7,IF(AI371&gt;AF371,2,1),"")</f>
        <v/>
      </c>
      <c r="AK371" s="97" t="str">
        <f aca="false">IF($AB371=Constants!$B$7,IF(AJ371=1,2,1),"")</f>
        <v/>
      </c>
      <c r="AL371" s="97" t="str">
        <f aca="false">IF(ISBLANK($C371),"",IF($AB371&lt;&gt;Constants!$B$7,$AB371,IF(AJ371=1,AF371,AI371)))</f>
        <v/>
      </c>
      <c r="AM371" s="97" t="str">
        <f aca="false">IF(ISBLANK($C371),"",IF($AB371=Constants!$B$7,IF(ISNUMBER(AL371),RANK(AL371,$AL$8:$AL$507),Constants!$B$14),$AB371))</f>
        <v/>
      </c>
      <c r="AN371" s="97" t="str">
        <f aca="false">IF(ISBLANK($C371),"",IF($AB371=Constants!$B$7,IF(AK371=1,AF371,AI371),""))</f>
        <v/>
      </c>
      <c r="AO371" s="97" t="str">
        <f aca="false">IF(ISBLANK($C371),"",IF($AB371=Constants!$B$7,RANK(AN371,$AN$8:$AN$507),$AB371))</f>
        <v/>
      </c>
      <c r="AP371" s="97" t="str">
        <f aca="false">IF(ISBLANK($C371),"",IF($AB371=Constants!$B$7,IF(ISNUMBER(AM371),COUNTIFS($AM$8:$AM$507,"&lt;"&amp;$AM371)+COUNTIFS($AM$8:$AM$507,$AM371,$AO$8:$AO$507,"&lt;"&amp;$AO371)+1,Constants!$B$14),$AB371))</f>
        <v/>
      </c>
      <c r="AQ371" s="97" t="str">
        <f aca="false">IF(ISBLANK($C371),"",IF($AB371=Constants!$B$7,IF(ISNUMBER(AM371),AM371-AP371,Constants!$B$14),$AB371))</f>
        <v/>
      </c>
      <c r="AR371" s="98"/>
      <c r="AS371" s="99" t="str">
        <f aca="false">IF(ISBLANK($C371),"",IF($AB371&lt;&gt;Constants!$B$7,"",AJ371))</f>
        <v/>
      </c>
      <c r="AT371" s="100" t="str">
        <f aca="false">IF(ISBLANK($C371),"",IF($AB371&lt;&gt;Constants!$B$7,"",IF(AJ371=1,AD371,AG371)))</f>
        <v/>
      </c>
      <c r="AU371" s="101" t="str">
        <f aca="false">IF(ISBLANK($C371),"",IF($AB371&lt;&gt;Constants!$B$7,"",IF(AJ371=1,AE371,AH371)))</f>
        <v/>
      </c>
      <c r="AV371" s="102" t="str">
        <f aca="false">IF(ISBLANK($C371),"",IF($AB371&lt;&gt;Constants!$B$7,$AB371,AL371))</f>
        <v/>
      </c>
      <c r="AW371" s="103" t="str">
        <f aca="false">IF(ISBLANK($C371),"",IF($AB371&lt;&gt;Constants!$B$7,$AB371,AC371))</f>
        <v/>
      </c>
      <c r="AX371" s="104" t="str">
        <f aca="false">IF(ISBLANK($C371),"",AQ371)</f>
        <v/>
      </c>
      <c r="AY371" s="104" t="str">
        <f aca="false">IF(ISBLANK($C371),"",AP371)</f>
        <v/>
      </c>
      <c r="AZ371" s="105" t="str">
        <f aca="false">IF(ISBLANK($C371),"",IF(AY371=Constants!$B$4,COUNTA($C$8:$C$507)+2,IF(AY371=Constants!$B$5,COUNTA($C$8:$C$507)+1,IF(AY371=Constants!$B$6,COUNTA($C$8:$C$507),AY371))))</f>
        <v/>
      </c>
      <c r="BA371" s="5"/>
      <c r="BB371" s="106" t="n">
        <f aca="false">IF(OR(ISNUMBER(AY371),AY371=Constants!$B$4,AY371=Constants!$B$6,AY371=Constants!$B$5),1,0)</f>
        <v>0</v>
      </c>
      <c r="BC371" s="106" t="n">
        <v>364</v>
      </c>
      <c r="BD371" s="106" t="str">
        <f aca="false">IF(ISBLANK($C371),"",IF(ISNUMBER(AZ371),AZ371+ROW($B371)/1000,""))</f>
        <v/>
      </c>
      <c r="BE371" s="106" t="str">
        <f aca="false">IF(ISNUMBER(BD371),RANK(BD371,$BD$8:$BD$507,1),"")</f>
        <v/>
      </c>
      <c r="BF371" s="106" t="str">
        <f aca="false">IF(ISBLANK($C371),"",$B371)</f>
        <v/>
      </c>
      <c r="BG371" s="106" t="str">
        <f aca="false">IF(ISBLANK($C371),"",$C371)</f>
        <v/>
      </c>
      <c r="BH371" s="106" t="str">
        <f aca="false">IF(ISBLANK($C371),"",$D371)</f>
        <v/>
      </c>
      <c r="BI371" s="107" t="str">
        <f aca="false">AW371</f>
        <v/>
      </c>
      <c r="BJ371" s="108" t="str">
        <f aca="false">AV371</f>
        <v/>
      </c>
      <c r="BK371" s="106" t="str">
        <f aca="false">IF(ISBLANK($C371),"",AY371)</f>
        <v/>
      </c>
      <c r="BL371" s="109" t="str">
        <f aca="false">IF($BC371&gt;$BB$7,"",VLOOKUP($BC371,$BE$8:$BK$507,7,FALSE()))</f>
        <v/>
      </c>
      <c r="BM371" s="110" t="str">
        <f aca="false">IF($BC371&gt;$BB$7,"",VLOOKUP($BC371,$BE$8:$BK$507,2,FALSE()))</f>
        <v/>
      </c>
      <c r="BN371" s="110" t="str">
        <f aca="false">IF($BC371&gt;$BB$7,"",VLOOKUP($BC371,$BE$8:$BK$507,3,FALSE()))</f>
        <v/>
      </c>
      <c r="BO371" s="110" t="str">
        <f aca="false">IF($BC371&gt;$BB$7,"",VLOOKUP($BC371,$BE$8:$BK$507,4,FALSE()))</f>
        <v/>
      </c>
      <c r="BP371" s="110" t="str">
        <f aca="false">IF($BC371&gt;$BB$7,"",VLOOKUP($BC371,$BE$8:$BK$507,5,FALSE()))</f>
        <v/>
      </c>
      <c r="BQ371" s="111" t="str">
        <f aca="false">IF($BC371&gt;$BB$7,"",VLOOKUP($BC371,$BE$8:$BK$507,6,FALSE()))</f>
        <v/>
      </c>
      <c r="BR371" s="54"/>
    </row>
    <row r="372" customFormat="false" ht="15.75" hidden="false" customHeight="false" outlineLevel="0" collapsed="false">
      <c r="A372" s="5"/>
      <c r="B372" s="120"/>
      <c r="C372" s="121"/>
      <c r="D372" s="112"/>
      <c r="E372" s="123"/>
      <c r="F372" s="91"/>
      <c r="G372" s="92"/>
      <c r="H372" s="93"/>
      <c r="I372" s="94"/>
      <c r="J372" s="91"/>
      <c r="K372" s="92"/>
      <c r="L372" s="93"/>
      <c r="M372" s="94"/>
      <c r="N372" s="91"/>
      <c r="O372" s="123"/>
      <c r="P372" s="96"/>
      <c r="Q372" s="97" t="str">
        <f aca="false">IF(ISBLANK($C372),"",IF(E372=Constants!$B$2, TRUE(), IF(E372=Constants!$B$3, FALSE(), TRUE())))</f>
        <v/>
      </c>
      <c r="R372" s="97" t="str">
        <f aca="false">IF(ISBLANK($C372),"",IF(F372=Constants!$B$16,Constants!$B$9,IF(F372=Constants!$B$17,Constants!$B$10,Constants!$B$8)))</f>
        <v/>
      </c>
      <c r="S372" s="97" t="str">
        <f aca="false">IF(ISBLANK($C372),"",IF(COUNTA(G372:H372)=0,"",IF(AND(OR(ISBLANK(G372),AND(ISNUMBER(G372),G372&gt;=0)),OR(ISBLANK(H372),AND(ISNUMBER(H372),H372&gt;=0))),60*IF(ISBLANK(G372),0,G372)+IF(ISBLANK(H372),0,H372),"")))</f>
        <v/>
      </c>
      <c r="T372" s="97" t="str">
        <f aca="false">IF(ISBLANK($C372),"",IF(I372=Constants!$B$2, TRUE(), IF(I372=Constants!$B$3, FALSE(), TRUE())))</f>
        <v/>
      </c>
      <c r="U372" s="97" t="str">
        <f aca="false">IF(ISBLANK($C372),"",IF(J372=Constants!$B$2, TRUE(), IF(J372=Constants!$B$3, FALSE(), TRUE())))</f>
        <v/>
      </c>
      <c r="V372" s="97" t="str">
        <f aca="false">IF(ISBLANK($C372),"",IF(COUNTA(K372:L372)=0,"",IF(AND(OR(ISBLANK(K372),AND(ISNUMBER(K372),K372&gt;=0)),OR(ISBLANK(L372),AND(ISNUMBER(L372),L372&gt;=0))),60*IF(ISBLANK(K372),0,K372)+IF(ISBLANK(L372),0,L372),"")))</f>
        <v/>
      </c>
      <c r="W372" s="97" t="str">
        <f aca="false">IF(ISBLANK($C372),"",IF(M372=Constants!$B$2, TRUE(), IF(M372=Constants!$B$3, FALSE(), TRUE())))</f>
        <v/>
      </c>
      <c r="X372" s="97" t="str">
        <f aca="false">IF(ISBLANK($C372),"",IF(N372=Constants!$B$2, TRUE(), IF(N372=Constants!$B$3, FALSE(), TRUE())))</f>
        <v/>
      </c>
      <c r="Y372" s="97" t="str">
        <f aca="false">IF(ISBLANK($C372),"",IF(O372=Constants!$B$2, TRUE(), IF(O372=Constants!$B$3, FALSE(), FALSE())))</f>
        <v/>
      </c>
      <c r="Z372" s="97" t="str">
        <f aca="false">IF(ISBLANK($C372),"",AND(S372&lt;&gt;"",Q372))</f>
        <v/>
      </c>
      <c r="AA372" s="97" t="str">
        <f aca="false">IF(ISBLANK($C372),"",AND(V372&lt;&gt;"",Q372))</f>
        <v/>
      </c>
      <c r="AB372" s="97" t="str">
        <f aca="false">IF(ISBLANK($C372),"",IF(Y372,Constants!$B$4,IF(COUNTA(E372:N372)=0,Constants!$B$5,IF(NOT(Q372),Constants!$B$6,IF(AND(NOT(Z372),NOT(AA372)),Constants!$B$6,Constants!$B$7)))))</f>
        <v/>
      </c>
      <c r="AC372" s="97" t="str">
        <f aca="false">IF(ISBLANK($C372),"",IF($AB372&lt;&gt;Constants!$B$7,$AB372,Constants!$B$20))</f>
        <v/>
      </c>
      <c r="AD372" s="97" t="str">
        <f aca="false">IF($AB372=Constants!$B$7,IF(Z372,S372,Constants!$B$13),"")</f>
        <v/>
      </c>
      <c r="AE372" s="97" t="str">
        <f aca="false">IF($AB372=Constants!$B$7,IF(Z372,R372*IF(T372, 1, Constants!$B$11)*IF(U372, 1, Constants!$B$12),Constants!$B$13),"")</f>
        <v/>
      </c>
      <c r="AF372" s="97" t="str">
        <f aca="false">IF($AB372=Constants!$B$7,AD372*AE372,"")</f>
        <v/>
      </c>
      <c r="AG372" s="97" t="str">
        <f aca="false">IF($AB372=Constants!$B$7,IF(AA372,V372,Constants!$B$13),"")</f>
        <v/>
      </c>
      <c r="AH372" s="97" t="str">
        <f aca="false">IF($AB372=Constants!$B$7,IF(AA372,R372*IF(W372, 1, Constants!$B$11)*IF(X372, 1, Constants!$B$12),Constants!$B$13),"")</f>
        <v/>
      </c>
      <c r="AI372" s="97" t="str">
        <f aca="false">IF($AB372=Constants!$B$7,AG372*AH372,"")</f>
        <v/>
      </c>
      <c r="AJ372" s="97" t="str">
        <f aca="false">IF($AB372=Constants!$B$7,IF(AI372&gt;AF372,2,1),"")</f>
        <v/>
      </c>
      <c r="AK372" s="97" t="str">
        <f aca="false">IF($AB372=Constants!$B$7,IF(AJ372=1,2,1),"")</f>
        <v/>
      </c>
      <c r="AL372" s="97" t="str">
        <f aca="false">IF(ISBLANK($C372),"",IF($AB372&lt;&gt;Constants!$B$7,$AB372,IF(AJ372=1,AF372,AI372)))</f>
        <v/>
      </c>
      <c r="AM372" s="97" t="str">
        <f aca="false">IF(ISBLANK($C372),"",IF($AB372=Constants!$B$7,IF(ISNUMBER(AL372),RANK(AL372,$AL$8:$AL$507),Constants!$B$14),$AB372))</f>
        <v/>
      </c>
      <c r="AN372" s="97" t="str">
        <f aca="false">IF(ISBLANK($C372),"",IF($AB372=Constants!$B$7,IF(AK372=1,AF372,AI372),""))</f>
        <v/>
      </c>
      <c r="AO372" s="97" t="str">
        <f aca="false">IF(ISBLANK($C372),"",IF($AB372=Constants!$B$7,RANK(AN372,$AN$8:$AN$507),$AB372))</f>
        <v/>
      </c>
      <c r="AP372" s="97" t="str">
        <f aca="false">IF(ISBLANK($C372),"",IF($AB372=Constants!$B$7,IF(ISNUMBER(AM372),COUNTIFS($AM$8:$AM$507,"&lt;"&amp;$AM372)+COUNTIFS($AM$8:$AM$507,$AM372,$AO$8:$AO$507,"&lt;"&amp;$AO372)+1,Constants!$B$14),$AB372))</f>
        <v/>
      </c>
      <c r="AQ372" s="97" t="str">
        <f aca="false">IF(ISBLANK($C372),"",IF($AB372=Constants!$B$7,IF(ISNUMBER(AM372),AM372-AP372,Constants!$B$14),$AB372))</f>
        <v/>
      </c>
      <c r="AR372" s="98"/>
      <c r="AS372" s="99" t="str">
        <f aca="false">IF(ISBLANK($C372),"",IF($AB372&lt;&gt;Constants!$B$7,"",AJ372))</f>
        <v/>
      </c>
      <c r="AT372" s="100" t="str">
        <f aca="false">IF(ISBLANK($C372),"",IF($AB372&lt;&gt;Constants!$B$7,"",IF(AJ372=1,AD372,AG372)))</f>
        <v/>
      </c>
      <c r="AU372" s="101" t="str">
        <f aca="false">IF(ISBLANK($C372),"",IF($AB372&lt;&gt;Constants!$B$7,"",IF(AJ372=1,AE372,AH372)))</f>
        <v/>
      </c>
      <c r="AV372" s="102" t="str">
        <f aca="false">IF(ISBLANK($C372),"",IF($AB372&lt;&gt;Constants!$B$7,$AB372,AL372))</f>
        <v/>
      </c>
      <c r="AW372" s="103" t="str">
        <f aca="false">IF(ISBLANK($C372),"",IF($AB372&lt;&gt;Constants!$B$7,$AB372,AC372))</f>
        <v/>
      </c>
      <c r="AX372" s="104" t="str">
        <f aca="false">IF(ISBLANK($C372),"",AQ372)</f>
        <v/>
      </c>
      <c r="AY372" s="104" t="str">
        <f aca="false">IF(ISBLANK($C372),"",AP372)</f>
        <v/>
      </c>
      <c r="AZ372" s="105" t="str">
        <f aca="false">IF(ISBLANK($C372),"",IF(AY372=Constants!$B$4,COUNTA($C$8:$C$507)+2,IF(AY372=Constants!$B$5,COUNTA($C$8:$C$507)+1,IF(AY372=Constants!$B$6,COUNTA($C$8:$C$507),AY372))))</f>
        <v/>
      </c>
      <c r="BA372" s="5"/>
      <c r="BB372" s="106" t="n">
        <f aca="false">IF(OR(ISNUMBER(AY372),AY372=Constants!$B$4,AY372=Constants!$B$6,AY372=Constants!$B$5),1,0)</f>
        <v>0</v>
      </c>
      <c r="BC372" s="106" t="n">
        <v>365</v>
      </c>
      <c r="BD372" s="106" t="str">
        <f aca="false">IF(ISBLANK($C372),"",IF(ISNUMBER(AZ372),AZ372+ROW($B372)/1000,""))</f>
        <v/>
      </c>
      <c r="BE372" s="106" t="str">
        <f aca="false">IF(ISNUMBER(BD372),RANK(BD372,$BD$8:$BD$507,1),"")</f>
        <v/>
      </c>
      <c r="BF372" s="106" t="str">
        <f aca="false">IF(ISBLANK($C372),"",$B372)</f>
        <v/>
      </c>
      <c r="BG372" s="106" t="str">
        <f aca="false">IF(ISBLANK($C372),"",$C372)</f>
        <v/>
      </c>
      <c r="BH372" s="106" t="str">
        <f aca="false">IF(ISBLANK($C372),"",$D372)</f>
        <v/>
      </c>
      <c r="BI372" s="107" t="str">
        <f aca="false">AW372</f>
        <v/>
      </c>
      <c r="BJ372" s="108" t="str">
        <f aca="false">AV372</f>
        <v/>
      </c>
      <c r="BK372" s="106" t="str">
        <f aca="false">IF(ISBLANK($C372),"",AY372)</f>
        <v/>
      </c>
      <c r="BL372" s="109" t="str">
        <f aca="false">IF($BC372&gt;$BB$7,"",VLOOKUP($BC372,$BE$8:$BK$507,7,FALSE()))</f>
        <v/>
      </c>
      <c r="BM372" s="110" t="str">
        <f aca="false">IF($BC372&gt;$BB$7,"",VLOOKUP($BC372,$BE$8:$BK$507,2,FALSE()))</f>
        <v/>
      </c>
      <c r="BN372" s="110" t="str">
        <f aca="false">IF($BC372&gt;$BB$7,"",VLOOKUP($BC372,$BE$8:$BK$507,3,FALSE()))</f>
        <v/>
      </c>
      <c r="BO372" s="110" t="str">
        <f aca="false">IF($BC372&gt;$BB$7,"",VLOOKUP($BC372,$BE$8:$BK$507,4,FALSE()))</f>
        <v/>
      </c>
      <c r="BP372" s="110" t="str">
        <f aca="false">IF($BC372&gt;$BB$7,"",VLOOKUP($BC372,$BE$8:$BK$507,5,FALSE()))</f>
        <v/>
      </c>
      <c r="BQ372" s="111" t="str">
        <f aca="false">IF($BC372&gt;$BB$7,"",VLOOKUP($BC372,$BE$8:$BK$507,6,FALSE()))</f>
        <v/>
      </c>
      <c r="BR372" s="54"/>
    </row>
    <row r="373" customFormat="false" ht="15.75" hidden="false" customHeight="false" outlineLevel="0" collapsed="false">
      <c r="A373" s="5"/>
      <c r="B373" s="120"/>
      <c r="C373" s="121"/>
      <c r="D373" s="112"/>
      <c r="E373" s="123"/>
      <c r="F373" s="91"/>
      <c r="G373" s="92"/>
      <c r="H373" s="93"/>
      <c r="I373" s="94"/>
      <c r="J373" s="91"/>
      <c r="K373" s="92"/>
      <c r="L373" s="93"/>
      <c r="M373" s="94"/>
      <c r="N373" s="91"/>
      <c r="O373" s="123"/>
      <c r="P373" s="96"/>
      <c r="Q373" s="97" t="str">
        <f aca="false">IF(ISBLANK($C373),"",IF(E373=Constants!$B$2, TRUE(), IF(E373=Constants!$B$3, FALSE(), TRUE())))</f>
        <v/>
      </c>
      <c r="R373" s="97" t="str">
        <f aca="false">IF(ISBLANK($C373),"",IF(F373=Constants!$B$16,Constants!$B$9,IF(F373=Constants!$B$17,Constants!$B$10,Constants!$B$8)))</f>
        <v/>
      </c>
      <c r="S373" s="97" t="str">
        <f aca="false">IF(ISBLANK($C373),"",IF(COUNTA(G373:H373)=0,"",IF(AND(OR(ISBLANK(G373),AND(ISNUMBER(G373),G373&gt;=0)),OR(ISBLANK(H373),AND(ISNUMBER(H373),H373&gt;=0))),60*IF(ISBLANK(G373),0,G373)+IF(ISBLANK(H373),0,H373),"")))</f>
        <v/>
      </c>
      <c r="T373" s="97" t="str">
        <f aca="false">IF(ISBLANK($C373),"",IF(I373=Constants!$B$2, TRUE(), IF(I373=Constants!$B$3, FALSE(), TRUE())))</f>
        <v/>
      </c>
      <c r="U373" s="97" t="str">
        <f aca="false">IF(ISBLANK($C373),"",IF(J373=Constants!$B$2, TRUE(), IF(J373=Constants!$B$3, FALSE(), TRUE())))</f>
        <v/>
      </c>
      <c r="V373" s="97" t="str">
        <f aca="false">IF(ISBLANK($C373),"",IF(COUNTA(K373:L373)=0,"",IF(AND(OR(ISBLANK(K373),AND(ISNUMBER(K373),K373&gt;=0)),OR(ISBLANK(L373),AND(ISNUMBER(L373),L373&gt;=0))),60*IF(ISBLANK(K373),0,K373)+IF(ISBLANK(L373),0,L373),"")))</f>
        <v/>
      </c>
      <c r="W373" s="97" t="str">
        <f aca="false">IF(ISBLANK($C373),"",IF(M373=Constants!$B$2, TRUE(), IF(M373=Constants!$B$3, FALSE(), TRUE())))</f>
        <v/>
      </c>
      <c r="X373" s="97" t="str">
        <f aca="false">IF(ISBLANK($C373),"",IF(N373=Constants!$B$2, TRUE(), IF(N373=Constants!$B$3, FALSE(), TRUE())))</f>
        <v/>
      </c>
      <c r="Y373" s="97" t="str">
        <f aca="false">IF(ISBLANK($C373),"",IF(O373=Constants!$B$2, TRUE(), IF(O373=Constants!$B$3, FALSE(), FALSE())))</f>
        <v/>
      </c>
      <c r="Z373" s="97" t="str">
        <f aca="false">IF(ISBLANK($C373),"",AND(S373&lt;&gt;"",Q373))</f>
        <v/>
      </c>
      <c r="AA373" s="97" t="str">
        <f aca="false">IF(ISBLANK($C373),"",AND(V373&lt;&gt;"",Q373))</f>
        <v/>
      </c>
      <c r="AB373" s="97" t="str">
        <f aca="false">IF(ISBLANK($C373),"",IF(Y373,Constants!$B$4,IF(COUNTA(E373:N373)=0,Constants!$B$5,IF(NOT(Q373),Constants!$B$6,IF(AND(NOT(Z373),NOT(AA373)),Constants!$B$6,Constants!$B$7)))))</f>
        <v/>
      </c>
      <c r="AC373" s="97" t="str">
        <f aca="false">IF(ISBLANK($C373),"",IF($AB373&lt;&gt;Constants!$B$7,$AB373,Constants!$B$20))</f>
        <v/>
      </c>
      <c r="AD373" s="97" t="str">
        <f aca="false">IF($AB373=Constants!$B$7,IF(Z373,S373,Constants!$B$13),"")</f>
        <v/>
      </c>
      <c r="AE373" s="97" t="str">
        <f aca="false">IF($AB373=Constants!$B$7,IF(Z373,R373*IF(T373, 1, Constants!$B$11)*IF(U373, 1, Constants!$B$12),Constants!$B$13),"")</f>
        <v/>
      </c>
      <c r="AF373" s="97" t="str">
        <f aca="false">IF($AB373=Constants!$B$7,AD373*AE373,"")</f>
        <v/>
      </c>
      <c r="AG373" s="97" t="str">
        <f aca="false">IF($AB373=Constants!$B$7,IF(AA373,V373,Constants!$B$13),"")</f>
        <v/>
      </c>
      <c r="AH373" s="97" t="str">
        <f aca="false">IF($AB373=Constants!$B$7,IF(AA373,R373*IF(W373, 1, Constants!$B$11)*IF(X373, 1, Constants!$B$12),Constants!$B$13),"")</f>
        <v/>
      </c>
      <c r="AI373" s="97" t="str">
        <f aca="false">IF($AB373=Constants!$B$7,AG373*AH373,"")</f>
        <v/>
      </c>
      <c r="AJ373" s="97" t="str">
        <f aca="false">IF($AB373=Constants!$B$7,IF(AI373&gt;AF373,2,1),"")</f>
        <v/>
      </c>
      <c r="AK373" s="97" t="str">
        <f aca="false">IF($AB373=Constants!$B$7,IF(AJ373=1,2,1),"")</f>
        <v/>
      </c>
      <c r="AL373" s="97" t="str">
        <f aca="false">IF(ISBLANK($C373),"",IF($AB373&lt;&gt;Constants!$B$7,$AB373,IF(AJ373=1,AF373,AI373)))</f>
        <v/>
      </c>
      <c r="AM373" s="97" t="str">
        <f aca="false">IF(ISBLANK($C373),"",IF($AB373=Constants!$B$7,IF(ISNUMBER(AL373),RANK(AL373,$AL$8:$AL$507),Constants!$B$14),$AB373))</f>
        <v/>
      </c>
      <c r="AN373" s="97" t="str">
        <f aca="false">IF(ISBLANK($C373),"",IF($AB373=Constants!$B$7,IF(AK373=1,AF373,AI373),""))</f>
        <v/>
      </c>
      <c r="AO373" s="97" t="str">
        <f aca="false">IF(ISBLANK($C373),"",IF($AB373=Constants!$B$7,RANK(AN373,$AN$8:$AN$507),$AB373))</f>
        <v/>
      </c>
      <c r="AP373" s="97" t="str">
        <f aca="false">IF(ISBLANK($C373),"",IF($AB373=Constants!$B$7,IF(ISNUMBER(AM373),COUNTIFS($AM$8:$AM$507,"&lt;"&amp;$AM373)+COUNTIFS($AM$8:$AM$507,$AM373,$AO$8:$AO$507,"&lt;"&amp;$AO373)+1,Constants!$B$14),$AB373))</f>
        <v/>
      </c>
      <c r="AQ373" s="97" t="str">
        <f aca="false">IF(ISBLANK($C373),"",IF($AB373=Constants!$B$7,IF(ISNUMBER(AM373),AM373-AP373,Constants!$B$14),$AB373))</f>
        <v/>
      </c>
      <c r="AR373" s="98"/>
      <c r="AS373" s="99" t="str">
        <f aca="false">IF(ISBLANK($C373),"",IF($AB373&lt;&gt;Constants!$B$7,"",AJ373))</f>
        <v/>
      </c>
      <c r="AT373" s="100" t="str">
        <f aca="false">IF(ISBLANK($C373),"",IF($AB373&lt;&gt;Constants!$B$7,"",IF(AJ373=1,AD373,AG373)))</f>
        <v/>
      </c>
      <c r="AU373" s="101" t="str">
        <f aca="false">IF(ISBLANK($C373),"",IF($AB373&lt;&gt;Constants!$B$7,"",IF(AJ373=1,AE373,AH373)))</f>
        <v/>
      </c>
      <c r="AV373" s="102" t="str">
        <f aca="false">IF(ISBLANK($C373),"",IF($AB373&lt;&gt;Constants!$B$7,$AB373,AL373))</f>
        <v/>
      </c>
      <c r="AW373" s="103" t="str">
        <f aca="false">IF(ISBLANK($C373),"",IF($AB373&lt;&gt;Constants!$B$7,$AB373,AC373))</f>
        <v/>
      </c>
      <c r="AX373" s="104" t="str">
        <f aca="false">IF(ISBLANK($C373),"",AQ373)</f>
        <v/>
      </c>
      <c r="AY373" s="104" t="str">
        <f aca="false">IF(ISBLANK($C373),"",AP373)</f>
        <v/>
      </c>
      <c r="AZ373" s="105" t="str">
        <f aca="false">IF(ISBLANK($C373),"",IF(AY373=Constants!$B$4,COUNTA($C$8:$C$507)+2,IF(AY373=Constants!$B$5,COUNTA($C$8:$C$507)+1,IF(AY373=Constants!$B$6,COUNTA($C$8:$C$507),AY373))))</f>
        <v/>
      </c>
      <c r="BA373" s="5"/>
      <c r="BB373" s="106" t="n">
        <f aca="false">IF(OR(ISNUMBER(AY373),AY373=Constants!$B$4,AY373=Constants!$B$6,AY373=Constants!$B$5),1,0)</f>
        <v>0</v>
      </c>
      <c r="BC373" s="106" t="n">
        <v>366</v>
      </c>
      <c r="BD373" s="106" t="str">
        <f aca="false">IF(ISBLANK($C373),"",IF(ISNUMBER(AZ373),AZ373+ROW($B373)/1000,""))</f>
        <v/>
      </c>
      <c r="BE373" s="106" t="str">
        <f aca="false">IF(ISNUMBER(BD373),RANK(BD373,$BD$8:$BD$507,1),"")</f>
        <v/>
      </c>
      <c r="BF373" s="106" t="str">
        <f aca="false">IF(ISBLANK($C373),"",$B373)</f>
        <v/>
      </c>
      <c r="BG373" s="106" t="str">
        <f aca="false">IF(ISBLANK($C373),"",$C373)</f>
        <v/>
      </c>
      <c r="BH373" s="106" t="str">
        <f aca="false">IF(ISBLANK($C373),"",$D373)</f>
        <v/>
      </c>
      <c r="BI373" s="107" t="str">
        <f aca="false">AW373</f>
        <v/>
      </c>
      <c r="BJ373" s="108" t="str">
        <f aca="false">AV373</f>
        <v/>
      </c>
      <c r="BK373" s="106" t="str">
        <f aca="false">IF(ISBLANK($C373),"",AY373)</f>
        <v/>
      </c>
      <c r="BL373" s="109" t="str">
        <f aca="false">IF($BC373&gt;$BB$7,"",VLOOKUP($BC373,$BE$8:$BK$507,7,FALSE()))</f>
        <v/>
      </c>
      <c r="BM373" s="110" t="str">
        <f aca="false">IF($BC373&gt;$BB$7,"",VLOOKUP($BC373,$BE$8:$BK$507,2,FALSE()))</f>
        <v/>
      </c>
      <c r="BN373" s="110" t="str">
        <f aca="false">IF($BC373&gt;$BB$7,"",VLOOKUP($BC373,$BE$8:$BK$507,3,FALSE()))</f>
        <v/>
      </c>
      <c r="BO373" s="110" t="str">
        <f aca="false">IF($BC373&gt;$BB$7,"",VLOOKUP($BC373,$BE$8:$BK$507,4,FALSE()))</f>
        <v/>
      </c>
      <c r="BP373" s="110" t="str">
        <f aca="false">IF($BC373&gt;$BB$7,"",VLOOKUP($BC373,$BE$8:$BK$507,5,FALSE()))</f>
        <v/>
      </c>
      <c r="BQ373" s="111" t="str">
        <f aca="false">IF($BC373&gt;$BB$7,"",VLOOKUP($BC373,$BE$8:$BK$507,6,FALSE()))</f>
        <v/>
      </c>
      <c r="BR373" s="54"/>
    </row>
    <row r="374" customFormat="false" ht="15.75" hidden="false" customHeight="false" outlineLevel="0" collapsed="false">
      <c r="A374" s="5"/>
      <c r="B374" s="124"/>
      <c r="C374" s="56"/>
      <c r="D374" s="57"/>
      <c r="E374" s="83"/>
      <c r="F374" s="59"/>
      <c r="G374" s="60"/>
      <c r="H374" s="61"/>
      <c r="I374" s="62"/>
      <c r="J374" s="59"/>
      <c r="K374" s="60"/>
      <c r="L374" s="61"/>
      <c r="M374" s="62"/>
      <c r="N374" s="59"/>
      <c r="O374" s="83"/>
      <c r="P374" s="64"/>
      <c r="Q374" s="66" t="str">
        <f aca="false">IF(ISBLANK($C374),"",IF(E374=Constants!$B$2, TRUE(), IF(E374=Constants!$B$3, FALSE(), TRUE())))</f>
        <v/>
      </c>
      <c r="R374" s="66" t="str">
        <f aca="false">IF(ISBLANK($C374),"",IF(F374=Constants!$B$16,Constants!$B$9,IF(F374=Constants!$B$17,Constants!$B$10,Constants!$B$8)))</f>
        <v/>
      </c>
      <c r="S374" s="66" t="str">
        <f aca="false">IF(ISBLANK($C374),"",IF(COUNTA(G374:H374)=0,"",IF(AND(OR(ISBLANK(G374),AND(ISNUMBER(G374),G374&gt;=0)),OR(ISBLANK(H374),AND(ISNUMBER(H374),H374&gt;=0))),60*IF(ISBLANK(G374),0,G374)+IF(ISBLANK(H374),0,H374),"")))</f>
        <v/>
      </c>
      <c r="T374" s="66" t="str">
        <f aca="false">IF(ISBLANK($C374),"",IF(I374=Constants!$B$2, TRUE(), IF(I374=Constants!$B$3, FALSE(), TRUE())))</f>
        <v/>
      </c>
      <c r="U374" s="66" t="str">
        <f aca="false">IF(ISBLANK($C374),"",IF(J374=Constants!$B$2, TRUE(), IF(J374=Constants!$B$3, FALSE(), TRUE())))</f>
        <v/>
      </c>
      <c r="V374" s="66" t="str">
        <f aca="false">IF(ISBLANK($C374),"",IF(COUNTA(K374:L374)=0,"",IF(AND(OR(ISBLANK(K374),AND(ISNUMBER(K374),K374&gt;=0)),OR(ISBLANK(L374),AND(ISNUMBER(L374),L374&gt;=0))),60*IF(ISBLANK(K374),0,K374)+IF(ISBLANK(L374),0,L374),"")))</f>
        <v/>
      </c>
      <c r="W374" s="66" t="str">
        <f aca="false">IF(ISBLANK($C374),"",IF(M374=Constants!$B$2, TRUE(), IF(M374=Constants!$B$3, FALSE(), TRUE())))</f>
        <v/>
      </c>
      <c r="X374" s="66" t="str">
        <f aca="false">IF(ISBLANK($C374),"",IF(N374=Constants!$B$2, TRUE(), IF(N374=Constants!$B$3, FALSE(), TRUE())))</f>
        <v/>
      </c>
      <c r="Y374" s="66" t="str">
        <f aca="false">IF(ISBLANK($C374),"",IF(O374=Constants!$B$2, TRUE(), IF(O374=Constants!$B$3, FALSE(), FALSE())))</f>
        <v/>
      </c>
      <c r="Z374" s="66" t="str">
        <f aca="false">IF(ISBLANK($C374),"",AND(S374&lt;&gt;"",Q374))</f>
        <v/>
      </c>
      <c r="AA374" s="66" t="str">
        <f aca="false">IF(ISBLANK($C374),"",AND(V374&lt;&gt;"",Q374))</f>
        <v/>
      </c>
      <c r="AB374" s="66" t="str">
        <f aca="false">IF(ISBLANK($C374),"",IF(Y374,Constants!$B$4,IF(COUNTA(E374:N374)=0,Constants!$B$5,IF(NOT(Q374),Constants!$B$6,IF(AND(NOT(Z374),NOT(AA374)),Constants!$B$6,Constants!$B$7)))))</f>
        <v/>
      </c>
      <c r="AC374" s="66" t="str">
        <f aca="false">IF(ISBLANK($C374),"",IF($AB374&lt;&gt;Constants!$B$7,$AB374,Constants!$B$20))</f>
        <v/>
      </c>
      <c r="AD374" s="66" t="str">
        <f aca="false">IF($AB374=Constants!$B$7,IF(Z374,S374,Constants!$B$13),"")</f>
        <v/>
      </c>
      <c r="AE374" s="66" t="str">
        <f aca="false">IF($AB374=Constants!$B$7,IF(Z374,R374*IF(T374, 1, Constants!$B$11)*IF(U374, 1, Constants!$B$12),Constants!$B$13),"")</f>
        <v/>
      </c>
      <c r="AF374" s="66" t="str">
        <f aca="false">IF($AB374=Constants!$B$7,AD374*AE374,"")</f>
        <v/>
      </c>
      <c r="AG374" s="66" t="str">
        <f aca="false">IF($AB374=Constants!$B$7,IF(AA374,V374,Constants!$B$13),"")</f>
        <v/>
      </c>
      <c r="AH374" s="66" t="str">
        <f aca="false">IF($AB374=Constants!$B$7,IF(AA374,R374*IF(W374, 1, Constants!$B$11)*IF(X374, 1, Constants!$B$12),Constants!$B$13),"")</f>
        <v/>
      </c>
      <c r="AI374" s="66" t="str">
        <f aca="false">IF($AB374=Constants!$B$7,AG374*AH374,"")</f>
        <v/>
      </c>
      <c r="AJ374" s="66" t="str">
        <f aca="false">IF($AB374=Constants!$B$7,IF(AI374&gt;AF374,2,1),"")</f>
        <v/>
      </c>
      <c r="AK374" s="66" t="str">
        <f aca="false">IF($AB374=Constants!$B$7,IF(AJ374=1,2,1),"")</f>
        <v/>
      </c>
      <c r="AL374" s="66" t="str">
        <f aca="false">IF(ISBLANK($C374),"",IF($AB374&lt;&gt;Constants!$B$7,$AB374,IF(AJ374=1,AF374,AI374)))</f>
        <v/>
      </c>
      <c r="AM374" s="66" t="str">
        <f aca="false">IF(ISBLANK($C374),"",IF($AB374=Constants!$B$7,IF(ISNUMBER(AL374),RANK(AL374,$AL$8:$AL$507),Constants!$B$14),$AB374))</f>
        <v/>
      </c>
      <c r="AN374" s="66" t="str">
        <f aca="false">IF(ISBLANK($C374),"",IF($AB374=Constants!$B$7,IF(AK374=1,AF374,AI374),""))</f>
        <v/>
      </c>
      <c r="AO374" s="66" t="str">
        <f aca="false">IF(ISBLANK($C374),"",IF($AB374=Constants!$B$7,RANK(AN374,$AN$8:$AN$507),$AB374))</f>
        <v/>
      </c>
      <c r="AP374" s="66" t="str">
        <f aca="false">IF(ISBLANK($C374),"",IF($AB374=Constants!$B$7,IF(ISNUMBER(AM374),COUNTIFS($AM$8:$AM$507,"&lt;"&amp;$AM374)+COUNTIFS($AM$8:$AM$507,$AM374,$AO$8:$AO$507,"&lt;"&amp;$AO374)+1,Constants!$B$14),$AB374))</f>
        <v/>
      </c>
      <c r="AQ374" s="66" t="str">
        <f aca="false">IF(ISBLANK($C374),"",IF($AB374=Constants!$B$7,IF(ISNUMBER(AM374),AM374-AP374,Constants!$B$14),$AB374))</f>
        <v/>
      </c>
      <c r="AR374" s="68"/>
      <c r="AS374" s="69" t="str">
        <f aca="false">IF(ISBLANK($C374),"",IF($AB374&lt;&gt;Constants!$B$7,"",AJ374))</f>
        <v/>
      </c>
      <c r="AT374" s="84" t="str">
        <f aca="false">IF(ISBLANK($C374),"",IF($AB374&lt;&gt;Constants!$B$7,"",IF(AJ374=1,AD374,AG374)))</f>
        <v/>
      </c>
      <c r="AU374" s="71" t="str">
        <f aca="false">IF(ISBLANK($C374),"",IF($AB374&lt;&gt;Constants!$B$7,"",IF(AJ374=1,AE374,AH374)))</f>
        <v/>
      </c>
      <c r="AV374" s="72" t="str">
        <f aca="false">IF(ISBLANK($C374),"",IF($AB374&lt;&gt;Constants!$B$7,$AB374,AL374))</f>
        <v/>
      </c>
      <c r="AW374" s="73" t="str">
        <f aca="false">IF(ISBLANK($C374),"",IF($AB374&lt;&gt;Constants!$B$7,$AB374,AC374))</f>
        <v/>
      </c>
      <c r="AX374" s="74" t="str">
        <f aca="false">IF(ISBLANK($C374),"",AQ374)</f>
        <v/>
      </c>
      <c r="AY374" s="74" t="str">
        <f aca="false">IF(ISBLANK($C374),"",AP374)</f>
        <v/>
      </c>
      <c r="AZ374" s="75" t="str">
        <f aca="false">IF(ISBLANK($C374),"",IF(AY374=Constants!$B$4,COUNTA($C$8:$C$507)+2,IF(AY374=Constants!$B$5,COUNTA($C$8:$C$507)+1,IF(AY374=Constants!$B$6,COUNTA($C$8:$C$507),AY374))))</f>
        <v/>
      </c>
      <c r="BA374" s="5"/>
      <c r="BB374" s="76" t="n">
        <f aca="false">IF(OR(ISNUMBER(AY374),AY374=Constants!$B$4,AY374=Constants!$B$6,AY374=Constants!$B$5),1,0)</f>
        <v>0</v>
      </c>
      <c r="BC374" s="76" t="n">
        <v>367</v>
      </c>
      <c r="BD374" s="76" t="str">
        <f aca="false">IF(ISBLANK($C374),"",IF(ISNUMBER(AZ374),AZ374+ROW($B374)/1000,""))</f>
        <v/>
      </c>
      <c r="BE374" s="76" t="str">
        <f aca="false">IF(ISNUMBER(BD374),RANK(BD374,$BD$8:$BD$507,1),"")</f>
        <v/>
      </c>
      <c r="BF374" s="76" t="str">
        <f aca="false">IF(ISBLANK($C374),"",$B374)</f>
        <v/>
      </c>
      <c r="BG374" s="76" t="str">
        <f aca="false">IF(ISBLANK($C374),"",$C374)</f>
        <v/>
      </c>
      <c r="BH374" s="76" t="str">
        <f aca="false">IF(ISBLANK($C374),"",$D374)</f>
        <v/>
      </c>
      <c r="BI374" s="77" t="str">
        <f aca="false">AW374</f>
        <v/>
      </c>
      <c r="BJ374" s="78" t="str">
        <f aca="false">AV374</f>
        <v/>
      </c>
      <c r="BK374" s="76" t="str">
        <f aca="false">IF(ISBLANK($C374),"",AY374)</f>
        <v/>
      </c>
      <c r="BL374" s="79" t="str">
        <f aca="false">IF($BC374&gt;$BB$7,"",VLOOKUP($BC374,$BE$8:$BK$507,7,FALSE()))</f>
        <v/>
      </c>
      <c r="BM374" s="80" t="str">
        <f aca="false">IF($BC374&gt;$BB$7,"",VLOOKUP($BC374,$BE$8:$BK$507,2,FALSE()))</f>
        <v/>
      </c>
      <c r="BN374" s="80" t="str">
        <f aca="false">IF($BC374&gt;$BB$7,"",VLOOKUP($BC374,$BE$8:$BK$507,3,FALSE()))</f>
        <v/>
      </c>
      <c r="BO374" s="80" t="str">
        <f aca="false">IF($BC374&gt;$BB$7,"",VLOOKUP($BC374,$BE$8:$BK$507,4,FALSE()))</f>
        <v/>
      </c>
      <c r="BP374" s="80" t="str">
        <f aca="false">IF($BC374&gt;$BB$7,"",VLOOKUP($BC374,$BE$8:$BK$507,5,FALSE()))</f>
        <v/>
      </c>
      <c r="BQ374" s="81" t="str">
        <f aca="false">IF($BC374&gt;$BB$7,"",VLOOKUP($BC374,$BE$8:$BK$507,6,FALSE()))</f>
        <v/>
      </c>
      <c r="BR374" s="54"/>
    </row>
    <row r="375" customFormat="false" ht="15.75" hidden="false" customHeight="false" outlineLevel="0" collapsed="false">
      <c r="A375" s="5"/>
      <c r="B375" s="124"/>
      <c r="C375" s="56"/>
      <c r="D375" s="57"/>
      <c r="E375" s="83"/>
      <c r="F375" s="59"/>
      <c r="G375" s="60"/>
      <c r="H375" s="61"/>
      <c r="I375" s="62"/>
      <c r="J375" s="59"/>
      <c r="K375" s="60"/>
      <c r="L375" s="61"/>
      <c r="M375" s="62"/>
      <c r="N375" s="59"/>
      <c r="O375" s="83"/>
      <c r="P375" s="64"/>
      <c r="Q375" s="66" t="str">
        <f aca="false">IF(ISBLANK($C375),"",IF(E375=Constants!$B$2, TRUE(), IF(E375=Constants!$B$3, FALSE(), TRUE())))</f>
        <v/>
      </c>
      <c r="R375" s="66" t="str">
        <f aca="false">IF(ISBLANK($C375),"",IF(F375=Constants!$B$16,Constants!$B$9,IF(F375=Constants!$B$17,Constants!$B$10,Constants!$B$8)))</f>
        <v/>
      </c>
      <c r="S375" s="66" t="str">
        <f aca="false">IF(ISBLANK($C375),"",IF(COUNTA(G375:H375)=0,"",IF(AND(OR(ISBLANK(G375),AND(ISNUMBER(G375),G375&gt;=0)),OR(ISBLANK(H375),AND(ISNUMBER(H375),H375&gt;=0))),60*IF(ISBLANK(G375),0,G375)+IF(ISBLANK(H375),0,H375),"")))</f>
        <v/>
      </c>
      <c r="T375" s="66" t="str">
        <f aca="false">IF(ISBLANK($C375),"",IF(I375=Constants!$B$2, TRUE(), IF(I375=Constants!$B$3, FALSE(), TRUE())))</f>
        <v/>
      </c>
      <c r="U375" s="66" t="str">
        <f aca="false">IF(ISBLANK($C375),"",IF(J375=Constants!$B$2, TRUE(), IF(J375=Constants!$B$3, FALSE(), TRUE())))</f>
        <v/>
      </c>
      <c r="V375" s="66" t="str">
        <f aca="false">IF(ISBLANK($C375),"",IF(COUNTA(K375:L375)=0,"",IF(AND(OR(ISBLANK(K375),AND(ISNUMBER(K375),K375&gt;=0)),OR(ISBLANK(L375),AND(ISNUMBER(L375),L375&gt;=0))),60*IF(ISBLANK(K375),0,K375)+IF(ISBLANK(L375),0,L375),"")))</f>
        <v/>
      </c>
      <c r="W375" s="66" t="str">
        <f aca="false">IF(ISBLANK($C375),"",IF(M375=Constants!$B$2, TRUE(), IF(M375=Constants!$B$3, FALSE(), TRUE())))</f>
        <v/>
      </c>
      <c r="X375" s="66" t="str">
        <f aca="false">IF(ISBLANK($C375),"",IF(N375=Constants!$B$2, TRUE(), IF(N375=Constants!$B$3, FALSE(), TRUE())))</f>
        <v/>
      </c>
      <c r="Y375" s="66" t="str">
        <f aca="false">IF(ISBLANK($C375),"",IF(O375=Constants!$B$2, TRUE(), IF(O375=Constants!$B$3, FALSE(), FALSE())))</f>
        <v/>
      </c>
      <c r="Z375" s="66" t="str">
        <f aca="false">IF(ISBLANK($C375),"",AND(S375&lt;&gt;"",Q375))</f>
        <v/>
      </c>
      <c r="AA375" s="66" t="str">
        <f aca="false">IF(ISBLANK($C375),"",AND(V375&lt;&gt;"",Q375))</f>
        <v/>
      </c>
      <c r="AB375" s="66" t="str">
        <f aca="false">IF(ISBLANK($C375),"",IF(Y375,Constants!$B$4,IF(COUNTA(E375:N375)=0,Constants!$B$5,IF(NOT(Q375),Constants!$B$6,IF(AND(NOT(Z375),NOT(AA375)),Constants!$B$6,Constants!$B$7)))))</f>
        <v/>
      </c>
      <c r="AC375" s="66" t="str">
        <f aca="false">IF(ISBLANK($C375),"",IF($AB375&lt;&gt;Constants!$B$7,$AB375,Constants!$B$20))</f>
        <v/>
      </c>
      <c r="AD375" s="66" t="str">
        <f aca="false">IF($AB375=Constants!$B$7,IF(Z375,S375,Constants!$B$13),"")</f>
        <v/>
      </c>
      <c r="AE375" s="66" t="str">
        <f aca="false">IF($AB375=Constants!$B$7,IF(Z375,R375*IF(T375, 1, Constants!$B$11)*IF(U375, 1, Constants!$B$12),Constants!$B$13),"")</f>
        <v/>
      </c>
      <c r="AF375" s="66" t="str">
        <f aca="false">IF($AB375=Constants!$B$7,AD375*AE375,"")</f>
        <v/>
      </c>
      <c r="AG375" s="66" t="str">
        <f aca="false">IF($AB375=Constants!$B$7,IF(AA375,V375,Constants!$B$13),"")</f>
        <v/>
      </c>
      <c r="AH375" s="66" t="str">
        <f aca="false">IF($AB375=Constants!$B$7,IF(AA375,R375*IF(W375, 1, Constants!$B$11)*IF(X375, 1, Constants!$B$12),Constants!$B$13),"")</f>
        <v/>
      </c>
      <c r="AI375" s="66" t="str">
        <f aca="false">IF($AB375=Constants!$B$7,AG375*AH375,"")</f>
        <v/>
      </c>
      <c r="AJ375" s="66" t="str">
        <f aca="false">IF($AB375=Constants!$B$7,IF(AI375&gt;AF375,2,1),"")</f>
        <v/>
      </c>
      <c r="AK375" s="66" t="str">
        <f aca="false">IF($AB375=Constants!$B$7,IF(AJ375=1,2,1),"")</f>
        <v/>
      </c>
      <c r="AL375" s="66" t="str">
        <f aca="false">IF(ISBLANK($C375),"",IF($AB375&lt;&gt;Constants!$B$7,$AB375,IF(AJ375=1,AF375,AI375)))</f>
        <v/>
      </c>
      <c r="AM375" s="66" t="str">
        <f aca="false">IF(ISBLANK($C375),"",IF($AB375=Constants!$B$7,IF(ISNUMBER(AL375),RANK(AL375,$AL$8:$AL$507),Constants!$B$14),$AB375))</f>
        <v/>
      </c>
      <c r="AN375" s="66" t="str">
        <f aca="false">IF(ISBLANK($C375),"",IF($AB375=Constants!$B$7,IF(AK375=1,AF375,AI375),""))</f>
        <v/>
      </c>
      <c r="AO375" s="66" t="str">
        <f aca="false">IF(ISBLANK($C375),"",IF($AB375=Constants!$B$7,RANK(AN375,$AN$8:$AN$507),$AB375))</f>
        <v/>
      </c>
      <c r="AP375" s="66" t="str">
        <f aca="false">IF(ISBLANK($C375),"",IF($AB375=Constants!$B$7,IF(ISNUMBER(AM375),COUNTIFS($AM$8:$AM$507,"&lt;"&amp;$AM375)+COUNTIFS($AM$8:$AM$507,$AM375,$AO$8:$AO$507,"&lt;"&amp;$AO375)+1,Constants!$B$14),$AB375))</f>
        <v/>
      </c>
      <c r="AQ375" s="66" t="str">
        <f aca="false">IF(ISBLANK($C375),"",IF($AB375=Constants!$B$7,IF(ISNUMBER(AM375),AM375-AP375,Constants!$B$14),$AB375))</f>
        <v/>
      </c>
      <c r="AR375" s="68"/>
      <c r="AS375" s="69" t="str">
        <f aca="false">IF(ISBLANK($C375),"",IF($AB375&lt;&gt;Constants!$B$7,"",AJ375))</f>
        <v/>
      </c>
      <c r="AT375" s="84" t="str">
        <f aca="false">IF(ISBLANK($C375),"",IF($AB375&lt;&gt;Constants!$B$7,"",IF(AJ375=1,AD375,AG375)))</f>
        <v/>
      </c>
      <c r="AU375" s="71" t="str">
        <f aca="false">IF(ISBLANK($C375),"",IF($AB375&lt;&gt;Constants!$B$7,"",IF(AJ375=1,AE375,AH375)))</f>
        <v/>
      </c>
      <c r="AV375" s="72" t="str">
        <f aca="false">IF(ISBLANK($C375),"",IF($AB375&lt;&gt;Constants!$B$7,$AB375,AL375))</f>
        <v/>
      </c>
      <c r="AW375" s="73" t="str">
        <f aca="false">IF(ISBLANK($C375),"",IF($AB375&lt;&gt;Constants!$B$7,$AB375,AC375))</f>
        <v/>
      </c>
      <c r="AX375" s="74" t="str">
        <f aca="false">IF(ISBLANK($C375),"",AQ375)</f>
        <v/>
      </c>
      <c r="AY375" s="74" t="str">
        <f aca="false">IF(ISBLANK($C375),"",AP375)</f>
        <v/>
      </c>
      <c r="AZ375" s="75" t="str">
        <f aca="false">IF(ISBLANK($C375),"",IF(AY375=Constants!$B$4,COUNTA($C$8:$C$507)+2,IF(AY375=Constants!$B$5,COUNTA($C$8:$C$507)+1,IF(AY375=Constants!$B$6,COUNTA($C$8:$C$507),AY375))))</f>
        <v/>
      </c>
      <c r="BA375" s="5"/>
      <c r="BB375" s="76" t="n">
        <f aca="false">IF(OR(ISNUMBER(AY375),AY375=Constants!$B$4,AY375=Constants!$B$6,AY375=Constants!$B$5),1,0)</f>
        <v>0</v>
      </c>
      <c r="BC375" s="76" t="n">
        <v>368</v>
      </c>
      <c r="BD375" s="76" t="str">
        <f aca="false">IF(ISBLANK($C375),"",IF(ISNUMBER(AZ375),AZ375+ROW($B375)/1000,""))</f>
        <v/>
      </c>
      <c r="BE375" s="76" t="str">
        <f aca="false">IF(ISNUMBER(BD375),RANK(BD375,$BD$8:$BD$507,1),"")</f>
        <v/>
      </c>
      <c r="BF375" s="76" t="str">
        <f aca="false">IF(ISBLANK($C375),"",$B375)</f>
        <v/>
      </c>
      <c r="BG375" s="76" t="str">
        <f aca="false">IF(ISBLANK($C375),"",$C375)</f>
        <v/>
      </c>
      <c r="BH375" s="76" t="str">
        <f aca="false">IF(ISBLANK($C375),"",$D375)</f>
        <v/>
      </c>
      <c r="BI375" s="77" t="str">
        <f aca="false">AW375</f>
        <v/>
      </c>
      <c r="BJ375" s="78" t="str">
        <f aca="false">AV375</f>
        <v/>
      </c>
      <c r="BK375" s="76" t="str">
        <f aca="false">IF(ISBLANK($C375),"",AY375)</f>
        <v/>
      </c>
      <c r="BL375" s="79" t="str">
        <f aca="false">IF($BC375&gt;$BB$7,"",VLOOKUP($BC375,$BE$8:$BK$507,7,FALSE()))</f>
        <v/>
      </c>
      <c r="BM375" s="80" t="str">
        <f aca="false">IF($BC375&gt;$BB$7,"",VLOOKUP($BC375,$BE$8:$BK$507,2,FALSE()))</f>
        <v/>
      </c>
      <c r="BN375" s="80" t="str">
        <f aca="false">IF($BC375&gt;$BB$7,"",VLOOKUP($BC375,$BE$8:$BK$507,3,FALSE()))</f>
        <v/>
      </c>
      <c r="BO375" s="80" t="str">
        <f aca="false">IF($BC375&gt;$BB$7,"",VLOOKUP($BC375,$BE$8:$BK$507,4,FALSE()))</f>
        <v/>
      </c>
      <c r="BP375" s="80" t="str">
        <f aca="false">IF($BC375&gt;$BB$7,"",VLOOKUP($BC375,$BE$8:$BK$507,5,FALSE()))</f>
        <v/>
      </c>
      <c r="BQ375" s="81" t="str">
        <f aca="false">IF($BC375&gt;$BB$7,"",VLOOKUP($BC375,$BE$8:$BK$507,6,FALSE()))</f>
        <v/>
      </c>
      <c r="BR375" s="54"/>
    </row>
    <row r="376" customFormat="false" ht="15.75" hidden="false" customHeight="false" outlineLevel="0" collapsed="false">
      <c r="A376" s="5"/>
      <c r="B376" s="124"/>
      <c r="C376" s="56"/>
      <c r="D376" s="57"/>
      <c r="E376" s="83"/>
      <c r="F376" s="59"/>
      <c r="G376" s="60"/>
      <c r="H376" s="61"/>
      <c r="I376" s="62"/>
      <c r="J376" s="59"/>
      <c r="K376" s="60"/>
      <c r="L376" s="61"/>
      <c r="M376" s="62"/>
      <c r="N376" s="59"/>
      <c r="O376" s="83"/>
      <c r="P376" s="64"/>
      <c r="Q376" s="66" t="str">
        <f aca="false">IF(ISBLANK($C376),"",IF(E376=Constants!$B$2, TRUE(), IF(E376=Constants!$B$3, FALSE(), TRUE())))</f>
        <v/>
      </c>
      <c r="R376" s="66" t="str">
        <f aca="false">IF(ISBLANK($C376),"",IF(F376=Constants!$B$16,Constants!$B$9,IF(F376=Constants!$B$17,Constants!$B$10,Constants!$B$8)))</f>
        <v/>
      </c>
      <c r="S376" s="66" t="str">
        <f aca="false">IF(ISBLANK($C376),"",IF(COUNTA(G376:H376)=0,"",IF(AND(OR(ISBLANK(G376),AND(ISNUMBER(G376),G376&gt;=0)),OR(ISBLANK(H376),AND(ISNUMBER(H376),H376&gt;=0))),60*IF(ISBLANK(G376),0,G376)+IF(ISBLANK(H376),0,H376),"")))</f>
        <v/>
      </c>
      <c r="T376" s="66" t="str">
        <f aca="false">IF(ISBLANK($C376),"",IF(I376=Constants!$B$2, TRUE(), IF(I376=Constants!$B$3, FALSE(), TRUE())))</f>
        <v/>
      </c>
      <c r="U376" s="66" t="str">
        <f aca="false">IF(ISBLANK($C376),"",IF(J376=Constants!$B$2, TRUE(), IF(J376=Constants!$B$3, FALSE(), TRUE())))</f>
        <v/>
      </c>
      <c r="V376" s="66" t="str">
        <f aca="false">IF(ISBLANK($C376),"",IF(COUNTA(K376:L376)=0,"",IF(AND(OR(ISBLANK(K376),AND(ISNUMBER(K376),K376&gt;=0)),OR(ISBLANK(L376),AND(ISNUMBER(L376),L376&gt;=0))),60*IF(ISBLANK(K376),0,K376)+IF(ISBLANK(L376),0,L376),"")))</f>
        <v/>
      </c>
      <c r="W376" s="66" t="str">
        <f aca="false">IF(ISBLANK($C376),"",IF(M376=Constants!$B$2, TRUE(), IF(M376=Constants!$B$3, FALSE(), TRUE())))</f>
        <v/>
      </c>
      <c r="X376" s="66" t="str">
        <f aca="false">IF(ISBLANK($C376),"",IF(N376=Constants!$B$2, TRUE(), IF(N376=Constants!$B$3, FALSE(), TRUE())))</f>
        <v/>
      </c>
      <c r="Y376" s="66" t="str">
        <f aca="false">IF(ISBLANK($C376),"",IF(O376=Constants!$B$2, TRUE(), IF(O376=Constants!$B$3, FALSE(), FALSE())))</f>
        <v/>
      </c>
      <c r="Z376" s="66" t="str">
        <f aca="false">IF(ISBLANK($C376),"",AND(S376&lt;&gt;"",Q376))</f>
        <v/>
      </c>
      <c r="AA376" s="66" t="str">
        <f aca="false">IF(ISBLANK($C376),"",AND(V376&lt;&gt;"",Q376))</f>
        <v/>
      </c>
      <c r="AB376" s="66" t="str">
        <f aca="false">IF(ISBLANK($C376),"",IF(Y376,Constants!$B$4,IF(COUNTA(E376:N376)=0,Constants!$B$5,IF(NOT(Q376),Constants!$B$6,IF(AND(NOT(Z376),NOT(AA376)),Constants!$B$6,Constants!$B$7)))))</f>
        <v/>
      </c>
      <c r="AC376" s="66" t="str">
        <f aca="false">IF(ISBLANK($C376),"",IF($AB376&lt;&gt;Constants!$B$7,$AB376,Constants!$B$20))</f>
        <v/>
      </c>
      <c r="AD376" s="66" t="str">
        <f aca="false">IF($AB376=Constants!$B$7,IF(Z376,S376,Constants!$B$13),"")</f>
        <v/>
      </c>
      <c r="AE376" s="66" t="str">
        <f aca="false">IF($AB376=Constants!$B$7,IF(Z376,R376*IF(T376, 1, Constants!$B$11)*IF(U376, 1, Constants!$B$12),Constants!$B$13),"")</f>
        <v/>
      </c>
      <c r="AF376" s="66" t="str">
        <f aca="false">IF($AB376=Constants!$B$7,AD376*AE376,"")</f>
        <v/>
      </c>
      <c r="AG376" s="66" t="str">
        <f aca="false">IF($AB376=Constants!$B$7,IF(AA376,V376,Constants!$B$13),"")</f>
        <v/>
      </c>
      <c r="AH376" s="66" t="str">
        <f aca="false">IF($AB376=Constants!$B$7,IF(AA376,R376*IF(W376, 1, Constants!$B$11)*IF(X376, 1, Constants!$B$12),Constants!$B$13),"")</f>
        <v/>
      </c>
      <c r="AI376" s="66" t="str">
        <f aca="false">IF($AB376=Constants!$B$7,AG376*AH376,"")</f>
        <v/>
      </c>
      <c r="AJ376" s="66" t="str">
        <f aca="false">IF($AB376=Constants!$B$7,IF(AI376&gt;AF376,2,1),"")</f>
        <v/>
      </c>
      <c r="AK376" s="66" t="str">
        <f aca="false">IF($AB376=Constants!$B$7,IF(AJ376=1,2,1),"")</f>
        <v/>
      </c>
      <c r="AL376" s="66" t="str">
        <f aca="false">IF(ISBLANK($C376),"",IF($AB376&lt;&gt;Constants!$B$7,$AB376,IF(AJ376=1,AF376,AI376)))</f>
        <v/>
      </c>
      <c r="AM376" s="66" t="str">
        <f aca="false">IF(ISBLANK($C376),"",IF($AB376=Constants!$B$7,IF(ISNUMBER(AL376),RANK(AL376,$AL$8:$AL$507),Constants!$B$14),$AB376))</f>
        <v/>
      </c>
      <c r="AN376" s="66" t="str">
        <f aca="false">IF(ISBLANK($C376),"",IF($AB376=Constants!$B$7,IF(AK376=1,AF376,AI376),""))</f>
        <v/>
      </c>
      <c r="AO376" s="66" t="str">
        <f aca="false">IF(ISBLANK($C376),"",IF($AB376=Constants!$B$7,RANK(AN376,$AN$8:$AN$507),$AB376))</f>
        <v/>
      </c>
      <c r="AP376" s="66" t="str">
        <f aca="false">IF(ISBLANK($C376),"",IF($AB376=Constants!$B$7,IF(ISNUMBER(AM376),COUNTIFS($AM$8:$AM$507,"&lt;"&amp;$AM376)+COUNTIFS($AM$8:$AM$507,$AM376,$AO$8:$AO$507,"&lt;"&amp;$AO376)+1,Constants!$B$14),$AB376))</f>
        <v/>
      </c>
      <c r="AQ376" s="66" t="str">
        <f aca="false">IF(ISBLANK($C376),"",IF($AB376=Constants!$B$7,IF(ISNUMBER(AM376),AM376-AP376,Constants!$B$14),$AB376))</f>
        <v/>
      </c>
      <c r="AR376" s="68"/>
      <c r="AS376" s="69" t="str">
        <f aca="false">IF(ISBLANK($C376),"",IF($AB376&lt;&gt;Constants!$B$7,"",AJ376))</f>
        <v/>
      </c>
      <c r="AT376" s="84" t="str">
        <f aca="false">IF(ISBLANK($C376),"",IF($AB376&lt;&gt;Constants!$B$7,"",IF(AJ376=1,AD376,AG376)))</f>
        <v/>
      </c>
      <c r="AU376" s="71" t="str">
        <f aca="false">IF(ISBLANK($C376),"",IF($AB376&lt;&gt;Constants!$B$7,"",IF(AJ376=1,AE376,AH376)))</f>
        <v/>
      </c>
      <c r="AV376" s="72" t="str">
        <f aca="false">IF(ISBLANK($C376),"",IF($AB376&lt;&gt;Constants!$B$7,$AB376,AL376))</f>
        <v/>
      </c>
      <c r="AW376" s="73" t="str">
        <f aca="false">IF(ISBLANK($C376),"",IF($AB376&lt;&gt;Constants!$B$7,$AB376,AC376))</f>
        <v/>
      </c>
      <c r="AX376" s="74" t="str">
        <f aca="false">IF(ISBLANK($C376),"",AQ376)</f>
        <v/>
      </c>
      <c r="AY376" s="74" t="str">
        <f aca="false">IF(ISBLANK($C376),"",AP376)</f>
        <v/>
      </c>
      <c r="AZ376" s="75" t="str">
        <f aca="false">IF(ISBLANK($C376),"",IF(AY376=Constants!$B$4,COUNTA($C$8:$C$507)+2,IF(AY376=Constants!$B$5,COUNTA($C$8:$C$507)+1,IF(AY376=Constants!$B$6,COUNTA($C$8:$C$507),AY376))))</f>
        <v/>
      </c>
      <c r="BA376" s="5"/>
      <c r="BB376" s="76" t="n">
        <f aca="false">IF(OR(ISNUMBER(AY376),AY376=Constants!$B$4,AY376=Constants!$B$6,AY376=Constants!$B$5),1,0)</f>
        <v>0</v>
      </c>
      <c r="BC376" s="76" t="n">
        <v>369</v>
      </c>
      <c r="BD376" s="76" t="str">
        <f aca="false">IF(ISBLANK($C376),"",IF(ISNUMBER(AZ376),AZ376+ROW($B376)/1000,""))</f>
        <v/>
      </c>
      <c r="BE376" s="76" t="str">
        <f aca="false">IF(ISNUMBER(BD376),RANK(BD376,$BD$8:$BD$507,1),"")</f>
        <v/>
      </c>
      <c r="BF376" s="76" t="str">
        <f aca="false">IF(ISBLANK($C376),"",$B376)</f>
        <v/>
      </c>
      <c r="BG376" s="76" t="str">
        <f aca="false">IF(ISBLANK($C376),"",$C376)</f>
        <v/>
      </c>
      <c r="BH376" s="76" t="str">
        <f aca="false">IF(ISBLANK($C376),"",$D376)</f>
        <v/>
      </c>
      <c r="BI376" s="77" t="str">
        <f aca="false">AW376</f>
        <v/>
      </c>
      <c r="BJ376" s="78" t="str">
        <f aca="false">AV376</f>
        <v/>
      </c>
      <c r="BK376" s="76" t="str">
        <f aca="false">IF(ISBLANK($C376),"",AY376)</f>
        <v/>
      </c>
      <c r="BL376" s="79" t="str">
        <f aca="false">IF($BC376&gt;$BB$7,"",VLOOKUP($BC376,$BE$8:$BK$507,7,FALSE()))</f>
        <v/>
      </c>
      <c r="BM376" s="80" t="str">
        <f aca="false">IF($BC376&gt;$BB$7,"",VLOOKUP($BC376,$BE$8:$BK$507,2,FALSE()))</f>
        <v/>
      </c>
      <c r="BN376" s="80" t="str">
        <f aca="false">IF($BC376&gt;$BB$7,"",VLOOKUP($BC376,$BE$8:$BK$507,3,FALSE()))</f>
        <v/>
      </c>
      <c r="BO376" s="80" t="str">
        <f aca="false">IF($BC376&gt;$BB$7,"",VLOOKUP($BC376,$BE$8:$BK$507,4,FALSE()))</f>
        <v/>
      </c>
      <c r="BP376" s="80" t="str">
        <f aca="false">IF($BC376&gt;$BB$7,"",VLOOKUP($BC376,$BE$8:$BK$507,5,FALSE()))</f>
        <v/>
      </c>
      <c r="BQ376" s="81" t="str">
        <f aca="false">IF($BC376&gt;$BB$7,"",VLOOKUP($BC376,$BE$8:$BK$507,6,FALSE()))</f>
        <v/>
      </c>
      <c r="BR376" s="54"/>
    </row>
    <row r="377" customFormat="false" ht="15.75" hidden="false" customHeight="false" outlineLevel="0" collapsed="false">
      <c r="A377" s="5"/>
      <c r="B377" s="120"/>
      <c r="C377" s="121"/>
      <c r="D377" s="112"/>
      <c r="E377" s="123"/>
      <c r="F377" s="91"/>
      <c r="G377" s="92"/>
      <c r="H377" s="93"/>
      <c r="I377" s="94"/>
      <c r="J377" s="91"/>
      <c r="K377" s="92"/>
      <c r="L377" s="93"/>
      <c r="M377" s="94"/>
      <c r="N377" s="91"/>
      <c r="O377" s="123"/>
      <c r="P377" s="96"/>
      <c r="Q377" s="97" t="str">
        <f aca="false">IF(ISBLANK($C377),"",IF(E377=Constants!$B$2, TRUE(), IF(E377=Constants!$B$3, FALSE(), TRUE())))</f>
        <v/>
      </c>
      <c r="R377" s="97" t="str">
        <f aca="false">IF(ISBLANK($C377),"",IF(F377=Constants!$B$16,Constants!$B$9,IF(F377=Constants!$B$17,Constants!$B$10,Constants!$B$8)))</f>
        <v/>
      </c>
      <c r="S377" s="97" t="str">
        <f aca="false">IF(ISBLANK($C377),"",IF(COUNTA(G377:H377)=0,"",IF(AND(OR(ISBLANK(G377),AND(ISNUMBER(G377),G377&gt;=0)),OR(ISBLANK(H377),AND(ISNUMBER(H377),H377&gt;=0))),60*IF(ISBLANK(G377),0,G377)+IF(ISBLANK(H377),0,H377),"")))</f>
        <v/>
      </c>
      <c r="T377" s="97" t="str">
        <f aca="false">IF(ISBLANK($C377),"",IF(I377=Constants!$B$2, TRUE(), IF(I377=Constants!$B$3, FALSE(), TRUE())))</f>
        <v/>
      </c>
      <c r="U377" s="97" t="str">
        <f aca="false">IF(ISBLANK($C377),"",IF(J377=Constants!$B$2, TRUE(), IF(J377=Constants!$B$3, FALSE(), TRUE())))</f>
        <v/>
      </c>
      <c r="V377" s="97" t="str">
        <f aca="false">IF(ISBLANK($C377),"",IF(COUNTA(K377:L377)=0,"",IF(AND(OR(ISBLANK(K377),AND(ISNUMBER(K377),K377&gt;=0)),OR(ISBLANK(L377),AND(ISNUMBER(L377),L377&gt;=0))),60*IF(ISBLANK(K377),0,K377)+IF(ISBLANK(L377),0,L377),"")))</f>
        <v/>
      </c>
      <c r="W377" s="97" t="str">
        <f aca="false">IF(ISBLANK($C377),"",IF(M377=Constants!$B$2, TRUE(), IF(M377=Constants!$B$3, FALSE(), TRUE())))</f>
        <v/>
      </c>
      <c r="X377" s="97" t="str">
        <f aca="false">IF(ISBLANK($C377),"",IF(N377=Constants!$B$2, TRUE(), IF(N377=Constants!$B$3, FALSE(), TRUE())))</f>
        <v/>
      </c>
      <c r="Y377" s="97" t="str">
        <f aca="false">IF(ISBLANK($C377),"",IF(O377=Constants!$B$2, TRUE(), IF(O377=Constants!$B$3, FALSE(), FALSE())))</f>
        <v/>
      </c>
      <c r="Z377" s="97" t="str">
        <f aca="false">IF(ISBLANK($C377),"",AND(S377&lt;&gt;"",Q377))</f>
        <v/>
      </c>
      <c r="AA377" s="97" t="str">
        <f aca="false">IF(ISBLANK($C377),"",AND(V377&lt;&gt;"",Q377))</f>
        <v/>
      </c>
      <c r="AB377" s="97" t="str">
        <f aca="false">IF(ISBLANK($C377),"",IF(Y377,Constants!$B$4,IF(COUNTA(E377:N377)=0,Constants!$B$5,IF(NOT(Q377),Constants!$B$6,IF(AND(NOT(Z377),NOT(AA377)),Constants!$B$6,Constants!$B$7)))))</f>
        <v/>
      </c>
      <c r="AC377" s="97" t="str">
        <f aca="false">IF(ISBLANK($C377),"",IF($AB377&lt;&gt;Constants!$B$7,$AB377,Constants!$B$20))</f>
        <v/>
      </c>
      <c r="AD377" s="97" t="str">
        <f aca="false">IF($AB377=Constants!$B$7,IF(Z377,S377,Constants!$B$13),"")</f>
        <v/>
      </c>
      <c r="AE377" s="97" t="str">
        <f aca="false">IF($AB377=Constants!$B$7,IF(Z377,R377*IF(T377, 1, Constants!$B$11)*IF(U377, 1, Constants!$B$12),Constants!$B$13),"")</f>
        <v/>
      </c>
      <c r="AF377" s="97" t="str">
        <f aca="false">IF($AB377=Constants!$B$7,AD377*AE377,"")</f>
        <v/>
      </c>
      <c r="AG377" s="97" t="str">
        <f aca="false">IF($AB377=Constants!$B$7,IF(AA377,V377,Constants!$B$13),"")</f>
        <v/>
      </c>
      <c r="AH377" s="97" t="str">
        <f aca="false">IF($AB377=Constants!$B$7,IF(AA377,R377*IF(W377, 1, Constants!$B$11)*IF(X377, 1, Constants!$B$12),Constants!$B$13),"")</f>
        <v/>
      </c>
      <c r="AI377" s="97" t="str">
        <f aca="false">IF($AB377=Constants!$B$7,AG377*AH377,"")</f>
        <v/>
      </c>
      <c r="AJ377" s="97" t="str">
        <f aca="false">IF($AB377=Constants!$B$7,IF(AI377&gt;AF377,2,1),"")</f>
        <v/>
      </c>
      <c r="AK377" s="97" t="str">
        <f aca="false">IF($AB377=Constants!$B$7,IF(AJ377=1,2,1),"")</f>
        <v/>
      </c>
      <c r="AL377" s="97" t="str">
        <f aca="false">IF(ISBLANK($C377),"",IF($AB377&lt;&gt;Constants!$B$7,$AB377,IF(AJ377=1,AF377,AI377)))</f>
        <v/>
      </c>
      <c r="AM377" s="97" t="str">
        <f aca="false">IF(ISBLANK($C377),"",IF($AB377=Constants!$B$7,IF(ISNUMBER(AL377),RANK(AL377,$AL$8:$AL$507),Constants!$B$14),$AB377))</f>
        <v/>
      </c>
      <c r="AN377" s="97" t="str">
        <f aca="false">IF(ISBLANK($C377),"",IF($AB377=Constants!$B$7,IF(AK377=1,AF377,AI377),""))</f>
        <v/>
      </c>
      <c r="AO377" s="97" t="str">
        <f aca="false">IF(ISBLANK($C377),"",IF($AB377=Constants!$B$7,RANK(AN377,$AN$8:$AN$507),$AB377))</f>
        <v/>
      </c>
      <c r="AP377" s="97" t="str">
        <f aca="false">IF(ISBLANK($C377),"",IF($AB377=Constants!$B$7,IF(ISNUMBER(AM377),COUNTIFS($AM$8:$AM$507,"&lt;"&amp;$AM377)+COUNTIFS($AM$8:$AM$507,$AM377,$AO$8:$AO$507,"&lt;"&amp;$AO377)+1,Constants!$B$14),$AB377))</f>
        <v/>
      </c>
      <c r="AQ377" s="97" t="str">
        <f aca="false">IF(ISBLANK($C377),"",IF($AB377=Constants!$B$7,IF(ISNUMBER(AM377),AM377-AP377,Constants!$B$14),$AB377))</f>
        <v/>
      </c>
      <c r="AR377" s="98"/>
      <c r="AS377" s="99" t="str">
        <f aca="false">IF(ISBLANK($C377),"",IF($AB377&lt;&gt;Constants!$B$7,"",AJ377))</f>
        <v/>
      </c>
      <c r="AT377" s="100" t="str">
        <f aca="false">IF(ISBLANK($C377),"",IF($AB377&lt;&gt;Constants!$B$7,"",IF(AJ377=1,AD377,AG377)))</f>
        <v/>
      </c>
      <c r="AU377" s="101" t="str">
        <f aca="false">IF(ISBLANK($C377),"",IF($AB377&lt;&gt;Constants!$B$7,"",IF(AJ377=1,AE377,AH377)))</f>
        <v/>
      </c>
      <c r="AV377" s="102" t="str">
        <f aca="false">IF(ISBLANK($C377),"",IF($AB377&lt;&gt;Constants!$B$7,$AB377,AL377))</f>
        <v/>
      </c>
      <c r="AW377" s="103" t="str">
        <f aca="false">IF(ISBLANK($C377),"",IF($AB377&lt;&gt;Constants!$B$7,$AB377,AC377))</f>
        <v/>
      </c>
      <c r="AX377" s="104" t="str">
        <f aca="false">IF(ISBLANK($C377),"",AQ377)</f>
        <v/>
      </c>
      <c r="AY377" s="104" t="str">
        <f aca="false">IF(ISBLANK($C377),"",AP377)</f>
        <v/>
      </c>
      <c r="AZ377" s="105" t="str">
        <f aca="false">IF(ISBLANK($C377),"",IF(AY377=Constants!$B$4,COUNTA($C$8:$C$507)+2,IF(AY377=Constants!$B$5,COUNTA($C$8:$C$507)+1,IF(AY377=Constants!$B$6,COUNTA($C$8:$C$507),AY377))))</f>
        <v/>
      </c>
      <c r="BA377" s="5"/>
      <c r="BB377" s="106" t="n">
        <f aca="false">IF(OR(ISNUMBER(AY377),AY377=Constants!$B$4,AY377=Constants!$B$6,AY377=Constants!$B$5),1,0)</f>
        <v>0</v>
      </c>
      <c r="BC377" s="106" t="n">
        <v>370</v>
      </c>
      <c r="BD377" s="106" t="str">
        <f aca="false">IF(ISBLANK($C377),"",IF(ISNUMBER(AZ377),AZ377+ROW($B377)/1000,""))</f>
        <v/>
      </c>
      <c r="BE377" s="106" t="str">
        <f aca="false">IF(ISNUMBER(BD377),RANK(BD377,$BD$8:$BD$507,1),"")</f>
        <v/>
      </c>
      <c r="BF377" s="106" t="str">
        <f aca="false">IF(ISBLANK($C377),"",$B377)</f>
        <v/>
      </c>
      <c r="BG377" s="106" t="str">
        <f aca="false">IF(ISBLANK($C377),"",$C377)</f>
        <v/>
      </c>
      <c r="BH377" s="106" t="str">
        <f aca="false">IF(ISBLANK($C377),"",$D377)</f>
        <v/>
      </c>
      <c r="BI377" s="107" t="str">
        <f aca="false">AW377</f>
        <v/>
      </c>
      <c r="BJ377" s="108" t="str">
        <f aca="false">AV377</f>
        <v/>
      </c>
      <c r="BK377" s="106" t="str">
        <f aca="false">IF(ISBLANK($C377),"",AY377)</f>
        <v/>
      </c>
      <c r="BL377" s="109" t="str">
        <f aca="false">IF($BC377&gt;$BB$7,"",VLOOKUP($BC377,$BE$8:$BK$507,7,FALSE()))</f>
        <v/>
      </c>
      <c r="BM377" s="110" t="str">
        <f aca="false">IF($BC377&gt;$BB$7,"",VLOOKUP($BC377,$BE$8:$BK$507,2,FALSE()))</f>
        <v/>
      </c>
      <c r="BN377" s="110" t="str">
        <f aca="false">IF($BC377&gt;$BB$7,"",VLOOKUP($BC377,$BE$8:$BK$507,3,FALSE()))</f>
        <v/>
      </c>
      <c r="BO377" s="110" t="str">
        <f aca="false">IF($BC377&gt;$BB$7,"",VLOOKUP($BC377,$BE$8:$BK$507,4,FALSE()))</f>
        <v/>
      </c>
      <c r="BP377" s="110" t="str">
        <f aca="false">IF($BC377&gt;$BB$7,"",VLOOKUP($BC377,$BE$8:$BK$507,5,FALSE()))</f>
        <v/>
      </c>
      <c r="BQ377" s="111" t="str">
        <f aca="false">IF($BC377&gt;$BB$7,"",VLOOKUP($BC377,$BE$8:$BK$507,6,FALSE()))</f>
        <v/>
      </c>
      <c r="BR377" s="54"/>
    </row>
    <row r="378" customFormat="false" ht="15.75" hidden="false" customHeight="false" outlineLevel="0" collapsed="false">
      <c r="A378" s="5"/>
      <c r="B378" s="120"/>
      <c r="C378" s="121"/>
      <c r="D378" s="112"/>
      <c r="E378" s="123"/>
      <c r="F378" s="91"/>
      <c r="G378" s="92"/>
      <c r="H378" s="93"/>
      <c r="I378" s="94"/>
      <c r="J378" s="91"/>
      <c r="K378" s="92"/>
      <c r="L378" s="93"/>
      <c r="M378" s="94"/>
      <c r="N378" s="91"/>
      <c r="O378" s="123"/>
      <c r="P378" s="96"/>
      <c r="Q378" s="97" t="str">
        <f aca="false">IF(ISBLANK($C378),"",IF(E378=Constants!$B$2, TRUE(), IF(E378=Constants!$B$3, FALSE(), TRUE())))</f>
        <v/>
      </c>
      <c r="R378" s="97" t="str">
        <f aca="false">IF(ISBLANK($C378),"",IF(F378=Constants!$B$16,Constants!$B$9,IF(F378=Constants!$B$17,Constants!$B$10,Constants!$B$8)))</f>
        <v/>
      </c>
      <c r="S378" s="97" t="str">
        <f aca="false">IF(ISBLANK($C378),"",IF(COUNTA(G378:H378)=0,"",IF(AND(OR(ISBLANK(G378),AND(ISNUMBER(G378),G378&gt;=0)),OR(ISBLANK(H378),AND(ISNUMBER(H378),H378&gt;=0))),60*IF(ISBLANK(G378),0,G378)+IF(ISBLANK(H378),0,H378),"")))</f>
        <v/>
      </c>
      <c r="T378" s="97" t="str">
        <f aca="false">IF(ISBLANK($C378),"",IF(I378=Constants!$B$2, TRUE(), IF(I378=Constants!$B$3, FALSE(), TRUE())))</f>
        <v/>
      </c>
      <c r="U378" s="97" t="str">
        <f aca="false">IF(ISBLANK($C378),"",IF(J378=Constants!$B$2, TRUE(), IF(J378=Constants!$B$3, FALSE(), TRUE())))</f>
        <v/>
      </c>
      <c r="V378" s="97" t="str">
        <f aca="false">IF(ISBLANK($C378),"",IF(COUNTA(K378:L378)=0,"",IF(AND(OR(ISBLANK(K378),AND(ISNUMBER(K378),K378&gt;=0)),OR(ISBLANK(L378),AND(ISNUMBER(L378),L378&gt;=0))),60*IF(ISBLANK(K378),0,K378)+IF(ISBLANK(L378),0,L378),"")))</f>
        <v/>
      </c>
      <c r="W378" s="97" t="str">
        <f aca="false">IF(ISBLANK($C378),"",IF(M378=Constants!$B$2, TRUE(), IF(M378=Constants!$B$3, FALSE(), TRUE())))</f>
        <v/>
      </c>
      <c r="X378" s="97" t="str">
        <f aca="false">IF(ISBLANK($C378),"",IF(N378=Constants!$B$2, TRUE(), IF(N378=Constants!$B$3, FALSE(), TRUE())))</f>
        <v/>
      </c>
      <c r="Y378" s="97" t="str">
        <f aca="false">IF(ISBLANK($C378),"",IF(O378=Constants!$B$2, TRUE(), IF(O378=Constants!$B$3, FALSE(), FALSE())))</f>
        <v/>
      </c>
      <c r="Z378" s="97" t="str">
        <f aca="false">IF(ISBLANK($C378),"",AND(S378&lt;&gt;"",Q378))</f>
        <v/>
      </c>
      <c r="AA378" s="97" t="str">
        <f aca="false">IF(ISBLANK($C378),"",AND(V378&lt;&gt;"",Q378))</f>
        <v/>
      </c>
      <c r="AB378" s="97" t="str">
        <f aca="false">IF(ISBLANK($C378),"",IF(Y378,Constants!$B$4,IF(COUNTA(E378:N378)=0,Constants!$B$5,IF(NOT(Q378),Constants!$B$6,IF(AND(NOT(Z378),NOT(AA378)),Constants!$B$6,Constants!$B$7)))))</f>
        <v/>
      </c>
      <c r="AC378" s="97" t="str">
        <f aca="false">IF(ISBLANK($C378),"",IF($AB378&lt;&gt;Constants!$B$7,$AB378,Constants!$B$20))</f>
        <v/>
      </c>
      <c r="AD378" s="97" t="str">
        <f aca="false">IF($AB378=Constants!$B$7,IF(Z378,S378,Constants!$B$13),"")</f>
        <v/>
      </c>
      <c r="AE378" s="97" t="str">
        <f aca="false">IF($AB378=Constants!$B$7,IF(Z378,R378*IF(T378, 1, Constants!$B$11)*IF(U378, 1, Constants!$B$12),Constants!$B$13),"")</f>
        <v/>
      </c>
      <c r="AF378" s="97" t="str">
        <f aca="false">IF($AB378=Constants!$B$7,AD378*AE378,"")</f>
        <v/>
      </c>
      <c r="AG378" s="97" t="str">
        <f aca="false">IF($AB378=Constants!$B$7,IF(AA378,V378,Constants!$B$13),"")</f>
        <v/>
      </c>
      <c r="AH378" s="97" t="str">
        <f aca="false">IF($AB378=Constants!$B$7,IF(AA378,R378*IF(W378, 1, Constants!$B$11)*IF(X378, 1, Constants!$B$12),Constants!$B$13),"")</f>
        <v/>
      </c>
      <c r="AI378" s="97" t="str">
        <f aca="false">IF($AB378=Constants!$B$7,AG378*AH378,"")</f>
        <v/>
      </c>
      <c r="AJ378" s="97" t="str">
        <f aca="false">IF($AB378=Constants!$B$7,IF(AI378&gt;AF378,2,1),"")</f>
        <v/>
      </c>
      <c r="AK378" s="97" t="str">
        <f aca="false">IF($AB378=Constants!$B$7,IF(AJ378=1,2,1),"")</f>
        <v/>
      </c>
      <c r="AL378" s="97" t="str">
        <f aca="false">IF(ISBLANK($C378),"",IF($AB378&lt;&gt;Constants!$B$7,$AB378,IF(AJ378=1,AF378,AI378)))</f>
        <v/>
      </c>
      <c r="AM378" s="97" t="str">
        <f aca="false">IF(ISBLANK($C378),"",IF($AB378=Constants!$B$7,IF(ISNUMBER(AL378),RANK(AL378,$AL$8:$AL$507),Constants!$B$14),$AB378))</f>
        <v/>
      </c>
      <c r="AN378" s="97" t="str">
        <f aca="false">IF(ISBLANK($C378),"",IF($AB378=Constants!$B$7,IF(AK378=1,AF378,AI378),""))</f>
        <v/>
      </c>
      <c r="AO378" s="97" t="str">
        <f aca="false">IF(ISBLANK($C378),"",IF($AB378=Constants!$B$7,RANK(AN378,$AN$8:$AN$507),$AB378))</f>
        <v/>
      </c>
      <c r="AP378" s="97" t="str">
        <f aca="false">IF(ISBLANK($C378),"",IF($AB378=Constants!$B$7,IF(ISNUMBER(AM378),COUNTIFS($AM$8:$AM$507,"&lt;"&amp;$AM378)+COUNTIFS($AM$8:$AM$507,$AM378,$AO$8:$AO$507,"&lt;"&amp;$AO378)+1,Constants!$B$14),$AB378))</f>
        <v/>
      </c>
      <c r="AQ378" s="97" t="str">
        <f aca="false">IF(ISBLANK($C378),"",IF($AB378=Constants!$B$7,IF(ISNUMBER(AM378),AM378-AP378,Constants!$B$14),$AB378))</f>
        <v/>
      </c>
      <c r="AR378" s="98"/>
      <c r="AS378" s="99" t="str">
        <f aca="false">IF(ISBLANK($C378),"",IF($AB378&lt;&gt;Constants!$B$7,"",AJ378))</f>
        <v/>
      </c>
      <c r="AT378" s="100" t="str">
        <f aca="false">IF(ISBLANK($C378),"",IF($AB378&lt;&gt;Constants!$B$7,"",IF(AJ378=1,AD378,AG378)))</f>
        <v/>
      </c>
      <c r="AU378" s="101" t="str">
        <f aca="false">IF(ISBLANK($C378),"",IF($AB378&lt;&gt;Constants!$B$7,"",IF(AJ378=1,AE378,AH378)))</f>
        <v/>
      </c>
      <c r="AV378" s="102" t="str">
        <f aca="false">IF(ISBLANK($C378),"",IF($AB378&lt;&gt;Constants!$B$7,$AB378,AL378))</f>
        <v/>
      </c>
      <c r="AW378" s="103" t="str">
        <f aca="false">IF(ISBLANK($C378),"",IF($AB378&lt;&gt;Constants!$B$7,$AB378,AC378))</f>
        <v/>
      </c>
      <c r="AX378" s="104" t="str">
        <f aca="false">IF(ISBLANK($C378),"",AQ378)</f>
        <v/>
      </c>
      <c r="AY378" s="104" t="str">
        <f aca="false">IF(ISBLANK($C378),"",AP378)</f>
        <v/>
      </c>
      <c r="AZ378" s="105" t="str">
        <f aca="false">IF(ISBLANK($C378),"",IF(AY378=Constants!$B$4,COUNTA($C$8:$C$507)+2,IF(AY378=Constants!$B$5,COUNTA($C$8:$C$507)+1,IF(AY378=Constants!$B$6,COUNTA($C$8:$C$507),AY378))))</f>
        <v/>
      </c>
      <c r="BA378" s="5"/>
      <c r="BB378" s="106" t="n">
        <f aca="false">IF(OR(ISNUMBER(AY378),AY378=Constants!$B$4,AY378=Constants!$B$6,AY378=Constants!$B$5),1,0)</f>
        <v>0</v>
      </c>
      <c r="BC378" s="106" t="n">
        <v>371</v>
      </c>
      <c r="BD378" s="106" t="str">
        <f aca="false">IF(ISBLANK($C378),"",IF(ISNUMBER(AZ378),AZ378+ROW($B378)/1000,""))</f>
        <v/>
      </c>
      <c r="BE378" s="106" t="str">
        <f aca="false">IF(ISNUMBER(BD378),RANK(BD378,$BD$8:$BD$507,1),"")</f>
        <v/>
      </c>
      <c r="BF378" s="106" t="str">
        <f aca="false">IF(ISBLANK($C378),"",$B378)</f>
        <v/>
      </c>
      <c r="BG378" s="106" t="str">
        <f aca="false">IF(ISBLANK($C378),"",$C378)</f>
        <v/>
      </c>
      <c r="BH378" s="106" t="str">
        <f aca="false">IF(ISBLANK($C378),"",$D378)</f>
        <v/>
      </c>
      <c r="BI378" s="107" t="str">
        <f aca="false">AW378</f>
        <v/>
      </c>
      <c r="BJ378" s="108" t="str">
        <f aca="false">AV378</f>
        <v/>
      </c>
      <c r="BK378" s="106" t="str">
        <f aca="false">IF(ISBLANK($C378),"",AY378)</f>
        <v/>
      </c>
      <c r="BL378" s="109" t="str">
        <f aca="false">IF($BC378&gt;$BB$7,"",VLOOKUP($BC378,$BE$8:$BK$507,7,FALSE()))</f>
        <v/>
      </c>
      <c r="BM378" s="110" t="str">
        <f aca="false">IF($BC378&gt;$BB$7,"",VLOOKUP($BC378,$BE$8:$BK$507,2,FALSE()))</f>
        <v/>
      </c>
      <c r="BN378" s="110" t="str">
        <f aca="false">IF($BC378&gt;$BB$7,"",VLOOKUP($BC378,$BE$8:$BK$507,3,FALSE()))</f>
        <v/>
      </c>
      <c r="BO378" s="110" t="str">
        <f aca="false">IF($BC378&gt;$BB$7,"",VLOOKUP($BC378,$BE$8:$BK$507,4,FALSE()))</f>
        <v/>
      </c>
      <c r="BP378" s="110" t="str">
        <f aca="false">IF($BC378&gt;$BB$7,"",VLOOKUP($BC378,$BE$8:$BK$507,5,FALSE()))</f>
        <v/>
      </c>
      <c r="BQ378" s="111" t="str">
        <f aca="false">IF($BC378&gt;$BB$7,"",VLOOKUP($BC378,$BE$8:$BK$507,6,FALSE()))</f>
        <v/>
      </c>
      <c r="BR378" s="54"/>
    </row>
    <row r="379" customFormat="false" ht="15.75" hidden="false" customHeight="false" outlineLevel="0" collapsed="false">
      <c r="A379" s="5"/>
      <c r="B379" s="120"/>
      <c r="C379" s="121"/>
      <c r="D379" s="112"/>
      <c r="E379" s="123"/>
      <c r="F379" s="91"/>
      <c r="G379" s="92"/>
      <c r="H379" s="93"/>
      <c r="I379" s="94"/>
      <c r="J379" s="91"/>
      <c r="K379" s="92"/>
      <c r="L379" s="93"/>
      <c r="M379" s="94"/>
      <c r="N379" s="91"/>
      <c r="O379" s="123"/>
      <c r="P379" s="96"/>
      <c r="Q379" s="97" t="str">
        <f aca="false">IF(ISBLANK($C379),"",IF(E379=Constants!$B$2, TRUE(), IF(E379=Constants!$B$3, FALSE(), TRUE())))</f>
        <v/>
      </c>
      <c r="R379" s="97" t="str">
        <f aca="false">IF(ISBLANK($C379),"",IF(F379=Constants!$B$16,Constants!$B$9,IF(F379=Constants!$B$17,Constants!$B$10,Constants!$B$8)))</f>
        <v/>
      </c>
      <c r="S379" s="97" t="str">
        <f aca="false">IF(ISBLANK($C379),"",IF(COUNTA(G379:H379)=0,"",IF(AND(OR(ISBLANK(G379),AND(ISNUMBER(G379),G379&gt;=0)),OR(ISBLANK(H379),AND(ISNUMBER(H379),H379&gt;=0))),60*IF(ISBLANK(G379),0,G379)+IF(ISBLANK(H379),0,H379),"")))</f>
        <v/>
      </c>
      <c r="T379" s="97" t="str">
        <f aca="false">IF(ISBLANK($C379),"",IF(I379=Constants!$B$2, TRUE(), IF(I379=Constants!$B$3, FALSE(), TRUE())))</f>
        <v/>
      </c>
      <c r="U379" s="97" t="str">
        <f aca="false">IF(ISBLANK($C379),"",IF(J379=Constants!$B$2, TRUE(), IF(J379=Constants!$B$3, FALSE(), TRUE())))</f>
        <v/>
      </c>
      <c r="V379" s="97" t="str">
        <f aca="false">IF(ISBLANK($C379),"",IF(COUNTA(K379:L379)=0,"",IF(AND(OR(ISBLANK(K379),AND(ISNUMBER(K379),K379&gt;=0)),OR(ISBLANK(L379),AND(ISNUMBER(L379),L379&gt;=0))),60*IF(ISBLANK(K379),0,K379)+IF(ISBLANK(L379),0,L379),"")))</f>
        <v/>
      </c>
      <c r="W379" s="97" t="str">
        <f aca="false">IF(ISBLANK($C379),"",IF(M379=Constants!$B$2, TRUE(), IF(M379=Constants!$B$3, FALSE(), TRUE())))</f>
        <v/>
      </c>
      <c r="X379" s="97" t="str">
        <f aca="false">IF(ISBLANK($C379),"",IF(N379=Constants!$B$2, TRUE(), IF(N379=Constants!$B$3, FALSE(), TRUE())))</f>
        <v/>
      </c>
      <c r="Y379" s="97" t="str">
        <f aca="false">IF(ISBLANK($C379),"",IF(O379=Constants!$B$2, TRUE(), IF(O379=Constants!$B$3, FALSE(), FALSE())))</f>
        <v/>
      </c>
      <c r="Z379" s="97" t="str">
        <f aca="false">IF(ISBLANK($C379),"",AND(S379&lt;&gt;"",Q379))</f>
        <v/>
      </c>
      <c r="AA379" s="97" t="str">
        <f aca="false">IF(ISBLANK($C379),"",AND(V379&lt;&gt;"",Q379))</f>
        <v/>
      </c>
      <c r="AB379" s="97" t="str">
        <f aca="false">IF(ISBLANK($C379),"",IF(Y379,Constants!$B$4,IF(COUNTA(E379:N379)=0,Constants!$B$5,IF(NOT(Q379),Constants!$B$6,IF(AND(NOT(Z379),NOT(AA379)),Constants!$B$6,Constants!$B$7)))))</f>
        <v/>
      </c>
      <c r="AC379" s="97" t="str">
        <f aca="false">IF(ISBLANK($C379),"",IF($AB379&lt;&gt;Constants!$B$7,$AB379,Constants!$B$20))</f>
        <v/>
      </c>
      <c r="AD379" s="97" t="str">
        <f aca="false">IF($AB379=Constants!$B$7,IF(Z379,S379,Constants!$B$13),"")</f>
        <v/>
      </c>
      <c r="AE379" s="97" t="str">
        <f aca="false">IF($AB379=Constants!$B$7,IF(Z379,R379*IF(T379, 1, Constants!$B$11)*IF(U379, 1, Constants!$B$12),Constants!$B$13),"")</f>
        <v/>
      </c>
      <c r="AF379" s="97" t="str">
        <f aca="false">IF($AB379=Constants!$B$7,AD379*AE379,"")</f>
        <v/>
      </c>
      <c r="AG379" s="97" t="str">
        <f aca="false">IF($AB379=Constants!$B$7,IF(AA379,V379,Constants!$B$13),"")</f>
        <v/>
      </c>
      <c r="AH379" s="97" t="str">
        <f aca="false">IF($AB379=Constants!$B$7,IF(AA379,R379*IF(W379, 1, Constants!$B$11)*IF(X379, 1, Constants!$B$12),Constants!$B$13),"")</f>
        <v/>
      </c>
      <c r="AI379" s="97" t="str">
        <f aca="false">IF($AB379=Constants!$B$7,AG379*AH379,"")</f>
        <v/>
      </c>
      <c r="AJ379" s="97" t="str">
        <f aca="false">IF($AB379=Constants!$B$7,IF(AI379&gt;AF379,2,1),"")</f>
        <v/>
      </c>
      <c r="AK379" s="97" t="str">
        <f aca="false">IF($AB379=Constants!$B$7,IF(AJ379=1,2,1),"")</f>
        <v/>
      </c>
      <c r="AL379" s="97" t="str">
        <f aca="false">IF(ISBLANK($C379),"",IF($AB379&lt;&gt;Constants!$B$7,$AB379,IF(AJ379=1,AF379,AI379)))</f>
        <v/>
      </c>
      <c r="AM379" s="97" t="str">
        <f aca="false">IF(ISBLANK($C379),"",IF($AB379=Constants!$B$7,IF(ISNUMBER(AL379),RANK(AL379,$AL$8:$AL$507),Constants!$B$14),$AB379))</f>
        <v/>
      </c>
      <c r="AN379" s="97" t="str">
        <f aca="false">IF(ISBLANK($C379),"",IF($AB379=Constants!$B$7,IF(AK379=1,AF379,AI379),""))</f>
        <v/>
      </c>
      <c r="AO379" s="97" t="str">
        <f aca="false">IF(ISBLANK($C379),"",IF($AB379=Constants!$B$7,RANK(AN379,$AN$8:$AN$507),$AB379))</f>
        <v/>
      </c>
      <c r="AP379" s="97" t="str">
        <f aca="false">IF(ISBLANK($C379),"",IF($AB379=Constants!$B$7,IF(ISNUMBER(AM379),COUNTIFS($AM$8:$AM$507,"&lt;"&amp;$AM379)+COUNTIFS($AM$8:$AM$507,$AM379,$AO$8:$AO$507,"&lt;"&amp;$AO379)+1,Constants!$B$14),$AB379))</f>
        <v/>
      </c>
      <c r="AQ379" s="97" t="str">
        <f aca="false">IF(ISBLANK($C379),"",IF($AB379=Constants!$B$7,IF(ISNUMBER(AM379),AM379-AP379,Constants!$B$14),$AB379))</f>
        <v/>
      </c>
      <c r="AR379" s="98"/>
      <c r="AS379" s="99" t="str">
        <f aca="false">IF(ISBLANK($C379),"",IF($AB379&lt;&gt;Constants!$B$7,"",AJ379))</f>
        <v/>
      </c>
      <c r="AT379" s="100" t="str">
        <f aca="false">IF(ISBLANK($C379),"",IF($AB379&lt;&gt;Constants!$B$7,"",IF(AJ379=1,AD379,AG379)))</f>
        <v/>
      </c>
      <c r="AU379" s="101" t="str">
        <f aca="false">IF(ISBLANK($C379),"",IF($AB379&lt;&gt;Constants!$B$7,"",IF(AJ379=1,AE379,AH379)))</f>
        <v/>
      </c>
      <c r="AV379" s="102" t="str">
        <f aca="false">IF(ISBLANK($C379),"",IF($AB379&lt;&gt;Constants!$B$7,$AB379,AL379))</f>
        <v/>
      </c>
      <c r="AW379" s="103" t="str">
        <f aca="false">IF(ISBLANK($C379),"",IF($AB379&lt;&gt;Constants!$B$7,$AB379,AC379))</f>
        <v/>
      </c>
      <c r="AX379" s="104" t="str">
        <f aca="false">IF(ISBLANK($C379),"",AQ379)</f>
        <v/>
      </c>
      <c r="AY379" s="104" t="str">
        <f aca="false">IF(ISBLANK($C379),"",AP379)</f>
        <v/>
      </c>
      <c r="AZ379" s="105" t="str">
        <f aca="false">IF(ISBLANK($C379),"",IF(AY379=Constants!$B$4,COUNTA($C$8:$C$507)+2,IF(AY379=Constants!$B$5,COUNTA($C$8:$C$507)+1,IF(AY379=Constants!$B$6,COUNTA($C$8:$C$507),AY379))))</f>
        <v/>
      </c>
      <c r="BA379" s="5"/>
      <c r="BB379" s="106" t="n">
        <f aca="false">IF(OR(ISNUMBER(AY379),AY379=Constants!$B$4,AY379=Constants!$B$6,AY379=Constants!$B$5),1,0)</f>
        <v>0</v>
      </c>
      <c r="BC379" s="106" t="n">
        <v>372</v>
      </c>
      <c r="BD379" s="106" t="str">
        <f aca="false">IF(ISBLANK($C379),"",IF(ISNUMBER(AZ379),AZ379+ROW($B379)/1000,""))</f>
        <v/>
      </c>
      <c r="BE379" s="106" t="str">
        <f aca="false">IF(ISNUMBER(BD379),RANK(BD379,$BD$8:$BD$507,1),"")</f>
        <v/>
      </c>
      <c r="BF379" s="106" t="str">
        <f aca="false">IF(ISBLANK($C379),"",$B379)</f>
        <v/>
      </c>
      <c r="BG379" s="106" t="str">
        <f aca="false">IF(ISBLANK($C379),"",$C379)</f>
        <v/>
      </c>
      <c r="BH379" s="106" t="str">
        <f aca="false">IF(ISBLANK($C379),"",$D379)</f>
        <v/>
      </c>
      <c r="BI379" s="107" t="str">
        <f aca="false">AW379</f>
        <v/>
      </c>
      <c r="BJ379" s="108" t="str">
        <f aca="false">AV379</f>
        <v/>
      </c>
      <c r="BK379" s="106" t="str">
        <f aca="false">IF(ISBLANK($C379),"",AY379)</f>
        <v/>
      </c>
      <c r="BL379" s="109" t="str">
        <f aca="false">IF($BC379&gt;$BB$7,"",VLOOKUP($BC379,$BE$8:$BK$507,7,FALSE()))</f>
        <v/>
      </c>
      <c r="BM379" s="110" t="str">
        <f aca="false">IF($BC379&gt;$BB$7,"",VLOOKUP($BC379,$BE$8:$BK$507,2,FALSE()))</f>
        <v/>
      </c>
      <c r="BN379" s="110" t="str">
        <f aca="false">IF($BC379&gt;$BB$7,"",VLOOKUP($BC379,$BE$8:$BK$507,3,FALSE()))</f>
        <v/>
      </c>
      <c r="BO379" s="110" t="str">
        <f aca="false">IF($BC379&gt;$BB$7,"",VLOOKUP($BC379,$BE$8:$BK$507,4,FALSE()))</f>
        <v/>
      </c>
      <c r="BP379" s="110" t="str">
        <f aca="false">IF($BC379&gt;$BB$7,"",VLOOKUP($BC379,$BE$8:$BK$507,5,FALSE()))</f>
        <v/>
      </c>
      <c r="BQ379" s="111" t="str">
        <f aca="false">IF($BC379&gt;$BB$7,"",VLOOKUP($BC379,$BE$8:$BK$507,6,FALSE()))</f>
        <v/>
      </c>
      <c r="BR379" s="54"/>
    </row>
    <row r="380" customFormat="false" ht="15.75" hidden="false" customHeight="false" outlineLevel="0" collapsed="false">
      <c r="A380" s="5"/>
      <c r="B380" s="124"/>
      <c r="C380" s="56"/>
      <c r="D380" s="57"/>
      <c r="E380" s="83"/>
      <c r="F380" s="59"/>
      <c r="G380" s="60"/>
      <c r="H380" s="61"/>
      <c r="I380" s="62"/>
      <c r="J380" s="59"/>
      <c r="K380" s="60"/>
      <c r="L380" s="61"/>
      <c r="M380" s="62"/>
      <c r="N380" s="59"/>
      <c r="O380" s="83"/>
      <c r="P380" s="64"/>
      <c r="Q380" s="66" t="str">
        <f aca="false">IF(ISBLANK($C380),"",IF(E380=Constants!$B$2, TRUE(), IF(E380=Constants!$B$3, FALSE(), TRUE())))</f>
        <v/>
      </c>
      <c r="R380" s="66" t="str">
        <f aca="false">IF(ISBLANK($C380),"",IF(F380=Constants!$B$16,Constants!$B$9,IF(F380=Constants!$B$17,Constants!$B$10,Constants!$B$8)))</f>
        <v/>
      </c>
      <c r="S380" s="66" t="str">
        <f aca="false">IF(ISBLANK($C380),"",IF(COUNTA(G380:H380)=0,"",IF(AND(OR(ISBLANK(G380),AND(ISNUMBER(G380),G380&gt;=0)),OR(ISBLANK(H380),AND(ISNUMBER(H380),H380&gt;=0))),60*IF(ISBLANK(G380),0,G380)+IF(ISBLANK(H380),0,H380),"")))</f>
        <v/>
      </c>
      <c r="T380" s="66" t="str">
        <f aca="false">IF(ISBLANK($C380),"",IF(I380=Constants!$B$2, TRUE(), IF(I380=Constants!$B$3, FALSE(), TRUE())))</f>
        <v/>
      </c>
      <c r="U380" s="66" t="str">
        <f aca="false">IF(ISBLANK($C380),"",IF(J380=Constants!$B$2, TRUE(), IF(J380=Constants!$B$3, FALSE(), TRUE())))</f>
        <v/>
      </c>
      <c r="V380" s="66" t="str">
        <f aca="false">IF(ISBLANK($C380),"",IF(COUNTA(K380:L380)=0,"",IF(AND(OR(ISBLANK(K380),AND(ISNUMBER(K380),K380&gt;=0)),OR(ISBLANK(L380),AND(ISNUMBER(L380),L380&gt;=0))),60*IF(ISBLANK(K380),0,K380)+IF(ISBLANK(L380),0,L380),"")))</f>
        <v/>
      </c>
      <c r="W380" s="66" t="str">
        <f aca="false">IF(ISBLANK($C380),"",IF(M380=Constants!$B$2, TRUE(), IF(M380=Constants!$B$3, FALSE(), TRUE())))</f>
        <v/>
      </c>
      <c r="X380" s="66" t="str">
        <f aca="false">IF(ISBLANK($C380),"",IF(N380=Constants!$B$2, TRUE(), IF(N380=Constants!$B$3, FALSE(), TRUE())))</f>
        <v/>
      </c>
      <c r="Y380" s="66" t="str">
        <f aca="false">IF(ISBLANK($C380),"",IF(O380=Constants!$B$2, TRUE(), IF(O380=Constants!$B$3, FALSE(), FALSE())))</f>
        <v/>
      </c>
      <c r="Z380" s="66" t="str">
        <f aca="false">IF(ISBLANK($C380),"",AND(S380&lt;&gt;"",Q380))</f>
        <v/>
      </c>
      <c r="AA380" s="66" t="str">
        <f aca="false">IF(ISBLANK($C380),"",AND(V380&lt;&gt;"",Q380))</f>
        <v/>
      </c>
      <c r="AB380" s="66" t="str">
        <f aca="false">IF(ISBLANK($C380),"",IF(Y380,Constants!$B$4,IF(COUNTA(E380:N380)=0,Constants!$B$5,IF(NOT(Q380),Constants!$B$6,IF(AND(NOT(Z380),NOT(AA380)),Constants!$B$6,Constants!$B$7)))))</f>
        <v/>
      </c>
      <c r="AC380" s="66" t="str">
        <f aca="false">IF(ISBLANK($C380),"",IF($AB380&lt;&gt;Constants!$B$7,$AB380,Constants!$B$20))</f>
        <v/>
      </c>
      <c r="AD380" s="66" t="str">
        <f aca="false">IF($AB380=Constants!$B$7,IF(Z380,S380,Constants!$B$13),"")</f>
        <v/>
      </c>
      <c r="AE380" s="66" t="str">
        <f aca="false">IF($AB380=Constants!$B$7,IF(Z380,R380*IF(T380, 1, Constants!$B$11)*IF(U380, 1, Constants!$B$12),Constants!$B$13),"")</f>
        <v/>
      </c>
      <c r="AF380" s="66" t="str">
        <f aca="false">IF($AB380=Constants!$B$7,AD380*AE380,"")</f>
        <v/>
      </c>
      <c r="AG380" s="66" t="str">
        <f aca="false">IF($AB380=Constants!$B$7,IF(AA380,V380,Constants!$B$13),"")</f>
        <v/>
      </c>
      <c r="AH380" s="66" t="str">
        <f aca="false">IF($AB380=Constants!$B$7,IF(AA380,R380*IF(W380, 1, Constants!$B$11)*IF(X380, 1, Constants!$B$12),Constants!$B$13),"")</f>
        <v/>
      </c>
      <c r="AI380" s="66" t="str">
        <f aca="false">IF($AB380=Constants!$B$7,AG380*AH380,"")</f>
        <v/>
      </c>
      <c r="AJ380" s="66" t="str">
        <f aca="false">IF($AB380=Constants!$B$7,IF(AI380&gt;AF380,2,1),"")</f>
        <v/>
      </c>
      <c r="AK380" s="66" t="str">
        <f aca="false">IF($AB380=Constants!$B$7,IF(AJ380=1,2,1),"")</f>
        <v/>
      </c>
      <c r="AL380" s="66" t="str">
        <f aca="false">IF(ISBLANK($C380),"",IF($AB380&lt;&gt;Constants!$B$7,$AB380,IF(AJ380=1,AF380,AI380)))</f>
        <v/>
      </c>
      <c r="AM380" s="66" t="str">
        <f aca="false">IF(ISBLANK($C380),"",IF($AB380=Constants!$B$7,IF(ISNUMBER(AL380),RANK(AL380,$AL$8:$AL$507),Constants!$B$14),$AB380))</f>
        <v/>
      </c>
      <c r="AN380" s="66" t="str">
        <f aca="false">IF(ISBLANK($C380),"",IF($AB380=Constants!$B$7,IF(AK380=1,AF380,AI380),""))</f>
        <v/>
      </c>
      <c r="AO380" s="66" t="str">
        <f aca="false">IF(ISBLANK($C380),"",IF($AB380=Constants!$B$7,RANK(AN380,$AN$8:$AN$507),$AB380))</f>
        <v/>
      </c>
      <c r="AP380" s="66" t="str">
        <f aca="false">IF(ISBLANK($C380),"",IF($AB380=Constants!$B$7,IF(ISNUMBER(AM380),COUNTIFS($AM$8:$AM$507,"&lt;"&amp;$AM380)+COUNTIFS($AM$8:$AM$507,$AM380,$AO$8:$AO$507,"&lt;"&amp;$AO380)+1,Constants!$B$14),$AB380))</f>
        <v/>
      </c>
      <c r="AQ380" s="66" t="str">
        <f aca="false">IF(ISBLANK($C380),"",IF($AB380=Constants!$B$7,IF(ISNUMBER(AM380),AM380-AP380,Constants!$B$14),$AB380))</f>
        <v/>
      </c>
      <c r="AR380" s="68"/>
      <c r="AS380" s="69" t="str">
        <f aca="false">IF(ISBLANK($C380),"",IF($AB380&lt;&gt;Constants!$B$7,"",AJ380))</f>
        <v/>
      </c>
      <c r="AT380" s="84" t="str">
        <f aca="false">IF(ISBLANK($C380),"",IF($AB380&lt;&gt;Constants!$B$7,"",IF(AJ380=1,AD380,AG380)))</f>
        <v/>
      </c>
      <c r="AU380" s="71" t="str">
        <f aca="false">IF(ISBLANK($C380),"",IF($AB380&lt;&gt;Constants!$B$7,"",IF(AJ380=1,AE380,AH380)))</f>
        <v/>
      </c>
      <c r="AV380" s="72" t="str">
        <f aca="false">IF(ISBLANK($C380),"",IF($AB380&lt;&gt;Constants!$B$7,$AB380,AL380))</f>
        <v/>
      </c>
      <c r="AW380" s="73" t="str">
        <f aca="false">IF(ISBLANK($C380),"",IF($AB380&lt;&gt;Constants!$B$7,$AB380,AC380))</f>
        <v/>
      </c>
      <c r="AX380" s="74" t="str">
        <f aca="false">IF(ISBLANK($C380),"",AQ380)</f>
        <v/>
      </c>
      <c r="AY380" s="74" t="str">
        <f aca="false">IF(ISBLANK($C380),"",AP380)</f>
        <v/>
      </c>
      <c r="AZ380" s="75" t="str">
        <f aca="false">IF(ISBLANK($C380),"",IF(AY380=Constants!$B$4,COUNTA($C$8:$C$507)+2,IF(AY380=Constants!$B$5,COUNTA($C$8:$C$507)+1,IF(AY380=Constants!$B$6,COUNTA($C$8:$C$507),AY380))))</f>
        <v/>
      </c>
      <c r="BA380" s="5"/>
      <c r="BB380" s="76" t="n">
        <f aca="false">IF(OR(ISNUMBER(AY380),AY380=Constants!$B$4,AY380=Constants!$B$6,AY380=Constants!$B$5),1,0)</f>
        <v>0</v>
      </c>
      <c r="BC380" s="76" t="n">
        <v>373</v>
      </c>
      <c r="BD380" s="76" t="str">
        <f aca="false">IF(ISBLANK($C380),"",IF(ISNUMBER(AZ380),AZ380+ROW($B380)/1000,""))</f>
        <v/>
      </c>
      <c r="BE380" s="76" t="str">
        <f aca="false">IF(ISNUMBER(BD380),RANK(BD380,$BD$8:$BD$507,1),"")</f>
        <v/>
      </c>
      <c r="BF380" s="76" t="str">
        <f aca="false">IF(ISBLANK($C380),"",$B380)</f>
        <v/>
      </c>
      <c r="BG380" s="76" t="str">
        <f aca="false">IF(ISBLANK($C380),"",$C380)</f>
        <v/>
      </c>
      <c r="BH380" s="76" t="str">
        <f aca="false">IF(ISBLANK($C380),"",$D380)</f>
        <v/>
      </c>
      <c r="BI380" s="77" t="str">
        <f aca="false">AW380</f>
        <v/>
      </c>
      <c r="BJ380" s="78" t="str">
        <f aca="false">AV380</f>
        <v/>
      </c>
      <c r="BK380" s="76" t="str">
        <f aca="false">IF(ISBLANK($C380),"",AY380)</f>
        <v/>
      </c>
      <c r="BL380" s="79" t="str">
        <f aca="false">IF($BC380&gt;$BB$7,"",VLOOKUP($BC380,$BE$8:$BK$507,7,FALSE()))</f>
        <v/>
      </c>
      <c r="BM380" s="80" t="str">
        <f aca="false">IF($BC380&gt;$BB$7,"",VLOOKUP($BC380,$BE$8:$BK$507,2,FALSE()))</f>
        <v/>
      </c>
      <c r="BN380" s="80" t="str">
        <f aca="false">IF($BC380&gt;$BB$7,"",VLOOKUP($BC380,$BE$8:$BK$507,3,FALSE()))</f>
        <v/>
      </c>
      <c r="BO380" s="80" t="str">
        <f aca="false">IF($BC380&gt;$BB$7,"",VLOOKUP($BC380,$BE$8:$BK$507,4,FALSE()))</f>
        <v/>
      </c>
      <c r="BP380" s="80" t="str">
        <f aca="false">IF($BC380&gt;$BB$7,"",VLOOKUP($BC380,$BE$8:$BK$507,5,FALSE()))</f>
        <v/>
      </c>
      <c r="BQ380" s="81" t="str">
        <f aca="false">IF($BC380&gt;$BB$7,"",VLOOKUP($BC380,$BE$8:$BK$507,6,FALSE()))</f>
        <v/>
      </c>
      <c r="BR380" s="54"/>
    </row>
    <row r="381" customFormat="false" ht="15.75" hidden="false" customHeight="false" outlineLevel="0" collapsed="false">
      <c r="A381" s="5"/>
      <c r="B381" s="124"/>
      <c r="C381" s="56"/>
      <c r="D381" s="57"/>
      <c r="E381" s="83"/>
      <c r="F381" s="59"/>
      <c r="G381" s="60"/>
      <c r="H381" s="61"/>
      <c r="I381" s="62"/>
      <c r="J381" s="59"/>
      <c r="K381" s="60"/>
      <c r="L381" s="61"/>
      <c r="M381" s="62"/>
      <c r="N381" s="59"/>
      <c r="O381" s="83"/>
      <c r="P381" s="64"/>
      <c r="Q381" s="66" t="str">
        <f aca="false">IF(ISBLANK($C381),"",IF(E381=Constants!$B$2, TRUE(), IF(E381=Constants!$B$3, FALSE(), TRUE())))</f>
        <v/>
      </c>
      <c r="R381" s="66" t="str">
        <f aca="false">IF(ISBLANK($C381),"",IF(F381=Constants!$B$16,Constants!$B$9,IF(F381=Constants!$B$17,Constants!$B$10,Constants!$B$8)))</f>
        <v/>
      </c>
      <c r="S381" s="66" t="str">
        <f aca="false">IF(ISBLANK($C381),"",IF(COUNTA(G381:H381)=0,"",IF(AND(OR(ISBLANK(G381),AND(ISNUMBER(G381),G381&gt;=0)),OR(ISBLANK(H381),AND(ISNUMBER(H381),H381&gt;=0))),60*IF(ISBLANK(G381),0,G381)+IF(ISBLANK(H381),0,H381),"")))</f>
        <v/>
      </c>
      <c r="T381" s="66" t="str">
        <f aca="false">IF(ISBLANK($C381),"",IF(I381=Constants!$B$2, TRUE(), IF(I381=Constants!$B$3, FALSE(), TRUE())))</f>
        <v/>
      </c>
      <c r="U381" s="66" t="str">
        <f aca="false">IF(ISBLANK($C381),"",IF(J381=Constants!$B$2, TRUE(), IF(J381=Constants!$B$3, FALSE(), TRUE())))</f>
        <v/>
      </c>
      <c r="V381" s="66" t="str">
        <f aca="false">IF(ISBLANK($C381),"",IF(COUNTA(K381:L381)=0,"",IF(AND(OR(ISBLANK(K381),AND(ISNUMBER(K381),K381&gt;=0)),OR(ISBLANK(L381),AND(ISNUMBER(L381),L381&gt;=0))),60*IF(ISBLANK(K381),0,K381)+IF(ISBLANK(L381),0,L381),"")))</f>
        <v/>
      </c>
      <c r="W381" s="66" t="str">
        <f aca="false">IF(ISBLANK($C381),"",IF(M381=Constants!$B$2, TRUE(), IF(M381=Constants!$B$3, FALSE(), TRUE())))</f>
        <v/>
      </c>
      <c r="X381" s="66" t="str">
        <f aca="false">IF(ISBLANK($C381),"",IF(N381=Constants!$B$2, TRUE(), IF(N381=Constants!$B$3, FALSE(), TRUE())))</f>
        <v/>
      </c>
      <c r="Y381" s="66" t="str">
        <f aca="false">IF(ISBLANK($C381),"",IF(O381=Constants!$B$2, TRUE(), IF(O381=Constants!$B$3, FALSE(), FALSE())))</f>
        <v/>
      </c>
      <c r="Z381" s="66" t="str">
        <f aca="false">IF(ISBLANK($C381),"",AND(S381&lt;&gt;"",Q381))</f>
        <v/>
      </c>
      <c r="AA381" s="66" t="str">
        <f aca="false">IF(ISBLANK($C381),"",AND(V381&lt;&gt;"",Q381))</f>
        <v/>
      </c>
      <c r="AB381" s="66" t="str">
        <f aca="false">IF(ISBLANK($C381),"",IF(Y381,Constants!$B$4,IF(COUNTA(E381:N381)=0,Constants!$B$5,IF(NOT(Q381),Constants!$B$6,IF(AND(NOT(Z381),NOT(AA381)),Constants!$B$6,Constants!$B$7)))))</f>
        <v/>
      </c>
      <c r="AC381" s="66" t="str">
        <f aca="false">IF(ISBLANK($C381),"",IF($AB381&lt;&gt;Constants!$B$7,$AB381,Constants!$B$20))</f>
        <v/>
      </c>
      <c r="AD381" s="66" t="str">
        <f aca="false">IF($AB381=Constants!$B$7,IF(Z381,S381,Constants!$B$13),"")</f>
        <v/>
      </c>
      <c r="AE381" s="66" t="str">
        <f aca="false">IF($AB381=Constants!$B$7,IF(Z381,R381*IF(T381, 1, Constants!$B$11)*IF(U381, 1, Constants!$B$12),Constants!$B$13),"")</f>
        <v/>
      </c>
      <c r="AF381" s="66" t="str">
        <f aca="false">IF($AB381=Constants!$B$7,AD381*AE381,"")</f>
        <v/>
      </c>
      <c r="AG381" s="66" t="str">
        <f aca="false">IF($AB381=Constants!$B$7,IF(AA381,V381,Constants!$B$13),"")</f>
        <v/>
      </c>
      <c r="AH381" s="66" t="str">
        <f aca="false">IF($AB381=Constants!$B$7,IF(AA381,R381*IF(W381, 1, Constants!$B$11)*IF(X381, 1, Constants!$B$12),Constants!$B$13),"")</f>
        <v/>
      </c>
      <c r="AI381" s="66" t="str">
        <f aca="false">IF($AB381=Constants!$B$7,AG381*AH381,"")</f>
        <v/>
      </c>
      <c r="AJ381" s="66" t="str">
        <f aca="false">IF($AB381=Constants!$B$7,IF(AI381&gt;AF381,2,1),"")</f>
        <v/>
      </c>
      <c r="AK381" s="66" t="str">
        <f aca="false">IF($AB381=Constants!$B$7,IF(AJ381=1,2,1),"")</f>
        <v/>
      </c>
      <c r="AL381" s="66" t="str">
        <f aca="false">IF(ISBLANK($C381),"",IF($AB381&lt;&gt;Constants!$B$7,$AB381,IF(AJ381=1,AF381,AI381)))</f>
        <v/>
      </c>
      <c r="AM381" s="66" t="str">
        <f aca="false">IF(ISBLANK($C381),"",IF($AB381=Constants!$B$7,IF(ISNUMBER(AL381),RANK(AL381,$AL$8:$AL$507),Constants!$B$14),$AB381))</f>
        <v/>
      </c>
      <c r="AN381" s="66" t="str">
        <f aca="false">IF(ISBLANK($C381),"",IF($AB381=Constants!$B$7,IF(AK381=1,AF381,AI381),""))</f>
        <v/>
      </c>
      <c r="AO381" s="66" t="str">
        <f aca="false">IF(ISBLANK($C381),"",IF($AB381=Constants!$B$7,RANK(AN381,$AN$8:$AN$507),$AB381))</f>
        <v/>
      </c>
      <c r="AP381" s="66" t="str">
        <f aca="false">IF(ISBLANK($C381),"",IF($AB381=Constants!$B$7,IF(ISNUMBER(AM381),COUNTIFS($AM$8:$AM$507,"&lt;"&amp;$AM381)+COUNTIFS($AM$8:$AM$507,$AM381,$AO$8:$AO$507,"&lt;"&amp;$AO381)+1,Constants!$B$14),$AB381))</f>
        <v/>
      </c>
      <c r="AQ381" s="66" t="str">
        <f aca="false">IF(ISBLANK($C381),"",IF($AB381=Constants!$B$7,IF(ISNUMBER(AM381),AM381-AP381,Constants!$B$14),$AB381))</f>
        <v/>
      </c>
      <c r="AR381" s="68"/>
      <c r="AS381" s="69" t="str">
        <f aca="false">IF(ISBLANK($C381),"",IF($AB381&lt;&gt;Constants!$B$7,"",AJ381))</f>
        <v/>
      </c>
      <c r="AT381" s="84" t="str">
        <f aca="false">IF(ISBLANK($C381),"",IF($AB381&lt;&gt;Constants!$B$7,"",IF(AJ381=1,AD381,AG381)))</f>
        <v/>
      </c>
      <c r="AU381" s="71" t="str">
        <f aca="false">IF(ISBLANK($C381),"",IF($AB381&lt;&gt;Constants!$B$7,"",IF(AJ381=1,AE381,AH381)))</f>
        <v/>
      </c>
      <c r="AV381" s="72" t="str">
        <f aca="false">IF(ISBLANK($C381),"",IF($AB381&lt;&gt;Constants!$B$7,$AB381,AL381))</f>
        <v/>
      </c>
      <c r="AW381" s="73" t="str">
        <f aca="false">IF(ISBLANK($C381),"",IF($AB381&lt;&gt;Constants!$B$7,$AB381,AC381))</f>
        <v/>
      </c>
      <c r="AX381" s="74" t="str">
        <f aca="false">IF(ISBLANK($C381),"",AQ381)</f>
        <v/>
      </c>
      <c r="AY381" s="74" t="str">
        <f aca="false">IF(ISBLANK($C381),"",AP381)</f>
        <v/>
      </c>
      <c r="AZ381" s="75" t="str">
        <f aca="false">IF(ISBLANK($C381),"",IF(AY381=Constants!$B$4,COUNTA($C$8:$C$507)+2,IF(AY381=Constants!$B$5,COUNTA($C$8:$C$507)+1,IF(AY381=Constants!$B$6,COUNTA($C$8:$C$507),AY381))))</f>
        <v/>
      </c>
      <c r="BA381" s="5"/>
      <c r="BB381" s="76" t="n">
        <f aca="false">IF(OR(ISNUMBER(AY381),AY381=Constants!$B$4,AY381=Constants!$B$6,AY381=Constants!$B$5),1,0)</f>
        <v>0</v>
      </c>
      <c r="BC381" s="76" t="n">
        <v>374</v>
      </c>
      <c r="BD381" s="76" t="str">
        <f aca="false">IF(ISBLANK($C381),"",IF(ISNUMBER(AZ381),AZ381+ROW($B381)/1000,""))</f>
        <v/>
      </c>
      <c r="BE381" s="76" t="str">
        <f aca="false">IF(ISNUMBER(BD381),RANK(BD381,$BD$8:$BD$507,1),"")</f>
        <v/>
      </c>
      <c r="BF381" s="76" t="str">
        <f aca="false">IF(ISBLANK($C381),"",$B381)</f>
        <v/>
      </c>
      <c r="BG381" s="76" t="str">
        <f aca="false">IF(ISBLANK($C381),"",$C381)</f>
        <v/>
      </c>
      <c r="BH381" s="76" t="str">
        <f aca="false">IF(ISBLANK($C381),"",$D381)</f>
        <v/>
      </c>
      <c r="BI381" s="77" t="str">
        <f aca="false">AW381</f>
        <v/>
      </c>
      <c r="BJ381" s="78" t="str">
        <f aca="false">AV381</f>
        <v/>
      </c>
      <c r="BK381" s="76" t="str">
        <f aca="false">IF(ISBLANK($C381),"",AY381)</f>
        <v/>
      </c>
      <c r="BL381" s="79" t="str">
        <f aca="false">IF($BC381&gt;$BB$7,"",VLOOKUP($BC381,$BE$8:$BK$507,7,FALSE()))</f>
        <v/>
      </c>
      <c r="BM381" s="80" t="str">
        <f aca="false">IF($BC381&gt;$BB$7,"",VLOOKUP($BC381,$BE$8:$BK$507,2,FALSE()))</f>
        <v/>
      </c>
      <c r="BN381" s="80" t="str">
        <f aca="false">IF($BC381&gt;$BB$7,"",VLOOKUP($BC381,$BE$8:$BK$507,3,FALSE()))</f>
        <v/>
      </c>
      <c r="BO381" s="80" t="str">
        <f aca="false">IF($BC381&gt;$BB$7,"",VLOOKUP($BC381,$BE$8:$BK$507,4,FALSE()))</f>
        <v/>
      </c>
      <c r="BP381" s="80" t="str">
        <f aca="false">IF($BC381&gt;$BB$7,"",VLOOKUP($BC381,$BE$8:$BK$507,5,FALSE()))</f>
        <v/>
      </c>
      <c r="BQ381" s="81" t="str">
        <f aca="false">IF($BC381&gt;$BB$7,"",VLOOKUP($BC381,$BE$8:$BK$507,6,FALSE()))</f>
        <v/>
      </c>
      <c r="BR381" s="54"/>
    </row>
    <row r="382" customFormat="false" ht="15.75" hidden="false" customHeight="false" outlineLevel="0" collapsed="false">
      <c r="A382" s="5"/>
      <c r="B382" s="124"/>
      <c r="C382" s="56"/>
      <c r="D382" s="57"/>
      <c r="E382" s="83"/>
      <c r="F382" s="59"/>
      <c r="G382" s="60"/>
      <c r="H382" s="61"/>
      <c r="I382" s="62"/>
      <c r="J382" s="59"/>
      <c r="K382" s="60"/>
      <c r="L382" s="61"/>
      <c r="M382" s="62"/>
      <c r="N382" s="59"/>
      <c r="O382" s="83"/>
      <c r="P382" s="64"/>
      <c r="Q382" s="66" t="str">
        <f aca="false">IF(ISBLANK($C382),"",IF(E382=Constants!$B$2, TRUE(), IF(E382=Constants!$B$3, FALSE(), TRUE())))</f>
        <v/>
      </c>
      <c r="R382" s="66" t="str">
        <f aca="false">IF(ISBLANK($C382),"",IF(F382=Constants!$B$16,Constants!$B$9,IF(F382=Constants!$B$17,Constants!$B$10,Constants!$B$8)))</f>
        <v/>
      </c>
      <c r="S382" s="66" t="str">
        <f aca="false">IF(ISBLANK($C382),"",IF(COUNTA(G382:H382)=0,"",IF(AND(OR(ISBLANK(G382),AND(ISNUMBER(G382),G382&gt;=0)),OR(ISBLANK(H382),AND(ISNUMBER(H382),H382&gt;=0))),60*IF(ISBLANK(G382),0,G382)+IF(ISBLANK(H382),0,H382),"")))</f>
        <v/>
      </c>
      <c r="T382" s="66" t="str">
        <f aca="false">IF(ISBLANK($C382),"",IF(I382=Constants!$B$2, TRUE(), IF(I382=Constants!$B$3, FALSE(), TRUE())))</f>
        <v/>
      </c>
      <c r="U382" s="66" t="str">
        <f aca="false">IF(ISBLANK($C382),"",IF(J382=Constants!$B$2, TRUE(), IF(J382=Constants!$B$3, FALSE(), TRUE())))</f>
        <v/>
      </c>
      <c r="V382" s="66" t="str">
        <f aca="false">IF(ISBLANK($C382),"",IF(COUNTA(K382:L382)=0,"",IF(AND(OR(ISBLANK(K382),AND(ISNUMBER(K382),K382&gt;=0)),OR(ISBLANK(L382),AND(ISNUMBER(L382),L382&gt;=0))),60*IF(ISBLANK(K382),0,K382)+IF(ISBLANK(L382),0,L382),"")))</f>
        <v/>
      </c>
      <c r="W382" s="66" t="str">
        <f aca="false">IF(ISBLANK($C382),"",IF(M382=Constants!$B$2, TRUE(), IF(M382=Constants!$B$3, FALSE(), TRUE())))</f>
        <v/>
      </c>
      <c r="X382" s="66" t="str">
        <f aca="false">IF(ISBLANK($C382),"",IF(N382=Constants!$B$2, TRUE(), IF(N382=Constants!$B$3, FALSE(), TRUE())))</f>
        <v/>
      </c>
      <c r="Y382" s="66" t="str">
        <f aca="false">IF(ISBLANK($C382),"",IF(O382=Constants!$B$2, TRUE(), IF(O382=Constants!$B$3, FALSE(), FALSE())))</f>
        <v/>
      </c>
      <c r="Z382" s="66" t="str">
        <f aca="false">IF(ISBLANK($C382),"",AND(S382&lt;&gt;"",Q382))</f>
        <v/>
      </c>
      <c r="AA382" s="66" t="str">
        <f aca="false">IF(ISBLANK($C382),"",AND(V382&lt;&gt;"",Q382))</f>
        <v/>
      </c>
      <c r="AB382" s="66" t="str">
        <f aca="false">IF(ISBLANK($C382),"",IF(Y382,Constants!$B$4,IF(COUNTA(E382:N382)=0,Constants!$B$5,IF(NOT(Q382),Constants!$B$6,IF(AND(NOT(Z382),NOT(AA382)),Constants!$B$6,Constants!$B$7)))))</f>
        <v/>
      </c>
      <c r="AC382" s="66" t="str">
        <f aca="false">IF(ISBLANK($C382),"",IF($AB382&lt;&gt;Constants!$B$7,$AB382,Constants!$B$20))</f>
        <v/>
      </c>
      <c r="AD382" s="66" t="str">
        <f aca="false">IF($AB382=Constants!$B$7,IF(Z382,S382,Constants!$B$13),"")</f>
        <v/>
      </c>
      <c r="AE382" s="66" t="str">
        <f aca="false">IF($AB382=Constants!$B$7,IF(Z382,R382*IF(T382, 1, Constants!$B$11)*IF(U382, 1, Constants!$B$12),Constants!$B$13),"")</f>
        <v/>
      </c>
      <c r="AF382" s="66" t="str">
        <f aca="false">IF($AB382=Constants!$B$7,AD382*AE382,"")</f>
        <v/>
      </c>
      <c r="AG382" s="66" t="str">
        <f aca="false">IF($AB382=Constants!$B$7,IF(AA382,V382,Constants!$B$13),"")</f>
        <v/>
      </c>
      <c r="AH382" s="66" t="str">
        <f aca="false">IF($AB382=Constants!$B$7,IF(AA382,R382*IF(W382, 1, Constants!$B$11)*IF(X382, 1, Constants!$B$12),Constants!$B$13),"")</f>
        <v/>
      </c>
      <c r="AI382" s="66" t="str">
        <f aca="false">IF($AB382=Constants!$B$7,AG382*AH382,"")</f>
        <v/>
      </c>
      <c r="AJ382" s="66" t="str">
        <f aca="false">IF($AB382=Constants!$B$7,IF(AI382&gt;AF382,2,1),"")</f>
        <v/>
      </c>
      <c r="AK382" s="66" t="str">
        <f aca="false">IF($AB382=Constants!$B$7,IF(AJ382=1,2,1),"")</f>
        <v/>
      </c>
      <c r="AL382" s="66" t="str">
        <f aca="false">IF(ISBLANK($C382),"",IF($AB382&lt;&gt;Constants!$B$7,$AB382,IF(AJ382=1,AF382,AI382)))</f>
        <v/>
      </c>
      <c r="AM382" s="66" t="str">
        <f aca="false">IF(ISBLANK($C382),"",IF($AB382=Constants!$B$7,IF(ISNUMBER(AL382),RANK(AL382,$AL$8:$AL$507),Constants!$B$14),$AB382))</f>
        <v/>
      </c>
      <c r="AN382" s="66" t="str">
        <f aca="false">IF(ISBLANK($C382),"",IF($AB382=Constants!$B$7,IF(AK382=1,AF382,AI382),""))</f>
        <v/>
      </c>
      <c r="AO382" s="66" t="str">
        <f aca="false">IF(ISBLANK($C382),"",IF($AB382=Constants!$B$7,RANK(AN382,$AN$8:$AN$507),$AB382))</f>
        <v/>
      </c>
      <c r="AP382" s="66" t="str">
        <f aca="false">IF(ISBLANK($C382),"",IF($AB382=Constants!$B$7,IF(ISNUMBER(AM382),COUNTIFS($AM$8:$AM$507,"&lt;"&amp;$AM382)+COUNTIFS($AM$8:$AM$507,$AM382,$AO$8:$AO$507,"&lt;"&amp;$AO382)+1,Constants!$B$14),$AB382))</f>
        <v/>
      </c>
      <c r="AQ382" s="66" t="str">
        <f aca="false">IF(ISBLANK($C382),"",IF($AB382=Constants!$B$7,IF(ISNUMBER(AM382),AM382-AP382,Constants!$B$14),$AB382))</f>
        <v/>
      </c>
      <c r="AR382" s="68"/>
      <c r="AS382" s="69" t="str">
        <f aca="false">IF(ISBLANK($C382),"",IF($AB382&lt;&gt;Constants!$B$7,"",AJ382))</f>
        <v/>
      </c>
      <c r="AT382" s="84" t="str">
        <f aca="false">IF(ISBLANK($C382),"",IF($AB382&lt;&gt;Constants!$B$7,"",IF(AJ382=1,AD382,AG382)))</f>
        <v/>
      </c>
      <c r="AU382" s="71" t="str">
        <f aca="false">IF(ISBLANK($C382),"",IF($AB382&lt;&gt;Constants!$B$7,"",IF(AJ382=1,AE382,AH382)))</f>
        <v/>
      </c>
      <c r="AV382" s="72" t="str">
        <f aca="false">IF(ISBLANK($C382),"",IF($AB382&lt;&gt;Constants!$B$7,$AB382,AL382))</f>
        <v/>
      </c>
      <c r="AW382" s="73" t="str">
        <f aca="false">IF(ISBLANK($C382),"",IF($AB382&lt;&gt;Constants!$B$7,$AB382,AC382))</f>
        <v/>
      </c>
      <c r="AX382" s="74" t="str">
        <f aca="false">IF(ISBLANK($C382),"",AQ382)</f>
        <v/>
      </c>
      <c r="AY382" s="74" t="str">
        <f aca="false">IF(ISBLANK($C382),"",AP382)</f>
        <v/>
      </c>
      <c r="AZ382" s="75" t="str">
        <f aca="false">IF(ISBLANK($C382),"",IF(AY382=Constants!$B$4,COUNTA($C$8:$C$507)+2,IF(AY382=Constants!$B$5,COUNTA($C$8:$C$507)+1,IF(AY382=Constants!$B$6,COUNTA($C$8:$C$507),AY382))))</f>
        <v/>
      </c>
      <c r="BA382" s="5"/>
      <c r="BB382" s="76" t="n">
        <f aca="false">IF(OR(ISNUMBER(AY382),AY382=Constants!$B$4,AY382=Constants!$B$6,AY382=Constants!$B$5),1,0)</f>
        <v>0</v>
      </c>
      <c r="BC382" s="76" t="n">
        <v>375</v>
      </c>
      <c r="BD382" s="76" t="str">
        <f aca="false">IF(ISBLANK($C382),"",IF(ISNUMBER(AZ382),AZ382+ROW($B382)/1000,""))</f>
        <v/>
      </c>
      <c r="BE382" s="76" t="str">
        <f aca="false">IF(ISNUMBER(BD382),RANK(BD382,$BD$8:$BD$507,1),"")</f>
        <v/>
      </c>
      <c r="BF382" s="76" t="str">
        <f aca="false">IF(ISBLANK($C382),"",$B382)</f>
        <v/>
      </c>
      <c r="BG382" s="76" t="str">
        <f aca="false">IF(ISBLANK($C382),"",$C382)</f>
        <v/>
      </c>
      <c r="BH382" s="76" t="str">
        <f aca="false">IF(ISBLANK($C382),"",$D382)</f>
        <v/>
      </c>
      <c r="BI382" s="77" t="str">
        <f aca="false">AW382</f>
        <v/>
      </c>
      <c r="BJ382" s="78" t="str">
        <f aca="false">AV382</f>
        <v/>
      </c>
      <c r="BK382" s="76" t="str">
        <f aca="false">IF(ISBLANK($C382),"",AY382)</f>
        <v/>
      </c>
      <c r="BL382" s="79" t="str">
        <f aca="false">IF($BC382&gt;$BB$7,"",VLOOKUP($BC382,$BE$8:$BK$507,7,FALSE()))</f>
        <v/>
      </c>
      <c r="BM382" s="80" t="str">
        <f aca="false">IF($BC382&gt;$BB$7,"",VLOOKUP($BC382,$BE$8:$BK$507,2,FALSE()))</f>
        <v/>
      </c>
      <c r="BN382" s="80" t="str">
        <f aca="false">IF($BC382&gt;$BB$7,"",VLOOKUP($BC382,$BE$8:$BK$507,3,FALSE()))</f>
        <v/>
      </c>
      <c r="BO382" s="80" t="str">
        <f aca="false">IF($BC382&gt;$BB$7,"",VLOOKUP($BC382,$BE$8:$BK$507,4,FALSE()))</f>
        <v/>
      </c>
      <c r="BP382" s="80" t="str">
        <f aca="false">IF($BC382&gt;$BB$7,"",VLOOKUP($BC382,$BE$8:$BK$507,5,FALSE()))</f>
        <v/>
      </c>
      <c r="BQ382" s="81" t="str">
        <f aca="false">IF($BC382&gt;$BB$7,"",VLOOKUP($BC382,$BE$8:$BK$507,6,FALSE()))</f>
        <v/>
      </c>
      <c r="BR382" s="54"/>
    </row>
    <row r="383" customFormat="false" ht="15.75" hidden="false" customHeight="false" outlineLevel="0" collapsed="false">
      <c r="A383" s="5"/>
      <c r="B383" s="120"/>
      <c r="C383" s="121"/>
      <c r="D383" s="112"/>
      <c r="E383" s="123"/>
      <c r="F383" s="91"/>
      <c r="G383" s="92"/>
      <c r="H383" s="93"/>
      <c r="I383" s="94"/>
      <c r="J383" s="91"/>
      <c r="K383" s="92"/>
      <c r="L383" s="93"/>
      <c r="M383" s="94"/>
      <c r="N383" s="91"/>
      <c r="O383" s="123"/>
      <c r="P383" s="96"/>
      <c r="Q383" s="97" t="str">
        <f aca="false">IF(ISBLANK($C383),"",IF(E383=Constants!$B$2, TRUE(), IF(E383=Constants!$B$3, FALSE(), TRUE())))</f>
        <v/>
      </c>
      <c r="R383" s="97" t="str">
        <f aca="false">IF(ISBLANK($C383),"",IF(F383=Constants!$B$16,Constants!$B$9,IF(F383=Constants!$B$17,Constants!$B$10,Constants!$B$8)))</f>
        <v/>
      </c>
      <c r="S383" s="97" t="str">
        <f aca="false">IF(ISBLANK($C383),"",IF(COUNTA(G383:H383)=0,"",IF(AND(OR(ISBLANK(G383),AND(ISNUMBER(G383),G383&gt;=0)),OR(ISBLANK(H383),AND(ISNUMBER(H383),H383&gt;=0))),60*IF(ISBLANK(G383),0,G383)+IF(ISBLANK(H383),0,H383),"")))</f>
        <v/>
      </c>
      <c r="T383" s="97" t="str">
        <f aca="false">IF(ISBLANK($C383),"",IF(I383=Constants!$B$2, TRUE(), IF(I383=Constants!$B$3, FALSE(), TRUE())))</f>
        <v/>
      </c>
      <c r="U383" s="97" t="str">
        <f aca="false">IF(ISBLANK($C383),"",IF(J383=Constants!$B$2, TRUE(), IF(J383=Constants!$B$3, FALSE(), TRUE())))</f>
        <v/>
      </c>
      <c r="V383" s="97" t="str">
        <f aca="false">IF(ISBLANK($C383),"",IF(COUNTA(K383:L383)=0,"",IF(AND(OR(ISBLANK(K383),AND(ISNUMBER(K383),K383&gt;=0)),OR(ISBLANK(L383),AND(ISNUMBER(L383),L383&gt;=0))),60*IF(ISBLANK(K383),0,K383)+IF(ISBLANK(L383),0,L383),"")))</f>
        <v/>
      </c>
      <c r="W383" s="97" t="str">
        <f aca="false">IF(ISBLANK($C383),"",IF(M383=Constants!$B$2, TRUE(), IF(M383=Constants!$B$3, FALSE(), TRUE())))</f>
        <v/>
      </c>
      <c r="X383" s="97" t="str">
        <f aca="false">IF(ISBLANK($C383),"",IF(N383=Constants!$B$2, TRUE(), IF(N383=Constants!$B$3, FALSE(), TRUE())))</f>
        <v/>
      </c>
      <c r="Y383" s="97" t="str">
        <f aca="false">IF(ISBLANK($C383),"",IF(O383=Constants!$B$2, TRUE(), IF(O383=Constants!$B$3, FALSE(), FALSE())))</f>
        <v/>
      </c>
      <c r="Z383" s="97" t="str">
        <f aca="false">IF(ISBLANK($C383),"",AND(S383&lt;&gt;"",Q383))</f>
        <v/>
      </c>
      <c r="AA383" s="97" t="str">
        <f aca="false">IF(ISBLANK($C383),"",AND(V383&lt;&gt;"",Q383))</f>
        <v/>
      </c>
      <c r="AB383" s="97" t="str">
        <f aca="false">IF(ISBLANK($C383),"",IF(Y383,Constants!$B$4,IF(COUNTA(E383:N383)=0,Constants!$B$5,IF(NOT(Q383),Constants!$B$6,IF(AND(NOT(Z383),NOT(AA383)),Constants!$B$6,Constants!$B$7)))))</f>
        <v/>
      </c>
      <c r="AC383" s="97" t="str">
        <f aca="false">IF(ISBLANK($C383),"",IF($AB383&lt;&gt;Constants!$B$7,$AB383,Constants!$B$20))</f>
        <v/>
      </c>
      <c r="AD383" s="97" t="str">
        <f aca="false">IF($AB383=Constants!$B$7,IF(Z383,S383,Constants!$B$13),"")</f>
        <v/>
      </c>
      <c r="AE383" s="97" t="str">
        <f aca="false">IF($AB383=Constants!$B$7,IF(Z383,R383*IF(T383, 1, Constants!$B$11)*IF(U383, 1, Constants!$B$12),Constants!$B$13),"")</f>
        <v/>
      </c>
      <c r="AF383" s="97" t="str">
        <f aca="false">IF($AB383=Constants!$B$7,AD383*AE383,"")</f>
        <v/>
      </c>
      <c r="AG383" s="97" t="str">
        <f aca="false">IF($AB383=Constants!$B$7,IF(AA383,V383,Constants!$B$13),"")</f>
        <v/>
      </c>
      <c r="AH383" s="97" t="str">
        <f aca="false">IF($AB383=Constants!$B$7,IF(AA383,R383*IF(W383, 1, Constants!$B$11)*IF(X383, 1, Constants!$B$12),Constants!$B$13),"")</f>
        <v/>
      </c>
      <c r="AI383" s="97" t="str">
        <f aca="false">IF($AB383=Constants!$B$7,AG383*AH383,"")</f>
        <v/>
      </c>
      <c r="AJ383" s="97" t="str">
        <f aca="false">IF($AB383=Constants!$B$7,IF(AI383&gt;AF383,2,1),"")</f>
        <v/>
      </c>
      <c r="AK383" s="97" t="str">
        <f aca="false">IF($AB383=Constants!$B$7,IF(AJ383=1,2,1),"")</f>
        <v/>
      </c>
      <c r="AL383" s="97" t="str">
        <f aca="false">IF(ISBLANK($C383),"",IF($AB383&lt;&gt;Constants!$B$7,$AB383,IF(AJ383=1,AF383,AI383)))</f>
        <v/>
      </c>
      <c r="AM383" s="97" t="str">
        <f aca="false">IF(ISBLANK($C383),"",IF($AB383=Constants!$B$7,IF(ISNUMBER(AL383),RANK(AL383,$AL$8:$AL$507),Constants!$B$14),$AB383))</f>
        <v/>
      </c>
      <c r="AN383" s="97" t="str">
        <f aca="false">IF(ISBLANK($C383),"",IF($AB383=Constants!$B$7,IF(AK383=1,AF383,AI383),""))</f>
        <v/>
      </c>
      <c r="AO383" s="97" t="str">
        <f aca="false">IF(ISBLANK($C383),"",IF($AB383=Constants!$B$7,RANK(AN383,$AN$8:$AN$507),$AB383))</f>
        <v/>
      </c>
      <c r="AP383" s="97" t="str">
        <f aca="false">IF(ISBLANK($C383),"",IF($AB383=Constants!$B$7,IF(ISNUMBER(AM383),COUNTIFS($AM$8:$AM$507,"&lt;"&amp;$AM383)+COUNTIFS($AM$8:$AM$507,$AM383,$AO$8:$AO$507,"&lt;"&amp;$AO383)+1,Constants!$B$14),$AB383))</f>
        <v/>
      </c>
      <c r="AQ383" s="97" t="str">
        <f aca="false">IF(ISBLANK($C383),"",IF($AB383=Constants!$B$7,IF(ISNUMBER(AM383),AM383-AP383,Constants!$B$14),$AB383))</f>
        <v/>
      </c>
      <c r="AR383" s="98"/>
      <c r="AS383" s="99" t="str">
        <f aca="false">IF(ISBLANK($C383),"",IF($AB383&lt;&gt;Constants!$B$7,"",AJ383))</f>
        <v/>
      </c>
      <c r="AT383" s="100" t="str">
        <f aca="false">IF(ISBLANK($C383),"",IF($AB383&lt;&gt;Constants!$B$7,"",IF(AJ383=1,AD383,AG383)))</f>
        <v/>
      </c>
      <c r="AU383" s="101" t="str">
        <f aca="false">IF(ISBLANK($C383),"",IF($AB383&lt;&gt;Constants!$B$7,"",IF(AJ383=1,AE383,AH383)))</f>
        <v/>
      </c>
      <c r="AV383" s="102" t="str">
        <f aca="false">IF(ISBLANK($C383),"",IF($AB383&lt;&gt;Constants!$B$7,$AB383,AL383))</f>
        <v/>
      </c>
      <c r="AW383" s="103" t="str">
        <f aca="false">IF(ISBLANK($C383),"",IF($AB383&lt;&gt;Constants!$B$7,$AB383,AC383))</f>
        <v/>
      </c>
      <c r="AX383" s="104" t="str">
        <f aca="false">IF(ISBLANK($C383),"",AQ383)</f>
        <v/>
      </c>
      <c r="AY383" s="104" t="str">
        <f aca="false">IF(ISBLANK($C383),"",AP383)</f>
        <v/>
      </c>
      <c r="AZ383" s="105" t="str">
        <f aca="false">IF(ISBLANK($C383),"",IF(AY383=Constants!$B$4,COUNTA($C$8:$C$507)+2,IF(AY383=Constants!$B$5,COUNTA($C$8:$C$507)+1,IF(AY383=Constants!$B$6,COUNTA($C$8:$C$507),AY383))))</f>
        <v/>
      </c>
      <c r="BA383" s="5"/>
      <c r="BB383" s="106" t="n">
        <f aca="false">IF(OR(ISNUMBER(AY383),AY383=Constants!$B$4,AY383=Constants!$B$6,AY383=Constants!$B$5),1,0)</f>
        <v>0</v>
      </c>
      <c r="BC383" s="106" t="n">
        <v>376</v>
      </c>
      <c r="BD383" s="106" t="str">
        <f aca="false">IF(ISBLANK($C383),"",IF(ISNUMBER(AZ383),AZ383+ROW($B383)/1000,""))</f>
        <v/>
      </c>
      <c r="BE383" s="106" t="str">
        <f aca="false">IF(ISNUMBER(BD383),RANK(BD383,$BD$8:$BD$507,1),"")</f>
        <v/>
      </c>
      <c r="BF383" s="106" t="str">
        <f aca="false">IF(ISBLANK($C383),"",$B383)</f>
        <v/>
      </c>
      <c r="BG383" s="106" t="str">
        <f aca="false">IF(ISBLANK($C383),"",$C383)</f>
        <v/>
      </c>
      <c r="BH383" s="106" t="str">
        <f aca="false">IF(ISBLANK($C383),"",$D383)</f>
        <v/>
      </c>
      <c r="BI383" s="107" t="str">
        <f aca="false">AW383</f>
        <v/>
      </c>
      <c r="BJ383" s="108" t="str">
        <f aca="false">AV383</f>
        <v/>
      </c>
      <c r="BK383" s="106" t="str">
        <f aca="false">IF(ISBLANK($C383),"",AY383)</f>
        <v/>
      </c>
      <c r="BL383" s="109" t="str">
        <f aca="false">IF($BC383&gt;$BB$7,"",VLOOKUP($BC383,$BE$8:$BK$507,7,FALSE()))</f>
        <v/>
      </c>
      <c r="BM383" s="110" t="str">
        <f aca="false">IF($BC383&gt;$BB$7,"",VLOOKUP($BC383,$BE$8:$BK$507,2,FALSE()))</f>
        <v/>
      </c>
      <c r="BN383" s="110" t="str">
        <f aca="false">IF($BC383&gt;$BB$7,"",VLOOKUP($BC383,$BE$8:$BK$507,3,FALSE()))</f>
        <v/>
      </c>
      <c r="BO383" s="110" t="str">
        <f aca="false">IF($BC383&gt;$BB$7,"",VLOOKUP($BC383,$BE$8:$BK$507,4,FALSE()))</f>
        <v/>
      </c>
      <c r="BP383" s="110" t="str">
        <f aca="false">IF($BC383&gt;$BB$7,"",VLOOKUP($BC383,$BE$8:$BK$507,5,FALSE()))</f>
        <v/>
      </c>
      <c r="BQ383" s="111" t="str">
        <f aca="false">IF($BC383&gt;$BB$7,"",VLOOKUP($BC383,$BE$8:$BK$507,6,FALSE()))</f>
        <v/>
      </c>
      <c r="BR383" s="54"/>
    </row>
    <row r="384" customFormat="false" ht="15.75" hidden="false" customHeight="false" outlineLevel="0" collapsed="false">
      <c r="A384" s="5"/>
      <c r="B384" s="120"/>
      <c r="C384" s="121"/>
      <c r="D384" s="112"/>
      <c r="E384" s="123"/>
      <c r="F384" s="91"/>
      <c r="G384" s="92"/>
      <c r="H384" s="93"/>
      <c r="I384" s="94"/>
      <c r="J384" s="91"/>
      <c r="K384" s="92"/>
      <c r="L384" s="93"/>
      <c r="M384" s="94"/>
      <c r="N384" s="91"/>
      <c r="O384" s="123"/>
      <c r="P384" s="96"/>
      <c r="Q384" s="97" t="str">
        <f aca="false">IF(ISBLANK($C384),"",IF(E384=Constants!$B$2, TRUE(), IF(E384=Constants!$B$3, FALSE(), TRUE())))</f>
        <v/>
      </c>
      <c r="R384" s="97" t="str">
        <f aca="false">IF(ISBLANK($C384),"",IF(F384=Constants!$B$16,Constants!$B$9,IF(F384=Constants!$B$17,Constants!$B$10,Constants!$B$8)))</f>
        <v/>
      </c>
      <c r="S384" s="97" t="str">
        <f aca="false">IF(ISBLANK($C384),"",IF(COUNTA(G384:H384)=0,"",IF(AND(OR(ISBLANK(G384),AND(ISNUMBER(G384),G384&gt;=0)),OR(ISBLANK(H384),AND(ISNUMBER(H384),H384&gt;=0))),60*IF(ISBLANK(G384),0,G384)+IF(ISBLANK(H384),0,H384),"")))</f>
        <v/>
      </c>
      <c r="T384" s="97" t="str">
        <f aca="false">IF(ISBLANK($C384),"",IF(I384=Constants!$B$2, TRUE(), IF(I384=Constants!$B$3, FALSE(), TRUE())))</f>
        <v/>
      </c>
      <c r="U384" s="97" t="str">
        <f aca="false">IF(ISBLANK($C384),"",IF(J384=Constants!$B$2, TRUE(), IF(J384=Constants!$B$3, FALSE(), TRUE())))</f>
        <v/>
      </c>
      <c r="V384" s="97" t="str">
        <f aca="false">IF(ISBLANK($C384),"",IF(COUNTA(K384:L384)=0,"",IF(AND(OR(ISBLANK(K384),AND(ISNUMBER(K384),K384&gt;=0)),OR(ISBLANK(L384),AND(ISNUMBER(L384),L384&gt;=0))),60*IF(ISBLANK(K384),0,K384)+IF(ISBLANK(L384),0,L384),"")))</f>
        <v/>
      </c>
      <c r="W384" s="97" t="str">
        <f aca="false">IF(ISBLANK($C384),"",IF(M384=Constants!$B$2, TRUE(), IF(M384=Constants!$B$3, FALSE(), TRUE())))</f>
        <v/>
      </c>
      <c r="X384" s="97" t="str">
        <f aca="false">IF(ISBLANK($C384),"",IF(N384=Constants!$B$2, TRUE(), IF(N384=Constants!$B$3, FALSE(), TRUE())))</f>
        <v/>
      </c>
      <c r="Y384" s="97" t="str">
        <f aca="false">IF(ISBLANK($C384),"",IF(O384=Constants!$B$2, TRUE(), IF(O384=Constants!$B$3, FALSE(), FALSE())))</f>
        <v/>
      </c>
      <c r="Z384" s="97" t="str">
        <f aca="false">IF(ISBLANK($C384),"",AND(S384&lt;&gt;"",Q384))</f>
        <v/>
      </c>
      <c r="AA384" s="97" t="str">
        <f aca="false">IF(ISBLANK($C384),"",AND(V384&lt;&gt;"",Q384))</f>
        <v/>
      </c>
      <c r="AB384" s="97" t="str">
        <f aca="false">IF(ISBLANK($C384),"",IF(Y384,Constants!$B$4,IF(COUNTA(E384:N384)=0,Constants!$B$5,IF(NOT(Q384),Constants!$B$6,IF(AND(NOT(Z384),NOT(AA384)),Constants!$B$6,Constants!$B$7)))))</f>
        <v/>
      </c>
      <c r="AC384" s="97" t="str">
        <f aca="false">IF(ISBLANK($C384),"",IF($AB384&lt;&gt;Constants!$B$7,$AB384,Constants!$B$20))</f>
        <v/>
      </c>
      <c r="AD384" s="97" t="str">
        <f aca="false">IF($AB384=Constants!$B$7,IF(Z384,S384,Constants!$B$13),"")</f>
        <v/>
      </c>
      <c r="AE384" s="97" t="str">
        <f aca="false">IF($AB384=Constants!$B$7,IF(Z384,R384*IF(T384, 1, Constants!$B$11)*IF(U384, 1, Constants!$B$12),Constants!$B$13),"")</f>
        <v/>
      </c>
      <c r="AF384" s="97" t="str">
        <f aca="false">IF($AB384=Constants!$B$7,AD384*AE384,"")</f>
        <v/>
      </c>
      <c r="AG384" s="97" t="str">
        <f aca="false">IF($AB384=Constants!$B$7,IF(AA384,V384,Constants!$B$13),"")</f>
        <v/>
      </c>
      <c r="AH384" s="97" t="str">
        <f aca="false">IF($AB384=Constants!$B$7,IF(AA384,R384*IF(W384, 1, Constants!$B$11)*IF(X384, 1, Constants!$B$12),Constants!$B$13),"")</f>
        <v/>
      </c>
      <c r="AI384" s="97" t="str">
        <f aca="false">IF($AB384=Constants!$B$7,AG384*AH384,"")</f>
        <v/>
      </c>
      <c r="AJ384" s="97" t="str">
        <f aca="false">IF($AB384=Constants!$B$7,IF(AI384&gt;AF384,2,1),"")</f>
        <v/>
      </c>
      <c r="AK384" s="97" t="str">
        <f aca="false">IF($AB384=Constants!$B$7,IF(AJ384=1,2,1),"")</f>
        <v/>
      </c>
      <c r="AL384" s="97" t="str">
        <f aca="false">IF(ISBLANK($C384),"",IF($AB384&lt;&gt;Constants!$B$7,$AB384,IF(AJ384=1,AF384,AI384)))</f>
        <v/>
      </c>
      <c r="AM384" s="97" t="str">
        <f aca="false">IF(ISBLANK($C384),"",IF($AB384=Constants!$B$7,IF(ISNUMBER(AL384),RANK(AL384,$AL$8:$AL$507),Constants!$B$14),$AB384))</f>
        <v/>
      </c>
      <c r="AN384" s="97" t="str">
        <f aca="false">IF(ISBLANK($C384),"",IF($AB384=Constants!$B$7,IF(AK384=1,AF384,AI384),""))</f>
        <v/>
      </c>
      <c r="AO384" s="97" t="str">
        <f aca="false">IF(ISBLANK($C384),"",IF($AB384=Constants!$B$7,RANK(AN384,$AN$8:$AN$507),$AB384))</f>
        <v/>
      </c>
      <c r="AP384" s="97" t="str">
        <f aca="false">IF(ISBLANK($C384),"",IF($AB384=Constants!$B$7,IF(ISNUMBER(AM384),COUNTIFS($AM$8:$AM$507,"&lt;"&amp;$AM384)+COUNTIFS($AM$8:$AM$507,$AM384,$AO$8:$AO$507,"&lt;"&amp;$AO384)+1,Constants!$B$14),$AB384))</f>
        <v/>
      </c>
      <c r="AQ384" s="97" t="str">
        <f aca="false">IF(ISBLANK($C384),"",IF($AB384=Constants!$B$7,IF(ISNUMBER(AM384),AM384-AP384,Constants!$B$14),$AB384))</f>
        <v/>
      </c>
      <c r="AR384" s="98"/>
      <c r="AS384" s="99" t="str">
        <f aca="false">IF(ISBLANK($C384),"",IF($AB384&lt;&gt;Constants!$B$7,"",AJ384))</f>
        <v/>
      </c>
      <c r="AT384" s="100" t="str">
        <f aca="false">IF(ISBLANK($C384),"",IF($AB384&lt;&gt;Constants!$B$7,"",IF(AJ384=1,AD384,AG384)))</f>
        <v/>
      </c>
      <c r="AU384" s="101" t="str">
        <f aca="false">IF(ISBLANK($C384),"",IF($AB384&lt;&gt;Constants!$B$7,"",IF(AJ384=1,AE384,AH384)))</f>
        <v/>
      </c>
      <c r="AV384" s="102" t="str">
        <f aca="false">IF(ISBLANK($C384),"",IF($AB384&lt;&gt;Constants!$B$7,$AB384,AL384))</f>
        <v/>
      </c>
      <c r="AW384" s="103" t="str">
        <f aca="false">IF(ISBLANK($C384),"",IF($AB384&lt;&gt;Constants!$B$7,$AB384,AC384))</f>
        <v/>
      </c>
      <c r="AX384" s="104" t="str">
        <f aca="false">IF(ISBLANK($C384),"",AQ384)</f>
        <v/>
      </c>
      <c r="AY384" s="104" t="str">
        <f aca="false">IF(ISBLANK($C384),"",AP384)</f>
        <v/>
      </c>
      <c r="AZ384" s="105" t="str">
        <f aca="false">IF(ISBLANK($C384),"",IF(AY384=Constants!$B$4,COUNTA($C$8:$C$507)+2,IF(AY384=Constants!$B$5,COUNTA($C$8:$C$507)+1,IF(AY384=Constants!$B$6,COUNTA($C$8:$C$507),AY384))))</f>
        <v/>
      </c>
      <c r="BA384" s="5"/>
      <c r="BB384" s="106" t="n">
        <f aca="false">IF(OR(ISNUMBER(AY384),AY384=Constants!$B$4,AY384=Constants!$B$6,AY384=Constants!$B$5),1,0)</f>
        <v>0</v>
      </c>
      <c r="BC384" s="106" t="n">
        <v>377</v>
      </c>
      <c r="BD384" s="106" t="str">
        <f aca="false">IF(ISBLANK($C384),"",IF(ISNUMBER(AZ384),AZ384+ROW($B384)/1000,""))</f>
        <v/>
      </c>
      <c r="BE384" s="106" t="str">
        <f aca="false">IF(ISNUMBER(BD384),RANK(BD384,$BD$8:$BD$507,1),"")</f>
        <v/>
      </c>
      <c r="BF384" s="106" t="str">
        <f aca="false">IF(ISBLANK($C384),"",$B384)</f>
        <v/>
      </c>
      <c r="BG384" s="106" t="str">
        <f aca="false">IF(ISBLANK($C384),"",$C384)</f>
        <v/>
      </c>
      <c r="BH384" s="106" t="str">
        <f aca="false">IF(ISBLANK($C384),"",$D384)</f>
        <v/>
      </c>
      <c r="BI384" s="107" t="str">
        <f aca="false">AW384</f>
        <v/>
      </c>
      <c r="BJ384" s="108" t="str">
        <f aca="false">AV384</f>
        <v/>
      </c>
      <c r="BK384" s="106" t="str">
        <f aca="false">IF(ISBLANK($C384),"",AY384)</f>
        <v/>
      </c>
      <c r="BL384" s="109" t="str">
        <f aca="false">IF($BC384&gt;$BB$7,"",VLOOKUP($BC384,$BE$8:$BK$507,7,FALSE()))</f>
        <v/>
      </c>
      <c r="BM384" s="110" t="str">
        <f aca="false">IF($BC384&gt;$BB$7,"",VLOOKUP($BC384,$BE$8:$BK$507,2,FALSE()))</f>
        <v/>
      </c>
      <c r="BN384" s="110" t="str">
        <f aca="false">IF($BC384&gt;$BB$7,"",VLOOKUP($BC384,$BE$8:$BK$507,3,FALSE()))</f>
        <v/>
      </c>
      <c r="BO384" s="110" t="str">
        <f aca="false">IF($BC384&gt;$BB$7,"",VLOOKUP($BC384,$BE$8:$BK$507,4,FALSE()))</f>
        <v/>
      </c>
      <c r="BP384" s="110" t="str">
        <f aca="false">IF($BC384&gt;$BB$7,"",VLOOKUP($BC384,$BE$8:$BK$507,5,FALSE()))</f>
        <v/>
      </c>
      <c r="BQ384" s="111" t="str">
        <f aca="false">IF($BC384&gt;$BB$7,"",VLOOKUP($BC384,$BE$8:$BK$507,6,FALSE()))</f>
        <v/>
      </c>
      <c r="BR384" s="54"/>
    </row>
    <row r="385" customFormat="false" ht="15.75" hidden="false" customHeight="false" outlineLevel="0" collapsed="false">
      <c r="A385" s="5"/>
      <c r="B385" s="120"/>
      <c r="C385" s="121"/>
      <c r="D385" s="112"/>
      <c r="E385" s="123"/>
      <c r="F385" s="91"/>
      <c r="G385" s="92"/>
      <c r="H385" s="93"/>
      <c r="I385" s="94"/>
      <c r="J385" s="91"/>
      <c r="K385" s="92"/>
      <c r="L385" s="93"/>
      <c r="M385" s="94"/>
      <c r="N385" s="91"/>
      <c r="O385" s="123"/>
      <c r="P385" s="96"/>
      <c r="Q385" s="97" t="str">
        <f aca="false">IF(ISBLANK($C385),"",IF(E385=Constants!$B$2, TRUE(), IF(E385=Constants!$B$3, FALSE(), TRUE())))</f>
        <v/>
      </c>
      <c r="R385" s="97" t="str">
        <f aca="false">IF(ISBLANK($C385),"",IF(F385=Constants!$B$16,Constants!$B$9,IF(F385=Constants!$B$17,Constants!$B$10,Constants!$B$8)))</f>
        <v/>
      </c>
      <c r="S385" s="97" t="str">
        <f aca="false">IF(ISBLANK($C385),"",IF(COUNTA(G385:H385)=0,"",IF(AND(OR(ISBLANK(G385),AND(ISNUMBER(G385),G385&gt;=0)),OR(ISBLANK(H385),AND(ISNUMBER(H385),H385&gt;=0))),60*IF(ISBLANK(G385),0,G385)+IF(ISBLANK(H385),0,H385),"")))</f>
        <v/>
      </c>
      <c r="T385" s="97" t="str">
        <f aca="false">IF(ISBLANK($C385),"",IF(I385=Constants!$B$2, TRUE(), IF(I385=Constants!$B$3, FALSE(), TRUE())))</f>
        <v/>
      </c>
      <c r="U385" s="97" t="str">
        <f aca="false">IF(ISBLANK($C385),"",IF(J385=Constants!$B$2, TRUE(), IF(J385=Constants!$B$3, FALSE(), TRUE())))</f>
        <v/>
      </c>
      <c r="V385" s="97" t="str">
        <f aca="false">IF(ISBLANK($C385),"",IF(COUNTA(K385:L385)=0,"",IF(AND(OR(ISBLANK(K385),AND(ISNUMBER(K385),K385&gt;=0)),OR(ISBLANK(L385),AND(ISNUMBER(L385),L385&gt;=0))),60*IF(ISBLANK(K385),0,K385)+IF(ISBLANK(L385),0,L385),"")))</f>
        <v/>
      </c>
      <c r="W385" s="97" t="str">
        <f aca="false">IF(ISBLANK($C385),"",IF(M385=Constants!$B$2, TRUE(), IF(M385=Constants!$B$3, FALSE(), TRUE())))</f>
        <v/>
      </c>
      <c r="X385" s="97" t="str">
        <f aca="false">IF(ISBLANK($C385),"",IF(N385=Constants!$B$2, TRUE(), IF(N385=Constants!$B$3, FALSE(), TRUE())))</f>
        <v/>
      </c>
      <c r="Y385" s="97" t="str">
        <f aca="false">IF(ISBLANK($C385),"",IF(O385=Constants!$B$2, TRUE(), IF(O385=Constants!$B$3, FALSE(), FALSE())))</f>
        <v/>
      </c>
      <c r="Z385" s="97" t="str">
        <f aca="false">IF(ISBLANK($C385),"",AND(S385&lt;&gt;"",Q385))</f>
        <v/>
      </c>
      <c r="AA385" s="97" t="str">
        <f aca="false">IF(ISBLANK($C385),"",AND(V385&lt;&gt;"",Q385))</f>
        <v/>
      </c>
      <c r="AB385" s="97" t="str">
        <f aca="false">IF(ISBLANK($C385),"",IF(Y385,Constants!$B$4,IF(COUNTA(E385:N385)=0,Constants!$B$5,IF(NOT(Q385),Constants!$B$6,IF(AND(NOT(Z385),NOT(AA385)),Constants!$B$6,Constants!$B$7)))))</f>
        <v/>
      </c>
      <c r="AC385" s="97" t="str">
        <f aca="false">IF(ISBLANK($C385),"",IF($AB385&lt;&gt;Constants!$B$7,$AB385,Constants!$B$20))</f>
        <v/>
      </c>
      <c r="AD385" s="97" t="str">
        <f aca="false">IF($AB385=Constants!$B$7,IF(Z385,S385,Constants!$B$13),"")</f>
        <v/>
      </c>
      <c r="AE385" s="97" t="str">
        <f aca="false">IF($AB385=Constants!$B$7,IF(Z385,R385*IF(T385, 1, Constants!$B$11)*IF(U385, 1, Constants!$B$12),Constants!$B$13),"")</f>
        <v/>
      </c>
      <c r="AF385" s="97" t="str">
        <f aca="false">IF($AB385=Constants!$B$7,AD385*AE385,"")</f>
        <v/>
      </c>
      <c r="AG385" s="97" t="str">
        <f aca="false">IF($AB385=Constants!$B$7,IF(AA385,V385,Constants!$B$13),"")</f>
        <v/>
      </c>
      <c r="AH385" s="97" t="str">
        <f aca="false">IF($AB385=Constants!$B$7,IF(AA385,R385*IF(W385, 1, Constants!$B$11)*IF(X385, 1, Constants!$B$12),Constants!$B$13),"")</f>
        <v/>
      </c>
      <c r="AI385" s="97" t="str">
        <f aca="false">IF($AB385=Constants!$B$7,AG385*AH385,"")</f>
        <v/>
      </c>
      <c r="AJ385" s="97" t="str">
        <f aca="false">IF($AB385=Constants!$B$7,IF(AI385&gt;AF385,2,1),"")</f>
        <v/>
      </c>
      <c r="AK385" s="97" t="str">
        <f aca="false">IF($AB385=Constants!$B$7,IF(AJ385=1,2,1),"")</f>
        <v/>
      </c>
      <c r="AL385" s="97" t="str">
        <f aca="false">IF(ISBLANK($C385),"",IF($AB385&lt;&gt;Constants!$B$7,$AB385,IF(AJ385=1,AF385,AI385)))</f>
        <v/>
      </c>
      <c r="AM385" s="97" t="str">
        <f aca="false">IF(ISBLANK($C385),"",IF($AB385=Constants!$B$7,IF(ISNUMBER(AL385),RANK(AL385,$AL$8:$AL$507),Constants!$B$14),$AB385))</f>
        <v/>
      </c>
      <c r="AN385" s="97" t="str">
        <f aca="false">IF(ISBLANK($C385),"",IF($AB385=Constants!$B$7,IF(AK385=1,AF385,AI385),""))</f>
        <v/>
      </c>
      <c r="AO385" s="97" t="str">
        <f aca="false">IF(ISBLANK($C385),"",IF($AB385=Constants!$B$7,RANK(AN385,$AN$8:$AN$507),$AB385))</f>
        <v/>
      </c>
      <c r="AP385" s="97" t="str">
        <f aca="false">IF(ISBLANK($C385),"",IF($AB385=Constants!$B$7,IF(ISNUMBER(AM385),COUNTIFS($AM$8:$AM$507,"&lt;"&amp;$AM385)+COUNTIFS($AM$8:$AM$507,$AM385,$AO$8:$AO$507,"&lt;"&amp;$AO385)+1,Constants!$B$14),$AB385))</f>
        <v/>
      </c>
      <c r="AQ385" s="97" t="str">
        <f aca="false">IF(ISBLANK($C385),"",IF($AB385=Constants!$B$7,IF(ISNUMBER(AM385),AM385-AP385,Constants!$B$14),$AB385))</f>
        <v/>
      </c>
      <c r="AR385" s="98"/>
      <c r="AS385" s="99" t="str">
        <f aca="false">IF(ISBLANK($C385),"",IF($AB385&lt;&gt;Constants!$B$7,"",AJ385))</f>
        <v/>
      </c>
      <c r="AT385" s="100" t="str">
        <f aca="false">IF(ISBLANK($C385),"",IF($AB385&lt;&gt;Constants!$B$7,"",IF(AJ385=1,AD385,AG385)))</f>
        <v/>
      </c>
      <c r="AU385" s="101" t="str">
        <f aca="false">IF(ISBLANK($C385),"",IF($AB385&lt;&gt;Constants!$B$7,"",IF(AJ385=1,AE385,AH385)))</f>
        <v/>
      </c>
      <c r="AV385" s="102" t="str">
        <f aca="false">IF(ISBLANK($C385),"",IF($AB385&lt;&gt;Constants!$B$7,$AB385,AL385))</f>
        <v/>
      </c>
      <c r="AW385" s="103" t="str">
        <f aca="false">IF(ISBLANK($C385),"",IF($AB385&lt;&gt;Constants!$B$7,$AB385,AC385))</f>
        <v/>
      </c>
      <c r="AX385" s="104" t="str">
        <f aca="false">IF(ISBLANK($C385),"",AQ385)</f>
        <v/>
      </c>
      <c r="AY385" s="104" t="str">
        <f aca="false">IF(ISBLANK($C385),"",AP385)</f>
        <v/>
      </c>
      <c r="AZ385" s="105" t="str">
        <f aca="false">IF(ISBLANK($C385),"",IF(AY385=Constants!$B$4,COUNTA($C$8:$C$507)+2,IF(AY385=Constants!$B$5,COUNTA($C$8:$C$507)+1,IF(AY385=Constants!$B$6,COUNTA($C$8:$C$507),AY385))))</f>
        <v/>
      </c>
      <c r="BA385" s="5"/>
      <c r="BB385" s="106" t="n">
        <f aca="false">IF(OR(ISNUMBER(AY385),AY385=Constants!$B$4,AY385=Constants!$B$6,AY385=Constants!$B$5),1,0)</f>
        <v>0</v>
      </c>
      <c r="BC385" s="106" t="n">
        <v>378</v>
      </c>
      <c r="BD385" s="106" t="str">
        <f aca="false">IF(ISBLANK($C385),"",IF(ISNUMBER(AZ385),AZ385+ROW($B385)/1000,""))</f>
        <v/>
      </c>
      <c r="BE385" s="106" t="str">
        <f aca="false">IF(ISNUMBER(BD385),RANK(BD385,$BD$8:$BD$507,1),"")</f>
        <v/>
      </c>
      <c r="BF385" s="106" t="str">
        <f aca="false">IF(ISBLANK($C385),"",$B385)</f>
        <v/>
      </c>
      <c r="BG385" s="106" t="str">
        <f aca="false">IF(ISBLANK($C385),"",$C385)</f>
        <v/>
      </c>
      <c r="BH385" s="106" t="str">
        <f aca="false">IF(ISBLANK($C385),"",$D385)</f>
        <v/>
      </c>
      <c r="BI385" s="107" t="str">
        <f aca="false">AW385</f>
        <v/>
      </c>
      <c r="BJ385" s="108" t="str">
        <f aca="false">AV385</f>
        <v/>
      </c>
      <c r="BK385" s="106" t="str">
        <f aca="false">IF(ISBLANK($C385),"",AY385)</f>
        <v/>
      </c>
      <c r="BL385" s="109" t="str">
        <f aca="false">IF($BC385&gt;$BB$7,"",VLOOKUP($BC385,$BE$8:$BK$507,7,FALSE()))</f>
        <v/>
      </c>
      <c r="BM385" s="110" t="str">
        <f aca="false">IF($BC385&gt;$BB$7,"",VLOOKUP($BC385,$BE$8:$BK$507,2,FALSE()))</f>
        <v/>
      </c>
      <c r="BN385" s="110" t="str">
        <f aca="false">IF($BC385&gt;$BB$7,"",VLOOKUP($BC385,$BE$8:$BK$507,3,FALSE()))</f>
        <v/>
      </c>
      <c r="BO385" s="110" t="str">
        <f aca="false">IF($BC385&gt;$BB$7,"",VLOOKUP($BC385,$BE$8:$BK$507,4,FALSE()))</f>
        <v/>
      </c>
      <c r="BP385" s="110" t="str">
        <f aca="false">IF($BC385&gt;$BB$7,"",VLOOKUP($BC385,$BE$8:$BK$507,5,FALSE()))</f>
        <v/>
      </c>
      <c r="BQ385" s="111" t="str">
        <f aca="false">IF($BC385&gt;$BB$7,"",VLOOKUP($BC385,$BE$8:$BK$507,6,FALSE()))</f>
        <v/>
      </c>
      <c r="BR385" s="54"/>
    </row>
    <row r="386" customFormat="false" ht="15.75" hidden="false" customHeight="false" outlineLevel="0" collapsed="false">
      <c r="A386" s="5"/>
      <c r="B386" s="124"/>
      <c r="C386" s="56"/>
      <c r="D386" s="57"/>
      <c r="E386" s="83"/>
      <c r="F386" s="59"/>
      <c r="G386" s="60"/>
      <c r="H386" s="61"/>
      <c r="I386" s="62"/>
      <c r="J386" s="59"/>
      <c r="K386" s="60"/>
      <c r="L386" s="61"/>
      <c r="M386" s="62"/>
      <c r="N386" s="59"/>
      <c r="O386" s="83"/>
      <c r="P386" s="64"/>
      <c r="Q386" s="66" t="str">
        <f aca="false">IF(ISBLANK($C386),"",IF(E386=Constants!$B$2, TRUE(), IF(E386=Constants!$B$3, FALSE(), TRUE())))</f>
        <v/>
      </c>
      <c r="R386" s="66" t="str">
        <f aca="false">IF(ISBLANK($C386),"",IF(F386=Constants!$B$16,Constants!$B$9,IF(F386=Constants!$B$17,Constants!$B$10,Constants!$B$8)))</f>
        <v/>
      </c>
      <c r="S386" s="66" t="str">
        <f aca="false">IF(ISBLANK($C386),"",IF(COUNTA(G386:H386)=0,"",IF(AND(OR(ISBLANK(G386),AND(ISNUMBER(G386),G386&gt;=0)),OR(ISBLANK(H386),AND(ISNUMBER(H386),H386&gt;=0))),60*IF(ISBLANK(G386),0,G386)+IF(ISBLANK(H386),0,H386),"")))</f>
        <v/>
      </c>
      <c r="T386" s="66" t="str">
        <f aca="false">IF(ISBLANK($C386),"",IF(I386=Constants!$B$2, TRUE(), IF(I386=Constants!$B$3, FALSE(), TRUE())))</f>
        <v/>
      </c>
      <c r="U386" s="66" t="str">
        <f aca="false">IF(ISBLANK($C386),"",IF(J386=Constants!$B$2, TRUE(), IF(J386=Constants!$B$3, FALSE(), TRUE())))</f>
        <v/>
      </c>
      <c r="V386" s="66" t="str">
        <f aca="false">IF(ISBLANK($C386),"",IF(COUNTA(K386:L386)=0,"",IF(AND(OR(ISBLANK(K386),AND(ISNUMBER(K386),K386&gt;=0)),OR(ISBLANK(L386),AND(ISNUMBER(L386),L386&gt;=0))),60*IF(ISBLANK(K386),0,K386)+IF(ISBLANK(L386),0,L386),"")))</f>
        <v/>
      </c>
      <c r="W386" s="66" t="str">
        <f aca="false">IF(ISBLANK($C386),"",IF(M386=Constants!$B$2, TRUE(), IF(M386=Constants!$B$3, FALSE(), TRUE())))</f>
        <v/>
      </c>
      <c r="X386" s="66" t="str">
        <f aca="false">IF(ISBLANK($C386),"",IF(N386=Constants!$B$2, TRUE(), IF(N386=Constants!$B$3, FALSE(), TRUE())))</f>
        <v/>
      </c>
      <c r="Y386" s="66" t="str">
        <f aca="false">IF(ISBLANK($C386),"",IF(O386=Constants!$B$2, TRUE(), IF(O386=Constants!$B$3, FALSE(), FALSE())))</f>
        <v/>
      </c>
      <c r="Z386" s="66" t="str">
        <f aca="false">IF(ISBLANK($C386),"",AND(S386&lt;&gt;"",Q386))</f>
        <v/>
      </c>
      <c r="AA386" s="66" t="str">
        <f aca="false">IF(ISBLANK($C386),"",AND(V386&lt;&gt;"",Q386))</f>
        <v/>
      </c>
      <c r="AB386" s="66" t="str">
        <f aca="false">IF(ISBLANK($C386),"",IF(Y386,Constants!$B$4,IF(COUNTA(E386:N386)=0,Constants!$B$5,IF(NOT(Q386),Constants!$B$6,IF(AND(NOT(Z386),NOT(AA386)),Constants!$B$6,Constants!$B$7)))))</f>
        <v/>
      </c>
      <c r="AC386" s="66" t="str">
        <f aca="false">IF(ISBLANK($C386),"",IF($AB386&lt;&gt;Constants!$B$7,$AB386,Constants!$B$20))</f>
        <v/>
      </c>
      <c r="AD386" s="66" t="str">
        <f aca="false">IF($AB386=Constants!$B$7,IF(Z386,S386,Constants!$B$13),"")</f>
        <v/>
      </c>
      <c r="AE386" s="66" t="str">
        <f aca="false">IF($AB386=Constants!$B$7,IF(Z386,R386*IF(T386, 1, Constants!$B$11)*IF(U386, 1, Constants!$B$12),Constants!$B$13),"")</f>
        <v/>
      </c>
      <c r="AF386" s="66" t="str">
        <f aca="false">IF($AB386=Constants!$B$7,AD386*AE386,"")</f>
        <v/>
      </c>
      <c r="AG386" s="66" t="str">
        <f aca="false">IF($AB386=Constants!$B$7,IF(AA386,V386,Constants!$B$13),"")</f>
        <v/>
      </c>
      <c r="AH386" s="66" t="str">
        <f aca="false">IF($AB386=Constants!$B$7,IF(AA386,R386*IF(W386, 1, Constants!$B$11)*IF(X386, 1, Constants!$B$12),Constants!$B$13),"")</f>
        <v/>
      </c>
      <c r="AI386" s="66" t="str">
        <f aca="false">IF($AB386=Constants!$B$7,AG386*AH386,"")</f>
        <v/>
      </c>
      <c r="AJ386" s="66" t="str">
        <f aca="false">IF($AB386=Constants!$B$7,IF(AI386&gt;AF386,2,1),"")</f>
        <v/>
      </c>
      <c r="AK386" s="66" t="str">
        <f aca="false">IF($AB386=Constants!$B$7,IF(AJ386=1,2,1),"")</f>
        <v/>
      </c>
      <c r="AL386" s="66" t="str">
        <f aca="false">IF(ISBLANK($C386),"",IF($AB386&lt;&gt;Constants!$B$7,$AB386,IF(AJ386=1,AF386,AI386)))</f>
        <v/>
      </c>
      <c r="AM386" s="66" t="str">
        <f aca="false">IF(ISBLANK($C386),"",IF($AB386=Constants!$B$7,IF(ISNUMBER(AL386),RANK(AL386,$AL$8:$AL$507),Constants!$B$14),$AB386))</f>
        <v/>
      </c>
      <c r="AN386" s="66" t="str">
        <f aca="false">IF(ISBLANK($C386),"",IF($AB386=Constants!$B$7,IF(AK386=1,AF386,AI386),""))</f>
        <v/>
      </c>
      <c r="AO386" s="66" t="str">
        <f aca="false">IF(ISBLANK($C386),"",IF($AB386=Constants!$B$7,RANK(AN386,$AN$8:$AN$507),$AB386))</f>
        <v/>
      </c>
      <c r="AP386" s="66" t="str">
        <f aca="false">IF(ISBLANK($C386),"",IF($AB386=Constants!$B$7,IF(ISNUMBER(AM386),COUNTIFS($AM$8:$AM$507,"&lt;"&amp;$AM386)+COUNTIFS($AM$8:$AM$507,$AM386,$AO$8:$AO$507,"&lt;"&amp;$AO386)+1,Constants!$B$14),$AB386))</f>
        <v/>
      </c>
      <c r="AQ386" s="66" t="str">
        <f aca="false">IF(ISBLANK($C386),"",IF($AB386=Constants!$B$7,IF(ISNUMBER(AM386),AM386-AP386,Constants!$B$14),$AB386))</f>
        <v/>
      </c>
      <c r="AR386" s="68"/>
      <c r="AS386" s="69" t="str">
        <f aca="false">IF(ISBLANK($C386),"",IF($AB386&lt;&gt;Constants!$B$7,"",AJ386))</f>
        <v/>
      </c>
      <c r="AT386" s="84" t="str">
        <f aca="false">IF(ISBLANK($C386),"",IF($AB386&lt;&gt;Constants!$B$7,"",IF(AJ386=1,AD386,AG386)))</f>
        <v/>
      </c>
      <c r="AU386" s="71" t="str">
        <f aca="false">IF(ISBLANK($C386),"",IF($AB386&lt;&gt;Constants!$B$7,"",IF(AJ386=1,AE386,AH386)))</f>
        <v/>
      </c>
      <c r="AV386" s="72" t="str">
        <f aca="false">IF(ISBLANK($C386),"",IF($AB386&lt;&gt;Constants!$B$7,$AB386,AL386))</f>
        <v/>
      </c>
      <c r="AW386" s="73" t="str">
        <f aca="false">IF(ISBLANK($C386),"",IF($AB386&lt;&gt;Constants!$B$7,$AB386,AC386))</f>
        <v/>
      </c>
      <c r="AX386" s="74" t="str">
        <f aca="false">IF(ISBLANK($C386),"",AQ386)</f>
        <v/>
      </c>
      <c r="AY386" s="74" t="str">
        <f aca="false">IF(ISBLANK($C386),"",AP386)</f>
        <v/>
      </c>
      <c r="AZ386" s="75" t="str">
        <f aca="false">IF(ISBLANK($C386),"",IF(AY386=Constants!$B$4,COUNTA($C$8:$C$507)+2,IF(AY386=Constants!$B$5,COUNTA($C$8:$C$507)+1,IF(AY386=Constants!$B$6,COUNTA($C$8:$C$507),AY386))))</f>
        <v/>
      </c>
      <c r="BA386" s="5"/>
      <c r="BB386" s="76" t="n">
        <f aca="false">IF(OR(ISNUMBER(AY386),AY386=Constants!$B$4,AY386=Constants!$B$6,AY386=Constants!$B$5),1,0)</f>
        <v>0</v>
      </c>
      <c r="BC386" s="76" t="n">
        <v>379</v>
      </c>
      <c r="BD386" s="76" t="str">
        <f aca="false">IF(ISBLANK($C386),"",IF(ISNUMBER(AZ386),AZ386+ROW($B386)/1000,""))</f>
        <v/>
      </c>
      <c r="BE386" s="76" t="str">
        <f aca="false">IF(ISNUMBER(BD386),RANK(BD386,$BD$8:$BD$507,1),"")</f>
        <v/>
      </c>
      <c r="BF386" s="76" t="str">
        <f aca="false">IF(ISBLANK($C386),"",$B386)</f>
        <v/>
      </c>
      <c r="BG386" s="76" t="str">
        <f aca="false">IF(ISBLANK($C386),"",$C386)</f>
        <v/>
      </c>
      <c r="BH386" s="76" t="str">
        <f aca="false">IF(ISBLANK($C386),"",$D386)</f>
        <v/>
      </c>
      <c r="BI386" s="77" t="str">
        <f aca="false">AW386</f>
        <v/>
      </c>
      <c r="BJ386" s="78" t="str">
        <f aca="false">AV386</f>
        <v/>
      </c>
      <c r="BK386" s="76" t="str">
        <f aca="false">IF(ISBLANK($C386),"",AY386)</f>
        <v/>
      </c>
      <c r="BL386" s="79" t="str">
        <f aca="false">IF($BC386&gt;$BB$7,"",VLOOKUP($BC386,$BE$8:$BK$507,7,FALSE()))</f>
        <v/>
      </c>
      <c r="BM386" s="80" t="str">
        <f aca="false">IF($BC386&gt;$BB$7,"",VLOOKUP($BC386,$BE$8:$BK$507,2,FALSE()))</f>
        <v/>
      </c>
      <c r="BN386" s="80" t="str">
        <f aca="false">IF($BC386&gt;$BB$7,"",VLOOKUP($BC386,$BE$8:$BK$507,3,FALSE()))</f>
        <v/>
      </c>
      <c r="BO386" s="80" t="str">
        <f aca="false">IF($BC386&gt;$BB$7,"",VLOOKUP($BC386,$BE$8:$BK$507,4,FALSE()))</f>
        <v/>
      </c>
      <c r="BP386" s="80" t="str">
        <f aca="false">IF($BC386&gt;$BB$7,"",VLOOKUP($BC386,$BE$8:$BK$507,5,FALSE()))</f>
        <v/>
      </c>
      <c r="BQ386" s="81" t="str">
        <f aca="false">IF($BC386&gt;$BB$7,"",VLOOKUP($BC386,$BE$8:$BK$507,6,FALSE()))</f>
        <v/>
      </c>
      <c r="BR386" s="54"/>
    </row>
    <row r="387" customFormat="false" ht="15.75" hidden="false" customHeight="false" outlineLevel="0" collapsed="false">
      <c r="A387" s="5"/>
      <c r="B387" s="124"/>
      <c r="C387" s="56"/>
      <c r="D387" s="57"/>
      <c r="E387" s="83"/>
      <c r="F387" s="59"/>
      <c r="G387" s="60"/>
      <c r="H387" s="61"/>
      <c r="I387" s="62"/>
      <c r="J387" s="59"/>
      <c r="K387" s="60"/>
      <c r="L387" s="61"/>
      <c r="M387" s="62"/>
      <c r="N387" s="59"/>
      <c r="O387" s="83"/>
      <c r="P387" s="64"/>
      <c r="Q387" s="66" t="str">
        <f aca="false">IF(ISBLANK($C387),"",IF(E387=Constants!$B$2, TRUE(), IF(E387=Constants!$B$3, FALSE(), TRUE())))</f>
        <v/>
      </c>
      <c r="R387" s="66" t="str">
        <f aca="false">IF(ISBLANK($C387),"",IF(F387=Constants!$B$16,Constants!$B$9,IF(F387=Constants!$B$17,Constants!$B$10,Constants!$B$8)))</f>
        <v/>
      </c>
      <c r="S387" s="66" t="str">
        <f aca="false">IF(ISBLANK($C387),"",IF(COUNTA(G387:H387)=0,"",IF(AND(OR(ISBLANK(G387),AND(ISNUMBER(G387),G387&gt;=0)),OR(ISBLANK(H387),AND(ISNUMBER(H387),H387&gt;=0))),60*IF(ISBLANK(G387),0,G387)+IF(ISBLANK(H387),0,H387),"")))</f>
        <v/>
      </c>
      <c r="T387" s="66" t="str">
        <f aca="false">IF(ISBLANK($C387),"",IF(I387=Constants!$B$2, TRUE(), IF(I387=Constants!$B$3, FALSE(), TRUE())))</f>
        <v/>
      </c>
      <c r="U387" s="66" t="str">
        <f aca="false">IF(ISBLANK($C387),"",IF(J387=Constants!$B$2, TRUE(), IF(J387=Constants!$B$3, FALSE(), TRUE())))</f>
        <v/>
      </c>
      <c r="V387" s="66" t="str">
        <f aca="false">IF(ISBLANK($C387),"",IF(COUNTA(K387:L387)=0,"",IF(AND(OR(ISBLANK(K387),AND(ISNUMBER(K387),K387&gt;=0)),OR(ISBLANK(L387),AND(ISNUMBER(L387),L387&gt;=0))),60*IF(ISBLANK(K387),0,K387)+IF(ISBLANK(L387),0,L387),"")))</f>
        <v/>
      </c>
      <c r="W387" s="66" t="str">
        <f aca="false">IF(ISBLANK($C387),"",IF(M387=Constants!$B$2, TRUE(), IF(M387=Constants!$B$3, FALSE(), TRUE())))</f>
        <v/>
      </c>
      <c r="X387" s="66" t="str">
        <f aca="false">IF(ISBLANK($C387),"",IF(N387=Constants!$B$2, TRUE(), IF(N387=Constants!$B$3, FALSE(), TRUE())))</f>
        <v/>
      </c>
      <c r="Y387" s="66" t="str">
        <f aca="false">IF(ISBLANK($C387),"",IF(O387=Constants!$B$2, TRUE(), IF(O387=Constants!$B$3, FALSE(), FALSE())))</f>
        <v/>
      </c>
      <c r="Z387" s="66" t="str">
        <f aca="false">IF(ISBLANK($C387),"",AND(S387&lt;&gt;"",Q387))</f>
        <v/>
      </c>
      <c r="AA387" s="66" t="str">
        <f aca="false">IF(ISBLANK($C387),"",AND(V387&lt;&gt;"",Q387))</f>
        <v/>
      </c>
      <c r="AB387" s="66" t="str">
        <f aca="false">IF(ISBLANK($C387),"",IF(Y387,Constants!$B$4,IF(COUNTA(E387:N387)=0,Constants!$B$5,IF(NOT(Q387),Constants!$B$6,IF(AND(NOT(Z387),NOT(AA387)),Constants!$B$6,Constants!$B$7)))))</f>
        <v/>
      </c>
      <c r="AC387" s="66" t="str">
        <f aca="false">IF(ISBLANK($C387),"",IF($AB387&lt;&gt;Constants!$B$7,$AB387,Constants!$B$20))</f>
        <v/>
      </c>
      <c r="AD387" s="66" t="str">
        <f aca="false">IF($AB387=Constants!$B$7,IF(Z387,S387,Constants!$B$13),"")</f>
        <v/>
      </c>
      <c r="AE387" s="66" t="str">
        <f aca="false">IF($AB387=Constants!$B$7,IF(Z387,R387*IF(T387, 1, Constants!$B$11)*IF(U387, 1, Constants!$B$12),Constants!$B$13),"")</f>
        <v/>
      </c>
      <c r="AF387" s="66" t="str">
        <f aca="false">IF($AB387=Constants!$B$7,AD387*AE387,"")</f>
        <v/>
      </c>
      <c r="AG387" s="66" t="str">
        <f aca="false">IF($AB387=Constants!$B$7,IF(AA387,V387,Constants!$B$13),"")</f>
        <v/>
      </c>
      <c r="AH387" s="66" t="str">
        <f aca="false">IF($AB387=Constants!$B$7,IF(AA387,R387*IF(W387, 1, Constants!$B$11)*IF(X387, 1, Constants!$B$12),Constants!$B$13),"")</f>
        <v/>
      </c>
      <c r="AI387" s="66" t="str">
        <f aca="false">IF($AB387=Constants!$B$7,AG387*AH387,"")</f>
        <v/>
      </c>
      <c r="AJ387" s="66" t="str">
        <f aca="false">IF($AB387=Constants!$B$7,IF(AI387&gt;AF387,2,1),"")</f>
        <v/>
      </c>
      <c r="AK387" s="66" t="str">
        <f aca="false">IF($AB387=Constants!$B$7,IF(AJ387=1,2,1),"")</f>
        <v/>
      </c>
      <c r="AL387" s="66" t="str">
        <f aca="false">IF(ISBLANK($C387),"",IF($AB387&lt;&gt;Constants!$B$7,$AB387,IF(AJ387=1,AF387,AI387)))</f>
        <v/>
      </c>
      <c r="AM387" s="66" t="str">
        <f aca="false">IF(ISBLANK($C387),"",IF($AB387=Constants!$B$7,IF(ISNUMBER(AL387),RANK(AL387,$AL$8:$AL$507),Constants!$B$14),$AB387))</f>
        <v/>
      </c>
      <c r="AN387" s="66" t="str">
        <f aca="false">IF(ISBLANK($C387),"",IF($AB387=Constants!$B$7,IF(AK387=1,AF387,AI387),""))</f>
        <v/>
      </c>
      <c r="AO387" s="66" t="str">
        <f aca="false">IF(ISBLANK($C387),"",IF($AB387=Constants!$B$7,RANK(AN387,$AN$8:$AN$507),$AB387))</f>
        <v/>
      </c>
      <c r="AP387" s="66" t="str">
        <f aca="false">IF(ISBLANK($C387),"",IF($AB387=Constants!$B$7,IF(ISNUMBER(AM387),COUNTIFS($AM$8:$AM$507,"&lt;"&amp;$AM387)+COUNTIFS($AM$8:$AM$507,$AM387,$AO$8:$AO$507,"&lt;"&amp;$AO387)+1,Constants!$B$14),$AB387))</f>
        <v/>
      </c>
      <c r="AQ387" s="66" t="str">
        <f aca="false">IF(ISBLANK($C387),"",IF($AB387=Constants!$B$7,IF(ISNUMBER(AM387),AM387-AP387,Constants!$B$14),$AB387))</f>
        <v/>
      </c>
      <c r="AR387" s="68"/>
      <c r="AS387" s="69" t="str">
        <f aca="false">IF(ISBLANK($C387),"",IF($AB387&lt;&gt;Constants!$B$7,"",AJ387))</f>
        <v/>
      </c>
      <c r="AT387" s="84" t="str">
        <f aca="false">IF(ISBLANK($C387),"",IF($AB387&lt;&gt;Constants!$B$7,"",IF(AJ387=1,AD387,AG387)))</f>
        <v/>
      </c>
      <c r="AU387" s="71" t="str">
        <f aca="false">IF(ISBLANK($C387),"",IF($AB387&lt;&gt;Constants!$B$7,"",IF(AJ387=1,AE387,AH387)))</f>
        <v/>
      </c>
      <c r="AV387" s="72" t="str">
        <f aca="false">IF(ISBLANK($C387),"",IF($AB387&lt;&gt;Constants!$B$7,$AB387,AL387))</f>
        <v/>
      </c>
      <c r="AW387" s="73" t="str">
        <f aca="false">IF(ISBLANK($C387),"",IF($AB387&lt;&gt;Constants!$B$7,$AB387,AC387))</f>
        <v/>
      </c>
      <c r="AX387" s="74" t="str">
        <f aca="false">IF(ISBLANK($C387),"",AQ387)</f>
        <v/>
      </c>
      <c r="AY387" s="74" t="str">
        <f aca="false">IF(ISBLANK($C387),"",AP387)</f>
        <v/>
      </c>
      <c r="AZ387" s="75" t="str">
        <f aca="false">IF(ISBLANK($C387),"",IF(AY387=Constants!$B$4,COUNTA($C$8:$C$507)+2,IF(AY387=Constants!$B$5,COUNTA($C$8:$C$507)+1,IF(AY387=Constants!$B$6,COUNTA($C$8:$C$507),AY387))))</f>
        <v/>
      </c>
      <c r="BA387" s="5"/>
      <c r="BB387" s="76" t="n">
        <f aca="false">IF(OR(ISNUMBER(AY387),AY387=Constants!$B$4,AY387=Constants!$B$6,AY387=Constants!$B$5),1,0)</f>
        <v>0</v>
      </c>
      <c r="BC387" s="76" t="n">
        <v>380</v>
      </c>
      <c r="BD387" s="76" t="str">
        <f aca="false">IF(ISBLANK($C387),"",IF(ISNUMBER(AZ387),AZ387+ROW($B387)/1000,""))</f>
        <v/>
      </c>
      <c r="BE387" s="76" t="str">
        <f aca="false">IF(ISNUMBER(BD387),RANK(BD387,$BD$8:$BD$507,1),"")</f>
        <v/>
      </c>
      <c r="BF387" s="76" t="str">
        <f aca="false">IF(ISBLANK($C387),"",$B387)</f>
        <v/>
      </c>
      <c r="BG387" s="76" t="str">
        <f aca="false">IF(ISBLANK($C387),"",$C387)</f>
        <v/>
      </c>
      <c r="BH387" s="76" t="str">
        <f aca="false">IF(ISBLANK($C387),"",$D387)</f>
        <v/>
      </c>
      <c r="BI387" s="77" t="str">
        <f aca="false">AW387</f>
        <v/>
      </c>
      <c r="BJ387" s="78" t="str">
        <f aca="false">AV387</f>
        <v/>
      </c>
      <c r="BK387" s="76" t="str">
        <f aca="false">IF(ISBLANK($C387),"",AY387)</f>
        <v/>
      </c>
      <c r="BL387" s="79" t="str">
        <f aca="false">IF($BC387&gt;$BB$7,"",VLOOKUP($BC387,$BE$8:$BK$507,7,FALSE()))</f>
        <v/>
      </c>
      <c r="BM387" s="80" t="str">
        <f aca="false">IF($BC387&gt;$BB$7,"",VLOOKUP($BC387,$BE$8:$BK$507,2,FALSE()))</f>
        <v/>
      </c>
      <c r="BN387" s="80" t="str">
        <f aca="false">IF($BC387&gt;$BB$7,"",VLOOKUP($BC387,$BE$8:$BK$507,3,FALSE()))</f>
        <v/>
      </c>
      <c r="BO387" s="80" t="str">
        <f aca="false">IF($BC387&gt;$BB$7,"",VLOOKUP($BC387,$BE$8:$BK$507,4,FALSE()))</f>
        <v/>
      </c>
      <c r="BP387" s="80" t="str">
        <f aca="false">IF($BC387&gt;$BB$7,"",VLOOKUP($BC387,$BE$8:$BK$507,5,FALSE()))</f>
        <v/>
      </c>
      <c r="BQ387" s="81" t="str">
        <f aca="false">IF($BC387&gt;$BB$7,"",VLOOKUP($BC387,$BE$8:$BK$507,6,FALSE()))</f>
        <v/>
      </c>
      <c r="BR387" s="54"/>
    </row>
    <row r="388" customFormat="false" ht="15.75" hidden="false" customHeight="false" outlineLevel="0" collapsed="false">
      <c r="A388" s="5"/>
      <c r="B388" s="124"/>
      <c r="C388" s="56"/>
      <c r="D388" s="57"/>
      <c r="E388" s="83"/>
      <c r="F388" s="59"/>
      <c r="G388" s="60"/>
      <c r="H388" s="61"/>
      <c r="I388" s="62"/>
      <c r="J388" s="59"/>
      <c r="K388" s="60"/>
      <c r="L388" s="61"/>
      <c r="M388" s="62"/>
      <c r="N388" s="59"/>
      <c r="O388" s="83"/>
      <c r="P388" s="64"/>
      <c r="Q388" s="66" t="str">
        <f aca="false">IF(ISBLANK($C388),"",IF(E388=Constants!$B$2, TRUE(), IF(E388=Constants!$B$3, FALSE(), TRUE())))</f>
        <v/>
      </c>
      <c r="R388" s="66" t="str">
        <f aca="false">IF(ISBLANK($C388),"",IF(F388=Constants!$B$16,Constants!$B$9,IF(F388=Constants!$B$17,Constants!$B$10,Constants!$B$8)))</f>
        <v/>
      </c>
      <c r="S388" s="66" t="str">
        <f aca="false">IF(ISBLANK($C388),"",IF(COUNTA(G388:H388)=0,"",IF(AND(OR(ISBLANK(G388),AND(ISNUMBER(G388),G388&gt;=0)),OR(ISBLANK(H388),AND(ISNUMBER(H388),H388&gt;=0))),60*IF(ISBLANK(G388),0,G388)+IF(ISBLANK(H388),0,H388),"")))</f>
        <v/>
      </c>
      <c r="T388" s="66" t="str">
        <f aca="false">IF(ISBLANK($C388),"",IF(I388=Constants!$B$2, TRUE(), IF(I388=Constants!$B$3, FALSE(), TRUE())))</f>
        <v/>
      </c>
      <c r="U388" s="66" t="str">
        <f aca="false">IF(ISBLANK($C388),"",IF(J388=Constants!$B$2, TRUE(), IF(J388=Constants!$B$3, FALSE(), TRUE())))</f>
        <v/>
      </c>
      <c r="V388" s="66" t="str">
        <f aca="false">IF(ISBLANK($C388),"",IF(COUNTA(K388:L388)=0,"",IF(AND(OR(ISBLANK(K388),AND(ISNUMBER(K388),K388&gt;=0)),OR(ISBLANK(L388),AND(ISNUMBER(L388),L388&gt;=0))),60*IF(ISBLANK(K388),0,K388)+IF(ISBLANK(L388),0,L388),"")))</f>
        <v/>
      </c>
      <c r="W388" s="66" t="str">
        <f aca="false">IF(ISBLANK($C388),"",IF(M388=Constants!$B$2, TRUE(), IF(M388=Constants!$B$3, FALSE(), TRUE())))</f>
        <v/>
      </c>
      <c r="X388" s="66" t="str">
        <f aca="false">IF(ISBLANK($C388),"",IF(N388=Constants!$B$2, TRUE(), IF(N388=Constants!$B$3, FALSE(), TRUE())))</f>
        <v/>
      </c>
      <c r="Y388" s="66" t="str">
        <f aca="false">IF(ISBLANK($C388),"",IF(O388=Constants!$B$2, TRUE(), IF(O388=Constants!$B$3, FALSE(), FALSE())))</f>
        <v/>
      </c>
      <c r="Z388" s="66" t="str">
        <f aca="false">IF(ISBLANK($C388),"",AND(S388&lt;&gt;"",Q388))</f>
        <v/>
      </c>
      <c r="AA388" s="66" t="str">
        <f aca="false">IF(ISBLANK($C388),"",AND(V388&lt;&gt;"",Q388))</f>
        <v/>
      </c>
      <c r="AB388" s="66" t="str">
        <f aca="false">IF(ISBLANK($C388),"",IF(Y388,Constants!$B$4,IF(COUNTA(E388:N388)=0,Constants!$B$5,IF(NOT(Q388),Constants!$B$6,IF(AND(NOT(Z388),NOT(AA388)),Constants!$B$6,Constants!$B$7)))))</f>
        <v/>
      </c>
      <c r="AC388" s="66" t="str">
        <f aca="false">IF(ISBLANK($C388),"",IF($AB388&lt;&gt;Constants!$B$7,$AB388,Constants!$B$20))</f>
        <v/>
      </c>
      <c r="AD388" s="66" t="str">
        <f aca="false">IF($AB388=Constants!$B$7,IF(Z388,S388,Constants!$B$13),"")</f>
        <v/>
      </c>
      <c r="AE388" s="66" t="str">
        <f aca="false">IF($AB388=Constants!$B$7,IF(Z388,R388*IF(T388, 1, Constants!$B$11)*IF(U388, 1, Constants!$B$12),Constants!$B$13),"")</f>
        <v/>
      </c>
      <c r="AF388" s="66" t="str">
        <f aca="false">IF($AB388=Constants!$B$7,AD388*AE388,"")</f>
        <v/>
      </c>
      <c r="AG388" s="66" t="str">
        <f aca="false">IF($AB388=Constants!$B$7,IF(AA388,V388,Constants!$B$13),"")</f>
        <v/>
      </c>
      <c r="AH388" s="66" t="str">
        <f aca="false">IF($AB388=Constants!$B$7,IF(AA388,R388*IF(W388, 1, Constants!$B$11)*IF(X388, 1, Constants!$B$12),Constants!$B$13),"")</f>
        <v/>
      </c>
      <c r="AI388" s="66" t="str">
        <f aca="false">IF($AB388=Constants!$B$7,AG388*AH388,"")</f>
        <v/>
      </c>
      <c r="AJ388" s="66" t="str">
        <f aca="false">IF($AB388=Constants!$B$7,IF(AI388&gt;AF388,2,1),"")</f>
        <v/>
      </c>
      <c r="AK388" s="66" t="str">
        <f aca="false">IF($AB388=Constants!$B$7,IF(AJ388=1,2,1),"")</f>
        <v/>
      </c>
      <c r="AL388" s="66" t="str">
        <f aca="false">IF(ISBLANK($C388),"",IF($AB388&lt;&gt;Constants!$B$7,$AB388,IF(AJ388=1,AF388,AI388)))</f>
        <v/>
      </c>
      <c r="AM388" s="66" t="str">
        <f aca="false">IF(ISBLANK($C388),"",IF($AB388=Constants!$B$7,IF(ISNUMBER(AL388),RANK(AL388,$AL$8:$AL$507),Constants!$B$14),$AB388))</f>
        <v/>
      </c>
      <c r="AN388" s="66" t="str">
        <f aca="false">IF(ISBLANK($C388),"",IF($AB388=Constants!$B$7,IF(AK388=1,AF388,AI388),""))</f>
        <v/>
      </c>
      <c r="AO388" s="66" t="str">
        <f aca="false">IF(ISBLANK($C388),"",IF($AB388=Constants!$B$7,RANK(AN388,$AN$8:$AN$507),$AB388))</f>
        <v/>
      </c>
      <c r="AP388" s="66" t="str">
        <f aca="false">IF(ISBLANK($C388),"",IF($AB388=Constants!$B$7,IF(ISNUMBER(AM388),COUNTIFS($AM$8:$AM$507,"&lt;"&amp;$AM388)+COUNTIFS($AM$8:$AM$507,$AM388,$AO$8:$AO$507,"&lt;"&amp;$AO388)+1,Constants!$B$14),$AB388))</f>
        <v/>
      </c>
      <c r="AQ388" s="66" t="str">
        <f aca="false">IF(ISBLANK($C388),"",IF($AB388=Constants!$B$7,IF(ISNUMBER(AM388),AM388-AP388,Constants!$B$14),$AB388))</f>
        <v/>
      </c>
      <c r="AR388" s="68"/>
      <c r="AS388" s="69" t="str">
        <f aca="false">IF(ISBLANK($C388),"",IF($AB388&lt;&gt;Constants!$B$7,"",AJ388))</f>
        <v/>
      </c>
      <c r="AT388" s="84" t="str">
        <f aca="false">IF(ISBLANK($C388),"",IF($AB388&lt;&gt;Constants!$B$7,"",IF(AJ388=1,AD388,AG388)))</f>
        <v/>
      </c>
      <c r="AU388" s="71" t="str">
        <f aca="false">IF(ISBLANK($C388),"",IF($AB388&lt;&gt;Constants!$B$7,"",IF(AJ388=1,AE388,AH388)))</f>
        <v/>
      </c>
      <c r="AV388" s="72" t="str">
        <f aca="false">IF(ISBLANK($C388),"",IF($AB388&lt;&gt;Constants!$B$7,$AB388,AL388))</f>
        <v/>
      </c>
      <c r="AW388" s="73" t="str">
        <f aca="false">IF(ISBLANK($C388),"",IF($AB388&lt;&gt;Constants!$B$7,$AB388,AC388))</f>
        <v/>
      </c>
      <c r="AX388" s="74" t="str">
        <f aca="false">IF(ISBLANK($C388),"",AQ388)</f>
        <v/>
      </c>
      <c r="AY388" s="74" t="str">
        <f aca="false">IF(ISBLANK($C388),"",AP388)</f>
        <v/>
      </c>
      <c r="AZ388" s="75" t="str">
        <f aca="false">IF(ISBLANK($C388),"",IF(AY388=Constants!$B$4,COUNTA($C$8:$C$507)+2,IF(AY388=Constants!$B$5,COUNTA($C$8:$C$507)+1,IF(AY388=Constants!$B$6,COUNTA($C$8:$C$507),AY388))))</f>
        <v/>
      </c>
      <c r="BA388" s="5"/>
      <c r="BB388" s="76" t="n">
        <f aca="false">IF(OR(ISNUMBER(AY388),AY388=Constants!$B$4,AY388=Constants!$B$6,AY388=Constants!$B$5),1,0)</f>
        <v>0</v>
      </c>
      <c r="BC388" s="76" t="n">
        <v>381</v>
      </c>
      <c r="BD388" s="76" t="str">
        <f aca="false">IF(ISBLANK($C388),"",IF(ISNUMBER(AZ388),AZ388+ROW($B388)/1000,""))</f>
        <v/>
      </c>
      <c r="BE388" s="76" t="str">
        <f aca="false">IF(ISNUMBER(BD388),RANK(BD388,$BD$8:$BD$507,1),"")</f>
        <v/>
      </c>
      <c r="BF388" s="76" t="str">
        <f aca="false">IF(ISBLANK($C388),"",$B388)</f>
        <v/>
      </c>
      <c r="BG388" s="76" t="str">
        <f aca="false">IF(ISBLANK($C388),"",$C388)</f>
        <v/>
      </c>
      <c r="BH388" s="76" t="str">
        <f aca="false">IF(ISBLANK($C388),"",$D388)</f>
        <v/>
      </c>
      <c r="BI388" s="77" t="str">
        <f aca="false">AW388</f>
        <v/>
      </c>
      <c r="BJ388" s="78" t="str">
        <f aca="false">AV388</f>
        <v/>
      </c>
      <c r="BK388" s="76" t="str">
        <f aca="false">IF(ISBLANK($C388),"",AY388)</f>
        <v/>
      </c>
      <c r="BL388" s="79" t="str">
        <f aca="false">IF($BC388&gt;$BB$7,"",VLOOKUP($BC388,$BE$8:$BK$507,7,FALSE()))</f>
        <v/>
      </c>
      <c r="BM388" s="80" t="str">
        <f aca="false">IF($BC388&gt;$BB$7,"",VLOOKUP($BC388,$BE$8:$BK$507,2,FALSE()))</f>
        <v/>
      </c>
      <c r="BN388" s="80" t="str">
        <f aca="false">IF($BC388&gt;$BB$7,"",VLOOKUP($BC388,$BE$8:$BK$507,3,FALSE()))</f>
        <v/>
      </c>
      <c r="BO388" s="80" t="str">
        <f aca="false">IF($BC388&gt;$BB$7,"",VLOOKUP($BC388,$BE$8:$BK$507,4,FALSE()))</f>
        <v/>
      </c>
      <c r="BP388" s="80" t="str">
        <f aca="false">IF($BC388&gt;$BB$7,"",VLOOKUP($BC388,$BE$8:$BK$507,5,FALSE()))</f>
        <v/>
      </c>
      <c r="BQ388" s="81" t="str">
        <f aca="false">IF($BC388&gt;$BB$7,"",VLOOKUP($BC388,$BE$8:$BK$507,6,FALSE()))</f>
        <v/>
      </c>
      <c r="BR388" s="54"/>
    </row>
    <row r="389" customFormat="false" ht="15.75" hidden="false" customHeight="false" outlineLevel="0" collapsed="false">
      <c r="A389" s="5"/>
      <c r="B389" s="120"/>
      <c r="C389" s="121"/>
      <c r="D389" s="112"/>
      <c r="E389" s="123"/>
      <c r="F389" s="91"/>
      <c r="G389" s="92"/>
      <c r="H389" s="93"/>
      <c r="I389" s="94"/>
      <c r="J389" s="91"/>
      <c r="K389" s="92"/>
      <c r="L389" s="93"/>
      <c r="M389" s="94"/>
      <c r="N389" s="91"/>
      <c r="O389" s="123"/>
      <c r="P389" s="96"/>
      <c r="Q389" s="97" t="str">
        <f aca="false">IF(ISBLANK($C389),"",IF(E389=Constants!$B$2, TRUE(), IF(E389=Constants!$B$3, FALSE(), TRUE())))</f>
        <v/>
      </c>
      <c r="R389" s="97" t="str">
        <f aca="false">IF(ISBLANK($C389),"",IF(F389=Constants!$B$16,Constants!$B$9,IF(F389=Constants!$B$17,Constants!$B$10,Constants!$B$8)))</f>
        <v/>
      </c>
      <c r="S389" s="97" t="str">
        <f aca="false">IF(ISBLANK($C389),"",IF(COUNTA(G389:H389)=0,"",IF(AND(OR(ISBLANK(G389),AND(ISNUMBER(G389),G389&gt;=0)),OR(ISBLANK(H389),AND(ISNUMBER(H389),H389&gt;=0))),60*IF(ISBLANK(G389),0,G389)+IF(ISBLANK(H389),0,H389),"")))</f>
        <v/>
      </c>
      <c r="T389" s="97" t="str">
        <f aca="false">IF(ISBLANK($C389),"",IF(I389=Constants!$B$2, TRUE(), IF(I389=Constants!$B$3, FALSE(), TRUE())))</f>
        <v/>
      </c>
      <c r="U389" s="97" t="str">
        <f aca="false">IF(ISBLANK($C389),"",IF(J389=Constants!$B$2, TRUE(), IF(J389=Constants!$B$3, FALSE(), TRUE())))</f>
        <v/>
      </c>
      <c r="V389" s="97" t="str">
        <f aca="false">IF(ISBLANK($C389),"",IF(COUNTA(K389:L389)=0,"",IF(AND(OR(ISBLANK(K389),AND(ISNUMBER(K389),K389&gt;=0)),OR(ISBLANK(L389),AND(ISNUMBER(L389),L389&gt;=0))),60*IF(ISBLANK(K389),0,K389)+IF(ISBLANK(L389),0,L389),"")))</f>
        <v/>
      </c>
      <c r="W389" s="97" t="str">
        <f aca="false">IF(ISBLANK($C389),"",IF(M389=Constants!$B$2, TRUE(), IF(M389=Constants!$B$3, FALSE(), TRUE())))</f>
        <v/>
      </c>
      <c r="X389" s="97" t="str">
        <f aca="false">IF(ISBLANK($C389),"",IF(N389=Constants!$B$2, TRUE(), IF(N389=Constants!$B$3, FALSE(), TRUE())))</f>
        <v/>
      </c>
      <c r="Y389" s="97" t="str">
        <f aca="false">IF(ISBLANK($C389),"",IF(O389=Constants!$B$2, TRUE(), IF(O389=Constants!$B$3, FALSE(), FALSE())))</f>
        <v/>
      </c>
      <c r="Z389" s="97" t="str">
        <f aca="false">IF(ISBLANK($C389),"",AND(S389&lt;&gt;"",Q389))</f>
        <v/>
      </c>
      <c r="AA389" s="97" t="str">
        <f aca="false">IF(ISBLANK($C389),"",AND(V389&lt;&gt;"",Q389))</f>
        <v/>
      </c>
      <c r="AB389" s="97" t="str">
        <f aca="false">IF(ISBLANK($C389),"",IF(Y389,Constants!$B$4,IF(COUNTA(E389:N389)=0,Constants!$B$5,IF(NOT(Q389),Constants!$B$6,IF(AND(NOT(Z389),NOT(AA389)),Constants!$B$6,Constants!$B$7)))))</f>
        <v/>
      </c>
      <c r="AC389" s="97" t="str">
        <f aca="false">IF(ISBLANK($C389),"",IF($AB389&lt;&gt;Constants!$B$7,$AB389,Constants!$B$20))</f>
        <v/>
      </c>
      <c r="AD389" s="97" t="str">
        <f aca="false">IF($AB389=Constants!$B$7,IF(Z389,S389,Constants!$B$13),"")</f>
        <v/>
      </c>
      <c r="AE389" s="97" t="str">
        <f aca="false">IF($AB389=Constants!$B$7,IF(Z389,R389*IF(T389, 1, Constants!$B$11)*IF(U389, 1, Constants!$B$12),Constants!$B$13),"")</f>
        <v/>
      </c>
      <c r="AF389" s="97" t="str">
        <f aca="false">IF($AB389=Constants!$B$7,AD389*AE389,"")</f>
        <v/>
      </c>
      <c r="AG389" s="97" t="str">
        <f aca="false">IF($AB389=Constants!$B$7,IF(AA389,V389,Constants!$B$13),"")</f>
        <v/>
      </c>
      <c r="AH389" s="97" t="str">
        <f aca="false">IF($AB389=Constants!$B$7,IF(AA389,R389*IF(W389, 1, Constants!$B$11)*IF(X389, 1, Constants!$B$12),Constants!$B$13),"")</f>
        <v/>
      </c>
      <c r="AI389" s="97" t="str">
        <f aca="false">IF($AB389=Constants!$B$7,AG389*AH389,"")</f>
        <v/>
      </c>
      <c r="AJ389" s="97" t="str">
        <f aca="false">IF($AB389=Constants!$B$7,IF(AI389&gt;AF389,2,1),"")</f>
        <v/>
      </c>
      <c r="AK389" s="97" t="str">
        <f aca="false">IF($AB389=Constants!$B$7,IF(AJ389=1,2,1),"")</f>
        <v/>
      </c>
      <c r="AL389" s="97" t="str">
        <f aca="false">IF(ISBLANK($C389),"",IF($AB389&lt;&gt;Constants!$B$7,$AB389,IF(AJ389=1,AF389,AI389)))</f>
        <v/>
      </c>
      <c r="AM389" s="97" t="str">
        <f aca="false">IF(ISBLANK($C389),"",IF($AB389=Constants!$B$7,IF(ISNUMBER(AL389),RANK(AL389,$AL$8:$AL$507),Constants!$B$14),$AB389))</f>
        <v/>
      </c>
      <c r="AN389" s="97" t="str">
        <f aca="false">IF(ISBLANK($C389),"",IF($AB389=Constants!$B$7,IF(AK389=1,AF389,AI389),""))</f>
        <v/>
      </c>
      <c r="AO389" s="97" t="str">
        <f aca="false">IF(ISBLANK($C389),"",IF($AB389=Constants!$B$7,RANK(AN389,$AN$8:$AN$507),$AB389))</f>
        <v/>
      </c>
      <c r="AP389" s="97" t="str">
        <f aca="false">IF(ISBLANK($C389),"",IF($AB389=Constants!$B$7,IF(ISNUMBER(AM389),COUNTIFS($AM$8:$AM$507,"&lt;"&amp;$AM389)+COUNTIFS($AM$8:$AM$507,$AM389,$AO$8:$AO$507,"&lt;"&amp;$AO389)+1,Constants!$B$14),$AB389))</f>
        <v/>
      </c>
      <c r="AQ389" s="97" t="str">
        <f aca="false">IF(ISBLANK($C389),"",IF($AB389=Constants!$B$7,IF(ISNUMBER(AM389),AM389-AP389,Constants!$B$14),$AB389))</f>
        <v/>
      </c>
      <c r="AR389" s="98"/>
      <c r="AS389" s="99" t="str">
        <f aca="false">IF(ISBLANK($C389),"",IF($AB389&lt;&gt;Constants!$B$7,"",AJ389))</f>
        <v/>
      </c>
      <c r="AT389" s="100" t="str">
        <f aca="false">IF(ISBLANK($C389),"",IF($AB389&lt;&gt;Constants!$B$7,"",IF(AJ389=1,AD389,AG389)))</f>
        <v/>
      </c>
      <c r="AU389" s="101" t="str">
        <f aca="false">IF(ISBLANK($C389),"",IF($AB389&lt;&gt;Constants!$B$7,"",IF(AJ389=1,AE389,AH389)))</f>
        <v/>
      </c>
      <c r="AV389" s="102" t="str">
        <f aca="false">IF(ISBLANK($C389),"",IF($AB389&lt;&gt;Constants!$B$7,$AB389,AL389))</f>
        <v/>
      </c>
      <c r="AW389" s="103" t="str">
        <f aca="false">IF(ISBLANK($C389),"",IF($AB389&lt;&gt;Constants!$B$7,$AB389,AC389))</f>
        <v/>
      </c>
      <c r="AX389" s="104" t="str">
        <f aca="false">IF(ISBLANK($C389),"",AQ389)</f>
        <v/>
      </c>
      <c r="AY389" s="104" t="str">
        <f aca="false">IF(ISBLANK($C389),"",AP389)</f>
        <v/>
      </c>
      <c r="AZ389" s="105" t="str">
        <f aca="false">IF(ISBLANK($C389),"",IF(AY389=Constants!$B$4,COUNTA($C$8:$C$507)+2,IF(AY389=Constants!$B$5,COUNTA($C$8:$C$507)+1,IF(AY389=Constants!$B$6,COUNTA($C$8:$C$507),AY389))))</f>
        <v/>
      </c>
      <c r="BA389" s="5"/>
      <c r="BB389" s="106" t="n">
        <f aca="false">IF(OR(ISNUMBER(AY389),AY389=Constants!$B$4,AY389=Constants!$B$6,AY389=Constants!$B$5),1,0)</f>
        <v>0</v>
      </c>
      <c r="BC389" s="106" t="n">
        <v>382</v>
      </c>
      <c r="BD389" s="106" t="str">
        <f aca="false">IF(ISBLANK($C389),"",IF(ISNUMBER(AZ389),AZ389+ROW($B389)/1000,""))</f>
        <v/>
      </c>
      <c r="BE389" s="106" t="str">
        <f aca="false">IF(ISNUMBER(BD389),RANK(BD389,$BD$8:$BD$507,1),"")</f>
        <v/>
      </c>
      <c r="BF389" s="106" t="str">
        <f aca="false">IF(ISBLANK($C389),"",$B389)</f>
        <v/>
      </c>
      <c r="BG389" s="106" t="str">
        <f aca="false">IF(ISBLANK($C389),"",$C389)</f>
        <v/>
      </c>
      <c r="BH389" s="106" t="str">
        <f aca="false">IF(ISBLANK($C389),"",$D389)</f>
        <v/>
      </c>
      <c r="BI389" s="107" t="str">
        <f aca="false">AW389</f>
        <v/>
      </c>
      <c r="BJ389" s="108" t="str">
        <f aca="false">AV389</f>
        <v/>
      </c>
      <c r="BK389" s="106" t="str">
        <f aca="false">IF(ISBLANK($C389),"",AY389)</f>
        <v/>
      </c>
      <c r="BL389" s="109" t="str">
        <f aca="false">IF($BC389&gt;$BB$7,"",VLOOKUP($BC389,$BE$8:$BK$507,7,FALSE()))</f>
        <v/>
      </c>
      <c r="BM389" s="110" t="str">
        <f aca="false">IF($BC389&gt;$BB$7,"",VLOOKUP($BC389,$BE$8:$BK$507,2,FALSE()))</f>
        <v/>
      </c>
      <c r="BN389" s="110" t="str">
        <f aca="false">IF($BC389&gt;$BB$7,"",VLOOKUP($BC389,$BE$8:$BK$507,3,FALSE()))</f>
        <v/>
      </c>
      <c r="BO389" s="110" t="str">
        <f aca="false">IF($BC389&gt;$BB$7,"",VLOOKUP($BC389,$BE$8:$BK$507,4,FALSE()))</f>
        <v/>
      </c>
      <c r="BP389" s="110" t="str">
        <f aca="false">IF($BC389&gt;$BB$7,"",VLOOKUP($BC389,$BE$8:$BK$507,5,FALSE()))</f>
        <v/>
      </c>
      <c r="BQ389" s="111" t="str">
        <f aca="false">IF($BC389&gt;$BB$7,"",VLOOKUP($BC389,$BE$8:$BK$507,6,FALSE()))</f>
        <v/>
      </c>
      <c r="BR389" s="54"/>
    </row>
    <row r="390" customFormat="false" ht="15.75" hidden="false" customHeight="false" outlineLevel="0" collapsed="false">
      <c r="A390" s="5"/>
      <c r="B390" s="120"/>
      <c r="C390" s="121"/>
      <c r="D390" s="112"/>
      <c r="E390" s="123"/>
      <c r="F390" s="91"/>
      <c r="G390" s="92"/>
      <c r="H390" s="93"/>
      <c r="I390" s="94"/>
      <c r="J390" s="91"/>
      <c r="K390" s="92"/>
      <c r="L390" s="93"/>
      <c r="M390" s="94"/>
      <c r="N390" s="91"/>
      <c r="O390" s="123"/>
      <c r="P390" s="96"/>
      <c r="Q390" s="97" t="str">
        <f aca="false">IF(ISBLANK($C390),"",IF(E390=Constants!$B$2, TRUE(), IF(E390=Constants!$B$3, FALSE(), TRUE())))</f>
        <v/>
      </c>
      <c r="R390" s="97" t="str">
        <f aca="false">IF(ISBLANK($C390),"",IF(F390=Constants!$B$16,Constants!$B$9,IF(F390=Constants!$B$17,Constants!$B$10,Constants!$B$8)))</f>
        <v/>
      </c>
      <c r="S390" s="97" t="str">
        <f aca="false">IF(ISBLANK($C390),"",IF(COUNTA(G390:H390)=0,"",IF(AND(OR(ISBLANK(G390),AND(ISNUMBER(G390),G390&gt;=0)),OR(ISBLANK(H390),AND(ISNUMBER(H390),H390&gt;=0))),60*IF(ISBLANK(G390),0,G390)+IF(ISBLANK(H390),0,H390),"")))</f>
        <v/>
      </c>
      <c r="T390" s="97" t="str">
        <f aca="false">IF(ISBLANK($C390),"",IF(I390=Constants!$B$2, TRUE(), IF(I390=Constants!$B$3, FALSE(), TRUE())))</f>
        <v/>
      </c>
      <c r="U390" s="97" t="str">
        <f aca="false">IF(ISBLANK($C390),"",IF(J390=Constants!$B$2, TRUE(), IF(J390=Constants!$B$3, FALSE(), TRUE())))</f>
        <v/>
      </c>
      <c r="V390" s="97" t="str">
        <f aca="false">IF(ISBLANK($C390),"",IF(COUNTA(K390:L390)=0,"",IF(AND(OR(ISBLANK(K390),AND(ISNUMBER(K390),K390&gt;=0)),OR(ISBLANK(L390),AND(ISNUMBER(L390),L390&gt;=0))),60*IF(ISBLANK(K390),0,K390)+IF(ISBLANK(L390),0,L390),"")))</f>
        <v/>
      </c>
      <c r="W390" s="97" t="str">
        <f aca="false">IF(ISBLANK($C390),"",IF(M390=Constants!$B$2, TRUE(), IF(M390=Constants!$B$3, FALSE(), TRUE())))</f>
        <v/>
      </c>
      <c r="X390" s="97" t="str">
        <f aca="false">IF(ISBLANK($C390),"",IF(N390=Constants!$B$2, TRUE(), IF(N390=Constants!$B$3, FALSE(), TRUE())))</f>
        <v/>
      </c>
      <c r="Y390" s="97" t="str">
        <f aca="false">IF(ISBLANK($C390),"",IF(O390=Constants!$B$2, TRUE(), IF(O390=Constants!$B$3, FALSE(), FALSE())))</f>
        <v/>
      </c>
      <c r="Z390" s="97" t="str">
        <f aca="false">IF(ISBLANK($C390),"",AND(S390&lt;&gt;"",Q390))</f>
        <v/>
      </c>
      <c r="AA390" s="97" t="str">
        <f aca="false">IF(ISBLANK($C390),"",AND(V390&lt;&gt;"",Q390))</f>
        <v/>
      </c>
      <c r="AB390" s="97" t="str">
        <f aca="false">IF(ISBLANK($C390),"",IF(Y390,Constants!$B$4,IF(COUNTA(E390:N390)=0,Constants!$B$5,IF(NOT(Q390),Constants!$B$6,IF(AND(NOT(Z390),NOT(AA390)),Constants!$B$6,Constants!$B$7)))))</f>
        <v/>
      </c>
      <c r="AC390" s="97" t="str">
        <f aca="false">IF(ISBLANK($C390),"",IF($AB390&lt;&gt;Constants!$B$7,$AB390,Constants!$B$20))</f>
        <v/>
      </c>
      <c r="AD390" s="97" t="str">
        <f aca="false">IF($AB390=Constants!$B$7,IF(Z390,S390,Constants!$B$13),"")</f>
        <v/>
      </c>
      <c r="AE390" s="97" t="str">
        <f aca="false">IF($AB390=Constants!$B$7,IF(Z390,R390*IF(T390, 1, Constants!$B$11)*IF(U390, 1, Constants!$B$12),Constants!$B$13),"")</f>
        <v/>
      </c>
      <c r="AF390" s="97" t="str">
        <f aca="false">IF($AB390=Constants!$B$7,AD390*AE390,"")</f>
        <v/>
      </c>
      <c r="AG390" s="97" t="str">
        <f aca="false">IF($AB390=Constants!$B$7,IF(AA390,V390,Constants!$B$13),"")</f>
        <v/>
      </c>
      <c r="AH390" s="97" t="str">
        <f aca="false">IF($AB390=Constants!$B$7,IF(AA390,R390*IF(W390, 1, Constants!$B$11)*IF(X390, 1, Constants!$B$12),Constants!$B$13),"")</f>
        <v/>
      </c>
      <c r="AI390" s="97" t="str">
        <f aca="false">IF($AB390=Constants!$B$7,AG390*AH390,"")</f>
        <v/>
      </c>
      <c r="AJ390" s="97" t="str">
        <f aca="false">IF($AB390=Constants!$B$7,IF(AI390&gt;AF390,2,1),"")</f>
        <v/>
      </c>
      <c r="AK390" s="97" t="str">
        <f aca="false">IF($AB390=Constants!$B$7,IF(AJ390=1,2,1),"")</f>
        <v/>
      </c>
      <c r="AL390" s="97" t="str">
        <f aca="false">IF(ISBLANK($C390),"",IF($AB390&lt;&gt;Constants!$B$7,$AB390,IF(AJ390=1,AF390,AI390)))</f>
        <v/>
      </c>
      <c r="AM390" s="97" t="str">
        <f aca="false">IF(ISBLANK($C390),"",IF($AB390=Constants!$B$7,IF(ISNUMBER(AL390),RANK(AL390,$AL$8:$AL$507),Constants!$B$14),$AB390))</f>
        <v/>
      </c>
      <c r="AN390" s="97" t="str">
        <f aca="false">IF(ISBLANK($C390),"",IF($AB390=Constants!$B$7,IF(AK390=1,AF390,AI390),""))</f>
        <v/>
      </c>
      <c r="AO390" s="97" t="str">
        <f aca="false">IF(ISBLANK($C390),"",IF($AB390=Constants!$B$7,RANK(AN390,$AN$8:$AN$507),$AB390))</f>
        <v/>
      </c>
      <c r="AP390" s="97" t="str">
        <f aca="false">IF(ISBLANK($C390),"",IF($AB390=Constants!$B$7,IF(ISNUMBER(AM390),COUNTIFS($AM$8:$AM$507,"&lt;"&amp;$AM390)+COUNTIFS($AM$8:$AM$507,$AM390,$AO$8:$AO$507,"&lt;"&amp;$AO390)+1,Constants!$B$14),$AB390))</f>
        <v/>
      </c>
      <c r="AQ390" s="97" t="str">
        <f aca="false">IF(ISBLANK($C390),"",IF($AB390=Constants!$B$7,IF(ISNUMBER(AM390),AM390-AP390,Constants!$B$14),$AB390))</f>
        <v/>
      </c>
      <c r="AR390" s="98"/>
      <c r="AS390" s="99" t="str">
        <f aca="false">IF(ISBLANK($C390),"",IF($AB390&lt;&gt;Constants!$B$7,"",AJ390))</f>
        <v/>
      </c>
      <c r="AT390" s="100" t="str">
        <f aca="false">IF(ISBLANK($C390),"",IF($AB390&lt;&gt;Constants!$B$7,"",IF(AJ390=1,AD390,AG390)))</f>
        <v/>
      </c>
      <c r="AU390" s="101" t="str">
        <f aca="false">IF(ISBLANK($C390),"",IF($AB390&lt;&gt;Constants!$B$7,"",IF(AJ390=1,AE390,AH390)))</f>
        <v/>
      </c>
      <c r="AV390" s="102" t="str">
        <f aca="false">IF(ISBLANK($C390),"",IF($AB390&lt;&gt;Constants!$B$7,$AB390,AL390))</f>
        <v/>
      </c>
      <c r="AW390" s="103" t="str">
        <f aca="false">IF(ISBLANK($C390),"",IF($AB390&lt;&gt;Constants!$B$7,$AB390,AC390))</f>
        <v/>
      </c>
      <c r="AX390" s="104" t="str">
        <f aca="false">IF(ISBLANK($C390),"",AQ390)</f>
        <v/>
      </c>
      <c r="AY390" s="104" t="str">
        <f aca="false">IF(ISBLANK($C390),"",AP390)</f>
        <v/>
      </c>
      <c r="AZ390" s="105" t="str">
        <f aca="false">IF(ISBLANK($C390),"",IF(AY390=Constants!$B$4,COUNTA($C$8:$C$507)+2,IF(AY390=Constants!$B$5,COUNTA($C$8:$C$507)+1,IF(AY390=Constants!$B$6,COUNTA($C$8:$C$507),AY390))))</f>
        <v/>
      </c>
      <c r="BA390" s="5"/>
      <c r="BB390" s="106" t="n">
        <f aca="false">IF(OR(ISNUMBER(AY390),AY390=Constants!$B$4,AY390=Constants!$B$6,AY390=Constants!$B$5),1,0)</f>
        <v>0</v>
      </c>
      <c r="BC390" s="106" t="n">
        <v>383</v>
      </c>
      <c r="BD390" s="106" t="str">
        <f aca="false">IF(ISBLANK($C390),"",IF(ISNUMBER(AZ390),AZ390+ROW($B390)/1000,""))</f>
        <v/>
      </c>
      <c r="BE390" s="106" t="str">
        <f aca="false">IF(ISNUMBER(BD390),RANK(BD390,$BD$8:$BD$507,1),"")</f>
        <v/>
      </c>
      <c r="BF390" s="106" t="str">
        <f aca="false">IF(ISBLANK($C390),"",$B390)</f>
        <v/>
      </c>
      <c r="BG390" s="106" t="str">
        <f aca="false">IF(ISBLANK($C390),"",$C390)</f>
        <v/>
      </c>
      <c r="BH390" s="106" t="str">
        <f aca="false">IF(ISBLANK($C390),"",$D390)</f>
        <v/>
      </c>
      <c r="BI390" s="107" t="str">
        <f aca="false">AW390</f>
        <v/>
      </c>
      <c r="BJ390" s="108" t="str">
        <f aca="false">AV390</f>
        <v/>
      </c>
      <c r="BK390" s="106" t="str">
        <f aca="false">IF(ISBLANK($C390),"",AY390)</f>
        <v/>
      </c>
      <c r="BL390" s="109" t="str">
        <f aca="false">IF($BC390&gt;$BB$7,"",VLOOKUP($BC390,$BE$8:$BK$507,7,FALSE()))</f>
        <v/>
      </c>
      <c r="BM390" s="110" t="str">
        <f aca="false">IF($BC390&gt;$BB$7,"",VLOOKUP($BC390,$BE$8:$BK$507,2,FALSE()))</f>
        <v/>
      </c>
      <c r="BN390" s="110" t="str">
        <f aca="false">IF($BC390&gt;$BB$7,"",VLOOKUP($BC390,$BE$8:$BK$507,3,FALSE()))</f>
        <v/>
      </c>
      <c r="BO390" s="110" t="str">
        <f aca="false">IF($BC390&gt;$BB$7,"",VLOOKUP($BC390,$BE$8:$BK$507,4,FALSE()))</f>
        <v/>
      </c>
      <c r="BP390" s="110" t="str">
        <f aca="false">IF($BC390&gt;$BB$7,"",VLOOKUP($BC390,$BE$8:$BK$507,5,FALSE()))</f>
        <v/>
      </c>
      <c r="BQ390" s="111" t="str">
        <f aca="false">IF($BC390&gt;$BB$7,"",VLOOKUP($BC390,$BE$8:$BK$507,6,FALSE()))</f>
        <v/>
      </c>
      <c r="BR390" s="54"/>
    </row>
    <row r="391" customFormat="false" ht="15.75" hidden="false" customHeight="false" outlineLevel="0" collapsed="false">
      <c r="A391" s="5"/>
      <c r="B391" s="120"/>
      <c r="C391" s="121"/>
      <c r="D391" s="112"/>
      <c r="E391" s="123"/>
      <c r="F391" s="91"/>
      <c r="G391" s="92"/>
      <c r="H391" s="93"/>
      <c r="I391" s="94"/>
      <c r="J391" s="91"/>
      <c r="K391" s="92"/>
      <c r="L391" s="93"/>
      <c r="M391" s="94"/>
      <c r="N391" s="91"/>
      <c r="O391" s="123"/>
      <c r="P391" s="96"/>
      <c r="Q391" s="97" t="str">
        <f aca="false">IF(ISBLANK($C391),"",IF(E391=Constants!$B$2, TRUE(), IF(E391=Constants!$B$3, FALSE(), TRUE())))</f>
        <v/>
      </c>
      <c r="R391" s="97" t="str">
        <f aca="false">IF(ISBLANK($C391),"",IF(F391=Constants!$B$16,Constants!$B$9,IF(F391=Constants!$B$17,Constants!$B$10,Constants!$B$8)))</f>
        <v/>
      </c>
      <c r="S391" s="97" t="str">
        <f aca="false">IF(ISBLANK($C391),"",IF(COUNTA(G391:H391)=0,"",IF(AND(OR(ISBLANK(G391),AND(ISNUMBER(G391),G391&gt;=0)),OR(ISBLANK(H391),AND(ISNUMBER(H391),H391&gt;=0))),60*IF(ISBLANK(G391),0,G391)+IF(ISBLANK(H391),0,H391),"")))</f>
        <v/>
      </c>
      <c r="T391" s="97" t="str">
        <f aca="false">IF(ISBLANK($C391),"",IF(I391=Constants!$B$2, TRUE(), IF(I391=Constants!$B$3, FALSE(), TRUE())))</f>
        <v/>
      </c>
      <c r="U391" s="97" t="str">
        <f aca="false">IF(ISBLANK($C391),"",IF(J391=Constants!$B$2, TRUE(), IF(J391=Constants!$B$3, FALSE(), TRUE())))</f>
        <v/>
      </c>
      <c r="V391" s="97" t="str">
        <f aca="false">IF(ISBLANK($C391),"",IF(COUNTA(K391:L391)=0,"",IF(AND(OR(ISBLANK(K391),AND(ISNUMBER(K391),K391&gt;=0)),OR(ISBLANK(L391),AND(ISNUMBER(L391),L391&gt;=0))),60*IF(ISBLANK(K391),0,K391)+IF(ISBLANK(L391),0,L391),"")))</f>
        <v/>
      </c>
      <c r="W391" s="97" t="str">
        <f aca="false">IF(ISBLANK($C391),"",IF(M391=Constants!$B$2, TRUE(), IF(M391=Constants!$B$3, FALSE(), TRUE())))</f>
        <v/>
      </c>
      <c r="X391" s="97" t="str">
        <f aca="false">IF(ISBLANK($C391),"",IF(N391=Constants!$B$2, TRUE(), IF(N391=Constants!$B$3, FALSE(), TRUE())))</f>
        <v/>
      </c>
      <c r="Y391" s="97" t="str">
        <f aca="false">IF(ISBLANK($C391),"",IF(O391=Constants!$B$2, TRUE(), IF(O391=Constants!$B$3, FALSE(), FALSE())))</f>
        <v/>
      </c>
      <c r="Z391" s="97" t="str">
        <f aca="false">IF(ISBLANK($C391),"",AND(S391&lt;&gt;"",Q391))</f>
        <v/>
      </c>
      <c r="AA391" s="97" t="str">
        <f aca="false">IF(ISBLANK($C391),"",AND(V391&lt;&gt;"",Q391))</f>
        <v/>
      </c>
      <c r="AB391" s="97" t="str">
        <f aca="false">IF(ISBLANK($C391),"",IF(Y391,Constants!$B$4,IF(COUNTA(E391:N391)=0,Constants!$B$5,IF(NOT(Q391),Constants!$B$6,IF(AND(NOT(Z391),NOT(AA391)),Constants!$B$6,Constants!$B$7)))))</f>
        <v/>
      </c>
      <c r="AC391" s="97" t="str">
        <f aca="false">IF(ISBLANK($C391),"",IF($AB391&lt;&gt;Constants!$B$7,$AB391,Constants!$B$20))</f>
        <v/>
      </c>
      <c r="AD391" s="97" t="str">
        <f aca="false">IF($AB391=Constants!$B$7,IF(Z391,S391,Constants!$B$13),"")</f>
        <v/>
      </c>
      <c r="AE391" s="97" t="str">
        <f aca="false">IF($AB391=Constants!$B$7,IF(Z391,R391*IF(T391, 1, Constants!$B$11)*IF(U391, 1, Constants!$B$12),Constants!$B$13),"")</f>
        <v/>
      </c>
      <c r="AF391" s="97" t="str">
        <f aca="false">IF($AB391=Constants!$B$7,AD391*AE391,"")</f>
        <v/>
      </c>
      <c r="AG391" s="97" t="str">
        <f aca="false">IF($AB391=Constants!$B$7,IF(AA391,V391,Constants!$B$13),"")</f>
        <v/>
      </c>
      <c r="AH391" s="97" t="str">
        <f aca="false">IF($AB391=Constants!$B$7,IF(AA391,R391*IF(W391, 1, Constants!$B$11)*IF(X391, 1, Constants!$B$12),Constants!$B$13),"")</f>
        <v/>
      </c>
      <c r="AI391" s="97" t="str">
        <f aca="false">IF($AB391=Constants!$B$7,AG391*AH391,"")</f>
        <v/>
      </c>
      <c r="AJ391" s="97" t="str">
        <f aca="false">IF($AB391=Constants!$B$7,IF(AI391&gt;AF391,2,1),"")</f>
        <v/>
      </c>
      <c r="AK391" s="97" t="str">
        <f aca="false">IF($AB391=Constants!$B$7,IF(AJ391=1,2,1),"")</f>
        <v/>
      </c>
      <c r="AL391" s="97" t="str">
        <f aca="false">IF(ISBLANK($C391),"",IF($AB391&lt;&gt;Constants!$B$7,$AB391,IF(AJ391=1,AF391,AI391)))</f>
        <v/>
      </c>
      <c r="AM391" s="97" t="str">
        <f aca="false">IF(ISBLANK($C391),"",IF($AB391=Constants!$B$7,IF(ISNUMBER(AL391),RANK(AL391,$AL$8:$AL$507),Constants!$B$14),$AB391))</f>
        <v/>
      </c>
      <c r="AN391" s="97" t="str">
        <f aca="false">IF(ISBLANK($C391),"",IF($AB391=Constants!$B$7,IF(AK391=1,AF391,AI391),""))</f>
        <v/>
      </c>
      <c r="AO391" s="97" t="str">
        <f aca="false">IF(ISBLANK($C391),"",IF($AB391=Constants!$B$7,RANK(AN391,$AN$8:$AN$507),$AB391))</f>
        <v/>
      </c>
      <c r="AP391" s="97" t="str">
        <f aca="false">IF(ISBLANK($C391),"",IF($AB391=Constants!$B$7,IF(ISNUMBER(AM391),COUNTIFS($AM$8:$AM$507,"&lt;"&amp;$AM391)+COUNTIFS($AM$8:$AM$507,$AM391,$AO$8:$AO$507,"&lt;"&amp;$AO391)+1,Constants!$B$14),$AB391))</f>
        <v/>
      </c>
      <c r="AQ391" s="97" t="str">
        <f aca="false">IF(ISBLANK($C391),"",IF($AB391=Constants!$B$7,IF(ISNUMBER(AM391),AM391-AP391,Constants!$B$14),$AB391))</f>
        <v/>
      </c>
      <c r="AR391" s="98"/>
      <c r="AS391" s="99" t="str">
        <f aca="false">IF(ISBLANK($C391),"",IF($AB391&lt;&gt;Constants!$B$7,"",AJ391))</f>
        <v/>
      </c>
      <c r="AT391" s="100" t="str">
        <f aca="false">IF(ISBLANK($C391),"",IF($AB391&lt;&gt;Constants!$B$7,"",IF(AJ391=1,AD391,AG391)))</f>
        <v/>
      </c>
      <c r="AU391" s="101" t="str">
        <f aca="false">IF(ISBLANK($C391),"",IF($AB391&lt;&gt;Constants!$B$7,"",IF(AJ391=1,AE391,AH391)))</f>
        <v/>
      </c>
      <c r="AV391" s="102" t="str">
        <f aca="false">IF(ISBLANK($C391),"",IF($AB391&lt;&gt;Constants!$B$7,$AB391,AL391))</f>
        <v/>
      </c>
      <c r="AW391" s="103" t="str">
        <f aca="false">IF(ISBLANK($C391),"",IF($AB391&lt;&gt;Constants!$B$7,$AB391,AC391))</f>
        <v/>
      </c>
      <c r="AX391" s="104" t="str">
        <f aca="false">IF(ISBLANK($C391),"",AQ391)</f>
        <v/>
      </c>
      <c r="AY391" s="104" t="str">
        <f aca="false">IF(ISBLANK($C391),"",AP391)</f>
        <v/>
      </c>
      <c r="AZ391" s="105" t="str">
        <f aca="false">IF(ISBLANK($C391),"",IF(AY391=Constants!$B$4,COUNTA($C$8:$C$507)+2,IF(AY391=Constants!$B$5,COUNTA($C$8:$C$507)+1,IF(AY391=Constants!$B$6,COUNTA($C$8:$C$507),AY391))))</f>
        <v/>
      </c>
      <c r="BA391" s="5"/>
      <c r="BB391" s="106" t="n">
        <f aca="false">IF(OR(ISNUMBER(AY391),AY391=Constants!$B$4,AY391=Constants!$B$6,AY391=Constants!$B$5),1,0)</f>
        <v>0</v>
      </c>
      <c r="BC391" s="106" t="n">
        <v>384</v>
      </c>
      <c r="BD391" s="106" t="str">
        <f aca="false">IF(ISBLANK($C391),"",IF(ISNUMBER(AZ391),AZ391+ROW($B391)/1000,""))</f>
        <v/>
      </c>
      <c r="BE391" s="106" t="str">
        <f aca="false">IF(ISNUMBER(BD391),RANK(BD391,$BD$8:$BD$507,1),"")</f>
        <v/>
      </c>
      <c r="BF391" s="106" t="str">
        <f aca="false">IF(ISBLANK($C391),"",$B391)</f>
        <v/>
      </c>
      <c r="BG391" s="106" t="str">
        <f aca="false">IF(ISBLANK($C391),"",$C391)</f>
        <v/>
      </c>
      <c r="BH391" s="106" t="str">
        <f aca="false">IF(ISBLANK($C391),"",$D391)</f>
        <v/>
      </c>
      <c r="BI391" s="107" t="str">
        <f aca="false">AW391</f>
        <v/>
      </c>
      <c r="BJ391" s="108" t="str">
        <f aca="false">AV391</f>
        <v/>
      </c>
      <c r="BK391" s="106" t="str">
        <f aca="false">IF(ISBLANK($C391),"",AY391)</f>
        <v/>
      </c>
      <c r="BL391" s="109" t="str">
        <f aca="false">IF($BC391&gt;$BB$7,"",VLOOKUP($BC391,$BE$8:$BK$507,7,FALSE()))</f>
        <v/>
      </c>
      <c r="BM391" s="110" t="str">
        <f aca="false">IF($BC391&gt;$BB$7,"",VLOOKUP($BC391,$BE$8:$BK$507,2,FALSE()))</f>
        <v/>
      </c>
      <c r="BN391" s="110" t="str">
        <f aca="false">IF($BC391&gt;$BB$7,"",VLOOKUP($BC391,$BE$8:$BK$507,3,FALSE()))</f>
        <v/>
      </c>
      <c r="BO391" s="110" t="str">
        <f aca="false">IF($BC391&gt;$BB$7,"",VLOOKUP($BC391,$BE$8:$BK$507,4,FALSE()))</f>
        <v/>
      </c>
      <c r="BP391" s="110" t="str">
        <f aca="false">IF($BC391&gt;$BB$7,"",VLOOKUP($BC391,$BE$8:$BK$507,5,FALSE()))</f>
        <v/>
      </c>
      <c r="BQ391" s="111" t="str">
        <f aca="false">IF($BC391&gt;$BB$7,"",VLOOKUP($BC391,$BE$8:$BK$507,6,FALSE()))</f>
        <v/>
      </c>
      <c r="BR391" s="54"/>
    </row>
    <row r="392" customFormat="false" ht="15.75" hidden="false" customHeight="false" outlineLevel="0" collapsed="false">
      <c r="A392" s="5"/>
      <c r="B392" s="124"/>
      <c r="C392" s="56"/>
      <c r="D392" s="57"/>
      <c r="E392" s="83"/>
      <c r="F392" s="59"/>
      <c r="G392" s="60"/>
      <c r="H392" s="61"/>
      <c r="I392" s="62"/>
      <c r="J392" s="59"/>
      <c r="K392" s="60"/>
      <c r="L392" s="61"/>
      <c r="M392" s="62"/>
      <c r="N392" s="59"/>
      <c r="O392" s="83"/>
      <c r="P392" s="64"/>
      <c r="Q392" s="66" t="str">
        <f aca="false">IF(ISBLANK($C392),"",IF(E392=Constants!$B$2, TRUE(), IF(E392=Constants!$B$3, FALSE(), TRUE())))</f>
        <v/>
      </c>
      <c r="R392" s="66" t="str">
        <f aca="false">IF(ISBLANK($C392),"",IF(F392=Constants!$B$16,Constants!$B$9,IF(F392=Constants!$B$17,Constants!$B$10,Constants!$B$8)))</f>
        <v/>
      </c>
      <c r="S392" s="66" t="str">
        <f aca="false">IF(ISBLANK($C392),"",IF(COUNTA(G392:H392)=0,"",IF(AND(OR(ISBLANK(G392),AND(ISNUMBER(G392),G392&gt;=0)),OR(ISBLANK(H392),AND(ISNUMBER(H392),H392&gt;=0))),60*IF(ISBLANK(G392),0,G392)+IF(ISBLANK(H392),0,H392),"")))</f>
        <v/>
      </c>
      <c r="T392" s="66" t="str">
        <f aca="false">IF(ISBLANK($C392),"",IF(I392=Constants!$B$2, TRUE(), IF(I392=Constants!$B$3, FALSE(), TRUE())))</f>
        <v/>
      </c>
      <c r="U392" s="66" t="str">
        <f aca="false">IF(ISBLANK($C392),"",IF(J392=Constants!$B$2, TRUE(), IF(J392=Constants!$B$3, FALSE(), TRUE())))</f>
        <v/>
      </c>
      <c r="V392" s="66" t="str">
        <f aca="false">IF(ISBLANK($C392),"",IF(COUNTA(K392:L392)=0,"",IF(AND(OR(ISBLANK(K392),AND(ISNUMBER(K392),K392&gt;=0)),OR(ISBLANK(L392),AND(ISNUMBER(L392),L392&gt;=0))),60*IF(ISBLANK(K392),0,K392)+IF(ISBLANK(L392),0,L392),"")))</f>
        <v/>
      </c>
      <c r="W392" s="66" t="str">
        <f aca="false">IF(ISBLANK($C392),"",IF(M392=Constants!$B$2, TRUE(), IF(M392=Constants!$B$3, FALSE(), TRUE())))</f>
        <v/>
      </c>
      <c r="X392" s="66" t="str">
        <f aca="false">IF(ISBLANK($C392),"",IF(N392=Constants!$B$2, TRUE(), IF(N392=Constants!$B$3, FALSE(), TRUE())))</f>
        <v/>
      </c>
      <c r="Y392" s="66" t="str">
        <f aca="false">IF(ISBLANK($C392),"",IF(O392=Constants!$B$2, TRUE(), IF(O392=Constants!$B$3, FALSE(), FALSE())))</f>
        <v/>
      </c>
      <c r="Z392" s="66" t="str">
        <f aca="false">IF(ISBLANK($C392),"",AND(S392&lt;&gt;"",Q392))</f>
        <v/>
      </c>
      <c r="AA392" s="66" t="str">
        <f aca="false">IF(ISBLANK($C392),"",AND(V392&lt;&gt;"",Q392))</f>
        <v/>
      </c>
      <c r="AB392" s="66" t="str">
        <f aca="false">IF(ISBLANK($C392),"",IF(Y392,Constants!$B$4,IF(COUNTA(E392:N392)=0,Constants!$B$5,IF(NOT(Q392),Constants!$B$6,IF(AND(NOT(Z392),NOT(AA392)),Constants!$B$6,Constants!$B$7)))))</f>
        <v/>
      </c>
      <c r="AC392" s="66" t="str">
        <f aca="false">IF(ISBLANK($C392),"",IF($AB392&lt;&gt;Constants!$B$7,$AB392,Constants!$B$20))</f>
        <v/>
      </c>
      <c r="AD392" s="66" t="str">
        <f aca="false">IF($AB392=Constants!$B$7,IF(Z392,S392,Constants!$B$13),"")</f>
        <v/>
      </c>
      <c r="AE392" s="66" t="str">
        <f aca="false">IF($AB392=Constants!$B$7,IF(Z392,R392*IF(T392, 1, Constants!$B$11)*IF(U392, 1, Constants!$B$12),Constants!$B$13),"")</f>
        <v/>
      </c>
      <c r="AF392" s="66" t="str">
        <f aca="false">IF($AB392=Constants!$B$7,AD392*AE392,"")</f>
        <v/>
      </c>
      <c r="AG392" s="66" t="str">
        <f aca="false">IF($AB392=Constants!$B$7,IF(AA392,V392,Constants!$B$13),"")</f>
        <v/>
      </c>
      <c r="AH392" s="66" t="str">
        <f aca="false">IF($AB392=Constants!$B$7,IF(AA392,R392*IF(W392, 1, Constants!$B$11)*IF(X392, 1, Constants!$B$12),Constants!$B$13),"")</f>
        <v/>
      </c>
      <c r="AI392" s="66" t="str">
        <f aca="false">IF($AB392=Constants!$B$7,AG392*AH392,"")</f>
        <v/>
      </c>
      <c r="AJ392" s="66" t="str">
        <f aca="false">IF($AB392=Constants!$B$7,IF(AI392&gt;AF392,2,1),"")</f>
        <v/>
      </c>
      <c r="AK392" s="66" t="str">
        <f aca="false">IF($AB392=Constants!$B$7,IF(AJ392=1,2,1),"")</f>
        <v/>
      </c>
      <c r="AL392" s="66" t="str">
        <f aca="false">IF(ISBLANK($C392),"",IF($AB392&lt;&gt;Constants!$B$7,$AB392,IF(AJ392=1,AF392,AI392)))</f>
        <v/>
      </c>
      <c r="AM392" s="66" t="str">
        <f aca="false">IF(ISBLANK($C392),"",IF($AB392=Constants!$B$7,IF(ISNUMBER(AL392),RANK(AL392,$AL$8:$AL$507),Constants!$B$14),$AB392))</f>
        <v/>
      </c>
      <c r="AN392" s="66" t="str">
        <f aca="false">IF(ISBLANK($C392),"",IF($AB392=Constants!$B$7,IF(AK392=1,AF392,AI392),""))</f>
        <v/>
      </c>
      <c r="AO392" s="66" t="str">
        <f aca="false">IF(ISBLANK($C392),"",IF($AB392=Constants!$B$7,RANK(AN392,$AN$8:$AN$507),$AB392))</f>
        <v/>
      </c>
      <c r="AP392" s="66" t="str">
        <f aca="false">IF(ISBLANK($C392),"",IF($AB392=Constants!$B$7,IF(ISNUMBER(AM392),COUNTIFS($AM$8:$AM$507,"&lt;"&amp;$AM392)+COUNTIFS($AM$8:$AM$507,$AM392,$AO$8:$AO$507,"&lt;"&amp;$AO392)+1,Constants!$B$14),$AB392))</f>
        <v/>
      </c>
      <c r="AQ392" s="66" t="str">
        <f aca="false">IF(ISBLANK($C392),"",IF($AB392=Constants!$B$7,IF(ISNUMBER(AM392),AM392-AP392,Constants!$B$14),$AB392))</f>
        <v/>
      </c>
      <c r="AR392" s="68"/>
      <c r="AS392" s="69" t="str">
        <f aca="false">IF(ISBLANK($C392),"",IF($AB392&lt;&gt;Constants!$B$7,"",AJ392))</f>
        <v/>
      </c>
      <c r="AT392" s="84" t="str">
        <f aca="false">IF(ISBLANK($C392),"",IF($AB392&lt;&gt;Constants!$B$7,"",IF(AJ392=1,AD392,AG392)))</f>
        <v/>
      </c>
      <c r="AU392" s="71" t="str">
        <f aca="false">IF(ISBLANK($C392),"",IF($AB392&lt;&gt;Constants!$B$7,"",IF(AJ392=1,AE392,AH392)))</f>
        <v/>
      </c>
      <c r="AV392" s="72" t="str">
        <f aca="false">IF(ISBLANK($C392),"",IF($AB392&lt;&gt;Constants!$B$7,$AB392,AL392))</f>
        <v/>
      </c>
      <c r="AW392" s="73" t="str">
        <f aca="false">IF(ISBLANK($C392),"",IF($AB392&lt;&gt;Constants!$B$7,$AB392,AC392))</f>
        <v/>
      </c>
      <c r="AX392" s="74" t="str">
        <f aca="false">IF(ISBLANK($C392),"",AQ392)</f>
        <v/>
      </c>
      <c r="AY392" s="74" t="str">
        <f aca="false">IF(ISBLANK($C392),"",AP392)</f>
        <v/>
      </c>
      <c r="AZ392" s="75" t="str">
        <f aca="false">IF(ISBLANK($C392),"",IF(AY392=Constants!$B$4,COUNTA($C$8:$C$507)+2,IF(AY392=Constants!$B$5,COUNTA($C$8:$C$507)+1,IF(AY392=Constants!$B$6,COUNTA($C$8:$C$507),AY392))))</f>
        <v/>
      </c>
      <c r="BA392" s="5"/>
      <c r="BB392" s="76" t="n">
        <f aca="false">IF(OR(ISNUMBER(AY392),AY392=Constants!$B$4,AY392=Constants!$B$6,AY392=Constants!$B$5),1,0)</f>
        <v>0</v>
      </c>
      <c r="BC392" s="76" t="n">
        <v>385</v>
      </c>
      <c r="BD392" s="76" t="str">
        <f aca="false">IF(ISBLANK($C392),"",IF(ISNUMBER(AZ392),AZ392+ROW($B392)/1000,""))</f>
        <v/>
      </c>
      <c r="BE392" s="76" t="str">
        <f aca="false">IF(ISNUMBER(BD392),RANK(BD392,$BD$8:$BD$507,1),"")</f>
        <v/>
      </c>
      <c r="BF392" s="76" t="str">
        <f aca="false">IF(ISBLANK($C392),"",$B392)</f>
        <v/>
      </c>
      <c r="BG392" s="76" t="str">
        <f aca="false">IF(ISBLANK($C392),"",$C392)</f>
        <v/>
      </c>
      <c r="BH392" s="76" t="str">
        <f aca="false">IF(ISBLANK($C392),"",$D392)</f>
        <v/>
      </c>
      <c r="BI392" s="77" t="str">
        <f aca="false">AW392</f>
        <v/>
      </c>
      <c r="BJ392" s="78" t="str">
        <f aca="false">AV392</f>
        <v/>
      </c>
      <c r="BK392" s="76" t="str">
        <f aca="false">IF(ISBLANK($C392),"",AY392)</f>
        <v/>
      </c>
      <c r="BL392" s="79" t="str">
        <f aca="false">IF($BC392&gt;$BB$7,"",VLOOKUP($BC392,$BE$8:$BK$507,7,FALSE()))</f>
        <v/>
      </c>
      <c r="BM392" s="80" t="str">
        <f aca="false">IF($BC392&gt;$BB$7,"",VLOOKUP($BC392,$BE$8:$BK$507,2,FALSE()))</f>
        <v/>
      </c>
      <c r="BN392" s="80" t="str">
        <f aca="false">IF($BC392&gt;$BB$7,"",VLOOKUP($BC392,$BE$8:$BK$507,3,FALSE()))</f>
        <v/>
      </c>
      <c r="BO392" s="80" t="str">
        <f aca="false">IF($BC392&gt;$BB$7,"",VLOOKUP($BC392,$BE$8:$BK$507,4,FALSE()))</f>
        <v/>
      </c>
      <c r="BP392" s="80" t="str">
        <f aca="false">IF($BC392&gt;$BB$7,"",VLOOKUP($BC392,$BE$8:$BK$507,5,FALSE()))</f>
        <v/>
      </c>
      <c r="BQ392" s="81" t="str">
        <f aca="false">IF($BC392&gt;$BB$7,"",VLOOKUP($BC392,$BE$8:$BK$507,6,FALSE()))</f>
        <v/>
      </c>
      <c r="BR392" s="54"/>
    </row>
    <row r="393" customFormat="false" ht="15.75" hidden="false" customHeight="false" outlineLevel="0" collapsed="false">
      <c r="A393" s="5"/>
      <c r="B393" s="124"/>
      <c r="C393" s="56"/>
      <c r="D393" s="57"/>
      <c r="E393" s="83"/>
      <c r="F393" s="59"/>
      <c r="G393" s="60"/>
      <c r="H393" s="61"/>
      <c r="I393" s="62"/>
      <c r="J393" s="59"/>
      <c r="K393" s="60"/>
      <c r="L393" s="61"/>
      <c r="M393" s="62"/>
      <c r="N393" s="59"/>
      <c r="O393" s="83"/>
      <c r="P393" s="64"/>
      <c r="Q393" s="66" t="str">
        <f aca="false">IF(ISBLANK($C393),"",IF(E393=Constants!$B$2, TRUE(), IF(E393=Constants!$B$3, FALSE(), TRUE())))</f>
        <v/>
      </c>
      <c r="R393" s="66" t="str">
        <f aca="false">IF(ISBLANK($C393),"",IF(F393=Constants!$B$16,Constants!$B$9,IF(F393=Constants!$B$17,Constants!$B$10,Constants!$B$8)))</f>
        <v/>
      </c>
      <c r="S393" s="66" t="str">
        <f aca="false">IF(ISBLANK($C393),"",IF(COUNTA(G393:H393)=0,"",IF(AND(OR(ISBLANK(G393),AND(ISNUMBER(G393),G393&gt;=0)),OR(ISBLANK(H393),AND(ISNUMBER(H393),H393&gt;=0))),60*IF(ISBLANK(G393),0,G393)+IF(ISBLANK(H393),0,H393),"")))</f>
        <v/>
      </c>
      <c r="T393" s="66" t="str">
        <f aca="false">IF(ISBLANK($C393),"",IF(I393=Constants!$B$2, TRUE(), IF(I393=Constants!$B$3, FALSE(), TRUE())))</f>
        <v/>
      </c>
      <c r="U393" s="66" t="str">
        <f aca="false">IF(ISBLANK($C393),"",IF(J393=Constants!$B$2, TRUE(), IF(J393=Constants!$B$3, FALSE(), TRUE())))</f>
        <v/>
      </c>
      <c r="V393" s="66" t="str">
        <f aca="false">IF(ISBLANK($C393),"",IF(COUNTA(K393:L393)=0,"",IF(AND(OR(ISBLANK(K393),AND(ISNUMBER(K393),K393&gt;=0)),OR(ISBLANK(L393),AND(ISNUMBER(L393),L393&gt;=0))),60*IF(ISBLANK(K393),0,K393)+IF(ISBLANK(L393),0,L393),"")))</f>
        <v/>
      </c>
      <c r="W393" s="66" t="str">
        <f aca="false">IF(ISBLANK($C393),"",IF(M393=Constants!$B$2, TRUE(), IF(M393=Constants!$B$3, FALSE(), TRUE())))</f>
        <v/>
      </c>
      <c r="X393" s="66" t="str">
        <f aca="false">IF(ISBLANK($C393),"",IF(N393=Constants!$B$2, TRUE(), IF(N393=Constants!$B$3, FALSE(), TRUE())))</f>
        <v/>
      </c>
      <c r="Y393" s="66" t="str">
        <f aca="false">IF(ISBLANK($C393),"",IF(O393=Constants!$B$2, TRUE(), IF(O393=Constants!$B$3, FALSE(), FALSE())))</f>
        <v/>
      </c>
      <c r="Z393" s="66" t="str">
        <f aca="false">IF(ISBLANK($C393),"",AND(S393&lt;&gt;"",Q393))</f>
        <v/>
      </c>
      <c r="AA393" s="66" t="str">
        <f aca="false">IF(ISBLANK($C393),"",AND(V393&lt;&gt;"",Q393))</f>
        <v/>
      </c>
      <c r="AB393" s="66" t="str">
        <f aca="false">IF(ISBLANK($C393),"",IF(Y393,Constants!$B$4,IF(COUNTA(E393:N393)=0,Constants!$B$5,IF(NOT(Q393),Constants!$B$6,IF(AND(NOT(Z393),NOT(AA393)),Constants!$B$6,Constants!$B$7)))))</f>
        <v/>
      </c>
      <c r="AC393" s="66" t="str">
        <f aca="false">IF(ISBLANK($C393),"",IF($AB393&lt;&gt;Constants!$B$7,$AB393,Constants!$B$20))</f>
        <v/>
      </c>
      <c r="AD393" s="66" t="str">
        <f aca="false">IF($AB393=Constants!$B$7,IF(Z393,S393,Constants!$B$13),"")</f>
        <v/>
      </c>
      <c r="AE393" s="66" t="str">
        <f aca="false">IF($AB393=Constants!$B$7,IF(Z393,R393*IF(T393, 1, Constants!$B$11)*IF(U393, 1, Constants!$B$12),Constants!$B$13),"")</f>
        <v/>
      </c>
      <c r="AF393" s="66" t="str">
        <f aca="false">IF($AB393=Constants!$B$7,AD393*AE393,"")</f>
        <v/>
      </c>
      <c r="AG393" s="66" t="str">
        <f aca="false">IF($AB393=Constants!$B$7,IF(AA393,V393,Constants!$B$13),"")</f>
        <v/>
      </c>
      <c r="AH393" s="66" t="str">
        <f aca="false">IF($AB393=Constants!$B$7,IF(AA393,R393*IF(W393, 1, Constants!$B$11)*IF(X393, 1, Constants!$B$12),Constants!$B$13),"")</f>
        <v/>
      </c>
      <c r="AI393" s="66" t="str">
        <f aca="false">IF($AB393=Constants!$B$7,AG393*AH393,"")</f>
        <v/>
      </c>
      <c r="AJ393" s="66" t="str">
        <f aca="false">IF($AB393=Constants!$B$7,IF(AI393&gt;AF393,2,1),"")</f>
        <v/>
      </c>
      <c r="AK393" s="66" t="str">
        <f aca="false">IF($AB393=Constants!$B$7,IF(AJ393=1,2,1),"")</f>
        <v/>
      </c>
      <c r="AL393" s="66" t="str">
        <f aca="false">IF(ISBLANK($C393),"",IF($AB393&lt;&gt;Constants!$B$7,$AB393,IF(AJ393=1,AF393,AI393)))</f>
        <v/>
      </c>
      <c r="AM393" s="66" t="str">
        <f aca="false">IF(ISBLANK($C393),"",IF($AB393=Constants!$B$7,IF(ISNUMBER(AL393),RANK(AL393,$AL$8:$AL$507),Constants!$B$14),$AB393))</f>
        <v/>
      </c>
      <c r="AN393" s="66" t="str">
        <f aca="false">IF(ISBLANK($C393),"",IF($AB393=Constants!$B$7,IF(AK393=1,AF393,AI393),""))</f>
        <v/>
      </c>
      <c r="AO393" s="66" t="str">
        <f aca="false">IF(ISBLANK($C393),"",IF($AB393=Constants!$B$7,RANK(AN393,$AN$8:$AN$507),$AB393))</f>
        <v/>
      </c>
      <c r="AP393" s="66" t="str">
        <f aca="false">IF(ISBLANK($C393),"",IF($AB393=Constants!$B$7,IF(ISNUMBER(AM393),COUNTIFS($AM$8:$AM$507,"&lt;"&amp;$AM393)+COUNTIFS($AM$8:$AM$507,$AM393,$AO$8:$AO$507,"&lt;"&amp;$AO393)+1,Constants!$B$14),$AB393))</f>
        <v/>
      </c>
      <c r="AQ393" s="66" t="str">
        <f aca="false">IF(ISBLANK($C393),"",IF($AB393=Constants!$B$7,IF(ISNUMBER(AM393),AM393-AP393,Constants!$B$14),$AB393))</f>
        <v/>
      </c>
      <c r="AR393" s="68"/>
      <c r="AS393" s="69" t="str">
        <f aca="false">IF(ISBLANK($C393),"",IF($AB393&lt;&gt;Constants!$B$7,"",AJ393))</f>
        <v/>
      </c>
      <c r="AT393" s="84" t="str">
        <f aca="false">IF(ISBLANK($C393),"",IF($AB393&lt;&gt;Constants!$B$7,"",IF(AJ393=1,AD393,AG393)))</f>
        <v/>
      </c>
      <c r="AU393" s="71" t="str">
        <f aca="false">IF(ISBLANK($C393),"",IF($AB393&lt;&gt;Constants!$B$7,"",IF(AJ393=1,AE393,AH393)))</f>
        <v/>
      </c>
      <c r="AV393" s="72" t="str">
        <f aca="false">IF(ISBLANK($C393),"",IF($AB393&lt;&gt;Constants!$B$7,$AB393,AL393))</f>
        <v/>
      </c>
      <c r="AW393" s="73" t="str">
        <f aca="false">IF(ISBLANK($C393),"",IF($AB393&lt;&gt;Constants!$B$7,$AB393,AC393))</f>
        <v/>
      </c>
      <c r="AX393" s="74" t="str">
        <f aca="false">IF(ISBLANK($C393),"",AQ393)</f>
        <v/>
      </c>
      <c r="AY393" s="74" t="str">
        <f aca="false">IF(ISBLANK($C393),"",AP393)</f>
        <v/>
      </c>
      <c r="AZ393" s="75" t="str">
        <f aca="false">IF(ISBLANK($C393),"",IF(AY393=Constants!$B$4,COUNTA($C$8:$C$507)+2,IF(AY393=Constants!$B$5,COUNTA($C$8:$C$507)+1,IF(AY393=Constants!$B$6,COUNTA($C$8:$C$507),AY393))))</f>
        <v/>
      </c>
      <c r="BA393" s="5"/>
      <c r="BB393" s="76" t="n">
        <f aca="false">IF(OR(ISNUMBER(AY393),AY393=Constants!$B$4,AY393=Constants!$B$6,AY393=Constants!$B$5),1,0)</f>
        <v>0</v>
      </c>
      <c r="BC393" s="76" t="n">
        <v>386</v>
      </c>
      <c r="BD393" s="76" t="str">
        <f aca="false">IF(ISBLANK($C393),"",IF(ISNUMBER(AZ393),AZ393+ROW($B393)/1000,""))</f>
        <v/>
      </c>
      <c r="BE393" s="76" t="str">
        <f aca="false">IF(ISNUMBER(BD393),RANK(BD393,$BD$8:$BD$507,1),"")</f>
        <v/>
      </c>
      <c r="BF393" s="76" t="str">
        <f aca="false">IF(ISBLANK($C393),"",$B393)</f>
        <v/>
      </c>
      <c r="BG393" s="76" t="str">
        <f aca="false">IF(ISBLANK($C393),"",$C393)</f>
        <v/>
      </c>
      <c r="BH393" s="76" t="str">
        <f aca="false">IF(ISBLANK($C393),"",$D393)</f>
        <v/>
      </c>
      <c r="BI393" s="77" t="str">
        <f aca="false">AW393</f>
        <v/>
      </c>
      <c r="BJ393" s="78" t="str">
        <f aca="false">AV393</f>
        <v/>
      </c>
      <c r="BK393" s="76" t="str">
        <f aca="false">IF(ISBLANK($C393),"",AY393)</f>
        <v/>
      </c>
      <c r="BL393" s="79" t="str">
        <f aca="false">IF($BC393&gt;$BB$7,"",VLOOKUP($BC393,$BE$8:$BK$507,7,FALSE()))</f>
        <v/>
      </c>
      <c r="BM393" s="80" t="str">
        <f aca="false">IF($BC393&gt;$BB$7,"",VLOOKUP($BC393,$BE$8:$BK$507,2,FALSE()))</f>
        <v/>
      </c>
      <c r="BN393" s="80" t="str">
        <f aca="false">IF($BC393&gt;$BB$7,"",VLOOKUP($BC393,$BE$8:$BK$507,3,FALSE()))</f>
        <v/>
      </c>
      <c r="BO393" s="80" t="str">
        <f aca="false">IF($BC393&gt;$BB$7,"",VLOOKUP($BC393,$BE$8:$BK$507,4,FALSE()))</f>
        <v/>
      </c>
      <c r="BP393" s="80" t="str">
        <f aca="false">IF($BC393&gt;$BB$7,"",VLOOKUP($BC393,$BE$8:$BK$507,5,FALSE()))</f>
        <v/>
      </c>
      <c r="BQ393" s="81" t="str">
        <f aca="false">IF($BC393&gt;$BB$7,"",VLOOKUP($BC393,$BE$8:$BK$507,6,FALSE()))</f>
        <v/>
      </c>
      <c r="BR393" s="54"/>
    </row>
    <row r="394" customFormat="false" ht="15.75" hidden="false" customHeight="false" outlineLevel="0" collapsed="false">
      <c r="A394" s="5"/>
      <c r="B394" s="124"/>
      <c r="C394" s="56"/>
      <c r="D394" s="57"/>
      <c r="E394" s="83"/>
      <c r="F394" s="59"/>
      <c r="G394" s="60"/>
      <c r="H394" s="61"/>
      <c r="I394" s="62"/>
      <c r="J394" s="59"/>
      <c r="K394" s="60"/>
      <c r="L394" s="61"/>
      <c r="M394" s="62"/>
      <c r="N394" s="59"/>
      <c r="O394" s="83"/>
      <c r="P394" s="64"/>
      <c r="Q394" s="66" t="str">
        <f aca="false">IF(ISBLANK($C394),"",IF(E394=Constants!$B$2, TRUE(), IF(E394=Constants!$B$3, FALSE(), TRUE())))</f>
        <v/>
      </c>
      <c r="R394" s="66" t="str">
        <f aca="false">IF(ISBLANK($C394),"",IF(F394=Constants!$B$16,Constants!$B$9,IF(F394=Constants!$B$17,Constants!$B$10,Constants!$B$8)))</f>
        <v/>
      </c>
      <c r="S394" s="66" t="str">
        <f aca="false">IF(ISBLANK($C394),"",IF(COUNTA(G394:H394)=0,"",IF(AND(OR(ISBLANK(G394),AND(ISNUMBER(G394),G394&gt;=0)),OR(ISBLANK(H394),AND(ISNUMBER(H394),H394&gt;=0))),60*IF(ISBLANK(G394),0,G394)+IF(ISBLANK(H394),0,H394),"")))</f>
        <v/>
      </c>
      <c r="T394" s="66" t="str">
        <f aca="false">IF(ISBLANK($C394),"",IF(I394=Constants!$B$2, TRUE(), IF(I394=Constants!$B$3, FALSE(), TRUE())))</f>
        <v/>
      </c>
      <c r="U394" s="66" t="str">
        <f aca="false">IF(ISBLANK($C394),"",IF(J394=Constants!$B$2, TRUE(), IF(J394=Constants!$B$3, FALSE(), TRUE())))</f>
        <v/>
      </c>
      <c r="V394" s="66" t="str">
        <f aca="false">IF(ISBLANK($C394),"",IF(COUNTA(K394:L394)=0,"",IF(AND(OR(ISBLANK(K394),AND(ISNUMBER(K394),K394&gt;=0)),OR(ISBLANK(L394),AND(ISNUMBER(L394),L394&gt;=0))),60*IF(ISBLANK(K394),0,K394)+IF(ISBLANK(L394),0,L394),"")))</f>
        <v/>
      </c>
      <c r="W394" s="66" t="str">
        <f aca="false">IF(ISBLANK($C394),"",IF(M394=Constants!$B$2, TRUE(), IF(M394=Constants!$B$3, FALSE(), TRUE())))</f>
        <v/>
      </c>
      <c r="X394" s="66" t="str">
        <f aca="false">IF(ISBLANK($C394),"",IF(N394=Constants!$B$2, TRUE(), IF(N394=Constants!$B$3, FALSE(), TRUE())))</f>
        <v/>
      </c>
      <c r="Y394" s="66" t="str">
        <f aca="false">IF(ISBLANK($C394),"",IF(O394=Constants!$B$2, TRUE(), IF(O394=Constants!$B$3, FALSE(), FALSE())))</f>
        <v/>
      </c>
      <c r="Z394" s="66" t="str">
        <f aca="false">IF(ISBLANK($C394),"",AND(S394&lt;&gt;"",Q394))</f>
        <v/>
      </c>
      <c r="AA394" s="66" t="str">
        <f aca="false">IF(ISBLANK($C394),"",AND(V394&lt;&gt;"",Q394))</f>
        <v/>
      </c>
      <c r="AB394" s="66" t="str">
        <f aca="false">IF(ISBLANK($C394),"",IF(Y394,Constants!$B$4,IF(COUNTA(E394:N394)=0,Constants!$B$5,IF(NOT(Q394),Constants!$B$6,IF(AND(NOT(Z394),NOT(AA394)),Constants!$B$6,Constants!$B$7)))))</f>
        <v/>
      </c>
      <c r="AC394" s="66" t="str">
        <f aca="false">IF(ISBLANK($C394),"",IF($AB394&lt;&gt;Constants!$B$7,$AB394,Constants!$B$20))</f>
        <v/>
      </c>
      <c r="AD394" s="66" t="str">
        <f aca="false">IF($AB394=Constants!$B$7,IF(Z394,S394,Constants!$B$13),"")</f>
        <v/>
      </c>
      <c r="AE394" s="66" t="str">
        <f aca="false">IF($AB394=Constants!$B$7,IF(Z394,R394*IF(T394, 1, Constants!$B$11)*IF(U394, 1, Constants!$B$12),Constants!$B$13),"")</f>
        <v/>
      </c>
      <c r="AF394" s="66" t="str">
        <f aca="false">IF($AB394=Constants!$B$7,AD394*AE394,"")</f>
        <v/>
      </c>
      <c r="AG394" s="66" t="str">
        <f aca="false">IF($AB394=Constants!$B$7,IF(AA394,V394,Constants!$B$13),"")</f>
        <v/>
      </c>
      <c r="AH394" s="66" t="str">
        <f aca="false">IF($AB394=Constants!$B$7,IF(AA394,R394*IF(W394, 1, Constants!$B$11)*IF(X394, 1, Constants!$B$12),Constants!$B$13),"")</f>
        <v/>
      </c>
      <c r="AI394" s="66" t="str">
        <f aca="false">IF($AB394=Constants!$B$7,AG394*AH394,"")</f>
        <v/>
      </c>
      <c r="AJ394" s="66" t="str">
        <f aca="false">IF($AB394=Constants!$B$7,IF(AI394&gt;AF394,2,1),"")</f>
        <v/>
      </c>
      <c r="AK394" s="66" t="str">
        <f aca="false">IF($AB394=Constants!$B$7,IF(AJ394=1,2,1),"")</f>
        <v/>
      </c>
      <c r="AL394" s="66" t="str">
        <f aca="false">IF(ISBLANK($C394),"",IF($AB394&lt;&gt;Constants!$B$7,$AB394,IF(AJ394=1,AF394,AI394)))</f>
        <v/>
      </c>
      <c r="AM394" s="66" t="str">
        <f aca="false">IF(ISBLANK($C394),"",IF($AB394=Constants!$B$7,IF(ISNUMBER(AL394),RANK(AL394,$AL$8:$AL$507),Constants!$B$14),$AB394))</f>
        <v/>
      </c>
      <c r="AN394" s="66" t="str">
        <f aca="false">IF(ISBLANK($C394),"",IF($AB394=Constants!$B$7,IF(AK394=1,AF394,AI394),""))</f>
        <v/>
      </c>
      <c r="AO394" s="66" t="str">
        <f aca="false">IF(ISBLANK($C394),"",IF($AB394=Constants!$B$7,RANK(AN394,$AN$8:$AN$507),$AB394))</f>
        <v/>
      </c>
      <c r="AP394" s="66" t="str">
        <f aca="false">IF(ISBLANK($C394),"",IF($AB394=Constants!$B$7,IF(ISNUMBER(AM394),COUNTIFS($AM$8:$AM$507,"&lt;"&amp;$AM394)+COUNTIFS($AM$8:$AM$507,$AM394,$AO$8:$AO$507,"&lt;"&amp;$AO394)+1,Constants!$B$14),$AB394))</f>
        <v/>
      </c>
      <c r="AQ394" s="66" t="str">
        <f aca="false">IF(ISBLANK($C394),"",IF($AB394=Constants!$B$7,IF(ISNUMBER(AM394),AM394-AP394,Constants!$B$14),$AB394))</f>
        <v/>
      </c>
      <c r="AR394" s="68"/>
      <c r="AS394" s="69" t="str">
        <f aca="false">IF(ISBLANK($C394),"",IF($AB394&lt;&gt;Constants!$B$7,"",AJ394))</f>
        <v/>
      </c>
      <c r="AT394" s="84" t="str">
        <f aca="false">IF(ISBLANK($C394),"",IF($AB394&lt;&gt;Constants!$B$7,"",IF(AJ394=1,AD394,AG394)))</f>
        <v/>
      </c>
      <c r="AU394" s="71" t="str">
        <f aca="false">IF(ISBLANK($C394),"",IF($AB394&lt;&gt;Constants!$B$7,"",IF(AJ394=1,AE394,AH394)))</f>
        <v/>
      </c>
      <c r="AV394" s="72" t="str">
        <f aca="false">IF(ISBLANK($C394),"",IF($AB394&lt;&gt;Constants!$B$7,$AB394,AL394))</f>
        <v/>
      </c>
      <c r="AW394" s="73" t="str">
        <f aca="false">IF(ISBLANK($C394),"",IF($AB394&lt;&gt;Constants!$B$7,$AB394,AC394))</f>
        <v/>
      </c>
      <c r="AX394" s="74" t="str">
        <f aca="false">IF(ISBLANK($C394),"",AQ394)</f>
        <v/>
      </c>
      <c r="AY394" s="74" t="str">
        <f aca="false">IF(ISBLANK($C394),"",AP394)</f>
        <v/>
      </c>
      <c r="AZ394" s="75" t="str">
        <f aca="false">IF(ISBLANK($C394),"",IF(AY394=Constants!$B$4,COUNTA($C$8:$C$507)+2,IF(AY394=Constants!$B$5,COUNTA($C$8:$C$507)+1,IF(AY394=Constants!$B$6,COUNTA($C$8:$C$507),AY394))))</f>
        <v/>
      </c>
      <c r="BA394" s="5"/>
      <c r="BB394" s="76" t="n">
        <f aca="false">IF(OR(ISNUMBER(AY394),AY394=Constants!$B$4,AY394=Constants!$B$6,AY394=Constants!$B$5),1,0)</f>
        <v>0</v>
      </c>
      <c r="BC394" s="76" t="n">
        <v>387</v>
      </c>
      <c r="BD394" s="76" t="str">
        <f aca="false">IF(ISBLANK($C394),"",IF(ISNUMBER(AZ394),AZ394+ROW($B394)/1000,""))</f>
        <v/>
      </c>
      <c r="BE394" s="76" t="str">
        <f aca="false">IF(ISNUMBER(BD394),RANK(BD394,$BD$8:$BD$507,1),"")</f>
        <v/>
      </c>
      <c r="BF394" s="76" t="str">
        <f aca="false">IF(ISBLANK($C394),"",$B394)</f>
        <v/>
      </c>
      <c r="BG394" s="76" t="str">
        <f aca="false">IF(ISBLANK($C394),"",$C394)</f>
        <v/>
      </c>
      <c r="BH394" s="76" t="str">
        <f aca="false">IF(ISBLANK($C394),"",$D394)</f>
        <v/>
      </c>
      <c r="BI394" s="77" t="str">
        <f aca="false">AW394</f>
        <v/>
      </c>
      <c r="BJ394" s="78" t="str">
        <f aca="false">AV394</f>
        <v/>
      </c>
      <c r="BK394" s="76" t="str">
        <f aca="false">IF(ISBLANK($C394),"",AY394)</f>
        <v/>
      </c>
      <c r="BL394" s="79" t="str">
        <f aca="false">IF($BC394&gt;$BB$7,"",VLOOKUP($BC394,$BE$8:$BK$507,7,FALSE()))</f>
        <v/>
      </c>
      <c r="BM394" s="80" t="str">
        <f aca="false">IF($BC394&gt;$BB$7,"",VLOOKUP($BC394,$BE$8:$BK$507,2,FALSE()))</f>
        <v/>
      </c>
      <c r="BN394" s="80" t="str">
        <f aca="false">IF($BC394&gt;$BB$7,"",VLOOKUP($BC394,$BE$8:$BK$507,3,FALSE()))</f>
        <v/>
      </c>
      <c r="BO394" s="80" t="str">
        <f aca="false">IF($BC394&gt;$BB$7,"",VLOOKUP($BC394,$BE$8:$BK$507,4,FALSE()))</f>
        <v/>
      </c>
      <c r="BP394" s="80" t="str">
        <f aca="false">IF($BC394&gt;$BB$7,"",VLOOKUP($BC394,$BE$8:$BK$507,5,FALSE()))</f>
        <v/>
      </c>
      <c r="BQ394" s="81" t="str">
        <f aca="false">IF($BC394&gt;$BB$7,"",VLOOKUP($BC394,$BE$8:$BK$507,6,FALSE()))</f>
        <v/>
      </c>
      <c r="BR394" s="54"/>
    </row>
    <row r="395" customFormat="false" ht="15.75" hidden="false" customHeight="false" outlineLevel="0" collapsed="false">
      <c r="A395" s="5"/>
      <c r="B395" s="120"/>
      <c r="C395" s="121"/>
      <c r="D395" s="112"/>
      <c r="E395" s="123"/>
      <c r="F395" s="91"/>
      <c r="G395" s="92"/>
      <c r="H395" s="93"/>
      <c r="I395" s="94"/>
      <c r="J395" s="91"/>
      <c r="K395" s="92"/>
      <c r="L395" s="93"/>
      <c r="M395" s="94"/>
      <c r="N395" s="91"/>
      <c r="O395" s="123"/>
      <c r="P395" s="96"/>
      <c r="Q395" s="97" t="str">
        <f aca="false">IF(ISBLANK($C395),"",IF(E395=Constants!$B$2, TRUE(), IF(E395=Constants!$B$3, FALSE(), TRUE())))</f>
        <v/>
      </c>
      <c r="R395" s="97" t="str">
        <f aca="false">IF(ISBLANK($C395),"",IF(F395=Constants!$B$16,Constants!$B$9,IF(F395=Constants!$B$17,Constants!$B$10,Constants!$B$8)))</f>
        <v/>
      </c>
      <c r="S395" s="97" t="str">
        <f aca="false">IF(ISBLANK($C395),"",IF(COUNTA(G395:H395)=0,"",IF(AND(OR(ISBLANK(G395),AND(ISNUMBER(G395),G395&gt;=0)),OR(ISBLANK(H395),AND(ISNUMBER(H395),H395&gt;=0))),60*IF(ISBLANK(G395),0,G395)+IF(ISBLANK(H395),0,H395),"")))</f>
        <v/>
      </c>
      <c r="T395" s="97" t="str">
        <f aca="false">IF(ISBLANK($C395),"",IF(I395=Constants!$B$2, TRUE(), IF(I395=Constants!$B$3, FALSE(), TRUE())))</f>
        <v/>
      </c>
      <c r="U395" s="97" t="str">
        <f aca="false">IF(ISBLANK($C395),"",IF(J395=Constants!$B$2, TRUE(), IF(J395=Constants!$B$3, FALSE(), TRUE())))</f>
        <v/>
      </c>
      <c r="V395" s="97" t="str">
        <f aca="false">IF(ISBLANK($C395),"",IF(COUNTA(K395:L395)=0,"",IF(AND(OR(ISBLANK(K395),AND(ISNUMBER(K395),K395&gt;=0)),OR(ISBLANK(L395),AND(ISNUMBER(L395),L395&gt;=0))),60*IF(ISBLANK(K395),0,K395)+IF(ISBLANK(L395),0,L395),"")))</f>
        <v/>
      </c>
      <c r="W395" s="97" t="str">
        <f aca="false">IF(ISBLANK($C395),"",IF(M395=Constants!$B$2, TRUE(), IF(M395=Constants!$B$3, FALSE(), TRUE())))</f>
        <v/>
      </c>
      <c r="X395" s="97" t="str">
        <f aca="false">IF(ISBLANK($C395),"",IF(N395=Constants!$B$2, TRUE(), IF(N395=Constants!$B$3, FALSE(), TRUE())))</f>
        <v/>
      </c>
      <c r="Y395" s="97" t="str">
        <f aca="false">IF(ISBLANK($C395),"",IF(O395=Constants!$B$2, TRUE(), IF(O395=Constants!$B$3, FALSE(), FALSE())))</f>
        <v/>
      </c>
      <c r="Z395" s="97" t="str">
        <f aca="false">IF(ISBLANK($C395),"",AND(S395&lt;&gt;"",Q395))</f>
        <v/>
      </c>
      <c r="AA395" s="97" t="str">
        <f aca="false">IF(ISBLANK($C395),"",AND(V395&lt;&gt;"",Q395))</f>
        <v/>
      </c>
      <c r="AB395" s="97" t="str">
        <f aca="false">IF(ISBLANK($C395),"",IF(Y395,Constants!$B$4,IF(COUNTA(E395:N395)=0,Constants!$B$5,IF(NOT(Q395),Constants!$B$6,IF(AND(NOT(Z395),NOT(AA395)),Constants!$B$6,Constants!$B$7)))))</f>
        <v/>
      </c>
      <c r="AC395" s="97" t="str">
        <f aca="false">IF(ISBLANK($C395),"",IF($AB395&lt;&gt;Constants!$B$7,$AB395,Constants!$B$20))</f>
        <v/>
      </c>
      <c r="AD395" s="97" t="str">
        <f aca="false">IF($AB395=Constants!$B$7,IF(Z395,S395,Constants!$B$13),"")</f>
        <v/>
      </c>
      <c r="AE395" s="97" t="str">
        <f aca="false">IF($AB395=Constants!$B$7,IF(Z395,R395*IF(T395, 1, Constants!$B$11)*IF(U395, 1, Constants!$B$12),Constants!$B$13),"")</f>
        <v/>
      </c>
      <c r="AF395" s="97" t="str">
        <f aca="false">IF($AB395=Constants!$B$7,AD395*AE395,"")</f>
        <v/>
      </c>
      <c r="AG395" s="97" t="str">
        <f aca="false">IF($AB395=Constants!$B$7,IF(AA395,V395,Constants!$B$13),"")</f>
        <v/>
      </c>
      <c r="AH395" s="97" t="str">
        <f aca="false">IF($AB395=Constants!$B$7,IF(AA395,R395*IF(W395, 1, Constants!$B$11)*IF(X395, 1, Constants!$B$12),Constants!$B$13),"")</f>
        <v/>
      </c>
      <c r="AI395" s="97" t="str">
        <f aca="false">IF($AB395=Constants!$B$7,AG395*AH395,"")</f>
        <v/>
      </c>
      <c r="AJ395" s="97" t="str">
        <f aca="false">IF($AB395=Constants!$B$7,IF(AI395&gt;AF395,2,1),"")</f>
        <v/>
      </c>
      <c r="AK395" s="97" t="str">
        <f aca="false">IF($AB395=Constants!$B$7,IF(AJ395=1,2,1),"")</f>
        <v/>
      </c>
      <c r="AL395" s="97" t="str">
        <f aca="false">IF(ISBLANK($C395),"",IF($AB395&lt;&gt;Constants!$B$7,$AB395,IF(AJ395=1,AF395,AI395)))</f>
        <v/>
      </c>
      <c r="AM395" s="97" t="str">
        <f aca="false">IF(ISBLANK($C395),"",IF($AB395=Constants!$B$7,IF(ISNUMBER(AL395),RANK(AL395,$AL$8:$AL$507),Constants!$B$14),$AB395))</f>
        <v/>
      </c>
      <c r="AN395" s="97" t="str">
        <f aca="false">IF(ISBLANK($C395),"",IF($AB395=Constants!$B$7,IF(AK395=1,AF395,AI395),""))</f>
        <v/>
      </c>
      <c r="AO395" s="97" t="str">
        <f aca="false">IF(ISBLANK($C395),"",IF($AB395=Constants!$B$7,RANK(AN395,$AN$8:$AN$507),$AB395))</f>
        <v/>
      </c>
      <c r="AP395" s="97" t="str">
        <f aca="false">IF(ISBLANK($C395),"",IF($AB395=Constants!$B$7,IF(ISNUMBER(AM395),COUNTIFS($AM$8:$AM$507,"&lt;"&amp;$AM395)+COUNTIFS($AM$8:$AM$507,$AM395,$AO$8:$AO$507,"&lt;"&amp;$AO395)+1,Constants!$B$14),$AB395))</f>
        <v/>
      </c>
      <c r="AQ395" s="97" t="str">
        <f aca="false">IF(ISBLANK($C395),"",IF($AB395=Constants!$B$7,IF(ISNUMBER(AM395),AM395-AP395,Constants!$B$14),$AB395))</f>
        <v/>
      </c>
      <c r="AR395" s="98"/>
      <c r="AS395" s="99" t="str">
        <f aca="false">IF(ISBLANK($C395),"",IF($AB395&lt;&gt;Constants!$B$7,"",AJ395))</f>
        <v/>
      </c>
      <c r="AT395" s="100" t="str">
        <f aca="false">IF(ISBLANK($C395),"",IF($AB395&lt;&gt;Constants!$B$7,"",IF(AJ395=1,AD395,AG395)))</f>
        <v/>
      </c>
      <c r="AU395" s="101" t="str">
        <f aca="false">IF(ISBLANK($C395),"",IF($AB395&lt;&gt;Constants!$B$7,"",IF(AJ395=1,AE395,AH395)))</f>
        <v/>
      </c>
      <c r="AV395" s="102" t="str">
        <f aca="false">IF(ISBLANK($C395),"",IF($AB395&lt;&gt;Constants!$B$7,$AB395,AL395))</f>
        <v/>
      </c>
      <c r="AW395" s="103" t="str">
        <f aca="false">IF(ISBLANK($C395),"",IF($AB395&lt;&gt;Constants!$B$7,$AB395,AC395))</f>
        <v/>
      </c>
      <c r="AX395" s="104" t="str">
        <f aca="false">IF(ISBLANK($C395),"",AQ395)</f>
        <v/>
      </c>
      <c r="AY395" s="104" t="str">
        <f aca="false">IF(ISBLANK($C395),"",AP395)</f>
        <v/>
      </c>
      <c r="AZ395" s="105" t="str">
        <f aca="false">IF(ISBLANK($C395),"",IF(AY395=Constants!$B$4,COUNTA($C$8:$C$507)+2,IF(AY395=Constants!$B$5,COUNTA($C$8:$C$507)+1,IF(AY395=Constants!$B$6,COUNTA($C$8:$C$507),AY395))))</f>
        <v/>
      </c>
      <c r="BA395" s="5"/>
      <c r="BB395" s="106" t="n">
        <f aca="false">IF(OR(ISNUMBER(AY395),AY395=Constants!$B$4,AY395=Constants!$B$6,AY395=Constants!$B$5),1,0)</f>
        <v>0</v>
      </c>
      <c r="BC395" s="106" t="n">
        <v>388</v>
      </c>
      <c r="BD395" s="106" t="str">
        <f aca="false">IF(ISBLANK($C395),"",IF(ISNUMBER(AZ395),AZ395+ROW($B395)/1000,""))</f>
        <v/>
      </c>
      <c r="BE395" s="106" t="str">
        <f aca="false">IF(ISNUMBER(BD395),RANK(BD395,$BD$8:$BD$507,1),"")</f>
        <v/>
      </c>
      <c r="BF395" s="106" t="str">
        <f aca="false">IF(ISBLANK($C395),"",$B395)</f>
        <v/>
      </c>
      <c r="BG395" s="106" t="str">
        <f aca="false">IF(ISBLANK($C395),"",$C395)</f>
        <v/>
      </c>
      <c r="BH395" s="106" t="str">
        <f aca="false">IF(ISBLANK($C395),"",$D395)</f>
        <v/>
      </c>
      <c r="BI395" s="107" t="str">
        <f aca="false">AW395</f>
        <v/>
      </c>
      <c r="BJ395" s="108" t="str">
        <f aca="false">AV395</f>
        <v/>
      </c>
      <c r="BK395" s="106" t="str">
        <f aca="false">IF(ISBLANK($C395),"",AY395)</f>
        <v/>
      </c>
      <c r="BL395" s="109" t="str">
        <f aca="false">IF($BC395&gt;$BB$7,"",VLOOKUP($BC395,$BE$8:$BK$507,7,FALSE()))</f>
        <v/>
      </c>
      <c r="BM395" s="110" t="str">
        <f aca="false">IF($BC395&gt;$BB$7,"",VLOOKUP($BC395,$BE$8:$BK$507,2,FALSE()))</f>
        <v/>
      </c>
      <c r="BN395" s="110" t="str">
        <f aca="false">IF($BC395&gt;$BB$7,"",VLOOKUP($BC395,$BE$8:$BK$507,3,FALSE()))</f>
        <v/>
      </c>
      <c r="BO395" s="110" t="str">
        <f aca="false">IF($BC395&gt;$BB$7,"",VLOOKUP($BC395,$BE$8:$BK$507,4,FALSE()))</f>
        <v/>
      </c>
      <c r="BP395" s="110" t="str">
        <f aca="false">IF($BC395&gt;$BB$7,"",VLOOKUP($BC395,$BE$8:$BK$507,5,FALSE()))</f>
        <v/>
      </c>
      <c r="BQ395" s="111" t="str">
        <f aca="false">IF($BC395&gt;$BB$7,"",VLOOKUP($BC395,$BE$8:$BK$507,6,FALSE()))</f>
        <v/>
      </c>
      <c r="BR395" s="54"/>
    </row>
    <row r="396" customFormat="false" ht="15.75" hidden="false" customHeight="false" outlineLevel="0" collapsed="false">
      <c r="A396" s="5"/>
      <c r="B396" s="120"/>
      <c r="C396" s="121"/>
      <c r="D396" s="112"/>
      <c r="E396" s="123"/>
      <c r="F396" s="91"/>
      <c r="G396" s="92"/>
      <c r="H396" s="93"/>
      <c r="I396" s="94"/>
      <c r="J396" s="91"/>
      <c r="K396" s="92"/>
      <c r="L396" s="93"/>
      <c r="M396" s="94"/>
      <c r="N396" s="91"/>
      <c r="O396" s="123"/>
      <c r="P396" s="96"/>
      <c r="Q396" s="97" t="str">
        <f aca="false">IF(ISBLANK($C396),"",IF(E396=Constants!$B$2, TRUE(), IF(E396=Constants!$B$3, FALSE(), TRUE())))</f>
        <v/>
      </c>
      <c r="R396" s="97" t="str">
        <f aca="false">IF(ISBLANK($C396),"",IF(F396=Constants!$B$16,Constants!$B$9,IF(F396=Constants!$B$17,Constants!$B$10,Constants!$B$8)))</f>
        <v/>
      </c>
      <c r="S396" s="97" t="str">
        <f aca="false">IF(ISBLANK($C396),"",IF(COUNTA(G396:H396)=0,"",IF(AND(OR(ISBLANK(G396),AND(ISNUMBER(G396),G396&gt;=0)),OR(ISBLANK(H396),AND(ISNUMBER(H396),H396&gt;=0))),60*IF(ISBLANK(G396),0,G396)+IF(ISBLANK(H396),0,H396),"")))</f>
        <v/>
      </c>
      <c r="T396" s="97" t="str">
        <f aca="false">IF(ISBLANK($C396),"",IF(I396=Constants!$B$2, TRUE(), IF(I396=Constants!$B$3, FALSE(), TRUE())))</f>
        <v/>
      </c>
      <c r="U396" s="97" t="str">
        <f aca="false">IF(ISBLANK($C396),"",IF(J396=Constants!$B$2, TRUE(), IF(J396=Constants!$B$3, FALSE(), TRUE())))</f>
        <v/>
      </c>
      <c r="V396" s="97" t="str">
        <f aca="false">IF(ISBLANK($C396),"",IF(COUNTA(K396:L396)=0,"",IF(AND(OR(ISBLANK(K396),AND(ISNUMBER(K396),K396&gt;=0)),OR(ISBLANK(L396),AND(ISNUMBER(L396),L396&gt;=0))),60*IF(ISBLANK(K396),0,K396)+IF(ISBLANK(L396),0,L396),"")))</f>
        <v/>
      </c>
      <c r="W396" s="97" t="str">
        <f aca="false">IF(ISBLANK($C396),"",IF(M396=Constants!$B$2, TRUE(), IF(M396=Constants!$B$3, FALSE(), TRUE())))</f>
        <v/>
      </c>
      <c r="X396" s="97" t="str">
        <f aca="false">IF(ISBLANK($C396),"",IF(N396=Constants!$B$2, TRUE(), IF(N396=Constants!$B$3, FALSE(), TRUE())))</f>
        <v/>
      </c>
      <c r="Y396" s="97" t="str">
        <f aca="false">IF(ISBLANK($C396),"",IF(O396=Constants!$B$2, TRUE(), IF(O396=Constants!$B$3, FALSE(), FALSE())))</f>
        <v/>
      </c>
      <c r="Z396" s="97" t="str">
        <f aca="false">IF(ISBLANK($C396),"",AND(S396&lt;&gt;"",Q396))</f>
        <v/>
      </c>
      <c r="AA396" s="97" t="str">
        <f aca="false">IF(ISBLANK($C396),"",AND(V396&lt;&gt;"",Q396))</f>
        <v/>
      </c>
      <c r="AB396" s="97" t="str">
        <f aca="false">IF(ISBLANK($C396),"",IF(Y396,Constants!$B$4,IF(COUNTA(E396:N396)=0,Constants!$B$5,IF(NOT(Q396),Constants!$B$6,IF(AND(NOT(Z396),NOT(AA396)),Constants!$B$6,Constants!$B$7)))))</f>
        <v/>
      </c>
      <c r="AC396" s="97" t="str">
        <f aca="false">IF(ISBLANK($C396),"",IF($AB396&lt;&gt;Constants!$B$7,$AB396,Constants!$B$20))</f>
        <v/>
      </c>
      <c r="AD396" s="97" t="str">
        <f aca="false">IF($AB396=Constants!$B$7,IF(Z396,S396,Constants!$B$13),"")</f>
        <v/>
      </c>
      <c r="AE396" s="97" t="str">
        <f aca="false">IF($AB396=Constants!$B$7,IF(Z396,R396*IF(T396, 1, Constants!$B$11)*IF(U396, 1, Constants!$B$12),Constants!$B$13),"")</f>
        <v/>
      </c>
      <c r="AF396" s="97" t="str">
        <f aca="false">IF($AB396=Constants!$B$7,AD396*AE396,"")</f>
        <v/>
      </c>
      <c r="AG396" s="97" t="str">
        <f aca="false">IF($AB396=Constants!$B$7,IF(AA396,V396,Constants!$B$13),"")</f>
        <v/>
      </c>
      <c r="AH396" s="97" t="str">
        <f aca="false">IF($AB396=Constants!$B$7,IF(AA396,R396*IF(W396, 1, Constants!$B$11)*IF(X396, 1, Constants!$B$12),Constants!$B$13),"")</f>
        <v/>
      </c>
      <c r="AI396" s="97" t="str">
        <f aca="false">IF($AB396=Constants!$B$7,AG396*AH396,"")</f>
        <v/>
      </c>
      <c r="AJ396" s="97" t="str">
        <f aca="false">IF($AB396=Constants!$B$7,IF(AI396&gt;AF396,2,1),"")</f>
        <v/>
      </c>
      <c r="AK396" s="97" t="str">
        <f aca="false">IF($AB396=Constants!$B$7,IF(AJ396=1,2,1),"")</f>
        <v/>
      </c>
      <c r="AL396" s="97" t="str">
        <f aca="false">IF(ISBLANK($C396),"",IF($AB396&lt;&gt;Constants!$B$7,$AB396,IF(AJ396=1,AF396,AI396)))</f>
        <v/>
      </c>
      <c r="AM396" s="97" t="str">
        <f aca="false">IF(ISBLANK($C396),"",IF($AB396=Constants!$B$7,IF(ISNUMBER(AL396),RANK(AL396,$AL$8:$AL$507),Constants!$B$14),$AB396))</f>
        <v/>
      </c>
      <c r="AN396" s="97" t="str">
        <f aca="false">IF(ISBLANK($C396),"",IF($AB396=Constants!$B$7,IF(AK396=1,AF396,AI396),""))</f>
        <v/>
      </c>
      <c r="AO396" s="97" t="str">
        <f aca="false">IF(ISBLANK($C396),"",IF($AB396=Constants!$B$7,RANK(AN396,$AN$8:$AN$507),$AB396))</f>
        <v/>
      </c>
      <c r="AP396" s="97" t="str">
        <f aca="false">IF(ISBLANK($C396),"",IF($AB396=Constants!$B$7,IF(ISNUMBER(AM396),COUNTIFS($AM$8:$AM$507,"&lt;"&amp;$AM396)+COUNTIFS($AM$8:$AM$507,$AM396,$AO$8:$AO$507,"&lt;"&amp;$AO396)+1,Constants!$B$14),$AB396))</f>
        <v/>
      </c>
      <c r="AQ396" s="97" t="str">
        <f aca="false">IF(ISBLANK($C396),"",IF($AB396=Constants!$B$7,IF(ISNUMBER(AM396),AM396-AP396,Constants!$B$14),$AB396))</f>
        <v/>
      </c>
      <c r="AR396" s="98"/>
      <c r="AS396" s="99" t="str">
        <f aca="false">IF(ISBLANK($C396),"",IF($AB396&lt;&gt;Constants!$B$7,"",AJ396))</f>
        <v/>
      </c>
      <c r="AT396" s="100" t="str">
        <f aca="false">IF(ISBLANK($C396),"",IF($AB396&lt;&gt;Constants!$B$7,"",IF(AJ396=1,AD396,AG396)))</f>
        <v/>
      </c>
      <c r="AU396" s="101" t="str">
        <f aca="false">IF(ISBLANK($C396),"",IF($AB396&lt;&gt;Constants!$B$7,"",IF(AJ396=1,AE396,AH396)))</f>
        <v/>
      </c>
      <c r="AV396" s="102" t="str">
        <f aca="false">IF(ISBLANK($C396),"",IF($AB396&lt;&gt;Constants!$B$7,$AB396,AL396))</f>
        <v/>
      </c>
      <c r="AW396" s="103" t="str">
        <f aca="false">IF(ISBLANK($C396),"",IF($AB396&lt;&gt;Constants!$B$7,$AB396,AC396))</f>
        <v/>
      </c>
      <c r="AX396" s="104" t="str">
        <f aca="false">IF(ISBLANK($C396),"",AQ396)</f>
        <v/>
      </c>
      <c r="AY396" s="104" t="str">
        <f aca="false">IF(ISBLANK($C396),"",AP396)</f>
        <v/>
      </c>
      <c r="AZ396" s="105" t="str">
        <f aca="false">IF(ISBLANK($C396),"",IF(AY396=Constants!$B$4,COUNTA($C$8:$C$507)+2,IF(AY396=Constants!$B$5,COUNTA($C$8:$C$507)+1,IF(AY396=Constants!$B$6,COUNTA($C$8:$C$507),AY396))))</f>
        <v/>
      </c>
      <c r="BA396" s="5"/>
      <c r="BB396" s="106" t="n">
        <f aca="false">IF(OR(ISNUMBER(AY396),AY396=Constants!$B$4,AY396=Constants!$B$6,AY396=Constants!$B$5),1,0)</f>
        <v>0</v>
      </c>
      <c r="BC396" s="106" t="n">
        <v>389</v>
      </c>
      <c r="BD396" s="106" t="str">
        <f aca="false">IF(ISBLANK($C396),"",IF(ISNUMBER(AZ396),AZ396+ROW($B396)/1000,""))</f>
        <v/>
      </c>
      <c r="BE396" s="106" t="str">
        <f aca="false">IF(ISNUMBER(BD396),RANK(BD396,$BD$8:$BD$507,1),"")</f>
        <v/>
      </c>
      <c r="BF396" s="106" t="str">
        <f aca="false">IF(ISBLANK($C396),"",$B396)</f>
        <v/>
      </c>
      <c r="BG396" s="106" t="str">
        <f aca="false">IF(ISBLANK($C396),"",$C396)</f>
        <v/>
      </c>
      <c r="BH396" s="106" t="str">
        <f aca="false">IF(ISBLANK($C396),"",$D396)</f>
        <v/>
      </c>
      <c r="BI396" s="107" t="str">
        <f aca="false">AW396</f>
        <v/>
      </c>
      <c r="BJ396" s="108" t="str">
        <f aca="false">AV396</f>
        <v/>
      </c>
      <c r="BK396" s="106" t="str">
        <f aca="false">IF(ISBLANK($C396),"",AY396)</f>
        <v/>
      </c>
      <c r="BL396" s="109" t="str">
        <f aca="false">IF($BC396&gt;$BB$7,"",VLOOKUP($BC396,$BE$8:$BK$507,7,FALSE()))</f>
        <v/>
      </c>
      <c r="BM396" s="110" t="str">
        <f aca="false">IF($BC396&gt;$BB$7,"",VLOOKUP($BC396,$BE$8:$BK$507,2,FALSE()))</f>
        <v/>
      </c>
      <c r="BN396" s="110" t="str">
        <f aca="false">IF($BC396&gt;$BB$7,"",VLOOKUP($BC396,$BE$8:$BK$507,3,FALSE()))</f>
        <v/>
      </c>
      <c r="BO396" s="110" t="str">
        <f aca="false">IF($BC396&gt;$BB$7,"",VLOOKUP($BC396,$BE$8:$BK$507,4,FALSE()))</f>
        <v/>
      </c>
      <c r="BP396" s="110" t="str">
        <f aca="false">IF($BC396&gt;$BB$7,"",VLOOKUP($BC396,$BE$8:$BK$507,5,FALSE()))</f>
        <v/>
      </c>
      <c r="BQ396" s="111" t="str">
        <f aca="false">IF($BC396&gt;$BB$7,"",VLOOKUP($BC396,$BE$8:$BK$507,6,FALSE()))</f>
        <v/>
      </c>
      <c r="BR396" s="54"/>
    </row>
    <row r="397" customFormat="false" ht="15.75" hidden="false" customHeight="false" outlineLevel="0" collapsed="false">
      <c r="A397" s="5"/>
      <c r="B397" s="120"/>
      <c r="C397" s="121"/>
      <c r="D397" s="112"/>
      <c r="E397" s="123"/>
      <c r="F397" s="91"/>
      <c r="G397" s="92"/>
      <c r="H397" s="93"/>
      <c r="I397" s="94"/>
      <c r="J397" s="91"/>
      <c r="K397" s="92"/>
      <c r="L397" s="93"/>
      <c r="M397" s="94"/>
      <c r="N397" s="91"/>
      <c r="O397" s="123"/>
      <c r="P397" s="96"/>
      <c r="Q397" s="97" t="str">
        <f aca="false">IF(ISBLANK($C397),"",IF(E397=Constants!$B$2, TRUE(), IF(E397=Constants!$B$3, FALSE(), TRUE())))</f>
        <v/>
      </c>
      <c r="R397" s="97" t="str">
        <f aca="false">IF(ISBLANK($C397),"",IF(F397=Constants!$B$16,Constants!$B$9,IF(F397=Constants!$B$17,Constants!$B$10,Constants!$B$8)))</f>
        <v/>
      </c>
      <c r="S397" s="97" t="str">
        <f aca="false">IF(ISBLANK($C397),"",IF(COUNTA(G397:H397)=0,"",IF(AND(OR(ISBLANK(G397),AND(ISNUMBER(G397),G397&gt;=0)),OR(ISBLANK(H397),AND(ISNUMBER(H397),H397&gt;=0))),60*IF(ISBLANK(G397),0,G397)+IF(ISBLANK(H397),0,H397),"")))</f>
        <v/>
      </c>
      <c r="T397" s="97" t="str">
        <f aca="false">IF(ISBLANK($C397),"",IF(I397=Constants!$B$2, TRUE(), IF(I397=Constants!$B$3, FALSE(), TRUE())))</f>
        <v/>
      </c>
      <c r="U397" s="97" t="str">
        <f aca="false">IF(ISBLANK($C397),"",IF(J397=Constants!$B$2, TRUE(), IF(J397=Constants!$B$3, FALSE(), TRUE())))</f>
        <v/>
      </c>
      <c r="V397" s="97" t="str">
        <f aca="false">IF(ISBLANK($C397),"",IF(COUNTA(K397:L397)=0,"",IF(AND(OR(ISBLANK(K397),AND(ISNUMBER(K397),K397&gt;=0)),OR(ISBLANK(L397),AND(ISNUMBER(L397),L397&gt;=0))),60*IF(ISBLANK(K397),0,K397)+IF(ISBLANK(L397),0,L397),"")))</f>
        <v/>
      </c>
      <c r="W397" s="97" t="str">
        <f aca="false">IF(ISBLANK($C397),"",IF(M397=Constants!$B$2, TRUE(), IF(M397=Constants!$B$3, FALSE(), TRUE())))</f>
        <v/>
      </c>
      <c r="X397" s="97" t="str">
        <f aca="false">IF(ISBLANK($C397),"",IF(N397=Constants!$B$2, TRUE(), IF(N397=Constants!$B$3, FALSE(), TRUE())))</f>
        <v/>
      </c>
      <c r="Y397" s="97" t="str">
        <f aca="false">IF(ISBLANK($C397),"",IF(O397=Constants!$B$2, TRUE(), IF(O397=Constants!$B$3, FALSE(), FALSE())))</f>
        <v/>
      </c>
      <c r="Z397" s="97" t="str">
        <f aca="false">IF(ISBLANK($C397),"",AND(S397&lt;&gt;"",Q397))</f>
        <v/>
      </c>
      <c r="AA397" s="97" t="str">
        <f aca="false">IF(ISBLANK($C397),"",AND(V397&lt;&gt;"",Q397))</f>
        <v/>
      </c>
      <c r="AB397" s="97" t="str">
        <f aca="false">IF(ISBLANK($C397),"",IF(Y397,Constants!$B$4,IF(COUNTA(E397:N397)=0,Constants!$B$5,IF(NOT(Q397),Constants!$B$6,IF(AND(NOT(Z397),NOT(AA397)),Constants!$B$6,Constants!$B$7)))))</f>
        <v/>
      </c>
      <c r="AC397" s="97" t="str">
        <f aca="false">IF(ISBLANK($C397),"",IF($AB397&lt;&gt;Constants!$B$7,$AB397,Constants!$B$20))</f>
        <v/>
      </c>
      <c r="AD397" s="97" t="str">
        <f aca="false">IF($AB397=Constants!$B$7,IF(Z397,S397,Constants!$B$13),"")</f>
        <v/>
      </c>
      <c r="AE397" s="97" t="str">
        <f aca="false">IF($AB397=Constants!$B$7,IF(Z397,R397*IF(T397, 1, Constants!$B$11)*IF(U397, 1, Constants!$B$12),Constants!$B$13),"")</f>
        <v/>
      </c>
      <c r="AF397" s="97" t="str">
        <f aca="false">IF($AB397=Constants!$B$7,AD397*AE397,"")</f>
        <v/>
      </c>
      <c r="AG397" s="97" t="str">
        <f aca="false">IF($AB397=Constants!$B$7,IF(AA397,V397,Constants!$B$13),"")</f>
        <v/>
      </c>
      <c r="AH397" s="97" t="str">
        <f aca="false">IF($AB397=Constants!$B$7,IF(AA397,R397*IF(W397, 1, Constants!$B$11)*IF(X397, 1, Constants!$B$12),Constants!$B$13),"")</f>
        <v/>
      </c>
      <c r="AI397" s="97" t="str">
        <f aca="false">IF($AB397=Constants!$B$7,AG397*AH397,"")</f>
        <v/>
      </c>
      <c r="AJ397" s="97" t="str">
        <f aca="false">IF($AB397=Constants!$B$7,IF(AI397&gt;AF397,2,1),"")</f>
        <v/>
      </c>
      <c r="AK397" s="97" t="str">
        <f aca="false">IF($AB397=Constants!$B$7,IF(AJ397=1,2,1),"")</f>
        <v/>
      </c>
      <c r="AL397" s="97" t="str">
        <f aca="false">IF(ISBLANK($C397),"",IF($AB397&lt;&gt;Constants!$B$7,$AB397,IF(AJ397=1,AF397,AI397)))</f>
        <v/>
      </c>
      <c r="AM397" s="97" t="str">
        <f aca="false">IF(ISBLANK($C397),"",IF($AB397=Constants!$B$7,IF(ISNUMBER(AL397),RANK(AL397,$AL$8:$AL$507),Constants!$B$14),$AB397))</f>
        <v/>
      </c>
      <c r="AN397" s="97" t="str">
        <f aca="false">IF(ISBLANK($C397),"",IF($AB397=Constants!$B$7,IF(AK397=1,AF397,AI397),""))</f>
        <v/>
      </c>
      <c r="AO397" s="97" t="str">
        <f aca="false">IF(ISBLANK($C397),"",IF($AB397=Constants!$B$7,RANK(AN397,$AN$8:$AN$507),$AB397))</f>
        <v/>
      </c>
      <c r="AP397" s="97" t="str">
        <f aca="false">IF(ISBLANK($C397),"",IF($AB397=Constants!$B$7,IF(ISNUMBER(AM397),COUNTIFS($AM$8:$AM$507,"&lt;"&amp;$AM397)+COUNTIFS($AM$8:$AM$507,$AM397,$AO$8:$AO$507,"&lt;"&amp;$AO397)+1,Constants!$B$14),$AB397))</f>
        <v/>
      </c>
      <c r="AQ397" s="97" t="str">
        <f aca="false">IF(ISBLANK($C397),"",IF($AB397=Constants!$B$7,IF(ISNUMBER(AM397),AM397-AP397,Constants!$B$14),$AB397))</f>
        <v/>
      </c>
      <c r="AR397" s="98"/>
      <c r="AS397" s="99" t="str">
        <f aca="false">IF(ISBLANK($C397),"",IF($AB397&lt;&gt;Constants!$B$7,"",AJ397))</f>
        <v/>
      </c>
      <c r="AT397" s="100" t="str">
        <f aca="false">IF(ISBLANK($C397),"",IF($AB397&lt;&gt;Constants!$B$7,"",IF(AJ397=1,AD397,AG397)))</f>
        <v/>
      </c>
      <c r="AU397" s="101" t="str">
        <f aca="false">IF(ISBLANK($C397),"",IF($AB397&lt;&gt;Constants!$B$7,"",IF(AJ397=1,AE397,AH397)))</f>
        <v/>
      </c>
      <c r="AV397" s="102" t="str">
        <f aca="false">IF(ISBLANK($C397),"",IF($AB397&lt;&gt;Constants!$B$7,$AB397,AL397))</f>
        <v/>
      </c>
      <c r="AW397" s="103" t="str">
        <f aca="false">IF(ISBLANK($C397),"",IF($AB397&lt;&gt;Constants!$B$7,$AB397,AC397))</f>
        <v/>
      </c>
      <c r="AX397" s="104" t="str">
        <f aca="false">IF(ISBLANK($C397),"",AQ397)</f>
        <v/>
      </c>
      <c r="AY397" s="104" t="str">
        <f aca="false">IF(ISBLANK($C397),"",AP397)</f>
        <v/>
      </c>
      <c r="AZ397" s="105" t="str">
        <f aca="false">IF(ISBLANK($C397),"",IF(AY397=Constants!$B$4,COUNTA($C$8:$C$507)+2,IF(AY397=Constants!$B$5,COUNTA($C$8:$C$507)+1,IF(AY397=Constants!$B$6,COUNTA($C$8:$C$507),AY397))))</f>
        <v/>
      </c>
      <c r="BA397" s="5"/>
      <c r="BB397" s="106" t="n">
        <f aca="false">IF(OR(ISNUMBER(AY397),AY397=Constants!$B$4,AY397=Constants!$B$6,AY397=Constants!$B$5),1,0)</f>
        <v>0</v>
      </c>
      <c r="BC397" s="106" t="n">
        <v>390</v>
      </c>
      <c r="BD397" s="106" t="str">
        <f aca="false">IF(ISBLANK($C397),"",IF(ISNUMBER(AZ397),AZ397+ROW($B397)/1000,""))</f>
        <v/>
      </c>
      <c r="BE397" s="106" t="str">
        <f aca="false">IF(ISNUMBER(BD397),RANK(BD397,$BD$8:$BD$507,1),"")</f>
        <v/>
      </c>
      <c r="BF397" s="106" t="str">
        <f aca="false">IF(ISBLANK($C397),"",$B397)</f>
        <v/>
      </c>
      <c r="BG397" s="106" t="str">
        <f aca="false">IF(ISBLANK($C397),"",$C397)</f>
        <v/>
      </c>
      <c r="BH397" s="106" t="str">
        <f aca="false">IF(ISBLANK($C397),"",$D397)</f>
        <v/>
      </c>
      <c r="BI397" s="107" t="str">
        <f aca="false">AW397</f>
        <v/>
      </c>
      <c r="BJ397" s="108" t="str">
        <f aca="false">AV397</f>
        <v/>
      </c>
      <c r="BK397" s="106" t="str">
        <f aca="false">IF(ISBLANK($C397),"",AY397)</f>
        <v/>
      </c>
      <c r="BL397" s="109" t="str">
        <f aca="false">IF($BC397&gt;$BB$7,"",VLOOKUP($BC397,$BE$8:$BK$507,7,FALSE()))</f>
        <v/>
      </c>
      <c r="BM397" s="110" t="str">
        <f aca="false">IF($BC397&gt;$BB$7,"",VLOOKUP($BC397,$BE$8:$BK$507,2,FALSE()))</f>
        <v/>
      </c>
      <c r="BN397" s="110" t="str">
        <f aca="false">IF($BC397&gt;$BB$7,"",VLOOKUP($BC397,$BE$8:$BK$507,3,FALSE()))</f>
        <v/>
      </c>
      <c r="BO397" s="110" t="str">
        <f aca="false">IF($BC397&gt;$BB$7,"",VLOOKUP($BC397,$BE$8:$BK$507,4,FALSE()))</f>
        <v/>
      </c>
      <c r="BP397" s="110" t="str">
        <f aca="false">IF($BC397&gt;$BB$7,"",VLOOKUP($BC397,$BE$8:$BK$507,5,FALSE()))</f>
        <v/>
      </c>
      <c r="BQ397" s="111" t="str">
        <f aca="false">IF($BC397&gt;$BB$7,"",VLOOKUP($BC397,$BE$8:$BK$507,6,FALSE()))</f>
        <v/>
      </c>
      <c r="BR397" s="54"/>
    </row>
    <row r="398" customFormat="false" ht="15.75" hidden="false" customHeight="false" outlineLevel="0" collapsed="false">
      <c r="A398" s="5"/>
      <c r="B398" s="124"/>
      <c r="C398" s="56"/>
      <c r="D398" s="57"/>
      <c r="E398" s="83"/>
      <c r="F398" s="59"/>
      <c r="G398" s="60"/>
      <c r="H398" s="61"/>
      <c r="I398" s="62"/>
      <c r="J398" s="59"/>
      <c r="K398" s="60"/>
      <c r="L398" s="61"/>
      <c r="M398" s="62"/>
      <c r="N398" s="59"/>
      <c r="O398" s="83"/>
      <c r="P398" s="64"/>
      <c r="Q398" s="66" t="str">
        <f aca="false">IF(ISBLANK($C398),"",IF(E398=Constants!$B$2, TRUE(), IF(E398=Constants!$B$3, FALSE(), TRUE())))</f>
        <v/>
      </c>
      <c r="R398" s="66" t="str">
        <f aca="false">IF(ISBLANK($C398),"",IF(F398=Constants!$B$16,Constants!$B$9,IF(F398=Constants!$B$17,Constants!$B$10,Constants!$B$8)))</f>
        <v/>
      </c>
      <c r="S398" s="66" t="str">
        <f aca="false">IF(ISBLANK($C398),"",IF(COUNTA(G398:H398)=0,"",IF(AND(OR(ISBLANK(G398),AND(ISNUMBER(G398),G398&gt;=0)),OR(ISBLANK(H398),AND(ISNUMBER(H398),H398&gt;=0))),60*IF(ISBLANK(G398),0,G398)+IF(ISBLANK(H398),0,H398),"")))</f>
        <v/>
      </c>
      <c r="T398" s="66" t="str">
        <f aca="false">IF(ISBLANK($C398),"",IF(I398=Constants!$B$2, TRUE(), IF(I398=Constants!$B$3, FALSE(), TRUE())))</f>
        <v/>
      </c>
      <c r="U398" s="66" t="str">
        <f aca="false">IF(ISBLANK($C398),"",IF(J398=Constants!$B$2, TRUE(), IF(J398=Constants!$B$3, FALSE(), TRUE())))</f>
        <v/>
      </c>
      <c r="V398" s="66" t="str">
        <f aca="false">IF(ISBLANK($C398),"",IF(COUNTA(K398:L398)=0,"",IF(AND(OR(ISBLANK(K398),AND(ISNUMBER(K398),K398&gt;=0)),OR(ISBLANK(L398),AND(ISNUMBER(L398),L398&gt;=0))),60*IF(ISBLANK(K398),0,K398)+IF(ISBLANK(L398),0,L398),"")))</f>
        <v/>
      </c>
      <c r="W398" s="66" t="str">
        <f aca="false">IF(ISBLANK($C398),"",IF(M398=Constants!$B$2, TRUE(), IF(M398=Constants!$B$3, FALSE(), TRUE())))</f>
        <v/>
      </c>
      <c r="X398" s="66" t="str">
        <f aca="false">IF(ISBLANK($C398),"",IF(N398=Constants!$B$2, TRUE(), IF(N398=Constants!$B$3, FALSE(), TRUE())))</f>
        <v/>
      </c>
      <c r="Y398" s="66" t="str">
        <f aca="false">IF(ISBLANK($C398),"",IF(O398=Constants!$B$2, TRUE(), IF(O398=Constants!$B$3, FALSE(), FALSE())))</f>
        <v/>
      </c>
      <c r="Z398" s="66" t="str">
        <f aca="false">IF(ISBLANK($C398),"",AND(S398&lt;&gt;"",Q398))</f>
        <v/>
      </c>
      <c r="AA398" s="66" t="str">
        <f aca="false">IF(ISBLANK($C398),"",AND(V398&lt;&gt;"",Q398))</f>
        <v/>
      </c>
      <c r="AB398" s="66" t="str">
        <f aca="false">IF(ISBLANK($C398),"",IF(Y398,Constants!$B$4,IF(COUNTA(E398:N398)=0,Constants!$B$5,IF(NOT(Q398),Constants!$B$6,IF(AND(NOT(Z398),NOT(AA398)),Constants!$B$6,Constants!$B$7)))))</f>
        <v/>
      </c>
      <c r="AC398" s="66" t="str">
        <f aca="false">IF(ISBLANK($C398),"",IF($AB398&lt;&gt;Constants!$B$7,$AB398,Constants!$B$20))</f>
        <v/>
      </c>
      <c r="AD398" s="66" t="str">
        <f aca="false">IF($AB398=Constants!$B$7,IF(Z398,S398,Constants!$B$13),"")</f>
        <v/>
      </c>
      <c r="AE398" s="66" t="str">
        <f aca="false">IF($AB398=Constants!$B$7,IF(Z398,R398*IF(T398, 1, Constants!$B$11)*IF(U398, 1, Constants!$B$12),Constants!$B$13),"")</f>
        <v/>
      </c>
      <c r="AF398" s="66" t="str">
        <f aca="false">IF($AB398=Constants!$B$7,AD398*AE398,"")</f>
        <v/>
      </c>
      <c r="AG398" s="66" t="str">
        <f aca="false">IF($AB398=Constants!$B$7,IF(AA398,V398,Constants!$B$13),"")</f>
        <v/>
      </c>
      <c r="AH398" s="66" t="str">
        <f aca="false">IF($AB398=Constants!$B$7,IF(AA398,R398*IF(W398, 1, Constants!$B$11)*IF(X398, 1, Constants!$B$12),Constants!$B$13),"")</f>
        <v/>
      </c>
      <c r="AI398" s="66" t="str">
        <f aca="false">IF($AB398=Constants!$B$7,AG398*AH398,"")</f>
        <v/>
      </c>
      <c r="AJ398" s="66" t="str">
        <f aca="false">IF($AB398=Constants!$B$7,IF(AI398&gt;AF398,2,1),"")</f>
        <v/>
      </c>
      <c r="AK398" s="66" t="str">
        <f aca="false">IF($AB398=Constants!$B$7,IF(AJ398=1,2,1),"")</f>
        <v/>
      </c>
      <c r="AL398" s="66" t="str">
        <f aca="false">IF(ISBLANK($C398),"",IF($AB398&lt;&gt;Constants!$B$7,$AB398,IF(AJ398=1,AF398,AI398)))</f>
        <v/>
      </c>
      <c r="AM398" s="66" t="str">
        <f aca="false">IF(ISBLANK($C398),"",IF($AB398=Constants!$B$7,IF(ISNUMBER(AL398),RANK(AL398,$AL$8:$AL$507),Constants!$B$14),$AB398))</f>
        <v/>
      </c>
      <c r="AN398" s="66" t="str">
        <f aca="false">IF(ISBLANK($C398),"",IF($AB398=Constants!$B$7,IF(AK398=1,AF398,AI398),""))</f>
        <v/>
      </c>
      <c r="AO398" s="66" t="str">
        <f aca="false">IF(ISBLANK($C398),"",IF($AB398=Constants!$B$7,RANK(AN398,$AN$8:$AN$507),$AB398))</f>
        <v/>
      </c>
      <c r="AP398" s="66" t="str">
        <f aca="false">IF(ISBLANK($C398),"",IF($AB398=Constants!$B$7,IF(ISNUMBER(AM398),COUNTIFS($AM$8:$AM$507,"&lt;"&amp;$AM398)+COUNTIFS($AM$8:$AM$507,$AM398,$AO$8:$AO$507,"&lt;"&amp;$AO398)+1,Constants!$B$14),$AB398))</f>
        <v/>
      </c>
      <c r="AQ398" s="66" t="str">
        <f aca="false">IF(ISBLANK($C398),"",IF($AB398=Constants!$B$7,IF(ISNUMBER(AM398),AM398-AP398,Constants!$B$14),$AB398))</f>
        <v/>
      </c>
      <c r="AR398" s="68"/>
      <c r="AS398" s="69" t="str">
        <f aca="false">IF(ISBLANK($C398),"",IF($AB398&lt;&gt;Constants!$B$7,"",AJ398))</f>
        <v/>
      </c>
      <c r="AT398" s="84" t="str">
        <f aca="false">IF(ISBLANK($C398),"",IF($AB398&lt;&gt;Constants!$B$7,"",IF(AJ398=1,AD398,AG398)))</f>
        <v/>
      </c>
      <c r="AU398" s="71" t="str">
        <f aca="false">IF(ISBLANK($C398),"",IF($AB398&lt;&gt;Constants!$B$7,"",IF(AJ398=1,AE398,AH398)))</f>
        <v/>
      </c>
      <c r="AV398" s="72" t="str">
        <f aca="false">IF(ISBLANK($C398),"",IF($AB398&lt;&gt;Constants!$B$7,$AB398,AL398))</f>
        <v/>
      </c>
      <c r="AW398" s="73" t="str">
        <f aca="false">IF(ISBLANK($C398),"",IF($AB398&lt;&gt;Constants!$B$7,$AB398,AC398))</f>
        <v/>
      </c>
      <c r="AX398" s="74" t="str">
        <f aca="false">IF(ISBLANK($C398),"",AQ398)</f>
        <v/>
      </c>
      <c r="AY398" s="74" t="str">
        <f aca="false">IF(ISBLANK($C398),"",AP398)</f>
        <v/>
      </c>
      <c r="AZ398" s="75" t="str">
        <f aca="false">IF(ISBLANK($C398),"",IF(AY398=Constants!$B$4,COUNTA($C$8:$C$507)+2,IF(AY398=Constants!$B$5,COUNTA($C$8:$C$507)+1,IF(AY398=Constants!$B$6,COUNTA($C$8:$C$507),AY398))))</f>
        <v/>
      </c>
      <c r="BA398" s="5"/>
      <c r="BB398" s="76" t="n">
        <f aca="false">IF(OR(ISNUMBER(AY398),AY398=Constants!$B$4,AY398=Constants!$B$6,AY398=Constants!$B$5),1,0)</f>
        <v>0</v>
      </c>
      <c r="BC398" s="76" t="n">
        <v>391</v>
      </c>
      <c r="BD398" s="76" t="str">
        <f aca="false">IF(ISBLANK($C398),"",IF(ISNUMBER(AZ398),AZ398+ROW($B398)/1000,""))</f>
        <v/>
      </c>
      <c r="BE398" s="76" t="str">
        <f aca="false">IF(ISNUMBER(BD398),RANK(BD398,$BD$8:$BD$507,1),"")</f>
        <v/>
      </c>
      <c r="BF398" s="76" t="str">
        <f aca="false">IF(ISBLANK($C398),"",$B398)</f>
        <v/>
      </c>
      <c r="BG398" s="76" t="str">
        <f aca="false">IF(ISBLANK($C398),"",$C398)</f>
        <v/>
      </c>
      <c r="BH398" s="76" t="str">
        <f aca="false">IF(ISBLANK($C398),"",$D398)</f>
        <v/>
      </c>
      <c r="BI398" s="77" t="str">
        <f aca="false">AW398</f>
        <v/>
      </c>
      <c r="BJ398" s="78" t="str">
        <f aca="false">AV398</f>
        <v/>
      </c>
      <c r="BK398" s="76" t="str">
        <f aca="false">IF(ISBLANK($C398),"",AY398)</f>
        <v/>
      </c>
      <c r="BL398" s="79" t="str">
        <f aca="false">IF($BC398&gt;$BB$7,"",VLOOKUP($BC398,$BE$8:$BK$507,7,FALSE()))</f>
        <v/>
      </c>
      <c r="BM398" s="80" t="str">
        <f aca="false">IF($BC398&gt;$BB$7,"",VLOOKUP($BC398,$BE$8:$BK$507,2,FALSE()))</f>
        <v/>
      </c>
      <c r="BN398" s="80" t="str">
        <f aca="false">IF($BC398&gt;$BB$7,"",VLOOKUP($BC398,$BE$8:$BK$507,3,FALSE()))</f>
        <v/>
      </c>
      <c r="BO398" s="80" t="str">
        <f aca="false">IF($BC398&gt;$BB$7,"",VLOOKUP($BC398,$BE$8:$BK$507,4,FALSE()))</f>
        <v/>
      </c>
      <c r="BP398" s="80" t="str">
        <f aca="false">IF($BC398&gt;$BB$7,"",VLOOKUP($BC398,$BE$8:$BK$507,5,FALSE()))</f>
        <v/>
      </c>
      <c r="BQ398" s="81" t="str">
        <f aca="false">IF($BC398&gt;$BB$7,"",VLOOKUP($BC398,$BE$8:$BK$507,6,FALSE()))</f>
        <v/>
      </c>
      <c r="BR398" s="54"/>
    </row>
    <row r="399" customFormat="false" ht="15.75" hidden="false" customHeight="false" outlineLevel="0" collapsed="false">
      <c r="A399" s="5"/>
      <c r="B399" s="124"/>
      <c r="C399" s="56"/>
      <c r="D399" s="57"/>
      <c r="E399" s="83"/>
      <c r="F399" s="59"/>
      <c r="G399" s="60"/>
      <c r="H399" s="61"/>
      <c r="I399" s="62"/>
      <c r="J399" s="59"/>
      <c r="K399" s="60"/>
      <c r="L399" s="61"/>
      <c r="M399" s="62"/>
      <c r="N399" s="59"/>
      <c r="O399" s="83"/>
      <c r="P399" s="64"/>
      <c r="Q399" s="66" t="str">
        <f aca="false">IF(ISBLANK($C399),"",IF(E399=Constants!$B$2, TRUE(), IF(E399=Constants!$B$3, FALSE(), TRUE())))</f>
        <v/>
      </c>
      <c r="R399" s="66" t="str">
        <f aca="false">IF(ISBLANK($C399),"",IF(F399=Constants!$B$16,Constants!$B$9,IF(F399=Constants!$B$17,Constants!$B$10,Constants!$B$8)))</f>
        <v/>
      </c>
      <c r="S399" s="66" t="str">
        <f aca="false">IF(ISBLANK($C399),"",IF(COUNTA(G399:H399)=0,"",IF(AND(OR(ISBLANK(G399),AND(ISNUMBER(G399),G399&gt;=0)),OR(ISBLANK(H399),AND(ISNUMBER(H399),H399&gt;=0))),60*IF(ISBLANK(G399),0,G399)+IF(ISBLANK(H399),0,H399),"")))</f>
        <v/>
      </c>
      <c r="T399" s="66" t="str">
        <f aca="false">IF(ISBLANK($C399),"",IF(I399=Constants!$B$2, TRUE(), IF(I399=Constants!$B$3, FALSE(), TRUE())))</f>
        <v/>
      </c>
      <c r="U399" s="66" t="str">
        <f aca="false">IF(ISBLANK($C399),"",IF(J399=Constants!$B$2, TRUE(), IF(J399=Constants!$B$3, FALSE(), TRUE())))</f>
        <v/>
      </c>
      <c r="V399" s="66" t="str">
        <f aca="false">IF(ISBLANK($C399),"",IF(COUNTA(K399:L399)=0,"",IF(AND(OR(ISBLANK(K399),AND(ISNUMBER(K399),K399&gt;=0)),OR(ISBLANK(L399),AND(ISNUMBER(L399),L399&gt;=0))),60*IF(ISBLANK(K399),0,K399)+IF(ISBLANK(L399),0,L399),"")))</f>
        <v/>
      </c>
      <c r="W399" s="66" t="str">
        <f aca="false">IF(ISBLANK($C399),"",IF(M399=Constants!$B$2, TRUE(), IF(M399=Constants!$B$3, FALSE(), TRUE())))</f>
        <v/>
      </c>
      <c r="X399" s="66" t="str">
        <f aca="false">IF(ISBLANK($C399),"",IF(N399=Constants!$B$2, TRUE(), IF(N399=Constants!$B$3, FALSE(), TRUE())))</f>
        <v/>
      </c>
      <c r="Y399" s="66" t="str">
        <f aca="false">IF(ISBLANK($C399),"",IF(O399=Constants!$B$2, TRUE(), IF(O399=Constants!$B$3, FALSE(), FALSE())))</f>
        <v/>
      </c>
      <c r="Z399" s="66" t="str">
        <f aca="false">IF(ISBLANK($C399),"",AND(S399&lt;&gt;"",Q399))</f>
        <v/>
      </c>
      <c r="AA399" s="66" t="str">
        <f aca="false">IF(ISBLANK($C399),"",AND(V399&lt;&gt;"",Q399))</f>
        <v/>
      </c>
      <c r="AB399" s="66" t="str">
        <f aca="false">IF(ISBLANK($C399),"",IF(Y399,Constants!$B$4,IF(COUNTA(E399:N399)=0,Constants!$B$5,IF(NOT(Q399),Constants!$B$6,IF(AND(NOT(Z399),NOT(AA399)),Constants!$B$6,Constants!$B$7)))))</f>
        <v/>
      </c>
      <c r="AC399" s="66" t="str">
        <f aca="false">IF(ISBLANK($C399),"",IF($AB399&lt;&gt;Constants!$B$7,$AB399,Constants!$B$20))</f>
        <v/>
      </c>
      <c r="AD399" s="66" t="str">
        <f aca="false">IF($AB399=Constants!$B$7,IF(Z399,S399,Constants!$B$13),"")</f>
        <v/>
      </c>
      <c r="AE399" s="66" t="str">
        <f aca="false">IF($AB399=Constants!$B$7,IF(Z399,R399*IF(T399, 1, Constants!$B$11)*IF(U399, 1, Constants!$B$12),Constants!$B$13),"")</f>
        <v/>
      </c>
      <c r="AF399" s="66" t="str">
        <f aca="false">IF($AB399=Constants!$B$7,AD399*AE399,"")</f>
        <v/>
      </c>
      <c r="AG399" s="66" t="str">
        <f aca="false">IF($AB399=Constants!$B$7,IF(AA399,V399,Constants!$B$13),"")</f>
        <v/>
      </c>
      <c r="AH399" s="66" t="str">
        <f aca="false">IF($AB399=Constants!$B$7,IF(AA399,R399*IF(W399, 1, Constants!$B$11)*IF(X399, 1, Constants!$B$12),Constants!$B$13),"")</f>
        <v/>
      </c>
      <c r="AI399" s="66" t="str">
        <f aca="false">IF($AB399=Constants!$B$7,AG399*AH399,"")</f>
        <v/>
      </c>
      <c r="AJ399" s="66" t="str">
        <f aca="false">IF($AB399=Constants!$B$7,IF(AI399&gt;AF399,2,1),"")</f>
        <v/>
      </c>
      <c r="AK399" s="66" t="str">
        <f aca="false">IF($AB399=Constants!$B$7,IF(AJ399=1,2,1),"")</f>
        <v/>
      </c>
      <c r="AL399" s="66" t="str">
        <f aca="false">IF(ISBLANK($C399),"",IF($AB399&lt;&gt;Constants!$B$7,$AB399,IF(AJ399=1,AF399,AI399)))</f>
        <v/>
      </c>
      <c r="AM399" s="66" t="str">
        <f aca="false">IF(ISBLANK($C399),"",IF($AB399=Constants!$B$7,IF(ISNUMBER(AL399),RANK(AL399,$AL$8:$AL$507),Constants!$B$14),$AB399))</f>
        <v/>
      </c>
      <c r="AN399" s="66" t="str">
        <f aca="false">IF(ISBLANK($C399),"",IF($AB399=Constants!$B$7,IF(AK399=1,AF399,AI399),""))</f>
        <v/>
      </c>
      <c r="AO399" s="66" t="str">
        <f aca="false">IF(ISBLANK($C399),"",IF($AB399=Constants!$B$7,RANK(AN399,$AN$8:$AN$507),$AB399))</f>
        <v/>
      </c>
      <c r="AP399" s="66" t="str">
        <f aca="false">IF(ISBLANK($C399),"",IF($AB399=Constants!$B$7,IF(ISNUMBER(AM399),COUNTIFS($AM$8:$AM$507,"&lt;"&amp;$AM399)+COUNTIFS($AM$8:$AM$507,$AM399,$AO$8:$AO$507,"&lt;"&amp;$AO399)+1,Constants!$B$14),$AB399))</f>
        <v/>
      </c>
      <c r="AQ399" s="66" t="str">
        <f aca="false">IF(ISBLANK($C399),"",IF($AB399=Constants!$B$7,IF(ISNUMBER(AM399),AM399-AP399,Constants!$B$14),$AB399))</f>
        <v/>
      </c>
      <c r="AR399" s="68"/>
      <c r="AS399" s="69" t="str">
        <f aca="false">IF(ISBLANK($C399),"",IF($AB399&lt;&gt;Constants!$B$7,"",AJ399))</f>
        <v/>
      </c>
      <c r="AT399" s="84" t="str">
        <f aca="false">IF(ISBLANK($C399),"",IF($AB399&lt;&gt;Constants!$B$7,"",IF(AJ399=1,AD399,AG399)))</f>
        <v/>
      </c>
      <c r="AU399" s="71" t="str">
        <f aca="false">IF(ISBLANK($C399),"",IF($AB399&lt;&gt;Constants!$B$7,"",IF(AJ399=1,AE399,AH399)))</f>
        <v/>
      </c>
      <c r="AV399" s="72" t="str">
        <f aca="false">IF(ISBLANK($C399),"",IF($AB399&lt;&gt;Constants!$B$7,$AB399,AL399))</f>
        <v/>
      </c>
      <c r="AW399" s="73" t="str">
        <f aca="false">IF(ISBLANK($C399),"",IF($AB399&lt;&gt;Constants!$B$7,$AB399,AC399))</f>
        <v/>
      </c>
      <c r="AX399" s="74" t="str">
        <f aca="false">IF(ISBLANK($C399),"",AQ399)</f>
        <v/>
      </c>
      <c r="AY399" s="74" t="str">
        <f aca="false">IF(ISBLANK($C399),"",AP399)</f>
        <v/>
      </c>
      <c r="AZ399" s="75" t="str">
        <f aca="false">IF(ISBLANK($C399),"",IF(AY399=Constants!$B$4,COUNTA($C$8:$C$507)+2,IF(AY399=Constants!$B$5,COUNTA($C$8:$C$507)+1,IF(AY399=Constants!$B$6,COUNTA($C$8:$C$507),AY399))))</f>
        <v/>
      </c>
      <c r="BA399" s="5"/>
      <c r="BB399" s="76" t="n">
        <f aca="false">IF(OR(ISNUMBER(AY399),AY399=Constants!$B$4,AY399=Constants!$B$6,AY399=Constants!$B$5),1,0)</f>
        <v>0</v>
      </c>
      <c r="BC399" s="76" t="n">
        <v>392</v>
      </c>
      <c r="BD399" s="76" t="str">
        <f aca="false">IF(ISBLANK($C399),"",IF(ISNUMBER(AZ399),AZ399+ROW($B399)/1000,""))</f>
        <v/>
      </c>
      <c r="BE399" s="76" t="str">
        <f aca="false">IF(ISNUMBER(BD399),RANK(BD399,$BD$8:$BD$507,1),"")</f>
        <v/>
      </c>
      <c r="BF399" s="76" t="str">
        <f aca="false">IF(ISBLANK($C399),"",$B399)</f>
        <v/>
      </c>
      <c r="BG399" s="76" t="str">
        <f aca="false">IF(ISBLANK($C399),"",$C399)</f>
        <v/>
      </c>
      <c r="BH399" s="76" t="str">
        <f aca="false">IF(ISBLANK($C399),"",$D399)</f>
        <v/>
      </c>
      <c r="BI399" s="77" t="str">
        <f aca="false">AW399</f>
        <v/>
      </c>
      <c r="BJ399" s="78" t="str">
        <f aca="false">AV399</f>
        <v/>
      </c>
      <c r="BK399" s="76" t="str">
        <f aca="false">IF(ISBLANK($C399),"",AY399)</f>
        <v/>
      </c>
      <c r="BL399" s="79" t="str">
        <f aca="false">IF($BC399&gt;$BB$7,"",VLOOKUP($BC399,$BE$8:$BK$507,7,FALSE()))</f>
        <v/>
      </c>
      <c r="BM399" s="80" t="str">
        <f aca="false">IF($BC399&gt;$BB$7,"",VLOOKUP($BC399,$BE$8:$BK$507,2,FALSE()))</f>
        <v/>
      </c>
      <c r="BN399" s="80" t="str">
        <f aca="false">IF($BC399&gt;$BB$7,"",VLOOKUP($BC399,$BE$8:$BK$507,3,FALSE()))</f>
        <v/>
      </c>
      <c r="BO399" s="80" t="str">
        <f aca="false">IF($BC399&gt;$BB$7,"",VLOOKUP($BC399,$BE$8:$BK$507,4,FALSE()))</f>
        <v/>
      </c>
      <c r="BP399" s="80" t="str">
        <f aca="false">IF($BC399&gt;$BB$7,"",VLOOKUP($BC399,$BE$8:$BK$507,5,FALSE()))</f>
        <v/>
      </c>
      <c r="BQ399" s="81" t="str">
        <f aca="false">IF($BC399&gt;$BB$7,"",VLOOKUP($BC399,$BE$8:$BK$507,6,FALSE()))</f>
        <v/>
      </c>
      <c r="BR399" s="54"/>
    </row>
    <row r="400" customFormat="false" ht="15.75" hidden="false" customHeight="false" outlineLevel="0" collapsed="false">
      <c r="A400" s="5"/>
      <c r="B400" s="124"/>
      <c r="C400" s="56"/>
      <c r="D400" s="57"/>
      <c r="E400" s="83"/>
      <c r="F400" s="59"/>
      <c r="G400" s="60"/>
      <c r="H400" s="61"/>
      <c r="I400" s="62"/>
      <c r="J400" s="59"/>
      <c r="K400" s="60"/>
      <c r="L400" s="61"/>
      <c r="M400" s="62"/>
      <c r="N400" s="59"/>
      <c r="O400" s="83"/>
      <c r="P400" s="64"/>
      <c r="Q400" s="66" t="str">
        <f aca="false">IF(ISBLANK($C400),"",IF(E400=Constants!$B$2, TRUE(), IF(E400=Constants!$B$3, FALSE(), TRUE())))</f>
        <v/>
      </c>
      <c r="R400" s="66" t="str">
        <f aca="false">IF(ISBLANK($C400),"",IF(F400=Constants!$B$16,Constants!$B$9,IF(F400=Constants!$B$17,Constants!$B$10,Constants!$B$8)))</f>
        <v/>
      </c>
      <c r="S400" s="66" t="str">
        <f aca="false">IF(ISBLANK($C400),"",IF(COUNTA(G400:H400)=0,"",IF(AND(OR(ISBLANK(G400),AND(ISNUMBER(G400),G400&gt;=0)),OR(ISBLANK(H400),AND(ISNUMBER(H400),H400&gt;=0))),60*IF(ISBLANK(G400),0,G400)+IF(ISBLANK(H400),0,H400),"")))</f>
        <v/>
      </c>
      <c r="T400" s="66" t="str">
        <f aca="false">IF(ISBLANK($C400),"",IF(I400=Constants!$B$2, TRUE(), IF(I400=Constants!$B$3, FALSE(), TRUE())))</f>
        <v/>
      </c>
      <c r="U400" s="66" t="str">
        <f aca="false">IF(ISBLANK($C400),"",IF(J400=Constants!$B$2, TRUE(), IF(J400=Constants!$B$3, FALSE(), TRUE())))</f>
        <v/>
      </c>
      <c r="V400" s="66" t="str">
        <f aca="false">IF(ISBLANK($C400),"",IF(COUNTA(K400:L400)=0,"",IF(AND(OR(ISBLANK(K400),AND(ISNUMBER(K400),K400&gt;=0)),OR(ISBLANK(L400),AND(ISNUMBER(L400),L400&gt;=0))),60*IF(ISBLANK(K400),0,K400)+IF(ISBLANK(L400),0,L400),"")))</f>
        <v/>
      </c>
      <c r="W400" s="66" t="str">
        <f aca="false">IF(ISBLANK($C400),"",IF(M400=Constants!$B$2, TRUE(), IF(M400=Constants!$B$3, FALSE(), TRUE())))</f>
        <v/>
      </c>
      <c r="X400" s="66" t="str">
        <f aca="false">IF(ISBLANK($C400),"",IF(N400=Constants!$B$2, TRUE(), IF(N400=Constants!$B$3, FALSE(), TRUE())))</f>
        <v/>
      </c>
      <c r="Y400" s="66" t="str">
        <f aca="false">IF(ISBLANK($C400),"",IF(O400=Constants!$B$2, TRUE(), IF(O400=Constants!$B$3, FALSE(), FALSE())))</f>
        <v/>
      </c>
      <c r="Z400" s="66" t="str">
        <f aca="false">IF(ISBLANK($C400),"",AND(S400&lt;&gt;"",Q400))</f>
        <v/>
      </c>
      <c r="AA400" s="66" t="str">
        <f aca="false">IF(ISBLANK($C400),"",AND(V400&lt;&gt;"",Q400))</f>
        <v/>
      </c>
      <c r="AB400" s="66" t="str">
        <f aca="false">IF(ISBLANK($C400),"",IF(Y400,Constants!$B$4,IF(COUNTA(E400:N400)=0,Constants!$B$5,IF(NOT(Q400),Constants!$B$6,IF(AND(NOT(Z400),NOT(AA400)),Constants!$B$6,Constants!$B$7)))))</f>
        <v/>
      </c>
      <c r="AC400" s="66" t="str">
        <f aca="false">IF(ISBLANK($C400),"",IF($AB400&lt;&gt;Constants!$B$7,$AB400,Constants!$B$20))</f>
        <v/>
      </c>
      <c r="AD400" s="66" t="str">
        <f aca="false">IF($AB400=Constants!$B$7,IF(Z400,S400,Constants!$B$13),"")</f>
        <v/>
      </c>
      <c r="AE400" s="66" t="str">
        <f aca="false">IF($AB400=Constants!$B$7,IF(Z400,R400*IF(T400, 1, Constants!$B$11)*IF(U400, 1, Constants!$B$12),Constants!$B$13),"")</f>
        <v/>
      </c>
      <c r="AF400" s="66" t="str">
        <f aca="false">IF($AB400=Constants!$B$7,AD400*AE400,"")</f>
        <v/>
      </c>
      <c r="AG400" s="66" t="str">
        <f aca="false">IF($AB400=Constants!$B$7,IF(AA400,V400,Constants!$B$13),"")</f>
        <v/>
      </c>
      <c r="AH400" s="66" t="str">
        <f aca="false">IF($AB400=Constants!$B$7,IF(AA400,R400*IF(W400, 1, Constants!$B$11)*IF(X400, 1, Constants!$B$12),Constants!$B$13),"")</f>
        <v/>
      </c>
      <c r="AI400" s="66" t="str">
        <f aca="false">IF($AB400=Constants!$B$7,AG400*AH400,"")</f>
        <v/>
      </c>
      <c r="AJ400" s="66" t="str">
        <f aca="false">IF($AB400=Constants!$B$7,IF(AI400&gt;AF400,2,1),"")</f>
        <v/>
      </c>
      <c r="AK400" s="66" t="str">
        <f aca="false">IF($AB400=Constants!$B$7,IF(AJ400=1,2,1),"")</f>
        <v/>
      </c>
      <c r="AL400" s="66" t="str">
        <f aca="false">IF(ISBLANK($C400),"",IF($AB400&lt;&gt;Constants!$B$7,$AB400,IF(AJ400=1,AF400,AI400)))</f>
        <v/>
      </c>
      <c r="AM400" s="66" t="str">
        <f aca="false">IF(ISBLANK($C400),"",IF($AB400=Constants!$B$7,IF(ISNUMBER(AL400),RANK(AL400,$AL$8:$AL$507),Constants!$B$14),$AB400))</f>
        <v/>
      </c>
      <c r="AN400" s="66" t="str">
        <f aca="false">IF(ISBLANK($C400),"",IF($AB400=Constants!$B$7,IF(AK400=1,AF400,AI400),""))</f>
        <v/>
      </c>
      <c r="AO400" s="66" t="str">
        <f aca="false">IF(ISBLANK($C400),"",IF($AB400=Constants!$B$7,RANK(AN400,$AN$8:$AN$507),$AB400))</f>
        <v/>
      </c>
      <c r="AP400" s="66" t="str">
        <f aca="false">IF(ISBLANK($C400),"",IF($AB400=Constants!$B$7,IF(ISNUMBER(AM400),COUNTIFS($AM$8:$AM$507,"&lt;"&amp;$AM400)+COUNTIFS($AM$8:$AM$507,$AM400,$AO$8:$AO$507,"&lt;"&amp;$AO400)+1,Constants!$B$14),$AB400))</f>
        <v/>
      </c>
      <c r="AQ400" s="66" t="str">
        <f aca="false">IF(ISBLANK($C400),"",IF($AB400=Constants!$B$7,IF(ISNUMBER(AM400),AM400-AP400,Constants!$B$14),$AB400))</f>
        <v/>
      </c>
      <c r="AR400" s="68"/>
      <c r="AS400" s="69" t="str">
        <f aca="false">IF(ISBLANK($C400),"",IF($AB400&lt;&gt;Constants!$B$7,"",AJ400))</f>
        <v/>
      </c>
      <c r="AT400" s="84" t="str">
        <f aca="false">IF(ISBLANK($C400),"",IF($AB400&lt;&gt;Constants!$B$7,"",IF(AJ400=1,AD400,AG400)))</f>
        <v/>
      </c>
      <c r="AU400" s="71" t="str">
        <f aca="false">IF(ISBLANK($C400),"",IF($AB400&lt;&gt;Constants!$B$7,"",IF(AJ400=1,AE400,AH400)))</f>
        <v/>
      </c>
      <c r="AV400" s="72" t="str">
        <f aca="false">IF(ISBLANK($C400),"",IF($AB400&lt;&gt;Constants!$B$7,$AB400,AL400))</f>
        <v/>
      </c>
      <c r="AW400" s="73" t="str">
        <f aca="false">IF(ISBLANK($C400),"",IF($AB400&lt;&gt;Constants!$B$7,$AB400,AC400))</f>
        <v/>
      </c>
      <c r="AX400" s="74" t="str">
        <f aca="false">IF(ISBLANK($C400),"",AQ400)</f>
        <v/>
      </c>
      <c r="AY400" s="74" t="str">
        <f aca="false">IF(ISBLANK($C400),"",AP400)</f>
        <v/>
      </c>
      <c r="AZ400" s="75" t="str">
        <f aca="false">IF(ISBLANK($C400),"",IF(AY400=Constants!$B$4,COUNTA($C$8:$C$507)+2,IF(AY400=Constants!$B$5,COUNTA($C$8:$C$507)+1,IF(AY400=Constants!$B$6,COUNTA($C$8:$C$507),AY400))))</f>
        <v/>
      </c>
      <c r="BA400" s="5"/>
      <c r="BB400" s="76" t="n">
        <f aca="false">IF(OR(ISNUMBER(AY400),AY400=Constants!$B$4,AY400=Constants!$B$6,AY400=Constants!$B$5),1,0)</f>
        <v>0</v>
      </c>
      <c r="BC400" s="76" t="n">
        <v>393</v>
      </c>
      <c r="BD400" s="76" t="str">
        <f aca="false">IF(ISBLANK($C400),"",IF(ISNUMBER(AZ400),AZ400+ROW($B400)/1000,""))</f>
        <v/>
      </c>
      <c r="BE400" s="76" t="str">
        <f aca="false">IF(ISNUMBER(BD400),RANK(BD400,$BD$8:$BD$507,1),"")</f>
        <v/>
      </c>
      <c r="BF400" s="76" t="str">
        <f aca="false">IF(ISBLANK($C400),"",$B400)</f>
        <v/>
      </c>
      <c r="BG400" s="76" t="str">
        <f aca="false">IF(ISBLANK($C400),"",$C400)</f>
        <v/>
      </c>
      <c r="BH400" s="76" t="str">
        <f aca="false">IF(ISBLANK($C400),"",$D400)</f>
        <v/>
      </c>
      <c r="BI400" s="77" t="str">
        <f aca="false">AW400</f>
        <v/>
      </c>
      <c r="BJ400" s="78" t="str">
        <f aca="false">AV400</f>
        <v/>
      </c>
      <c r="BK400" s="76" t="str">
        <f aca="false">IF(ISBLANK($C400),"",AY400)</f>
        <v/>
      </c>
      <c r="BL400" s="79" t="str">
        <f aca="false">IF($BC400&gt;$BB$7,"",VLOOKUP($BC400,$BE$8:$BK$507,7,FALSE()))</f>
        <v/>
      </c>
      <c r="BM400" s="80" t="str">
        <f aca="false">IF($BC400&gt;$BB$7,"",VLOOKUP($BC400,$BE$8:$BK$507,2,FALSE()))</f>
        <v/>
      </c>
      <c r="BN400" s="80" t="str">
        <f aca="false">IF($BC400&gt;$BB$7,"",VLOOKUP($BC400,$BE$8:$BK$507,3,FALSE()))</f>
        <v/>
      </c>
      <c r="BO400" s="80" t="str">
        <f aca="false">IF($BC400&gt;$BB$7,"",VLOOKUP($BC400,$BE$8:$BK$507,4,FALSE()))</f>
        <v/>
      </c>
      <c r="BP400" s="80" t="str">
        <f aca="false">IF($BC400&gt;$BB$7,"",VLOOKUP($BC400,$BE$8:$BK$507,5,FALSE()))</f>
        <v/>
      </c>
      <c r="BQ400" s="81" t="str">
        <f aca="false">IF($BC400&gt;$BB$7,"",VLOOKUP($BC400,$BE$8:$BK$507,6,FALSE()))</f>
        <v/>
      </c>
      <c r="BR400" s="54"/>
    </row>
    <row r="401" customFormat="false" ht="15.75" hidden="false" customHeight="false" outlineLevel="0" collapsed="false">
      <c r="A401" s="5"/>
      <c r="B401" s="120"/>
      <c r="C401" s="121"/>
      <c r="D401" s="112"/>
      <c r="E401" s="123"/>
      <c r="F401" s="91"/>
      <c r="G401" s="92"/>
      <c r="H401" s="93"/>
      <c r="I401" s="94"/>
      <c r="J401" s="91"/>
      <c r="K401" s="92"/>
      <c r="L401" s="93"/>
      <c r="M401" s="94"/>
      <c r="N401" s="91"/>
      <c r="O401" s="123"/>
      <c r="P401" s="96"/>
      <c r="Q401" s="97" t="str">
        <f aca="false">IF(ISBLANK($C401),"",IF(E401=Constants!$B$2, TRUE(), IF(E401=Constants!$B$3, FALSE(), TRUE())))</f>
        <v/>
      </c>
      <c r="R401" s="97" t="str">
        <f aca="false">IF(ISBLANK($C401),"",IF(F401=Constants!$B$16,Constants!$B$9,IF(F401=Constants!$B$17,Constants!$B$10,Constants!$B$8)))</f>
        <v/>
      </c>
      <c r="S401" s="97" t="str">
        <f aca="false">IF(ISBLANK($C401),"",IF(COUNTA(G401:H401)=0,"",IF(AND(OR(ISBLANK(G401),AND(ISNUMBER(G401),G401&gt;=0)),OR(ISBLANK(H401),AND(ISNUMBER(H401),H401&gt;=0))),60*IF(ISBLANK(G401),0,G401)+IF(ISBLANK(H401),0,H401),"")))</f>
        <v/>
      </c>
      <c r="T401" s="97" t="str">
        <f aca="false">IF(ISBLANK($C401),"",IF(I401=Constants!$B$2, TRUE(), IF(I401=Constants!$B$3, FALSE(), TRUE())))</f>
        <v/>
      </c>
      <c r="U401" s="97" t="str">
        <f aca="false">IF(ISBLANK($C401),"",IF(J401=Constants!$B$2, TRUE(), IF(J401=Constants!$B$3, FALSE(), TRUE())))</f>
        <v/>
      </c>
      <c r="V401" s="97" t="str">
        <f aca="false">IF(ISBLANK($C401),"",IF(COUNTA(K401:L401)=0,"",IF(AND(OR(ISBLANK(K401),AND(ISNUMBER(K401),K401&gt;=0)),OR(ISBLANK(L401),AND(ISNUMBER(L401),L401&gt;=0))),60*IF(ISBLANK(K401),0,K401)+IF(ISBLANK(L401),0,L401),"")))</f>
        <v/>
      </c>
      <c r="W401" s="97" t="str">
        <f aca="false">IF(ISBLANK($C401),"",IF(M401=Constants!$B$2, TRUE(), IF(M401=Constants!$B$3, FALSE(), TRUE())))</f>
        <v/>
      </c>
      <c r="X401" s="97" t="str">
        <f aca="false">IF(ISBLANK($C401),"",IF(N401=Constants!$B$2, TRUE(), IF(N401=Constants!$B$3, FALSE(), TRUE())))</f>
        <v/>
      </c>
      <c r="Y401" s="97" t="str">
        <f aca="false">IF(ISBLANK($C401),"",IF(O401=Constants!$B$2, TRUE(), IF(O401=Constants!$B$3, FALSE(), FALSE())))</f>
        <v/>
      </c>
      <c r="Z401" s="97" t="str">
        <f aca="false">IF(ISBLANK($C401),"",AND(S401&lt;&gt;"",Q401))</f>
        <v/>
      </c>
      <c r="AA401" s="97" t="str">
        <f aca="false">IF(ISBLANK($C401),"",AND(V401&lt;&gt;"",Q401))</f>
        <v/>
      </c>
      <c r="AB401" s="97" t="str">
        <f aca="false">IF(ISBLANK($C401),"",IF(Y401,Constants!$B$4,IF(COUNTA(E401:N401)=0,Constants!$B$5,IF(NOT(Q401),Constants!$B$6,IF(AND(NOT(Z401),NOT(AA401)),Constants!$B$6,Constants!$B$7)))))</f>
        <v/>
      </c>
      <c r="AC401" s="97" t="str">
        <f aca="false">IF(ISBLANK($C401),"",IF($AB401&lt;&gt;Constants!$B$7,$AB401,Constants!$B$20))</f>
        <v/>
      </c>
      <c r="AD401" s="97" t="str">
        <f aca="false">IF($AB401=Constants!$B$7,IF(Z401,S401,Constants!$B$13),"")</f>
        <v/>
      </c>
      <c r="AE401" s="97" t="str">
        <f aca="false">IF($AB401=Constants!$B$7,IF(Z401,R401*IF(T401, 1, Constants!$B$11)*IF(U401, 1, Constants!$B$12),Constants!$B$13),"")</f>
        <v/>
      </c>
      <c r="AF401" s="97" t="str">
        <f aca="false">IF($AB401=Constants!$B$7,AD401*AE401,"")</f>
        <v/>
      </c>
      <c r="AG401" s="97" t="str">
        <f aca="false">IF($AB401=Constants!$B$7,IF(AA401,V401,Constants!$B$13),"")</f>
        <v/>
      </c>
      <c r="AH401" s="97" t="str">
        <f aca="false">IF($AB401=Constants!$B$7,IF(AA401,R401*IF(W401, 1, Constants!$B$11)*IF(X401, 1, Constants!$B$12),Constants!$B$13),"")</f>
        <v/>
      </c>
      <c r="AI401" s="97" t="str">
        <f aca="false">IF($AB401=Constants!$B$7,AG401*AH401,"")</f>
        <v/>
      </c>
      <c r="AJ401" s="97" t="str">
        <f aca="false">IF($AB401=Constants!$B$7,IF(AI401&gt;AF401,2,1),"")</f>
        <v/>
      </c>
      <c r="AK401" s="97" t="str">
        <f aca="false">IF($AB401=Constants!$B$7,IF(AJ401=1,2,1),"")</f>
        <v/>
      </c>
      <c r="AL401" s="97" t="str">
        <f aca="false">IF(ISBLANK($C401),"",IF($AB401&lt;&gt;Constants!$B$7,$AB401,IF(AJ401=1,AF401,AI401)))</f>
        <v/>
      </c>
      <c r="AM401" s="97" t="str">
        <f aca="false">IF(ISBLANK($C401),"",IF($AB401=Constants!$B$7,IF(ISNUMBER(AL401),RANK(AL401,$AL$8:$AL$507),Constants!$B$14),$AB401))</f>
        <v/>
      </c>
      <c r="AN401" s="97" t="str">
        <f aca="false">IF(ISBLANK($C401),"",IF($AB401=Constants!$B$7,IF(AK401=1,AF401,AI401),""))</f>
        <v/>
      </c>
      <c r="AO401" s="97" t="str">
        <f aca="false">IF(ISBLANK($C401),"",IF($AB401=Constants!$B$7,RANK(AN401,$AN$8:$AN$507),$AB401))</f>
        <v/>
      </c>
      <c r="AP401" s="97" t="str">
        <f aca="false">IF(ISBLANK($C401),"",IF($AB401=Constants!$B$7,IF(ISNUMBER(AM401),COUNTIFS($AM$8:$AM$507,"&lt;"&amp;$AM401)+COUNTIFS($AM$8:$AM$507,$AM401,$AO$8:$AO$507,"&lt;"&amp;$AO401)+1,Constants!$B$14),$AB401))</f>
        <v/>
      </c>
      <c r="AQ401" s="97" t="str">
        <f aca="false">IF(ISBLANK($C401),"",IF($AB401=Constants!$B$7,IF(ISNUMBER(AM401),AM401-AP401,Constants!$B$14),$AB401))</f>
        <v/>
      </c>
      <c r="AR401" s="98"/>
      <c r="AS401" s="99" t="str">
        <f aca="false">IF(ISBLANK($C401),"",IF($AB401&lt;&gt;Constants!$B$7,"",AJ401))</f>
        <v/>
      </c>
      <c r="AT401" s="100" t="str">
        <f aca="false">IF(ISBLANK($C401),"",IF($AB401&lt;&gt;Constants!$B$7,"",IF(AJ401=1,AD401,AG401)))</f>
        <v/>
      </c>
      <c r="AU401" s="101" t="str">
        <f aca="false">IF(ISBLANK($C401),"",IF($AB401&lt;&gt;Constants!$B$7,"",IF(AJ401=1,AE401,AH401)))</f>
        <v/>
      </c>
      <c r="AV401" s="102" t="str">
        <f aca="false">IF(ISBLANK($C401),"",IF($AB401&lt;&gt;Constants!$B$7,$AB401,AL401))</f>
        <v/>
      </c>
      <c r="AW401" s="103" t="str">
        <f aca="false">IF(ISBLANK($C401),"",IF($AB401&lt;&gt;Constants!$B$7,$AB401,AC401))</f>
        <v/>
      </c>
      <c r="AX401" s="104" t="str">
        <f aca="false">IF(ISBLANK($C401),"",AQ401)</f>
        <v/>
      </c>
      <c r="AY401" s="104" t="str">
        <f aca="false">IF(ISBLANK($C401),"",AP401)</f>
        <v/>
      </c>
      <c r="AZ401" s="105" t="str">
        <f aca="false">IF(ISBLANK($C401),"",IF(AY401=Constants!$B$4,COUNTA($C$8:$C$507)+2,IF(AY401=Constants!$B$5,COUNTA($C$8:$C$507)+1,IF(AY401=Constants!$B$6,COUNTA($C$8:$C$507),AY401))))</f>
        <v/>
      </c>
      <c r="BA401" s="5"/>
      <c r="BB401" s="106" t="n">
        <f aca="false">IF(OR(ISNUMBER(AY401),AY401=Constants!$B$4,AY401=Constants!$B$6,AY401=Constants!$B$5),1,0)</f>
        <v>0</v>
      </c>
      <c r="BC401" s="106" t="n">
        <v>394</v>
      </c>
      <c r="BD401" s="106" t="str">
        <f aca="false">IF(ISBLANK($C401),"",IF(ISNUMBER(AZ401),AZ401+ROW($B401)/1000,""))</f>
        <v/>
      </c>
      <c r="BE401" s="106" t="str">
        <f aca="false">IF(ISNUMBER(BD401),RANK(BD401,$BD$8:$BD$507,1),"")</f>
        <v/>
      </c>
      <c r="BF401" s="106" t="str">
        <f aca="false">IF(ISBLANK($C401),"",$B401)</f>
        <v/>
      </c>
      <c r="BG401" s="106" t="str">
        <f aca="false">IF(ISBLANK($C401),"",$C401)</f>
        <v/>
      </c>
      <c r="BH401" s="106" t="str">
        <f aca="false">IF(ISBLANK($C401),"",$D401)</f>
        <v/>
      </c>
      <c r="BI401" s="107" t="str">
        <f aca="false">AW401</f>
        <v/>
      </c>
      <c r="BJ401" s="108" t="str">
        <f aca="false">AV401</f>
        <v/>
      </c>
      <c r="BK401" s="106" t="str">
        <f aca="false">IF(ISBLANK($C401),"",AY401)</f>
        <v/>
      </c>
      <c r="BL401" s="109" t="str">
        <f aca="false">IF($BC401&gt;$BB$7,"",VLOOKUP($BC401,$BE$8:$BK$507,7,FALSE()))</f>
        <v/>
      </c>
      <c r="BM401" s="110" t="str">
        <f aca="false">IF($BC401&gt;$BB$7,"",VLOOKUP($BC401,$BE$8:$BK$507,2,FALSE()))</f>
        <v/>
      </c>
      <c r="BN401" s="110" t="str">
        <f aca="false">IF($BC401&gt;$BB$7,"",VLOOKUP($BC401,$BE$8:$BK$507,3,FALSE()))</f>
        <v/>
      </c>
      <c r="BO401" s="110" t="str">
        <f aca="false">IF($BC401&gt;$BB$7,"",VLOOKUP($BC401,$BE$8:$BK$507,4,FALSE()))</f>
        <v/>
      </c>
      <c r="BP401" s="110" t="str">
        <f aca="false">IF($BC401&gt;$BB$7,"",VLOOKUP($BC401,$BE$8:$BK$507,5,FALSE()))</f>
        <v/>
      </c>
      <c r="BQ401" s="111" t="str">
        <f aca="false">IF($BC401&gt;$BB$7,"",VLOOKUP($BC401,$BE$8:$BK$507,6,FALSE()))</f>
        <v/>
      </c>
      <c r="BR401" s="54"/>
    </row>
    <row r="402" customFormat="false" ht="15.75" hidden="false" customHeight="false" outlineLevel="0" collapsed="false">
      <c r="A402" s="5"/>
      <c r="B402" s="120"/>
      <c r="C402" s="121"/>
      <c r="D402" s="112"/>
      <c r="E402" s="123"/>
      <c r="F402" s="91"/>
      <c r="G402" s="92"/>
      <c r="H402" s="93"/>
      <c r="I402" s="94"/>
      <c r="J402" s="91"/>
      <c r="K402" s="92"/>
      <c r="L402" s="93"/>
      <c r="M402" s="94"/>
      <c r="N402" s="91"/>
      <c r="O402" s="123"/>
      <c r="P402" s="96"/>
      <c r="Q402" s="97" t="str">
        <f aca="false">IF(ISBLANK($C402),"",IF(E402=Constants!$B$2, TRUE(), IF(E402=Constants!$B$3, FALSE(), TRUE())))</f>
        <v/>
      </c>
      <c r="R402" s="97" t="str">
        <f aca="false">IF(ISBLANK($C402),"",IF(F402=Constants!$B$16,Constants!$B$9,IF(F402=Constants!$B$17,Constants!$B$10,Constants!$B$8)))</f>
        <v/>
      </c>
      <c r="S402" s="97" t="str">
        <f aca="false">IF(ISBLANK($C402),"",IF(COUNTA(G402:H402)=0,"",IF(AND(OR(ISBLANK(G402),AND(ISNUMBER(G402),G402&gt;=0)),OR(ISBLANK(H402),AND(ISNUMBER(H402),H402&gt;=0))),60*IF(ISBLANK(G402),0,G402)+IF(ISBLANK(H402),0,H402),"")))</f>
        <v/>
      </c>
      <c r="T402" s="97" t="str">
        <f aca="false">IF(ISBLANK($C402),"",IF(I402=Constants!$B$2, TRUE(), IF(I402=Constants!$B$3, FALSE(), TRUE())))</f>
        <v/>
      </c>
      <c r="U402" s="97" t="str">
        <f aca="false">IF(ISBLANK($C402),"",IF(J402=Constants!$B$2, TRUE(), IF(J402=Constants!$B$3, FALSE(), TRUE())))</f>
        <v/>
      </c>
      <c r="V402" s="97" t="str">
        <f aca="false">IF(ISBLANK($C402),"",IF(COUNTA(K402:L402)=0,"",IF(AND(OR(ISBLANK(K402),AND(ISNUMBER(K402),K402&gt;=0)),OR(ISBLANK(L402),AND(ISNUMBER(L402),L402&gt;=0))),60*IF(ISBLANK(K402),0,K402)+IF(ISBLANK(L402),0,L402),"")))</f>
        <v/>
      </c>
      <c r="W402" s="97" t="str">
        <f aca="false">IF(ISBLANK($C402),"",IF(M402=Constants!$B$2, TRUE(), IF(M402=Constants!$B$3, FALSE(), TRUE())))</f>
        <v/>
      </c>
      <c r="X402" s="97" t="str">
        <f aca="false">IF(ISBLANK($C402),"",IF(N402=Constants!$B$2, TRUE(), IF(N402=Constants!$B$3, FALSE(), TRUE())))</f>
        <v/>
      </c>
      <c r="Y402" s="97" t="str">
        <f aca="false">IF(ISBLANK($C402),"",IF(O402=Constants!$B$2, TRUE(), IF(O402=Constants!$B$3, FALSE(), FALSE())))</f>
        <v/>
      </c>
      <c r="Z402" s="97" t="str">
        <f aca="false">IF(ISBLANK($C402),"",AND(S402&lt;&gt;"",Q402))</f>
        <v/>
      </c>
      <c r="AA402" s="97" t="str">
        <f aca="false">IF(ISBLANK($C402),"",AND(V402&lt;&gt;"",Q402))</f>
        <v/>
      </c>
      <c r="AB402" s="97" t="str">
        <f aca="false">IF(ISBLANK($C402),"",IF(Y402,Constants!$B$4,IF(COUNTA(E402:N402)=0,Constants!$B$5,IF(NOT(Q402),Constants!$B$6,IF(AND(NOT(Z402),NOT(AA402)),Constants!$B$6,Constants!$B$7)))))</f>
        <v/>
      </c>
      <c r="AC402" s="97" t="str">
        <f aca="false">IF(ISBLANK($C402),"",IF($AB402&lt;&gt;Constants!$B$7,$AB402,Constants!$B$20))</f>
        <v/>
      </c>
      <c r="AD402" s="97" t="str">
        <f aca="false">IF($AB402=Constants!$B$7,IF(Z402,S402,Constants!$B$13),"")</f>
        <v/>
      </c>
      <c r="AE402" s="97" t="str">
        <f aca="false">IF($AB402=Constants!$B$7,IF(Z402,R402*IF(T402, 1, Constants!$B$11)*IF(U402, 1, Constants!$B$12),Constants!$B$13),"")</f>
        <v/>
      </c>
      <c r="AF402" s="97" t="str">
        <f aca="false">IF($AB402=Constants!$B$7,AD402*AE402,"")</f>
        <v/>
      </c>
      <c r="AG402" s="97" t="str">
        <f aca="false">IF($AB402=Constants!$B$7,IF(AA402,V402,Constants!$B$13),"")</f>
        <v/>
      </c>
      <c r="AH402" s="97" t="str">
        <f aca="false">IF($AB402=Constants!$B$7,IF(AA402,R402*IF(W402, 1, Constants!$B$11)*IF(X402, 1, Constants!$B$12),Constants!$B$13),"")</f>
        <v/>
      </c>
      <c r="AI402" s="97" t="str">
        <f aca="false">IF($AB402=Constants!$B$7,AG402*AH402,"")</f>
        <v/>
      </c>
      <c r="AJ402" s="97" t="str">
        <f aca="false">IF($AB402=Constants!$B$7,IF(AI402&gt;AF402,2,1),"")</f>
        <v/>
      </c>
      <c r="AK402" s="97" t="str">
        <f aca="false">IF($AB402=Constants!$B$7,IF(AJ402=1,2,1),"")</f>
        <v/>
      </c>
      <c r="AL402" s="97" t="str">
        <f aca="false">IF(ISBLANK($C402),"",IF($AB402&lt;&gt;Constants!$B$7,$AB402,IF(AJ402=1,AF402,AI402)))</f>
        <v/>
      </c>
      <c r="AM402" s="97" t="str">
        <f aca="false">IF(ISBLANK($C402),"",IF($AB402=Constants!$B$7,IF(ISNUMBER(AL402),RANK(AL402,$AL$8:$AL$507),Constants!$B$14),$AB402))</f>
        <v/>
      </c>
      <c r="AN402" s="97" t="str">
        <f aca="false">IF(ISBLANK($C402),"",IF($AB402=Constants!$B$7,IF(AK402=1,AF402,AI402),""))</f>
        <v/>
      </c>
      <c r="AO402" s="97" t="str">
        <f aca="false">IF(ISBLANK($C402),"",IF($AB402=Constants!$B$7,RANK(AN402,$AN$8:$AN$507),$AB402))</f>
        <v/>
      </c>
      <c r="AP402" s="97" t="str">
        <f aca="false">IF(ISBLANK($C402),"",IF($AB402=Constants!$B$7,IF(ISNUMBER(AM402),COUNTIFS($AM$8:$AM$507,"&lt;"&amp;$AM402)+COUNTIFS($AM$8:$AM$507,$AM402,$AO$8:$AO$507,"&lt;"&amp;$AO402)+1,Constants!$B$14),$AB402))</f>
        <v/>
      </c>
      <c r="AQ402" s="97" t="str">
        <f aca="false">IF(ISBLANK($C402),"",IF($AB402=Constants!$B$7,IF(ISNUMBER(AM402),AM402-AP402,Constants!$B$14),$AB402))</f>
        <v/>
      </c>
      <c r="AR402" s="98"/>
      <c r="AS402" s="99" t="str">
        <f aca="false">IF(ISBLANK($C402),"",IF($AB402&lt;&gt;Constants!$B$7,"",AJ402))</f>
        <v/>
      </c>
      <c r="AT402" s="100" t="str">
        <f aca="false">IF(ISBLANK($C402),"",IF($AB402&lt;&gt;Constants!$B$7,"",IF(AJ402=1,AD402,AG402)))</f>
        <v/>
      </c>
      <c r="AU402" s="101" t="str">
        <f aca="false">IF(ISBLANK($C402),"",IF($AB402&lt;&gt;Constants!$B$7,"",IF(AJ402=1,AE402,AH402)))</f>
        <v/>
      </c>
      <c r="AV402" s="102" t="str">
        <f aca="false">IF(ISBLANK($C402),"",IF($AB402&lt;&gt;Constants!$B$7,$AB402,AL402))</f>
        <v/>
      </c>
      <c r="AW402" s="103" t="str">
        <f aca="false">IF(ISBLANK($C402),"",IF($AB402&lt;&gt;Constants!$B$7,$AB402,AC402))</f>
        <v/>
      </c>
      <c r="AX402" s="104" t="str">
        <f aca="false">IF(ISBLANK($C402),"",AQ402)</f>
        <v/>
      </c>
      <c r="AY402" s="104" t="str">
        <f aca="false">IF(ISBLANK($C402),"",AP402)</f>
        <v/>
      </c>
      <c r="AZ402" s="105" t="str">
        <f aca="false">IF(ISBLANK($C402),"",IF(AY402=Constants!$B$4,COUNTA($C$8:$C$507)+2,IF(AY402=Constants!$B$5,COUNTA($C$8:$C$507)+1,IF(AY402=Constants!$B$6,COUNTA($C$8:$C$507),AY402))))</f>
        <v/>
      </c>
      <c r="BA402" s="5"/>
      <c r="BB402" s="106" t="n">
        <f aca="false">IF(OR(ISNUMBER(AY402),AY402=Constants!$B$4,AY402=Constants!$B$6,AY402=Constants!$B$5),1,0)</f>
        <v>0</v>
      </c>
      <c r="BC402" s="106" t="n">
        <v>395</v>
      </c>
      <c r="BD402" s="106" t="str">
        <f aca="false">IF(ISBLANK($C402),"",IF(ISNUMBER(AZ402),AZ402+ROW($B402)/1000,""))</f>
        <v/>
      </c>
      <c r="BE402" s="106" t="str">
        <f aca="false">IF(ISNUMBER(BD402),RANK(BD402,$BD$8:$BD$507,1),"")</f>
        <v/>
      </c>
      <c r="BF402" s="106" t="str">
        <f aca="false">IF(ISBLANK($C402),"",$B402)</f>
        <v/>
      </c>
      <c r="BG402" s="106" t="str">
        <f aca="false">IF(ISBLANK($C402),"",$C402)</f>
        <v/>
      </c>
      <c r="BH402" s="106" t="str">
        <f aca="false">IF(ISBLANK($C402),"",$D402)</f>
        <v/>
      </c>
      <c r="BI402" s="107" t="str">
        <f aca="false">AW402</f>
        <v/>
      </c>
      <c r="BJ402" s="108" t="str">
        <f aca="false">AV402</f>
        <v/>
      </c>
      <c r="BK402" s="106" t="str">
        <f aca="false">IF(ISBLANK($C402),"",AY402)</f>
        <v/>
      </c>
      <c r="BL402" s="109" t="str">
        <f aca="false">IF($BC402&gt;$BB$7,"",VLOOKUP($BC402,$BE$8:$BK$507,7,FALSE()))</f>
        <v/>
      </c>
      <c r="BM402" s="110" t="str">
        <f aca="false">IF($BC402&gt;$BB$7,"",VLOOKUP($BC402,$BE$8:$BK$507,2,FALSE()))</f>
        <v/>
      </c>
      <c r="BN402" s="110" t="str">
        <f aca="false">IF($BC402&gt;$BB$7,"",VLOOKUP($BC402,$BE$8:$BK$507,3,FALSE()))</f>
        <v/>
      </c>
      <c r="BO402" s="110" t="str">
        <f aca="false">IF($BC402&gt;$BB$7,"",VLOOKUP($BC402,$BE$8:$BK$507,4,FALSE()))</f>
        <v/>
      </c>
      <c r="BP402" s="110" t="str">
        <f aca="false">IF($BC402&gt;$BB$7,"",VLOOKUP($BC402,$BE$8:$BK$507,5,FALSE()))</f>
        <v/>
      </c>
      <c r="BQ402" s="111" t="str">
        <f aca="false">IF($BC402&gt;$BB$7,"",VLOOKUP($BC402,$BE$8:$BK$507,6,FALSE()))</f>
        <v/>
      </c>
      <c r="BR402" s="54"/>
    </row>
    <row r="403" customFormat="false" ht="15.75" hidden="false" customHeight="false" outlineLevel="0" collapsed="false">
      <c r="A403" s="5"/>
      <c r="B403" s="120"/>
      <c r="C403" s="121"/>
      <c r="D403" s="112"/>
      <c r="E403" s="123"/>
      <c r="F403" s="91"/>
      <c r="G403" s="92"/>
      <c r="H403" s="93"/>
      <c r="I403" s="94"/>
      <c r="J403" s="91"/>
      <c r="K403" s="92"/>
      <c r="L403" s="93"/>
      <c r="M403" s="94"/>
      <c r="N403" s="91"/>
      <c r="O403" s="123"/>
      <c r="P403" s="96"/>
      <c r="Q403" s="97" t="str">
        <f aca="false">IF(ISBLANK($C403),"",IF(E403=Constants!$B$2, TRUE(), IF(E403=Constants!$B$3, FALSE(), TRUE())))</f>
        <v/>
      </c>
      <c r="R403" s="97" t="str">
        <f aca="false">IF(ISBLANK($C403),"",IF(F403=Constants!$B$16,Constants!$B$9,IF(F403=Constants!$B$17,Constants!$B$10,Constants!$B$8)))</f>
        <v/>
      </c>
      <c r="S403" s="97" t="str">
        <f aca="false">IF(ISBLANK($C403),"",IF(COUNTA(G403:H403)=0,"",IF(AND(OR(ISBLANK(G403),AND(ISNUMBER(G403),G403&gt;=0)),OR(ISBLANK(H403),AND(ISNUMBER(H403),H403&gt;=0))),60*IF(ISBLANK(G403),0,G403)+IF(ISBLANK(H403),0,H403),"")))</f>
        <v/>
      </c>
      <c r="T403" s="97" t="str">
        <f aca="false">IF(ISBLANK($C403),"",IF(I403=Constants!$B$2, TRUE(), IF(I403=Constants!$B$3, FALSE(), TRUE())))</f>
        <v/>
      </c>
      <c r="U403" s="97" t="str">
        <f aca="false">IF(ISBLANK($C403),"",IF(J403=Constants!$B$2, TRUE(), IF(J403=Constants!$B$3, FALSE(), TRUE())))</f>
        <v/>
      </c>
      <c r="V403" s="97" t="str">
        <f aca="false">IF(ISBLANK($C403),"",IF(COUNTA(K403:L403)=0,"",IF(AND(OR(ISBLANK(K403),AND(ISNUMBER(K403),K403&gt;=0)),OR(ISBLANK(L403),AND(ISNUMBER(L403),L403&gt;=0))),60*IF(ISBLANK(K403),0,K403)+IF(ISBLANK(L403),0,L403),"")))</f>
        <v/>
      </c>
      <c r="W403" s="97" t="str">
        <f aca="false">IF(ISBLANK($C403),"",IF(M403=Constants!$B$2, TRUE(), IF(M403=Constants!$B$3, FALSE(), TRUE())))</f>
        <v/>
      </c>
      <c r="X403" s="97" t="str">
        <f aca="false">IF(ISBLANK($C403),"",IF(N403=Constants!$B$2, TRUE(), IF(N403=Constants!$B$3, FALSE(), TRUE())))</f>
        <v/>
      </c>
      <c r="Y403" s="97" t="str">
        <f aca="false">IF(ISBLANK($C403),"",IF(O403=Constants!$B$2, TRUE(), IF(O403=Constants!$B$3, FALSE(), FALSE())))</f>
        <v/>
      </c>
      <c r="Z403" s="97" t="str">
        <f aca="false">IF(ISBLANK($C403),"",AND(S403&lt;&gt;"",Q403))</f>
        <v/>
      </c>
      <c r="AA403" s="97" t="str">
        <f aca="false">IF(ISBLANK($C403),"",AND(V403&lt;&gt;"",Q403))</f>
        <v/>
      </c>
      <c r="AB403" s="97" t="str">
        <f aca="false">IF(ISBLANK($C403),"",IF(Y403,Constants!$B$4,IF(COUNTA(E403:N403)=0,Constants!$B$5,IF(NOT(Q403),Constants!$B$6,IF(AND(NOT(Z403),NOT(AA403)),Constants!$B$6,Constants!$B$7)))))</f>
        <v/>
      </c>
      <c r="AC403" s="97" t="str">
        <f aca="false">IF(ISBLANK($C403),"",IF($AB403&lt;&gt;Constants!$B$7,$AB403,Constants!$B$20))</f>
        <v/>
      </c>
      <c r="AD403" s="97" t="str">
        <f aca="false">IF($AB403=Constants!$B$7,IF(Z403,S403,Constants!$B$13),"")</f>
        <v/>
      </c>
      <c r="AE403" s="97" t="str">
        <f aca="false">IF($AB403=Constants!$B$7,IF(Z403,R403*IF(T403, 1, Constants!$B$11)*IF(U403, 1, Constants!$B$12),Constants!$B$13),"")</f>
        <v/>
      </c>
      <c r="AF403" s="97" t="str">
        <f aca="false">IF($AB403=Constants!$B$7,AD403*AE403,"")</f>
        <v/>
      </c>
      <c r="AG403" s="97" t="str">
        <f aca="false">IF($AB403=Constants!$B$7,IF(AA403,V403,Constants!$B$13),"")</f>
        <v/>
      </c>
      <c r="AH403" s="97" t="str">
        <f aca="false">IF($AB403=Constants!$B$7,IF(AA403,R403*IF(W403, 1, Constants!$B$11)*IF(X403, 1, Constants!$B$12),Constants!$B$13),"")</f>
        <v/>
      </c>
      <c r="AI403" s="97" t="str">
        <f aca="false">IF($AB403=Constants!$B$7,AG403*AH403,"")</f>
        <v/>
      </c>
      <c r="AJ403" s="97" t="str">
        <f aca="false">IF($AB403=Constants!$B$7,IF(AI403&gt;AF403,2,1),"")</f>
        <v/>
      </c>
      <c r="AK403" s="97" t="str">
        <f aca="false">IF($AB403=Constants!$B$7,IF(AJ403=1,2,1),"")</f>
        <v/>
      </c>
      <c r="AL403" s="97" t="str">
        <f aca="false">IF(ISBLANK($C403),"",IF($AB403&lt;&gt;Constants!$B$7,$AB403,IF(AJ403=1,AF403,AI403)))</f>
        <v/>
      </c>
      <c r="AM403" s="97" t="str">
        <f aca="false">IF(ISBLANK($C403),"",IF($AB403=Constants!$B$7,IF(ISNUMBER(AL403),RANK(AL403,$AL$8:$AL$507),Constants!$B$14),$AB403))</f>
        <v/>
      </c>
      <c r="AN403" s="97" t="str">
        <f aca="false">IF(ISBLANK($C403),"",IF($AB403=Constants!$B$7,IF(AK403=1,AF403,AI403),""))</f>
        <v/>
      </c>
      <c r="AO403" s="97" t="str">
        <f aca="false">IF(ISBLANK($C403),"",IF($AB403=Constants!$B$7,RANK(AN403,$AN$8:$AN$507),$AB403))</f>
        <v/>
      </c>
      <c r="AP403" s="97" t="str">
        <f aca="false">IF(ISBLANK($C403),"",IF($AB403=Constants!$B$7,IF(ISNUMBER(AM403),COUNTIFS($AM$8:$AM$507,"&lt;"&amp;$AM403)+COUNTIFS($AM$8:$AM$507,$AM403,$AO$8:$AO$507,"&lt;"&amp;$AO403)+1,Constants!$B$14),$AB403))</f>
        <v/>
      </c>
      <c r="AQ403" s="97" t="str">
        <f aca="false">IF(ISBLANK($C403),"",IF($AB403=Constants!$B$7,IF(ISNUMBER(AM403),AM403-AP403,Constants!$B$14),$AB403))</f>
        <v/>
      </c>
      <c r="AR403" s="98"/>
      <c r="AS403" s="99" t="str">
        <f aca="false">IF(ISBLANK($C403),"",IF($AB403&lt;&gt;Constants!$B$7,"",AJ403))</f>
        <v/>
      </c>
      <c r="AT403" s="100" t="str">
        <f aca="false">IF(ISBLANK($C403),"",IF($AB403&lt;&gt;Constants!$B$7,"",IF(AJ403=1,AD403,AG403)))</f>
        <v/>
      </c>
      <c r="AU403" s="101" t="str">
        <f aca="false">IF(ISBLANK($C403),"",IF($AB403&lt;&gt;Constants!$B$7,"",IF(AJ403=1,AE403,AH403)))</f>
        <v/>
      </c>
      <c r="AV403" s="102" t="str">
        <f aca="false">IF(ISBLANK($C403),"",IF($AB403&lt;&gt;Constants!$B$7,$AB403,AL403))</f>
        <v/>
      </c>
      <c r="AW403" s="103" t="str">
        <f aca="false">IF(ISBLANK($C403),"",IF($AB403&lt;&gt;Constants!$B$7,$AB403,AC403))</f>
        <v/>
      </c>
      <c r="AX403" s="104" t="str">
        <f aca="false">IF(ISBLANK($C403),"",AQ403)</f>
        <v/>
      </c>
      <c r="AY403" s="104" t="str">
        <f aca="false">IF(ISBLANK($C403),"",AP403)</f>
        <v/>
      </c>
      <c r="AZ403" s="105" t="str">
        <f aca="false">IF(ISBLANK($C403),"",IF(AY403=Constants!$B$4,COUNTA($C$8:$C$507)+2,IF(AY403=Constants!$B$5,COUNTA($C$8:$C$507)+1,IF(AY403=Constants!$B$6,COUNTA($C$8:$C$507),AY403))))</f>
        <v/>
      </c>
      <c r="BA403" s="5"/>
      <c r="BB403" s="106" t="n">
        <f aca="false">IF(OR(ISNUMBER(AY403),AY403=Constants!$B$4,AY403=Constants!$B$6,AY403=Constants!$B$5),1,0)</f>
        <v>0</v>
      </c>
      <c r="BC403" s="106" t="n">
        <v>396</v>
      </c>
      <c r="BD403" s="106" t="str">
        <f aca="false">IF(ISBLANK($C403),"",IF(ISNUMBER(AZ403),AZ403+ROW($B403)/1000,""))</f>
        <v/>
      </c>
      <c r="BE403" s="106" t="str">
        <f aca="false">IF(ISNUMBER(BD403),RANK(BD403,$BD$8:$BD$507,1),"")</f>
        <v/>
      </c>
      <c r="BF403" s="106" t="str">
        <f aca="false">IF(ISBLANK($C403),"",$B403)</f>
        <v/>
      </c>
      <c r="BG403" s="106" t="str">
        <f aca="false">IF(ISBLANK($C403),"",$C403)</f>
        <v/>
      </c>
      <c r="BH403" s="106" t="str">
        <f aca="false">IF(ISBLANK($C403),"",$D403)</f>
        <v/>
      </c>
      <c r="BI403" s="107" t="str">
        <f aca="false">AW403</f>
        <v/>
      </c>
      <c r="BJ403" s="108" t="str">
        <f aca="false">AV403</f>
        <v/>
      </c>
      <c r="BK403" s="106" t="str">
        <f aca="false">IF(ISBLANK($C403),"",AY403)</f>
        <v/>
      </c>
      <c r="BL403" s="109" t="str">
        <f aca="false">IF($BC403&gt;$BB$7,"",VLOOKUP($BC403,$BE$8:$BK$507,7,FALSE()))</f>
        <v/>
      </c>
      <c r="BM403" s="110" t="str">
        <f aca="false">IF($BC403&gt;$BB$7,"",VLOOKUP($BC403,$BE$8:$BK$507,2,FALSE()))</f>
        <v/>
      </c>
      <c r="BN403" s="110" t="str">
        <f aca="false">IF($BC403&gt;$BB$7,"",VLOOKUP($BC403,$BE$8:$BK$507,3,FALSE()))</f>
        <v/>
      </c>
      <c r="BO403" s="110" t="str">
        <f aca="false">IF($BC403&gt;$BB$7,"",VLOOKUP($BC403,$BE$8:$BK$507,4,FALSE()))</f>
        <v/>
      </c>
      <c r="BP403" s="110" t="str">
        <f aca="false">IF($BC403&gt;$BB$7,"",VLOOKUP($BC403,$BE$8:$BK$507,5,FALSE()))</f>
        <v/>
      </c>
      <c r="BQ403" s="111" t="str">
        <f aca="false">IF($BC403&gt;$BB$7,"",VLOOKUP($BC403,$BE$8:$BK$507,6,FALSE()))</f>
        <v/>
      </c>
      <c r="BR403" s="54"/>
    </row>
    <row r="404" customFormat="false" ht="15.75" hidden="false" customHeight="false" outlineLevel="0" collapsed="false">
      <c r="A404" s="5"/>
      <c r="B404" s="124"/>
      <c r="C404" s="56"/>
      <c r="D404" s="57"/>
      <c r="E404" s="83"/>
      <c r="F404" s="59"/>
      <c r="G404" s="60"/>
      <c r="H404" s="61"/>
      <c r="I404" s="62"/>
      <c r="J404" s="59"/>
      <c r="K404" s="60"/>
      <c r="L404" s="61"/>
      <c r="M404" s="62"/>
      <c r="N404" s="59"/>
      <c r="O404" s="83"/>
      <c r="P404" s="64"/>
      <c r="Q404" s="66" t="str">
        <f aca="false">IF(ISBLANK($C404),"",IF(E404=Constants!$B$2, TRUE(), IF(E404=Constants!$B$3, FALSE(), TRUE())))</f>
        <v/>
      </c>
      <c r="R404" s="66" t="str">
        <f aca="false">IF(ISBLANK($C404),"",IF(F404=Constants!$B$16,Constants!$B$9,IF(F404=Constants!$B$17,Constants!$B$10,Constants!$B$8)))</f>
        <v/>
      </c>
      <c r="S404" s="66" t="str">
        <f aca="false">IF(ISBLANK($C404),"",IF(COUNTA(G404:H404)=0,"",IF(AND(OR(ISBLANK(G404),AND(ISNUMBER(G404),G404&gt;=0)),OR(ISBLANK(H404),AND(ISNUMBER(H404),H404&gt;=0))),60*IF(ISBLANK(G404),0,G404)+IF(ISBLANK(H404),0,H404),"")))</f>
        <v/>
      </c>
      <c r="T404" s="66" t="str">
        <f aca="false">IF(ISBLANK($C404),"",IF(I404=Constants!$B$2, TRUE(), IF(I404=Constants!$B$3, FALSE(), TRUE())))</f>
        <v/>
      </c>
      <c r="U404" s="66" t="str">
        <f aca="false">IF(ISBLANK($C404),"",IF(J404=Constants!$B$2, TRUE(), IF(J404=Constants!$B$3, FALSE(), TRUE())))</f>
        <v/>
      </c>
      <c r="V404" s="66" t="str">
        <f aca="false">IF(ISBLANK($C404),"",IF(COUNTA(K404:L404)=0,"",IF(AND(OR(ISBLANK(K404),AND(ISNUMBER(K404),K404&gt;=0)),OR(ISBLANK(L404),AND(ISNUMBER(L404),L404&gt;=0))),60*IF(ISBLANK(K404),0,K404)+IF(ISBLANK(L404),0,L404),"")))</f>
        <v/>
      </c>
      <c r="W404" s="66" t="str">
        <f aca="false">IF(ISBLANK($C404),"",IF(M404=Constants!$B$2, TRUE(), IF(M404=Constants!$B$3, FALSE(), TRUE())))</f>
        <v/>
      </c>
      <c r="X404" s="66" t="str">
        <f aca="false">IF(ISBLANK($C404),"",IF(N404=Constants!$B$2, TRUE(), IF(N404=Constants!$B$3, FALSE(), TRUE())))</f>
        <v/>
      </c>
      <c r="Y404" s="66" t="str">
        <f aca="false">IF(ISBLANK($C404),"",IF(O404=Constants!$B$2, TRUE(), IF(O404=Constants!$B$3, FALSE(), FALSE())))</f>
        <v/>
      </c>
      <c r="Z404" s="66" t="str">
        <f aca="false">IF(ISBLANK($C404),"",AND(S404&lt;&gt;"",Q404))</f>
        <v/>
      </c>
      <c r="AA404" s="66" t="str">
        <f aca="false">IF(ISBLANK($C404),"",AND(V404&lt;&gt;"",Q404))</f>
        <v/>
      </c>
      <c r="AB404" s="66" t="str">
        <f aca="false">IF(ISBLANK($C404),"",IF(Y404,Constants!$B$4,IF(COUNTA(E404:N404)=0,Constants!$B$5,IF(NOT(Q404),Constants!$B$6,IF(AND(NOT(Z404),NOT(AA404)),Constants!$B$6,Constants!$B$7)))))</f>
        <v/>
      </c>
      <c r="AC404" s="66" t="str">
        <f aca="false">IF(ISBLANK($C404),"",IF($AB404&lt;&gt;Constants!$B$7,$AB404,Constants!$B$20))</f>
        <v/>
      </c>
      <c r="AD404" s="66" t="str">
        <f aca="false">IF($AB404=Constants!$B$7,IF(Z404,S404,Constants!$B$13),"")</f>
        <v/>
      </c>
      <c r="AE404" s="66" t="str">
        <f aca="false">IF($AB404=Constants!$B$7,IF(Z404,R404*IF(T404, 1, Constants!$B$11)*IF(U404, 1, Constants!$B$12),Constants!$B$13),"")</f>
        <v/>
      </c>
      <c r="AF404" s="66" t="str">
        <f aca="false">IF($AB404=Constants!$B$7,AD404*AE404,"")</f>
        <v/>
      </c>
      <c r="AG404" s="66" t="str">
        <f aca="false">IF($AB404=Constants!$B$7,IF(AA404,V404,Constants!$B$13),"")</f>
        <v/>
      </c>
      <c r="AH404" s="66" t="str">
        <f aca="false">IF($AB404=Constants!$B$7,IF(AA404,R404*IF(W404, 1, Constants!$B$11)*IF(X404, 1, Constants!$B$12),Constants!$B$13),"")</f>
        <v/>
      </c>
      <c r="AI404" s="66" t="str">
        <f aca="false">IF($AB404=Constants!$B$7,AG404*AH404,"")</f>
        <v/>
      </c>
      <c r="AJ404" s="66" t="str">
        <f aca="false">IF($AB404=Constants!$B$7,IF(AI404&gt;AF404,2,1),"")</f>
        <v/>
      </c>
      <c r="AK404" s="66" t="str">
        <f aca="false">IF($AB404=Constants!$B$7,IF(AJ404=1,2,1),"")</f>
        <v/>
      </c>
      <c r="AL404" s="66" t="str">
        <f aca="false">IF(ISBLANK($C404),"",IF($AB404&lt;&gt;Constants!$B$7,$AB404,IF(AJ404=1,AF404,AI404)))</f>
        <v/>
      </c>
      <c r="AM404" s="66" t="str">
        <f aca="false">IF(ISBLANK($C404),"",IF($AB404=Constants!$B$7,IF(ISNUMBER(AL404),RANK(AL404,$AL$8:$AL$507),Constants!$B$14),$AB404))</f>
        <v/>
      </c>
      <c r="AN404" s="66" t="str">
        <f aca="false">IF(ISBLANK($C404),"",IF($AB404=Constants!$B$7,IF(AK404=1,AF404,AI404),""))</f>
        <v/>
      </c>
      <c r="AO404" s="66" t="str">
        <f aca="false">IF(ISBLANK($C404),"",IF($AB404=Constants!$B$7,RANK(AN404,$AN$8:$AN$507),$AB404))</f>
        <v/>
      </c>
      <c r="AP404" s="66" t="str">
        <f aca="false">IF(ISBLANK($C404),"",IF($AB404=Constants!$B$7,IF(ISNUMBER(AM404),COUNTIFS($AM$8:$AM$507,"&lt;"&amp;$AM404)+COUNTIFS($AM$8:$AM$507,$AM404,$AO$8:$AO$507,"&lt;"&amp;$AO404)+1,Constants!$B$14),$AB404))</f>
        <v/>
      </c>
      <c r="AQ404" s="66" t="str">
        <f aca="false">IF(ISBLANK($C404),"",IF($AB404=Constants!$B$7,IF(ISNUMBER(AM404),AM404-AP404,Constants!$B$14),$AB404))</f>
        <v/>
      </c>
      <c r="AR404" s="68"/>
      <c r="AS404" s="69" t="str">
        <f aca="false">IF(ISBLANK($C404),"",IF($AB404&lt;&gt;Constants!$B$7,"",AJ404))</f>
        <v/>
      </c>
      <c r="AT404" s="84" t="str">
        <f aca="false">IF(ISBLANK($C404),"",IF($AB404&lt;&gt;Constants!$B$7,"",IF(AJ404=1,AD404,AG404)))</f>
        <v/>
      </c>
      <c r="AU404" s="71" t="str">
        <f aca="false">IF(ISBLANK($C404),"",IF($AB404&lt;&gt;Constants!$B$7,"",IF(AJ404=1,AE404,AH404)))</f>
        <v/>
      </c>
      <c r="AV404" s="72" t="str">
        <f aca="false">IF(ISBLANK($C404),"",IF($AB404&lt;&gt;Constants!$B$7,$AB404,AL404))</f>
        <v/>
      </c>
      <c r="AW404" s="73" t="str">
        <f aca="false">IF(ISBLANK($C404),"",IF($AB404&lt;&gt;Constants!$B$7,$AB404,AC404))</f>
        <v/>
      </c>
      <c r="AX404" s="74" t="str">
        <f aca="false">IF(ISBLANK($C404),"",AQ404)</f>
        <v/>
      </c>
      <c r="AY404" s="74" t="str">
        <f aca="false">IF(ISBLANK($C404),"",AP404)</f>
        <v/>
      </c>
      <c r="AZ404" s="75" t="str">
        <f aca="false">IF(ISBLANK($C404),"",IF(AY404=Constants!$B$4,COUNTA($C$8:$C$507)+2,IF(AY404=Constants!$B$5,COUNTA($C$8:$C$507)+1,IF(AY404=Constants!$B$6,COUNTA($C$8:$C$507),AY404))))</f>
        <v/>
      </c>
      <c r="BA404" s="5"/>
      <c r="BB404" s="76" t="n">
        <f aca="false">IF(OR(ISNUMBER(AY404),AY404=Constants!$B$4,AY404=Constants!$B$6,AY404=Constants!$B$5),1,0)</f>
        <v>0</v>
      </c>
      <c r="BC404" s="76" t="n">
        <v>397</v>
      </c>
      <c r="BD404" s="76" t="str">
        <f aca="false">IF(ISBLANK($C404),"",IF(ISNUMBER(AZ404),AZ404+ROW($B404)/1000,""))</f>
        <v/>
      </c>
      <c r="BE404" s="76" t="str">
        <f aca="false">IF(ISNUMBER(BD404),RANK(BD404,$BD$8:$BD$507,1),"")</f>
        <v/>
      </c>
      <c r="BF404" s="76" t="str">
        <f aca="false">IF(ISBLANK($C404),"",$B404)</f>
        <v/>
      </c>
      <c r="BG404" s="76" t="str">
        <f aca="false">IF(ISBLANK($C404),"",$C404)</f>
        <v/>
      </c>
      <c r="BH404" s="76" t="str">
        <f aca="false">IF(ISBLANK($C404),"",$D404)</f>
        <v/>
      </c>
      <c r="BI404" s="77" t="str">
        <f aca="false">AW404</f>
        <v/>
      </c>
      <c r="BJ404" s="78" t="str">
        <f aca="false">AV404</f>
        <v/>
      </c>
      <c r="BK404" s="76" t="str">
        <f aca="false">IF(ISBLANK($C404),"",AY404)</f>
        <v/>
      </c>
      <c r="BL404" s="79" t="str">
        <f aca="false">IF($BC404&gt;$BB$7,"",VLOOKUP($BC404,$BE$8:$BK$507,7,FALSE()))</f>
        <v/>
      </c>
      <c r="BM404" s="80" t="str">
        <f aca="false">IF($BC404&gt;$BB$7,"",VLOOKUP($BC404,$BE$8:$BK$507,2,FALSE()))</f>
        <v/>
      </c>
      <c r="BN404" s="80" t="str">
        <f aca="false">IF($BC404&gt;$BB$7,"",VLOOKUP($BC404,$BE$8:$BK$507,3,FALSE()))</f>
        <v/>
      </c>
      <c r="BO404" s="80" t="str">
        <f aca="false">IF($BC404&gt;$BB$7,"",VLOOKUP($BC404,$BE$8:$BK$507,4,FALSE()))</f>
        <v/>
      </c>
      <c r="BP404" s="80" t="str">
        <f aca="false">IF($BC404&gt;$BB$7,"",VLOOKUP($BC404,$BE$8:$BK$507,5,FALSE()))</f>
        <v/>
      </c>
      <c r="BQ404" s="81" t="str">
        <f aca="false">IF($BC404&gt;$BB$7,"",VLOOKUP($BC404,$BE$8:$BK$507,6,FALSE()))</f>
        <v/>
      </c>
      <c r="BR404" s="54"/>
    </row>
    <row r="405" customFormat="false" ht="15.75" hidden="false" customHeight="false" outlineLevel="0" collapsed="false">
      <c r="A405" s="5"/>
      <c r="B405" s="124"/>
      <c r="C405" s="56"/>
      <c r="D405" s="57"/>
      <c r="E405" s="83"/>
      <c r="F405" s="59"/>
      <c r="G405" s="60"/>
      <c r="H405" s="61"/>
      <c r="I405" s="62"/>
      <c r="J405" s="59"/>
      <c r="K405" s="60"/>
      <c r="L405" s="61"/>
      <c r="M405" s="62"/>
      <c r="N405" s="59"/>
      <c r="O405" s="83"/>
      <c r="P405" s="64"/>
      <c r="Q405" s="66" t="str">
        <f aca="false">IF(ISBLANK($C405),"",IF(E405=Constants!$B$2, TRUE(), IF(E405=Constants!$B$3, FALSE(), TRUE())))</f>
        <v/>
      </c>
      <c r="R405" s="66" t="str">
        <f aca="false">IF(ISBLANK($C405),"",IF(F405=Constants!$B$16,Constants!$B$9,IF(F405=Constants!$B$17,Constants!$B$10,Constants!$B$8)))</f>
        <v/>
      </c>
      <c r="S405" s="66" t="str">
        <f aca="false">IF(ISBLANK($C405),"",IF(COUNTA(G405:H405)=0,"",IF(AND(OR(ISBLANK(G405),AND(ISNUMBER(G405),G405&gt;=0)),OR(ISBLANK(H405),AND(ISNUMBER(H405),H405&gt;=0))),60*IF(ISBLANK(G405),0,G405)+IF(ISBLANK(H405),0,H405),"")))</f>
        <v/>
      </c>
      <c r="T405" s="66" t="str">
        <f aca="false">IF(ISBLANK($C405),"",IF(I405=Constants!$B$2, TRUE(), IF(I405=Constants!$B$3, FALSE(), TRUE())))</f>
        <v/>
      </c>
      <c r="U405" s="66" t="str">
        <f aca="false">IF(ISBLANK($C405),"",IF(J405=Constants!$B$2, TRUE(), IF(J405=Constants!$B$3, FALSE(), TRUE())))</f>
        <v/>
      </c>
      <c r="V405" s="66" t="str">
        <f aca="false">IF(ISBLANK($C405),"",IF(COUNTA(K405:L405)=0,"",IF(AND(OR(ISBLANK(K405),AND(ISNUMBER(K405),K405&gt;=0)),OR(ISBLANK(L405),AND(ISNUMBER(L405),L405&gt;=0))),60*IF(ISBLANK(K405),0,K405)+IF(ISBLANK(L405),0,L405),"")))</f>
        <v/>
      </c>
      <c r="W405" s="66" t="str">
        <f aca="false">IF(ISBLANK($C405),"",IF(M405=Constants!$B$2, TRUE(), IF(M405=Constants!$B$3, FALSE(), TRUE())))</f>
        <v/>
      </c>
      <c r="X405" s="66" t="str">
        <f aca="false">IF(ISBLANK($C405),"",IF(N405=Constants!$B$2, TRUE(), IF(N405=Constants!$B$3, FALSE(), TRUE())))</f>
        <v/>
      </c>
      <c r="Y405" s="66" t="str">
        <f aca="false">IF(ISBLANK($C405),"",IF(O405=Constants!$B$2, TRUE(), IF(O405=Constants!$B$3, FALSE(), FALSE())))</f>
        <v/>
      </c>
      <c r="Z405" s="66" t="str">
        <f aca="false">IF(ISBLANK($C405),"",AND(S405&lt;&gt;"",Q405))</f>
        <v/>
      </c>
      <c r="AA405" s="66" t="str">
        <f aca="false">IF(ISBLANK($C405),"",AND(V405&lt;&gt;"",Q405))</f>
        <v/>
      </c>
      <c r="AB405" s="66" t="str">
        <f aca="false">IF(ISBLANK($C405),"",IF(Y405,Constants!$B$4,IF(COUNTA(E405:N405)=0,Constants!$B$5,IF(NOT(Q405),Constants!$B$6,IF(AND(NOT(Z405),NOT(AA405)),Constants!$B$6,Constants!$B$7)))))</f>
        <v/>
      </c>
      <c r="AC405" s="66" t="str">
        <f aca="false">IF(ISBLANK($C405),"",IF($AB405&lt;&gt;Constants!$B$7,$AB405,Constants!$B$20))</f>
        <v/>
      </c>
      <c r="AD405" s="66" t="str">
        <f aca="false">IF($AB405=Constants!$B$7,IF(Z405,S405,Constants!$B$13),"")</f>
        <v/>
      </c>
      <c r="AE405" s="66" t="str">
        <f aca="false">IF($AB405=Constants!$B$7,IF(Z405,R405*IF(T405, 1, Constants!$B$11)*IF(U405, 1, Constants!$B$12),Constants!$B$13),"")</f>
        <v/>
      </c>
      <c r="AF405" s="66" t="str">
        <f aca="false">IF($AB405=Constants!$B$7,AD405*AE405,"")</f>
        <v/>
      </c>
      <c r="AG405" s="66" t="str">
        <f aca="false">IF($AB405=Constants!$B$7,IF(AA405,V405,Constants!$B$13),"")</f>
        <v/>
      </c>
      <c r="AH405" s="66" t="str">
        <f aca="false">IF($AB405=Constants!$B$7,IF(AA405,R405*IF(W405, 1, Constants!$B$11)*IF(X405, 1, Constants!$B$12),Constants!$B$13),"")</f>
        <v/>
      </c>
      <c r="AI405" s="66" t="str">
        <f aca="false">IF($AB405=Constants!$B$7,AG405*AH405,"")</f>
        <v/>
      </c>
      <c r="AJ405" s="66" t="str">
        <f aca="false">IF($AB405=Constants!$B$7,IF(AI405&gt;AF405,2,1),"")</f>
        <v/>
      </c>
      <c r="AK405" s="66" t="str">
        <f aca="false">IF($AB405=Constants!$B$7,IF(AJ405=1,2,1),"")</f>
        <v/>
      </c>
      <c r="AL405" s="66" t="str">
        <f aca="false">IF(ISBLANK($C405),"",IF($AB405&lt;&gt;Constants!$B$7,$AB405,IF(AJ405=1,AF405,AI405)))</f>
        <v/>
      </c>
      <c r="AM405" s="66" t="str">
        <f aca="false">IF(ISBLANK($C405),"",IF($AB405=Constants!$B$7,IF(ISNUMBER(AL405),RANK(AL405,$AL$8:$AL$507),Constants!$B$14),$AB405))</f>
        <v/>
      </c>
      <c r="AN405" s="66" t="str">
        <f aca="false">IF(ISBLANK($C405),"",IF($AB405=Constants!$B$7,IF(AK405=1,AF405,AI405),""))</f>
        <v/>
      </c>
      <c r="AO405" s="66" t="str">
        <f aca="false">IF(ISBLANK($C405),"",IF($AB405=Constants!$B$7,RANK(AN405,$AN$8:$AN$507),$AB405))</f>
        <v/>
      </c>
      <c r="AP405" s="66" t="str">
        <f aca="false">IF(ISBLANK($C405),"",IF($AB405=Constants!$B$7,IF(ISNUMBER(AM405),COUNTIFS($AM$8:$AM$507,"&lt;"&amp;$AM405)+COUNTIFS($AM$8:$AM$507,$AM405,$AO$8:$AO$507,"&lt;"&amp;$AO405)+1,Constants!$B$14),$AB405))</f>
        <v/>
      </c>
      <c r="AQ405" s="66" t="str">
        <f aca="false">IF(ISBLANK($C405),"",IF($AB405=Constants!$B$7,IF(ISNUMBER(AM405),AM405-AP405,Constants!$B$14),$AB405))</f>
        <v/>
      </c>
      <c r="AR405" s="68"/>
      <c r="AS405" s="69" t="str">
        <f aca="false">IF(ISBLANK($C405),"",IF($AB405&lt;&gt;Constants!$B$7,"",AJ405))</f>
        <v/>
      </c>
      <c r="AT405" s="84" t="str">
        <f aca="false">IF(ISBLANK($C405),"",IF($AB405&lt;&gt;Constants!$B$7,"",IF(AJ405=1,AD405,AG405)))</f>
        <v/>
      </c>
      <c r="AU405" s="71" t="str">
        <f aca="false">IF(ISBLANK($C405),"",IF($AB405&lt;&gt;Constants!$B$7,"",IF(AJ405=1,AE405,AH405)))</f>
        <v/>
      </c>
      <c r="AV405" s="72" t="str">
        <f aca="false">IF(ISBLANK($C405),"",IF($AB405&lt;&gt;Constants!$B$7,$AB405,AL405))</f>
        <v/>
      </c>
      <c r="AW405" s="73" t="str">
        <f aca="false">IF(ISBLANK($C405),"",IF($AB405&lt;&gt;Constants!$B$7,$AB405,AC405))</f>
        <v/>
      </c>
      <c r="AX405" s="74" t="str">
        <f aca="false">IF(ISBLANK($C405),"",AQ405)</f>
        <v/>
      </c>
      <c r="AY405" s="74" t="str">
        <f aca="false">IF(ISBLANK($C405),"",AP405)</f>
        <v/>
      </c>
      <c r="AZ405" s="75" t="str">
        <f aca="false">IF(ISBLANK($C405),"",IF(AY405=Constants!$B$4,COUNTA($C$8:$C$507)+2,IF(AY405=Constants!$B$5,COUNTA($C$8:$C$507)+1,IF(AY405=Constants!$B$6,COUNTA($C$8:$C$507),AY405))))</f>
        <v/>
      </c>
      <c r="BA405" s="5"/>
      <c r="BB405" s="76" t="n">
        <f aca="false">IF(OR(ISNUMBER(AY405),AY405=Constants!$B$4,AY405=Constants!$B$6,AY405=Constants!$B$5),1,0)</f>
        <v>0</v>
      </c>
      <c r="BC405" s="76" t="n">
        <v>398</v>
      </c>
      <c r="BD405" s="76" t="str">
        <f aca="false">IF(ISBLANK($C405),"",IF(ISNUMBER(AZ405),AZ405+ROW($B405)/1000,""))</f>
        <v/>
      </c>
      <c r="BE405" s="76" t="str">
        <f aca="false">IF(ISNUMBER(BD405),RANK(BD405,$BD$8:$BD$507,1),"")</f>
        <v/>
      </c>
      <c r="BF405" s="76" t="str">
        <f aca="false">IF(ISBLANK($C405),"",$B405)</f>
        <v/>
      </c>
      <c r="BG405" s="76" t="str">
        <f aca="false">IF(ISBLANK($C405),"",$C405)</f>
        <v/>
      </c>
      <c r="BH405" s="76" t="str">
        <f aca="false">IF(ISBLANK($C405),"",$D405)</f>
        <v/>
      </c>
      <c r="BI405" s="77" t="str">
        <f aca="false">AW405</f>
        <v/>
      </c>
      <c r="BJ405" s="78" t="str">
        <f aca="false">AV405</f>
        <v/>
      </c>
      <c r="BK405" s="76" t="str">
        <f aca="false">IF(ISBLANK($C405),"",AY405)</f>
        <v/>
      </c>
      <c r="BL405" s="79" t="str">
        <f aca="false">IF($BC405&gt;$BB$7,"",VLOOKUP($BC405,$BE$8:$BK$507,7,FALSE()))</f>
        <v/>
      </c>
      <c r="BM405" s="80" t="str">
        <f aca="false">IF($BC405&gt;$BB$7,"",VLOOKUP($BC405,$BE$8:$BK$507,2,FALSE()))</f>
        <v/>
      </c>
      <c r="BN405" s="80" t="str">
        <f aca="false">IF($BC405&gt;$BB$7,"",VLOOKUP($BC405,$BE$8:$BK$507,3,FALSE()))</f>
        <v/>
      </c>
      <c r="BO405" s="80" t="str">
        <f aca="false">IF($BC405&gt;$BB$7,"",VLOOKUP($BC405,$BE$8:$BK$507,4,FALSE()))</f>
        <v/>
      </c>
      <c r="BP405" s="80" t="str">
        <f aca="false">IF($BC405&gt;$BB$7,"",VLOOKUP($BC405,$BE$8:$BK$507,5,FALSE()))</f>
        <v/>
      </c>
      <c r="BQ405" s="81" t="str">
        <f aca="false">IF($BC405&gt;$BB$7,"",VLOOKUP($BC405,$BE$8:$BK$507,6,FALSE()))</f>
        <v/>
      </c>
      <c r="BR405" s="54"/>
    </row>
    <row r="406" customFormat="false" ht="15.75" hidden="false" customHeight="false" outlineLevel="0" collapsed="false">
      <c r="A406" s="5"/>
      <c r="B406" s="124"/>
      <c r="C406" s="56"/>
      <c r="D406" s="57"/>
      <c r="E406" s="83"/>
      <c r="F406" s="59"/>
      <c r="G406" s="60"/>
      <c r="H406" s="61"/>
      <c r="I406" s="62"/>
      <c r="J406" s="59"/>
      <c r="K406" s="60"/>
      <c r="L406" s="61"/>
      <c r="M406" s="62"/>
      <c r="N406" s="59"/>
      <c r="O406" s="83"/>
      <c r="P406" s="64"/>
      <c r="Q406" s="66" t="str">
        <f aca="false">IF(ISBLANK($C406),"",IF(E406=Constants!$B$2, TRUE(), IF(E406=Constants!$B$3, FALSE(), TRUE())))</f>
        <v/>
      </c>
      <c r="R406" s="66" t="str">
        <f aca="false">IF(ISBLANK($C406),"",IF(F406=Constants!$B$16,Constants!$B$9,IF(F406=Constants!$B$17,Constants!$B$10,Constants!$B$8)))</f>
        <v/>
      </c>
      <c r="S406" s="66" t="str">
        <f aca="false">IF(ISBLANK($C406),"",IF(COUNTA(G406:H406)=0,"",IF(AND(OR(ISBLANK(G406),AND(ISNUMBER(G406),G406&gt;=0)),OR(ISBLANK(H406),AND(ISNUMBER(H406),H406&gt;=0))),60*IF(ISBLANK(G406),0,G406)+IF(ISBLANK(H406),0,H406),"")))</f>
        <v/>
      </c>
      <c r="T406" s="66" t="str">
        <f aca="false">IF(ISBLANK($C406),"",IF(I406=Constants!$B$2, TRUE(), IF(I406=Constants!$B$3, FALSE(), TRUE())))</f>
        <v/>
      </c>
      <c r="U406" s="66" t="str">
        <f aca="false">IF(ISBLANK($C406),"",IF(J406=Constants!$B$2, TRUE(), IF(J406=Constants!$B$3, FALSE(), TRUE())))</f>
        <v/>
      </c>
      <c r="V406" s="66" t="str">
        <f aca="false">IF(ISBLANK($C406),"",IF(COUNTA(K406:L406)=0,"",IF(AND(OR(ISBLANK(K406),AND(ISNUMBER(K406),K406&gt;=0)),OR(ISBLANK(L406),AND(ISNUMBER(L406),L406&gt;=0))),60*IF(ISBLANK(K406),0,K406)+IF(ISBLANK(L406),0,L406),"")))</f>
        <v/>
      </c>
      <c r="W406" s="66" t="str">
        <f aca="false">IF(ISBLANK($C406),"",IF(M406=Constants!$B$2, TRUE(), IF(M406=Constants!$B$3, FALSE(), TRUE())))</f>
        <v/>
      </c>
      <c r="X406" s="66" t="str">
        <f aca="false">IF(ISBLANK($C406),"",IF(N406=Constants!$B$2, TRUE(), IF(N406=Constants!$B$3, FALSE(), TRUE())))</f>
        <v/>
      </c>
      <c r="Y406" s="66" t="str">
        <f aca="false">IF(ISBLANK($C406),"",IF(O406=Constants!$B$2, TRUE(), IF(O406=Constants!$B$3, FALSE(), FALSE())))</f>
        <v/>
      </c>
      <c r="Z406" s="66" t="str">
        <f aca="false">IF(ISBLANK($C406),"",AND(S406&lt;&gt;"",Q406))</f>
        <v/>
      </c>
      <c r="AA406" s="66" t="str">
        <f aca="false">IF(ISBLANK($C406),"",AND(V406&lt;&gt;"",Q406))</f>
        <v/>
      </c>
      <c r="AB406" s="66" t="str">
        <f aca="false">IF(ISBLANK($C406),"",IF(Y406,Constants!$B$4,IF(COUNTA(E406:N406)=0,Constants!$B$5,IF(NOT(Q406),Constants!$B$6,IF(AND(NOT(Z406),NOT(AA406)),Constants!$B$6,Constants!$B$7)))))</f>
        <v/>
      </c>
      <c r="AC406" s="66" t="str">
        <f aca="false">IF(ISBLANK($C406),"",IF($AB406&lt;&gt;Constants!$B$7,$AB406,Constants!$B$20))</f>
        <v/>
      </c>
      <c r="AD406" s="66" t="str">
        <f aca="false">IF($AB406=Constants!$B$7,IF(Z406,S406,Constants!$B$13),"")</f>
        <v/>
      </c>
      <c r="AE406" s="66" t="str">
        <f aca="false">IF($AB406=Constants!$B$7,IF(Z406,R406*IF(T406, 1, Constants!$B$11)*IF(U406, 1, Constants!$B$12),Constants!$B$13),"")</f>
        <v/>
      </c>
      <c r="AF406" s="66" t="str">
        <f aca="false">IF($AB406=Constants!$B$7,AD406*AE406,"")</f>
        <v/>
      </c>
      <c r="AG406" s="66" t="str">
        <f aca="false">IF($AB406=Constants!$B$7,IF(AA406,V406,Constants!$B$13),"")</f>
        <v/>
      </c>
      <c r="AH406" s="66" t="str">
        <f aca="false">IF($AB406=Constants!$B$7,IF(AA406,R406*IF(W406, 1, Constants!$B$11)*IF(X406, 1, Constants!$B$12),Constants!$B$13),"")</f>
        <v/>
      </c>
      <c r="AI406" s="66" t="str">
        <f aca="false">IF($AB406=Constants!$B$7,AG406*AH406,"")</f>
        <v/>
      </c>
      <c r="AJ406" s="66" t="str">
        <f aca="false">IF($AB406=Constants!$B$7,IF(AI406&gt;AF406,2,1),"")</f>
        <v/>
      </c>
      <c r="AK406" s="66" t="str">
        <f aca="false">IF($AB406=Constants!$B$7,IF(AJ406=1,2,1),"")</f>
        <v/>
      </c>
      <c r="AL406" s="66" t="str">
        <f aca="false">IF(ISBLANK($C406),"",IF($AB406&lt;&gt;Constants!$B$7,$AB406,IF(AJ406=1,AF406,AI406)))</f>
        <v/>
      </c>
      <c r="AM406" s="66" t="str">
        <f aca="false">IF(ISBLANK($C406),"",IF($AB406=Constants!$B$7,IF(ISNUMBER(AL406),RANK(AL406,$AL$8:$AL$507),Constants!$B$14),$AB406))</f>
        <v/>
      </c>
      <c r="AN406" s="66" t="str">
        <f aca="false">IF(ISBLANK($C406),"",IF($AB406=Constants!$B$7,IF(AK406=1,AF406,AI406),""))</f>
        <v/>
      </c>
      <c r="AO406" s="66" t="str">
        <f aca="false">IF(ISBLANK($C406),"",IF($AB406=Constants!$B$7,RANK(AN406,$AN$8:$AN$507),$AB406))</f>
        <v/>
      </c>
      <c r="AP406" s="66" t="str">
        <f aca="false">IF(ISBLANK($C406),"",IF($AB406=Constants!$B$7,IF(ISNUMBER(AM406),COUNTIFS($AM$8:$AM$507,"&lt;"&amp;$AM406)+COUNTIFS($AM$8:$AM$507,$AM406,$AO$8:$AO$507,"&lt;"&amp;$AO406)+1,Constants!$B$14),$AB406))</f>
        <v/>
      </c>
      <c r="AQ406" s="66" t="str">
        <f aca="false">IF(ISBLANK($C406),"",IF($AB406=Constants!$B$7,IF(ISNUMBER(AM406),AM406-AP406,Constants!$B$14),$AB406))</f>
        <v/>
      </c>
      <c r="AR406" s="68"/>
      <c r="AS406" s="69" t="str">
        <f aca="false">IF(ISBLANK($C406),"",IF($AB406&lt;&gt;Constants!$B$7,"",AJ406))</f>
        <v/>
      </c>
      <c r="AT406" s="84" t="str">
        <f aca="false">IF(ISBLANK($C406),"",IF($AB406&lt;&gt;Constants!$B$7,"",IF(AJ406=1,AD406,AG406)))</f>
        <v/>
      </c>
      <c r="AU406" s="71" t="str">
        <f aca="false">IF(ISBLANK($C406),"",IF($AB406&lt;&gt;Constants!$B$7,"",IF(AJ406=1,AE406,AH406)))</f>
        <v/>
      </c>
      <c r="AV406" s="72" t="str">
        <f aca="false">IF(ISBLANK($C406),"",IF($AB406&lt;&gt;Constants!$B$7,$AB406,AL406))</f>
        <v/>
      </c>
      <c r="AW406" s="73" t="str">
        <f aca="false">IF(ISBLANK($C406),"",IF($AB406&lt;&gt;Constants!$B$7,$AB406,AC406))</f>
        <v/>
      </c>
      <c r="AX406" s="74" t="str">
        <f aca="false">IF(ISBLANK($C406),"",AQ406)</f>
        <v/>
      </c>
      <c r="AY406" s="74" t="str">
        <f aca="false">IF(ISBLANK($C406),"",AP406)</f>
        <v/>
      </c>
      <c r="AZ406" s="75" t="str">
        <f aca="false">IF(ISBLANK($C406),"",IF(AY406=Constants!$B$4,COUNTA($C$8:$C$507)+2,IF(AY406=Constants!$B$5,COUNTA($C$8:$C$507)+1,IF(AY406=Constants!$B$6,COUNTA($C$8:$C$507),AY406))))</f>
        <v/>
      </c>
      <c r="BA406" s="5"/>
      <c r="BB406" s="76" t="n">
        <f aca="false">IF(OR(ISNUMBER(AY406),AY406=Constants!$B$4,AY406=Constants!$B$6,AY406=Constants!$B$5),1,0)</f>
        <v>0</v>
      </c>
      <c r="BC406" s="76" t="n">
        <v>399</v>
      </c>
      <c r="BD406" s="76" t="str">
        <f aca="false">IF(ISBLANK($C406),"",IF(ISNUMBER(AZ406),AZ406+ROW($B406)/1000,""))</f>
        <v/>
      </c>
      <c r="BE406" s="76" t="str">
        <f aca="false">IF(ISNUMBER(BD406),RANK(BD406,$BD$8:$BD$507,1),"")</f>
        <v/>
      </c>
      <c r="BF406" s="76" t="str">
        <f aca="false">IF(ISBLANK($C406),"",$B406)</f>
        <v/>
      </c>
      <c r="BG406" s="76" t="str">
        <f aca="false">IF(ISBLANK($C406),"",$C406)</f>
        <v/>
      </c>
      <c r="BH406" s="76" t="str">
        <f aca="false">IF(ISBLANK($C406),"",$D406)</f>
        <v/>
      </c>
      <c r="BI406" s="77" t="str">
        <f aca="false">AW406</f>
        <v/>
      </c>
      <c r="BJ406" s="78" t="str">
        <f aca="false">AV406</f>
        <v/>
      </c>
      <c r="BK406" s="76" t="str">
        <f aca="false">IF(ISBLANK($C406),"",AY406)</f>
        <v/>
      </c>
      <c r="BL406" s="79" t="str">
        <f aca="false">IF($BC406&gt;$BB$7,"",VLOOKUP($BC406,$BE$8:$BK$507,7,FALSE()))</f>
        <v/>
      </c>
      <c r="BM406" s="80" t="str">
        <f aca="false">IF($BC406&gt;$BB$7,"",VLOOKUP($BC406,$BE$8:$BK$507,2,FALSE()))</f>
        <v/>
      </c>
      <c r="BN406" s="80" t="str">
        <f aca="false">IF($BC406&gt;$BB$7,"",VLOOKUP($BC406,$BE$8:$BK$507,3,FALSE()))</f>
        <v/>
      </c>
      <c r="BO406" s="80" t="str">
        <f aca="false">IF($BC406&gt;$BB$7,"",VLOOKUP($BC406,$BE$8:$BK$507,4,FALSE()))</f>
        <v/>
      </c>
      <c r="BP406" s="80" t="str">
        <f aca="false">IF($BC406&gt;$BB$7,"",VLOOKUP($BC406,$BE$8:$BK$507,5,FALSE()))</f>
        <v/>
      </c>
      <c r="BQ406" s="81" t="str">
        <f aca="false">IF($BC406&gt;$BB$7,"",VLOOKUP($BC406,$BE$8:$BK$507,6,FALSE()))</f>
        <v/>
      </c>
      <c r="BR406" s="54"/>
    </row>
    <row r="407" customFormat="false" ht="15.75" hidden="false" customHeight="false" outlineLevel="0" collapsed="false">
      <c r="A407" s="5"/>
      <c r="B407" s="120"/>
      <c r="C407" s="121"/>
      <c r="D407" s="112"/>
      <c r="E407" s="123"/>
      <c r="F407" s="91"/>
      <c r="G407" s="92"/>
      <c r="H407" s="93"/>
      <c r="I407" s="94"/>
      <c r="J407" s="91"/>
      <c r="K407" s="92"/>
      <c r="L407" s="93"/>
      <c r="M407" s="94"/>
      <c r="N407" s="91"/>
      <c r="O407" s="123"/>
      <c r="P407" s="96"/>
      <c r="Q407" s="97" t="str">
        <f aca="false">IF(ISBLANK($C407),"",IF(E407=Constants!$B$2, TRUE(), IF(E407=Constants!$B$3, FALSE(), TRUE())))</f>
        <v/>
      </c>
      <c r="R407" s="97" t="str">
        <f aca="false">IF(ISBLANK($C407),"",IF(F407=Constants!$B$16,Constants!$B$9,IF(F407=Constants!$B$17,Constants!$B$10,Constants!$B$8)))</f>
        <v/>
      </c>
      <c r="S407" s="97" t="str">
        <f aca="false">IF(ISBLANK($C407),"",IF(COUNTA(G407:H407)=0,"",IF(AND(OR(ISBLANK(G407),AND(ISNUMBER(G407),G407&gt;=0)),OR(ISBLANK(H407),AND(ISNUMBER(H407),H407&gt;=0))),60*IF(ISBLANK(G407),0,G407)+IF(ISBLANK(H407),0,H407),"")))</f>
        <v/>
      </c>
      <c r="T407" s="97" t="str">
        <f aca="false">IF(ISBLANK($C407),"",IF(I407=Constants!$B$2, TRUE(), IF(I407=Constants!$B$3, FALSE(), TRUE())))</f>
        <v/>
      </c>
      <c r="U407" s="97" t="str">
        <f aca="false">IF(ISBLANK($C407),"",IF(J407=Constants!$B$2, TRUE(), IF(J407=Constants!$B$3, FALSE(), TRUE())))</f>
        <v/>
      </c>
      <c r="V407" s="97" t="str">
        <f aca="false">IF(ISBLANK($C407),"",IF(COUNTA(K407:L407)=0,"",IF(AND(OR(ISBLANK(K407),AND(ISNUMBER(K407),K407&gt;=0)),OR(ISBLANK(L407),AND(ISNUMBER(L407),L407&gt;=0))),60*IF(ISBLANK(K407),0,K407)+IF(ISBLANK(L407),0,L407),"")))</f>
        <v/>
      </c>
      <c r="W407" s="97" t="str">
        <f aca="false">IF(ISBLANK($C407),"",IF(M407=Constants!$B$2, TRUE(), IF(M407=Constants!$B$3, FALSE(), TRUE())))</f>
        <v/>
      </c>
      <c r="X407" s="97" t="str">
        <f aca="false">IF(ISBLANK($C407),"",IF(N407=Constants!$B$2, TRUE(), IF(N407=Constants!$B$3, FALSE(), TRUE())))</f>
        <v/>
      </c>
      <c r="Y407" s="97" t="str">
        <f aca="false">IF(ISBLANK($C407),"",IF(O407=Constants!$B$2, TRUE(), IF(O407=Constants!$B$3, FALSE(), FALSE())))</f>
        <v/>
      </c>
      <c r="Z407" s="97" t="str">
        <f aca="false">IF(ISBLANK($C407),"",AND(S407&lt;&gt;"",Q407))</f>
        <v/>
      </c>
      <c r="AA407" s="97" t="str">
        <f aca="false">IF(ISBLANK($C407),"",AND(V407&lt;&gt;"",Q407))</f>
        <v/>
      </c>
      <c r="AB407" s="97" t="str">
        <f aca="false">IF(ISBLANK($C407),"",IF(Y407,Constants!$B$4,IF(COUNTA(E407:N407)=0,Constants!$B$5,IF(NOT(Q407),Constants!$B$6,IF(AND(NOT(Z407),NOT(AA407)),Constants!$B$6,Constants!$B$7)))))</f>
        <v/>
      </c>
      <c r="AC407" s="97" t="str">
        <f aca="false">IF(ISBLANK($C407),"",IF($AB407&lt;&gt;Constants!$B$7,$AB407,Constants!$B$20))</f>
        <v/>
      </c>
      <c r="AD407" s="97" t="str">
        <f aca="false">IF($AB407=Constants!$B$7,IF(Z407,S407,Constants!$B$13),"")</f>
        <v/>
      </c>
      <c r="AE407" s="97" t="str">
        <f aca="false">IF($AB407=Constants!$B$7,IF(Z407,R407*IF(T407, 1, Constants!$B$11)*IF(U407, 1, Constants!$B$12),Constants!$B$13),"")</f>
        <v/>
      </c>
      <c r="AF407" s="97" t="str">
        <f aca="false">IF($AB407=Constants!$B$7,AD407*AE407,"")</f>
        <v/>
      </c>
      <c r="AG407" s="97" t="str">
        <f aca="false">IF($AB407=Constants!$B$7,IF(AA407,V407,Constants!$B$13),"")</f>
        <v/>
      </c>
      <c r="AH407" s="97" t="str">
        <f aca="false">IF($AB407=Constants!$B$7,IF(AA407,R407*IF(W407, 1, Constants!$B$11)*IF(X407, 1, Constants!$B$12),Constants!$B$13),"")</f>
        <v/>
      </c>
      <c r="AI407" s="97" t="str">
        <f aca="false">IF($AB407=Constants!$B$7,AG407*AH407,"")</f>
        <v/>
      </c>
      <c r="AJ407" s="97" t="str">
        <f aca="false">IF($AB407=Constants!$B$7,IF(AI407&gt;AF407,2,1),"")</f>
        <v/>
      </c>
      <c r="AK407" s="97" t="str">
        <f aca="false">IF($AB407=Constants!$B$7,IF(AJ407=1,2,1),"")</f>
        <v/>
      </c>
      <c r="AL407" s="97" t="str">
        <f aca="false">IF(ISBLANK($C407),"",IF($AB407&lt;&gt;Constants!$B$7,$AB407,IF(AJ407=1,AF407,AI407)))</f>
        <v/>
      </c>
      <c r="AM407" s="97" t="str">
        <f aca="false">IF(ISBLANK($C407),"",IF($AB407=Constants!$B$7,IF(ISNUMBER(AL407),RANK(AL407,$AL$8:$AL$507),Constants!$B$14),$AB407))</f>
        <v/>
      </c>
      <c r="AN407" s="97" t="str">
        <f aca="false">IF(ISBLANK($C407),"",IF($AB407=Constants!$B$7,IF(AK407=1,AF407,AI407),""))</f>
        <v/>
      </c>
      <c r="AO407" s="97" t="str">
        <f aca="false">IF(ISBLANK($C407),"",IF($AB407=Constants!$B$7,RANK(AN407,$AN$8:$AN$507),$AB407))</f>
        <v/>
      </c>
      <c r="AP407" s="97" t="str">
        <f aca="false">IF(ISBLANK($C407),"",IF($AB407=Constants!$B$7,IF(ISNUMBER(AM407),COUNTIFS($AM$8:$AM$507,"&lt;"&amp;$AM407)+COUNTIFS($AM$8:$AM$507,$AM407,$AO$8:$AO$507,"&lt;"&amp;$AO407)+1,Constants!$B$14),$AB407))</f>
        <v/>
      </c>
      <c r="AQ407" s="97" t="str">
        <f aca="false">IF(ISBLANK($C407),"",IF($AB407=Constants!$B$7,IF(ISNUMBER(AM407),AM407-AP407,Constants!$B$14),$AB407))</f>
        <v/>
      </c>
      <c r="AR407" s="98"/>
      <c r="AS407" s="99" t="str">
        <f aca="false">IF(ISBLANK($C407),"",IF($AB407&lt;&gt;Constants!$B$7,"",AJ407))</f>
        <v/>
      </c>
      <c r="AT407" s="100" t="str">
        <f aca="false">IF(ISBLANK($C407),"",IF($AB407&lt;&gt;Constants!$B$7,"",IF(AJ407=1,AD407,AG407)))</f>
        <v/>
      </c>
      <c r="AU407" s="101" t="str">
        <f aca="false">IF(ISBLANK($C407),"",IF($AB407&lt;&gt;Constants!$B$7,"",IF(AJ407=1,AE407,AH407)))</f>
        <v/>
      </c>
      <c r="AV407" s="102" t="str">
        <f aca="false">IF(ISBLANK($C407),"",IF($AB407&lt;&gt;Constants!$B$7,$AB407,AL407))</f>
        <v/>
      </c>
      <c r="AW407" s="103" t="str">
        <f aca="false">IF(ISBLANK($C407),"",IF($AB407&lt;&gt;Constants!$B$7,$AB407,AC407))</f>
        <v/>
      </c>
      <c r="AX407" s="104" t="str">
        <f aca="false">IF(ISBLANK($C407),"",AQ407)</f>
        <v/>
      </c>
      <c r="AY407" s="104" t="str">
        <f aca="false">IF(ISBLANK($C407),"",AP407)</f>
        <v/>
      </c>
      <c r="AZ407" s="105" t="str">
        <f aca="false">IF(ISBLANK($C407),"",IF(AY407=Constants!$B$4,COUNTA($C$8:$C$507)+2,IF(AY407=Constants!$B$5,COUNTA($C$8:$C$507)+1,IF(AY407=Constants!$B$6,COUNTA($C$8:$C$507),AY407))))</f>
        <v/>
      </c>
      <c r="BA407" s="5"/>
      <c r="BB407" s="106" t="n">
        <f aca="false">IF(OR(ISNUMBER(AY407),AY407=Constants!$B$4,AY407=Constants!$B$6,AY407=Constants!$B$5),1,0)</f>
        <v>0</v>
      </c>
      <c r="BC407" s="106" t="n">
        <v>400</v>
      </c>
      <c r="BD407" s="106" t="str">
        <f aca="false">IF(ISBLANK($C407),"",IF(ISNUMBER(AZ407),AZ407+ROW($B407)/1000,""))</f>
        <v/>
      </c>
      <c r="BE407" s="106" t="str">
        <f aca="false">IF(ISNUMBER(BD407),RANK(BD407,$BD$8:$BD$507,1),"")</f>
        <v/>
      </c>
      <c r="BF407" s="106" t="str">
        <f aca="false">IF(ISBLANK($C407),"",$B407)</f>
        <v/>
      </c>
      <c r="BG407" s="106" t="str">
        <f aca="false">IF(ISBLANK($C407),"",$C407)</f>
        <v/>
      </c>
      <c r="BH407" s="106" t="str">
        <f aca="false">IF(ISBLANK($C407),"",$D407)</f>
        <v/>
      </c>
      <c r="BI407" s="107" t="str">
        <f aca="false">AW407</f>
        <v/>
      </c>
      <c r="BJ407" s="108" t="str">
        <f aca="false">AV407</f>
        <v/>
      </c>
      <c r="BK407" s="106" t="str">
        <f aca="false">IF(ISBLANK($C407),"",AY407)</f>
        <v/>
      </c>
      <c r="BL407" s="109" t="str">
        <f aca="false">IF($BC407&gt;$BB$7,"",VLOOKUP($BC407,$BE$8:$BK$507,7,FALSE()))</f>
        <v/>
      </c>
      <c r="BM407" s="110" t="str">
        <f aca="false">IF($BC407&gt;$BB$7,"",VLOOKUP($BC407,$BE$8:$BK$507,2,FALSE()))</f>
        <v/>
      </c>
      <c r="BN407" s="110" t="str">
        <f aca="false">IF($BC407&gt;$BB$7,"",VLOOKUP($BC407,$BE$8:$BK$507,3,FALSE()))</f>
        <v/>
      </c>
      <c r="BO407" s="110" t="str">
        <f aca="false">IF($BC407&gt;$BB$7,"",VLOOKUP($BC407,$BE$8:$BK$507,4,FALSE()))</f>
        <v/>
      </c>
      <c r="BP407" s="110" t="str">
        <f aca="false">IF($BC407&gt;$BB$7,"",VLOOKUP($BC407,$BE$8:$BK$507,5,FALSE()))</f>
        <v/>
      </c>
      <c r="BQ407" s="111" t="str">
        <f aca="false">IF($BC407&gt;$BB$7,"",VLOOKUP($BC407,$BE$8:$BK$507,6,FALSE()))</f>
        <v/>
      </c>
      <c r="BR407" s="54"/>
    </row>
    <row r="408" customFormat="false" ht="15.75" hidden="false" customHeight="false" outlineLevel="0" collapsed="false">
      <c r="A408" s="5"/>
      <c r="B408" s="120"/>
      <c r="C408" s="121"/>
      <c r="D408" s="112"/>
      <c r="E408" s="123"/>
      <c r="F408" s="91"/>
      <c r="G408" s="92"/>
      <c r="H408" s="93"/>
      <c r="I408" s="94"/>
      <c r="J408" s="91"/>
      <c r="K408" s="92"/>
      <c r="L408" s="93"/>
      <c r="M408" s="94"/>
      <c r="N408" s="91"/>
      <c r="O408" s="123"/>
      <c r="P408" s="96"/>
      <c r="Q408" s="97" t="str">
        <f aca="false">IF(ISBLANK($C408),"",IF(E408=Constants!$B$2, TRUE(), IF(E408=Constants!$B$3, FALSE(), TRUE())))</f>
        <v/>
      </c>
      <c r="R408" s="97" t="str">
        <f aca="false">IF(ISBLANK($C408),"",IF(F408=Constants!$B$16,Constants!$B$9,IF(F408=Constants!$B$17,Constants!$B$10,Constants!$B$8)))</f>
        <v/>
      </c>
      <c r="S408" s="97" t="str">
        <f aca="false">IF(ISBLANK($C408),"",IF(COUNTA(G408:H408)=0,"",IF(AND(OR(ISBLANK(G408),AND(ISNUMBER(G408),G408&gt;=0)),OR(ISBLANK(H408),AND(ISNUMBER(H408),H408&gt;=0))),60*IF(ISBLANK(G408),0,G408)+IF(ISBLANK(H408),0,H408),"")))</f>
        <v/>
      </c>
      <c r="T408" s="97" t="str">
        <f aca="false">IF(ISBLANK($C408),"",IF(I408=Constants!$B$2, TRUE(), IF(I408=Constants!$B$3, FALSE(), TRUE())))</f>
        <v/>
      </c>
      <c r="U408" s="97" t="str">
        <f aca="false">IF(ISBLANK($C408),"",IF(J408=Constants!$B$2, TRUE(), IF(J408=Constants!$B$3, FALSE(), TRUE())))</f>
        <v/>
      </c>
      <c r="V408" s="97" t="str">
        <f aca="false">IF(ISBLANK($C408),"",IF(COUNTA(K408:L408)=0,"",IF(AND(OR(ISBLANK(K408),AND(ISNUMBER(K408),K408&gt;=0)),OR(ISBLANK(L408),AND(ISNUMBER(L408),L408&gt;=0))),60*IF(ISBLANK(K408),0,K408)+IF(ISBLANK(L408),0,L408),"")))</f>
        <v/>
      </c>
      <c r="W408" s="97" t="str">
        <f aca="false">IF(ISBLANK($C408),"",IF(M408=Constants!$B$2, TRUE(), IF(M408=Constants!$B$3, FALSE(), TRUE())))</f>
        <v/>
      </c>
      <c r="X408" s="97" t="str">
        <f aca="false">IF(ISBLANK($C408),"",IF(N408=Constants!$B$2, TRUE(), IF(N408=Constants!$B$3, FALSE(), TRUE())))</f>
        <v/>
      </c>
      <c r="Y408" s="97" t="str">
        <f aca="false">IF(ISBLANK($C408),"",IF(O408=Constants!$B$2, TRUE(), IF(O408=Constants!$B$3, FALSE(), FALSE())))</f>
        <v/>
      </c>
      <c r="Z408" s="97" t="str">
        <f aca="false">IF(ISBLANK($C408),"",AND(S408&lt;&gt;"",Q408))</f>
        <v/>
      </c>
      <c r="AA408" s="97" t="str">
        <f aca="false">IF(ISBLANK($C408),"",AND(V408&lt;&gt;"",Q408))</f>
        <v/>
      </c>
      <c r="AB408" s="97" t="str">
        <f aca="false">IF(ISBLANK($C408),"",IF(Y408,Constants!$B$4,IF(COUNTA(E408:N408)=0,Constants!$B$5,IF(NOT(Q408),Constants!$B$6,IF(AND(NOT(Z408),NOT(AA408)),Constants!$B$6,Constants!$B$7)))))</f>
        <v/>
      </c>
      <c r="AC408" s="97" t="str">
        <f aca="false">IF(ISBLANK($C408),"",IF($AB408&lt;&gt;Constants!$B$7,$AB408,Constants!$B$20))</f>
        <v/>
      </c>
      <c r="AD408" s="97" t="str">
        <f aca="false">IF($AB408=Constants!$B$7,IF(Z408,S408,Constants!$B$13),"")</f>
        <v/>
      </c>
      <c r="AE408" s="97" t="str">
        <f aca="false">IF($AB408=Constants!$B$7,IF(Z408,R408*IF(T408, 1, Constants!$B$11)*IF(U408, 1, Constants!$B$12),Constants!$B$13),"")</f>
        <v/>
      </c>
      <c r="AF408" s="97" t="str">
        <f aca="false">IF($AB408=Constants!$B$7,AD408*AE408,"")</f>
        <v/>
      </c>
      <c r="AG408" s="97" t="str">
        <f aca="false">IF($AB408=Constants!$B$7,IF(AA408,V408,Constants!$B$13),"")</f>
        <v/>
      </c>
      <c r="AH408" s="97" t="str">
        <f aca="false">IF($AB408=Constants!$B$7,IF(AA408,R408*IF(W408, 1, Constants!$B$11)*IF(X408, 1, Constants!$B$12),Constants!$B$13),"")</f>
        <v/>
      </c>
      <c r="AI408" s="97" t="str">
        <f aca="false">IF($AB408=Constants!$B$7,AG408*AH408,"")</f>
        <v/>
      </c>
      <c r="AJ408" s="97" t="str">
        <f aca="false">IF($AB408=Constants!$B$7,IF(AI408&gt;AF408,2,1),"")</f>
        <v/>
      </c>
      <c r="AK408" s="97" t="str">
        <f aca="false">IF($AB408=Constants!$B$7,IF(AJ408=1,2,1),"")</f>
        <v/>
      </c>
      <c r="AL408" s="97" t="str">
        <f aca="false">IF(ISBLANK($C408),"",IF($AB408&lt;&gt;Constants!$B$7,$AB408,IF(AJ408=1,AF408,AI408)))</f>
        <v/>
      </c>
      <c r="AM408" s="97" t="str">
        <f aca="false">IF(ISBLANK($C408),"",IF($AB408=Constants!$B$7,IF(ISNUMBER(AL408),RANK(AL408,$AL$8:$AL$507),Constants!$B$14),$AB408))</f>
        <v/>
      </c>
      <c r="AN408" s="97" t="str">
        <f aca="false">IF(ISBLANK($C408),"",IF($AB408=Constants!$B$7,IF(AK408=1,AF408,AI408),""))</f>
        <v/>
      </c>
      <c r="AO408" s="97" t="str">
        <f aca="false">IF(ISBLANK($C408),"",IF($AB408=Constants!$B$7,RANK(AN408,$AN$8:$AN$507),$AB408))</f>
        <v/>
      </c>
      <c r="AP408" s="97" t="str">
        <f aca="false">IF(ISBLANK($C408),"",IF($AB408=Constants!$B$7,IF(ISNUMBER(AM408),COUNTIFS($AM$8:$AM$507,"&lt;"&amp;$AM408)+COUNTIFS($AM$8:$AM$507,$AM408,$AO$8:$AO$507,"&lt;"&amp;$AO408)+1,Constants!$B$14),$AB408))</f>
        <v/>
      </c>
      <c r="AQ408" s="97" t="str">
        <f aca="false">IF(ISBLANK($C408),"",IF($AB408=Constants!$B$7,IF(ISNUMBER(AM408),AM408-AP408,Constants!$B$14),$AB408))</f>
        <v/>
      </c>
      <c r="AR408" s="98"/>
      <c r="AS408" s="99" t="str">
        <f aca="false">IF(ISBLANK($C408),"",IF($AB408&lt;&gt;Constants!$B$7,"",AJ408))</f>
        <v/>
      </c>
      <c r="AT408" s="100" t="str">
        <f aca="false">IF(ISBLANK($C408),"",IF($AB408&lt;&gt;Constants!$B$7,"",IF(AJ408=1,AD408,AG408)))</f>
        <v/>
      </c>
      <c r="AU408" s="101" t="str">
        <f aca="false">IF(ISBLANK($C408),"",IF($AB408&lt;&gt;Constants!$B$7,"",IF(AJ408=1,AE408,AH408)))</f>
        <v/>
      </c>
      <c r="AV408" s="102" t="str">
        <f aca="false">IF(ISBLANK($C408),"",IF($AB408&lt;&gt;Constants!$B$7,$AB408,AL408))</f>
        <v/>
      </c>
      <c r="AW408" s="103" t="str">
        <f aca="false">IF(ISBLANK($C408),"",IF($AB408&lt;&gt;Constants!$B$7,$AB408,AC408))</f>
        <v/>
      </c>
      <c r="AX408" s="104" t="str">
        <f aca="false">IF(ISBLANK($C408),"",AQ408)</f>
        <v/>
      </c>
      <c r="AY408" s="104" t="str">
        <f aca="false">IF(ISBLANK($C408),"",AP408)</f>
        <v/>
      </c>
      <c r="AZ408" s="105" t="str">
        <f aca="false">IF(ISBLANK($C408),"",IF(AY408=Constants!$B$4,COUNTA($C$8:$C$507)+2,IF(AY408=Constants!$B$5,COUNTA($C$8:$C$507)+1,IF(AY408=Constants!$B$6,COUNTA($C$8:$C$507),AY408))))</f>
        <v/>
      </c>
      <c r="BA408" s="5"/>
      <c r="BB408" s="106" t="n">
        <f aca="false">IF(OR(ISNUMBER(AY408),AY408=Constants!$B$4,AY408=Constants!$B$6,AY408=Constants!$B$5),1,0)</f>
        <v>0</v>
      </c>
      <c r="BC408" s="106" t="n">
        <v>401</v>
      </c>
      <c r="BD408" s="106" t="str">
        <f aca="false">IF(ISBLANK($C408),"",IF(ISNUMBER(AZ408),AZ408+ROW($B408)/1000,""))</f>
        <v/>
      </c>
      <c r="BE408" s="106" t="str">
        <f aca="false">IF(ISNUMBER(BD408),RANK(BD408,$BD$8:$BD$507,1),"")</f>
        <v/>
      </c>
      <c r="BF408" s="106" t="str">
        <f aca="false">IF(ISBLANK($C408),"",$B408)</f>
        <v/>
      </c>
      <c r="BG408" s="106" t="str">
        <f aca="false">IF(ISBLANK($C408),"",$C408)</f>
        <v/>
      </c>
      <c r="BH408" s="106" t="str">
        <f aca="false">IF(ISBLANK($C408),"",$D408)</f>
        <v/>
      </c>
      <c r="BI408" s="107" t="str">
        <f aca="false">AW408</f>
        <v/>
      </c>
      <c r="BJ408" s="108" t="str">
        <f aca="false">AV408</f>
        <v/>
      </c>
      <c r="BK408" s="106" t="str">
        <f aca="false">IF(ISBLANK($C408),"",AY408)</f>
        <v/>
      </c>
      <c r="BL408" s="109" t="str">
        <f aca="false">IF($BC408&gt;$BB$7,"",VLOOKUP($BC408,$BE$8:$BK$507,7,FALSE()))</f>
        <v/>
      </c>
      <c r="BM408" s="110" t="str">
        <f aca="false">IF($BC408&gt;$BB$7,"",VLOOKUP($BC408,$BE$8:$BK$507,2,FALSE()))</f>
        <v/>
      </c>
      <c r="BN408" s="110" t="str">
        <f aca="false">IF($BC408&gt;$BB$7,"",VLOOKUP($BC408,$BE$8:$BK$507,3,FALSE()))</f>
        <v/>
      </c>
      <c r="BO408" s="110" t="str">
        <f aca="false">IF($BC408&gt;$BB$7,"",VLOOKUP($BC408,$BE$8:$BK$507,4,FALSE()))</f>
        <v/>
      </c>
      <c r="BP408" s="110" t="str">
        <f aca="false">IF($BC408&gt;$BB$7,"",VLOOKUP($BC408,$BE$8:$BK$507,5,FALSE()))</f>
        <v/>
      </c>
      <c r="BQ408" s="111" t="str">
        <f aca="false">IF($BC408&gt;$BB$7,"",VLOOKUP($BC408,$BE$8:$BK$507,6,FALSE()))</f>
        <v/>
      </c>
      <c r="BR408" s="54"/>
    </row>
    <row r="409" customFormat="false" ht="15.75" hidden="false" customHeight="false" outlineLevel="0" collapsed="false">
      <c r="A409" s="5"/>
      <c r="B409" s="120"/>
      <c r="C409" s="121"/>
      <c r="D409" s="112"/>
      <c r="E409" s="123"/>
      <c r="F409" s="91"/>
      <c r="G409" s="92"/>
      <c r="H409" s="93"/>
      <c r="I409" s="94"/>
      <c r="J409" s="91"/>
      <c r="K409" s="92"/>
      <c r="L409" s="93"/>
      <c r="M409" s="94"/>
      <c r="N409" s="91"/>
      <c r="O409" s="123"/>
      <c r="P409" s="96"/>
      <c r="Q409" s="97" t="str">
        <f aca="false">IF(ISBLANK($C409),"",IF(E409=Constants!$B$2, TRUE(), IF(E409=Constants!$B$3, FALSE(), TRUE())))</f>
        <v/>
      </c>
      <c r="R409" s="97" t="str">
        <f aca="false">IF(ISBLANK($C409),"",IF(F409=Constants!$B$16,Constants!$B$9,IF(F409=Constants!$B$17,Constants!$B$10,Constants!$B$8)))</f>
        <v/>
      </c>
      <c r="S409" s="97" t="str">
        <f aca="false">IF(ISBLANK($C409),"",IF(COUNTA(G409:H409)=0,"",IF(AND(OR(ISBLANK(G409),AND(ISNUMBER(G409),G409&gt;=0)),OR(ISBLANK(H409),AND(ISNUMBER(H409),H409&gt;=0))),60*IF(ISBLANK(G409),0,G409)+IF(ISBLANK(H409),0,H409),"")))</f>
        <v/>
      </c>
      <c r="T409" s="97" t="str">
        <f aca="false">IF(ISBLANK($C409),"",IF(I409=Constants!$B$2, TRUE(), IF(I409=Constants!$B$3, FALSE(), TRUE())))</f>
        <v/>
      </c>
      <c r="U409" s="97" t="str">
        <f aca="false">IF(ISBLANK($C409),"",IF(J409=Constants!$B$2, TRUE(), IF(J409=Constants!$B$3, FALSE(), TRUE())))</f>
        <v/>
      </c>
      <c r="V409" s="97" t="str">
        <f aca="false">IF(ISBLANK($C409),"",IF(COUNTA(K409:L409)=0,"",IF(AND(OR(ISBLANK(K409),AND(ISNUMBER(K409),K409&gt;=0)),OR(ISBLANK(L409),AND(ISNUMBER(L409),L409&gt;=0))),60*IF(ISBLANK(K409),0,K409)+IF(ISBLANK(L409),0,L409),"")))</f>
        <v/>
      </c>
      <c r="W409" s="97" t="str">
        <f aca="false">IF(ISBLANK($C409),"",IF(M409=Constants!$B$2, TRUE(), IF(M409=Constants!$B$3, FALSE(), TRUE())))</f>
        <v/>
      </c>
      <c r="X409" s="97" t="str">
        <f aca="false">IF(ISBLANK($C409),"",IF(N409=Constants!$B$2, TRUE(), IF(N409=Constants!$B$3, FALSE(), TRUE())))</f>
        <v/>
      </c>
      <c r="Y409" s="97" t="str">
        <f aca="false">IF(ISBLANK($C409),"",IF(O409=Constants!$B$2, TRUE(), IF(O409=Constants!$B$3, FALSE(), FALSE())))</f>
        <v/>
      </c>
      <c r="Z409" s="97" t="str">
        <f aca="false">IF(ISBLANK($C409),"",AND(S409&lt;&gt;"",Q409))</f>
        <v/>
      </c>
      <c r="AA409" s="97" t="str">
        <f aca="false">IF(ISBLANK($C409),"",AND(V409&lt;&gt;"",Q409))</f>
        <v/>
      </c>
      <c r="AB409" s="97" t="str">
        <f aca="false">IF(ISBLANK($C409),"",IF(Y409,Constants!$B$4,IF(COUNTA(E409:N409)=0,Constants!$B$5,IF(NOT(Q409),Constants!$B$6,IF(AND(NOT(Z409),NOT(AA409)),Constants!$B$6,Constants!$B$7)))))</f>
        <v/>
      </c>
      <c r="AC409" s="97" t="str">
        <f aca="false">IF(ISBLANK($C409),"",IF($AB409&lt;&gt;Constants!$B$7,$AB409,Constants!$B$20))</f>
        <v/>
      </c>
      <c r="AD409" s="97" t="str">
        <f aca="false">IF($AB409=Constants!$B$7,IF(Z409,S409,Constants!$B$13),"")</f>
        <v/>
      </c>
      <c r="AE409" s="97" t="str">
        <f aca="false">IF($AB409=Constants!$B$7,IF(Z409,R409*IF(T409, 1, Constants!$B$11)*IF(U409, 1, Constants!$B$12),Constants!$B$13),"")</f>
        <v/>
      </c>
      <c r="AF409" s="97" t="str">
        <f aca="false">IF($AB409=Constants!$B$7,AD409*AE409,"")</f>
        <v/>
      </c>
      <c r="AG409" s="97" t="str">
        <f aca="false">IF($AB409=Constants!$B$7,IF(AA409,V409,Constants!$B$13),"")</f>
        <v/>
      </c>
      <c r="AH409" s="97" t="str">
        <f aca="false">IF($AB409=Constants!$B$7,IF(AA409,R409*IF(W409, 1, Constants!$B$11)*IF(X409, 1, Constants!$B$12),Constants!$B$13),"")</f>
        <v/>
      </c>
      <c r="AI409" s="97" t="str">
        <f aca="false">IF($AB409=Constants!$B$7,AG409*AH409,"")</f>
        <v/>
      </c>
      <c r="AJ409" s="97" t="str">
        <f aca="false">IF($AB409=Constants!$B$7,IF(AI409&gt;AF409,2,1),"")</f>
        <v/>
      </c>
      <c r="AK409" s="97" t="str">
        <f aca="false">IF($AB409=Constants!$B$7,IF(AJ409=1,2,1),"")</f>
        <v/>
      </c>
      <c r="AL409" s="97" t="str">
        <f aca="false">IF(ISBLANK($C409),"",IF($AB409&lt;&gt;Constants!$B$7,$AB409,IF(AJ409=1,AF409,AI409)))</f>
        <v/>
      </c>
      <c r="AM409" s="97" t="str">
        <f aca="false">IF(ISBLANK($C409),"",IF($AB409=Constants!$B$7,IF(ISNUMBER(AL409),RANK(AL409,$AL$8:$AL$507),Constants!$B$14),$AB409))</f>
        <v/>
      </c>
      <c r="AN409" s="97" t="str">
        <f aca="false">IF(ISBLANK($C409),"",IF($AB409=Constants!$B$7,IF(AK409=1,AF409,AI409),""))</f>
        <v/>
      </c>
      <c r="AO409" s="97" t="str">
        <f aca="false">IF(ISBLANK($C409),"",IF($AB409=Constants!$B$7,RANK(AN409,$AN$8:$AN$507),$AB409))</f>
        <v/>
      </c>
      <c r="AP409" s="97" t="str">
        <f aca="false">IF(ISBLANK($C409),"",IF($AB409=Constants!$B$7,IF(ISNUMBER(AM409),COUNTIFS($AM$8:$AM$507,"&lt;"&amp;$AM409)+COUNTIFS($AM$8:$AM$507,$AM409,$AO$8:$AO$507,"&lt;"&amp;$AO409)+1,Constants!$B$14),$AB409))</f>
        <v/>
      </c>
      <c r="AQ409" s="97" t="str">
        <f aca="false">IF(ISBLANK($C409),"",IF($AB409=Constants!$B$7,IF(ISNUMBER(AM409),AM409-AP409,Constants!$B$14),$AB409))</f>
        <v/>
      </c>
      <c r="AR409" s="98"/>
      <c r="AS409" s="99" t="str">
        <f aca="false">IF(ISBLANK($C409),"",IF($AB409&lt;&gt;Constants!$B$7,"",AJ409))</f>
        <v/>
      </c>
      <c r="AT409" s="100" t="str">
        <f aca="false">IF(ISBLANK($C409),"",IF($AB409&lt;&gt;Constants!$B$7,"",IF(AJ409=1,AD409,AG409)))</f>
        <v/>
      </c>
      <c r="AU409" s="101" t="str">
        <f aca="false">IF(ISBLANK($C409),"",IF($AB409&lt;&gt;Constants!$B$7,"",IF(AJ409=1,AE409,AH409)))</f>
        <v/>
      </c>
      <c r="AV409" s="102" t="str">
        <f aca="false">IF(ISBLANK($C409),"",IF($AB409&lt;&gt;Constants!$B$7,$AB409,AL409))</f>
        <v/>
      </c>
      <c r="AW409" s="103" t="str">
        <f aca="false">IF(ISBLANK($C409),"",IF($AB409&lt;&gt;Constants!$B$7,$AB409,AC409))</f>
        <v/>
      </c>
      <c r="AX409" s="104" t="str">
        <f aca="false">IF(ISBLANK($C409),"",AQ409)</f>
        <v/>
      </c>
      <c r="AY409" s="104" t="str">
        <f aca="false">IF(ISBLANK($C409),"",AP409)</f>
        <v/>
      </c>
      <c r="AZ409" s="105" t="str">
        <f aca="false">IF(ISBLANK($C409),"",IF(AY409=Constants!$B$4,COUNTA($C$8:$C$507)+2,IF(AY409=Constants!$B$5,COUNTA($C$8:$C$507)+1,IF(AY409=Constants!$B$6,COUNTA($C$8:$C$507),AY409))))</f>
        <v/>
      </c>
      <c r="BA409" s="5"/>
      <c r="BB409" s="106" t="n">
        <f aca="false">IF(OR(ISNUMBER(AY409),AY409=Constants!$B$4,AY409=Constants!$B$6,AY409=Constants!$B$5),1,0)</f>
        <v>0</v>
      </c>
      <c r="BC409" s="106" t="n">
        <v>402</v>
      </c>
      <c r="BD409" s="106" t="str">
        <f aca="false">IF(ISBLANK($C409),"",IF(ISNUMBER(AZ409),AZ409+ROW($B409)/1000,""))</f>
        <v/>
      </c>
      <c r="BE409" s="106" t="str">
        <f aca="false">IF(ISNUMBER(BD409),RANK(BD409,$BD$8:$BD$507,1),"")</f>
        <v/>
      </c>
      <c r="BF409" s="106" t="str">
        <f aca="false">IF(ISBLANK($C409),"",$B409)</f>
        <v/>
      </c>
      <c r="BG409" s="106" t="str">
        <f aca="false">IF(ISBLANK($C409),"",$C409)</f>
        <v/>
      </c>
      <c r="BH409" s="106" t="str">
        <f aca="false">IF(ISBLANK($C409),"",$D409)</f>
        <v/>
      </c>
      <c r="BI409" s="107" t="str">
        <f aca="false">AW409</f>
        <v/>
      </c>
      <c r="BJ409" s="108" t="str">
        <f aca="false">AV409</f>
        <v/>
      </c>
      <c r="BK409" s="106" t="str">
        <f aca="false">IF(ISBLANK($C409),"",AY409)</f>
        <v/>
      </c>
      <c r="BL409" s="109" t="str">
        <f aca="false">IF($BC409&gt;$BB$7,"",VLOOKUP($BC409,$BE$8:$BK$507,7,FALSE()))</f>
        <v/>
      </c>
      <c r="BM409" s="110" t="str">
        <f aca="false">IF($BC409&gt;$BB$7,"",VLOOKUP($BC409,$BE$8:$BK$507,2,FALSE()))</f>
        <v/>
      </c>
      <c r="BN409" s="110" t="str">
        <f aca="false">IF($BC409&gt;$BB$7,"",VLOOKUP($BC409,$BE$8:$BK$507,3,FALSE()))</f>
        <v/>
      </c>
      <c r="BO409" s="110" t="str">
        <f aca="false">IF($BC409&gt;$BB$7,"",VLOOKUP($BC409,$BE$8:$BK$507,4,FALSE()))</f>
        <v/>
      </c>
      <c r="BP409" s="110" t="str">
        <f aca="false">IF($BC409&gt;$BB$7,"",VLOOKUP($BC409,$BE$8:$BK$507,5,FALSE()))</f>
        <v/>
      </c>
      <c r="BQ409" s="111" t="str">
        <f aca="false">IF($BC409&gt;$BB$7,"",VLOOKUP($BC409,$BE$8:$BK$507,6,FALSE()))</f>
        <v/>
      </c>
      <c r="BR409" s="54"/>
    </row>
    <row r="410" customFormat="false" ht="15.75" hidden="false" customHeight="false" outlineLevel="0" collapsed="false">
      <c r="A410" s="5"/>
      <c r="B410" s="124"/>
      <c r="C410" s="56"/>
      <c r="D410" s="57"/>
      <c r="E410" s="83"/>
      <c r="F410" s="59"/>
      <c r="G410" s="60"/>
      <c r="H410" s="61"/>
      <c r="I410" s="62"/>
      <c r="J410" s="59"/>
      <c r="K410" s="60"/>
      <c r="L410" s="61"/>
      <c r="M410" s="62"/>
      <c r="N410" s="59"/>
      <c r="O410" s="83"/>
      <c r="P410" s="64"/>
      <c r="Q410" s="66" t="str">
        <f aca="false">IF(ISBLANK($C410),"",IF(E410=Constants!$B$2, TRUE(), IF(E410=Constants!$B$3, FALSE(), TRUE())))</f>
        <v/>
      </c>
      <c r="R410" s="66" t="str">
        <f aca="false">IF(ISBLANK($C410),"",IF(F410=Constants!$B$16,Constants!$B$9,IF(F410=Constants!$B$17,Constants!$B$10,Constants!$B$8)))</f>
        <v/>
      </c>
      <c r="S410" s="66" t="str">
        <f aca="false">IF(ISBLANK($C410),"",IF(COUNTA(G410:H410)=0,"",IF(AND(OR(ISBLANK(G410),AND(ISNUMBER(G410),G410&gt;=0)),OR(ISBLANK(H410),AND(ISNUMBER(H410),H410&gt;=0))),60*IF(ISBLANK(G410),0,G410)+IF(ISBLANK(H410),0,H410),"")))</f>
        <v/>
      </c>
      <c r="T410" s="66" t="str">
        <f aca="false">IF(ISBLANK($C410),"",IF(I410=Constants!$B$2, TRUE(), IF(I410=Constants!$B$3, FALSE(), TRUE())))</f>
        <v/>
      </c>
      <c r="U410" s="66" t="str">
        <f aca="false">IF(ISBLANK($C410),"",IF(J410=Constants!$B$2, TRUE(), IF(J410=Constants!$B$3, FALSE(), TRUE())))</f>
        <v/>
      </c>
      <c r="V410" s="66" t="str">
        <f aca="false">IF(ISBLANK($C410),"",IF(COUNTA(K410:L410)=0,"",IF(AND(OR(ISBLANK(K410),AND(ISNUMBER(K410),K410&gt;=0)),OR(ISBLANK(L410),AND(ISNUMBER(L410),L410&gt;=0))),60*IF(ISBLANK(K410),0,K410)+IF(ISBLANK(L410),0,L410),"")))</f>
        <v/>
      </c>
      <c r="W410" s="66" t="str">
        <f aca="false">IF(ISBLANK($C410),"",IF(M410=Constants!$B$2, TRUE(), IF(M410=Constants!$B$3, FALSE(), TRUE())))</f>
        <v/>
      </c>
      <c r="X410" s="66" t="str">
        <f aca="false">IF(ISBLANK($C410),"",IF(N410=Constants!$B$2, TRUE(), IF(N410=Constants!$B$3, FALSE(), TRUE())))</f>
        <v/>
      </c>
      <c r="Y410" s="66" t="str">
        <f aca="false">IF(ISBLANK($C410),"",IF(O410=Constants!$B$2, TRUE(), IF(O410=Constants!$B$3, FALSE(), FALSE())))</f>
        <v/>
      </c>
      <c r="Z410" s="66" t="str">
        <f aca="false">IF(ISBLANK($C410),"",AND(S410&lt;&gt;"",Q410))</f>
        <v/>
      </c>
      <c r="AA410" s="66" t="str">
        <f aca="false">IF(ISBLANK($C410),"",AND(V410&lt;&gt;"",Q410))</f>
        <v/>
      </c>
      <c r="AB410" s="66" t="str">
        <f aca="false">IF(ISBLANK($C410),"",IF(Y410,Constants!$B$4,IF(COUNTA(E410:N410)=0,Constants!$B$5,IF(NOT(Q410),Constants!$B$6,IF(AND(NOT(Z410),NOT(AA410)),Constants!$B$6,Constants!$B$7)))))</f>
        <v/>
      </c>
      <c r="AC410" s="66" t="str">
        <f aca="false">IF(ISBLANK($C410),"",IF($AB410&lt;&gt;Constants!$B$7,$AB410,Constants!$B$20))</f>
        <v/>
      </c>
      <c r="AD410" s="66" t="str">
        <f aca="false">IF($AB410=Constants!$B$7,IF(Z410,S410,Constants!$B$13),"")</f>
        <v/>
      </c>
      <c r="AE410" s="66" t="str">
        <f aca="false">IF($AB410=Constants!$B$7,IF(Z410,R410*IF(T410, 1, Constants!$B$11)*IF(U410, 1, Constants!$B$12),Constants!$B$13),"")</f>
        <v/>
      </c>
      <c r="AF410" s="66" t="str">
        <f aca="false">IF($AB410=Constants!$B$7,AD410*AE410,"")</f>
        <v/>
      </c>
      <c r="AG410" s="66" t="str">
        <f aca="false">IF($AB410=Constants!$B$7,IF(AA410,V410,Constants!$B$13),"")</f>
        <v/>
      </c>
      <c r="AH410" s="66" t="str">
        <f aca="false">IF($AB410=Constants!$B$7,IF(AA410,R410*IF(W410, 1, Constants!$B$11)*IF(X410, 1, Constants!$B$12),Constants!$B$13),"")</f>
        <v/>
      </c>
      <c r="AI410" s="66" t="str">
        <f aca="false">IF($AB410=Constants!$B$7,AG410*AH410,"")</f>
        <v/>
      </c>
      <c r="AJ410" s="66" t="str">
        <f aca="false">IF($AB410=Constants!$B$7,IF(AI410&gt;AF410,2,1),"")</f>
        <v/>
      </c>
      <c r="AK410" s="66" t="str">
        <f aca="false">IF($AB410=Constants!$B$7,IF(AJ410=1,2,1),"")</f>
        <v/>
      </c>
      <c r="AL410" s="66" t="str">
        <f aca="false">IF(ISBLANK($C410),"",IF($AB410&lt;&gt;Constants!$B$7,$AB410,IF(AJ410=1,AF410,AI410)))</f>
        <v/>
      </c>
      <c r="AM410" s="66" t="str">
        <f aca="false">IF(ISBLANK($C410),"",IF($AB410=Constants!$B$7,IF(ISNUMBER(AL410),RANK(AL410,$AL$8:$AL$507),Constants!$B$14),$AB410))</f>
        <v/>
      </c>
      <c r="AN410" s="66" t="str">
        <f aca="false">IF(ISBLANK($C410),"",IF($AB410=Constants!$B$7,IF(AK410=1,AF410,AI410),""))</f>
        <v/>
      </c>
      <c r="AO410" s="66" t="str">
        <f aca="false">IF(ISBLANK($C410),"",IF($AB410=Constants!$B$7,RANK(AN410,$AN$8:$AN$507),$AB410))</f>
        <v/>
      </c>
      <c r="AP410" s="66" t="str">
        <f aca="false">IF(ISBLANK($C410),"",IF($AB410=Constants!$B$7,IF(ISNUMBER(AM410),COUNTIFS($AM$8:$AM$507,"&lt;"&amp;$AM410)+COUNTIFS($AM$8:$AM$507,$AM410,$AO$8:$AO$507,"&lt;"&amp;$AO410)+1,Constants!$B$14),$AB410))</f>
        <v/>
      </c>
      <c r="AQ410" s="66" t="str">
        <f aca="false">IF(ISBLANK($C410),"",IF($AB410=Constants!$B$7,IF(ISNUMBER(AM410),AM410-AP410,Constants!$B$14),$AB410))</f>
        <v/>
      </c>
      <c r="AR410" s="68"/>
      <c r="AS410" s="69" t="str">
        <f aca="false">IF(ISBLANK($C410),"",IF($AB410&lt;&gt;Constants!$B$7,"",AJ410))</f>
        <v/>
      </c>
      <c r="AT410" s="84" t="str">
        <f aca="false">IF(ISBLANK($C410),"",IF($AB410&lt;&gt;Constants!$B$7,"",IF(AJ410=1,AD410,AG410)))</f>
        <v/>
      </c>
      <c r="AU410" s="71" t="str">
        <f aca="false">IF(ISBLANK($C410),"",IF($AB410&lt;&gt;Constants!$B$7,"",IF(AJ410=1,AE410,AH410)))</f>
        <v/>
      </c>
      <c r="AV410" s="72" t="str">
        <f aca="false">IF(ISBLANK($C410),"",IF($AB410&lt;&gt;Constants!$B$7,$AB410,AL410))</f>
        <v/>
      </c>
      <c r="AW410" s="73" t="str">
        <f aca="false">IF(ISBLANK($C410),"",IF($AB410&lt;&gt;Constants!$B$7,$AB410,AC410))</f>
        <v/>
      </c>
      <c r="AX410" s="74" t="str">
        <f aca="false">IF(ISBLANK($C410),"",AQ410)</f>
        <v/>
      </c>
      <c r="AY410" s="74" t="str">
        <f aca="false">IF(ISBLANK($C410),"",AP410)</f>
        <v/>
      </c>
      <c r="AZ410" s="75" t="str">
        <f aca="false">IF(ISBLANK($C410),"",IF(AY410=Constants!$B$4,COUNTA($C$8:$C$507)+2,IF(AY410=Constants!$B$5,COUNTA($C$8:$C$507)+1,IF(AY410=Constants!$B$6,COUNTA($C$8:$C$507),AY410))))</f>
        <v/>
      </c>
      <c r="BA410" s="5"/>
      <c r="BB410" s="76" t="n">
        <f aca="false">IF(OR(ISNUMBER(AY410),AY410=Constants!$B$4,AY410=Constants!$B$6,AY410=Constants!$B$5),1,0)</f>
        <v>0</v>
      </c>
      <c r="BC410" s="76" t="n">
        <v>403</v>
      </c>
      <c r="BD410" s="76" t="str">
        <f aca="false">IF(ISBLANK($C410),"",IF(ISNUMBER(AZ410),AZ410+ROW($B410)/1000,""))</f>
        <v/>
      </c>
      <c r="BE410" s="76" t="str">
        <f aca="false">IF(ISNUMBER(BD410),RANK(BD410,$BD$8:$BD$507,1),"")</f>
        <v/>
      </c>
      <c r="BF410" s="76" t="str">
        <f aca="false">IF(ISBLANK($C410),"",$B410)</f>
        <v/>
      </c>
      <c r="BG410" s="76" t="str">
        <f aca="false">IF(ISBLANK($C410),"",$C410)</f>
        <v/>
      </c>
      <c r="BH410" s="76" t="str">
        <f aca="false">IF(ISBLANK($C410),"",$D410)</f>
        <v/>
      </c>
      <c r="BI410" s="77" t="str">
        <f aca="false">AW410</f>
        <v/>
      </c>
      <c r="BJ410" s="78" t="str">
        <f aca="false">AV410</f>
        <v/>
      </c>
      <c r="BK410" s="76" t="str">
        <f aca="false">IF(ISBLANK($C410),"",AY410)</f>
        <v/>
      </c>
      <c r="BL410" s="79" t="str">
        <f aca="false">IF($BC410&gt;$BB$7,"",VLOOKUP($BC410,$BE$8:$BK$507,7,FALSE()))</f>
        <v/>
      </c>
      <c r="BM410" s="80" t="str">
        <f aca="false">IF($BC410&gt;$BB$7,"",VLOOKUP($BC410,$BE$8:$BK$507,2,FALSE()))</f>
        <v/>
      </c>
      <c r="BN410" s="80" t="str">
        <f aca="false">IF($BC410&gt;$BB$7,"",VLOOKUP($BC410,$BE$8:$BK$507,3,FALSE()))</f>
        <v/>
      </c>
      <c r="BO410" s="80" t="str">
        <f aca="false">IF($BC410&gt;$BB$7,"",VLOOKUP($BC410,$BE$8:$BK$507,4,FALSE()))</f>
        <v/>
      </c>
      <c r="BP410" s="80" t="str">
        <f aca="false">IF($BC410&gt;$BB$7,"",VLOOKUP($BC410,$BE$8:$BK$507,5,FALSE()))</f>
        <v/>
      </c>
      <c r="BQ410" s="81" t="str">
        <f aca="false">IF($BC410&gt;$BB$7,"",VLOOKUP($BC410,$BE$8:$BK$507,6,FALSE()))</f>
        <v/>
      </c>
      <c r="BR410" s="54"/>
    </row>
    <row r="411" customFormat="false" ht="15.75" hidden="false" customHeight="false" outlineLevel="0" collapsed="false">
      <c r="A411" s="5"/>
      <c r="B411" s="124"/>
      <c r="C411" s="56"/>
      <c r="D411" s="57"/>
      <c r="E411" s="83"/>
      <c r="F411" s="59"/>
      <c r="G411" s="60"/>
      <c r="H411" s="61"/>
      <c r="I411" s="62"/>
      <c r="J411" s="59"/>
      <c r="K411" s="60"/>
      <c r="L411" s="61"/>
      <c r="M411" s="62"/>
      <c r="N411" s="59"/>
      <c r="O411" s="83"/>
      <c r="P411" s="64"/>
      <c r="Q411" s="66" t="str">
        <f aca="false">IF(ISBLANK($C411),"",IF(E411=Constants!$B$2, TRUE(), IF(E411=Constants!$B$3, FALSE(), TRUE())))</f>
        <v/>
      </c>
      <c r="R411" s="66" t="str">
        <f aca="false">IF(ISBLANK($C411),"",IF(F411=Constants!$B$16,Constants!$B$9,IF(F411=Constants!$B$17,Constants!$B$10,Constants!$B$8)))</f>
        <v/>
      </c>
      <c r="S411" s="66" t="str">
        <f aca="false">IF(ISBLANK($C411),"",IF(COUNTA(G411:H411)=0,"",IF(AND(OR(ISBLANK(G411),AND(ISNUMBER(G411),G411&gt;=0)),OR(ISBLANK(H411),AND(ISNUMBER(H411),H411&gt;=0))),60*IF(ISBLANK(G411),0,G411)+IF(ISBLANK(H411),0,H411),"")))</f>
        <v/>
      </c>
      <c r="T411" s="66" t="str">
        <f aca="false">IF(ISBLANK($C411),"",IF(I411=Constants!$B$2, TRUE(), IF(I411=Constants!$B$3, FALSE(), TRUE())))</f>
        <v/>
      </c>
      <c r="U411" s="66" t="str">
        <f aca="false">IF(ISBLANK($C411),"",IF(J411=Constants!$B$2, TRUE(), IF(J411=Constants!$B$3, FALSE(), TRUE())))</f>
        <v/>
      </c>
      <c r="V411" s="66" t="str">
        <f aca="false">IF(ISBLANK($C411),"",IF(COUNTA(K411:L411)=0,"",IF(AND(OR(ISBLANK(K411),AND(ISNUMBER(K411),K411&gt;=0)),OR(ISBLANK(L411),AND(ISNUMBER(L411),L411&gt;=0))),60*IF(ISBLANK(K411),0,K411)+IF(ISBLANK(L411),0,L411),"")))</f>
        <v/>
      </c>
      <c r="W411" s="66" t="str">
        <f aca="false">IF(ISBLANK($C411),"",IF(M411=Constants!$B$2, TRUE(), IF(M411=Constants!$B$3, FALSE(), TRUE())))</f>
        <v/>
      </c>
      <c r="X411" s="66" t="str">
        <f aca="false">IF(ISBLANK($C411),"",IF(N411=Constants!$B$2, TRUE(), IF(N411=Constants!$B$3, FALSE(), TRUE())))</f>
        <v/>
      </c>
      <c r="Y411" s="66" t="str">
        <f aca="false">IF(ISBLANK($C411),"",IF(O411=Constants!$B$2, TRUE(), IF(O411=Constants!$B$3, FALSE(), FALSE())))</f>
        <v/>
      </c>
      <c r="Z411" s="66" t="str">
        <f aca="false">IF(ISBLANK($C411),"",AND(S411&lt;&gt;"",Q411))</f>
        <v/>
      </c>
      <c r="AA411" s="66" t="str">
        <f aca="false">IF(ISBLANK($C411),"",AND(V411&lt;&gt;"",Q411))</f>
        <v/>
      </c>
      <c r="AB411" s="66" t="str">
        <f aca="false">IF(ISBLANK($C411),"",IF(Y411,Constants!$B$4,IF(COUNTA(E411:N411)=0,Constants!$B$5,IF(NOT(Q411),Constants!$B$6,IF(AND(NOT(Z411),NOT(AA411)),Constants!$B$6,Constants!$B$7)))))</f>
        <v/>
      </c>
      <c r="AC411" s="66" t="str">
        <f aca="false">IF(ISBLANK($C411),"",IF($AB411&lt;&gt;Constants!$B$7,$AB411,Constants!$B$20))</f>
        <v/>
      </c>
      <c r="AD411" s="66" t="str">
        <f aca="false">IF($AB411=Constants!$B$7,IF(Z411,S411,Constants!$B$13),"")</f>
        <v/>
      </c>
      <c r="AE411" s="66" t="str">
        <f aca="false">IF($AB411=Constants!$B$7,IF(Z411,R411*IF(T411, 1, Constants!$B$11)*IF(U411, 1, Constants!$B$12),Constants!$B$13),"")</f>
        <v/>
      </c>
      <c r="AF411" s="66" t="str">
        <f aca="false">IF($AB411=Constants!$B$7,AD411*AE411,"")</f>
        <v/>
      </c>
      <c r="AG411" s="66" t="str">
        <f aca="false">IF($AB411=Constants!$B$7,IF(AA411,V411,Constants!$B$13),"")</f>
        <v/>
      </c>
      <c r="AH411" s="66" t="str">
        <f aca="false">IF($AB411=Constants!$B$7,IF(AA411,R411*IF(W411, 1, Constants!$B$11)*IF(X411, 1, Constants!$B$12),Constants!$B$13),"")</f>
        <v/>
      </c>
      <c r="AI411" s="66" t="str">
        <f aca="false">IF($AB411=Constants!$B$7,AG411*AH411,"")</f>
        <v/>
      </c>
      <c r="AJ411" s="66" t="str">
        <f aca="false">IF($AB411=Constants!$B$7,IF(AI411&gt;AF411,2,1),"")</f>
        <v/>
      </c>
      <c r="AK411" s="66" t="str">
        <f aca="false">IF($AB411=Constants!$B$7,IF(AJ411=1,2,1),"")</f>
        <v/>
      </c>
      <c r="AL411" s="66" t="str">
        <f aca="false">IF(ISBLANK($C411),"",IF($AB411&lt;&gt;Constants!$B$7,$AB411,IF(AJ411=1,AF411,AI411)))</f>
        <v/>
      </c>
      <c r="AM411" s="66" t="str">
        <f aca="false">IF(ISBLANK($C411),"",IF($AB411=Constants!$B$7,IF(ISNUMBER(AL411),RANK(AL411,$AL$8:$AL$507),Constants!$B$14),$AB411))</f>
        <v/>
      </c>
      <c r="AN411" s="66" t="str">
        <f aca="false">IF(ISBLANK($C411),"",IF($AB411=Constants!$B$7,IF(AK411=1,AF411,AI411),""))</f>
        <v/>
      </c>
      <c r="AO411" s="66" t="str">
        <f aca="false">IF(ISBLANK($C411),"",IF($AB411=Constants!$B$7,RANK(AN411,$AN$8:$AN$507),$AB411))</f>
        <v/>
      </c>
      <c r="AP411" s="66" t="str">
        <f aca="false">IF(ISBLANK($C411),"",IF($AB411=Constants!$B$7,IF(ISNUMBER(AM411),COUNTIFS($AM$8:$AM$507,"&lt;"&amp;$AM411)+COUNTIFS($AM$8:$AM$507,$AM411,$AO$8:$AO$507,"&lt;"&amp;$AO411)+1,Constants!$B$14),$AB411))</f>
        <v/>
      </c>
      <c r="AQ411" s="66" t="str">
        <f aca="false">IF(ISBLANK($C411),"",IF($AB411=Constants!$B$7,IF(ISNUMBER(AM411),AM411-AP411,Constants!$B$14),$AB411))</f>
        <v/>
      </c>
      <c r="AR411" s="68"/>
      <c r="AS411" s="69" t="str">
        <f aca="false">IF(ISBLANK($C411),"",IF($AB411&lt;&gt;Constants!$B$7,"",AJ411))</f>
        <v/>
      </c>
      <c r="AT411" s="84" t="str">
        <f aca="false">IF(ISBLANK($C411),"",IF($AB411&lt;&gt;Constants!$B$7,"",IF(AJ411=1,AD411,AG411)))</f>
        <v/>
      </c>
      <c r="AU411" s="71" t="str">
        <f aca="false">IF(ISBLANK($C411),"",IF($AB411&lt;&gt;Constants!$B$7,"",IF(AJ411=1,AE411,AH411)))</f>
        <v/>
      </c>
      <c r="AV411" s="72" t="str">
        <f aca="false">IF(ISBLANK($C411),"",IF($AB411&lt;&gt;Constants!$B$7,$AB411,AL411))</f>
        <v/>
      </c>
      <c r="AW411" s="73" t="str">
        <f aca="false">IF(ISBLANK($C411),"",IF($AB411&lt;&gt;Constants!$B$7,$AB411,AC411))</f>
        <v/>
      </c>
      <c r="AX411" s="74" t="str">
        <f aca="false">IF(ISBLANK($C411),"",AQ411)</f>
        <v/>
      </c>
      <c r="AY411" s="74" t="str">
        <f aca="false">IF(ISBLANK($C411),"",AP411)</f>
        <v/>
      </c>
      <c r="AZ411" s="75" t="str">
        <f aca="false">IF(ISBLANK($C411),"",IF(AY411=Constants!$B$4,COUNTA($C$8:$C$507)+2,IF(AY411=Constants!$B$5,COUNTA($C$8:$C$507)+1,IF(AY411=Constants!$B$6,COUNTA($C$8:$C$507),AY411))))</f>
        <v/>
      </c>
      <c r="BA411" s="5"/>
      <c r="BB411" s="76" t="n">
        <f aca="false">IF(OR(ISNUMBER(AY411),AY411=Constants!$B$4,AY411=Constants!$B$6,AY411=Constants!$B$5),1,0)</f>
        <v>0</v>
      </c>
      <c r="BC411" s="76" t="n">
        <v>404</v>
      </c>
      <c r="BD411" s="76" t="str">
        <f aca="false">IF(ISBLANK($C411),"",IF(ISNUMBER(AZ411),AZ411+ROW($B411)/1000,""))</f>
        <v/>
      </c>
      <c r="BE411" s="76" t="str">
        <f aca="false">IF(ISNUMBER(BD411),RANK(BD411,$BD$8:$BD$507,1),"")</f>
        <v/>
      </c>
      <c r="BF411" s="76" t="str">
        <f aca="false">IF(ISBLANK($C411),"",$B411)</f>
        <v/>
      </c>
      <c r="BG411" s="76" t="str">
        <f aca="false">IF(ISBLANK($C411),"",$C411)</f>
        <v/>
      </c>
      <c r="BH411" s="76" t="str">
        <f aca="false">IF(ISBLANK($C411),"",$D411)</f>
        <v/>
      </c>
      <c r="BI411" s="77" t="str">
        <f aca="false">AW411</f>
        <v/>
      </c>
      <c r="BJ411" s="78" t="str">
        <f aca="false">AV411</f>
        <v/>
      </c>
      <c r="BK411" s="76" t="str">
        <f aca="false">IF(ISBLANK($C411),"",AY411)</f>
        <v/>
      </c>
      <c r="BL411" s="79" t="str">
        <f aca="false">IF($BC411&gt;$BB$7,"",VLOOKUP($BC411,$BE$8:$BK$507,7,FALSE()))</f>
        <v/>
      </c>
      <c r="BM411" s="80" t="str">
        <f aca="false">IF($BC411&gt;$BB$7,"",VLOOKUP($BC411,$BE$8:$BK$507,2,FALSE()))</f>
        <v/>
      </c>
      <c r="BN411" s="80" t="str">
        <f aca="false">IF($BC411&gt;$BB$7,"",VLOOKUP($BC411,$BE$8:$BK$507,3,FALSE()))</f>
        <v/>
      </c>
      <c r="BO411" s="80" t="str">
        <f aca="false">IF($BC411&gt;$BB$7,"",VLOOKUP($BC411,$BE$8:$BK$507,4,FALSE()))</f>
        <v/>
      </c>
      <c r="BP411" s="80" t="str">
        <f aca="false">IF($BC411&gt;$BB$7,"",VLOOKUP($BC411,$BE$8:$BK$507,5,FALSE()))</f>
        <v/>
      </c>
      <c r="BQ411" s="81" t="str">
        <f aca="false">IF($BC411&gt;$BB$7,"",VLOOKUP($BC411,$BE$8:$BK$507,6,FALSE()))</f>
        <v/>
      </c>
      <c r="BR411" s="54"/>
    </row>
    <row r="412" customFormat="false" ht="15.75" hidden="false" customHeight="false" outlineLevel="0" collapsed="false">
      <c r="A412" s="5"/>
      <c r="B412" s="124"/>
      <c r="C412" s="56"/>
      <c r="D412" s="57"/>
      <c r="E412" s="83"/>
      <c r="F412" s="59"/>
      <c r="G412" s="60"/>
      <c r="H412" s="61"/>
      <c r="I412" s="62"/>
      <c r="J412" s="59"/>
      <c r="K412" s="60"/>
      <c r="L412" s="61"/>
      <c r="M412" s="62"/>
      <c r="N412" s="59"/>
      <c r="O412" s="83"/>
      <c r="P412" s="64"/>
      <c r="Q412" s="66" t="str">
        <f aca="false">IF(ISBLANK($C412),"",IF(E412=Constants!$B$2, TRUE(), IF(E412=Constants!$B$3, FALSE(), TRUE())))</f>
        <v/>
      </c>
      <c r="R412" s="66" t="str">
        <f aca="false">IF(ISBLANK($C412),"",IF(F412=Constants!$B$16,Constants!$B$9,IF(F412=Constants!$B$17,Constants!$B$10,Constants!$B$8)))</f>
        <v/>
      </c>
      <c r="S412" s="66" t="str">
        <f aca="false">IF(ISBLANK($C412),"",IF(COUNTA(G412:H412)=0,"",IF(AND(OR(ISBLANK(G412),AND(ISNUMBER(G412),G412&gt;=0)),OR(ISBLANK(H412),AND(ISNUMBER(H412),H412&gt;=0))),60*IF(ISBLANK(G412),0,G412)+IF(ISBLANK(H412),0,H412),"")))</f>
        <v/>
      </c>
      <c r="T412" s="66" t="str">
        <f aca="false">IF(ISBLANK($C412),"",IF(I412=Constants!$B$2, TRUE(), IF(I412=Constants!$B$3, FALSE(), TRUE())))</f>
        <v/>
      </c>
      <c r="U412" s="66" t="str">
        <f aca="false">IF(ISBLANK($C412),"",IF(J412=Constants!$B$2, TRUE(), IF(J412=Constants!$B$3, FALSE(), TRUE())))</f>
        <v/>
      </c>
      <c r="V412" s="66" t="str">
        <f aca="false">IF(ISBLANK($C412),"",IF(COUNTA(K412:L412)=0,"",IF(AND(OR(ISBLANK(K412),AND(ISNUMBER(K412),K412&gt;=0)),OR(ISBLANK(L412),AND(ISNUMBER(L412),L412&gt;=0))),60*IF(ISBLANK(K412),0,K412)+IF(ISBLANK(L412),0,L412),"")))</f>
        <v/>
      </c>
      <c r="W412" s="66" t="str">
        <f aca="false">IF(ISBLANK($C412),"",IF(M412=Constants!$B$2, TRUE(), IF(M412=Constants!$B$3, FALSE(), TRUE())))</f>
        <v/>
      </c>
      <c r="X412" s="66" t="str">
        <f aca="false">IF(ISBLANK($C412),"",IF(N412=Constants!$B$2, TRUE(), IF(N412=Constants!$B$3, FALSE(), TRUE())))</f>
        <v/>
      </c>
      <c r="Y412" s="66" t="str">
        <f aca="false">IF(ISBLANK($C412),"",IF(O412=Constants!$B$2, TRUE(), IF(O412=Constants!$B$3, FALSE(), FALSE())))</f>
        <v/>
      </c>
      <c r="Z412" s="66" t="str">
        <f aca="false">IF(ISBLANK($C412),"",AND(S412&lt;&gt;"",Q412))</f>
        <v/>
      </c>
      <c r="AA412" s="66" t="str">
        <f aca="false">IF(ISBLANK($C412),"",AND(V412&lt;&gt;"",Q412))</f>
        <v/>
      </c>
      <c r="AB412" s="66" t="str">
        <f aca="false">IF(ISBLANK($C412),"",IF(Y412,Constants!$B$4,IF(COUNTA(E412:N412)=0,Constants!$B$5,IF(NOT(Q412),Constants!$B$6,IF(AND(NOT(Z412),NOT(AA412)),Constants!$B$6,Constants!$B$7)))))</f>
        <v/>
      </c>
      <c r="AC412" s="66" t="str">
        <f aca="false">IF(ISBLANK($C412),"",IF($AB412&lt;&gt;Constants!$B$7,$AB412,Constants!$B$20))</f>
        <v/>
      </c>
      <c r="AD412" s="66" t="str">
        <f aca="false">IF($AB412=Constants!$B$7,IF(Z412,S412,Constants!$B$13),"")</f>
        <v/>
      </c>
      <c r="AE412" s="66" t="str">
        <f aca="false">IF($AB412=Constants!$B$7,IF(Z412,R412*IF(T412, 1, Constants!$B$11)*IF(U412, 1, Constants!$B$12),Constants!$B$13),"")</f>
        <v/>
      </c>
      <c r="AF412" s="66" t="str">
        <f aca="false">IF($AB412=Constants!$B$7,AD412*AE412,"")</f>
        <v/>
      </c>
      <c r="AG412" s="66" t="str">
        <f aca="false">IF($AB412=Constants!$B$7,IF(AA412,V412,Constants!$B$13),"")</f>
        <v/>
      </c>
      <c r="AH412" s="66" t="str">
        <f aca="false">IF($AB412=Constants!$B$7,IF(AA412,R412*IF(W412, 1, Constants!$B$11)*IF(X412, 1, Constants!$B$12),Constants!$B$13),"")</f>
        <v/>
      </c>
      <c r="AI412" s="66" t="str">
        <f aca="false">IF($AB412=Constants!$B$7,AG412*AH412,"")</f>
        <v/>
      </c>
      <c r="AJ412" s="66" t="str">
        <f aca="false">IF($AB412=Constants!$B$7,IF(AI412&gt;AF412,2,1),"")</f>
        <v/>
      </c>
      <c r="AK412" s="66" t="str">
        <f aca="false">IF($AB412=Constants!$B$7,IF(AJ412=1,2,1),"")</f>
        <v/>
      </c>
      <c r="AL412" s="66" t="str">
        <f aca="false">IF(ISBLANK($C412),"",IF($AB412&lt;&gt;Constants!$B$7,$AB412,IF(AJ412=1,AF412,AI412)))</f>
        <v/>
      </c>
      <c r="AM412" s="66" t="str">
        <f aca="false">IF(ISBLANK($C412),"",IF($AB412=Constants!$B$7,IF(ISNUMBER(AL412),RANK(AL412,$AL$8:$AL$507),Constants!$B$14),$AB412))</f>
        <v/>
      </c>
      <c r="AN412" s="66" t="str">
        <f aca="false">IF(ISBLANK($C412),"",IF($AB412=Constants!$B$7,IF(AK412=1,AF412,AI412),""))</f>
        <v/>
      </c>
      <c r="AO412" s="66" t="str">
        <f aca="false">IF(ISBLANK($C412),"",IF($AB412=Constants!$B$7,RANK(AN412,$AN$8:$AN$507),$AB412))</f>
        <v/>
      </c>
      <c r="AP412" s="66" t="str">
        <f aca="false">IF(ISBLANK($C412),"",IF($AB412=Constants!$B$7,IF(ISNUMBER(AM412),COUNTIFS($AM$8:$AM$507,"&lt;"&amp;$AM412)+COUNTIFS($AM$8:$AM$507,$AM412,$AO$8:$AO$507,"&lt;"&amp;$AO412)+1,Constants!$B$14),$AB412))</f>
        <v/>
      </c>
      <c r="AQ412" s="66" t="str">
        <f aca="false">IF(ISBLANK($C412),"",IF($AB412=Constants!$B$7,IF(ISNUMBER(AM412),AM412-AP412,Constants!$B$14),$AB412))</f>
        <v/>
      </c>
      <c r="AR412" s="68"/>
      <c r="AS412" s="69" t="str">
        <f aca="false">IF(ISBLANK($C412),"",IF($AB412&lt;&gt;Constants!$B$7,"",AJ412))</f>
        <v/>
      </c>
      <c r="AT412" s="84" t="str">
        <f aca="false">IF(ISBLANK($C412),"",IF($AB412&lt;&gt;Constants!$B$7,"",IF(AJ412=1,AD412,AG412)))</f>
        <v/>
      </c>
      <c r="AU412" s="71" t="str">
        <f aca="false">IF(ISBLANK($C412),"",IF($AB412&lt;&gt;Constants!$B$7,"",IF(AJ412=1,AE412,AH412)))</f>
        <v/>
      </c>
      <c r="AV412" s="72" t="str">
        <f aca="false">IF(ISBLANK($C412),"",IF($AB412&lt;&gt;Constants!$B$7,$AB412,AL412))</f>
        <v/>
      </c>
      <c r="AW412" s="73" t="str">
        <f aca="false">IF(ISBLANK($C412),"",IF($AB412&lt;&gt;Constants!$B$7,$AB412,AC412))</f>
        <v/>
      </c>
      <c r="AX412" s="74" t="str">
        <f aca="false">IF(ISBLANK($C412),"",AQ412)</f>
        <v/>
      </c>
      <c r="AY412" s="74" t="str">
        <f aca="false">IF(ISBLANK($C412),"",AP412)</f>
        <v/>
      </c>
      <c r="AZ412" s="75" t="str">
        <f aca="false">IF(ISBLANK($C412),"",IF(AY412=Constants!$B$4,COUNTA($C$8:$C$507)+2,IF(AY412=Constants!$B$5,COUNTA($C$8:$C$507)+1,IF(AY412=Constants!$B$6,COUNTA($C$8:$C$507),AY412))))</f>
        <v/>
      </c>
      <c r="BA412" s="5"/>
      <c r="BB412" s="76" t="n">
        <f aca="false">IF(OR(ISNUMBER(AY412),AY412=Constants!$B$4,AY412=Constants!$B$6,AY412=Constants!$B$5),1,0)</f>
        <v>0</v>
      </c>
      <c r="BC412" s="76" t="n">
        <v>405</v>
      </c>
      <c r="BD412" s="76" t="str">
        <f aca="false">IF(ISBLANK($C412),"",IF(ISNUMBER(AZ412),AZ412+ROW($B412)/1000,""))</f>
        <v/>
      </c>
      <c r="BE412" s="76" t="str">
        <f aca="false">IF(ISNUMBER(BD412),RANK(BD412,$BD$8:$BD$507,1),"")</f>
        <v/>
      </c>
      <c r="BF412" s="76" t="str">
        <f aca="false">IF(ISBLANK($C412),"",$B412)</f>
        <v/>
      </c>
      <c r="BG412" s="76" t="str">
        <f aca="false">IF(ISBLANK($C412),"",$C412)</f>
        <v/>
      </c>
      <c r="BH412" s="76" t="str">
        <f aca="false">IF(ISBLANK($C412),"",$D412)</f>
        <v/>
      </c>
      <c r="BI412" s="77" t="str">
        <f aca="false">AW412</f>
        <v/>
      </c>
      <c r="BJ412" s="78" t="str">
        <f aca="false">AV412</f>
        <v/>
      </c>
      <c r="BK412" s="76" t="str">
        <f aca="false">IF(ISBLANK($C412),"",AY412)</f>
        <v/>
      </c>
      <c r="BL412" s="79" t="str">
        <f aca="false">IF($BC412&gt;$BB$7,"",VLOOKUP($BC412,$BE$8:$BK$507,7,FALSE()))</f>
        <v/>
      </c>
      <c r="BM412" s="80" t="str">
        <f aca="false">IF($BC412&gt;$BB$7,"",VLOOKUP($BC412,$BE$8:$BK$507,2,FALSE()))</f>
        <v/>
      </c>
      <c r="BN412" s="80" t="str">
        <f aca="false">IF($BC412&gt;$BB$7,"",VLOOKUP($BC412,$BE$8:$BK$507,3,FALSE()))</f>
        <v/>
      </c>
      <c r="BO412" s="80" t="str">
        <f aca="false">IF($BC412&gt;$BB$7,"",VLOOKUP($BC412,$BE$8:$BK$507,4,FALSE()))</f>
        <v/>
      </c>
      <c r="BP412" s="80" t="str">
        <f aca="false">IF($BC412&gt;$BB$7,"",VLOOKUP($BC412,$BE$8:$BK$507,5,FALSE()))</f>
        <v/>
      </c>
      <c r="BQ412" s="81" t="str">
        <f aca="false">IF($BC412&gt;$BB$7,"",VLOOKUP($BC412,$BE$8:$BK$507,6,FALSE()))</f>
        <v/>
      </c>
      <c r="BR412" s="54"/>
    </row>
    <row r="413" customFormat="false" ht="15.75" hidden="false" customHeight="false" outlineLevel="0" collapsed="false">
      <c r="A413" s="5"/>
      <c r="B413" s="120"/>
      <c r="C413" s="121"/>
      <c r="D413" s="112"/>
      <c r="E413" s="123"/>
      <c r="F413" s="91"/>
      <c r="G413" s="92"/>
      <c r="H413" s="93"/>
      <c r="I413" s="94"/>
      <c r="J413" s="91"/>
      <c r="K413" s="92"/>
      <c r="L413" s="93"/>
      <c r="M413" s="94"/>
      <c r="N413" s="91"/>
      <c r="O413" s="123"/>
      <c r="P413" s="96"/>
      <c r="Q413" s="97" t="str">
        <f aca="false">IF(ISBLANK($C413),"",IF(E413=Constants!$B$2, TRUE(), IF(E413=Constants!$B$3, FALSE(), TRUE())))</f>
        <v/>
      </c>
      <c r="R413" s="97" t="str">
        <f aca="false">IF(ISBLANK($C413),"",IF(F413=Constants!$B$16,Constants!$B$9,IF(F413=Constants!$B$17,Constants!$B$10,Constants!$B$8)))</f>
        <v/>
      </c>
      <c r="S413" s="97" t="str">
        <f aca="false">IF(ISBLANK($C413),"",IF(COUNTA(G413:H413)=0,"",IF(AND(OR(ISBLANK(G413),AND(ISNUMBER(G413),G413&gt;=0)),OR(ISBLANK(H413),AND(ISNUMBER(H413),H413&gt;=0))),60*IF(ISBLANK(G413),0,G413)+IF(ISBLANK(H413),0,H413),"")))</f>
        <v/>
      </c>
      <c r="T413" s="97" t="str">
        <f aca="false">IF(ISBLANK($C413),"",IF(I413=Constants!$B$2, TRUE(), IF(I413=Constants!$B$3, FALSE(), TRUE())))</f>
        <v/>
      </c>
      <c r="U413" s="97" t="str">
        <f aca="false">IF(ISBLANK($C413),"",IF(J413=Constants!$B$2, TRUE(), IF(J413=Constants!$B$3, FALSE(), TRUE())))</f>
        <v/>
      </c>
      <c r="V413" s="97" t="str">
        <f aca="false">IF(ISBLANK($C413),"",IF(COUNTA(K413:L413)=0,"",IF(AND(OR(ISBLANK(K413),AND(ISNUMBER(K413),K413&gt;=0)),OR(ISBLANK(L413),AND(ISNUMBER(L413),L413&gt;=0))),60*IF(ISBLANK(K413),0,K413)+IF(ISBLANK(L413),0,L413),"")))</f>
        <v/>
      </c>
      <c r="W413" s="97" t="str">
        <f aca="false">IF(ISBLANK($C413),"",IF(M413=Constants!$B$2, TRUE(), IF(M413=Constants!$B$3, FALSE(), TRUE())))</f>
        <v/>
      </c>
      <c r="X413" s="97" t="str">
        <f aca="false">IF(ISBLANK($C413),"",IF(N413=Constants!$B$2, TRUE(), IF(N413=Constants!$B$3, FALSE(), TRUE())))</f>
        <v/>
      </c>
      <c r="Y413" s="97" t="str">
        <f aca="false">IF(ISBLANK($C413),"",IF(O413=Constants!$B$2, TRUE(), IF(O413=Constants!$B$3, FALSE(), FALSE())))</f>
        <v/>
      </c>
      <c r="Z413" s="97" t="str">
        <f aca="false">IF(ISBLANK($C413),"",AND(S413&lt;&gt;"",Q413))</f>
        <v/>
      </c>
      <c r="AA413" s="97" t="str">
        <f aca="false">IF(ISBLANK($C413),"",AND(V413&lt;&gt;"",Q413))</f>
        <v/>
      </c>
      <c r="AB413" s="97" t="str">
        <f aca="false">IF(ISBLANK($C413),"",IF(Y413,Constants!$B$4,IF(COUNTA(E413:N413)=0,Constants!$B$5,IF(NOT(Q413),Constants!$B$6,IF(AND(NOT(Z413),NOT(AA413)),Constants!$B$6,Constants!$B$7)))))</f>
        <v/>
      </c>
      <c r="AC413" s="97" t="str">
        <f aca="false">IF(ISBLANK($C413),"",IF($AB413&lt;&gt;Constants!$B$7,$AB413,Constants!$B$20))</f>
        <v/>
      </c>
      <c r="AD413" s="97" t="str">
        <f aca="false">IF($AB413=Constants!$B$7,IF(Z413,S413,Constants!$B$13),"")</f>
        <v/>
      </c>
      <c r="AE413" s="97" t="str">
        <f aca="false">IF($AB413=Constants!$B$7,IF(Z413,R413*IF(T413, 1, Constants!$B$11)*IF(U413, 1, Constants!$B$12),Constants!$B$13),"")</f>
        <v/>
      </c>
      <c r="AF413" s="97" t="str">
        <f aca="false">IF($AB413=Constants!$B$7,AD413*AE413,"")</f>
        <v/>
      </c>
      <c r="AG413" s="97" t="str">
        <f aca="false">IF($AB413=Constants!$B$7,IF(AA413,V413,Constants!$B$13),"")</f>
        <v/>
      </c>
      <c r="AH413" s="97" t="str">
        <f aca="false">IF($AB413=Constants!$B$7,IF(AA413,R413*IF(W413, 1, Constants!$B$11)*IF(X413, 1, Constants!$B$12),Constants!$B$13),"")</f>
        <v/>
      </c>
      <c r="AI413" s="97" t="str">
        <f aca="false">IF($AB413=Constants!$B$7,AG413*AH413,"")</f>
        <v/>
      </c>
      <c r="AJ413" s="97" t="str">
        <f aca="false">IF($AB413=Constants!$B$7,IF(AI413&gt;AF413,2,1),"")</f>
        <v/>
      </c>
      <c r="AK413" s="97" t="str">
        <f aca="false">IF($AB413=Constants!$B$7,IF(AJ413=1,2,1),"")</f>
        <v/>
      </c>
      <c r="AL413" s="97" t="str">
        <f aca="false">IF(ISBLANK($C413),"",IF($AB413&lt;&gt;Constants!$B$7,$AB413,IF(AJ413=1,AF413,AI413)))</f>
        <v/>
      </c>
      <c r="AM413" s="97" t="str">
        <f aca="false">IF(ISBLANK($C413),"",IF($AB413=Constants!$B$7,IF(ISNUMBER(AL413),RANK(AL413,$AL$8:$AL$507),Constants!$B$14),$AB413))</f>
        <v/>
      </c>
      <c r="AN413" s="97" t="str">
        <f aca="false">IF(ISBLANK($C413),"",IF($AB413=Constants!$B$7,IF(AK413=1,AF413,AI413),""))</f>
        <v/>
      </c>
      <c r="AO413" s="97" t="str">
        <f aca="false">IF(ISBLANK($C413),"",IF($AB413=Constants!$B$7,RANK(AN413,$AN$8:$AN$507),$AB413))</f>
        <v/>
      </c>
      <c r="AP413" s="97" t="str">
        <f aca="false">IF(ISBLANK($C413),"",IF($AB413=Constants!$B$7,IF(ISNUMBER(AM413),COUNTIFS($AM$8:$AM$507,"&lt;"&amp;$AM413)+COUNTIFS($AM$8:$AM$507,$AM413,$AO$8:$AO$507,"&lt;"&amp;$AO413)+1,Constants!$B$14),$AB413))</f>
        <v/>
      </c>
      <c r="AQ413" s="97" t="str">
        <f aca="false">IF(ISBLANK($C413),"",IF($AB413=Constants!$B$7,IF(ISNUMBER(AM413),AM413-AP413,Constants!$B$14),$AB413))</f>
        <v/>
      </c>
      <c r="AR413" s="98"/>
      <c r="AS413" s="99" t="str">
        <f aca="false">IF(ISBLANK($C413),"",IF($AB413&lt;&gt;Constants!$B$7,"",AJ413))</f>
        <v/>
      </c>
      <c r="AT413" s="100" t="str">
        <f aca="false">IF(ISBLANK($C413),"",IF($AB413&lt;&gt;Constants!$B$7,"",IF(AJ413=1,AD413,AG413)))</f>
        <v/>
      </c>
      <c r="AU413" s="101" t="str">
        <f aca="false">IF(ISBLANK($C413),"",IF($AB413&lt;&gt;Constants!$B$7,"",IF(AJ413=1,AE413,AH413)))</f>
        <v/>
      </c>
      <c r="AV413" s="102" t="str">
        <f aca="false">IF(ISBLANK($C413),"",IF($AB413&lt;&gt;Constants!$B$7,$AB413,AL413))</f>
        <v/>
      </c>
      <c r="AW413" s="103" t="str">
        <f aca="false">IF(ISBLANK($C413),"",IF($AB413&lt;&gt;Constants!$B$7,$AB413,AC413))</f>
        <v/>
      </c>
      <c r="AX413" s="104" t="str">
        <f aca="false">IF(ISBLANK($C413),"",AQ413)</f>
        <v/>
      </c>
      <c r="AY413" s="104" t="str">
        <f aca="false">IF(ISBLANK($C413),"",AP413)</f>
        <v/>
      </c>
      <c r="AZ413" s="105" t="str">
        <f aca="false">IF(ISBLANK($C413),"",IF(AY413=Constants!$B$4,COUNTA($C$8:$C$507)+2,IF(AY413=Constants!$B$5,COUNTA($C$8:$C$507)+1,IF(AY413=Constants!$B$6,COUNTA($C$8:$C$507),AY413))))</f>
        <v/>
      </c>
      <c r="BA413" s="5"/>
      <c r="BB413" s="106" t="n">
        <f aca="false">IF(OR(ISNUMBER(AY413),AY413=Constants!$B$4,AY413=Constants!$B$6,AY413=Constants!$B$5),1,0)</f>
        <v>0</v>
      </c>
      <c r="BC413" s="106" t="n">
        <v>406</v>
      </c>
      <c r="BD413" s="106" t="str">
        <f aca="false">IF(ISBLANK($C413),"",IF(ISNUMBER(AZ413),AZ413+ROW($B413)/1000,""))</f>
        <v/>
      </c>
      <c r="BE413" s="106" t="str">
        <f aca="false">IF(ISNUMBER(BD413),RANK(BD413,$BD$8:$BD$507,1),"")</f>
        <v/>
      </c>
      <c r="BF413" s="106" t="str">
        <f aca="false">IF(ISBLANK($C413),"",$B413)</f>
        <v/>
      </c>
      <c r="BG413" s="106" t="str">
        <f aca="false">IF(ISBLANK($C413),"",$C413)</f>
        <v/>
      </c>
      <c r="BH413" s="106" t="str">
        <f aca="false">IF(ISBLANK($C413),"",$D413)</f>
        <v/>
      </c>
      <c r="BI413" s="107" t="str">
        <f aca="false">AW413</f>
        <v/>
      </c>
      <c r="BJ413" s="108" t="str">
        <f aca="false">AV413</f>
        <v/>
      </c>
      <c r="BK413" s="106" t="str">
        <f aca="false">IF(ISBLANK($C413),"",AY413)</f>
        <v/>
      </c>
      <c r="BL413" s="109" t="str">
        <f aca="false">IF($BC413&gt;$BB$7,"",VLOOKUP($BC413,$BE$8:$BK$507,7,FALSE()))</f>
        <v/>
      </c>
      <c r="BM413" s="110" t="str">
        <f aca="false">IF($BC413&gt;$BB$7,"",VLOOKUP($BC413,$BE$8:$BK$507,2,FALSE()))</f>
        <v/>
      </c>
      <c r="BN413" s="110" t="str">
        <f aca="false">IF($BC413&gt;$BB$7,"",VLOOKUP($BC413,$BE$8:$BK$507,3,FALSE()))</f>
        <v/>
      </c>
      <c r="BO413" s="110" t="str">
        <f aca="false">IF($BC413&gt;$BB$7,"",VLOOKUP($BC413,$BE$8:$BK$507,4,FALSE()))</f>
        <v/>
      </c>
      <c r="BP413" s="110" t="str">
        <f aca="false">IF($BC413&gt;$BB$7,"",VLOOKUP($BC413,$BE$8:$BK$507,5,FALSE()))</f>
        <v/>
      </c>
      <c r="BQ413" s="111" t="str">
        <f aca="false">IF($BC413&gt;$BB$7,"",VLOOKUP($BC413,$BE$8:$BK$507,6,FALSE()))</f>
        <v/>
      </c>
      <c r="BR413" s="54"/>
    </row>
    <row r="414" customFormat="false" ht="15.75" hidden="false" customHeight="false" outlineLevel="0" collapsed="false">
      <c r="A414" s="5"/>
      <c r="B414" s="120"/>
      <c r="C414" s="121"/>
      <c r="D414" s="112"/>
      <c r="E414" s="123"/>
      <c r="F414" s="91"/>
      <c r="G414" s="92"/>
      <c r="H414" s="93"/>
      <c r="I414" s="94"/>
      <c r="J414" s="91"/>
      <c r="K414" s="92"/>
      <c r="L414" s="93"/>
      <c r="M414" s="94"/>
      <c r="N414" s="91"/>
      <c r="O414" s="123"/>
      <c r="P414" s="96"/>
      <c r="Q414" s="97" t="str">
        <f aca="false">IF(ISBLANK($C414),"",IF(E414=Constants!$B$2, TRUE(), IF(E414=Constants!$B$3, FALSE(), TRUE())))</f>
        <v/>
      </c>
      <c r="R414" s="97" t="str">
        <f aca="false">IF(ISBLANK($C414),"",IF(F414=Constants!$B$16,Constants!$B$9,IF(F414=Constants!$B$17,Constants!$B$10,Constants!$B$8)))</f>
        <v/>
      </c>
      <c r="S414" s="97" t="str">
        <f aca="false">IF(ISBLANK($C414),"",IF(COUNTA(G414:H414)=0,"",IF(AND(OR(ISBLANK(G414),AND(ISNUMBER(G414),G414&gt;=0)),OR(ISBLANK(H414),AND(ISNUMBER(H414),H414&gt;=0))),60*IF(ISBLANK(G414),0,G414)+IF(ISBLANK(H414),0,H414),"")))</f>
        <v/>
      </c>
      <c r="T414" s="97" t="str">
        <f aca="false">IF(ISBLANK($C414),"",IF(I414=Constants!$B$2, TRUE(), IF(I414=Constants!$B$3, FALSE(), TRUE())))</f>
        <v/>
      </c>
      <c r="U414" s="97" t="str">
        <f aca="false">IF(ISBLANK($C414),"",IF(J414=Constants!$B$2, TRUE(), IF(J414=Constants!$B$3, FALSE(), TRUE())))</f>
        <v/>
      </c>
      <c r="V414" s="97" t="str">
        <f aca="false">IF(ISBLANK($C414),"",IF(COUNTA(K414:L414)=0,"",IF(AND(OR(ISBLANK(K414),AND(ISNUMBER(K414),K414&gt;=0)),OR(ISBLANK(L414),AND(ISNUMBER(L414),L414&gt;=0))),60*IF(ISBLANK(K414),0,K414)+IF(ISBLANK(L414),0,L414),"")))</f>
        <v/>
      </c>
      <c r="W414" s="97" t="str">
        <f aca="false">IF(ISBLANK($C414),"",IF(M414=Constants!$B$2, TRUE(), IF(M414=Constants!$B$3, FALSE(), TRUE())))</f>
        <v/>
      </c>
      <c r="X414" s="97" t="str">
        <f aca="false">IF(ISBLANK($C414),"",IF(N414=Constants!$B$2, TRUE(), IF(N414=Constants!$B$3, FALSE(), TRUE())))</f>
        <v/>
      </c>
      <c r="Y414" s="97" t="str">
        <f aca="false">IF(ISBLANK($C414),"",IF(O414=Constants!$B$2, TRUE(), IF(O414=Constants!$B$3, FALSE(), FALSE())))</f>
        <v/>
      </c>
      <c r="Z414" s="97" t="str">
        <f aca="false">IF(ISBLANK($C414),"",AND(S414&lt;&gt;"",Q414))</f>
        <v/>
      </c>
      <c r="AA414" s="97" t="str">
        <f aca="false">IF(ISBLANK($C414),"",AND(V414&lt;&gt;"",Q414))</f>
        <v/>
      </c>
      <c r="AB414" s="97" t="str">
        <f aca="false">IF(ISBLANK($C414),"",IF(Y414,Constants!$B$4,IF(COUNTA(E414:N414)=0,Constants!$B$5,IF(NOT(Q414),Constants!$B$6,IF(AND(NOT(Z414),NOT(AA414)),Constants!$B$6,Constants!$B$7)))))</f>
        <v/>
      </c>
      <c r="AC414" s="97" t="str">
        <f aca="false">IF(ISBLANK($C414),"",IF($AB414&lt;&gt;Constants!$B$7,$AB414,Constants!$B$20))</f>
        <v/>
      </c>
      <c r="AD414" s="97" t="str">
        <f aca="false">IF($AB414=Constants!$B$7,IF(Z414,S414,Constants!$B$13),"")</f>
        <v/>
      </c>
      <c r="AE414" s="97" t="str">
        <f aca="false">IF($AB414=Constants!$B$7,IF(Z414,R414*IF(T414, 1, Constants!$B$11)*IF(U414, 1, Constants!$B$12),Constants!$B$13),"")</f>
        <v/>
      </c>
      <c r="AF414" s="97" t="str">
        <f aca="false">IF($AB414=Constants!$B$7,AD414*AE414,"")</f>
        <v/>
      </c>
      <c r="AG414" s="97" t="str">
        <f aca="false">IF($AB414=Constants!$B$7,IF(AA414,V414,Constants!$B$13),"")</f>
        <v/>
      </c>
      <c r="AH414" s="97" t="str">
        <f aca="false">IF($AB414=Constants!$B$7,IF(AA414,R414*IF(W414, 1, Constants!$B$11)*IF(X414, 1, Constants!$B$12),Constants!$B$13),"")</f>
        <v/>
      </c>
      <c r="AI414" s="97" t="str">
        <f aca="false">IF($AB414=Constants!$B$7,AG414*AH414,"")</f>
        <v/>
      </c>
      <c r="AJ414" s="97" t="str">
        <f aca="false">IF($AB414=Constants!$B$7,IF(AI414&gt;AF414,2,1),"")</f>
        <v/>
      </c>
      <c r="AK414" s="97" t="str">
        <f aca="false">IF($AB414=Constants!$B$7,IF(AJ414=1,2,1),"")</f>
        <v/>
      </c>
      <c r="AL414" s="97" t="str">
        <f aca="false">IF(ISBLANK($C414),"",IF($AB414&lt;&gt;Constants!$B$7,$AB414,IF(AJ414=1,AF414,AI414)))</f>
        <v/>
      </c>
      <c r="AM414" s="97" t="str">
        <f aca="false">IF(ISBLANK($C414),"",IF($AB414=Constants!$B$7,IF(ISNUMBER(AL414),RANK(AL414,$AL$8:$AL$507),Constants!$B$14),$AB414))</f>
        <v/>
      </c>
      <c r="AN414" s="97" t="str">
        <f aca="false">IF(ISBLANK($C414),"",IF($AB414=Constants!$B$7,IF(AK414=1,AF414,AI414),""))</f>
        <v/>
      </c>
      <c r="AO414" s="97" t="str">
        <f aca="false">IF(ISBLANK($C414),"",IF($AB414=Constants!$B$7,RANK(AN414,$AN$8:$AN$507),$AB414))</f>
        <v/>
      </c>
      <c r="AP414" s="97" t="str">
        <f aca="false">IF(ISBLANK($C414),"",IF($AB414=Constants!$B$7,IF(ISNUMBER(AM414),COUNTIFS($AM$8:$AM$507,"&lt;"&amp;$AM414)+COUNTIFS($AM$8:$AM$507,$AM414,$AO$8:$AO$507,"&lt;"&amp;$AO414)+1,Constants!$B$14),$AB414))</f>
        <v/>
      </c>
      <c r="AQ414" s="97" t="str">
        <f aca="false">IF(ISBLANK($C414),"",IF($AB414=Constants!$B$7,IF(ISNUMBER(AM414),AM414-AP414,Constants!$B$14),$AB414))</f>
        <v/>
      </c>
      <c r="AR414" s="98"/>
      <c r="AS414" s="99" t="str">
        <f aca="false">IF(ISBLANK($C414),"",IF($AB414&lt;&gt;Constants!$B$7,"",AJ414))</f>
        <v/>
      </c>
      <c r="AT414" s="100" t="str">
        <f aca="false">IF(ISBLANK($C414),"",IF($AB414&lt;&gt;Constants!$B$7,"",IF(AJ414=1,AD414,AG414)))</f>
        <v/>
      </c>
      <c r="AU414" s="101" t="str">
        <f aca="false">IF(ISBLANK($C414),"",IF($AB414&lt;&gt;Constants!$B$7,"",IF(AJ414=1,AE414,AH414)))</f>
        <v/>
      </c>
      <c r="AV414" s="102" t="str">
        <f aca="false">IF(ISBLANK($C414),"",IF($AB414&lt;&gt;Constants!$B$7,$AB414,AL414))</f>
        <v/>
      </c>
      <c r="AW414" s="103" t="str">
        <f aca="false">IF(ISBLANK($C414),"",IF($AB414&lt;&gt;Constants!$B$7,$AB414,AC414))</f>
        <v/>
      </c>
      <c r="AX414" s="104" t="str">
        <f aca="false">IF(ISBLANK($C414),"",AQ414)</f>
        <v/>
      </c>
      <c r="AY414" s="104" t="str">
        <f aca="false">IF(ISBLANK($C414),"",AP414)</f>
        <v/>
      </c>
      <c r="AZ414" s="105" t="str">
        <f aca="false">IF(ISBLANK($C414),"",IF(AY414=Constants!$B$4,COUNTA($C$8:$C$507)+2,IF(AY414=Constants!$B$5,COUNTA($C$8:$C$507)+1,IF(AY414=Constants!$B$6,COUNTA($C$8:$C$507),AY414))))</f>
        <v/>
      </c>
      <c r="BA414" s="5"/>
      <c r="BB414" s="106" t="n">
        <f aca="false">IF(OR(ISNUMBER(AY414),AY414=Constants!$B$4,AY414=Constants!$B$6,AY414=Constants!$B$5),1,0)</f>
        <v>0</v>
      </c>
      <c r="BC414" s="106" t="n">
        <v>407</v>
      </c>
      <c r="BD414" s="106" t="str">
        <f aca="false">IF(ISBLANK($C414),"",IF(ISNUMBER(AZ414),AZ414+ROW($B414)/1000,""))</f>
        <v/>
      </c>
      <c r="BE414" s="106" t="str">
        <f aca="false">IF(ISNUMBER(BD414),RANK(BD414,$BD$8:$BD$507,1),"")</f>
        <v/>
      </c>
      <c r="BF414" s="106" t="str">
        <f aca="false">IF(ISBLANK($C414),"",$B414)</f>
        <v/>
      </c>
      <c r="BG414" s="106" t="str">
        <f aca="false">IF(ISBLANK($C414),"",$C414)</f>
        <v/>
      </c>
      <c r="BH414" s="106" t="str">
        <f aca="false">IF(ISBLANK($C414),"",$D414)</f>
        <v/>
      </c>
      <c r="BI414" s="107" t="str">
        <f aca="false">AW414</f>
        <v/>
      </c>
      <c r="BJ414" s="108" t="str">
        <f aca="false">AV414</f>
        <v/>
      </c>
      <c r="BK414" s="106" t="str">
        <f aca="false">IF(ISBLANK($C414),"",AY414)</f>
        <v/>
      </c>
      <c r="BL414" s="109" t="str">
        <f aca="false">IF($BC414&gt;$BB$7,"",VLOOKUP($BC414,$BE$8:$BK$507,7,FALSE()))</f>
        <v/>
      </c>
      <c r="BM414" s="110" t="str">
        <f aca="false">IF($BC414&gt;$BB$7,"",VLOOKUP($BC414,$BE$8:$BK$507,2,FALSE()))</f>
        <v/>
      </c>
      <c r="BN414" s="110" t="str">
        <f aca="false">IF($BC414&gt;$BB$7,"",VLOOKUP($BC414,$BE$8:$BK$507,3,FALSE()))</f>
        <v/>
      </c>
      <c r="BO414" s="110" t="str">
        <f aca="false">IF($BC414&gt;$BB$7,"",VLOOKUP($BC414,$BE$8:$BK$507,4,FALSE()))</f>
        <v/>
      </c>
      <c r="BP414" s="110" t="str">
        <f aca="false">IF($BC414&gt;$BB$7,"",VLOOKUP($BC414,$BE$8:$BK$507,5,FALSE()))</f>
        <v/>
      </c>
      <c r="BQ414" s="111" t="str">
        <f aca="false">IF($BC414&gt;$BB$7,"",VLOOKUP($BC414,$BE$8:$BK$507,6,FALSE()))</f>
        <v/>
      </c>
      <c r="BR414" s="54"/>
    </row>
    <row r="415" customFormat="false" ht="15.75" hidden="false" customHeight="false" outlineLevel="0" collapsed="false">
      <c r="A415" s="5"/>
      <c r="B415" s="120"/>
      <c r="C415" s="121"/>
      <c r="D415" s="112"/>
      <c r="E415" s="123"/>
      <c r="F415" s="91"/>
      <c r="G415" s="92"/>
      <c r="H415" s="93"/>
      <c r="I415" s="94"/>
      <c r="J415" s="91"/>
      <c r="K415" s="92"/>
      <c r="L415" s="93"/>
      <c r="M415" s="94"/>
      <c r="N415" s="91"/>
      <c r="O415" s="123"/>
      <c r="P415" s="96"/>
      <c r="Q415" s="97" t="str">
        <f aca="false">IF(ISBLANK($C415),"",IF(E415=Constants!$B$2, TRUE(), IF(E415=Constants!$B$3, FALSE(), TRUE())))</f>
        <v/>
      </c>
      <c r="R415" s="97" t="str">
        <f aca="false">IF(ISBLANK($C415),"",IF(F415=Constants!$B$16,Constants!$B$9,IF(F415=Constants!$B$17,Constants!$B$10,Constants!$B$8)))</f>
        <v/>
      </c>
      <c r="S415" s="97" t="str">
        <f aca="false">IF(ISBLANK($C415),"",IF(COUNTA(G415:H415)=0,"",IF(AND(OR(ISBLANK(G415),AND(ISNUMBER(G415),G415&gt;=0)),OR(ISBLANK(H415),AND(ISNUMBER(H415),H415&gt;=0))),60*IF(ISBLANK(G415),0,G415)+IF(ISBLANK(H415),0,H415),"")))</f>
        <v/>
      </c>
      <c r="T415" s="97" t="str">
        <f aca="false">IF(ISBLANK($C415),"",IF(I415=Constants!$B$2, TRUE(), IF(I415=Constants!$B$3, FALSE(), TRUE())))</f>
        <v/>
      </c>
      <c r="U415" s="97" t="str">
        <f aca="false">IF(ISBLANK($C415),"",IF(J415=Constants!$B$2, TRUE(), IF(J415=Constants!$B$3, FALSE(), TRUE())))</f>
        <v/>
      </c>
      <c r="V415" s="97" t="str">
        <f aca="false">IF(ISBLANK($C415),"",IF(COUNTA(K415:L415)=0,"",IF(AND(OR(ISBLANK(K415),AND(ISNUMBER(K415),K415&gt;=0)),OR(ISBLANK(L415),AND(ISNUMBER(L415),L415&gt;=0))),60*IF(ISBLANK(K415),0,K415)+IF(ISBLANK(L415),0,L415),"")))</f>
        <v/>
      </c>
      <c r="W415" s="97" t="str">
        <f aca="false">IF(ISBLANK($C415),"",IF(M415=Constants!$B$2, TRUE(), IF(M415=Constants!$B$3, FALSE(), TRUE())))</f>
        <v/>
      </c>
      <c r="X415" s="97" t="str">
        <f aca="false">IF(ISBLANK($C415),"",IF(N415=Constants!$B$2, TRUE(), IF(N415=Constants!$B$3, FALSE(), TRUE())))</f>
        <v/>
      </c>
      <c r="Y415" s="97" t="str">
        <f aca="false">IF(ISBLANK($C415),"",IF(O415=Constants!$B$2, TRUE(), IF(O415=Constants!$B$3, FALSE(), FALSE())))</f>
        <v/>
      </c>
      <c r="Z415" s="97" t="str">
        <f aca="false">IF(ISBLANK($C415),"",AND(S415&lt;&gt;"",Q415))</f>
        <v/>
      </c>
      <c r="AA415" s="97" t="str">
        <f aca="false">IF(ISBLANK($C415),"",AND(V415&lt;&gt;"",Q415))</f>
        <v/>
      </c>
      <c r="AB415" s="97" t="str">
        <f aca="false">IF(ISBLANK($C415),"",IF(Y415,Constants!$B$4,IF(COUNTA(E415:N415)=0,Constants!$B$5,IF(NOT(Q415),Constants!$B$6,IF(AND(NOT(Z415),NOT(AA415)),Constants!$B$6,Constants!$B$7)))))</f>
        <v/>
      </c>
      <c r="AC415" s="97" t="str">
        <f aca="false">IF(ISBLANK($C415),"",IF($AB415&lt;&gt;Constants!$B$7,$AB415,Constants!$B$20))</f>
        <v/>
      </c>
      <c r="AD415" s="97" t="str">
        <f aca="false">IF($AB415=Constants!$B$7,IF(Z415,S415,Constants!$B$13),"")</f>
        <v/>
      </c>
      <c r="AE415" s="97" t="str">
        <f aca="false">IF($AB415=Constants!$B$7,IF(Z415,R415*IF(T415, 1, Constants!$B$11)*IF(U415, 1, Constants!$B$12),Constants!$B$13),"")</f>
        <v/>
      </c>
      <c r="AF415" s="97" t="str">
        <f aca="false">IF($AB415=Constants!$B$7,AD415*AE415,"")</f>
        <v/>
      </c>
      <c r="AG415" s="97" t="str">
        <f aca="false">IF($AB415=Constants!$B$7,IF(AA415,V415,Constants!$B$13),"")</f>
        <v/>
      </c>
      <c r="AH415" s="97" t="str">
        <f aca="false">IF($AB415=Constants!$B$7,IF(AA415,R415*IF(W415, 1, Constants!$B$11)*IF(X415, 1, Constants!$B$12),Constants!$B$13),"")</f>
        <v/>
      </c>
      <c r="AI415" s="97" t="str">
        <f aca="false">IF($AB415=Constants!$B$7,AG415*AH415,"")</f>
        <v/>
      </c>
      <c r="AJ415" s="97" t="str">
        <f aca="false">IF($AB415=Constants!$B$7,IF(AI415&gt;AF415,2,1),"")</f>
        <v/>
      </c>
      <c r="AK415" s="97" t="str">
        <f aca="false">IF($AB415=Constants!$B$7,IF(AJ415=1,2,1),"")</f>
        <v/>
      </c>
      <c r="AL415" s="97" t="str">
        <f aca="false">IF(ISBLANK($C415),"",IF($AB415&lt;&gt;Constants!$B$7,$AB415,IF(AJ415=1,AF415,AI415)))</f>
        <v/>
      </c>
      <c r="AM415" s="97" t="str">
        <f aca="false">IF(ISBLANK($C415),"",IF($AB415=Constants!$B$7,IF(ISNUMBER(AL415),RANK(AL415,$AL$8:$AL$507),Constants!$B$14),$AB415))</f>
        <v/>
      </c>
      <c r="AN415" s="97" t="str">
        <f aca="false">IF(ISBLANK($C415),"",IF($AB415=Constants!$B$7,IF(AK415=1,AF415,AI415),""))</f>
        <v/>
      </c>
      <c r="AO415" s="97" t="str">
        <f aca="false">IF(ISBLANK($C415),"",IF($AB415=Constants!$B$7,RANK(AN415,$AN$8:$AN$507),$AB415))</f>
        <v/>
      </c>
      <c r="AP415" s="97" t="str">
        <f aca="false">IF(ISBLANK($C415),"",IF($AB415=Constants!$B$7,IF(ISNUMBER(AM415),COUNTIFS($AM$8:$AM$507,"&lt;"&amp;$AM415)+COUNTIFS($AM$8:$AM$507,$AM415,$AO$8:$AO$507,"&lt;"&amp;$AO415)+1,Constants!$B$14),$AB415))</f>
        <v/>
      </c>
      <c r="AQ415" s="97" t="str">
        <f aca="false">IF(ISBLANK($C415),"",IF($AB415=Constants!$B$7,IF(ISNUMBER(AM415),AM415-AP415,Constants!$B$14),$AB415))</f>
        <v/>
      </c>
      <c r="AR415" s="98"/>
      <c r="AS415" s="99" t="str">
        <f aca="false">IF(ISBLANK($C415),"",IF($AB415&lt;&gt;Constants!$B$7,"",AJ415))</f>
        <v/>
      </c>
      <c r="AT415" s="100" t="str">
        <f aca="false">IF(ISBLANK($C415),"",IF($AB415&lt;&gt;Constants!$B$7,"",IF(AJ415=1,AD415,AG415)))</f>
        <v/>
      </c>
      <c r="AU415" s="101" t="str">
        <f aca="false">IF(ISBLANK($C415),"",IF($AB415&lt;&gt;Constants!$B$7,"",IF(AJ415=1,AE415,AH415)))</f>
        <v/>
      </c>
      <c r="AV415" s="102" t="str">
        <f aca="false">IF(ISBLANK($C415),"",IF($AB415&lt;&gt;Constants!$B$7,$AB415,AL415))</f>
        <v/>
      </c>
      <c r="AW415" s="103" t="str">
        <f aca="false">IF(ISBLANK($C415),"",IF($AB415&lt;&gt;Constants!$B$7,$AB415,AC415))</f>
        <v/>
      </c>
      <c r="AX415" s="104" t="str">
        <f aca="false">IF(ISBLANK($C415),"",AQ415)</f>
        <v/>
      </c>
      <c r="AY415" s="104" t="str">
        <f aca="false">IF(ISBLANK($C415),"",AP415)</f>
        <v/>
      </c>
      <c r="AZ415" s="105" t="str">
        <f aca="false">IF(ISBLANK($C415),"",IF(AY415=Constants!$B$4,COUNTA($C$8:$C$507)+2,IF(AY415=Constants!$B$5,COUNTA($C$8:$C$507)+1,IF(AY415=Constants!$B$6,COUNTA($C$8:$C$507),AY415))))</f>
        <v/>
      </c>
      <c r="BA415" s="5"/>
      <c r="BB415" s="106" t="n">
        <f aca="false">IF(OR(ISNUMBER(AY415),AY415=Constants!$B$4,AY415=Constants!$B$6,AY415=Constants!$B$5),1,0)</f>
        <v>0</v>
      </c>
      <c r="BC415" s="106" t="n">
        <v>408</v>
      </c>
      <c r="BD415" s="106" t="str">
        <f aca="false">IF(ISBLANK($C415),"",IF(ISNUMBER(AZ415),AZ415+ROW($B415)/1000,""))</f>
        <v/>
      </c>
      <c r="BE415" s="106" t="str">
        <f aca="false">IF(ISNUMBER(BD415),RANK(BD415,$BD$8:$BD$507,1),"")</f>
        <v/>
      </c>
      <c r="BF415" s="106" t="str">
        <f aca="false">IF(ISBLANK($C415),"",$B415)</f>
        <v/>
      </c>
      <c r="BG415" s="106" t="str">
        <f aca="false">IF(ISBLANK($C415),"",$C415)</f>
        <v/>
      </c>
      <c r="BH415" s="106" t="str">
        <f aca="false">IF(ISBLANK($C415),"",$D415)</f>
        <v/>
      </c>
      <c r="BI415" s="107" t="str">
        <f aca="false">AW415</f>
        <v/>
      </c>
      <c r="BJ415" s="108" t="str">
        <f aca="false">AV415</f>
        <v/>
      </c>
      <c r="BK415" s="106" t="str">
        <f aca="false">IF(ISBLANK($C415),"",AY415)</f>
        <v/>
      </c>
      <c r="BL415" s="109" t="str">
        <f aca="false">IF($BC415&gt;$BB$7,"",VLOOKUP($BC415,$BE$8:$BK$507,7,FALSE()))</f>
        <v/>
      </c>
      <c r="BM415" s="110" t="str">
        <f aca="false">IF($BC415&gt;$BB$7,"",VLOOKUP($BC415,$BE$8:$BK$507,2,FALSE()))</f>
        <v/>
      </c>
      <c r="BN415" s="110" t="str">
        <f aca="false">IF($BC415&gt;$BB$7,"",VLOOKUP($BC415,$BE$8:$BK$507,3,FALSE()))</f>
        <v/>
      </c>
      <c r="BO415" s="110" t="str">
        <f aca="false">IF($BC415&gt;$BB$7,"",VLOOKUP($BC415,$BE$8:$BK$507,4,FALSE()))</f>
        <v/>
      </c>
      <c r="BP415" s="110" t="str">
        <f aca="false">IF($BC415&gt;$BB$7,"",VLOOKUP($BC415,$BE$8:$BK$507,5,FALSE()))</f>
        <v/>
      </c>
      <c r="BQ415" s="111" t="str">
        <f aca="false">IF($BC415&gt;$BB$7,"",VLOOKUP($BC415,$BE$8:$BK$507,6,FALSE()))</f>
        <v/>
      </c>
      <c r="BR415" s="54"/>
    </row>
    <row r="416" customFormat="false" ht="15.75" hidden="false" customHeight="false" outlineLevel="0" collapsed="false">
      <c r="A416" s="5"/>
      <c r="B416" s="124"/>
      <c r="C416" s="56"/>
      <c r="D416" s="57"/>
      <c r="E416" s="83"/>
      <c r="F416" s="59"/>
      <c r="G416" s="60"/>
      <c r="H416" s="61"/>
      <c r="I416" s="62"/>
      <c r="J416" s="59"/>
      <c r="K416" s="60"/>
      <c r="L416" s="61"/>
      <c r="M416" s="62"/>
      <c r="N416" s="59"/>
      <c r="O416" s="83"/>
      <c r="P416" s="64"/>
      <c r="Q416" s="66" t="str">
        <f aca="false">IF(ISBLANK($C416),"",IF(E416=Constants!$B$2, TRUE(), IF(E416=Constants!$B$3, FALSE(), TRUE())))</f>
        <v/>
      </c>
      <c r="R416" s="66" t="str">
        <f aca="false">IF(ISBLANK($C416),"",IF(F416=Constants!$B$16,Constants!$B$9,IF(F416=Constants!$B$17,Constants!$B$10,Constants!$B$8)))</f>
        <v/>
      </c>
      <c r="S416" s="66" t="str">
        <f aca="false">IF(ISBLANK($C416),"",IF(COUNTA(G416:H416)=0,"",IF(AND(OR(ISBLANK(G416),AND(ISNUMBER(G416),G416&gt;=0)),OR(ISBLANK(H416),AND(ISNUMBER(H416),H416&gt;=0))),60*IF(ISBLANK(G416),0,G416)+IF(ISBLANK(H416),0,H416),"")))</f>
        <v/>
      </c>
      <c r="T416" s="66" t="str">
        <f aca="false">IF(ISBLANK($C416),"",IF(I416=Constants!$B$2, TRUE(), IF(I416=Constants!$B$3, FALSE(), TRUE())))</f>
        <v/>
      </c>
      <c r="U416" s="66" t="str">
        <f aca="false">IF(ISBLANK($C416),"",IF(J416=Constants!$B$2, TRUE(), IF(J416=Constants!$B$3, FALSE(), TRUE())))</f>
        <v/>
      </c>
      <c r="V416" s="66" t="str">
        <f aca="false">IF(ISBLANK($C416),"",IF(COUNTA(K416:L416)=0,"",IF(AND(OR(ISBLANK(K416),AND(ISNUMBER(K416),K416&gt;=0)),OR(ISBLANK(L416),AND(ISNUMBER(L416),L416&gt;=0))),60*IF(ISBLANK(K416),0,K416)+IF(ISBLANK(L416),0,L416),"")))</f>
        <v/>
      </c>
      <c r="W416" s="66" t="str">
        <f aca="false">IF(ISBLANK($C416),"",IF(M416=Constants!$B$2, TRUE(), IF(M416=Constants!$B$3, FALSE(), TRUE())))</f>
        <v/>
      </c>
      <c r="X416" s="66" t="str">
        <f aca="false">IF(ISBLANK($C416),"",IF(N416=Constants!$B$2, TRUE(), IF(N416=Constants!$B$3, FALSE(), TRUE())))</f>
        <v/>
      </c>
      <c r="Y416" s="66" t="str">
        <f aca="false">IF(ISBLANK($C416),"",IF(O416=Constants!$B$2, TRUE(), IF(O416=Constants!$B$3, FALSE(), FALSE())))</f>
        <v/>
      </c>
      <c r="Z416" s="66" t="str">
        <f aca="false">IF(ISBLANK($C416),"",AND(S416&lt;&gt;"",Q416))</f>
        <v/>
      </c>
      <c r="AA416" s="66" t="str">
        <f aca="false">IF(ISBLANK($C416),"",AND(V416&lt;&gt;"",Q416))</f>
        <v/>
      </c>
      <c r="AB416" s="66" t="str">
        <f aca="false">IF(ISBLANK($C416),"",IF(Y416,Constants!$B$4,IF(COUNTA(E416:N416)=0,Constants!$B$5,IF(NOT(Q416),Constants!$B$6,IF(AND(NOT(Z416),NOT(AA416)),Constants!$B$6,Constants!$B$7)))))</f>
        <v/>
      </c>
      <c r="AC416" s="66" t="str">
        <f aca="false">IF(ISBLANK($C416),"",IF($AB416&lt;&gt;Constants!$B$7,$AB416,Constants!$B$20))</f>
        <v/>
      </c>
      <c r="AD416" s="66" t="str">
        <f aca="false">IF($AB416=Constants!$B$7,IF(Z416,S416,Constants!$B$13),"")</f>
        <v/>
      </c>
      <c r="AE416" s="66" t="str">
        <f aca="false">IF($AB416=Constants!$B$7,IF(Z416,R416*IF(T416, 1, Constants!$B$11)*IF(U416, 1, Constants!$B$12),Constants!$B$13),"")</f>
        <v/>
      </c>
      <c r="AF416" s="66" t="str">
        <f aca="false">IF($AB416=Constants!$B$7,AD416*AE416,"")</f>
        <v/>
      </c>
      <c r="AG416" s="66" t="str">
        <f aca="false">IF($AB416=Constants!$B$7,IF(AA416,V416,Constants!$B$13),"")</f>
        <v/>
      </c>
      <c r="AH416" s="66" t="str">
        <f aca="false">IF($AB416=Constants!$B$7,IF(AA416,R416*IF(W416, 1, Constants!$B$11)*IF(X416, 1, Constants!$B$12),Constants!$B$13),"")</f>
        <v/>
      </c>
      <c r="AI416" s="66" t="str">
        <f aca="false">IF($AB416=Constants!$B$7,AG416*AH416,"")</f>
        <v/>
      </c>
      <c r="AJ416" s="66" t="str">
        <f aca="false">IF($AB416=Constants!$B$7,IF(AI416&gt;AF416,2,1),"")</f>
        <v/>
      </c>
      <c r="AK416" s="66" t="str">
        <f aca="false">IF($AB416=Constants!$B$7,IF(AJ416=1,2,1),"")</f>
        <v/>
      </c>
      <c r="AL416" s="66" t="str">
        <f aca="false">IF(ISBLANK($C416),"",IF($AB416&lt;&gt;Constants!$B$7,$AB416,IF(AJ416=1,AF416,AI416)))</f>
        <v/>
      </c>
      <c r="AM416" s="66" t="str">
        <f aca="false">IF(ISBLANK($C416),"",IF($AB416=Constants!$B$7,IF(ISNUMBER(AL416),RANK(AL416,$AL$8:$AL$507),Constants!$B$14),$AB416))</f>
        <v/>
      </c>
      <c r="AN416" s="66" t="str">
        <f aca="false">IF(ISBLANK($C416),"",IF($AB416=Constants!$B$7,IF(AK416=1,AF416,AI416),""))</f>
        <v/>
      </c>
      <c r="AO416" s="66" t="str">
        <f aca="false">IF(ISBLANK($C416),"",IF($AB416=Constants!$B$7,RANK(AN416,$AN$8:$AN$507),$AB416))</f>
        <v/>
      </c>
      <c r="AP416" s="66" t="str">
        <f aca="false">IF(ISBLANK($C416),"",IF($AB416=Constants!$B$7,IF(ISNUMBER(AM416),COUNTIFS($AM$8:$AM$507,"&lt;"&amp;$AM416)+COUNTIFS($AM$8:$AM$507,$AM416,$AO$8:$AO$507,"&lt;"&amp;$AO416)+1,Constants!$B$14),$AB416))</f>
        <v/>
      </c>
      <c r="AQ416" s="66" t="str">
        <f aca="false">IF(ISBLANK($C416),"",IF($AB416=Constants!$B$7,IF(ISNUMBER(AM416),AM416-AP416,Constants!$B$14),$AB416))</f>
        <v/>
      </c>
      <c r="AR416" s="68"/>
      <c r="AS416" s="69" t="str">
        <f aca="false">IF(ISBLANK($C416),"",IF($AB416&lt;&gt;Constants!$B$7,"",AJ416))</f>
        <v/>
      </c>
      <c r="AT416" s="84" t="str">
        <f aca="false">IF(ISBLANK($C416),"",IF($AB416&lt;&gt;Constants!$B$7,"",IF(AJ416=1,AD416,AG416)))</f>
        <v/>
      </c>
      <c r="AU416" s="71" t="str">
        <f aca="false">IF(ISBLANK($C416),"",IF($AB416&lt;&gt;Constants!$B$7,"",IF(AJ416=1,AE416,AH416)))</f>
        <v/>
      </c>
      <c r="AV416" s="72" t="str">
        <f aca="false">IF(ISBLANK($C416),"",IF($AB416&lt;&gt;Constants!$B$7,$AB416,AL416))</f>
        <v/>
      </c>
      <c r="AW416" s="73" t="str">
        <f aca="false">IF(ISBLANK($C416),"",IF($AB416&lt;&gt;Constants!$B$7,$AB416,AC416))</f>
        <v/>
      </c>
      <c r="AX416" s="74" t="str">
        <f aca="false">IF(ISBLANK($C416),"",AQ416)</f>
        <v/>
      </c>
      <c r="AY416" s="74" t="str">
        <f aca="false">IF(ISBLANK($C416),"",AP416)</f>
        <v/>
      </c>
      <c r="AZ416" s="75" t="str">
        <f aca="false">IF(ISBLANK($C416),"",IF(AY416=Constants!$B$4,COUNTA($C$8:$C$507)+2,IF(AY416=Constants!$B$5,COUNTA($C$8:$C$507)+1,IF(AY416=Constants!$B$6,COUNTA($C$8:$C$507),AY416))))</f>
        <v/>
      </c>
      <c r="BA416" s="5"/>
      <c r="BB416" s="76" t="n">
        <f aca="false">IF(OR(ISNUMBER(AY416),AY416=Constants!$B$4,AY416=Constants!$B$6,AY416=Constants!$B$5),1,0)</f>
        <v>0</v>
      </c>
      <c r="BC416" s="76" t="n">
        <v>409</v>
      </c>
      <c r="BD416" s="76" t="str">
        <f aca="false">IF(ISBLANK($C416),"",IF(ISNUMBER(AZ416),AZ416+ROW($B416)/1000,""))</f>
        <v/>
      </c>
      <c r="BE416" s="76" t="str">
        <f aca="false">IF(ISNUMBER(BD416),RANK(BD416,$BD$8:$BD$507,1),"")</f>
        <v/>
      </c>
      <c r="BF416" s="76" t="str">
        <f aca="false">IF(ISBLANK($C416),"",$B416)</f>
        <v/>
      </c>
      <c r="BG416" s="76" t="str">
        <f aca="false">IF(ISBLANK($C416),"",$C416)</f>
        <v/>
      </c>
      <c r="BH416" s="76" t="str">
        <f aca="false">IF(ISBLANK($C416),"",$D416)</f>
        <v/>
      </c>
      <c r="BI416" s="77" t="str">
        <f aca="false">AW416</f>
        <v/>
      </c>
      <c r="BJ416" s="78" t="str">
        <f aca="false">AV416</f>
        <v/>
      </c>
      <c r="BK416" s="76" t="str">
        <f aca="false">IF(ISBLANK($C416),"",AY416)</f>
        <v/>
      </c>
      <c r="BL416" s="79" t="str">
        <f aca="false">IF($BC416&gt;$BB$7,"",VLOOKUP($BC416,$BE$8:$BK$507,7,FALSE()))</f>
        <v/>
      </c>
      <c r="BM416" s="80" t="str">
        <f aca="false">IF($BC416&gt;$BB$7,"",VLOOKUP($BC416,$BE$8:$BK$507,2,FALSE()))</f>
        <v/>
      </c>
      <c r="BN416" s="80" t="str">
        <f aca="false">IF($BC416&gt;$BB$7,"",VLOOKUP($BC416,$BE$8:$BK$507,3,FALSE()))</f>
        <v/>
      </c>
      <c r="BO416" s="80" t="str">
        <f aca="false">IF($BC416&gt;$BB$7,"",VLOOKUP($BC416,$BE$8:$BK$507,4,FALSE()))</f>
        <v/>
      </c>
      <c r="BP416" s="80" t="str">
        <f aca="false">IF($BC416&gt;$BB$7,"",VLOOKUP($BC416,$BE$8:$BK$507,5,FALSE()))</f>
        <v/>
      </c>
      <c r="BQ416" s="81" t="str">
        <f aca="false">IF($BC416&gt;$BB$7,"",VLOOKUP($BC416,$BE$8:$BK$507,6,FALSE()))</f>
        <v/>
      </c>
      <c r="BR416" s="54"/>
    </row>
    <row r="417" customFormat="false" ht="15.75" hidden="false" customHeight="false" outlineLevel="0" collapsed="false">
      <c r="A417" s="5"/>
      <c r="B417" s="124"/>
      <c r="C417" s="56"/>
      <c r="D417" s="57"/>
      <c r="E417" s="83"/>
      <c r="F417" s="59"/>
      <c r="G417" s="60"/>
      <c r="H417" s="61"/>
      <c r="I417" s="62"/>
      <c r="J417" s="59"/>
      <c r="K417" s="60"/>
      <c r="L417" s="61"/>
      <c r="M417" s="62"/>
      <c r="N417" s="59"/>
      <c r="O417" s="83"/>
      <c r="P417" s="64"/>
      <c r="Q417" s="66" t="str">
        <f aca="false">IF(ISBLANK($C417),"",IF(E417=Constants!$B$2, TRUE(), IF(E417=Constants!$B$3, FALSE(), TRUE())))</f>
        <v/>
      </c>
      <c r="R417" s="66" t="str">
        <f aca="false">IF(ISBLANK($C417),"",IF(F417=Constants!$B$16,Constants!$B$9,IF(F417=Constants!$B$17,Constants!$B$10,Constants!$B$8)))</f>
        <v/>
      </c>
      <c r="S417" s="66" t="str">
        <f aca="false">IF(ISBLANK($C417),"",IF(COUNTA(G417:H417)=0,"",IF(AND(OR(ISBLANK(G417),AND(ISNUMBER(G417),G417&gt;=0)),OR(ISBLANK(H417),AND(ISNUMBER(H417),H417&gt;=0))),60*IF(ISBLANK(G417),0,G417)+IF(ISBLANK(H417),0,H417),"")))</f>
        <v/>
      </c>
      <c r="T417" s="66" t="str">
        <f aca="false">IF(ISBLANK($C417),"",IF(I417=Constants!$B$2, TRUE(), IF(I417=Constants!$B$3, FALSE(), TRUE())))</f>
        <v/>
      </c>
      <c r="U417" s="66" t="str">
        <f aca="false">IF(ISBLANK($C417),"",IF(J417=Constants!$B$2, TRUE(), IF(J417=Constants!$B$3, FALSE(), TRUE())))</f>
        <v/>
      </c>
      <c r="V417" s="66" t="str">
        <f aca="false">IF(ISBLANK($C417),"",IF(COUNTA(K417:L417)=0,"",IF(AND(OR(ISBLANK(K417),AND(ISNUMBER(K417),K417&gt;=0)),OR(ISBLANK(L417),AND(ISNUMBER(L417),L417&gt;=0))),60*IF(ISBLANK(K417),0,K417)+IF(ISBLANK(L417),0,L417),"")))</f>
        <v/>
      </c>
      <c r="W417" s="66" t="str">
        <f aca="false">IF(ISBLANK($C417),"",IF(M417=Constants!$B$2, TRUE(), IF(M417=Constants!$B$3, FALSE(), TRUE())))</f>
        <v/>
      </c>
      <c r="X417" s="66" t="str">
        <f aca="false">IF(ISBLANK($C417),"",IF(N417=Constants!$B$2, TRUE(), IF(N417=Constants!$B$3, FALSE(), TRUE())))</f>
        <v/>
      </c>
      <c r="Y417" s="66" t="str">
        <f aca="false">IF(ISBLANK($C417),"",IF(O417=Constants!$B$2, TRUE(), IF(O417=Constants!$B$3, FALSE(), FALSE())))</f>
        <v/>
      </c>
      <c r="Z417" s="66" t="str">
        <f aca="false">IF(ISBLANK($C417),"",AND(S417&lt;&gt;"",Q417))</f>
        <v/>
      </c>
      <c r="AA417" s="66" t="str">
        <f aca="false">IF(ISBLANK($C417),"",AND(V417&lt;&gt;"",Q417))</f>
        <v/>
      </c>
      <c r="AB417" s="66" t="str">
        <f aca="false">IF(ISBLANK($C417),"",IF(Y417,Constants!$B$4,IF(COUNTA(E417:N417)=0,Constants!$B$5,IF(NOT(Q417),Constants!$B$6,IF(AND(NOT(Z417),NOT(AA417)),Constants!$B$6,Constants!$B$7)))))</f>
        <v/>
      </c>
      <c r="AC417" s="66" t="str">
        <f aca="false">IF(ISBLANK($C417),"",IF($AB417&lt;&gt;Constants!$B$7,$AB417,Constants!$B$20))</f>
        <v/>
      </c>
      <c r="AD417" s="66" t="str">
        <f aca="false">IF($AB417=Constants!$B$7,IF(Z417,S417,Constants!$B$13),"")</f>
        <v/>
      </c>
      <c r="AE417" s="66" t="str">
        <f aca="false">IF($AB417=Constants!$B$7,IF(Z417,R417*IF(T417, 1, Constants!$B$11)*IF(U417, 1, Constants!$B$12),Constants!$B$13),"")</f>
        <v/>
      </c>
      <c r="AF417" s="66" t="str">
        <f aca="false">IF($AB417=Constants!$B$7,AD417*AE417,"")</f>
        <v/>
      </c>
      <c r="AG417" s="66" t="str">
        <f aca="false">IF($AB417=Constants!$B$7,IF(AA417,V417,Constants!$B$13),"")</f>
        <v/>
      </c>
      <c r="AH417" s="66" t="str">
        <f aca="false">IF($AB417=Constants!$B$7,IF(AA417,R417*IF(W417, 1, Constants!$B$11)*IF(X417, 1, Constants!$B$12),Constants!$B$13),"")</f>
        <v/>
      </c>
      <c r="AI417" s="66" t="str">
        <f aca="false">IF($AB417=Constants!$B$7,AG417*AH417,"")</f>
        <v/>
      </c>
      <c r="AJ417" s="66" t="str">
        <f aca="false">IF($AB417=Constants!$B$7,IF(AI417&gt;AF417,2,1),"")</f>
        <v/>
      </c>
      <c r="AK417" s="66" t="str">
        <f aca="false">IF($AB417=Constants!$B$7,IF(AJ417=1,2,1),"")</f>
        <v/>
      </c>
      <c r="AL417" s="66" t="str">
        <f aca="false">IF(ISBLANK($C417),"",IF($AB417&lt;&gt;Constants!$B$7,$AB417,IF(AJ417=1,AF417,AI417)))</f>
        <v/>
      </c>
      <c r="AM417" s="66" t="str">
        <f aca="false">IF(ISBLANK($C417),"",IF($AB417=Constants!$B$7,IF(ISNUMBER(AL417),RANK(AL417,$AL$8:$AL$507),Constants!$B$14),$AB417))</f>
        <v/>
      </c>
      <c r="AN417" s="66" t="str">
        <f aca="false">IF(ISBLANK($C417),"",IF($AB417=Constants!$B$7,IF(AK417=1,AF417,AI417),""))</f>
        <v/>
      </c>
      <c r="AO417" s="66" t="str">
        <f aca="false">IF(ISBLANK($C417),"",IF($AB417=Constants!$B$7,RANK(AN417,$AN$8:$AN$507),$AB417))</f>
        <v/>
      </c>
      <c r="AP417" s="66" t="str">
        <f aca="false">IF(ISBLANK($C417),"",IF($AB417=Constants!$B$7,IF(ISNUMBER(AM417),COUNTIFS($AM$8:$AM$507,"&lt;"&amp;$AM417)+COUNTIFS($AM$8:$AM$507,$AM417,$AO$8:$AO$507,"&lt;"&amp;$AO417)+1,Constants!$B$14),$AB417))</f>
        <v/>
      </c>
      <c r="AQ417" s="66" t="str">
        <f aca="false">IF(ISBLANK($C417),"",IF($AB417=Constants!$B$7,IF(ISNUMBER(AM417),AM417-AP417,Constants!$B$14),$AB417))</f>
        <v/>
      </c>
      <c r="AR417" s="68"/>
      <c r="AS417" s="69" t="str">
        <f aca="false">IF(ISBLANK($C417),"",IF($AB417&lt;&gt;Constants!$B$7,"",AJ417))</f>
        <v/>
      </c>
      <c r="AT417" s="84" t="str">
        <f aca="false">IF(ISBLANK($C417),"",IF($AB417&lt;&gt;Constants!$B$7,"",IF(AJ417=1,AD417,AG417)))</f>
        <v/>
      </c>
      <c r="AU417" s="71" t="str">
        <f aca="false">IF(ISBLANK($C417),"",IF($AB417&lt;&gt;Constants!$B$7,"",IF(AJ417=1,AE417,AH417)))</f>
        <v/>
      </c>
      <c r="AV417" s="72" t="str">
        <f aca="false">IF(ISBLANK($C417),"",IF($AB417&lt;&gt;Constants!$B$7,$AB417,AL417))</f>
        <v/>
      </c>
      <c r="AW417" s="73" t="str">
        <f aca="false">IF(ISBLANK($C417),"",IF($AB417&lt;&gt;Constants!$B$7,$AB417,AC417))</f>
        <v/>
      </c>
      <c r="AX417" s="74" t="str">
        <f aca="false">IF(ISBLANK($C417),"",AQ417)</f>
        <v/>
      </c>
      <c r="AY417" s="74" t="str">
        <f aca="false">IF(ISBLANK($C417),"",AP417)</f>
        <v/>
      </c>
      <c r="AZ417" s="75" t="str">
        <f aca="false">IF(ISBLANK($C417),"",IF(AY417=Constants!$B$4,COUNTA($C$8:$C$507)+2,IF(AY417=Constants!$B$5,COUNTA($C$8:$C$507)+1,IF(AY417=Constants!$B$6,COUNTA($C$8:$C$507),AY417))))</f>
        <v/>
      </c>
      <c r="BA417" s="5"/>
      <c r="BB417" s="76" t="n">
        <f aca="false">IF(OR(ISNUMBER(AY417),AY417=Constants!$B$4,AY417=Constants!$B$6,AY417=Constants!$B$5),1,0)</f>
        <v>0</v>
      </c>
      <c r="BC417" s="76" t="n">
        <v>410</v>
      </c>
      <c r="BD417" s="76" t="str">
        <f aca="false">IF(ISBLANK($C417),"",IF(ISNUMBER(AZ417),AZ417+ROW($B417)/1000,""))</f>
        <v/>
      </c>
      <c r="BE417" s="76" t="str">
        <f aca="false">IF(ISNUMBER(BD417),RANK(BD417,$BD$8:$BD$507,1),"")</f>
        <v/>
      </c>
      <c r="BF417" s="76" t="str">
        <f aca="false">IF(ISBLANK($C417),"",$B417)</f>
        <v/>
      </c>
      <c r="BG417" s="76" t="str">
        <f aca="false">IF(ISBLANK($C417),"",$C417)</f>
        <v/>
      </c>
      <c r="BH417" s="76" t="str">
        <f aca="false">IF(ISBLANK($C417),"",$D417)</f>
        <v/>
      </c>
      <c r="BI417" s="77" t="str">
        <f aca="false">AW417</f>
        <v/>
      </c>
      <c r="BJ417" s="78" t="str">
        <f aca="false">AV417</f>
        <v/>
      </c>
      <c r="BK417" s="76" t="str">
        <f aca="false">IF(ISBLANK($C417),"",AY417)</f>
        <v/>
      </c>
      <c r="BL417" s="79" t="str">
        <f aca="false">IF($BC417&gt;$BB$7,"",VLOOKUP($BC417,$BE$8:$BK$507,7,FALSE()))</f>
        <v/>
      </c>
      <c r="BM417" s="80" t="str">
        <f aca="false">IF($BC417&gt;$BB$7,"",VLOOKUP($BC417,$BE$8:$BK$507,2,FALSE()))</f>
        <v/>
      </c>
      <c r="BN417" s="80" t="str">
        <f aca="false">IF($BC417&gt;$BB$7,"",VLOOKUP($BC417,$BE$8:$BK$507,3,FALSE()))</f>
        <v/>
      </c>
      <c r="BO417" s="80" t="str">
        <f aca="false">IF($BC417&gt;$BB$7,"",VLOOKUP($BC417,$BE$8:$BK$507,4,FALSE()))</f>
        <v/>
      </c>
      <c r="BP417" s="80" t="str">
        <f aca="false">IF($BC417&gt;$BB$7,"",VLOOKUP($BC417,$BE$8:$BK$507,5,FALSE()))</f>
        <v/>
      </c>
      <c r="BQ417" s="81" t="str">
        <f aca="false">IF($BC417&gt;$BB$7,"",VLOOKUP($BC417,$BE$8:$BK$507,6,FALSE()))</f>
        <v/>
      </c>
      <c r="BR417" s="54"/>
    </row>
    <row r="418" customFormat="false" ht="15.75" hidden="false" customHeight="false" outlineLevel="0" collapsed="false">
      <c r="A418" s="5"/>
      <c r="B418" s="124"/>
      <c r="C418" s="56"/>
      <c r="D418" s="57"/>
      <c r="E418" s="83"/>
      <c r="F418" s="59"/>
      <c r="G418" s="60"/>
      <c r="H418" s="61"/>
      <c r="I418" s="62"/>
      <c r="J418" s="59"/>
      <c r="K418" s="60"/>
      <c r="L418" s="61"/>
      <c r="M418" s="62"/>
      <c r="N418" s="59"/>
      <c r="O418" s="83"/>
      <c r="P418" s="64"/>
      <c r="Q418" s="66" t="str">
        <f aca="false">IF(ISBLANK($C418),"",IF(E418=Constants!$B$2, TRUE(), IF(E418=Constants!$B$3, FALSE(), TRUE())))</f>
        <v/>
      </c>
      <c r="R418" s="66" t="str">
        <f aca="false">IF(ISBLANK($C418),"",IF(F418=Constants!$B$16,Constants!$B$9,IF(F418=Constants!$B$17,Constants!$B$10,Constants!$B$8)))</f>
        <v/>
      </c>
      <c r="S418" s="66" t="str">
        <f aca="false">IF(ISBLANK($C418),"",IF(COUNTA(G418:H418)=0,"",IF(AND(OR(ISBLANK(G418),AND(ISNUMBER(G418),G418&gt;=0)),OR(ISBLANK(H418),AND(ISNUMBER(H418),H418&gt;=0))),60*IF(ISBLANK(G418),0,G418)+IF(ISBLANK(H418),0,H418),"")))</f>
        <v/>
      </c>
      <c r="T418" s="66" t="str">
        <f aca="false">IF(ISBLANK($C418),"",IF(I418=Constants!$B$2, TRUE(), IF(I418=Constants!$B$3, FALSE(), TRUE())))</f>
        <v/>
      </c>
      <c r="U418" s="66" t="str">
        <f aca="false">IF(ISBLANK($C418),"",IF(J418=Constants!$B$2, TRUE(), IF(J418=Constants!$B$3, FALSE(), TRUE())))</f>
        <v/>
      </c>
      <c r="V418" s="66" t="str">
        <f aca="false">IF(ISBLANK($C418),"",IF(COUNTA(K418:L418)=0,"",IF(AND(OR(ISBLANK(K418),AND(ISNUMBER(K418),K418&gt;=0)),OR(ISBLANK(L418),AND(ISNUMBER(L418),L418&gt;=0))),60*IF(ISBLANK(K418),0,K418)+IF(ISBLANK(L418),0,L418),"")))</f>
        <v/>
      </c>
      <c r="W418" s="66" t="str">
        <f aca="false">IF(ISBLANK($C418),"",IF(M418=Constants!$B$2, TRUE(), IF(M418=Constants!$B$3, FALSE(), TRUE())))</f>
        <v/>
      </c>
      <c r="X418" s="66" t="str">
        <f aca="false">IF(ISBLANK($C418),"",IF(N418=Constants!$B$2, TRUE(), IF(N418=Constants!$B$3, FALSE(), TRUE())))</f>
        <v/>
      </c>
      <c r="Y418" s="66" t="str">
        <f aca="false">IF(ISBLANK($C418),"",IF(O418=Constants!$B$2, TRUE(), IF(O418=Constants!$B$3, FALSE(), FALSE())))</f>
        <v/>
      </c>
      <c r="Z418" s="66" t="str">
        <f aca="false">IF(ISBLANK($C418),"",AND(S418&lt;&gt;"",Q418))</f>
        <v/>
      </c>
      <c r="AA418" s="66" t="str">
        <f aca="false">IF(ISBLANK($C418),"",AND(V418&lt;&gt;"",Q418))</f>
        <v/>
      </c>
      <c r="AB418" s="66" t="str">
        <f aca="false">IF(ISBLANK($C418),"",IF(Y418,Constants!$B$4,IF(COUNTA(E418:N418)=0,Constants!$B$5,IF(NOT(Q418),Constants!$B$6,IF(AND(NOT(Z418),NOT(AA418)),Constants!$B$6,Constants!$B$7)))))</f>
        <v/>
      </c>
      <c r="AC418" s="66" t="str">
        <f aca="false">IF(ISBLANK($C418),"",IF($AB418&lt;&gt;Constants!$B$7,$AB418,Constants!$B$20))</f>
        <v/>
      </c>
      <c r="AD418" s="66" t="str">
        <f aca="false">IF($AB418=Constants!$B$7,IF(Z418,S418,Constants!$B$13),"")</f>
        <v/>
      </c>
      <c r="AE418" s="66" t="str">
        <f aca="false">IF($AB418=Constants!$B$7,IF(Z418,R418*IF(T418, 1, Constants!$B$11)*IF(U418, 1, Constants!$B$12),Constants!$B$13),"")</f>
        <v/>
      </c>
      <c r="AF418" s="66" t="str">
        <f aca="false">IF($AB418=Constants!$B$7,AD418*AE418,"")</f>
        <v/>
      </c>
      <c r="AG418" s="66" t="str">
        <f aca="false">IF($AB418=Constants!$B$7,IF(AA418,V418,Constants!$B$13),"")</f>
        <v/>
      </c>
      <c r="AH418" s="66" t="str">
        <f aca="false">IF($AB418=Constants!$B$7,IF(AA418,R418*IF(W418, 1, Constants!$B$11)*IF(X418, 1, Constants!$B$12),Constants!$B$13),"")</f>
        <v/>
      </c>
      <c r="AI418" s="66" t="str">
        <f aca="false">IF($AB418=Constants!$B$7,AG418*AH418,"")</f>
        <v/>
      </c>
      <c r="AJ418" s="66" t="str">
        <f aca="false">IF($AB418=Constants!$B$7,IF(AI418&gt;AF418,2,1),"")</f>
        <v/>
      </c>
      <c r="AK418" s="66" t="str">
        <f aca="false">IF($AB418=Constants!$B$7,IF(AJ418=1,2,1),"")</f>
        <v/>
      </c>
      <c r="AL418" s="66" t="str">
        <f aca="false">IF(ISBLANK($C418),"",IF($AB418&lt;&gt;Constants!$B$7,$AB418,IF(AJ418=1,AF418,AI418)))</f>
        <v/>
      </c>
      <c r="AM418" s="66" t="str">
        <f aca="false">IF(ISBLANK($C418),"",IF($AB418=Constants!$B$7,IF(ISNUMBER(AL418),RANK(AL418,$AL$8:$AL$507),Constants!$B$14),$AB418))</f>
        <v/>
      </c>
      <c r="AN418" s="66" t="str">
        <f aca="false">IF(ISBLANK($C418),"",IF($AB418=Constants!$B$7,IF(AK418=1,AF418,AI418),""))</f>
        <v/>
      </c>
      <c r="AO418" s="66" t="str">
        <f aca="false">IF(ISBLANK($C418),"",IF($AB418=Constants!$B$7,RANK(AN418,$AN$8:$AN$507),$AB418))</f>
        <v/>
      </c>
      <c r="AP418" s="66" t="str">
        <f aca="false">IF(ISBLANK($C418),"",IF($AB418=Constants!$B$7,IF(ISNUMBER(AM418),COUNTIFS($AM$8:$AM$507,"&lt;"&amp;$AM418)+COUNTIFS($AM$8:$AM$507,$AM418,$AO$8:$AO$507,"&lt;"&amp;$AO418)+1,Constants!$B$14),$AB418))</f>
        <v/>
      </c>
      <c r="AQ418" s="66" t="str">
        <f aca="false">IF(ISBLANK($C418),"",IF($AB418=Constants!$B$7,IF(ISNUMBER(AM418),AM418-AP418,Constants!$B$14),$AB418))</f>
        <v/>
      </c>
      <c r="AR418" s="68"/>
      <c r="AS418" s="69" t="str">
        <f aca="false">IF(ISBLANK($C418),"",IF($AB418&lt;&gt;Constants!$B$7,"",AJ418))</f>
        <v/>
      </c>
      <c r="AT418" s="84" t="str">
        <f aca="false">IF(ISBLANK($C418),"",IF($AB418&lt;&gt;Constants!$B$7,"",IF(AJ418=1,AD418,AG418)))</f>
        <v/>
      </c>
      <c r="AU418" s="71" t="str">
        <f aca="false">IF(ISBLANK($C418),"",IF($AB418&lt;&gt;Constants!$B$7,"",IF(AJ418=1,AE418,AH418)))</f>
        <v/>
      </c>
      <c r="AV418" s="72" t="str">
        <f aca="false">IF(ISBLANK($C418),"",IF($AB418&lt;&gt;Constants!$B$7,$AB418,AL418))</f>
        <v/>
      </c>
      <c r="AW418" s="73" t="str">
        <f aca="false">IF(ISBLANK($C418),"",IF($AB418&lt;&gt;Constants!$B$7,$AB418,AC418))</f>
        <v/>
      </c>
      <c r="AX418" s="74" t="str">
        <f aca="false">IF(ISBLANK($C418),"",AQ418)</f>
        <v/>
      </c>
      <c r="AY418" s="74" t="str">
        <f aca="false">IF(ISBLANK($C418),"",AP418)</f>
        <v/>
      </c>
      <c r="AZ418" s="75" t="str">
        <f aca="false">IF(ISBLANK($C418),"",IF(AY418=Constants!$B$4,COUNTA($C$8:$C$507)+2,IF(AY418=Constants!$B$5,COUNTA($C$8:$C$507)+1,IF(AY418=Constants!$B$6,COUNTA($C$8:$C$507),AY418))))</f>
        <v/>
      </c>
      <c r="BA418" s="5"/>
      <c r="BB418" s="76" t="n">
        <f aca="false">IF(OR(ISNUMBER(AY418),AY418=Constants!$B$4,AY418=Constants!$B$6,AY418=Constants!$B$5),1,0)</f>
        <v>0</v>
      </c>
      <c r="BC418" s="76" t="n">
        <v>411</v>
      </c>
      <c r="BD418" s="76" t="str">
        <f aca="false">IF(ISBLANK($C418),"",IF(ISNUMBER(AZ418),AZ418+ROW($B418)/1000,""))</f>
        <v/>
      </c>
      <c r="BE418" s="76" t="str">
        <f aca="false">IF(ISNUMBER(BD418),RANK(BD418,$BD$8:$BD$507,1),"")</f>
        <v/>
      </c>
      <c r="BF418" s="76" t="str">
        <f aca="false">IF(ISBLANK($C418),"",$B418)</f>
        <v/>
      </c>
      <c r="BG418" s="76" t="str">
        <f aca="false">IF(ISBLANK($C418),"",$C418)</f>
        <v/>
      </c>
      <c r="BH418" s="76" t="str">
        <f aca="false">IF(ISBLANK($C418),"",$D418)</f>
        <v/>
      </c>
      <c r="BI418" s="77" t="str">
        <f aca="false">AW418</f>
        <v/>
      </c>
      <c r="BJ418" s="78" t="str">
        <f aca="false">AV418</f>
        <v/>
      </c>
      <c r="BK418" s="76" t="str">
        <f aca="false">IF(ISBLANK($C418),"",AY418)</f>
        <v/>
      </c>
      <c r="BL418" s="79" t="str">
        <f aca="false">IF($BC418&gt;$BB$7,"",VLOOKUP($BC418,$BE$8:$BK$507,7,FALSE()))</f>
        <v/>
      </c>
      <c r="BM418" s="80" t="str">
        <f aca="false">IF($BC418&gt;$BB$7,"",VLOOKUP($BC418,$BE$8:$BK$507,2,FALSE()))</f>
        <v/>
      </c>
      <c r="BN418" s="80" t="str">
        <f aca="false">IF($BC418&gt;$BB$7,"",VLOOKUP($BC418,$BE$8:$BK$507,3,FALSE()))</f>
        <v/>
      </c>
      <c r="BO418" s="80" t="str">
        <f aca="false">IF($BC418&gt;$BB$7,"",VLOOKUP($BC418,$BE$8:$BK$507,4,FALSE()))</f>
        <v/>
      </c>
      <c r="BP418" s="80" t="str">
        <f aca="false">IF($BC418&gt;$BB$7,"",VLOOKUP($BC418,$BE$8:$BK$507,5,FALSE()))</f>
        <v/>
      </c>
      <c r="BQ418" s="81" t="str">
        <f aca="false">IF($BC418&gt;$BB$7,"",VLOOKUP($BC418,$BE$8:$BK$507,6,FALSE()))</f>
        <v/>
      </c>
      <c r="BR418" s="54"/>
    </row>
    <row r="419" customFormat="false" ht="15.75" hidden="false" customHeight="false" outlineLevel="0" collapsed="false">
      <c r="A419" s="5"/>
      <c r="B419" s="120"/>
      <c r="C419" s="121"/>
      <c r="D419" s="112"/>
      <c r="E419" s="123"/>
      <c r="F419" s="91"/>
      <c r="G419" s="92"/>
      <c r="H419" s="93"/>
      <c r="I419" s="94"/>
      <c r="J419" s="91"/>
      <c r="K419" s="92"/>
      <c r="L419" s="93"/>
      <c r="M419" s="94"/>
      <c r="N419" s="91"/>
      <c r="O419" s="123"/>
      <c r="P419" s="96"/>
      <c r="Q419" s="97" t="str">
        <f aca="false">IF(ISBLANK($C419),"",IF(E419=Constants!$B$2, TRUE(), IF(E419=Constants!$B$3, FALSE(), TRUE())))</f>
        <v/>
      </c>
      <c r="R419" s="97" t="str">
        <f aca="false">IF(ISBLANK($C419),"",IF(F419=Constants!$B$16,Constants!$B$9,IF(F419=Constants!$B$17,Constants!$B$10,Constants!$B$8)))</f>
        <v/>
      </c>
      <c r="S419" s="97" t="str">
        <f aca="false">IF(ISBLANK($C419),"",IF(COUNTA(G419:H419)=0,"",IF(AND(OR(ISBLANK(G419),AND(ISNUMBER(G419),G419&gt;=0)),OR(ISBLANK(H419),AND(ISNUMBER(H419),H419&gt;=0))),60*IF(ISBLANK(G419),0,G419)+IF(ISBLANK(H419),0,H419),"")))</f>
        <v/>
      </c>
      <c r="T419" s="97" t="str">
        <f aca="false">IF(ISBLANK($C419),"",IF(I419=Constants!$B$2, TRUE(), IF(I419=Constants!$B$3, FALSE(), TRUE())))</f>
        <v/>
      </c>
      <c r="U419" s="97" t="str">
        <f aca="false">IF(ISBLANK($C419),"",IF(J419=Constants!$B$2, TRUE(), IF(J419=Constants!$B$3, FALSE(), TRUE())))</f>
        <v/>
      </c>
      <c r="V419" s="97" t="str">
        <f aca="false">IF(ISBLANK($C419),"",IF(COUNTA(K419:L419)=0,"",IF(AND(OR(ISBLANK(K419),AND(ISNUMBER(K419),K419&gt;=0)),OR(ISBLANK(L419),AND(ISNUMBER(L419),L419&gt;=0))),60*IF(ISBLANK(K419),0,K419)+IF(ISBLANK(L419),0,L419),"")))</f>
        <v/>
      </c>
      <c r="W419" s="97" t="str">
        <f aca="false">IF(ISBLANK($C419),"",IF(M419=Constants!$B$2, TRUE(), IF(M419=Constants!$B$3, FALSE(), TRUE())))</f>
        <v/>
      </c>
      <c r="X419" s="97" t="str">
        <f aca="false">IF(ISBLANK($C419),"",IF(N419=Constants!$B$2, TRUE(), IF(N419=Constants!$B$3, FALSE(), TRUE())))</f>
        <v/>
      </c>
      <c r="Y419" s="97" t="str">
        <f aca="false">IF(ISBLANK($C419),"",IF(O419=Constants!$B$2, TRUE(), IF(O419=Constants!$B$3, FALSE(), FALSE())))</f>
        <v/>
      </c>
      <c r="Z419" s="97" t="str">
        <f aca="false">IF(ISBLANK($C419),"",AND(S419&lt;&gt;"",Q419))</f>
        <v/>
      </c>
      <c r="AA419" s="97" t="str">
        <f aca="false">IF(ISBLANK($C419),"",AND(V419&lt;&gt;"",Q419))</f>
        <v/>
      </c>
      <c r="AB419" s="97" t="str">
        <f aca="false">IF(ISBLANK($C419),"",IF(Y419,Constants!$B$4,IF(COUNTA(E419:N419)=0,Constants!$B$5,IF(NOT(Q419),Constants!$B$6,IF(AND(NOT(Z419),NOT(AA419)),Constants!$B$6,Constants!$B$7)))))</f>
        <v/>
      </c>
      <c r="AC419" s="97" t="str">
        <f aca="false">IF(ISBLANK($C419),"",IF($AB419&lt;&gt;Constants!$B$7,$AB419,Constants!$B$20))</f>
        <v/>
      </c>
      <c r="AD419" s="97" t="str">
        <f aca="false">IF($AB419=Constants!$B$7,IF(Z419,S419,Constants!$B$13),"")</f>
        <v/>
      </c>
      <c r="AE419" s="97" t="str">
        <f aca="false">IF($AB419=Constants!$B$7,IF(Z419,R419*IF(T419, 1, Constants!$B$11)*IF(U419, 1, Constants!$B$12),Constants!$B$13),"")</f>
        <v/>
      </c>
      <c r="AF419" s="97" t="str">
        <f aca="false">IF($AB419=Constants!$B$7,AD419*AE419,"")</f>
        <v/>
      </c>
      <c r="AG419" s="97" t="str">
        <f aca="false">IF($AB419=Constants!$B$7,IF(AA419,V419,Constants!$B$13),"")</f>
        <v/>
      </c>
      <c r="AH419" s="97" t="str">
        <f aca="false">IF($AB419=Constants!$B$7,IF(AA419,R419*IF(W419, 1, Constants!$B$11)*IF(X419, 1, Constants!$B$12),Constants!$B$13),"")</f>
        <v/>
      </c>
      <c r="AI419" s="97" t="str">
        <f aca="false">IF($AB419=Constants!$B$7,AG419*AH419,"")</f>
        <v/>
      </c>
      <c r="AJ419" s="97" t="str">
        <f aca="false">IF($AB419=Constants!$B$7,IF(AI419&gt;AF419,2,1),"")</f>
        <v/>
      </c>
      <c r="AK419" s="97" t="str">
        <f aca="false">IF($AB419=Constants!$B$7,IF(AJ419=1,2,1),"")</f>
        <v/>
      </c>
      <c r="AL419" s="97" t="str">
        <f aca="false">IF(ISBLANK($C419),"",IF($AB419&lt;&gt;Constants!$B$7,$AB419,IF(AJ419=1,AF419,AI419)))</f>
        <v/>
      </c>
      <c r="AM419" s="97" t="str">
        <f aca="false">IF(ISBLANK($C419),"",IF($AB419=Constants!$B$7,IF(ISNUMBER(AL419),RANK(AL419,$AL$8:$AL$507),Constants!$B$14),$AB419))</f>
        <v/>
      </c>
      <c r="AN419" s="97" t="str">
        <f aca="false">IF(ISBLANK($C419),"",IF($AB419=Constants!$B$7,IF(AK419=1,AF419,AI419),""))</f>
        <v/>
      </c>
      <c r="AO419" s="97" t="str">
        <f aca="false">IF(ISBLANK($C419),"",IF($AB419=Constants!$B$7,RANK(AN419,$AN$8:$AN$507),$AB419))</f>
        <v/>
      </c>
      <c r="AP419" s="97" t="str">
        <f aca="false">IF(ISBLANK($C419),"",IF($AB419=Constants!$B$7,IF(ISNUMBER(AM419),COUNTIFS($AM$8:$AM$507,"&lt;"&amp;$AM419)+COUNTIFS($AM$8:$AM$507,$AM419,$AO$8:$AO$507,"&lt;"&amp;$AO419)+1,Constants!$B$14),$AB419))</f>
        <v/>
      </c>
      <c r="AQ419" s="97" t="str">
        <f aca="false">IF(ISBLANK($C419),"",IF($AB419=Constants!$B$7,IF(ISNUMBER(AM419),AM419-AP419,Constants!$B$14),$AB419))</f>
        <v/>
      </c>
      <c r="AR419" s="98"/>
      <c r="AS419" s="99" t="str">
        <f aca="false">IF(ISBLANK($C419),"",IF($AB419&lt;&gt;Constants!$B$7,"",AJ419))</f>
        <v/>
      </c>
      <c r="AT419" s="100" t="str">
        <f aca="false">IF(ISBLANK($C419),"",IF($AB419&lt;&gt;Constants!$B$7,"",IF(AJ419=1,AD419,AG419)))</f>
        <v/>
      </c>
      <c r="AU419" s="101" t="str">
        <f aca="false">IF(ISBLANK($C419),"",IF($AB419&lt;&gt;Constants!$B$7,"",IF(AJ419=1,AE419,AH419)))</f>
        <v/>
      </c>
      <c r="AV419" s="102" t="str">
        <f aca="false">IF(ISBLANK($C419),"",IF($AB419&lt;&gt;Constants!$B$7,$AB419,AL419))</f>
        <v/>
      </c>
      <c r="AW419" s="103" t="str">
        <f aca="false">IF(ISBLANK($C419),"",IF($AB419&lt;&gt;Constants!$B$7,$AB419,AC419))</f>
        <v/>
      </c>
      <c r="AX419" s="104" t="str">
        <f aca="false">IF(ISBLANK($C419),"",AQ419)</f>
        <v/>
      </c>
      <c r="AY419" s="104" t="str">
        <f aca="false">IF(ISBLANK($C419),"",AP419)</f>
        <v/>
      </c>
      <c r="AZ419" s="105" t="str">
        <f aca="false">IF(ISBLANK($C419),"",IF(AY419=Constants!$B$4,COUNTA($C$8:$C$507)+2,IF(AY419=Constants!$B$5,COUNTA($C$8:$C$507)+1,IF(AY419=Constants!$B$6,COUNTA($C$8:$C$507),AY419))))</f>
        <v/>
      </c>
      <c r="BA419" s="5"/>
      <c r="BB419" s="106" t="n">
        <f aca="false">IF(OR(ISNUMBER(AY419),AY419=Constants!$B$4,AY419=Constants!$B$6,AY419=Constants!$B$5),1,0)</f>
        <v>0</v>
      </c>
      <c r="BC419" s="106" t="n">
        <v>412</v>
      </c>
      <c r="BD419" s="106" t="str">
        <f aca="false">IF(ISBLANK($C419),"",IF(ISNUMBER(AZ419),AZ419+ROW($B419)/1000,""))</f>
        <v/>
      </c>
      <c r="BE419" s="106" t="str">
        <f aca="false">IF(ISNUMBER(BD419),RANK(BD419,$BD$8:$BD$507,1),"")</f>
        <v/>
      </c>
      <c r="BF419" s="106" t="str">
        <f aca="false">IF(ISBLANK($C419),"",$B419)</f>
        <v/>
      </c>
      <c r="BG419" s="106" t="str">
        <f aca="false">IF(ISBLANK($C419),"",$C419)</f>
        <v/>
      </c>
      <c r="BH419" s="106" t="str">
        <f aca="false">IF(ISBLANK($C419),"",$D419)</f>
        <v/>
      </c>
      <c r="BI419" s="107" t="str">
        <f aca="false">AW419</f>
        <v/>
      </c>
      <c r="BJ419" s="108" t="str">
        <f aca="false">AV419</f>
        <v/>
      </c>
      <c r="BK419" s="106" t="str">
        <f aca="false">IF(ISBLANK($C419),"",AY419)</f>
        <v/>
      </c>
      <c r="BL419" s="109" t="str">
        <f aca="false">IF($BC419&gt;$BB$7,"",VLOOKUP($BC419,$BE$8:$BK$507,7,FALSE()))</f>
        <v/>
      </c>
      <c r="BM419" s="110" t="str">
        <f aca="false">IF($BC419&gt;$BB$7,"",VLOOKUP($BC419,$BE$8:$BK$507,2,FALSE()))</f>
        <v/>
      </c>
      <c r="BN419" s="110" t="str">
        <f aca="false">IF($BC419&gt;$BB$7,"",VLOOKUP($BC419,$BE$8:$BK$507,3,FALSE()))</f>
        <v/>
      </c>
      <c r="BO419" s="110" t="str">
        <f aca="false">IF($BC419&gt;$BB$7,"",VLOOKUP($BC419,$BE$8:$BK$507,4,FALSE()))</f>
        <v/>
      </c>
      <c r="BP419" s="110" t="str">
        <f aca="false">IF($BC419&gt;$BB$7,"",VLOOKUP($BC419,$BE$8:$BK$507,5,FALSE()))</f>
        <v/>
      </c>
      <c r="BQ419" s="111" t="str">
        <f aca="false">IF($BC419&gt;$BB$7,"",VLOOKUP($BC419,$BE$8:$BK$507,6,FALSE()))</f>
        <v/>
      </c>
      <c r="BR419" s="54"/>
    </row>
    <row r="420" customFormat="false" ht="15.75" hidden="false" customHeight="false" outlineLevel="0" collapsed="false">
      <c r="A420" s="5"/>
      <c r="B420" s="120"/>
      <c r="C420" s="121"/>
      <c r="D420" s="112"/>
      <c r="E420" s="123"/>
      <c r="F420" s="91"/>
      <c r="G420" s="92"/>
      <c r="H420" s="93"/>
      <c r="I420" s="94"/>
      <c r="J420" s="91"/>
      <c r="K420" s="92"/>
      <c r="L420" s="93"/>
      <c r="M420" s="94"/>
      <c r="N420" s="91"/>
      <c r="O420" s="123"/>
      <c r="P420" s="96"/>
      <c r="Q420" s="97" t="str">
        <f aca="false">IF(ISBLANK($C420),"",IF(E420=Constants!$B$2, TRUE(), IF(E420=Constants!$B$3, FALSE(), TRUE())))</f>
        <v/>
      </c>
      <c r="R420" s="97" t="str">
        <f aca="false">IF(ISBLANK($C420),"",IF(F420=Constants!$B$16,Constants!$B$9,IF(F420=Constants!$B$17,Constants!$B$10,Constants!$B$8)))</f>
        <v/>
      </c>
      <c r="S420" s="97" t="str">
        <f aca="false">IF(ISBLANK($C420),"",IF(COUNTA(G420:H420)=0,"",IF(AND(OR(ISBLANK(G420),AND(ISNUMBER(G420),G420&gt;=0)),OR(ISBLANK(H420),AND(ISNUMBER(H420),H420&gt;=0))),60*IF(ISBLANK(G420),0,G420)+IF(ISBLANK(H420),0,H420),"")))</f>
        <v/>
      </c>
      <c r="T420" s="97" t="str">
        <f aca="false">IF(ISBLANK($C420),"",IF(I420=Constants!$B$2, TRUE(), IF(I420=Constants!$B$3, FALSE(), TRUE())))</f>
        <v/>
      </c>
      <c r="U420" s="97" t="str">
        <f aca="false">IF(ISBLANK($C420),"",IF(J420=Constants!$B$2, TRUE(), IF(J420=Constants!$B$3, FALSE(), TRUE())))</f>
        <v/>
      </c>
      <c r="V420" s="97" t="str">
        <f aca="false">IF(ISBLANK($C420),"",IF(COUNTA(K420:L420)=0,"",IF(AND(OR(ISBLANK(K420),AND(ISNUMBER(K420),K420&gt;=0)),OR(ISBLANK(L420),AND(ISNUMBER(L420),L420&gt;=0))),60*IF(ISBLANK(K420),0,K420)+IF(ISBLANK(L420),0,L420),"")))</f>
        <v/>
      </c>
      <c r="W420" s="97" t="str">
        <f aca="false">IF(ISBLANK($C420),"",IF(M420=Constants!$B$2, TRUE(), IF(M420=Constants!$B$3, FALSE(), TRUE())))</f>
        <v/>
      </c>
      <c r="X420" s="97" t="str">
        <f aca="false">IF(ISBLANK($C420),"",IF(N420=Constants!$B$2, TRUE(), IF(N420=Constants!$B$3, FALSE(), TRUE())))</f>
        <v/>
      </c>
      <c r="Y420" s="97" t="str">
        <f aca="false">IF(ISBLANK($C420),"",IF(O420=Constants!$B$2, TRUE(), IF(O420=Constants!$B$3, FALSE(), FALSE())))</f>
        <v/>
      </c>
      <c r="Z420" s="97" t="str">
        <f aca="false">IF(ISBLANK($C420),"",AND(S420&lt;&gt;"",Q420))</f>
        <v/>
      </c>
      <c r="AA420" s="97" t="str">
        <f aca="false">IF(ISBLANK($C420),"",AND(V420&lt;&gt;"",Q420))</f>
        <v/>
      </c>
      <c r="AB420" s="97" t="str">
        <f aca="false">IF(ISBLANK($C420),"",IF(Y420,Constants!$B$4,IF(COUNTA(E420:N420)=0,Constants!$B$5,IF(NOT(Q420),Constants!$B$6,IF(AND(NOT(Z420),NOT(AA420)),Constants!$B$6,Constants!$B$7)))))</f>
        <v/>
      </c>
      <c r="AC420" s="97" t="str">
        <f aca="false">IF(ISBLANK($C420),"",IF($AB420&lt;&gt;Constants!$B$7,$AB420,Constants!$B$20))</f>
        <v/>
      </c>
      <c r="AD420" s="97" t="str">
        <f aca="false">IF($AB420=Constants!$B$7,IF(Z420,S420,Constants!$B$13),"")</f>
        <v/>
      </c>
      <c r="AE420" s="97" t="str">
        <f aca="false">IF($AB420=Constants!$B$7,IF(Z420,R420*IF(T420, 1, Constants!$B$11)*IF(U420, 1, Constants!$B$12),Constants!$B$13),"")</f>
        <v/>
      </c>
      <c r="AF420" s="97" t="str">
        <f aca="false">IF($AB420=Constants!$B$7,AD420*AE420,"")</f>
        <v/>
      </c>
      <c r="AG420" s="97" t="str">
        <f aca="false">IF($AB420=Constants!$B$7,IF(AA420,V420,Constants!$B$13),"")</f>
        <v/>
      </c>
      <c r="AH420" s="97" t="str">
        <f aca="false">IF($AB420=Constants!$B$7,IF(AA420,R420*IF(W420, 1, Constants!$B$11)*IF(X420, 1, Constants!$B$12),Constants!$B$13),"")</f>
        <v/>
      </c>
      <c r="AI420" s="97" t="str">
        <f aca="false">IF($AB420=Constants!$B$7,AG420*AH420,"")</f>
        <v/>
      </c>
      <c r="AJ420" s="97" t="str">
        <f aca="false">IF($AB420=Constants!$B$7,IF(AI420&gt;AF420,2,1),"")</f>
        <v/>
      </c>
      <c r="AK420" s="97" t="str">
        <f aca="false">IF($AB420=Constants!$B$7,IF(AJ420=1,2,1),"")</f>
        <v/>
      </c>
      <c r="AL420" s="97" t="str">
        <f aca="false">IF(ISBLANK($C420),"",IF($AB420&lt;&gt;Constants!$B$7,$AB420,IF(AJ420=1,AF420,AI420)))</f>
        <v/>
      </c>
      <c r="AM420" s="97" t="str">
        <f aca="false">IF(ISBLANK($C420),"",IF($AB420=Constants!$B$7,IF(ISNUMBER(AL420),RANK(AL420,$AL$8:$AL$507),Constants!$B$14),$AB420))</f>
        <v/>
      </c>
      <c r="AN420" s="97" t="str">
        <f aca="false">IF(ISBLANK($C420),"",IF($AB420=Constants!$B$7,IF(AK420=1,AF420,AI420),""))</f>
        <v/>
      </c>
      <c r="AO420" s="97" t="str">
        <f aca="false">IF(ISBLANK($C420),"",IF($AB420=Constants!$B$7,RANK(AN420,$AN$8:$AN$507),$AB420))</f>
        <v/>
      </c>
      <c r="AP420" s="97" t="str">
        <f aca="false">IF(ISBLANK($C420),"",IF($AB420=Constants!$B$7,IF(ISNUMBER(AM420),COUNTIFS($AM$8:$AM$507,"&lt;"&amp;$AM420)+COUNTIFS($AM$8:$AM$507,$AM420,$AO$8:$AO$507,"&lt;"&amp;$AO420)+1,Constants!$B$14),$AB420))</f>
        <v/>
      </c>
      <c r="AQ420" s="97" t="str">
        <f aca="false">IF(ISBLANK($C420),"",IF($AB420=Constants!$B$7,IF(ISNUMBER(AM420),AM420-AP420,Constants!$B$14),$AB420))</f>
        <v/>
      </c>
      <c r="AR420" s="98"/>
      <c r="AS420" s="99" t="str">
        <f aca="false">IF(ISBLANK($C420),"",IF($AB420&lt;&gt;Constants!$B$7,"",AJ420))</f>
        <v/>
      </c>
      <c r="AT420" s="100" t="str">
        <f aca="false">IF(ISBLANK($C420),"",IF($AB420&lt;&gt;Constants!$B$7,"",IF(AJ420=1,AD420,AG420)))</f>
        <v/>
      </c>
      <c r="AU420" s="101" t="str">
        <f aca="false">IF(ISBLANK($C420),"",IF($AB420&lt;&gt;Constants!$B$7,"",IF(AJ420=1,AE420,AH420)))</f>
        <v/>
      </c>
      <c r="AV420" s="102" t="str">
        <f aca="false">IF(ISBLANK($C420),"",IF($AB420&lt;&gt;Constants!$B$7,$AB420,AL420))</f>
        <v/>
      </c>
      <c r="AW420" s="103" t="str">
        <f aca="false">IF(ISBLANK($C420),"",IF($AB420&lt;&gt;Constants!$B$7,$AB420,AC420))</f>
        <v/>
      </c>
      <c r="AX420" s="104" t="str">
        <f aca="false">IF(ISBLANK($C420),"",AQ420)</f>
        <v/>
      </c>
      <c r="AY420" s="104" t="str">
        <f aca="false">IF(ISBLANK($C420),"",AP420)</f>
        <v/>
      </c>
      <c r="AZ420" s="105" t="str">
        <f aca="false">IF(ISBLANK($C420),"",IF(AY420=Constants!$B$4,COUNTA($C$8:$C$507)+2,IF(AY420=Constants!$B$5,COUNTA($C$8:$C$507)+1,IF(AY420=Constants!$B$6,COUNTA($C$8:$C$507),AY420))))</f>
        <v/>
      </c>
      <c r="BA420" s="5"/>
      <c r="BB420" s="106" t="n">
        <f aca="false">IF(OR(ISNUMBER(AY420),AY420=Constants!$B$4,AY420=Constants!$B$6,AY420=Constants!$B$5),1,0)</f>
        <v>0</v>
      </c>
      <c r="BC420" s="106" t="n">
        <v>413</v>
      </c>
      <c r="BD420" s="106" t="str">
        <f aca="false">IF(ISBLANK($C420),"",IF(ISNUMBER(AZ420),AZ420+ROW($B420)/1000,""))</f>
        <v/>
      </c>
      <c r="BE420" s="106" t="str">
        <f aca="false">IF(ISNUMBER(BD420),RANK(BD420,$BD$8:$BD$507,1),"")</f>
        <v/>
      </c>
      <c r="BF420" s="106" t="str">
        <f aca="false">IF(ISBLANK($C420),"",$B420)</f>
        <v/>
      </c>
      <c r="BG420" s="106" t="str">
        <f aca="false">IF(ISBLANK($C420),"",$C420)</f>
        <v/>
      </c>
      <c r="BH420" s="106" t="str">
        <f aca="false">IF(ISBLANK($C420),"",$D420)</f>
        <v/>
      </c>
      <c r="BI420" s="107" t="str">
        <f aca="false">AW420</f>
        <v/>
      </c>
      <c r="BJ420" s="108" t="str">
        <f aca="false">AV420</f>
        <v/>
      </c>
      <c r="BK420" s="106" t="str">
        <f aca="false">IF(ISBLANK($C420),"",AY420)</f>
        <v/>
      </c>
      <c r="BL420" s="109" t="str">
        <f aca="false">IF($BC420&gt;$BB$7,"",VLOOKUP($BC420,$BE$8:$BK$507,7,FALSE()))</f>
        <v/>
      </c>
      <c r="BM420" s="110" t="str">
        <f aca="false">IF($BC420&gt;$BB$7,"",VLOOKUP($BC420,$BE$8:$BK$507,2,FALSE()))</f>
        <v/>
      </c>
      <c r="BN420" s="110" t="str">
        <f aca="false">IF($BC420&gt;$BB$7,"",VLOOKUP($BC420,$BE$8:$BK$507,3,FALSE()))</f>
        <v/>
      </c>
      <c r="BO420" s="110" t="str">
        <f aca="false">IF($BC420&gt;$BB$7,"",VLOOKUP($BC420,$BE$8:$BK$507,4,FALSE()))</f>
        <v/>
      </c>
      <c r="BP420" s="110" t="str">
        <f aca="false">IF($BC420&gt;$BB$7,"",VLOOKUP($BC420,$BE$8:$BK$507,5,FALSE()))</f>
        <v/>
      </c>
      <c r="BQ420" s="111" t="str">
        <f aca="false">IF($BC420&gt;$BB$7,"",VLOOKUP($BC420,$BE$8:$BK$507,6,FALSE()))</f>
        <v/>
      </c>
      <c r="BR420" s="54"/>
    </row>
    <row r="421" customFormat="false" ht="15.75" hidden="false" customHeight="false" outlineLevel="0" collapsed="false">
      <c r="A421" s="5"/>
      <c r="B421" s="120"/>
      <c r="C421" s="121"/>
      <c r="D421" s="112"/>
      <c r="E421" s="123"/>
      <c r="F421" s="91"/>
      <c r="G421" s="92"/>
      <c r="H421" s="93"/>
      <c r="I421" s="94"/>
      <c r="J421" s="91"/>
      <c r="K421" s="92"/>
      <c r="L421" s="93"/>
      <c r="M421" s="94"/>
      <c r="N421" s="91"/>
      <c r="O421" s="123"/>
      <c r="P421" s="96"/>
      <c r="Q421" s="97" t="str">
        <f aca="false">IF(ISBLANK($C421),"",IF(E421=Constants!$B$2, TRUE(), IF(E421=Constants!$B$3, FALSE(), TRUE())))</f>
        <v/>
      </c>
      <c r="R421" s="97" t="str">
        <f aca="false">IF(ISBLANK($C421),"",IF(F421=Constants!$B$16,Constants!$B$9,IF(F421=Constants!$B$17,Constants!$B$10,Constants!$B$8)))</f>
        <v/>
      </c>
      <c r="S421" s="97" t="str">
        <f aca="false">IF(ISBLANK($C421),"",IF(COUNTA(G421:H421)=0,"",IF(AND(OR(ISBLANK(G421),AND(ISNUMBER(G421),G421&gt;=0)),OR(ISBLANK(H421),AND(ISNUMBER(H421),H421&gt;=0))),60*IF(ISBLANK(G421),0,G421)+IF(ISBLANK(H421),0,H421),"")))</f>
        <v/>
      </c>
      <c r="T421" s="97" t="str">
        <f aca="false">IF(ISBLANK($C421),"",IF(I421=Constants!$B$2, TRUE(), IF(I421=Constants!$B$3, FALSE(), TRUE())))</f>
        <v/>
      </c>
      <c r="U421" s="97" t="str">
        <f aca="false">IF(ISBLANK($C421),"",IF(J421=Constants!$B$2, TRUE(), IF(J421=Constants!$B$3, FALSE(), TRUE())))</f>
        <v/>
      </c>
      <c r="V421" s="97" t="str">
        <f aca="false">IF(ISBLANK($C421),"",IF(COUNTA(K421:L421)=0,"",IF(AND(OR(ISBLANK(K421),AND(ISNUMBER(K421),K421&gt;=0)),OR(ISBLANK(L421),AND(ISNUMBER(L421),L421&gt;=0))),60*IF(ISBLANK(K421),0,K421)+IF(ISBLANK(L421),0,L421),"")))</f>
        <v/>
      </c>
      <c r="W421" s="97" t="str">
        <f aca="false">IF(ISBLANK($C421),"",IF(M421=Constants!$B$2, TRUE(), IF(M421=Constants!$B$3, FALSE(), TRUE())))</f>
        <v/>
      </c>
      <c r="X421" s="97" t="str">
        <f aca="false">IF(ISBLANK($C421),"",IF(N421=Constants!$B$2, TRUE(), IF(N421=Constants!$B$3, FALSE(), TRUE())))</f>
        <v/>
      </c>
      <c r="Y421" s="97" t="str">
        <f aca="false">IF(ISBLANK($C421),"",IF(O421=Constants!$B$2, TRUE(), IF(O421=Constants!$B$3, FALSE(), FALSE())))</f>
        <v/>
      </c>
      <c r="Z421" s="97" t="str">
        <f aca="false">IF(ISBLANK($C421),"",AND(S421&lt;&gt;"",Q421))</f>
        <v/>
      </c>
      <c r="AA421" s="97" t="str">
        <f aca="false">IF(ISBLANK($C421),"",AND(V421&lt;&gt;"",Q421))</f>
        <v/>
      </c>
      <c r="AB421" s="97" t="str">
        <f aca="false">IF(ISBLANK($C421),"",IF(Y421,Constants!$B$4,IF(COUNTA(E421:N421)=0,Constants!$B$5,IF(NOT(Q421),Constants!$B$6,IF(AND(NOT(Z421),NOT(AA421)),Constants!$B$6,Constants!$B$7)))))</f>
        <v/>
      </c>
      <c r="AC421" s="97" t="str">
        <f aca="false">IF(ISBLANK($C421),"",IF($AB421&lt;&gt;Constants!$B$7,$AB421,Constants!$B$20))</f>
        <v/>
      </c>
      <c r="AD421" s="97" t="str">
        <f aca="false">IF($AB421=Constants!$B$7,IF(Z421,S421,Constants!$B$13),"")</f>
        <v/>
      </c>
      <c r="AE421" s="97" t="str">
        <f aca="false">IF($AB421=Constants!$B$7,IF(Z421,R421*IF(T421, 1, Constants!$B$11)*IF(U421, 1, Constants!$B$12),Constants!$B$13),"")</f>
        <v/>
      </c>
      <c r="AF421" s="97" t="str">
        <f aca="false">IF($AB421=Constants!$B$7,AD421*AE421,"")</f>
        <v/>
      </c>
      <c r="AG421" s="97" t="str">
        <f aca="false">IF($AB421=Constants!$B$7,IF(AA421,V421,Constants!$B$13),"")</f>
        <v/>
      </c>
      <c r="AH421" s="97" t="str">
        <f aca="false">IF($AB421=Constants!$B$7,IF(AA421,R421*IF(W421, 1, Constants!$B$11)*IF(X421, 1, Constants!$B$12),Constants!$B$13),"")</f>
        <v/>
      </c>
      <c r="AI421" s="97" t="str">
        <f aca="false">IF($AB421=Constants!$B$7,AG421*AH421,"")</f>
        <v/>
      </c>
      <c r="AJ421" s="97" t="str">
        <f aca="false">IF($AB421=Constants!$B$7,IF(AI421&gt;AF421,2,1),"")</f>
        <v/>
      </c>
      <c r="AK421" s="97" t="str">
        <f aca="false">IF($AB421=Constants!$B$7,IF(AJ421=1,2,1),"")</f>
        <v/>
      </c>
      <c r="AL421" s="97" t="str">
        <f aca="false">IF(ISBLANK($C421),"",IF($AB421&lt;&gt;Constants!$B$7,$AB421,IF(AJ421=1,AF421,AI421)))</f>
        <v/>
      </c>
      <c r="AM421" s="97" t="str">
        <f aca="false">IF(ISBLANK($C421),"",IF($AB421=Constants!$B$7,IF(ISNUMBER(AL421),RANK(AL421,$AL$8:$AL$507),Constants!$B$14),$AB421))</f>
        <v/>
      </c>
      <c r="AN421" s="97" t="str">
        <f aca="false">IF(ISBLANK($C421),"",IF($AB421=Constants!$B$7,IF(AK421=1,AF421,AI421),""))</f>
        <v/>
      </c>
      <c r="AO421" s="97" t="str">
        <f aca="false">IF(ISBLANK($C421),"",IF($AB421=Constants!$B$7,RANK(AN421,$AN$8:$AN$507),$AB421))</f>
        <v/>
      </c>
      <c r="AP421" s="97" t="str">
        <f aca="false">IF(ISBLANK($C421),"",IF($AB421=Constants!$B$7,IF(ISNUMBER(AM421),COUNTIFS($AM$8:$AM$507,"&lt;"&amp;$AM421)+COUNTIFS($AM$8:$AM$507,$AM421,$AO$8:$AO$507,"&lt;"&amp;$AO421)+1,Constants!$B$14),$AB421))</f>
        <v/>
      </c>
      <c r="AQ421" s="97" t="str">
        <f aca="false">IF(ISBLANK($C421),"",IF($AB421=Constants!$B$7,IF(ISNUMBER(AM421),AM421-AP421,Constants!$B$14),$AB421))</f>
        <v/>
      </c>
      <c r="AR421" s="98"/>
      <c r="AS421" s="99" t="str">
        <f aca="false">IF(ISBLANK($C421),"",IF($AB421&lt;&gt;Constants!$B$7,"",AJ421))</f>
        <v/>
      </c>
      <c r="AT421" s="100" t="str">
        <f aca="false">IF(ISBLANK($C421),"",IF($AB421&lt;&gt;Constants!$B$7,"",IF(AJ421=1,AD421,AG421)))</f>
        <v/>
      </c>
      <c r="AU421" s="101" t="str">
        <f aca="false">IF(ISBLANK($C421),"",IF($AB421&lt;&gt;Constants!$B$7,"",IF(AJ421=1,AE421,AH421)))</f>
        <v/>
      </c>
      <c r="AV421" s="102" t="str">
        <f aca="false">IF(ISBLANK($C421),"",IF($AB421&lt;&gt;Constants!$B$7,$AB421,AL421))</f>
        <v/>
      </c>
      <c r="AW421" s="103" t="str">
        <f aca="false">IF(ISBLANK($C421),"",IF($AB421&lt;&gt;Constants!$B$7,$AB421,AC421))</f>
        <v/>
      </c>
      <c r="AX421" s="104" t="str">
        <f aca="false">IF(ISBLANK($C421),"",AQ421)</f>
        <v/>
      </c>
      <c r="AY421" s="104" t="str">
        <f aca="false">IF(ISBLANK($C421),"",AP421)</f>
        <v/>
      </c>
      <c r="AZ421" s="105" t="str">
        <f aca="false">IF(ISBLANK($C421),"",IF(AY421=Constants!$B$4,COUNTA($C$8:$C$507)+2,IF(AY421=Constants!$B$5,COUNTA($C$8:$C$507)+1,IF(AY421=Constants!$B$6,COUNTA($C$8:$C$507),AY421))))</f>
        <v/>
      </c>
      <c r="BA421" s="5"/>
      <c r="BB421" s="106" t="n">
        <f aca="false">IF(OR(ISNUMBER(AY421),AY421=Constants!$B$4,AY421=Constants!$B$6,AY421=Constants!$B$5),1,0)</f>
        <v>0</v>
      </c>
      <c r="BC421" s="106" t="n">
        <v>414</v>
      </c>
      <c r="BD421" s="106" t="str">
        <f aca="false">IF(ISBLANK($C421),"",IF(ISNUMBER(AZ421),AZ421+ROW($B421)/1000,""))</f>
        <v/>
      </c>
      <c r="BE421" s="106" t="str">
        <f aca="false">IF(ISNUMBER(BD421),RANK(BD421,$BD$8:$BD$507,1),"")</f>
        <v/>
      </c>
      <c r="BF421" s="106" t="str">
        <f aca="false">IF(ISBLANK($C421),"",$B421)</f>
        <v/>
      </c>
      <c r="BG421" s="106" t="str">
        <f aca="false">IF(ISBLANK($C421),"",$C421)</f>
        <v/>
      </c>
      <c r="BH421" s="106" t="str">
        <f aca="false">IF(ISBLANK($C421),"",$D421)</f>
        <v/>
      </c>
      <c r="BI421" s="107" t="str">
        <f aca="false">AW421</f>
        <v/>
      </c>
      <c r="BJ421" s="108" t="str">
        <f aca="false">AV421</f>
        <v/>
      </c>
      <c r="BK421" s="106" t="str">
        <f aca="false">IF(ISBLANK($C421),"",AY421)</f>
        <v/>
      </c>
      <c r="BL421" s="109" t="str">
        <f aca="false">IF($BC421&gt;$BB$7,"",VLOOKUP($BC421,$BE$8:$BK$507,7,FALSE()))</f>
        <v/>
      </c>
      <c r="BM421" s="110" t="str">
        <f aca="false">IF($BC421&gt;$BB$7,"",VLOOKUP($BC421,$BE$8:$BK$507,2,FALSE()))</f>
        <v/>
      </c>
      <c r="BN421" s="110" t="str">
        <f aca="false">IF($BC421&gt;$BB$7,"",VLOOKUP($BC421,$BE$8:$BK$507,3,FALSE()))</f>
        <v/>
      </c>
      <c r="BO421" s="110" t="str">
        <f aca="false">IF($BC421&gt;$BB$7,"",VLOOKUP($BC421,$BE$8:$BK$507,4,FALSE()))</f>
        <v/>
      </c>
      <c r="BP421" s="110" t="str">
        <f aca="false">IF($BC421&gt;$BB$7,"",VLOOKUP($BC421,$BE$8:$BK$507,5,FALSE()))</f>
        <v/>
      </c>
      <c r="BQ421" s="111" t="str">
        <f aca="false">IF($BC421&gt;$BB$7,"",VLOOKUP($BC421,$BE$8:$BK$507,6,FALSE()))</f>
        <v/>
      </c>
      <c r="BR421" s="54"/>
    </row>
    <row r="422" customFormat="false" ht="15.75" hidden="false" customHeight="false" outlineLevel="0" collapsed="false">
      <c r="A422" s="5"/>
      <c r="B422" s="124"/>
      <c r="C422" s="56"/>
      <c r="D422" s="57"/>
      <c r="E422" s="83"/>
      <c r="F422" s="59"/>
      <c r="G422" s="60"/>
      <c r="H422" s="61"/>
      <c r="I422" s="62"/>
      <c r="J422" s="59"/>
      <c r="K422" s="60"/>
      <c r="L422" s="61"/>
      <c r="M422" s="62"/>
      <c r="N422" s="59"/>
      <c r="O422" s="83"/>
      <c r="P422" s="64"/>
      <c r="Q422" s="66" t="str">
        <f aca="false">IF(ISBLANK($C422),"",IF(E422=Constants!$B$2, TRUE(), IF(E422=Constants!$B$3, FALSE(), TRUE())))</f>
        <v/>
      </c>
      <c r="R422" s="66" t="str">
        <f aca="false">IF(ISBLANK($C422),"",IF(F422=Constants!$B$16,Constants!$B$9,IF(F422=Constants!$B$17,Constants!$B$10,Constants!$B$8)))</f>
        <v/>
      </c>
      <c r="S422" s="66" t="str">
        <f aca="false">IF(ISBLANK($C422),"",IF(COUNTA(G422:H422)=0,"",IF(AND(OR(ISBLANK(G422),AND(ISNUMBER(G422),G422&gt;=0)),OR(ISBLANK(H422),AND(ISNUMBER(H422),H422&gt;=0))),60*IF(ISBLANK(G422),0,G422)+IF(ISBLANK(H422),0,H422),"")))</f>
        <v/>
      </c>
      <c r="T422" s="66" t="str">
        <f aca="false">IF(ISBLANK($C422),"",IF(I422=Constants!$B$2, TRUE(), IF(I422=Constants!$B$3, FALSE(), TRUE())))</f>
        <v/>
      </c>
      <c r="U422" s="66" t="str">
        <f aca="false">IF(ISBLANK($C422),"",IF(J422=Constants!$B$2, TRUE(), IF(J422=Constants!$B$3, FALSE(), TRUE())))</f>
        <v/>
      </c>
      <c r="V422" s="66" t="str">
        <f aca="false">IF(ISBLANK($C422),"",IF(COUNTA(K422:L422)=0,"",IF(AND(OR(ISBLANK(K422),AND(ISNUMBER(K422),K422&gt;=0)),OR(ISBLANK(L422),AND(ISNUMBER(L422),L422&gt;=0))),60*IF(ISBLANK(K422),0,K422)+IF(ISBLANK(L422),0,L422),"")))</f>
        <v/>
      </c>
      <c r="W422" s="66" t="str">
        <f aca="false">IF(ISBLANK($C422),"",IF(M422=Constants!$B$2, TRUE(), IF(M422=Constants!$B$3, FALSE(), TRUE())))</f>
        <v/>
      </c>
      <c r="X422" s="66" t="str">
        <f aca="false">IF(ISBLANK($C422),"",IF(N422=Constants!$B$2, TRUE(), IF(N422=Constants!$B$3, FALSE(), TRUE())))</f>
        <v/>
      </c>
      <c r="Y422" s="66" t="str">
        <f aca="false">IF(ISBLANK($C422),"",IF(O422=Constants!$B$2, TRUE(), IF(O422=Constants!$B$3, FALSE(), FALSE())))</f>
        <v/>
      </c>
      <c r="Z422" s="66" t="str">
        <f aca="false">IF(ISBLANK($C422),"",AND(S422&lt;&gt;"",Q422))</f>
        <v/>
      </c>
      <c r="AA422" s="66" t="str">
        <f aca="false">IF(ISBLANK($C422),"",AND(V422&lt;&gt;"",Q422))</f>
        <v/>
      </c>
      <c r="AB422" s="66" t="str">
        <f aca="false">IF(ISBLANK($C422),"",IF(Y422,Constants!$B$4,IF(COUNTA(E422:N422)=0,Constants!$B$5,IF(NOT(Q422),Constants!$B$6,IF(AND(NOT(Z422),NOT(AA422)),Constants!$B$6,Constants!$B$7)))))</f>
        <v/>
      </c>
      <c r="AC422" s="66" t="str">
        <f aca="false">IF(ISBLANK($C422),"",IF($AB422&lt;&gt;Constants!$B$7,$AB422,Constants!$B$20))</f>
        <v/>
      </c>
      <c r="AD422" s="66" t="str">
        <f aca="false">IF($AB422=Constants!$B$7,IF(Z422,S422,Constants!$B$13),"")</f>
        <v/>
      </c>
      <c r="AE422" s="66" t="str">
        <f aca="false">IF($AB422=Constants!$B$7,IF(Z422,R422*IF(T422, 1, Constants!$B$11)*IF(U422, 1, Constants!$B$12),Constants!$B$13),"")</f>
        <v/>
      </c>
      <c r="AF422" s="66" t="str">
        <f aca="false">IF($AB422=Constants!$B$7,AD422*AE422,"")</f>
        <v/>
      </c>
      <c r="AG422" s="66" t="str">
        <f aca="false">IF($AB422=Constants!$B$7,IF(AA422,V422,Constants!$B$13),"")</f>
        <v/>
      </c>
      <c r="AH422" s="66" t="str">
        <f aca="false">IF($AB422=Constants!$B$7,IF(AA422,R422*IF(W422, 1, Constants!$B$11)*IF(X422, 1, Constants!$B$12),Constants!$B$13),"")</f>
        <v/>
      </c>
      <c r="AI422" s="66" t="str">
        <f aca="false">IF($AB422=Constants!$B$7,AG422*AH422,"")</f>
        <v/>
      </c>
      <c r="AJ422" s="66" t="str">
        <f aca="false">IF($AB422=Constants!$B$7,IF(AI422&gt;AF422,2,1),"")</f>
        <v/>
      </c>
      <c r="AK422" s="66" t="str">
        <f aca="false">IF($AB422=Constants!$B$7,IF(AJ422=1,2,1),"")</f>
        <v/>
      </c>
      <c r="AL422" s="66" t="str">
        <f aca="false">IF(ISBLANK($C422),"",IF($AB422&lt;&gt;Constants!$B$7,$AB422,IF(AJ422=1,AF422,AI422)))</f>
        <v/>
      </c>
      <c r="AM422" s="66" t="str">
        <f aca="false">IF(ISBLANK($C422),"",IF($AB422=Constants!$B$7,IF(ISNUMBER(AL422),RANK(AL422,$AL$8:$AL$507),Constants!$B$14),$AB422))</f>
        <v/>
      </c>
      <c r="AN422" s="66" t="str">
        <f aca="false">IF(ISBLANK($C422),"",IF($AB422=Constants!$B$7,IF(AK422=1,AF422,AI422),""))</f>
        <v/>
      </c>
      <c r="AO422" s="66" t="str">
        <f aca="false">IF(ISBLANK($C422),"",IF($AB422=Constants!$B$7,RANK(AN422,$AN$8:$AN$507),$AB422))</f>
        <v/>
      </c>
      <c r="AP422" s="66" t="str">
        <f aca="false">IF(ISBLANK($C422),"",IF($AB422=Constants!$B$7,IF(ISNUMBER(AM422),COUNTIFS($AM$8:$AM$507,"&lt;"&amp;$AM422)+COUNTIFS($AM$8:$AM$507,$AM422,$AO$8:$AO$507,"&lt;"&amp;$AO422)+1,Constants!$B$14),$AB422))</f>
        <v/>
      </c>
      <c r="AQ422" s="66" t="str">
        <f aca="false">IF(ISBLANK($C422),"",IF($AB422=Constants!$B$7,IF(ISNUMBER(AM422),AM422-AP422,Constants!$B$14),$AB422))</f>
        <v/>
      </c>
      <c r="AR422" s="68"/>
      <c r="AS422" s="69" t="str">
        <f aca="false">IF(ISBLANK($C422),"",IF($AB422&lt;&gt;Constants!$B$7,"",AJ422))</f>
        <v/>
      </c>
      <c r="AT422" s="84" t="str">
        <f aca="false">IF(ISBLANK($C422),"",IF($AB422&lt;&gt;Constants!$B$7,"",IF(AJ422=1,AD422,AG422)))</f>
        <v/>
      </c>
      <c r="AU422" s="71" t="str">
        <f aca="false">IF(ISBLANK($C422),"",IF($AB422&lt;&gt;Constants!$B$7,"",IF(AJ422=1,AE422,AH422)))</f>
        <v/>
      </c>
      <c r="AV422" s="72" t="str">
        <f aca="false">IF(ISBLANK($C422),"",IF($AB422&lt;&gt;Constants!$B$7,$AB422,AL422))</f>
        <v/>
      </c>
      <c r="AW422" s="73" t="str">
        <f aca="false">IF(ISBLANK($C422),"",IF($AB422&lt;&gt;Constants!$B$7,$AB422,AC422))</f>
        <v/>
      </c>
      <c r="AX422" s="74" t="str">
        <f aca="false">IF(ISBLANK($C422),"",AQ422)</f>
        <v/>
      </c>
      <c r="AY422" s="74" t="str">
        <f aca="false">IF(ISBLANK($C422),"",AP422)</f>
        <v/>
      </c>
      <c r="AZ422" s="75" t="str">
        <f aca="false">IF(ISBLANK($C422),"",IF(AY422=Constants!$B$4,COUNTA($C$8:$C$507)+2,IF(AY422=Constants!$B$5,COUNTA($C$8:$C$507)+1,IF(AY422=Constants!$B$6,COUNTA($C$8:$C$507),AY422))))</f>
        <v/>
      </c>
      <c r="BA422" s="5"/>
      <c r="BB422" s="76" t="n">
        <f aca="false">IF(OR(ISNUMBER(AY422),AY422=Constants!$B$4,AY422=Constants!$B$6,AY422=Constants!$B$5),1,0)</f>
        <v>0</v>
      </c>
      <c r="BC422" s="76" t="n">
        <v>415</v>
      </c>
      <c r="BD422" s="76" t="str">
        <f aca="false">IF(ISBLANK($C422),"",IF(ISNUMBER(AZ422),AZ422+ROW($B422)/1000,""))</f>
        <v/>
      </c>
      <c r="BE422" s="76" t="str">
        <f aca="false">IF(ISNUMBER(BD422),RANK(BD422,$BD$8:$BD$507,1),"")</f>
        <v/>
      </c>
      <c r="BF422" s="76" t="str">
        <f aca="false">IF(ISBLANK($C422),"",$B422)</f>
        <v/>
      </c>
      <c r="BG422" s="76" t="str">
        <f aca="false">IF(ISBLANK($C422),"",$C422)</f>
        <v/>
      </c>
      <c r="BH422" s="76" t="str">
        <f aca="false">IF(ISBLANK($C422),"",$D422)</f>
        <v/>
      </c>
      <c r="BI422" s="77" t="str">
        <f aca="false">AW422</f>
        <v/>
      </c>
      <c r="BJ422" s="78" t="str">
        <f aca="false">AV422</f>
        <v/>
      </c>
      <c r="BK422" s="76" t="str">
        <f aca="false">IF(ISBLANK($C422),"",AY422)</f>
        <v/>
      </c>
      <c r="BL422" s="79" t="str">
        <f aca="false">IF($BC422&gt;$BB$7,"",VLOOKUP($BC422,$BE$8:$BK$507,7,FALSE()))</f>
        <v/>
      </c>
      <c r="BM422" s="80" t="str">
        <f aca="false">IF($BC422&gt;$BB$7,"",VLOOKUP($BC422,$BE$8:$BK$507,2,FALSE()))</f>
        <v/>
      </c>
      <c r="BN422" s="80" t="str">
        <f aca="false">IF($BC422&gt;$BB$7,"",VLOOKUP($BC422,$BE$8:$BK$507,3,FALSE()))</f>
        <v/>
      </c>
      <c r="BO422" s="80" t="str">
        <f aca="false">IF($BC422&gt;$BB$7,"",VLOOKUP($BC422,$BE$8:$BK$507,4,FALSE()))</f>
        <v/>
      </c>
      <c r="BP422" s="80" t="str">
        <f aca="false">IF($BC422&gt;$BB$7,"",VLOOKUP($BC422,$BE$8:$BK$507,5,FALSE()))</f>
        <v/>
      </c>
      <c r="BQ422" s="81" t="str">
        <f aca="false">IF($BC422&gt;$BB$7,"",VLOOKUP($BC422,$BE$8:$BK$507,6,FALSE()))</f>
        <v/>
      </c>
      <c r="BR422" s="54"/>
    </row>
    <row r="423" customFormat="false" ht="15.75" hidden="false" customHeight="false" outlineLevel="0" collapsed="false">
      <c r="A423" s="5"/>
      <c r="B423" s="124"/>
      <c r="C423" s="56"/>
      <c r="D423" s="57"/>
      <c r="E423" s="83"/>
      <c r="F423" s="59"/>
      <c r="G423" s="60"/>
      <c r="H423" s="61"/>
      <c r="I423" s="62"/>
      <c r="J423" s="59"/>
      <c r="K423" s="60"/>
      <c r="L423" s="61"/>
      <c r="M423" s="62"/>
      <c r="N423" s="59"/>
      <c r="O423" s="83"/>
      <c r="P423" s="64"/>
      <c r="Q423" s="66" t="str">
        <f aca="false">IF(ISBLANK($C423),"",IF(E423=Constants!$B$2, TRUE(), IF(E423=Constants!$B$3, FALSE(), TRUE())))</f>
        <v/>
      </c>
      <c r="R423" s="66" t="str">
        <f aca="false">IF(ISBLANK($C423),"",IF(F423=Constants!$B$16,Constants!$B$9,IF(F423=Constants!$B$17,Constants!$B$10,Constants!$B$8)))</f>
        <v/>
      </c>
      <c r="S423" s="66" t="str">
        <f aca="false">IF(ISBLANK($C423),"",IF(COUNTA(G423:H423)=0,"",IF(AND(OR(ISBLANK(G423),AND(ISNUMBER(G423),G423&gt;=0)),OR(ISBLANK(H423),AND(ISNUMBER(H423),H423&gt;=0))),60*IF(ISBLANK(G423),0,G423)+IF(ISBLANK(H423),0,H423),"")))</f>
        <v/>
      </c>
      <c r="T423" s="66" t="str">
        <f aca="false">IF(ISBLANK($C423),"",IF(I423=Constants!$B$2, TRUE(), IF(I423=Constants!$B$3, FALSE(), TRUE())))</f>
        <v/>
      </c>
      <c r="U423" s="66" t="str">
        <f aca="false">IF(ISBLANK($C423),"",IF(J423=Constants!$B$2, TRUE(), IF(J423=Constants!$B$3, FALSE(), TRUE())))</f>
        <v/>
      </c>
      <c r="V423" s="66" t="str">
        <f aca="false">IF(ISBLANK($C423),"",IF(COUNTA(K423:L423)=0,"",IF(AND(OR(ISBLANK(K423),AND(ISNUMBER(K423),K423&gt;=0)),OR(ISBLANK(L423),AND(ISNUMBER(L423),L423&gt;=0))),60*IF(ISBLANK(K423),0,K423)+IF(ISBLANK(L423),0,L423),"")))</f>
        <v/>
      </c>
      <c r="W423" s="66" t="str">
        <f aca="false">IF(ISBLANK($C423),"",IF(M423=Constants!$B$2, TRUE(), IF(M423=Constants!$B$3, FALSE(), TRUE())))</f>
        <v/>
      </c>
      <c r="X423" s="66" t="str">
        <f aca="false">IF(ISBLANK($C423),"",IF(N423=Constants!$B$2, TRUE(), IF(N423=Constants!$B$3, FALSE(), TRUE())))</f>
        <v/>
      </c>
      <c r="Y423" s="66" t="str">
        <f aca="false">IF(ISBLANK($C423),"",IF(O423=Constants!$B$2, TRUE(), IF(O423=Constants!$B$3, FALSE(), FALSE())))</f>
        <v/>
      </c>
      <c r="Z423" s="66" t="str">
        <f aca="false">IF(ISBLANK($C423),"",AND(S423&lt;&gt;"",Q423))</f>
        <v/>
      </c>
      <c r="AA423" s="66" t="str">
        <f aca="false">IF(ISBLANK($C423),"",AND(V423&lt;&gt;"",Q423))</f>
        <v/>
      </c>
      <c r="AB423" s="66" t="str">
        <f aca="false">IF(ISBLANK($C423),"",IF(Y423,Constants!$B$4,IF(COUNTA(E423:N423)=0,Constants!$B$5,IF(NOT(Q423),Constants!$B$6,IF(AND(NOT(Z423),NOT(AA423)),Constants!$B$6,Constants!$B$7)))))</f>
        <v/>
      </c>
      <c r="AC423" s="66" t="str">
        <f aca="false">IF(ISBLANK($C423),"",IF($AB423&lt;&gt;Constants!$B$7,$AB423,Constants!$B$20))</f>
        <v/>
      </c>
      <c r="AD423" s="66" t="str">
        <f aca="false">IF($AB423=Constants!$B$7,IF(Z423,S423,Constants!$B$13),"")</f>
        <v/>
      </c>
      <c r="AE423" s="66" t="str">
        <f aca="false">IF($AB423=Constants!$B$7,IF(Z423,R423*IF(T423, 1, Constants!$B$11)*IF(U423, 1, Constants!$B$12),Constants!$B$13),"")</f>
        <v/>
      </c>
      <c r="AF423" s="66" t="str">
        <f aca="false">IF($AB423=Constants!$B$7,AD423*AE423,"")</f>
        <v/>
      </c>
      <c r="AG423" s="66" t="str">
        <f aca="false">IF($AB423=Constants!$B$7,IF(AA423,V423,Constants!$B$13),"")</f>
        <v/>
      </c>
      <c r="AH423" s="66" t="str">
        <f aca="false">IF($AB423=Constants!$B$7,IF(AA423,R423*IF(W423, 1, Constants!$B$11)*IF(X423, 1, Constants!$B$12),Constants!$B$13),"")</f>
        <v/>
      </c>
      <c r="AI423" s="66" t="str">
        <f aca="false">IF($AB423=Constants!$B$7,AG423*AH423,"")</f>
        <v/>
      </c>
      <c r="AJ423" s="66" t="str">
        <f aca="false">IF($AB423=Constants!$B$7,IF(AI423&gt;AF423,2,1),"")</f>
        <v/>
      </c>
      <c r="AK423" s="66" t="str">
        <f aca="false">IF($AB423=Constants!$B$7,IF(AJ423=1,2,1),"")</f>
        <v/>
      </c>
      <c r="AL423" s="66" t="str">
        <f aca="false">IF(ISBLANK($C423),"",IF($AB423&lt;&gt;Constants!$B$7,$AB423,IF(AJ423=1,AF423,AI423)))</f>
        <v/>
      </c>
      <c r="AM423" s="66" t="str">
        <f aca="false">IF(ISBLANK($C423),"",IF($AB423=Constants!$B$7,IF(ISNUMBER(AL423),RANK(AL423,$AL$8:$AL$507),Constants!$B$14),$AB423))</f>
        <v/>
      </c>
      <c r="AN423" s="66" t="str">
        <f aca="false">IF(ISBLANK($C423),"",IF($AB423=Constants!$B$7,IF(AK423=1,AF423,AI423),""))</f>
        <v/>
      </c>
      <c r="AO423" s="66" t="str">
        <f aca="false">IF(ISBLANK($C423),"",IF($AB423=Constants!$B$7,RANK(AN423,$AN$8:$AN$507),$AB423))</f>
        <v/>
      </c>
      <c r="AP423" s="66" t="str">
        <f aca="false">IF(ISBLANK($C423),"",IF($AB423=Constants!$B$7,IF(ISNUMBER(AM423),COUNTIFS($AM$8:$AM$507,"&lt;"&amp;$AM423)+COUNTIFS($AM$8:$AM$507,$AM423,$AO$8:$AO$507,"&lt;"&amp;$AO423)+1,Constants!$B$14),$AB423))</f>
        <v/>
      </c>
      <c r="AQ423" s="66" t="str">
        <f aca="false">IF(ISBLANK($C423),"",IF($AB423=Constants!$B$7,IF(ISNUMBER(AM423),AM423-AP423,Constants!$B$14),$AB423))</f>
        <v/>
      </c>
      <c r="AR423" s="68"/>
      <c r="AS423" s="69" t="str">
        <f aca="false">IF(ISBLANK($C423),"",IF($AB423&lt;&gt;Constants!$B$7,"",AJ423))</f>
        <v/>
      </c>
      <c r="AT423" s="84" t="str">
        <f aca="false">IF(ISBLANK($C423),"",IF($AB423&lt;&gt;Constants!$B$7,"",IF(AJ423=1,AD423,AG423)))</f>
        <v/>
      </c>
      <c r="AU423" s="71" t="str">
        <f aca="false">IF(ISBLANK($C423),"",IF($AB423&lt;&gt;Constants!$B$7,"",IF(AJ423=1,AE423,AH423)))</f>
        <v/>
      </c>
      <c r="AV423" s="72" t="str">
        <f aca="false">IF(ISBLANK($C423),"",IF($AB423&lt;&gt;Constants!$B$7,$AB423,AL423))</f>
        <v/>
      </c>
      <c r="AW423" s="73" t="str">
        <f aca="false">IF(ISBLANK($C423),"",IF($AB423&lt;&gt;Constants!$B$7,$AB423,AC423))</f>
        <v/>
      </c>
      <c r="AX423" s="74" t="str">
        <f aca="false">IF(ISBLANK($C423),"",AQ423)</f>
        <v/>
      </c>
      <c r="AY423" s="74" t="str">
        <f aca="false">IF(ISBLANK($C423),"",AP423)</f>
        <v/>
      </c>
      <c r="AZ423" s="75" t="str">
        <f aca="false">IF(ISBLANK($C423),"",IF(AY423=Constants!$B$4,COUNTA($C$8:$C$507)+2,IF(AY423=Constants!$B$5,COUNTA($C$8:$C$507)+1,IF(AY423=Constants!$B$6,COUNTA($C$8:$C$507),AY423))))</f>
        <v/>
      </c>
      <c r="BA423" s="5"/>
      <c r="BB423" s="76" t="n">
        <f aca="false">IF(OR(ISNUMBER(AY423),AY423=Constants!$B$4,AY423=Constants!$B$6,AY423=Constants!$B$5),1,0)</f>
        <v>0</v>
      </c>
      <c r="BC423" s="76" t="n">
        <v>416</v>
      </c>
      <c r="BD423" s="76" t="str">
        <f aca="false">IF(ISBLANK($C423),"",IF(ISNUMBER(AZ423),AZ423+ROW($B423)/1000,""))</f>
        <v/>
      </c>
      <c r="BE423" s="76" t="str">
        <f aca="false">IF(ISNUMBER(BD423),RANK(BD423,$BD$8:$BD$507,1),"")</f>
        <v/>
      </c>
      <c r="BF423" s="76" t="str">
        <f aca="false">IF(ISBLANK($C423),"",$B423)</f>
        <v/>
      </c>
      <c r="BG423" s="76" t="str">
        <f aca="false">IF(ISBLANK($C423),"",$C423)</f>
        <v/>
      </c>
      <c r="BH423" s="76" t="str">
        <f aca="false">IF(ISBLANK($C423),"",$D423)</f>
        <v/>
      </c>
      <c r="BI423" s="77" t="str">
        <f aca="false">AW423</f>
        <v/>
      </c>
      <c r="BJ423" s="78" t="str">
        <f aca="false">AV423</f>
        <v/>
      </c>
      <c r="BK423" s="76" t="str">
        <f aca="false">IF(ISBLANK($C423),"",AY423)</f>
        <v/>
      </c>
      <c r="BL423" s="79" t="str">
        <f aca="false">IF($BC423&gt;$BB$7,"",VLOOKUP($BC423,$BE$8:$BK$507,7,FALSE()))</f>
        <v/>
      </c>
      <c r="BM423" s="80" t="str">
        <f aca="false">IF($BC423&gt;$BB$7,"",VLOOKUP($BC423,$BE$8:$BK$507,2,FALSE()))</f>
        <v/>
      </c>
      <c r="BN423" s="80" t="str">
        <f aca="false">IF($BC423&gt;$BB$7,"",VLOOKUP($BC423,$BE$8:$BK$507,3,FALSE()))</f>
        <v/>
      </c>
      <c r="BO423" s="80" t="str">
        <f aca="false">IF($BC423&gt;$BB$7,"",VLOOKUP($BC423,$BE$8:$BK$507,4,FALSE()))</f>
        <v/>
      </c>
      <c r="BP423" s="80" t="str">
        <f aca="false">IF($BC423&gt;$BB$7,"",VLOOKUP($BC423,$BE$8:$BK$507,5,FALSE()))</f>
        <v/>
      </c>
      <c r="BQ423" s="81" t="str">
        <f aca="false">IF($BC423&gt;$BB$7,"",VLOOKUP($BC423,$BE$8:$BK$507,6,FALSE()))</f>
        <v/>
      </c>
      <c r="BR423" s="54"/>
    </row>
    <row r="424" customFormat="false" ht="15.75" hidden="false" customHeight="false" outlineLevel="0" collapsed="false">
      <c r="A424" s="5"/>
      <c r="B424" s="124"/>
      <c r="C424" s="56"/>
      <c r="D424" s="57"/>
      <c r="E424" s="83"/>
      <c r="F424" s="59"/>
      <c r="G424" s="60"/>
      <c r="H424" s="61"/>
      <c r="I424" s="62"/>
      <c r="J424" s="59"/>
      <c r="K424" s="60"/>
      <c r="L424" s="61"/>
      <c r="M424" s="62"/>
      <c r="N424" s="59"/>
      <c r="O424" s="83"/>
      <c r="P424" s="64"/>
      <c r="Q424" s="66" t="str">
        <f aca="false">IF(ISBLANK($C424),"",IF(E424=Constants!$B$2, TRUE(), IF(E424=Constants!$B$3, FALSE(), TRUE())))</f>
        <v/>
      </c>
      <c r="R424" s="66" t="str">
        <f aca="false">IF(ISBLANK($C424),"",IF(F424=Constants!$B$16,Constants!$B$9,IF(F424=Constants!$B$17,Constants!$B$10,Constants!$B$8)))</f>
        <v/>
      </c>
      <c r="S424" s="66" t="str">
        <f aca="false">IF(ISBLANK($C424),"",IF(COUNTA(G424:H424)=0,"",IF(AND(OR(ISBLANK(G424),AND(ISNUMBER(G424),G424&gt;=0)),OR(ISBLANK(H424),AND(ISNUMBER(H424),H424&gt;=0))),60*IF(ISBLANK(G424),0,G424)+IF(ISBLANK(H424),0,H424),"")))</f>
        <v/>
      </c>
      <c r="T424" s="66" t="str">
        <f aca="false">IF(ISBLANK($C424),"",IF(I424=Constants!$B$2, TRUE(), IF(I424=Constants!$B$3, FALSE(), TRUE())))</f>
        <v/>
      </c>
      <c r="U424" s="66" t="str">
        <f aca="false">IF(ISBLANK($C424),"",IF(J424=Constants!$B$2, TRUE(), IF(J424=Constants!$B$3, FALSE(), TRUE())))</f>
        <v/>
      </c>
      <c r="V424" s="66" t="str">
        <f aca="false">IF(ISBLANK($C424),"",IF(COUNTA(K424:L424)=0,"",IF(AND(OR(ISBLANK(K424),AND(ISNUMBER(K424),K424&gt;=0)),OR(ISBLANK(L424),AND(ISNUMBER(L424),L424&gt;=0))),60*IF(ISBLANK(K424),0,K424)+IF(ISBLANK(L424),0,L424),"")))</f>
        <v/>
      </c>
      <c r="W424" s="66" t="str">
        <f aca="false">IF(ISBLANK($C424),"",IF(M424=Constants!$B$2, TRUE(), IF(M424=Constants!$B$3, FALSE(), TRUE())))</f>
        <v/>
      </c>
      <c r="X424" s="66" t="str">
        <f aca="false">IF(ISBLANK($C424),"",IF(N424=Constants!$B$2, TRUE(), IF(N424=Constants!$B$3, FALSE(), TRUE())))</f>
        <v/>
      </c>
      <c r="Y424" s="66" t="str">
        <f aca="false">IF(ISBLANK($C424),"",IF(O424=Constants!$B$2, TRUE(), IF(O424=Constants!$B$3, FALSE(), FALSE())))</f>
        <v/>
      </c>
      <c r="Z424" s="66" t="str">
        <f aca="false">IF(ISBLANK($C424),"",AND(S424&lt;&gt;"",Q424))</f>
        <v/>
      </c>
      <c r="AA424" s="66" t="str">
        <f aca="false">IF(ISBLANK($C424),"",AND(V424&lt;&gt;"",Q424))</f>
        <v/>
      </c>
      <c r="AB424" s="66" t="str">
        <f aca="false">IF(ISBLANK($C424),"",IF(Y424,Constants!$B$4,IF(COUNTA(E424:N424)=0,Constants!$B$5,IF(NOT(Q424),Constants!$B$6,IF(AND(NOT(Z424),NOT(AA424)),Constants!$B$6,Constants!$B$7)))))</f>
        <v/>
      </c>
      <c r="AC424" s="66" t="str">
        <f aca="false">IF(ISBLANK($C424),"",IF($AB424&lt;&gt;Constants!$B$7,$AB424,Constants!$B$20))</f>
        <v/>
      </c>
      <c r="AD424" s="66" t="str">
        <f aca="false">IF($AB424=Constants!$B$7,IF(Z424,S424,Constants!$B$13),"")</f>
        <v/>
      </c>
      <c r="AE424" s="66" t="str">
        <f aca="false">IF($AB424=Constants!$B$7,IF(Z424,R424*IF(T424, 1, Constants!$B$11)*IF(U424, 1, Constants!$B$12),Constants!$B$13),"")</f>
        <v/>
      </c>
      <c r="AF424" s="66" t="str">
        <f aca="false">IF($AB424=Constants!$B$7,AD424*AE424,"")</f>
        <v/>
      </c>
      <c r="AG424" s="66" t="str">
        <f aca="false">IF($AB424=Constants!$B$7,IF(AA424,V424,Constants!$B$13),"")</f>
        <v/>
      </c>
      <c r="AH424" s="66" t="str">
        <f aca="false">IF($AB424=Constants!$B$7,IF(AA424,R424*IF(W424, 1, Constants!$B$11)*IF(X424, 1, Constants!$B$12),Constants!$B$13),"")</f>
        <v/>
      </c>
      <c r="AI424" s="66" t="str">
        <f aca="false">IF($AB424=Constants!$B$7,AG424*AH424,"")</f>
        <v/>
      </c>
      <c r="AJ424" s="66" t="str">
        <f aca="false">IF($AB424=Constants!$B$7,IF(AI424&gt;AF424,2,1),"")</f>
        <v/>
      </c>
      <c r="AK424" s="66" t="str">
        <f aca="false">IF($AB424=Constants!$B$7,IF(AJ424=1,2,1),"")</f>
        <v/>
      </c>
      <c r="AL424" s="66" t="str">
        <f aca="false">IF(ISBLANK($C424),"",IF($AB424&lt;&gt;Constants!$B$7,$AB424,IF(AJ424=1,AF424,AI424)))</f>
        <v/>
      </c>
      <c r="AM424" s="66" t="str">
        <f aca="false">IF(ISBLANK($C424),"",IF($AB424=Constants!$B$7,IF(ISNUMBER(AL424),RANK(AL424,$AL$8:$AL$507),Constants!$B$14),$AB424))</f>
        <v/>
      </c>
      <c r="AN424" s="66" t="str">
        <f aca="false">IF(ISBLANK($C424),"",IF($AB424=Constants!$B$7,IF(AK424=1,AF424,AI424),""))</f>
        <v/>
      </c>
      <c r="AO424" s="66" t="str">
        <f aca="false">IF(ISBLANK($C424),"",IF($AB424=Constants!$B$7,RANK(AN424,$AN$8:$AN$507),$AB424))</f>
        <v/>
      </c>
      <c r="AP424" s="66" t="str">
        <f aca="false">IF(ISBLANK($C424),"",IF($AB424=Constants!$B$7,IF(ISNUMBER(AM424),COUNTIFS($AM$8:$AM$507,"&lt;"&amp;$AM424)+COUNTIFS($AM$8:$AM$507,$AM424,$AO$8:$AO$507,"&lt;"&amp;$AO424)+1,Constants!$B$14),$AB424))</f>
        <v/>
      </c>
      <c r="AQ424" s="66" t="str">
        <f aca="false">IF(ISBLANK($C424),"",IF($AB424=Constants!$B$7,IF(ISNUMBER(AM424),AM424-AP424,Constants!$B$14),$AB424))</f>
        <v/>
      </c>
      <c r="AR424" s="68"/>
      <c r="AS424" s="69" t="str">
        <f aca="false">IF(ISBLANK($C424),"",IF($AB424&lt;&gt;Constants!$B$7,"",AJ424))</f>
        <v/>
      </c>
      <c r="AT424" s="84" t="str">
        <f aca="false">IF(ISBLANK($C424),"",IF($AB424&lt;&gt;Constants!$B$7,"",IF(AJ424=1,AD424,AG424)))</f>
        <v/>
      </c>
      <c r="AU424" s="71" t="str">
        <f aca="false">IF(ISBLANK($C424),"",IF($AB424&lt;&gt;Constants!$B$7,"",IF(AJ424=1,AE424,AH424)))</f>
        <v/>
      </c>
      <c r="AV424" s="72" t="str">
        <f aca="false">IF(ISBLANK($C424),"",IF($AB424&lt;&gt;Constants!$B$7,$AB424,AL424))</f>
        <v/>
      </c>
      <c r="AW424" s="73" t="str">
        <f aca="false">IF(ISBLANK($C424),"",IF($AB424&lt;&gt;Constants!$B$7,$AB424,AC424))</f>
        <v/>
      </c>
      <c r="AX424" s="74" t="str">
        <f aca="false">IF(ISBLANK($C424),"",AQ424)</f>
        <v/>
      </c>
      <c r="AY424" s="74" t="str">
        <f aca="false">IF(ISBLANK($C424),"",AP424)</f>
        <v/>
      </c>
      <c r="AZ424" s="75" t="str">
        <f aca="false">IF(ISBLANK($C424),"",IF(AY424=Constants!$B$4,COUNTA($C$8:$C$507)+2,IF(AY424=Constants!$B$5,COUNTA($C$8:$C$507)+1,IF(AY424=Constants!$B$6,COUNTA($C$8:$C$507),AY424))))</f>
        <v/>
      </c>
      <c r="BA424" s="5"/>
      <c r="BB424" s="76" t="n">
        <f aca="false">IF(OR(ISNUMBER(AY424),AY424=Constants!$B$4,AY424=Constants!$B$6,AY424=Constants!$B$5),1,0)</f>
        <v>0</v>
      </c>
      <c r="BC424" s="76" t="n">
        <v>417</v>
      </c>
      <c r="BD424" s="76" t="str">
        <f aca="false">IF(ISBLANK($C424),"",IF(ISNUMBER(AZ424),AZ424+ROW($B424)/1000,""))</f>
        <v/>
      </c>
      <c r="BE424" s="76" t="str">
        <f aca="false">IF(ISNUMBER(BD424),RANK(BD424,$BD$8:$BD$507,1),"")</f>
        <v/>
      </c>
      <c r="BF424" s="76" t="str">
        <f aca="false">IF(ISBLANK($C424),"",$B424)</f>
        <v/>
      </c>
      <c r="BG424" s="76" t="str">
        <f aca="false">IF(ISBLANK($C424),"",$C424)</f>
        <v/>
      </c>
      <c r="BH424" s="76" t="str">
        <f aca="false">IF(ISBLANK($C424),"",$D424)</f>
        <v/>
      </c>
      <c r="BI424" s="77" t="str">
        <f aca="false">AW424</f>
        <v/>
      </c>
      <c r="BJ424" s="78" t="str">
        <f aca="false">AV424</f>
        <v/>
      </c>
      <c r="BK424" s="76" t="str">
        <f aca="false">IF(ISBLANK($C424),"",AY424)</f>
        <v/>
      </c>
      <c r="BL424" s="79" t="str">
        <f aca="false">IF($BC424&gt;$BB$7,"",VLOOKUP($BC424,$BE$8:$BK$507,7,FALSE()))</f>
        <v/>
      </c>
      <c r="BM424" s="80" t="str">
        <f aca="false">IF($BC424&gt;$BB$7,"",VLOOKUP($BC424,$BE$8:$BK$507,2,FALSE()))</f>
        <v/>
      </c>
      <c r="BN424" s="80" t="str">
        <f aca="false">IF($BC424&gt;$BB$7,"",VLOOKUP($BC424,$BE$8:$BK$507,3,FALSE()))</f>
        <v/>
      </c>
      <c r="BO424" s="80" t="str">
        <f aca="false">IF($BC424&gt;$BB$7,"",VLOOKUP($BC424,$BE$8:$BK$507,4,FALSE()))</f>
        <v/>
      </c>
      <c r="BP424" s="80" t="str">
        <f aca="false">IF($BC424&gt;$BB$7,"",VLOOKUP($BC424,$BE$8:$BK$507,5,FALSE()))</f>
        <v/>
      </c>
      <c r="BQ424" s="81" t="str">
        <f aca="false">IF($BC424&gt;$BB$7,"",VLOOKUP($BC424,$BE$8:$BK$507,6,FALSE()))</f>
        <v/>
      </c>
      <c r="BR424" s="54"/>
    </row>
    <row r="425" customFormat="false" ht="15.75" hidden="false" customHeight="false" outlineLevel="0" collapsed="false">
      <c r="A425" s="5"/>
      <c r="B425" s="120"/>
      <c r="C425" s="121"/>
      <c r="D425" s="112"/>
      <c r="E425" s="123"/>
      <c r="F425" s="91"/>
      <c r="G425" s="92"/>
      <c r="H425" s="93"/>
      <c r="I425" s="94"/>
      <c r="J425" s="91"/>
      <c r="K425" s="92"/>
      <c r="L425" s="93"/>
      <c r="M425" s="94"/>
      <c r="N425" s="91"/>
      <c r="O425" s="123"/>
      <c r="P425" s="96"/>
      <c r="Q425" s="97" t="str">
        <f aca="false">IF(ISBLANK($C425),"",IF(E425=Constants!$B$2, TRUE(), IF(E425=Constants!$B$3, FALSE(), TRUE())))</f>
        <v/>
      </c>
      <c r="R425" s="97" t="str">
        <f aca="false">IF(ISBLANK($C425),"",IF(F425=Constants!$B$16,Constants!$B$9,IF(F425=Constants!$B$17,Constants!$B$10,Constants!$B$8)))</f>
        <v/>
      </c>
      <c r="S425" s="97" t="str">
        <f aca="false">IF(ISBLANK($C425),"",IF(COUNTA(G425:H425)=0,"",IF(AND(OR(ISBLANK(G425),AND(ISNUMBER(G425),G425&gt;=0)),OR(ISBLANK(H425),AND(ISNUMBER(H425),H425&gt;=0))),60*IF(ISBLANK(G425),0,G425)+IF(ISBLANK(H425),0,H425),"")))</f>
        <v/>
      </c>
      <c r="T425" s="97" t="str">
        <f aca="false">IF(ISBLANK($C425),"",IF(I425=Constants!$B$2, TRUE(), IF(I425=Constants!$B$3, FALSE(), TRUE())))</f>
        <v/>
      </c>
      <c r="U425" s="97" t="str">
        <f aca="false">IF(ISBLANK($C425),"",IF(J425=Constants!$B$2, TRUE(), IF(J425=Constants!$B$3, FALSE(), TRUE())))</f>
        <v/>
      </c>
      <c r="V425" s="97" t="str">
        <f aca="false">IF(ISBLANK($C425),"",IF(COUNTA(K425:L425)=0,"",IF(AND(OR(ISBLANK(K425),AND(ISNUMBER(K425),K425&gt;=0)),OR(ISBLANK(L425),AND(ISNUMBER(L425),L425&gt;=0))),60*IF(ISBLANK(K425),0,K425)+IF(ISBLANK(L425),0,L425),"")))</f>
        <v/>
      </c>
      <c r="W425" s="97" t="str">
        <f aca="false">IF(ISBLANK($C425),"",IF(M425=Constants!$B$2, TRUE(), IF(M425=Constants!$B$3, FALSE(), TRUE())))</f>
        <v/>
      </c>
      <c r="X425" s="97" t="str">
        <f aca="false">IF(ISBLANK($C425),"",IF(N425=Constants!$B$2, TRUE(), IF(N425=Constants!$B$3, FALSE(), TRUE())))</f>
        <v/>
      </c>
      <c r="Y425" s="97" t="str">
        <f aca="false">IF(ISBLANK($C425),"",IF(O425=Constants!$B$2, TRUE(), IF(O425=Constants!$B$3, FALSE(), FALSE())))</f>
        <v/>
      </c>
      <c r="Z425" s="97" t="str">
        <f aca="false">IF(ISBLANK($C425),"",AND(S425&lt;&gt;"",Q425))</f>
        <v/>
      </c>
      <c r="AA425" s="97" t="str">
        <f aca="false">IF(ISBLANK($C425),"",AND(V425&lt;&gt;"",Q425))</f>
        <v/>
      </c>
      <c r="AB425" s="97" t="str">
        <f aca="false">IF(ISBLANK($C425),"",IF(Y425,Constants!$B$4,IF(COUNTA(E425:N425)=0,Constants!$B$5,IF(NOT(Q425),Constants!$B$6,IF(AND(NOT(Z425),NOT(AA425)),Constants!$B$6,Constants!$B$7)))))</f>
        <v/>
      </c>
      <c r="AC425" s="97" t="str">
        <f aca="false">IF(ISBLANK($C425),"",IF($AB425&lt;&gt;Constants!$B$7,$AB425,Constants!$B$20))</f>
        <v/>
      </c>
      <c r="AD425" s="97" t="str">
        <f aca="false">IF($AB425=Constants!$B$7,IF(Z425,S425,Constants!$B$13),"")</f>
        <v/>
      </c>
      <c r="AE425" s="97" t="str">
        <f aca="false">IF($AB425=Constants!$B$7,IF(Z425,R425*IF(T425, 1, Constants!$B$11)*IF(U425, 1, Constants!$B$12),Constants!$B$13),"")</f>
        <v/>
      </c>
      <c r="AF425" s="97" t="str">
        <f aca="false">IF($AB425=Constants!$B$7,AD425*AE425,"")</f>
        <v/>
      </c>
      <c r="AG425" s="97" t="str">
        <f aca="false">IF($AB425=Constants!$B$7,IF(AA425,V425,Constants!$B$13),"")</f>
        <v/>
      </c>
      <c r="AH425" s="97" t="str">
        <f aca="false">IF($AB425=Constants!$B$7,IF(AA425,R425*IF(W425, 1, Constants!$B$11)*IF(X425, 1, Constants!$B$12),Constants!$B$13),"")</f>
        <v/>
      </c>
      <c r="AI425" s="97" t="str">
        <f aca="false">IF($AB425=Constants!$B$7,AG425*AH425,"")</f>
        <v/>
      </c>
      <c r="AJ425" s="97" t="str">
        <f aca="false">IF($AB425=Constants!$B$7,IF(AI425&gt;AF425,2,1),"")</f>
        <v/>
      </c>
      <c r="AK425" s="97" t="str">
        <f aca="false">IF($AB425=Constants!$B$7,IF(AJ425=1,2,1),"")</f>
        <v/>
      </c>
      <c r="AL425" s="97" t="str">
        <f aca="false">IF(ISBLANK($C425),"",IF($AB425&lt;&gt;Constants!$B$7,$AB425,IF(AJ425=1,AF425,AI425)))</f>
        <v/>
      </c>
      <c r="AM425" s="97" t="str">
        <f aca="false">IF(ISBLANK($C425),"",IF($AB425=Constants!$B$7,IF(ISNUMBER(AL425),RANK(AL425,$AL$8:$AL$507),Constants!$B$14),$AB425))</f>
        <v/>
      </c>
      <c r="AN425" s="97" t="str">
        <f aca="false">IF(ISBLANK($C425),"",IF($AB425=Constants!$B$7,IF(AK425=1,AF425,AI425),""))</f>
        <v/>
      </c>
      <c r="AO425" s="97" t="str">
        <f aca="false">IF(ISBLANK($C425),"",IF($AB425=Constants!$B$7,RANK(AN425,$AN$8:$AN$507),$AB425))</f>
        <v/>
      </c>
      <c r="AP425" s="97" t="str">
        <f aca="false">IF(ISBLANK($C425),"",IF($AB425=Constants!$B$7,IF(ISNUMBER(AM425),COUNTIFS($AM$8:$AM$507,"&lt;"&amp;$AM425)+COUNTIFS($AM$8:$AM$507,$AM425,$AO$8:$AO$507,"&lt;"&amp;$AO425)+1,Constants!$B$14),$AB425))</f>
        <v/>
      </c>
      <c r="AQ425" s="97" t="str">
        <f aca="false">IF(ISBLANK($C425),"",IF($AB425=Constants!$B$7,IF(ISNUMBER(AM425),AM425-AP425,Constants!$B$14),$AB425))</f>
        <v/>
      </c>
      <c r="AR425" s="98"/>
      <c r="AS425" s="99" t="str">
        <f aca="false">IF(ISBLANK($C425),"",IF($AB425&lt;&gt;Constants!$B$7,"",AJ425))</f>
        <v/>
      </c>
      <c r="AT425" s="100" t="str">
        <f aca="false">IF(ISBLANK($C425),"",IF($AB425&lt;&gt;Constants!$B$7,"",IF(AJ425=1,AD425,AG425)))</f>
        <v/>
      </c>
      <c r="AU425" s="101" t="str">
        <f aca="false">IF(ISBLANK($C425),"",IF($AB425&lt;&gt;Constants!$B$7,"",IF(AJ425=1,AE425,AH425)))</f>
        <v/>
      </c>
      <c r="AV425" s="102" t="str">
        <f aca="false">IF(ISBLANK($C425),"",IF($AB425&lt;&gt;Constants!$B$7,$AB425,AL425))</f>
        <v/>
      </c>
      <c r="AW425" s="103" t="str">
        <f aca="false">IF(ISBLANK($C425),"",IF($AB425&lt;&gt;Constants!$B$7,$AB425,AC425))</f>
        <v/>
      </c>
      <c r="AX425" s="104" t="str">
        <f aca="false">IF(ISBLANK($C425),"",AQ425)</f>
        <v/>
      </c>
      <c r="AY425" s="104" t="str">
        <f aca="false">IF(ISBLANK($C425),"",AP425)</f>
        <v/>
      </c>
      <c r="AZ425" s="105" t="str">
        <f aca="false">IF(ISBLANK($C425),"",IF(AY425=Constants!$B$4,COUNTA($C$8:$C$507)+2,IF(AY425=Constants!$B$5,COUNTA($C$8:$C$507)+1,IF(AY425=Constants!$B$6,COUNTA($C$8:$C$507),AY425))))</f>
        <v/>
      </c>
      <c r="BA425" s="5"/>
      <c r="BB425" s="106" t="n">
        <f aca="false">IF(OR(ISNUMBER(AY425),AY425=Constants!$B$4,AY425=Constants!$B$6,AY425=Constants!$B$5),1,0)</f>
        <v>0</v>
      </c>
      <c r="BC425" s="106" t="n">
        <v>418</v>
      </c>
      <c r="BD425" s="106" t="str">
        <f aca="false">IF(ISBLANK($C425),"",IF(ISNUMBER(AZ425),AZ425+ROW($B425)/1000,""))</f>
        <v/>
      </c>
      <c r="BE425" s="106" t="str">
        <f aca="false">IF(ISNUMBER(BD425),RANK(BD425,$BD$8:$BD$507,1),"")</f>
        <v/>
      </c>
      <c r="BF425" s="106" t="str">
        <f aca="false">IF(ISBLANK($C425),"",$B425)</f>
        <v/>
      </c>
      <c r="BG425" s="106" t="str">
        <f aca="false">IF(ISBLANK($C425),"",$C425)</f>
        <v/>
      </c>
      <c r="BH425" s="106" t="str">
        <f aca="false">IF(ISBLANK($C425),"",$D425)</f>
        <v/>
      </c>
      <c r="BI425" s="107" t="str">
        <f aca="false">AW425</f>
        <v/>
      </c>
      <c r="BJ425" s="108" t="str">
        <f aca="false">AV425</f>
        <v/>
      </c>
      <c r="BK425" s="106" t="str">
        <f aca="false">IF(ISBLANK($C425),"",AY425)</f>
        <v/>
      </c>
      <c r="BL425" s="109" t="str">
        <f aca="false">IF($BC425&gt;$BB$7,"",VLOOKUP($BC425,$BE$8:$BK$507,7,FALSE()))</f>
        <v/>
      </c>
      <c r="BM425" s="110" t="str">
        <f aca="false">IF($BC425&gt;$BB$7,"",VLOOKUP($BC425,$BE$8:$BK$507,2,FALSE()))</f>
        <v/>
      </c>
      <c r="BN425" s="110" t="str">
        <f aca="false">IF($BC425&gt;$BB$7,"",VLOOKUP($BC425,$BE$8:$BK$507,3,FALSE()))</f>
        <v/>
      </c>
      <c r="BO425" s="110" t="str">
        <f aca="false">IF($BC425&gt;$BB$7,"",VLOOKUP($BC425,$BE$8:$BK$507,4,FALSE()))</f>
        <v/>
      </c>
      <c r="BP425" s="110" t="str">
        <f aca="false">IF($BC425&gt;$BB$7,"",VLOOKUP($BC425,$BE$8:$BK$507,5,FALSE()))</f>
        <v/>
      </c>
      <c r="BQ425" s="111" t="str">
        <f aca="false">IF($BC425&gt;$BB$7,"",VLOOKUP($BC425,$BE$8:$BK$507,6,FALSE()))</f>
        <v/>
      </c>
      <c r="BR425" s="54"/>
    </row>
    <row r="426" customFormat="false" ht="15.75" hidden="false" customHeight="false" outlineLevel="0" collapsed="false">
      <c r="A426" s="5"/>
      <c r="B426" s="120"/>
      <c r="C426" s="121"/>
      <c r="D426" s="112"/>
      <c r="E426" s="123"/>
      <c r="F426" s="91"/>
      <c r="G426" s="92"/>
      <c r="H426" s="93"/>
      <c r="I426" s="94"/>
      <c r="J426" s="91"/>
      <c r="K426" s="92"/>
      <c r="L426" s="93"/>
      <c r="M426" s="94"/>
      <c r="N426" s="91"/>
      <c r="O426" s="123"/>
      <c r="P426" s="96"/>
      <c r="Q426" s="97" t="str">
        <f aca="false">IF(ISBLANK($C426),"",IF(E426=Constants!$B$2, TRUE(), IF(E426=Constants!$B$3, FALSE(), TRUE())))</f>
        <v/>
      </c>
      <c r="R426" s="97" t="str">
        <f aca="false">IF(ISBLANK($C426),"",IF(F426=Constants!$B$16,Constants!$B$9,IF(F426=Constants!$B$17,Constants!$B$10,Constants!$B$8)))</f>
        <v/>
      </c>
      <c r="S426" s="97" t="str">
        <f aca="false">IF(ISBLANK($C426),"",IF(COUNTA(G426:H426)=0,"",IF(AND(OR(ISBLANK(G426),AND(ISNUMBER(G426),G426&gt;=0)),OR(ISBLANK(H426),AND(ISNUMBER(H426),H426&gt;=0))),60*IF(ISBLANK(G426),0,G426)+IF(ISBLANK(H426),0,H426),"")))</f>
        <v/>
      </c>
      <c r="T426" s="97" t="str">
        <f aca="false">IF(ISBLANK($C426),"",IF(I426=Constants!$B$2, TRUE(), IF(I426=Constants!$B$3, FALSE(), TRUE())))</f>
        <v/>
      </c>
      <c r="U426" s="97" t="str">
        <f aca="false">IF(ISBLANK($C426),"",IF(J426=Constants!$B$2, TRUE(), IF(J426=Constants!$B$3, FALSE(), TRUE())))</f>
        <v/>
      </c>
      <c r="V426" s="97" t="str">
        <f aca="false">IF(ISBLANK($C426),"",IF(COUNTA(K426:L426)=0,"",IF(AND(OR(ISBLANK(K426),AND(ISNUMBER(K426),K426&gt;=0)),OR(ISBLANK(L426),AND(ISNUMBER(L426),L426&gt;=0))),60*IF(ISBLANK(K426),0,K426)+IF(ISBLANK(L426),0,L426),"")))</f>
        <v/>
      </c>
      <c r="W426" s="97" t="str">
        <f aca="false">IF(ISBLANK($C426),"",IF(M426=Constants!$B$2, TRUE(), IF(M426=Constants!$B$3, FALSE(), TRUE())))</f>
        <v/>
      </c>
      <c r="X426" s="97" t="str">
        <f aca="false">IF(ISBLANK($C426),"",IF(N426=Constants!$B$2, TRUE(), IF(N426=Constants!$B$3, FALSE(), TRUE())))</f>
        <v/>
      </c>
      <c r="Y426" s="97" t="str">
        <f aca="false">IF(ISBLANK($C426),"",IF(O426=Constants!$B$2, TRUE(), IF(O426=Constants!$B$3, FALSE(), FALSE())))</f>
        <v/>
      </c>
      <c r="Z426" s="97" t="str">
        <f aca="false">IF(ISBLANK($C426),"",AND(S426&lt;&gt;"",Q426))</f>
        <v/>
      </c>
      <c r="AA426" s="97" t="str">
        <f aca="false">IF(ISBLANK($C426),"",AND(V426&lt;&gt;"",Q426))</f>
        <v/>
      </c>
      <c r="AB426" s="97" t="str">
        <f aca="false">IF(ISBLANK($C426),"",IF(Y426,Constants!$B$4,IF(COUNTA(E426:N426)=0,Constants!$B$5,IF(NOT(Q426),Constants!$B$6,IF(AND(NOT(Z426),NOT(AA426)),Constants!$B$6,Constants!$B$7)))))</f>
        <v/>
      </c>
      <c r="AC426" s="97" t="str">
        <f aca="false">IF(ISBLANK($C426),"",IF($AB426&lt;&gt;Constants!$B$7,$AB426,Constants!$B$20))</f>
        <v/>
      </c>
      <c r="AD426" s="97" t="str">
        <f aca="false">IF($AB426=Constants!$B$7,IF(Z426,S426,Constants!$B$13),"")</f>
        <v/>
      </c>
      <c r="AE426" s="97" t="str">
        <f aca="false">IF($AB426=Constants!$B$7,IF(Z426,R426*IF(T426, 1, Constants!$B$11)*IF(U426, 1, Constants!$B$12),Constants!$B$13),"")</f>
        <v/>
      </c>
      <c r="AF426" s="97" t="str">
        <f aca="false">IF($AB426=Constants!$B$7,AD426*AE426,"")</f>
        <v/>
      </c>
      <c r="AG426" s="97" t="str">
        <f aca="false">IF($AB426=Constants!$B$7,IF(AA426,V426,Constants!$B$13),"")</f>
        <v/>
      </c>
      <c r="AH426" s="97" t="str">
        <f aca="false">IF($AB426=Constants!$B$7,IF(AA426,R426*IF(W426, 1, Constants!$B$11)*IF(X426, 1, Constants!$B$12),Constants!$B$13),"")</f>
        <v/>
      </c>
      <c r="AI426" s="97" t="str">
        <f aca="false">IF($AB426=Constants!$B$7,AG426*AH426,"")</f>
        <v/>
      </c>
      <c r="AJ426" s="97" t="str">
        <f aca="false">IF($AB426=Constants!$B$7,IF(AI426&gt;AF426,2,1),"")</f>
        <v/>
      </c>
      <c r="AK426" s="97" t="str">
        <f aca="false">IF($AB426=Constants!$B$7,IF(AJ426=1,2,1),"")</f>
        <v/>
      </c>
      <c r="AL426" s="97" t="str">
        <f aca="false">IF(ISBLANK($C426),"",IF($AB426&lt;&gt;Constants!$B$7,$AB426,IF(AJ426=1,AF426,AI426)))</f>
        <v/>
      </c>
      <c r="AM426" s="97" t="str">
        <f aca="false">IF(ISBLANK($C426),"",IF($AB426=Constants!$B$7,IF(ISNUMBER(AL426),RANK(AL426,$AL$8:$AL$507),Constants!$B$14),$AB426))</f>
        <v/>
      </c>
      <c r="AN426" s="97" t="str">
        <f aca="false">IF(ISBLANK($C426),"",IF($AB426=Constants!$B$7,IF(AK426=1,AF426,AI426),""))</f>
        <v/>
      </c>
      <c r="AO426" s="97" t="str">
        <f aca="false">IF(ISBLANK($C426),"",IF($AB426=Constants!$B$7,RANK(AN426,$AN$8:$AN$507),$AB426))</f>
        <v/>
      </c>
      <c r="AP426" s="97" t="str">
        <f aca="false">IF(ISBLANK($C426),"",IF($AB426=Constants!$B$7,IF(ISNUMBER(AM426),COUNTIFS($AM$8:$AM$507,"&lt;"&amp;$AM426)+COUNTIFS($AM$8:$AM$507,$AM426,$AO$8:$AO$507,"&lt;"&amp;$AO426)+1,Constants!$B$14),$AB426))</f>
        <v/>
      </c>
      <c r="AQ426" s="97" t="str">
        <f aca="false">IF(ISBLANK($C426),"",IF($AB426=Constants!$B$7,IF(ISNUMBER(AM426),AM426-AP426,Constants!$B$14),$AB426))</f>
        <v/>
      </c>
      <c r="AR426" s="98"/>
      <c r="AS426" s="99" t="str">
        <f aca="false">IF(ISBLANK($C426),"",IF($AB426&lt;&gt;Constants!$B$7,"",AJ426))</f>
        <v/>
      </c>
      <c r="AT426" s="100" t="str">
        <f aca="false">IF(ISBLANK($C426),"",IF($AB426&lt;&gt;Constants!$B$7,"",IF(AJ426=1,AD426,AG426)))</f>
        <v/>
      </c>
      <c r="AU426" s="101" t="str">
        <f aca="false">IF(ISBLANK($C426),"",IF($AB426&lt;&gt;Constants!$B$7,"",IF(AJ426=1,AE426,AH426)))</f>
        <v/>
      </c>
      <c r="AV426" s="102" t="str">
        <f aca="false">IF(ISBLANK($C426),"",IF($AB426&lt;&gt;Constants!$B$7,$AB426,AL426))</f>
        <v/>
      </c>
      <c r="AW426" s="103" t="str">
        <f aca="false">IF(ISBLANK($C426),"",IF($AB426&lt;&gt;Constants!$B$7,$AB426,AC426))</f>
        <v/>
      </c>
      <c r="AX426" s="104" t="str">
        <f aca="false">IF(ISBLANK($C426),"",AQ426)</f>
        <v/>
      </c>
      <c r="AY426" s="104" t="str">
        <f aca="false">IF(ISBLANK($C426),"",AP426)</f>
        <v/>
      </c>
      <c r="AZ426" s="105" t="str">
        <f aca="false">IF(ISBLANK($C426),"",IF(AY426=Constants!$B$4,COUNTA($C$8:$C$507)+2,IF(AY426=Constants!$B$5,COUNTA($C$8:$C$507)+1,IF(AY426=Constants!$B$6,COUNTA($C$8:$C$507),AY426))))</f>
        <v/>
      </c>
      <c r="BA426" s="5"/>
      <c r="BB426" s="106" t="n">
        <f aca="false">IF(OR(ISNUMBER(AY426),AY426=Constants!$B$4,AY426=Constants!$B$6,AY426=Constants!$B$5),1,0)</f>
        <v>0</v>
      </c>
      <c r="BC426" s="106" t="n">
        <v>419</v>
      </c>
      <c r="BD426" s="106" t="str">
        <f aca="false">IF(ISBLANK($C426),"",IF(ISNUMBER(AZ426),AZ426+ROW($B426)/1000,""))</f>
        <v/>
      </c>
      <c r="BE426" s="106" t="str">
        <f aca="false">IF(ISNUMBER(BD426),RANK(BD426,$BD$8:$BD$507,1),"")</f>
        <v/>
      </c>
      <c r="BF426" s="106" t="str">
        <f aca="false">IF(ISBLANK($C426),"",$B426)</f>
        <v/>
      </c>
      <c r="BG426" s="106" t="str">
        <f aca="false">IF(ISBLANK($C426),"",$C426)</f>
        <v/>
      </c>
      <c r="BH426" s="106" t="str">
        <f aca="false">IF(ISBLANK($C426),"",$D426)</f>
        <v/>
      </c>
      <c r="BI426" s="107" t="str">
        <f aca="false">AW426</f>
        <v/>
      </c>
      <c r="BJ426" s="108" t="str">
        <f aca="false">AV426</f>
        <v/>
      </c>
      <c r="BK426" s="106" t="str">
        <f aca="false">IF(ISBLANK($C426),"",AY426)</f>
        <v/>
      </c>
      <c r="BL426" s="109" t="str">
        <f aca="false">IF($BC426&gt;$BB$7,"",VLOOKUP($BC426,$BE$8:$BK$507,7,FALSE()))</f>
        <v/>
      </c>
      <c r="BM426" s="110" t="str">
        <f aca="false">IF($BC426&gt;$BB$7,"",VLOOKUP($BC426,$BE$8:$BK$507,2,FALSE()))</f>
        <v/>
      </c>
      <c r="BN426" s="110" t="str">
        <f aca="false">IF($BC426&gt;$BB$7,"",VLOOKUP($BC426,$BE$8:$BK$507,3,FALSE()))</f>
        <v/>
      </c>
      <c r="BO426" s="110" t="str">
        <f aca="false">IF($BC426&gt;$BB$7,"",VLOOKUP($BC426,$BE$8:$BK$507,4,FALSE()))</f>
        <v/>
      </c>
      <c r="BP426" s="110" t="str">
        <f aca="false">IF($BC426&gt;$BB$7,"",VLOOKUP($BC426,$BE$8:$BK$507,5,FALSE()))</f>
        <v/>
      </c>
      <c r="BQ426" s="111" t="str">
        <f aca="false">IF($BC426&gt;$BB$7,"",VLOOKUP($BC426,$BE$8:$BK$507,6,FALSE()))</f>
        <v/>
      </c>
      <c r="BR426" s="54"/>
    </row>
    <row r="427" customFormat="false" ht="15.75" hidden="false" customHeight="false" outlineLevel="0" collapsed="false">
      <c r="A427" s="5"/>
      <c r="B427" s="120"/>
      <c r="C427" s="121"/>
      <c r="D427" s="112"/>
      <c r="E427" s="123"/>
      <c r="F427" s="91"/>
      <c r="G427" s="92"/>
      <c r="H427" s="93"/>
      <c r="I427" s="94"/>
      <c r="J427" s="91"/>
      <c r="K427" s="92"/>
      <c r="L427" s="93"/>
      <c r="M427" s="94"/>
      <c r="N427" s="91"/>
      <c r="O427" s="123"/>
      <c r="P427" s="96"/>
      <c r="Q427" s="97" t="str">
        <f aca="false">IF(ISBLANK($C427),"",IF(E427=Constants!$B$2, TRUE(), IF(E427=Constants!$B$3, FALSE(), TRUE())))</f>
        <v/>
      </c>
      <c r="R427" s="97" t="str">
        <f aca="false">IF(ISBLANK($C427),"",IF(F427=Constants!$B$16,Constants!$B$9,IF(F427=Constants!$B$17,Constants!$B$10,Constants!$B$8)))</f>
        <v/>
      </c>
      <c r="S427" s="97" t="str">
        <f aca="false">IF(ISBLANK($C427),"",IF(COUNTA(G427:H427)=0,"",IF(AND(OR(ISBLANK(G427),AND(ISNUMBER(G427),G427&gt;=0)),OR(ISBLANK(H427),AND(ISNUMBER(H427),H427&gt;=0))),60*IF(ISBLANK(G427),0,G427)+IF(ISBLANK(H427),0,H427),"")))</f>
        <v/>
      </c>
      <c r="T427" s="97" t="str">
        <f aca="false">IF(ISBLANK($C427),"",IF(I427=Constants!$B$2, TRUE(), IF(I427=Constants!$B$3, FALSE(), TRUE())))</f>
        <v/>
      </c>
      <c r="U427" s="97" t="str">
        <f aca="false">IF(ISBLANK($C427),"",IF(J427=Constants!$B$2, TRUE(), IF(J427=Constants!$B$3, FALSE(), TRUE())))</f>
        <v/>
      </c>
      <c r="V427" s="97" t="str">
        <f aca="false">IF(ISBLANK($C427),"",IF(COUNTA(K427:L427)=0,"",IF(AND(OR(ISBLANK(K427),AND(ISNUMBER(K427),K427&gt;=0)),OR(ISBLANK(L427),AND(ISNUMBER(L427),L427&gt;=0))),60*IF(ISBLANK(K427),0,K427)+IF(ISBLANK(L427),0,L427),"")))</f>
        <v/>
      </c>
      <c r="W427" s="97" t="str">
        <f aca="false">IF(ISBLANK($C427),"",IF(M427=Constants!$B$2, TRUE(), IF(M427=Constants!$B$3, FALSE(), TRUE())))</f>
        <v/>
      </c>
      <c r="X427" s="97" t="str">
        <f aca="false">IF(ISBLANK($C427),"",IF(N427=Constants!$B$2, TRUE(), IF(N427=Constants!$B$3, FALSE(), TRUE())))</f>
        <v/>
      </c>
      <c r="Y427" s="97" t="str">
        <f aca="false">IF(ISBLANK($C427),"",IF(O427=Constants!$B$2, TRUE(), IF(O427=Constants!$B$3, FALSE(), FALSE())))</f>
        <v/>
      </c>
      <c r="Z427" s="97" t="str">
        <f aca="false">IF(ISBLANK($C427),"",AND(S427&lt;&gt;"",Q427))</f>
        <v/>
      </c>
      <c r="AA427" s="97" t="str">
        <f aca="false">IF(ISBLANK($C427),"",AND(V427&lt;&gt;"",Q427))</f>
        <v/>
      </c>
      <c r="AB427" s="97" t="str">
        <f aca="false">IF(ISBLANK($C427),"",IF(Y427,Constants!$B$4,IF(COUNTA(E427:N427)=0,Constants!$B$5,IF(NOT(Q427),Constants!$B$6,IF(AND(NOT(Z427),NOT(AA427)),Constants!$B$6,Constants!$B$7)))))</f>
        <v/>
      </c>
      <c r="AC427" s="97" t="str">
        <f aca="false">IF(ISBLANK($C427),"",IF($AB427&lt;&gt;Constants!$B$7,$AB427,Constants!$B$20))</f>
        <v/>
      </c>
      <c r="AD427" s="97" t="str">
        <f aca="false">IF($AB427=Constants!$B$7,IF(Z427,S427,Constants!$B$13),"")</f>
        <v/>
      </c>
      <c r="AE427" s="97" t="str">
        <f aca="false">IF($AB427=Constants!$B$7,IF(Z427,R427*IF(T427, 1, Constants!$B$11)*IF(U427, 1, Constants!$B$12),Constants!$B$13),"")</f>
        <v/>
      </c>
      <c r="AF427" s="97" t="str">
        <f aca="false">IF($AB427=Constants!$B$7,AD427*AE427,"")</f>
        <v/>
      </c>
      <c r="AG427" s="97" t="str">
        <f aca="false">IF($AB427=Constants!$B$7,IF(AA427,V427,Constants!$B$13),"")</f>
        <v/>
      </c>
      <c r="AH427" s="97" t="str">
        <f aca="false">IF($AB427=Constants!$B$7,IF(AA427,R427*IF(W427, 1, Constants!$B$11)*IF(X427, 1, Constants!$B$12),Constants!$B$13),"")</f>
        <v/>
      </c>
      <c r="AI427" s="97" t="str">
        <f aca="false">IF($AB427=Constants!$B$7,AG427*AH427,"")</f>
        <v/>
      </c>
      <c r="AJ427" s="97" t="str">
        <f aca="false">IF($AB427=Constants!$B$7,IF(AI427&gt;AF427,2,1),"")</f>
        <v/>
      </c>
      <c r="AK427" s="97" t="str">
        <f aca="false">IF($AB427=Constants!$B$7,IF(AJ427=1,2,1),"")</f>
        <v/>
      </c>
      <c r="AL427" s="97" t="str">
        <f aca="false">IF(ISBLANK($C427),"",IF($AB427&lt;&gt;Constants!$B$7,$AB427,IF(AJ427=1,AF427,AI427)))</f>
        <v/>
      </c>
      <c r="AM427" s="97" t="str">
        <f aca="false">IF(ISBLANK($C427),"",IF($AB427=Constants!$B$7,IF(ISNUMBER(AL427),RANK(AL427,$AL$8:$AL$507),Constants!$B$14),$AB427))</f>
        <v/>
      </c>
      <c r="AN427" s="97" t="str">
        <f aca="false">IF(ISBLANK($C427),"",IF($AB427=Constants!$B$7,IF(AK427=1,AF427,AI427),""))</f>
        <v/>
      </c>
      <c r="AO427" s="97" t="str">
        <f aca="false">IF(ISBLANK($C427),"",IF($AB427=Constants!$B$7,RANK(AN427,$AN$8:$AN$507),$AB427))</f>
        <v/>
      </c>
      <c r="AP427" s="97" t="str">
        <f aca="false">IF(ISBLANK($C427),"",IF($AB427=Constants!$B$7,IF(ISNUMBER(AM427),COUNTIFS($AM$8:$AM$507,"&lt;"&amp;$AM427)+COUNTIFS($AM$8:$AM$507,$AM427,$AO$8:$AO$507,"&lt;"&amp;$AO427)+1,Constants!$B$14),$AB427))</f>
        <v/>
      </c>
      <c r="AQ427" s="97" t="str">
        <f aca="false">IF(ISBLANK($C427),"",IF($AB427=Constants!$B$7,IF(ISNUMBER(AM427),AM427-AP427,Constants!$B$14),$AB427))</f>
        <v/>
      </c>
      <c r="AR427" s="98"/>
      <c r="AS427" s="99" t="str">
        <f aca="false">IF(ISBLANK($C427),"",IF($AB427&lt;&gt;Constants!$B$7,"",AJ427))</f>
        <v/>
      </c>
      <c r="AT427" s="100" t="str">
        <f aca="false">IF(ISBLANK($C427),"",IF($AB427&lt;&gt;Constants!$B$7,"",IF(AJ427=1,AD427,AG427)))</f>
        <v/>
      </c>
      <c r="AU427" s="101" t="str">
        <f aca="false">IF(ISBLANK($C427),"",IF($AB427&lt;&gt;Constants!$B$7,"",IF(AJ427=1,AE427,AH427)))</f>
        <v/>
      </c>
      <c r="AV427" s="102" t="str">
        <f aca="false">IF(ISBLANK($C427),"",IF($AB427&lt;&gt;Constants!$B$7,$AB427,AL427))</f>
        <v/>
      </c>
      <c r="AW427" s="103" t="str">
        <f aca="false">IF(ISBLANK($C427),"",IF($AB427&lt;&gt;Constants!$B$7,$AB427,AC427))</f>
        <v/>
      </c>
      <c r="AX427" s="104" t="str">
        <f aca="false">IF(ISBLANK($C427),"",AQ427)</f>
        <v/>
      </c>
      <c r="AY427" s="104" t="str">
        <f aca="false">IF(ISBLANK($C427),"",AP427)</f>
        <v/>
      </c>
      <c r="AZ427" s="105" t="str">
        <f aca="false">IF(ISBLANK($C427),"",IF(AY427=Constants!$B$4,COUNTA($C$8:$C$507)+2,IF(AY427=Constants!$B$5,COUNTA($C$8:$C$507)+1,IF(AY427=Constants!$B$6,COUNTA($C$8:$C$507),AY427))))</f>
        <v/>
      </c>
      <c r="BA427" s="5"/>
      <c r="BB427" s="106" t="n">
        <f aca="false">IF(OR(ISNUMBER(AY427),AY427=Constants!$B$4,AY427=Constants!$B$6,AY427=Constants!$B$5),1,0)</f>
        <v>0</v>
      </c>
      <c r="BC427" s="106" t="n">
        <v>420</v>
      </c>
      <c r="BD427" s="106" t="str">
        <f aca="false">IF(ISBLANK($C427),"",IF(ISNUMBER(AZ427),AZ427+ROW($B427)/1000,""))</f>
        <v/>
      </c>
      <c r="BE427" s="106" t="str">
        <f aca="false">IF(ISNUMBER(BD427),RANK(BD427,$BD$8:$BD$507,1),"")</f>
        <v/>
      </c>
      <c r="BF427" s="106" t="str">
        <f aca="false">IF(ISBLANK($C427),"",$B427)</f>
        <v/>
      </c>
      <c r="BG427" s="106" t="str">
        <f aca="false">IF(ISBLANK($C427),"",$C427)</f>
        <v/>
      </c>
      <c r="BH427" s="106" t="str">
        <f aca="false">IF(ISBLANK($C427),"",$D427)</f>
        <v/>
      </c>
      <c r="BI427" s="107" t="str">
        <f aca="false">AW427</f>
        <v/>
      </c>
      <c r="BJ427" s="108" t="str">
        <f aca="false">AV427</f>
        <v/>
      </c>
      <c r="BK427" s="106" t="str">
        <f aca="false">IF(ISBLANK($C427),"",AY427)</f>
        <v/>
      </c>
      <c r="BL427" s="109" t="str">
        <f aca="false">IF($BC427&gt;$BB$7,"",VLOOKUP($BC427,$BE$8:$BK$507,7,FALSE()))</f>
        <v/>
      </c>
      <c r="BM427" s="110" t="str">
        <f aca="false">IF($BC427&gt;$BB$7,"",VLOOKUP($BC427,$BE$8:$BK$507,2,FALSE()))</f>
        <v/>
      </c>
      <c r="BN427" s="110" t="str">
        <f aca="false">IF($BC427&gt;$BB$7,"",VLOOKUP($BC427,$BE$8:$BK$507,3,FALSE()))</f>
        <v/>
      </c>
      <c r="BO427" s="110" t="str">
        <f aca="false">IF($BC427&gt;$BB$7,"",VLOOKUP($BC427,$BE$8:$BK$507,4,FALSE()))</f>
        <v/>
      </c>
      <c r="BP427" s="110" t="str">
        <f aca="false">IF($BC427&gt;$BB$7,"",VLOOKUP($BC427,$BE$8:$BK$507,5,FALSE()))</f>
        <v/>
      </c>
      <c r="BQ427" s="111" t="str">
        <f aca="false">IF($BC427&gt;$BB$7,"",VLOOKUP($BC427,$BE$8:$BK$507,6,FALSE()))</f>
        <v/>
      </c>
      <c r="BR427" s="54"/>
    </row>
    <row r="428" customFormat="false" ht="15.75" hidden="false" customHeight="false" outlineLevel="0" collapsed="false">
      <c r="A428" s="5"/>
      <c r="B428" s="124"/>
      <c r="C428" s="56"/>
      <c r="D428" s="57"/>
      <c r="E428" s="83"/>
      <c r="F428" s="59"/>
      <c r="G428" s="60"/>
      <c r="H428" s="61"/>
      <c r="I428" s="62"/>
      <c r="J428" s="59"/>
      <c r="K428" s="60"/>
      <c r="L428" s="61"/>
      <c r="M428" s="62"/>
      <c r="N428" s="59"/>
      <c r="O428" s="83"/>
      <c r="P428" s="64"/>
      <c r="Q428" s="66" t="str">
        <f aca="false">IF(ISBLANK($C428),"",IF(E428=Constants!$B$2, TRUE(), IF(E428=Constants!$B$3, FALSE(), TRUE())))</f>
        <v/>
      </c>
      <c r="R428" s="66" t="str">
        <f aca="false">IF(ISBLANK($C428),"",IF(F428=Constants!$B$16,Constants!$B$9,IF(F428=Constants!$B$17,Constants!$B$10,Constants!$B$8)))</f>
        <v/>
      </c>
      <c r="S428" s="66" t="str">
        <f aca="false">IF(ISBLANK($C428),"",IF(COUNTA(G428:H428)=0,"",IF(AND(OR(ISBLANK(G428),AND(ISNUMBER(G428),G428&gt;=0)),OR(ISBLANK(H428),AND(ISNUMBER(H428),H428&gt;=0))),60*IF(ISBLANK(G428),0,G428)+IF(ISBLANK(H428),0,H428),"")))</f>
        <v/>
      </c>
      <c r="T428" s="66" t="str">
        <f aca="false">IF(ISBLANK($C428),"",IF(I428=Constants!$B$2, TRUE(), IF(I428=Constants!$B$3, FALSE(), TRUE())))</f>
        <v/>
      </c>
      <c r="U428" s="66" t="str">
        <f aca="false">IF(ISBLANK($C428),"",IF(J428=Constants!$B$2, TRUE(), IF(J428=Constants!$B$3, FALSE(), TRUE())))</f>
        <v/>
      </c>
      <c r="V428" s="66" t="str">
        <f aca="false">IF(ISBLANK($C428),"",IF(COUNTA(K428:L428)=0,"",IF(AND(OR(ISBLANK(K428),AND(ISNUMBER(K428),K428&gt;=0)),OR(ISBLANK(L428),AND(ISNUMBER(L428),L428&gt;=0))),60*IF(ISBLANK(K428),0,K428)+IF(ISBLANK(L428),0,L428),"")))</f>
        <v/>
      </c>
      <c r="W428" s="66" t="str">
        <f aca="false">IF(ISBLANK($C428),"",IF(M428=Constants!$B$2, TRUE(), IF(M428=Constants!$B$3, FALSE(), TRUE())))</f>
        <v/>
      </c>
      <c r="X428" s="66" t="str">
        <f aca="false">IF(ISBLANK($C428),"",IF(N428=Constants!$B$2, TRUE(), IF(N428=Constants!$B$3, FALSE(), TRUE())))</f>
        <v/>
      </c>
      <c r="Y428" s="66" t="str">
        <f aca="false">IF(ISBLANK($C428),"",IF(O428=Constants!$B$2, TRUE(), IF(O428=Constants!$B$3, FALSE(), FALSE())))</f>
        <v/>
      </c>
      <c r="Z428" s="66" t="str">
        <f aca="false">IF(ISBLANK($C428),"",AND(S428&lt;&gt;"",Q428))</f>
        <v/>
      </c>
      <c r="AA428" s="66" t="str">
        <f aca="false">IF(ISBLANK($C428),"",AND(V428&lt;&gt;"",Q428))</f>
        <v/>
      </c>
      <c r="AB428" s="66" t="str">
        <f aca="false">IF(ISBLANK($C428),"",IF(Y428,Constants!$B$4,IF(COUNTA(E428:N428)=0,Constants!$B$5,IF(NOT(Q428),Constants!$B$6,IF(AND(NOT(Z428),NOT(AA428)),Constants!$B$6,Constants!$B$7)))))</f>
        <v/>
      </c>
      <c r="AC428" s="66" t="str">
        <f aca="false">IF(ISBLANK($C428),"",IF($AB428&lt;&gt;Constants!$B$7,$AB428,Constants!$B$20))</f>
        <v/>
      </c>
      <c r="AD428" s="66" t="str">
        <f aca="false">IF($AB428=Constants!$B$7,IF(Z428,S428,Constants!$B$13),"")</f>
        <v/>
      </c>
      <c r="AE428" s="66" t="str">
        <f aca="false">IF($AB428=Constants!$B$7,IF(Z428,R428*IF(T428, 1, Constants!$B$11)*IF(U428, 1, Constants!$B$12),Constants!$B$13),"")</f>
        <v/>
      </c>
      <c r="AF428" s="66" t="str">
        <f aca="false">IF($AB428=Constants!$B$7,AD428*AE428,"")</f>
        <v/>
      </c>
      <c r="AG428" s="66" t="str">
        <f aca="false">IF($AB428=Constants!$B$7,IF(AA428,V428,Constants!$B$13),"")</f>
        <v/>
      </c>
      <c r="AH428" s="66" t="str">
        <f aca="false">IF($AB428=Constants!$B$7,IF(AA428,R428*IF(W428, 1, Constants!$B$11)*IF(X428, 1, Constants!$B$12),Constants!$B$13),"")</f>
        <v/>
      </c>
      <c r="AI428" s="66" t="str">
        <f aca="false">IF($AB428=Constants!$B$7,AG428*AH428,"")</f>
        <v/>
      </c>
      <c r="AJ428" s="66" t="str">
        <f aca="false">IF($AB428=Constants!$B$7,IF(AI428&gt;AF428,2,1),"")</f>
        <v/>
      </c>
      <c r="AK428" s="66" t="str">
        <f aca="false">IF($AB428=Constants!$B$7,IF(AJ428=1,2,1),"")</f>
        <v/>
      </c>
      <c r="AL428" s="66" t="str">
        <f aca="false">IF(ISBLANK($C428),"",IF($AB428&lt;&gt;Constants!$B$7,$AB428,IF(AJ428=1,AF428,AI428)))</f>
        <v/>
      </c>
      <c r="AM428" s="66" t="str">
        <f aca="false">IF(ISBLANK($C428),"",IF($AB428=Constants!$B$7,IF(ISNUMBER(AL428),RANK(AL428,$AL$8:$AL$507),Constants!$B$14),$AB428))</f>
        <v/>
      </c>
      <c r="AN428" s="66" t="str">
        <f aca="false">IF(ISBLANK($C428),"",IF($AB428=Constants!$B$7,IF(AK428=1,AF428,AI428),""))</f>
        <v/>
      </c>
      <c r="AO428" s="66" t="str">
        <f aca="false">IF(ISBLANK($C428),"",IF($AB428=Constants!$B$7,RANK(AN428,$AN$8:$AN$507),$AB428))</f>
        <v/>
      </c>
      <c r="AP428" s="66" t="str">
        <f aca="false">IF(ISBLANK($C428),"",IF($AB428=Constants!$B$7,IF(ISNUMBER(AM428),COUNTIFS($AM$8:$AM$507,"&lt;"&amp;$AM428)+COUNTIFS($AM$8:$AM$507,$AM428,$AO$8:$AO$507,"&lt;"&amp;$AO428)+1,Constants!$B$14),$AB428))</f>
        <v/>
      </c>
      <c r="AQ428" s="66" t="str">
        <f aca="false">IF(ISBLANK($C428),"",IF($AB428=Constants!$B$7,IF(ISNUMBER(AM428),AM428-AP428,Constants!$B$14),$AB428))</f>
        <v/>
      </c>
      <c r="AR428" s="68"/>
      <c r="AS428" s="69" t="str">
        <f aca="false">IF(ISBLANK($C428),"",IF($AB428&lt;&gt;Constants!$B$7,"",AJ428))</f>
        <v/>
      </c>
      <c r="AT428" s="84" t="str">
        <f aca="false">IF(ISBLANK($C428),"",IF($AB428&lt;&gt;Constants!$B$7,"",IF(AJ428=1,AD428,AG428)))</f>
        <v/>
      </c>
      <c r="AU428" s="71" t="str">
        <f aca="false">IF(ISBLANK($C428),"",IF($AB428&lt;&gt;Constants!$B$7,"",IF(AJ428=1,AE428,AH428)))</f>
        <v/>
      </c>
      <c r="AV428" s="72" t="str">
        <f aca="false">IF(ISBLANK($C428),"",IF($AB428&lt;&gt;Constants!$B$7,$AB428,AL428))</f>
        <v/>
      </c>
      <c r="AW428" s="73" t="str">
        <f aca="false">IF(ISBLANK($C428),"",IF($AB428&lt;&gt;Constants!$B$7,$AB428,AC428))</f>
        <v/>
      </c>
      <c r="AX428" s="74" t="str">
        <f aca="false">IF(ISBLANK($C428),"",AQ428)</f>
        <v/>
      </c>
      <c r="AY428" s="74" t="str">
        <f aca="false">IF(ISBLANK($C428),"",AP428)</f>
        <v/>
      </c>
      <c r="AZ428" s="75" t="str">
        <f aca="false">IF(ISBLANK($C428),"",IF(AY428=Constants!$B$4,COUNTA($C$8:$C$507)+2,IF(AY428=Constants!$B$5,COUNTA($C$8:$C$507)+1,IF(AY428=Constants!$B$6,COUNTA($C$8:$C$507),AY428))))</f>
        <v/>
      </c>
      <c r="BA428" s="5"/>
      <c r="BB428" s="76" t="n">
        <f aca="false">IF(OR(ISNUMBER(AY428),AY428=Constants!$B$4,AY428=Constants!$B$6,AY428=Constants!$B$5),1,0)</f>
        <v>0</v>
      </c>
      <c r="BC428" s="76" t="n">
        <v>421</v>
      </c>
      <c r="BD428" s="76" t="str">
        <f aca="false">IF(ISBLANK($C428),"",IF(ISNUMBER(AZ428),AZ428+ROW($B428)/1000,""))</f>
        <v/>
      </c>
      <c r="BE428" s="76" t="str">
        <f aca="false">IF(ISNUMBER(BD428),RANK(BD428,$BD$8:$BD$507,1),"")</f>
        <v/>
      </c>
      <c r="BF428" s="76" t="str">
        <f aca="false">IF(ISBLANK($C428),"",$B428)</f>
        <v/>
      </c>
      <c r="BG428" s="76" t="str">
        <f aca="false">IF(ISBLANK($C428),"",$C428)</f>
        <v/>
      </c>
      <c r="BH428" s="76" t="str">
        <f aca="false">IF(ISBLANK($C428),"",$D428)</f>
        <v/>
      </c>
      <c r="BI428" s="77" t="str">
        <f aca="false">AW428</f>
        <v/>
      </c>
      <c r="BJ428" s="78" t="str">
        <f aca="false">AV428</f>
        <v/>
      </c>
      <c r="BK428" s="76" t="str">
        <f aca="false">IF(ISBLANK($C428),"",AY428)</f>
        <v/>
      </c>
      <c r="BL428" s="79" t="str">
        <f aca="false">IF($BC428&gt;$BB$7,"",VLOOKUP($BC428,$BE$8:$BK$507,7,FALSE()))</f>
        <v/>
      </c>
      <c r="BM428" s="80" t="str">
        <f aca="false">IF($BC428&gt;$BB$7,"",VLOOKUP($BC428,$BE$8:$BK$507,2,FALSE()))</f>
        <v/>
      </c>
      <c r="BN428" s="80" t="str">
        <f aca="false">IF($BC428&gt;$BB$7,"",VLOOKUP($BC428,$BE$8:$BK$507,3,FALSE()))</f>
        <v/>
      </c>
      <c r="BO428" s="80" t="str">
        <f aca="false">IF($BC428&gt;$BB$7,"",VLOOKUP($BC428,$BE$8:$BK$507,4,FALSE()))</f>
        <v/>
      </c>
      <c r="BP428" s="80" t="str">
        <f aca="false">IF($BC428&gt;$BB$7,"",VLOOKUP($BC428,$BE$8:$BK$507,5,FALSE()))</f>
        <v/>
      </c>
      <c r="BQ428" s="81" t="str">
        <f aca="false">IF($BC428&gt;$BB$7,"",VLOOKUP($BC428,$BE$8:$BK$507,6,FALSE()))</f>
        <v/>
      </c>
      <c r="BR428" s="54"/>
    </row>
    <row r="429" customFormat="false" ht="15.75" hidden="false" customHeight="false" outlineLevel="0" collapsed="false">
      <c r="A429" s="5"/>
      <c r="B429" s="124"/>
      <c r="C429" s="56"/>
      <c r="D429" s="57"/>
      <c r="E429" s="83"/>
      <c r="F429" s="59"/>
      <c r="G429" s="60"/>
      <c r="H429" s="61"/>
      <c r="I429" s="62"/>
      <c r="J429" s="59"/>
      <c r="K429" s="60"/>
      <c r="L429" s="61"/>
      <c r="M429" s="62"/>
      <c r="N429" s="59"/>
      <c r="O429" s="83"/>
      <c r="P429" s="64"/>
      <c r="Q429" s="66" t="str">
        <f aca="false">IF(ISBLANK($C429),"",IF(E429=Constants!$B$2, TRUE(), IF(E429=Constants!$B$3, FALSE(), TRUE())))</f>
        <v/>
      </c>
      <c r="R429" s="66" t="str">
        <f aca="false">IF(ISBLANK($C429),"",IF(F429=Constants!$B$16,Constants!$B$9,IF(F429=Constants!$B$17,Constants!$B$10,Constants!$B$8)))</f>
        <v/>
      </c>
      <c r="S429" s="66" t="str">
        <f aca="false">IF(ISBLANK($C429),"",IF(COUNTA(G429:H429)=0,"",IF(AND(OR(ISBLANK(G429),AND(ISNUMBER(G429),G429&gt;=0)),OR(ISBLANK(H429),AND(ISNUMBER(H429),H429&gt;=0))),60*IF(ISBLANK(G429),0,G429)+IF(ISBLANK(H429),0,H429),"")))</f>
        <v/>
      </c>
      <c r="T429" s="66" t="str">
        <f aca="false">IF(ISBLANK($C429),"",IF(I429=Constants!$B$2, TRUE(), IF(I429=Constants!$B$3, FALSE(), TRUE())))</f>
        <v/>
      </c>
      <c r="U429" s="66" t="str">
        <f aca="false">IF(ISBLANK($C429),"",IF(J429=Constants!$B$2, TRUE(), IF(J429=Constants!$B$3, FALSE(), TRUE())))</f>
        <v/>
      </c>
      <c r="V429" s="66" t="str">
        <f aca="false">IF(ISBLANK($C429),"",IF(COUNTA(K429:L429)=0,"",IF(AND(OR(ISBLANK(K429),AND(ISNUMBER(K429),K429&gt;=0)),OR(ISBLANK(L429),AND(ISNUMBER(L429),L429&gt;=0))),60*IF(ISBLANK(K429),0,K429)+IF(ISBLANK(L429),0,L429),"")))</f>
        <v/>
      </c>
      <c r="W429" s="66" t="str">
        <f aca="false">IF(ISBLANK($C429),"",IF(M429=Constants!$B$2, TRUE(), IF(M429=Constants!$B$3, FALSE(), TRUE())))</f>
        <v/>
      </c>
      <c r="X429" s="66" t="str">
        <f aca="false">IF(ISBLANK($C429),"",IF(N429=Constants!$B$2, TRUE(), IF(N429=Constants!$B$3, FALSE(), TRUE())))</f>
        <v/>
      </c>
      <c r="Y429" s="66" t="str">
        <f aca="false">IF(ISBLANK($C429),"",IF(O429=Constants!$B$2, TRUE(), IF(O429=Constants!$B$3, FALSE(), FALSE())))</f>
        <v/>
      </c>
      <c r="Z429" s="66" t="str">
        <f aca="false">IF(ISBLANK($C429),"",AND(S429&lt;&gt;"",Q429))</f>
        <v/>
      </c>
      <c r="AA429" s="66" t="str">
        <f aca="false">IF(ISBLANK($C429),"",AND(V429&lt;&gt;"",Q429))</f>
        <v/>
      </c>
      <c r="AB429" s="66" t="str">
        <f aca="false">IF(ISBLANK($C429),"",IF(Y429,Constants!$B$4,IF(COUNTA(E429:N429)=0,Constants!$B$5,IF(NOT(Q429),Constants!$B$6,IF(AND(NOT(Z429),NOT(AA429)),Constants!$B$6,Constants!$B$7)))))</f>
        <v/>
      </c>
      <c r="AC429" s="66" t="str">
        <f aca="false">IF(ISBLANK($C429),"",IF($AB429&lt;&gt;Constants!$B$7,$AB429,Constants!$B$20))</f>
        <v/>
      </c>
      <c r="AD429" s="66" t="str">
        <f aca="false">IF($AB429=Constants!$B$7,IF(Z429,S429,Constants!$B$13),"")</f>
        <v/>
      </c>
      <c r="AE429" s="66" t="str">
        <f aca="false">IF($AB429=Constants!$B$7,IF(Z429,R429*IF(T429, 1, Constants!$B$11)*IF(U429, 1, Constants!$B$12),Constants!$B$13),"")</f>
        <v/>
      </c>
      <c r="AF429" s="66" t="str">
        <f aca="false">IF($AB429=Constants!$B$7,AD429*AE429,"")</f>
        <v/>
      </c>
      <c r="AG429" s="66" t="str">
        <f aca="false">IF($AB429=Constants!$B$7,IF(AA429,V429,Constants!$B$13),"")</f>
        <v/>
      </c>
      <c r="AH429" s="66" t="str">
        <f aca="false">IF($AB429=Constants!$B$7,IF(AA429,R429*IF(W429, 1, Constants!$B$11)*IF(X429, 1, Constants!$B$12),Constants!$B$13),"")</f>
        <v/>
      </c>
      <c r="AI429" s="66" t="str">
        <f aca="false">IF($AB429=Constants!$B$7,AG429*AH429,"")</f>
        <v/>
      </c>
      <c r="AJ429" s="66" t="str">
        <f aca="false">IF($AB429=Constants!$B$7,IF(AI429&gt;AF429,2,1),"")</f>
        <v/>
      </c>
      <c r="AK429" s="66" t="str">
        <f aca="false">IF($AB429=Constants!$B$7,IF(AJ429=1,2,1),"")</f>
        <v/>
      </c>
      <c r="AL429" s="66" t="str">
        <f aca="false">IF(ISBLANK($C429),"",IF($AB429&lt;&gt;Constants!$B$7,$AB429,IF(AJ429=1,AF429,AI429)))</f>
        <v/>
      </c>
      <c r="AM429" s="66" t="str">
        <f aca="false">IF(ISBLANK($C429),"",IF($AB429=Constants!$B$7,IF(ISNUMBER(AL429),RANK(AL429,$AL$8:$AL$507),Constants!$B$14),$AB429))</f>
        <v/>
      </c>
      <c r="AN429" s="66" t="str">
        <f aca="false">IF(ISBLANK($C429),"",IF($AB429=Constants!$B$7,IF(AK429=1,AF429,AI429),""))</f>
        <v/>
      </c>
      <c r="AO429" s="66" t="str">
        <f aca="false">IF(ISBLANK($C429),"",IF($AB429=Constants!$B$7,RANK(AN429,$AN$8:$AN$507),$AB429))</f>
        <v/>
      </c>
      <c r="AP429" s="66" t="str">
        <f aca="false">IF(ISBLANK($C429),"",IF($AB429=Constants!$B$7,IF(ISNUMBER(AM429),COUNTIFS($AM$8:$AM$507,"&lt;"&amp;$AM429)+COUNTIFS($AM$8:$AM$507,$AM429,$AO$8:$AO$507,"&lt;"&amp;$AO429)+1,Constants!$B$14),$AB429))</f>
        <v/>
      </c>
      <c r="AQ429" s="66" t="str">
        <f aca="false">IF(ISBLANK($C429),"",IF($AB429=Constants!$B$7,IF(ISNUMBER(AM429),AM429-AP429,Constants!$B$14),$AB429))</f>
        <v/>
      </c>
      <c r="AR429" s="68"/>
      <c r="AS429" s="69" t="str">
        <f aca="false">IF(ISBLANK($C429),"",IF($AB429&lt;&gt;Constants!$B$7,"",AJ429))</f>
        <v/>
      </c>
      <c r="AT429" s="84" t="str">
        <f aca="false">IF(ISBLANK($C429),"",IF($AB429&lt;&gt;Constants!$B$7,"",IF(AJ429=1,AD429,AG429)))</f>
        <v/>
      </c>
      <c r="AU429" s="71" t="str">
        <f aca="false">IF(ISBLANK($C429),"",IF($AB429&lt;&gt;Constants!$B$7,"",IF(AJ429=1,AE429,AH429)))</f>
        <v/>
      </c>
      <c r="AV429" s="72" t="str">
        <f aca="false">IF(ISBLANK($C429),"",IF($AB429&lt;&gt;Constants!$B$7,$AB429,AL429))</f>
        <v/>
      </c>
      <c r="AW429" s="73" t="str">
        <f aca="false">IF(ISBLANK($C429),"",IF($AB429&lt;&gt;Constants!$B$7,$AB429,AC429))</f>
        <v/>
      </c>
      <c r="AX429" s="74" t="str">
        <f aca="false">IF(ISBLANK($C429),"",AQ429)</f>
        <v/>
      </c>
      <c r="AY429" s="74" t="str">
        <f aca="false">IF(ISBLANK($C429),"",AP429)</f>
        <v/>
      </c>
      <c r="AZ429" s="75" t="str">
        <f aca="false">IF(ISBLANK($C429),"",IF(AY429=Constants!$B$4,COUNTA($C$8:$C$507)+2,IF(AY429=Constants!$B$5,COUNTA($C$8:$C$507)+1,IF(AY429=Constants!$B$6,COUNTA($C$8:$C$507),AY429))))</f>
        <v/>
      </c>
      <c r="BA429" s="5"/>
      <c r="BB429" s="76" t="n">
        <f aca="false">IF(OR(ISNUMBER(AY429),AY429=Constants!$B$4,AY429=Constants!$B$6,AY429=Constants!$B$5),1,0)</f>
        <v>0</v>
      </c>
      <c r="BC429" s="76" t="n">
        <v>422</v>
      </c>
      <c r="BD429" s="76" t="str">
        <f aca="false">IF(ISBLANK($C429),"",IF(ISNUMBER(AZ429),AZ429+ROW($B429)/1000,""))</f>
        <v/>
      </c>
      <c r="BE429" s="76" t="str">
        <f aca="false">IF(ISNUMBER(BD429),RANK(BD429,$BD$8:$BD$507,1),"")</f>
        <v/>
      </c>
      <c r="BF429" s="76" t="str">
        <f aca="false">IF(ISBLANK($C429),"",$B429)</f>
        <v/>
      </c>
      <c r="BG429" s="76" t="str">
        <f aca="false">IF(ISBLANK($C429),"",$C429)</f>
        <v/>
      </c>
      <c r="BH429" s="76" t="str">
        <f aca="false">IF(ISBLANK($C429),"",$D429)</f>
        <v/>
      </c>
      <c r="BI429" s="77" t="str">
        <f aca="false">AW429</f>
        <v/>
      </c>
      <c r="BJ429" s="78" t="str">
        <f aca="false">AV429</f>
        <v/>
      </c>
      <c r="BK429" s="76" t="str">
        <f aca="false">IF(ISBLANK($C429),"",AY429)</f>
        <v/>
      </c>
      <c r="BL429" s="79" t="str">
        <f aca="false">IF($BC429&gt;$BB$7,"",VLOOKUP($BC429,$BE$8:$BK$507,7,FALSE()))</f>
        <v/>
      </c>
      <c r="BM429" s="80" t="str">
        <f aca="false">IF($BC429&gt;$BB$7,"",VLOOKUP($BC429,$BE$8:$BK$507,2,FALSE()))</f>
        <v/>
      </c>
      <c r="BN429" s="80" t="str">
        <f aca="false">IF($BC429&gt;$BB$7,"",VLOOKUP($BC429,$BE$8:$BK$507,3,FALSE()))</f>
        <v/>
      </c>
      <c r="BO429" s="80" t="str">
        <f aca="false">IF($BC429&gt;$BB$7,"",VLOOKUP($BC429,$BE$8:$BK$507,4,FALSE()))</f>
        <v/>
      </c>
      <c r="BP429" s="80" t="str">
        <f aca="false">IF($BC429&gt;$BB$7,"",VLOOKUP($BC429,$BE$8:$BK$507,5,FALSE()))</f>
        <v/>
      </c>
      <c r="BQ429" s="81" t="str">
        <f aca="false">IF($BC429&gt;$BB$7,"",VLOOKUP($BC429,$BE$8:$BK$507,6,FALSE()))</f>
        <v/>
      </c>
      <c r="BR429" s="54"/>
    </row>
    <row r="430" customFormat="false" ht="15.75" hidden="false" customHeight="false" outlineLevel="0" collapsed="false">
      <c r="A430" s="5"/>
      <c r="B430" s="124"/>
      <c r="C430" s="56"/>
      <c r="D430" s="57"/>
      <c r="E430" s="83"/>
      <c r="F430" s="59"/>
      <c r="G430" s="60"/>
      <c r="H430" s="61"/>
      <c r="I430" s="62"/>
      <c r="J430" s="59"/>
      <c r="K430" s="60"/>
      <c r="L430" s="61"/>
      <c r="M430" s="62"/>
      <c r="N430" s="59"/>
      <c r="O430" s="83"/>
      <c r="P430" s="64"/>
      <c r="Q430" s="66" t="str">
        <f aca="false">IF(ISBLANK($C430),"",IF(E430=Constants!$B$2, TRUE(), IF(E430=Constants!$B$3, FALSE(), TRUE())))</f>
        <v/>
      </c>
      <c r="R430" s="66" t="str">
        <f aca="false">IF(ISBLANK($C430),"",IF(F430=Constants!$B$16,Constants!$B$9,IF(F430=Constants!$B$17,Constants!$B$10,Constants!$B$8)))</f>
        <v/>
      </c>
      <c r="S430" s="66" t="str">
        <f aca="false">IF(ISBLANK($C430),"",IF(COUNTA(G430:H430)=0,"",IF(AND(OR(ISBLANK(G430),AND(ISNUMBER(G430),G430&gt;=0)),OR(ISBLANK(H430),AND(ISNUMBER(H430),H430&gt;=0))),60*IF(ISBLANK(G430),0,G430)+IF(ISBLANK(H430),0,H430),"")))</f>
        <v/>
      </c>
      <c r="T430" s="66" t="str">
        <f aca="false">IF(ISBLANK($C430),"",IF(I430=Constants!$B$2, TRUE(), IF(I430=Constants!$B$3, FALSE(), TRUE())))</f>
        <v/>
      </c>
      <c r="U430" s="66" t="str">
        <f aca="false">IF(ISBLANK($C430),"",IF(J430=Constants!$B$2, TRUE(), IF(J430=Constants!$B$3, FALSE(), TRUE())))</f>
        <v/>
      </c>
      <c r="V430" s="66" t="str">
        <f aca="false">IF(ISBLANK($C430),"",IF(COUNTA(K430:L430)=0,"",IF(AND(OR(ISBLANK(K430),AND(ISNUMBER(K430),K430&gt;=0)),OR(ISBLANK(L430),AND(ISNUMBER(L430),L430&gt;=0))),60*IF(ISBLANK(K430),0,K430)+IF(ISBLANK(L430),0,L430),"")))</f>
        <v/>
      </c>
      <c r="W430" s="66" t="str">
        <f aca="false">IF(ISBLANK($C430),"",IF(M430=Constants!$B$2, TRUE(), IF(M430=Constants!$B$3, FALSE(), TRUE())))</f>
        <v/>
      </c>
      <c r="X430" s="66" t="str">
        <f aca="false">IF(ISBLANK($C430),"",IF(N430=Constants!$B$2, TRUE(), IF(N430=Constants!$B$3, FALSE(), TRUE())))</f>
        <v/>
      </c>
      <c r="Y430" s="66" t="str">
        <f aca="false">IF(ISBLANK($C430),"",IF(O430=Constants!$B$2, TRUE(), IF(O430=Constants!$B$3, FALSE(), FALSE())))</f>
        <v/>
      </c>
      <c r="Z430" s="66" t="str">
        <f aca="false">IF(ISBLANK($C430),"",AND(S430&lt;&gt;"",Q430))</f>
        <v/>
      </c>
      <c r="AA430" s="66" t="str">
        <f aca="false">IF(ISBLANK($C430),"",AND(V430&lt;&gt;"",Q430))</f>
        <v/>
      </c>
      <c r="AB430" s="66" t="str">
        <f aca="false">IF(ISBLANK($C430),"",IF(Y430,Constants!$B$4,IF(COUNTA(E430:N430)=0,Constants!$B$5,IF(NOT(Q430),Constants!$B$6,IF(AND(NOT(Z430),NOT(AA430)),Constants!$B$6,Constants!$B$7)))))</f>
        <v/>
      </c>
      <c r="AC430" s="66" t="str">
        <f aca="false">IF(ISBLANK($C430),"",IF($AB430&lt;&gt;Constants!$B$7,$AB430,Constants!$B$20))</f>
        <v/>
      </c>
      <c r="AD430" s="66" t="str">
        <f aca="false">IF($AB430=Constants!$B$7,IF(Z430,S430,Constants!$B$13),"")</f>
        <v/>
      </c>
      <c r="AE430" s="66" t="str">
        <f aca="false">IF($AB430=Constants!$B$7,IF(Z430,R430*IF(T430, 1, Constants!$B$11)*IF(U430, 1, Constants!$B$12),Constants!$B$13),"")</f>
        <v/>
      </c>
      <c r="AF430" s="66" t="str">
        <f aca="false">IF($AB430=Constants!$B$7,AD430*AE430,"")</f>
        <v/>
      </c>
      <c r="AG430" s="66" t="str">
        <f aca="false">IF($AB430=Constants!$B$7,IF(AA430,V430,Constants!$B$13),"")</f>
        <v/>
      </c>
      <c r="AH430" s="66" t="str">
        <f aca="false">IF($AB430=Constants!$B$7,IF(AA430,R430*IF(W430, 1, Constants!$B$11)*IF(X430, 1, Constants!$B$12),Constants!$B$13),"")</f>
        <v/>
      </c>
      <c r="AI430" s="66" t="str">
        <f aca="false">IF($AB430=Constants!$B$7,AG430*AH430,"")</f>
        <v/>
      </c>
      <c r="AJ430" s="66" t="str">
        <f aca="false">IF($AB430=Constants!$B$7,IF(AI430&gt;AF430,2,1),"")</f>
        <v/>
      </c>
      <c r="AK430" s="66" t="str">
        <f aca="false">IF($AB430=Constants!$B$7,IF(AJ430=1,2,1),"")</f>
        <v/>
      </c>
      <c r="AL430" s="66" t="str">
        <f aca="false">IF(ISBLANK($C430),"",IF($AB430&lt;&gt;Constants!$B$7,$AB430,IF(AJ430=1,AF430,AI430)))</f>
        <v/>
      </c>
      <c r="AM430" s="66" t="str">
        <f aca="false">IF(ISBLANK($C430),"",IF($AB430=Constants!$B$7,IF(ISNUMBER(AL430),RANK(AL430,$AL$8:$AL$507),Constants!$B$14),$AB430))</f>
        <v/>
      </c>
      <c r="AN430" s="66" t="str">
        <f aca="false">IF(ISBLANK($C430),"",IF($AB430=Constants!$B$7,IF(AK430=1,AF430,AI430),""))</f>
        <v/>
      </c>
      <c r="AO430" s="66" t="str">
        <f aca="false">IF(ISBLANK($C430),"",IF($AB430=Constants!$B$7,RANK(AN430,$AN$8:$AN$507),$AB430))</f>
        <v/>
      </c>
      <c r="AP430" s="66" t="str">
        <f aca="false">IF(ISBLANK($C430),"",IF($AB430=Constants!$B$7,IF(ISNUMBER(AM430),COUNTIFS($AM$8:$AM$507,"&lt;"&amp;$AM430)+COUNTIFS($AM$8:$AM$507,$AM430,$AO$8:$AO$507,"&lt;"&amp;$AO430)+1,Constants!$B$14),$AB430))</f>
        <v/>
      </c>
      <c r="AQ430" s="66" t="str">
        <f aca="false">IF(ISBLANK($C430),"",IF($AB430=Constants!$B$7,IF(ISNUMBER(AM430),AM430-AP430,Constants!$B$14),$AB430))</f>
        <v/>
      </c>
      <c r="AR430" s="68"/>
      <c r="AS430" s="69" t="str">
        <f aca="false">IF(ISBLANK($C430),"",IF($AB430&lt;&gt;Constants!$B$7,"",AJ430))</f>
        <v/>
      </c>
      <c r="AT430" s="84" t="str">
        <f aca="false">IF(ISBLANK($C430),"",IF($AB430&lt;&gt;Constants!$B$7,"",IF(AJ430=1,AD430,AG430)))</f>
        <v/>
      </c>
      <c r="AU430" s="71" t="str">
        <f aca="false">IF(ISBLANK($C430),"",IF($AB430&lt;&gt;Constants!$B$7,"",IF(AJ430=1,AE430,AH430)))</f>
        <v/>
      </c>
      <c r="AV430" s="72" t="str">
        <f aca="false">IF(ISBLANK($C430),"",IF($AB430&lt;&gt;Constants!$B$7,$AB430,AL430))</f>
        <v/>
      </c>
      <c r="AW430" s="73" t="str">
        <f aca="false">IF(ISBLANK($C430),"",IF($AB430&lt;&gt;Constants!$B$7,$AB430,AC430))</f>
        <v/>
      </c>
      <c r="AX430" s="74" t="str">
        <f aca="false">IF(ISBLANK($C430),"",AQ430)</f>
        <v/>
      </c>
      <c r="AY430" s="74" t="str">
        <f aca="false">IF(ISBLANK($C430),"",AP430)</f>
        <v/>
      </c>
      <c r="AZ430" s="75" t="str">
        <f aca="false">IF(ISBLANK($C430),"",IF(AY430=Constants!$B$4,COUNTA($C$8:$C$507)+2,IF(AY430=Constants!$B$5,COUNTA($C$8:$C$507)+1,IF(AY430=Constants!$B$6,COUNTA($C$8:$C$507),AY430))))</f>
        <v/>
      </c>
      <c r="BA430" s="5"/>
      <c r="BB430" s="76" t="n">
        <f aca="false">IF(OR(ISNUMBER(AY430),AY430=Constants!$B$4,AY430=Constants!$B$6,AY430=Constants!$B$5),1,0)</f>
        <v>0</v>
      </c>
      <c r="BC430" s="76" t="n">
        <v>423</v>
      </c>
      <c r="BD430" s="76" t="str">
        <f aca="false">IF(ISBLANK($C430),"",IF(ISNUMBER(AZ430),AZ430+ROW($B430)/1000,""))</f>
        <v/>
      </c>
      <c r="BE430" s="76" t="str">
        <f aca="false">IF(ISNUMBER(BD430),RANK(BD430,$BD$8:$BD$507,1),"")</f>
        <v/>
      </c>
      <c r="BF430" s="76" t="str">
        <f aca="false">IF(ISBLANK($C430),"",$B430)</f>
        <v/>
      </c>
      <c r="BG430" s="76" t="str">
        <f aca="false">IF(ISBLANK($C430),"",$C430)</f>
        <v/>
      </c>
      <c r="BH430" s="76" t="str">
        <f aca="false">IF(ISBLANK($C430),"",$D430)</f>
        <v/>
      </c>
      <c r="BI430" s="77" t="str">
        <f aca="false">AW430</f>
        <v/>
      </c>
      <c r="BJ430" s="78" t="str">
        <f aca="false">AV430</f>
        <v/>
      </c>
      <c r="BK430" s="76" t="str">
        <f aca="false">IF(ISBLANK($C430),"",AY430)</f>
        <v/>
      </c>
      <c r="BL430" s="79" t="str">
        <f aca="false">IF($BC430&gt;$BB$7,"",VLOOKUP($BC430,$BE$8:$BK$507,7,FALSE()))</f>
        <v/>
      </c>
      <c r="BM430" s="80" t="str">
        <f aca="false">IF($BC430&gt;$BB$7,"",VLOOKUP($BC430,$BE$8:$BK$507,2,FALSE()))</f>
        <v/>
      </c>
      <c r="BN430" s="80" t="str">
        <f aca="false">IF($BC430&gt;$BB$7,"",VLOOKUP($BC430,$BE$8:$BK$507,3,FALSE()))</f>
        <v/>
      </c>
      <c r="BO430" s="80" t="str">
        <f aca="false">IF($BC430&gt;$BB$7,"",VLOOKUP($BC430,$BE$8:$BK$507,4,FALSE()))</f>
        <v/>
      </c>
      <c r="BP430" s="80" t="str">
        <f aca="false">IF($BC430&gt;$BB$7,"",VLOOKUP($BC430,$BE$8:$BK$507,5,FALSE()))</f>
        <v/>
      </c>
      <c r="BQ430" s="81" t="str">
        <f aca="false">IF($BC430&gt;$BB$7,"",VLOOKUP($BC430,$BE$8:$BK$507,6,FALSE()))</f>
        <v/>
      </c>
      <c r="BR430" s="54"/>
    </row>
    <row r="431" customFormat="false" ht="15.75" hidden="false" customHeight="false" outlineLevel="0" collapsed="false">
      <c r="A431" s="5"/>
      <c r="B431" s="120"/>
      <c r="C431" s="121"/>
      <c r="D431" s="112"/>
      <c r="E431" s="123"/>
      <c r="F431" s="91"/>
      <c r="G431" s="92"/>
      <c r="H431" s="93"/>
      <c r="I431" s="94"/>
      <c r="J431" s="91"/>
      <c r="K431" s="92"/>
      <c r="L431" s="93"/>
      <c r="M431" s="94"/>
      <c r="N431" s="91"/>
      <c r="O431" s="123"/>
      <c r="P431" s="96"/>
      <c r="Q431" s="97" t="str">
        <f aca="false">IF(ISBLANK($C431),"",IF(E431=Constants!$B$2, TRUE(), IF(E431=Constants!$B$3, FALSE(), TRUE())))</f>
        <v/>
      </c>
      <c r="R431" s="97" t="str">
        <f aca="false">IF(ISBLANK($C431),"",IF(F431=Constants!$B$16,Constants!$B$9,IF(F431=Constants!$B$17,Constants!$B$10,Constants!$B$8)))</f>
        <v/>
      </c>
      <c r="S431" s="97" t="str">
        <f aca="false">IF(ISBLANK($C431),"",IF(COUNTA(G431:H431)=0,"",IF(AND(OR(ISBLANK(G431),AND(ISNUMBER(G431),G431&gt;=0)),OR(ISBLANK(H431),AND(ISNUMBER(H431),H431&gt;=0))),60*IF(ISBLANK(G431),0,G431)+IF(ISBLANK(H431),0,H431),"")))</f>
        <v/>
      </c>
      <c r="T431" s="97" t="str">
        <f aca="false">IF(ISBLANK($C431),"",IF(I431=Constants!$B$2, TRUE(), IF(I431=Constants!$B$3, FALSE(), TRUE())))</f>
        <v/>
      </c>
      <c r="U431" s="97" t="str">
        <f aca="false">IF(ISBLANK($C431),"",IF(J431=Constants!$B$2, TRUE(), IF(J431=Constants!$B$3, FALSE(), TRUE())))</f>
        <v/>
      </c>
      <c r="V431" s="97" t="str">
        <f aca="false">IF(ISBLANK($C431),"",IF(COUNTA(K431:L431)=0,"",IF(AND(OR(ISBLANK(K431),AND(ISNUMBER(K431),K431&gt;=0)),OR(ISBLANK(L431),AND(ISNUMBER(L431),L431&gt;=0))),60*IF(ISBLANK(K431),0,K431)+IF(ISBLANK(L431),0,L431),"")))</f>
        <v/>
      </c>
      <c r="W431" s="97" t="str">
        <f aca="false">IF(ISBLANK($C431),"",IF(M431=Constants!$B$2, TRUE(), IF(M431=Constants!$B$3, FALSE(), TRUE())))</f>
        <v/>
      </c>
      <c r="X431" s="97" t="str">
        <f aca="false">IF(ISBLANK($C431),"",IF(N431=Constants!$B$2, TRUE(), IF(N431=Constants!$B$3, FALSE(), TRUE())))</f>
        <v/>
      </c>
      <c r="Y431" s="97" t="str">
        <f aca="false">IF(ISBLANK($C431),"",IF(O431=Constants!$B$2, TRUE(), IF(O431=Constants!$B$3, FALSE(), FALSE())))</f>
        <v/>
      </c>
      <c r="Z431" s="97" t="str">
        <f aca="false">IF(ISBLANK($C431),"",AND(S431&lt;&gt;"",Q431))</f>
        <v/>
      </c>
      <c r="AA431" s="97" t="str">
        <f aca="false">IF(ISBLANK($C431),"",AND(V431&lt;&gt;"",Q431))</f>
        <v/>
      </c>
      <c r="AB431" s="97" t="str">
        <f aca="false">IF(ISBLANK($C431),"",IF(Y431,Constants!$B$4,IF(COUNTA(E431:N431)=0,Constants!$B$5,IF(NOT(Q431),Constants!$B$6,IF(AND(NOT(Z431),NOT(AA431)),Constants!$B$6,Constants!$B$7)))))</f>
        <v/>
      </c>
      <c r="AC431" s="97" t="str">
        <f aca="false">IF(ISBLANK($C431),"",IF($AB431&lt;&gt;Constants!$B$7,$AB431,Constants!$B$20))</f>
        <v/>
      </c>
      <c r="AD431" s="97" t="str">
        <f aca="false">IF($AB431=Constants!$B$7,IF(Z431,S431,Constants!$B$13),"")</f>
        <v/>
      </c>
      <c r="AE431" s="97" t="str">
        <f aca="false">IF($AB431=Constants!$B$7,IF(Z431,R431*IF(T431, 1, Constants!$B$11)*IF(U431, 1, Constants!$B$12),Constants!$B$13),"")</f>
        <v/>
      </c>
      <c r="AF431" s="97" t="str">
        <f aca="false">IF($AB431=Constants!$B$7,AD431*AE431,"")</f>
        <v/>
      </c>
      <c r="AG431" s="97" t="str">
        <f aca="false">IF($AB431=Constants!$B$7,IF(AA431,V431,Constants!$B$13),"")</f>
        <v/>
      </c>
      <c r="AH431" s="97" t="str">
        <f aca="false">IF($AB431=Constants!$B$7,IF(AA431,R431*IF(W431, 1, Constants!$B$11)*IF(X431, 1, Constants!$B$12),Constants!$B$13),"")</f>
        <v/>
      </c>
      <c r="AI431" s="97" t="str">
        <f aca="false">IF($AB431=Constants!$B$7,AG431*AH431,"")</f>
        <v/>
      </c>
      <c r="AJ431" s="97" t="str">
        <f aca="false">IF($AB431=Constants!$B$7,IF(AI431&gt;AF431,2,1),"")</f>
        <v/>
      </c>
      <c r="AK431" s="97" t="str">
        <f aca="false">IF($AB431=Constants!$B$7,IF(AJ431=1,2,1),"")</f>
        <v/>
      </c>
      <c r="AL431" s="97" t="str">
        <f aca="false">IF(ISBLANK($C431),"",IF($AB431&lt;&gt;Constants!$B$7,$AB431,IF(AJ431=1,AF431,AI431)))</f>
        <v/>
      </c>
      <c r="AM431" s="97" t="str">
        <f aca="false">IF(ISBLANK($C431),"",IF($AB431=Constants!$B$7,IF(ISNUMBER(AL431),RANK(AL431,$AL$8:$AL$507),Constants!$B$14),$AB431))</f>
        <v/>
      </c>
      <c r="AN431" s="97" t="str">
        <f aca="false">IF(ISBLANK($C431),"",IF($AB431=Constants!$B$7,IF(AK431=1,AF431,AI431),""))</f>
        <v/>
      </c>
      <c r="AO431" s="97" t="str">
        <f aca="false">IF(ISBLANK($C431),"",IF($AB431=Constants!$B$7,RANK(AN431,$AN$8:$AN$507),$AB431))</f>
        <v/>
      </c>
      <c r="AP431" s="97" t="str">
        <f aca="false">IF(ISBLANK($C431),"",IF($AB431=Constants!$B$7,IF(ISNUMBER(AM431),COUNTIFS($AM$8:$AM$507,"&lt;"&amp;$AM431)+COUNTIFS($AM$8:$AM$507,$AM431,$AO$8:$AO$507,"&lt;"&amp;$AO431)+1,Constants!$B$14),$AB431))</f>
        <v/>
      </c>
      <c r="AQ431" s="97" t="str">
        <f aca="false">IF(ISBLANK($C431),"",IF($AB431=Constants!$B$7,IF(ISNUMBER(AM431),AM431-AP431,Constants!$B$14),$AB431))</f>
        <v/>
      </c>
      <c r="AR431" s="98"/>
      <c r="AS431" s="99" t="str">
        <f aca="false">IF(ISBLANK($C431),"",IF($AB431&lt;&gt;Constants!$B$7,"",AJ431))</f>
        <v/>
      </c>
      <c r="AT431" s="100" t="str">
        <f aca="false">IF(ISBLANK($C431),"",IF($AB431&lt;&gt;Constants!$B$7,"",IF(AJ431=1,AD431,AG431)))</f>
        <v/>
      </c>
      <c r="AU431" s="101" t="str">
        <f aca="false">IF(ISBLANK($C431),"",IF($AB431&lt;&gt;Constants!$B$7,"",IF(AJ431=1,AE431,AH431)))</f>
        <v/>
      </c>
      <c r="AV431" s="102" t="str">
        <f aca="false">IF(ISBLANK($C431),"",IF($AB431&lt;&gt;Constants!$B$7,$AB431,AL431))</f>
        <v/>
      </c>
      <c r="AW431" s="103" t="str">
        <f aca="false">IF(ISBLANK($C431),"",IF($AB431&lt;&gt;Constants!$B$7,$AB431,AC431))</f>
        <v/>
      </c>
      <c r="AX431" s="104" t="str">
        <f aca="false">IF(ISBLANK($C431),"",AQ431)</f>
        <v/>
      </c>
      <c r="AY431" s="104" t="str">
        <f aca="false">IF(ISBLANK($C431),"",AP431)</f>
        <v/>
      </c>
      <c r="AZ431" s="105" t="str">
        <f aca="false">IF(ISBLANK($C431),"",IF(AY431=Constants!$B$4,COUNTA($C$8:$C$507)+2,IF(AY431=Constants!$B$5,COUNTA($C$8:$C$507)+1,IF(AY431=Constants!$B$6,COUNTA($C$8:$C$507),AY431))))</f>
        <v/>
      </c>
      <c r="BA431" s="5"/>
      <c r="BB431" s="106" t="n">
        <f aca="false">IF(OR(ISNUMBER(AY431),AY431=Constants!$B$4,AY431=Constants!$B$6,AY431=Constants!$B$5),1,0)</f>
        <v>0</v>
      </c>
      <c r="BC431" s="106" t="n">
        <v>424</v>
      </c>
      <c r="BD431" s="106" t="str">
        <f aca="false">IF(ISBLANK($C431),"",IF(ISNUMBER(AZ431),AZ431+ROW($B431)/1000,""))</f>
        <v/>
      </c>
      <c r="BE431" s="106" t="str">
        <f aca="false">IF(ISNUMBER(BD431),RANK(BD431,$BD$8:$BD$507,1),"")</f>
        <v/>
      </c>
      <c r="BF431" s="106" t="str">
        <f aca="false">IF(ISBLANK($C431),"",$B431)</f>
        <v/>
      </c>
      <c r="BG431" s="106" t="str">
        <f aca="false">IF(ISBLANK($C431),"",$C431)</f>
        <v/>
      </c>
      <c r="BH431" s="106" t="str">
        <f aca="false">IF(ISBLANK($C431),"",$D431)</f>
        <v/>
      </c>
      <c r="BI431" s="107" t="str">
        <f aca="false">AW431</f>
        <v/>
      </c>
      <c r="BJ431" s="108" t="str">
        <f aca="false">AV431</f>
        <v/>
      </c>
      <c r="BK431" s="106" t="str">
        <f aca="false">IF(ISBLANK($C431),"",AY431)</f>
        <v/>
      </c>
      <c r="BL431" s="109" t="str">
        <f aca="false">IF($BC431&gt;$BB$7,"",VLOOKUP($BC431,$BE$8:$BK$507,7,FALSE()))</f>
        <v/>
      </c>
      <c r="BM431" s="110" t="str">
        <f aca="false">IF($BC431&gt;$BB$7,"",VLOOKUP($BC431,$BE$8:$BK$507,2,FALSE()))</f>
        <v/>
      </c>
      <c r="BN431" s="110" t="str">
        <f aca="false">IF($BC431&gt;$BB$7,"",VLOOKUP($BC431,$BE$8:$BK$507,3,FALSE()))</f>
        <v/>
      </c>
      <c r="BO431" s="110" t="str">
        <f aca="false">IF($BC431&gt;$BB$7,"",VLOOKUP($BC431,$BE$8:$BK$507,4,FALSE()))</f>
        <v/>
      </c>
      <c r="BP431" s="110" t="str">
        <f aca="false">IF($BC431&gt;$BB$7,"",VLOOKUP($BC431,$BE$8:$BK$507,5,FALSE()))</f>
        <v/>
      </c>
      <c r="BQ431" s="111" t="str">
        <f aca="false">IF($BC431&gt;$BB$7,"",VLOOKUP($BC431,$BE$8:$BK$507,6,FALSE()))</f>
        <v/>
      </c>
      <c r="BR431" s="54"/>
    </row>
    <row r="432" customFormat="false" ht="15.75" hidden="false" customHeight="false" outlineLevel="0" collapsed="false">
      <c r="A432" s="5"/>
      <c r="B432" s="120"/>
      <c r="C432" s="121"/>
      <c r="D432" s="112"/>
      <c r="E432" s="123"/>
      <c r="F432" s="91"/>
      <c r="G432" s="92"/>
      <c r="H432" s="93"/>
      <c r="I432" s="94"/>
      <c r="J432" s="91"/>
      <c r="K432" s="92"/>
      <c r="L432" s="93"/>
      <c r="M432" s="94"/>
      <c r="N432" s="91"/>
      <c r="O432" s="123"/>
      <c r="P432" s="96"/>
      <c r="Q432" s="97" t="str">
        <f aca="false">IF(ISBLANK($C432),"",IF(E432=Constants!$B$2, TRUE(), IF(E432=Constants!$B$3, FALSE(), TRUE())))</f>
        <v/>
      </c>
      <c r="R432" s="97" t="str">
        <f aca="false">IF(ISBLANK($C432),"",IF(F432=Constants!$B$16,Constants!$B$9,IF(F432=Constants!$B$17,Constants!$B$10,Constants!$B$8)))</f>
        <v/>
      </c>
      <c r="S432" s="97" t="str">
        <f aca="false">IF(ISBLANK($C432),"",IF(COUNTA(G432:H432)=0,"",IF(AND(OR(ISBLANK(G432),AND(ISNUMBER(G432),G432&gt;=0)),OR(ISBLANK(H432),AND(ISNUMBER(H432),H432&gt;=0))),60*IF(ISBLANK(G432),0,G432)+IF(ISBLANK(H432),0,H432),"")))</f>
        <v/>
      </c>
      <c r="T432" s="97" t="str">
        <f aca="false">IF(ISBLANK($C432),"",IF(I432=Constants!$B$2, TRUE(), IF(I432=Constants!$B$3, FALSE(), TRUE())))</f>
        <v/>
      </c>
      <c r="U432" s="97" t="str">
        <f aca="false">IF(ISBLANK($C432),"",IF(J432=Constants!$B$2, TRUE(), IF(J432=Constants!$B$3, FALSE(), TRUE())))</f>
        <v/>
      </c>
      <c r="V432" s="97" t="str">
        <f aca="false">IF(ISBLANK($C432),"",IF(COUNTA(K432:L432)=0,"",IF(AND(OR(ISBLANK(K432),AND(ISNUMBER(K432),K432&gt;=0)),OR(ISBLANK(L432),AND(ISNUMBER(L432),L432&gt;=0))),60*IF(ISBLANK(K432),0,K432)+IF(ISBLANK(L432),0,L432),"")))</f>
        <v/>
      </c>
      <c r="W432" s="97" t="str">
        <f aca="false">IF(ISBLANK($C432),"",IF(M432=Constants!$B$2, TRUE(), IF(M432=Constants!$B$3, FALSE(), TRUE())))</f>
        <v/>
      </c>
      <c r="X432" s="97" t="str">
        <f aca="false">IF(ISBLANK($C432),"",IF(N432=Constants!$B$2, TRUE(), IF(N432=Constants!$B$3, FALSE(), TRUE())))</f>
        <v/>
      </c>
      <c r="Y432" s="97" t="str">
        <f aca="false">IF(ISBLANK($C432),"",IF(O432=Constants!$B$2, TRUE(), IF(O432=Constants!$B$3, FALSE(), FALSE())))</f>
        <v/>
      </c>
      <c r="Z432" s="97" t="str">
        <f aca="false">IF(ISBLANK($C432),"",AND(S432&lt;&gt;"",Q432))</f>
        <v/>
      </c>
      <c r="AA432" s="97" t="str">
        <f aca="false">IF(ISBLANK($C432),"",AND(V432&lt;&gt;"",Q432))</f>
        <v/>
      </c>
      <c r="AB432" s="97" t="str">
        <f aca="false">IF(ISBLANK($C432),"",IF(Y432,Constants!$B$4,IF(COUNTA(E432:N432)=0,Constants!$B$5,IF(NOT(Q432),Constants!$B$6,IF(AND(NOT(Z432),NOT(AA432)),Constants!$B$6,Constants!$B$7)))))</f>
        <v/>
      </c>
      <c r="AC432" s="97" t="str">
        <f aca="false">IF(ISBLANK($C432),"",IF($AB432&lt;&gt;Constants!$B$7,$AB432,Constants!$B$20))</f>
        <v/>
      </c>
      <c r="AD432" s="97" t="str">
        <f aca="false">IF($AB432=Constants!$B$7,IF(Z432,S432,Constants!$B$13),"")</f>
        <v/>
      </c>
      <c r="AE432" s="97" t="str">
        <f aca="false">IF($AB432=Constants!$B$7,IF(Z432,R432*IF(T432, 1, Constants!$B$11)*IF(U432, 1, Constants!$B$12),Constants!$B$13),"")</f>
        <v/>
      </c>
      <c r="AF432" s="97" t="str">
        <f aca="false">IF($AB432=Constants!$B$7,AD432*AE432,"")</f>
        <v/>
      </c>
      <c r="AG432" s="97" t="str">
        <f aca="false">IF($AB432=Constants!$B$7,IF(AA432,V432,Constants!$B$13),"")</f>
        <v/>
      </c>
      <c r="AH432" s="97" t="str">
        <f aca="false">IF($AB432=Constants!$B$7,IF(AA432,R432*IF(W432, 1, Constants!$B$11)*IF(X432, 1, Constants!$B$12),Constants!$B$13),"")</f>
        <v/>
      </c>
      <c r="AI432" s="97" t="str">
        <f aca="false">IF($AB432=Constants!$B$7,AG432*AH432,"")</f>
        <v/>
      </c>
      <c r="AJ432" s="97" t="str">
        <f aca="false">IF($AB432=Constants!$B$7,IF(AI432&gt;AF432,2,1),"")</f>
        <v/>
      </c>
      <c r="AK432" s="97" t="str">
        <f aca="false">IF($AB432=Constants!$B$7,IF(AJ432=1,2,1),"")</f>
        <v/>
      </c>
      <c r="AL432" s="97" t="str">
        <f aca="false">IF(ISBLANK($C432),"",IF($AB432&lt;&gt;Constants!$B$7,$AB432,IF(AJ432=1,AF432,AI432)))</f>
        <v/>
      </c>
      <c r="AM432" s="97" t="str">
        <f aca="false">IF(ISBLANK($C432),"",IF($AB432=Constants!$B$7,IF(ISNUMBER(AL432),RANK(AL432,$AL$8:$AL$507),Constants!$B$14),$AB432))</f>
        <v/>
      </c>
      <c r="AN432" s="97" t="str">
        <f aca="false">IF(ISBLANK($C432),"",IF($AB432=Constants!$B$7,IF(AK432=1,AF432,AI432),""))</f>
        <v/>
      </c>
      <c r="AO432" s="97" t="str">
        <f aca="false">IF(ISBLANK($C432),"",IF($AB432=Constants!$B$7,RANK(AN432,$AN$8:$AN$507),$AB432))</f>
        <v/>
      </c>
      <c r="AP432" s="97" t="str">
        <f aca="false">IF(ISBLANK($C432),"",IF($AB432=Constants!$B$7,IF(ISNUMBER(AM432),COUNTIFS($AM$8:$AM$507,"&lt;"&amp;$AM432)+COUNTIFS($AM$8:$AM$507,$AM432,$AO$8:$AO$507,"&lt;"&amp;$AO432)+1,Constants!$B$14),$AB432))</f>
        <v/>
      </c>
      <c r="AQ432" s="97" t="str">
        <f aca="false">IF(ISBLANK($C432),"",IF($AB432=Constants!$B$7,IF(ISNUMBER(AM432),AM432-AP432,Constants!$B$14),$AB432))</f>
        <v/>
      </c>
      <c r="AR432" s="98"/>
      <c r="AS432" s="99" t="str">
        <f aca="false">IF(ISBLANK($C432),"",IF($AB432&lt;&gt;Constants!$B$7,"",AJ432))</f>
        <v/>
      </c>
      <c r="AT432" s="100" t="str">
        <f aca="false">IF(ISBLANK($C432),"",IF($AB432&lt;&gt;Constants!$B$7,"",IF(AJ432=1,AD432,AG432)))</f>
        <v/>
      </c>
      <c r="AU432" s="101" t="str">
        <f aca="false">IF(ISBLANK($C432),"",IF($AB432&lt;&gt;Constants!$B$7,"",IF(AJ432=1,AE432,AH432)))</f>
        <v/>
      </c>
      <c r="AV432" s="102" t="str">
        <f aca="false">IF(ISBLANK($C432),"",IF($AB432&lt;&gt;Constants!$B$7,$AB432,AL432))</f>
        <v/>
      </c>
      <c r="AW432" s="103" t="str">
        <f aca="false">IF(ISBLANK($C432),"",IF($AB432&lt;&gt;Constants!$B$7,$AB432,AC432))</f>
        <v/>
      </c>
      <c r="AX432" s="104" t="str">
        <f aca="false">IF(ISBLANK($C432),"",AQ432)</f>
        <v/>
      </c>
      <c r="AY432" s="104" t="str">
        <f aca="false">IF(ISBLANK($C432),"",AP432)</f>
        <v/>
      </c>
      <c r="AZ432" s="105" t="str">
        <f aca="false">IF(ISBLANK($C432),"",IF(AY432=Constants!$B$4,COUNTA($C$8:$C$507)+2,IF(AY432=Constants!$B$5,COUNTA($C$8:$C$507)+1,IF(AY432=Constants!$B$6,COUNTA($C$8:$C$507),AY432))))</f>
        <v/>
      </c>
      <c r="BA432" s="5"/>
      <c r="BB432" s="106" t="n">
        <f aca="false">IF(OR(ISNUMBER(AY432),AY432=Constants!$B$4,AY432=Constants!$B$6,AY432=Constants!$B$5),1,0)</f>
        <v>0</v>
      </c>
      <c r="BC432" s="106" t="n">
        <v>425</v>
      </c>
      <c r="BD432" s="106" t="str">
        <f aca="false">IF(ISBLANK($C432),"",IF(ISNUMBER(AZ432),AZ432+ROW($B432)/1000,""))</f>
        <v/>
      </c>
      <c r="BE432" s="106" t="str">
        <f aca="false">IF(ISNUMBER(BD432),RANK(BD432,$BD$8:$BD$507,1),"")</f>
        <v/>
      </c>
      <c r="BF432" s="106" t="str">
        <f aca="false">IF(ISBLANK($C432),"",$B432)</f>
        <v/>
      </c>
      <c r="BG432" s="106" t="str">
        <f aca="false">IF(ISBLANK($C432),"",$C432)</f>
        <v/>
      </c>
      <c r="BH432" s="106" t="str">
        <f aca="false">IF(ISBLANK($C432),"",$D432)</f>
        <v/>
      </c>
      <c r="BI432" s="107" t="str">
        <f aca="false">AW432</f>
        <v/>
      </c>
      <c r="BJ432" s="108" t="str">
        <f aca="false">AV432</f>
        <v/>
      </c>
      <c r="BK432" s="106" t="str">
        <f aca="false">IF(ISBLANK($C432),"",AY432)</f>
        <v/>
      </c>
      <c r="BL432" s="109" t="str">
        <f aca="false">IF($BC432&gt;$BB$7,"",VLOOKUP($BC432,$BE$8:$BK$507,7,FALSE()))</f>
        <v/>
      </c>
      <c r="BM432" s="110" t="str">
        <f aca="false">IF($BC432&gt;$BB$7,"",VLOOKUP($BC432,$BE$8:$BK$507,2,FALSE()))</f>
        <v/>
      </c>
      <c r="BN432" s="110" t="str">
        <f aca="false">IF($BC432&gt;$BB$7,"",VLOOKUP($BC432,$BE$8:$BK$507,3,FALSE()))</f>
        <v/>
      </c>
      <c r="BO432" s="110" t="str">
        <f aca="false">IF($BC432&gt;$BB$7,"",VLOOKUP($BC432,$BE$8:$BK$507,4,FALSE()))</f>
        <v/>
      </c>
      <c r="BP432" s="110" t="str">
        <f aca="false">IF($BC432&gt;$BB$7,"",VLOOKUP($BC432,$BE$8:$BK$507,5,FALSE()))</f>
        <v/>
      </c>
      <c r="BQ432" s="111" t="str">
        <f aca="false">IF($BC432&gt;$BB$7,"",VLOOKUP($BC432,$BE$8:$BK$507,6,FALSE()))</f>
        <v/>
      </c>
      <c r="BR432" s="54"/>
    </row>
    <row r="433" customFormat="false" ht="15.75" hidden="false" customHeight="false" outlineLevel="0" collapsed="false">
      <c r="A433" s="5"/>
      <c r="B433" s="120"/>
      <c r="C433" s="121"/>
      <c r="D433" s="112"/>
      <c r="E433" s="123"/>
      <c r="F433" s="91"/>
      <c r="G433" s="92"/>
      <c r="H433" s="93"/>
      <c r="I433" s="94"/>
      <c r="J433" s="91"/>
      <c r="K433" s="92"/>
      <c r="L433" s="93"/>
      <c r="M433" s="94"/>
      <c r="N433" s="91"/>
      <c r="O433" s="123"/>
      <c r="P433" s="96"/>
      <c r="Q433" s="97" t="str">
        <f aca="false">IF(ISBLANK($C433),"",IF(E433=Constants!$B$2, TRUE(), IF(E433=Constants!$B$3, FALSE(), TRUE())))</f>
        <v/>
      </c>
      <c r="R433" s="97" t="str">
        <f aca="false">IF(ISBLANK($C433),"",IF(F433=Constants!$B$16,Constants!$B$9,IF(F433=Constants!$B$17,Constants!$B$10,Constants!$B$8)))</f>
        <v/>
      </c>
      <c r="S433" s="97" t="str">
        <f aca="false">IF(ISBLANK($C433),"",IF(COUNTA(G433:H433)=0,"",IF(AND(OR(ISBLANK(G433),AND(ISNUMBER(G433),G433&gt;=0)),OR(ISBLANK(H433),AND(ISNUMBER(H433),H433&gt;=0))),60*IF(ISBLANK(G433),0,G433)+IF(ISBLANK(H433),0,H433),"")))</f>
        <v/>
      </c>
      <c r="T433" s="97" t="str">
        <f aca="false">IF(ISBLANK($C433),"",IF(I433=Constants!$B$2, TRUE(), IF(I433=Constants!$B$3, FALSE(), TRUE())))</f>
        <v/>
      </c>
      <c r="U433" s="97" t="str">
        <f aca="false">IF(ISBLANK($C433),"",IF(J433=Constants!$B$2, TRUE(), IF(J433=Constants!$B$3, FALSE(), TRUE())))</f>
        <v/>
      </c>
      <c r="V433" s="97" t="str">
        <f aca="false">IF(ISBLANK($C433),"",IF(COUNTA(K433:L433)=0,"",IF(AND(OR(ISBLANK(K433),AND(ISNUMBER(K433),K433&gt;=0)),OR(ISBLANK(L433),AND(ISNUMBER(L433),L433&gt;=0))),60*IF(ISBLANK(K433),0,K433)+IF(ISBLANK(L433),0,L433),"")))</f>
        <v/>
      </c>
      <c r="W433" s="97" t="str">
        <f aca="false">IF(ISBLANK($C433),"",IF(M433=Constants!$B$2, TRUE(), IF(M433=Constants!$B$3, FALSE(), TRUE())))</f>
        <v/>
      </c>
      <c r="X433" s="97" t="str">
        <f aca="false">IF(ISBLANK($C433),"",IF(N433=Constants!$B$2, TRUE(), IF(N433=Constants!$B$3, FALSE(), TRUE())))</f>
        <v/>
      </c>
      <c r="Y433" s="97" t="str">
        <f aca="false">IF(ISBLANK($C433),"",IF(O433=Constants!$B$2, TRUE(), IF(O433=Constants!$B$3, FALSE(), FALSE())))</f>
        <v/>
      </c>
      <c r="Z433" s="97" t="str">
        <f aca="false">IF(ISBLANK($C433),"",AND(S433&lt;&gt;"",Q433))</f>
        <v/>
      </c>
      <c r="AA433" s="97" t="str">
        <f aca="false">IF(ISBLANK($C433),"",AND(V433&lt;&gt;"",Q433))</f>
        <v/>
      </c>
      <c r="AB433" s="97" t="str">
        <f aca="false">IF(ISBLANK($C433),"",IF(Y433,Constants!$B$4,IF(COUNTA(E433:N433)=0,Constants!$B$5,IF(NOT(Q433),Constants!$B$6,IF(AND(NOT(Z433),NOT(AA433)),Constants!$B$6,Constants!$B$7)))))</f>
        <v/>
      </c>
      <c r="AC433" s="97" t="str">
        <f aca="false">IF(ISBLANK($C433),"",IF($AB433&lt;&gt;Constants!$B$7,$AB433,Constants!$B$20))</f>
        <v/>
      </c>
      <c r="AD433" s="97" t="str">
        <f aca="false">IF($AB433=Constants!$B$7,IF(Z433,S433,Constants!$B$13),"")</f>
        <v/>
      </c>
      <c r="AE433" s="97" t="str">
        <f aca="false">IF($AB433=Constants!$B$7,IF(Z433,R433*IF(T433, 1, Constants!$B$11)*IF(U433, 1, Constants!$B$12),Constants!$B$13),"")</f>
        <v/>
      </c>
      <c r="AF433" s="97" t="str">
        <f aca="false">IF($AB433=Constants!$B$7,AD433*AE433,"")</f>
        <v/>
      </c>
      <c r="AG433" s="97" t="str">
        <f aca="false">IF($AB433=Constants!$B$7,IF(AA433,V433,Constants!$B$13),"")</f>
        <v/>
      </c>
      <c r="AH433" s="97" t="str">
        <f aca="false">IF($AB433=Constants!$B$7,IF(AA433,R433*IF(W433, 1, Constants!$B$11)*IF(X433, 1, Constants!$B$12),Constants!$B$13),"")</f>
        <v/>
      </c>
      <c r="AI433" s="97" t="str">
        <f aca="false">IF($AB433=Constants!$B$7,AG433*AH433,"")</f>
        <v/>
      </c>
      <c r="AJ433" s="97" t="str">
        <f aca="false">IF($AB433=Constants!$B$7,IF(AI433&gt;AF433,2,1),"")</f>
        <v/>
      </c>
      <c r="AK433" s="97" t="str">
        <f aca="false">IF($AB433=Constants!$B$7,IF(AJ433=1,2,1),"")</f>
        <v/>
      </c>
      <c r="AL433" s="97" t="str">
        <f aca="false">IF(ISBLANK($C433),"",IF($AB433&lt;&gt;Constants!$B$7,$AB433,IF(AJ433=1,AF433,AI433)))</f>
        <v/>
      </c>
      <c r="AM433" s="97" t="str">
        <f aca="false">IF(ISBLANK($C433),"",IF($AB433=Constants!$B$7,IF(ISNUMBER(AL433),RANK(AL433,$AL$8:$AL$507),Constants!$B$14),$AB433))</f>
        <v/>
      </c>
      <c r="AN433" s="97" t="str">
        <f aca="false">IF(ISBLANK($C433),"",IF($AB433=Constants!$B$7,IF(AK433=1,AF433,AI433),""))</f>
        <v/>
      </c>
      <c r="AO433" s="97" t="str">
        <f aca="false">IF(ISBLANK($C433),"",IF($AB433=Constants!$B$7,RANK(AN433,$AN$8:$AN$507),$AB433))</f>
        <v/>
      </c>
      <c r="AP433" s="97" t="str">
        <f aca="false">IF(ISBLANK($C433),"",IF($AB433=Constants!$B$7,IF(ISNUMBER(AM433),COUNTIFS($AM$8:$AM$507,"&lt;"&amp;$AM433)+COUNTIFS($AM$8:$AM$507,$AM433,$AO$8:$AO$507,"&lt;"&amp;$AO433)+1,Constants!$B$14),$AB433))</f>
        <v/>
      </c>
      <c r="AQ433" s="97" t="str">
        <f aca="false">IF(ISBLANK($C433),"",IF($AB433=Constants!$B$7,IF(ISNUMBER(AM433),AM433-AP433,Constants!$B$14),$AB433))</f>
        <v/>
      </c>
      <c r="AR433" s="98"/>
      <c r="AS433" s="99" t="str">
        <f aca="false">IF(ISBLANK($C433),"",IF($AB433&lt;&gt;Constants!$B$7,"",AJ433))</f>
        <v/>
      </c>
      <c r="AT433" s="100" t="str">
        <f aca="false">IF(ISBLANK($C433),"",IF($AB433&lt;&gt;Constants!$B$7,"",IF(AJ433=1,AD433,AG433)))</f>
        <v/>
      </c>
      <c r="AU433" s="101" t="str">
        <f aca="false">IF(ISBLANK($C433),"",IF($AB433&lt;&gt;Constants!$B$7,"",IF(AJ433=1,AE433,AH433)))</f>
        <v/>
      </c>
      <c r="AV433" s="102" t="str">
        <f aca="false">IF(ISBLANK($C433),"",IF($AB433&lt;&gt;Constants!$B$7,$AB433,AL433))</f>
        <v/>
      </c>
      <c r="AW433" s="103" t="str">
        <f aca="false">IF(ISBLANK($C433),"",IF($AB433&lt;&gt;Constants!$B$7,$AB433,AC433))</f>
        <v/>
      </c>
      <c r="AX433" s="104" t="str">
        <f aca="false">IF(ISBLANK($C433),"",AQ433)</f>
        <v/>
      </c>
      <c r="AY433" s="104" t="str">
        <f aca="false">IF(ISBLANK($C433),"",AP433)</f>
        <v/>
      </c>
      <c r="AZ433" s="105" t="str">
        <f aca="false">IF(ISBLANK($C433),"",IF(AY433=Constants!$B$4,COUNTA($C$8:$C$507)+2,IF(AY433=Constants!$B$5,COUNTA($C$8:$C$507)+1,IF(AY433=Constants!$B$6,COUNTA($C$8:$C$507),AY433))))</f>
        <v/>
      </c>
      <c r="BA433" s="5"/>
      <c r="BB433" s="106" t="n">
        <f aca="false">IF(OR(ISNUMBER(AY433),AY433=Constants!$B$4,AY433=Constants!$B$6,AY433=Constants!$B$5),1,0)</f>
        <v>0</v>
      </c>
      <c r="BC433" s="106" t="n">
        <v>426</v>
      </c>
      <c r="BD433" s="106" t="str">
        <f aca="false">IF(ISBLANK($C433),"",IF(ISNUMBER(AZ433),AZ433+ROW($B433)/1000,""))</f>
        <v/>
      </c>
      <c r="BE433" s="106" t="str">
        <f aca="false">IF(ISNUMBER(BD433),RANK(BD433,$BD$8:$BD$507,1),"")</f>
        <v/>
      </c>
      <c r="BF433" s="106" t="str">
        <f aca="false">IF(ISBLANK($C433),"",$B433)</f>
        <v/>
      </c>
      <c r="BG433" s="106" t="str">
        <f aca="false">IF(ISBLANK($C433),"",$C433)</f>
        <v/>
      </c>
      <c r="BH433" s="106" t="str">
        <f aca="false">IF(ISBLANK($C433),"",$D433)</f>
        <v/>
      </c>
      <c r="BI433" s="107" t="str">
        <f aca="false">AW433</f>
        <v/>
      </c>
      <c r="BJ433" s="108" t="str">
        <f aca="false">AV433</f>
        <v/>
      </c>
      <c r="BK433" s="106" t="str">
        <f aca="false">IF(ISBLANK($C433),"",AY433)</f>
        <v/>
      </c>
      <c r="BL433" s="109" t="str">
        <f aca="false">IF($BC433&gt;$BB$7,"",VLOOKUP($BC433,$BE$8:$BK$507,7,FALSE()))</f>
        <v/>
      </c>
      <c r="BM433" s="110" t="str">
        <f aca="false">IF($BC433&gt;$BB$7,"",VLOOKUP($BC433,$BE$8:$BK$507,2,FALSE()))</f>
        <v/>
      </c>
      <c r="BN433" s="110" t="str">
        <f aca="false">IF($BC433&gt;$BB$7,"",VLOOKUP($BC433,$BE$8:$BK$507,3,FALSE()))</f>
        <v/>
      </c>
      <c r="BO433" s="110" t="str">
        <f aca="false">IF($BC433&gt;$BB$7,"",VLOOKUP($BC433,$BE$8:$BK$507,4,FALSE()))</f>
        <v/>
      </c>
      <c r="BP433" s="110" t="str">
        <f aca="false">IF($BC433&gt;$BB$7,"",VLOOKUP($BC433,$BE$8:$BK$507,5,FALSE()))</f>
        <v/>
      </c>
      <c r="BQ433" s="111" t="str">
        <f aca="false">IF($BC433&gt;$BB$7,"",VLOOKUP($BC433,$BE$8:$BK$507,6,FALSE()))</f>
        <v/>
      </c>
      <c r="BR433" s="54"/>
    </row>
    <row r="434" customFormat="false" ht="15.75" hidden="false" customHeight="false" outlineLevel="0" collapsed="false">
      <c r="A434" s="5"/>
      <c r="B434" s="124"/>
      <c r="C434" s="56"/>
      <c r="D434" s="57"/>
      <c r="E434" s="83"/>
      <c r="F434" s="59"/>
      <c r="G434" s="60"/>
      <c r="H434" s="61"/>
      <c r="I434" s="62"/>
      <c r="J434" s="59"/>
      <c r="K434" s="60"/>
      <c r="L434" s="61"/>
      <c r="M434" s="62"/>
      <c r="N434" s="59"/>
      <c r="O434" s="83"/>
      <c r="P434" s="64"/>
      <c r="Q434" s="66" t="str">
        <f aca="false">IF(ISBLANK($C434),"",IF(E434=Constants!$B$2, TRUE(), IF(E434=Constants!$B$3, FALSE(), TRUE())))</f>
        <v/>
      </c>
      <c r="R434" s="66" t="str">
        <f aca="false">IF(ISBLANK($C434),"",IF(F434=Constants!$B$16,Constants!$B$9,IF(F434=Constants!$B$17,Constants!$B$10,Constants!$B$8)))</f>
        <v/>
      </c>
      <c r="S434" s="66" t="str">
        <f aca="false">IF(ISBLANK($C434),"",IF(COUNTA(G434:H434)=0,"",IF(AND(OR(ISBLANK(G434),AND(ISNUMBER(G434),G434&gt;=0)),OR(ISBLANK(H434),AND(ISNUMBER(H434),H434&gt;=0))),60*IF(ISBLANK(G434),0,G434)+IF(ISBLANK(H434),0,H434),"")))</f>
        <v/>
      </c>
      <c r="T434" s="66" t="str">
        <f aca="false">IF(ISBLANK($C434),"",IF(I434=Constants!$B$2, TRUE(), IF(I434=Constants!$B$3, FALSE(), TRUE())))</f>
        <v/>
      </c>
      <c r="U434" s="66" t="str">
        <f aca="false">IF(ISBLANK($C434),"",IF(J434=Constants!$B$2, TRUE(), IF(J434=Constants!$B$3, FALSE(), TRUE())))</f>
        <v/>
      </c>
      <c r="V434" s="66" t="str">
        <f aca="false">IF(ISBLANK($C434),"",IF(COUNTA(K434:L434)=0,"",IF(AND(OR(ISBLANK(K434),AND(ISNUMBER(K434),K434&gt;=0)),OR(ISBLANK(L434),AND(ISNUMBER(L434),L434&gt;=0))),60*IF(ISBLANK(K434),0,K434)+IF(ISBLANK(L434),0,L434),"")))</f>
        <v/>
      </c>
      <c r="W434" s="66" t="str">
        <f aca="false">IF(ISBLANK($C434),"",IF(M434=Constants!$B$2, TRUE(), IF(M434=Constants!$B$3, FALSE(), TRUE())))</f>
        <v/>
      </c>
      <c r="X434" s="66" t="str">
        <f aca="false">IF(ISBLANK($C434),"",IF(N434=Constants!$B$2, TRUE(), IF(N434=Constants!$B$3, FALSE(), TRUE())))</f>
        <v/>
      </c>
      <c r="Y434" s="66" t="str">
        <f aca="false">IF(ISBLANK($C434),"",IF(O434=Constants!$B$2, TRUE(), IF(O434=Constants!$B$3, FALSE(), FALSE())))</f>
        <v/>
      </c>
      <c r="Z434" s="66" t="str">
        <f aca="false">IF(ISBLANK($C434),"",AND(S434&lt;&gt;"",Q434))</f>
        <v/>
      </c>
      <c r="AA434" s="66" t="str">
        <f aca="false">IF(ISBLANK($C434),"",AND(V434&lt;&gt;"",Q434))</f>
        <v/>
      </c>
      <c r="AB434" s="66" t="str">
        <f aca="false">IF(ISBLANK($C434),"",IF(Y434,Constants!$B$4,IF(COUNTA(E434:N434)=0,Constants!$B$5,IF(NOT(Q434),Constants!$B$6,IF(AND(NOT(Z434),NOT(AA434)),Constants!$B$6,Constants!$B$7)))))</f>
        <v/>
      </c>
      <c r="AC434" s="66" t="str">
        <f aca="false">IF(ISBLANK($C434),"",IF($AB434&lt;&gt;Constants!$B$7,$AB434,Constants!$B$20))</f>
        <v/>
      </c>
      <c r="AD434" s="66" t="str">
        <f aca="false">IF($AB434=Constants!$B$7,IF(Z434,S434,Constants!$B$13),"")</f>
        <v/>
      </c>
      <c r="AE434" s="66" t="str">
        <f aca="false">IF($AB434=Constants!$B$7,IF(Z434,R434*IF(T434, 1, Constants!$B$11)*IF(U434, 1, Constants!$B$12),Constants!$B$13),"")</f>
        <v/>
      </c>
      <c r="AF434" s="66" t="str">
        <f aca="false">IF($AB434=Constants!$B$7,AD434*AE434,"")</f>
        <v/>
      </c>
      <c r="AG434" s="66" t="str">
        <f aca="false">IF($AB434=Constants!$B$7,IF(AA434,V434,Constants!$B$13),"")</f>
        <v/>
      </c>
      <c r="AH434" s="66" t="str">
        <f aca="false">IF($AB434=Constants!$B$7,IF(AA434,R434*IF(W434, 1, Constants!$B$11)*IF(X434, 1, Constants!$B$12),Constants!$B$13),"")</f>
        <v/>
      </c>
      <c r="AI434" s="66" t="str">
        <f aca="false">IF($AB434=Constants!$B$7,AG434*AH434,"")</f>
        <v/>
      </c>
      <c r="AJ434" s="66" t="str">
        <f aca="false">IF($AB434=Constants!$B$7,IF(AI434&gt;AF434,2,1),"")</f>
        <v/>
      </c>
      <c r="AK434" s="66" t="str">
        <f aca="false">IF($AB434=Constants!$B$7,IF(AJ434=1,2,1),"")</f>
        <v/>
      </c>
      <c r="AL434" s="66" t="str">
        <f aca="false">IF(ISBLANK($C434),"",IF($AB434&lt;&gt;Constants!$B$7,$AB434,IF(AJ434=1,AF434,AI434)))</f>
        <v/>
      </c>
      <c r="AM434" s="66" t="str">
        <f aca="false">IF(ISBLANK($C434),"",IF($AB434=Constants!$B$7,IF(ISNUMBER(AL434),RANK(AL434,$AL$8:$AL$507),Constants!$B$14),$AB434))</f>
        <v/>
      </c>
      <c r="AN434" s="66" t="str">
        <f aca="false">IF(ISBLANK($C434),"",IF($AB434=Constants!$B$7,IF(AK434=1,AF434,AI434),""))</f>
        <v/>
      </c>
      <c r="AO434" s="66" t="str">
        <f aca="false">IF(ISBLANK($C434),"",IF($AB434=Constants!$B$7,RANK(AN434,$AN$8:$AN$507),$AB434))</f>
        <v/>
      </c>
      <c r="AP434" s="66" t="str">
        <f aca="false">IF(ISBLANK($C434),"",IF($AB434=Constants!$B$7,IF(ISNUMBER(AM434),COUNTIFS($AM$8:$AM$507,"&lt;"&amp;$AM434)+COUNTIFS($AM$8:$AM$507,$AM434,$AO$8:$AO$507,"&lt;"&amp;$AO434)+1,Constants!$B$14),$AB434))</f>
        <v/>
      </c>
      <c r="AQ434" s="66" t="str">
        <f aca="false">IF(ISBLANK($C434),"",IF($AB434=Constants!$B$7,IF(ISNUMBER(AM434),AM434-AP434,Constants!$B$14),$AB434))</f>
        <v/>
      </c>
      <c r="AR434" s="68"/>
      <c r="AS434" s="69" t="str">
        <f aca="false">IF(ISBLANK($C434),"",IF($AB434&lt;&gt;Constants!$B$7,"",AJ434))</f>
        <v/>
      </c>
      <c r="AT434" s="84" t="str">
        <f aca="false">IF(ISBLANK($C434),"",IF($AB434&lt;&gt;Constants!$B$7,"",IF(AJ434=1,AD434,AG434)))</f>
        <v/>
      </c>
      <c r="AU434" s="71" t="str">
        <f aca="false">IF(ISBLANK($C434),"",IF($AB434&lt;&gt;Constants!$B$7,"",IF(AJ434=1,AE434,AH434)))</f>
        <v/>
      </c>
      <c r="AV434" s="72" t="str">
        <f aca="false">IF(ISBLANK($C434),"",IF($AB434&lt;&gt;Constants!$B$7,$AB434,AL434))</f>
        <v/>
      </c>
      <c r="AW434" s="73" t="str">
        <f aca="false">IF(ISBLANK($C434),"",IF($AB434&lt;&gt;Constants!$B$7,$AB434,AC434))</f>
        <v/>
      </c>
      <c r="AX434" s="74" t="str">
        <f aca="false">IF(ISBLANK($C434),"",AQ434)</f>
        <v/>
      </c>
      <c r="AY434" s="74" t="str">
        <f aca="false">IF(ISBLANK($C434),"",AP434)</f>
        <v/>
      </c>
      <c r="AZ434" s="75" t="str">
        <f aca="false">IF(ISBLANK($C434),"",IF(AY434=Constants!$B$4,COUNTA($C$8:$C$507)+2,IF(AY434=Constants!$B$5,COUNTA($C$8:$C$507)+1,IF(AY434=Constants!$B$6,COUNTA($C$8:$C$507),AY434))))</f>
        <v/>
      </c>
      <c r="BA434" s="5"/>
      <c r="BB434" s="76" t="n">
        <f aca="false">IF(OR(ISNUMBER(AY434),AY434=Constants!$B$4,AY434=Constants!$B$6,AY434=Constants!$B$5),1,0)</f>
        <v>0</v>
      </c>
      <c r="BC434" s="76" t="n">
        <v>427</v>
      </c>
      <c r="BD434" s="76" t="str">
        <f aca="false">IF(ISBLANK($C434),"",IF(ISNUMBER(AZ434),AZ434+ROW($B434)/1000,""))</f>
        <v/>
      </c>
      <c r="BE434" s="76" t="str">
        <f aca="false">IF(ISNUMBER(BD434),RANK(BD434,$BD$8:$BD$507,1),"")</f>
        <v/>
      </c>
      <c r="BF434" s="76" t="str">
        <f aca="false">IF(ISBLANK($C434),"",$B434)</f>
        <v/>
      </c>
      <c r="BG434" s="76" t="str">
        <f aca="false">IF(ISBLANK($C434),"",$C434)</f>
        <v/>
      </c>
      <c r="BH434" s="76" t="str">
        <f aca="false">IF(ISBLANK($C434),"",$D434)</f>
        <v/>
      </c>
      <c r="BI434" s="77" t="str">
        <f aca="false">AW434</f>
        <v/>
      </c>
      <c r="BJ434" s="78" t="str">
        <f aca="false">AV434</f>
        <v/>
      </c>
      <c r="BK434" s="76" t="str">
        <f aca="false">IF(ISBLANK($C434),"",AY434)</f>
        <v/>
      </c>
      <c r="BL434" s="79" t="str">
        <f aca="false">IF($BC434&gt;$BB$7,"",VLOOKUP($BC434,$BE$8:$BK$507,7,FALSE()))</f>
        <v/>
      </c>
      <c r="BM434" s="80" t="str">
        <f aca="false">IF($BC434&gt;$BB$7,"",VLOOKUP($BC434,$BE$8:$BK$507,2,FALSE()))</f>
        <v/>
      </c>
      <c r="BN434" s="80" t="str">
        <f aca="false">IF($BC434&gt;$BB$7,"",VLOOKUP($BC434,$BE$8:$BK$507,3,FALSE()))</f>
        <v/>
      </c>
      <c r="BO434" s="80" t="str">
        <f aca="false">IF($BC434&gt;$BB$7,"",VLOOKUP($BC434,$BE$8:$BK$507,4,FALSE()))</f>
        <v/>
      </c>
      <c r="BP434" s="80" t="str">
        <f aca="false">IF($BC434&gt;$BB$7,"",VLOOKUP($BC434,$BE$8:$BK$507,5,FALSE()))</f>
        <v/>
      </c>
      <c r="BQ434" s="81" t="str">
        <f aca="false">IF($BC434&gt;$BB$7,"",VLOOKUP($BC434,$BE$8:$BK$507,6,FALSE()))</f>
        <v/>
      </c>
      <c r="BR434" s="54"/>
    </row>
    <row r="435" customFormat="false" ht="15.75" hidden="false" customHeight="false" outlineLevel="0" collapsed="false">
      <c r="A435" s="5"/>
      <c r="B435" s="124"/>
      <c r="C435" s="56"/>
      <c r="D435" s="57"/>
      <c r="E435" s="83"/>
      <c r="F435" s="59"/>
      <c r="G435" s="60"/>
      <c r="H435" s="61"/>
      <c r="I435" s="62"/>
      <c r="J435" s="59"/>
      <c r="K435" s="60"/>
      <c r="L435" s="61"/>
      <c r="M435" s="62"/>
      <c r="N435" s="59"/>
      <c r="O435" s="83"/>
      <c r="P435" s="64"/>
      <c r="Q435" s="66" t="str">
        <f aca="false">IF(ISBLANK($C435),"",IF(E435=Constants!$B$2, TRUE(), IF(E435=Constants!$B$3, FALSE(), TRUE())))</f>
        <v/>
      </c>
      <c r="R435" s="66" t="str">
        <f aca="false">IF(ISBLANK($C435),"",IF(F435=Constants!$B$16,Constants!$B$9,IF(F435=Constants!$B$17,Constants!$B$10,Constants!$B$8)))</f>
        <v/>
      </c>
      <c r="S435" s="66" t="str">
        <f aca="false">IF(ISBLANK($C435),"",IF(COUNTA(G435:H435)=0,"",IF(AND(OR(ISBLANK(G435),AND(ISNUMBER(G435),G435&gt;=0)),OR(ISBLANK(H435),AND(ISNUMBER(H435),H435&gt;=0))),60*IF(ISBLANK(G435),0,G435)+IF(ISBLANK(H435),0,H435),"")))</f>
        <v/>
      </c>
      <c r="T435" s="66" t="str">
        <f aca="false">IF(ISBLANK($C435),"",IF(I435=Constants!$B$2, TRUE(), IF(I435=Constants!$B$3, FALSE(), TRUE())))</f>
        <v/>
      </c>
      <c r="U435" s="66" t="str">
        <f aca="false">IF(ISBLANK($C435),"",IF(J435=Constants!$B$2, TRUE(), IF(J435=Constants!$B$3, FALSE(), TRUE())))</f>
        <v/>
      </c>
      <c r="V435" s="66" t="str">
        <f aca="false">IF(ISBLANK($C435),"",IF(COUNTA(K435:L435)=0,"",IF(AND(OR(ISBLANK(K435),AND(ISNUMBER(K435),K435&gt;=0)),OR(ISBLANK(L435),AND(ISNUMBER(L435),L435&gt;=0))),60*IF(ISBLANK(K435),0,K435)+IF(ISBLANK(L435),0,L435),"")))</f>
        <v/>
      </c>
      <c r="W435" s="66" t="str">
        <f aca="false">IF(ISBLANK($C435),"",IF(M435=Constants!$B$2, TRUE(), IF(M435=Constants!$B$3, FALSE(), TRUE())))</f>
        <v/>
      </c>
      <c r="X435" s="66" t="str">
        <f aca="false">IF(ISBLANK($C435),"",IF(N435=Constants!$B$2, TRUE(), IF(N435=Constants!$B$3, FALSE(), TRUE())))</f>
        <v/>
      </c>
      <c r="Y435" s="66" t="str">
        <f aca="false">IF(ISBLANK($C435),"",IF(O435=Constants!$B$2, TRUE(), IF(O435=Constants!$B$3, FALSE(), FALSE())))</f>
        <v/>
      </c>
      <c r="Z435" s="66" t="str">
        <f aca="false">IF(ISBLANK($C435),"",AND(S435&lt;&gt;"",Q435))</f>
        <v/>
      </c>
      <c r="AA435" s="66" t="str">
        <f aca="false">IF(ISBLANK($C435),"",AND(V435&lt;&gt;"",Q435))</f>
        <v/>
      </c>
      <c r="AB435" s="66" t="str">
        <f aca="false">IF(ISBLANK($C435),"",IF(Y435,Constants!$B$4,IF(COUNTA(E435:N435)=0,Constants!$B$5,IF(NOT(Q435),Constants!$B$6,IF(AND(NOT(Z435),NOT(AA435)),Constants!$B$6,Constants!$B$7)))))</f>
        <v/>
      </c>
      <c r="AC435" s="66" t="str">
        <f aca="false">IF(ISBLANK($C435),"",IF($AB435&lt;&gt;Constants!$B$7,$AB435,Constants!$B$20))</f>
        <v/>
      </c>
      <c r="AD435" s="66" t="str">
        <f aca="false">IF($AB435=Constants!$B$7,IF(Z435,S435,Constants!$B$13),"")</f>
        <v/>
      </c>
      <c r="AE435" s="66" t="str">
        <f aca="false">IF($AB435=Constants!$B$7,IF(Z435,R435*IF(T435, 1, Constants!$B$11)*IF(U435, 1, Constants!$B$12),Constants!$B$13),"")</f>
        <v/>
      </c>
      <c r="AF435" s="66" t="str">
        <f aca="false">IF($AB435=Constants!$B$7,AD435*AE435,"")</f>
        <v/>
      </c>
      <c r="AG435" s="66" t="str">
        <f aca="false">IF($AB435=Constants!$B$7,IF(AA435,V435,Constants!$B$13),"")</f>
        <v/>
      </c>
      <c r="AH435" s="66" t="str">
        <f aca="false">IF($AB435=Constants!$B$7,IF(AA435,R435*IF(W435, 1, Constants!$B$11)*IF(X435, 1, Constants!$B$12),Constants!$B$13),"")</f>
        <v/>
      </c>
      <c r="AI435" s="66" t="str">
        <f aca="false">IF($AB435=Constants!$B$7,AG435*AH435,"")</f>
        <v/>
      </c>
      <c r="AJ435" s="66" t="str">
        <f aca="false">IF($AB435=Constants!$B$7,IF(AI435&gt;AF435,2,1),"")</f>
        <v/>
      </c>
      <c r="AK435" s="66" t="str">
        <f aca="false">IF($AB435=Constants!$B$7,IF(AJ435=1,2,1),"")</f>
        <v/>
      </c>
      <c r="AL435" s="66" t="str">
        <f aca="false">IF(ISBLANK($C435),"",IF($AB435&lt;&gt;Constants!$B$7,$AB435,IF(AJ435=1,AF435,AI435)))</f>
        <v/>
      </c>
      <c r="AM435" s="66" t="str">
        <f aca="false">IF(ISBLANK($C435),"",IF($AB435=Constants!$B$7,IF(ISNUMBER(AL435),RANK(AL435,$AL$8:$AL$507),Constants!$B$14),$AB435))</f>
        <v/>
      </c>
      <c r="AN435" s="66" t="str">
        <f aca="false">IF(ISBLANK($C435),"",IF($AB435=Constants!$B$7,IF(AK435=1,AF435,AI435),""))</f>
        <v/>
      </c>
      <c r="AO435" s="66" t="str">
        <f aca="false">IF(ISBLANK($C435),"",IF($AB435=Constants!$B$7,RANK(AN435,$AN$8:$AN$507),$AB435))</f>
        <v/>
      </c>
      <c r="AP435" s="66" t="str">
        <f aca="false">IF(ISBLANK($C435),"",IF($AB435=Constants!$B$7,IF(ISNUMBER(AM435),COUNTIFS($AM$8:$AM$507,"&lt;"&amp;$AM435)+COUNTIFS($AM$8:$AM$507,$AM435,$AO$8:$AO$507,"&lt;"&amp;$AO435)+1,Constants!$B$14),$AB435))</f>
        <v/>
      </c>
      <c r="AQ435" s="66" t="str">
        <f aca="false">IF(ISBLANK($C435),"",IF($AB435=Constants!$B$7,IF(ISNUMBER(AM435),AM435-AP435,Constants!$B$14),$AB435))</f>
        <v/>
      </c>
      <c r="AR435" s="68"/>
      <c r="AS435" s="69" t="str">
        <f aca="false">IF(ISBLANK($C435),"",IF($AB435&lt;&gt;Constants!$B$7,"",AJ435))</f>
        <v/>
      </c>
      <c r="AT435" s="84" t="str">
        <f aca="false">IF(ISBLANK($C435),"",IF($AB435&lt;&gt;Constants!$B$7,"",IF(AJ435=1,AD435,AG435)))</f>
        <v/>
      </c>
      <c r="AU435" s="71" t="str">
        <f aca="false">IF(ISBLANK($C435),"",IF($AB435&lt;&gt;Constants!$B$7,"",IF(AJ435=1,AE435,AH435)))</f>
        <v/>
      </c>
      <c r="AV435" s="72" t="str">
        <f aca="false">IF(ISBLANK($C435),"",IF($AB435&lt;&gt;Constants!$B$7,$AB435,AL435))</f>
        <v/>
      </c>
      <c r="AW435" s="73" t="str">
        <f aca="false">IF(ISBLANK($C435),"",IF($AB435&lt;&gt;Constants!$B$7,$AB435,AC435))</f>
        <v/>
      </c>
      <c r="AX435" s="74" t="str">
        <f aca="false">IF(ISBLANK($C435),"",AQ435)</f>
        <v/>
      </c>
      <c r="AY435" s="74" t="str">
        <f aca="false">IF(ISBLANK($C435),"",AP435)</f>
        <v/>
      </c>
      <c r="AZ435" s="75" t="str">
        <f aca="false">IF(ISBLANK($C435),"",IF(AY435=Constants!$B$4,COUNTA($C$8:$C$507)+2,IF(AY435=Constants!$B$5,COUNTA($C$8:$C$507)+1,IF(AY435=Constants!$B$6,COUNTA($C$8:$C$507),AY435))))</f>
        <v/>
      </c>
      <c r="BA435" s="5"/>
      <c r="BB435" s="76" t="n">
        <f aca="false">IF(OR(ISNUMBER(AY435),AY435=Constants!$B$4,AY435=Constants!$B$6,AY435=Constants!$B$5),1,0)</f>
        <v>0</v>
      </c>
      <c r="BC435" s="76" t="n">
        <v>428</v>
      </c>
      <c r="BD435" s="76" t="str">
        <f aca="false">IF(ISBLANK($C435),"",IF(ISNUMBER(AZ435),AZ435+ROW($B435)/1000,""))</f>
        <v/>
      </c>
      <c r="BE435" s="76" t="str">
        <f aca="false">IF(ISNUMBER(BD435),RANK(BD435,$BD$8:$BD$507,1),"")</f>
        <v/>
      </c>
      <c r="BF435" s="76" t="str">
        <f aca="false">IF(ISBLANK($C435),"",$B435)</f>
        <v/>
      </c>
      <c r="BG435" s="76" t="str">
        <f aca="false">IF(ISBLANK($C435),"",$C435)</f>
        <v/>
      </c>
      <c r="BH435" s="76" t="str">
        <f aca="false">IF(ISBLANK($C435),"",$D435)</f>
        <v/>
      </c>
      <c r="BI435" s="77" t="str">
        <f aca="false">AW435</f>
        <v/>
      </c>
      <c r="BJ435" s="78" t="str">
        <f aca="false">AV435</f>
        <v/>
      </c>
      <c r="BK435" s="76" t="str">
        <f aca="false">IF(ISBLANK($C435),"",AY435)</f>
        <v/>
      </c>
      <c r="BL435" s="79" t="str">
        <f aca="false">IF($BC435&gt;$BB$7,"",VLOOKUP($BC435,$BE$8:$BK$507,7,FALSE()))</f>
        <v/>
      </c>
      <c r="BM435" s="80" t="str">
        <f aca="false">IF($BC435&gt;$BB$7,"",VLOOKUP($BC435,$BE$8:$BK$507,2,FALSE()))</f>
        <v/>
      </c>
      <c r="BN435" s="80" t="str">
        <f aca="false">IF($BC435&gt;$BB$7,"",VLOOKUP($BC435,$BE$8:$BK$507,3,FALSE()))</f>
        <v/>
      </c>
      <c r="BO435" s="80" t="str">
        <f aca="false">IF($BC435&gt;$BB$7,"",VLOOKUP($BC435,$BE$8:$BK$507,4,FALSE()))</f>
        <v/>
      </c>
      <c r="BP435" s="80" t="str">
        <f aca="false">IF($BC435&gt;$BB$7,"",VLOOKUP($BC435,$BE$8:$BK$507,5,FALSE()))</f>
        <v/>
      </c>
      <c r="BQ435" s="81" t="str">
        <f aca="false">IF($BC435&gt;$BB$7,"",VLOOKUP($BC435,$BE$8:$BK$507,6,FALSE()))</f>
        <v/>
      </c>
      <c r="BR435" s="54"/>
    </row>
    <row r="436" customFormat="false" ht="15.75" hidden="false" customHeight="false" outlineLevel="0" collapsed="false">
      <c r="A436" s="5"/>
      <c r="B436" s="124"/>
      <c r="C436" s="56"/>
      <c r="D436" s="57"/>
      <c r="E436" s="83"/>
      <c r="F436" s="59"/>
      <c r="G436" s="60"/>
      <c r="H436" s="61"/>
      <c r="I436" s="62"/>
      <c r="J436" s="59"/>
      <c r="K436" s="60"/>
      <c r="L436" s="61"/>
      <c r="M436" s="62"/>
      <c r="N436" s="59"/>
      <c r="O436" s="83"/>
      <c r="P436" s="64"/>
      <c r="Q436" s="66" t="str">
        <f aca="false">IF(ISBLANK($C436),"",IF(E436=Constants!$B$2, TRUE(), IF(E436=Constants!$B$3, FALSE(), TRUE())))</f>
        <v/>
      </c>
      <c r="R436" s="66" t="str">
        <f aca="false">IF(ISBLANK($C436),"",IF(F436=Constants!$B$16,Constants!$B$9,IF(F436=Constants!$B$17,Constants!$B$10,Constants!$B$8)))</f>
        <v/>
      </c>
      <c r="S436" s="66" t="str">
        <f aca="false">IF(ISBLANK($C436),"",IF(COUNTA(G436:H436)=0,"",IF(AND(OR(ISBLANK(G436),AND(ISNUMBER(G436),G436&gt;=0)),OR(ISBLANK(H436),AND(ISNUMBER(H436),H436&gt;=0))),60*IF(ISBLANK(G436),0,G436)+IF(ISBLANK(H436),0,H436),"")))</f>
        <v/>
      </c>
      <c r="T436" s="66" t="str">
        <f aca="false">IF(ISBLANK($C436),"",IF(I436=Constants!$B$2, TRUE(), IF(I436=Constants!$B$3, FALSE(), TRUE())))</f>
        <v/>
      </c>
      <c r="U436" s="66" t="str">
        <f aca="false">IF(ISBLANK($C436),"",IF(J436=Constants!$B$2, TRUE(), IF(J436=Constants!$B$3, FALSE(), TRUE())))</f>
        <v/>
      </c>
      <c r="V436" s="66" t="str">
        <f aca="false">IF(ISBLANK($C436),"",IF(COUNTA(K436:L436)=0,"",IF(AND(OR(ISBLANK(K436),AND(ISNUMBER(K436),K436&gt;=0)),OR(ISBLANK(L436),AND(ISNUMBER(L436),L436&gt;=0))),60*IF(ISBLANK(K436),0,K436)+IF(ISBLANK(L436),0,L436),"")))</f>
        <v/>
      </c>
      <c r="W436" s="66" t="str">
        <f aca="false">IF(ISBLANK($C436),"",IF(M436=Constants!$B$2, TRUE(), IF(M436=Constants!$B$3, FALSE(), TRUE())))</f>
        <v/>
      </c>
      <c r="X436" s="66" t="str">
        <f aca="false">IF(ISBLANK($C436),"",IF(N436=Constants!$B$2, TRUE(), IF(N436=Constants!$B$3, FALSE(), TRUE())))</f>
        <v/>
      </c>
      <c r="Y436" s="66" t="str">
        <f aca="false">IF(ISBLANK($C436),"",IF(O436=Constants!$B$2, TRUE(), IF(O436=Constants!$B$3, FALSE(), FALSE())))</f>
        <v/>
      </c>
      <c r="Z436" s="66" t="str">
        <f aca="false">IF(ISBLANK($C436),"",AND(S436&lt;&gt;"",Q436))</f>
        <v/>
      </c>
      <c r="AA436" s="66" t="str">
        <f aca="false">IF(ISBLANK($C436),"",AND(V436&lt;&gt;"",Q436))</f>
        <v/>
      </c>
      <c r="AB436" s="66" t="str">
        <f aca="false">IF(ISBLANK($C436),"",IF(Y436,Constants!$B$4,IF(COUNTA(E436:N436)=0,Constants!$B$5,IF(NOT(Q436),Constants!$B$6,IF(AND(NOT(Z436),NOT(AA436)),Constants!$B$6,Constants!$B$7)))))</f>
        <v/>
      </c>
      <c r="AC436" s="66" t="str">
        <f aca="false">IF(ISBLANK($C436),"",IF($AB436&lt;&gt;Constants!$B$7,$AB436,Constants!$B$20))</f>
        <v/>
      </c>
      <c r="AD436" s="66" t="str">
        <f aca="false">IF($AB436=Constants!$B$7,IF(Z436,S436,Constants!$B$13),"")</f>
        <v/>
      </c>
      <c r="AE436" s="66" t="str">
        <f aca="false">IF($AB436=Constants!$B$7,IF(Z436,R436*IF(T436, 1, Constants!$B$11)*IF(U436, 1, Constants!$B$12),Constants!$B$13),"")</f>
        <v/>
      </c>
      <c r="AF436" s="66" t="str">
        <f aca="false">IF($AB436=Constants!$B$7,AD436*AE436,"")</f>
        <v/>
      </c>
      <c r="AG436" s="66" t="str">
        <f aca="false">IF($AB436=Constants!$B$7,IF(AA436,V436,Constants!$B$13),"")</f>
        <v/>
      </c>
      <c r="AH436" s="66" t="str">
        <f aca="false">IF($AB436=Constants!$B$7,IF(AA436,R436*IF(W436, 1, Constants!$B$11)*IF(X436, 1, Constants!$B$12),Constants!$B$13),"")</f>
        <v/>
      </c>
      <c r="AI436" s="66" t="str">
        <f aca="false">IF($AB436=Constants!$B$7,AG436*AH436,"")</f>
        <v/>
      </c>
      <c r="AJ436" s="66" t="str">
        <f aca="false">IF($AB436=Constants!$B$7,IF(AI436&gt;AF436,2,1),"")</f>
        <v/>
      </c>
      <c r="AK436" s="66" t="str">
        <f aca="false">IF($AB436=Constants!$B$7,IF(AJ436=1,2,1),"")</f>
        <v/>
      </c>
      <c r="AL436" s="66" t="str">
        <f aca="false">IF(ISBLANK($C436),"",IF($AB436&lt;&gt;Constants!$B$7,$AB436,IF(AJ436=1,AF436,AI436)))</f>
        <v/>
      </c>
      <c r="AM436" s="66" t="str">
        <f aca="false">IF(ISBLANK($C436),"",IF($AB436=Constants!$B$7,IF(ISNUMBER(AL436),RANK(AL436,$AL$8:$AL$507),Constants!$B$14),$AB436))</f>
        <v/>
      </c>
      <c r="AN436" s="66" t="str">
        <f aca="false">IF(ISBLANK($C436),"",IF($AB436=Constants!$B$7,IF(AK436=1,AF436,AI436),""))</f>
        <v/>
      </c>
      <c r="AO436" s="66" t="str">
        <f aca="false">IF(ISBLANK($C436),"",IF($AB436=Constants!$B$7,RANK(AN436,$AN$8:$AN$507),$AB436))</f>
        <v/>
      </c>
      <c r="AP436" s="66" t="str">
        <f aca="false">IF(ISBLANK($C436),"",IF($AB436=Constants!$B$7,IF(ISNUMBER(AM436),COUNTIFS($AM$8:$AM$507,"&lt;"&amp;$AM436)+COUNTIFS($AM$8:$AM$507,$AM436,$AO$8:$AO$507,"&lt;"&amp;$AO436)+1,Constants!$B$14),$AB436))</f>
        <v/>
      </c>
      <c r="AQ436" s="66" t="str">
        <f aca="false">IF(ISBLANK($C436),"",IF($AB436=Constants!$B$7,IF(ISNUMBER(AM436),AM436-AP436,Constants!$B$14),$AB436))</f>
        <v/>
      </c>
      <c r="AR436" s="68"/>
      <c r="AS436" s="69" t="str">
        <f aca="false">IF(ISBLANK($C436),"",IF($AB436&lt;&gt;Constants!$B$7,"",AJ436))</f>
        <v/>
      </c>
      <c r="AT436" s="84" t="str">
        <f aca="false">IF(ISBLANK($C436),"",IF($AB436&lt;&gt;Constants!$B$7,"",IF(AJ436=1,AD436,AG436)))</f>
        <v/>
      </c>
      <c r="AU436" s="71" t="str">
        <f aca="false">IF(ISBLANK($C436),"",IF($AB436&lt;&gt;Constants!$B$7,"",IF(AJ436=1,AE436,AH436)))</f>
        <v/>
      </c>
      <c r="AV436" s="72" t="str">
        <f aca="false">IF(ISBLANK($C436),"",IF($AB436&lt;&gt;Constants!$B$7,$AB436,AL436))</f>
        <v/>
      </c>
      <c r="AW436" s="73" t="str">
        <f aca="false">IF(ISBLANK($C436),"",IF($AB436&lt;&gt;Constants!$B$7,$AB436,AC436))</f>
        <v/>
      </c>
      <c r="AX436" s="74" t="str">
        <f aca="false">IF(ISBLANK($C436),"",AQ436)</f>
        <v/>
      </c>
      <c r="AY436" s="74" t="str">
        <f aca="false">IF(ISBLANK($C436),"",AP436)</f>
        <v/>
      </c>
      <c r="AZ436" s="75" t="str">
        <f aca="false">IF(ISBLANK($C436),"",IF(AY436=Constants!$B$4,COUNTA($C$8:$C$507)+2,IF(AY436=Constants!$B$5,COUNTA($C$8:$C$507)+1,IF(AY436=Constants!$B$6,COUNTA($C$8:$C$507),AY436))))</f>
        <v/>
      </c>
      <c r="BA436" s="5"/>
      <c r="BB436" s="76" t="n">
        <f aca="false">IF(OR(ISNUMBER(AY436),AY436=Constants!$B$4,AY436=Constants!$B$6,AY436=Constants!$B$5),1,0)</f>
        <v>0</v>
      </c>
      <c r="BC436" s="76" t="n">
        <v>429</v>
      </c>
      <c r="BD436" s="76" t="str">
        <f aca="false">IF(ISBLANK($C436),"",IF(ISNUMBER(AZ436),AZ436+ROW($B436)/1000,""))</f>
        <v/>
      </c>
      <c r="BE436" s="76" t="str">
        <f aca="false">IF(ISNUMBER(BD436),RANK(BD436,$BD$8:$BD$507,1),"")</f>
        <v/>
      </c>
      <c r="BF436" s="76" t="str">
        <f aca="false">IF(ISBLANK($C436),"",$B436)</f>
        <v/>
      </c>
      <c r="BG436" s="76" t="str">
        <f aca="false">IF(ISBLANK($C436),"",$C436)</f>
        <v/>
      </c>
      <c r="BH436" s="76" t="str">
        <f aca="false">IF(ISBLANK($C436),"",$D436)</f>
        <v/>
      </c>
      <c r="BI436" s="77" t="str">
        <f aca="false">AW436</f>
        <v/>
      </c>
      <c r="BJ436" s="78" t="str">
        <f aca="false">AV436</f>
        <v/>
      </c>
      <c r="BK436" s="76" t="str">
        <f aca="false">IF(ISBLANK($C436),"",AY436)</f>
        <v/>
      </c>
      <c r="BL436" s="79" t="str">
        <f aca="false">IF($BC436&gt;$BB$7,"",VLOOKUP($BC436,$BE$8:$BK$507,7,FALSE()))</f>
        <v/>
      </c>
      <c r="BM436" s="80" t="str">
        <f aca="false">IF($BC436&gt;$BB$7,"",VLOOKUP($BC436,$BE$8:$BK$507,2,FALSE()))</f>
        <v/>
      </c>
      <c r="BN436" s="80" t="str">
        <f aca="false">IF($BC436&gt;$BB$7,"",VLOOKUP($BC436,$BE$8:$BK$507,3,FALSE()))</f>
        <v/>
      </c>
      <c r="BO436" s="80" t="str">
        <f aca="false">IF($BC436&gt;$BB$7,"",VLOOKUP($BC436,$BE$8:$BK$507,4,FALSE()))</f>
        <v/>
      </c>
      <c r="BP436" s="80" t="str">
        <f aca="false">IF($BC436&gt;$BB$7,"",VLOOKUP($BC436,$BE$8:$BK$507,5,FALSE()))</f>
        <v/>
      </c>
      <c r="BQ436" s="81" t="str">
        <f aca="false">IF($BC436&gt;$BB$7,"",VLOOKUP($BC436,$BE$8:$BK$507,6,FALSE()))</f>
        <v/>
      </c>
      <c r="BR436" s="54"/>
    </row>
    <row r="437" customFormat="false" ht="15.75" hidden="false" customHeight="false" outlineLevel="0" collapsed="false">
      <c r="A437" s="5"/>
      <c r="B437" s="120"/>
      <c r="C437" s="121"/>
      <c r="D437" s="112"/>
      <c r="E437" s="123"/>
      <c r="F437" s="91"/>
      <c r="G437" s="92"/>
      <c r="H437" s="93"/>
      <c r="I437" s="94"/>
      <c r="J437" s="91"/>
      <c r="K437" s="92"/>
      <c r="L437" s="93"/>
      <c r="M437" s="94"/>
      <c r="N437" s="91"/>
      <c r="O437" s="123"/>
      <c r="P437" s="96"/>
      <c r="Q437" s="97" t="str">
        <f aca="false">IF(ISBLANK($C437),"",IF(E437=Constants!$B$2, TRUE(), IF(E437=Constants!$B$3, FALSE(), TRUE())))</f>
        <v/>
      </c>
      <c r="R437" s="97" t="str">
        <f aca="false">IF(ISBLANK($C437),"",IF(F437=Constants!$B$16,Constants!$B$9,IF(F437=Constants!$B$17,Constants!$B$10,Constants!$B$8)))</f>
        <v/>
      </c>
      <c r="S437" s="97" t="str">
        <f aca="false">IF(ISBLANK($C437),"",IF(COUNTA(G437:H437)=0,"",IF(AND(OR(ISBLANK(G437),AND(ISNUMBER(G437),G437&gt;=0)),OR(ISBLANK(H437),AND(ISNUMBER(H437),H437&gt;=0))),60*IF(ISBLANK(G437),0,G437)+IF(ISBLANK(H437),0,H437),"")))</f>
        <v/>
      </c>
      <c r="T437" s="97" t="str">
        <f aca="false">IF(ISBLANK($C437),"",IF(I437=Constants!$B$2, TRUE(), IF(I437=Constants!$B$3, FALSE(), TRUE())))</f>
        <v/>
      </c>
      <c r="U437" s="97" t="str">
        <f aca="false">IF(ISBLANK($C437),"",IF(J437=Constants!$B$2, TRUE(), IF(J437=Constants!$B$3, FALSE(), TRUE())))</f>
        <v/>
      </c>
      <c r="V437" s="97" t="str">
        <f aca="false">IF(ISBLANK($C437),"",IF(COUNTA(K437:L437)=0,"",IF(AND(OR(ISBLANK(K437),AND(ISNUMBER(K437),K437&gt;=0)),OR(ISBLANK(L437),AND(ISNUMBER(L437),L437&gt;=0))),60*IF(ISBLANK(K437),0,K437)+IF(ISBLANK(L437),0,L437),"")))</f>
        <v/>
      </c>
      <c r="W437" s="97" t="str">
        <f aca="false">IF(ISBLANK($C437),"",IF(M437=Constants!$B$2, TRUE(), IF(M437=Constants!$B$3, FALSE(), TRUE())))</f>
        <v/>
      </c>
      <c r="X437" s="97" t="str">
        <f aca="false">IF(ISBLANK($C437),"",IF(N437=Constants!$B$2, TRUE(), IF(N437=Constants!$B$3, FALSE(), TRUE())))</f>
        <v/>
      </c>
      <c r="Y437" s="97" t="str">
        <f aca="false">IF(ISBLANK($C437),"",IF(O437=Constants!$B$2, TRUE(), IF(O437=Constants!$B$3, FALSE(), FALSE())))</f>
        <v/>
      </c>
      <c r="Z437" s="97" t="str">
        <f aca="false">IF(ISBLANK($C437),"",AND(S437&lt;&gt;"",Q437))</f>
        <v/>
      </c>
      <c r="AA437" s="97" t="str">
        <f aca="false">IF(ISBLANK($C437),"",AND(V437&lt;&gt;"",Q437))</f>
        <v/>
      </c>
      <c r="AB437" s="97" t="str">
        <f aca="false">IF(ISBLANK($C437),"",IF(Y437,Constants!$B$4,IF(COUNTA(E437:N437)=0,Constants!$B$5,IF(NOT(Q437),Constants!$B$6,IF(AND(NOT(Z437),NOT(AA437)),Constants!$B$6,Constants!$B$7)))))</f>
        <v/>
      </c>
      <c r="AC437" s="97" t="str">
        <f aca="false">IF(ISBLANK($C437),"",IF($AB437&lt;&gt;Constants!$B$7,$AB437,Constants!$B$20))</f>
        <v/>
      </c>
      <c r="AD437" s="97" t="str">
        <f aca="false">IF($AB437=Constants!$B$7,IF(Z437,S437,Constants!$B$13),"")</f>
        <v/>
      </c>
      <c r="AE437" s="97" t="str">
        <f aca="false">IF($AB437=Constants!$B$7,IF(Z437,R437*IF(T437, 1, Constants!$B$11)*IF(U437, 1, Constants!$B$12),Constants!$B$13),"")</f>
        <v/>
      </c>
      <c r="AF437" s="97" t="str">
        <f aca="false">IF($AB437=Constants!$B$7,AD437*AE437,"")</f>
        <v/>
      </c>
      <c r="AG437" s="97" t="str">
        <f aca="false">IF($AB437=Constants!$B$7,IF(AA437,V437,Constants!$B$13),"")</f>
        <v/>
      </c>
      <c r="AH437" s="97" t="str">
        <f aca="false">IF($AB437=Constants!$B$7,IF(AA437,R437*IF(W437, 1, Constants!$B$11)*IF(X437, 1, Constants!$B$12),Constants!$B$13),"")</f>
        <v/>
      </c>
      <c r="AI437" s="97" t="str">
        <f aca="false">IF($AB437=Constants!$B$7,AG437*AH437,"")</f>
        <v/>
      </c>
      <c r="AJ437" s="97" t="str">
        <f aca="false">IF($AB437=Constants!$B$7,IF(AI437&gt;AF437,2,1),"")</f>
        <v/>
      </c>
      <c r="AK437" s="97" t="str">
        <f aca="false">IF($AB437=Constants!$B$7,IF(AJ437=1,2,1),"")</f>
        <v/>
      </c>
      <c r="AL437" s="97" t="str">
        <f aca="false">IF(ISBLANK($C437),"",IF($AB437&lt;&gt;Constants!$B$7,$AB437,IF(AJ437=1,AF437,AI437)))</f>
        <v/>
      </c>
      <c r="AM437" s="97" t="str">
        <f aca="false">IF(ISBLANK($C437),"",IF($AB437=Constants!$B$7,IF(ISNUMBER(AL437),RANK(AL437,$AL$8:$AL$507),Constants!$B$14),$AB437))</f>
        <v/>
      </c>
      <c r="AN437" s="97" t="str">
        <f aca="false">IF(ISBLANK($C437),"",IF($AB437=Constants!$B$7,IF(AK437=1,AF437,AI437),""))</f>
        <v/>
      </c>
      <c r="AO437" s="97" t="str">
        <f aca="false">IF(ISBLANK($C437),"",IF($AB437=Constants!$B$7,RANK(AN437,$AN$8:$AN$507),$AB437))</f>
        <v/>
      </c>
      <c r="AP437" s="97" t="str">
        <f aca="false">IF(ISBLANK($C437),"",IF($AB437=Constants!$B$7,IF(ISNUMBER(AM437),COUNTIFS($AM$8:$AM$507,"&lt;"&amp;$AM437)+COUNTIFS($AM$8:$AM$507,$AM437,$AO$8:$AO$507,"&lt;"&amp;$AO437)+1,Constants!$B$14),$AB437))</f>
        <v/>
      </c>
      <c r="AQ437" s="97" t="str">
        <f aca="false">IF(ISBLANK($C437),"",IF($AB437=Constants!$B$7,IF(ISNUMBER(AM437),AM437-AP437,Constants!$B$14),$AB437))</f>
        <v/>
      </c>
      <c r="AR437" s="98"/>
      <c r="AS437" s="99" t="str">
        <f aca="false">IF(ISBLANK($C437),"",IF($AB437&lt;&gt;Constants!$B$7,"",AJ437))</f>
        <v/>
      </c>
      <c r="AT437" s="100" t="str">
        <f aca="false">IF(ISBLANK($C437),"",IF($AB437&lt;&gt;Constants!$B$7,"",IF(AJ437=1,AD437,AG437)))</f>
        <v/>
      </c>
      <c r="AU437" s="101" t="str">
        <f aca="false">IF(ISBLANK($C437),"",IF($AB437&lt;&gt;Constants!$B$7,"",IF(AJ437=1,AE437,AH437)))</f>
        <v/>
      </c>
      <c r="AV437" s="102" t="str">
        <f aca="false">IF(ISBLANK($C437),"",IF($AB437&lt;&gt;Constants!$B$7,$AB437,AL437))</f>
        <v/>
      </c>
      <c r="AW437" s="103" t="str">
        <f aca="false">IF(ISBLANK($C437),"",IF($AB437&lt;&gt;Constants!$B$7,$AB437,AC437))</f>
        <v/>
      </c>
      <c r="AX437" s="104" t="str">
        <f aca="false">IF(ISBLANK($C437),"",AQ437)</f>
        <v/>
      </c>
      <c r="AY437" s="104" t="str">
        <f aca="false">IF(ISBLANK($C437),"",AP437)</f>
        <v/>
      </c>
      <c r="AZ437" s="105" t="str">
        <f aca="false">IF(ISBLANK($C437),"",IF(AY437=Constants!$B$4,COUNTA($C$8:$C$507)+2,IF(AY437=Constants!$B$5,COUNTA($C$8:$C$507)+1,IF(AY437=Constants!$B$6,COUNTA($C$8:$C$507),AY437))))</f>
        <v/>
      </c>
      <c r="BA437" s="5"/>
      <c r="BB437" s="106" t="n">
        <f aca="false">IF(OR(ISNUMBER(AY437),AY437=Constants!$B$4,AY437=Constants!$B$6,AY437=Constants!$B$5),1,0)</f>
        <v>0</v>
      </c>
      <c r="BC437" s="106" t="n">
        <v>430</v>
      </c>
      <c r="BD437" s="106" t="str">
        <f aca="false">IF(ISBLANK($C437),"",IF(ISNUMBER(AZ437),AZ437+ROW($B437)/1000,""))</f>
        <v/>
      </c>
      <c r="BE437" s="106" t="str">
        <f aca="false">IF(ISNUMBER(BD437),RANK(BD437,$BD$8:$BD$507,1),"")</f>
        <v/>
      </c>
      <c r="BF437" s="106" t="str">
        <f aca="false">IF(ISBLANK($C437),"",$B437)</f>
        <v/>
      </c>
      <c r="BG437" s="106" t="str">
        <f aca="false">IF(ISBLANK($C437),"",$C437)</f>
        <v/>
      </c>
      <c r="BH437" s="106" t="str">
        <f aca="false">IF(ISBLANK($C437),"",$D437)</f>
        <v/>
      </c>
      <c r="BI437" s="107" t="str">
        <f aca="false">AW437</f>
        <v/>
      </c>
      <c r="BJ437" s="108" t="str">
        <f aca="false">AV437</f>
        <v/>
      </c>
      <c r="BK437" s="106" t="str">
        <f aca="false">IF(ISBLANK($C437),"",AY437)</f>
        <v/>
      </c>
      <c r="BL437" s="109" t="str">
        <f aca="false">IF($BC437&gt;$BB$7,"",VLOOKUP($BC437,$BE$8:$BK$507,7,FALSE()))</f>
        <v/>
      </c>
      <c r="BM437" s="110" t="str">
        <f aca="false">IF($BC437&gt;$BB$7,"",VLOOKUP($BC437,$BE$8:$BK$507,2,FALSE()))</f>
        <v/>
      </c>
      <c r="BN437" s="110" t="str">
        <f aca="false">IF($BC437&gt;$BB$7,"",VLOOKUP($BC437,$BE$8:$BK$507,3,FALSE()))</f>
        <v/>
      </c>
      <c r="BO437" s="110" t="str">
        <f aca="false">IF($BC437&gt;$BB$7,"",VLOOKUP($BC437,$BE$8:$BK$507,4,FALSE()))</f>
        <v/>
      </c>
      <c r="BP437" s="110" t="str">
        <f aca="false">IF($BC437&gt;$BB$7,"",VLOOKUP($BC437,$BE$8:$BK$507,5,FALSE()))</f>
        <v/>
      </c>
      <c r="BQ437" s="111" t="str">
        <f aca="false">IF($BC437&gt;$BB$7,"",VLOOKUP($BC437,$BE$8:$BK$507,6,FALSE()))</f>
        <v/>
      </c>
      <c r="BR437" s="54"/>
    </row>
    <row r="438" customFormat="false" ht="15.75" hidden="false" customHeight="false" outlineLevel="0" collapsed="false">
      <c r="A438" s="5"/>
      <c r="B438" s="120"/>
      <c r="C438" s="121"/>
      <c r="D438" s="112"/>
      <c r="E438" s="123"/>
      <c r="F438" s="91"/>
      <c r="G438" s="92"/>
      <c r="H438" s="93"/>
      <c r="I438" s="94"/>
      <c r="J438" s="91"/>
      <c r="K438" s="92"/>
      <c r="L438" s="93"/>
      <c r="M438" s="94"/>
      <c r="N438" s="91"/>
      <c r="O438" s="123"/>
      <c r="P438" s="96"/>
      <c r="Q438" s="97" t="str">
        <f aca="false">IF(ISBLANK($C438),"",IF(E438=Constants!$B$2, TRUE(), IF(E438=Constants!$B$3, FALSE(), TRUE())))</f>
        <v/>
      </c>
      <c r="R438" s="97" t="str">
        <f aca="false">IF(ISBLANK($C438),"",IF(F438=Constants!$B$16,Constants!$B$9,IF(F438=Constants!$B$17,Constants!$B$10,Constants!$B$8)))</f>
        <v/>
      </c>
      <c r="S438" s="97" t="str">
        <f aca="false">IF(ISBLANK($C438),"",IF(COUNTA(G438:H438)=0,"",IF(AND(OR(ISBLANK(G438),AND(ISNUMBER(G438),G438&gt;=0)),OR(ISBLANK(H438),AND(ISNUMBER(H438),H438&gt;=0))),60*IF(ISBLANK(G438),0,G438)+IF(ISBLANK(H438),0,H438),"")))</f>
        <v/>
      </c>
      <c r="T438" s="97" t="str">
        <f aca="false">IF(ISBLANK($C438),"",IF(I438=Constants!$B$2, TRUE(), IF(I438=Constants!$B$3, FALSE(), TRUE())))</f>
        <v/>
      </c>
      <c r="U438" s="97" t="str">
        <f aca="false">IF(ISBLANK($C438),"",IF(J438=Constants!$B$2, TRUE(), IF(J438=Constants!$B$3, FALSE(), TRUE())))</f>
        <v/>
      </c>
      <c r="V438" s="97" t="str">
        <f aca="false">IF(ISBLANK($C438),"",IF(COUNTA(K438:L438)=0,"",IF(AND(OR(ISBLANK(K438),AND(ISNUMBER(K438),K438&gt;=0)),OR(ISBLANK(L438),AND(ISNUMBER(L438),L438&gt;=0))),60*IF(ISBLANK(K438),0,K438)+IF(ISBLANK(L438),0,L438),"")))</f>
        <v/>
      </c>
      <c r="W438" s="97" t="str">
        <f aca="false">IF(ISBLANK($C438),"",IF(M438=Constants!$B$2, TRUE(), IF(M438=Constants!$B$3, FALSE(), TRUE())))</f>
        <v/>
      </c>
      <c r="X438" s="97" t="str">
        <f aca="false">IF(ISBLANK($C438),"",IF(N438=Constants!$B$2, TRUE(), IF(N438=Constants!$B$3, FALSE(), TRUE())))</f>
        <v/>
      </c>
      <c r="Y438" s="97" t="str">
        <f aca="false">IF(ISBLANK($C438),"",IF(O438=Constants!$B$2, TRUE(), IF(O438=Constants!$B$3, FALSE(), FALSE())))</f>
        <v/>
      </c>
      <c r="Z438" s="97" t="str">
        <f aca="false">IF(ISBLANK($C438),"",AND(S438&lt;&gt;"",Q438))</f>
        <v/>
      </c>
      <c r="AA438" s="97" t="str">
        <f aca="false">IF(ISBLANK($C438),"",AND(V438&lt;&gt;"",Q438))</f>
        <v/>
      </c>
      <c r="AB438" s="97" t="str">
        <f aca="false">IF(ISBLANK($C438),"",IF(Y438,Constants!$B$4,IF(COUNTA(E438:N438)=0,Constants!$B$5,IF(NOT(Q438),Constants!$B$6,IF(AND(NOT(Z438),NOT(AA438)),Constants!$B$6,Constants!$B$7)))))</f>
        <v/>
      </c>
      <c r="AC438" s="97" t="str">
        <f aca="false">IF(ISBLANK($C438),"",IF($AB438&lt;&gt;Constants!$B$7,$AB438,Constants!$B$20))</f>
        <v/>
      </c>
      <c r="AD438" s="97" t="str">
        <f aca="false">IF($AB438=Constants!$B$7,IF(Z438,S438,Constants!$B$13),"")</f>
        <v/>
      </c>
      <c r="AE438" s="97" t="str">
        <f aca="false">IF($AB438=Constants!$B$7,IF(Z438,R438*IF(T438, 1, Constants!$B$11)*IF(U438, 1, Constants!$B$12),Constants!$B$13),"")</f>
        <v/>
      </c>
      <c r="AF438" s="97" t="str">
        <f aca="false">IF($AB438=Constants!$B$7,AD438*AE438,"")</f>
        <v/>
      </c>
      <c r="AG438" s="97" t="str">
        <f aca="false">IF($AB438=Constants!$B$7,IF(AA438,V438,Constants!$B$13),"")</f>
        <v/>
      </c>
      <c r="AH438" s="97" t="str">
        <f aca="false">IF($AB438=Constants!$B$7,IF(AA438,R438*IF(W438, 1, Constants!$B$11)*IF(X438, 1, Constants!$B$12),Constants!$B$13),"")</f>
        <v/>
      </c>
      <c r="AI438" s="97" t="str">
        <f aca="false">IF($AB438=Constants!$B$7,AG438*AH438,"")</f>
        <v/>
      </c>
      <c r="AJ438" s="97" t="str">
        <f aca="false">IF($AB438=Constants!$B$7,IF(AI438&gt;AF438,2,1),"")</f>
        <v/>
      </c>
      <c r="AK438" s="97" t="str">
        <f aca="false">IF($AB438=Constants!$B$7,IF(AJ438=1,2,1),"")</f>
        <v/>
      </c>
      <c r="AL438" s="97" t="str">
        <f aca="false">IF(ISBLANK($C438),"",IF($AB438&lt;&gt;Constants!$B$7,$AB438,IF(AJ438=1,AF438,AI438)))</f>
        <v/>
      </c>
      <c r="AM438" s="97" t="str">
        <f aca="false">IF(ISBLANK($C438),"",IF($AB438=Constants!$B$7,IF(ISNUMBER(AL438),RANK(AL438,$AL$8:$AL$507),Constants!$B$14),$AB438))</f>
        <v/>
      </c>
      <c r="AN438" s="97" t="str">
        <f aca="false">IF(ISBLANK($C438),"",IF($AB438=Constants!$B$7,IF(AK438=1,AF438,AI438),""))</f>
        <v/>
      </c>
      <c r="AO438" s="97" t="str">
        <f aca="false">IF(ISBLANK($C438),"",IF($AB438=Constants!$B$7,RANK(AN438,$AN$8:$AN$507),$AB438))</f>
        <v/>
      </c>
      <c r="AP438" s="97" t="str">
        <f aca="false">IF(ISBLANK($C438),"",IF($AB438=Constants!$B$7,IF(ISNUMBER(AM438),COUNTIFS($AM$8:$AM$507,"&lt;"&amp;$AM438)+COUNTIFS($AM$8:$AM$507,$AM438,$AO$8:$AO$507,"&lt;"&amp;$AO438)+1,Constants!$B$14),$AB438))</f>
        <v/>
      </c>
      <c r="AQ438" s="97" t="str">
        <f aca="false">IF(ISBLANK($C438),"",IF($AB438=Constants!$B$7,IF(ISNUMBER(AM438),AM438-AP438,Constants!$B$14),$AB438))</f>
        <v/>
      </c>
      <c r="AR438" s="98"/>
      <c r="AS438" s="99" t="str">
        <f aca="false">IF(ISBLANK($C438),"",IF($AB438&lt;&gt;Constants!$B$7,"",AJ438))</f>
        <v/>
      </c>
      <c r="AT438" s="100" t="str">
        <f aca="false">IF(ISBLANK($C438),"",IF($AB438&lt;&gt;Constants!$B$7,"",IF(AJ438=1,AD438,AG438)))</f>
        <v/>
      </c>
      <c r="AU438" s="101" t="str">
        <f aca="false">IF(ISBLANK($C438),"",IF($AB438&lt;&gt;Constants!$B$7,"",IF(AJ438=1,AE438,AH438)))</f>
        <v/>
      </c>
      <c r="AV438" s="102" t="str">
        <f aca="false">IF(ISBLANK($C438),"",IF($AB438&lt;&gt;Constants!$B$7,$AB438,AL438))</f>
        <v/>
      </c>
      <c r="AW438" s="103" t="str">
        <f aca="false">IF(ISBLANK($C438),"",IF($AB438&lt;&gt;Constants!$B$7,$AB438,AC438))</f>
        <v/>
      </c>
      <c r="AX438" s="104" t="str">
        <f aca="false">IF(ISBLANK($C438),"",AQ438)</f>
        <v/>
      </c>
      <c r="AY438" s="104" t="str">
        <f aca="false">IF(ISBLANK($C438),"",AP438)</f>
        <v/>
      </c>
      <c r="AZ438" s="105" t="str">
        <f aca="false">IF(ISBLANK($C438),"",IF(AY438=Constants!$B$4,COUNTA($C$8:$C$507)+2,IF(AY438=Constants!$B$5,COUNTA($C$8:$C$507)+1,IF(AY438=Constants!$B$6,COUNTA($C$8:$C$507),AY438))))</f>
        <v/>
      </c>
      <c r="BA438" s="5"/>
      <c r="BB438" s="106" t="n">
        <f aca="false">IF(OR(ISNUMBER(AY438),AY438=Constants!$B$4,AY438=Constants!$B$6,AY438=Constants!$B$5),1,0)</f>
        <v>0</v>
      </c>
      <c r="BC438" s="106" t="n">
        <v>431</v>
      </c>
      <c r="BD438" s="106" t="str">
        <f aca="false">IF(ISBLANK($C438),"",IF(ISNUMBER(AZ438),AZ438+ROW($B438)/1000,""))</f>
        <v/>
      </c>
      <c r="BE438" s="106" t="str">
        <f aca="false">IF(ISNUMBER(BD438),RANK(BD438,$BD$8:$BD$507,1),"")</f>
        <v/>
      </c>
      <c r="BF438" s="106" t="str">
        <f aca="false">IF(ISBLANK($C438),"",$B438)</f>
        <v/>
      </c>
      <c r="BG438" s="106" t="str">
        <f aca="false">IF(ISBLANK($C438),"",$C438)</f>
        <v/>
      </c>
      <c r="BH438" s="106" t="str">
        <f aca="false">IF(ISBLANK($C438),"",$D438)</f>
        <v/>
      </c>
      <c r="BI438" s="107" t="str">
        <f aca="false">AW438</f>
        <v/>
      </c>
      <c r="BJ438" s="108" t="str">
        <f aca="false">AV438</f>
        <v/>
      </c>
      <c r="BK438" s="106" t="str">
        <f aca="false">IF(ISBLANK($C438),"",AY438)</f>
        <v/>
      </c>
      <c r="BL438" s="109" t="str">
        <f aca="false">IF($BC438&gt;$BB$7,"",VLOOKUP($BC438,$BE$8:$BK$507,7,FALSE()))</f>
        <v/>
      </c>
      <c r="BM438" s="110" t="str">
        <f aca="false">IF($BC438&gt;$BB$7,"",VLOOKUP($BC438,$BE$8:$BK$507,2,FALSE()))</f>
        <v/>
      </c>
      <c r="BN438" s="110" t="str">
        <f aca="false">IF($BC438&gt;$BB$7,"",VLOOKUP($BC438,$BE$8:$BK$507,3,FALSE()))</f>
        <v/>
      </c>
      <c r="BO438" s="110" t="str">
        <f aca="false">IF($BC438&gt;$BB$7,"",VLOOKUP($BC438,$BE$8:$BK$507,4,FALSE()))</f>
        <v/>
      </c>
      <c r="BP438" s="110" t="str">
        <f aca="false">IF($BC438&gt;$BB$7,"",VLOOKUP($BC438,$BE$8:$BK$507,5,FALSE()))</f>
        <v/>
      </c>
      <c r="BQ438" s="111" t="str">
        <f aca="false">IF($BC438&gt;$BB$7,"",VLOOKUP($BC438,$BE$8:$BK$507,6,FALSE()))</f>
        <v/>
      </c>
      <c r="BR438" s="54"/>
    </row>
    <row r="439" customFormat="false" ht="15.75" hidden="false" customHeight="false" outlineLevel="0" collapsed="false">
      <c r="A439" s="5"/>
      <c r="B439" s="120"/>
      <c r="C439" s="121"/>
      <c r="D439" s="112"/>
      <c r="E439" s="123"/>
      <c r="F439" s="91"/>
      <c r="G439" s="92"/>
      <c r="H439" s="93"/>
      <c r="I439" s="94"/>
      <c r="J439" s="91"/>
      <c r="K439" s="92"/>
      <c r="L439" s="93"/>
      <c r="M439" s="94"/>
      <c r="N439" s="91"/>
      <c r="O439" s="123"/>
      <c r="P439" s="96"/>
      <c r="Q439" s="97" t="str">
        <f aca="false">IF(ISBLANK($C439),"",IF(E439=Constants!$B$2, TRUE(), IF(E439=Constants!$B$3, FALSE(), TRUE())))</f>
        <v/>
      </c>
      <c r="R439" s="97" t="str">
        <f aca="false">IF(ISBLANK($C439),"",IF(F439=Constants!$B$16,Constants!$B$9,IF(F439=Constants!$B$17,Constants!$B$10,Constants!$B$8)))</f>
        <v/>
      </c>
      <c r="S439" s="97" t="str">
        <f aca="false">IF(ISBLANK($C439),"",IF(COUNTA(G439:H439)=0,"",IF(AND(OR(ISBLANK(G439),AND(ISNUMBER(G439),G439&gt;=0)),OR(ISBLANK(H439),AND(ISNUMBER(H439),H439&gt;=0))),60*IF(ISBLANK(G439),0,G439)+IF(ISBLANK(H439),0,H439),"")))</f>
        <v/>
      </c>
      <c r="T439" s="97" t="str">
        <f aca="false">IF(ISBLANK($C439),"",IF(I439=Constants!$B$2, TRUE(), IF(I439=Constants!$B$3, FALSE(), TRUE())))</f>
        <v/>
      </c>
      <c r="U439" s="97" t="str">
        <f aca="false">IF(ISBLANK($C439),"",IF(J439=Constants!$B$2, TRUE(), IF(J439=Constants!$B$3, FALSE(), TRUE())))</f>
        <v/>
      </c>
      <c r="V439" s="97" t="str">
        <f aca="false">IF(ISBLANK($C439),"",IF(COUNTA(K439:L439)=0,"",IF(AND(OR(ISBLANK(K439),AND(ISNUMBER(K439),K439&gt;=0)),OR(ISBLANK(L439),AND(ISNUMBER(L439),L439&gt;=0))),60*IF(ISBLANK(K439),0,K439)+IF(ISBLANK(L439),0,L439),"")))</f>
        <v/>
      </c>
      <c r="W439" s="97" t="str">
        <f aca="false">IF(ISBLANK($C439),"",IF(M439=Constants!$B$2, TRUE(), IF(M439=Constants!$B$3, FALSE(), TRUE())))</f>
        <v/>
      </c>
      <c r="X439" s="97" t="str">
        <f aca="false">IF(ISBLANK($C439),"",IF(N439=Constants!$B$2, TRUE(), IF(N439=Constants!$B$3, FALSE(), TRUE())))</f>
        <v/>
      </c>
      <c r="Y439" s="97" t="str">
        <f aca="false">IF(ISBLANK($C439),"",IF(O439=Constants!$B$2, TRUE(), IF(O439=Constants!$B$3, FALSE(), FALSE())))</f>
        <v/>
      </c>
      <c r="Z439" s="97" t="str">
        <f aca="false">IF(ISBLANK($C439),"",AND(S439&lt;&gt;"",Q439))</f>
        <v/>
      </c>
      <c r="AA439" s="97" t="str">
        <f aca="false">IF(ISBLANK($C439),"",AND(V439&lt;&gt;"",Q439))</f>
        <v/>
      </c>
      <c r="AB439" s="97" t="str">
        <f aca="false">IF(ISBLANK($C439),"",IF(Y439,Constants!$B$4,IF(COUNTA(E439:N439)=0,Constants!$B$5,IF(NOT(Q439),Constants!$B$6,IF(AND(NOT(Z439),NOT(AA439)),Constants!$B$6,Constants!$B$7)))))</f>
        <v/>
      </c>
      <c r="AC439" s="97" t="str">
        <f aca="false">IF(ISBLANK($C439),"",IF($AB439&lt;&gt;Constants!$B$7,$AB439,Constants!$B$20))</f>
        <v/>
      </c>
      <c r="AD439" s="97" t="str">
        <f aca="false">IF($AB439=Constants!$B$7,IF(Z439,S439,Constants!$B$13),"")</f>
        <v/>
      </c>
      <c r="AE439" s="97" t="str">
        <f aca="false">IF($AB439=Constants!$B$7,IF(Z439,R439*IF(T439, 1, Constants!$B$11)*IF(U439, 1, Constants!$B$12),Constants!$B$13),"")</f>
        <v/>
      </c>
      <c r="AF439" s="97" t="str">
        <f aca="false">IF($AB439=Constants!$B$7,AD439*AE439,"")</f>
        <v/>
      </c>
      <c r="AG439" s="97" t="str">
        <f aca="false">IF($AB439=Constants!$B$7,IF(AA439,V439,Constants!$B$13),"")</f>
        <v/>
      </c>
      <c r="AH439" s="97" t="str">
        <f aca="false">IF($AB439=Constants!$B$7,IF(AA439,R439*IF(W439, 1, Constants!$B$11)*IF(X439, 1, Constants!$B$12),Constants!$B$13),"")</f>
        <v/>
      </c>
      <c r="AI439" s="97" t="str">
        <f aca="false">IF($AB439=Constants!$B$7,AG439*AH439,"")</f>
        <v/>
      </c>
      <c r="AJ439" s="97" t="str">
        <f aca="false">IF($AB439=Constants!$B$7,IF(AI439&gt;AF439,2,1),"")</f>
        <v/>
      </c>
      <c r="AK439" s="97" t="str">
        <f aca="false">IF($AB439=Constants!$B$7,IF(AJ439=1,2,1),"")</f>
        <v/>
      </c>
      <c r="AL439" s="97" t="str">
        <f aca="false">IF(ISBLANK($C439),"",IF($AB439&lt;&gt;Constants!$B$7,$AB439,IF(AJ439=1,AF439,AI439)))</f>
        <v/>
      </c>
      <c r="AM439" s="97" t="str">
        <f aca="false">IF(ISBLANK($C439),"",IF($AB439=Constants!$B$7,IF(ISNUMBER(AL439),RANK(AL439,$AL$8:$AL$507),Constants!$B$14),$AB439))</f>
        <v/>
      </c>
      <c r="AN439" s="97" t="str">
        <f aca="false">IF(ISBLANK($C439),"",IF($AB439=Constants!$B$7,IF(AK439=1,AF439,AI439),""))</f>
        <v/>
      </c>
      <c r="AO439" s="97" t="str">
        <f aca="false">IF(ISBLANK($C439),"",IF($AB439=Constants!$B$7,RANK(AN439,$AN$8:$AN$507),$AB439))</f>
        <v/>
      </c>
      <c r="AP439" s="97" t="str">
        <f aca="false">IF(ISBLANK($C439),"",IF($AB439=Constants!$B$7,IF(ISNUMBER(AM439),COUNTIFS($AM$8:$AM$507,"&lt;"&amp;$AM439)+COUNTIFS($AM$8:$AM$507,$AM439,$AO$8:$AO$507,"&lt;"&amp;$AO439)+1,Constants!$B$14),$AB439))</f>
        <v/>
      </c>
      <c r="AQ439" s="97" t="str">
        <f aca="false">IF(ISBLANK($C439),"",IF($AB439=Constants!$B$7,IF(ISNUMBER(AM439),AM439-AP439,Constants!$B$14),$AB439))</f>
        <v/>
      </c>
      <c r="AR439" s="98"/>
      <c r="AS439" s="99" t="str">
        <f aca="false">IF(ISBLANK($C439),"",IF($AB439&lt;&gt;Constants!$B$7,"",AJ439))</f>
        <v/>
      </c>
      <c r="AT439" s="100" t="str">
        <f aca="false">IF(ISBLANK($C439),"",IF($AB439&lt;&gt;Constants!$B$7,"",IF(AJ439=1,AD439,AG439)))</f>
        <v/>
      </c>
      <c r="AU439" s="101" t="str">
        <f aca="false">IF(ISBLANK($C439),"",IF($AB439&lt;&gt;Constants!$B$7,"",IF(AJ439=1,AE439,AH439)))</f>
        <v/>
      </c>
      <c r="AV439" s="102" t="str">
        <f aca="false">IF(ISBLANK($C439),"",IF($AB439&lt;&gt;Constants!$B$7,$AB439,AL439))</f>
        <v/>
      </c>
      <c r="AW439" s="103" t="str">
        <f aca="false">IF(ISBLANK($C439),"",IF($AB439&lt;&gt;Constants!$B$7,$AB439,AC439))</f>
        <v/>
      </c>
      <c r="AX439" s="104" t="str">
        <f aca="false">IF(ISBLANK($C439),"",AQ439)</f>
        <v/>
      </c>
      <c r="AY439" s="104" t="str">
        <f aca="false">IF(ISBLANK($C439),"",AP439)</f>
        <v/>
      </c>
      <c r="AZ439" s="105" t="str">
        <f aca="false">IF(ISBLANK($C439),"",IF(AY439=Constants!$B$4,COUNTA($C$8:$C$507)+2,IF(AY439=Constants!$B$5,COUNTA($C$8:$C$507)+1,IF(AY439=Constants!$B$6,COUNTA($C$8:$C$507),AY439))))</f>
        <v/>
      </c>
      <c r="BA439" s="5"/>
      <c r="BB439" s="106" t="n">
        <f aca="false">IF(OR(ISNUMBER(AY439),AY439=Constants!$B$4,AY439=Constants!$B$6,AY439=Constants!$B$5),1,0)</f>
        <v>0</v>
      </c>
      <c r="BC439" s="106" t="n">
        <v>432</v>
      </c>
      <c r="BD439" s="106" t="str">
        <f aca="false">IF(ISBLANK($C439),"",IF(ISNUMBER(AZ439),AZ439+ROW($B439)/1000,""))</f>
        <v/>
      </c>
      <c r="BE439" s="106" t="str">
        <f aca="false">IF(ISNUMBER(BD439),RANK(BD439,$BD$8:$BD$507,1),"")</f>
        <v/>
      </c>
      <c r="BF439" s="106" t="str">
        <f aca="false">IF(ISBLANK($C439),"",$B439)</f>
        <v/>
      </c>
      <c r="BG439" s="106" t="str">
        <f aca="false">IF(ISBLANK($C439),"",$C439)</f>
        <v/>
      </c>
      <c r="BH439" s="106" t="str">
        <f aca="false">IF(ISBLANK($C439),"",$D439)</f>
        <v/>
      </c>
      <c r="BI439" s="107" t="str">
        <f aca="false">AW439</f>
        <v/>
      </c>
      <c r="BJ439" s="108" t="str">
        <f aca="false">AV439</f>
        <v/>
      </c>
      <c r="BK439" s="106" t="str">
        <f aca="false">IF(ISBLANK($C439),"",AY439)</f>
        <v/>
      </c>
      <c r="BL439" s="109" t="str">
        <f aca="false">IF($BC439&gt;$BB$7,"",VLOOKUP($BC439,$BE$8:$BK$507,7,FALSE()))</f>
        <v/>
      </c>
      <c r="BM439" s="110" t="str">
        <f aca="false">IF($BC439&gt;$BB$7,"",VLOOKUP($BC439,$BE$8:$BK$507,2,FALSE()))</f>
        <v/>
      </c>
      <c r="BN439" s="110" t="str">
        <f aca="false">IF($BC439&gt;$BB$7,"",VLOOKUP($BC439,$BE$8:$BK$507,3,FALSE()))</f>
        <v/>
      </c>
      <c r="BO439" s="110" t="str">
        <f aca="false">IF($BC439&gt;$BB$7,"",VLOOKUP($BC439,$BE$8:$BK$507,4,FALSE()))</f>
        <v/>
      </c>
      <c r="BP439" s="110" t="str">
        <f aca="false">IF($BC439&gt;$BB$7,"",VLOOKUP($BC439,$BE$8:$BK$507,5,FALSE()))</f>
        <v/>
      </c>
      <c r="BQ439" s="111" t="str">
        <f aca="false">IF($BC439&gt;$BB$7,"",VLOOKUP($BC439,$BE$8:$BK$507,6,FALSE()))</f>
        <v/>
      </c>
      <c r="BR439" s="54"/>
    </row>
    <row r="440" customFormat="false" ht="15.75" hidden="false" customHeight="false" outlineLevel="0" collapsed="false">
      <c r="A440" s="5"/>
      <c r="B440" s="124"/>
      <c r="C440" s="56"/>
      <c r="D440" s="57"/>
      <c r="E440" s="83"/>
      <c r="F440" s="59"/>
      <c r="G440" s="60"/>
      <c r="H440" s="61"/>
      <c r="I440" s="62"/>
      <c r="J440" s="59"/>
      <c r="K440" s="60"/>
      <c r="L440" s="61"/>
      <c r="M440" s="62"/>
      <c r="N440" s="59"/>
      <c r="O440" s="83"/>
      <c r="P440" s="64"/>
      <c r="Q440" s="66" t="str">
        <f aca="false">IF(ISBLANK($C440),"",IF(E440=Constants!$B$2, TRUE(), IF(E440=Constants!$B$3, FALSE(), TRUE())))</f>
        <v/>
      </c>
      <c r="R440" s="66" t="str">
        <f aca="false">IF(ISBLANK($C440),"",IF(F440=Constants!$B$16,Constants!$B$9,IF(F440=Constants!$B$17,Constants!$B$10,Constants!$B$8)))</f>
        <v/>
      </c>
      <c r="S440" s="66" t="str">
        <f aca="false">IF(ISBLANK($C440),"",IF(COUNTA(G440:H440)=0,"",IF(AND(OR(ISBLANK(G440),AND(ISNUMBER(G440),G440&gt;=0)),OR(ISBLANK(H440),AND(ISNUMBER(H440),H440&gt;=0))),60*IF(ISBLANK(G440),0,G440)+IF(ISBLANK(H440),0,H440),"")))</f>
        <v/>
      </c>
      <c r="T440" s="66" t="str">
        <f aca="false">IF(ISBLANK($C440),"",IF(I440=Constants!$B$2, TRUE(), IF(I440=Constants!$B$3, FALSE(), TRUE())))</f>
        <v/>
      </c>
      <c r="U440" s="66" t="str">
        <f aca="false">IF(ISBLANK($C440),"",IF(J440=Constants!$B$2, TRUE(), IF(J440=Constants!$B$3, FALSE(), TRUE())))</f>
        <v/>
      </c>
      <c r="V440" s="66" t="str">
        <f aca="false">IF(ISBLANK($C440),"",IF(COUNTA(K440:L440)=0,"",IF(AND(OR(ISBLANK(K440),AND(ISNUMBER(K440),K440&gt;=0)),OR(ISBLANK(L440),AND(ISNUMBER(L440),L440&gt;=0))),60*IF(ISBLANK(K440),0,K440)+IF(ISBLANK(L440),0,L440),"")))</f>
        <v/>
      </c>
      <c r="W440" s="66" t="str">
        <f aca="false">IF(ISBLANK($C440),"",IF(M440=Constants!$B$2, TRUE(), IF(M440=Constants!$B$3, FALSE(), TRUE())))</f>
        <v/>
      </c>
      <c r="X440" s="66" t="str">
        <f aca="false">IF(ISBLANK($C440),"",IF(N440=Constants!$B$2, TRUE(), IF(N440=Constants!$B$3, FALSE(), TRUE())))</f>
        <v/>
      </c>
      <c r="Y440" s="66" t="str">
        <f aca="false">IF(ISBLANK($C440),"",IF(O440=Constants!$B$2, TRUE(), IF(O440=Constants!$B$3, FALSE(), FALSE())))</f>
        <v/>
      </c>
      <c r="Z440" s="66" t="str">
        <f aca="false">IF(ISBLANK($C440),"",AND(S440&lt;&gt;"",Q440))</f>
        <v/>
      </c>
      <c r="AA440" s="66" t="str">
        <f aca="false">IF(ISBLANK($C440),"",AND(V440&lt;&gt;"",Q440))</f>
        <v/>
      </c>
      <c r="AB440" s="66" t="str">
        <f aca="false">IF(ISBLANK($C440),"",IF(Y440,Constants!$B$4,IF(COUNTA(E440:N440)=0,Constants!$B$5,IF(NOT(Q440),Constants!$B$6,IF(AND(NOT(Z440),NOT(AA440)),Constants!$B$6,Constants!$B$7)))))</f>
        <v/>
      </c>
      <c r="AC440" s="66" t="str">
        <f aca="false">IF(ISBLANK($C440),"",IF($AB440&lt;&gt;Constants!$B$7,$AB440,Constants!$B$20))</f>
        <v/>
      </c>
      <c r="AD440" s="66" t="str">
        <f aca="false">IF($AB440=Constants!$B$7,IF(Z440,S440,Constants!$B$13),"")</f>
        <v/>
      </c>
      <c r="AE440" s="66" t="str">
        <f aca="false">IF($AB440=Constants!$B$7,IF(Z440,R440*IF(T440, 1, Constants!$B$11)*IF(U440, 1, Constants!$B$12),Constants!$B$13),"")</f>
        <v/>
      </c>
      <c r="AF440" s="66" t="str">
        <f aca="false">IF($AB440=Constants!$B$7,AD440*AE440,"")</f>
        <v/>
      </c>
      <c r="AG440" s="66" t="str">
        <f aca="false">IF($AB440=Constants!$B$7,IF(AA440,V440,Constants!$B$13),"")</f>
        <v/>
      </c>
      <c r="AH440" s="66" t="str">
        <f aca="false">IF($AB440=Constants!$B$7,IF(AA440,R440*IF(W440, 1, Constants!$B$11)*IF(X440, 1, Constants!$B$12),Constants!$B$13),"")</f>
        <v/>
      </c>
      <c r="AI440" s="66" t="str">
        <f aca="false">IF($AB440=Constants!$B$7,AG440*AH440,"")</f>
        <v/>
      </c>
      <c r="AJ440" s="66" t="str">
        <f aca="false">IF($AB440=Constants!$B$7,IF(AI440&gt;AF440,2,1),"")</f>
        <v/>
      </c>
      <c r="AK440" s="66" t="str">
        <f aca="false">IF($AB440=Constants!$B$7,IF(AJ440=1,2,1),"")</f>
        <v/>
      </c>
      <c r="AL440" s="66" t="str">
        <f aca="false">IF(ISBLANK($C440),"",IF($AB440&lt;&gt;Constants!$B$7,$AB440,IF(AJ440=1,AF440,AI440)))</f>
        <v/>
      </c>
      <c r="AM440" s="66" t="str">
        <f aca="false">IF(ISBLANK($C440),"",IF($AB440=Constants!$B$7,IF(ISNUMBER(AL440),RANK(AL440,$AL$8:$AL$507),Constants!$B$14),$AB440))</f>
        <v/>
      </c>
      <c r="AN440" s="66" t="str">
        <f aca="false">IF(ISBLANK($C440),"",IF($AB440=Constants!$B$7,IF(AK440=1,AF440,AI440),""))</f>
        <v/>
      </c>
      <c r="AO440" s="66" t="str">
        <f aca="false">IF(ISBLANK($C440),"",IF($AB440=Constants!$B$7,RANK(AN440,$AN$8:$AN$507),$AB440))</f>
        <v/>
      </c>
      <c r="AP440" s="66" t="str">
        <f aca="false">IF(ISBLANK($C440),"",IF($AB440=Constants!$B$7,IF(ISNUMBER(AM440),COUNTIFS($AM$8:$AM$507,"&lt;"&amp;$AM440)+COUNTIFS($AM$8:$AM$507,$AM440,$AO$8:$AO$507,"&lt;"&amp;$AO440)+1,Constants!$B$14),$AB440))</f>
        <v/>
      </c>
      <c r="AQ440" s="66" t="str">
        <f aca="false">IF(ISBLANK($C440),"",IF($AB440=Constants!$B$7,IF(ISNUMBER(AM440),AM440-AP440,Constants!$B$14),$AB440))</f>
        <v/>
      </c>
      <c r="AR440" s="68"/>
      <c r="AS440" s="69" t="str">
        <f aca="false">IF(ISBLANK($C440),"",IF($AB440&lt;&gt;Constants!$B$7,"",AJ440))</f>
        <v/>
      </c>
      <c r="AT440" s="84" t="str">
        <f aca="false">IF(ISBLANK($C440),"",IF($AB440&lt;&gt;Constants!$B$7,"",IF(AJ440=1,AD440,AG440)))</f>
        <v/>
      </c>
      <c r="AU440" s="71" t="str">
        <f aca="false">IF(ISBLANK($C440),"",IF($AB440&lt;&gt;Constants!$B$7,"",IF(AJ440=1,AE440,AH440)))</f>
        <v/>
      </c>
      <c r="AV440" s="72" t="str">
        <f aca="false">IF(ISBLANK($C440),"",IF($AB440&lt;&gt;Constants!$B$7,$AB440,AL440))</f>
        <v/>
      </c>
      <c r="AW440" s="73" t="str">
        <f aca="false">IF(ISBLANK($C440),"",IF($AB440&lt;&gt;Constants!$B$7,$AB440,AC440))</f>
        <v/>
      </c>
      <c r="AX440" s="74" t="str">
        <f aca="false">IF(ISBLANK($C440),"",AQ440)</f>
        <v/>
      </c>
      <c r="AY440" s="74" t="str">
        <f aca="false">IF(ISBLANK($C440),"",AP440)</f>
        <v/>
      </c>
      <c r="AZ440" s="75" t="str">
        <f aca="false">IF(ISBLANK($C440),"",IF(AY440=Constants!$B$4,COUNTA($C$8:$C$507)+2,IF(AY440=Constants!$B$5,COUNTA($C$8:$C$507)+1,IF(AY440=Constants!$B$6,COUNTA($C$8:$C$507),AY440))))</f>
        <v/>
      </c>
      <c r="BA440" s="5"/>
      <c r="BB440" s="76" t="n">
        <f aca="false">IF(OR(ISNUMBER(AY440),AY440=Constants!$B$4,AY440=Constants!$B$6,AY440=Constants!$B$5),1,0)</f>
        <v>0</v>
      </c>
      <c r="BC440" s="76" t="n">
        <v>433</v>
      </c>
      <c r="BD440" s="76" t="str">
        <f aca="false">IF(ISBLANK($C440),"",IF(ISNUMBER(AZ440),AZ440+ROW($B440)/1000,""))</f>
        <v/>
      </c>
      <c r="BE440" s="76" t="str">
        <f aca="false">IF(ISNUMBER(BD440),RANK(BD440,$BD$8:$BD$507,1),"")</f>
        <v/>
      </c>
      <c r="BF440" s="76" t="str">
        <f aca="false">IF(ISBLANK($C440),"",$B440)</f>
        <v/>
      </c>
      <c r="BG440" s="76" t="str">
        <f aca="false">IF(ISBLANK($C440),"",$C440)</f>
        <v/>
      </c>
      <c r="BH440" s="76" t="str">
        <f aca="false">IF(ISBLANK($C440),"",$D440)</f>
        <v/>
      </c>
      <c r="BI440" s="77" t="str">
        <f aca="false">AW440</f>
        <v/>
      </c>
      <c r="BJ440" s="78" t="str">
        <f aca="false">AV440</f>
        <v/>
      </c>
      <c r="BK440" s="76" t="str">
        <f aca="false">IF(ISBLANK($C440),"",AY440)</f>
        <v/>
      </c>
      <c r="BL440" s="79" t="str">
        <f aca="false">IF($BC440&gt;$BB$7,"",VLOOKUP($BC440,$BE$8:$BK$507,7,FALSE()))</f>
        <v/>
      </c>
      <c r="BM440" s="80" t="str">
        <f aca="false">IF($BC440&gt;$BB$7,"",VLOOKUP($BC440,$BE$8:$BK$507,2,FALSE()))</f>
        <v/>
      </c>
      <c r="BN440" s="80" t="str">
        <f aca="false">IF($BC440&gt;$BB$7,"",VLOOKUP($BC440,$BE$8:$BK$507,3,FALSE()))</f>
        <v/>
      </c>
      <c r="BO440" s="80" t="str">
        <f aca="false">IF($BC440&gt;$BB$7,"",VLOOKUP($BC440,$BE$8:$BK$507,4,FALSE()))</f>
        <v/>
      </c>
      <c r="BP440" s="80" t="str">
        <f aca="false">IF($BC440&gt;$BB$7,"",VLOOKUP($BC440,$BE$8:$BK$507,5,FALSE()))</f>
        <v/>
      </c>
      <c r="BQ440" s="81" t="str">
        <f aca="false">IF($BC440&gt;$BB$7,"",VLOOKUP($BC440,$BE$8:$BK$507,6,FALSE()))</f>
        <v/>
      </c>
      <c r="BR440" s="54"/>
    </row>
    <row r="441" customFormat="false" ht="15.75" hidden="false" customHeight="false" outlineLevel="0" collapsed="false">
      <c r="A441" s="5"/>
      <c r="B441" s="124"/>
      <c r="C441" s="56"/>
      <c r="D441" s="57"/>
      <c r="E441" s="83"/>
      <c r="F441" s="59"/>
      <c r="G441" s="60"/>
      <c r="H441" s="61"/>
      <c r="I441" s="62"/>
      <c r="J441" s="59"/>
      <c r="K441" s="60"/>
      <c r="L441" s="61"/>
      <c r="M441" s="62"/>
      <c r="N441" s="59"/>
      <c r="O441" s="83"/>
      <c r="P441" s="64"/>
      <c r="Q441" s="66" t="str">
        <f aca="false">IF(ISBLANK($C441),"",IF(E441=Constants!$B$2, TRUE(), IF(E441=Constants!$B$3, FALSE(), TRUE())))</f>
        <v/>
      </c>
      <c r="R441" s="66" t="str">
        <f aca="false">IF(ISBLANK($C441),"",IF(F441=Constants!$B$16,Constants!$B$9,IF(F441=Constants!$B$17,Constants!$B$10,Constants!$B$8)))</f>
        <v/>
      </c>
      <c r="S441" s="66" t="str">
        <f aca="false">IF(ISBLANK($C441),"",IF(COUNTA(G441:H441)=0,"",IF(AND(OR(ISBLANK(G441),AND(ISNUMBER(G441),G441&gt;=0)),OR(ISBLANK(H441),AND(ISNUMBER(H441),H441&gt;=0))),60*IF(ISBLANK(G441),0,G441)+IF(ISBLANK(H441),0,H441),"")))</f>
        <v/>
      </c>
      <c r="T441" s="66" t="str">
        <f aca="false">IF(ISBLANK($C441),"",IF(I441=Constants!$B$2, TRUE(), IF(I441=Constants!$B$3, FALSE(), TRUE())))</f>
        <v/>
      </c>
      <c r="U441" s="66" t="str">
        <f aca="false">IF(ISBLANK($C441),"",IF(J441=Constants!$B$2, TRUE(), IF(J441=Constants!$B$3, FALSE(), TRUE())))</f>
        <v/>
      </c>
      <c r="V441" s="66" t="str">
        <f aca="false">IF(ISBLANK($C441),"",IF(COUNTA(K441:L441)=0,"",IF(AND(OR(ISBLANK(K441),AND(ISNUMBER(K441),K441&gt;=0)),OR(ISBLANK(L441),AND(ISNUMBER(L441),L441&gt;=0))),60*IF(ISBLANK(K441),0,K441)+IF(ISBLANK(L441),0,L441),"")))</f>
        <v/>
      </c>
      <c r="W441" s="66" t="str">
        <f aca="false">IF(ISBLANK($C441),"",IF(M441=Constants!$B$2, TRUE(), IF(M441=Constants!$B$3, FALSE(), TRUE())))</f>
        <v/>
      </c>
      <c r="X441" s="66" t="str">
        <f aca="false">IF(ISBLANK($C441),"",IF(N441=Constants!$B$2, TRUE(), IF(N441=Constants!$B$3, FALSE(), TRUE())))</f>
        <v/>
      </c>
      <c r="Y441" s="66" t="str">
        <f aca="false">IF(ISBLANK($C441),"",IF(O441=Constants!$B$2, TRUE(), IF(O441=Constants!$B$3, FALSE(), FALSE())))</f>
        <v/>
      </c>
      <c r="Z441" s="66" t="str">
        <f aca="false">IF(ISBLANK($C441),"",AND(S441&lt;&gt;"",Q441))</f>
        <v/>
      </c>
      <c r="AA441" s="66" t="str">
        <f aca="false">IF(ISBLANK($C441),"",AND(V441&lt;&gt;"",Q441))</f>
        <v/>
      </c>
      <c r="AB441" s="66" t="str">
        <f aca="false">IF(ISBLANK($C441),"",IF(Y441,Constants!$B$4,IF(COUNTA(E441:N441)=0,Constants!$B$5,IF(NOT(Q441),Constants!$B$6,IF(AND(NOT(Z441),NOT(AA441)),Constants!$B$6,Constants!$B$7)))))</f>
        <v/>
      </c>
      <c r="AC441" s="66" t="str">
        <f aca="false">IF(ISBLANK($C441),"",IF($AB441&lt;&gt;Constants!$B$7,$AB441,Constants!$B$20))</f>
        <v/>
      </c>
      <c r="AD441" s="66" t="str">
        <f aca="false">IF($AB441=Constants!$B$7,IF(Z441,S441,Constants!$B$13),"")</f>
        <v/>
      </c>
      <c r="AE441" s="66" t="str">
        <f aca="false">IF($AB441=Constants!$B$7,IF(Z441,R441*IF(T441, 1, Constants!$B$11)*IF(U441, 1, Constants!$B$12),Constants!$B$13),"")</f>
        <v/>
      </c>
      <c r="AF441" s="66" t="str">
        <f aca="false">IF($AB441=Constants!$B$7,AD441*AE441,"")</f>
        <v/>
      </c>
      <c r="AG441" s="66" t="str">
        <f aca="false">IF($AB441=Constants!$B$7,IF(AA441,V441,Constants!$B$13),"")</f>
        <v/>
      </c>
      <c r="AH441" s="66" t="str">
        <f aca="false">IF($AB441=Constants!$B$7,IF(AA441,R441*IF(W441, 1, Constants!$B$11)*IF(X441, 1, Constants!$B$12),Constants!$B$13),"")</f>
        <v/>
      </c>
      <c r="AI441" s="66" t="str">
        <f aca="false">IF($AB441=Constants!$B$7,AG441*AH441,"")</f>
        <v/>
      </c>
      <c r="AJ441" s="66" t="str">
        <f aca="false">IF($AB441=Constants!$B$7,IF(AI441&gt;AF441,2,1),"")</f>
        <v/>
      </c>
      <c r="AK441" s="66" t="str">
        <f aca="false">IF($AB441=Constants!$B$7,IF(AJ441=1,2,1),"")</f>
        <v/>
      </c>
      <c r="AL441" s="66" t="str">
        <f aca="false">IF(ISBLANK($C441),"",IF($AB441&lt;&gt;Constants!$B$7,$AB441,IF(AJ441=1,AF441,AI441)))</f>
        <v/>
      </c>
      <c r="AM441" s="66" t="str">
        <f aca="false">IF(ISBLANK($C441),"",IF($AB441=Constants!$B$7,IF(ISNUMBER(AL441),RANK(AL441,$AL$8:$AL$507),Constants!$B$14),$AB441))</f>
        <v/>
      </c>
      <c r="AN441" s="66" t="str">
        <f aca="false">IF(ISBLANK($C441),"",IF($AB441=Constants!$B$7,IF(AK441=1,AF441,AI441),""))</f>
        <v/>
      </c>
      <c r="AO441" s="66" t="str">
        <f aca="false">IF(ISBLANK($C441),"",IF($AB441=Constants!$B$7,RANK(AN441,$AN$8:$AN$507),$AB441))</f>
        <v/>
      </c>
      <c r="AP441" s="66" t="str">
        <f aca="false">IF(ISBLANK($C441),"",IF($AB441=Constants!$B$7,IF(ISNUMBER(AM441),COUNTIFS($AM$8:$AM$507,"&lt;"&amp;$AM441)+COUNTIFS($AM$8:$AM$507,$AM441,$AO$8:$AO$507,"&lt;"&amp;$AO441)+1,Constants!$B$14),$AB441))</f>
        <v/>
      </c>
      <c r="AQ441" s="66" t="str">
        <f aca="false">IF(ISBLANK($C441),"",IF($AB441=Constants!$B$7,IF(ISNUMBER(AM441),AM441-AP441,Constants!$B$14),$AB441))</f>
        <v/>
      </c>
      <c r="AR441" s="68"/>
      <c r="AS441" s="69" t="str">
        <f aca="false">IF(ISBLANK($C441),"",IF($AB441&lt;&gt;Constants!$B$7,"",AJ441))</f>
        <v/>
      </c>
      <c r="AT441" s="84" t="str">
        <f aca="false">IF(ISBLANK($C441),"",IF($AB441&lt;&gt;Constants!$B$7,"",IF(AJ441=1,AD441,AG441)))</f>
        <v/>
      </c>
      <c r="AU441" s="71" t="str">
        <f aca="false">IF(ISBLANK($C441),"",IF($AB441&lt;&gt;Constants!$B$7,"",IF(AJ441=1,AE441,AH441)))</f>
        <v/>
      </c>
      <c r="AV441" s="72" t="str">
        <f aca="false">IF(ISBLANK($C441),"",IF($AB441&lt;&gt;Constants!$B$7,$AB441,AL441))</f>
        <v/>
      </c>
      <c r="AW441" s="73" t="str">
        <f aca="false">IF(ISBLANK($C441),"",IF($AB441&lt;&gt;Constants!$B$7,$AB441,AC441))</f>
        <v/>
      </c>
      <c r="AX441" s="74" t="str">
        <f aca="false">IF(ISBLANK($C441),"",AQ441)</f>
        <v/>
      </c>
      <c r="AY441" s="74" t="str">
        <f aca="false">IF(ISBLANK($C441),"",AP441)</f>
        <v/>
      </c>
      <c r="AZ441" s="75" t="str">
        <f aca="false">IF(ISBLANK($C441),"",IF(AY441=Constants!$B$4,COUNTA($C$8:$C$507)+2,IF(AY441=Constants!$B$5,COUNTA($C$8:$C$507)+1,IF(AY441=Constants!$B$6,COUNTA($C$8:$C$507),AY441))))</f>
        <v/>
      </c>
      <c r="BA441" s="5"/>
      <c r="BB441" s="76" t="n">
        <f aca="false">IF(OR(ISNUMBER(AY441),AY441=Constants!$B$4,AY441=Constants!$B$6,AY441=Constants!$B$5),1,0)</f>
        <v>0</v>
      </c>
      <c r="BC441" s="76" t="n">
        <v>434</v>
      </c>
      <c r="BD441" s="76" t="str">
        <f aca="false">IF(ISBLANK($C441),"",IF(ISNUMBER(AZ441),AZ441+ROW($B441)/1000,""))</f>
        <v/>
      </c>
      <c r="BE441" s="76" t="str">
        <f aca="false">IF(ISNUMBER(BD441),RANK(BD441,$BD$8:$BD$507,1),"")</f>
        <v/>
      </c>
      <c r="BF441" s="76" t="str">
        <f aca="false">IF(ISBLANK($C441),"",$B441)</f>
        <v/>
      </c>
      <c r="BG441" s="76" t="str">
        <f aca="false">IF(ISBLANK($C441),"",$C441)</f>
        <v/>
      </c>
      <c r="BH441" s="76" t="str">
        <f aca="false">IF(ISBLANK($C441),"",$D441)</f>
        <v/>
      </c>
      <c r="BI441" s="77" t="str">
        <f aca="false">AW441</f>
        <v/>
      </c>
      <c r="BJ441" s="78" t="str">
        <f aca="false">AV441</f>
        <v/>
      </c>
      <c r="BK441" s="76" t="str">
        <f aca="false">IF(ISBLANK($C441),"",AY441)</f>
        <v/>
      </c>
      <c r="BL441" s="79" t="str">
        <f aca="false">IF($BC441&gt;$BB$7,"",VLOOKUP($BC441,$BE$8:$BK$507,7,FALSE()))</f>
        <v/>
      </c>
      <c r="BM441" s="80" t="str">
        <f aca="false">IF($BC441&gt;$BB$7,"",VLOOKUP($BC441,$BE$8:$BK$507,2,FALSE()))</f>
        <v/>
      </c>
      <c r="BN441" s="80" t="str">
        <f aca="false">IF($BC441&gt;$BB$7,"",VLOOKUP($BC441,$BE$8:$BK$507,3,FALSE()))</f>
        <v/>
      </c>
      <c r="BO441" s="80" t="str">
        <f aca="false">IF($BC441&gt;$BB$7,"",VLOOKUP($BC441,$BE$8:$BK$507,4,FALSE()))</f>
        <v/>
      </c>
      <c r="BP441" s="80" t="str">
        <f aca="false">IF($BC441&gt;$BB$7,"",VLOOKUP($BC441,$BE$8:$BK$507,5,FALSE()))</f>
        <v/>
      </c>
      <c r="BQ441" s="81" t="str">
        <f aca="false">IF($BC441&gt;$BB$7,"",VLOOKUP($BC441,$BE$8:$BK$507,6,FALSE()))</f>
        <v/>
      </c>
      <c r="BR441" s="54"/>
    </row>
    <row r="442" customFormat="false" ht="15.75" hidden="false" customHeight="false" outlineLevel="0" collapsed="false">
      <c r="A442" s="5"/>
      <c r="B442" s="124"/>
      <c r="C442" s="56"/>
      <c r="D442" s="57"/>
      <c r="E442" s="83"/>
      <c r="F442" s="59"/>
      <c r="G442" s="60"/>
      <c r="H442" s="61"/>
      <c r="I442" s="62"/>
      <c r="J442" s="59"/>
      <c r="K442" s="60"/>
      <c r="L442" s="61"/>
      <c r="M442" s="62"/>
      <c r="N442" s="59"/>
      <c r="O442" s="83"/>
      <c r="P442" s="64"/>
      <c r="Q442" s="66" t="str">
        <f aca="false">IF(ISBLANK($C442),"",IF(E442=Constants!$B$2, TRUE(), IF(E442=Constants!$B$3, FALSE(), TRUE())))</f>
        <v/>
      </c>
      <c r="R442" s="66" t="str">
        <f aca="false">IF(ISBLANK($C442),"",IF(F442=Constants!$B$16,Constants!$B$9,IF(F442=Constants!$B$17,Constants!$B$10,Constants!$B$8)))</f>
        <v/>
      </c>
      <c r="S442" s="66" t="str">
        <f aca="false">IF(ISBLANK($C442),"",IF(COUNTA(G442:H442)=0,"",IF(AND(OR(ISBLANK(G442),AND(ISNUMBER(G442),G442&gt;=0)),OR(ISBLANK(H442),AND(ISNUMBER(H442),H442&gt;=0))),60*IF(ISBLANK(G442),0,G442)+IF(ISBLANK(H442),0,H442),"")))</f>
        <v/>
      </c>
      <c r="T442" s="66" t="str">
        <f aca="false">IF(ISBLANK($C442),"",IF(I442=Constants!$B$2, TRUE(), IF(I442=Constants!$B$3, FALSE(), TRUE())))</f>
        <v/>
      </c>
      <c r="U442" s="66" t="str">
        <f aca="false">IF(ISBLANK($C442),"",IF(J442=Constants!$B$2, TRUE(), IF(J442=Constants!$B$3, FALSE(), TRUE())))</f>
        <v/>
      </c>
      <c r="V442" s="66" t="str">
        <f aca="false">IF(ISBLANK($C442),"",IF(COUNTA(K442:L442)=0,"",IF(AND(OR(ISBLANK(K442),AND(ISNUMBER(K442),K442&gt;=0)),OR(ISBLANK(L442),AND(ISNUMBER(L442),L442&gt;=0))),60*IF(ISBLANK(K442),0,K442)+IF(ISBLANK(L442),0,L442),"")))</f>
        <v/>
      </c>
      <c r="W442" s="66" t="str">
        <f aca="false">IF(ISBLANK($C442),"",IF(M442=Constants!$B$2, TRUE(), IF(M442=Constants!$B$3, FALSE(), TRUE())))</f>
        <v/>
      </c>
      <c r="X442" s="66" t="str">
        <f aca="false">IF(ISBLANK($C442),"",IF(N442=Constants!$B$2, TRUE(), IF(N442=Constants!$B$3, FALSE(), TRUE())))</f>
        <v/>
      </c>
      <c r="Y442" s="66" t="str">
        <f aca="false">IF(ISBLANK($C442),"",IF(O442=Constants!$B$2, TRUE(), IF(O442=Constants!$B$3, FALSE(), FALSE())))</f>
        <v/>
      </c>
      <c r="Z442" s="66" t="str">
        <f aca="false">IF(ISBLANK($C442),"",AND(S442&lt;&gt;"",Q442))</f>
        <v/>
      </c>
      <c r="AA442" s="66" t="str">
        <f aca="false">IF(ISBLANK($C442),"",AND(V442&lt;&gt;"",Q442))</f>
        <v/>
      </c>
      <c r="AB442" s="66" t="str">
        <f aca="false">IF(ISBLANK($C442),"",IF(Y442,Constants!$B$4,IF(COUNTA(E442:N442)=0,Constants!$B$5,IF(NOT(Q442),Constants!$B$6,IF(AND(NOT(Z442),NOT(AA442)),Constants!$B$6,Constants!$B$7)))))</f>
        <v/>
      </c>
      <c r="AC442" s="66" t="str">
        <f aca="false">IF(ISBLANK($C442),"",IF($AB442&lt;&gt;Constants!$B$7,$AB442,Constants!$B$20))</f>
        <v/>
      </c>
      <c r="AD442" s="66" t="str">
        <f aca="false">IF($AB442=Constants!$B$7,IF(Z442,S442,Constants!$B$13),"")</f>
        <v/>
      </c>
      <c r="AE442" s="66" t="str">
        <f aca="false">IF($AB442=Constants!$B$7,IF(Z442,R442*IF(T442, 1, Constants!$B$11)*IF(U442, 1, Constants!$B$12),Constants!$B$13),"")</f>
        <v/>
      </c>
      <c r="AF442" s="66" t="str">
        <f aca="false">IF($AB442=Constants!$B$7,AD442*AE442,"")</f>
        <v/>
      </c>
      <c r="AG442" s="66" t="str">
        <f aca="false">IF($AB442=Constants!$B$7,IF(AA442,V442,Constants!$B$13),"")</f>
        <v/>
      </c>
      <c r="AH442" s="66" t="str">
        <f aca="false">IF($AB442=Constants!$B$7,IF(AA442,R442*IF(W442, 1, Constants!$B$11)*IF(X442, 1, Constants!$B$12),Constants!$B$13),"")</f>
        <v/>
      </c>
      <c r="AI442" s="66" t="str">
        <f aca="false">IF($AB442=Constants!$B$7,AG442*AH442,"")</f>
        <v/>
      </c>
      <c r="AJ442" s="66" t="str">
        <f aca="false">IF($AB442=Constants!$B$7,IF(AI442&gt;AF442,2,1),"")</f>
        <v/>
      </c>
      <c r="AK442" s="66" t="str">
        <f aca="false">IF($AB442=Constants!$B$7,IF(AJ442=1,2,1),"")</f>
        <v/>
      </c>
      <c r="AL442" s="66" t="str">
        <f aca="false">IF(ISBLANK($C442),"",IF($AB442&lt;&gt;Constants!$B$7,$AB442,IF(AJ442=1,AF442,AI442)))</f>
        <v/>
      </c>
      <c r="AM442" s="66" t="str">
        <f aca="false">IF(ISBLANK($C442),"",IF($AB442=Constants!$B$7,IF(ISNUMBER(AL442),RANK(AL442,$AL$8:$AL$507),Constants!$B$14),$AB442))</f>
        <v/>
      </c>
      <c r="AN442" s="66" t="str">
        <f aca="false">IF(ISBLANK($C442),"",IF($AB442=Constants!$B$7,IF(AK442=1,AF442,AI442),""))</f>
        <v/>
      </c>
      <c r="AO442" s="66" t="str">
        <f aca="false">IF(ISBLANK($C442),"",IF($AB442=Constants!$B$7,RANK(AN442,$AN$8:$AN$507),$AB442))</f>
        <v/>
      </c>
      <c r="AP442" s="66" t="str">
        <f aca="false">IF(ISBLANK($C442),"",IF($AB442=Constants!$B$7,IF(ISNUMBER(AM442),COUNTIFS($AM$8:$AM$507,"&lt;"&amp;$AM442)+COUNTIFS($AM$8:$AM$507,$AM442,$AO$8:$AO$507,"&lt;"&amp;$AO442)+1,Constants!$B$14),$AB442))</f>
        <v/>
      </c>
      <c r="AQ442" s="66" t="str">
        <f aca="false">IF(ISBLANK($C442),"",IF($AB442=Constants!$B$7,IF(ISNUMBER(AM442),AM442-AP442,Constants!$B$14),$AB442))</f>
        <v/>
      </c>
      <c r="AR442" s="68"/>
      <c r="AS442" s="69" t="str">
        <f aca="false">IF(ISBLANK($C442),"",IF($AB442&lt;&gt;Constants!$B$7,"",AJ442))</f>
        <v/>
      </c>
      <c r="AT442" s="84" t="str">
        <f aca="false">IF(ISBLANK($C442),"",IF($AB442&lt;&gt;Constants!$B$7,"",IF(AJ442=1,AD442,AG442)))</f>
        <v/>
      </c>
      <c r="AU442" s="71" t="str">
        <f aca="false">IF(ISBLANK($C442),"",IF($AB442&lt;&gt;Constants!$B$7,"",IF(AJ442=1,AE442,AH442)))</f>
        <v/>
      </c>
      <c r="AV442" s="72" t="str">
        <f aca="false">IF(ISBLANK($C442),"",IF($AB442&lt;&gt;Constants!$B$7,$AB442,AL442))</f>
        <v/>
      </c>
      <c r="AW442" s="73" t="str">
        <f aca="false">IF(ISBLANK($C442),"",IF($AB442&lt;&gt;Constants!$B$7,$AB442,AC442))</f>
        <v/>
      </c>
      <c r="AX442" s="74" t="str">
        <f aca="false">IF(ISBLANK($C442),"",AQ442)</f>
        <v/>
      </c>
      <c r="AY442" s="74" t="str">
        <f aca="false">IF(ISBLANK($C442),"",AP442)</f>
        <v/>
      </c>
      <c r="AZ442" s="75" t="str">
        <f aca="false">IF(ISBLANK($C442),"",IF(AY442=Constants!$B$4,COUNTA($C$8:$C$507)+2,IF(AY442=Constants!$B$5,COUNTA($C$8:$C$507)+1,IF(AY442=Constants!$B$6,COUNTA($C$8:$C$507),AY442))))</f>
        <v/>
      </c>
      <c r="BA442" s="5"/>
      <c r="BB442" s="76" t="n">
        <f aca="false">IF(OR(ISNUMBER(AY442),AY442=Constants!$B$4,AY442=Constants!$B$6,AY442=Constants!$B$5),1,0)</f>
        <v>0</v>
      </c>
      <c r="BC442" s="76" t="n">
        <v>435</v>
      </c>
      <c r="BD442" s="76" t="str">
        <f aca="false">IF(ISBLANK($C442),"",IF(ISNUMBER(AZ442),AZ442+ROW($B442)/1000,""))</f>
        <v/>
      </c>
      <c r="BE442" s="76" t="str">
        <f aca="false">IF(ISNUMBER(BD442),RANK(BD442,$BD$8:$BD$507,1),"")</f>
        <v/>
      </c>
      <c r="BF442" s="76" t="str">
        <f aca="false">IF(ISBLANK($C442),"",$B442)</f>
        <v/>
      </c>
      <c r="BG442" s="76" t="str">
        <f aca="false">IF(ISBLANK($C442),"",$C442)</f>
        <v/>
      </c>
      <c r="BH442" s="76" t="str">
        <f aca="false">IF(ISBLANK($C442),"",$D442)</f>
        <v/>
      </c>
      <c r="BI442" s="77" t="str">
        <f aca="false">AW442</f>
        <v/>
      </c>
      <c r="BJ442" s="78" t="str">
        <f aca="false">AV442</f>
        <v/>
      </c>
      <c r="BK442" s="76" t="str">
        <f aca="false">IF(ISBLANK($C442),"",AY442)</f>
        <v/>
      </c>
      <c r="BL442" s="79" t="str">
        <f aca="false">IF($BC442&gt;$BB$7,"",VLOOKUP($BC442,$BE$8:$BK$507,7,FALSE()))</f>
        <v/>
      </c>
      <c r="BM442" s="80" t="str">
        <f aca="false">IF($BC442&gt;$BB$7,"",VLOOKUP($BC442,$BE$8:$BK$507,2,FALSE()))</f>
        <v/>
      </c>
      <c r="BN442" s="80" t="str">
        <f aca="false">IF($BC442&gt;$BB$7,"",VLOOKUP($BC442,$BE$8:$BK$507,3,FALSE()))</f>
        <v/>
      </c>
      <c r="BO442" s="80" t="str">
        <f aca="false">IF($BC442&gt;$BB$7,"",VLOOKUP($BC442,$BE$8:$BK$507,4,FALSE()))</f>
        <v/>
      </c>
      <c r="BP442" s="80" t="str">
        <f aca="false">IF($BC442&gt;$BB$7,"",VLOOKUP($BC442,$BE$8:$BK$507,5,FALSE()))</f>
        <v/>
      </c>
      <c r="BQ442" s="81" t="str">
        <f aca="false">IF($BC442&gt;$BB$7,"",VLOOKUP($BC442,$BE$8:$BK$507,6,FALSE()))</f>
        <v/>
      </c>
      <c r="BR442" s="54"/>
    </row>
    <row r="443" customFormat="false" ht="15.75" hidden="false" customHeight="false" outlineLevel="0" collapsed="false">
      <c r="A443" s="5"/>
      <c r="B443" s="120"/>
      <c r="C443" s="121"/>
      <c r="D443" s="112"/>
      <c r="E443" s="123"/>
      <c r="F443" s="91"/>
      <c r="G443" s="92"/>
      <c r="H443" s="93"/>
      <c r="I443" s="94"/>
      <c r="J443" s="91"/>
      <c r="K443" s="92"/>
      <c r="L443" s="93"/>
      <c r="M443" s="94"/>
      <c r="N443" s="91"/>
      <c r="O443" s="123"/>
      <c r="P443" s="96"/>
      <c r="Q443" s="97" t="str">
        <f aca="false">IF(ISBLANK($C443),"",IF(E443=Constants!$B$2, TRUE(), IF(E443=Constants!$B$3, FALSE(), TRUE())))</f>
        <v/>
      </c>
      <c r="R443" s="97" t="str">
        <f aca="false">IF(ISBLANK($C443),"",IF(F443=Constants!$B$16,Constants!$B$9,IF(F443=Constants!$B$17,Constants!$B$10,Constants!$B$8)))</f>
        <v/>
      </c>
      <c r="S443" s="97" t="str">
        <f aca="false">IF(ISBLANK($C443),"",IF(COUNTA(G443:H443)=0,"",IF(AND(OR(ISBLANK(G443),AND(ISNUMBER(G443),G443&gt;=0)),OR(ISBLANK(H443),AND(ISNUMBER(H443),H443&gt;=0))),60*IF(ISBLANK(G443),0,G443)+IF(ISBLANK(H443),0,H443),"")))</f>
        <v/>
      </c>
      <c r="T443" s="97" t="str">
        <f aca="false">IF(ISBLANK($C443),"",IF(I443=Constants!$B$2, TRUE(), IF(I443=Constants!$B$3, FALSE(), TRUE())))</f>
        <v/>
      </c>
      <c r="U443" s="97" t="str">
        <f aca="false">IF(ISBLANK($C443),"",IF(J443=Constants!$B$2, TRUE(), IF(J443=Constants!$B$3, FALSE(), TRUE())))</f>
        <v/>
      </c>
      <c r="V443" s="97" t="str">
        <f aca="false">IF(ISBLANK($C443),"",IF(COUNTA(K443:L443)=0,"",IF(AND(OR(ISBLANK(K443),AND(ISNUMBER(K443),K443&gt;=0)),OR(ISBLANK(L443),AND(ISNUMBER(L443),L443&gt;=0))),60*IF(ISBLANK(K443),0,K443)+IF(ISBLANK(L443),0,L443),"")))</f>
        <v/>
      </c>
      <c r="W443" s="97" t="str">
        <f aca="false">IF(ISBLANK($C443),"",IF(M443=Constants!$B$2, TRUE(), IF(M443=Constants!$B$3, FALSE(), TRUE())))</f>
        <v/>
      </c>
      <c r="X443" s="97" t="str">
        <f aca="false">IF(ISBLANK($C443),"",IF(N443=Constants!$B$2, TRUE(), IF(N443=Constants!$B$3, FALSE(), TRUE())))</f>
        <v/>
      </c>
      <c r="Y443" s="97" t="str">
        <f aca="false">IF(ISBLANK($C443),"",IF(O443=Constants!$B$2, TRUE(), IF(O443=Constants!$B$3, FALSE(), FALSE())))</f>
        <v/>
      </c>
      <c r="Z443" s="97" t="str">
        <f aca="false">IF(ISBLANK($C443),"",AND(S443&lt;&gt;"",Q443))</f>
        <v/>
      </c>
      <c r="AA443" s="97" t="str">
        <f aca="false">IF(ISBLANK($C443),"",AND(V443&lt;&gt;"",Q443))</f>
        <v/>
      </c>
      <c r="AB443" s="97" t="str">
        <f aca="false">IF(ISBLANK($C443),"",IF(Y443,Constants!$B$4,IF(COUNTA(E443:N443)=0,Constants!$B$5,IF(NOT(Q443),Constants!$B$6,IF(AND(NOT(Z443),NOT(AA443)),Constants!$B$6,Constants!$B$7)))))</f>
        <v/>
      </c>
      <c r="AC443" s="97" t="str">
        <f aca="false">IF(ISBLANK($C443),"",IF($AB443&lt;&gt;Constants!$B$7,$AB443,Constants!$B$20))</f>
        <v/>
      </c>
      <c r="AD443" s="97" t="str">
        <f aca="false">IF($AB443=Constants!$B$7,IF(Z443,S443,Constants!$B$13),"")</f>
        <v/>
      </c>
      <c r="AE443" s="97" t="str">
        <f aca="false">IF($AB443=Constants!$B$7,IF(Z443,R443*IF(T443, 1, Constants!$B$11)*IF(U443, 1, Constants!$B$12),Constants!$B$13),"")</f>
        <v/>
      </c>
      <c r="AF443" s="97" t="str">
        <f aca="false">IF($AB443=Constants!$B$7,AD443*AE443,"")</f>
        <v/>
      </c>
      <c r="AG443" s="97" t="str">
        <f aca="false">IF($AB443=Constants!$B$7,IF(AA443,V443,Constants!$B$13),"")</f>
        <v/>
      </c>
      <c r="AH443" s="97" t="str">
        <f aca="false">IF($AB443=Constants!$B$7,IF(AA443,R443*IF(W443, 1, Constants!$B$11)*IF(X443, 1, Constants!$B$12),Constants!$B$13),"")</f>
        <v/>
      </c>
      <c r="AI443" s="97" t="str">
        <f aca="false">IF($AB443=Constants!$B$7,AG443*AH443,"")</f>
        <v/>
      </c>
      <c r="AJ443" s="97" t="str">
        <f aca="false">IF($AB443=Constants!$B$7,IF(AI443&gt;AF443,2,1),"")</f>
        <v/>
      </c>
      <c r="AK443" s="97" t="str">
        <f aca="false">IF($AB443=Constants!$B$7,IF(AJ443=1,2,1),"")</f>
        <v/>
      </c>
      <c r="AL443" s="97" t="str">
        <f aca="false">IF(ISBLANK($C443),"",IF($AB443&lt;&gt;Constants!$B$7,$AB443,IF(AJ443=1,AF443,AI443)))</f>
        <v/>
      </c>
      <c r="AM443" s="97" t="str">
        <f aca="false">IF(ISBLANK($C443),"",IF($AB443=Constants!$B$7,IF(ISNUMBER(AL443),RANK(AL443,$AL$8:$AL$507),Constants!$B$14),$AB443))</f>
        <v/>
      </c>
      <c r="AN443" s="97" t="str">
        <f aca="false">IF(ISBLANK($C443),"",IF($AB443=Constants!$B$7,IF(AK443=1,AF443,AI443),""))</f>
        <v/>
      </c>
      <c r="AO443" s="97" t="str">
        <f aca="false">IF(ISBLANK($C443),"",IF($AB443=Constants!$B$7,RANK(AN443,$AN$8:$AN$507),$AB443))</f>
        <v/>
      </c>
      <c r="AP443" s="97" t="str">
        <f aca="false">IF(ISBLANK($C443),"",IF($AB443=Constants!$B$7,IF(ISNUMBER(AM443),COUNTIFS($AM$8:$AM$507,"&lt;"&amp;$AM443)+COUNTIFS($AM$8:$AM$507,$AM443,$AO$8:$AO$507,"&lt;"&amp;$AO443)+1,Constants!$B$14),$AB443))</f>
        <v/>
      </c>
      <c r="AQ443" s="97" t="str">
        <f aca="false">IF(ISBLANK($C443),"",IF($AB443=Constants!$B$7,IF(ISNUMBER(AM443),AM443-AP443,Constants!$B$14),$AB443))</f>
        <v/>
      </c>
      <c r="AR443" s="98"/>
      <c r="AS443" s="99" t="str">
        <f aca="false">IF(ISBLANK($C443),"",IF($AB443&lt;&gt;Constants!$B$7,"",AJ443))</f>
        <v/>
      </c>
      <c r="AT443" s="100" t="str">
        <f aca="false">IF(ISBLANK($C443),"",IF($AB443&lt;&gt;Constants!$B$7,"",IF(AJ443=1,AD443,AG443)))</f>
        <v/>
      </c>
      <c r="AU443" s="101" t="str">
        <f aca="false">IF(ISBLANK($C443),"",IF($AB443&lt;&gt;Constants!$B$7,"",IF(AJ443=1,AE443,AH443)))</f>
        <v/>
      </c>
      <c r="AV443" s="102" t="str">
        <f aca="false">IF(ISBLANK($C443),"",IF($AB443&lt;&gt;Constants!$B$7,$AB443,AL443))</f>
        <v/>
      </c>
      <c r="AW443" s="103" t="str">
        <f aca="false">IF(ISBLANK($C443),"",IF($AB443&lt;&gt;Constants!$B$7,$AB443,AC443))</f>
        <v/>
      </c>
      <c r="AX443" s="104" t="str">
        <f aca="false">IF(ISBLANK($C443),"",AQ443)</f>
        <v/>
      </c>
      <c r="AY443" s="104" t="str">
        <f aca="false">IF(ISBLANK($C443),"",AP443)</f>
        <v/>
      </c>
      <c r="AZ443" s="105" t="str">
        <f aca="false">IF(ISBLANK($C443),"",IF(AY443=Constants!$B$4,COUNTA($C$8:$C$507)+2,IF(AY443=Constants!$B$5,COUNTA($C$8:$C$507)+1,IF(AY443=Constants!$B$6,COUNTA($C$8:$C$507),AY443))))</f>
        <v/>
      </c>
      <c r="BA443" s="5"/>
      <c r="BB443" s="106" t="n">
        <f aca="false">IF(OR(ISNUMBER(AY443),AY443=Constants!$B$4,AY443=Constants!$B$6,AY443=Constants!$B$5),1,0)</f>
        <v>0</v>
      </c>
      <c r="BC443" s="106" t="n">
        <v>436</v>
      </c>
      <c r="BD443" s="106" t="str">
        <f aca="false">IF(ISBLANK($C443),"",IF(ISNUMBER(AZ443),AZ443+ROW($B443)/1000,""))</f>
        <v/>
      </c>
      <c r="BE443" s="106" t="str">
        <f aca="false">IF(ISNUMBER(BD443),RANK(BD443,$BD$8:$BD$507,1),"")</f>
        <v/>
      </c>
      <c r="BF443" s="106" t="str">
        <f aca="false">IF(ISBLANK($C443),"",$B443)</f>
        <v/>
      </c>
      <c r="BG443" s="106" t="str">
        <f aca="false">IF(ISBLANK($C443),"",$C443)</f>
        <v/>
      </c>
      <c r="BH443" s="106" t="str">
        <f aca="false">IF(ISBLANK($C443),"",$D443)</f>
        <v/>
      </c>
      <c r="BI443" s="107" t="str">
        <f aca="false">AW443</f>
        <v/>
      </c>
      <c r="BJ443" s="108" t="str">
        <f aca="false">AV443</f>
        <v/>
      </c>
      <c r="BK443" s="106" t="str">
        <f aca="false">IF(ISBLANK($C443),"",AY443)</f>
        <v/>
      </c>
      <c r="BL443" s="109" t="str">
        <f aca="false">IF($BC443&gt;$BB$7,"",VLOOKUP($BC443,$BE$8:$BK$507,7,FALSE()))</f>
        <v/>
      </c>
      <c r="BM443" s="110" t="str">
        <f aca="false">IF($BC443&gt;$BB$7,"",VLOOKUP($BC443,$BE$8:$BK$507,2,FALSE()))</f>
        <v/>
      </c>
      <c r="BN443" s="110" t="str">
        <f aca="false">IF($BC443&gt;$BB$7,"",VLOOKUP($BC443,$BE$8:$BK$507,3,FALSE()))</f>
        <v/>
      </c>
      <c r="BO443" s="110" t="str">
        <f aca="false">IF($BC443&gt;$BB$7,"",VLOOKUP($BC443,$BE$8:$BK$507,4,FALSE()))</f>
        <v/>
      </c>
      <c r="BP443" s="110" t="str">
        <f aca="false">IF($BC443&gt;$BB$7,"",VLOOKUP($BC443,$BE$8:$BK$507,5,FALSE()))</f>
        <v/>
      </c>
      <c r="BQ443" s="111" t="str">
        <f aca="false">IF($BC443&gt;$BB$7,"",VLOOKUP($BC443,$BE$8:$BK$507,6,FALSE()))</f>
        <v/>
      </c>
      <c r="BR443" s="54"/>
    </row>
    <row r="444" customFormat="false" ht="15.75" hidden="false" customHeight="false" outlineLevel="0" collapsed="false">
      <c r="A444" s="5"/>
      <c r="B444" s="120"/>
      <c r="C444" s="121"/>
      <c r="D444" s="112"/>
      <c r="E444" s="123"/>
      <c r="F444" s="91"/>
      <c r="G444" s="92"/>
      <c r="H444" s="93"/>
      <c r="I444" s="94"/>
      <c r="J444" s="91"/>
      <c r="K444" s="92"/>
      <c r="L444" s="93"/>
      <c r="M444" s="94"/>
      <c r="N444" s="91"/>
      <c r="O444" s="123"/>
      <c r="P444" s="96"/>
      <c r="Q444" s="97" t="str">
        <f aca="false">IF(ISBLANK($C444),"",IF(E444=Constants!$B$2, TRUE(), IF(E444=Constants!$B$3, FALSE(), TRUE())))</f>
        <v/>
      </c>
      <c r="R444" s="97" t="str">
        <f aca="false">IF(ISBLANK($C444),"",IF(F444=Constants!$B$16,Constants!$B$9,IF(F444=Constants!$B$17,Constants!$B$10,Constants!$B$8)))</f>
        <v/>
      </c>
      <c r="S444" s="97" t="str">
        <f aca="false">IF(ISBLANK($C444),"",IF(COUNTA(G444:H444)=0,"",IF(AND(OR(ISBLANK(G444),AND(ISNUMBER(G444),G444&gt;=0)),OR(ISBLANK(H444),AND(ISNUMBER(H444),H444&gt;=0))),60*IF(ISBLANK(G444),0,G444)+IF(ISBLANK(H444),0,H444),"")))</f>
        <v/>
      </c>
      <c r="T444" s="97" t="str">
        <f aca="false">IF(ISBLANK($C444),"",IF(I444=Constants!$B$2, TRUE(), IF(I444=Constants!$B$3, FALSE(), TRUE())))</f>
        <v/>
      </c>
      <c r="U444" s="97" t="str">
        <f aca="false">IF(ISBLANK($C444),"",IF(J444=Constants!$B$2, TRUE(), IF(J444=Constants!$B$3, FALSE(), TRUE())))</f>
        <v/>
      </c>
      <c r="V444" s="97" t="str">
        <f aca="false">IF(ISBLANK($C444),"",IF(COUNTA(K444:L444)=0,"",IF(AND(OR(ISBLANK(K444),AND(ISNUMBER(K444),K444&gt;=0)),OR(ISBLANK(L444),AND(ISNUMBER(L444),L444&gt;=0))),60*IF(ISBLANK(K444),0,K444)+IF(ISBLANK(L444),0,L444),"")))</f>
        <v/>
      </c>
      <c r="W444" s="97" t="str">
        <f aca="false">IF(ISBLANK($C444),"",IF(M444=Constants!$B$2, TRUE(), IF(M444=Constants!$B$3, FALSE(), TRUE())))</f>
        <v/>
      </c>
      <c r="X444" s="97" t="str">
        <f aca="false">IF(ISBLANK($C444),"",IF(N444=Constants!$B$2, TRUE(), IF(N444=Constants!$B$3, FALSE(), TRUE())))</f>
        <v/>
      </c>
      <c r="Y444" s="97" t="str">
        <f aca="false">IF(ISBLANK($C444),"",IF(O444=Constants!$B$2, TRUE(), IF(O444=Constants!$B$3, FALSE(), FALSE())))</f>
        <v/>
      </c>
      <c r="Z444" s="97" t="str">
        <f aca="false">IF(ISBLANK($C444),"",AND(S444&lt;&gt;"",Q444))</f>
        <v/>
      </c>
      <c r="AA444" s="97" t="str">
        <f aca="false">IF(ISBLANK($C444),"",AND(V444&lt;&gt;"",Q444))</f>
        <v/>
      </c>
      <c r="AB444" s="97" t="str">
        <f aca="false">IF(ISBLANK($C444),"",IF(Y444,Constants!$B$4,IF(COUNTA(E444:N444)=0,Constants!$B$5,IF(NOT(Q444),Constants!$B$6,IF(AND(NOT(Z444),NOT(AA444)),Constants!$B$6,Constants!$B$7)))))</f>
        <v/>
      </c>
      <c r="AC444" s="97" t="str">
        <f aca="false">IF(ISBLANK($C444),"",IF($AB444&lt;&gt;Constants!$B$7,$AB444,Constants!$B$20))</f>
        <v/>
      </c>
      <c r="AD444" s="97" t="str">
        <f aca="false">IF($AB444=Constants!$B$7,IF(Z444,S444,Constants!$B$13),"")</f>
        <v/>
      </c>
      <c r="AE444" s="97" t="str">
        <f aca="false">IF($AB444=Constants!$B$7,IF(Z444,R444*IF(T444, 1, Constants!$B$11)*IF(U444, 1, Constants!$B$12),Constants!$B$13),"")</f>
        <v/>
      </c>
      <c r="AF444" s="97" t="str">
        <f aca="false">IF($AB444=Constants!$B$7,AD444*AE444,"")</f>
        <v/>
      </c>
      <c r="AG444" s="97" t="str">
        <f aca="false">IF($AB444=Constants!$B$7,IF(AA444,V444,Constants!$B$13),"")</f>
        <v/>
      </c>
      <c r="AH444" s="97" t="str">
        <f aca="false">IF($AB444=Constants!$B$7,IF(AA444,R444*IF(W444, 1, Constants!$B$11)*IF(X444, 1, Constants!$B$12),Constants!$B$13),"")</f>
        <v/>
      </c>
      <c r="AI444" s="97" t="str">
        <f aca="false">IF($AB444=Constants!$B$7,AG444*AH444,"")</f>
        <v/>
      </c>
      <c r="AJ444" s="97" t="str">
        <f aca="false">IF($AB444=Constants!$B$7,IF(AI444&gt;AF444,2,1),"")</f>
        <v/>
      </c>
      <c r="AK444" s="97" t="str">
        <f aca="false">IF($AB444=Constants!$B$7,IF(AJ444=1,2,1),"")</f>
        <v/>
      </c>
      <c r="AL444" s="97" t="str">
        <f aca="false">IF(ISBLANK($C444),"",IF($AB444&lt;&gt;Constants!$B$7,$AB444,IF(AJ444=1,AF444,AI444)))</f>
        <v/>
      </c>
      <c r="AM444" s="97" t="str">
        <f aca="false">IF(ISBLANK($C444),"",IF($AB444=Constants!$B$7,IF(ISNUMBER(AL444),RANK(AL444,$AL$8:$AL$507),Constants!$B$14),$AB444))</f>
        <v/>
      </c>
      <c r="AN444" s="97" t="str">
        <f aca="false">IF(ISBLANK($C444),"",IF($AB444=Constants!$B$7,IF(AK444=1,AF444,AI444),""))</f>
        <v/>
      </c>
      <c r="AO444" s="97" t="str">
        <f aca="false">IF(ISBLANK($C444),"",IF($AB444=Constants!$B$7,RANK(AN444,$AN$8:$AN$507),$AB444))</f>
        <v/>
      </c>
      <c r="AP444" s="97" t="str">
        <f aca="false">IF(ISBLANK($C444),"",IF($AB444=Constants!$B$7,IF(ISNUMBER(AM444),COUNTIFS($AM$8:$AM$507,"&lt;"&amp;$AM444)+COUNTIFS($AM$8:$AM$507,$AM444,$AO$8:$AO$507,"&lt;"&amp;$AO444)+1,Constants!$B$14),$AB444))</f>
        <v/>
      </c>
      <c r="AQ444" s="97" t="str">
        <f aca="false">IF(ISBLANK($C444),"",IF($AB444=Constants!$B$7,IF(ISNUMBER(AM444),AM444-AP444,Constants!$B$14),$AB444))</f>
        <v/>
      </c>
      <c r="AR444" s="98"/>
      <c r="AS444" s="99" t="str">
        <f aca="false">IF(ISBLANK($C444),"",IF($AB444&lt;&gt;Constants!$B$7,"",AJ444))</f>
        <v/>
      </c>
      <c r="AT444" s="100" t="str">
        <f aca="false">IF(ISBLANK($C444),"",IF($AB444&lt;&gt;Constants!$B$7,"",IF(AJ444=1,AD444,AG444)))</f>
        <v/>
      </c>
      <c r="AU444" s="101" t="str">
        <f aca="false">IF(ISBLANK($C444),"",IF($AB444&lt;&gt;Constants!$B$7,"",IF(AJ444=1,AE444,AH444)))</f>
        <v/>
      </c>
      <c r="AV444" s="102" t="str">
        <f aca="false">IF(ISBLANK($C444),"",IF($AB444&lt;&gt;Constants!$B$7,$AB444,AL444))</f>
        <v/>
      </c>
      <c r="AW444" s="103" t="str">
        <f aca="false">IF(ISBLANK($C444),"",IF($AB444&lt;&gt;Constants!$B$7,$AB444,AC444))</f>
        <v/>
      </c>
      <c r="AX444" s="104" t="str">
        <f aca="false">IF(ISBLANK($C444),"",AQ444)</f>
        <v/>
      </c>
      <c r="AY444" s="104" t="str">
        <f aca="false">IF(ISBLANK($C444),"",AP444)</f>
        <v/>
      </c>
      <c r="AZ444" s="105" t="str">
        <f aca="false">IF(ISBLANK($C444),"",IF(AY444=Constants!$B$4,COUNTA($C$8:$C$507)+2,IF(AY444=Constants!$B$5,COUNTA($C$8:$C$507)+1,IF(AY444=Constants!$B$6,COUNTA($C$8:$C$507),AY444))))</f>
        <v/>
      </c>
      <c r="BA444" s="5"/>
      <c r="BB444" s="106" t="n">
        <f aca="false">IF(OR(ISNUMBER(AY444),AY444=Constants!$B$4,AY444=Constants!$B$6,AY444=Constants!$B$5),1,0)</f>
        <v>0</v>
      </c>
      <c r="BC444" s="106" t="n">
        <v>437</v>
      </c>
      <c r="BD444" s="106" t="str">
        <f aca="false">IF(ISBLANK($C444),"",IF(ISNUMBER(AZ444),AZ444+ROW($B444)/1000,""))</f>
        <v/>
      </c>
      <c r="BE444" s="106" t="str">
        <f aca="false">IF(ISNUMBER(BD444),RANK(BD444,$BD$8:$BD$507,1),"")</f>
        <v/>
      </c>
      <c r="BF444" s="106" t="str">
        <f aca="false">IF(ISBLANK($C444),"",$B444)</f>
        <v/>
      </c>
      <c r="BG444" s="106" t="str">
        <f aca="false">IF(ISBLANK($C444),"",$C444)</f>
        <v/>
      </c>
      <c r="BH444" s="106" t="str">
        <f aca="false">IF(ISBLANK($C444),"",$D444)</f>
        <v/>
      </c>
      <c r="BI444" s="107" t="str">
        <f aca="false">AW444</f>
        <v/>
      </c>
      <c r="BJ444" s="108" t="str">
        <f aca="false">AV444</f>
        <v/>
      </c>
      <c r="BK444" s="106" t="str">
        <f aca="false">IF(ISBLANK($C444),"",AY444)</f>
        <v/>
      </c>
      <c r="BL444" s="109" t="str">
        <f aca="false">IF($BC444&gt;$BB$7,"",VLOOKUP($BC444,$BE$8:$BK$507,7,FALSE()))</f>
        <v/>
      </c>
      <c r="BM444" s="110" t="str">
        <f aca="false">IF($BC444&gt;$BB$7,"",VLOOKUP($BC444,$BE$8:$BK$507,2,FALSE()))</f>
        <v/>
      </c>
      <c r="BN444" s="110" t="str">
        <f aca="false">IF($BC444&gt;$BB$7,"",VLOOKUP($BC444,$BE$8:$BK$507,3,FALSE()))</f>
        <v/>
      </c>
      <c r="BO444" s="110" t="str">
        <f aca="false">IF($BC444&gt;$BB$7,"",VLOOKUP($BC444,$BE$8:$BK$507,4,FALSE()))</f>
        <v/>
      </c>
      <c r="BP444" s="110" t="str">
        <f aca="false">IF($BC444&gt;$BB$7,"",VLOOKUP($BC444,$BE$8:$BK$507,5,FALSE()))</f>
        <v/>
      </c>
      <c r="BQ444" s="111" t="str">
        <f aca="false">IF($BC444&gt;$BB$7,"",VLOOKUP($BC444,$BE$8:$BK$507,6,FALSE()))</f>
        <v/>
      </c>
      <c r="BR444" s="54"/>
    </row>
    <row r="445" customFormat="false" ht="15.75" hidden="false" customHeight="false" outlineLevel="0" collapsed="false">
      <c r="A445" s="5"/>
      <c r="B445" s="120"/>
      <c r="C445" s="121"/>
      <c r="D445" s="112"/>
      <c r="E445" s="123"/>
      <c r="F445" s="91"/>
      <c r="G445" s="92"/>
      <c r="H445" s="93"/>
      <c r="I445" s="94"/>
      <c r="J445" s="91"/>
      <c r="K445" s="92"/>
      <c r="L445" s="93"/>
      <c r="M445" s="94"/>
      <c r="N445" s="91"/>
      <c r="O445" s="123"/>
      <c r="P445" s="96"/>
      <c r="Q445" s="97" t="str">
        <f aca="false">IF(ISBLANK($C445),"",IF(E445=Constants!$B$2, TRUE(), IF(E445=Constants!$B$3, FALSE(), TRUE())))</f>
        <v/>
      </c>
      <c r="R445" s="97" t="str">
        <f aca="false">IF(ISBLANK($C445),"",IF(F445=Constants!$B$16,Constants!$B$9,IF(F445=Constants!$B$17,Constants!$B$10,Constants!$B$8)))</f>
        <v/>
      </c>
      <c r="S445" s="97" t="str">
        <f aca="false">IF(ISBLANK($C445),"",IF(COUNTA(G445:H445)=0,"",IF(AND(OR(ISBLANK(G445),AND(ISNUMBER(G445),G445&gt;=0)),OR(ISBLANK(H445),AND(ISNUMBER(H445),H445&gt;=0))),60*IF(ISBLANK(G445),0,G445)+IF(ISBLANK(H445),0,H445),"")))</f>
        <v/>
      </c>
      <c r="T445" s="97" t="str">
        <f aca="false">IF(ISBLANK($C445),"",IF(I445=Constants!$B$2, TRUE(), IF(I445=Constants!$B$3, FALSE(), TRUE())))</f>
        <v/>
      </c>
      <c r="U445" s="97" t="str">
        <f aca="false">IF(ISBLANK($C445),"",IF(J445=Constants!$B$2, TRUE(), IF(J445=Constants!$B$3, FALSE(), TRUE())))</f>
        <v/>
      </c>
      <c r="V445" s="97" t="str">
        <f aca="false">IF(ISBLANK($C445),"",IF(COUNTA(K445:L445)=0,"",IF(AND(OR(ISBLANK(K445),AND(ISNUMBER(K445),K445&gt;=0)),OR(ISBLANK(L445),AND(ISNUMBER(L445),L445&gt;=0))),60*IF(ISBLANK(K445),0,K445)+IF(ISBLANK(L445),0,L445),"")))</f>
        <v/>
      </c>
      <c r="W445" s="97" t="str">
        <f aca="false">IF(ISBLANK($C445),"",IF(M445=Constants!$B$2, TRUE(), IF(M445=Constants!$B$3, FALSE(), TRUE())))</f>
        <v/>
      </c>
      <c r="X445" s="97" t="str">
        <f aca="false">IF(ISBLANK($C445),"",IF(N445=Constants!$B$2, TRUE(), IF(N445=Constants!$B$3, FALSE(), TRUE())))</f>
        <v/>
      </c>
      <c r="Y445" s="97" t="str">
        <f aca="false">IF(ISBLANK($C445),"",IF(O445=Constants!$B$2, TRUE(), IF(O445=Constants!$B$3, FALSE(), FALSE())))</f>
        <v/>
      </c>
      <c r="Z445" s="97" t="str">
        <f aca="false">IF(ISBLANK($C445),"",AND(S445&lt;&gt;"",Q445))</f>
        <v/>
      </c>
      <c r="AA445" s="97" t="str">
        <f aca="false">IF(ISBLANK($C445),"",AND(V445&lt;&gt;"",Q445))</f>
        <v/>
      </c>
      <c r="AB445" s="97" t="str">
        <f aca="false">IF(ISBLANK($C445),"",IF(Y445,Constants!$B$4,IF(COUNTA(E445:N445)=0,Constants!$B$5,IF(NOT(Q445),Constants!$B$6,IF(AND(NOT(Z445),NOT(AA445)),Constants!$B$6,Constants!$B$7)))))</f>
        <v/>
      </c>
      <c r="AC445" s="97" t="str">
        <f aca="false">IF(ISBLANK($C445),"",IF($AB445&lt;&gt;Constants!$B$7,$AB445,Constants!$B$20))</f>
        <v/>
      </c>
      <c r="AD445" s="97" t="str">
        <f aca="false">IF($AB445=Constants!$B$7,IF(Z445,S445,Constants!$B$13),"")</f>
        <v/>
      </c>
      <c r="AE445" s="97" t="str">
        <f aca="false">IF($AB445=Constants!$B$7,IF(Z445,R445*IF(T445, 1, Constants!$B$11)*IF(U445, 1, Constants!$B$12),Constants!$B$13),"")</f>
        <v/>
      </c>
      <c r="AF445" s="97" t="str">
        <f aca="false">IF($AB445=Constants!$B$7,AD445*AE445,"")</f>
        <v/>
      </c>
      <c r="AG445" s="97" t="str">
        <f aca="false">IF($AB445=Constants!$B$7,IF(AA445,V445,Constants!$B$13),"")</f>
        <v/>
      </c>
      <c r="AH445" s="97" t="str">
        <f aca="false">IF($AB445=Constants!$B$7,IF(AA445,R445*IF(W445, 1, Constants!$B$11)*IF(X445, 1, Constants!$B$12),Constants!$B$13),"")</f>
        <v/>
      </c>
      <c r="AI445" s="97" t="str">
        <f aca="false">IF($AB445=Constants!$B$7,AG445*AH445,"")</f>
        <v/>
      </c>
      <c r="AJ445" s="97" t="str">
        <f aca="false">IF($AB445=Constants!$B$7,IF(AI445&gt;AF445,2,1),"")</f>
        <v/>
      </c>
      <c r="AK445" s="97" t="str">
        <f aca="false">IF($AB445=Constants!$B$7,IF(AJ445=1,2,1),"")</f>
        <v/>
      </c>
      <c r="AL445" s="97" t="str">
        <f aca="false">IF(ISBLANK($C445),"",IF($AB445&lt;&gt;Constants!$B$7,$AB445,IF(AJ445=1,AF445,AI445)))</f>
        <v/>
      </c>
      <c r="AM445" s="97" t="str">
        <f aca="false">IF(ISBLANK($C445),"",IF($AB445=Constants!$B$7,IF(ISNUMBER(AL445),RANK(AL445,$AL$8:$AL$507),Constants!$B$14),$AB445))</f>
        <v/>
      </c>
      <c r="AN445" s="97" t="str">
        <f aca="false">IF(ISBLANK($C445),"",IF($AB445=Constants!$B$7,IF(AK445=1,AF445,AI445),""))</f>
        <v/>
      </c>
      <c r="AO445" s="97" t="str">
        <f aca="false">IF(ISBLANK($C445),"",IF($AB445=Constants!$B$7,RANK(AN445,$AN$8:$AN$507),$AB445))</f>
        <v/>
      </c>
      <c r="AP445" s="97" t="str">
        <f aca="false">IF(ISBLANK($C445),"",IF($AB445=Constants!$B$7,IF(ISNUMBER(AM445),COUNTIFS($AM$8:$AM$507,"&lt;"&amp;$AM445)+COUNTIFS($AM$8:$AM$507,$AM445,$AO$8:$AO$507,"&lt;"&amp;$AO445)+1,Constants!$B$14),$AB445))</f>
        <v/>
      </c>
      <c r="AQ445" s="97" t="str">
        <f aca="false">IF(ISBLANK($C445),"",IF($AB445=Constants!$B$7,IF(ISNUMBER(AM445),AM445-AP445,Constants!$B$14),$AB445))</f>
        <v/>
      </c>
      <c r="AR445" s="98"/>
      <c r="AS445" s="99" t="str">
        <f aca="false">IF(ISBLANK($C445),"",IF($AB445&lt;&gt;Constants!$B$7,"",AJ445))</f>
        <v/>
      </c>
      <c r="AT445" s="100" t="str">
        <f aca="false">IF(ISBLANK($C445),"",IF($AB445&lt;&gt;Constants!$B$7,"",IF(AJ445=1,AD445,AG445)))</f>
        <v/>
      </c>
      <c r="AU445" s="101" t="str">
        <f aca="false">IF(ISBLANK($C445),"",IF($AB445&lt;&gt;Constants!$B$7,"",IF(AJ445=1,AE445,AH445)))</f>
        <v/>
      </c>
      <c r="AV445" s="102" t="str">
        <f aca="false">IF(ISBLANK($C445),"",IF($AB445&lt;&gt;Constants!$B$7,$AB445,AL445))</f>
        <v/>
      </c>
      <c r="AW445" s="103" t="str">
        <f aca="false">IF(ISBLANK($C445),"",IF($AB445&lt;&gt;Constants!$B$7,$AB445,AC445))</f>
        <v/>
      </c>
      <c r="AX445" s="104" t="str">
        <f aca="false">IF(ISBLANK($C445),"",AQ445)</f>
        <v/>
      </c>
      <c r="AY445" s="104" t="str">
        <f aca="false">IF(ISBLANK($C445),"",AP445)</f>
        <v/>
      </c>
      <c r="AZ445" s="105" t="str">
        <f aca="false">IF(ISBLANK($C445),"",IF(AY445=Constants!$B$4,COUNTA($C$8:$C$507)+2,IF(AY445=Constants!$B$5,COUNTA($C$8:$C$507)+1,IF(AY445=Constants!$B$6,COUNTA($C$8:$C$507),AY445))))</f>
        <v/>
      </c>
      <c r="BA445" s="5"/>
      <c r="BB445" s="106" t="n">
        <f aca="false">IF(OR(ISNUMBER(AY445),AY445=Constants!$B$4,AY445=Constants!$B$6,AY445=Constants!$B$5),1,0)</f>
        <v>0</v>
      </c>
      <c r="BC445" s="106" t="n">
        <v>438</v>
      </c>
      <c r="BD445" s="106" t="str">
        <f aca="false">IF(ISBLANK($C445),"",IF(ISNUMBER(AZ445),AZ445+ROW($B445)/1000,""))</f>
        <v/>
      </c>
      <c r="BE445" s="106" t="str">
        <f aca="false">IF(ISNUMBER(BD445),RANK(BD445,$BD$8:$BD$507,1),"")</f>
        <v/>
      </c>
      <c r="BF445" s="106" t="str">
        <f aca="false">IF(ISBLANK($C445),"",$B445)</f>
        <v/>
      </c>
      <c r="BG445" s="106" t="str">
        <f aca="false">IF(ISBLANK($C445),"",$C445)</f>
        <v/>
      </c>
      <c r="BH445" s="106" t="str">
        <f aca="false">IF(ISBLANK($C445),"",$D445)</f>
        <v/>
      </c>
      <c r="BI445" s="107" t="str">
        <f aca="false">AW445</f>
        <v/>
      </c>
      <c r="BJ445" s="108" t="str">
        <f aca="false">AV445</f>
        <v/>
      </c>
      <c r="BK445" s="106" t="str">
        <f aca="false">IF(ISBLANK($C445),"",AY445)</f>
        <v/>
      </c>
      <c r="BL445" s="109" t="str">
        <f aca="false">IF($BC445&gt;$BB$7,"",VLOOKUP($BC445,$BE$8:$BK$507,7,FALSE()))</f>
        <v/>
      </c>
      <c r="BM445" s="110" t="str">
        <f aca="false">IF($BC445&gt;$BB$7,"",VLOOKUP($BC445,$BE$8:$BK$507,2,FALSE()))</f>
        <v/>
      </c>
      <c r="BN445" s="110" t="str">
        <f aca="false">IF($BC445&gt;$BB$7,"",VLOOKUP($BC445,$BE$8:$BK$507,3,FALSE()))</f>
        <v/>
      </c>
      <c r="BO445" s="110" t="str">
        <f aca="false">IF($BC445&gt;$BB$7,"",VLOOKUP($BC445,$BE$8:$BK$507,4,FALSE()))</f>
        <v/>
      </c>
      <c r="BP445" s="110" t="str">
        <f aca="false">IF($BC445&gt;$BB$7,"",VLOOKUP($BC445,$BE$8:$BK$507,5,FALSE()))</f>
        <v/>
      </c>
      <c r="BQ445" s="111" t="str">
        <f aca="false">IF($BC445&gt;$BB$7,"",VLOOKUP($BC445,$BE$8:$BK$507,6,FALSE()))</f>
        <v/>
      </c>
      <c r="BR445" s="54"/>
    </row>
    <row r="446" customFormat="false" ht="15.75" hidden="false" customHeight="false" outlineLevel="0" collapsed="false">
      <c r="A446" s="5"/>
      <c r="B446" s="124"/>
      <c r="C446" s="56"/>
      <c r="D446" s="57"/>
      <c r="E446" s="83"/>
      <c r="F446" s="59"/>
      <c r="G446" s="60"/>
      <c r="H446" s="61"/>
      <c r="I446" s="62"/>
      <c r="J446" s="59"/>
      <c r="K446" s="60"/>
      <c r="L446" s="61"/>
      <c r="M446" s="62"/>
      <c r="N446" s="59"/>
      <c r="O446" s="83"/>
      <c r="P446" s="64"/>
      <c r="Q446" s="66" t="str">
        <f aca="false">IF(ISBLANK($C446),"",IF(E446=Constants!$B$2, TRUE(), IF(E446=Constants!$B$3, FALSE(), TRUE())))</f>
        <v/>
      </c>
      <c r="R446" s="66" t="str">
        <f aca="false">IF(ISBLANK($C446),"",IF(F446=Constants!$B$16,Constants!$B$9,IF(F446=Constants!$B$17,Constants!$B$10,Constants!$B$8)))</f>
        <v/>
      </c>
      <c r="S446" s="66" t="str">
        <f aca="false">IF(ISBLANK($C446),"",IF(COUNTA(G446:H446)=0,"",IF(AND(OR(ISBLANK(G446),AND(ISNUMBER(G446),G446&gt;=0)),OR(ISBLANK(H446),AND(ISNUMBER(H446),H446&gt;=0))),60*IF(ISBLANK(G446),0,G446)+IF(ISBLANK(H446),0,H446),"")))</f>
        <v/>
      </c>
      <c r="T446" s="66" t="str">
        <f aca="false">IF(ISBLANK($C446),"",IF(I446=Constants!$B$2, TRUE(), IF(I446=Constants!$B$3, FALSE(), TRUE())))</f>
        <v/>
      </c>
      <c r="U446" s="66" t="str">
        <f aca="false">IF(ISBLANK($C446),"",IF(J446=Constants!$B$2, TRUE(), IF(J446=Constants!$B$3, FALSE(), TRUE())))</f>
        <v/>
      </c>
      <c r="V446" s="66" t="str">
        <f aca="false">IF(ISBLANK($C446),"",IF(COUNTA(K446:L446)=0,"",IF(AND(OR(ISBLANK(K446),AND(ISNUMBER(K446),K446&gt;=0)),OR(ISBLANK(L446),AND(ISNUMBER(L446),L446&gt;=0))),60*IF(ISBLANK(K446),0,K446)+IF(ISBLANK(L446),0,L446),"")))</f>
        <v/>
      </c>
      <c r="W446" s="66" t="str">
        <f aca="false">IF(ISBLANK($C446),"",IF(M446=Constants!$B$2, TRUE(), IF(M446=Constants!$B$3, FALSE(), TRUE())))</f>
        <v/>
      </c>
      <c r="X446" s="66" t="str">
        <f aca="false">IF(ISBLANK($C446),"",IF(N446=Constants!$B$2, TRUE(), IF(N446=Constants!$B$3, FALSE(), TRUE())))</f>
        <v/>
      </c>
      <c r="Y446" s="66" t="str">
        <f aca="false">IF(ISBLANK($C446),"",IF(O446=Constants!$B$2, TRUE(), IF(O446=Constants!$B$3, FALSE(), FALSE())))</f>
        <v/>
      </c>
      <c r="Z446" s="66" t="str">
        <f aca="false">IF(ISBLANK($C446),"",AND(S446&lt;&gt;"",Q446))</f>
        <v/>
      </c>
      <c r="AA446" s="66" t="str">
        <f aca="false">IF(ISBLANK($C446),"",AND(V446&lt;&gt;"",Q446))</f>
        <v/>
      </c>
      <c r="AB446" s="66" t="str">
        <f aca="false">IF(ISBLANK($C446),"",IF(Y446,Constants!$B$4,IF(COUNTA(E446:N446)=0,Constants!$B$5,IF(NOT(Q446),Constants!$B$6,IF(AND(NOT(Z446),NOT(AA446)),Constants!$B$6,Constants!$B$7)))))</f>
        <v/>
      </c>
      <c r="AC446" s="66" t="str">
        <f aca="false">IF(ISBLANK($C446),"",IF($AB446&lt;&gt;Constants!$B$7,$AB446,Constants!$B$20))</f>
        <v/>
      </c>
      <c r="AD446" s="66" t="str">
        <f aca="false">IF($AB446=Constants!$B$7,IF(Z446,S446,Constants!$B$13),"")</f>
        <v/>
      </c>
      <c r="AE446" s="66" t="str">
        <f aca="false">IF($AB446=Constants!$B$7,IF(Z446,R446*IF(T446, 1, Constants!$B$11)*IF(U446, 1, Constants!$B$12),Constants!$B$13),"")</f>
        <v/>
      </c>
      <c r="AF446" s="66" t="str">
        <f aca="false">IF($AB446=Constants!$B$7,AD446*AE446,"")</f>
        <v/>
      </c>
      <c r="AG446" s="66" t="str">
        <f aca="false">IF($AB446=Constants!$B$7,IF(AA446,V446,Constants!$B$13),"")</f>
        <v/>
      </c>
      <c r="AH446" s="66" t="str">
        <f aca="false">IF($AB446=Constants!$B$7,IF(AA446,R446*IF(W446, 1, Constants!$B$11)*IF(X446, 1, Constants!$B$12),Constants!$B$13),"")</f>
        <v/>
      </c>
      <c r="AI446" s="66" t="str">
        <f aca="false">IF($AB446=Constants!$B$7,AG446*AH446,"")</f>
        <v/>
      </c>
      <c r="AJ446" s="66" t="str">
        <f aca="false">IF($AB446=Constants!$B$7,IF(AI446&gt;AF446,2,1),"")</f>
        <v/>
      </c>
      <c r="AK446" s="66" t="str">
        <f aca="false">IF($AB446=Constants!$B$7,IF(AJ446=1,2,1),"")</f>
        <v/>
      </c>
      <c r="AL446" s="66" t="str">
        <f aca="false">IF(ISBLANK($C446),"",IF($AB446&lt;&gt;Constants!$B$7,$AB446,IF(AJ446=1,AF446,AI446)))</f>
        <v/>
      </c>
      <c r="AM446" s="66" t="str">
        <f aca="false">IF(ISBLANK($C446),"",IF($AB446=Constants!$B$7,IF(ISNUMBER(AL446),RANK(AL446,$AL$8:$AL$507),Constants!$B$14),$AB446))</f>
        <v/>
      </c>
      <c r="AN446" s="66" t="str">
        <f aca="false">IF(ISBLANK($C446),"",IF($AB446=Constants!$B$7,IF(AK446=1,AF446,AI446),""))</f>
        <v/>
      </c>
      <c r="AO446" s="66" t="str">
        <f aca="false">IF(ISBLANK($C446),"",IF($AB446=Constants!$B$7,RANK(AN446,$AN$8:$AN$507),$AB446))</f>
        <v/>
      </c>
      <c r="AP446" s="66" t="str">
        <f aca="false">IF(ISBLANK($C446),"",IF($AB446=Constants!$B$7,IF(ISNUMBER(AM446),COUNTIFS($AM$8:$AM$507,"&lt;"&amp;$AM446)+COUNTIFS($AM$8:$AM$507,$AM446,$AO$8:$AO$507,"&lt;"&amp;$AO446)+1,Constants!$B$14),$AB446))</f>
        <v/>
      </c>
      <c r="AQ446" s="66" t="str">
        <f aca="false">IF(ISBLANK($C446),"",IF($AB446=Constants!$B$7,IF(ISNUMBER(AM446),AM446-AP446,Constants!$B$14),$AB446))</f>
        <v/>
      </c>
      <c r="AR446" s="68"/>
      <c r="AS446" s="69" t="str">
        <f aca="false">IF(ISBLANK($C446),"",IF($AB446&lt;&gt;Constants!$B$7,"",AJ446))</f>
        <v/>
      </c>
      <c r="AT446" s="84" t="str">
        <f aca="false">IF(ISBLANK($C446),"",IF($AB446&lt;&gt;Constants!$B$7,"",IF(AJ446=1,AD446,AG446)))</f>
        <v/>
      </c>
      <c r="AU446" s="71" t="str">
        <f aca="false">IF(ISBLANK($C446),"",IF($AB446&lt;&gt;Constants!$B$7,"",IF(AJ446=1,AE446,AH446)))</f>
        <v/>
      </c>
      <c r="AV446" s="72" t="str">
        <f aca="false">IF(ISBLANK($C446),"",IF($AB446&lt;&gt;Constants!$B$7,$AB446,AL446))</f>
        <v/>
      </c>
      <c r="AW446" s="73" t="str">
        <f aca="false">IF(ISBLANK($C446),"",IF($AB446&lt;&gt;Constants!$B$7,$AB446,AC446))</f>
        <v/>
      </c>
      <c r="AX446" s="74" t="str">
        <f aca="false">IF(ISBLANK($C446),"",AQ446)</f>
        <v/>
      </c>
      <c r="AY446" s="74" t="str">
        <f aca="false">IF(ISBLANK($C446),"",AP446)</f>
        <v/>
      </c>
      <c r="AZ446" s="75" t="str">
        <f aca="false">IF(ISBLANK($C446),"",IF(AY446=Constants!$B$4,COUNTA($C$8:$C$507)+2,IF(AY446=Constants!$B$5,COUNTA($C$8:$C$507)+1,IF(AY446=Constants!$B$6,COUNTA($C$8:$C$507),AY446))))</f>
        <v/>
      </c>
      <c r="BA446" s="5"/>
      <c r="BB446" s="76" t="n">
        <f aca="false">IF(OR(ISNUMBER(AY446),AY446=Constants!$B$4,AY446=Constants!$B$6,AY446=Constants!$B$5),1,0)</f>
        <v>0</v>
      </c>
      <c r="BC446" s="76" t="n">
        <v>439</v>
      </c>
      <c r="BD446" s="76" t="str">
        <f aca="false">IF(ISBLANK($C446),"",IF(ISNUMBER(AZ446),AZ446+ROW($B446)/1000,""))</f>
        <v/>
      </c>
      <c r="BE446" s="76" t="str">
        <f aca="false">IF(ISNUMBER(BD446),RANK(BD446,$BD$8:$BD$507,1),"")</f>
        <v/>
      </c>
      <c r="BF446" s="76" t="str">
        <f aca="false">IF(ISBLANK($C446),"",$B446)</f>
        <v/>
      </c>
      <c r="BG446" s="76" t="str">
        <f aca="false">IF(ISBLANK($C446),"",$C446)</f>
        <v/>
      </c>
      <c r="BH446" s="76" t="str">
        <f aca="false">IF(ISBLANK($C446),"",$D446)</f>
        <v/>
      </c>
      <c r="BI446" s="77" t="str">
        <f aca="false">AW446</f>
        <v/>
      </c>
      <c r="BJ446" s="78" t="str">
        <f aca="false">AV446</f>
        <v/>
      </c>
      <c r="BK446" s="76" t="str">
        <f aca="false">IF(ISBLANK($C446),"",AY446)</f>
        <v/>
      </c>
      <c r="BL446" s="79" t="str">
        <f aca="false">IF($BC446&gt;$BB$7,"",VLOOKUP($BC446,$BE$8:$BK$507,7,FALSE()))</f>
        <v/>
      </c>
      <c r="BM446" s="80" t="str">
        <f aca="false">IF($BC446&gt;$BB$7,"",VLOOKUP($BC446,$BE$8:$BK$507,2,FALSE()))</f>
        <v/>
      </c>
      <c r="BN446" s="80" t="str">
        <f aca="false">IF($BC446&gt;$BB$7,"",VLOOKUP($BC446,$BE$8:$BK$507,3,FALSE()))</f>
        <v/>
      </c>
      <c r="BO446" s="80" t="str">
        <f aca="false">IF($BC446&gt;$BB$7,"",VLOOKUP($BC446,$BE$8:$BK$507,4,FALSE()))</f>
        <v/>
      </c>
      <c r="BP446" s="80" t="str">
        <f aca="false">IF($BC446&gt;$BB$7,"",VLOOKUP($BC446,$BE$8:$BK$507,5,FALSE()))</f>
        <v/>
      </c>
      <c r="BQ446" s="81" t="str">
        <f aca="false">IF($BC446&gt;$BB$7,"",VLOOKUP($BC446,$BE$8:$BK$507,6,FALSE()))</f>
        <v/>
      </c>
      <c r="BR446" s="54"/>
    </row>
    <row r="447" customFormat="false" ht="15.75" hidden="false" customHeight="false" outlineLevel="0" collapsed="false">
      <c r="A447" s="5"/>
      <c r="B447" s="124"/>
      <c r="C447" s="56"/>
      <c r="D447" s="57"/>
      <c r="E447" s="83"/>
      <c r="F447" s="59"/>
      <c r="G447" s="60"/>
      <c r="H447" s="61"/>
      <c r="I447" s="62"/>
      <c r="J447" s="59"/>
      <c r="K447" s="60"/>
      <c r="L447" s="61"/>
      <c r="M447" s="62"/>
      <c r="N447" s="59"/>
      <c r="O447" s="83"/>
      <c r="P447" s="64"/>
      <c r="Q447" s="66" t="str">
        <f aca="false">IF(ISBLANK($C447),"",IF(E447=Constants!$B$2, TRUE(), IF(E447=Constants!$B$3, FALSE(), TRUE())))</f>
        <v/>
      </c>
      <c r="R447" s="66" t="str">
        <f aca="false">IF(ISBLANK($C447),"",IF(F447=Constants!$B$16,Constants!$B$9,IF(F447=Constants!$B$17,Constants!$B$10,Constants!$B$8)))</f>
        <v/>
      </c>
      <c r="S447" s="66" t="str">
        <f aca="false">IF(ISBLANK($C447),"",IF(COUNTA(G447:H447)=0,"",IF(AND(OR(ISBLANK(G447),AND(ISNUMBER(G447),G447&gt;=0)),OR(ISBLANK(H447),AND(ISNUMBER(H447),H447&gt;=0))),60*IF(ISBLANK(G447),0,G447)+IF(ISBLANK(H447),0,H447),"")))</f>
        <v/>
      </c>
      <c r="T447" s="66" t="str">
        <f aca="false">IF(ISBLANK($C447),"",IF(I447=Constants!$B$2, TRUE(), IF(I447=Constants!$B$3, FALSE(), TRUE())))</f>
        <v/>
      </c>
      <c r="U447" s="66" t="str">
        <f aca="false">IF(ISBLANK($C447),"",IF(J447=Constants!$B$2, TRUE(), IF(J447=Constants!$B$3, FALSE(), TRUE())))</f>
        <v/>
      </c>
      <c r="V447" s="66" t="str">
        <f aca="false">IF(ISBLANK($C447),"",IF(COUNTA(K447:L447)=0,"",IF(AND(OR(ISBLANK(K447),AND(ISNUMBER(K447),K447&gt;=0)),OR(ISBLANK(L447),AND(ISNUMBER(L447),L447&gt;=0))),60*IF(ISBLANK(K447),0,K447)+IF(ISBLANK(L447),0,L447),"")))</f>
        <v/>
      </c>
      <c r="W447" s="66" t="str">
        <f aca="false">IF(ISBLANK($C447),"",IF(M447=Constants!$B$2, TRUE(), IF(M447=Constants!$B$3, FALSE(), TRUE())))</f>
        <v/>
      </c>
      <c r="X447" s="66" t="str">
        <f aca="false">IF(ISBLANK($C447),"",IF(N447=Constants!$B$2, TRUE(), IF(N447=Constants!$B$3, FALSE(), TRUE())))</f>
        <v/>
      </c>
      <c r="Y447" s="66" t="str">
        <f aca="false">IF(ISBLANK($C447),"",IF(O447=Constants!$B$2, TRUE(), IF(O447=Constants!$B$3, FALSE(), FALSE())))</f>
        <v/>
      </c>
      <c r="Z447" s="66" t="str">
        <f aca="false">IF(ISBLANK($C447),"",AND(S447&lt;&gt;"",Q447))</f>
        <v/>
      </c>
      <c r="AA447" s="66" t="str">
        <f aca="false">IF(ISBLANK($C447),"",AND(V447&lt;&gt;"",Q447))</f>
        <v/>
      </c>
      <c r="AB447" s="66" t="str">
        <f aca="false">IF(ISBLANK($C447),"",IF(Y447,Constants!$B$4,IF(COUNTA(E447:N447)=0,Constants!$B$5,IF(NOT(Q447),Constants!$B$6,IF(AND(NOT(Z447),NOT(AA447)),Constants!$B$6,Constants!$B$7)))))</f>
        <v/>
      </c>
      <c r="AC447" s="66" t="str">
        <f aca="false">IF(ISBLANK($C447),"",IF($AB447&lt;&gt;Constants!$B$7,$AB447,Constants!$B$20))</f>
        <v/>
      </c>
      <c r="AD447" s="66" t="str">
        <f aca="false">IF($AB447=Constants!$B$7,IF(Z447,S447,Constants!$B$13),"")</f>
        <v/>
      </c>
      <c r="AE447" s="66" t="str">
        <f aca="false">IF($AB447=Constants!$B$7,IF(Z447,R447*IF(T447, 1, Constants!$B$11)*IF(U447, 1, Constants!$B$12),Constants!$B$13),"")</f>
        <v/>
      </c>
      <c r="AF447" s="66" t="str">
        <f aca="false">IF($AB447=Constants!$B$7,AD447*AE447,"")</f>
        <v/>
      </c>
      <c r="AG447" s="66" t="str">
        <f aca="false">IF($AB447=Constants!$B$7,IF(AA447,V447,Constants!$B$13),"")</f>
        <v/>
      </c>
      <c r="AH447" s="66" t="str">
        <f aca="false">IF($AB447=Constants!$B$7,IF(AA447,R447*IF(W447, 1, Constants!$B$11)*IF(X447, 1, Constants!$B$12),Constants!$B$13),"")</f>
        <v/>
      </c>
      <c r="AI447" s="66" t="str">
        <f aca="false">IF($AB447=Constants!$B$7,AG447*AH447,"")</f>
        <v/>
      </c>
      <c r="AJ447" s="66" t="str">
        <f aca="false">IF($AB447=Constants!$B$7,IF(AI447&gt;AF447,2,1),"")</f>
        <v/>
      </c>
      <c r="AK447" s="66" t="str">
        <f aca="false">IF($AB447=Constants!$B$7,IF(AJ447=1,2,1),"")</f>
        <v/>
      </c>
      <c r="AL447" s="66" t="str">
        <f aca="false">IF(ISBLANK($C447),"",IF($AB447&lt;&gt;Constants!$B$7,$AB447,IF(AJ447=1,AF447,AI447)))</f>
        <v/>
      </c>
      <c r="AM447" s="66" t="str">
        <f aca="false">IF(ISBLANK($C447),"",IF($AB447=Constants!$B$7,IF(ISNUMBER(AL447),RANK(AL447,$AL$8:$AL$507),Constants!$B$14),$AB447))</f>
        <v/>
      </c>
      <c r="AN447" s="66" t="str">
        <f aca="false">IF(ISBLANK($C447),"",IF($AB447=Constants!$B$7,IF(AK447=1,AF447,AI447),""))</f>
        <v/>
      </c>
      <c r="AO447" s="66" t="str">
        <f aca="false">IF(ISBLANK($C447),"",IF($AB447=Constants!$B$7,RANK(AN447,$AN$8:$AN$507),$AB447))</f>
        <v/>
      </c>
      <c r="AP447" s="66" t="str">
        <f aca="false">IF(ISBLANK($C447),"",IF($AB447=Constants!$B$7,IF(ISNUMBER(AM447),COUNTIFS($AM$8:$AM$507,"&lt;"&amp;$AM447)+COUNTIFS($AM$8:$AM$507,$AM447,$AO$8:$AO$507,"&lt;"&amp;$AO447)+1,Constants!$B$14),$AB447))</f>
        <v/>
      </c>
      <c r="AQ447" s="66" t="str">
        <f aca="false">IF(ISBLANK($C447),"",IF($AB447=Constants!$B$7,IF(ISNUMBER(AM447),AM447-AP447,Constants!$B$14),$AB447))</f>
        <v/>
      </c>
      <c r="AR447" s="68"/>
      <c r="AS447" s="69" t="str">
        <f aca="false">IF(ISBLANK($C447),"",IF($AB447&lt;&gt;Constants!$B$7,"",AJ447))</f>
        <v/>
      </c>
      <c r="AT447" s="84" t="str">
        <f aca="false">IF(ISBLANK($C447),"",IF($AB447&lt;&gt;Constants!$B$7,"",IF(AJ447=1,AD447,AG447)))</f>
        <v/>
      </c>
      <c r="AU447" s="71" t="str">
        <f aca="false">IF(ISBLANK($C447),"",IF($AB447&lt;&gt;Constants!$B$7,"",IF(AJ447=1,AE447,AH447)))</f>
        <v/>
      </c>
      <c r="AV447" s="72" t="str">
        <f aca="false">IF(ISBLANK($C447),"",IF($AB447&lt;&gt;Constants!$B$7,$AB447,AL447))</f>
        <v/>
      </c>
      <c r="AW447" s="73" t="str">
        <f aca="false">IF(ISBLANK($C447),"",IF($AB447&lt;&gt;Constants!$B$7,$AB447,AC447))</f>
        <v/>
      </c>
      <c r="AX447" s="74" t="str">
        <f aca="false">IF(ISBLANK($C447),"",AQ447)</f>
        <v/>
      </c>
      <c r="AY447" s="74" t="str">
        <f aca="false">IF(ISBLANK($C447),"",AP447)</f>
        <v/>
      </c>
      <c r="AZ447" s="75" t="str">
        <f aca="false">IF(ISBLANK($C447),"",IF(AY447=Constants!$B$4,COUNTA($C$8:$C$507)+2,IF(AY447=Constants!$B$5,COUNTA($C$8:$C$507)+1,IF(AY447=Constants!$B$6,COUNTA($C$8:$C$507),AY447))))</f>
        <v/>
      </c>
      <c r="BA447" s="5"/>
      <c r="BB447" s="76" t="n">
        <f aca="false">IF(OR(ISNUMBER(AY447),AY447=Constants!$B$4,AY447=Constants!$B$6,AY447=Constants!$B$5),1,0)</f>
        <v>0</v>
      </c>
      <c r="BC447" s="76" t="n">
        <v>440</v>
      </c>
      <c r="BD447" s="76" t="str">
        <f aca="false">IF(ISBLANK($C447),"",IF(ISNUMBER(AZ447),AZ447+ROW($B447)/1000,""))</f>
        <v/>
      </c>
      <c r="BE447" s="76" t="str">
        <f aca="false">IF(ISNUMBER(BD447),RANK(BD447,$BD$8:$BD$507,1),"")</f>
        <v/>
      </c>
      <c r="BF447" s="76" t="str">
        <f aca="false">IF(ISBLANK($C447),"",$B447)</f>
        <v/>
      </c>
      <c r="BG447" s="76" t="str">
        <f aca="false">IF(ISBLANK($C447),"",$C447)</f>
        <v/>
      </c>
      <c r="BH447" s="76" t="str">
        <f aca="false">IF(ISBLANK($C447),"",$D447)</f>
        <v/>
      </c>
      <c r="BI447" s="77" t="str">
        <f aca="false">AW447</f>
        <v/>
      </c>
      <c r="BJ447" s="78" t="str">
        <f aca="false">AV447</f>
        <v/>
      </c>
      <c r="BK447" s="76" t="str">
        <f aca="false">IF(ISBLANK($C447),"",AY447)</f>
        <v/>
      </c>
      <c r="BL447" s="79" t="str">
        <f aca="false">IF($BC447&gt;$BB$7,"",VLOOKUP($BC447,$BE$8:$BK$507,7,FALSE()))</f>
        <v/>
      </c>
      <c r="BM447" s="80" t="str">
        <f aca="false">IF($BC447&gt;$BB$7,"",VLOOKUP($BC447,$BE$8:$BK$507,2,FALSE()))</f>
        <v/>
      </c>
      <c r="BN447" s="80" t="str">
        <f aca="false">IF($BC447&gt;$BB$7,"",VLOOKUP($BC447,$BE$8:$BK$507,3,FALSE()))</f>
        <v/>
      </c>
      <c r="BO447" s="80" t="str">
        <f aca="false">IF($BC447&gt;$BB$7,"",VLOOKUP($BC447,$BE$8:$BK$507,4,FALSE()))</f>
        <v/>
      </c>
      <c r="BP447" s="80" t="str">
        <f aca="false">IF($BC447&gt;$BB$7,"",VLOOKUP($BC447,$BE$8:$BK$507,5,FALSE()))</f>
        <v/>
      </c>
      <c r="BQ447" s="81" t="str">
        <f aca="false">IF($BC447&gt;$BB$7,"",VLOOKUP($BC447,$BE$8:$BK$507,6,FALSE()))</f>
        <v/>
      </c>
      <c r="BR447" s="54"/>
    </row>
    <row r="448" customFormat="false" ht="15.75" hidden="false" customHeight="false" outlineLevel="0" collapsed="false">
      <c r="A448" s="5"/>
      <c r="B448" s="124"/>
      <c r="C448" s="56"/>
      <c r="D448" s="57"/>
      <c r="E448" s="83"/>
      <c r="F448" s="59"/>
      <c r="G448" s="60"/>
      <c r="H448" s="61"/>
      <c r="I448" s="62"/>
      <c r="J448" s="59"/>
      <c r="K448" s="60"/>
      <c r="L448" s="61"/>
      <c r="M448" s="62"/>
      <c r="N448" s="59"/>
      <c r="O448" s="83"/>
      <c r="P448" s="64"/>
      <c r="Q448" s="66" t="str">
        <f aca="false">IF(ISBLANK($C448),"",IF(E448=Constants!$B$2, TRUE(), IF(E448=Constants!$B$3, FALSE(), TRUE())))</f>
        <v/>
      </c>
      <c r="R448" s="66" t="str">
        <f aca="false">IF(ISBLANK($C448),"",IF(F448=Constants!$B$16,Constants!$B$9,IF(F448=Constants!$B$17,Constants!$B$10,Constants!$B$8)))</f>
        <v/>
      </c>
      <c r="S448" s="66" t="str">
        <f aca="false">IF(ISBLANK($C448),"",IF(COUNTA(G448:H448)=0,"",IF(AND(OR(ISBLANK(G448),AND(ISNUMBER(G448),G448&gt;=0)),OR(ISBLANK(H448),AND(ISNUMBER(H448),H448&gt;=0))),60*IF(ISBLANK(G448),0,G448)+IF(ISBLANK(H448),0,H448),"")))</f>
        <v/>
      </c>
      <c r="T448" s="66" t="str">
        <f aca="false">IF(ISBLANK($C448),"",IF(I448=Constants!$B$2, TRUE(), IF(I448=Constants!$B$3, FALSE(), TRUE())))</f>
        <v/>
      </c>
      <c r="U448" s="66" t="str">
        <f aca="false">IF(ISBLANK($C448),"",IF(J448=Constants!$B$2, TRUE(), IF(J448=Constants!$B$3, FALSE(), TRUE())))</f>
        <v/>
      </c>
      <c r="V448" s="66" t="str">
        <f aca="false">IF(ISBLANK($C448),"",IF(COUNTA(K448:L448)=0,"",IF(AND(OR(ISBLANK(K448),AND(ISNUMBER(K448),K448&gt;=0)),OR(ISBLANK(L448),AND(ISNUMBER(L448),L448&gt;=0))),60*IF(ISBLANK(K448),0,K448)+IF(ISBLANK(L448),0,L448),"")))</f>
        <v/>
      </c>
      <c r="W448" s="66" t="str">
        <f aca="false">IF(ISBLANK($C448),"",IF(M448=Constants!$B$2, TRUE(), IF(M448=Constants!$B$3, FALSE(), TRUE())))</f>
        <v/>
      </c>
      <c r="X448" s="66" t="str">
        <f aca="false">IF(ISBLANK($C448),"",IF(N448=Constants!$B$2, TRUE(), IF(N448=Constants!$B$3, FALSE(), TRUE())))</f>
        <v/>
      </c>
      <c r="Y448" s="66" t="str">
        <f aca="false">IF(ISBLANK($C448),"",IF(O448=Constants!$B$2, TRUE(), IF(O448=Constants!$B$3, FALSE(), FALSE())))</f>
        <v/>
      </c>
      <c r="Z448" s="66" t="str">
        <f aca="false">IF(ISBLANK($C448),"",AND(S448&lt;&gt;"",Q448))</f>
        <v/>
      </c>
      <c r="AA448" s="66" t="str">
        <f aca="false">IF(ISBLANK($C448),"",AND(V448&lt;&gt;"",Q448))</f>
        <v/>
      </c>
      <c r="AB448" s="66" t="str">
        <f aca="false">IF(ISBLANK($C448),"",IF(Y448,Constants!$B$4,IF(COUNTA(E448:N448)=0,Constants!$B$5,IF(NOT(Q448),Constants!$B$6,IF(AND(NOT(Z448),NOT(AA448)),Constants!$B$6,Constants!$B$7)))))</f>
        <v/>
      </c>
      <c r="AC448" s="66" t="str">
        <f aca="false">IF(ISBLANK($C448),"",IF($AB448&lt;&gt;Constants!$B$7,$AB448,Constants!$B$20))</f>
        <v/>
      </c>
      <c r="AD448" s="66" t="str">
        <f aca="false">IF($AB448=Constants!$B$7,IF(Z448,S448,Constants!$B$13),"")</f>
        <v/>
      </c>
      <c r="AE448" s="66" t="str">
        <f aca="false">IF($AB448=Constants!$B$7,IF(Z448,R448*IF(T448, 1, Constants!$B$11)*IF(U448, 1, Constants!$B$12),Constants!$B$13),"")</f>
        <v/>
      </c>
      <c r="AF448" s="66" t="str">
        <f aca="false">IF($AB448=Constants!$B$7,AD448*AE448,"")</f>
        <v/>
      </c>
      <c r="AG448" s="66" t="str">
        <f aca="false">IF($AB448=Constants!$B$7,IF(AA448,V448,Constants!$B$13),"")</f>
        <v/>
      </c>
      <c r="AH448" s="66" t="str">
        <f aca="false">IF($AB448=Constants!$B$7,IF(AA448,R448*IF(W448, 1, Constants!$B$11)*IF(X448, 1, Constants!$B$12),Constants!$B$13),"")</f>
        <v/>
      </c>
      <c r="AI448" s="66" t="str">
        <f aca="false">IF($AB448=Constants!$B$7,AG448*AH448,"")</f>
        <v/>
      </c>
      <c r="AJ448" s="66" t="str">
        <f aca="false">IF($AB448=Constants!$B$7,IF(AI448&gt;AF448,2,1),"")</f>
        <v/>
      </c>
      <c r="AK448" s="66" t="str">
        <f aca="false">IF($AB448=Constants!$B$7,IF(AJ448=1,2,1),"")</f>
        <v/>
      </c>
      <c r="AL448" s="66" t="str">
        <f aca="false">IF(ISBLANK($C448),"",IF($AB448&lt;&gt;Constants!$B$7,$AB448,IF(AJ448=1,AF448,AI448)))</f>
        <v/>
      </c>
      <c r="AM448" s="66" t="str">
        <f aca="false">IF(ISBLANK($C448),"",IF($AB448=Constants!$B$7,IF(ISNUMBER(AL448),RANK(AL448,$AL$8:$AL$507),Constants!$B$14),$AB448))</f>
        <v/>
      </c>
      <c r="AN448" s="66" t="str">
        <f aca="false">IF(ISBLANK($C448),"",IF($AB448=Constants!$B$7,IF(AK448=1,AF448,AI448),""))</f>
        <v/>
      </c>
      <c r="AO448" s="66" t="str">
        <f aca="false">IF(ISBLANK($C448),"",IF($AB448=Constants!$B$7,RANK(AN448,$AN$8:$AN$507),$AB448))</f>
        <v/>
      </c>
      <c r="AP448" s="66" t="str">
        <f aca="false">IF(ISBLANK($C448),"",IF($AB448=Constants!$B$7,IF(ISNUMBER(AM448),COUNTIFS($AM$8:$AM$507,"&lt;"&amp;$AM448)+COUNTIFS($AM$8:$AM$507,$AM448,$AO$8:$AO$507,"&lt;"&amp;$AO448)+1,Constants!$B$14),$AB448))</f>
        <v/>
      </c>
      <c r="AQ448" s="66" t="str">
        <f aca="false">IF(ISBLANK($C448),"",IF($AB448=Constants!$B$7,IF(ISNUMBER(AM448),AM448-AP448,Constants!$B$14),$AB448))</f>
        <v/>
      </c>
      <c r="AR448" s="68"/>
      <c r="AS448" s="69" t="str">
        <f aca="false">IF(ISBLANK($C448),"",IF($AB448&lt;&gt;Constants!$B$7,"",AJ448))</f>
        <v/>
      </c>
      <c r="AT448" s="84" t="str">
        <f aca="false">IF(ISBLANK($C448),"",IF($AB448&lt;&gt;Constants!$B$7,"",IF(AJ448=1,AD448,AG448)))</f>
        <v/>
      </c>
      <c r="AU448" s="71" t="str">
        <f aca="false">IF(ISBLANK($C448),"",IF($AB448&lt;&gt;Constants!$B$7,"",IF(AJ448=1,AE448,AH448)))</f>
        <v/>
      </c>
      <c r="AV448" s="72" t="str">
        <f aca="false">IF(ISBLANK($C448),"",IF($AB448&lt;&gt;Constants!$B$7,$AB448,AL448))</f>
        <v/>
      </c>
      <c r="AW448" s="73" t="str">
        <f aca="false">IF(ISBLANK($C448),"",IF($AB448&lt;&gt;Constants!$B$7,$AB448,AC448))</f>
        <v/>
      </c>
      <c r="AX448" s="74" t="str">
        <f aca="false">IF(ISBLANK($C448),"",AQ448)</f>
        <v/>
      </c>
      <c r="AY448" s="74" t="str">
        <f aca="false">IF(ISBLANK($C448),"",AP448)</f>
        <v/>
      </c>
      <c r="AZ448" s="75" t="str">
        <f aca="false">IF(ISBLANK($C448),"",IF(AY448=Constants!$B$4,COUNTA($C$8:$C$507)+2,IF(AY448=Constants!$B$5,COUNTA($C$8:$C$507)+1,IF(AY448=Constants!$B$6,COUNTA($C$8:$C$507),AY448))))</f>
        <v/>
      </c>
      <c r="BA448" s="5"/>
      <c r="BB448" s="76" t="n">
        <f aca="false">IF(OR(ISNUMBER(AY448),AY448=Constants!$B$4,AY448=Constants!$B$6,AY448=Constants!$B$5),1,0)</f>
        <v>0</v>
      </c>
      <c r="BC448" s="76" t="n">
        <v>441</v>
      </c>
      <c r="BD448" s="76" t="str">
        <f aca="false">IF(ISBLANK($C448),"",IF(ISNUMBER(AZ448),AZ448+ROW($B448)/1000,""))</f>
        <v/>
      </c>
      <c r="BE448" s="76" t="str">
        <f aca="false">IF(ISNUMBER(BD448),RANK(BD448,$BD$8:$BD$507,1),"")</f>
        <v/>
      </c>
      <c r="BF448" s="76" t="str">
        <f aca="false">IF(ISBLANK($C448),"",$B448)</f>
        <v/>
      </c>
      <c r="BG448" s="76" t="str">
        <f aca="false">IF(ISBLANK($C448),"",$C448)</f>
        <v/>
      </c>
      <c r="BH448" s="76" t="str">
        <f aca="false">IF(ISBLANK($C448),"",$D448)</f>
        <v/>
      </c>
      <c r="BI448" s="77" t="str">
        <f aca="false">AW448</f>
        <v/>
      </c>
      <c r="BJ448" s="78" t="str">
        <f aca="false">AV448</f>
        <v/>
      </c>
      <c r="BK448" s="76" t="str">
        <f aca="false">IF(ISBLANK($C448),"",AY448)</f>
        <v/>
      </c>
      <c r="BL448" s="79" t="str">
        <f aca="false">IF($BC448&gt;$BB$7,"",VLOOKUP($BC448,$BE$8:$BK$507,7,FALSE()))</f>
        <v/>
      </c>
      <c r="BM448" s="80" t="str">
        <f aca="false">IF($BC448&gt;$BB$7,"",VLOOKUP($BC448,$BE$8:$BK$507,2,FALSE()))</f>
        <v/>
      </c>
      <c r="BN448" s="80" t="str">
        <f aca="false">IF($BC448&gt;$BB$7,"",VLOOKUP($BC448,$BE$8:$BK$507,3,FALSE()))</f>
        <v/>
      </c>
      <c r="BO448" s="80" t="str">
        <f aca="false">IF($BC448&gt;$BB$7,"",VLOOKUP($BC448,$BE$8:$BK$507,4,FALSE()))</f>
        <v/>
      </c>
      <c r="BP448" s="80" t="str">
        <f aca="false">IF($BC448&gt;$BB$7,"",VLOOKUP($BC448,$BE$8:$BK$507,5,FALSE()))</f>
        <v/>
      </c>
      <c r="BQ448" s="81" t="str">
        <f aca="false">IF($BC448&gt;$BB$7,"",VLOOKUP($BC448,$BE$8:$BK$507,6,FALSE()))</f>
        <v/>
      </c>
      <c r="BR448" s="54"/>
    </row>
    <row r="449" customFormat="false" ht="15.75" hidden="false" customHeight="false" outlineLevel="0" collapsed="false">
      <c r="A449" s="5"/>
      <c r="B449" s="120"/>
      <c r="C449" s="121"/>
      <c r="D449" s="112"/>
      <c r="E449" s="123"/>
      <c r="F449" s="91"/>
      <c r="G449" s="92"/>
      <c r="H449" s="93"/>
      <c r="I449" s="94"/>
      <c r="J449" s="91"/>
      <c r="K449" s="92"/>
      <c r="L449" s="93"/>
      <c r="M449" s="94"/>
      <c r="N449" s="91"/>
      <c r="O449" s="123"/>
      <c r="P449" s="96"/>
      <c r="Q449" s="97" t="str">
        <f aca="false">IF(ISBLANK($C449),"",IF(E449=Constants!$B$2, TRUE(), IF(E449=Constants!$B$3, FALSE(), TRUE())))</f>
        <v/>
      </c>
      <c r="R449" s="97" t="str">
        <f aca="false">IF(ISBLANK($C449),"",IF(F449=Constants!$B$16,Constants!$B$9,IF(F449=Constants!$B$17,Constants!$B$10,Constants!$B$8)))</f>
        <v/>
      </c>
      <c r="S449" s="97" t="str">
        <f aca="false">IF(ISBLANK($C449),"",IF(COUNTA(G449:H449)=0,"",IF(AND(OR(ISBLANK(G449),AND(ISNUMBER(G449),G449&gt;=0)),OR(ISBLANK(H449),AND(ISNUMBER(H449),H449&gt;=0))),60*IF(ISBLANK(G449),0,G449)+IF(ISBLANK(H449),0,H449),"")))</f>
        <v/>
      </c>
      <c r="T449" s="97" t="str">
        <f aca="false">IF(ISBLANK($C449),"",IF(I449=Constants!$B$2, TRUE(), IF(I449=Constants!$B$3, FALSE(), TRUE())))</f>
        <v/>
      </c>
      <c r="U449" s="97" t="str">
        <f aca="false">IF(ISBLANK($C449),"",IF(J449=Constants!$B$2, TRUE(), IF(J449=Constants!$B$3, FALSE(), TRUE())))</f>
        <v/>
      </c>
      <c r="V449" s="97" t="str">
        <f aca="false">IF(ISBLANK($C449),"",IF(COUNTA(K449:L449)=0,"",IF(AND(OR(ISBLANK(K449),AND(ISNUMBER(K449),K449&gt;=0)),OR(ISBLANK(L449),AND(ISNUMBER(L449),L449&gt;=0))),60*IF(ISBLANK(K449),0,K449)+IF(ISBLANK(L449),0,L449),"")))</f>
        <v/>
      </c>
      <c r="W449" s="97" t="str">
        <f aca="false">IF(ISBLANK($C449),"",IF(M449=Constants!$B$2, TRUE(), IF(M449=Constants!$B$3, FALSE(), TRUE())))</f>
        <v/>
      </c>
      <c r="X449" s="97" t="str">
        <f aca="false">IF(ISBLANK($C449),"",IF(N449=Constants!$B$2, TRUE(), IF(N449=Constants!$B$3, FALSE(), TRUE())))</f>
        <v/>
      </c>
      <c r="Y449" s="97" t="str">
        <f aca="false">IF(ISBLANK($C449),"",IF(O449=Constants!$B$2, TRUE(), IF(O449=Constants!$B$3, FALSE(), FALSE())))</f>
        <v/>
      </c>
      <c r="Z449" s="97" t="str">
        <f aca="false">IF(ISBLANK($C449),"",AND(S449&lt;&gt;"",Q449))</f>
        <v/>
      </c>
      <c r="AA449" s="97" t="str">
        <f aca="false">IF(ISBLANK($C449),"",AND(V449&lt;&gt;"",Q449))</f>
        <v/>
      </c>
      <c r="AB449" s="97" t="str">
        <f aca="false">IF(ISBLANK($C449),"",IF(Y449,Constants!$B$4,IF(COUNTA(E449:N449)=0,Constants!$B$5,IF(NOT(Q449),Constants!$B$6,IF(AND(NOT(Z449),NOT(AA449)),Constants!$B$6,Constants!$B$7)))))</f>
        <v/>
      </c>
      <c r="AC449" s="97" t="str">
        <f aca="false">IF(ISBLANK($C449),"",IF($AB449&lt;&gt;Constants!$B$7,$AB449,Constants!$B$20))</f>
        <v/>
      </c>
      <c r="AD449" s="97" t="str">
        <f aca="false">IF($AB449=Constants!$B$7,IF(Z449,S449,Constants!$B$13),"")</f>
        <v/>
      </c>
      <c r="AE449" s="97" t="str">
        <f aca="false">IF($AB449=Constants!$B$7,IF(Z449,R449*IF(T449, 1, Constants!$B$11)*IF(U449, 1, Constants!$B$12),Constants!$B$13),"")</f>
        <v/>
      </c>
      <c r="AF449" s="97" t="str">
        <f aca="false">IF($AB449=Constants!$B$7,AD449*AE449,"")</f>
        <v/>
      </c>
      <c r="AG449" s="97" t="str">
        <f aca="false">IF($AB449=Constants!$B$7,IF(AA449,V449,Constants!$B$13),"")</f>
        <v/>
      </c>
      <c r="AH449" s="97" t="str">
        <f aca="false">IF($AB449=Constants!$B$7,IF(AA449,R449*IF(W449, 1, Constants!$B$11)*IF(X449, 1, Constants!$B$12),Constants!$B$13),"")</f>
        <v/>
      </c>
      <c r="AI449" s="97" t="str">
        <f aca="false">IF($AB449=Constants!$B$7,AG449*AH449,"")</f>
        <v/>
      </c>
      <c r="AJ449" s="97" t="str">
        <f aca="false">IF($AB449=Constants!$B$7,IF(AI449&gt;AF449,2,1),"")</f>
        <v/>
      </c>
      <c r="AK449" s="97" t="str">
        <f aca="false">IF($AB449=Constants!$B$7,IF(AJ449=1,2,1),"")</f>
        <v/>
      </c>
      <c r="AL449" s="97" t="str">
        <f aca="false">IF(ISBLANK($C449),"",IF($AB449&lt;&gt;Constants!$B$7,$AB449,IF(AJ449=1,AF449,AI449)))</f>
        <v/>
      </c>
      <c r="AM449" s="97" t="str">
        <f aca="false">IF(ISBLANK($C449),"",IF($AB449=Constants!$B$7,IF(ISNUMBER(AL449),RANK(AL449,$AL$8:$AL$507),Constants!$B$14),$AB449))</f>
        <v/>
      </c>
      <c r="AN449" s="97" t="str">
        <f aca="false">IF(ISBLANK($C449),"",IF($AB449=Constants!$B$7,IF(AK449=1,AF449,AI449),""))</f>
        <v/>
      </c>
      <c r="AO449" s="97" t="str">
        <f aca="false">IF(ISBLANK($C449),"",IF($AB449=Constants!$B$7,RANK(AN449,$AN$8:$AN$507),$AB449))</f>
        <v/>
      </c>
      <c r="AP449" s="97" t="str">
        <f aca="false">IF(ISBLANK($C449),"",IF($AB449=Constants!$B$7,IF(ISNUMBER(AM449),COUNTIFS($AM$8:$AM$507,"&lt;"&amp;$AM449)+COUNTIFS($AM$8:$AM$507,$AM449,$AO$8:$AO$507,"&lt;"&amp;$AO449)+1,Constants!$B$14),$AB449))</f>
        <v/>
      </c>
      <c r="AQ449" s="97" t="str">
        <f aca="false">IF(ISBLANK($C449),"",IF($AB449=Constants!$B$7,IF(ISNUMBER(AM449),AM449-AP449,Constants!$B$14),$AB449))</f>
        <v/>
      </c>
      <c r="AR449" s="98"/>
      <c r="AS449" s="99" t="str">
        <f aca="false">IF(ISBLANK($C449),"",IF($AB449&lt;&gt;Constants!$B$7,"",AJ449))</f>
        <v/>
      </c>
      <c r="AT449" s="100" t="str">
        <f aca="false">IF(ISBLANK($C449),"",IF($AB449&lt;&gt;Constants!$B$7,"",IF(AJ449=1,AD449,AG449)))</f>
        <v/>
      </c>
      <c r="AU449" s="101" t="str">
        <f aca="false">IF(ISBLANK($C449),"",IF($AB449&lt;&gt;Constants!$B$7,"",IF(AJ449=1,AE449,AH449)))</f>
        <v/>
      </c>
      <c r="AV449" s="102" t="str">
        <f aca="false">IF(ISBLANK($C449),"",IF($AB449&lt;&gt;Constants!$B$7,$AB449,AL449))</f>
        <v/>
      </c>
      <c r="AW449" s="103" t="str">
        <f aca="false">IF(ISBLANK($C449),"",IF($AB449&lt;&gt;Constants!$B$7,$AB449,AC449))</f>
        <v/>
      </c>
      <c r="AX449" s="104" t="str">
        <f aca="false">IF(ISBLANK($C449),"",AQ449)</f>
        <v/>
      </c>
      <c r="AY449" s="104" t="str">
        <f aca="false">IF(ISBLANK($C449),"",AP449)</f>
        <v/>
      </c>
      <c r="AZ449" s="105" t="str">
        <f aca="false">IF(ISBLANK($C449),"",IF(AY449=Constants!$B$4,COUNTA($C$8:$C$507)+2,IF(AY449=Constants!$B$5,COUNTA($C$8:$C$507)+1,IF(AY449=Constants!$B$6,COUNTA($C$8:$C$507),AY449))))</f>
        <v/>
      </c>
      <c r="BA449" s="5"/>
      <c r="BB449" s="106" t="n">
        <f aca="false">IF(OR(ISNUMBER(AY449),AY449=Constants!$B$4,AY449=Constants!$B$6,AY449=Constants!$B$5),1,0)</f>
        <v>0</v>
      </c>
      <c r="BC449" s="106" t="n">
        <v>442</v>
      </c>
      <c r="BD449" s="106" t="str">
        <f aca="false">IF(ISBLANK($C449),"",IF(ISNUMBER(AZ449),AZ449+ROW($B449)/1000,""))</f>
        <v/>
      </c>
      <c r="BE449" s="106" t="str">
        <f aca="false">IF(ISNUMBER(BD449),RANK(BD449,$BD$8:$BD$507,1),"")</f>
        <v/>
      </c>
      <c r="BF449" s="106" t="str">
        <f aca="false">IF(ISBLANK($C449),"",$B449)</f>
        <v/>
      </c>
      <c r="BG449" s="106" t="str">
        <f aca="false">IF(ISBLANK($C449),"",$C449)</f>
        <v/>
      </c>
      <c r="BH449" s="106" t="str">
        <f aca="false">IF(ISBLANK($C449),"",$D449)</f>
        <v/>
      </c>
      <c r="BI449" s="107" t="str">
        <f aca="false">AW449</f>
        <v/>
      </c>
      <c r="BJ449" s="108" t="str">
        <f aca="false">AV449</f>
        <v/>
      </c>
      <c r="BK449" s="106" t="str">
        <f aca="false">IF(ISBLANK($C449),"",AY449)</f>
        <v/>
      </c>
      <c r="BL449" s="109" t="str">
        <f aca="false">IF($BC449&gt;$BB$7,"",VLOOKUP($BC449,$BE$8:$BK$507,7,FALSE()))</f>
        <v/>
      </c>
      <c r="BM449" s="110" t="str">
        <f aca="false">IF($BC449&gt;$BB$7,"",VLOOKUP($BC449,$BE$8:$BK$507,2,FALSE()))</f>
        <v/>
      </c>
      <c r="BN449" s="110" t="str">
        <f aca="false">IF($BC449&gt;$BB$7,"",VLOOKUP($BC449,$BE$8:$BK$507,3,FALSE()))</f>
        <v/>
      </c>
      <c r="BO449" s="110" t="str">
        <f aca="false">IF($BC449&gt;$BB$7,"",VLOOKUP($BC449,$BE$8:$BK$507,4,FALSE()))</f>
        <v/>
      </c>
      <c r="BP449" s="110" t="str">
        <f aca="false">IF($BC449&gt;$BB$7,"",VLOOKUP($BC449,$BE$8:$BK$507,5,FALSE()))</f>
        <v/>
      </c>
      <c r="BQ449" s="111" t="str">
        <f aca="false">IF($BC449&gt;$BB$7,"",VLOOKUP($BC449,$BE$8:$BK$507,6,FALSE()))</f>
        <v/>
      </c>
      <c r="BR449" s="54"/>
    </row>
    <row r="450" customFormat="false" ht="15.75" hidden="false" customHeight="false" outlineLevel="0" collapsed="false">
      <c r="A450" s="5"/>
      <c r="B450" s="120"/>
      <c r="C450" s="121"/>
      <c r="D450" s="112"/>
      <c r="E450" s="123"/>
      <c r="F450" s="91"/>
      <c r="G450" s="92"/>
      <c r="H450" s="93"/>
      <c r="I450" s="94"/>
      <c r="J450" s="91"/>
      <c r="K450" s="92"/>
      <c r="L450" s="93"/>
      <c r="M450" s="94"/>
      <c r="N450" s="91"/>
      <c r="O450" s="123"/>
      <c r="P450" s="96"/>
      <c r="Q450" s="97" t="str">
        <f aca="false">IF(ISBLANK($C450),"",IF(E450=Constants!$B$2, TRUE(), IF(E450=Constants!$B$3, FALSE(), TRUE())))</f>
        <v/>
      </c>
      <c r="R450" s="97" t="str">
        <f aca="false">IF(ISBLANK($C450),"",IF(F450=Constants!$B$16,Constants!$B$9,IF(F450=Constants!$B$17,Constants!$B$10,Constants!$B$8)))</f>
        <v/>
      </c>
      <c r="S450" s="97" t="str">
        <f aca="false">IF(ISBLANK($C450),"",IF(COUNTA(G450:H450)=0,"",IF(AND(OR(ISBLANK(G450),AND(ISNUMBER(G450),G450&gt;=0)),OR(ISBLANK(H450),AND(ISNUMBER(H450),H450&gt;=0))),60*IF(ISBLANK(G450),0,G450)+IF(ISBLANK(H450),0,H450),"")))</f>
        <v/>
      </c>
      <c r="T450" s="97" t="str">
        <f aca="false">IF(ISBLANK($C450),"",IF(I450=Constants!$B$2, TRUE(), IF(I450=Constants!$B$3, FALSE(), TRUE())))</f>
        <v/>
      </c>
      <c r="U450" s="97" t="str">
        <f aca="false">IF(ISBLANK($C450),"",IF(J450=Constants!$B$2, TRUE(), IF(J450=Constants!$B$3, FALSE(), TRUE())))</f>
        <v/>
      </c>
      <c r="V450" s="97" t="str">
        <f aca="false">IF(ISBLANK($C450),"",IF(COUNTA(K450:L450)=0,"",IF(AND(OR(ISBLANK(K450),AND(ISNUMBER(K450),K450&gt;=0)),OR(ISBLANK(L450),AND(ISNUMBER(L450),L450&gt;=0))),60*IF(ISBLANK(K450),0,K450)+IF(ISBLANK(L450),0,L450),"")))</f>
        <v/>
      </c>
      <c r="W450" s="97" t="str">
        <f aca="false">IF(ISBLANK($C450),"",IF(M450=Constants!$B$2, TRUE(), IF(M450=Constants!$B$3, FALSE(), TRUE())))</f>
        <v/>
      </c>
      <c r="X450" s="97" t="str">
        <f aca="false">IF(ISBLANK($C450),"",IF(N450=Constants!$B$2, TRUE(), IF(N450=Constants!$B$3, FALSE(), TRUE())))</f>
        <v/>
      </c>
      <c r="Y450" s="97" t="str">
        <f aca="false">IF(ISBLANK($C450),"",IF(O450=Constants!$B$2, TRUE(), IF(O450=Constants!$B$3, FALSE(), FALSE())))</f>
        <v/>
      </c>
      <c r="Z450" s="97" t="str">
        <f aca="false">IF(ISBLANK($C450),"",AND(S450&lt;&gt;"",Q450))</f>
        <v/>
      </c>
      <c r="AA450" s="97" t="str">
        <f aca="false">IF(ISBLANK($C450),"",AND(V450&lt;&gt;"",Q450))</f>
        <v/>
      </c>
      <c r="AB450" s="97" t="str">
        <f aca="false">IF(ISBLANK($C450),"",IF(Y450,Constants!$B$4,IF(COUNTA(E450:N450)=0,Constants!$B$5,IF(NOT(Q450),Constants!$B$6,IF(AND(NOT(Z450),NOT(AA450)),Constants!$B$6,Constants!$B$7)))))</f>
        <v/>
      </c>
      <c r="AC450" s="97" t="str">
        <f aca="false">IF(ISBLANK($C450),"",IF($AB450&lt;&gt;Constants!$B$7,$AB450,Constants!$B$20))</f>
        <v/>
      </c>
      <c r="AD450" s="97" t="str">
        <f aca="false">IF($AB450=Constants!$B$7,IF(Z450,S450,Constants!$B$13),"")</f>
        <v/>
      </c>
      <c r="AE450" s="97" t="str">
        <f aca="false">IF($AB450=Constants!$B$7,IF(Z450,R450*IF(T450, 1, Constants!$B$11)*IF(U450, 1, Constants!$B$12),Constants!$B$13),"")</f>
        <v/>
      </c>
      <c r="AF450" s="97" t="str">
        <f aca="false">IF($AB450=Constants!$B$7,AD450*AE450,"")</f>
        <v/>
      </c>
      <c r="AG450" s="97" t="str">
        <f aca="false">IF($AB450=Constants!$B$7,IF(AA450,V450,Constants!$B$13),"")</f>
        <v/>
      </c>
      <c r="AH450" s="97" t="str">
        <f aca="false">IF($AB450=Constants!$B$7,IF(AA450,R450*IF(W450, 1, Constants!$B$11)*IF(X450, 1, Constants!$B$12),Constants!$B$13),"")</f>
        <v/>
      </c>
      <c r="AI450" s="97" t="str">
        <f aca="false">IF($AB450=Constants!$B$7,AG450*AH450,"")</f>
        <v/>
      </c>
      <c r="AJ450" s="97" t="str">
        <f aca="false">IF($AB450=Constants!$B$7,IF(AI450&gt;AF450,2,1),"")</f>
        <v/>
      </c>
      <c r="AK450" s="97" t="str">
        <f aca="false">IF($AB450=Constants!$B$7,IF(AJ450=1,2,1),"")</f>
        <v/>
      </c>
      <c r="AL450" s="97" t="str">
        <f aca="false">IF(ISBLANK($C450),"",IF($AB450&lt;&gt;Constants!$B$7,$AB450,IF(AJ450=1,AF450,AI450)))</f>
        <v/>
      </c>
      <c r="AM450" s="97" t="str">
        <f aca="false">IF(ISBLANK($C450),"",IF($AB450=Constants!$B$7,IF(ISNUMBER(AL450),RANK(AL450,$AL$8:$AL$507),Constants!$B$14),$AB450))</f>
        <v/>
      </c>
      <c r="AN450" s="97" t="str">
        <f aca="false">IF(ISBLANK($C450),"",IF($AB450=Constants!$B$7,IF(AK450=1,AF450,AI450),""))</f>
        <v/>
      </c>
      <c r="AO450" s="97" t="str">
        <f aca="false">IF(ISBLANK($C450),"",IF($AB450=Constants!$B$7,RANK(AN450,$AN$8:$AN$507),$AB450))</f>
        <v/>
      </c>
      <c r="AP450" s="97" t="str">
        <f aca="false">IF(ISBLANK($C450),"",IF($AB450=Constants!$B$7,IF(ISNUMBER(AM450),COUNTIFS($AM$8:$AM$507,"&lt;"&amp;$AM450)+COUNTIFS($AM$8:$AM$507,$AM450,$AO$8:$AO$507,"&lt;"&amp;$AO450)+1,Constants!$B$14),$AB450))</f>
        <v/>
      </c>
      <c r="AQ450" s="97" t="str">
        <f aca="false">IF(ISBLANK($C450),"",IF($AB450=Constants!$B$7,IF(ISNUMBER(AM450),AM450-AP450,Constants!$B$14),$AB450))</f>
        <v/>
      </c>
      <c r="AR450" s="98"/>
      <c r="AS450" s="99" t="str">
        <f aca="false">IF(ISBLANK($C450),"",IF($AB450&lt;&gt;Constants!$B$7,"",AJ450))</f>
        <v/>
      </c>
      <c r="AT450" s="100" t="str">
        <f aca="false">IF(ISBLANK($C450),"",IF($AB450&lt;&gt;Constants!$B$7,"",IF(AJ450=1,AD450,AG450)))</f>
        <v/>
      </c>
      <c r="AU450" s="101" t="str">
        <f aca="false">IF(ISBLANK($C450),"",IF($AB450&lt;&gt;Constants!$B$7,"",IF(AJ450=1,AE450,AH450)))</f>
        <v/>
      </c>
      <c r="AV450" s="102" t="str">
        <f aca="false">IF(ISBLANK($C450),"",IF($AB450&lt;&gt;Constants!$B$7,$AB450,AL450))</f>
        <v/>
      </c>
      <c r="AW450" s="103" t="str">
        <f aca="false">IF(ISBLANK($C450),"",IF($AB450&lt;&gt;Constants!$B$7,$AB450,AC450))</f>
        <v/>
      </c>
      <c r="AX450" s="104" t="str">
        <f aca="false">IF(ISBLANK($C450),"",AQ450)</f>
        <v/>
      </c>
      <c r="AY450" s="104" t="str">
        <f aca="false">IF(ISBLANK($C450),"",AP450)</f>
        <v/>
      </c>
      <c r="AZ450" s="105" t="str">
        <f aca="false">IF(ISBLANK($C450),"",IF(AY450=Constants!$B$4,COUNTA($C$8:$C$507)+2,IF(AY450=Constants!$B$5,COUNTA($C$8:$C$507)+1,IF(AY450=Constants!$B$6,COUNTA($C$8:$C$507),AY450))))</f>
        <v/>
      </c>
      <c r="BA450" s="5"/>
      <c r="BB450" s="106" t="n">
        <f aca="false">IF(OR(ISNUMBER(AY450),AY450=Constants!$B$4,AY450=Constants!$B$6,AY450=Constants!$B$5),1,0)</f>
        <v>0</v>
      </c>
      <c r="BC450" s="106" t="n">
        <v>443</v>
      </c>
      <c r="BD450" s="106" t="str">
        <f aca="false">IF(ISBLANK($C450),"",IF(ISNUMBER(AZ450),AZ450+ROW($B450)/1000,""))</f>
        <v/>
      </c>
      <c r="BE450" s="106" t="str">
        <f aca="false">IF(ISNUMBER(BD450),RANK(BD450,$BD$8:$BD$507,1),"")</f>
        <v/>
      </c>
      <c r="BF450" s="106" t="str">
        <f aca="false">IF(ISBLANK($C450),"",$B450)</f>
        <v/>
      </c>
      <c r="BG450" s="106" t="str">
        <f aca="false">IF(ISBLANK($C450),"",$C450)</f>
        <v/>
      </c>
      <c r="BH450" s="106" t="str">
        <f aca="false">IF(ISBLANK($C450),"",$D450)</f>
        <v/>
      </c>
      <c r="BI450" s="107" t="str">
        <f aca="false">AW450</f>
        <v/>
      </c>
      <c r="BJ450" s="108" t="str">
        <f aca="false">AV450</f>
        <v/>
      </c>
      <c r="BK450" s="106" t="str">
        <f aca="false">IF(ISBLANK($C450),"",AY450)</f>
        <v/>
      </c>
      <c r="BL450" s="109" t="str">
        <f aca="false">IF($BC450&gt;$BB$7,"",VLOOKUP($BC450,$BE$8:$BK$507,7,FALSE()))</f>
        <v/>
      </c>
      <c r="BM450" s="110" t="str">
        <f aca="false">IF($BC450&gt;$BB$7,"",VLOOKUP($BC450,$BE$8:$BK$507,2,FALSE()))</f>
        <v/>
      </c>
      <c r="BN450" s="110" t="str">
        <f aca="false">IF($BC450&gt;$BB$7,"",VLOOKUP($BC450,$BE$8:$BK$507,3,FALSE()))</f>
        <v/>
      </c>
      <c r="BO450" s="110" t="str">
        <f aca="false">IF($BC450&gt;$BB$7,"",VLOOKUP($BC450,$BE$8:$BK$507,4,FALSE()))</f>
        <v/>
      </c>
      <c r="BP450" s="110" t="str">
        <f aca="false">IF($BC450&gt;$BB$7,"",VLOOKUP($BC450,$BE$8:$BK$507,5,FALSE()))</f>
        <v/>
      </c>
      <c r="BQ450" s="111" t="str">
        <f aca="false">IF($BC450&gt;$BB$7,"",VLOOKUP($BC450,$BE$8:$BK$507,6,FALSE()))</f>
        <v/>
      </c>
      <c r="BR450" s="54"/>
    </row>
    <row r="451" customFormat="false" ht="15.75" hidden="false" customHeight="false" outlineLevel="0" collapsed="false">
      <c r="A451" s="5"/>
      <c r="B451" s="120"/>
      <c r="C451" s="121"/>
      <c r="D451" s="112"/>
      <c r="E451" s="123"/>
      <c r="F451" s="91"/>
      <c r="G451" s="92"/>
      <c r="H451" s="93"/>
      <c r="I451" s="94"/>
      <c r="J451" s="91"/>
      <c r="K451" s="92"/>
      <c r="L451" s="93"/>
      <c r="M451" s="94"/>
      <c r="N451" s="91"/>
      <c r="O451" s="123"/>
      <c r="P451" s="96"/>
      <c r="Q451" s="97" t="str">
        <f aca="false">IF(ISBLANK($C451),"",IF(E451=Constants!$B$2, TRUE(), IF(E451=Constants!$B$3, FALSE(), TRUE())))</f>
        <v/>
      </c>
      <c r="R451" s="97" t="str">
        <f aca="false">IF(ISBLANK($C451),"",IF(F451=Constants!$B$16,Constants!$B$9,IF(F451=Constants!$B$17,Constants!$B$10,Constants!$B$8)))</f>
        <v/>
      </c>
      <c r="S451" s="97" t="str">
        <f aca="false">IF(ISBLANK($C451),"",IF(COUNTA(G451:H451)=0,"",IF(AND(OR(ISBLANK(G451),AND(ISNUMBER(G451),G451&gt;=0)),OR(ISBLANK(H451),AND(ISNUMBER(H451),H451&gt;=0))),60*IF(ISBLANK(G451),0,G451)+IF(ISBLANK(H451),0,H451),"")))</f>
        <v/>
      </c>
      <c r="T451" s="97" t="str">
        <f aca="false">IF(ISBLANK($C451),"",IF(I451=Constants!$B$2, TRUE(), IF(I451=Constants!$B$3, FALSE(), TRUE())))</f>
        <v/>
      </c>
      <c r="U451" s="97" t="str">
        <f aca="false">IF(ISBLANK($C451),"",IF(J451=Constants!$B$2, TRUE(), IF(J451=Constants!$B$3, FALSE(), TRUE())))</f>
        <v/>
      </c>
      <c r="V451" s="97" t="str">
        <f aca="false">IF(ISBLANK($C451),"",IF(COUNTA(K451:L451)=0,"",IF(AND(OR(ISBLANK(K451),AND(ISNUMBER(K451),K451&gt;=0)),OR(ISBLANK(L451),AND(ISNUMBER(L451),L451&gt;=0))),60*IF(ISBLANK(K451),0,K451)+IF(ISBLANK(L451),0,L451),"")))</f>
        <v/>
      </c>
      <c r="W451" s="97" t="str">
        <f aca="false">IF(ISBLANK($C451),"",IF(M451=Constants!$B$2, TRUE(), IF(M451=Constants!$B$3, FALSE(), TRUE())))</f>
        <v/>
      </c>
      <c r="X451" s="97" t="str">
        <f aca="false">IF(ISBLANK($C451),"",IF(N451=Constants!$B$2, TRUE(), IF(N451=Constants!$B$3, FALSE(), TRUE())))</f>
        <v/>
      </c>
      <c r="Y451" s="97" t="str">
        <f aca="false">IF(ISBLANK($C451),"",IF(O451=Constants!$B$2, TRUE(), IF(O451=Constants!$B$3, FALSE(), FALSE())))</f>
        <v/>
      </c>
      <c r="Z451" s="97" t="str">
        <f aca="false">IF(ISBLANK($C451),"",AND(S451&lt;&gt;"",Q451))</f>
        <v/>
      </c>
      <c r="AA451" s="97" t="str">
        <f aca="false">IF(ISBLANK($C451),"",AND(V451&lt;&gt;"",Q451))</f>
        <v/>
      </c>
      <c r="AB451" s="97" t="str">
        <f aca="false">IF(ISBLANK($C451),"",IF(Y451,Constants!$B$4,IF(COUNTA(E451:N451)=0,Constants!$B$5,IF(NOT(Q451),Constants!$B$6,IF(AND(NOT(Z451),NOT(AA451)),Constants!$B$6,Constants!$B$7)))))</f>
        <v/>
      </c>
      <c r="AC451" s="97" t="str">
        <f aca="false">IF(ISBLANK($C451),"",IF($AB451&lt;&gt;Constants!$B$7,$AB451,Constants!$B$20))</f>
        <v/>
      </c>
      <c r="AD451" s="97" t="str">
        <f aca="false">IF($AB451=Constants!$B$7,IF(Z451,S451,Constants!$B$13),"")</f>
        <v/>
      </c>
      <c r="AE451" s="97" t="str">
        <f aca="false">IF($AB451=Constants!$B$7,IF(Z451,R451*IF(T451, 1, Constants!$B$11)*IF(U451, 1, Constants!$B$12),Constants!$B$13),"")</f>
        <v/>
      </c>
      <c r="AF451" s="97" t="str">
        <f aca="false">IF($AB451=Constants!$B$7,AD451*AE451,"")</f>
        <v/>
      </c>
      <c r="AG451" s="97" t="str">
        <f aca="false">IF($AB451=Constants!$B$7,IF(AA451,V451,Constants!$B$13),"")</f>
        <v/>
      </c>
      <c r="AH451" s="97" t="str">
        <f aca="false">IF($AB451=Constants!$B$7,IF(AA451,R451*IF(W451, 1, Constants!$B$11)*IF(X451, 1, Constants!$B$12),Constants!$B$13),"")</f>
        <v/>
      </c>
      <c r="AI451" s="97" t="str">
        <f aca="false">IF($AB451=Constants!$B$7,AG451*AH451,"")</f>
        <v/>
      </c>
      <c r="AJ451" s="97" t="str">
        <f aca="false">IF($AB451=Constants!$B$7,IF(AI451&gt;AF451,2,1),"")</f>
        <v/>
      </c>
      <c r="AK451" s="97" t="str">
        <f aca="false">IF($AB451=Constants!$B$7,IF(AJ451=1,2,1),"")</f>
        <v/>
      </c>
      <c r="AL451" s="97" t="str">
        <f aca="false">IF(ISBLANK($C451),"",IF($AB451&lt;&gt;Constants!$B$7,$AB451,IF(AJ451=1,AF451,AI451)))</f>
        <v/>
      </c>
      <c r="AM451" s="97" t="str">
        <f aca="false">IF(ISBLANK($C451),"",IF($AB451=Constants!$B$7,IF(ISNUMBER(AL451),RANK(AL451,$AL$8:$AL$507),Constants!$B$14),$AB451))</f>
        <v/>
      </c>
      <c r="AN451" s="97" t="str">
        <f aca="false">IF(ISBLANK($C451),"",IF($AB451=Constants!$B$7,IF(AK451=1,AF451,AI451),""))</f>
        <v/>
      </c>
      <c r="AO451" s="97" t="str">
        <f aca="false">IF(ISBLANK($C451),"",IF($AB451=Constants!$B$7,RANK(AN451,$AN$8:$AN$507),$AB451))</f>
        <v/>
      </c>
      <c r="AP451" s="97" t="str">
        <f aca="false">IF(ISBLANK($C451),"",IF($AB451=Constants!$B$7,IF(ISNUMBER(AM451),COUNTIFS($AM$8:$AM$507,"&lt;"&amp;$AM451)+COUNTIFS($AM$8:$AM$507,$AM451,$AO$8:$AO$507,"&lt;"&amp;$AO451)+1,Constants!$B$14),$AB451))</f>
        <v/>
      </c>
      <c r="AQ451" s="97" t="str">
        <f aca="false">IF(ISBLANK($C451),"",IF($AB451=Constants!$B$7,IF(ISNUMBER(AM451),AM451-AP451,Constants!$B$14),$AB451))</f>
        <v/>
      </c>
      <c r="AR451" s="98"/>
      <c r="AS451" s="99" t="str">
        <f aca="false">IF(ISBLANK($C451),"",IF($AB451&lt;&gt;Constants!$B$7,"",AJ451))</f>
        <v/>
      </c>
      <c r="AT451" s="100" t="str">
        <f aca="false">IF(ISBLANK($C451),"",IF($AB451&lt;&gt;Constants!$B$7,"",IF(AJ451=1,AD451,AG451)))</f>
        <v/>
      </c>
      <c r="AU451" s="101" t="str">
        <f aca="false">IF(ISBLANK($C451),"",IF($AB451&lt;&gt;Constants!$B$7,"",IF(AJ451=1,AE451,AH451)))</f>
        <v/>
      </c>
      <c r="AV451" s="102" t="str">
        <f aca="false">IF(ISBLANK($C451),"",IF($AB451&lt;&gt;Constants!$B$7,$AB451,AL451))</f>
        <v/>
      </c>
      <c r="AW451" s="103" t="str">
        <f aca="false">IF(ISBLANK($C451),"",IF($AB451&lt;&gt;Constants!$B$7,$AB451,AC451))</f>
        <v/>
      </c>
      <c r="AX451" s="104" t="str">
        <f aca="false">IF(ISBLANK($C451),"",AQ451)</f>
        <v/>
      </c>
      <c r="AY451" s="104" t="str">
        <f aca="false">IF(ISBLANK($C451),"",AP451)</f>
        <v/>
      </c>
      <c r="AZ451" s="105" t="str">
        <f aca="false">IF(ISBLANK($C451),"",IF(AY451=Constants!$B$4,COUNTA($C$8:$C$507)+2,IF(AY451=Constants!$B$5,COUNTA($C$8:$C$507)+1,IF(AY451=Constants!$B$6,COUNTA($C$8:$C$507),AY451))))</f>
        <v/>
      </c>
      <c r="BA451" s="5"/>
      <c r="BB451" s="106" t="n">
        <f aca="false">IF(OR(ISNUMBER(AY451),AY451=Constants!$B$4,AY451=Constants!$B$6,AY451=Constants!$B$5),1,0)</f>
        <v>0</v>
      </c>
      <c r="BC451" s="106" t="n">
        <v>444</v>
      </c>
      <c r="BD451" s="106" t="str">
        <f aca="false">IF(ISBLANK($C451),"",IF(ISNUMBER(AZ451),AZ451+ROW($B451)/1000,""))</f>
        <v/>
      </c>
      <c r="BE451" s="106" t="str">
        <f aca="false">IF(ISNUMBER(BD451),RANK(BD451,$BD$8:$BD$507,1),"")</f>
        <v/>
      </c>
      <c r="BF451" s="106" t="str">
        <f aca="false">IF(ISBLANK($C451),"",$B451)</f>
        <v/>
      </c>
      <c r="BG451" s="106" t="str">
        <f aca="false">IF(ISBLANK($C451),"",$C451)</f>
        <v/>
      </c>
      <c r="BH451" s="106" t="str">
        <f aca="false">IF(ISBLANK($C451),"",$D451)</f>
        <v/>
      </c>
      <c r="BI451" s="107" t="str">
        <f aca="false">AW451</f>
        <v/>
      </c>
      <c r="BJ451" s="108" t="str">
        <f aca="false">AV451</f>
        <v/>
      </c>
      <c r="BK451" s="106" t="str">
        <f aca="false">IF(ISBLANK($C451),"",AY451)</f>
        <v/>
      </c>
      <c r="BL451" s="109" t="str">
        <f aca="false">IF($BC451&gt;$BB$7,"",VLOOKUP($BC451,$BE$8:$BK$507,7,FALSE()))</f>
        <v/>
      </c>
      <c r="BM451" s="110" t="str">
        <f aca="false">IF($BC451&gt;$BB$7,"",VLOOKUP($BC451,$BE$8:$BK$507,2,FALSE()))</f>
        <v/>
      </c>
      <c r="BN451" s="110" t="str">
        <f aca="false">IF($BC451&gt;$BB$7,"",VLOOKUP($BC451,$BE$8:$BK$507,3,FALSE()))</f>
        <v/>
      </c>
      <c r="BO451" s="110" t="str">
        <f aca="false">IF($BC451&gt;$BB$7,"",VLOOKUP($BC451,$BE$8:$BK$507,4,FALSE()))</f>
        <v/>
      </c>
      <c r="BP451" s="110" t="str">
        <f aca="false">IF($BC451&gt;$BB$7,"",VLOOKUP($BC451,$BE$8:$BK$507,5,FALSE()))</f>
        <v/>
      </c>
      <c r="BQ451" s="111" t="str">
        <f aca="false">IF($BC451&gt;$BB$7,"",VLOOKUP($BC451,$BE$8:$BK$507,6,FALSE()))</f>
        <v/>
      </c>
      <c r="BR451" s="54"/>
    </row>
    <row r="452" customFormat="false" ht="15.75" hidden="false" customHeight="false" outlineLevel="0" collapsed="false">
      <c r="A452" s="5"/>
      <c r="B452" s="124"/>
      <c r="C452" s="56"/>
      <c r="D452" s="57"/>
      <c r="E452" s="83"/>
      <c r="F452" s="59"/>
      <c r="G452" s="60"/>
      <c r="H452" s="61"/>
      <c r="I452" s="62"/>
      <c r="J452" s="59"/>
      <c r="K452" s="60"/>
      <c r="L452" s="61"/>
      <c r="M452" s="62"/>
      <c r="N452" s="59"/>
      <c r="O452" s="83"/>
      <c r="P452" s="64"/>
      <c r="Q452" s="66" t="str">
        <f aca="false">IF(ISBLANK($C452),"",IF(E452=Constants!$B$2, TRUE(), IF(E452=Constants!$B$3, FALSE(), TRUE())))</f>
        <v/>
      </c>
      <c r="R452" s="66" t="str">
        <f aca="false">IF(ISBLANK($C452),"",IF(F452=Constants!$B$16,Constants!$B$9,IF(F452=Constants!$B$17,Constants!$B$10,Constants!$B$8)))</f>
        <v/>
      </c>
      <c r="S452" s="66" t="str">
        <f aca="false">IF(ISBLANK($C452),"",IF(COUNTA(G452:H452)=0,"",IF(AND(OR(ISBLANK(G452),AND(ISNUMBER(G452),G452&gt;=0)),OR(ISBLANK(H452),AND(ISNUMBER(H452),H452&gt;=0))),60*IF(ISBLANK(G452),0,G452)+IF(ISBLANK(H452),0,H452),"")))</f>
        <v/>
      </c>
      <c r="T452" s="66" t="str">
        <f aca="false">IF(ISBLANK($C452),"",IF(I452=Constants!$B$2, TRUE(), IF(I452=Constants!$B$3, FALSE(), TRUE())))</f>
        <v/>
      </c>
      <c r="U452" s="66" t="str">
        <f aca="false">IF(ISBLANK($C452),"",IF(J452=Constants!$B$2, TRUE(), IF(J452=Constants!$B$3, FALSE(), TRUE())))</f>
        <v/>
      </c>
      <c r="V452" s="66" t="str">
        <f aca="false">IF(ISBLANK($C452),"",IF(COUNTA(K452:L452)=0,"",IF(AND(OR(ISBLANK(K452),AND(ISNUMBER(K452),K452&gt;=0)),OR(ISBLANK(L452),AND(ISNUMBER(L452),L452&gt;=0))),60*IF(ISBLANK(K452),0,K452)+IF(ISBLANK(L452),0,L452),"")))</f>
        <v/>
      </c>
      <c r="W452" s="66" t="str">
        <f aca="false">IF(ISBLANK($C452),"",IF(M452=Constants!$B$2, TRUE(), IF(M452=Constants!$B$3, FALSE(), TRUE())))</f>
        <v/>
      </c>
      <c r="X452" s="66" t="str">
        <f aca="false">IF(ISBLANK($C452),"",IF(N452=Constants!$B$2, TRUE(), IF(N452=Constants!$B$3, FALSE(), TRUE())))</f>
        <v/>
      </c>
      <c r="Y452" s="66" t="str">
        <f aca="false">IF(ISBLANK($C452),"",IF(O452=Constants!$B$2, TRUE(), IF(O452=Constants!$B$3, FALSE(), FALSE())))</f>
        <v/>
      </c>
      <c r="Z452" s="66" t="str">
        <f aca="false">IF(ISBLANK($C452),"",AND(S452&lt;&gt;"",Q452))</f>
        <v/>
      </c>
      <c r="AA452" s="66" t="str">
        <f aca="false">IF(ISBLANK($C452),"",AND(V452&lt;&gt;"",Q452))</f>
        <v/>
      </c>
      <c r="AB452" s="66" t="str">
        <f aca="false">IF(ISBLANK($C452),"",IF(Y452,Constants!$B$4,IF(COUNTA(E452:N452)=0,Constants!$B$5,IF(NOT(Q452),Constants!$B$6,IF(AND(NOT(Z452),NOT(AA452)),Constants!$B$6,Constants!$B$7)))))</f>
        <v/>
      </c>
      <c r="AC452" s="66" t="str">
        <f aca="false">IF(ISBLANK($C452),"",IF($AB452&lt;&gt;Constants!$B$7,$AB452,Constants!$B$20))</f>
        <v/>
      </c>
      <c r="AD452" s="66" t="str">
        <f aca="false">IF($AB452=Constants!$B$7,IF(Z452,S452,Constants!$B$13),"")</f>
        <v/>
      </c>
      <c r="AE452" s="66" t="str">
        <f aca="false">IF($AB452=Constants!$B$7,IF(Z452,R452*IF(T452, 1, Constants!$B$11)*IF(U452, 1, Constants!$B$12),Constants!$B$13),"")</f>
        <v/>
      </c>
      <c r="AF452" s="66" t="str">
        <f aca="false">IF($AB452=Constants!$B$7,AD452*AE452,"")</f>
        <v/>
      </c>
      <c r="AG452" s="66" t="str">
        <f aca="false">IF($AB452=Constants!$B$7,IF(AA452,V452,Constants!$B$13),"")</f>
        <v/>
      </c>
      <c r="AH452" s="66" t="str">
        <f aca="false">IF($AB452=Constants!$B$7,IF(AA452,R452*IF(W452, 1, Constants!$B$11)*IF(X452, 1, Constants!$B$12),Constants!$B$13),"")</f>
        <v/>
      </c>
      <c r="AI452" s="66" t="str">
        <f aca="false">IF($AB452=Constants!$B$7,AG452*AH452,"")</f>
        <v/>
      </c>
      <c r="AJ452" s="66" t="str">
        <f aca="false">IF($AB452=Constants!$B$7,IF(AI452&gt;AF452,2,1),"")</f>
        <v/>
      </c>
      <c r="AK452" s="66" t="str">
        <f aca="false">IF($AB452=Constants!$B$7,IF(AJ452=1,2,1),"")</f>
        <v/>
      </c>
      <c r="AL452" s="66" t="str">
        <f aca="false">IF(ISBLANK($C452),"",IF($AB452&lt;&gt;Constants!$B$7,$AB452,IF(AJ452=1,AF452,AI452)))</f>
        <v/>
      </c>
      <c r="AM452" s="66" t="str">
        <f aca="false">IF(ISBLANK($C452),"",IF($AB452=Constants!$B$7,IF(ISNUMBER(AL452),RANK(AL452,$AL$8:$AL$507),Constants!$B$14),$AB452))</f>
        <v/>
      </c>
      <c r="AN452" s="66" t="str">
        <f aca="false">IF(ISBLANK($C452),"",IF($AB452=Constants!$B$7,IF(AK452=1,AF452,AI452),""))</f>
        <v/>
      </c>
      <c r="AO452" s="66" t="str">
        <f aca="false">IF(ISBLANK($C452),"",IF($AB452=Constants!$B$7,RANK(AN452,$AN$8:$AN$507),$AB452))</f>
        <v/>
      </c>
      <c r="AP452" s="66" t="str">
        <f aca="false">IF(ISBLANK($C452),"",IF($AB452=Constants!$B$7,IF(ISNUMBER(AM452),COUNTIFS($AM$8:$AM$507,"&lt;"&amp;$AM452)+COUNTIFS($AM$8:$AM$507,$AM452,$AO$8:$AO$507,"&lt;"&amp;$AO452)+1,Constants!$B$14),$AB452))</f>
        <v/>
      </c>
      <c r="AQ452" s="66" t="str">
        <f aca="false">IF(ISBLANK($C452),"",IF($AB452=Constants!$B$7,IF(ISNUMBER(AM452),AM452-AP452,Constants!$B$14),$AB452))</f>
        <v/>
      </c>
      <c r="AR452" s="68"/>
      <c r="AS452" s="69" t="str">
        <f aca="false">IF(ISBLANK($C452),"",IF($AB452&lt;&gt;Constants!$B$7,"",AJ452))</f>
        <v/>
      </c>
      <c r="AT452" s="84" t="str">
        <f aca="false">IF(ISBLANK($C452),"",IF($AB452&lt;&gt;Constants!$B$7,"",IF(AJ452=1,AD452,AG452)))</f>
        <v/>
      </c>
      <c r="AU452" s="71" t="str">
        <f aca="false">IF(ISBLANK($C452),"",IF($AB452&lt;&gt;Constants!$B$7,"",IF(AJ452=1,AE452,AH452)))</f>
        <v/>
      </c>
      <c r="AV452" s="72" t="str">
        <f aca="false">IF(ISBLANK($C452),"",IF($AB452&lt;&gt;Constants!$B$7,$AB452,AL452))</f>
        <v/>
      </c>
      <c r="AW452" s="73" t="str">
        <f aca="false">IF(ISBLANK($C452),"",IF($AB452&lt;&gt;Constants!$B$7,$AB452,AC452))</f>
        <v/>
      </c>
      <c r="AX452" s="74" t="str">
        <f aca="false">IF(ISBLANK($C452),"",AQ452)</f>
        <v/>
      </c>
      <c r="AY452" s="74" t="str">
        <f aca="false">IF(ISBLANK($C452),"",AP452)</f>
        <v/>
      </c>
      <c r="AZ452" s="75" t="str">
        <f aca="false">IF(ISBLANK($C452),"",IF(AY452=Constants!$B$4,COUNTA($C$8:$C$507)+2,IF(AY452=Constants!$B$5,COUNTA($C$8:$C$507)+1,IF(AY452=Constants!$B$6,COUNTA($C$8:$C$507),AY452))))</f>
        <v/>
      </c>
      <c r="BA452" s="5"/>
      <c r="BB452" s="76" t="n">
        <f aca="false">IF(OR(ISNUMBER(AY452),AY452=Constants!$B$4,AY452=Constants!$B$6,AY452=Constants!$B$5),1,0)</f>
        <v>0</v>
      </c>
      <c r="BC452" s="76" t="n">
        <v>445</v>
      </c>
      <c r="BD452" s="76" t="str">
        <f aca="false">IF(ISBLANK($C452),"",IF(ISNUMBER(AZ452),AZ452+ROW($B452)/1000,""))</f>
        <v/>
      </c>
      <c r="BE452" s="76" t="str">
        <f aca="false">IF(ISNUMBER(BD452),RANK(BD452,$BD$8:$BD$507,1),"")</f>
        <v/>
      </c>
      <c r="BF452" s="76" t="str">
        <f aca="false">IF(ISBLANK($C452),"",$B452)</f>
        <v/>
      </c>
      <c r="BG452" s="76" t="str">
        <f aca="false">IF(ISBLANK($C452),"",$C452)</f>
        <v/>
      </c>
      <c r="BH452" s="76" t="str">
        <f aca="false">IF(ISBLANK($C452),"",$D452)</f>
        <v/>
      </c>
      <c r="BI452" s="77" t="str">
        <f aca="false">AW452</f>
        <v/>
      </c>
      <c r="BJ452" s="78" t="str">
        <f aca="false">AV452</f>
        <v/>
      </c>
      <c r="BK452" s="76" t="str">
        <f aca="false">IF(ISBLANK($C452),"",AY452)</f>
        <v/>
      </c>
      <c r="BL452" s="79" t="str">
        <f aca="false">IF($BC452&gt;$BB$7,"",VLOOKUP($BC452,$BE$8:$BK$507,7,FALSE()))</f>
        <v/>
      </c>
      <c r="BM452" s="80" t="str">
        <f aca="false">IF($BC452&gt;$BB$7,"",VLOOKUP($BC452,$BE$8:$BK$507,2,FALSE()))</f>
        <v/>
      </c>
      <c r="BN452" s="80" t="str">
        <f aca="false">IF($BC452&gt;$BB$7,"",VLOOKUP($BC452,$BE$8:$BK$507,3,FALSE()))</f>
        <v/>
      </c>
      <c r="BO452" s="80" t="str">
        <f aca="false">IF($BC452&gt;$BB$7,"",VLOOKUP($BC452,$BE$8:$BK$507,4,FALSE()))</f>
        <v/>
      </c>
      <c r="BP452" s="80" t="str">
        <f aca="false">IF($BC452&gt;$BB$7,"",VLOOKUP($BC452,$BE$8:$BK$507,5,FALSE()))</f>
        <v/>
      </c>
      <c r="BQ452" s="81" t="str">
        <f aca="false">IF($BC452&gt;$BB$7,"",VLOOKUP($BC452,$BE$8:$BK$507,6,FALSE()))</f>
        <v/>
      </c>
      <c r="BR452" s="54"/>
    </row>
    <row r="453" customFormat="false" ht="15.75" hidden="false" customHeight="false" outlineLevel="0" collapsed="false">
      <c r="A453" s="5"/>
      <c r="B453" s="124"/>
      <c r="C453" s="56"/>
      <c r="D453" s="57"/>
      <c r="E453" s="83"/>
      <c r="F453" s="59"/>
      <c r="G453" s="60"/>
      <c r="H453" s="61"/>
      <c r="I453" s="62"/>
      <c r="J453" s="59"/>
      <c r="K453" s="60"/>
      <c r="L453" s="61"/>
      <c r="M453" s="62"/>
      <c r="N453" s="59"/>
      <c r="O453" s="83"/>
      <c r="P453" s="64"/>
      <c r="Q453" s="66" t="str">
        <f aca="false">IF(ISBLANK($C453),"",IF(E453=Constants!$B$2, TRUE(), IF(E453=Constants!$B$3, FALSE(), TRUE())))</f>
        <v/>
      </c>
      <c r="R453" s="66" t="str">
        <f aca="false">IF(ISBLANK($C453),"",IF(F453=Constants!$B$16,Constants!$B$9,IF(F453=Constants!$B$17,Constants!$B$10,Constants!$B$8)))</f>
        <v/>
      </c>
      <c r="S453" s="66" t="str">
        <f aca="false">IF(ISBLANK($C453),"",IF(COUNTA(G453:H453)=0,"",IF(AND(OR(ISBLANK(G453),AND(ISNUMBER(G453),G453&gt;=0)),OR(ISBLANK(H453),AND(ISNUMBER(H453),H453&gt;=0))),60*IF(ISBLANK(G453),0,G453)+IF(ISBLANK(H453),0,H453),"")))</f>
        <v/>
      </c>
      <c r="T453" s="66" t="str">
        <f aca="false">IF(ISBLANK($C453),"",IF(I453=Constants!$B$2, TRUE(), IF(I453=Constants!$B$3, FALSE(), TRUE())))</f>
        <v/>
      </c>
      <c r="U453" s="66" t="str">
        <f aca="false">IF(ISBLANK($C453),"",IF(J453=Constants!$B$2, TRUE(), IF(J453=Constants!$B$3, FALSE(), TRUE())))</f>
        <v/>
      </c>
      <c r="V453" s="66" t="str">
        <f aca="false">IF(ISBLANK($C453),"",IF(COUNTA(K453:L453)=0,"",IF(AND(OR(ISBLANK(K453),AND(ISNUMBER(K453),K453&gt;=0)),OR(ISBLANK(L453),AND(ISNUMBER(L453),L453&gt;=0))),60*IF(ISBLANK(K453),0,K453)+IF(ISBLANK(L453),0,L453),"")))</f>
        <v/>
      </c>
      <c r="W453" s="66" t="str">
        <f aca="false">IF(ISBLANK($C453),"",IF(M453=Constants!$B$2, TRUE(), IF(M453=Constants!$B$3, FALSE(), TRUE())))</f>
        <v/>
      </c>
      <c r="X453" s="66" t="str">
        <f aca="false">IF(ISBLANK($C453),"",IF(N453=Constants!$B$2, TRUE(), IF(N453=Constants!$B$3, FALSE(), TRUE())))</f>
        <v/>
      </c>
      <c r="Y453" s="66" t="str">
        <f aca="false">IF(ISBLANK($C453),"",IF(O453=Constants!$B$2, TRUE(), IF(O453=Constants!$B$3, FALSE(), FALSE())))</f>
        <v/>
      </c>
      <c r="Z453" s="66" t="str">
        <f aca="false">IF(ISBLANK($C453),"",AND(S453&lt;&gt;"",Q453))</f>
        <v/>
      </c>
      <c r="AA453" s="66" t="str">
        <f aca="false">IF(ISBLANK($C453),"",AND(V453&lt;&gt;"",Q453))</f>
        <v/>
      </c>
      <c r="AB453" s="66" t="str">
        <f aca="false">IF(ISBLANK($C453),"",IF(Y453,Constants!$B$4,IF(COUNTA(E453:N453)=0,Constants!$B$5,IF(NOT(Q453),Constants!$B$6,IF(AND(NOT(Z453),NOT(AA453)),Constants!$B$6,Constants!$B$7)))))</f>
        <v/>
      </c>
      <c r="AC453" s="66" t="str">
        <f aca="false">IF(ISBLANK($C453),"",IF($AB453&lt;&gt;Constants!$B$7,$AB453,Constants!$B$20))</f>
        <v/>
      </c>
      <c r="AD453" s="66" t="str">
        <f aca="false">IF($AB453=Constants!$B$7,IF(Z453,S453,Constants!$B$13),"")</f>
        <v/>
      </c>
      <c r="AE453" s="66" t="str">
        <f aca="false">IF($AB453=Constants!$B$7,IF(Z453,R453*IF(T453, 1, Constants!$B$11)*IF(U453, 1, Constants!$B$12),Constants!$B$13),"")</f>
        <v/>
      </c>
      <c r="AF453" s="66" t="str">
        <f aca="false">IF($AB453=Constants!$B$7,AD453*AE453,"")</f>
        <v/>
      </c>
      <c r="AG453" s="66" t="str">
        <f aca="false">IF($AB453=Constants!$B$7,IF(AA453,V453,Constants!$B$13),"")</f>
        <v/>
      </c>
      <c r="AH453" s="66" t="str">
        <f aca="false">IF($AB453=Constants!$B$7,IF(AA453,R453*IF(W453, 1, Constants!$B$11)*IF(X453, 1, Constants!$B$12),Constants!$B$13),"")</f>
        <v/>
      </c>
      <c r="AI453" s="66" t="str">
        <f aca="false">IF($AB453=Constants!$B$7,AG453*AH453,"")</f>
        <v/>
      </c>
      <c r="AJ453" s="66" t="str">
        <f aca="false">IF($AB453=Constants!$B$7,IF(AI453&gt;AF453,2,1),"")</f>
        <v/>
      </c>
      <c r="AK453" s="66" t="str">
        <f aca="false">IF($AB453=Constants!$B$7,IF(AJ453=1,2,1),"")</f>
        <v/>
      </c>
      <c r="AL453" s="66" t="str">
        <f aca="false">IF(ISBLANK($C453),"",IF($AB453&lt;&gt;Constants!$B$7,$AB453,IF(AJ453=1,AF453,AI453)))</f>
        <v/>
      </c>
      <c r="AM453" s="66" t="str">
        <f aca="false">IF(ISBLANK($C453),"",IF($AB453=Constants!$B$7,IF(ISNUMBER(AL453),RANK(AL453,$AL$8:$AL$507),Constants!$B$14),$AB453))</f>
        <v/>
      </c>
      <c r="AN453" s="66" t="str">
        <f aca="false">IF(ISBLANK($C453),"",IF($AB453=Constants!$B$7,IF(AK453=1,AF453,AI453),""))</f>
        <v/>
      </c>
      <c r="AO453" s="66" t="str">
        <f aca="false">IF(ISBLANK($C453),"",IF($AB453=Constants!$B$7,RANK(AN453,$AN$8:$AN$507),$AB453))</f>
        <v/>
      </c>
      <c r="AP453" s="66" t="str">
        <f aca="false">IF(ISBLANK($C453),"",IF($AB453=Constants!$B$7,IF(ISNUMBER(AM453),COUNTIFS($AM$8:$AM$507,"&lt;"&amp;$AM453)+COUNTIFS($AM$8:$AM$507,$AM453,$AO$8:$AO$507,"&lt;"&amp;$AO453)+1,Constants!$B$14),$AB453))</f>
        <v/>
      </c>
      <c r="AQ453" s="66" t="str">
        <f aca="false">IF(ISBLANK($C453),"",IF($AB453=Constants!$B$7,IF(ISNUMBER(AM453),AM453-AP453,Constants!$B$14),$AB453))</f>
        <v/>
      </c>
      <c r="AR453" s="68"/>
      <c r="AS453" s="69" t="str">
        <f aca="false">IF(ISBLANK($C453),"",IF($AB453&lt;&gt;Constants!$B$7,"",AJ453))</f>
        <v/>
      </c>
      <c r="AT453" s="84" t="str">
        <f aca="false">IF(ISBLANK($C453),"",IF($AB453&lt;&gt;Constants!$B$7,"",IF(AJ453=1,AD453,AG453)))</f>
        <v/>
      </c>
      <c r="AU453" s="71" t="str">
        <f aca="false">IF(ISBLANK($C453),"",IF($AB453&lt;&gt;Constants!$B$7,"",IF(AJ453=1,AE453,AH453)))</f>
        <v/>
      </c>
      <c r="AV453" s="72" t="str">
        <f aca="false">IF(ISBLANK($C453),"",IF($AB453&lt;&gt;Constants!$B$7,$AB453,AL453))</f>
        <v/>
      </c>
      <c r="AW453" s="73" t="str">
        <f aca="false">IF(ISBLANK($C453),"",IF($AB453&lt;&gt;Constants!$B$7,$AB453,AC453))</f>
        <v/>
      </c>
      <c r="AX453" s="74" t="str">
        <f aca="false">IF(ISBLANK($C453),"",AQ453)</f>
        <v/>
      </c>
      <c r="AY453" s="74" t="str">
        <f aca="false">IF(ISBLANK($C453),"",AP453)</f>
        <v/>
      </c>
      <c r="AZ453" s="75" t="str">
        <f aca="false">IF(ISBLANK($C453),"",IF(AY453=Constants!$B$4,COUNTA($C$8:$C$507)+2,IF(AY453=Constants!$B$5,COUNTA($C$8:$C$507)+1,IF(AY453=Constants!$B$6,COUNTA($C$8:$C$507),AY453))))</f>
        <v/>
      </c>
      <c r="BA453" s="5"/>
      <c r="BB453" s="76" t="n">
        <f aca="false">IF(OR(ISNUMBER(AY453),AY453=Constants!$B$4,AY453=Constants!$B$6,AY453=Constants!$B$5),1,0)</f>
        <v>0</v>
      </c>
      <c r="BC453" s="76" t="n">
        <v>446</v>
      </c>
      <c r="BD453" s="76" t="str">
        <f aca="false">IF(ISBLANK($C453),"",IF(ISNUMBER(AZ453),AZ453+ROW($B453)/1000,""))</f>
        <v/>
      </c>
      <c r="BE453" s="76" t="str">
        <f aca="false">IF(ISNUMBER(BD453),RANK(BD453,$BD$8:$BD$507,1),"")</f>
        <v/>
      </c>
      <c r="BF453" s="76" t="str">
        <f aca="false">IF(ISBLANK($C453),"",$B453)</f>
        <v/>
      </c>
      <c r="BG453" s="76" t="str">
        <f aca="false">IF(ISBLANK($C453),"",$C453)</f>
        <v/>
      </c>
      <c r="BH453" s="76" t="str">
        <f aca="false">IF(ISBLANK($C453),"",$D453)</f>
        <v/>
      </c>
      <c r="BI453" s="77" t="str">
        <f aca="false">AW453</f>
        <v/>
      </c>
      <c r="BJ453" s="78" t="str">
        <f aca="false">AV453</f>
        <v/>
      </c>
      <c r="BK453" s="76" t="str">
        <f aca="false">IF(ISBLANK($C453),"",AY453)</f>
        <v/>
      </c>
      <c r="BL453" s="79" t="str">
        <f aca="false">IF($BC453&gt;$BB$7,"",VLOOKUP($BC453,$BE$8:$BK$507,7,FALSE()))</f>
        <v/>
      </c>
      <c r="BM453" s="80" t="str">
        <f aca="false">IF($BC453&gt;$BB$7,"",VLOOKUP($BC453,$BE$8:$BK$507,2,FALSE()))</f>
        <v/>
      </c>
      <c r="BN453" s="80" t="str">
        <f aca="false">IF($BC453&gt;$BB$7,"",VLOOKUP($BC453,$BE$8:$BK$507,3,FALSE()))</f>
        <v/>
      </c>
      <c r="BO453" s="80" t="str">
        <f aca="false">IF($BC453&gt;$BB$7,"",VLOOKUP($BC453,$BE$8:$BK$507,4,FALSE()))</f>
        <v/>
      </c>
      <c r="BP453" s="80" t="str">
        <f aca="false">IF($BC453&gt;$BB$7,"",VLOOKUP($BC453,$BE$8:$BK$507,5,FALSE()))</f>
        <v/>
      </c>
      <c r="BQ453" s="81" t="str">
        <f aca="false">IF($BC453&gt;$BB$7,"",VLOOKUP($BC453,$BE$8:$BK$507,6,FALSE()))</f>
        <v/>
      </c>
      <c r="BR453" s="54"/>
    </row>
    <row r="454" customFormat="false" ht="15.75" hidden="false" customHeight="false" outlineLevel="0" collapsed="false">
      <c r="A454" s="5"/>
      <c r="B454" s="124"/>
      <c r="C454" s="56"/>
      <c r="D454" s="57"/>
      <c r="E454" s="83"/>
      <c r="F454" s="59"/>
      <c r="G454" s="60"/>
      <c r="H454" s="61"/>
      <c r="I454" s="62"/>
      <c r="J454" s="59"/>
      <c r="K454" s="60"/>
      <c r="L454" s="61"/>
      <c r="M454" s="62"/>
      <c r="N454" s="59"/>
      <c r="O454" s="83"/>
      <c r="P454" s="64"/>
      <c r="Q454" s="66" t="str">
        <f aca="false">IF(ISBLANK($C454),"",IF(E454=Constants!$B$2, TRUE(), IF(E454=Constants!$B$3, FALSE(), TRUE())))</f>
        <v/>
      </c>
      <c r="R454" s="66" t="str">
        <f aca="false">IF(ISBLANK($C454),"",IF(F454=Constants!$B$16,Constants!$B$9,IF(F454=Constants!$B$17,Constants!$B$10,Constants!$B$8)))</f>
        <v/>
      </c>
      <c r="S454" s="66" t="str">
        <f aca="false">IF(ISBLANK($C454),"",IF(COUNTA(G454:H454)=0,"",IF(AND(OR(ISBLANK(G454),AND(ISNUMBER(G454),G454&gt;=0)),OR(ISBLANK(H454),AND(ISNUMBER(H454),H454&gt;=0))),60*IF(ISBLANK(G454),0,G454)+IF(ISBLANK(H454),0,H454),"")))</f>
        <v/>
      </c>
      <c r="T454" s="66" t="str">
        <f aca="false">IF(ISBLANK($C454),"",IF(I454=Constants!$B$2, TRUE(), IF(I454=Constants!$B$3, FALSE(), TRUE())))</f>
        <v/>
      </c>
      <c r="U454" s="66" t="str">
        <f aca="false">IF(ISBLANK($C454),"",IF(J454=Constants!$B$2, TRUE(), IF(J454=Constants!$B$3, FALSE(), TRUE())))</f>
        <v/>
      </c>
      <c r="V454" s="66" t="str">
        <f aca="false">IF(ISBLANK($C454),"",IF(COUNTA(K454:L454)=0,"",IF(AND(OR(ISBLANK(K454),AND(ISNUMBER(K454),K454&gt;=0)),OR(ISBLANK(L454),AND(ISNUMBER(L454),L454&gt;=0))),60*IF(ISBLANK(K454),0,K454)+IF(ISBLANK(L454),0,L454),"")))</f>
        <v/>
      </c>
      <c r="W454" s="66" t="str">
        <f aca="false">IF(ISBLANK($C454),"",IF(M454=Constants!$B$2, TRUE(), IF(M454=Constants!$B$3, FALSE(), TRUE())))</f>
        <v/>
      </c>
      <c r="X454" s="66" t="str">
        <f aca="false">IF(ISBLANK($C454),"",IF(N454=Constants!$B$2, TRUE(), IF(N454=Constants!$B$3, FALSE(), TRUE())))</f>
        <v/>
      </c>
      <c r="Y454" s="66" t="str">
        <f aca="false">IF(ISBLANK($C454),"",IF(O454=Constants!$B$2, TRUE(), IF(O454=Constants!$B$3, FALSE(), FALSE())))</f>
        <v/>
      </c>
      <c r="Z454" s="66" t="str">
        <f aca="false">IF(ISBLANK($C454),"",AND(S454&lt;&gt;"",Q454))</f>
        <v/>
      </c>
      <c r="AA454" s="66" t="str">
        <f aca="false">IF(ISBLANK($C454),"",AND(V454&lt;&gt;"",Q454))</f>
        <v/>
      </c>
      <c r="AB454" s="66" t="str">
        <f aca="false">IF(ISBLANK($C454),"",IF(Y454,Constants!$B$4,IF(COUNTA(E454:N454)=0,Constants!$B$5,IF(NOT(Q454),Constants!$B$6,IF(AND(NOT(Z454),NOT(AA454)),Constants!$B$6,Constants!$B$7)))))</f>
        <v/>
      </c>
      <c r="AC454" s="66" t="str">
        <f aca="false">IF(ISBLANK($C454),"",IF($AB454&lt;&gt;Constants!$B$7,$AB454,Constants!$B$20))</f>
        <v/>
      </c>
      <c r="AD454" s="66" t="str">
        <f aca="false">IF($AB454=Constants!$B$7,IF(Z454,S454,Constants!$B$13),"")</f>
        <v/>
      </c>
      <c r="AE454" s="66" t="str">
        <f aca="false">IF($AB454=Constants!$B$7,IF(Z454,R454*IF(T454, 1, Constants!$B$11)*IF(U454, 1, Constants!$B$12),Constants!$B$13),"")</f>
        <v/>
      </c>
      <c r="AF454" s="66" t="str">
        <f aca="false">IF($AB454=Constants!$B$7,AD454*AE454,"")</f>
        <v/>
      </c>
      <c r="AG454" s="66" t="str">
        <f aca="false">IF($AB454=Constants!$B$7,IF(AA454,V454,Constants!$B$13),"")</f>
        <v/>
      </c>
      <c r="AH454" s="66" t="str">
        <f aca="false">IF($AB454=Constants!$B$7,IF(AA454,R454*IF(W454, 1, Constants!$B$11)*IF(X454, 1, Constants!$B$12),Constants!$B$13),"")</f>
        <v/>
      </c>
      <c r="AI454" s="66" t="str">
        <f aca="false">IF($AB454=Constants!$B$7,AG454*AH454,"")</f>
        <v/>
      </c>
      <c r="AJ454" s="66" t="str">
        <f aca="false">IF($AB454=Constants!$B$7,IF(AI454&gt;AF454,2,1),"")</f>
        <v/>
      </c>
      <c r="AK454" s="66" t="str">
        <f aca="false">IF($AB454=Constants!$B$7,IF(AJ454=1,2,1),"")</f>
        <v/>
      </c>
      <c r="AL454" s="66" t="str">
        <f aca="false">IF(ISBLANK($C454),"",IF($AB454&lt;&gt;Constants!$B$7,$AB454,IF(AJ454=1,AF454,AI454)))</f>
        <v/>
      </c>
      <c r="AM454" s="66" t="str">
        <f aca="false">IF(ISBLANK($C454),"",IF($AB454=Constants!$B$7,IF(ISNUMBER(AL454),RANK(AL454,$AL$8:$AL$507),Constants!$B$14),$AB454))</f>
        <v/>
      </c>
      <c r="AN454" s="66" t="str">
        <f aca="false">IF(ISBLANK($C454),"",IF($AB454=Constants!$B$7,IF(AK454=1,AF454,AI454),""))</f>
        <v/>
      </c>
      <c r="AO454" s="66" t="str">
        <f aca="false">IF(ISBLANK($C454),"",IF($AB454=Constants!$B$7,RANK(AN454,$AN$8:$AN$507),$AB454))</f>
        <v/>
      </c>
      <c r="AP454" s="66" t="str">
        <f aca="false">IF(ISBLANK($C454),"",IF($AB454=Constants!$B$7,IF(ISNUMBER(AM454),COUNTIFS($AM$8:$AM$507,"&lt;"&amp;$AM454)+COUNTIFS($AM$8:$AM$507,$AM454,$AO$8:$AO$507,"&lt;"&amp;$AO454)+1,Constants!$B$14),$AB454))</f>
        <v/>
      </c>
      <c r="AQ454" s="66" t="str">
        <f aca="false">IF(ISBLANK($C454),"",IF($AB454=Constants!$B$7,IF(ISNUMBER(AM454),AM454-AP454,Constants!$B$14),$AB454))</f>
        <v/>
      </c>
      <c r="AR454" s="68"/>
      <c r="AS454" s="69" t="str">
        <f aca="false">IF(ISBLANK($C454),"",IF($AB454&lt;&gt;Constants!$B$7,"",AJ454))</f>
        <v/>
      </c>
      <c r="AT454" s="84" t="str">
        <f aca="false">IF(ISBLANK($C454),"",IF($AB454&lt;&gt;Constants!$B$7,"",IF(AJ454=1,AD454,AG454)))</f>
        <v/>
      </c>
      <c r="AU454" s="71" t="str">
        <f aca="false">IF(ISBLANK($C454),"",IF($AB454&lt;&gt;Constants!$B$7,"",IF(AJ454=1,AE454,AH454)))</f>
        <v/>
      </c>
      <c r="AV454" s="72" t="str">
        <f aca="false">IF(ISBLANK($C454),"",IF($AB454&lt;&gt;Constants!$B$7,$AB454,AL454))</f>
        <v/>
      </c>
      <c r="AW454" s="73" t="str">
        <f aca="false">IF(ISBLANK($C454),"",IF($AB454&lt;&gt;Constants!$B$7,$AB454,AC454))</f>
        <v/>
      </c>
      <c r="AX454" s="74" t="str">
        <f aca="false">IF(ISBLANK($C454),"",AQ454)</f>
        <v/>
      </c>
      <c r="AY454" s="74" t="str">
        <f aca="false">IF(ISBLANK($C454),"",AP454)</f>
        <v/>
      </c>
      <c r="AZ454" s="75" t="str">
        <f aca="false">IF(ISBLANK($C454),"",IF(AY454=Constants!$B$4,COUNTA($C$8:$C$507)+2,IF(AY454=Constants!$B$5,COUNTA($C$8:$C$507)+1,IF(AY454=Constants!$B$6,COUNTA($C$8:$C$507),AY454))))</f>
        <v/>
      </c>
      <c r="BA454" s="5"/>
      <c r="BB454" s="76" t="n">
        <f aca="false">IF(OR(ISNUMBER(AY454),AY454=Constants!$B$4,AY454=Constants!$B$6,AY454=Constants!$B$5),1,0)</f>
        <v>0</v>
      </c>
      <c r="BC454" s="76" t="n">
        <v>447</v>
      </c>
      <c r="BD454" s="76" t="str">
        <f aca="false">IF(ISBLANK($C454),"",IF(ISNUMBER(AZ454),AZ454+ROW($B454)/1000,""))</f>
        <v/>
      </c>
      <c r="BE454" s="76" t="str">
        <f aca="false">IF(ISNUMBER(BD454),RANK(BD454,$BD$8:$BD$507,1),"")</f>
        <v/>
      </c>
      <c r="BF454" s="76" t="str">
        <f aca="false">IF(ISBLANK($C454),"",$B454)</f>
        <v/>
      </c>
      <c r="BG454" s="76" t="str">
        <f aca="false">IF(ISBLANK($C454),"",$C454)</f>
        <v/>
      </c>
      <c r="BH454" s="76" t="str">
        <f aca="false">IF(ISBLANK($C454),"",$D454)</f>
        <v/>
      </c>
      <c r="BI454" s="77" t="str">
        <f aca="false">AW454</f>
        <v/>
      </c>
      <c r="BJ454" s="78" t="str">
        <f aca="false">AV454</f>
        <v/>
      </c>
      <c r="BK454" s="76" t="str">
        <f aca="false">IF(ISBLANK($C454),"",AY454)</f>
        <v/>
      </c>
      <c r="BL454" s="79" t="str">
        <f aca="false">IF($BC454&gt;$BB$7,"",VLOOKUP($BC454,$BE$8:$BK$507,7,FALSE()))</f>
        <v/>
      </c>
      <c r="BM454" s="80" t="str">
        <f aca="false">IF($BC454&gt;$BB$7,"",VLOOKUP($BC454,$BE$8:$BK$507,2,FALSE()))</f>
        <v/>
      </c>
      <c r="BN454" s="80" t="str">
        <f aca="false">IF($BC454&gt;$BB$7,"",VLOOKUP($BC454,$BE$8:$BK$507,3,FALSE()))</f>
        <v/>
      </c>
      <c r="BO454" s="80" t="str">
        <f aca="false">IF($BC454&gt;$BB$7,"",VLOOKUP($BC454,$BE$8:$BK$507,4,FALSE()))</f>
        <v/>
      </c>
      <c r="BP454" s="80" t="str">
        <f aca="false">IF($BC454&gt;$BB$7,"",VLOOKUP($BC454,$BE$8:$BK$507,5,FALSE()))</f>
        <v/>
      </c>
      <c r="BQ454" s="81" t="str">
        <f aca="false">IF($BC454&gt;$BB$7,"",VLOOKUP($BC454,$BE$8:$BK$507,6,FALSE()))</f>
        <v/>
      </c>
      <c r="BR454" s="54"/>
    </row>
    <row r="455" customFormat="false" ht="15.75" hidden="false" customHeight="false" outlineLevel="0" collapsed="false">
      <c r="A455" s="5"/>
      <c r="B455" s="120"/>
      <c r="C455" s="121"/>
      <c r="D455" s="112"/>
      <c r="E455" s="123"/>
      <c r="F455" s="91"/>
      <c r="G455" s="92"/>
      <c r="H455" s="93"/>
      <c r="I455" s="94"/>
      <c r="J455" s="91"/>
      <c r="K455" s="92"/>
      <c r="L455" s="93"/>
      <c r="M455" s="94"/>
      <c r="N455" s="91"/>
      <c r="O455" s="123"/>
      <c r="P455" s="96"/>
      <c r="Q455" s="97" t="str">
        <f aca="false">IF(ISBLANK($C455),"",IF(E455=Constants!$B$2, TRUE(), IF(E455=Constants!$B$3, FALSE(), TRUE())))</f>
        <v/>
      </c>
      <c r="R455" s="97" t="str">
        <f aca="false">IF(ISBLANK($C455),"",IF(F455=Constants!$B$16,Constants!$B$9,IF(F455=Constants!$B$17,Constants!$B$10,Constants!$B$8)))</f>
        <v/>
      </c>
      <c r="S455" s="97" t="str">
        <f aca="false">IF(ISBLANK($C455),"",IF(COUNTA(G455:H455)=0,"",IF(AND(OR(ISBLANK(G455),AND(ISNUMBER(G455),G455&gt;=0)),OR(ISBLANK(H455),AND(ISNUMBER(H455),H455&gt;=0))),60*IF(ISBLANK(G455),0,G455)+IF(ISBLANK(H455),0,H455),"")))</f>
        <v/>
      </c>
      <c r="T455" s="97" t="str">
        <f aca="false">IF(ISBLANK($C455),"",IF(I455=Constants!$B$2, TRUE(), IF(I455=Constants!$B$3, FALSE(), TRUE())))</f>
        <v/>
      </c>
      <c r="U455" s="97" t="str">
        <f aca="false">IF(ISBLANK($C455),"",IF(J455=Constants!$B$2, TRUE(), IF(J455=Constants!$B$3, FALSE(), TRUE())))</f>
        <v/>
      </c>
      <c r="V455" s="97" t="str">
        <f aca="false">IF(ISBLANK($C455),"",IF(COUNTA(K455:L455)=0,"",IF(AND(OR(ISBLANK(K455),AND(ISNUMBER(K455),K455&gt;=0)),OR(ISBLANK(L455),AND(ISNUMBER(L455),L455&gt;=0))),60*IF(ISBLANK(K455),0,K455)+IF(ISBLANK(L455),0,L455),"")))</f>
        <v/>
      </c>
      <c r="W455" s="97" t="str">
        <f aca="false">IF(ISBLANK($C455),"",IF(M455=Constants!$B$2, TRUE(), IF(M455=Constants!$B$3, FALSE(), TRUE())))</f>
        <v/>
      </c>
      <c r="X455" s="97" t="str">
        <f aca="false">IF(ISBLANK($C455),"",IF(N455=Constants!$B$2, TRUE(), IF(N455=Constants!$B$3, FALSE(), TRUE())))</f>
        <v/>
      </c>
      <c r="Y455" s="97" t="str">
        <f aca="false">IF(ISBLANK($C455),"",IF(O455=Constants!$B$2, TRUE(), IF(O455=Constants!$B$3, FALSE(), FALSE())))</f>
        <v/>
      </c>
      <c r="Z455" s="97" t="str">
        <f aca="false">IF(ISBLANK($C455),"",AND(S455&lt;&gt;"",Q455))</f>
        <v/>
      </c>
      <c r="AA455" s="97" t="str">
        <f aca="false">IF(ISBLANK($C455),"",AND(V455&lt;&gt;"",Q455))</f>
        <v/>
      </c>
      <c r="AB455" s="97" t="str">
        <f aca="false">IF(ISBLANK($C455),"",IF(Y455,Constants!$B$4,IF(COUNTA(E455:N455)=0,Constants!$B$5,IF(NOT(Q455),Constants!$B$6,IF(AND(NOT(Z455),NOT(AA455)),Constants!$B$6,Constants!$B$7)))))</f>
        <v/>
      </c>
      <c r="AC455" s="97" t="str">
        <f aca="false">IF(ISBLANK($C455),"",IF($AB455&lt;&gt;Constants!$B$7,$AB455,Constants!$B$20))</f>
        <v/>
      </c>
      <c r="AD455" s="97" t="str">
        <f aca="false">IF($AB455=Constants!$B$7,IF(Z455,S455,Constants!$B$13),"")</f>
        <v/>
      </c>
      <c r="AE455" s="97" t="str">
        <f aca="false">IF($AB455=Constants!$B$7,IF(Z455,R455*IF(T455, 1, Constants!$B$11)*IF(U455, 1, Constants!$B$12),Constants!$B$13),"")</f>
        <v/>
      </c>
      <c r="AF455" s="97" t="str">
        <f aca="false">IF($AB455=Constants!$B$7,AD455*AE455,"")</f>
        <v/>
      </c>
      <c r="AG455" s="97" t="str">
        <f aca="false">IF($AB455=Constants!$B$7,IF(AA455,V455,Constants!$B$13),"")</f>
        <v/>
      </c>
      <c r="AH455" s="97" t="str">
        <f aca="false">IF($AB455=Constants!$B$7,IF(AA455,R455*IF(W455, 1, Constants!$B$11)*IF(X455, 1, Constants!$B$12),Constants!$B$13),"")</f>
        <v/>
      </c>
      <c r="AI455" s="97" t="str">
        <f aca="false">IF($AB455=Constants!$B$7,AG455*AH455,"")</f>
        <v/>
      </c>
      <c r="AJ455" s="97" t="str">
        <f aca="false">IF($AB455=Constants!$B$7,IF(AI455&gt;AF455,2,1),"")</f>
        <v/>
      </c>
      <c r="AK455" s="97" t="str">
        <f aca="false">IF($AB455=Constants!$B$7,IF(AJ455=1,2,1),"")</f>
        <v/>
      </c>
      <c r="AL455" s="97" t="str">
        <f aca="false">IF(ISBLANK($C455),"",IF($AB455&lt;&gt;Constants!$B$7,$AB455,IF(AJ455=1,AF455,AI455)))</f>
        <v/>
      </c>
      <c r="AM455" s="97" t="str">
        <f aca="false">IF(ISBLANK($C455),"",IF($AB455=Constants!$B$7,IF(ISNUMBER(AL455),RANK(AL455,$AL$8:$AL$507),Constants!$B$14),$AB455))</f>
        <v/>
      </c>
      <c r="AN455" s="97" t="str">
        <f aca="false">IF(ISBLANK($C455),"",IF($AB455=Constants!$B$7,IF(AK455=1,AF455,AI455),""))</f>
        <v/>
      </c>
      <c r="AO455" s="97" t="str">
        <f aca="false">IF(ISBLANK($C455),"",IF($AB455=Constants!$B$7,RANK(AN455,$AN$8:$AN$507),$AB455))</f>
        <v/>
      </c>
      <c r="AP455" s="97" t="str">
        <f aca="false">IF(ISBLANK($C455),"",IF($AB455=Constants!$B$7,IF(ISNUMBER(AM455),COUNTIFS($AM$8:$AM$507,"&lt;"&amp;$AM455)+COUNTIFS($AM$8:$AM$507,$AM455,$AO$8:$AO$507,"&lt;"&amp;$AO455)+1,Constants!$B$14),$AB455))</f>
        <v/>
      </c>
      <c r="AQ455" s="97" t="str">
        <f aca="false">IF(ISBLANK($C455),"",IF($AB455=Constants!$B$7,IF(ISNUMBER(AM455),AM455-AP455,Constants!$B$14),$AB455))</f>
        <v/>
      </c>
      <c r="AR455" s="98"/>
      <c r="AS455" s="99" t="str">
        <f aca="false">IF(ISBLANK($C455),"",IF($AB455&lt;&gt;Constants!$B$7,"",AJ455))</f>
        <v/>
      </c>
      <c r="AT455" s="100" t="str">
        <f aca="false">IF(ISBLANK($C455),"",IF($AB455&lt;&gt;Constants!$B$7,"",IF(AJ455=1,AD455,AG455)))</f>
        <v/>
      </c>
      <c r="AU455" s="101" t="str">
        <f aca="false">IF(ISBLANK($C455),"",IF($AB455&lt;&gt;Constants!$B$7,"",IF(AJ455=1,AE455,AH455)))</f>
        <v/>
      </c>
      <c r="AV455" s="102" t="str">
        <f aca="false">IF(ISBLANK($C455),"",IF($AB455&lt;&gt;Constants!$B$7,$AB455,AL455))</f>
        <v/>
      </c>
      <c r="AW455" s="103" t="str">
        <f aca="false">IF(ISBLANK($C455),"",IF($AB455&lt;&gt;Constants!$B$7,$AB455,AC455))</f>
        <v/>
      </c>
      <c r="AX455" s="104" t="str">
        <f aca="false">IF(ISBLANK($C455),"",AQ455)</f>
        <v/>
      </c>
      <c r="AY455" s="104" t="str">
        <f aca="false">IF(ISBLANK($C455),"",AP455)</f>
        <v/>
      </c>
      <c r="AZ455" s="105" t="str">
        <f aca="false">IF(ISBLANK($C455),"",IF(AY455=Constants!$B$4,COUNTA($C$8:$C$507)+2,IF(AY455=Constants!$B$5,COUNTA($C$8:$C$507)+1,IF(AY455=Constants!$B$6,COUNTA($C$8:$C$507),AY455))))</f>
        <v/>
      </c>
      <c r="BA455" s="5"/>
      <c r="BB455" s="106" t="n">
        <f aca="false">IF(OR(ISNUMBER(AY455),AY455=Constants!$B$4,AY455=Constants!$B$6,AY455=Constants!$B$5),1,0)</f>
        <v>0</v>
      </c>
      <c r="BC455" s="106" t="n">
        <v>448</v>
      </c>
      <c r="BD455" s="106" t="str">
        <f aca="false">IF(ISBLANK($C455),"",IF(ISNUMBER(AZ455),AZ455+ROW($B455)/1000,""))</f>
        <v/>
      </c>
      <c r="BE455" s="106" t="str">
        <f aca="false">IF(ISNUMBER(BD455),RANK(BD455,$BD$8:$BD$507,1),"")</f>
        <v/>
      </c>
      <c r="BF455" s="106" t="str">
        <f aca="false">IF(ISBLANK($C455),"",$B455)</f>
        <v/>
      </c>
      <c r="BG455" s="106" t="str">
        <f aca="false">IF(ISBLANK($C455),"",$C455)</f>
        <v/>
      </c>
      <c r="BH455" s="106" t="str">
        <f aca="false">IF(ISBLANK($C455),"",$D455)</f>
        <v/>
      </c>
      <c r="BI455" s="107" t="str">
        <f aca="false">AW455</f>
        <v/>
      </c>
      <c r="BJ455" s="108" t="str">
        <f aca="false">AV455</f>
        <v/>
      </c>
      <c r="BK455" s="106" t="str">
        <f aca="false">IF(ISBLANK($C455),"",AY455)</f>
        <v/>
      </c>
      <c r="BL455" s="109" t="str">
        <f aca="false">IF($BC455&gt;$BB$7,"",VLOOKUP($BC455,$BE$8:$BK$507,7,FALSE()))</f>
        <v/>
      </c>
      <c r="BM455" s="110" t="str">
        <f aca="false">IF($BC455&gt;$BB$7,"",VLOOKUP($BC455,$BE$8:$BK$507,2,FALSE()))</f>
        <v/>
      </c>
      <c r="BN455" s="110" t="str">
        <f aca="false">IF($BC455&gt;$BB$7,"",VLOOKUP($BC455,$BE$8:$BK$507,3,FALSE()))</f>
        <v/>
      </c>
      <c r="BO455" s="110" t="str">
        <f aca="false">IF($BC455&gt;$BB$7,"",VLOOKUP($BC455,$BE$8:$BK$507,4,FALSE()))</f>
        <v/>
      </c>
      <c r="BP455" s="110" t="str">
        <f aca="false">IF($BC455&gt;$BB$7,"",VLOOKUP($BC455,$BE$8:$BK$507,5,FALSE()))</f>
        <v/>
      </c>
      <c r="BQ455" s="111" t="str">
        <f aca="false">IF($BC455&gt;$BB$7,"",VLOOKUP($BC455,$BE$8:$BK$507,6,FALSE()))</f>
        <v/>
      </c>
      <c r="BR455" s="54"/>
    </row>
    <row r="456" customFormat="false" ht="15.75" hidden="false" customHeight="false" outlineLevel="0" collapsed="false">
      <c r="A456" s="5"/>
      <c r="B456" s="120"/>
      <c r="C456" s="121"/>
      <c r="D456" s="112"/>
      <c r="E456" s="123"/>
      <c r="F456" s="91"/>
      <c r="G456" s="92"/>
      <c r="H456" s="93"/>
      <c r="I456" s="94"/>
      <c r="J456" s="91"/>
      <c r="K456" s="92"/>
      <c r="L456" s="93"/>
      <c r="M456" s="94"/>
      <c r="N456" s="91"/>
      <c r="O456" s="123"/>
      <c r="P456" s="96"/>
      <c r="Q456" s="97" t="str">
        <f aca="false">IF(ISBLANK($C456),"",IF(E456=Constants!$B$2, TRUE(), IF(E456=Constants!$B$3, FALSE(), TRUE())))</f>
        <v/>
      </c>
      <c r="R456" s="97" t="str">
        <f aca="false">IF(ISBLANK($C456),"",IF(F456=Constants!$B$16,Constants!$B$9,IF(F456=Constants!$B$17,Constants!$B$10,Constants!$B$8)))</f>
        <v/>
      </c>
      <c r="S456" s="97" t="str">
        <f aca="false">IF(ISBLANK($C456),"",IF(COUNTA(G456:H456)=0,"",IF(AND(OR(ISBLANK(G456),AND(ISNUMBER(G456),G456&gt;=0)),OR(ISBLANK(H456),AND(ISNUMBER(H456),H456&gt;=0))),60*IF(ISBLANK(G456),0,G456)+IF(ISBLANK(H456),0,H456),"")))</f>
        <v/>
      </c>
      <c r="T456" s="97" t="str">
        <f aca="false">IF(ISBLANK($C456),"",IF(I456=Constants!$B$2, TRUE(), IF(I456=Constants!$B$3, FALSE(), TRUE())))</f>
        <v/>
      </c>
      <c r="U456" s="97" t="str">
        <f aca="false">IF(ISBLANK($C456),"",IF(J456=Constants!$B$2, TRUE(), IF(J456=Constants!$B$3, FALSE(), TRUE())))</f>
        <v/>
      </c>
      <c r="V456" s="97" t="str">
        <f aca="false">IF(ISBLANK($C456),"",IF(COUNTA(K456:L456)=0,"",IF(AND(OR(ISBLANK(K456),AND(ISNUMBER(K456),K456&gt;=0)),OR(ISBLANK(L456),AND(ISNUMBER(L456),L456&gt;=0))),60*IF(ISBLANK(K456),0,K456)+IF(ISBLANK(L456),0,L456),"")))</f>
        <v/>
      </c>
      <c r="W456" s="97" t="str">
        <f aca="false">IF(ISBLANK($C456),"",IF(M456=Constants!$B$2, TRUE(), IF(M456=Constants!$B$3, FALSE(), TRUE())))</f>
        <v/>
      </c>
      <c r="X456" s="97" t="str">
        <f aca="false">IF(ISBLANK($C456),"",IF(N456=Constants!$B$2, TRUE(), IF(N456=Constants!$B$3, FALSE(), TRUE())))</f>
        <v/>
      </c>
      <c r="Y456" s="97" t="str">
        <f aca="false">IF(ISBLANK($C456),"",IF(O456=Constants!$B$2, TRUE(), IF(O456=Constants!$B$3, FALSE(), FALSE())))</f>
        <v/>
      </c>
      <c r="Z456" s="97" t="str">
        <f aca="false">IF(ISBLANK($C456),"",AND(S456&lt;&gt;"",Q456))</f>
        <v/>
      </c>
      <c r="AA456" s="97" t="str">
        <f aca="false">IF(ISBLANK($C456),"",AND(V456&lt;&gt;"",Q456))</f>
        <v/>
      </c>
      <c r="AB456" s="97" t="str">
        <f aca="false">IF(ISBLANK($C456),"",IF(Y456,Constants!$B$4,IF(COUNTA(E456:N456)=0,Constants!$B$5,IF(NOT(Q456),Constants!$B$6,IF(AND(NOT(Z456),NOT(AA456)),Constants!$B$6,Constants!$B$7)))))</f>
        <v/>
      </c>
      <c r="AC456" s="97" t="str">
        <f aca="false">IF(ISBLANK($C456),"",IF($AB456&lt;&gt;Constants!$B$7,$AB456,Constants!$B$20))</f>
        <v/>
      </c>
      <c r="AD456" s="97" t="str">
        <f aca="false">IF($AB456=Constants!$B$7,IF(Z456,S456,Constants!$B$13),"")</f>
        <v/>
      </c>
      <c r="AE456" s="97" t="str">
        <f aca="false">IF($AB456=Constants!$B$7,IF(Z456,R456*IF(T456, 1, Constants!$B$11)*IF(U456, 1, Constants!$B$12),Constants!$B$13),"")</f>
        <v/>
      </c>
      <c r="AF456" s="97" t="str">
        <f aca="false">IF($AB456=Constants!$B$7,AD456*AE456,"")</f>
        <v/>
      </c>
      <c r="AG456" s="97" t="str">
        <f aca="false">IF($AB456=Constants!$B$7,IF(AA456,V456,Constants!$B$13),"")</f>
        <v/>
      </c>
      <c r="AH456" s="97" t="str">
        <f aca="false">IF($AB456=Constants!$B$7,IF(AA456,R456*IF(W456, 1, Constants!$B$11)*IF(X456, 1, Constants!$B$12),Constants!$B$13),"")</f>
        <v/>
      </c>
      <c r="AI456" s="97" t="str">
        <f aca="false">IF($AB456=Constants!$B$7,AG456*AH456,"")</f>
        <v/>
      </c>
      <c r="AJ456" s="97" t="str">
        <f aca="false">IF($AB456=Constants!$B$7,IF(AI456&gt;AF456,2,1),"")</f>
        <v/>
      </c>
      <c r="AK456" s="97" t="str">
        <f aca="false">IF($AB456=Constants!$B$7,IF(AJ456=1,2,1),"")</f>
        <v/>
      </c>
      <c r="AL456" s="97" t="str">
        <f aca="false">IF(ISBLANK($C456),"",IF($AB456&lt;&gt;Constants!$B$7,$AB456,IF(AJ456=1,AF456,AI456)))</f>
        <v/>
      </c>
      <c r="AM456" s="97" t="str">
        <f aca="false">IF(ISBLANK($C456),"",IF($AB456=Constants!$B$7,IF(ISNUMBER(AL456),RANK(AL456,$AL$8:$AL$507),Constants!$B$14),$AB456))</f>
        <v/>
      </c>
      <c r="AN456" s="97" t="str">
        <f aca="false">IF(ISBLANK($C456),"",IF($AB456=Constants!$B$7,IF(AK456=1,AF456,AI456),""))</f>
        <v/>
      </c>
      <c r="AO456" s="97" t="str">
        <f aca="false">IF(ISBLANK($C456),"",IF($AB456=Constants!$B$7,RANK(AN456,$AN$8:$AN$507),$AB456))</f>
        <v/>
      </c>
      <c r="AP456" s="97" t="str">
        <f aca="false">IF(ISBLANK($C456),"",IF($AB456=Constants!$B$7,IF(ISNUMBER(AM456),COUNTIFS($AM$8:$AM$507,"&lt;"&amp;$AM456)+COUNTIFS($AM$8:$AM$507,$AM456,$AO$8:$AO$507,"&lt;"&amp;$AO456)+1,Constants!$B$14),$AB456))</f>
        <v/>
      </c>
      <c r="AQ456" s="97" t="str">
        <f aca="false">IF(ISBLANK($C456),"",IF($AB456=Constants!$B$7,IF(ISNUMBER(AM456),AM456-AP456,Constants!$B$14),$AB456))</f>
        <v/>
      </c>
      <c r="AR456" s="98"/>
      <c r="AS456" s="99" t="str">
        <f aca="false">IF(ISBLANK($C456),"",IF($AB456&lt;&gt;Constants!$B$7,"",AJ456))</f>
        <v/>
      </c>
      <c r="AT456" s="100" t="str">
        <f aca="false">IF(ISBLANK($C456),"",IF($AB456&lt;&gt;Constants!$B$7,"",IF(AJ456=1,AD456,AG456)))</f>
        <v/>
      </c>
      <c r="AU456" s="101" t="str">
        <f aca="false">IF(ISBLANK($C456),"",IF($AB456&lt;&gt;Constants!$B$7,"",IF(AJ456=1,AE456,AH456)))</f>
        <v/>
      </c>
      <c r="AV456" s="102" t="str">
        <f aca="false">IF(ISBLANK($C456),"",IF($AB456&lt;&gt;Constants!$B$7,$AB456,AL456))</f>
        <v/>
      </c>
      <c r="AW456" s="103" t="str">
        <f aca="false">IF(ISBLANK($C456),"",IF($AB456&lt;&gt;Constants!$B$7,$AB456,AC456))</f>
        <v/>
      </c>
      <c r="AX456" s="104" t="str">
        <f aca="false">IF(ISBLANK($C456),"",AQ456)</f>
        <v/>
      </c>
      <c r="AY456" s="104" t="str">
        <f aca="false">IF(ISBLANK($C456),"",AP456)</f>
        <v/>
      </c>
      <c r="AZ456" s="105" t="str">
        <f aca="false">IF(ISBLANK($C456),"",IF(AY456=Constants!$B$4,COUNTA($C$8:$C$507)+2,IF(AY456=Constants!$B$5,COUNTA($C$8:$C$507)+1,IF(AY456=Constants!$B$6,COUNTA($C$8:$C$507),AY456))))</f>
        <v/>
      </c>
      <c r="BA456" s="5"/>
      <c r="BB456" s="106" t="n">
        <f aca="false">IF(OR(ISNUMBER(AY456),AY456=Constants!$B$4,AY456=Constants!$B$6,AY456=Constants!$B$5),1,0)</f>
        <v>0</v>
      </c>
      <c r="BC456" s="106" t="n">
        <v>449</v>
      </c>
      <c r="BD456" s="106" t="str">
        <f aca="false">IF(ISBLANK($C456),"",IF(ISNUMBER(AZ456),AZ456+ROW($B456)/1000,""))</f>
        <v/>
      </c>
      <c r="BE456" s="106" t="str">
        <f aca="false">IF(ISNUMBER(BD456),RANK(BD456,$BD$8:$BD$507,1),"")</f>
        <v/>
      </c>
      <c r="BF456" s="106" t="str">
        <f aca="false">IF(ISBLANK($C456),"",$B456)</f>
        <v/>
      </c>
      <c r="BG456" s="106" t="str">
        <f aca="false">IF(ISBLANK($C456),"",$C456)</f>
        <v/>
      </c>
      <c r="BH456" s="106" t="str">
        <f aca="false">IF(ISBLANK($C456),"",$D456)</f>
        <v/>
      </c>
      <c r="BI456" s="107" t="str">
        <f aca="false">AW456</f>
        <v/>
      </c>
      <c r="BJ456" s="108" t="str">
        <f aca="false">AV456</f>
        <v/>
      </c>
      <c r="BK456" s="106" t="str">
        <f aca="false">IF(ISBLANK($C456),"",AY456)</f>
        <v/>
      </c>
      <c r="BL456" s="109" t="str">
        <f aca="false">IF($BC456&gt;$BB$7,"",VLOOKUP($BC456,$BE$8:$BK$507,7,FALSE()))</f>
        <v/>
      </c>
      <c r="BM456" s="110" t="str">
        <f aca="false">IF($BC456&gt;$BB$7,"",VLOOKUP($BC456,$BE$8:$BK$507,2,FALSE()))</f>
        <v/>
      </c>
      <c r="BN456" s="110" t="str">
        <f aca="false">IF($BC456&gt;$BB$7,"",VLOOKUP($BC456,$BE$8:$BK$507,3,FALSE()))</f>
        <v/>
      </c>
      <c r="BO456" s="110" t="str">
        <f aca="false">IF($BC456&gt;$BB$7,"",VLOOKUP($BC456,$BE$8:$BK$507,4,FALSE()))</f>
        <v/>
      </c>
      <c r="BP456" s="110" t="str">
        <f aca="false">IF($BC456&gt;$BB$7,"",VLOOKUP($BC456,$BE$8:$BK$507,5,FALSE()))</f>
        <v/>
      </c>
      <c r="BQ456" s="111" t="str">
        <f aca="false">IF($BC456&gt;$BB$7,"",VLOOKUP($BC456,$BE$8:$BK$507,6,FALSE()))</f>
        <v/>
      </c>
      <c r="BR456" s="54"/>
    </row>
    <row r="457" customFormat="false" ht="15.75" hidden="false" customHeight="false" outlineLevel="0" collapsed="false">
      <c r="A457" s="5"/>
      <c r="B457" s="120"/>
      <c r="C457" s="121"/>
      <c r="D457" s="112"/>
      <c r="E457" s="123"/>
      <c r="F457" s="91"/>
      <c r="G457" s="92"/>
      <c r="H457" s="93"/>
      <c r="I457" s="94"/>
      <c r="J457" s="91"/>
      <c r="K457" s="92"/>
      <c r="L457" s="93"/>
      <c r="M457" s="94"/>
      <c r="N457" s="91"/>
      <c r="O457" s="123"/>
      <c r="P457" s="96"/>
      <c r="Q457" s="97" t="str">
        <f aca="false">IF(ISBLANK($C457),"",IF(E457=Constants!$B$2, TRUE(), IF(E457=Constants!$B$3, FALSE(), TRUE())))</f>
        <v/>
      </c>
      <c r="R457" s="97" t="str">
        <f aca="false">IF(ISBLANK($C457),"",IF(F457=Constants!$B$16,Constants!$B$9,IF(F457=Constants!$B$17,Constants!$B$10,Constants!$B$8)))</f>
        <v/>
      </c>
      <c r="S457" s="97" t="str">
        <f aca="false">IF(ISBLANK($C457),"",IF(COUNTA(G457:H457)=0,"",IF(AND(OR(ISBLANK(G457),AND(ISNUMBER(G457),G457&gt;=0)),OR(ISBLANK(H457),AND(ISNUMBER(H457),H457&gt;=0))),60*IF(ISBLANK(G457),0,G457)+IF(ISBLANK(H457),0,H457),"")))</f>
        <v/>
      </c>
      <c r="T457" s="97" t="str">
        <f aca="false">IF(ISBLANK($C457),"",IF(I457=Constants!$B$2, TRUE(), IF(I457=Constants!$B$3, FALSE(), TRUE())))</f>
        <v/>
      </c>
      <c r="U457" s="97" t="str">
        <f aca="false">IF(ISBLANK($C457),"",IF(J457=Constants!$B$2, TRUE(), IF(J457=Constants!$B$3, FALSE(), TRUE())))</f>
        <v/>
      </c>
      <c r="V457" s="97" t="str">
        <f aca="false">IF(ISBLANK($C457),"",IF(COUNTA(K457:L457)=0,"",IF(AND(OR(ISBLANK(K457),AND(ISNUMBER(K457),K457&gt;=0)),OR(ISBLANK(L457),AND(ISNUMBER(L457),L457&gt;=0))),60*IF(ISBLANK(K457),0,K457)+IF(ISBLANK(L457),0,L457),"")))</f>
        <v/>
      </c>
      <c r="W457" s="97" t="str">
        <f aca="false">IF(ISBLANK($C457),"",IF(M457=Constants!$B$2, TRUE(), IF(M457=Constants!$B$3, FALSE(), TRUE())))</f>
        <v/>
      </c>
      <c r="X457" s="97" t="str">
        <f aca="false">IF(ISBLANK($C457),"",IF(N457=Constants!$B$2, TRUE(), IF(N457=Constants!$B$3, FALSE(), TRUE())))</f>
        <v/>
      </c>
      <c r="Y457" s="97" t="str">
        <f aca="false">IF(ISBLANK($C457),"",IF(O457=Constants!$B$2, TRUE(), IF(O457=Constants!$B$3, FALSE(), FALSE())))</f>
        <v/>
      </c>
      <c r="Z457" s="97" t="str">
        <f aca="false">IF(ISBLANK($C457),"",AND(S457&lt;&gt;"",Q457))</f>
        <v/>
      </c>
      <c r="AA457" s="97" t="str">
        <f aca="false">IF(ISBLANK($C457),"",AND(V457&lt;&gt;"",Q457))</f>
        <v/>
      </c>
      <c r="AB457" s="97" t="str">
        <f aca="false">IF(ISBLANK($C457),"",IF(Y457,Constants!$B$4,IF(COUNTA(E457:N457)=0,Constants!$B$5,IF(NOT(Q457),Constants!$B$6,IF(AND(NOT(Z457),NOT(AA457)),Constants!$B$6,Constants!$B$7)))))</f>
        <v/>
      </c>
      <c r="AC457" s="97" t="str">
        <f aca="false">IF(ISBLANK($C457),"",IF($AB457&lt;&gt;Constants!$B$7,$AB457,Constants!$B$20))</f>
        <v/>
      </c>
      <c r="AD457" s="97" t="str">
        <f aca="false">IF($AB457=Constants!$B$7,IF(Z457,S457,Constants!$B$13),"")</f>
        <v/>
      </c>
      <c r="AE457" s="97" t="str">
        <f aca="false">IF($AB457=Constants!$B$7,IF(Z457,R457*IF(T457, 1, Constants!$B$11)*IF(U457, 1, Constants!$B$12),Constants!$B$13),"")</f>
        <v/>
      </c>
      <c r="AF457" s="97" t="str">
        <f aca="false">IF($AB457=Constants!$B$7,AD457*AE457,"")</f>
        <v/>
      </c>
      <c r="AG457" s="97" t="str">
        <f aca="false">IF($AB457=Constants!$B$7,IF(AA457,V457,Constants!$B$13),"")</f>
        <v/>
      </c>
      <c r="AH457" s="97" t="str">
        <f aca="false">IF($AB457=Constants!$B$7,IF(AA457,R457*IF(W457, 1, Constants!$B$11)*IF(X457, 1, Constants!$B$12),Constants!$B$13),"")</f>
        <v/>
      </c>
      <c r="AI457" s="97" t="str">
        <f aca="false">IF($AB457=Constants!$B$7,AG457*AH457,"")</f>
        <v/>
      </c>
      <c r="AJ457" s="97" t="str">
        <f aca="false">IF($AB457=Constants!$B$7,IF(AI457&gt;AF457,2,1),"")</f>
        <v/>
      </c>
      <c r="AK457" s="97" t="str">
        <f aca="false">IF($AB457=Constants!$B$7,IF(AJ457=1,2,1),"")</f>
        <v/>
      </c>
      <c r="AL457" s="97" t="str">
        <f aca="false">IF(ISBLANK($C457),"",IF($AB457&lt;&gt;Constants!$B$7,$AB457,IF(AJ457=1,AF457,AI457)))</f>
        <v/>
      </c>
      <c r="AM457" s="97" t="str">
        <f aca="false">IF(ISBLANK($C457),"",IF($AB457=Constants!$B$7,IF(ISNUMBER(AL457),RANK(AL457,$AL$8:$AL$507),Constants!$B$14),$AB457))</f>
        <v/>
      </c>
      <c r="AN457" s="97" t="str">
        <f aca="false">IF(ISBLANK($C457),"",IF($AB457=Constants!$B$7,IF(AK457=1,AF457,AI457),""))</f>
        <v/>
      </c>
      <c r="AO457" s="97" t="str">
        <f aca="false">IF(ISBLANK($C457),"",IF($AB457=Constants!$B$7,RANK(AN457,$AN$8:$AN$507),$AB457))</f>
        <v/>
      </c>
      <c r="AP457" s="97" t="str">
        <f aca="false">IF(ISBLANK($C457),"",IF($AB457=Constants!$B$7,IF(ISNUMBER(AM457),COUNTIFS($AM$8:$AM$507,"&lt;"&amp;$AM457)+COUNTIFS($AM$8:$AM$507,$AM457,$AO$8:$AO$507,"&lt;"&amp;$AO457)+1,Constants!$B$14),$AB457))</f>
        <v/>
      </c>
      <c r="AQ457" s="97" t="str">
        <f aca="false">IF(ISBLANK($C457),"",IF($AB457=Constants!$B$7,IF(ISNUMBER(AM457),AM457-AP457,Constants!$B$14),$AB457))</f>
        <v/>
      </c>
      <c r="AR457" s="98"/>
      <c r="AS457" s="99" t="str">
        <f aca="false">IF(ISBLANK($C457),"",IF($AB457&lt;&gt;Constants!$B$7,"",AJ457))</f>
        <v/>
      </c>
      <c r="AT457" s="100" t="str">
        <f aca="false">IF(ISBLANK($C457),"",IF($AB457&lt;&gt;Constants!$B$7,"",IF(AJ457=1,AD457,AG457)))</f>
        <v/>
      </c>
      <c r="AU457" s="101" t="str">
        <f aca="false">IF(ISBLANK($C457),"",IF($AB457&lt;&gt;Constants!$B$7,"",IF(AJ457=1,AE457,AH457)))</f>
        <v/>
      </c>
      <c r="AV457" s="102" t="str">
        <f aca="false">IF(ISBLANK($C457),"",IF($AB457&lt;&gt;Constants!$B$7,$AB457,AL457))</f>
        <v/>
      </c>
      <c r="AW457" s="103" t="str">
        <f aca="false">IF(ISBLANK($C457),"",IF($AB457&lt;&gt;Constants!$B$7,$AB457,AC457))</f>
        <v/>
      </c>
      <c r="AX457" s="104" t="str">
        <f aca="false">IF(ISBLANK($C457),"",AQ457)</f>
        <v/>
      </c>
      <c r="AY457" s="104" t="str">
        <f aca="false">IF(ISBLANK($C457),"",AP457)</f>
        <v/>
      </c>
      <c r="AZ457" s="105" t="str">
        <f aca="false">IF(ISBLANK($C457),"",IF(AY457=Constants!$B$4,COUNTA($C$8:$C$507)+2,IF(AY457=Constants!$B$5,COUNTA($C$8:$C$507)+1,IF(AY457=Constants!$B$6,COUNTA($C$8:$C$507),AY457))))</f>
        <v/>
      </c>
      <c r="BA457" s="5"/>
      <c r="BB457" s="106" t="n">
        <f aca="false">IF(OR(ISNUMBER(AY457),AY457=Constants!$B$4,AY457=Constants!$B$6,AY457=Constants!$B$5),1,0)</f>
        <v>0</v>
      </c>
      <c r="BC457" s="106" t="n">
        <v>450</v>
      </c>
      <c r="BD457" s="106" t="str">
        <f aca="false">IF(ISBLANK($C457),"",IF(ISNUMBER(AZ457),AZ457+ROW($B457)/1000,""))</f>
        <v/>
      </c>
      <c r="BE457" s="106" t="str">
        <f aca="false">IF(ISNUMBER(BD457),RANK(BD457,$BD$8:$BD$507,1),"")</f>
        <v/>
      </c>
      <c r="BF457" s="106" t="str">
        <f aca="false">IF(ISBLANK($C457),"",$B457)</f>
        <v/>
      </c>
      <c r="BG457" s="106" t="str">
        <f aca="false">IF(ISBLANK($C457),"",$C457)</f>
        <v/>
      </c>
      <c r="BH457" s="106" t="str">
        <f aca="false">IF(ISBLANK($C457),"",$D457)</f>
        <v/>
      </c>
      <c r="BI457" s="107" t="str">
        <f aca="false">AW457</f>
        <v/>
      </c>
      <c r="BJ457" s="108" t="str">
        <f aca="false">AV457</f>
        <v/>
      </c>
      <c r="BK457" s="106" t="str">
        <f aca="false">IF(ISBLANK($C457),"",AY457)</f>
        <v/>
      </c>
      <c r="BL457" s="109" t="str">
        <f aca="false">IF($BC457&gt;$BB$7,"",VLOOKUP($BC457,$BE$8:$BK$507,7,FALSE()))</f>
        <v/>
      </c>
      <c r="BM457" s="110" t="str">
        <f aca="false">IF($BC457&gt;$BB$7,"",VLOOKUP($BC457,$BE$8:$BK$507,2,FALSE()))</f>
        <v/>
      </c>
      <c r="BN457" s="110" t="str">
        <f aca="false">IF($BC457&gt;$BB$7,"",VLOOKUP($BC457,$BE$8:$BK$507,3,FALSE()))</f>
        <v/>
      </c>
      <c r="BO457" s="110" t="str">
        <f aca="false">IF($BC457&gt;$BB$7,"",VLOOKUP($BC457,$BE$8:$BK$507,4,FALSE()))</f>
        <v/>
      </c>
      <c r="BP457" s="110" t="str">
        <f aca="false">IF($BC457&gt;$BB$7,"",VLOOKUP($BC457,$BE$8:$BK$507,5,FALSE()))</f>
        <v/>
      </c>
      <c r="BQ457" s="111" t="str">
        <f aca="false">IF($BC457&gt;$BB$7,"",VLOOKUP($BC457,$BE$8:$BK$507,6,FALSE()))</f>
        <v/>
      </c>
      <c r="BR457" s="54"/>
    </row>
    <row r="458" customFormat="false" ht="15.75" hidden="false" customHeight="false" outlineLevel="0" collapsed="false">
      <c r="A458" s="5"/>
      <c r="B458" s="124"/>
      <c r="C458" s="56"/>
      <c r="D458" s="57"/>
      <c r="E458" s="83"/>
      <c r="F458" s="59"/>
      <c r="G458" s="60"/>
      <c r="H458" s="61"/>
      <c r="I458" s="62"/>
      <c r="J458" s="59"/>
      <c r="K458" s="60"/>
      <c r="L458" s="61"/>
      <c r="M458" s="62"/>
      <c r="N458" s="59"/>
      <c r="O458" s="83"/>
      <c r="P458" s="64"/>
      <c r="Q458" s="66" t="str">
        <f aca="false">IF(ISBLANK($C458),"",IF(E458=Constants!$B$2, TRUE(), IF(E458=Constants!$B$3, FALSE(), TRUE())))</f>
        <v/>
      </c>
      <c r="R458" s="66" t="str">
        <f aca="false">IF(ISBLANK($C458),"",IF(F458=Constants!$B$16,Constants!$B$9,IF(F458=Constants!$B$17,Constants!$B$10,Constants!$B$8)))</f>
        <v/>
      </c>
      <c r="S458" s="66" t="str">
        <f aca="false">IF(ISBLANK($C458),"",IF(COUNTA(G458:H458)=0,"",IF(AND(OR(ISBLANK(G458),AND(ISNUMBER(G458),G458&gt;=0)),OR(ISBLANK(H458),AND(ISNUMBER(H458),H458&gt;=0))),60*IF(ISBLANK(G458),0,G458)+IF(ISBLANK(H458),0,H458),"")))</f>
        <v/>
      </c>
      <c r="T458" s="66" t="str">
        <f aca="false">IF(ISBLANK($C458),"",IF(I458=Constants!$B$2, TRUE(), IF(I458=Constants!$B$3, FALSE(), TRUE())))</f>
        <v/>
      </c>
      <c r="U458" s="66" t="str">
        <f aca="false">IF(ISBLANK($C458),"",IF(J458=Constants!$B$2, TRUE(), IF(J458=Constants!$B$3, FALSE(), TRUE())))</f>
        <v/>
      </c>
      <c r="V458" s="66" t="str">
        <f aca="false">IF(ISBLANK($C458),"",IF(COUNTA(K458:L458)=0,"",IF(AND(OR(ISBLANK(K458),AND(ISNUMBER(K458),K458&gt;=0)),OR(ISBLANK(L458),AND(ISNUMBER(L458),L458&gt;=0))),60*IF(ISBLANK(K458),0,K458)+IF(ISBLANK(L458),0,L458),"")))</f>
        <v/>
      </c>
      <c r="W458" s="66" t="str">
        <f aca="false">IF(ISBLANK($C458),"",IF(M458=Constants!$B$2, TRUE(), IF(M458=Constants!$B$3, FALSE(), TRUE())))</f>
        <v/>
      </c>
      <c r="X458" s="66" t="str">
        <f aca="false">IF(ISBLANK($C458),"",IF(N458=Constants!$B$2, TRUE(), IF(N458=Constants!$B$3, FALSE(), TRUE())))</f>
        <v/>
      </c>
      <c r="Y458" s="66" t="str">
        <f aca="false">IF(ISBLANK($C458),"",IF(O458=Constants!$B$2, TRUE(), IF(O458=Constants!$B$3, FALSE(), FALSE())))</f>
        <v/>
      </c>
      <c r="Z458" s="66" t="str">
        <f aca="false">IF(ISBLANK($C458),"",AND(S458&lt;&gt;"",Q458))</f>
        <v/>
      </c>
      <c r="AA458" s="66" t="str">
        <f aca="false">IF(ISBLANK($C458),"",AND(V458&lt;&gt;"",Q458))</f>
        <v/>
      </c>
      <c r="AB458" s="66" t="str">
        <f aca="false">IF(ISBLANK($C458),"",IF(Y458,Constants!$B$4,IF(COUNTA(E458:N458)=0,Constants!$B$5,IF(NOT(Q458),Constants!$B$6,IF(AND(NOT(Z458),NOT(AA458)),Constants!$B$6,Constants!$B$7)))))</f>
        <v/>
      </c>
      <c r="AC458" s="66" t="str">
        <f aca="false">IF(ISBLANK($C458),"",IF($AB458&lt;&gt;Constants!$B$7,$AB458,Constants!$B$20))</f>
        <v/>
      </c>
      <c r="AD458" s="66" t="str">
        <f aca="false">IF($AB458=Constants!$B$7,IF(Z458,S458,Constants!$B$13),"")</f>
        <v/>
      </c>
      <c r="AE458" s="66" t="str">
        <f aca="false">IF($AB458=Constants!$B$7,IF(Z458,R458*IF(T458, 1, Constants!$B$11)*IF(U458, 1, Constants!$B$12),Constants!$B$13),"")</f>
        <v/>
      </c>
      <c r="AF458" s="66" t="str">
        <f aca="false">IF($AB458=Constants!$B$7,AD458*AE458,"")</f>
        <v/>
      </c>
      <c r="AG458" s="66" t="str">
        <f aca="false">IF($AB458=Constants!$B$7,IF(AA458,V458,Constants!$B$13),"")</f>
        <v/>
      </c>
      <c r="AH458" s="66" t="str">
        <f aca="false">IF($AB458=Constants!$B$7,IF(AA458,R458*IF(W458, 1, Constants!$B$11)*IF(X458, 1, Constants!$B$12),Constants!$B$13),"")</f>
        <v/>
      </c>
      <c r="AI458" s="66" t="str">
        <f aca="false">IF($AB458=Constants!$B$7,AG458*AH458,"")</f>
        <v/>
      </c>
      <c r="AJ458" s="66" t="str">
        <f aca="false">IF($AB458=Constants!$B$7,IF(AI458&gt;AF458,2,1),"")</f>
        <v/>
      </c>
      <c r="AK458" s="66" t="str">
        <f aca="false">IF($AB458=Constants!$B$7,IF(AJ458=1,2,1),"")</f>
        <v/>
      </c>
      <c r="AL458" s="66" t="str">
        <f aca="false">IF(ISBLANK($C458),"",IF($AB458&lt;&gt;Constants!$B$7,$AB458,IF(AJ458=1,AF458,AI458)))</f>
        <v/>
      </c>
      <c r="AM458" s="66" t="str">
        <f aca="false">IF(ISBLANK($C458),"",IF($AB458=Constants!$B$7,IF(ISNUMBER(AL458),RANK(AL458,$AL$8:$AL$507),Constants!$B$14),$AB458))</f>
        <v/>
      </c>
      <c r="AN458" s="66" t="str">
        <f aca="false">IF(ISBLANK($C458),"",IF($AB458=Constants!$B$7,IF(AK458=1,AF458,AI458),""))</f>
        <v/>
      </c>
      <c r="AO458" s="66" t="str">
        <f aca="false">IF(ISBLANK($C458),"",IF($AB458=Constants!$B$7,RANK(AN458,$AN$8:$AN$507),$AB458))</f>
        <v/>
      </c>
      <c r="AP458" s="66" t="str">
        <f aca="false">IF(ISBLANK($C458),"",IF($AB458=Constants!$B$7,IF(ISNUMBER(AM458),COUNTIFS($AM$8:$AM$507,"&lt;"&amp;$AM458)+COUNTIFS($AM$8:$AM$507,$AM458,$AO$8:$AO$507,"&lt;"&amp;$AO458)+1,Constants!$B$14),$AB458))</f>
        <v/>
      </c>
      <c r="AQ458" s="66" t="str">
        <f aca="false">IF(ISBLANK($C458),"",IF($AB458=Constants!$B$7,IF(ISNUMBER(AM458),AM458-AP458,Constants!$B$14),$AB458))</f>
        <v/>
      </c>
      <c r="AR458" s="68"/>
      <c r="AS458" s="69" t="str">
        <f aca="false">IF(ISBLANK($C458),"",IF($AB458&lt;&gt;Constants!$B$7,"",AJ458))</f>
        <v/>
      </c>
      <c r="AT458" s="84" t="str">
        <f aca="false">IF(ISBLANK($C458),"",IF($AB458&lt;&gt;Constants!$B$7,"",IF(AJ458=1,AD458,AG458)))</f>
        <v/>
      </c>
      <c r="AU458" s="71" t="str">
        <f aca="false">IF(ISBLANK($C458),"",IF($AB458&lt;&gt;Constants!$B$7,"",IF(AJ458=1,AE458,AH458)))</f>
        <v/>
      </c>
      <c r="AV458" s="72" t="str">
        <f aca="false">IF(ISBLANK($C458),"",IF($AB458&lt;&gt;Constants!$B$7,$AB458,AL458))</f>
        <v/>
      </c>
      <c r="AW458" s="73" t="str">
        <f aca="false">IF(ISBLANK($C458),"",IF($AB458&lt;&gt;Constants!$B$7,$AB458,AC458))</f>
        <v/>
      </c>
      <c r="AX458" s="74" t="str">
        <f aca="false">IF(ISBLANK($C458),"",AQ458)</f>
        <v/>
      </c>
      <c r="AY458" s="74" t="str">
        <f aca="false">IF(ISBLANK($C458),"",AP458)</f>
        <v/>
      </c>
      <c r="AZ458" s="75" t="str">
        <f aca="false">IF(ISBLANK($C458),"",IF(AY458=Constants!$B$4,COUNTA($C$8:$C$507)+2,IF(AY458=Constants!$B$5,COUNTA($C$8:$C$507)+1,IF(AY458=Constants!$B$6,COUNTA($C$8:$C$507),AY458))))</f>
        <v/>
      </c>
      <c r="BA458" s="5"/>
      <c r="BB458" s="76" t="n">
        <f aca="false">IF(OR(ISNUMBER(AY458),AY458=Constants!$B$4,AY458=Constants!$B$6,AY458=Constants!$B$5),1,0)</f>
        <v>0</v>
      </c>
      <c r="BC458" s="76" t="n">
        <v>451</v>
      </c>
      <c r="BD458" s="76" t="str">
        <f aca="false">IF(ISBLANK($C458),"",IF(ISNUMBER(AZ458),AZ458+ROW($B458)/1000,""))</f>
        <v/>
      </c>
      <c r="BE458" s="76" t="str">
        <f aca="false">IF(ISNUMBER(BD458),RANK(BD458,$BD$8:$BD$507,1),"")</f>
        <v/>
      </c>
      <c r="BF458" s="76" t="str">
        <f aca="false">IF(ISBLANK($C458),"",$B458)</f>
        <v/>
      </c>
      <c r="BG458" s="76" t="str">
        <f aca="false">IF(ISBLANK($C458),"",$C458)</f>
        <v/>
      </c>
      <c r="BH458" s="76" t="str">
        <f aca="false">IF(ISBLANK($C458),"",$D458)</f>
        <v/>
      </c>
      <c r="BI458" s="77" t="str">
        <f aca="false">AW458</f>
        <v/>
      </c>
      <c r="BJ458" s="78" t="str">
        <f aca="false">AV458</f>
        <v/>
      </c>
      <c r="BK458" s="76" t="str">
        <f aca="false">IF(ISBLANK($C458),"",AY458)</f>
        <v/>
      </c>
      <c r="BL458" s="79" t="str">
        <f aca="false">IF($BC458&gt;$BB$7,"",VLOOKUP($BC458,$BE$8:$BK$507,7,FALSE()))</f>
        <v/>
      </c>
      <c r="BM458" s="80" t="str">
        <f aca="false">IF($BC458&gt;$BB$7,"",VLOOKUP($BC458,$BE$8:$BK$507,2,FALSE()))</f>
        <v/>
      </c>
      <c r="BN458" s="80" t="str">
        <f aca="false">IF($BC458&gt;$BB$7,"",VLOOKUP($BC458,$BE$8:$BK$507,3,FALSE()))</f>
        <v/>
      </c>
      <c r="BO458" s="80" t="str">
        <f aca="false">IF($BC458&gt;$BB$7,"",VLOOKUP($BC458,$BE$8:$BK$507,4,FALSE()))</f>
        <v/>
      </c>
      <c r="BP458" s="80" t="str">
        <f aca="false">IF($BC458&gt;$BB$7,"",VLOOKUP($BC458,$BE$8:$BK$507,5,FALSE()))</f>
        <v/>
      </c>
      <c r="BQ458" s="81" t="str">
        <f aca="false">IF($BC458&gt;$BB$7,"",VLOOKUP($BC458,$BE$8:$BK$507,6,FALSE()))</f>
        <v/>
      </c>
      <c r="BR458" s="54"/>
    </row>
    <row r="459" customFormat="false" ht="15.75" hidden="false" customHeight="false" outlineLevel="0" collapsed="false">
      <c r="A459" s="5"/>
      <c r="B459" s="124"/>
      <c r="C459" s="56"/>
      <c r="D459" s="57"/>
      <c r="E459" s="83"/>
      <c r="F459" s="59"/>
      <c r="G459" s="60"/>
      <c r="H459" s="61"/>
      <c r="I459" s="62"/>
      <c r="J459" s="59"/>
      <c r="K459" s="60"/>
      <c r="L459" s="61"/>
      <c r="M459" s="62"/>
      <c r="N459" s="59"/>
      <c r="O459" s="83"/>
      <c r="P459" s="64"/>
      <c r="Q459" s="66" t="str">
        <f aca="false">IF(ISBLANK($C459),"",IF(E459=Constants!$B$2, TRUE(), IF(E459=Constants!$B$3, FALSE(), TRUE())))</f>
        <v/>
      </c>
      <c r="R459" s="66" t="str">
        <f aca="false">IF(ISBLANK($C459),"",IF(F459=Constants!$B$16,Constants!$B$9,IF(F459=Constants!$B$17,Constants!$B$10,Constants!$B$8)))</f>
        <v/>
      </c>
      <c r="S459" s="66" t="str">
        <f aca="false">IF(ISBLANK($C459),"",IF(COUNTA(G459:H459)=0,"",IF(AND(OR(ISBLANK(G459),AND(ISNUMBER(G459),G459&gt;=0)),OR(ISBLANK(H459),AND(ISNUMBER(H459),H459&gt;=0))),60*IF(ISBLANK(G459),0,G459)+IF(ISBLANK(H459),0,H459),"")))</f>
        <v/>
      </c>
      <c r="T459" s="66" t="str">
        <f aca="false">IF(ISBLANK($C459),"",IF(I459=Constants!$B$2, TRUE(), IF(I459=Constants!$B$3, FALSE(), TRUE())))</f>
        <v/>
      </c>
      <c r="U459" s="66" t="str">
        <f aca="false">IF(ISBLANK($C459),"",IF(J459=Constants!$B$2, TRUE(), IF(J459=Constants!$B$3, FALSE(), TRUE())))</f>
        <v/>
      </c>
      <c r="V459" s="66" t="str">
        <f aca="false">IF(ISBLANK($C459),"",IF(COUNTA(K459:L459)=0,"",IF(AND(OR(ISBLANK(K459),AND(ISNUMBER(K459),K459&gt;=0)),OR(ISBLANK(L459),AND(ISNUMBER(L459),L459&gt;=0))),60*IF(ISBLANK(K459),0,K459)+IF(ISBLANK(L459),0,L459),"")))</f>
        <v/>
      </c>
      <c r="W459" s="66" t="str">
        <f aca="false">IF(ISBLANK($C459),"",IF(M459=Constants!$B$2, TRUE(), IF(M459=Constants!$B$3, FALSE(), TRUE())))</f>
        <v/>
      </c>
      <c r="X459" s="66" t="str">
        <f aca="false">IF(ISBLANK($C459),"",IF(N459=Constants!$B$2, TRUE(), IF(N459=Constants!$B$3, FALSE(), TRUE())))</f>
        <v/>
      </c>
      <c r="Y459" s="66" t="str">
        <f aca="false">IF(ISBLANK($C459),"",IF(O459=Constants!$B$2, TRUE(), IF(O459=Constants!$B$3, FALSE(), FALSE())))</f>
        <v/>
      </c>
      <c r="Z459" s="66" t="str">
        <f aca="false">IF(ISBLANK($C459),"",AND(S459&lt;&gt;"",Q459))</f>
        <v/>
      </c>
      <c r="AA459" s="66" t="str">
        <f aca="false">IF(ISBLANK($C459),"",AND(V459&lt;&gt;"",Q459))</f>
        <v/>
      </c>
      <c r="AB459" s="66" t="str">
        <f aca="false">IF(ISBLANK($C459),"",IF(Y459,Constants!$B$4,IF(COUNTA(E459:N459)=0,Constants!$B$5,IF(NOT(Q459),Constants!$B$6,IF(AND(NOT(Z459),NOT(AA459)),Constants!$B$6,Constants!$B$7)))))</f>
        <v/>
      </c>
      <c r="AC459" s="66" t="str">
        <f aca="false">IF(ISBLANK($C459),"",IF($AB459&lt;&gt;Constants!$B$7,$AB459,Constants!$B$20))</f>
        <v/>
      </c>
      <c r="AD459" s="66" t="str">
        <f aca="false">IF($AB459=Constants!$B$7,IF(Z459,S459,Constants!$B$13),"")</f>
        <v/>
      </c>
      <c r="AE459" s="66" t="str">
        <f aca="false">IF($AB459=Constants!$B$7,IF(Z459,R459*IF(T459, 1, Constants!$B$11)*IF(U459, 1, Constants!$B$12),Constants!$B$13),"")</f>
        <v/>
      </c>
      <c r="AF459" s="66" t="str">
        <f aca="false">IF($AB459=Constants!$B$7,AD459*AE459,"")</f>
        <v/>
      </c>
      <c r="AG459" s="66" t="str">
        <f aca="false">IF($AB459=Constants!$B$7,IF(AA459,V459,Constants!$B$13),"")</f>
        <v/>
      </c>
      <c r="AH459" s="66" t="str">
        <f aca="false">IF($AB459=Constants!$B$7,IF(AA459,R459*IF(W459, 1, Constants!$B$11)*IF(X459, 1, Constants!$B$12),Constants!$B$13),"")</f>
        <v/>
      </c>
      <c r="AI459" s="66" t="str">
        <f aca="false">IF($AB459=Constants!$B$7,AG459*AH459,"")</f>
        <v/>
      </c>
      <c r="AJ459" s="66" t="str">
        <f aca="false">IF($AB459=Constants!$B$7,IF(AI459&gt;AF459,2,1),"")</f>
        <v/>
      </c>
      <c r="AK459" s="66" t="str">
        <f aca="false">IF($AB459=Constants!$B$7,IF(AJ459=1,2,1),"")</f>
        <v/>
      </c>
      <c r="AL459" s="66" t="str">
        <f aca="false">IF(ISBLANK($C459),"",IF($AB459&lt;&gt;Constants!$B$7,$AB459,IF(AJ459=1,AF459,AI459)))</f>
        <v/>
      </c>
      <c r="AM459" s="66" t="str">
        <f aca="false">IF(ISBLANK($C459),"",IF($AB459=Constants!$B$7,IF(ISNUMBER(AL459),RANK(AL459,$AL$8:$AL$507),Constants!$B$14),$AB459))</f>
        <v/>
      </c>
      <c r="AN459" s="66" t="str">
        <f aca="false">IF(ISBLANK($C459),"",IF($AB459=Constants!$B$7,IF(AK459=1,AF459,AI459),""))</f>
        <v/>
      </c>
      <c r="AO459" s="66" t="str">
        <f aca="false">IF(ISBLANK($C459),"",IF($AB459=Constants!$B$7,RANK(AN459,$AN$8:$AN$507),$AB459))</f>
        <v/>
      </c>
      <c r="AP459" s="66" t="str">
        <f aca="false">IF(ISBLANK($C459),"",IF($AB459=Constants!$B$7,IF(ISNUMBER(AM459),COUNTIFS($AM$8:$AM$507,"&lt;"&amp;$AM459)+COUNTIFS($AM$8:$AM$507,$AM459,$AO$8:$AO$507,"&lt;"&amp;$AO459)+1,Constants!$B$14),$AB459))</f>
        <v/>
      </c>
      <c r="AQ459" s="66" t="str">
        <f aca="false">IF(ISBLANK($C459),"",IF($AB459=Constants!$B$7,IF(ISNUMBER(AM459),AM459-AP459,Constants!$B$14),$AB459))</f>
        <v/>
      </c>
      <c r="AR459" s="68"/>
      <c r="AS459" s="69" t="str">
        <f aca="false">IF(ISBLANK($C459),"",IF($AB459&lt;&gt;Constants!$B$7,"",AJ459))</f>
        <v/>
      </c>
      <c r="AT459" s="84" t="str">
        <f aca="false">IF(ISBLANK($C459),"",IF($AB459&lt;&gt;Constants!$B$7,"",IF(AJ459=1,AD459,AG459)))</f>
        <v/>
      </c>
      <c r="AU459" s="71" t="str">
        <f aca="false">IF(ISBLANK($C459),"",IF($AB459&lt;&gt;Constants!$B$7,"",IF(AJ459=1,AE459,AH459)))</f>
        <v/>
      </c>
      <c r="AV459" s="72" t="str">
        <f aca="false">IF(ISBLANK($C459),"",IF($AB459&lt;&gt;Constants!$B$7,$AB459,AL459))</f>
        <v/>
      </c>
      <c r="AW459" s="73" t="str">
        <f aca="false">IF(ISBLANK($C459),"",IF($AB459&lt;&gt;Constants!$B$7,$AB459,AC459))</f>
        <v/>
      </c>
      <c r="AX459" s="74" t="str">
        <f aca="false">IF(ISBLANK($C459),"",AQ459)</f>
        <v/>
      </c>
      <c r="AY459" s="74" t="str">
        <f aca="false">IF(ISBLANK($C459),"",AP459)</f>
        <v/>
      </c>
      <c r="AZ459" s="75" t="str">
        <f aca="false">IF(ISBLANK($C459),"",IF(AY459=Constants!$B$4,COUNTA($C$8:$C$507)+2,IF(AY459=Constants!$B$5,COUNTA($C$8:$C$507)+1,IF(AY459=Constants!$B$6,COUNTA($C$8:$C$507),AY459))))</f>
        <v/>
      </c>
      <c r="BA459" s="5"/>
      <c r="BB459" s="76" t="n">
        <f aca="false">IF(OR(ISNUMBER(AY459),AY459=Constants!$B$4,AY459=Constants!$B$6,AY459=Constants!$B$5),1,0)</f>
        <v>0</v>
      </c>
      <c r="BC459" s="76" t="n">
        <v>452</v>
      </c>
      <c r="BD459" s="76" t="str">
        <f aca="false">IF(ISBLANK($C459),"",IF(ISNUMBER(AZ459),AZ459+ROW($B459)/1000,""))</f>
        <v/>
      </c>
      <c r="BE459" s="76" t="str">
        <f aca="false">IF(ISNUMBER(BD459),RANK(BD459,$BD$8:$BD$507,1),"")</f>
        <v/>
      </c>
      <c r="BF459" s="76" t="str">
        <f aca="false">IF(ISBLANK($C459),"",$B459)</f>
        <v/>
      </c>
      <c r="BG459" s="76" t="str">
        <f aca="false">IF(ISBLANK($C459),"",$C459)</f>
        <v/>
      </c>
      <c r="BH459" s="76" t="str">
        <f aca="false">IF(ISBLANK($C459),"",$D459)</f>
        <v/>
      </c>
      <c r="BI459" s="77" t="str">
        <f aca="false">AW459</f>
        <v/>
      </c>
      <c r="BJ459" s="78" t="str">
        <f aca="false">AV459</f>
        <v/>
      </c>
      <c r="BK459" s="76" t="str">
        <f aca="false">IF(ISBLANK($C459),"",AY459)</f>
        <v/>
      </c>
      <c r="BL459" s="79" t="str">
        <f aca="false">IF($BC459&gt;$BB$7,"",VLOOKUP($BC459,$BE$8:$BK$507,7,FALSE()))</f>
        <v/>
      </c>
      <c r="BM459" s="80" t="str">
        <f aca="false">IF($BC459&gt;$BB$7,"",VLOOKUP($BC459,$BE$8:$BK$507,2,FALSE()))</f>
        <v/>
      </c>
      <c r="BN459" s="80" t="str">
        <f aca="false">IF($BC459&gt;$BB$7,"",VLOOKUP($BC459,$BE$8:$BK$507,3,FALSE()))</f>
        <v/>
      </c>
      <c r="BO459" s="80" t="str">
        <f aca="false">IF($BC459&gt;$BB$7,"",VLOOKUP($BC459,$BE$8:$BK$507,4,FALSE()))</f>
        <v/>
      </c>
      <c r="BP459" s="80" t="str">
        <f aca="false">IF($BC459&gt;$BB$7,"",VLOOKUP($BC459,$BE$8:$BK$507,5,FALSE()))</f>
        <v/>
      </c>
      <c r="BQ459" s="81" t="str">
        <f aca="false">IF($BC459&gt;$BB$7,"",VLOOKUP($BC459,$BE$8:$BK$507,6,FALSE()))</f>
        <v/>
      </c>
      <c r="BR459" s="54"/>
    </row>
    <row r="460" customFormat="false" ht="15.75" hidden="false" customHeight="false" outlineLevel="0" collapsed="false">
      <c r="A460" s="5"/>
      <c r="B460" s="124"/>
      <c r="C460" s="56"/>
      <c r="D460" s="57"/>
      <c r="E460" s="83"/>
      <c r="F460" s="59"/>
      <c r="G460" s="60"/>
      <c r="H460" s="61"/>
      <c r="I460" s="62"/>
      <c r="J460" s="59"/>
      <c r="K460" s="60"/>
      <c r="L460" s="61"/>
      <c r="M460" s="62"/>
      <c r="N460" s="59"/>
      <c r="O460" s="83"/>
      <c r="P460" s="64"/>
      <c r="Q460" s="66" t="str">
        <f aca="false">IF(ISBLANK($C460),"",IF(E460=Constants!$B$2, TRUE(), IF(E460=Constants!$B$3, FALSE(), TRUE())))</f>
        <v/>
      </c>
      <c r="R460" s="66" t="str">
        <f aca="false">IF(ISBLANK($C460),"",IF(F460=Constants!$B$16,Constants!$B$9,IF(F460=Constants!$B$17,Constants!$B$10,Constants!$B$8)))</f>
        <v/>
      </c>
      <c r="S460" s="66" t="str">
        <f aca="false">IF(ISBLANK($C460),"",IF(COUNTA(G460:H460)=0,"",IF(AND(OR(ISBLANK(G460),AND(ISNUMBER(G460),G460&gt;=0)),OR(ISBLANK(H460),AND(ISNUMBER(H460),H460&gt;=0))),60*IF(ISBLANK(G460),0,G460)+IF(ISBLANK(H460),0,H460),"")))</f>
        <v/>
      </c>
      <c r="T460" s="66" t="str">
        <f aca="false">IF(ISBLANK($C460),"",IF(I460=Constants!$B$2, TRUE(), IF(I460=Constants!$B$3, FALSE(), TRUE())))</f>
        <v/>
      </c>
      <c r="U460" s="66" t="str">
        <f aca="false">IF(ISBLANK($C460),"",IF(J460=Constants!$B$2, TRUE(), IF(J460=Constants!$B$3, FALSE(), TRUE())))</f>
        <v/>
      </c>
      <c r="V460" s="66" t="str">
        <f aca="false">IF(ISBLANK($C460),"",IF(COUNTA(K460:L460)=0,"",IF(AND(OR(ISBLANK(K460),AND(ISNUMBER(K460),K460&gt;=0)),OR(ISBLANK(L460),AND(ISNUMBER(L460),L460&gt;=0))),60*IF(ISBLANK(K460),0,K460)+IF(ISBLANK(L460),0,L460),"")))</f>
        <v/>
      </c>
      <c r="W460" s="66" t="str">
        <f aca="false">IF(ISBLANK($C460),"",IF(M460=Constants!$B$2, TRUE(), IF(M460=Constants!$B$3, FALSE(), TRUE())))</f>
        <v/>
      </c>
      <c r="X460" s="66" t="str">
        <f aca="false">IF(ISBLANK($C460),"",IF(N460=Constants!$B$2, TRUE(), IF(N460=Constants!$B$3, FALSE(), TRUE())))</f>
        <v/>
      </c>
      <c r="Y460" s="66" t="str">
        <f aca="false">IF(ISBLANK($C460),"",IF(O460=Constants!$B$2, TRUE(), IF(O460=Constants!$B$3, FALSE(), FALSE())))</f>
        <v/>
      </c>
      <c r="Z460" s="66" t="str">
        <f aca="false">IF(ISBLANK($C460),"",AND(S460&lt;&gt;"",Q460))</f>
        <v/>
      </c>
      <c r="AA460" s="66" t="str">
        <f aca="false">IF(ISBLANK($C460),"",AND(V460&lt;&gt;"",Q460))</f>
        <v/>
      </c>
      <c r="AB460" s="66" t="str">
        <f aca="false">IF(ISBLANK($C460),"",IF(Y460,Constants!$B$4,IF(COUNTA(E460:N460)=0,Constants!$B$5,IF(NOT(Q460),Constants!$B$6,IF(AND(NOT(Z460),NOT(AA460)),Constants!$B$6,Constants!$B$7)))))</f>
        <v/>
      </c>
      <c r="AC460" s="66" t="str">
        <f aca="false">IF(ISBLANK($C460),"",IF($AB460&lt;&gt;Constants!$B$7,$AB460,Constants!$B$20))</f>
        <v/>
      </c>
      <c r="AD460" s="66" t="str">
        <f aca="false">IF($AB460=Constants!$B$7,IF(Z460,S460,Constants!$B$13),"")</f>
        <v/>
      </c>
      <c r="AE460" s="66" t="str">
        <f aca="false">IF($AB460=Constants!$B$7,IF(Z460,R460*IF(T460, 1, Constants!$B$11)*IF(U460, 1, Constants!$B$12),Constants!$B$13),"")</f>
        <v/>
      </c>
      <c r="AF460" s="66" t="str">
        <f aca="false">IF($AB460=Constants!$B$7,AD460*AE460,"")</f>
        <v/>
      </c>
      <c r="AG460" s="66" t="str">
        <f aca="false">IF($AB460=Constants!$B$7,IF(AA460,V460,Constants!$B$13),"")</f>
        <v/>
      </c>
      <c r="AH460" s="66" t="str">
        <f aca="false">IF($AB460=Constants!$B$7,IF(AA460,R460*IF(W460, 1, Constants!$B$11)*IF(X460, 1, Constants!$B$12),Constants!$B$13),"")</f>
        <v/>
      </c>
      <c r="AI460" s="66" t="str">
        <f aca="false">IF($AB460=Constants!$B$7,AG460*AH460,"")</f>
        <v/>
      </c>
      <c r="AJ460" s="66" t="str">
        <f aca="false">IF($AB460=Constants!$B$7,IF(AI460&gt;AF460,2,1),"")</f>
        <v/>
      </c>
      <c r="AK460" s="66" t="str">
        <f aca="false">IF($AB460=Constants!$B$7,IF(AJ460=1,2,1),"")</f>
        <v/>
      </c>
      <c r="AL460" s="66" t="str">
        <f aca="false">IF(ISBLANK($C460),"",IF($AB460&lt;&gt;Constants!$B$7,$AB460,IF(AJ460=1,AF460,AI460)))</f>
        <v/>
      </c>
      <c r="AM460" s="66" t="str">
        <f aca="false">IF(ISBLANK($C460),"",IF($AB460=Constants!$B$7,IF(ISNUMBER(AL460),RANK(AL460,$AL$8:$AL$507),Constants!$B$14),$AB460))</f>
        <v/>
      </c>
      <c r="AN460" s="66" t="str">
        <f aca="false">IF(ISBLANK($C460),"",IF($AB460=Constants!$B$7,IF(AK460=1,AF460,AI460),""))</f>
        <v/>
      </c>
      <c r="AO460" s="66" t="str">
        <f aca="false">IF(ISBLANK($C460),"",IF($AB460=Constants!$B$7,RANK(AN460,$AN$8:$AN$507),$AB460))</f>
        <v/>
      </c>
      <c r="AP460" s="66" t="str">
        <f aca="false">IF(ISBLANK($C460),"",IF($AB460=Constants!$B$7,IF(ISNUMBER(AM460),COUNTIFS($AM$8:$AM$507,"&lt;"&amp;$AM460)+COUNTIFS($AM$8:$AM$507,$AM460,$AO$8:$AO$507,"&lt;"&amp;$AO460)+1,Constants!$B$14),$AB460))</f>
        <v/>
      </c>
      <c r="AQ460" s="66" t="str">
        <f aca="false">IF(ISBLANK($C460),"",IF($AB460=Constants!$B$7,IF(ISNUMBER(AM460),AM460-AP460,Constants!$B$14),$AB460))</f>
        <v/>
      </c>
      <c r="AR460" s="68"/>
      <c r="AS460" s="69" t="str">
        <f aca="false">IF(ISBLANK($C460),"",IF($AB460&lt;&gt;Constants!$B$7,"",AJ460))</f>
        <v/>
      </c>
      <c r="AT460" s="84" t="str">
        <f aca="false">IF(ISBLANK($C460),"",IF($AB460&lt;&gt;Constants!$B$7,"",IF(AJ460=1,AD460,AG460)))</f>
        <v/>
      </c>
      <c r="AU460" s="71" t="str">
        <f aca="false">IF(ISBLANK($C460),"",IF($AB460&lt;&gt;Constants!$B$7,"",IF(AJ460=1,AE460,AH460)))</f>
        <v/>
      </c>
      <c r="AV460" s="72" t="str">
        <f aca="false">IF(ISBLANK($C460),"",IF($AB460&lt;&gt;Constants!$B$7,$AB460,AL460))</f>
        <v/>
      </c>
      <c r="AW460" s="73" t="str">
        <f aca="false">IF(ISBLANK($C460),"",IF($AB460&lt;&gt;Constants!$B$7,$AB460,AC460))</f>
        <v/>
      </c>
      <c r="AX460" s="74" t="str">
        <f aca="false">IF(ISBLANK($C460),"",AQ460)</f>
        <v/>
      </c>
      <c r="AY460" s="74" t="str">
        <f aca="false">IF(ISBLANK($C460),"",AP460)</f>
        <v/>
      </c>
      <c r="AZ460" s="75" t="str">
        <f aca="false">IF(ISBLANK($C460),"",IF(AY460=Constants!$B$4,COUNTA($C$8:$C$507)+2,IF(AY460=Constants!$B$5,COUNTA($C$8:$C$507)+1,IF(AY460=Constants!$B$6,COUNTA($C$8:$C$507),AY460))))</f>
        <v/>
      </c>
      <c r="BA460" s="5"/>
      <c r="BB460" s="76" t="n">
        <f aca="false">IF(OR(ISNUMBER(AY460),AY460=Constants!$B$4,AY460=Constants!$B$6,AY460=Constants!$B$5),1,0)</f>
        <v>0</v>
      </c>
      <c r="BC460" s="76" t="n">
        <v>453</v>
      </c>
      <c r="BD460" s="76" t="str">
        <f aca="false">IF(ISBLANK($C460),"",IF(ISNUMBER(AZ460),AZ460+ROW($B460)/1000,""))</f>
        <v/>
      </c>
      <c r="BE460" s="76" t="str">
        <f aca="false">IF(ISNUMBER(BD460),RANK(BD460,$BD$8:$BD$507,1),"")</f>
        <v/>
      </c>
      <c r="BF460" s="76" t="str">
        <f aca="false">IF(ISBLANK($C460),"",$B460)</f>
        <v/>
      </c>
      <c r="BG460" s="76" t="str">
        <f aca="false">IF(ISBLANK($C460),"",$C460)</f>
        <v/>
      </c>
      <c r="BH460" s="76" t="str">
        <f aca="false">IF(ISBLANK($C460),"",$D460)</f>
        <v/>
      </c>
      <c r="BI460" s="77" t="str">
        <f aca="false">AW460</f>
        <v/>
      </c>
      <c r="BJ460" s="78" t="str">
        <f aca="false">AV460</f>
        <v/>
      </c>
      <c r="BK460" s="76" t="str">
        <f aca="false">IF(ISBLANK($C460),"",AY460)</f>
        <v/>
      </c>
      <c r="BL460" s="79" t="str">
        <f aca="false">IF($BC460&gt;$BB$7,"",VLOOKUP($BC460,$BE$8:$BK$507,7,FALSE()))</f>
        <v/>
      </c>
      <c r="BM460" s="80" t="str">
        <f aca="false">IF($BC460&gt;$BB$7,"",VLOOKUP($BC460,$BE$8:$BK$507,2,FALSE()))</f>
        <v/>
      </c>
      <c r="BN460" s="80" t="str">
        <f aca="false">IF($BC460&gt;$BB$7,"",VLOOKUP($BC460,$BE$8:$BK$507,3,FALSE()))</f>
        <v/>
      </c>
      <c r="BO460" s="80" t="str">
        <f aca="false">IF($BC460&gt;$BB$7,"",VLOOKUP($BC460,$BE$8:$BK$507,4,FALSE()))</f>
        <v/>
      </c>
      <c r="BP460" s="80" t="str">
        <f aca="false">IF($BC460&gt;$BB$7,"",VLOOKUP($BC460,$BE$8:$BK$507,5,FALSE()))</f>
        <v/>
      </c>
      <c r="BQ460" s="81" t="str">
        <f aca="false">IF($BC460&gt;$BB$7,"",VLOOKUP($BC460,$BE$8:$BK$507,6,FALSE()))</f>
        <v/>
      </c>
      <c r="BR460" s="54"/>
    </row>
    <row r="461" customFormat="false" ht="15.75" hidden="false" customHeight="false" outlineLevel="0" collapsed="false">
      <c r="A461" s="5"/>
      <c r="B461" s="120"/>
      <c r="C461" s="121"/>
      <c r="D461" s="112"/>
      <c r="E461" s="123"/>
      <c r="F461" s="91"/>
      <c r="G461" s="92"/>
      <c r="H461" s="93"/>
      <c r="I461" s="94"/>
      <c r="J461" s="91"/>
      <c r="K461" s="92"/>
      <c r="L461" s="93"/>
      <c r="M461" s="94"/>
      <c r="N461" s="91"/>
      <c r="O461" s="123"/>
      <c r="P461" s="96"/>
      <c r="Q461" s="97" t="str">
        <f aca="false">IF(ISBLANK($C461),"",IF(E461=Constants!$B$2, TRUE(), IF(E461=Constants!$B$3, FALSE(), TRUE())))</f>
        <v/>
      </c>
      <c r="R461" s="97" t="str">
        <f aca="false">IF(ISBLANK($C461),"",IF(F461=Constants!$B$16,Constants!$B$9,IF(F461=Constants!$B$17,Constants!$B$10,Constants!$B$8)))</f>
        <v/>
      </c>
      <c r="S461" s="97" t="str">
        <f aca="false">IF(ISBLANK($C461),"",IF(COUNTA(G461:H461)=0,"",IF(AND(OR(ISBLANK(G461),AND(ISNUMBER(G461),G461&gt;=0)),OR(ISBLANK(H461),AND(ISNUMBER(H461),H461&gt;=0))),60*IF(ISBLANK(G461),0,G461)+IF(ISBLANK(H461),0,H461),"")))</f>
        <v/>
      </c>
      <c r="T461" s="97" t="str">
        <f aca="false">IF(ISBLANK($C461),"",IF(I461=Constants!$B$2, TRUE(), IF(I461=Constants!$B$3, FALSE(), TRUE())))</f>
        <v/>
      </c>
      <c r="U461" s="97" t="str">
        <f aca="false">IF(ISBLANK($C461),"",IF(J461=Constants!$B$2, TRUE(), IF(J461=Constants!$B$3, FALSE(), TRUE())))</f>
        <v/>
      </c>
      <c r="V461" s="97" t="str">
        <f aca="false">IF(ISBLANK($C461),"",IF(COUNTA(K461:L461)=0,"",IF(AND(OR(ISBLANK(K461),AND(ISNUMBER(K461),K461&gt;=0)),OR(ISBLANK(L461),AND(ISNUMBER(L461),L461&gt;=0))),60*IF(ISBLANK(K461),0,K461)+IF(ISBLANK(L461),0,L461),"")))</f>
        <v/>
      </c>
      <c r="W461" s="97" t="str">
        <f aca="false">IF(ISBLANK($C461),"",IF(M461=Constants!$B$2, TRUE(), IF(M461=Constants!$B$3, FALSE(), TRUE())))</f>
        <v/>
      </c>
      <c r="X461" s="97" t="str">
        <f aca="false">IF(ISBLANK($C461),"",IF(N461=Constants!$B$2, TRUE(), IF(N461=Constants!$B$3, FALSE(), TRUE())))</f>
        <v/>
      </c>
      <c r="Y461" s="97" t="str">
        <f aca="false">IF(ISBLANK($C461),"",IF(O461=Constants!$B$2, TRUE(), IF(O461=Constants!$B$3, FALSE(), FALSE())))</f>
        <v/>
      </c>
      <c r="Z461" s="97" t="str">
        <f aca="false">IF(ISBLANK($C461),"",AND(S461&lt;&gt;"",Q461))</f>
        <v/>
      </c>
      <c r="AA461" s="97" t="str">
        <f aca="false">IF(ISBLANK($C461),"",AND(V461&lt;&gt;"",Q461))</f>
        <v/>
      </c>
      <c r="AB461" s="97" t="str">
        <f aca="false">IF(ISBLANK($C461),"",IF(Y461,Constants!$B$4,IF(COUNTA(E461:N461)=0,Constants!$B$5,IF(NOT(Q461),Constants!$B$6,IF(AND(NOT(Z461),NOT(AA461)),Constants!$B$6,Constants!$B$7)))))</f>
        <v/>
      </c>
      <c r="AC461" s="97" t="str">
        <f aca="false">IF(ISBLANK($C461),"",IF($AB461&lt;&gt;Constants!$B$7,$AB461,Constants!$B$20))</f>
        <v/>
      </c>
      <c r="AD461" s="97" t="str">
        <f aca="false">IF($AB461=Constants!$B$7,IF(Z461,S461,Constants!$B$13),"")</f>
        <v/>
      </c>
      <c r="AE461" s="97" t="str">
        <f aca="false">IF($AB461=Constants!$B$7,IF(Z461,R461*IF(T461, 1, Constants!$B$11)*IF(U461, 1, Constants!$B$12),Constants!$B$13),"")</f>
        <v/>
      </c>
      <c r="AF461" s="97" t="str">
        <f aca="false">IF($AB461=Constants!$B$7,AD461*AE461,"")</f>
        <v/>
      </c>
      <c r="AG461" s="97" t="str">
        <f aca="false">IF($AB461=Constants!$B$7,IF(AA461,V461,Constants!$B$13),"")</f>
        <v/>
      </c>
      <c r="AH461" s="97" t="str">
        <f aca="false">IF($AB461=Constants!$B$7,IF(AA461,R461*IF(W461, 1, Constants!$B$11)*IF(X461, 1, Constants!$B$12),Constants!$B$13),"")</f>
        <v/>
      </c>
      <c r="AI461" s="97" t="str">
        <f aca="false">IF($AB461=Constants!$B$7,AG461*AH461,"")</f>
        <v/>
      </c>
      <c r="AJ461" s="97" t="str">
        <f aca="false">IF($AB461=Constants!$B$7,IF(AI461&gt;AF461,2,1),"")</f>
        <v/>
      </c>
      <c r="AK461" s="97" t="str">
        <f aca="false">IF($AB461=Constants!$B$7,IF(AJ461=1,2,1),"")</f>
        <v/>
      </c>
      <c r="AL461" s="97" t="str">
        <f aca="false">IF(ISBLANK($C461),"",IF($AB461&lt;&gt;Constants!$B$7,$AB461,IF(AJ461=1,AF461,AI461)))</f>
        <v/>
      </c>
      <c r="AM461" s="97" t="str">
        <f aca="false">IF(ISBLANK($C461),"",IF($AB461=Constants!$B$7,IF(ISNUMBER(AL461),RANK(AL461,$AL$8:$AL$507),Constants!$B$14),$AB461))</f>
        <v/>
      </c>
      <c r="AN461" s="97" t="str">
        <f aca="false">IF(ISBLANK($C461),"",IF($AB461=Constants!$B$7,IF(AK461=1,AF461,AI461),""))</f>
        <v/>
      </c>
      <c r="AO461" s="97" t="str">
        <f aca="false">IF(ISBLANK($C461),"",IF($AB461=Constants!$B$7,RANK(AN461,$AN$8:$AN$507),$AB461))</f>
        <v/>
      </c>
      <c r="AP461" s="97" t="str">
        <f aca="false">IF(ISBLANK($C461),"",IF($AB461=Constants!$B$7,IF(ISNUMBER(AM461),COUNTIFS($AM$8:$AM$507,"&lt;"&amp;$AM461)+COUNTIFS($AM$8:$AM$507,$AM461,$AO$8:$AO$507,"&lt;"&amp;$AO461)+1,Constants!$B$14),$AB461))</f>
        <v/>
      </c>
      <c r="AQ461" s="97" t="str">
        <f aca="false">IF(ISBLANK($C461),"",IF($AB461=Constants!$B$7,IF(ISNUMBER(AM461),AM461-AP461,Constants!$B$14),$AB461))</f>
        <v/>
      </c>
      <c r="AR461" s="98"/>
      <c r="AS461" s="99" t="str">
        <f aca="false">IF(ISBLANK($C461),"",IF($AB461&lt;&gt;Constants!$B$7,"",AJ461))</f>
        <v/>
      </c>
      <c r="AT461" s="100" t="str">
        <f aca="false">IF(ISBLANK($C461),"",IF($AB461&lt;&gt;Constants!$B$7,"",IF(AJ461=1,AD461,AG461)))</f>
        <v/>
      </c>
      <c r="AU461" s="101" t="str">
        <f aca="false">IF(ISBLANK($C461),"",IF($AB461&lt;&gt;Constants!$B$7,"",IF(AJ461=1,AE461,AH461)))</f>
        <v/>
      </c>
      <c r="AV461" s="102" t="str">
        <f aca="false">IF(ISBLANK($C461),"",IF($AB461&lt;&gt;Constants!$B$7,$AB461,AL461))</f>
        <v/>
      </c>
      <c r="AW461" s="103" t="str">
        <f aca="false">IF(ISBLANK($C461),"",IF($AB461&lt;&gt;Constants!$B$7,$AB461,AC461))</f>
        <v/>
      </c>
      <c r="AX461" s="104" t="str">
        <f aca="false">IF(ISBLANK($C461),"",AQ461)</f>
        <v/>
      </c>
      <c r="AY461" s="104" t="str">
        <f aca="false">IF(ISBLANK($C461),"",AP461)</f>
        <v/>
      </c>
      <c r="AZ461" s="105" t="str">
        <f aca="false">IF(ISBLANK($C461),"",IF(AY461=Constants!$B$4,COUNTA($C$8:$C$507)+2,IF(AY461=Constants!$B$5,COUNTA($C$8:$C$507)+1,IF(AY461=Constants!$B$6,COUNTA($C$8:$C$507),AY461))))</f>
        <v/>
      </c>
      <c r="BA461" s="5"/>
      <c r="BB461" s="106" t="n">
        <f aca="false">IF(OR(ISNUMBER(AY461),AY461=Constants!$B$4,AY461=Constants!$B$6,AY461=Constants!$B$5),1,0)</f>
        <v>0</v>
      </c>
      <c r="BC461" s="106" t="n">
        <v>454</v>
      </c>
      <c r="BD461" s="106" t="str">
        <f aca="false">IF(ISBLANK($C461),"",IF(ISNUMBER(AZ461),AZ461+ROW($B461)/1000,""))</f>
        <v/>
      </c>
      <c r="BE461" s="106" t="str">
        <f aca="false">IF(ISNUMBER(BD461),RANK(BD461,$BD$8:$BD$507,1),"")</f>
        <v/>
      </c>
      <c r="BF461" s="106" t="str">
        <f aca="false">IF(ISBLANK($C461),"",$B461)</f>
        <v/>
      </c>
      <c r="BG461" s="106" t="str">
        <f aca="false">IF(ISBLANK($C461),"",$C461)</f>
        <v/>
      </c>
      <c r="BH461" s="106" t="str">
        <f aca="false">IF(ISBLANK($C461),"",$D461)</f>
        <v/>
      </c>
      <c r="BI461" s="107" t="str">
        <f aca="false">AW461</f>
        <v/>
      </c>
      <c r="BJ461" s="108" t="str">
        <f aca="false">AV461</f>
        <v/>
      </c>
      <c r="BK461" s="106" t="str">
        <f aca="false">IF(ISBLANK($C461),"",AY461)</f>
        <v/>
      </c>
      <c r="BL461" s="109" t="str">
        <f aca="false">IF($BC461&gt;$BB$7,"",VLOOKUP($BC461,$BE$8:$BK$507,7,FALSE()))</f>
        <v/>
      </c>
      <c r="BM461" s="110" t="str">
        <f aca="false">IF($BC461&gt;$BB$7,"",VLOOKUP($BC461,$BE$8:$BK$507,2,FALSE()))</f>
        <v/>
      </c>
      <c r="BN461" s="110" t="str">
        <f aca="false">IF($BC461&gt;$BB$7,"",VLOOKUP($BC461,$BE$8:$BK$507,3,FALSE()))</f>
        <v/>
      </c>
      <c r="BO461" s="110" t="str">
        <f aca="false">IF($BC461&gt;$BB$7,"",VLOOKUP($BC461,$BE$8:$BK$507,4,FALSE()))</f>
        <v/>
      </c>
      <c r="BP461" s="110" t="str">
        <f aca="false">IF($BC461&gt;$BB$7,"",VLOOKUP($BC461,$BE$8:$BK$507,5,FALSE()))</f>
        <v/>
      </c>
      <c r="BQ461" s="111" t="str">
        <f aca="false">IF($BC461&gt;$BB$7,"",VLOOKUP($BC461,$BE$8:$BK$507,6,FALSE()))</f>
        <v/>
      </c>
      <c r="BR461" s="54"/>
    </row>
    <row r="462" customFormat="false" ht="15.75" hidden="false" customHeight="false" outlineLevel="0" collapsed="false">
      <c r="A462" s="5"/>
      <c r="B462" s="120"/>
      <c r="C462" s="121"/>
      <c r="D462" s="112"/>
      <c r="E462" s="123"/>
      <c r="F462" s="91"/>
      <c r="G462" s="92"/>
      <c r="H462" s="93"/>
      <c r="I462" s="94"/>
      <c r="J462" s="91"/>
      <c r="K462" s="92"/>
      <c r="L462" s="93"/>
      <c r="M462" s="94"/>
      <c r="N462" s="91"/>
      <c r="O462" s="123"/>
      <c r="P462" s="96"/>
      <c r="Q462" s="97" t="str">
        <f aca="false">IF(ISBLANK($C462),"",IF(E462=Constants!$B$2, TRUE(), IF(E462=Constants!$B$3, FALSE(), TRUE())))</f>
        <v/>
      </c>
      <c r="R462" s="97" t="str">
        <f aca="false">IF(ISBLANK($C462),"",IF(F462=Constants!$B$16,Constants!$B$9,IF(F462=Constants!$B$17,Constants!$B$10,Constants!$B$8)))</f>
        <v/>
      </c>
      <c r="S462" s="97" t="str">
        <f aca="false">IF(ISBLANK($C462),"",IF(COUNTA(G462:H462)=0,"",IF(AND(OR(ISBLANK(G462),AND(ISNUMBER(G462),G462&gt;=0)),OR(ISBLANK(H462),AND(ISNUMBER(H462),H462&gt;=0))),60*IF(ISBLANK(G462),0,G462)+IF(ISBLANK(H462),0,H462),"")))</f>
        <v/>
      </c>
      <c r="T462" s="97" t="str">
        <f aca="false">IF(ISBLANK($C462),"",IF(I462=Constants!$B$2, TRUE(), IF(I462=Constants!$B$3, FALSE(), TRUE())))</f>
        <v/>
      </c>
      <c r="U462" s="97" t="str">
        <f aca="false">IF(ISBLANK($C462),"",IF(J462=Constants!$B$2, TRUE(), IF(J462=Constants!$B$3, FALSE(), TRUE())))</f>
        <v/>
      </c>
      <c r="V462" s="97" t="str">
        <f aca="false">IF(ISBLANK($C462),"",IF(COUNTA(K462:L462)=0,"",IF(AND(OR(ISBLANK(K462),AND(ISNUMBER(K462),K462&gt;=0)),OR(ISBLANK(L462),AND(ISNUMBER(L462),L462&gt;=0))),60*IF(ISBLANK(K462),0,K462)+IF(ISBLANK(L462),0,L462),"")))</f>
        <v/>
      </c>
      <c r="W462" s="97" t="str">
        <f aca="false">IF(ISBLANK($C462),"",IF(M462=Constants!$B$2, TRUE(), IF(M462=Constants!$B$3, FALSE(), TRUE())))</f>
        <v/>
      </c>
      <c r="X462" s="97" t="str">
        <f aca="false">IF(ISBLANK($C462),"",IF(N462=Constants!$B$2, TRUE(), IF(N462=Constants!$B$3, FALSE(), TRUE())))</f>
        <v/>
      </c>
      <c r="Y462" s="97" t="str">
        <f aca="false">IF(ISBLANK($C462),"",IF(O462=Constants!$B$2, TRUE(), IF(O462=Constants!$B$3, FALSE(), FALSE())))</f>
        <v/>
      </c>
      <c r="Z462" s="97" t="str">
        <f aca="false">IF(ISBLANK($C462),"",AND(S462&lt;&gt;"",Q462))</f>
        <v/>
      </c>
      <c r="AA462" s="97" t="str">
        <f aca="false">IF(ISBLANK($C462),"",AND(V462&lt;&gt;"",Q462))</f>
        <v/>
      </c>
      <c r="AB462" s="97" t="str">
        <f aca="false">IF(ISBLANK($C462),"",IF(Y462,Constants!$B$4,IF(COUNTA(E462:N462)=0,Constants!$B$5,IF(NOT(Q462),Constants!$B$6,IF(AND(NOT(Z462),NOT(AA462)),Constants!$B$6,Constants!$B$7)))))</f>
        <v/>
      </c>
      <c r="AC462" s="97" t="str">
        <f aca="false">IF(ISBLANK($C462),"",IF($AB462&lt;&gt;Constants!$B$7,$AB462,Constants!$B$20))</f>
        <v/>
      </c>
      <c r="AD462" s="97" t="str">
        <f aca="false">IF($AB462=Constants!$B$7,IF(Z462,S462,Constants!$B$13),"")</f>
        <v/>
      </c>
      <c r="AE462" s="97" t="str">
        <f aca="false">IF($AB462=Constants!$B$7,IF(Z462,R462*IF(T462, 1, Constants!$B$11)*IF(U462, 1, Constants!$B$12),Constants!$B$13),"")</f>
        <v/>
      </c>
      <c r="AF462" s="97" t="str">
        <f aca="false">IF($AB462=Constants!$B$7,AD462*AE462,"")</f>
        <v/>
      </c>
      <c r="AG462" s="97" t="str">
        <f aca="false">IF($AB462=Constants!$B$7,IF(AA462,V462,Constants!$B$13),"")</f>
        <v/>
      </c>
      <c r="AH462" s="97" t="str">
        <f aca="false">IF($AB462=Constants!$B$7,IF(AA462,R462*IF(W462, 1, Constants!$B$11)*IF(X462, 1, Constants!$B$12),Constants!$B$13),"")</f>
        <v/>
      </c>
      <c r="AI462" s="97" t="str">
        <f aca="false">IF($AB462=Constants!$B$7,AG462*AH462,"")</f>
        <v/>
      </c>
      <c r="AJ462" s="97" t="str">
        <f aca="false">IF($AB462=Constants!$B$7,IF(AI462&gt;AF462,2,1),"")</f>
        <v/>
      </c>
      <c r="AK462" s="97" t="str">
        <f aca="false">IF($AB462=Constants!$B$7,IF(AJ462=1,2,1),"")</f>
        <v/>
      </c>
      <c r="AL462" s="97" t="str">
        <f aca="false">IF(ISBLANK($C462),"",IF($AB462&lt;&gt;Constants!$B$7,$AB462,IF(AJ462=1,AF462,AI462)))</f>
        <v/>
      </c>
      <c r="AM462" s="97" t="str">
        <f aca="false">IF(ISBLANK($C462),"",IF($AB462=Constants!$B$7,IF(ISNUMBER(AL462),RANK(AL462,$AL$8:$AL$507),Constants!$B$14),$AB462))</f>
        <v/>
      </c>
      <c r="AN462" s="97" t="str">
        <f aca="false">IF(ISBLANK($C462),"",IF($AB462=Constants!$B$7,IF(AK462=1,AF462,AI462),""))</f>
        <v/>
      </c>
      <c r="AO462" s="97" t="str">
        <f aca="false">IF(ISBLANK($C462),"",IF($AB462=Constants!$B$7,RANK(AN462,$AN$8:$AN$507),$AB462))</f>
        <v/>
      </c>
      <c r="AP462" s="97" t="str">
        <f aca="false">IF(ISBLANK($C462),"",IF($AB462=Constants!$B$7,IF(ISNUMBER(AM462),COUNTIFS($AM$8:$AM$507,"&lt;"&amp;$AM462)+COUNTIFS($AM$8:$AM$507,$AM462,$AO$8:$AO$507,"&lt;"&amp;$AO462)+1,Constants!$B$14),$AB462))</f>
        <v/>
      </c>
      <c r="AQ462" s="97" t="str">
        <f aca="false">IF(ISBLANK($C462),"",IF($AB462=Constants!$B$7,IF(ISNUMBER(AM462),AM462-AP462,Constants!$B$14),$AB462))</f>
        <v/>
      </c>
      <c r="AR462" s="98"/>
      <c r="AS462" s="99" t="str">
        <f aca="false">IF(ISBLANK($C462),"",IF($AB462&lt;&gt;Constants!$B$7,"",AJ462))</f>
        <v/>
      </c>
      <c r="AT462" s="100" t="str">
        <f aca="false">IF(ISBLANK($C462),"",IF($AB462&lt;&gt;Constants!$B$7,"",IF(AJ462=1,AD462,AG462)))</f>
        <v/>
      </c>
      <c r="AU462" s="101" t="str">
        <f aca="false">IF(ISBLANK($C462),"",IF($AB462&lt;&gt;Constants!$B$7,"",IF(AJ462=1,AE462,AH462)))</f>
        <v/>
      </c>
      <c r="AV462" s="102" t="str">
        <f aca="false">IF(ISBLANK($C462),"",IF($AB462&lt;&gt;Constants!$B$7,$AB462,AL462))</f>
        <v/>
      </c>
      <c r="AW462" s="103" t="str">
        <f aca="false">IF(ISBLANK($C462),"",IF($AB462&lt;&gt;Constants!$B$7,$AB462,AC462))</f>
        <v/>
      </c>
      <c r="AX462" s="104" t="str">
        <f aca="false">IF(ISBLANK($C462),"",AQ462)</f>
        <v/>
      </c>
      <c r="AY462" s="104" t="str">
        <f aca="false">IF(ISBLANK($C462),"",AP462)</f>
        <v/>
      </c>
      <c r="AZ462" s="105" t="str">
        <f aca="false">IF(ISBLANK($C462),"",IF(AY462=Constants!$B$4,COUNTA($C$8:$C$507)+2,IF(AY462=Constants!$B$5,COUNTA($C$8:$C$507)+1,IF(AY462=Constants!$B$6,COUNTA($C$8:$C$507),AY462))))</f>
        <v/>
      </c>
      <c r="BA462" s="5"/>
      <c r="BB462" s="106" t="n">
        <f aca="false">IF(OR(ISNUMBER(AY462),AY462=Constants!$B$4,AY462=Constants!$B$6,AY462=Constants!$B$5),1,0)</f>
        <v>0</v>
      </c>
      <c r="BC462" s="106" t="n">
        <v>455</v>
      </c>
      <c r="BD462" s="106" t="str">
        <f aca="false">IF(ISBLANK($C462),"",IF(ISNUMBER(AZ462),AZ462+ROW($B462)/1000,""))</f>
        <v/>
      </c>
      <c r="BE462" s="106" t="str">
        <f aca="false">IF(ISNUMBER(BD462),RANK(BD462,$BD$8:$BD$507,1),"")</f>
        <v/>
      </c>
      <c r="BF462" s="106" t="str">
        <f aca="false">IF(ISBLANK($C462),"",$B462)</f>
        <v/>
      </c>
      <c r="BG462" s="106" t="str">
        <f aca="false">IF(ISBLANK($C462),"",$C462)</f>
        <v/>
      </c>
      <c r="BH462" s="106" t="str">
        <f aca="false">IF(ISBLANK($C462),"",$D462)</f>
        <v/>
      </c>
      <c r="BI462" s="107" t="str">
        <f aca="false">AW462</f>
        <v/>
      </c>
      <c r="BJ462" s="108" t="str">
        <f aca="false">AV462</f>
        <v/>
      </c>
      <c r="BK462" s="106" t="str">
        <f aca="false">IF(ISBLANK($C462),"",AY462)</f>
        <v/>
      </c>
      <c r="BL462" s="109" t="str">
        <f aca="false">IF($BC462&gt;$BB$7,"",VLOOKUP($BC462,$BE$8:$BK$507,7,FALSE()))</f>
        <v/>
      </c>
      <c r="BM462" s="110" t="str">
        <f aca="false">IF($BC462&gt;$BB$7,"",VLOOKUP($BC462,$BE$8:$BK$507,2,FALSE()))</f>
        <v/>
      </c>
      <c r="BN462" s="110" t="str">
        <f aca="false">IF($BC462&gt;$BB$7,"",VLOOKUP($BC462,$BE$8:$BK$507,3,FALSE()))</f>
        <v/>
      </c>
      <c r="BO462" s="110" t="str">
        <f aca="false">IF($BC462&gt;$BB$7,"",VLOOKUP($BC462,$BE$8:$BK$507,4,FALSE()))</f>
        <v/>
      </c>
      <c r="BP462" s="110" t="str">
        <f aca="false">IF($BC462&gt;$BB$7,"",VLOOKUP($BC462,$BE$8:$BK$507,5,FALSE()))</f>
        <v/>
      </c>
      <c r="BQ462" s="111" t="str">
        <f aca="false">IF($BC462&gt;$BB$7,"",VLOOKUP($BC462,$BE$8:$BK$507,6,FALSE()))</f>
        <v/>
      </c>
      <c r="BR462" s="54"/>
    </row>
    <row r="463" customFormat="false" ht="15.75" hidden="false" customHeight="false" outlineLevel="0" collapsed="false">
      <c r="A463" s="5"/>
      <c r="B463" s="120"/>
      <c r="C463" s="121"/>
      <c r="D463" s="112"/>
      <c r="E463" s="123"/>
      <c r="F463" s="91"/>
      <c r="G463" s="92"/>
      <c r="H463" s="93"/>
      <c r="I463" s="94"/>
      <c r="J463" s="91"/>
      <c r="K463" s="92"/>
      <c r="L463" s="93"/>
      <c r="M463" s="94"/>
      <c r="N463" s="91"/>
      <c r="O463" s="123"/>
      <c r="P463" s="96"/>
      <c r="Q463" s="97" t="str">
        <f aca="false">IF(ISBLANK($C463),"",IF(E463=Constants!$B$2, TRUE(), IF(E463=Constants!$B$3, FALSE(), TRUE())))</f>
        <v/>
      </c>
      <c r="R463" s="97" t="str">
        <f aca="false">IF(ISBLANK($C463),"",IF(F463=Constants!$B$16,Constants!$B$9,IF(F463=Constants!$B$17,Constants!$B$10,Constants!$B$8)))</f>
        <v/>
      </c>
      <c r="S463" s="97" t="str">
        <f aca="false">IF(ISBLANK($C463),"",IF(COUNTA(G463:H463)=0,"",IF(AND(OR(ISBLANK(G463),AND(ISNUMBER(G463),G463&gt;=0)),OR(ISBLANK(H463),AND(ISNUMBER(H463),H463&gt;=0))),60*IF(ISBLANK(G463),0,G463)+IF(ISBLANK(H463),0,H463),"")))</f>
        <v/>
      </c>
      <c r="T463" s="97" t="str">
        <f aca="false">IF(ISBLANK($C463),"",IF(I463=Constants!$B$2, TRUE(), IF(I463=Constants!$B$3, FALSE(), TRUE())))</f>
        <v/>
      </c>
      <c r="U463" s="97" t="str">
        <f aca="false">IF(ISBLANK($C463),"",IF(J463=Constants!$B$2, TRUE(), IF(J463=Constants!$B$3, FALSE(), TRUE())))</f>
        <v/>
      </c>
      <c r="V463" s="97" t="str">
        <f aca="false">IF(ISBLANK($C463),"",IF(COUNTA(K463:L463)=0,"",IF(AND(OR(ISBLANK(K463),AND(ISNUMBER(K463),K463&gt;=0)),OR(ISBLANK(L463),AND(ISNUMBER(L463),L463&gt;=0))),60*IF(ISBLANK(K463),0,K463)+IF(ISBLANK(L463),0,L463),"")))</f>
        <v/>
      </c>
      <c r="W463" s="97" t="str">
        <f aca="false">IF(ISBLANK($C463),"",IF(M463=Constants!$B$2, TRUE(), IF(M463=Constants!$B$3, FALSE(), TRUE())))</f>
        <v/>
      </c>
      <c r="X463" s="97" t="str">
        <f aca="false">IF(ISBLANK($C463),"",IF(N463=Constants!$B$2, TRUE(), IF(N463=Constants!$B$3, FALSE(), TRUE())))</f>
        <v/>
      </c>
      <c r="Y463" s="97" t="str">
        <f aca="false">IF(ISBLANK($C463),"",IF(O463=Constants!$B$2, TRUE(), IF(O463=Constants!$B$3, FALSE(), FALSE())))</f>
        <v/>
      </c>
      <c r="Z463" s="97" t="str">
        <f aca="false">IF(ISBLANK($C463),"",AND(S463&lt;&gt;"",Q463))</f>
        <v/>
      </c>
      <c r="AA463" s="97" t="str">
        <f aca="false">IF(ISBLANK($C463),"",AND(V463&lt;&gt;"",Q463))</f>
        <v/>
      </c>
      <c r="AB463" s="97" t="str">
        <f aca="false">IF(ISBLANK($C463),"",IF(Y463,Constants!$B$4,IF(COUNTA(E463:N463)=0,Constants!$B$5,IF(NOT(Q463),Constants!$B$6,IF(AND(NOT(Z463),NOT(AA463)),Constants!$B$6,Constants!$B$7)))))</f>
        <v/>
      </c>
      <c r="AC463" s="97" t="str">
        <f aca="false">IF(ISBLANK($C463),"",IF($AB463&lt;&gt;Constants!$B$7,$AB463,Constants!$B$20))</f>
        <v/>
      </c>
      <c r="AD463" s="97" t="str">
        <f aca="false">IF($AB463=Constants!$B$7,IF(Z463,S463,Constants!$B$13),"")</f>
        <v/>
      </c>
      <c r="AE463" s="97" t="str">
        <f aca="false">IF($AB463=Constants!$B$7,IF(Z463,R463*IF(T463, 1, Constants!$B$11)*IF(U463, 1, Constants!$B$12),Constants!$B$13),"")</f>
        <v/>
      </c>
      <c r="AF463" s="97" t="str">
        <f aca="false">IF($AB463=Constants!$B$7,AD463*AE463,"")</f>
        <v/>
      </c>
      <c r="AG463" s="97" t="str">
        <f aca="false">IF($AB463=Constants!$B$7,IF(AA463,V463,Constants!$B$13),"")</f>
        <v/>
      </c>
      <c r="AH463" s="97" t="str">
        <f aca="false">IF($AB463=Constants!$B$7,IF(AA463,R463*IF(W463, 1, Constants!$B$11)*IF(X463, 1, Constants!$B$12),Constants!$B$13),"")</f>
        <v/>
      </c>
      <c r="AI463" s="97" t="str">
        <f aca="false">IF($AB463=Constants!$B$7,AG463*AH463,"")</f>
        <v/>
      </c>
      <c r="AJ463" s="97" t="str">
        <f aca="false">IF($AB463=Constants!$B$7,IF(AI463&gt;AF463,2,1),"")</f>
        <v/>
      </c>
      <c r="AK463" s="97" t="str">
        <f aca="false">IF($AB463=Constants!$B$7,IF(AJ463=1,2,1),"")</f>
        <v/>
      </c>
      <c r="AL463" s="97" t="str">
        <f aca="false">IF(ISBLANK($C463),"",IF($AB463&lt;&gt;Constants!$B$7,$AB463,IF(AJ463=1,AF463,AI463)))</f>
        <v/>
      </c>
      <c r="AM463" s="97" t="str">
        <f aca="false">IF(ISBLANK($C463),"",IF($AB463=Constants!$B$7,IF(ISNUMBER(AL463),RANK(AL463,$AL$8:$AL$507),Constants!$B$14),$AB463))</f>
        <v/>
      </c>
      <c r="AN463" s="97" t="str">
        <f aca="false">IF(ISBLANK($C463),"",IF($AB463=Constants!$B$7,IF(AK463=1,AF463,AI463),""))</f>
        <v/>
      </c>
      <c r="AO463" s="97" t="str">
        <f aca="false">IF(ISBLANK($C463),"",IF($AB463=Constants!$B$7,RANK(AN463,$AN$8:$AN$507),$AB463))</f>
        <v/>
      </c>
      <c r="AP463" s="97" t="str">
        <f aca="false">IF(ISBLANK($C463),"",IF($AB463=Constants!$B$7,IF(ISNUMBER(AM463),COUNTIFS($AM$8:$AM$507,"&lt;"&amp;$AM463)+COUNTIFS($AM$8:$AM$507,$AM463,$AO$8:$AO$507,"&lt;"&amp;$AO463)+1,Constants!$B$14),$AB463))</f>
        <v/>
      </c>
      <c r="AQ463" s="97" t="str">
        <f aca="false">IF(ISBLANK($C463),"",IF($AB463=Constants!$B$7,IF(ISNUMBER(AM463),AM463-AP463,Constants!$B$14),$AB463))</f>
        <v/>
      </c>
      <c r="AR463" s="98"/>
      <c r="AS463" s="99" t="str">
        <f aca="false">IF(ISBLANK($C463),"",IF($AB463&lt;&gt;Constants!$B$7,"",AJ463))</f>
        <v/>
      </c>
      <c r="AT463" s="100" t="str">
        <f aca="false">IF(ISBLANK($C463),"",IF($AB463&lt;&gt;Constants!$B$7,"",IF(AJ463=1,AD463,AG463)))</f>
        <v/>
      </c>
      <c r="AU463" s="101" t="str">
        <f aca="false">IF(ISBLANK($C463),"",IF($AB463&lt;&gt;Constants!$B$7,"",IF(AJ463=1,AE463,AH463)))</f>
        <v/>
      </c>
      <c r="AV463" s="102" t="str">
        <f aca="false">IF(ISBLANK($C463),"",IF($AB463&lt;&gt;Constants!$B$7,$AB463,AL463))</f>
        <v/>
      </c>
      <c r="AW463" s="103" t="str">
        <f aca="false">IF(ISBLANK($C463),"",IF($AB463&lt;&gt;Constants!$B$7,$AB463,AC463))</f>
        <v/>
      </c>
      <c r="AX463" s="104" t="str">
        <f aca="false">IF(ISBLANK($C463),"",AQ463)</f>
        <v/>
      </c>
      <c r="AY463" s="104" t="str">
        <f aca="false">IF(ISBLANK($C463),"",AP463)</f>
        <v/>
      </c>
      <c r="AZ463" s="105" t="str">
        <f aca="false">IF(ISBLANK($C463),"",IF(AY463=Constants!$B$4,COUNTA($C$8:$C$507)+2,IF(AY463=Constants!$B$5,COUNTA($C$8:$C$507)+1,IF(AY463=Constants!$B$6,COUNTA($C$8:$C$507),AY463))))</f>
        <v/>
      </c>
      <c r="BA463" s="5"/>
      <c r="BB463" s="106" t="n">
        <f aca="false">IF(OR(ISNUMBER(AY463),AY463=Constants!$B$4,AY463=Constants!$B$6,AY463=Constants!$B$5),1,0)</f>
        <v>0</v>
      </c>
      <c r="BC463" s="106" t="n">
        <v>456</v>
      </c>
      <c r="BD463" s="106" t="str">
        <f aca="false">IF(ISBLANK($C463),"",IF(ISNUMBER(AZ463),AZ463+ROW($B463)/1000,""))</f>
        <v/>
      </c>
      <c r="BE463" s="106" t="str">
        <f aca="false">IF(ISNUMBER(BD463),RANK(BD463,$BD$8:$BD$507,1),"")</f>
        <v/>
      </c>
      <c r="BF463" s="106" t="str">
        <f aca="false">IF(ISBLANK($C463),"",$B463)</f>
        <v/>
      </c>
      <c r="BG463" s="106" t="str">
        <f aca="false">IF(ISBLANK($C463),"",$C463)</f>
        <v/>
      </c>
      <c r="BH463" s="106" t="str">
        <f aca="false">IF(ISBLANK($C463),"",$D463)</f>
        <v/>
      </c>
      <c r="BI463" s="107" t="str">
        <f aca="false">AW463</f>
        <v/>
      </c>
      <c r="BJ463" s="108" t="str">
        <f aca="false">AV463</f>
        <v/>
      </c>
      <c r="BK463" s="106" t="str">
        <f aca="false">IF(ISBLANK($C463),"",AY463)</f>
        <v/>
      </c>
      <c r="BL463" s="109" t="str">
        <f aca="false">IF($BC463&gt;$BB$7,"",VLOOKUP($BC463,$BE$8:$BK$507,7,FALSE()))</f>
        <v/>
      </c>
      <c r="BM463" s="110" t="str">
        <f aca="false">IF($BC463&gt;$BB$7,"",VLOOKUP($BC463,$BE$8:$BK$507,2,FALSE()))</f>
        <v/>
      </c>
      <c r="BN463" s="110" t="str">
        <f aca="false">IF($BC463&gt;$BB$7,"",VLOOKUP($BC463,$BE$8:$BK$507,3,FALSE()))</f>
        <v/>
      </c>
      <c r="BO463" s="110" t="str">
        <f aca="false">IF($BC463&gt;$BB$7,"",VLOOKUP($BC463,$BE$8:$BK$507,4,FALSE()))</f>
        <v/>
      </c>
      <c r="BP463" s="110" t="str">
        <f aca="false">IF($BC463&gt;$BB$7,"",VLOOKUP($BC463,$BE$8:$BK$507,5,FALSE()))</f>
        <v/>
      </c>
      <c r="BQ463" s="111" t="str">
        <f aca="false">IF($BC463&gt;$BB$7,"",VLOOKUP($BC463,$BE$8:$BK$507,6,FALSE()))</f>
        <v/>
      </c>
      <c r="BR463" s="54"/>
    </row>
    <row r="464" customFormat="false" ht="15.75" hidden="false" customHeight="false" outlineLevel="0" collapsed="false">
      <c r="A464" s="5"/>
      <c r="B464" s="124"/>
      <c r="C464" s="56"/>
      <c r="D464" s="57"/>
      <c r="E464" s="83"/>
      <c r="F464" s="59"/>
      <c r="G464" s="60"/>
      <c r="H464" s="61"/>
      <c r="I464" s="62"/>
      <c r="J464" s="59"/>
      <c r="K464" s="60"/>
      <c r="L464" s="61"/>
      <c r="M464" s="62"/>
      <c r="N464" s="59"/>
      <c r="O464" s="83"/>
      <c r="P464" s="64"/>
      <c r="Q464" s="66" t="str">
        <f aca="false">IF(ISBLANK($C464),"",IF(E464=Constants!$B$2, TRUE(), IF(E464=Constants!$B$3, FALSE(), TRUE())))</f>
        <v/>
      </c>
      <c r="R464" s="66" t="str">
        <f aca="false">IF(ISBLANK($C464),"",IF(F464=Constants!$B$16,Constants!$B$9,IF(F464=Constants!$B$17,Constants!$B$10,Constants!$B$8)))</f>
        <v/>
      </c>
      <c r="S464" s="66" t="str">
        <f aca="false">IF(ISBLANK($C464),"",IF(COUNTA(G464:H464)=0,"",IF(AND(OR(ISBLANK(G464),AND(ISNUMBER(G464),G464&gt;=0)),OR(ISBLANK(H464),AND(ISNUMBER(H464),H464&gt;=0))),60*IF(ISBLANK(G464),0,G464)+IF(ISBLANK(H464),0,H464),"")))</f>
        <v/>
      </c>
      <c r="T464" s="66" t="str">
        <f aca="false">IF(ISBLANK($C464),"",IF(I464=Constants!$B$2, TRUE(), IF(I464=Constants!$B$3, FALSE(), TRUE())))</f>
        <v/>
      </c>
      <c r="U464" s="66" t="str">
        <f aca="false">IF(ISBLANK($C464),"",IF(J464=Constants!$B$2, TRUE(), IF(J464=Constants!$B$3, FALSE(), TRUE())))</f>
        <v/>
      </c>
      <c r="V464" s="66" t="str">
        <f aca="false">IF(ISBLANK($C464),"",IF(COUNTA(K464:L464)=0,"",IF(AND(OR(ISBLANK(K464),AND(ISNUMBER(K464),K464&gt;=0)),OR(ISBLANK(L464),AND(ISNUMBER(L464),L464&gt;=0))),60*IF(ISBLANK(K464),0,K464)+IF(ISBLANK(L464),0,L464),"")))</f>
        <v/>
      </c>
      <c r="W464" s="66" t="str">
        <f aca="false">IF(ISBLANK($C464),"",IF(M464=Constants!$B$2, TRUE(), IF(M464=Constants!$B$3, FALSE(), TRUE())))</f>
        <v/>
      </c>
      <c r="X464" s="66" t="str">
        <f aca="false">IF(ISBLANK($C464),"",IF(N464=Constants!$B$2, TRUE(), IF(N464=Constants!$B$3, FALSE(), TRUE())))</f>
        <v/>
      </c>
      <c r="Y464" s="66" t="str">
        <f aca="false">IF(ISBLANK($C464),"",IF(O464=Constants!$B$2, TRUE(), IF(O464=Constants!$B$3, FALSE(), FALSE())))</f>
        <v/>
      </c>
      <c r="Z464" s="66" t="str">
        <f aca="false">IF(ISBLANK($C464),"",AND(S464&lt;&gt;"",Q464))</f>
        <v/>
      </c>
      <c r="AA464" s="66" t="str">
        <f aca="false">IF(ISBLANK($C464),"",AND(V464&lt;&gt;"",Q464))</f>
        <v/>
      </c>
      <c r="AB464" s="66" t="str">
        <f aca="false">IF(ISBLANK($C464),"",IF(Y464,Constants!$B$4,IF(COUNTA(E464:N464)=0,Constants!$B$5,IF(NOT(Q464),Constants!$B$6,IF(AND(NOT(Z464),NOT(AA464)),Constants!$B$6,Constants!$B$7)))))</f>
        <v/>
      </c>
      <c r="AC464" s="66" t="str">
        <f aca="false">IF(ISBLANK($C464),"",IF($AB464&lt;&gt;Constants!$B$7,$AB464,Constants!$B$20))</f>
        <v/>
      </c>
      <c r="AD464" s="66" t="str">
        <f aca="false">IF($AB464=Constants!$B$7,IF(Z464,S464,Constants!$B$13),"")</f>
        <v/>
      </c>
      <c r="AE464" s="66" t="str">
        <f aca="false">IF($AB464=Constants!$B$7,IF(Z464,R464*IF(T464, 1, Constants!$B$11)*IF(U464, 1, Constants!$B$12),Constants!$B$13),"")</f>
        <v/>
      </c>
      <c r="AF464" s="66" t="str">
        <f aca="false">IF($AB464=Constants!$B$7,AD464*AE464,"")</f>
        <v/>
      </c>
      <c r="AG464" s="66" t="str">
        <f aca="false">IF($AB464=Constants!$B$7,IF(AA464,V464,Constants!$B$13),"")</f>
        <v/>
      </c>
      <c r="AH464" s="66" t="str">
        <f aca="false">IF($AB464=Constants!$B$7,IF(AA464,R464*IF(W464, 1, Constants!$B$11)*IF(X464, 1, Constants!$B$12),Constants!$B$13),"")</f>
        <v/>
      </c>
      <c r="AI464" s="66" t="str">
        <f aca="false">IF($AB464=Constants!$B$7,AG464*AH464,"")</f>
        <v/>
      </c>
      <c r="AJ464" s="66" t="str">
        <f aca="false">IF($AB464=Constants!$B$7,IF(AI464&gt;AF464,2,1),"")</f>
        <v/>
      </c>
      <c r="AK464" s="66" t="str">
        <f aca="false">IF($AB464=Constants!$B$7,IF(AJ464=1,2,1),"")</f>
        <v/>
      </c>
      <c r="AL464" s="66" t="str">
        <f aca="false">IF(ISBLANK($C464),"",IF($AB464&lt;&gt;Constants!$B$7,$AB464,IF(AJ464=1,AF464,AI464)))</f>
        <v/>
      </c>
      <c r="AM464" s="66" t="str">
        <f aca="false">IF(ISBLANK($C464),"",IF($AB464=Constants!$B$7,IF(ISNUMBER(AL464),RANK(AL464,$AL$8:$AL$507),Constants!$B$14),$AB464))</f>
        <v/>
      </c>
      <c r="AN464" s="66" t="str">
        <f aca="false">IF(ISBLANK($C464),"",IF($AB464=Constants!$B$7,IF(AK464=1,AF464,AI464),""))</f>
        <v/>
      </c>
      <c r="AO464" s="66" t="str">
        <f aca="false">IF(ISBLANK($C464),"",IF($AB464=Constants!$B$7,RANK(AN464,$AN$8:$AN$507),$AB464))</f>
        <v/>
      </c>
      <c r="AP464" s="66" t="str">
        <f aca="false">IF(ISBLANK($C464),"",IF($AB464=Constants!$B$7,IF(ISNUMBER(AM464),COUNTIFS($AM$8:$AM$507,"&lt;"&amp;$AM464)+COUNTIFS($AM$8:$AM$507,$AM464,$AO$8:$AO$507,"&lt;"&amp;$AO464)+1,Constants!$B$14),$AB464))</f>
        <v/>
      </c>
      <c r="AQ464" s="66" t="str">
        <f aca="false">IF(ISBLANK($C464),"",IF($AB464=Constants!$B$7,IF(ISNUMBER(AM464),AM464-AP464,Constants!$B$14),$AB464))</f>
        <v/>
      </c>
      <c r="AR464" s="68"/>
      <c r="AS464" s="69" t="str">
        <f aca="false">IF(ISBLANK($C464),"",IF($AB464&lt;&gt;Constants!$B$7,"",AJ464))</f>
        <v/>
      </c>
      <c r="AT464" s="84" t="str">
        <f aca="false">IF(ISBLANK($C464),"",IF($AB464&lt;&gt;Constants!$B$7,"",IF(AJ464=1,AD464,AG464)))</f>
        <v/>
      </c>
      <c r="AU464" s="71" t="str">
        <f aca="false">IF(ISBLANK($C464),"",IF($AB464&lt;&gt;Constants!$B$7,"",IF(AJ464=1,AE464,AH464)))</f>
        <v/>
      </c>
      <c r="AV464" s="72" t="str">
        <f aca="false">IF(ISBLANK($C464),"",IF($AB464&lt;&gt;Constants!$B$7,$AB464,AL464))</f>
        <v/>
      </c>
      <c r="AW464" s="73" t="str">
        <f aca="false">IF(ISBLANK($C464),"",IF($AB464&lt;&gt;Constants!$B$7,$AB464,AC464))</f>
        <v/>
      </c>
      <c r="AX464" s="74" t="str">
        <f aca="false">IF(ISBLANK($C464),"",AQ464)</f>
        <v/>
      </c>
      <c r="AY464" s="74" t="str">
        <f aca="false">IF(ISBLANK($C464),"",AP464)</f>
        <v/>
      </c>
      <c r="AZ464" s="75" t="str">
        <f aca="false">IF(ISBLANK($C464),"",IF(AY464=Constants!$B$4,COUNTA($C$8:$C$507)+2,IF(AY464=Constants!$B$5,COUNTA($C$8:$C$507)+1,IF(AY464=Constants!$B$6,COUNTA($C$8:$C$507),AY464))))</f>
        <v/>
      </c>
      <c r="BA464" s="5"/>
      <c r="BB464" s="76" t="n">
        <f aca="false">IF(OR(ISNUMBER(AY464),AY464=Constants!$B$4,AY464=Constants!$B$6,AY464=Constants!$B$5),1,0)</f>
        <v>0</v>
      </c>
      <c r="BC464" s="76" t="n">
        <v>457</v>
      </c>
      <c r="BD464" s="76" t="str">
        <f aca="false">IF(ISBLANK($C464),"",IF(ISNUMBER(AZ464),AZ464+ROW($B464)/1000,""))</f>
        <v/>
      </c>
      <c r="BE464" s="76" t="str">
        <f aca="false">IF(ISNUMBER(BD464),RANK(BD464,$BD$8:$BD$507,1),"")</f>
        <v/>
      </c>
      <c r="BF464" s="76" t="str">
        <f aca="false">IF(ISBLANK($C464),"",$B464)</f>
        <v/>
      </c>
      <c r="BG464" s="76" t="str">
        <f aca="false">IF(ISBLANK($C464),"",$C464)</f>
        <v/>
      </c>
      <c r="BH464" s="76" t="str">
        <f aca="false">IF(ISBLANK($C464),"",$D464)</f>
        <v/>
      </c>
      <c r="BI464" s="77" t="str">
        <f aca="false">AW464</f>
        <v/>
      </c>
      <c r="BJ464" s="78" t="str">
        <f aca="false">AV464</f>
        <v/>
      </c>
      <c r="BK464" s="76" t="str">
        <f aca="false">IF(ISBLANK($C464),"",AY464)</f>
        <v/>
      </c>
      <c r="BL464" s="79" t="str">
        <f aca="false">IF($BC464&gt;$BB$7,"",VLOOKUP($BC464,$BE$8:$BK$507,7,FALSE()))</f>
        <v/>
      </c>
      <c r="BM464" s="80" t="str">
        <f aca="false">IF($BC464&gt;$BB$7,"",VLOOKUP($BC464,$BE$8:$BK$507,2,FALSE()))</f>
        <v/>
      </c>
      <c r="BN464" s="80" t="str">
        <f aca="false">IF($BC464&gt;$BB$7,"",VLOOKUP($BC464,$BE$8:$BK$507,3,FALSE()))</f>
        <v/>
      </c>
      <c r="BO464" s="80" t="str">
        <f aca="false">IF($BC464&gt;$BB$7,"",VLOOKUP($BC464,$BE$8:$BK$507,4,FALSE()))</f>
        <v/>
      </c>
      <c r="BP464" s="80" t="str">
        <f aca="false">IF($BC464&gt;$BB$7,"",VLOOKUP($BC464,$BE$8:$BK$507,5,FALSE()))</f>
        <v/>
      </c>
      <c r="BQ464" s="81" t="str">
        <f aca="false">IF($BC464&gt;$BB$7,"",VLOOKUP($BC464,$BE$8:$BK$507,6,FALSE()))</f>
        <v/>
      </c>
      <c r="BR464" s="54"/>
    </row>
    <row r="465" customFormat="false" ht="15.75" hidden="false" customHeight="false" outlineLevel="0" collapsed="false">
      <c r="A465" s="5"/>
      <c r="B465" s="124"/>
      <c r="C465" s="56"/>
      <c r="D465" s="57"/>
      <c r="E465" s="83"/>
      <c r="F465" s="59"/>
      <c r="G465" s="60"/>
      <c r="H465" s="61"/>
      <c r="I465" s="62"/>
      <c r="J465" s="59"/>
      <c r="K465" s="60"/>
      <c r="L465" s="61"/>
      <c r="M465" s="62"/>
      <c r="N465" s="59"/>
      <c r="O465" s="83"/>
      <c r="P465" s="64"/>
      <c r="Q465" s="66" t="str">
        <f aca="false">IF(ISBLANK($C465),"",IF(E465=Constants!$B$2, TRUE(), IF(E465=Constants!$B$3, FALSE(), TRUE())))</f>
        <v/>
      </c>
      <c r="R465" s="66" t="str">
        <f aca="false">IF(ISBLANK($C465),"",IF(F465=Constants!$B$16,Constants!$B$9,IF(F465=Constants!$B$17,Constants!$B$10,Constants!$B$8)))</f>
        <v/>
      </c>
      <c r="S465" s="66" t="str">
        <f aca="false">IF(ISBLANK($C465),"",IF(COUNTA(G465:H465)=0,"",IF(AND(OR(ISBLANK(G465),AND(ISNUMBER(G465),G465&gt;=0)),OR(ISBLANK(H465),AND(ISNUMBER(H465),H465&gt;=0))),60*IF(ISBLANK(G465),0,G465)+IF(ISBLANK(H465),0,H465),"")))</f>
        <v/>
      </c>
      <c r="T465" s="66" t="str">
        <f aca="false">IF(ISBLANK($C465),"",IF(I465=Constants!$B$2, TRUE(), IF(I465=Constants!$B$3, FALSE(), TRUE())))</f>
        <v/>
      </c>
      <c r="U465" s="66" t="str">
        <f aca="false">IF(ISBLANK($C465),"",IF(J465=Constants!$B$2, TRUE(), IF(J465=Constants!$B$3, FALSE(), TRUE())))</f>
        <v/>
      </c>
      <c r="V465" s="66" t="str">
        <f aca="false">IF(ISBLANK($C465),"",IF(COUNTA(K465:L465)=0,"",IF(AND(OR(ISBLANK(K465),AND(ISNUMBER(K465),K465&gt;=0)),OR(ISBLANK(L465),AND(ISNUMBER(L465),L465&gt;=0))),60*IF(ISBLANK(K465),0,K465)+IF(ISBLANK(L465),0,L465),"")))</f>
        <v/>
      </c>
      <c r="W465" s="66" t="str">
        <f aca="false">IF(ISBLANK($C465),"",IF(M465=Constants!$B$2, TRUE(), IF(M465=Constants!$B$3, FALSE(), TRUE())))</f>
        <v/>
      </c>
      <c r="X465" s="66" t="str">
        <f aca="false">IF(ISBLANK($C465),"",IF(N465=Constants!$B$2, TRUE(), IF(N465=Constants!$B$3, FALSE(), TRUE())))</f>
        <v/>
      </c>
      <c r="Y465" s="66" t="str">
        <f aca="false">IF(ISBLANK($C465),"",IF(O465=Constants!$B$2, TRUE(), IF(O465=Constants!$B$3, FALSE(), FALSE())))</f>
        <v/>
      </c>
      <c r="Z465" s="66" t="str">
        <f aca="false">IF(ISBLANK($C465),"",AND(S465&lt;&gt;"",Q465))</f>
        <v/>
      </c>
      <c r="AA465" s="66" t="str">
        <f aca="false">IF(ISBLANK($C465),"",AND(V465&lt;&gt;"",Q465))</f>
        <v/>
      </c>
      <c r="AB465" s="66" t="str">
        <f aca="false">IF(ISBLANK($C465),"",IF(Y465,Constants!$B$4,IF(COUNTA(E465:N465)=0,Constants!$B$5,IF(NOT(Q465),Constants!$B$6,IF(AND(NOT(Z465),NOT(AA465)),Constants!$B$6,Constants!$B$7)))))</f>
        <v/>
      </c>
      <c r="AC465" s="66" t="str">
        <f aca="false">IF(ISBLANK($C465),"",IF($AB465&lt;&gt;Constants!$B$7,$AB465,Constants!$B$20))</f>
        <v/>
      </c>
      <c r="AD465" s="66" t="str">
        <f aca="false">IF($AB465=Constants!$B$7,IF(Z465,S465,Constants!$B$13),"")</f>
        <v/>
      </c>
      <c r="AE465" s="66" t="str">
        <f aca="false">IF($AB465=Constants!$B$7,IF(Z465,R465*IF(T465, 1, Constants!$B$11)*IF(U465, 1, Constants!$B$12),Constants!$B$13),"")</f>
        <v/>
      </c>
      <c r="AF465" s="66" t="str">
        <f aca="false">IF($AB465=Constants!$B$7,AD465*AE465,"")</f>
        <v/>
      </c>
      <c r="AG465" s="66" t="str">
        <f aca="false">IF($AB465=Constants!$B$7,IF(AA465,V465,Constants!$B$13),"")</f>
        <v/>
      </c>
      <c r="AH465" s="66" t="str">
        <f aca="false">IF($AB465=Constants!$B$7,IF(AA465,R465*IF(W465, 1, Constants!$B$11)*IF(X465, 1, Constants!$B$12),Constants!$B$13),"")</f>
        <v/>
      </c>
      <c r="AI465" s="66" t="str">
        <f aca="false">IF($AB465=Constants!$B$7,AG465*AH465,"")</f>
        <v/>
      </c>
      <c r="AJ465" s="66" t="str">
        <f aca="false">IF($AB465=Constants!$B$7,IF(AI465&gt;AF465,2,1),"")</f>
        <v/>
      </c>
      <c r="AK465" s="66" t="str">
        <f aca="false">IF($AB465=Constants!$B$7,IF(AJ465=1,2,1),"")</f>
        <v/>
      </c>
      <c r="AL465" s="66" t="str">
        <f aca="false">IF(ISBLANK($C465),"",IF($AB465&lt;&gt;Constants!$B$7,$AB465,IF(AJ465=1,AF465,AI465)))</f>
        <v/>
      </c>
      <c r="AM465" s="66" t="str">
        <f aca="false">IF(ISBLANK($C465),"",IF($AB465=Constants!$B$7,IF(ISNUMBER(AL465),RANK(AL465,$AL$8:$AL$507),Constants!$B$14),$AB465))</f>
        <v/>
      </c>
      <c r="AN465" s="66" t="str">
        <f aca="false">IF(ISBLANK($C465),"",IF($AB465=Constants!$B$7,IF(AK465=1,AF465,AI465),""))</f>
        <v/>
      </c>
      <c r="AO465" s="66" t="str">
        <f aca="false">IF(ISBLANK($C465),"",IF($AB465=Constants!$B$7,RANK(AN465,$AN$8:$AN$507),$AB465))</f>
        <v/>
      </c>
      <c r="AP465" s="66" t="str">
        <f aca="false">IF(ISBLANK($C465),"",IF($AB465=Constants!$B$7,IF(ISNUMBER(AM465),COUNTIFS($AM$8:$AM$507,"&lt;"&amp;$AM465)+COUNTIFS($AM$8:$AM$507,$AM465,$AO$8:$AO$507,"&lt;"&amp;$AO465)+1,Constants!$B$14),$AB465))</f>
        <v/>
      </c>
      <c r="AQ465" s="66" t="str">
        <f aca="false">IF(ISBLANK($C465),"",IF($AB465=Constants!$B$7,IF(ISNUMBER(AM465),AM465-AP465,Constants!$B$14),$AB465))</f>
        <v/>
      </c>
      <c r="AR465" s="68"/>
      <c r="AS465" s="69" t="str">
        <f aca="false">IF(ISBLANK($C465),"",IF($AB465&lt;&gt;Constants!$B$7,"",AJ465))</f>
        <v/>
      </c>
      <c r="AT465" s="84" t="str">
        <f aca="false">IF(ISBLANK($C465),"",IF($AB465&lt;&gt;Constants!$B$7,"",IF(AJ465=1,AD465,AG465)))</f>
        <v/>
      </c>
      <c r="AU465" s="71" t="str">
        <f aca="false">IF(ISBLANK($C465),"",IF($AB465&lt;&gt;Constants!$B$7,"",IF(AJ465=1,AE465,AH465)))</f>
        <v/>
      </c>
      <c r="AV465" s="72" t="str">
        <f aca="false">IF(ISBLANK($C465),"",IF($AB465&lt;&gt;Constants!$B$7,$AB465,AL465))</f>
        <v/>
      </c>
      <c r="AW465" s="73" t="str">
        <f aca="false">IF(ISBLANK($C465),"",IF($AB465&lt;&gt;Constants!$B$7,$AB465,AC465))</f>
        <v/>
      </c>
      <c r="AX465" s="74" t="str">
        <f aca="false">IF(ISBLANK($C465),"",AQ465)</f>
        <v/>
      </c>
      <c r="AY465" s="74" t="str">
        <f aca="false">IF(ISBLANK($C465),"",AP465)</f>
        <v/>
      </c>
      <c r="AZ465" s="75" t="str">
        <f aca="false">IF(ISBLANK($C465),"",IF(AY465=Constants!$B$4,COUNTA($C$8:$C$507)+2,IF(AY465=Constants!$B$5,COUNTA($C$8:$C$507)+1,IF(AY465=Constants!$B$6,COUNTA($C$8:$C$507),AY465))))</f>
        <v/>
      </c>
      <c r="BA465" s="5"/>
      <c r="BB465" s="76" t="n">
        <f aca="false">IF(OR(ISNUMBER(AY465),AY465=Constants!$B$4,AY465=Constants!$B$6,AY465=Constants!$B$5),1,0)</f>
        <v>0</v>
      </c>
      <c r="BC465" s="76" t="n">
        <v>458</v>
      </c>
      <c r="BD465" s="76" t="str">
        <f aca="false">IF(ISBLANK($C465),"",IF(ISNUMBER(AZ465),AZ465+ROW($B465)/1000,""))</f>
        <v/>
      </c>
      <c r="BE465" s="76" t="str">
        <f aca="false">IF(ISNUMBER(BD465),RANK(BD465,$BD$8:$BD$507,1),"")</f>
        <v/>
      </c>
      <c r="BF465" s="76" t="str">
        <f aca="false">IF(ISBLANK($C465),"",$B465)</f>
        <v/>
      </c>
      <c r="BG465" s="76" t="str">
        <f aca="false">IF(ISBLANK($C465),"",$C465)</f>
        <v/>
      </c>
      <c r="BH465" s="76" t="str">
        <f aca="false">IF(ISBLANK($C465),"",$D465)</f>
        <v/>
      </c>
      <c r="BI465" s="77" t="str">
        <f aca="false">AW465</f>
        <v/>
      </c>
      <c r="BJ465" s="78" t="str">
        <f aca="false">AV465</f>
        <v/>
      </c>
      <c r="BK465" s="76" t="str">
        <f aca="false">IF(ISBLANK($C465),"",AY465)</f>
        <v/>
      </c>
      <c r="BL465" s="79" t="str">
        <f aca="false">IF($BC465&gt;$BB$7,"",VLOOKUP($BC465,$BE$8:$BK$507,7,FALSE()))</f>
        <v/>
      </c>
      <c r="BM465" s="80" t="str">
        <f aca="false">IF($BC465&gt;$BB$7,"",VLOOKUP($BC465,$BE$8:$BK$507,2,FALSE()))</f>
        <v/>
      </c>
      <c r="BN465" s="80" t="str">
        <f aca="false">IF($BC465&gt;$BB$7,"",VLOOKUP($BC465,$BE$8:$BK$507,3,FALSE()))</f>
        <v/>
      </c>
      <c r="BO465" s="80" t="str">
        <f aca="false">IF($BC465&gt;$BB$7,"",VLOOKUP($BC465,$BE$8:$BK$507,4,FALSE()))</f>
        <v/>
      </c>
      <c r="BP465" s="80" t="str">
        <f aca="false">IF($BC465&gt;$BB$7,"",VLOOKUP($BC465,$BE$8:$BK$507,5,FALSE()))</f>
        <v/>
      </c>
      <c r="BQ465" s="81" t="str">
        <f aca="false">IF($BC465&gt;$BB$7,"",VLOOKUP($BC465,$BE$8:$BK$507,6,FALSE()))</f>
        <v/>
      </c>
      <c r="BR465" s="54"/>
    </row>
    <row r="466" customFormat="false" ht="15.75" hidden="false" customHeight="false" outlineLevel="0" collapsed="false">
      <c r="A466" s="5"/>
      <c r="B466" s="124"/>
      <c r="C466" s="56"/>
      <c r="D466" s="57"/>
      <c r="E466" s="83"/>
      <c r="F466" s="59"/>
      <c r="G466" s="60"/>
      <c r="H466" s="61"/>
      <c r="I466" s="62"/>
      <c r="J466" s="59"/>
      <c r="K466" s="60"/>
      <c r="L466" s="61"/>
      <c r="M466" s="62"/>
      <c r="N466" s="59"/>
      <c r="O466" s="83"/>
      <c r="P466" s="64"/>
      <c r="Q466" s="66" t="str">
        <f aca="false">IF(ISBLANK($C466),"",IF(E466=Constants!$B$2, TRUE(), IF(E466=Constants!$B$3, FALSE(), TRUE())))</f>
        <v/>
      </c>
      <c r="R466" s="66" t="str">
        <f aca="false">IF(ISBLANK($C466),"",IF(F466=Constants!$B$16,Constants!$B$9,IF(F466=Constants!$B$17,Constants!$B$10,Constants!$B$8)))</f>
        <v/>
      </c>
      <c r="S466" s="66" t="str">
        <f aca="false">IF(ISBLANK($C466),"",IF(COUNTA(G466:H466)=0,"",IF(AND(OR(ISBLANK(G466),AND(ISNUMBER(G466),G466&gt;=0)),OR(ISBLANK(H466),AND(ISNUMBER(H466),H466&gt;=0))),60*IF(ISBLANK(G466),0,G466)+IF(ISBLANK(H466),0,H466),"")))</f>
        <v/>
      </c>
      <c r="T466" s="66" t="str">
        <f aca="false">IF(ISBLANK($C466),"",IF(I466=Constants!$B$2, TRUE(), IF(I466=Constants!$B$3, FALSE(), TRUE())))</f>
        <v/>
      </c>
      <c r="U466" s="66" t="str">
        <f aca="false">IF(ISBLANK($C466),"",IF(J466=Constants!$B$2, TRUE(), IF(J466=Constants!$B$3, FALSE(), TRUE())))</f>
        <v/>
      </c>
      <c r="V466" s="66" t="str">
        <f aca="false">IF(ISBLANK($C466),"",IF(COUNTA(K466:L466)=0,"",IF(AND(OR(ISBLANK(K466),AND(ISNUMBER(K466),K466&gt;=0)),OR(ISBLANK(L466),AND(ISNUMBER(L466),L466&gt;=0))),60*IF(ISBLANK(K466),0,K466)+IF(ISBLANK(L466),0,L466),"")))</f>
        <v/>
      </c>
      <c r="W466" s="66" t="str">
        <f aca="false">IF(ISBLANK($C466),"",IF(M466=Constants!$B$2, TRUE(), IF(M466=Constants!$B$3, FALSE(), TRUE())))</f>
        <v/>
      </c>
      <c r="X466" s="66" t="str">
        <f aca="false">IF(ISBLANK($C466),"",IF(N466=Constants!$B$2, TRUE(), IF(N466=Constants!$B$3, FALSE(), TRUE())))</f>
        <v/>
      </c>
      <c r="Y466" s="66" t="str">
        <f aca="false">IF(ISBLANK($C466),"",IF(O466=Constants!$B$2, TRUE(), IF(O466=Constants!$B$3, FALSE(), FALSE())))</f>
        <v/>
      </c>
      <c r="Z466" s="66" t="str">
        <f aca="false">IF(ISBLANK($C466),"",AND(S466&lt;&gt;"",Q466))</f>
        <v/>
      </c>
      <c r="AA466" s="66" t="str">
        <f aca="false">IF(ISBLANK($C466),"",AND(V466&lt;&gt;"",Q466))</f>
        <v/>
      </c>
      <c r="AB466" s="66" t="str">
        <f aca="false">IF(ISBLANK($C466),"",IF(Y466,Constants!$B$4,IF(COUNTA(E466:N466)=0,Constants!$B$5,IF(NOT(Q466),Constants!$B$6,IF(AND(NOT(Z466),NOT(AA466)),Constants!$B$6,Constants!$B$7)))))</f>
        <v/>
      </c>
      <c r="AC466" s="66" t="str">
        <f aca="false">IF(ISBLANK($C466),"",IF($AB466&lt;&gt;Constants!$B$7,$AB466,Constants!$B$20))</f>
        <v/>
      </c>
      <c r="AD466" s="66" t="str">
        <f aca="false">IF($AB466=Constants!$B$7,IF(Z466,S466,Constants!$B$13),"")</f>
        <v/>
      </c>
      <c r="AE466" s="66" t="str">
        <f aca="false">IF($AB466=Constants!$B$7,IF(Z466,R466*IF(T466, 1, Constants!$B$11)*IF(U466, 1, Constants!$B$12),Constants!$B$13),"")</f>
        <v/>
      </c>
      <c r="AF466" s="66" t="str">
        <f aca="false">IF($AB466=Constants!$B$7,AD466*AE466,"")</f>
        <v/>
      </c>
      <c r="AG466" s="66" t="str">
        <f aca="false">IF($AB466=Constants!$B$7,IF(AA466,V466,Constants!$B$13),"")</f>
        <v/>
      </c>
      <c r="AH466" s="66" t="str">
        <f aca="false">IF($AB466=Constants!$B$7,IF(AA466,R466*IF(W466, 1, Constants!$B$11)*IF(X466, 1, Constants!$B$12),Constants!$B$13),"")</f>
        <v/>
      </c>
      <c r="AI466" s="66" t="str">
        <f aca="false">IF($AB466=Constants!$B$7,AG466*AH466,"")</f>
        <v/>
      </c>
      <c r="AJ466" s="66" t="str">
        <f aca="false">IF($AB466=Constants!$B$7,IF(AI466&gt;AF466,2,1),"")</f>
        <v/>
      </c>
      <c r="AK466" s="66" t="str">
        <f aca="false">IF($AB466=Constants!$B$7,IF(AJ466=1,2,1),"")</f>
        <v/>
      </c>
      <c r="AL466" s="66" t="str">
        <f aca="false">IF(ISBLANK($C466),"",IF($AB466&lt;&gt;Constants!$B$7,$AB466,IF(AJ466=1,AF466,AI466)))</f>
        <v/>
      </c>
      <c r="AM466" s="66" t="str">
        <f aca="false">IF(ISBLANK($C466),"",IF($AB466=Constants!$B$7,IF(ISNUMBER(AL466),RANK(AL466,$AL$8:$AL$507),Constants!$B$14),$AB466))</f>
        <v/>
      </c>
      <c r="AN466" s="66" t="str">
        <f aca="false">IF(ISBLANK($C466),"",IF($AB466=Constants!$B$7,IF(AK466=1,AF466,AI466),""))</f>
        <v/>
      </c>
      <c r="AO466" s="66" t="str">
        <f aca="false">IF(ISBLANK($C466),"",IF($AB466=Constants!$B$7,RANK(AN466,$AN$8:$AN$507),$AB466))</f>
        <v/>
      </c>
      <c r="AP466" s="66" t="str">
        <f aca="false">IF(ISBLANK($C466),"",IF($AB466=Constants!$B$7,IF(ISNUMBER(AM466),COUNTIFS($AM$8:$AM$507,"&lt;"&amp;$AM466)+COUNTIFS($AM$8:$AM$507,$AM466,$AO$8:$AO$507,"&lt;"&amp;$AO466)+1,Constants!$B$14),$AB466))</f>
        <v/>
      </c>
      <c r="AQ466" s="66" t="str">
        <f aca="false">IF(ISBLANK($C466),"",IF($AB466=Constants!$B$7,IF(ISNUMBER(AM466),AM466-AP466,Constants!$B$14),$AB466))</f>
        <v/>
      </c>
      <c r="AR466" s="68"/>
      <c r="AS466" s="69" t="str">
        <f aca="false">IF(ISBLANK($C466),"",IF($AB466&lt;&gt;Constants!$B$7,"",AJ466))</f>
        <v/>
      </c>
      <c r="AT466" s="84" t="str">
        <f aca="false">IF(ISBLANK($C466),"",IF($AB466&lt;&gt;Constants!$B$7,"",IF(AJ466=1,AD466,AG466)))</f>
        <v/>
      </c>
      <c r="AU466" s="71" t="str">
        <f aca="false">IF(ISBLANK($C466),"",IF($AB466&lt;&gt;Constants!$B$7,"",IF(AJ466=1,AE466,AH466)))</f>
        <v/>
      </c>
      <c r="AV466" s="72" t="str">
        <f aca="false">IF(ISBLANK($C466),"",IF($AB466&lt;&gt;Constants!$B$7,$AB466,AL466))</f>
        <v/>
      </c>
      <c r="AW466" s="73" t="str">
        <f aca="false">IF(ISBLANK($C466),"",IF($AB466&lt;&gt;Constants!$B$7,$AB466,AC466))</f>
        <v/>
      </c>
      <c r="AX466" s="74" t="str">
        <f aca="false">IF(ISBLANK($C466),"",AQ466)</f>
        <v/>
      </c>
      <c r="AY466" s="74" t="str">
        <f aca="false">IF(ISBLANK($C466),"",AP466)</f>
        <v/>
      </c>
      <c r="AZ466" s="75" t="str">
        <f aca="false">IF(ISBLANK($C466),"",IF(AY466=Constants!$B$4,COUNTA($C$8:$C$507)+2,IF(AY466=Constants!$B$5,COUNTA($C$8:$C$507)+1,IF(AY466=Constants!$B$6,COUNTA($C$8:$C$507),AY466))))</f>
        <v/>
      </c>
      <c r="BA466" s="5"/>
      <c r="BB466" s="76" t="n">
        <f aca="false">IF(OR(ISNUMBER(AY466),AY466=Constants!$B$4,AY466=Constants!$B$6,AY466=Constants!$B$5),1,0)</f>
        <v>0</v>
      </c>
      <c r="BC466" s="76" t="n">
        <v>459</v>
      </c>
      <c r="BD466" s="76" t="str">
        <f aca="false">IF(ISBLANK($C466),"",IF(ISNUMBER(AZ466),AZ466+ROW($B466)/1000,""))</f>
        <v/>
      </c>
      <c r="BE466" s="76" t="str">
        <f aca="false">IF(ISNUMBER(BD466),RANK(BD466,$BD$8:$BD$507,1),"")</f>
        <v/>
      </c>
      <c r="BF466" s="76" t="str">
        <f aca="false">IF(ISBLANK($C466),"",$B466)</f>
        <v/>
      </c>
      <c r="BG466" s="76" t="str">
        <f aca="false">IF(ISBLANK($C466),"",$C466)</f>
        <v/>
      </c>
      <c r="BH466" s="76" t="str">
        <f aca="false">IF(ISBLANK($C466),"",$D466)</f>
        <v/>
      </c>
      <c r="BI466" s="77" t="str">
        <f aca="false">AW466</f>
        <v/>
      </c>
      <c r="BJ466" s="78" t="str">
        <f aca="false">AV466</f>
        <v/>
      </c>
      <c r="BK466" s="76" t="str">
        <f aca="false">IF(ISBLANK($C466),"",AY466)</f>
        <v/>
      </c>
      <c r="BL466" s="79" t="str">
        <f aca="false">IF($BC466&gt;$BB$7,"",VLOOKUP($BC466,$BE$8:$BK$507,7,FALSE()))</f>
        <v/>
      </c>
      <c r="BM466" s="80" t="str">
        <f aca="false">IF($BC466&gt;$BB$7,"",VLOOKUP($BC466,$BE$8:$BK$507,2,FALSE()))</f>
        <v/>
      </c>
      <c r="BN466" s="80" t="str">
        <f aca="false">IF($BC466&gt;$BB$7,"",VLOOKUP($BC466,$BE$8:$BK$507,3,FALSE()))</f>
        <v/>
      </c>
      <c r="BO466" s="80" t="str">
        <f aca="false">IF($BC466&gt;$BB$7,"",VLOOKUP($BC466,$BE$8:$BK$507,4,FALSE()))</f>
        <v/>
      </c>
      <c r="BP466" s="80" t="str">
        <f aca="false">IF($BC466&gt;$BB$7,"",VLOOKUP($BC466,$BE$8:$BK$507,5,FALSE()))</f>
        <v/>
      </c>
      <c r="BQ466" s="81" t="str">
        <f aca="false">IF($BC466&gt;$BB$7,"",VLOOKUP($BC466,$BE$8:$BK$507,6,FALSE()))</f>
        <v/>
      </c>
      <c r="BR466" s="54"/>
    </row>
    <row r="467" customFormat="false" ht="15.75" hidden="false" customHeight="false" outlineLevel="0" collapsed="false">
      <c r="A467" s="5"/>
      <c r="B467" s="120"/>
      <c r="C467" s="121"/>
      <c r="D467" s="112"/>
      <c r="E467" s="123"/>
      <c r="F467" s="91"/>
      <c r="G467" s="92"/>
      <c r="H467" s="93"/>
      <c r="I467" s="94"/>
      <c r="J467" s="91"/>
      <c r="K467" s="92"/>
      <c r="L467" s="93"/>
      <c r="M467" s="94"/>
      <c r="N467" s="91"/>
      <c r="O467" s="123"/>
      <c r="P467" s="96"/>
      <c r="Q467" s="97" t="str">
        <f aca="false">IF(ISBLANK($C467),"",IF(E467=Constants!$B$2, TRUE(), IF(E467=Constants!$B$3, FALSE(), TRUE())))</f>
        <v/>
      </c>
      <c r="R467" s="97" t="str">
        <f aca="false">IF(ISBLANK($C467),"",IF(F467=Constants!$B$16,Constants!$B$9,IF(F467=Constants!$B$17,Constants!$B$10,Constants!$B$8)))</f>
        <v/>
      </c>
      <c r="S467" s="97" t="str">
        <f aca="false">IF(ISBLANK($C467),"",IF(COUNTA(G467:H467)=0,"",IF(AND(OR(ISBLANK(G467),AND(ISNUMBER(G467),G467&gt;=0)),OR(ISBLANK(H467),AND(ISNUMBER(H467),H467&gt;=0))),60*IF(ISBLANK(G467),0,G467)+IF(ISBLANK(H467),0,H467),"")))</f>
        <v/>
      </c>
      <c r="T467" s="97" t="str">
        <f aca="false">IF(ISBLANK($C467),"",IF(I467=Constants!$B$2, TRUE(), IF(I467=Constants!$B$3, FALSE(), TRUE())))</f>
        <v/>
      </c>
      <c r="U467" s="97" t="str">
        <f aca="false">IF(ISBLANK($C467),"",IF(J467=Constants!$B$2, TRUE(), IF(J467=Constants!$B$3, FALSE(), TRUE())))</f>
        <v/>
      </c>
      <c r="V467" s="97" t="str">
        <f aca="false">IF(ISBLANK($C467),"",IF(COUNTA(K467:L467)=0,"",IF(AND(OR(ISBLANK(K467),AND(ISNUMBER(K467),K467&gt;=0)),OR(ISBLANK(L467),AND(ISNUMBER(L467),L467&gt;=0))),60*IF(ISBLANK(K467),0,K467)+IF(ISBLANK(L467),0,L467),"")))</f>
        <v/>
      </c>
      <c r="W467" s="97" t="str">
        <f aca="false">IF(ISBLANK($C467),"",IF(M467=Constants!$B$2, TRUE(), IF(M467=Constants!$B$3, FALSE(), TRUE())))</f>
        <v/>
      </c>
      <c r="X467" s="97" t="str">
        <f aca="false">IF(ISBLANK($C467),"",IF(N467=Constants!$B$2, TRUE(), IF(N467=Constants!$B$3, FALSE(), TRUE())))</f>
        <v/>
      </c>
      <c r="Y467" s="97" t="str">
        <f aca="false">IF(ISBLANK($C467),"",IF(O467=Constants!$B$2, TRUE(), IF(O467=Constants!$B$3, FALSE(), FALSE())))</f>
        <v/>
      </c>
      <c r="Z467" s="97" t="str">
        <f aca="false">IF(ISBLANK($C467),"",AND(S467&lt;&gt;"",Q467))</f>
        <v/>
      </c>
      <c r="AA467" s="97" t="str">
        <f aca="false">IF(ISBLANK($C467),"",AND(V467&lt;&gt;"",Q467))</f>
        <v/>
      </c>
      <c r="AB467" s="97" t="str">
        <f aca="false">IF(ISBLANK($C467),"",IF(Y467,Constants!$B$4,IF(COUNTA(E467:N467)=0,Constants!$B$5,IF(NOT(Q467),Constants!$B$6,IF(AND(NOT(Z467),NOT(AA467)),Constants!$B$6,Constants!$B$7)))))</f>
        <v/>
      </c>
      <c r="AC467" s="97" t="str">
        <f aca="false">IF(ISBLANK($C467),"",IF($AB467&lt;&gt;Constants!$B$7,$AB467,Constants!$B$20))</f>
        <v/>
      </c>
      <c r="AD467" s="97" t="str">
        <f aca="false">IF($AB467=Constants!$B$7,IF(Z467,S467,Constants!$B$13),"")</f>
        <v/>
      </c>
      <c r="AE467" s="97" t="str">
        <f aca="false">IF($AB467=Constants!$B$7,IF(Z467,R467*IF(T467, 1, Constants!$B$11)*IF(U467, 1, Constants!$B$12),Constants!$B$13),"")</f>
        <v/>
      </c>
      <c r="AF467" s="97" t="str">
        <f aca="false">IF($AB467=Constants!$B$7,AD467*AE467,"")</f>
        <v/>
      </c>
      <c r="AG467" s="97" t="str">
        <f aca="false">IF($AB467=Constants!$B$7,IF(AA467,V467,Constants!$B$13),"")</f>
        <v/>
      </c>
      <c r="AH467" s="97" t="str">
        <f aca="false">IF($AB467=Constants!$B$7,IF(AA467,R467*IF(W467, 1, Constants!$B$11)*IF(X467, 1, Constants!$B$12),Constants!$B$13),"")</f>
        <v/>
      </c>
      <c r="AI467" s="97" t="str">
        <f aca="false">IF($AB467=Constants!$B$7,AG467*AH467,"")</f>
        <v/>
      </c>
      <c r="AJ467" s="97" t="str">
        <f aca="false">IF($AB467=Constants!$B$7,IF(AI467&gt;AF467,2,1),"")</f>
        <v/>
      </c>
      <c r="AK467" s="97" t="str">
        <f aca="false">IF($AB467=Constants!$B$7,IF(AJ467=1,2,1),"")</f>
        <v/>
      </c>
      <c r="AL467" s="97" t="str">
        <f aca="false">IF(ISBLANK($C467),"",IF($AB467&lt;&gt;Constants!$B$7,$AB467,IF(AJ467=1,AF467,AI467)))</f>
        <v/>
      </c>
      <c r="AM467" s="97" t="str">
        <f aca="false">IF(ISBLANK($C467),"",IF($AB467=Constants!$B$7,IF(ISNUMBER(AL467),RANK(AL467,$AL$8:$AL$507),Constants!$B$14),$AB467))</f>
        <v/>
      </c>
      <c r="AN467" s="97" t="str">
        <f aca="false">IF(ISBLANK($C467),"",IF($AB467=Constants!$B$7,IF(AK467=1,AF467,AI467),""))</f>
        <v/>
      </c>
      <c r="AO467" s="97" t="str">
        <f aca="false">IF(ISBLANK($C467),"",IF($AB467=Constants!$B$7,RANK(AN467,$AN$8:$AN$507),$AB467))</f>
        <v/>
      </c>
      <c r="AP467" s="97" t="str">
        <f aca="false">IF(ISBLANK($C467),"",IF($AB467=Constants!$B$7,IF(ISNUMBER(AM467),COUNTIFS($AM$8:$AM$507,"&lt;"&amp;$AM467)+COUNTIFS($AM$8:$AM$507,$AM467,$AO$8:$AO$507,"&lt;"&amp;$AO467)+1,Constants!$B$14),$AB467))</f>
        <v/>
      </c>
      <c r="AQ467" s="97" t="str">
        <f aca="false">IF(ISBLANK($C467),"",IF($AB467=Constants!$B$7,IF(ISNUMBER(AM467),AM467-AP467,Constants!$B$14),$AB467))</f>
        <v/>
      </c>
      <c r="AR467" s="98"/>
      <c r="AS467" s="99" t="str">
        <f aca="false">IF(ISBLANK($C467),"",IF($AB467&lt;&gt;Constants!$B$7,"",AJ467))</f>
        <v/>
      </c>
      <c r="AT467" s="100" t="str">
        <f aca="false">IF(ISBLANK($C467),"",IF($AB467&lt;&gt;Constants!$B$7,"",IF(AJ467=1,AD467,AG467)))</f>
        <v/>
      </c>
      <c r="AU467" s="101" t="str">
        <f aca="false">IF(ISBLANK($C467),"",IF($AB467&lt;&gt;Constants!$B$7,"",IF(AJ467=1,AE467,AH467)))</f>
        <v/>
      </c>
      <c r="AV467" s="102" t="str">
        <f aca="false">IF(ISBLANK($C467),"",IF($AB467&lt;&gt;Constants!$B$7,$AB467,AL467))</f>
        <v/>
      </c>
      <c r="AW467" s="103" t="str">
        <f aca="false">IF(ISBLANK($C467),"",IF($AB467&lt;&gt;Constants!$B$7,$AB467,AC467))</f>
        <v/>
      </c>
      <c r="AX467" s="104" t="str">
        <f aca="false">IF(ISBLANK($C467),"",AQ467)</f>
        <v/>
      </c>
      <c r="AY467" s="104" t="str">
        <f aca="false">IF(ISBLANK($C467),"",AP467)</f>
        <v/>
      </c>
      <c r="AZ467" s="105" t="str">
        <f aca="false">IF(ISBLANK($C467),"",IF(AY467=Constants!$B$4,COUNTA($C$8:$C$507)+2,IF(AY467=Constants!$B$5,COUNTA($C$8:$C$507)+1,IF(AY467=Constants!$B$6,COUNTA($C$8:$C$507),AY467))))</f>
        <v/>
      </c>
      <c r="BA467" s="5"/>
      <c r="BB467" s="106" t="n">
        <f aca="false">IF(OR(ISNUMBER(AY467),AY467=Constants!$B$4,AY467=Constants!$B$6,AY467=Constants!$B$5),1,0)</f>
        <v>0</v>
      </c>
      <c r="BC467" s="106" t="n">
        <v>460</v>
      </c>
      <c r="BD467" s="106" t="str">
        <f aca="false">IF(ISBLANK($C467),"",IF(ISNUMBER(AZ467),AZ467+ROW($B467)/1000,""))</f>
        <v/>
      </c>
      <c r="BE467" s="106" t="str">
        <f aca="false">IF(ISNUMBER(BD467),RANK(BD467,$BD$8:$BD$507,1),"")</f>
        <v/>
      </c>
      <c r="BF467" s="106" t="str">
        <f aca="false">IF(ISBLANK($C467),"",$B467)</f>
        <v/>
      </c>
      <c r="BG467" s="106" t="str">
        <f aca="false">IF(ISBLANK($C467),"",$C467)</f>
        <v/>
      </c>
      <c r="BH467" s="106" t="str">
        <f aca="false">IF(ISBLANK($C467),"",$D467)</f>
        <v/>
      </c>
      <c r="BI467" s="107" t="str">
        <f aca="false">AW467</f>
        <v/>
      </c>
      <c r="BJ467" s="108" t="str">
        <f aca="false">AV467</f>
        <v/>
      </c>
      <c r="BK467" s="106" t="str">
        <f aca="false">IF(ISBLANK($C467),"",AY467)</f>
        <v/>
      </c>
      <c r="BL467" s="109" t="str">
        <f aca="false">IF($BC467&gt;$BB$7,"",VLOOKUP($BC467,$BE$8:$BK$507,7,FALSE()))</f>
        <v/>
      </c>
      <c r="BM467" s="110" t="str">
        <f aca="false">IF($BC467&gt;$BB$7,"",VLOOKUP($BC467,$BE$8:$BK$507,2,FALSE()))</f>
        <v/>
      </c>
      <c r="BN467" s="110" t="str">
        <f aca="false">IF($BC467&gt;$BB$7,"",VLOOKUP($BC467,$BE$8:$BK$507,3,FALSE()))</f>
        <v/>
      </c>
      <c r="BO467" s="110" t="str">
        <f aca="false">IF($BC467&gt;$BB$7,"",VLOOKUP($BC467,$BE$8:$BK$507,4,FALSE()))</f>
        <v/>
      </c>
      <c r="BP467" s="110" t="str">
        <f aca="false">IF($BC467&gt;$BB$7,"",VLOOKUP($BC467,$BE$8:$BK$507,5,FALSE()))</f>
        <v/>
      </c>
      <c r="BQ467" s="111" t="str">
        <f aca="false">IF($BC467&gt;$BB$7,"",VLOOKUP($BC467,$BE$8:$BK$507,6,FALSE()))</f>
        <v/>
      </c>
      <c r="BR467" s="54"/>
    </row>
    <row r="468" customFormat="false" ht="15.75" hidden="false" customHeight="false" outlineLevel="0" collapsed="false">
      <c r="A468" s="5"/>
      <c r="B468" s="120"/>
      <c r="C468" s="121"/>
      <c r="D468" s="112"/>
      <c r="E468" s="123"/>
      <c r="F468" s="91"/>
      <c r="G468" s="92"/>
      <c r="H468" s="93"/>
      <c r="I468" s="94"/>
      <c r="J468" s="91"/>
      <c r="K468" s="92"/>
      <c r="L468" s="93"/>
      <c r="M468" s="94"/>
      <c r="N468" s="91"/>
      <c r="O468" s="123"/>
      <c r="P468" s="96"/>
      <c r="Q468" s="97" t="str">
        <f aca="false">IF(ISBLANK($C468),"",IF(E468=Constants!$B$2, TRUE(), IF(E468=Constants!$B$3, FALSE(), TRUE())))</f>
        <v/>
      </c>
      <c r="R468" s="97" t="str">
        <f aca="false">IF(ISBLANK($C468),"",IF(F468=Constants!$B$16,Constants!$B$9,IF(F468=Constants!$B$17,Constants!$B$10,Constants!$B$8)))</f>
        <v/>
      </c>
      <c r="S468" s="97" t="str">
        <f aca="false">IF(ISBLANK($C468),"",IF(COUNTA(G468:H468)=0,"",IF(AND(OR(ISBLANK(G468),AND(ISNUMBER(G468),G468&gt;=0)),OR(ISBLANK(H468),AND(ISNUMBER(H468),H468&gt;=0))),60*IF(ISBLANK(G468),0,G468)+IF(ISBLANK(H468),0,H468),"")))</f>
        <v/>
      </c>
      <c r="T468" s="97" t="str">
        <f aca="false">IF(ISBLANK($C468),"",IF(I468=Constants!$B$2, TRUE(), IF(I468=Constants!$B$3, FALSE(), TRUE())))</f>
        <v/>
      </c>
      <c r="U468" s="97" t="str">
        <f aca="false">IF(ISBLANK($C468),"",IF(J468=Constants!$B$2, TRUE(), IF(J468=Constants!$B$3, FALSE(), TRUE())))</f>
        <v/>
      </c>
      <c r="V468" s="97" t="str">
        <f aca="false">IF(ISBLANK($C468),"",IF(COUNTA(K468:L468)=0,"",IF(AND(OR(ISBLANK(K468),AND(ISNUMBER(K468),K468&gt;=0)),OR(ISBLANK(L468),AND(ISNUMBER(L468),L468&gt;=0))),60*IF(ISBLANK(K468),0,K468)+IF(ISBLANK(L468),0,L468),"")))</f>
        <v/>
      </c>
      <c r="W468" s="97" t="str">
        <f aca="false">IF(ISBLANK($C468),"",IF(M468=Constants!$B$2, TRUE(), IF(M468=Constants!$B$3, FALSE(), TRUE())))</f>
        <v/>
      </c>
      <c r="X468" s="97" t="str">
        <f aca="false">IF(ISBLANK($C468),"",IF(N468=Constants!$B$2, TRUE(), IF(N468=Constants!$B$3, FALSE(), TRUE())))</f>
        <v/>
      </c>
      <c r="Y468" s="97" t="str">
        <f aca="false">IF(ISBLANK($C468),"",IF(O468=Constants!$B$2, TRUE(), IF(O468=Constants!$B$3, FALSE(), FALSE())))</f>
        <v/>
      </c>
      <c r="Z468" s="97" t="str">
        <f aca="false">IF(ISBLANK($C468),"",AND(S468&lt;&gt;"",Q468))</f>
        <v/>
      </c>
      <c r="AA468" s="97" t="str">
        <f aca="false">IF(ISBLANK($C468),"",AND(V468&lt;&gt;"",Q468))</f>
        <v/>
      </c>
      <c r="AB468" s="97" t="str">
        <f aca="false">IF(ISBLANK($C468),"",IF(Y468,Constants!$B$4,IF(COUNTA(E468:N468)=0,Constants!$B$5,IF(NOT(Q468),Constants!$B$6,IF(AND(NOT(Z468),NOT(AA468)),Constants!$B$6,Constants!$B$7)))))</f>
        <v/>
      </c>
      <c r="AC468" s="97" t="str">
        <f aca="false">IF(ISBLANK($C468),"",IF($AB468&lt;&gt;Constants!$B$7,$AB468,Constants!$B$20))</f>
        <v/>
      </c>
      <c r="AD468" s="97" t="str">
        <f aca="false">IF($AB468=Constants!$B$7,IF(Z468,S468,Constants!$B$13),"")</f>
        <v/>
      </c>
      <c r="AE468" s="97" t="str">
        <f aca="false">IF($AB468=Constants!$B$7,IF(Z468,R468*IF(T468, 1, Constants!$B$11)*IF(U468, 1, Constants!$B$12),Constants!$B$13),"")</f>
        <v/>
      </c>
      <c r="AF468" s="97" t="str">
        <f aca="false">IF($AB468=Constants!$B$7,AD468*AE468,"")</f>
        <v/>
      </c>
      <c r="AG468" s="97" t="str">
        <f aca="false">IF($AB468=Constants!$B$7,IF(AA468,V468,Constants!$B$13),"")</f>
        <v/>
      </c>
      <c r="AH468" s="97" t="str">
        <f aca="false">IF($AB468=Constants!$B$7,IF(AA468,R468*IF(W468, 1, Constants!$B$11)*IF(X468, 1, Constants!$B$12),Constants!$B$13),"")</f>
        <v/>
      </c>
      <c r="AI468" s="97" t="str">
        <f aca="false">IF($AB468=Constants!$B$7,AG468*AH468,"")</f>
        <v/>
      </c>
      <c r="AJ468" s="97" t="str">
        <f aca="false">IF($AB468=Constants!$B$7,IF(AI468&gt;AF468,2,1),"")</f>
        <v/>
      </c>
      <c r="AK468" s="97" t="str">
        <f aca="false">IF($AB468=Constants!$B$7,IF(AJ468=1,2,1),"")</f>
        <v/>
      </c>
      <c r="AL468" s="97" t="str">
        <f aca="false">IF(ISBLANK($C468),"",IF($AB468&lt;&gt;Constants!$B$7,$AB468,IF(AJ468=1,AF468,AI468)))</f>
        <v/>
      </c>
      <c r="AM468" s="97" t="str">
        <f aca="false">IF(ISBLANK($C468),"",IF($AB468=Constants!$B$7,IF(ISNUMBER(AL468),RANK(AL468,$AL$8:$AL$507),Constants!$B$14),$AB468))</f>
        <v/>
      </c>
      <c r="AN468" s="97" t="str">
        <f aca="false">IF(ISBLANK($C468),"",IF($AB468=Constants!$B$7,IF(AK468=1,AF468,AI468),""))</f>
        <v/>
      </c>
      <c r="AO468" s="97" t="str">
        <f aca="false">IF(ISBLANK($C468),"",IF($AB468=Constants!$B$7,RANK(AN468,$AN$8:$AN$507),$AB468))</f>
        <v/>
      </c>
      <c r="AP468" s="97" t="str">
        <f aca="false">IF(ISBLANK($C468),"",IF($AB468=Constants!$B$7,IF(ISNUMBER(AM468),COUNTIFS($AM$8:$AM$507,"&lt;"&amp;$AM468)+COUNTIFS($AM$8:$AM$507,$AM468,$AO$8:$AO$507,"&lt;"&amp;$AO468)+1,Constants!$B$14),$AB468))</f>
        <v/>
      </c>
      <c r="AQ468" s="97" t="str">
        <f aca="false">IF(ISBLANK($C468),"",IF($AB468=Constants!$B$7,IF(ISNUMBER(AM468),AM468-AP468,Constants!$B$14),$AB468))</f>
        <v/>
      </c>
      <c r="AR468" s="98"/>
      <c r="AS468" s="99" t="str">
        <f aca="false">IF(ISBLANK($C468),"",IF($AB468&lt;&gt;Constants!$B$7,"",AJ468))</f>
        <v/>
      </c>
      <c r="AT468" s="100" t="str">
        <f aca="false">IF(ISBLANK($C468),"",IF($AB468&lt;&gt;Constants!$B$7,"",IF(AJ468=1,AD468,AG468)))</f>
        <v/>
      </c>
      <c r="AU468" s="101" t="str">
        <f aca="false">IF(ISBLANK($C468),"",IF($AB468&lt;&gt;Constants!$B$7,"",IF(AJ468=1,AE468,AH468)))</f>
        <v/>
      </c>
      <c r="AV468" s="102" t="str">
        <f aca="false">IF(ISBLANK($C468),"",IF($AB468&lt;&gt;Constants!$B$7,$AB468,AL468))</f>
        <v/>
      </c>
      <c r="AW468" s="103" t="str">
        <f aca="false">IF(ISBLANK($C468),"",IF($AB468&lt;&gt;Constants!$B$7,$AB468,AC468))</f>
        <v/>
      </c>
      <c r="AX468" s="104" t="str">
        <f aca="false">IF(ISBLANK($C468),"",AQ468)</f>
        <v/>
      </c>
      <c r="AY468" s="104" t="str">
        <f aca="false">IF(ISBLANK($C468),"",AP468)</f>
        <v/>
      </c>
      <c r="AZ468" s="105" t="str">
        <f aca="false">IF(ISBLANK($C468),"",IF(AY468=Constants!$B$4,COUNTA($C$8:$C$507)+2,IF(AY468=Constants!$B$5,COUNTA($C$8:$C$507)+1,IF(AY468=Constants!$B$6,COUNTA($C$8:$C$507),AY468))))</f>
        <v/>
      </c>
      <c r="BA468" s="5"/>
      <c r="BB468" s="106" t="n">
        <f aca="false">IF(OR(ISNUMBER(AY468),AY468=Constants!$B$4,AY468=Constants!$B$6,AY468=Constants!$B$5),1,0)</f>
        <v>0</v>
      </c>
      <c r="BC468" s="106" t="n">
        <v>461</v>
      </c>
      <c r="BD468" s="106" t="str">
        <f aca="false">IF(ISBLANK($C468),"",IF(ISNUMBER(AZ468),AZ468+ROW($B468)/1000,""))</f>
        <v/>
      </c>
      <c r="BE468" s="106" t="str">
        <f aca="false">IF(ISNUMBER(BD468),RANK(BD468,$BD$8:$BD$507,1),"")</f>
        <v/>
      </c>
      <c r="BF468" s="106" t="str">
        <f aca="false">IF(ISBLANK($C468),"",$B468)</f>
        <v/>
      </c>
      <c r="BG468" s="106" t="str">
        <f aca="false">IF(ISBLANK($C468),"",$C468)</f>
        <v/>
      </c>
      <c r="BH468" s="106" t="str">
        <f aca="false">IF(ISBLANK($C468),"",$D468)</f>
        <v/>
      </c>
      <c r="BI468" s="107" t="str">
        <f aca="false">AW468</f>
        <v/>
      </c>
      <c r="BJ468" s="108" t="str">
        <f aca="false">AV468</f>
        <v/>
      </c>
      <c r="BK468" s="106" t="str">
        <f aca="false">IF(ISBLANK($C468),"",AY468)</f>
        <v/>
      </c>
      <c r="BL468" s="109" t="str">
        <f aca="false">IF($BC468&gt;$BB$7,"",VLOOKUP($BC468,$BE$8:$BK$507,7,FALSE()))</f>
        <v/>
      </c>
      <c r="BM468" s="110" t="str">
        <f aca="false">IF($BC468&gt;$BB$7,"",VLOOKUP($BC468,$BE$8:$BK$507,2,FALSE()))</f>
        <v/>
      </c>
      <c r="BN468" s="110" t="str">
        <f aca="false">IF($BC468&gt;$BB$7,"",VLOOKUP($BC468,$BE$8:$BK$507,3,FALSE()))</f>
        <v/>
      </c>
      <c r="BO468" s="110" t="str">
        <f aca="false">IF($BC468&gt;$BB$7,"",VLOOKUP($BC468,$BE$8:$BK$507,4,FALSE()))</f>
        <v/>
      </c>
      <c r="BP468" s="110" t="str">
        <f aca="false">IF($BC468&gt;$BB$7,"",VLOOKUP($BC468,$BE$8:$BK$507,5,FALSE()))</f>
        <v/>
      </c>
      <c r="BQ468" s="111" t="str">
        <f aca="false">IF($BC468&gt;$BB$7,"",VLOOKUP($BC468,$BE$8:$BK$507,6,FALSE()))</f>
        <v/>
      </c>
      <c r="BR468" s="54"/>
    </row>
    <row r="469" customFormat="false" ht="15.75" hidden="false" customHeight="false" outlineLevel="0" collapsed="false">
      <c r="A469" s="5"/>
      <c r="B469" s="120"/>
      <c r="C469" s="121"/>
      <c r="D469" s="112"/>
      <c r="E469" s="123"/>
      <c r="F469" s="91"/>
      <c r="G469" s="92"/>
      <c r="H469" s="93"/>
      <c r="I469" s="94"/>
      <c r="J469" s="91"/>
      <c r="K469" s="92"/>
      <c r="L469" s="93"/>
      <c r="M469" s="94"/>
      <c r="N469" s="91"/>
      <c r="O469" s="123"/>
      <c r="P469" s="96"/>
      <c r="Q469" s="97" t="str">
        <f aca="false">IF(ISBLANK($C469),"",IF(E469=Constants!$B$2, TRUE(), IF(E469=Constants!$B$3, FALSE(), TRUE())))</f>
        <v/>
      </c>
      <c r="R469" s="97" t="str">
        <f aca="false">IF(ISBLANK($C469),"",IF(F469=Constants!$B$16,Constants!$B$9,IF(F469=Constants!$B$17,Constants!$B$10,Constants!$B$8)))</f>
        <v/>
      </c>
      <c r="S469" s="97" t="str">
        <f aca="false">IF(ISBLANK($C469),"",IF(COUNTA(G469:H469)=0,"",IF(AND(OR(ISBLANK(G469),AND(ISNUMBER(G469),G469&gt;=0)),OR(ISBLANK(H469),AND(ISNUMBER(H469),H469&gt;=0))),60*IF(ISBLANK(G469),0,G469)+IF(ISBLANK(H469),0,H469),"")))</f>
        <v/>
      </c>
      <c r="T469" s="97" t="str">
        <f aca="false">IF(ISBLANK($C469),"",IF(I469=Constants!$B$2, TRUE(), IF(I469=Constants!$B$3, FALSE(), TRUE())))</f>
        <v/>
      </c>
      <c r="U469" s="97" t="str">
        <f aca="false">IF(ISBLANK($C469),"",IF(J469=Constants!$B$2, TRUE(), IF(J469=Constants!$B$3, FALSE(), TRUE())))</f>
        <v/>
      </c>
      <c r="V469" s="97" t="str">
        <f aca="false">IF(ISBLANK($C469),"",IF(COUNTA(K469:L469)=0,"",IF(AND(OR(ISBLANK(K469),AND(ISNUMBER(K469),K469&gt;=0)),OR(ISBLANK(L469),AND(ISNUMBER(L469),L469&gt;=0))),60*IF(ISBLANK(K469),0,K469)+IF(ISBLANK(L469),0,L469),"")))</f>
        <v/>
      </c>
      <c r="W469" s="97" t="str">
        <f aca="false">IF(ISBLANK($C469),"",IF(M469=Constants!$B$2, TRUE(), IF(M469=Constants!$B$3, FALSE(), TRUE())))</f>
        <v/>
      </c>
      <c r="X469" s="97" t="str">
        <f aca="false">IF(ISBLANK($C469),"",IF(N469=Constants!$B$2, TRUE(), IF(N469=Constants!$B$3, FALSE(), TRUE())))</f>
        <v/>
      </c>
      <c r="Y469" s="97" t="str">
        <f aca="false">IF(ISBLANK($C469),"",IF(O469=Constants!$B$2, TRUE(), IF(O469=Constants!$B$3, FALSE(), FALSE())))</f>
        <v/>
      </c>
      <c r="Z469" s="97" t="str">
        <f aca="false">IF(ISBLANK($C469),"",AND(S469&lt;&gt;"",Q469))</f>
        <v/>
      </c>
      <c r="AA469" s="97" t="str">
        <f aca="false">IF(ISBLANK($C469),"",AND(V469&lt;&gt;"",Q469))</f>
        <v/>
      </c>
      <c r="AB469" s="97" t="str">
        <f aca="false">IF(ISBLANK($C469),"",IF(Y469,Constants!$B$4,IF(COUNTA(E469:N469)=0,Constants!$B$5,IF(NOT(Q469),Constants!$B$6,IF(AND(NOT(Z469),NOT(AA469)),Constants!$B$6,Constants!$B$7)))))</f>
        <v/>
      </c>
      <c r="AC469" s="97" t="str">
        <f aca="false">IF(ISBLANK($C469),"",IF($AB469&lt;&gt;Constants!$B$7,$AB469,Constants!$B$20))</f>
        <v/>
      </c>
      <c r="AD469" s="97" t="str">
        <f aca="false">IF($AB469=Constants!$B$7,IF(Z469,S469,Constants!$B$13),"")</f>
        <v/>
      </c>
      <c r="AE469" s="97" t="str">
        <f aca="false">IF($AB469=Constants!$B$7,IF(Z469,R469*IF(T469, 1, Constants!$B$11)*IF(U469, 1, Constants!$B$12),Constants!$B$13),"")</f>
        <v/>
      </c>
      <c r="AF469" s="97" t="str">
        <f aca="false">IF($AB469=Constants!$B$7,AD469*AE469,"")</f>
        <v/>
      </c>
      <c r="AG469" s="97" t="str">
        <f aca="false">IF($AB469=Constants!$B$7,IF(AA469,V469,Constants!$B$13),"")</f>
        <v/>
      </c>
      <c r="AH469" s="97" t="str">
        <f aca="false">IF($AB469=Constants!$B$7,IF(AA469,R469*IF(W469, 1, Constants!$B$11)*IF(X469, 1, Constants!$B$12),Constants!$B$13),"")</f>
        <v/>
      </c>
      <c r="AI469" s="97" t="str">
        <f aca="false">IF($AB469=Constants!$B$7,AG469*AH469,"")</f>
        <v/>
      </c>
      <c r="AJ469" s="97" t="str">
        <f aca="false">IF($AB469=Constants!$B$7,IF(AI469&gt;AF469,2,1),"")</f>
        <v/>
      </c>
      <c r="AK469" s="97" t="str">
        <f aca="false">IF($AB469=Constants!$B$7,IF(AJ469=1,2,1),"")</f>
        <v/>
      </c>
      <c r="AL469" s="97" t="str">
        <f aca="false">IF(ISBLANK($C469),"",IF($AB469&lt;&gt;Constants!$B$7,$AB469,IF(AJ469=1,AF469,AI469)))</f>
        <v/>
      </c>
      <c r="AM469" s="97" t="str">
        <f aca="false">IF(ISBLANK($C469),"",IF($AB469=Constants!$B$7,IF(ISNUMBER(AL469),RANK(AL469,$AL$8:$AL$507),Constants!$B$14),$AB469))</f>
        <v/>
      </c>
      <c r="AN469" s="97" t="str">
        <f aca="false">IF(ISBLANK($C469),"",IF($AB469=Constants!$B$7,IF(AK469=1,AF469,AI469),""))</f>
        <v/>
      </c>
      <c r="AO469" s="97" t="str">
        <f aca="false">IF(ISBLANK($C469),"",IF($AB469=Constants!$B$7,RANK(AN469,$AN$8:$AN$507),$AB469))</f>
        <v/>
      </c>
      <c r="AP469" s="97" t="str">
        <f aca="false">IF(ISBLANK($C469),"",IF($AB469=Constants!$B$7,IF(ISNUMBER(AM469),COUNTIFS($AM$8:$AM$507,"&lt;"&amp;$AM469)+COUNTIFS($AM$8:$AM$507,$AM469,$AO$8:$AO$507,"&lt;"&amp;$AO469)+1,Constants!$B$14),$AB469))</f>
        <v/>
      </c>
      <c r="AQ469" s="97" t="str">
        <f aca="false">IF(ISBLANK($C469),"",IF($AB469=Constants!$B$7,IF(ISNUMBER(AM469),AM469-AP469,Constants!$B$14),$AB469))</f>
        <v/>
      </c>
      <c r="AR469" s="98"/>
      <c r="AS469" s="99" t="str">
        <f aca="false">IF(ISBLANK($C469),"",IF($AB469&lt;&gt;Constants!$B$7,"",AJ469))</f>
        <v/>
      </c>
      <c r="AT469" s="100" t="str">
        <f aca="false">IF(ISBLANK($C469),"",IF($AB469&lt;&gt;Constants!$B$7,"",IF(AJ469=1,AD469,AG469)))</f>
        <v/>
      </c>
      <c r="AU469" s="101" t="str">
        <f aca="false">IF(ISBLANK($C469),"",IF($AB469&lt;&gt;Constants!$B$7,"",IF(AJ469=1,AE469,AH469)))</f>
        <v/>
      </c>
      <c r="AV469" s="102" t="str">
        <f aca="false">IF(ISBLANK($C469),"",IF($AB469&lt;&gt;Constants!$B$7,$AB469,AL469))</f>
        <v/>
      </c>
      <c r="AW469" s="103" t="str">
        <f aca="false">IF(ISBLANK($C469),"",IF($AB469&lt;&gt;Constants!$B$7,$AB469,AC469))</f>
        <v/>
      </c>
      <c r="AX469" s="104" t="str">
        <f aca="false">IF(ISBLANK($C469),"",AQ469)</f>
        <v/>
      </c>
      <c r="AY469" s="104" t="str">
        <f aca="false">IF(ISBLANK($C469),"",AP469)</f>
        <v/>
      </c>
      <c r="AZ469" s="105" t="str">
        <f aca="false">IF(ISBLANK($C469),"",IF(AY469=Constants!$B$4,COUNTA($C$8:$C$507)+2,IF(AY469=Constants!$B$5,COUNTA($C$8:$C$507)+1,IF(AY469=Constants!$B$6,COUNTA($C$8:$C$507),AY469))))</f>
        <v/>
      </c>
      <c r="BA469" s="5"/>
      <c r="BB469" s="106" t="n">
        <f aca="false">IF(OR(ISNUMBER(AY469),AY469=Constants!$B$4,AY469=Constants!$B$6,AY469=Constants!$B$5),1,0)</f>
        <v>0</v>
      </c>
      <c r="BC469" s="106" t="n">
        <v>462</v>
      </c>
      <c r="BD469" s="106" t="str">
        <f aca="false">IF(ISBLANK($C469),"",IF(ISNUMBER(AZ469),AZ469+ROW($B469)/1000,""))</f>
        <v/>
      </c>
      <c r="BE469" s="106" t="str">
        <f aca="false">IF(ISNUMBER(BD469),RANK(BD469,$BD$8:$BD$507,1),"")</f>
        <v/>
      </c>
      <c r="BF469" s="106" t="str">
        <f aca="false">IF(ISBLANK($C469),"",$B469)</f>
        <v/>
      </c>
      <c r="BG469" s="106" t="str">
        <f aca="false">IF(ISBLANK($C469),"",$C469)</f>
        <v/>
      </c>
      <c r="BH469" s="106" t="str">
        <f aca="false">IF(ISBLANK($C469),"",$D469)</f>
        <v/>
      </c>
      <c r="BI469" s="107" t="str">
        <f aca="false">AW469</f>
        <v/>
      </c>
      <c r="BJ469" s="108" t="str">
        <f aca="false">AV469</f>
        <v/>
      </c>
      <c r="BK469" s="106" t="str">
        <f aca="false">IF(ISBLANK($C469),"",AY469)</f>
        <v/>
      </c>
      <c r="BL469" s="109" t="str">
        <f aca="false">IF($BC469&gt;$BB$7,"",VLOOKUP($BC469,$BE$8:$BK$507,7,FALSE()))</f>
        <v/>
      </c>
      <c r="BM469" s="110" t="str">
        <f aca="false">IF($BC469&gt;$BB$7,"",VLOOKUP($BC469,$BE$8:$BK$507,2,FALSE()))</f>
        <v/>
      </c>
      <c r="BN469" s="110" t="str">
        <f aca="false">IF($BC469&gt;$BB$7,"",VLOOKUP($BC469,$BE$8:$BK$507,3,FALSE()))</f>
        <v/>
      </c>
      <c r="BO469" s="110" t="str">
        <f aca="false">IF($BC469&gt;$BB$7,"",VLOOKUP($BC469,$BE$8:$BK$507,4,FALSE()))</f>
        <v/>
      </c>
      <c r="BP469" s="110" t="str">
        <f aca="false">IF($BC469&gt;$BB$7,"",VLOOKUP($BC469,$BE$8:$BK$507,5,FALSE()))</f>
        <v/>
      </c>
      <c r="BQ469" s="111" t="str">
        <f aca="false">IF($BC469&gt;$BB$7,"",VLOOKUP($BC469,$BE$8:$BK$507,6,FALSE()))</f>
        <v/>
      </c>
      <c r="BR469" s="54"/>
    </row>
    <row r="470" customFormat="false" ht="15.75" hidden="false" customHeight="false" outlineLevel="0" collapsed="false">
      <c r="A470" s="5"/>
      <c r="B470" s="124"/>
      <c r="C470" s="56"/>
      <c r="D470" s="57"/>
      <c r="E470" s="83"/>
      <c r="F470" s="59"/>
      <c r="G470" s="60"/>
      <c r="H470" s="61"/>
      <c r="I470" s="62"/>
      <c r="J470" s="59"/>
      <c r="K470" s="60"/>
      <c r="L470" s="61"/>
      <c r="M470" s="62"/>
      <c r="N470" s="59"/>
      <c r="O470" s="83"/>
      <c r="P470" s="64"/>
      <c r="Q470" s="66" t="str">
        <f aca="false">IF(ISBLANK($C470),"",IF(E470=Constants!$B$2, TRUE(), IF(E470=Constants!$B$3, FALSE(), TRUE())))</f>
        <v/>
      </c>
      <c r="R470" s="66" t="str">
        <f aca="false">IF(ISBLANK($C470),"",IF(F470=Constants!$B$16,Constants!$B$9,IF(F470=Constants!$B$17,Constants!$B$10,Constants!$B$8)))</f>
        <v/>
      </c>
      <c r="S470" s="66" t="str">
        <f aca="false">IF(ISBLANK($C470),"",IF(COUNTA(G470:H470)=0,"",IF(AND(OR(ISBLANK(G470),AND(ISNUMBER(G470),G470&gt;=0)),OR(ISBLANK(H470),AND(ISNUMBER(H470),H470&gt;=0))),60*IF(ISBLANK(G470),0,G470)+IF(ISBLANK(H470),0,H470),"")))</f>
        <v/>
      </c>
      <c r="T470" s="66" t="str">
        <f aca="false">IF(ISBLANK($C470),"",IF(I470=Constants!$B$2, TRUE(), IF(I470=Constants!$B$3, FALSE(), TRUE())))</f>
        <v/>
      </c>
      <c r="U470" s="66" t="str">
        <f aca="false">IF(ISBLANK($C470),"",IF(J470=Constants!$B$2, TRUE(), IF(J470=Constants!$B$3, FALSE(), TRUE())))</f>
        <v/>
      </c>
      <c r="V470" s="66" t="str">
        <f aca="false">IF(ISBLANK($C470),"",IF(COUNTA(K470:L470)=0,"",IF(AND(OR(ISBLANK(K470),AND(ISNUMBER(K470),K470&gt;=0)),OR(ISBLANK(L470),AND(ISNUMBER(L470),L470&gt;=0))),60*IF(ISBLANK(K470),0,K470)+IF(ISBLANK(L470),0,L470),"")))</f>
        <v/>
      </c>
      <c r="W470" s="66" t="str">
        <f aca="false">IF(ISBLANK($C470),"",IF(M470=Constants!$B$2, TRUE(), IF(M470=Constants!$B$3, FALSE(), TRUE())))</f>
        <v/>
      </c>
      <c r="X470" s="66" t="str">
        <f aca="false">IF(ISBLANK($C470),"",IF(N470=Constants!$B$2, TRUE(), IF(N470=Constants!$B$3, FALSE(), TRUE())))</f>
        <v/>
      </c>
      <c r="Y470" s="66" t="str">
        <f aca="false">IF(ISBLANK($C470),"",IF(O470=Constants!$B$2, TRUE(), IF(O470=Constants!$B$3, FALSE(), FALSE())))</f>
        <v/>
      </c>
      <c r="Z470" s="66" t="str">
        <f aca="false">IF(ISBLANK($C470),"",AND(S470&lt;&gt;"",Q470))</f>
        <v/>
      </c>
      <c r="AA470" s="66" t="str">
        <f aca="false">IF(ISBLANK($C470),"",AND(V470&lt;&gt;"",Q470))</f>
        <v/>
      </c>
      <c r="AB470" s="66" t="str">
        <f aca="false">IF(ISBLANK($C470),"",IF(Y470,Constants!$B$4,IF(COUNTA(E470:N470)=0,Constants!$B$5,IF(NOT(Q470),Constants!$B$6,IF(AND(NOT(Z470),NOT(AA470)),Constants!$B$6,Constants!$B$7)))))</f>
        <v/>
      </c>
      <c r="AC470" s="66" t="str">
        <f aca="false">IF(ISBLANK($C470),"",IF($AB470&lt;&gt;Constants!$B$7,$AB470,Constants!$B$20))</f>
        <v/>
      </c>
      <c r="AD470" s="66" t="str">
        <f aca="false">IF($AB470=Constants!$B$7,IF(Z470,S470,Constants!$B$13),"")</f>
        <v/>
      </c>
      <c r="AE470" s="66" t="str">
        <f aca="false">IF($AB470=Constants!$B$7,IF(Z470,R470*IF(T470, 1, Constants!$B$11)*IF(U470, 1, Constants!$B$12),Constants!$B$13),"")</f>
        <v/>
      </c>
      <c r="AF470" s="66" t="str">
        <f aca="false">IF($AB470=Constants!$B$7,AD470*AE470,"")</f>
        <v/>
      </c>
      <c r="AG470" s="66" t="str">
        <f aca="false">IF($AB470=Constants!$B$7,IF(AA470,V470,Constants!$B$13),"")</f>
        <v/>
      </c>
      <c r="AH470" s="66" t="str">
        <f aca="false">IF($AB470=Constants!$B$7,IF(AA470,R470*IF(W470, 1, Constants!$B$11)*IF(X470, 1, Constants!$B$12),Constants!$B$13),"")</f>
        <v/>
      </c>
      <c r="AI470" s="66" t="str">
        <f aca="false">IF($AB470=Constants!$B$7,AG470*AH470,"")</f>
        <v/>
      </c>
      <c r="AJ470" s="66" t="str">
        <f aca="false">IF($AB470=Constants!$B$7,IF(AI470&gt;AF470,2,1),"")</f>
        <v/>
      </c>
      <c r="AK470" s="66" t="str">
        <f aca="false">IF($AB470=Constants!$B$7,IF(AJ470=1,2,1),"")</f>
        <v/>
      </c>
      <c r="AL470" s="66" t="str">
        <f aca="false">IF(ISBLANK($C470),"",IF($AB470&lt;&gt;Constants!$B$7,$AB470,IF(AJ470=1,AF470,AI470)))</f>
        <v/>
      </c>
      <c r="AM470" s="66" t="str">
        <f aca="false">IF(ISBLANK($C470),"",IF($AB470=Constants!$B$7,IF(ISNUMBER(AL470),RANK(AL470,$AL$8:$AL$507),Constants!$B$14),$AB470))</f>
        <v/>
      </c>
      <c r="AN470" s="66" t="str">
        <f aca="false">IF(ISBLANK($C470),"",IF($AB470=Constants!$B$7,IF(AK470=1,AF470,AI470),""))</f>
        <v/>
      </c>
      <c r="AO470" s="66" t="str">
        <f aca="false">IF(ISBLANK($C470),"",IF($AB470=Constants!$B$7,RANK(AN470,$AN$8:$AN$507),$AB470))</f>
        <v/>
      </c>
      <c r="AP470" s="66" t="str">
        <f aca="false">IF(ISBLANK($C470),"",IF($AB470=Constants!$B$7,IF(ISNUMBER(AM470),COUNTIFS($AM$8:$AM$507,"&lt;"&amp;$AM470)+COUNTIFS($AM$8:$AM$507,$AM470,$AO$8:$AO$507,"&lt;"&amp;$AO470)+1,Constants!$B$14),$AB470))</f>
        <v/>
      </c>
      <c r="AQ470" s="66" t="str">
        <f aca="false">IF(ISBLANK($C470),"",IF($AB470=Constants!$B$7,IF(ISNUMBER(AM470),AM470-AP470,Constants!$B$14),$AB470))</f>
        <v/>
      </c>
      <c r="AR470" s="68"/>
      <c r="AS470" s="69" t="str">
        <f aca="false">IF(ISBLANK($C470),"",IF($AB470&lt;&gt;Constants!$B$7,"",AJ470))</f>
        <v/>
      </c>
      <c r="AT470" s="84" t="str">
        <f aca="false">IF(ISBLANK($C470),"",IF($AB470&lt;&gt;Constants!$B$7,"",IF(AJ470=1,AD470,AG470)))</f>
        <v/>
      </c>
      <c r="AU470" s="71" t="str">
        <f aca="false">IF(ISBLANK($C470),"",IF($AB470&lt;&gt;Constants!$B$7,"",IF(AJ470=1,AE470,AH470)))</f>
        <v/>
      </c>
      <c r="AV470" s="72" t="str">
        <f aca="false">IF(ISBLANK($C470),"",IF($AB470&lt;&gt;Constants!$B$7,$AB470,AL470))</f>
        <v/>
      </c>
      <c r="AW470" s="73" t="str">
        <f aca="false">IF(ISBLANK($C470),"",IF($AB470&lt;&gt;Constants!$B$7,$AB470,AC470))</f>
        <v/>
      </c>
      <c r="AX470" s="74" t="str">
        <f aca="false">IF(ISBLANK($C470),"",AQ470)</f>
        <v/>
      </c>
      <c r="AY470" s="74" t="str">
        <f aca="false">IF(ISBLANK($C470),"",AP470)</f>
        <v/>
      </c>
      <c r="AZ470" s="75" t="str">
        <f aca="false">IF(ISBLANK($C470),"",IF(AY470=Constants!$B$4,COUNTA($C$8:$C$507)+2,IF(AY470=Constants!$B$5,COUNTA($C$8:$C$507)+1,IF(AY470=Constants!$B$6,COUNTA($C$8:$C$507),AY470))))</f>
        <v/>
      </c>
      <c r="BA470" s="5"/>
      <c r="BB470" s="76" t="n">
        <f aca="false">IF(OR(ISNUMBER(AY470),AY470=Constants!$B$4,AY470=Constants!$B$6,AY470=Constants!$B$5),1,0)</f>
        <v>0</v>
      </c>
      <c r="BC470" s="76" t="n">
        <v>463</v>
      </c>
      <c r="BD470" s="76" t="str">
        <f aca="false">IF(ISBLANK($C470),"",IF(ISNUMBER(AZ470),AZ470+ROW($B470)/1000,""))</f>
        <v/>
      </c>
      <c r="BE470" s="76" t="str">
        <f aca="false">IF(ISNUMBER(BD470),RANK(BD470,$BD$8:$BD$507,1),"")</f>
        <v/>
      </c>
      <c r="BF470" s="76" t="str">
        <f aca="false">IF(ISBLANK($C470),"",$B470)</f>
        <v/>
      </c>
      <c r="BG470" s="76" t="str">
        <f aca="false">IF(ISBLANK($C470),"",$C470)</f>
        <v/>
      </c>
      <c r="BH470" s="76" t="str">
        <f aca="false">IF(ISBLANK($C470),"",$D470)</f>
        <v/>
      </c>
      <c r="BI470" s="77" t="str">
        <f aca="false">AW470</f>
        <v/>
      </c>
      <c r="BJ470" s="78" t="str">
        <f aca="false">AV470</f>
        <v/>
      </c>
      <c r="BK470" s="76" t="str">
        <f aca="false">IF(ISBLANK($C470),"",AY470)</f>
        <v/>
      </c>
      <c r="BL470" s="79" t="str">
        <f aca="false">IF($BC470&gt;$BB$7,"",VLOOKUP($BC470,$BE$8:$BK$507,7,FALSE()))</f>
        <v/>
      </c>
      <c r="BM470" s="80" t="str">
        <f aca="false">IF($BC470&gt;$BB$7,"",VLOOKUP($BC470,$BE$8:$BK$507,2,FALSE()))</f>
        <v/>
      </c>
      <c r="BN470" s="80" t="str">
        <f aca="false">IF($BC470&gt;$BB$7,"",VLOOKUP($BC470,$BE$8:$BK$507,3,FALSE()))</f>
        <v/>
      </c>
      <c r="BO470" s="80" t="str">
        <f aca="false">IF($BC470&gt;$BB$7,"",VLOOKUP($BC470,$BE$8:$BK$507,4,FALSE()))</f>
        <v/>
      </c>
      <c r="BP470" s="80" t="str">
        <f aca="false">IF($BC470&gt;$BB$7,"",VLOOKUP($BC470,$BE$8:$BK$507,5,FALSE()))</f>
        <v/>
      </c>
      <c r="BQ470" s="81" t="str">
        <f aca="false">IF($BC470&gt;$BB$7,"",VLOOKUP($BC470,$BE$8:$BK$507,6,FALSE()))</f>
        <v/>
      </c>
      <c r="BR470" s="54"/>
    </row>
    <row r="471" customFormat="false" ht="15.75" hidden="false" customHeight="false" outlineLevel="0" collapsed="false">
      <c r="A471" s="5"/>
      <c r="B471" s="124"/>
      <c r="C471" s="56"/>
      <c r="D471" s="57"/>
      <c r="E471" s="83"/>
      <c r="F471" s="59"/>
      <c r="G471" s="60"/>
      <c r="H471" s="61"/>
      <c r="I471" s="62"/>
      <c r="J471" s="59"/>
      <c r="K471" s="60"/>
      <c r="L471" s="61"/>
      <c r="M471" s="62"/>
      <c r="N471" s="59"/>
      <c r="O471" s="83"/>
      <c r="P471" s="64"/>
      <c r="Q471" s="66" t="str">
        <f aca="false">IF(ISBLANK($C471),"",IF(E471=Constants!$B$2, TRUE(), IF(E471=Constants!$B$3, FALSE(), TRUE())))</f>
        <v/>
      </c>
      <c r="R471" s="66" t="str">
        <f aca="false">IF(ISBLANK($C471),"",IF(F471=Constants!$B$16,Constants!$B$9,IF(F471=Constants!$B$17,Constants!$B$10,Constants!$B$8)))</f>
        <v/>
      </c>
      <c r="S471" s="66" t="str">
        <f aca="false">IF(ISBLANK($C471),"",IF(COUNTA(G471:H471)=0,"",IF(AND(OR(ISBLANK(G471),AND(ISNUMBER(G471),G471&gt;=0)),OR(ISBLANK(H471),AND(ISNUMBER(H471),H471&gt;=0))),60*IF(ISBLANK(G471),0,G471)+IF(ISBLANK(H471),0,H471),"")))</f>
        <v/>
      </c>
      <c r="T471" s="66" t="str">
        <f aca="false">IF(ISBLANK($C471),"",IF(I471=Constants!$B$2, TRUE(), IF(I471=Constants!$B$3, FALSE(), TRUE())))</f>
        <v/>
      </c>
      <c r="U471" s="66" t="str">
        <f aca="false">IF(ISBLANK($C471),"",IF(J471=Constants!$B$2, TRUE(), IF(J471=Constants!$B$3, FALSE(), TRUE())))</f>
        <v/>
      </c>
      <c r="V471" s="66" t="str">
        <f aca="false">IF(ISBLANK($C471),"",IF(COUNTA(K471:L471)=0,"",IF(AND(OR(ISBLANK(K471),AND(ISNUMBER(K471),K471&gt;=0)),OR(ISBLANK(L471),AND(ISNUMBER(L471),L471&gt;=0))),60*IF(ISBLANK(K471),0,K471)+IF(ISBLANK(L471),0,L471),"")))</f>
        <v/>
      </c>
      <c r="W471" s="66" t="str">
        <f aca="false">IF(ISBLANK($C471),"",IF(M471=Constants!$B$2, TRUE(), IF(M471=Constants!$B$3, FALSE(), TRUE())))</f>
        <v/>
      </c>
      <c r="X471" s="66" t="str">
        <f aca="false">IF(ISBLANK($C471),"",IF(N471=Constants!$B$2, TRUE(), IF(N471=Constants!$B$3, FALSE(), TRUE())))</f>
        <v/>
      </c>
      <c r="Y471" s="66" t="str">
        <f aca="false">IF(ISBLANK($C471),"",IF(O471=Constants!$B$2, TRUE(), IF(O471=Constants!$B$3, FALSE(), FALSE())))</f>
        <v/>
      </c>
      <c r="Z471" s="66" t="str">
        <f aca="false">IF(ISBLANK($C471),"",AND(S471&lt;&gt;"",Q471))</f>
        <v/>
      </c>
      <c r="AA471" s="66" t="str">
        <f aca="false">IF(ISBLANK($C471),"",AND(V471&lt;&gt;"",Q471))</f>
        <v/>
      </c>
      <c r="AB471" s="66" t="str">
        <f aca="false">IF(ISBLANK($C471),"",IF(Y471,Constants!$B$4,IF(COUNTA(E471:N471)=0,Constants!$B$5,IF(NOT(Q471),Constants!$B$6,IF(AND(NOT(Z471),NOT(AA471)),Constants!$B$6,Constants!$B$7)))))</f>
        <v/>
      </c>
      <c r="AC471" s="66" t="str">
        <f aca="false">IF(ISBLANK($C471),"",IF($AB471&lt;&gt;Constants!$B$7,$AB471,Constants!$B$20))</f>
        <v/>
      </c>
      <c r="AD471" s="66" t="str">
        <f aca="false">IF($AB471=Constants!$B$7,IF(Z471,S471,Constants!$B$13),"")</f>
        <v/>
      </c>
      <c r="AE471" s="66" t="str">
        <f aca="false">IF($AB471=Constants!$B$7,IF(Z471,R471*IF(T471, 1, Constants!$B$11)*IF(U471, 1, Constants!$B$12),Constants!$B$13),"")</f>
        <v/>
      </c>
      <c r="AF471" s="66" t="str">
        <f aca="false">IF($AB471=Constants!$B$7,AD471*AE471,"")</f>
        <v/>
      </c>
      <c r="AG471" s="66" t="str">
        <f aca="false">IF($AB471=Constants!$B$7,IF(AA471,V471,Constants!$B$13),"")</f>
        <v/>
      </c>
      <c r="AH471" s="66" t="str">
        <f aca="false">IF($AB471=Constants!$B$7,IF(AA471,R471*IF(W471, 1, Constants!$B$11)*IF(X471, 1, Constants!$B$12),Constants!$B$13),"")</f>
        <v/>
      </c>
      <c r="AI471" s="66" t="str">
        <f aca="false">IF($AB471=Constants!$B$7,AG471*AH471,"")</f>
        <v/>
      </c>
      <c r="AJ471" s="66" t="str">
        <f aca="false">IF($AB471=Constants!$B$7,IF(AI471&gt;AF471,2,1),"")</f>
        <v/>
      </c>
      <c r="AK471" s="66" t="str">
        <f aca="false">IF($AB471=Constants!$B$7,IF(AJ471=1,2,1),"")</f>
        <v/>
      </c>
      <c r="AL471" s="66" t="str">
        <f aca="false">IF(ISBLANK($C471),"",IF($AB471&lt;&gt;Constants!$B$7,$AB471,IF(AJ471=1,AF471,AI471)))</f>
        <v/>
      </c>
      <c r="AM471" s="66" t="str">
        <f aca="false">IF(ISBLANK($C471),"",IF($AB471=Constants!$B$7,IF(ISNUMBER(AL471),RANK(AL471,$AL$8:$AL$507),Constants!$B$14),$AB471))</f>
        <v/>
      </c>
      <c r="AN471" s="66" t="str">
        <f aca="false">IF(ISBLANK($C471),"",IF($AB471=Constants!$B$7,IF(AK471=1,AF471,AI471),""))</f>
        <v/>
      </c>
      <c r="AO471" s="66" t="str">
        <f aca="false">IF(ISBLANK($C471),"",IF($AB471=Constants!$B$7,RANK(AN471,$AN$8:$AN$507),$AB471))</f>
        <v/>
      </c>
      <c r="AP471" s="66" t="str">
        <f aca="false">IF(ISBLANK($C471),"",IF($AB471=Constants!$B$7,IF(ISNUMBER(AM471),COUNTIFS($AM$8:$AM$507,"&lt;"&amp;$AM471)+COUNTIFS($AM$8:$AM$507,$AM471,$AO$8:$AO$507,"&lt;"&amp;$AO471)+1,Constants!$B$14),$AB471))</f>
        <v/>
      </c>
      <c r="AQ471" s="66" t="str">
        <f aca="false">IF(ISBLANK($C471),"",IF($AB471=Constants!$B$7,IF(ISNUMBER(AM471),AM471-AP471,Constants!$B$14),$AB471))</f>
        <v/>
      </c>
      <c r="AR471" s="68"/>
      <c r="AS471" s="69" t="str">
        <f aca="false">IF(ISBLANK($C471),"",IF($AB471&lt;&gt;Constants!$B$7,"",AJ471))</f>
        <v/>
      </c>
      <c r="AT471" s="84" t="str">
        <f aca="false">IF(ISBLANK($C471),"",IF($AB471&lt;&gt;Constants!$B$7,"",IF(AJ471=1,AD471,AG471)))</f>
        <v/>
      </c>
      <c r="AU471" s="71" t="str">
        <f aca="false">IF(ISBLANK($C471),"",IF($AB471&lt;&gt;Constants!$B$7,"",IF(AJ471=1,AE471,AH471)))</f>
        <v/>
      </c>
      <c r="AV471" s="72" t="str">
        <f aca="false">IF(ISBLANK($C471),"",IF($AB471&lt;&gt;Constants!$B$7,$AB471,AL471))</f>
        <v/>
      </c>
      <c r="AW471" s="73" t="str">
        <f aca="false">IF(ISBLANK($C471),"",IF($AB471&lt;&gt;Constants!$B$7,$AB471,AC471))</f>
        <v/>
      </c>
      <c r="AX471" s="74" t="str">
        <f aca="false">IF(ISBLANK($C471),"",AQ471)</f>
        <v/>
      </c>
      <c r="AY471" s="74" t="str">
        <f aca="false">IF(ISBLANK($C471),"",AP471)</f>
        <v/>
      </c>
      <c r="AZ471" s="75" t="str">
        <f aca="false">IF(ISBLANK($C471),"",IF(AY471=Constants!$B$4,COUNTA($C$8:$C$507)+2,IF(AY471=Constants!$B$5,COUNTA($C$8:$C$507)+1,IF(AY471=Constants!$B$6,COUNTA($C$8:$C$507),AY471))))</f>
        <v/>
      </c>
      <c r="BA471" s="5"/>
      <c r="BB471" s="76" t="n">
        <f aca="false">IF(OR(ISNUMBER(AY471),AY471=Constants!$B$4,AY471=Constants!$B$6,AY471=Constants!$B$5),1,0)</f>
        <v>0</v>
      </c>
      <c r="BC471" s="76" t="n">
        <v>464</v>
      </c>
      <c r="BD471" s="76" t="str">
        <f aca="false">IF(ISBLANK($C471),"",IF(ISNUMBER(AZ471),AZ471+ROW($B471)/1000,""))</f>
        <v/>
      </c>
      <c r="BE471" s="76" t="str">
        <f aca="false">IF(ISNUMBER(BD471),RANK(BD471,$BD$8:$BD$507,1),"")</f>
        <v/>
      </c>
      <c r="BF471" s="76" t="str">
        <f aca="false">IF(ISBLANK($C471),"",$B471)</f>
        <v/>
      </c>
      <c r="BG471" s="76" t="str">
        <f aca="false">IF(ISBLANK($C471),"",$C471)</f>
        <v/>
      </c>
      <c r="BH471" s="76" t="str">
        <f aca="false">IF(ISBLANK($C471),"",$D471)</f>
        <v/>
      </c>
      <c r="BI471" s="77" t="str">
        <f aca="false">AW471</f>
        <v/>
      </c>
      <c r="BJ471" s="78" t="str">
        <f aca="false">AV471</f>
        <v/>
      </c>
      <c r="BK471" s="76" t="str">
        <f aca="false">IF(ISBLANK($C471),"",AY471)</f>
        <v/>
      </c>
      <c r="BL471" s="79" t="str">
        <f aca="false">IF($BC471&gt;$BB$7,"",VLOOKUP($BC471,$BE$8:$BK$507,7,FALSE()))</f>
        <v/>
      </c>
      <c r="BM471" s="80" t="str">
        <f aca="false">IF($BC471&gt;$BB$7,"",VLOOKUP($BC471,$BE$8:$BK$507,2,FALSE()))</f>
        <v/>
      </c>
      <c r="BN471" s="80" t="str">
        <f aca="false">IF($BC471&gt;$BB$7,"",VLOOKUP($BC471,$BE$8:$BK$507,3,FALSE()))</f>
        <v/>
      </c>
      <c r="BO471" s="80" t="str">
        <f aca="false">IF($BC471&gt;$BB$7,"",VLOOKUP($BC471,$BE$8:$BK$507,4,FALSE()))</f>
        <v/>
      </c>
      <c r="BP471" s="80" t="str">
        <f aca="false">IF($BC471&gt;$BB$7,"",VLOOKUP($BC471,$BE$8:$BK$507,5,FALSE()))</f>
        <v/>
      </c>
      <c r="BQ471" s="81" t="str">
        <f aca="false">IF($BC471&gt;$BB$7,"",VLOOKUP($BC471,$BE$8:$BK$507,6,FALSE()))</f>
        <v/>
      </c>
      <c r="BR471" s="54"/>
    </row>
    <row r="472" customFormat="false" ht="15.75" hidden="false" customHeight="false" outlineLevel="0" collapsed="false">
      <c r="A472" s="5"/>
      <c r="B472" s="124"/>
      <c r="C472" s="56"/>
      <c r="D472" s="57"/>
      <c r="E472" s="83"/>
      <c r="F472" s="59"/>
      <c r="G472" s="60"/>
      <c r="H472" s="61"/>
      <c r="I472" s="62"/>
      <c r="J472" s="59"/>
      <c r="K472" s="60"/>
      <c r="L472" s="61"/>
      <c r="M472" s="62"/>
      <c r="N472" s="59"/>
      <c r="O472" s="83"/>
      <c r="P472" s="64"/>
      <c r="Q472" s="66" t="str">
        <f aca="false">IF(ISBLANK($C472),"",IF(E472=Constants!$B$2, TRUE(), IF(E472=Constants!$B$3, FALSE(), TRUE())))</f>
        <v/>
      </c>
      <c r="R472" s="66" t="str">
        <f aca="false">IF(ISBLANK($C472),"",IF(F472=Constants!$B$16,Constants!$B$9,IF(F472=Constants!$B$17,Constants!$B$10,Constants!$B$8)))</f>
        <v/>
      </c>
      <c r="S472" s="66" t="str">
        <f aca="false">IF(ISBLANK($C472),"",IF(COUNTA(G472:H472)=0,"",IF(AND(OR(ISBLANK(G472),AND(ISNUMBER(G472),G472&gt;=0)),OR(ISBLANK(H472),AND(ISNUMBER(H472),H472&gt;=0))),60*IF(ISBLANK(G472),0,G472)+IF(ISBLANK(H472),0,H472),"")))</f>
        <v/>
      </c>
      <c r="T472" s="66" t="str">
        <f aca="false">IF(ISBLANK($C472),"",IF(I472=Constants!$B$2, TRUE(), IF(I472=Constants!$B$3, FALSE(), TRUE())))</f>
        <v/>
      </c>
      <c r="U472" s="66" t="str">
        <f aca="false">IF(ISBLANK($C472),"",IF(J472=Constants!$B$2, TRUE(), IF(J472=Constants!$B$3, FALSE(), TRUE())))</f>
        <v/>
      </c>
      <c r="V472" s="66" t="str">
        <f aca="false">IF(ISBLANK($C472),"",IF(COUNTA(K472:L472)=0,"",IF(AND(OR(ISBLANK(K472),AND(ISNUMBER(K472),K472&gt;=0)),OR(ISBLANK(L472),AND(ISNUMBER(L472),L472&gt;=0))),60*IF(ISBLANK(K472),0,K472)+IF(ISBLANK(L472),0,L472),"")))</f>
        <v/>
      </c>
      <c r="W472" s="66" t="str">
        <f aca="false">IF(ISBLANK($C472),"",IF(M472=Constants!$B$2, TRUE(), IF(M472=Constants!$B$3, FALSE(), TRUE())))</f>
        <v/>
      </c>
      <c r="X472" s="66" t="str">
        <f aca="false">IF(ISBLANK($C472),"",IF(N472=Constants!$B$2, TRUE(), IF(N472=Constants!$B$3, FALSE(), TRUE())))</f>
        <v/>
      </c>
      <c r="Y472" s="66" t="str">
        <f aca="false">IF(ISBLANK($C472),"",IF(O472=Constants!$B$2, TRUE(), IF(O472=Constants!$B$3, FALSE(), FALSE())))</f>
        <v/>
      </c>
      <c r="Z472" s="66" t="str">
        <f aca="false">IF(ISBLANK($C472),"",AND(S472&lt;&gt;"",Q472))</f>
        <v/>
      </c>
      <c r="AA472" s="66" t="str">
        <f aca="false">IF(ISBLANK($C472),"",AND(V472&lt;&gt;"",Q472))</f>
        <v/>
      </c>
      <c r="AB472" s="66" t="str">
        <f aca="false">IF(ISBLANK($C472),"",IF(Y472,Constants!$B$4,IF(COUNTA(E472:N472)=0,Constants!$B$5,IF(NOT(Q472),Constants!$B$6,IF(AND(NOT(Z472),NOT(AA472)),Constants!$B$6,Constants!$B$7)))))</f>
        <v/>
      </c>
      <c r="AC472" s="66" t="str">
        <f aca="false">IF(ISBLANK($C472),"",IF($AB472&lt;&gt;Constants!$B$7,$AB472,Constants!$B$20))</f>
        <v/>
      </c>
      <c r="AD472" s="66" t="str">
        <f aca="false">IF($AB472=Constants!$B$7,IF(Z472,S472,Constants!$B$13),"")</f>
        <v/>
      </c>
      <c r="AE472" s="66" t="str">
        <f aca="false">IF($AB472=Constants!$B$7,IF(Z472,R472*IF(T472, 1, Constants!$B$11)*IF(U472, 1, Constants!$B$12),Constants!$B$13),"")</f>
        <v/>
      </c>
      <c r="AF472" s="66" t="str">
        <f aca="false">IF($AB472=Constants!$B$7,AD472*AE472,"")</f>
        <v/>
      </c>
      <c r="AG472" s="66" t="str">
        <f aca="false">IF($AB472=Constants!$B$7,IF(AA472,V472,Constants!$B$13),"")</f>
        <v/>
      </c>
      <c r="AH472" s="66" t="str">
        <f aca="false">IF($AB472=Constants!$B$7,IF(AA472,R472*IF(W472, 1, Constants!$B$11)*IF(X472, 1, Constants!$B$12),Constants!$B$13),"")</f>
        <v/>
      </c>
      <c r="AI472" s="66" t="str">
        <f aca="false">IF($AB472=Constants!$B$7,AG472*AH472,"")</f>
        <v/>
      </c>
      <c r="AJ472" s="66" t="str">
        <f aca="false">IF($AB472=Constants!$B$7,IF(AI472&gt;AF472,2,1),"")</f>
        <v/>
      </c>
      <c r="AK472" s="66" t="str">
        <f aca="false">IF($AB472=Constants!$B$7,IF(AJ472=1,2,1),"")</f>
        <v/>
      </c>
      <c r="AL472" s="66" t="str">
        <f aca="false">IF(ISBLANK($C472),"",IF($AB472&lt;&gt;Constants!$B$7,$AB472,IF(AJ472=1,AF472,AI472)))</f>
        <v/>
      </c>
      <c r="AM472" s="66" t="str">
        <f aca="false">IF(ISBLANK($C472),"",IF($AB472=Constants!$B$7,IF(ISNUMBER(AL472),RANK(AL472,$AL$8:$AL$507),Constants!$B$14),$AB472))</f>
        <v/>
      </c>
      <c r="AN472" s="66" t="str">
        <f aca="false">IF(ISBLANK($C472),"",IF($AB472=Constants!$B$7,IF(AK472=1,AF472,AI472),""))</f>
        <v/>
      </c>
      <c r="AO472" s="66" t="str">
        <f aca="false">IF(ISBLANK($C472),"",IF($AB472=Constants!$B$7,RANK(AN472,$AN$8:$AN$507),$AB472))</f>
        <v/>
      </c>
      <c r="AP472" s="66" t="str">
        <f aca="false">IF(ISBLANK($C472),"",IF($AB472=Constants!$B$7,IF(ISNUMBER(AM472),COUNTIFS($AM$8:$AM$507,"&lt;"&amp;$AM472)+COUNTIFS($AM$8:$AM$507,$AM472,$AO$8:$AO$507,"&lt;"&amp;$AO472)+1,Constants!$B$14),$AB472))</f>
        <v/>
      </c>
      <c r="AQ472" s="66" t="str">
        <f aca="false">IF(ISBLANK($C472),"",IF($AB472=Constants!$B$7,IF(ISNUMBER(AM472),AM472-AP472,Constants!$B$14),$AB472))</f>
        <v/>
      </c>
      <c r="AR472" s="68"/>
      <c r="AS472" s="69" t="str">
        <f aca="false">IF(ISBLANK($C472),"",IF($AB472&lt;&gt;Constants!$B$7,"",AJ472))</f>
        <v/>
      </c>
      <c r="AT472" s="84" t="str">
        <f aca="false">IF(ISBLANK($C472),"",IF($AB472&lt;&gt;Constants!$B$7,"",IF(AJ472=1,AD472,AG472)))</f>
        <v/>
      </c>
      <c r="AU472" s="71" t="str">
        <f aca="false">IF(ISBLANK($C472),"",IF($AB472&lt;&gt;Constants!$B$7,"",IF(AJ472=1,AE472,AH472)))</f>
        <v/>
      </c>
      <c r="AV472" s="72" t="str">
        <f aca="false">IF(ISBLANK($C472),"",IF($AB472&lt;&gt;Constants!$B$7,$AB472,AL472))</f>
        <v/>
      </c>
      <c r="AW472" s="73" t="str">
        <f aca="false">IF(ISBLANK($C472),"",IF($AB472&lt;&gt;Constants!$B$7,$AB472,AC472))</f>
        <v/>
      </c>
      <c r="AX472" s="74" t="str">
        <f aca="false">IF(ISBLANK($C472),"",AQ472)</f>
        <v/>
      </c>
      <c r="AY472" s="74" t="str">
        <f aca="false">IF(ISBLANK($C472),"",AP472)</f>
        <v/>
      </c>
      <c r="AZ472" s="75" t="str">
        <f aca="false">IF(ISBLANK($C472),"",IF(AY472=Constants!$B$4,COUNTA($C$8:$C$507)+2,IF(AY472=Constants!$B$5,COUNTA($C$8:$C$507)+1,IF(AY472=Constants!$B$6,COUNTA($C$8:$C$507),AY472))))</f>
        <v/>
      </c>
      <c r="BA472" s="5"/>
      <c r="BB472" s="76" t="n">
        <f aca="false">IF(OR(ISNUMBER(AY472),AY472=Constants!$B$4,AY472=Constants!$B$6,AY472=Constants!$B$5),1,0)</f>
        <v>0</v>
      </c>
      <c r="BC472" s="76" t="n">
        <v>465</v>
      </c>
      <c r="BD472" s="76" t="str">
        <f aca="false">IF(ISBLANK($C472),"",IF(ISNUMBER(AZ472),AZ472+ROW($B472)/1000,""))</f>
        <v/>
      </c>
      <c r="BE472" s="76" t="str">
        <f aca="false">IF(ISNUMBER(BD472),RANK(BD472,$BD$8:$BD$507,1),"")</f>
        <v/>
      </c>
      <c r="BF472" s="76" t="str">
        <f aca="false">IF(ISBLANK($C472),"",$B472)</f>
        <v/>
      </c>
      <c r="BG472" s="76" t="str">
        <f aca="false">IF(ISBLANK($C472),"",$C472)</f>
        <v/>
      </c>
      <c r="BH472" s="76" t="str">
        <f aca="false">IF(ISBLANK($C472),"",$D472)</f>
        <v/>
      </c>
      <c r="BI472" s="77" t="str">
        <f aca="false">AW472</f>
        <v/>
      </c>
      <c r="BJ472" s="78" t="str">
        <f aca="false">AV472</f>
        <v/>
      </c>
      <c r="BK472" s="76" t="str">
        <f aca="false">IF(ISBLANK($C472),"",AY472)</f>
        <v/>
      </c>
      <c r="BL472" s="79" t="str">
        <f aca="false">IF($BC472&gt;$BB$7,"",VLOOKUP($BC472,$BE$8:$BK$507,7,FALSE()))</f>
        <v/>
      </c>
      <c r="BM472" s="80" t="str">
        <f aca="false">IF($BC472&gt;$BB$7,"",VLOOKUP($BC472,$BE$8:$BK$507,2,FALSE()))</f>
        <v/>
      </c>
      <c r="BN472" s="80" t="str">
        <f aca="false">IF($BC472&gt;$BB$7,"",VLOOKUP($BC472,$BE$8:$BK$507,3,FALSE()))</f>
        <v/>
      </c>
      <c r="BO472" s="80" t="str">
        <f aca="false">IF($BC472&gt;$BB$7,"",VLOOKUP($BC472,$BE$8:$BK$507,4,FALSE()))</f>
        <v/>
      </c>
      <c r="BP472" s="80" t="str">
        <f aca="false">IF($BC472&gt;$BB$7,"",VLOOKUP($BC472,$BE$8:$BK$507,5,FALSE()))</f>
        <v/>
      </c>
      <c r="BQ472" s="81" t="str">
        <f aca="false">IF($BC472&gt;$BB$7,"",VLOOKUP($BC472,$BE$8:$BK$507,6,FALSE()))</f>
        <v/>
      </c>
      <c r="BR472" s="54"/>
    </row>
    <row r="473" customFormat="false" ht="15.75" hidden="false" customHeight="false" outlineLevel="0" collapsed="false">
      <c r="A473" s="5"/>
      <c r="B473" s="120"/>
      <c r="C473" s="121"/>
      <c r="D473" s="112"/>
      <c r="E473" s="123"/>
      <c r="F473" s="91"/>
      <c r="G473" s="92"/>
      <c r="H473" s="93"/>
      <c r="I473" s="94"/>
      <c r="J473" s="91"/>
      <c r="K473" s="92"/>
      <c r="L473" s="93"/>
      <c r="M473" s="94"/>
      <c r="N473" s="91"/>
      <c r="O473" s="123"/>
      <c r="P473" s="96"/>
      <c r="Q473" s="97" t="str">
        <f aca="false">IF(ISBLANK($C473),"",IF(E473=Constants!$B$2, TRUE(), IF(E473=Constants!$B$3, FALSE(), TRUE())))</f>
        <v/>
      </c>
      <c r="R473" s="97" t="str">
        <f aca="false">IF(ISBLANK($C473),"",IF(F473=Constants!$B$16,Constants!$B$9,IF(F473=Constants!$B$17,Constants!$B$10,Constants!$B$8)))</f>
        <v/>
      </c>
      <c r="S473" s="97" t="str">
        <f aca="false">IF(ISBLANK($C473),"",IF(COUNTA(G473:H473)=0,"",IF(AND(OR(ISBLANK(G473),AND(ISNUMBER(G473),G473&gt;=0)),OR(ISBLANK(H473),AND(ISNUMBER(H473),H473&gt;=0))),60*IF(ISBLANK(G473),0,G473)+IF(ISBLANK(H473),0,H473),"")))</f>
        <v/>
      </c>
      <c r="T473" s="97" t="str">
        <f aca="false">IF(ISBLANK($C473),"",IF(I473=Constants!$B$2, TRUE(), IF(I473=Constants!$B$3, FALSE(), TRUE())))</f>
        <v/>
      </c>
      <c r="U473" s="97" t="str">
        <f aca="false">IF(ISBLANK($C473),"",IF(J473=Constants!$B$2, TRUE(), IF(J473=Constants!$B$3, FALSE(), TRUE())))</f>
        <v/>
      </c>
      <c r="V473" s="97" t="str">
        <f aca="false">IF(ISBLANK($C473),"",IF(COUNTA(K473:L473)=0,"",IF(AND(OR(ISBLANK(K473),AND(ISNUMBER(K473),K473&gt;=0)),OR(ISBLANK(L473),AND(ISNUMBER(L473),L473&gt;=0))),60*IF(ISBLANK(K473),0,K473)+IF(ISBLANK(L473),0,L473),"")))</f>
        <v/>
      </c>
      <c r="W473" s="97" t="str">
        <f aca="false">IF(ISBLANK($C473),"",IF(M473=Constants!$B$2, TRUE(), IF(M473=Constants!$B$3, FALSE(), TRUE())))</f>
        <v/>
      </c>
      <c r="X473" s="97" t="str">
        <f aca="false">IF(ISBLANK($C473),"",IF(N473=Constants!$B$2, TRUE(), IF(N473=Constants!$B$3, FALSE(), TRUE())))</f>
        <v/>
      </c>
      <c r="Y473" s="97" t="str">
        <f aca="false">IF(ISBLANK($C473),"",IF(O473=Constants!$B$2, TRUE(), IF(O473=Constants!$B$3, FALSE(), FALSE())))</f>
        <v/>
      </c>
      <c r="Z473" s="97" t="str">
        <f aca="false">IF(ISBLANK($C473),"",AND(S473&lt;&gt;"",Q473))</f>
        <v/>
      </c>
      <c r="AA473" s="97" t="str">
        <f aca="false">IF(ISBLANK($C473),"",AND(V473&lt;&gt;"",Q473))</f>
        <v/>
      </c>
      <c r="AB473" s="97" t="str">
        <f aca="false">IF(ISBLANK($C473),"",IF(Y473,Constants!$B$4,IF(COUNTA(E473:N473)=0,Constants!$B$5,IF(NOT(Q473),Constants!$B$6,IF(AND(NOT(Z473),NOT(AA473)),Constants!$B$6,Constants!$B$7)))))</f>
        <v/>
      </c>
      <c r="AC473" s="97" t="str">
        <f aca="false">IF(ISBLANK($C473),"",IF($AB473&lt;&gt;Constants!$B$7,$AB473,Constants!$B$20))</f>
        <v/>
      </c>
      <c r="AD473" s="97" t="str">
        <f aca="false">IF($AB473=Constants!$B$7,IF(Z473,S473,Constants!$B$13),"")</f>
        <v/>
      </c>
      <c r="AE473" s="97" t="str">
        <f aca="false">IF($AB473=Constants!$B$7,IF(Z473,R473*IF(T473, 1, Constants!$B$11)*IF(U473, 1, Constants!$B$12),Constants!$B$13),"")</f>
        <v/>
      </c>
      <c r="AF473" s="97" t="str">
        <f aca="false">IF($AB473=Constants!$B$7,AD473*AE473,"")</f>
        <v/>
      </c>
      <c r="AG473" s="97" t="str">
        <f aca="false">IF($AB473=Constants!$B$7,IF(AA473,V473,Constants!$B$13),"")</f>
        <v/>
      </c>
      <c r="AH473" s="97" t="str">
        <f aca="false">IF($AB473=Constants!$B$7,IF(AA473,R473*IF(W473, 1, Constants!$B$11)*IF(X473, 1, Constants!$B$12),Constants!$B$13),"")</f>
        <v/>
      </c>
      <c r="AI473" s="97" t="str">
        <f aca="false">IF($AB473=Constants!$B$7,AG473*AH473,"")</f>
        <v/>
      </c>
      <c r="AJ473" s="97" t="str">
        <f aca="false">IF($AB473=Constants!$B$7,IF(AI473&gt;AF473,2,1),"")</f>
        <v/>
      </c>
      <c r="AK473" s="97" t="str">
        <f aca="false">IF($AB473=Constants!$B$7,IF(AJ473=1,2,1),"")</f>
        <v/>
      </c>
      <c r="AL473" s="97" t="str">
        <f aca="false">IF(ISBLANK($C473),"",IF($AB473&lt;&gt;Constants!$B$7,$AB473,IF(AJ473=1,AF473,AI473)))</f>
        <v/>
      </c>
      <c r="AM473" s="97" t="str">
        <f aca="false">IF(ISBLANK($C473),"",IF($AB473=Constants!$B$7,IF(ISNUMBER(AL473),RANK(AL473,$AL$8:$AL$507),Constants!$B$14),$AB473))</f>
        <v/>
      </c>
      <c r="AN473" s="97" t="str">
        <f aca="false">IF(ISBLANK($C473),"",IF($AB473=Constants!$B$7,IF(AK473=1,AF473,AI473),""))</f>
        <v/>
      </c>
      <c r="AO473" s="97" t="str">
        <f aca="false">IF(ISBLANK($C473),"",IF($AB473=Constants!$B$7,RANK(AN473,$AN$8:$AN$507),$AB473))</f>
        <v/>
      </c>
      <c r="AP473" s="97" t="str">
        <f aca="false">IF(ISBLANK($C473),"",IF($AB473=Constants!$B$7,IF(ISNUMBER(AM473),COUNTIFS($AM$8:$AM$507,"&lt;"&amp;$AM473)+COUNTIFS($AM$8:$AM$507,$AM473,$AO$8:$AO$507,"&lt;"&amp;$AO473)+1,Constants!$B$14),$AB473))</f>
        <v/>
      </c>
      <c r="AQ473" s="97" t="str">
        <f aca="false">IF(ISBLANK($C473),"",IF($AB473=Constants!$B$7,IF(ISNUMBER(AM473),AM473-AP473,Constants!$B$14),$AB473))</f>
        <v/>
      </c>
      <c r="AR473" s="98"/>
      <c r="AS473" s="99" t="str">
        <f aca="false">IF(ISBLANK($C473),"",IF($AB473&lt;&gt;Constants!$B$7,"",AJ473))</f>
        <v/>
      </c>
      <c r="AT473" s="100" t="str">
        <f aca="false">IF(ISBLANK($C473),"",IF($AB473&lt;&gt;Constants!$B$7,"",IF(AJ473=1,AD473,AG473)))</f>
        <v/>
      </c>
      <c r="AU473" s="101" t="str">
        <f aca="false">IF(ISBLANK($C473),"",IF($AB473&lt;&gt;Constants!$B$7,"",IF(AJ473=1,AE473,AH473)))</f>
        <v/>
      </c>
      <c r="AV473" s="102" t="str">
        <f aca="false">IF(ISBLANK($C473),"",IF($AB473&lt;&gt;Constants!$B$7,$AB473,AL473))</f>
        <v/>
      </c>
      <c r="AW473" s="103" t="str">
        <f aca="false">IF(ISBLANK($C473),"",IF($AB473&lt;&gt;Constants!$B$7,$AB473,AC473))</f>
        <v/>
      </c>
      <c r="AX473" s="104" t="str">
        <f aca="false">IF(ISBLANK($C473),"",AQ473)</f>
        <v/>
      </c>
      <c r="AY473" s="104" t="str">
        <f aca="false">IF(ISBLANK($C473),"",AP473)</f>
        <v/>
      </c>
      <c r="AZ473" s="105" t="str">
        <f aca="false">IF(ISBLANK($C473),"",IF(AY473=Constants!$B$4,COUNTA($C$8:$C$507)+2,IF(AY473=Constants!$B$5,COUNTA($C$8:$C$507)+1,IF(AY473=Constants!$B$6,COUNTA($C$8:$C$507),AY473))))</f>
        <v/>
      </c>
      <c r="BA473" s="5"/>
      <c r="BB473" s="106" t="n">
        <f aca="false">IF(OR(ISNUMBER(AY473),AY473=Constants!$B$4,AY473=Constants!$B$6,AY473=Constants!$B$5),1,0)</f>
        <v>0</v>
      </c>
      <c r="BC473" s="106" t="n">
        <v>466</v>
      </c>
      <c r="BD473" s="106" t="str">
        <f aca="false">IF(ISBLANK($C473),"",IF(ISNUMBER(AZ473),AZ473+ROW($B473)/1000,""))</f>
        <v/>
      </c>
      <c r="BE473" s="106" t="str">
        <f aca="false">IF(ISNUMBER(BD473),RANK(BD473,$BD$8:$BD$507,1),"")</f>
        <v/>
      </c>
      <c r="BF473" s="106" t="str">
        <f aca="false">IF(ISBLANK($C473),"",$B473)</f>
        <v/>
      </c>
      <c r="BG473" s="106" t="str">
        <f aca="false">IF(ISBLANK($C473),"",$C473)</f>
        <v/>
      </c>
      <c r="BH473" s="106" t="str">
        <f aca="false">IF(ISBLANK($C473),"",$D473)</f>
        <v/>
      </c>
      <c r="BI473" s="107" t="str">
        <f aca="false">AW473</f>
        <v/>
      </c>
      <c r="BJ473" s="108" t="str">
        <f aca="false">AV473</f>
        <v/>
      </c>
      <c r="BK473" s="106" t="str">
        <f aca="false">IF(ISBLANK($C473),"",AY473)</f>
        <v/>
      </c>
      <c r="BL473" s="109" t="str">
        <f aca="false">IF($BC473&gt;$BB$7,"",VLOOKUP($BC473,$BE$8:$BK$507,7,FALSE()))</f>
        <v/>
      </c>
      <c r="BM473" s="110" t="str">
        <f aca="false">IF($BC473&gt;$BB$7,"",VLOOKUP($BC473,$BE$8:$BK$507,2,FALSE()))</f>
        <v/>
      </c>
      <c r="BN473" s="110" t="str">
        <f aca="false">IF($BC473&gt;$BB$7,"",VLOOKUP($BC473,$BE$8:$BK$507,3,FALSE()))</f>
        <v/>
      </c>
      <c r="BO473" s="110" t="str">
        <f aca="false">IF($BC473&gt;$BB$7,"",VLOOKUP($BC473,$BE$8:$BK$507,4,FALSE()))</f>
        <v/>
      </c>
      <c r="BP473" s="110" t="str">
        <f aca="false">IF($BC473&gt;$BB$7,"",VLOOKUP($BC473,$BE$8:$BK$507,5,FALSE()))</f>
        <v/>
      </c>
      <c r="BQ473" s="111" t="str">
        <f aca="false">IF($BC473&gt;$BB$7,"",VLOOKUP($BC473,$BE$8:$BK$507,6,FALSE()))</f>
        <v/>
      </c>
      <c r="BR473" s="54"/>
    </row>
    <row r="474" customFormat="false" ht="15.75" hidden="false" customHeight="false" outlineLevel="0" collapsed="false">
      <c r="A474" s="5"/>
      <c r="B474" s="120"/>
      <c r="C474" s="121"/>
      <c r="D474" s="112"/>
      <c r="E474" s="123"/>
      <c r="F474" s="91"/>
      <c r="G474" s="92"/>
      <c r="H474" s="93"/>
      <c r="I474" s="94"/>
      <c r="J474" s="91"/>
      <c r="K474" s="92"/>
      <c r="L474" s="93"/>
      <c r="M474" s="94"/>
      <c r="N474" s="91"/>
      <c r="O474" s="123"/>
      <c r="P474" s="96"/>
      <c r="Q474" s="97" t="str">
        <f aca="false">IF(ISBLANK($C474),"",IF(E474=Constants!$B$2, TRUE(), IF(E474=Constants!$B$3, FALSE(), TRUE())))</f>
        <v/>
      </c>
      <c r="R474" s="97" t="str">
        <f aca="false">IF(ISBLANK($C474),"",IF(F474=Constants!$B$16,Constants!$B$9,IF(F474=Constants!$B$17,Constants!$B$10,Constants!$B$8)))</f>
        <v/>
      </c>
      <c r="S474" s="97" t="str">
        <f aca="false">IF(ISBLANK($C474),"",IF(COUNTA(G474:H474)=0,"",IF(AND(OR(ISBLANK(G474),AND(ISNUMBER(G474),G474&gt;=0)),OR(ISBLANK(H474),AND(ISNUMBER(H474),H474&gt;=0))),60*IF(ISBLANK(G474),0,G474)+IF(ISBLANK(H474),0,H474),"")))</f>
        <v/>
      </c>
      <c r="T474" s="97" t="str">
        <f aca="false">IF(ISBLANK($C474),"",IF(I474=Constants!$B$2, TRUE(), IF(I474=Constants!$B$3, FALSE(), TRUE())))</f>
        <v/>
      </c>
      <c r="U474" s="97" t="str">
        <f aca="false">IF(ISBLANK($C474),"",IF(J474=Constants!$B$2, TRUE(), IF(J474=Constants!$B$3, FALSE(), TRUE())))</f>
        <v/>
      </c>
      <c r="V474" s="97" t="str">
        <f aca="false">IF(ISBLANK($C474),"",IF(COUNTA(K474:L474)=0,"",IF(AND(OR(ISBLANK(K474),AND(ISNUMBER(K474),K474&gt;=0)),OR(ISBLANK(L474),AND(ISNUMBER(L474),L474&gt;=0))),60*IF(ISBLANK(K474),0,K474)+IF(ISBLANK(L474),0,L474),"")))</f>
        <v/>
      </c>
      <c r="W474" s="97" t="str">
        <f aca="false">IF(ISBLANK($C474),"",IF(M474=Constants!$B$2, TRUE(), IF(M474=Constants!$B$3, FALSE(), TRUE())))</f>
        <v/>
      </c>
      <c r="X474" s="97" t="str">
        <f aca="false">IF(ISBLANK($C474),"",IF(N474=Constants!$B$2, TRUE(), IF(N474=Constants!$B$3, FALSE(), TRUE())))</f>
        <v/>
      </c>
      <c r="Y474" s="97" t="str">
        <f aca="false">IF(ISBLANK($C474),"",IF(O474=Constants!$B$2, TRUE(), IF(O474=Constants!$B$3, FALSE(), FALSE())))</f>
        <v/>
      </c>
      <c r="Z474" s="97" t="str">
        <f aca="false">IF(ISBLANK($C474),"",AND(S474&lt;&gt;"",Q474))</f>
        <v/>
      </c>
      <c r="AA474" s="97" t="str">
        <f aca="false">IF(ISBLANK($C474),"",AND(V474&lt;&gt;"",Q474))</f>
        <v/>
      </c>
      <c r="AB474" s="97" t="str">
        <f aca="false">IF(ISBLANK($C474),"",IF(Y474,Constants!$B$4,IF(COUNTA(E474:N474)=0,Constants!$B$5,IF(NOT(Q474),Constants!$B$6,IF(AND(NOT(Z474),NOT(AA474)),Constants!$B$6,Constants!$B$7)))))</f>
        <v/>
      </c>
      <c r="AC474" s="97" t="str">
        <f aca="false">IF(ISBLANK($C474),"",IF($AB474&lt;&gt;Constants!$B$7,$AB474,Constants!$B$20))</f>
        <v/>
      </c>
      <c r="AD474" s="97" t="str">
        <f aca="false">IF($AB474=Constants!$B$7,IF(Z474,S474,Constants!$B$13),"")</f>
        <v/>
      </c>
      <c r="AE474" s="97" t="str">
        <f aca="false">IF($AB474=Constants!$B$7,IF(Z474,R474*IF(T474, 1, Constants!$B$11)*IF(U474, 1, Constants!$B$12),Constants!$B$13),"")</f>
        <v/>
      </c>
      <c r="AF474" s="97" t="str">
        <f aca="false">IF($AB474=Constants!$B$7,AD474*AE474,"")</f>
        <v/>
      </c>
      <c r="AG474" s="97" t="str">
        <f aca="false">IF($AB474=Constants!$B$7,IF(AA474,V474,Constants!$B$13),"")</f>
        <v/>
      </c>
      <c r="AH474" s="97" t="str">
        <f aca="false">IF($AB474=Constants!$B$7,IF(AA474,R474*IF(W474, 1, Constants!$B$11)*IF(X474, 1, Constants!$B$12),Constants!$B$13),"")</f>
        <v/>
      </c>
      <c r="AI474" s="97" t="str">
        <f aca="false">IF($AB474=Constants!$B$7,AG474*AH474,"")</f>
        <v/>
      </c>
      <c r="AJ474" s="97" t="str">
        <f aca="false">IF($AB474=Constants!$B$7,IF(AI474&gt;AF474,2,1),"")</f>
        <v/>
      </c>
      <c r="AK474" s="97" t="str">
        <f aca="false">IF($AB474=Constants!$B$7,IF(AJ474=1,2,1),"")</f>
        <v/>
      </c>
      <c r="AL474" s="97" t="str">
        <f aca="false">IF(ISBLANK($C474),"",IF($AB474&lt;&gt;Constants!$B$7,$AB474,IF(AJ474=1,AF474,AI474)))</f>
        <v/>
      </c>
      <c r="AM474" s="97" t="str">
        <f aca="false">IF(ISBLANK($C474),"",IF($AB474=Constants!$B$7,IF(ISNUMBER(AL474),RANK(AL474,$AL$8:$AL$507),Constants!$B$14),$AB474))</f>
        <v/>
      </c>
      <c r="AN474" s="97" t="str">
        <f aca="false">IF(ISBLANK($C474),"",IF($AB474=Constants!$B$7,IF(AK474=1,AF474,AI474),""))</f>
        <v/>
      </c>
      <c r="AO474" s="97" t="str">
        <f aca="false">IF(ISBLANK($C474),"",IF($AB474=Constants!$B$7,RANK(AN474,$AN$8:$AN$507),$AB474))</f>
        <v/>
      </c>
      <c r="AP474" s="97" t="str">
        <f aca="false">IF(ISBLANK($C474),"",IF($AB474=Constants!$B$7,IF(ISNUMBER(AM474),COUNTIFS($AM$8:$AM$507,"&lt;"&amp;$AM474)+COUNTIFS($AM$8:$AM$507,$AM474,$AO$8:$AO$507,"&lt;"&amp;$AO474)+1,Constants!$B$14),$AB474))</f>
        <v/>
      </c>
      <c r="AQ474" s="97" t="str">
        <f aca="false">IF(ISBLANK($C474),"",IF($AB474=Constants!$B$7,IF(ISNUMBER(AM474),AM474-AP474,Constants!$B$14),$AB474))</f>
        <v/>
      </c>
      <c r="AR474" s="98"/>
      <c r="AS474" s="99" t="str">
        <f aca="false">IF(ISBLANK($C474),"",IF($AB474&lt;&gt;Constants!$B$7,"",AJ474))</f>
        <v/>
      </c>
      <c r="AT474" s="100" t="str">
        <f aca="false">IF(ISBLANK($C474),"",IF($AB474&lt;&gt;Constants!$B$7,"",IF(AJ474=1,AD474,AG474)))</f>
        <v/>
      </c>
      <c r="AU474" s="101" t="str">
        <f aca="false">IF(ISBLANK($C474),"",IF($AB474&lt;&gt;Constants!$B$7,"",IF(AJ474=1,AE474,AH474)))</f>
        <v/>
      </c>
      <c r="AV474" s="102" t="str">
        <f aca="false">IF(ISBLANK($C474),"",IF($AB474&lt;&gt;Constants!$B$7,$AB474,AL474))</f>
        <v/>
      </c>
      <c r="AW474" s="103" t="str">
        <f aca="false">IF(ISBLANK($C474),"",IF($AB474&lt;&gt;Constants!$B$7,$AB474,AC474))</f>
        <v/>
      </c>
      <c r="AX474" s="104" t="str">
        <f aca="false">IF(ISBLANK($C474),"",AQ474)</f>
        <v/>
      </c>
      <c r="AY474" s="104" t="str">
        <f aca="false">IF(ISBLANK($C474),"",AP474)</f>
        <v/>
      </c>
      <c r="AZ474" s="105" t="str">
        <f aca="false">IF(ISBLANK($C474),"",IF(AY474=Constants!$B$4,COUNTA($C$8:$C$507)+2,IF(AY474=Constants!$B$5,COUNTA($C$8:$C$507)+1,IF(AY474=Constants!$B$6,COUNTA($C$8:$C$507),AY474))))</f>
        <v/>
      </c>
      <c r="BA474" s="5"/>
      <c r="BB474" s="106" t="n">
        <f aca="false">IF(OR(ISNUMBER(AY474),AY474=Constants!$B$4,AY474=Constants!$B$6,AY474=Constants!$B$5),1,0)</f>
        <v>0</v>
      </c>
      <c r="BC474" s="106" t="n">
        <v>467</v>
      </c>
      <c r="BD474" s="106" t="str">
        <f aca="false">IF(ISBLANK($C474),"",IF(ISNUMBER(AZ474),AZ474+ROW($B474)/1000,""))</f>
        <v/>
      </c>
      <c r="BE474" s="106" t="str">
        <f aca="false">IF(ISNUMBER(BD474),RANK(BD474,$BD$8:$BD$507,1),"")</f>
        <v/>
      </c>
      <c r="BF474" s="106" t="str">
        <f aca="false">IF(ISBLANK($C474),"",$B474)</f>
        <v/>
      </c>
      <c r="BG474" s="106" t="str">
        <f aca="false">IF(ISBLANK($C474),"",$C474)</f>
        <v/>
      </c>
      <c r="BH474" s="106" t="str">
        <f aca="false">IF(ISBLANK($C474),"",$D474)</f>
        <v/>
      </c>
      <c r="BI474" s="107" t="str">
        <f aca="false">AW474</f>
        <v/>
      </c>
      <c r="BJ474" s="108" t="str">
        <f aca="false">AV474</f>
        <v/>
      </c>
      <c r="BK474" s="106" t="str">
        <f aca="false">IF(ISBLANK($C474),"",AY474)</f>
        <v/>
      </c>
      <c r="BL474" s="109" t="str">
        <f aca="false">IF($BC474&gt;$BB$7,"",VLOOKUP($BC474,$BE$8:$BK$507,7,FALSE()))</f>
        <v/>
      </c>
      <c r="BM474" s="110" t="str">
        <f aca="false">IF($BC474&gt;$BB$7,"",VLOOKUP($BC474,$BE$8:$BK$507,2,FALSE()))</f>
        <v/>
      </c>
      <c r="BN474" s="110" t="str">
        <f aca="false">IF($BC474&gt;$BB$7,"",VLOOKUP($BC474,$BE$8:$BK$507,3,FALSE()))</f>
        <v/>
      </c>
      <c r="BO474" s="110" t="str">
        <f aca="false">IF($BC474&gt;$BB$7,"",VLOOKUP($BC474,$BE$8:$BK$507,4,FALSE()))</f>
        <v/>
      </c>
      <c r="BP474" s="110" t="str">
        <f aca="false">IF($BC474&gt;$BB$7,"",VLOOKUP($BC474,$BE$8:$BK$507,5,FALSE()))</f>
        <v/>
      </c>
      <c r="BQ474" s="111" t="str">
        <f aca="false">IF($BC474&gt;$BB$7,"",VLOOKUP($BC474,$BE$8:$BK$507,6,FALSE()))</f>
        <v/>
      </c>
      <c r="BR474" s="54"/>
    </row>
    <row r="475" customFormat="false" ht="15.75" hidden="false" customHeight="false" outlineLevel="0" collapsed="false">
      <c r="A475" s="5"/>
      <c r="B475" s="120"/>
      <c r="C475" s="121"/>
      <c r="D475" s="112"/>
      <c r="E475" s="123"/>
      <c r="F475" s="91"/>
      <c r="G475" s="92"/>
      <c r="H475" s="93"/>
      <c r="I475" s="94"/>
      <c r="J475" s="91"/>
      <c r="K475" s="92"/>
      <c r="L475" s="93"/>
      <c r="M475" s="94"/>
      <c r="N475" s="91"/>
      <c r="O475" s="123"/>
      <c r="P475" s="96"/>
      <c r="Q475" s="97" t="str">
        <f aca="false">IF(ISBLANK($C475),"",IF(E475=Constants!$B$2, TRUE(), IF(E475=Constants!$B$3, FALSE(), TRUE())))</f>
        <v/>
      </c>
      <c r="R475" s="97" t="str">
        <f aca="false">IF(ISBLANK($C475),"",IF(F475=Constants!$B$16,Constants!$B$9,IF(F475=Constants!$B$17,Constants!$B$10,Constants!$B$8)))</f>
        <v/>
      </c>
      <c r="S475" s="97" t="str">
        <f aca="false">IF(ISBLANK($C475),"",IF(COUNTA(G475:H475)=0,"",IF(AND(OR(ISBLANK(G475),AND(ISNUMBER(G475),G475&gt;=0)),OR(ISBLANK(H475),AND(ISNUMBER(H475),H475&gt;=0))),60*IF(ISBLANK(G475),0,G475)+IF(ISBLANK(H475),0,H475),"")))</f>
        <v/>
      </c>
      <c r="T475" s="97" t="str">
        <f aca="false">IF(ISBLANK($C475),"",IF(I475=Constants!$B$2, TRUE(), IF(I475=Constants!$B$3, FALSE(), TRUE())))</f>
        <v/>
      </c>
      <c r="U475" s="97" t="str">
        <f aca="false">IF(ISBLANK($C475),"",IF(J475=Constants!$B$2, TRUE(), IF(J475=Constants!$B$3, FALSE(), TRUE())))</f>
        <v/>
      </c>
      <c r="V475" s="97" t="str">
        <f aca="false">IF(ISBLANK($C475),"",IF(COUNTA(K475:L475)=0,"",IF(AND(OR(ISBLANK(K475),AND(ISNUMBER(K475),K475&gt;=0)),OR(ISBLANK(L475),AND(ISNUMBER(L475),L475&gt;=0))),60*IF(ISBLANK(K475),0,K475)+IF(ISBLANK(L475),0,L475),"")))</f>
        <v/>
      </c>
      <c r="W475" s="97" t="str">
        <f aca="false">IF(ISBLANK($C475),"",IF(M475=Constants!$B$2, TRUE(), IF(M475=Constants!$B$3, FALSE(), TRUE())))</f>
        <v/>
      </c>
      <c r="X475" s="97" t="str">
        <f aca="false">IF(ISBLANK($C475),"",IF(N475=Constants!$B$2, TRUE(), IF(N475=Constants!$B$3, FALSE(), TRUE())))</f>
        <v/>
      </c>
      <c r="Y475" s="97" t="str">
        <f aca="false">IF(ISBLANK($C475),"",IF(O475=Constants!$B$2, TRUE(), IF(O475=Constants!$B$3, FALSE(), FALSE())))</f>
        <v/>
      </c>
      <c r="Z475" s="97" t="str">
        <f aca="false">IF(ISBLANK($C475),"",AND(S475&lt;&gt;"",Q475))</f>
        <v/>
      </c>
      <c r="AA475" s="97" t="str">
        <f aca="false">IF(ISBLANK($C475),"",AND(V475&lt;&gt;"",Q475))</f>
        <v/>
      </c>
      <c r="AB475" s="97" t="str">
        <f aca="false">IF(ISBLANK($C475),"",IF(Y475,Constants!$B$4,IF(COUNTA(E475:N475)=0,Constants!$B$5,IF(NOT(Q475),Constants!$B$6,IF(AND(NOT(Z475),NOT(AA475)),Constants!$B$6,Constants!$B$7)))))</f>
        <v/>
      </c>
      <c r="AC475" s="97" t="str">
        <f aca="false">IF(ISBLANK($C475),"",IF($AB475&lt;&gt;Constants!$B$7,$AB475,Constants!$B$20))</f>
        <v/>
      </c>
      <c r="AD475" s="97" t="str">
        <f aca="false">IF($AB475=Constants!$B$7,IF(Z475,S475,Constants!$B$13),"")</f>
        <v/>
      </c>
      <c r="AE475" s="97" t="str">
        <f aca="false">IF($AB475=Constants!$B$7,IF(Z475,R475*IF(T475, 1, Constants!$B$11)*IF(U475, 1, Constants!$B$12),Constants!$B$13),"")</f>
        <v/>
      </c>
      <c r="AF475" s="97" t="str">
        <f aca="false">IF($AB475=Constants!$B$7,AD475*AE475,"")</f>
        <v/>
      </c>
      <c r="AG475" s="97" t="str">
        <f aca="false">IF($AB475=Constants!$B$7,IF(AA475,V475,Constants!$B$13),"")</f>
        <v/>
      </c>
      <c r="AH475" s="97" t="str">
        <f aca="false">IF($AB475=Constants!$B$7,IF(AA475,R475*IF(W475, 1, Constants!$B$11)*IF(X475, 1, Constants!$B$12),Constants!$B$13),"")</f>
        <v/>
      </c>
      <c r="AI475" s="97" t="str">
        <f aca="false">IF($AB475=Constants!$B$7,AG475*AH475,"")</f>
        <v/>
      </c>
      <c r="AJ475" s="97" t="str">
        <f aca="false">IF($AB475=Constants!$B$7,IF(AI475&gt;AF475,2,1),"")</f>
        <v/>
      </c>
      <c r="AK475" s="97" t="str">
        <f aca="false">IF($AB475=Constants!$B$7,IF(AJ475=1,2,1),"")</f>
        <v/>
      </c>
      <c r="AL475" s="97" t="str">
        <f aca="false">IF(ISBLANK($C475),"",IF($AB475&lt;&gt;Constants!$B$7,$AB475,IF(AJ475=1,AF475,AI475)))</f>
        <v/>
      </c>
      <c r="AM475" s="97" t="str">
        <f aca="false">IF(ISBLANK($C475),"",IF($AB475=Constants!$B$7,IF(ISNUMBER(AL475),RANK(AL475,$AL$8:$AL$507),Constants!$B$14),$AB475))</f>
        <v/>
      </c>
      <c r="AN475" s="97" t="str">
        <f aca="false">IF(ISBLANK($C475),"",IF($AB475=Constants!$B$7,IF(AK475=1,AF475,AI475),""))</f>
        <v/>
      </c>
      <c r="AO475" s="97" t="str">
        <f aca="false">IF(ISBLANK($C475),"",IF($AB475=Constants!$B$7,RANK(AN475,$AN$8:$AN$507),$AB475))</f>
        <v/>
      </c>
      <c r="AP475" s="97" t="str">
        <f aca="false">IF(ISBLANK($C475),"",IF($AB475=Constants!$B$7,IF(ISNUMBER(AM475),COUNTIFS($AM$8:$AM$507,"&lt;"&amp;$AM475)+COUNTIFS($AM$8:$AM$507,$AM475,$AO$8:$AO$507,"&lt;"&amp;$AO475)+1,Constants!$B$14),$AB475))</f>
        <v/>
      </c>
      <c r="AQ475" s="97" t="str">
        <f aca="false">IF(ISBLANK($C475),"",IF($AB475=Constants!$B$7,IF(ISNUMBER(AM475),AM475-AP475,Constants!$B$14),$AB475))</f>
        <v/>
      </c>
      <c r="AR475" s="98"/>
      <c r="AS475" s="99" t="str">
        <f aca="false">IF(ISBLANK($C475),"",IF($AB475&lt;&gt;Constants!$B$7,"",AJ475))</f>
        <v/>
      </c>
      <c r="AT475" s="100" t="str">
        <f aca="false">IF(ISBLANK($C475),"",IF($AB475&lt;&gt;Constants!$B$7,"",IF(AJ475=1,AD475,AG475)))</f>
        <v/>
      </c>
      <c r="AU475" s="101" t="str">
        <f aca="false">IF(ISBLANK($C475),"",IF($AB475&lt;&gt;Constants!$B$7,"",IF(AJ475=1,AE475,AH475)))</f>
        <v/>
      </c>
      <c r="AV475" s="102" t="str">
        <f aca="false">IF(ISBLANK($C475),"",IF($AB475&lt;&gt;Constants!$B$7,$AB475,AL475))</f>
        <v/>
      </c>
      <c r="AW475" s="103" t="str">
        <f aca="false">IF(ISBLANK($C475),"",IF($AB475&lt;&gt;Constants!$B$7,$AB475,AC475))</f>
        <v/>
      </c>
      <c r="AX475" s="104" t="str">
        <f aca="false">IF(ISBLANK($C475),"",AQ475)</f>
        <v/>
      </c>
      <c r="AY475" s="104" t="str">
        <f aca="false">IF(ISBLANK($C475),"",AP475)</f>
        <v/>
      </c>
      <c r="AZ475" s="105" t="str">
        <f aca="false">IF(ISBLANK($C475),"",IF(AY475=Constants!$B$4,COUNTA($C$8:$C$507)+2,IF(AY475=Constants!$B$5,COUNTA($C$8:$C$507)+1,IF(AY475=Constants!$B$6,COUNTA($C$8:$C$507),AY475))))</f>
        <v/>
      </c>
      <c r="BA475" s="5"/>
      <c r="BB475" s="106" t="n">
        <f aca="false">IF(OR(ISNUMBER(AY475),AY475=Constants!$B$4,AY475=Constants!$B$6,AY475=Constants!$B$5),1,0)</f>
        <v>0</v>
      </c>
      <c r="BC475" s="106" t="n">
        <v>468</v>
      </c>
      <c r="BD475" s="106" t="str">
        <f aca="false">IF(ISBLANK($C475),"",IF(ISNUMBER(AZ475),AZ475+ROW($B475)/1000,""))</f>
        <v/>
      </c>
      <c r="BE475" s="106" t="str">
        <f aca="false">IF(ISNUMBER(BD475),RANK(BD475,$BD$8:$BD$507,1),"")</f>
        <v/>
      </c>
      <c r="BF475" s="106" t="str">
        <f aca="false">IF(ISBLANK($C475),"",$B475)</f>
        <v/>
      </c>
      <c r="BG475" s="106" t="str">
        <f aca="false">IF(ISBLANK($C475),"",$C475)</f>
        <v/>
      </c>
      <c r="BH475" s="106" t="str">
        <f aca="false">IF(ISBLANK($C475),"",$D475)</f>
        <v/>
      </c>
      <c r="BI475" s="107" t="str">
        <f aca="false">AW475</f>
        <v/>
      </c>
      <c r="BJ475" s="108" t="str">
        <f aca="false">AV475</f>
        <v/>
      </c>
      <c r="BK475" s="106" t="str">
        <f aca="false">IF(ISBLANK($C475),"",AY475)</f>
        <v/>
      </c>
      <c r="BL475" s="109" t="str">
        <f aca="false">IF($BC475&gt;$BB$7,"",VLOOKUP($BC475,$BE$8:$BK$507,7,FALSE()))</f>
        <v/>
      </c>
      <c r="BM475" s="110" t="str">
        <f aca="false">IF($BC475&gt;$BB$7,"",VLOOKUP($BC475,$BE$8:$BK$507,2,FALSE()))</f>
        <v/>
      </c>
      <c r="BN475" s="110" t="str">
        <f aca="false">IF($BC475&gt;$BB$7,"",VLOOKUP($BC475,$BE$8:$BK$507,3,FALSE()))</f>
        <v/>
      </c>
      <c r="BO475" s="110" t="str">
        <f aca="false">IF($BC475&gt;$BB$7,"",VLOOKUP($BC475,$BE$8:$BK$507,4,FALSE()))</f>
        <v/>
      </c>
      <c r="BP475" s="110" t="str">
        <f aca="false">IF($BC475&gt;$BB$7,"",VLOOKUP($BC475,$BE$8:$BK$507,5,FALSE()))</f>
        <v/>
      </c>
      <c r="BQ475" s="111" t="str">
        <f aca="false">IF($BC475&gt;$BB$7,"",VLOOKUP($BC475,$BE$8:$BK$507,6,FALSE()))</f>
        <v/>
      </c>
      <c r="BR475" s="54"/>
    </row>
    <row r="476" customFormat="false" ht="15.75" hidden="false" customHeight="false" outlineLevel="0" collapsed="false">
      <c r="A476" s="5"/>
      <c r="B476" s="124"/>
      <c r="C476" s="56"/>
      <c r="D476" s="57"/>
      <c r="E476" s="83"/>
      <c r="F476" s="59"/>
      <c r="G476" s="60"/>
      <c r="H476" s="61"/>
      <c r="I476" s="62"/>
      <c r="J476" s="59"/>
      <c r="K476" s="60"/>
      <c r="L476" s="61"/>
      <c r="M476" s="62"/>
      <c r="N476" s="59"/>
      <c r="O476" s="83"/>
      <c r="P476" s="64"/>
      <c r="Q476" s="66" t="str">
        <f aca="false">IF(ISBLANK($C476),"",IF(E476=Constants!$B$2, TRUE(), IF(E476=Constants!$B$3, FALSE(), TRUE())))</f>
        <v/>
      </c>
      <c r="R476" s="66" t="str">
        <f aca="false">IF(ISBLANK($C476),"",IF(F476=Constants!$B$16,Constants!$B$9,IF(F476=Constants!$B$17,Constants!$B$10,Constants!$B$8)))</f>
        <v/>
      </c>
      <c r="S476" s="66" t="str">
        <f aca="false">IF(ISBLANK($C476),"",IF(COUNTA(G476:H476)=0,"",IF(AND(OR(ISBLANK(G476),AND(ISNUMBER(G476),G476&gt;=0)),OR(ISBLANK(H476),AND(ISNUMBER(H476),H476&gt;=0))),60*IF(ISBLANK(G476),0,G476)+IF(ISBLANK(H476),0,H476),"")))</f>
        <v/>
      </c>
      <c r="T476" s="66" t="str">
        <f aca="false">IF(ISBLANK($C476),"",IF(I476=Constants!$B$2, TRUE(), IF(I476=Constants!$B$3, FALSE(), TRUE())))</f>
        <v/>
      </c>
      <c r="U476" s="66" t="str">
        <f aca="false">IF(ISBLANK($C476),"",IF(J476=Constants!$B$2, TRUE(), IF(J476=Constants!$B$3, FALSE(), TRUE())))</f>
        <v/>
      </c>
      <c r="V476" s="66" t="str">
        <f aca="false">IF(ISBLANK($C476),"",IF(COUNTA(K476:L476)=0,"",IF(AND(OR(ISBLANK(K476),AND(ISNUMBER(K476),K476&gt;=0)),OR(ISBLANK(L476),AND(ISNUMBER(L476),L476&gt;=0))),60*IF(ISBLANK(K476),0,K476)+IF(ISBLANK(L476),0,L476),"")))</f>
        <v/>
      </c>
      <c r="W476" s="66" t="str">
        <f aca="false">IF(ISBLANK($C476),"",IF(M476=Constants!$B$2, TRUE(), IF(M476=Constants!$B$3, FALSE(), TRUE())))</f>
        <v/>
      </c>
      <c r="X476" s="66" t="str">
        <f aca="false">IF(ISBLANK($C476),"",IF(N476=Constants!$B$2, TRUE(), IF(N476=Constants!$B$3, FALSE(), TRUE())))</f>
        <v/>
      </c>
      <c r="Y476" s="66" t="str">
        <f aca="false">IF(ISBLANK($C476),"",IF(O476=Constants!$B$2, TRUE(), IF(O476=Constants!$B$3, FALSE(), FALSE())))</f>
        <v/>
      </c>
      <c r="Z476" s="66" t="str">
        <f aca="false">IF(ISBLANK($C476),"",AND(S476&lt;&gt;"",Q476))</f>
        <v/>
      </c>
      <c r="AA476" s="66" t="str">
        <f aca="false">IF(ISBLANK($C476),"",AND(V476&lt;&gt;"",Q476))</f>
        <v/>
      </c>
      <c r="AB476" s="66" t="str">
        <f aca="false">IF(ISBLANK($C476),"",IF(Y476,Constants!$B$4,IF(COUNTA(E476:N476)=0,Constants!$B$5,IF(NOT(Q476),Constants!$B$6,IF(AND(NOT(Z476),NOT(AA476)),Constants!$B$6,Constants!$B$7)))))</f>
        <v/>
      </c>
      <c r="AC476" s="66" t="str">
        <f aca="false">IF(ISBLANK($C476),"",IF($AB476&lt;&gt;Constants!$B$7,$AB476,Constants!$B$20))</f>
        <v/>
      </c>
      <c r="AD476" s="66" t="str">
        <f aca="false">IF($AB476=Constants!$B$7,IF(Z476,S476,Constants!$B$13),"")</f>
        <v/>
      </c>
      <c r="AE476" s="66" t="str">
        <f aca="false">IF($AB476=Constants!$B$7,IF(Z476,R476*IF(T476, 1, Constants!$B$11)*IF(U476, 1, Constants!$B$12),Constants!$B$13),"")</f>
        <v/>
      </c>
      <c r="AF476" s="66" t="str">
        <f aca="false">IF($AB476=Constants!$B$7,AD476*AE476,"")</f>
        <v/>
      </c>
      <c r="AG476" s="66" t="str">
        <f aca="false">IF($AB476=Constants!$B$7,IF(AA476,V476,Constants!$B$13),"")</f>
        <v/>
      </c>
      <c r="AH476" s="66" t="str">
        <f aca="false">IF($AB476=Constants!$B$7,IF(AA476,R476*IF(W476, 1, Constants!$B$11)*IF(X476, 1, Constants!$B$12),Constants!$B$13),"")</f>
        <v/>
      </c>
      <c r="AI476" s="66" t="str">
        <f aca="false">IF($AB476=Constants!$B$7,AG476*AH476,"")</f>
        <v/>
      </c>
      <c r="AJ476" s="66" t="str">
        <f aca="false">IF($AB476=Constants!$B$7,IF(AI476&gt;AF476,2,1),"")</f>
        <v/>
      </c>
      <c r="AK476" s="66" t="str">
        <f aca="false">IF($AB476=Constants!$B$7,IF(AJ476=1,2,1),"")</f>
        <v/>
      </c>
      <c r="AL476" s="66" t="str">
        <f aca="false">IF(ISBLANK($C476),"",IF($AB476&lt;&gt;Constants!$B$7,$AB476,IF(AJ476=1,AF476,AI476)))</f>
        <v/>
      </c>
      <c r="AM476" s="66" t="str">
        <f aca="false">IF(ISBLANK($C476),"",IF($AB476=Constants!$B$7,IF(ISNUMBER(AL476),RANK(AL476,$AL$8:$AL$507),Constants!$B$14),$AB476))</f>
        <v/>
      </c>
      <c r="AN476" s="66" t="str">
        <f aca="false">IF(ISBLANK($C476),"",IF($AB476=Constants!$B$7,IF(AK476=1,AF476,AI476),""))</f>
        <v/>
      </c>
      <c r="AO476" s="66" t="str">
        <f aca="false">IF(ISBLANK($C476),"",IF($AB476=Constants!$B$7,RANK(AN476,$AN$8:$AN$507),$AB476))</f>
        <v/>
      </c>
      <c r="AP476" s="66" t="str">
        <f aca="false">IF(ISBLANK($C476),"",IF($AB476=Constants!$B$7,IF(ISNUMBER(AM476),COUNTIFS($AM$8:$AM$507,"&lt;"&amp;$AM476)+COUNTIFS($AM$8:$AM$507,$AM476,$AO$8:$AO$507,"&lt;"&amp;$AO476)+1,Constants!$B$14),$AB476))</f>
        <v/>
      </c>
      <c r="AQ476" s="66" t="str">
        <f aca="false">IF(ISBLANK($C476),"",IF($AB476=Constants!$B$7,IF(ISNUMBER(AM476),AM476-AP476,Constants!$B$14),$AB476))</f>
        <v/>
      </c>
      <c r="AR476" s="68"/>
      <c r="AS476" s="69" t="str">
        <f aca="false">IF(ISBLANK($C476),"",IF($AB476&lt;&gt;Constants!$B$7,"",AJ476))</f>
        <v/>
      </c>
      <c r="AT476" s="84" t="str">
        <f aca="false">IF(ISBLANK($C476),"",IF($AB476&lt;&gt;Constants!$B$7,"",IF(AJ476=1,AD476,AG476)))</f>
        <v/>
      </c>
      <c r="AU476" s="71" t="str">
        <f aca="false">IF(ISBLANK($C476),"",IF($AB476&lt;&gt;Constants!$B$7,"",IF(AJ476=1,AE476,AH476)))</f>
        <v/>
      </c>
      <c r="AV476" s="72" t="str">
        <f aca="false">IF(ISBLANK($C476),"",IF($AB476&lt;&gt;Constants!$B$7,$AB476,AL476))</f>
        <v/>
      </c>
      <c r="AW476" s="73" t="str">
        <f aca="false">IF(ISBLANK($C476),"",IF($AB476&lt;&gt;Constants!$B$7,$AB476,AC476))</f>
        <v/>
      </c>
      <c r="AX476" s="74" t="str">
        <f aca="false">IF(ISBLANK($C476),"",AQ476)</f>
        <v/>
      </c>
      <c r="AY476" s="74" t="str">
        <f aca="false">IF(ISBLANK($C476),"",AP476)</f>
        <v/>
      </c>
      <c r="AZ476" s="75" t="str">
        <f aca="false">IF(ISBLANK($C476),"",IF(AY476=Constants!$B$4,COUNTA($C$8:$C$507)+2,IF(AY476=Constants!$B$5,COUNTA($C$8:$C$507)+1,IF(AY476=Constants!$B$6,COUNTA($C$8:$C$507),AY476))))</f>
        <v/>
      </c>
      <c r="BA476" s="5"/>
      <c r="BB476" s="76" t="n">
        <f aca="false">IF(OR(ISNUMBER(AY476),AY476=Constants!$B$4,AY476=Constants!$B$6,AY476=Constants!$B$5),1,0)</f>
        <v>0</v>
      </c>
      <c r="BC476" s="76" t="n">
        <v>469</v>
      </c>
      <c r="BD476" s="76" t="str">
        <f aca="false">IF(ISBLANK($C476),"",IF(ISNUMBER(AZ476),AZ476+ROW($B476)/1000,""))</f>
        <v/>
      </c>
      <c r="BE476" s="76" t="str">
        <f aca="false">IF(ISNUMBER(BD476),RANK(BD476,$BD$8:$BD$507,1),"")</f>
        <v/>
      </c>
      <c r="BF476" s="76" t="str">
        <f aca="false">IF(ISBLANK($C476),"",$B476)</f>
        <v/>
      </c>
      <c r="BG476" s="76" t="str">
        <f aca="false">IF(ISBLANK($C476),"",$C476)</f>
        <v/>
      </c>
      <c r="BH476" s="76" t="str">
        <f aca="false">IF(ISBLANK($C476),"",$D476)</f>
        <v/>
      </c>
      <c r="BI476" s="77" t="str">
        <f aca="false">AW476</f>
        <v/>
      </c>
      <c r="BJ476" s="78" t="str">
        <f aca="false">AV476</f>
        <v/>
      </c>
      <c r="BK476" s="76" t="str">
        <f aca="false">IF(ISBLANK($C476),"",AY476)</f>
        <v/>
      </c>
      <c r="BL476" s="79" t="str">
        <f aca="false">IF($BC476&gt;$BB$7,"",VLOOKUP($BC476,$BE$8:$BK$507,7,FALSE()))</f>
        <v/>
      </c>
      <c r="BM476" s="80" t="str">
        <f aca="false">IF($BC476&gt;$BB$7,"",VLOOKUP($BC476,$BE$8:$BK$507,2,FALSE()))</f>
        <v/>
      </c>
      <c r="BN476" s="80" t="str">
        <f aca="false">IF($BC476&gt;$BB$7,"",VLOOKUP($BC476,$BE$8:$BK$507,3,FALSE()))</f>
        <v/>
      </c>
      <c r="BO476" s="80" t="str">
        <f aca="false">IF($BC476&gt;$BB$7,"",VLOOKUP($BC476,$BE$8:$BK$507,4,FALSE()))</f>
        <v/>
      </c>
      <c r="BP476" s="80" t="str">
        <f aca="false">IF($BC476&gt;$BB$7,"",VLOOKUP($BC476,$BE$8:$BK$507,5,FALSE()))</f>
        <v/>
      </c>
      <c r="BQ476" s="81" t="str">
        <f aca="false">IF($BC476&gt;$BB$7,"",VLOOKUP($BC476,$BE$8:$BK$507,6,FALSE()))</f>
        <v/>
      </c>
      <c r="BR476" s="54"/>
    </row>
    <row r="477" customFormat="false" ht="15.75" hidden="false" customHeight="false" outlineLevel="0" collapsed="false">
      <c r="A477" s="5"/>
      <c r="B477" s="124"/>
      <c r="C477" s="56"/>
      <c r="D477" s="57"/>
      <c r="E477" s="83"/>
      <c r="F477" s="59"/>
      <c r="G477" s="60"/>
      <c r="H477" s="61"/>
      <c r="I477" s="62"/>
      <c r="J477" s="59"/>
      <c r="K477" s="60"/>
      <c r="L477" s="61"/>
      <c r="M477" s="62"/>
      <c r="N477" s="59"/>
      <c r="O477" s="83"/>
      <c r="P477" s="64"/>
      <c r="Q477" s="66" t="str">
        <f aca="false">IF(ISBLANK($C477),"",IF(E477=Constants!$B$2, TRUE(), IF(E477=Constants!$B$3, FALSE(), TRUE())))</f>
        <v/>
      </c>
      <c r="R477" s="66" t="str">
        <f aca="false">IF(ISBLANK($C477),"",IF(F477=Constants!$B$16,Constants!$B$9,IF(F477=Constants!$B$17,Constants!$B$10,Constants!$B$8)))</f>
        <v/>
      </c>
      <c r="S477" s="66" t="str">
        <f aca="false">IF(ISBLANK($C477),"",IF(COUNTA(G477:H477)=0,"",IF(AND(OR(ISBLANK(G477),AND(ISNUMBER(G477),G477&gt;=0)),OR(ISBLANK(H477),AND(ISNUMBER(H477),H477&gt;=0))),60*IF(ISBLANK(G477),0,G477)+IF(ISBLANK(H477),0,H477),"")))</f>
        <v/>
      </c>
      <c r="T477" s="66" t="str">
        <f aca="false">IF(ISBLANK($C477),"",IF(I477=Constants!$B$2, TRUE(), IF(I477=Constants!$B$3, FALSE(), TRUE())))</f>
        <v/>
      </c>
      <c r="U477" s="66" t="str">
        <f aca="false">IF(ISBLANK($C477),"",IF(J477=Constants!$B$2, TRUE(), IF(J477=Constants!$B$3, FALSE(), TRUE())))</f>
        <v/>
      </c>
      <c r="V477" s="66" t="str">
        <f aca="false">IF(ISBLANK($C477),"",IF(COUNTA(K477:L477)=0,"",IF(AND(OR(ISBLANK(K477),AND(ISNUMBER(K477),K477&gt;=0)),OR(ISBLANK(L477),AND(ISNUMBER(L477),L477&gt;=0))),60*IF(ISBLANK(K477),0,K477)+IF(ISBLANK(L477),0,L477),"")))</f>
        <v/>
      </c>
      <c r="W477" s="66" t="str">
        <f aca="false">IF(ISBLANK($C477),"",IF(M477=Constants!$B$2, TRUE(), IF(M477=Constants!$B$3, FALSE(), TRUE())))</f>
        <v/>
      </c>
      <c r="X477" s="66" t="str">
        <f aca="false">IF(ISBLANK($C477),"",IF(N477=Constants!$B$2, TRUE(), IF(N477=Constants!$B$3, FALSE(), TRUE())))</f>
        <v/>
      </c>
      <c r="Y477" s="66" t="str">
        <f aca="false">IF(ISBLANK($C477),"",IF(O477=Constants!$B$2, TRUE(), IF(O477=Constants!$B$3, FALSE(), FALSE())))</f>
        <v/>
      </c>
      <c r="Z477" s="66" t="str">
        <f aca="false">IF(ISBLANK($C477),"",AND(S477&lt;&gt;"",Q477))</f>
        <v/>
      </c>
      <c r="AA477" s="66" t="str">
        <f aca="false">IF(ISBLANK($C477),"",AND(V477&lt;&gt;"",Q477))</f>
        <v/>
      </c>
      <c r="AB477" s="66" t="str">
        <f aca="false">IF(ISBLANK($C477),"",IF(Y477,Constants!$B$4,IF(COUNTA(E477:N477)=0,Constants!$B$5,IF(NOT(Q477),Constants!$B$6,IF(AND(NOT(Z477),NOT(AA477)),Constants!$B$6,Constants!$B$7)))))</f>
        <v/>
      </c>
      <c r="AC477" s="66" t="str">
        <f aca="false">IF(ISBLANK($C477),"",IF($AB477&lt;&gt;Constants!$B$7,$AB477,Constants!$B$20))</f>
        <v/>
      </c>
      <c r="AD477" s="66" t="str">
        <f aca="false">IF($AB477=Constants!$B$7,IF(Z477,S477,Constants!$B$13),"")</f>
        <v/>
      </c>
      <c r="AE477" s="66" t="str">
        <f aca="false">IF($AB477=Constants!$B$7,IF(Z477,R477*IF(T477, 1, Constants!$B$11)*IF(U477, 1, Constants!$B$12),Constants!$B$13),"")</f>
        <v/>
      </c>
      <c r="AF477" s="66" t="str">
        <f aca="false">IF($AB477=Constants!$B$7,AD477*AE477,"")</f>
        <v/>
      </c>
      <c r="AG477" s="66" t="str">
        <f aca="false">IF($AB477=Constants!$B$7,IF(AA477,V477,Constants!$B$13),"")</f>
        <v/>
      </c>
      <c r="AH477" s="66" t="str">
        <f aca="false">IF($AB477=Constants!$B$7,IF(AA477,R477*IF(W477, 1, Constants!$B$11)*IF(X477, 1, Constants!$B$12),Constants!$B$13),"")</f>
        <v/>
      </c>
      <c r="AI477" s="66" t="str">
        <f aca="false">IF($AB477=Constants!$B$7,AG477*AH477,"")</f>
        <v/>
      </c>
      <c r="AJ477" s="66" t="str">
        <f aca="false">IF($AB477=Constants!$B$7,IF(AI477&gt;AF477,2,1),"")</f>
        <v/>
      </c>
      <c r="AK477" s="66" t="str">
        <f aca="false">IF($AB477=Constants!$B$7,IF(AJ477=1,2,1),"")</f>
        <v/>
      </c>
      <c r="AL477" s="66" t="str">
        <f aca="false">IF(ISBLANK($C477),"",IF($AB477&lt;&gt;Constants!$B$7,$AB477,IF(AJ477=1,AF477,AI477)))</f>
        <v/>
      </c>
      <c r="AM477" s="66" t="str">
        <f aca="false">IF(ISBLANK($C477),"",IF($AB477=Constants!$B$7,IF(ISNUMBER(AL477),RANK(AL477,$AL$8:$AL$507),Constants!$B$14),$AB477))</f>
        <v/>
      </c>
      <c r="AN477" s="66" t="str">
        <f aca="false">IF(ISBLANK($C477),"",IF($AB477=Constants!$B$7,IF(AK477=1,AF477,AI477),""))</f>
        <v/>
      </c>
      <c r="AO477" s="66" t="str">
        <f aca="false">IF(ISBLANK($C477),"",IF($AB477=Constants!$B$7,RANK(AN477,$AN$8:$AN$507),$AB477))</f>
        <v/>
      </c>
      <c r="AP477" s="66" t="str">
        <f aca="false">IF(ISBLANK($C477),"",IF($AB477=Constants!$B$7,IF(ISNUMBER(AM477),COUNTIFS($AM$8:$AM$507,"&lt;"&amp;$AM477)+COUNTIFS($AM$8:$AM$507,$AM477,$AO$8:$AO$507,"&lt;"&amp;$AO477)+1,Constants!$B$14),$AB477))</f>
        <v/>
      </c>
      <c r="AQ477" s="66" t="str">
        <f aca="false">IF(ISBLANK($C477),"",IF($AB477=Constants!$B$7,IF(ISNUMBER(AM477),AM477-AP477,Constants!$B$14),$AB477))</f>
        <v/>
      </c>
      <c r="AR477" s="68"/>
      <c r="AS477" s="69" t="str">
        <f aca="false">IF(ISBLANK($C477),"",IF($AB477&lt;&gt;Constants!$B$7,"",AJ477))</f>
        <v/>
      </c>
      <c r="AT477" s="84" t="str">
        <f aca="false">IF(ISBLANK($C477),"",IF($AB477&lt;&gt;Constants!$B$7,"",IF(AJ477=1,AD477,AG477)))</f>
        <v/>
      </c>
      <c r="AU477" s="71" t="str">
        <f aca="false">IF(ISBLANK($C477),"",IF($AB477&lt;&gt;Constants!$B$7,"",IF(AJ477=1,AE477,AH477)))</f>
        <v/>
      </c>
      <c r="AV477" s="72" t="str">
        <f aca="false">IF(ISBLANK($C477),"",IF($AB477&lt;&gt;Constants!$B$7,$AB477,AL477))</f>
        <v/>
      </c>
      <c r="AW477" s="73" t="str">
        <f aca="false">IF(ISBLANK($C477),"",IF($AB477&lt;&gt;Constants!$B$7,$AB477,AC477))</f>
        <v/>
      </c>
      <c r="AX477" s="74" t="str">
        <f aca="false">IF(ISBLANK($C477),"",AQ477)</f>
        <v/>
      </c>
      <c r="AY477" s="74" t="str">
        <f aca="false">IF(ISBLANK($C477),"",AP477)</f>
        <v/>
      </c>
      <c r="AZ477" s="75" t="str">
        <f aca="false">IF(ISBLANK($C477),"",IF(AY477=Constants!$B$4,COUNTA($C$8:$C$507)+2,IF(AY477=Constants!$B$5,COUNTA($C$8:$C$507)+1,IF(AY477=Constants!$B$6,COUNTA($C$8:$C$507),AY477))))</f>
        <v/>
      </c>
      <c r="BA477" s="5"/>
      <c r="BB477" s="76" t="n">
        <f aca="false">IF(OR(ISNUMBER(AY477),AY477=Constants!$B$4,AY477=Constants!$B$6,AY477=Constants!$B$5),1,0)</f>
        <v>0</v>
      </c>
      <c r="BC477" s="76" t="n">
        <v>470</v>
      </c>
      <c r="BD477" s="76" t="str">
        <f aca="false">IF(ISBLANK($C477),"",IF(ISNUMBER(AZ477),AZ477+ROW($B477)/1000,""))</f>
        <v/>
      </c>
      <c r="BE477" s="76" t="str">
        <f aca="false">IF(ISNUMBER(BD477),RANK(BD477,$BD$8:$BD$507,1),"")</f>
        <v/>
      </c>
      <c r="BF477" s="76" t="str">
        <f aca="false">IF(ISBLANK($C477),"",$B477)</f>
        <v/>
      </c>
      <c r="BG477" s="76" t="str">
        <f aca="false">IF(ISBLANK($C477),"",$C477)</f>
        <v/>
      </c>
      <c r="BH477" s="76" t="str">
        <f aca="false">IF(ISBLANK($C477),"",$D477)</f>
        <v/>
      </c>
      <c r="BI477" s="77" t="str">
        <f aca="false">AW477</f>
        <v/>
      </c>
      <c r="BJ477" s="78" t="str">
        <f aca="false">AV477</f>
        <v/>
      </c>
      <c r="BK477" s="76" t="str">
        <f aca="false">IF(ISBLANK($C477),"",AY477)</f>
        <v/>
      </c>
      <c r="BL477" s="79" t="str">
        <f aca="false">IF($BC477&gt;$BB$7,"",VLOOKUP($BC477,$BE$8:$BK$507,7,FALSE()))</f>
        <v/>
      </c>
      <c r="BM477" s="80" t="str">
        <f aca="false">IF($BC477&gt;$BB$7,"",VLOOKUP($BC477,$BE$8:$BK$507,2,FALSE()))</f>
        <v/>
      </c>
      <c r="BN477" s="80" t="str">
        <f aca="false">IF($BC477&gt;$BB$7,"",VLOOKUP($BC477,$BE$8:$BK$507,3,FALSE()))</f>
        <v/>
      </c>
      <c r="BO477" s="80" t="str">
        <f aca="false">IF($BC477&gt;$BB$7,"",VLOOKUP($BC477,$BE$8:$BK$507,4,FALSE()))</f>
        <v/>
      </c>
      <c r="BP477" s="80" t="str">
        <f aca="false">IF($BC477&gt;$BB$7,"",VLOOKUP($BC477,$BE$8:$BK$507,5,FALSE()))</f>
        <v/>
      </c>
      <c r="BQ477" s="81" t="str">
        <f aca="false">IF($BC477&gt;$BB$7,"",VLOOKUP($BC477,$BE$8:$BK$507,6,FALSE()))</f>
        <v/>
      </c>
      <c r="BR477" s="54"/>
    </row>
    <row r="478" customFormat="false" ht="15.75" hidden="false" customHeight="false" outlineLevel="0" collapsed="false">
      <c r="A478" s="5"/>
      <c r="B478" s="124"/>
      <c r="C478" s="56"/>
      <c r="D478" s="57"/>
      <c r="E478" s="83"/>
      <c r="F478" s="59"/>
      <c r="G478" s="60"/>
      <c r="H478" s="61"/>
      <c r="I478" s="62"/>
      <c r="J478" s="59"/>
      <c r="K478" s="60"/>
      <c r="L478" s="61"/>
      <c r="M478" s="62"/>
      <c r="N478" s="59"/>
      <c r="O478" s="83"/>
      <c r="P478" s="64"/>
      <c r="Q478" s="66" t="str">
        <f aca="false">IF(ISBLANK($C478),"",IF(E478=Constants!$B$2, TRUE(), IF(E478=Constants!$B$3, FALSE(), TRUE())))</f>
        <v/>
      </c>
      <c r="R478" s="66" t="str">
        <f aca="false">IF(ISBLANK($C478),"",IF(F478=Constants!$B$16,Constants!$B$9,IF(F478=Constants!$B$17,Constants!$B$10,Constants!$B$8)))</f>
        <v/>
      </c>
      <c r="S478" s="66" t="str">
        <f aca="false">IF(ISBLANK($C478),"",IF(COUNTA(G478:H478)=0,"",IF(AND(OR(ISBLANK(G478),AND(ISNUMBER(G478),G478&gt;=0)),OR(ISBLANK(H478),AND(ISNUMBER(H478),H478&gt;=0))),60*IF(ISBLANK(G478),0,G478)+IF(ISBLANK(H478),0,H478),"")))</f>
        <v/>
      </c>
      <c r="T478" s="66" t="str">
        <f aca="false">IF(ISBLANK($C478),"",IF(I478=Constants!$B$2, TRUE(), IF(I478=Constants!$B$3, FALSE(), TRUE())))</f>
        <v/>
      </c>
      <c r="U478" s="66" t="str">
        <f aca="false">IF(ISBLANK($C478),"",IF(J478=Constants!$B$2, TRUE(), IF(J478=Constants!$B$3, FALSE(), TRUE())))</f>
        <v/>
      </c>
      <c r="V478" s="66" t="str">
        <f aca="false">IF(ISBLANK($C478),"",IF(COUNTA(K478:L478)=0,"",IF(AND(OR(ISBLANK(K478),AND(ISNUMBER(K478),K478&gt;=0)),OR(ISBLANK(L478),AND(ISNUMBER(L478),L478&gt;=0))),60*IF(ISBLANK(K478),0,K478)+IF(ISBLANK(L478),0,L478),"")))</f>
        <v/>
      </c>
      <c r="W478" s="66" t="str">
        <f aca="false">IF(ISBLANK($C478),"",IF(M478=Constants!$B$2, TRUE(), IF(M478=Constants!$B$3, FALSE(), TRUE())))</f>
        <v/>
      </c>
      <c r="X478" s="66" t="str">
        <f aca="false">IF(ISBLANK($C478),"",IF(N478=Constants!$B$2, TRUE(), IF(N478=Constants!$B$3, FALSE(), TRUE())))</f>
        <v/>
      </c>
      <c r="Y478" s="66" t="str">
        <f aca="false">IF(ISBLANK($C478),"",IF(O478=Constants!$B$2, TRUE(), IF(O478=Constants!$B$3, FALSE(), FALSE())))</f>
        <v/>
      </c>
      <c r="Z478" s="66" t="str">
        <f aca="false">IF(ISBLANK($C478),"",AND(S478&lt;&gt;"",Q478))</f>
        <v/>
      </c>
      <c r="AA478" s="66" t="str">
        <f aca="false">IF(ISBLANK($C478),"",AND(V478&lt;&gt;"",Q478))</f>
        <v/>
      </c>
      <c r="AB478" s="66" t="str">
        <f aca="false">IF(ISBLANK($C478),"",IF(Y478,Constants!$B$4,IF(COUNTA(E478:N478)=0,Constants!$B$5,IF(NOT(Q478),Constants!$B$6,IF(AND(NOT(Z478),NOT(AA478)),Constants!$B$6,Constants!$B$7)))))</f>
        <v/>
      </c>
      <c r="AC478" s="66" t="str">
        <f aca="false">IF(ISBLANK($C478),"",IF($AB478&lt;&gt;Constants!$B$7,$AB478,Constants!$B$20))</f>
        <v/>
      </c>
      <c r="AD478" s="66" t="str">
        <f aca="false">IF($AB478=Constants!$B$7,IF(Z478,S478,Constants!$B$13),"")</f>
        <v/>
      </c>
      <c r="AE478" s="66" t="str">
        <f aca="false">IF($AB478=Constants!$B$7,IF(Z478,R478*IF(T478, 1, Constants!$B$11)*IF(U478, 1, Constants!$B$12),Constants!$B$13),"")</f>
        <v/>
      </c>
      <c r="AF478" s="66" t="str">
        <f aca="false">IF($AB478=Constants!$B$7,AD478*AE478,"")</f>
        <v/>
      </c>
      <c r="AG478" s="66" t="str">
        <f aca="false">IF($AB478=Constants!$B$7,IF(AA478,V478,Constants!$B$13),"")</f>
        <v/>
      </c>
      <c r="AH478" s="66" t="str">
        <f aca="false">IF($AB478=Constants!$B$7,IF(AA478,R478*IF(W478, 1, Constants!$B$11)*IF(X478, 1, Constants!$B$12),Constants!$B$13),"")</f>
        <v/>
      </c>
      <c r="AI478" s="66" t="str">
        <f aca="false">IF($AB478=Constants!$B$7,AG478*AH478,"")</f>
        <v/>
      </c>
      <c r="AJ478" s="66" t="str">
        <f aca="false">IF($AB478=Constants!$B$7,IF(AI478&gt;AF478,2,1),"")</f>
        <v/>
      </c>
      <c r="AK478" s="66" t="str">
        <f aca="false">IF($AB478=Constants!$B$7,IF(AJ478=1,2,1),"")</f>
        <v/>
      </c>
      <c r="AL478" s="66" t="str">
        <f aca="false">IF(ISBLANK($C478),"",IF($AB478&lt;&gt;Constants!$B$7,$AB478,IF(AJ478=1,AF478,AI478)))</f>
        <v/>
      </c>
      <c r="AM478" s="66" t="str">
        <f aca="false">IF(ISBLANK($C478),"",IF($AB478=Constants!$B$7,IF(ISNUMBER(AL478),RANK(AL478,$AL$8:$AL$507),Constants!$B$14),$AB478))</f>
        <v/>
      </c>
      <c r="AN478" s="66" t="str">
        <f aca="false">IF(ISBLANK($C478),"",IF($AB478=Constants!$B$7,IF(AK478=1,AF478,AI478),""))</f>
        <v/>
      </c>
      <c r="AO478" s="66" t="str">
        <f aca="false">IF(ISBLANK($C478),"",IF($AB478=Constants!$B$7,RANK(AN478,$AN$8:$AN$507),$AB478))</f>
        <v/>
      </c>
      <c r="AP478" s="66" t="str">
        <f aca="false">IF(ISBLANK($C478),"",IF($AB478=Constants!$B$7,IF(ISNUMBER(AM478),COUNTIFS($AM$8:$AM$507,"&lt;"&amp;$AM478)+COUNTIFS($AM$8:$AM$507,$AM478,$AO$8:$AO$507,"&lt;"&amp;$AO478)+1,Constants!$B$14),$AB478))</f>
        <v/>
      </c>
      <c r="AQ478" s="66" t="str">
        <f aca="false">IF(ISBLANK($C478),"",IF($AB478=Constants!$B$7,IF(ISNUMBER(AM478),AM478-AP478,Constants!$B$14),$AB478))</f>
        <v/>
      </c>
      <c r="AR478" s="68"/>
      <c r="AS478" s="69" t="str">
        <f aca="false">IF(ISBLANK($C478),"",IF($AB478&lt;&gt;Constants!$B$7,"",AJ478))</f>
        <v/>
      </c>
      <c r="AT478" s="84" t="str">
        <f aca="false">IF(ISBLANK($C478),"",IF($AB478&lt;&gt;Constants!$B$7,"",IF(AJ478=1,AD478,AG478)))</f>
        <v/>
      </c>
      <c r="AU478" s="71" t="str">
        <f aca="false">IF(ISBLANK($C478),"",IF($AB478&lt;&gt;Constants!$B$7,"",IF(AJ478=1,AE478,AH478)))</f>
        <v/>
      </c>
      <c r="AV478" s="72" t="str">
        <f aca="false">IF(ISBLANK($C478),"",IF($AB478&lt;&gt;Constants!$B$7,$AB478,AL478))</f>
        <v/>
      </c>
      <c r="AW478" s="73" t="str">
        <f aca="false">IF(ISBLANK($C478),"",IF($AB478&lt;&gt;Constants!$B$7,$AB478,AC478))</f>
        <v/>
      </c>
      <c r="AX478" s="74" t="str">
        <f aca="false">IF(ISBLANK($C478),"",AQ478)</f>
        <v/>
      </c>
      <c r="AY478" s="74" t="str">
        <f aca="false">IF(ISBLANK($C478),"",AP478)</f>
        <v/>
      </c>
      <c r="AZ478" s="75" t="str">
        <f aca="false">IF(ISBLANK($C478),"",IF(AY478=Constants!$B$4,COUNTA($C$8:$C$507)+2,IF(AY478=Constants!$B$5,COUNTA($C$8:$C$507)+1,IF(AY478=Constants!$B$6,COUNTA($C$8:$C$507),AY478))))</f>
        <v/>
      </c>
      <c r="BA478" s="5"/>
      <c r="BB478" s="76" t="n">
        <f aca="false">IF(OR(ISNUMBER(AY478),AY478=Constants!$B$4,AY478=Constants!$B$6,AY478=Constants!$B$5),1,0)</f>
        <v>0</v>
      </c>
      <c r="BC478" s="76" t="n">
        <v>471</v>
      </c>
      <c r="BD478" s="76" t="str">
        <f aca="false">IF(ISBLANK($C478),"",IF(ISNUMBER(AZ478),AZ478+ROW($B478)/1000,""))</f>
        <v/>
      </c>
      <c r="BE478" s="76" t="str">
        <f aca="false">IF(ISNUMBER(BD478),RANK(BD478,$BD$8:$BD$507,1),"")</f>
        <v/>
      </c>
      <c r="BF478" s="76" t="str">
        <f aca="false">IF(ISBLANK($C478),"",$B478)</f>
        <v/>
      </c>
      <c r="BG478" s="76" t="str">
        <f aca="false">IF(ISBLANK($C478),"",$C478)</f>
        <v/>
      </c>
      <c r="BH478" s="76" t="str">
        <f aca="false">IF(ISBLANK($C478),"",$D478)</f>
        <v/>
      </c>
      <c r="BI478" s="77" t="str">
        <f aca="false">AW478</f>
        <v/>
      </c>
      <c r="BJ478" s="78" t="str">
        <f aca="false">AV478</f>
        <v/>
      </c>
      <c r="BK478" s="76" t="str">
        <f aca="false">IF(ISBLANK($C478),"",AY478)</f>
        <v/>
      </c>
      <c r="BL478" s="79" t="str">
        <f aca="false">IF($BC478&gt;$BB$7,"",VLOOKUP($BC478,$BE$8:$BK$507,7,FALSE()))</f>
        <v/>
      </c>
      <c r="BM478" s="80" t="str">
        <f aca="false">IF($BC478&gt;$BB$7,"",VLOOKUP($BC478,$BE$8:$BK$507,2,FALSE()))</f>
        <v/>
      </c>
      <c r="BN478" s="80" t="str">
        <f aca="false">IF($BC478&gt;$BB$7,"",VLOOKUP($BC478,$BE$8:$BK$507,3,FALSE()))</f>
        <v/>
      </c>
      <c r="BO478" s="80" t="str">
        <f aca="false">IF($BC478&gt;$BB$7,"",VLOOKUP($BC478,$BE$8:$BK$507,4,FALSE()))</f>
        <v/>
      </c>
      <c r="BP478" s="80" t="str">
        <f aca="false">IF($BC478&gt;$BB$7,"",VLOOKUP($BC478,$BE$8:$BK$507,5,FALSE()))</f>
        <v/>
      </c>
      <c r="BQ478" s="81" t="str">
        <f aca="false">IF($BC478&gt;$BB$7,"",VLOOKUP($BC478,$BE$8:$BK$507,6,FALSE()))</f>
        <v/>
      </c>
      <c r="BR478" s="54"/>
    </row>
    <row r="479" customFormat="false" ht="15.75" hidden="false" customHeight="false" outlineLevel="0" collapsed="false">
      <c r="A479" s="5"/>
      <c r="B479" s="120"/>
      <c r="C479" s="121"/>
      <c r="D479" s="112"/>
      <c r="E479" s="123"/>
      <c r="F479" s="91"/>
      <c r="G479" s="92"/>
      <c r="H479" s="93"/>
      <c r="I479" s="94"/>
      <c r="J479" s="91"/>
      <c r="K479" s="92"/>
      <c r="L479" s="93"/>
      <c r="M479" s="94"/>
      <c r="N479" s="91"/>
      <c r="O479" s="123"/>
      <c r="P479" s="96"/>
      <c r="Q479" s="97" t="str">
        <f aca="false">IF(ISBLANK($C479),"",IF(E479=Constants!$B$2, TRUE(), IF(E479=Constants!$B$3, FALSE(), TRUE())))</f>
        <v/>
      </c>
      <c r="R479" s="97" t="str">
        <f aca="false">IF(ISBLANK($C479),"",IF(F479=Constants!$B$16,Constants!$B$9,IF(F479=Constants!$B$17,Constants!$B$10,Constants!$B$8)))</f>
        <v/>
      </c>
      <c r="S479" s="97" t="str">
        <f aca="false">IF(ISBLANK($C479),"",IF(COUNTA(G479:H479)=0,"",IF(AND(OR(ISBLANK(G479),AND(ISNUMBER(G479),G479&gt;=0)),OR(ISBLANK(H479),AND(ISNUMBER(H479),H479&gt;=0))),60*IF(ISBLANK(G479),0,G479)+IF(ISBLANK(H479),0,H479),"")))</f>
        <v/>
      </c>
      <c r="T479" s="97" t="str">
        <f aca="false">IF(ISBLANK($C479),"",IF(I479=Constants!$B$2, TRUE(), IF(I479=Constants!$B$3, FALSE(), TRUE())))</f>
        <v/>
      </c>
      <c r="U479" s="97" t="str">
        <f aca="false">IF(ISBLANK($C479),"",IF(J479=Constants!$B$2, TRUE(), IF(J479=Constants!$B$3, FALSE(), TRUE())))</f>
        <v/>
      </c>
      <c r="V479" s="97" t="str">
        <f aca="false">IF(ISBLANK($C479),"",IF(COUNTA(K479:L479)=0,"",IF(AND(OR(ISBLANK(K479),AND(ISNUMBER(K479),K479&gt;=0)),OR(ISBLANK(L479),AND(ISNUMBER(L479),L479&gt;=0))),60*IF(ISBLANK(K479),0,K479)+IF(ISBLANK(L479),0,L479),"")))</f>
        <v/>
      </c>
      <c r="W479" s="97" t="str">
        <f aca="false">IF(ISBLANK($C479),"",IF(M479=Constants!$B$2, TRUE(), IF(M479=Constants!$B$3, FALSE(), TRUE())))</f>
        <v/>
      </c>
      <c r="X479" s="97" t="str">
        <f aca="false">IF(ISBLANK($C479),"",IF(N479=Constants!$B$2, TRUE(), IF(N479=Constants!$B$3, FALSE(), TRUE())))</f>
        <v/>
      </c>
      <c r="Y479" s="97" t="str">
        <f aca="false">IF(ISBLANK($C479),"",IF(O479=Constants!$B$2, TRUE(), IF(O479=Constants!$B$3, FALSE(), FALSE())))</f>
        <v/>
      </c>
      <c r="Z479" s="97" t="str">
        <f aca="false">IF(ISBLANK($C479),"",AND(S479&lt;&gt;"",Q479))</f>
        <v/>
      </c>
      <c r="AA479" s="97" t="str">
        <f aca="false">IF(ISBLANK($C479),"",AND(V479&lt;&gt;"",Q479))</f>
        <v/>
      </c>
      <c r="AB479" s="97" t="str">
        <f aca="false">IF(ISBLANK($C479),"",IF(Y479,Constants!$B$4,IF(COUNTA(E479:N479)=0,Constants!$B$5,IF(NOT(Q479),Constants!$B$6,IF(AND(NOT(Z479),NOT(AA479)),Constants!$B$6,Constants!$B$7)))))</f>
        <v/>
      </c>
      <c r="AC479" s="97" t="str">
        <f aca="false">IF(ISBLANK($C479),"",IF($AB479&lt;&gt;Constants!$B$7,$AB479,Constants!$B$20))</f>
        <v/>
      </c>
      <c r="AD479" s="97" t="str">
        <f aca="false">IF($AB479=Constants!$B$7,IF(Z479,S479,Constants!$B$13),"")</f>
        <v/>
      </c>
      <c r="AE479" s="97" t="str">
        <f aca="false">IF($AB479=Constants!$B$7,IF(Z479,R479*IF(T479, 1, Constants!$B$11)*IF(U479, 1, Constants!$B$12),Constants!$B$13),"")</f>
        <v/>
      </c>
      <c r="AF479" s="97" t="str">
        <f aca="false">IF($AB479=Constants!$B$7,AD479*AE479,"")</f>
        <v/>
      </c>
      <c r="AG479" s="97" t="str">
        <f aca="false">IF($AB479=Constants!$B$7,IF(AA479,V479,Constants!$B$13),"")</f>
        <v/>
      </c>
      <c r="AH479" s="97" t="str">
        <f aca="false">IF($AB479=Constants!$B$7,IF(AA479,R479*IF(W479, 1, Constants!$B$11)*IF(X479, 1, Constants!$B$12),Constants!$B$13),"")</f>
        <v/>
      </c>
      <c r="AI479" s="97" t="str">
        <f aca="false">IF($AB479=Constants!$B$7,AG479*AH479,"")</f>
        <v/>
      </c>
      <c r="AJ479" s="97" t="str">
        <f aca="false">IF($AB479=Constants!$B$7,IF(AI479&gt;AF479,2,1),"")</f>
        <v/>
      </c>
      <c r="AK479" s="97" t="str">
        <f aca="false">IF($AB479=Constants!$B$7,IF(AJ479=1,2,1),"")</f>
        <v/>
      </c>
      <c r="AL479" s="97" t="str">
        <f aca="false">IF(ISBLANK($C479),"",IF($AB479&lt;&gt;Constants!$B$7,$AB479,IF(AJ479=1,AF479,AI479)))</f>
        <v/>
      </c>
      <c r="AM479" s="97" t="str">
        <f aca="false">IF(ISBLANK($C479),"",IF($AB479=Constants!$B$7,IF(ISNUMBER(AL479),RANK(AL479,$AL$8:$AL$507),Constants!$B$14),$AB479))</f>
        <v/>
      </c>
      <c r="AN479" s="97" t="str">
        <f aca="false">IF(ISBLANK($C479),"",IF($AB479=Constants!$B$7,IF(AK479=1,AF479,AI479),""))</f>
        <v/>
      </c>
      <c r="AO479" s="97" t="str">
        <f aca="false">IF(ISBLANK($C479),"",IF($AB479=Constants!$B$7,RANK(AN479,$AN$8:$AN$507),$AB479))</f>
        <v/>
      </c>
      <c r="AP479" s="97" t="str">
        <f aca="false">IF(ISBLANK($C479),"",IF($AB479=Constants!$B$7,IF(ISNUMBER(AM479),COUNTIFS($AM$8:$AM$507,"&lt;"&amp;$AM479)+COUNTIFS($AM$8:$AM$507,$AM479,$AO$8:$AO$507,"&lt;"&amp;$AO479)+1,Constants!$B$14),$AB479))</f>
        <v/>
      </c>
      <c r="AQ479" s="97" t="str">
        <f aca="false">IF(ISBLANK($C479),"",IF($AB479=Constants!$B$7,IF(ISNUMBER(AM479),AM479-AP479,Constants!$B$14),$AB479))</f>
        <v/>
      </c>
      <c r="AR479" s="98"/>
      <c r="AS479" s="99" t="str">
        <f aca="false">IF(ISBLANK($C479),"",IF($AB479&lt;&gt;Constants!$B$7,"",AJ479))</f>
        <v/>
      </c>
      <c r="AT479" s="100" t="str">
        <f aca="false">IF(ISBLANK($C479),"",IF($AB479&lt;&gt;Constants!$B$7,"",IF(AJ479=1,AD479,AG479)))</f>
        <v/>
      </c>
      <c r="AU479" s="101" t="str">
        <f aca="false">IF(ISBLANK($C479),"",IF($AB479&lt;&gt;Constants!$B$7,"",IF(AJ479=1,AE479,AH479)))</f>
        <v/>
      </c>
      <c r="AV479" s="102" t="str">
        <f aca="false">IF(ISBLANK($C479),"",IF($AB479&lt;&gt;Constants!$B$7,$AB479,AL479))</f>
        <v/>
      </c>
      <c r="AW479" s="103" t="str">
        <f aca="false">IF(ISBLANK($C479),"",IF($AB479&lt;&gt;Constants!$B$7,$AB479,AC479))</f>
        <v/>
      </c>
      <c r="AX479" s="104" t="str">
        <f aca="false">IF(ISBLANK($C479),"",AQ479)</f>
        <v/>
      </c>
      <c r="AY479" s="104" t="str">
        <f aca="false">IF(ISBLANK($C479),"",AP479)</f>
        <v/>
      </c>
      <c r="AZ479" s="105" t="str">
        <f aca="false">IF(ISBLANK($C479),"",IF(AY479=Constants!$B$4,COUNTA($C$8:$C$507)+2,IF(AY479=Constants!$B$5,COUNTA($C$8:$C$507)+1,IF(AY479=Constants!$B$6,COUNTA($C$8:$C$507),AY479))))</f>
        <v/>
      </c>
      <c r="BA479" s="5"/>
      <c r="BB479" s="106" t="n">
        <f aca="false">IF(OR(ISNUMBER(AY479),AY479=Constants!$B$4,AY479=Constants!$B$6,AY479=Constants!$B$5),1,0)</f>
        <v>0</v>
      </c>
      <c r="BC479" s="106" t="n">
        <v>472</v>
      </c>
      <c r="BD479" s="106" t="str">
        <f aca="false">IF(ISBLANK($C479),"",IF(ISNUMBER(AZ479),AZ479+ROW($B479)/1000,""))</f>
        <v/>
      </c>
      <c r="BE479" s="106" t="str">
        <f aca="false">IF(ISNUMBER(BD479),RANK(BD479,$BD$8:$BD$507,1),"")</f>
        <v/>
      </c>
      <c r="BF479" s="106" t="str">
        <f aca="false">IF(ISBLANK($C479),"",$B479)</f>
        <v/>
      </c>
      <c r="BG479" s="106" t="str">
        <f aca="false">IF(ISBLANK($C479),"",$C479)</f>
        <v/>
      </c>
      <c r="BH479" s="106" t="str">
        <f aca="false">IF(ISBLANK($C479),"",$D479)</f>
        <v/>
      </c>
      <c r="BI479" s="107" t="str">
        <f aca="false">AW479</f>
        <v/>
      </c>
      <c r="BJ479" s="108" t="str">
        <f aca="false">AV479</f>
        <v/>
      </c>
      <c r="BK479" s="106" t="str">
        <f aca="false">IF(ISBLANK($C479),"",AY479)</f>
        <v/>
      </c>
      <c r="BL479" s="109" t="str">
        <f aca="false">IF($BC479&gt;$BB$7,"",VLOOKUP($BC479,$BE$8:$BK$507,7,FALSE()))</f>
        <v/>
      </c>
      <c r="BM479" s="110" t="str">
        <f aca="false">IF($BC479&gt;$BB$7,"",VLOOKUP($BC479,$BE$8:$BK$507,2,FALSE()))</f>
        <v/>
      </c>
      <c r="BN479" s="110" t="str">
        <f aca="false">IF($BC479&gt;$BB$7,"",VLOOKUP($BC479,$BE$8:$BK$507,3,FALSE()))</f>
        <v/>
      </c>
      <c r="BO479" s="110" t="str">
        <f aca="false">IF($BC479&gt;$BB$7,"",VLOOKUP($BC479,$BE$8:$BK$507,4,FALSE()))</f>
        <v/>
      </c>
      <c r="BP479" s="110" t="str">
        <f aca="false">IF($BC479&gt;$BB$7,"",VLOOKUP($BC479,$BE$8:$BK$507,5,FALSE()))</f>
        <v/>
      </c>
      <c r="BQ479" s="111" t="str">
        <f aca="false">IF($BC479&gt;$BB$7,"",VLOOKUP($BC479,$BE$8:$BK$507,6,FALSE()))</f>
        <v/>
      </c>
      <c r="BR479" s="54"/>
    </row>
    <row r="480" customFormat="false" ht="15.75" hidden="false" customHeight="false" outlineLevel="0" collapsed="false">
      <c r="A480" s="5"/>
      <c r="B480" s="120"/>
      <c r="C480" s="121"/>
      <c r="D480" s="112"/>
      <c r="E480" s="123"/>
      <c r="F480" s="91"/>
      <c r="G480" s="92"/>
      <c r="H480" s="93"/>
      <c r="I480" s="94"/>
      <c r="J480" s="91"/>
      <c r="K480" s="92"/>
      <c r="L480" s="93"/>
      <c r="M480" s="94"/>
      <c r="N480" s="91"/>
      <c r="O480" s="123"/>
      <c r="P480" s="96"/>
      <c r="Q480" s="97" t="str">
        <f aca="false">IF(ISBLANK($C480),"",IF(E480=Constants!$B$2, TRUE(), IF(E480=Constants!$B$3, FALSE(), TRUE())))</f>
        <v/>
      </c>
      <c r="R480" s="97" t="str">
        <f aca="false">IF(ISBLANK($C480),"",IF(F480=Constants!$B$16,Constants!$B$9,IF(F480=Constants!$B$17,Constants!$B$10,Constants!$B$8)))</f>
        <v/>
      </c>
      <c r="S480" s="97" t="str">
        <f aca="false">IF(ISBLANK($C480),"",IF(COUNTA(G480:H480)=0,"",IF(AND(OR(ISBLANK(G480),AND(ISNUMBER(G480),G480&gt;=0)),OR(ISBLANK(H480),AND(ISNUMBER(H480),H480&gt;=0))),60*IF(ISBLANK(G480),0,G480)+IF(ISBLANK(H480),0,H480),"")))</f>
        <v/>
      </c>
      <c r="T480" s="97" t="str">
        <f aca="false">IF(ISBLANK($C480),"",IF(I480=Constants!$B$2, TRUE(), IF(I480=Constants!$B$3, FALSE(), TRUE())))</f>
        <v/>
      </c>
      <c r="U480" s="97" t="str">
        <f aca="false">IF(ISBLANK($C480),"",IF(J480=Constants!$B$2, TRUE(), IF(J480=Constants!$B$3, FALSE(), TRUE())))</f>
        <v/>
      </c>
      <c r="V480" s="97" t="str">
        <f aca="false">IF(ISBLANK($C480),"",IF(COUNTA(K480:L480)=0,"",IF(AND(OR(ISBLANK(K480),AND(ISNUMBER(K480),K480&gt;=0)),OR(ISBLANK(L480),AND(ISNUMBER(L480),L480&gt;=0))),60*IF(ISBLANK(K480),0,K480)+IF(ISBLANK(L480),0,L480),"")))</f>
        <v/>
      </c>
      <c r="W480" s="97" t="str">
        <f aca="false">IF(ISBLANK($C480),"",IF(M480=Constants!$B$2, TRUE(), IF(M480=Constants!$B$3, FALSE(), TRUE())))</f>
        <v/>
      </c>
      <c r="X480" s="97" t="str">
        <f aca="false">IF(ISBLANK($C480),"",IF(N480=Constants!$B$2, TRUE(), IF(N480=Constants!$B$3, FALSE(), TRUE())))</f>
        <v/>
      </c>
      <c r="Y480" s="97" t="str">
        <f aca="false">IF(ISBLANK($C480),"",IF(O480=Constants!$B$2, TRUE(), IF(O480=Constants!$B$3, FALSE(), FALSE())))</f>
        <v/>
      </c>
      <c r="Z480" s="97" t="str">
        <f aca="false">IF(ISBLANK($C480),"",AND(S480&lt;&gt;"",Q480))</f>
        <v/>
      </c>
      <c r="AA480" s="97" t="str">
        <f aca="false">IF(ISBLANK($C480),"",AND(V480&lt;&gt;"",Q480))</f>
        <v/>
      </c>
      <c r="AB480" s="97" t="str">
        <f aca="false">IF(ISBLANK($C480),"",IF(Y480,Constants!$B$4,IF(COUNTA(E480:N480)=0,Constants!$B$5,IF(NOT(Q480),Constants!$B$6,IF(AND(NOT(Z480),NOT(AA480)),Constants!$B$6,Constants!$B$7)))))</f>
        <v/>
      </c>
      <c r="AC480" s="97" t="str">
        <f aca="false">IF(ISBLANK($C480),"",IF($AB480&lt;&gt;Constants!$B$7,$AB480,Constants!$B$20))</f>
        <v/>
      </c>
      <c r="AD480" s="97" t="str">
        <f aca="false">IF($AB480=Constants!$B$7,IF(Z480,S480,Constants!$B$13),"")</f>
        <v/>
      </c>
      <c r="AE480" s="97" t="str">
        <f aca="false">IF($AB480=Constants!$B$7,IF(Z480,R480*IF(T480, 1, Constants!$B$11)*IF(U480, 1, Constants!$B$12),Constants!$B$13),"")</f>
        <v/>
      </c>
      <c r="AF480" s="97" t="str">
        <f aca="false">IF($AB480=Constants!$B$7,AD480*AE480,"")</f>
        <v/>
      </c>
      <c r="AG480" s="97" t="str">
        <f aca="false">IF($AB480=Constants!$B$7,IF(AA480,V480,Constants!$B$13),"")</f>
        <v/>
      </c>
      <c r="AH480" s="97" t="str">
        <f aca="false">IF($AB480=Constants!$B$7,IF(AA480,R480*IF(W480, 1, Constants!$B$11)*IF(X480, 1, Constants!$B$12),Constants!$B$13),"")</f>
        <v/>
      </c>
      <c r="AI480" s="97" t="str">
        <f aca="false">IF($AB480=Constants!$B$7,AG480*AH480,"")</f>
        <v/>
      </c>
      <c r="AJ480" s="97" t="str">
        <f aca="false">IF($AB480=Constants!$B$7,IF(AI480&gt;AF480,2,1),"")</f>
        <v/>
      </c>
      <c r="AK480" s="97" t="str">
        <f aca="false">IF($AB480=Constants!$B$7,IF(AJ480=1,2,1),"")</f>
        <v/>
      </c>
      <c r="AL480" s="97" t="str">
        <f aca="false">IF(ISBLANK($C480),"",IF($AB480&lt;&gt;Constants!$B$7,$AB480,IF(AJ480=1,AF480,AI480)))</f>
        <v/>
      </c>
      <c r="AM480" s="97" t="str">
        <f aca="false">IF(ISBLANK($C480),"",IF($AB480=Constants!$B$7,IF(ISNUMBER(AL480),RANK(AL480,$AL$8:$AL$507),Constants!$B$14),$AB480))</f>
        <v/>
      </c>
      <c r="AN480" s="97" t="str">
        <f aca="false">IF(ISBLANK($C480),"",IF($AB480=Constants!$B$7,IF(AK480=1,AF480,AI480),""))</f>
        <v/>
      </c>
      <c r="AO480" s="97" t="str">
        <f aca="false">IF(ISBLANK($C480),"",IF($AB480=Constants!$B$7,RANK(AN480,$AN$8:$AN$507),$AB480))</f>
        <v/>
      </c>
      <c r="AP480" s="97" t="str">
        <f aca="false">IF(ISBLANK($C480),"",IF($AB480=Constants!$B$7,IF(ISNUMBER(AM480),COUNTIFS($AM$8:$AM$507,"&lt;"&amp;$AM480)+COUNTIFS($AM$8:$AM$507,$AM480,$AO$8:$AO$507,"&lt;"&amp;$AO480)+1,Constants!$B$14),$AB480))</f>
        <v/>
      </c>
      <c r="AQ480" s="97" t="str">
        <f aca="false">IF(ISBLANK($C480),"",IF($AB480=Constants!$B$7,IF(ISNUMBER(AM480),AM480-AP480,Constants!$B$14),$AB480))</f>
        <v/>
      </c>
      <c r="AR480" s="98"/>
      <c r="AS480" s="99" t="str">
        <f aca="false">IF(ISBLANK($C480),"",IF($AB480&lt;&gt;Constants!$B$7,"",AJ480))</f>
        <v/>
      </c>
      <c r="AT480" s="100" t="str">
        <f aca="false">IF(ISBLANK($C480),"",IF($AB480&lt;&gt;Constants!$B$7,"",IF(AJ480=1,AD480,AG480)))</f>
        <v/>
      </c>
      <c r="AU480" s="101" t="str">
        <f aca="false">IF(ISBLANK($C480),"",IF($AB480&lt;&gt;Constants!$B$7,"",IF(AJ480=1,AE480,AH480)))</f>
        <v/>
      </c>
      <c r="AV480" s="102" t="str">
        <f aca="false">IF(ISBLANK($C480),"",IF($AB480&lt;&gt;Constants!$B$7,$AB480,AL480))</f>
        <v/>
      </c>
      <c r="AW480" s="103" t="str">
        <f aca="false">IF(ISBLANK($C480),"",IF($AB480&lt;&gt;Constants!$B$7,$AB480,AC480))</f>
        <v/>
      </c>
      <c r="AX480" s="104" t="str">
        <f aca="false">IF(ISBLANK($C480),"",AQ480)</f>
        <v/>
      </c>
      <c r="AY480" s="104" t="str">
        <f aca="false">IF(ISBLANK($C480),"",AP480)</f>
        <v/>
      </c>
      <c r="AZ480" s="105" t="str">
        <f aca="false">IF(ISBLANK($C480),"",IF(AY480=Constants!$B$4,COUNTA($C$8:$C$507)+2,IF(AY480=Constants!$B$5,COUNTA($C$8:$C$507)+1,IF(AY480=Constants!$B$6,COUNTA($C$8:$C$507),AY480))))</f>
        <v/>
      </c>
      <c r="BA480" s="5"/>
      <c r="BB480" s="106" t="n">
        <f aca="false">IF(OR(ISNUMBER(AY480),AY480=Constants!$B$4,AY480=Constants!$B$6,AY480=Constants!$B$5),1,0)</f>
        <v>0</v>
      </c>
      <c r="BC480" s="106" t="n">
        <v>473</v>
      </c>
      <c r="BD480" s="106" t="str">
        <f aca="false">IF(ISBLANK($C480),"",IF(ISNUMBER(AZ480),AZ480+ROW($B480)/1000,""))</f>
        <v/>
      </c>
      <c r="BE480" s="106" t="str">
        <f aca="false">IF(ISNUMBER(BD480),RANK(BD480,$BD$8:$BD$507,1),"")</f>
        <v/>
      </c>
      <c r="BF480" s="106" t="str">
        <f aca="false">IF(ISBLANK($C480),"",$B480)</f>
        <v/>
      </c>
      <c r="BG480" s="106" t="str">
        <f aca="false">IF(ISBLANK($C480),"",$C480)</f>
        <v/>
      </c>
      <c r="BH480" s="106" t="str">
        <f aca="false">IF(ISBLANK($C480),"",$D480)</f>
        <v/>
      </c>
      <c r="BI480" s="107" t="str">
        <f aca="false">AW480</f>
        <v/>
      </c>
      <c r="BJ480" s="108" t="str">
        <f aca="false">AV480</f>
        <v/>
      </c>
      <c r="BK480" s="106" t="str">
        <f aca="false">IF(ISBLANK($C480),"",AY480)</f>
        <v/>
      </c>
      <c r="BL480" s="109" t="str">
        <f aca="false">IF($BC480&gt;$BB$7,"",VLOOKUP($BC480,$BE$8:$BK$507,7,FALSE()))</f>
        <v/>
      </c>
      <c r="BM480" s="110" t="str">
        <f aca="false">IF($BC480&gt;$BB$7,"",VLOOKUP($BC480,$BE$8:$BK$507,2,FALSE()))</f>
        <v/>
      </c>
      <c r="BN480" s="110" t="str">
        <f aca="false">IF($BC480&gt;$BB$7,"",VLOOKUP($BC480,$BE$8:$BK$507,3,FALSE()))</f>
        <v/>
      </c>
      <c r="BO480" s="110" t="str">
        <f aca="false">IF($BC480&gt;$BB$7,"",VLOOKUP($BC480,$BE$8:$BK$507,4,FALSE()))</f>
        <v/>
      </c>
      <c r="BP480" s="110" t="str">
        <f aca="false">IF($BC480&gt;$BB$7,"",VLOOKUP($BC480,$BE$8:$BK$507,5,FALSE()))</f>
        <v/>
      </c>
      <c r="BQ480" s="111" t="str">
        <f aca="false">IF($BC480&gt;$BB$7,"",VLOOKUP($BC480,$BE$8:$BK$507,6,FALSE()))</f>
        <v/>
      </c>
      <c r="BR480" s="54"/>
    </row>
    <row r="481" customFormat="false" ht="15.75" hidden="false" customHeight="false" outlineLevel="0" collapsed="false">
      <c r="A481" s="5"/>
      <c r="B481" s="120"/>
      <c r="C481" s="121"/>
      <c r="D481" s="112"/>
      <c r="E481" s="123"/>
      <c r="F481" s="91"/>
      <c r="G481" s="92"/>
      <c r="H481" s="93"/>
      <c r="I481" s="94"/>
      <c r="J481" s="91"/>
      <c r="K481" s="92"/>
      <c r="L481" s="93"/>
      <c r="M481" s="94"/>
      <c r="N481" s="91"/>
      <c r="O481" s="123"/>
      <c r="P481" s="96"/>
      <c r="Q481" s="97" t="str">
        <f aca="false">IF(ISBLANK($C481),"",IF(E481=Constants!$B$2, TRUE(), IF(E481=Constants!$B$3, FALSE(), TRUE())))</f>
        <v/>
      </c>
      <c r="R481" s="97" t="str">
        <f aca="false">IF(ISBLANK($C481),"",IF(F481=Constants!$B$16,Constants!$B$9,IF(F481=Constants!$B$17,Constants!$B$10,Constants!$B$8)))</f>
        <v/>
      </c>
      <c r="S481" s="97" t="str">
        <f aca="false">IF(ISBLANK($C481),"",IF(COUNTA(G481:H481)=0,"",IF(AND(OR(ISBLANK(G481),AND(ISNUMBER(G481),G481&gt;=0)),OR(ISBLANK(H481),AND(ISNUMBER(H481),H481&gt;=0))),60*IF(ISBLANK(G481),0,G481)+IF(ISBLANK(H481),0,H481),"")))</f>
        <v/>
      </c>
      <c r="T481" s="97" t="str">
        <f aca="false">IF(ISBLANK($C481),"",IF(I481=Constants!$B$2, TRUE(), IF(I481=Constants!$B$3, FALSE(), TRUE())))</f>
        <v/>
      </c>
      <c r="U481" s="97" t="str">
        <f aca="false">IF(ISBLANK($C481),"",IF(J481=Constants!$B$2, TRUE(), IF(J481=Constants!$B$3, FALSE(), TRUE())))</f>
        <v/>
      </c>
      <c r="V481" s="97" t="str">
        <f aca="false">IF(ISBLANK($C481),"",IF(COUNTA(K481:L481)=0,"",IF(AND(OR(ISBLANK(K481),AND(ISNUMBER(K481),K481&gt;=0)),OR(ISBLANK(L481),AND(ISNUMBER(L481),L481&gt;=0))),60*IF(ISBLANK(K481),0,K481)+IF(ISBLANK(L481),0,L481),"")))</f>
        <v/>
      </c>
      <c r="W481" s="97" t="str">
        <f aca="false">IF(ISBLANK($C481),"",IF(M481=Constants!$B$2, TRUE(), IF(M481=Constants!$B$3, FALSE(), TRUE())))</f>
        <v/>
      </c>
      <c r="X481" s="97" t="str">
        <f aca="false">IF(ISBLANK($C481),"",IF(N481=Constants!$B$2, TRUE(), IF(N481=Constants!$B$3, FALSE(), TRUE())))</f>
        <v/>
      </c>
      <c r="Y481" s="97" t="str">
        <f aca="false">IF(ISBLANK($C481),"",IF(O481=Constants!$B$2, TRUE(), IF(O481=Constants!$B$3, FALSE(), FALSE())))</f>
        <v/>
      </c>
      <c r="Z481" s="97" t="str">
        <f aca="false">IF(ISBLANK($C481),"",AND(S481&lt;&gt;"",Q481))</f>
        <v/>
      </c>
      <c r="AA481" s="97" t="str">
        <f aca="false">IF(ISBLANK($C481),"",AND(V481&lt;&gt;"",Q481))</f>
        <v/>
      </c>
      <c r="AB481" s="97" t="str">
        <f aca="false">IF(ISBLANK($C481),"",IF(Y481,Constants!$B$4,IF(COUNTA(E481:N481)=0,Constants!$B$5,IF(NOT(Q481),Constants!$B$6,IF(AND(NOT(Z481),NOT(AA481)),Constants!$B$6,Constants!$B$7)))))</f>
        <v/>
      </c>
      <c r="AC481" s="97" t="str">
        <f aca="false">IF(ISBLANK($C481),"",IF($AB481&lt;&gt;Constants!$B$7,$AB481,Constants!$B$20))</f>
        <v/>
      </c>
      <c r="AD481" s="97" t="str">
        <f aca="false">IF($AB481=Constants!$B$7,IF(Z481,S481,Constants!$B$13),"")</f>
        <v/>
      </c>
      <c r="AE481" s="97" t="str">
        <f aca="false">IF($AB481=Constants!$B$7,IF(Z481,R481*IF(T481, 1, Constants!$B$11)*IF(U481, 1, Constants!$B$12),Constants!$B$13),"")</f>
        <v/>
      </c>
      <c r="AF481" s="97" t="str">
        <f aca="false">IF($AB481=Constants!$B$7,AD481*AE481,"")</f>
        <v/>
      </c>
      <c r="AG481" s="97" t="str">
        <f aca="false">IF($AB481=Constants!$B$7,IF(AA481,V481,Constants!$B$13),"")</f>
        <v/>
      </c>
      <c r="AH481" s="97" t="str">
        <f aca="false">IF($AB481=Constants!$B$7,IF(AA481,R481*IF(W481, 1, Constants!$B$11)*IF(X481, 1, Constants!$B$12),Constants!$B$13),"")</f>
        <v/>
      </c>
      <c r="AI481" s="97" t="str">
        <f aca="false">IF($AB481=Constants!$B$7,AG481*AH481,"")</f>
        <v/>
      </c>
      <c r="AJ481" s="97" t="str">
        <f aca="false">IF($AB481=Constants!$B$7,IF(AI481&gt;AF481,2,1),"")</f>
        <v/>
      </c>
      <c r="AK481" s="97" t="str">
        <f aca="false">IF($AB481=Constants!$B$7,IF(AJ481=1,2,1),"")</f>
        <v/>
      </c>
      <c r="AL481" s="97" t="str">
        <f aca="false">IF(ISBLANK($C481),"",IF($AB481&lt;&gt;Constants!$B$7,$AB481,IF(AJ481=1,AF481,AI481)))</f>
        <v/>
      </c>
      <c r="AM481" s="97" t="str">
        <f aca="false">IF(ISBLANK($C481),"",IF($AB481=Constants!$B$7,IF(ISNUMBER(AL481),RANK(AL481,$AL$8:$AL$507),Constants!$B$14),$AB481))</f>
        <v/>
      </c>
      <c r="AN481" s="97" t="str">
        <f aca="false">IF(ISBLANK($C481),"",IF($AB481=Constants!$B$7,IF(AK481=1,AF481,AI481),""))</f>
        <v/>
      </c>
      <c r="AO481" s="97" t="str">
        <f aca="false">IF(ISBLANK($C481),"",IF($AB481=Constants!$B$7,RANK(AN481,$AN$8:$AN$507),$AB481))</f>
        <v/>
      </c>
      <c r="AP481" s="97" t="str">
        <f aca="false">IF(ISBLANK($C481),"",IF($AB481=Constants!$B$7,IF(ISNUMBER(AM481),COUNTIFS($AM$8:$AM$507,"&lt;"&amp;$AM481)+COUNTIFS($AM$8:$AM$507,$AM481,$AO$8:$AO$507,"&lt;"&amp;$AO481)+1,Constants!$B$14),$AB481))</f>
        <v/>
      </c>
      <c r="AQ481" s="97" t="str">
        <f aca="false">IF(ISBLANK($C481),"",IF($AB481=Constants!$B$7,IF(ISNUMBER(AM481),AM481-AP481,Constants!$B$14),$AB481))</f>
        <v/>
      </c>
      <c r="AR481" s="98"/>
      <c r="AS481" s="99" t="str">
        <f aca="false">IF(ISBLANK($C481),"",IF($AB481&lt;&gt;Constants!$B$7,"",AJ481))</f>
        <v/>
      </c>
      <c r="AT481" s="100" t="str">
        <f aca="false">IF(ISBLANK($C481),"",IF($AB481&lt;&gt;Constants!$B$7,"",IF(AJ481=1,AD481,AG481)))</f>
        <v/>
      </c>
      <c r="AU481" s="101" t="str">
        <f aca="false">IF(ISBLANK($C481),"",IF($AB481&lt;&gt;Constants!$B$7,"",IF(AJ481=1,AE481,AH481)))</f>
        <v/>
      </c>
      <c r="AV481" s="102" t="str">
        <f aca="false">IF(ISBLANK($C481),"",IF($AB481&lt;&gt;Constants!$B$7,$AB481,AL481))</f>
        <v/>
      </c>
      <c r="AW481" s="103" t="str">
        <f aca="false">IF(ISBLANK($C481),"",IF($AB481&lt;&gt;Constants!$B$7,$AB481,AC481))</f>
        <v/>
      </c>
      <c r="AX481" s="104" t="str">
        <f aca="false">IF(ISBLANK($C481),"",AQ481)</f>
        <v/>
      </c>
      <c r="AY481" s="104" t="str">
        <f aca="false">IF(ISBLANK($C481),"",AP481)</f>
        <v/>
      </c>
      <c r="AZ481" s="105" t="str">
        <f aca="false">IF(ISBLANK($C481),"",IF(AY481=Constants!$B$4,COUNTA($C$8:$C$507)+2,IF(AY481=Constants!$B$5,COUNTA($C$8:$C$507)+1,IF(AY481=Constants!$B$6,COUNTA($C$8:$C$507),AY481))))</f>
        <v/>
      </c>
      <c r="BA481" s="5"/>
      <c r="BB481" s="106" t="n">
        <f aca="false">IF(OR(ISNUMBER(AY481),AY481=Constants!$B$4,AY481=Constants!$B$6,AY481=Constants!$B$5),1,0)</f>
        <v>0</v>
      </c>
      <c r="BC481" s="106" t="n">
        <v>474</v>
      </c>
      <c r="BD481" s="106" t="str">
        <f aca="false">IF(ISBLANK($C481),"",IF(ISNUMBER(AZ481),AZ481+ROW($B481)/1000,""))</f>
        <v/>
      </c>
      <c r="BE481" s="106" t="str">
        <f aca="false">IF(ISNUMBER(BD481),RANK(BD481,$BD$8:$BD$507,1),"")</f>
        <v/>
      </c>
      <c r="BF481" s="106" t="str">
        <f aca="false">IF(ISBLANK($C481),"",$B481)</f>
        <v/>
      </c>
      <c r="BG481" s="106" t="str">
        <f aca="false">IF(ISBLANK($C481),"",$C481)</f>
        <v/>
      </c>
      <c r="BH481" s="106" t="str">
        <f aca="false">IF(ISBLANK($C481),"",$D481)</f>
        <v/>
      </c>
      <c r="BI481" s="107" t="str">
        <f aca="false">AW481</f>
        <v/>
      </c>
      <c r="BJ481" s="108" t="str">
        <f aca="false">AV481</f>
        <v/>
      </c>
      <c r="BK481" s="106" t="str">
        <f aca="false">IF(ISBLANK($C481),"",AY481)</f>
        <v/>
      </c>
      <c r="BL481" s="109" t="str">
        <f aca="false">IF($BC481&gt;$BB$7,"",VLOOKUP($BC481,$BE$8:$BK$507,7,FALSE()))</f>
        <v/>
      </c>
      <c r="BM481" s="110" t="str">
        <f aca="false">IF($BC481&gt;$BB$7,"",VLOOKUP($BC481,$BE$8:$BK$507,2,FALSE()))</f>
        <v/>
      </c>
      <c r="BN481" s="110" t="str">
        <f aca="false">IF($BC481&gt;$BB$7,"",VLOOKUP($BC481,$BE$8:$BK$507,3,FALSE()))</f>
        <v/>
      </c>
      <c r="BO481" s="110" t="str">
        <f aca="false">IF($BC481&gt;$BB$7,"",VLOOKUP($BC481,$BE$8:$BK$507,4,FALSE()))</f>
        <v/>
      </c>
      <c r="BP481" s="110" t="str">
        <f aca="false">IF($BC481&gt;$BB$7,"",VLOOKUP($BC481,$BE$8:$BK$507,5,FALSE()))</f>
        <v/>
      </c>
      <c r="BQ481" s="111" t="str">
        <f aca="false">IF($BC481&gt;$BB$7,"",VLOOKUP($BC481,$BE$8:$BK$507,6,FALSE()))</f>
        <v/>
      </c>
      <c r="BR481" s="54"/>
    </row>
    <row r="482" customFormat="false" ht="15.75" hidden="false" customHeight="false" outlineLevel="0" collapsed="false">
      <c r="A482" s="5"/>
      <c r="B482" s="124"/>
      <c r="C482" s="56"/>
      <c r="D482" s="57"/>
      <c r="E482" s="83"/>
      <c r="F482" s="59"/>
      <c r="G482" s="60"/>
      <c r="H482" s="61"/>
      <c r="I482" s="62"/>
      <c r="J482" s="59"/>
      <c r="K482" s="60"/>
      <c r="L482" s="61"/>
      <c r="M482" s="62"/>
      <c r="N482" s="59"/>
      <c r="O482" s="83"/>
      <c r="P482" s="64"/>
      <c r="Q482" s="66" t="str">
        <f aca="false">IF(ISBLANK($C482),"",IF(E482=Constants!$B$2, TRUE(), IF(E482=Constants!$B$3, FALSE(), TRUE())))</f>
        <v/>
      </c>
      <c r="R482" s="66" t="str">
        <f aca="false">IF(ISBLANK($C482),"",IF(F482=Constants!$B$16,Constants!$B$9,IF(F482=Constants!$B$17,Constants!$B$10,Constants!$B$8)))</f>
        <v/>
      </c>
      <c r="S482" s="66" t="str">
        <f aca="false">IF(ISBLANK($C482),"",IF(COUNTA(G482:H482)=0,"",IF(AND(OR(ISBLANK(G482),AND(ISNUMBER(G482),G482&gt;=0)),OR(ISBLANK(H482),AND(ISNUMBER(H482),H482&gt;=0))),60*IF(ISBLANK(G482),0,G482)+IF(ISBLANK(H482),0,H482),"")))</f>
        <v/>
      </c>
      <c r="T482" s="66" t="str">
        <f aca="false">IF(ISBLANK($C482),"",IF(I482=Constants!$B$2, TRUE(), IF(I482=Constants!$B$3, FALSE(), TRUE())))</f>
        <v/>
      </c>
      <c r="U482" s="66" t="str">
        <f aca="false">IF(ISBLANK($C482),"",IF(J482=Constants!$B$2, TRUE(), IF(J482=Constants!$B$3, FALSE(), TRUE())))</f>
        <v/>
      </c>
      <c r="V482" s="66" t="str">
        <f aca="false">IF(ISBLANK($C482),"",IF(COUNTA(K482:L482)=0,"",IF(AND(OR(ISBLANK(K482),AND(ISNUMBER(K482),K482&gt;=0)),OR(ISBLANK(L482),AND(ISNUMBER(L482),L482&gt;=0))),60*IF(ISBLANK(K482),0,K482)+IF(ISBLANK(L482),0,L482),"")))</f>
        <v/>
      </c>
      <c r="W482" s="66" t="str">
        <f aca="false">IF(ISBLANK($C482),"",IF(M482=Constants!$B$2, TRUE(), IF(M482=Constants!$B$3, FALSE(), TRUE())))</f>
        <v/>
      </c>
      <c r="X482" s="66" t="str">
        <f aca="false">IF(ISBLANK($C482),"",IF(N482=Constants!$B$2, TRUE(), IF(N482=Constants!$B$3, FALSE(), TRUE())))</f>
        <v/>
      </c>
      <c r="Y482" s="66" t="str">
        <f aca="false">IF(ISBLANK($C482),"",IF(O482=Constants!$B$2, TRUE(), IF(O482=Constants!$B$3, FALSE(), FALSE())))</f>
        <v/>
      </c>
      <c r="Z482" s="66" t="str">
        <f aca="false">IF(ISBLANK($C482),"",AND(S482&lt;&gt;"",Q482))</f>
        <v/>
      </c>
      <c r="AA482" s="66" t="str">
        <f aca="false">IF(ISBLANK($C482),"",AND(V482&lt;&gt;"",Q482))</f>
        <v/>
      </c>
      <c r="AB482" s="66" t="str">
        <f aca="false">IF(ISBLANK($C482),"",IF(Y482,Constants!$B$4,IF(COUNTA(E482:N482)=0,Constants!$B$5,IF(NOT(Q482),Constants!$B$6,IF(AND(NOT(Z482),NOT(AA482)),Constants!$B$6,Constants!$B$7)))))</f>
        <v/>
      </c>
      <c r="AC482" s="66" t="str">
        <f aca="false">IF(ISBLANK($C482),"",IF($AB482&lt;&gt;Constants!$B$7,$AB482,Constants!$B$20))</f>
        <v/>
      </c>
      <c r="AD482" s="66" t="str">
        <f aca="false">IF($AB482=Constants!$B$7,IF(Z482,S482,Constants!$B$13),"")</f>
        <v/>
      </c>
      <c r="AE482" s="66" t="str">
        <f aca="false">IF($AB482=Constants!$B$7,IF(Z482,R482*IF(T482, 1, Constants!$B$11)*IF(U482, 1, Constants!$B$12),Constants!$B$13),"")</f>
        <v/>
      </c>
      <c r="AF482" s="66" t="str">
        <f aca="false">IF($AB482=Constants!$B$7,AD482*AE482,"")</f>
        <v/>
      </c>
      <c r="AG482" s="66" t="str">
        <f aca="false">IF($AB482=Constants!$B$7,IF(AA482,V482,Constants!$B$13),"")</f>
        <v/>
      </c>
      <c r="AH482" s="66" t="str">
        <f aca="false">IF($AB482=Constants!$B$7,IF(AA482,R482*IF(W482, 1, Constants!$B$11)*IF(X482, 1, Constants!$B$12),Constants!$B$13),"")</f>
        <v/>
      </c>
      <c r="AI482" s="66" t="str">
        <f aca="false">IF($AB482=Constants!$B$7,AG482*AH482,"")</f>
        <v/>
      </c>
      <c r="AJ482" s="66" t="str">
        <f aca="false">IF($AB482=Constants!$B$7,IF(AI482&gt;AF482,2,1),"")</f>
        <v/>
      </c>
      <c r="AK482" s="66" t="str">
        <f aca="false">IF($AB482=Constants!$B$7,IF(AJ482=1,2,1),"")</f>
        <v/>
      </c>
      <c r="AL482" s="66" t="str">
        <f aca="false">IF(ISBLANK($C482),"",IF($AB482&lt;&gt;Constants!$B$7,$AB482,IF(AJ482=1,AF482,AI482)))</f>
        <v/>
      </c>
      <c r="AM482" s="66" t="str">
        <f aca="false">IF(ISBLANK($C482),"",IF($AB482=Constants!$B$7,IF(ISNUMBER(AL482),RANK(AL482,$AL$8:$AL$507),Constants!$B$14),$AB482))</f>
        <v/>
      </c>
      <c r="AN482" s="66" t="str">
        <f aca="false">IF(ISBLANK($C482),"",IF($AB482=Constants!$B$7,IF(AK482=1,AF482,AI482),""))</f>
        <v/>
      </c>
      <c r="AO482" s="66" t="str">
        <f aca="false">IF(ISBLANK($C482),"",IF($AB482=Constants!$B$7,RANK(AN482,$AN$8:$AN$507),$AB482))</f>
        <v/>
      </c>
      <c r="AP482" s="66" t="str">
        <f aca="false">IF(ISBLANK($C482),"",IF($AB482=Constants!$B$7,IF(ISNUMBER(AM482),COUNTIFS($AM$8:$AM$507,"&lt;"&amp;$AM482)+COUNTIFS($AM$8:$AM$507,$AM482,$AO$8:$AO$507,"&lt;"&amp;$AO482)+1,Constants!$B$14),$AB482))</f>
        <v/>
      </c>
      <c r="AQ482" s="66" t="str">
        <f aca="false">IF(ISBLANK($C482),"",IF($AB482=Constants!$B$7,IF(ISNUMBER(AM482),AM482-AP482,Constants!$B$14),$AB482))</f>
        <v/>
      </c>
      <c r="AR482" s="68"/>
      <c r="AS482" s="69" t="str">
        <f aca="false">IF(ISBLANK($C482),"",IF($AB482&lt;&gt;Constants!$B$7,"",AJ482))</f>
        <v/>
      </c>
      <c r="AT482" s="84" t="str">
        <f aca="false">IF(ISBLANK($C482),"",IF($AB482&lt;&gt;Constants!$B$7,"",IF(AJ482=1,AD482,AG482)))</f>
        <v/>
      </c>
      <c r="AU482" s="71" t="str">
        <f aca="false">IF(ISBLANK($C482),"",IF($AB482&lt;&gt;Constants!$B$7,"",IF(AJ482=1,AE482,AH482)))</f>
        <v/>
      </c>
      <c r="AV482" s="72" t="str">
        <f aca="false">IF(ISBLANK($C482),"",IF($AB482&lt;&gt;Constants!$B$7,$AB482,AL482))</f>
        <v/>
      </c>
      <c r="AW482" s="73" t="str">
        <f aca="false">IF(ISBLANK($C482),"",IF($AB482&lt;&gt;Constants!$B$7,$AB482,AC482))</f>
        <v/>
      </c>
      <c r="AX482" s="74" t="str">
        <f aca="false">IF(ISBLANK($C482),"",AQ482)</f>
        <v/>
      </c>
      <c r="AY482" s="74" t="str">
        <f aca="false">IF(ISBLANK($C482),"",AP482)</f>
        <v/>
      </c>
      <c r="AZ482" s="75" t="str">
        <f aca="false">IF(ISBLANK($C482),"",IF(AY482=Constants!$B$4,COUNTA($C$8:$C$507)+2,IF(AY482=Constants!$B$5,COUNTA($C$8:$C$507)+1,IF(AY482=Constants!$B$6,COUNTA($C$8:$C$507),AY482))))</f>
        <v/>
      </c>
      <c r="BA482" s="5"/>
      <c r="BB482" s="76" t="n">
        <f aca="false">IF(OR(ISNUMBER(AY482),AY482=Constants!$B$4,AY482=Constants!$B$6,AY482=Constants!$B$5),1,0)</f>
        <v>0</v>
      </c>
      <c r="BC482" s="76" t="n">
        <v>475</v>
      </c>
      <c r="BD482" s="76" t="str">
        <f aca="false">IF(ISBLANK($C482),"",IF(ISNUMBER(AZ482),AZ482+ROW($B482)/1000,""))</f>
        <v/>
      </c>
      <c r="BE482" s="76" t="str">
        <f aca="false">IF(ISNUMBER(BD482),RANK(BD482,$BD$8:$BD$507,1),"")</f>
        <v/>
      </c>
      <c r="BF482" s="76" t="str">
        <f aca="false">IF(ISBLANK($C482),"",$B482)</f>
        <v/>
      </c>
      <c r="BG482" s="76" t="str">
        <f aca="false">IF(ISBLANK($C482),"",$C482)</f>
        <v/>
      </c>
      <c r="BH482" s="76" t="str">
        <f aca="false">IF(ISBLANK($C482),"",$D482)</f>
        <v/>
      </c>
      <c r="BI482" s="77" t="str">
        <f aca="false">AW482</f>
        <v/>
      </c>
      <c r="BJ482" s="78" t="str">
        <f aca="false">AV482</f>
        <v/>
      </c>
      <c r="BK482" s="76" t="str">
        <f aca="false">IF(ISBLANK($C482),"",AY482)</f>
        <v/>
      </c>
      <c r="BL482" s="79" t="str">
        <f aca="false">IF($BC482&gt;$BB$7,"",VLOOKUP($BC482,$BE$8:$BK$507,7,FALSE()))</f>
        <v/>
      </c>
      <c r="BM482" s="80" t="str">
        <f aca="false">IF($BC482&gt;$BB$7,"",VLOOKUP($BC482,$BE$8:$BK$507,2,FALSE()))</f>
        <v/>
      </c>
      <c r="BN482" s="80" t="str">
        <f aca="false">IF($BC482&gt;$BB$7,"",VLOOKUP($BC482,$BE$8:$BK$507,3,FALSE()))</f>
        <v/>
      </c>
      <c r="BO482" s="80" t="str">
        <f aca="false">IF($BC482&gt;$BB$7,"",VLOOKUP($BC482,$BE$8:$BK$507,4,FALSE()))</f>
        <v/>
      </c>
      <c r="BP482" s="80" t="str">
        <f aca="false">IF($BC482&gt;$BB$7,"",VLOOKUP($BC482,$BE$8:$BK$507,5,FALSE()))</f>
        <v/>
      </c>
      <c r="BQ482" s="81" t="str">
        <f aca="false">IF($BC482&gt;$BB$7,"",VLOOKUP($BC482,$BE$8:$BK$507,6,FALSE()))</f>
        <v/>
      </c>
      <c r="BR482" s="54"/>
    </row>
    <row r="483" customFormat="false" ht="15.75" hidden="false" customHeight="false" outlineLevel="0" collapsed="false">
      <c r="A483" s="5"/>
      <c r="B483" s="124"/>
      <c r="C483" s="56"/>
      <c r="D483" s="57"/>
      <c r="E483" s="83"/>
      <c r="F483" s="59"/>
      <c r="G483" s="60"/>
      <c r="H483" s="61"/>
      <c r="I483" s="62"/>
      <c r="J483" s="59"/>
      <c r="K483" s="60"/>
      <c r="L483" s="61"/>
      <c r="M483" s="62"/>
      <c r="N483" s="59"/>
      <c r="O483" s="83"/>
      <c r="P483" s="64"/>
      <c r="Q483" s="66" t="str">
        <f aca="false">IF(ISBLANK($C483),"",IF(E483=Constants!$B$2, TRUE(), IF(E483=Constants!$B$3, FALSE(), TRUE())))</f>
        <v/>
      </c>
      <c r="R483" s="66" t="str">
        <f aca="false">IF(ISBLANK($C483),"",IF(F483=Constants!$B$16,Constants!$B$9,IF(F483=Constants!$B$17,Constants!$B$10,Constants!$B$8)))</f>
        <v/>
      </c>
      <c r="S483" s="66" t="str">
        <f aca="false">IF(ISBLANK($C483),"",IF(COUNTA(G483:H483)=0,"",IF(AND(OR(ISBLANK(G483),AND(ISNUMBER(G483),G483&gt;=0)),OR(ISBLANK(H483),AND(ISNUMBER(H483),H483&gt;=0))),60*IF(ISBLANK(G483),0,G483)+IF(ISBLANK(H483),0,H483),"")))</f>
        <v/>
      </c>
      <c r="T483" s="66" t="str">
        <f aca="false">IF(ISBLANK($C483),"",IF(I483=Constants!$B$2, TRUE(), IF(I483=Constants!$B$3, FALSE(), TRUE())))</f>
        <v/>
      </c>
      <c r="U483" s="66" t="str">
        <f aca="false">IF(ISBLANK($C483),"",IF(J483=Constants!$B$2, TRUE(), IF(J483=Constants!$B$3, FALSE(), TRUE())))</f>
        <v/>
      </c>
      <c r="V483" s="66" t="str">
        <f aca="false">IF(ISBLANK($C483),"",IF(COUNTA(K483:L483)=0,"",IF(AND(OR(ISBLANK(K483),AND(ISNUMBER(K483),K483&gt;=0)),OR(ISBLANK(L483),AND(ISNUMBER(L483),L483&gt;=0))),60*IF(ISBLANK(K483),0,K483)+IF(ISBLANK(L483),0,L483),"")))</f>
        <v/>
      </c>
      <c r="W483" s="66" t="str">
        <f aca="false">IF(ISBLANK($C483),"",IF(M483=Constants!$B$2, TRUE(), IF(M483=Constants!$B$3, FALSE(), TRUE())))</f>
        <v/>
      </c>
      <c r="X483" s="66" t="str">
        <f aca="false">IF(ISBLANK($C483),"",IF(N483=Constants!$B$2, TRUE(), IF(N483=Constants!$B$3, FALSE(), TRUE())))</f>
        <v/>
      </c>
      <c r="Y483" s="66" t="str">
        <f aca="false">IF(ISBLANK($C483),"",IF(O483=Constants!$B$2, TRUE(), IF(O483=Constants!$B$3, FALSE(), FALSE())))</f>
        <v/>
      </c>
      <c r="Z483" s="66" t="str">
        <f aca="false">IF(ISBLANK($C483),"",AND(S483&lt;&gt;"",Q483))</f>
        <v/>
      </c>
      <c r="AA483" s="66" t="str">
        <f aca="false">IF(ISBLANK($C483),"",AND(V483&lt;&gt;"",Q483))</f>
        <v/>
      </c>
      <c r="AB483" s="66" t="str">
        <f aca="false">IF(ISBLANK($C483),"",IF(Y483,Constants!$B$4,IF(COUNTA(E483:N483)=0,Constants!$B$5,IF(NOT(Q483),Constants!$B$6,IF(AND(NOT(Z483),NOT(AA483)),Constants!$B$6,Constants!$B$7)))))</f>
        <v/>
      </c>
      <c r="AC483" s="66" t="str">
        <f aca="false">IF(ISBLANK($C483),"",IF($AB483&lt;&gt;Constants!$B$7,$AB483,Constants!$B$20))</f>
        <v/>
      </c>
      <c r="AD483" s="66" t="str">
        <f aca="false">IF($AB483=Constants!$B$7,IF(Z483,S483,Constants!$B$13),"")</f>
        <v/>
      </c>
      <c r="AE483" s="66" t="str">
        <f aca="false">IF($AB483=Constants!$B$7,IF(Z483,R483*IF(T483, 1, Constants!$B$11)*IF(U483, 1, Constants!$B$12),Constants!$B$13),"")</f>
        <v/>
      </c>
      <c r="AF483" s="66" t="str">
        <f aca="false">IF($AB483=Constants!$B$7,AD483*AE483,"")</f>
        <v/>
      </c>
      <c r="AG483" s="66" t="str">
        <f aca="false">IF($AB483=Constants!$B$7,IF(AA483,V483,Constants!$B$13),"")</f>
        <v/>
      </c>
      <c r="AH483" s="66" t="str">
        <f aca="false">IF($AB483=Constants!$B$7,IF(AA483,R483*IF(W483, 1, Constants!$B$11)*IF(X483, 1, Constants!$B$12),Constants!$B$13),"")</f>
        <v/>
      </c>
      <c r="AI483" s="66" t="str">
        <f aca="false">IF($AB483=Constants!$B$7,AG483*AH483,"")</f>
        <v/>
      </c>
      <c r="AJ483" s="66" t="str">
        <f aca="false">IF($AB483=Constants!$B$7,IF(AI483&gt;AF483,2,1),"")</f>
        <v/>
      </c>
      <c r="AK483" s="66" t="str">
        <f aca="false">IF($AB483=Constants!$B$7,IF(AJ483=1,2,1),"")</f>
        <v/>
      </c>
      <c r="AL483" s="66" t="str">
        <f aca="false">IF(ISBLANK($C483),"",IF($AB483&lt;&gt;Constants!$B$7,$AB483,IF(AJ483=1,AF483,AI483)))</f>
        <v/>
      </c>
      <c r="AM483" s="66" t="str">
        <f aca="false">IF(ISBLANK($C483),"",IF($AB483=Constants!$B$7,IF(ISNUMBER(AL483),RANK(AL483,$AL$8:$AL$507),Constants!$B$14),$AB483))</f>
        <v/>
      </c>
      <c r="AN483" s="66" t="str">
        <f aca="false">IF(ISBLANK($C483),"",IF($AB483=Constants!$B$7,IF(AK483=1,AF483,AI483),""))</f>
        <v/>
      </c>
      <c r="AO483" s="66" t="str">
        <f aca="false">IF(ISBLANK($C483),"",IF($AB483=Constants!$B$7,RANK(AN483,$AN$8:$AN$507),$AB483))</f>
        <v/>
      </c>
      <c r="AP483" s="66" t="str">
        <f aca="false">IF(ISBLANK($C483),"",IF($AB483=Constants!$B$7,IF(ISNUMBER(AM483),COUNTIFS($AM$8:$AM$507,"&lt;"&amp;$AM483)+COUNTIFS($AM$8:$AM$507,$AM483,$AO$8:$AO$507,"&lt;"&amp;$AO483)+1,Constants!$B$14),$AB483))</f>
        <v/>
      </c>
      <c r="AQ483" s="66" t="str">
        <f aca="false">IF(ISBLANK($C483),"",IF($AB483=Constants!$B$7,IF(ISNUMBER(AM483),AM483-AP483,Constants!$B$14),$AB483))</f>
        <v/>
      </c>
      <c r="AR483" s="68"/>
      <c r="AS483" s="69" t="str">
        <f aca="false">IF(ISBLANK($C483),"",IF($AB483&lt;&gt;Constants!$B$7,"",AJ483))</f>
        <v/>
      </c>
      <c r="AT483" s="84" t="str">
        <f aca="false">IF(ISBLANK($C483),"",IF($AB483&lt;&gt;Constants!$B$7,"",IF(AJ483=1,AD483,AG483)))</f>
        <v/>
      </c>
      <c r="AU483" s="71" t="str">
        <f aca="false">IF(ISBLANK($C483),"",IF($AB483&lt;&gt;Constants!$B$7,"",IF(AJ483=1,AE483,AH483)))</f>
        <v/>
      </c>
      <c r="AV483" s="72" t="str">
        <f aca="false">IF(ISBLANK($C483),"",IF($AB483&lt;&gt;Constants!$B$7,$AB483,AL483))</f>
        <v/>
      </c>
      <c r="AW483" s="73" t="str">
        <f aca="false">IF(ISBLANK($C483),"",IF($AB483&lt;&gt;Constants!$B$7,$AB483,AC483))</f>
        <v/>
      </c>
      <c r="AX483" s="74" t="str">
        <f aca="false">IF(ISBLANK($C483),"",AQ483)</f>
        <v/>
      </c>
      <c r="AY483" s="74" t="str">
        <f aca="false">IF(ISBLANK($C483),"",AP483)</f>
        <v/>
      </c>
      <c r="AZ483" s="75" t="str">
        <f aca="false">IF(ISBLANK($C483),"",IF(AY483=Constants!$B$4,COUNTA($C$8:$C$507)+2,IF(AY483=Constants!$B$5,COUNTA($C$8:$C$507)+1,IF(AY483=Constants!$B$6,COUNTA($C$8:$C$507),AY483))))</f>
        <v/>
      </c>
      <c r="BA483" s="5"/>
      <c r="BB483" s="76" t="n">
        <f aca="false">IF(OR(ISNUMBER(AY483),AY483=Constants!$B$4,AY483=Constants!$B$6,AY483=Constants!$B$5),1,0)</f>
        <v>0</v>
      </c>
      <c r="BC483" s="76" t="n">
        <v>476</v>
      </c>
      <c r="BD483" s="76" t="str">
        <f aca="false">IF(ISBLANK($C483),"",IF(ISNUMBER(AZ483),AZ483+ROW($B483)/1000,""))</f>
        <v/>
      </c>
      <c r="BE483" s="76" t="str">
        <f aca="false">IF(ISNUMBER(BD483),RANK(BD483,$BD$8:$BD$507,1),"")</f>
        <v/>
      </c>
      <c r="BF483" s="76" t="str">
        <f aca="false">IF(ISBLANK($C483),"",$B483)</f>
        <v/>
      </c>
      <c r="BG483" s="76" t="str">
        <f aca="false">IF(ISBLANK($C483),"",$C483)</f>
        <v/>
      </c>
      <c r="BH483" s="76" t="str">
        <f aca="false">IF(ISBLANK($C483),"",$D483)</f>
        <v/>
      </c>
      <c r="BI483" s="77" t="str">
        <f aca="false">AW483</f>
        <v/>
      </c>
      <c r="BJ483" s="78" t="str">
        <f aca="false">AV483</f>
        <v/>
      </c>
      <c r="BK483" s="76" t="str">
        <f aca="false">IF(ISBLANK($C483),"",AY483)</f>
        <v/>
      </c>
      <c r="BL483" s="79" t="str">
        <f aca="false">IF($BC483&gt;$BB$7,"",VLOOKUP($BC483,$BE$8:$BK$507,7,FALSE()))</f>
        <v/>
      </c>
      <c r="BM483" s="80" t="str">
        <f aca="false">IF($BC483&gt;$BB$7,"",VLOOKUP($BC483,$BE$8:$BK$507,2,FALSE()))</f>
        <v/>
      </c>
      <c r="BN483" s="80" t="str">
        <f aca="false">IF($BC483&gt;$BB$7,"",VLOOKUP($BC483,$BE$8:$BK$507,3,FALSE()))</f>
        <v/>
      </c>
      <c r="BO483" s="80" t="str">
        <f aca="false">IF($BC483&gt;$BB$7,"",VLOOKUP($BC483,$BE$8:$BK$507,4,FALSE()))</f>
        <v/>
      </c>
      <c r="BP483" s="80" t="str">
        <f aca="false">IF($BC483&gt;$BB$7,"",VLOOKUP($BC483,$BE$8:$BK$507,5,FALSE()))</f>
        <v/>
      </c>
      <c r="BQ483" s="81" t="str">
        <f aca="false">IF($BC483&gt;$BB$7,"",VLOOKUP($BC483,$BE$8:$BK$507,6,FALSE()))</f>
        <v/>
      </c>
      <c r="BR483" s="54"/>
    </row>
    <row r="484" customFormat="false" ht="15.75" hidden="false" customHeight="false" outlineLevel="0" collapsed="false">
      <c r="A484" s="5"/>
      <c r="B484" s="124"/>
      <c r="C484" s="56"/>
      <c r="D484" s="57"/>
      <c r="E484" s="83"/>
      <c r="F484" s="59"/>
      <c r="G484" s="60"/>
      <c r="H484" s="61"/>
      <c r="I484" s="62"/>
      <c r="J484" s="59"/>
      <c r="K484" s="60"/>
      <c r="L484" s="61"/>
      <c r="M484" s="62"/>
      <c r="N484" s="59"/>
      <c r="O484" s="83"/>
      <c r="P484" s="64"/>
      <c r="Q484" s="66" t="str">
        <f aca="false">IF(ISBLANK($C484),"",IF(E484=Constants!$B$2, TRUE(), IF(E484=Constants!$B$3, FALSE(), TRUE())))</f>
        <v/>
      </c>
      <c r="R484" s="66" t="str">
        <f aca="false">IF(ISBLANK($C484),"",IF(F484=Constants!$B$16,Constants!$B$9,IF(F484=Constants!$B$17,Constants!$B$10,Constants!$B$8)))</f>
        <v/>
      </c>
      <c r="S484" s="66" t="str">
        <f aca="false">IF(ISBLANK($C484),"",IF(COUNTA(G484:H484)=0,"",IF(AND(OR(ISBLANK(G484),AND(ISNUMBER(G484),G484&gt;=0)),OR(ISBLANK(H484),AND(ISNUMBER(H484),H484&gt;=0))),60*IF(ISBLANK(G484),0,G484)+IF(ISBLANK(H484),0,H484),"")))</f>
        <v/>
      </c>
      <c r="T484" s="66" t="str">
        <f aca="false">IF(ISBLANK($C484),"",IF(I484=Constants!$B$2, TRUE(), IF(I484=Constants!$B$3, FALSE(), TRUE())))</f>
        <v/>
      </c>
      <c r="U484" s="66" t="str">
        <f aca="false">IF(ISBLANK($C484),"",IF(J484=Constants!$B$2, TRUE(), IF(J484=Constants!$B$3, FALSE(), TRUE())))</f>
        <v/>
      </c>
      <c r="V484" s="66" t="str">
        <f aca="false">IF(ISBLANK($C484),"",IF(COUNTA(K484:L484)=0,"",IF(AND(OR(ISBLANK(K484),AND(ISNUMBER(K484),K484&gt;=0)),OR(ISBLANK(L484),AND(ISNUMBER(L484),L484&gt;=0))),60*IF(ISBLANK(K484),0,K484)+IF(ISBLANK(L484),0,L484),"")))</f>
        <v/>
      </c>
      <c r="W484" s="66" t="str">
        <f aca="false">IF(ISBLANK($C484),"",IF(M484=Constants!$B$2, TRUE(), IF(M484=Constants!$B$3, FALSE(), TRUE())))</f>
        <v/>
      </c>
      <c r="X484" s="66" t="str">
        <f aca="false">IF(ISBLANK($C484),"",IF(N484=Constants!$B$2, TRUE(), IF(N484=Constants!$B$3, FALSE(), TRUE())))</f>
        <v/>
      </c>
      <c r="Y484" s="66" t="str">
        <f aca="false">IF(ISBLANK($C484),"",IF(O484=Constants!$B$2, TRUE(), IF(O484=Constants!$B$3, FALSE(), FALSE())))</f>
        <v/>
      </c>
      <c r="Z484" s="66" t="str">
        <f aca="false">IF(ISBLANK($C484),"",AND(S484&lt;&gt;"",Q484))</f>
        <v/>
      </c>
      <c r="AA484" s="66" t="str">
        <f aca="false">IF(ISBLANK($C484),"",AND(V484&lt;&gt;"",Q484))</f>
        <v/>
      </c>
      <c r="AB484" s="66" t="str">
        <f aca="false">IF(ISBLANK($C484),"",IF(Y484,Constants!$B$4,IF(COUNTA(E484:N484)=0,Constants!$B$5,IF(NOT(Q484),Constants!$B$6,IF(AND(NOT(Z484),NOT(AA484)),Constants!$B$6,Constants!$B$7)))))</f>
        <v/>
      </c>
      <c r="AC484" s="66" t="str">
        <f aca="false">IF(ISBLANK($C484),"",IF($AB484&lt;&gt;Constants!$B$7,$AB484,Constants!$B$20))</f>
        <v/>
      </c>
      <c r="AD484" s="66" t="str">
        <f aca="false">IF($AB484=Constants!$B$7,IF(Z484,S484,Constants!$B$13),"")</f>
        <v/>
      </c>
      <c r="AE484" s="66" t="str">
        <f aca="false">IF($AB484=Constants!$B$7,IF(Z484,R484*IF(T484, 1, Constants!$B$11)*IF(U484, 1, Constants!$B$12),Constants!$B$13),"")</f>
        <v/>
      </c>
      <c r="AF484" s="66" t="str">
        <f aca="false">IF($AB484=Constants!$B$7,AD484*AE484,"")</f>
        <v/>
      </c>
      <c r="AG484" s="66" t="str">
        <f aca="false">IF($AB484=Constants!$B$7,IF(AA484,V484,Constants!$B$13),"")</f>
        <v/>
      </c>
      <c r="AH484" s="66" t="str">
        <f aca="false">IF($AB484=Constants!$B$7,IF(AA484,R484*IF(W484, 1, Constants!$B$11)*IF(X484, 1, Constants!$B$12),Constants!$B$13),"")</f>
        <v/>
      </c>
      <c r="AI484" s="66" t="str">
        <f aca="false">IF($AB484=Constants!$B$7,AG484*AH484,"")</f>
        <v/>
      </c>
      <c r="AJ484" s="66" t="str">
        <f aca="false">IF($AB484=Constants!$B$7,IF(AI484&gt;AF484,2,1),"")</f>
        <v/>
      </c>
      <c r="AK484" s="66" t="str">
        <f aca="false">IF($AB484=Constants!$B$7,IF(AJ484=1,2,1),"")</f>
        <v/>
      </c>
      <c r="AL484" s="66" t="str">
        <f aca="false">IF(ISBLANK($C484),"",IF($AB484&lt;&gt;Constants!$B$7,$AB484,IF(AJ484=1,AF484,AI484)))</f>
        <v/>
      </c>
      <c r="AM484" s="66" t="str">
        <f aca="false">IF(ISBLANK($C484),"",IF($AB484=Constants!$B$7,IF(ISNUMBER(AL484),RANK(AL484,$AL$8:$AL$507),Constants!$B$14),$AB484))</f>
        <v/>
      </c>
      <c r="AN484" s="66" t="str">
        <f aca="false">IF(ISBLANK($C484),"",IF($AB484=Constants!$B$7,IF(AK484=1,AF484,AI484),""))</f>
        <v/>
      </c>
      <c r="AO484" s="66" t="str">
        <f aca="false">IF(ISBLANK($C484),"",IF($AB484=Constants!$B$7,RANK(AN484,$AN$8:$AN$507),$AB484))</f>
        <v/>
      </c>
      <c r="AP484" s="66" t="str">
        <f aca="false">IF(ISBLANK($C484),"",IF($AB484=Constants!$B$7,IF(ISNUMBER(AM484),COUNTIFS($AM$8:$AM$507,"&lt;"&amp;$AM484)+COUNTIFS($AM$8:$AM$507,$AM484,$AO$8:$AO$507,"&lt;"&amp;$AO484)+1,Constants!$B$14),$AB484))</f>
        <v/>
      </c>
      <c r="AQ484" s="66" t="str">
        <f aca="false">IF(ISBLANK($C484),"",IF($AB484=Constants!$B$7,IF(ISNUMBER(AM484),AM484-AP484,Constants!$B$14),$AB484))</f>
        <v/>
      </c>
      <c r="AR484" s="68"/>
      <c r="AS484" s="69" t="str">
        <f aca="false">IF(ISBLANK($C484),"",IF($AB484&lt;&gt;Constants!$B$7,"",AJ484))</f>
        <v/>
      </c>
      <c r="AT484" s="84" t="str">
        <f aca="false">IF(ISBLANK($C484),"",IF($AB484&lt;&gt;Constants!$B$7,"",IF(AJ484=1,AD484,AG484)))</f>
        <v/>
      </c>
      <c r="AU484" s="71" t="str">
        <f aca="false">IF(ISBLANK($C484),"",IF($AB484&lt;&gt;Constants!$B$7,"",IF(AJ484=1,AE484,AH484)))</f>
        <v/>
      </c>
      <c r="AV484" s="72" t="str">
        <f aca="false">IF(ISBLANK($C484),"",IF($AB484&lt;&gt;Constants!$B$7,$AB484,AL484))</f>
        <v/>
      </c>
      <c r="AW484" s="73" t="str">
        <f aca="false">IF(ISBLANK($C484),"",IF($AB484&lt;&gt;Constants!$B$7,$AB484,AC484))</f>
        <v/>
      </c>
      <c r="AX484" s="74" t="str">
        <f aca="false">IF(ISBLANK($C484),"",AQ484)</f>
        <v/>
      </c>
      <c r="AY484" s="74" t="str">
        <f aca="false">IF(ISBLANK($C484),"",AP484)</f>
        <v/>
      </c>
      <c r="AZ484" s="75" t="str">
        <f aca="false">IF(ISBLANK($C484),"",IF(AY484=Constants!$B$4,COUNTA($C$8:$C$507)+2,IF(AY484=Constants!$B$5,COUNTA($C$8:$C$507)+1,IF(AY484=Constants!$B$6,COUNTA($C$8:$C$507),AY484))))</f>
        <v/>
      </c>
      <c r="BA484" s="5"/>
      <c r="BB484" s="76" t="n">
        <f aca="false">IF(OR(ISNUMBER(AY484),AY484=Constants!$B$4,AY484=Constants!$B$6,AY484=Constants!$B$5),1,0)</f>
        <v>0</v>
      </c>
      <c r="BC484" s="76" t="n">
        <v>477</v>
      </c>
      <c r="BD484" s="76" t="str">
        <f aca="false">IF(ISBLANK($C484),"",IF(ISNUMBER(AZ484),AZ484+ROW($B484)/1000,""))</f>
        <v/>
      </c>
      <c r="BE484" s="76" t="str">
        <f aca="false">IF(ISNUMBER(BD484),RANK(BD484,$BD$8:$BD$507,1),"")</f>
        <v/>
      </c>
      <c r="BF484" s="76" t="str">
        <f aca="false">IF(ISBLANK($C484),"",$B484)</f>
        <v/>
      </c>
      <c r="BG484" s="76" t="str">
        <f aca="false">IF(ISBLANK($C484),"",$C484)</f>
        <v/>
      </c>
      <c r="BH484" s="76" t="str">
        <f aca="false">IF(ISBLANK($C484),"",$D484)</f>
        <v/>
      </c>
      <c r="BI484" s="77" t="str">
        <f aca="false">AW484</f>
        <v/>
      </c>
      <c r="BJ484" s="78" t="str">
        <f aca="false">AV484</f>
        <v/>
      </c>
      <c r="BK484" s="76" t="str">
        <f aca="false">IF(ISBLANK($C484),"",AY484)</f>
        <v/>
      </c>
      <c r="BL484" s="79" t="str">
        <f aca="false">IF($BC484&gt;$BB$7,"",VLOOKUP($BC484,$BE$8:$BK$507,7,FALSE()))</f>
        <v/>
      </c>
      <c r="BM484" s="80" t="str">
        <f aca="false">IF($BC484&gt;$BB$7,"",VLOOKUP($BC484,$BE$8:$BK$507,2,FALSE()))</f>
        <v/>
      </c>
      <c r="BN484" s="80" t="str">
        <f aca="false">IF($BC484&gt;$BB$7,"",VLOOKUP($BC484,$BE$8:$BK$507,3,FALSE()))</f>
        <v/>
      </c>
      <c r="BO484" s="80" t="str">
        <f aca="false">IF($BC484&gt;$BB$7,"",VLOOKUP($BC484,$BE$8:$BK$507,4,FALSE()))</f>
        <v/>
      </c>
      <c r="BP484" s="80" t="str">
        <f aca="false">IF($BC484&gt;$BB$7,"",VLOOKUP($BC484,$BE$8:$BK$507,5,FALSE()))</f>
        <v/>
      </c>
      <c r="BQ484" s="81" t="str">
        <f aca="false">IF($BC484&gt;$BB$7,"",VLOOKUP($BC484,$BE$8:$BK$507,6,FALSE()))</f>
        <v/>
      </c>
      <c r="BR484" s="54"/>
    </row>
    <row r="485" customFormat="false" ht="15.75" hidden="false" customHeight="false" outlineLevel="0" collapsed="false">
      <c r="A485" s="5"/>
      <c r="B485" s="120"/>
      <c r="C485" s="121"/>
      <c r="D485" s="112"/>
      <c r="E485" s="123"/>
      <c r="F485" s="91"/>
      <c r="G485" s="92"/>
      <c r="H485" s="93"/>
      <c r="I485" s="94"/>
      <c r="J485" s="91"/>
      <c r="K485" s="92"/>
      <c r="L485" s="93"/>
      <c r="M485" s="94"/>
      <c r="N485" s="91"/>
      <c r="O485" s="123"/>
      <c r="P485" s="96"/>
      <c r="Q485" s="97" t="str">
        <f aca="false">IF(ISBLANK($C485),"",IF(E485=Constants!$B$2, TRUE(), IF(E485=Constants!$B$3, FALSE(), TRUE())))</f>
        <v/>
      </c>
      <c r="R485" s="97" t="str">
        <f aca="false">IF(ISBLANK($C485),"",IF(F485=Constants!$B$16,Constants!$B$9,IF(F485=Constants!$B$17,Constants!$B$10,Constants!$B$8)))</f>
        <v/>
      </c>
      <c r="S485" s="97" t="str">
        <f aca="false">IF(ISBLANK($C485),"",IF(COUNTA(G485:H485)=0,"",IF(AND(OR(ISBLANK(G485),AND(ISNUMBER(G485),G485&gt;=0)),OR(ISBLANK(H485),AND(ISNUMBER(H485),H485&gt;=0))),60*IF(ISBLANK(G485),0,G485)+IF(ISBLANK(H485),0,H485),"")))</f>
        <v/>
      </c>
      <c r="T485" s="97" t="str">
        <f aca="false">IF(ISBLANK($C485),"",IF(I485=Constants!$B$2, TRUE(), IF(I485=Constants!$B$3, FALSE(), TRUE())))</f>
        <v/>
      </c>
      <c r="U485" s="97" t="str">
        <f aca="false">IF(ISBLANK($C485),"",IF(J485=Constants!$B$2, TRUE(), IF(J485=Constants!$B$3, FALSE(), TRUE())))</f>
        <v/>
      </c>
      <c r="V485" s="97" t="str">
        <f aca="false">IF(ISBLANK($C485),"",IF(COUNTA(K485:L485)=0,"",IF(AND(OR(ISBLANK(K485),AND(ISNUMBER(K485),K485&gt;=0)),OR(ISBLANK(L485),AND(ISNUMBER(L485),L485&gt;=0))),60*IF(ISBLANK(K485),0,K485)+IF(ISBLANK(L485),0,L485),"")))</f>
        <v/>
      </c>
      <c r="W485" s="97" t="str">
        <f aca="false">IF(ISBLANK($C485),"",IF(M485=Constants!$B$2, TRUE(), IF(M485=Constants!$B$3, FALSE(), TRUE())))</f>
        <v/>
      </c>
      <c r="X485" s="97" t="str">
        <f aca="false">IF(ISBLANK($C485),"",IF(N485=Constants!$B$2, TRUE(), IF(N485=Constants!$B$3, FALSE(), TRUE())))</f>
        <v/>
      </c>
      <c r="Y485" s="97" t="str">
        <f aca="false">IF(ISBLANK($C485),"",IF(O485=Constants!$B$2, TRUE(), IF(O485=Constants!$B$3, FALSE(), FALSE())))</f>
        <v/>
      </c>
      <c r="Z485" s="97" t="str">
        <f aca="false">IF(ISBLANK($C485),"",AND(S485&lt;&gt;"",Q485))</f>
        <v/>
      </c>
      <c r="AA485" s="97" t="str">
        <f aca="false">IF(ISBLANK($C485),"",AND(V485&lt;&gt;"",Q485))</f>
        <v/>
      </c>
      <c r="AB485" s="97" t="str">
        <f aca="false">IF(ISBLANK($C485),"",IF(Y485,Constants!$B$4,IF(COUNTA(E485:N485)=0,Constants!$B$5,IF(NOT(Q485),Constants!$B$6,IF(AND(NOT(Z485),NOT(AA485)),Constants!$B$6,Constants!$B$7)))))</f>
        <v/>
      </c>
      <c r="AC485" s="97" t="str">
        <f aca="false">IF(ISBLANK($C485),"",IF($AB485&lt;&gt;Constants!$B$7,$AB485,Constants!$B$20))</f>
        <v/>
      </c>
      <c r="AD485" s="97" t="str">
        <f aca="false">IF($AB485=Constants!$B$7,IF(Z485,S485,Constants!$B$13),"")</f>
        <v/>
      </c>
      <c r="AE485" s="97" t="str">
        <f aca="false">IF($AB485=Constants!$B$7,IF(Z485,R485*IF(T485, 1, Constants!$B$11)*IF(U485, 1, Constants!$B$12),Constants!$B$13),"")</f>
        <v/>
      </c>
      <c r="AF485" s="97" t="str">
        <f aca="false">IF($AB485=Constants!$B$7,AD485*AE485,"")</f>
        <v/>
      </c>
      <c r="AG485" s="97" t="str">
        <f aca="false">IF($AB485=Constants!$B$7,IF(AA485,V485,Constants!$B$13),"")</f>
        <v/>
      </c>
      <c r="AH485" s="97" t="str">
        <f aca="false">IF($AB485=Constants!$B$7,IF(AA485,R485*IF(W485, 1, Constants!$B$11)*IF(X485, 1, Constants!$B$12),Constants!$B$13),"")</f>
        <v/>
      </c>
      <c r="AI485" s="97" t="str">
        <f aca="false">IF($AB485=Constants!$B$7,AG485*AH485,"")</f>
        <v/>
      </c>
      <c r="AJ485" s="97" t="str">
        <f aca="false">IF($AB485=Constants!$B$7,IF(AI485&gt;AF485,2,1),"")</f>
        <v/>
      </c>
      <c r="AK485" s="97" t="str">
        <f aca="false">IF($AB485=Constants!$B$7,IF(AJ485=1,2,1),"")</f>
        <v/>
      </c>
      <c r="AL485" s="97" t="str">
        <f aca="false">IF(ISBLANK($C485),"",IF($AB485&lt;&gt;Constants!$B$7,$AB485,IF(AJ485=1,AF485,AI485)))</f>
        <v/>
      </c>
      <c r="AM485" s="97" t="str">
        <f aca="false">IF(ISBLANK($C485),"",IF($AB485=Constants!$B$7,IF(ISNUMBER(AL485),RANK(AL485,$AL$8:$AL$507),Constants!$B$14),$AB485))</f>
        <v/>
      </c>
      <c r="AN485" s="97" t="str">
        <f aca="false">IF(ISBLANK($C485),"",IF($AB485=Constants!$B$7,IF(AK485=1,AF485,AI485),""))</f>
        <v/>
      </c>
      <c r="AO485" s="97" t="str">
        <f aca="false">IF(ISBLANK($C485),"",IF($AB485=Constants!$B$7,RANK(AN485,$AN$8:$AN$507),$AB485))</f>
        <v/>
      </c>
      <c r="AP485" s="97" t="str">
        <f aca="false">IF(ISBLANK($C485),"",IF($AB485=Constants!$B$7,IF(ISNUMBER(AM485),COUNTIFS($AM$8:$AM$507,"&lt;"&amp;$AM485)+COUNTIFS($AM$8:$AM$507,$AM485,$AO$8:$AO$507,"&lt;"&amp;$AO485)+1,Constants!$B$14),$AB485))</f>
        <v/>
      </c>
      <c r="AQ485" s="97" t="str">
        <f aca="false">IF(ISBLANK($C485),"",IF($AB485=Constants!$B$7,IF(ISNUMBER(AM485),AM485-AP485,Constants!$B$14),$AB485))</f>
        <v/>
      </c>
      <c r="AR485" s="98"/>
      <c r="AS485" s="99" t="str">
        <f aca="false">IF(ISBLANK($C485),"",IF($AB485&lt;&gt;Constants!$B$7,"",AJ485))</f>
        <v/>
      </c>
      <c r="AT485" s="100" t="str">
        <f aca="false">IF(ISBLANK($C485),"",IF($AB485&lt;&gt;Constants!$B$7,"",IF(AJ485=1,AD485,AG485)))</f>
        <v/>
      </c>
      <c r="AU485" s="101" t="str">
        <f aca="false">IF(ISBLANK($C485),"",IF($AB485&lt;&gt;Constants!$B$7,"",IF(AJ485=1,AE485,AH485)))</f>
        <v/>
      </c>
      <c r="AV485" s="102" t="str">
        <f aca="false">IF(ISBLANK($C485),"",IF($AB485&lt;&gt;Constants!$B$7,$AB485,AL485))</f>
        <v/>
      </c>
      <c r="AW485" s="103" t="str">
        <f aca="false">IF(ISBLANK($C485),"",IF($AB485&lt;&gt;Constants!$B$7,$AB485,AC485))</f>
        <v/>
      </c>
      <c r="AX485" s="104" t="str">
        <f aca="false">IF(ISBLANK($C485),"",AQ485)</f>
        <v/>
      </c>
      <c r="AY485" s="104" t="str">
        <f aca="false">IF(ISBLANK($C485),"",AP485)</f>
        <v/>
      </c>
      <c r="AZ485" s="105" t="str">
        <f aca="false">IF(ISBLANK($C485),"",IF(AY485=Constants!$B$4,COUNTA($C$8:$C$507)+2,IF(AY485=Constants!$B$5,COUNTA($C$8:$C$507)+1,IF(AY485=Constants!$B$6,COUNTA($C$8:$C$507),AY485))))</f>
        <v/>
      </c>
      <c r="BA485" s="5"/>
      <c r="BB485" s="106" t="n">
        <f aca="false">IF(OR(ISNUMBER(AY485),AY485=Constants!$B$4,AY485=Constants!$B$6,AY485=Constants!$B$5),1,0)</f>
        <v>0</v>
      </c>
      <c r="BC485" s="106" t="n">
        <v>478</v>
      </c>
      <c r="BD485" s="106" t="str">
        <f aca="false">IF(ISBLANK($C485),"",IF(ISNUMBER(AZ485),AZ485+ROW($B485)/1000,""))</f>
        <v/>
      </c>
      <c r="BE485" s="106" t="str">
        <f aca="false">IF(ISNUMBER(BD485),RANK(BD485,$BD$8:$BD$507,1),"")</f>
        <v/>
      </c>
      <c r="BF485" s="106" t="str">
        <f aca="false">IF(ISBLANK($C485),"",$B485)</f>
        <v/>
      </c>
      <c r="BG485" s="106" t="str">
        <f aca="false">IF(ISBLANK($C485),"",$C485)</f>
        <v/>
      </c>
      <c r="BH485" s="106" t="str">
        <f aca="false">IF(ISBLANK($C485),"",$D485)</f>
        <v/>
      </c>
      <c r="BI485" s="107" t="str">
        <f aca="false">AW485</f>
        <v/>
      </c>
      <c r="BJ485" s="108" t="str">
        <f aca="false">AV485</f>
        <v/>
      </c>
      <c r="BK485" s="106" t="str">
        <f aca="false">IF(ISBLANK($C485),"",AY485)</f>
        <v/>
      </c>
      <c r="BL485" s="109" t="str">
        <f aca="false">IF($BC485&gt;$BB$7,"",VLOOKUP($BC485,$BE$8:$BK$507,7,FALSE()))</f>
        <v/>
      </c>
      <c r="BM485" s="110" t="str">
        <f aca="false">IF($BC485&gt;$BB$7,"",VLOOKUP($BC485,$BE$8:$BK$507,2,FALSE()))</f>
        <v/>
      </c>
      <c r="BN485" s="110" t="str">
        <f aca="false">IF($BC485&gt;$BB$7,"",VLOOKUP($BC485,$BE$8:$BK$507,3,FALSE()))</f>
        <v/>
      </c>
      <c r="BO485" s="110" t="str">
        <f aca="false">IF($BC485&gt;$BB$7,"",VLOOKUP($BC485,$BE$8:$BK$507,4,FALSE()))</f>
        <v/>
      </c>
      <c r="BP485" s="110" t="str">
        <f aca="false">IF($BC485&gt;$BB$7,"",VLOOKUP($BC485,$BE$8:$BK$507,5,FALSE()))</f>
        <v/>
      </c>
      <c r="BQ485" s="111" t="str">
        <f aca="false">IF($BC485&gt;$BB$7,"",VLOOKUP($BC485,$BE$8:$BK$507,6,FALSE()))</f>
        <v/>
      </c>
      <c r="BR485" s="54"/>
    </row>
    <row r="486" customFormat="false" ht="15.75" hidden="false" customHeight="false" outlineLevel="0" collapsed="false">
      <c r="A486" s="5"/>
      <c r="B486" s="120"/>
      <c r="C486" s="121"/>
      <c r="D486" s="112"/>
      <c r="E486" s="123"/>
      <c r="F486" s="91"/>
      <c r="G486" s="92"/>
      <c r="H486" s="93"/>
      <c r="I486" s="94"/>
      <c r="J486" s="91"/>
      <c r="K486" s="92"/>
      <c r="L486" s="93"/>
      <c r="M486" s="94"/>
      <c r="N486" s="91"/>
      <c r="O486" s="123"/>
      <c r="P486" s="96"/>
      <c r="Q486" s="97" t="str">
        <f aca="false">IF(ISBLANK($C486),"",IF(E486=Constants!$B$2, TRUE(), IF(E486=Constants!$B$3, FALSE(), TRUE())))</f>
        <v/>
      </c>
      <c r="R486" s="97" t="str">
        <f aca="false">IF(ISBLANK($C486),"",IF(F486=Constants!$B$16,Constants!$B$9,IF(F486=Constants!$B$17,Constants!$B$10,Constants!$B$8)))</f>
        <v/>
      </c>
      <c r="S486" s="97" t="str">
        <f aca="false">IF(ISBLANK($C486),"",IF(COUNTA(G486:H486)=0,"",IF(AND(OR(ISBLANK(G486),AND(ISNUMBER(G486),G486&gt;=0)),OR(ISBLANK(H486),AND(ISNUMBER(H486),H486&gt;=0))),60*IF(ISBLANK(G486),0,G486)+IF(ISBLANK(H486),0,H486),"")))</f>
        <v/>
      </c>
      <c r="T486" s="97" t="str">
        <f aca="false">IF(ISBLANK($C486),"",IF(I486=Constants!$B$2, TRUE(), IF(I486=Constants!$B$3, FALSE(), TRUE())))</f>
        <v/>
      </c>
      <c r="U486" s="97" t="str">
        <f aca="false">IF(ISBLANK($C486),"",IF(J486=Constants!$B$2, TRUE(), IF(J486=Constants!$B$3, FALSE(), TRUE())))</f>
        <v/>
      </c>
      <c r="V486" s="97" t="str">
        <f aca="false">IF(ISBLANK($C486),"",IF(COUNTA(K486:L486)=0,"",IF(AND(OR(ISBLANK(K486),AND(ISNUMBER(K486),K486&gt;=0)),OR(ISBLANK(L486),AND(ISNUMBER(L486),L486&gt;=0))),60*IF(ISBLANK(K486),0,K486)+IF(ISBLANK(L486),0,L486),"")))</f>
        <v/>
      </c>
      <c r="W486" s="97" t="str">
        <f aca="false">IF(ISBLANK($C486),"",IF(M486=Constants!$B$2, TRUE(), IF(M486=Constants!$B$3, FALSE(), TRUE())))</f>
        <v/>
      </c>
      <c r="X486" s="97" t="str">
        <f aca="false">IF(ISBLANK($C486),"",IF(N486=Constants!$B$2, TRUE(), IF(N486=Constants!$B$3, FALSE(), TRUE())))</f>
        <v/>
      </c>
      <c r="Y486" s="97" t="str">
        <f aca="false">IF(ISBLANK($C486),"",IF(O486=Constants!$B$2, TRUE(), IF(O486=Constants!$B$3, FALSE(), FALSE())))</f>
        <v/>
      </c>
      <c r="Z486" s="97" t="str">
        <f aca="false">IF(ISBLANK($C486),"",AND(S486&lt;&gt;"",Q486))</f>
        <v/>
      </c>
      <c r="AA486" s="97" t="str">
        <f aca="false">IF(ISBLANK($C486),"",AND(V486&lt;&gt;"",Q486))</f>
        <v/>
      </c>
      <c r="AB486" s="97" t="str">
        <f aca="false">IF(ISBLANK($C486),"",IF(Y486,Constants!$B$4,IF(COUNTA(E486:N486)=0,Constants!$B$5,IF(NOT(Q486),Constants!$B$6,IF(AND(NOT(Z486),NOT(AA486)),Constants!$B$6,Constants!$B$7)))))</f>
        <v/>
      </c>
      <c r="AC486" s="97" t="str">
        <f aca="false">IF(ISBLANK($C486),"",IF($AB486&lt;&gt;Constants!$B$7,$AB486,Constants!$B$20))</f>
        <v/>
      </c>
      <c r="AD486" s="97" t="str">
        <f aca="false">IF($AB486=Constants!$B$7,IF(Z486,S486,Constants!$B$13),"")</f>
        <v/>
      </c>
      <c r="AE486" s="97" t="str">
        <f aca="false">IF($AB486=Constants!$B$7,IF(Z486,R486*IF(T486, 1, Constants!$B$11)*IF(U486, 1, Constants!$B$12),Constants!$B$13),"")</f>
        <v/>
      </c>
      <c r="AF486" s="97" t="str">
        <f aca="false">IF($AB486=Constants!$B$7,AD486*AE486,"")</f>
        <v/>
      </c>
      <c r="AG486" s="97" t="str">
        <f aca="false">IF($AB486=Constants!$B$7,IF(AA486,V486,Constants!$B$13),"")</f>
        <v/>
      </c>
      <c r="AH486" s="97" t="str">
        <f aca="false">IF($AB486=Constants!$B$7,IF(AA486,R486*IF(W486, 1, Constants!$B$11)*IF(X486, 1, Constants!$B$12),Constants!$B$13),"")</f>
        <v/>
      </c>
      <c r="AI486" s="97" t="str">
        <f aca="false">IF($AB486=Constants!$B$7,AG486*AH486,"")</f>
        <v/>
      </c>
      <c r="AJ486" s="97" t="str">
        <f aca="false">IF($AB486=Constants!$B$7,IF(AI486&gt;AF486,2,1),"")</f>
        <v/>
      </c>
      <c r="AK486" s="97" t="str">
        <f aca="false">IF($AB486=Constants!$B$7,IF(AJ486=1,2,1),"")</f>
        <v/>
      </c>
      <c r="AL486" s="97" t="str">
        <f aca="false">IF(ISBLANK($C486),"",IF($AB486&lt;&gt;Constants!$B$7,$AB486,IF(AJ486=1,AF486,AI486)))</f>
        <v/>
      </c>
      <c r="AM486" s="97" t="str">
        <f aca="false">IF(ISBLANK($C486),"",IF($AB486=Constants!$B$7,IF(ISNUMBER(AL486),RANK(AL486,$AL$8:$AL$507),Constants!$B$14),$AB486))</f>
        <v/>
      </c>
      <c r="AN486" s="97" t="str">
        <f aca="false">IF(ISBLANK($C486),"",IF($AB486=Constants!$B$7,IF(AK486=1,AF486,AI486),""))</f>
        <v/>
      </c>
      <c r="AO486" s="97" t="str">
        <f aca="false">IF(ISBLANK($C486),"",IF($AB486=Constants!$B$7,RANK(AN486,$AN$8:$AN$507),$AB486))</f>
        <v/>
      </c>
      <c r="AP486" s="97" t="str">
        <f aca="false">IF(ISBLANK($C486),"",IF($AB486=Constants!$B$7,IF(ISNUMBER(AM486),COUNTIFS($AM$8:$AM$507,"&lt;"&amp;$AM486)+COUNTIFS($AM$8:$AM$507,$AM486,$AO$8:$AO$507,"&lt;"&amp;$AO486)+1,Constants!$B$14),$AB486))</f>
        <v/>
      </c>
      <c r="AQ486" s="97" t="str">
        <f aca="false">IF(ISBLANK($C486),"",IF($AB486=Constants!$B$7,IF(ISNUMBER(AM486),AM486-AP486,Constants!$B$14),$AB486))</f>
        <v/>
      </c>
      <c r="AR486" s="98"/>
      <c r="AS486" s="99" t="str">
        <f aca="false">IF(ISBLANK($C486),"",IF($AB486&lt;&gt;Constants!$B$7,"",AJ486))</f>
        <v/>
      </c>
      <c r="AT486" s="100" t="str">
        <f aca="false">IF(ISBLANK($C486),"",IF($AB486&lt;&gt;Constants!$B$7,"",IF(AJ486=1,AD486,AG486)))</f>
        <v/>
      </c>
      <c r="AU486" s="101" t="str">
        <f aca="false">IF(ISBLANK($C486),"",IF($AB486&lt;&gt;Constants!$B$7,"",IF(AJ486=1,AE486,AH486)))</f>
        <v/>
      </c>
      <c r="AV486" s="102" t="str">
        <f aca="false">IF(ISBLANK($C486),"",IF($AB486&lt;&gt;Constants!$B$7,$AB486,AL486))</f>
        <v/>
      </c>
      <c r="AW486" s="103" t="str">
        <f aca="false">IF(ISBLANK($C486),"",IF($AB486&lt;&gt;Constants!$B$7,$AB486,AC486))</f>
        <v/>
      </c>
      <c r="AX486" s="104" t="str">
        <f aca="false">IF(ISBLANK($C486),"",AQ486)</f>
        <v/>
      </c>
      <c r="AY486" s="104" t="str">
        <f aca="false">IF(ISBLANK($C486),"",AP486)</f>
        <v/>
      </c>
      <c r="AZ486" s="105" t="str">
        <f aca="false">IF(ISBLANK($C486),"",IF(AY486=Constants!$B$4,COUNTA($C$8:$C$507)+2,IF(AY486=Constants!$B$5,COUNTA($C$8:$C$507)+1,IF(AY486=Constants!$B$6,COUNTA($C$8:$C$507),AY486))))</f>
        <v/>
      </c>
      <c r="BA486" s="5"/>
      <c r="BB486" s="106" t="n">
        <f aca="false">IF(OR(ISNUMBER(AY486),AY486=Constants!$B$4,AY486=Constants!$B$6,AY486=Constants!$B$5),1,0)</f>
        <v>0</v>
      </c>
      <c r="BC486" s="106" t="n">
        <v>479</v>
      </c>
      <c r="BD486" s="106" t="str">
        <f aca="false">IF(ISBLANK($C486),"",IF(ISNUMBER(AZ486),AZ486+ROW($B486)/1000,""))</f>
        <v/>
      </c>
      <c r="BE486" s="106" t="str">
        <f aca="false">IF(ISNUMBER(BD486),RANK(BD486,$BD$8:$BD$507,1),"")</f>
        <v/>
      </c>
      <c r="BF486" s="106" t="str">
        <f aca="false">IF(ISBLANK($C486),"",$B486)</f>
        <v/>
      </c>
      <c r="BG486" s="106" t="str">
        <f aca="false">IF(ISBLANK($C486),"",$C486)</f>
        <v/>
      </c>
      <c r="BH486" s="106" t="str">
        <f aca="false">IF(ISBLANK($C486),"",$D486)</f>
        <v/>
      </c>
      <c r="BI486" s="107" t="str">
        <f aca="false">AW486</f>
        <v/>
      </c>
      <c r="BJ486" s="108" t="str">
        <f aca="false">AV486</f>
        <v/>
      </c>
      <c r="BK486" s="106" t="str">
        <f aca="false">IF(ISBLANK($C486),"",AY486)</f>
        <v/>
      </c>
      <c r="BL486" s="109" t="str">
        <f aca="false">IF($BC486&gt;$BB$7,"",VLOOKUP($BC486,$BE$8:$BK$507,7,FALSE()))</f>
        <v/>
      </c>
      <c r="BM486" s="110" t="str">
        <f aca="false">IF($BC486&gt;$BB$7,"",VLOOKUP($BC486,$BE$8:$BK$507,2,FALSE()))</f>
        <v/>
      </c>
      <c r="BN486" s="110" t="str">
        <f aca="false">IF($BC486&gt;$BB$7,"",VLOOKUP($BC486,$BE$8:$BK$507,3,FALSE()))</f>
        <v/>
      </c>
      <c r="BO486" s="110" t="str">
        <f aca="false">IF($BC486&gt;$BB$7,"",VLOOKUP($BC486,$BE$8:$BK$507,4,FALSE()))</f>
        <v/>
      </c>
      <c r="BP486" s="110" t="str">
        <f aca="false">IF($BC486&gt;$BB$7,"",VLOOKUP($BC486,$BE$8:$BK$507,5,FALSE()))</f>
        <v/>
      </c>
      <c r="BQ486" s="111" t="str">
        <f aca="false">IF($BC486&gt;$BB$7,"",VLOOKUP($BC486,$BE$8:$BK$507,6,FALSE()))</f>
        <v/>
      </c>
      <c r="BR486" s="54"/>
    </row>
    <row r="487" customFormat="false" ht="15.75" hidden="false" customHeight="false" outlineLevel="0" collapsed="false">
      <c r="A487" s="5"/>
      <c r="B487" s="120"/>
      <c r="C487" s="121"/>
      <c r="D487" s="112"/>
      <c r="E487" s="123"/>
      <c r="F487" s="91"/>
      <c r="G487" s="92"/>
      <c r="H487" s="93"/>
      <c r="I487" s="94"/>
      <c r="J487" s="91"/>
      <c r="K487" s="92"/>
      <c r="L487" s="93"/>
      <c r="M487" s="94"/>
      <c r="N487" s="91"/>
      <c r="O487" s="123"/>
      <c r="P487" s="96"/>
      <c r="Q487" s="97" t="str">
        <f aca="false">IF(ISBLANK($C487),"",IF(E487=Constants!$B$2, TRUE(), IF(E487=Constants!$B$3, FALSE(), TRUE())))</f>
        <v/>
      </c>
      <c r="R487" s="97" t="str">
        <f aca="false">IF(ISBLANK($C487),"",IF(F487=Constants!$B$16,Constants!$B$9,IF(F487=Constants!$B$17,Constants!$B$10,Constants!$B$8)))</f>
        <v/>
      </c>
      <c r="S487" s="97" t="str">
        <f aca="false">IF(ISBLANK($C487),"",IF(COUNTA(G487:H487)=0,"",IF(AND(OR(ISBLANK(G487),AND(ISNUMBER(G487),G487&gt;=0)),OR(ISBLANK(H487),AND(ISNUMBER(H487),H487&gt;=0))),60*IF(ISBLANK(G487),0,G487)+IF(ISBLANK(H487),0,H487),"")))</f>
        <v/>
      </c>
      <c r="T487" s="97" t="str">
        <f aca="false">IF(ISBLANK($C487),"",IF(I487=Constants!$B$2, TRUE(), IF(I487=Constants!$B$3, FALSE(), TRUE())))</f>
        <v/>
      </c>
      <c r="U487" s="97" t="str">
        <f aca="false">IF(ISBLANK($C487),"",IF(J487=Constants!$B$2, TRUE(), IF(J487=Constants!$B$3, FALSE(), TRUE())))</f>
        <v/>
      </c>
      <c r="V487" s="97" t="str">
        <f aca="false">IF(ISBLANK($C487),"",IF(COUNTA(K487:L487)=0,"",IF(AND(OR(ISBLANK(K487),AND(ISNUMBER(K487),K487&gt;=0)),OR(ISBLANK(L487),AND(ISNUMBER(L487),L487&gt;=0))),60*IF(ISBLANK(K487),0,K487)+IF(ISBLANK(L487),0,L487),"")))</f>
        <v/>
      </c>
      <c r="W487" s="97" t="str">
        <f aca="false">IF(ISBLANK($C487),"",IF(M487=Constants!$B$2, TRUE(), IF(M487=Constants!$B$3, FALSE(), TRUE())))</f>
        <v/>
      </c>
      <c r="X487" s="97" t="str">
        <f aca="false">IF(ISBLANK($C487),"",IF(N487=Constants!$B$2, TRUE(), IF(N487=Constants!$B$3, FALSE(), TRUE())))</f>
        <v/>
      </c>
      <c r="Y487" s="97" t="str">
        <f aca="false">IF(ISBLANK($C487),"",IF(O487=Constants!$B$2, TRUE(), IF(O487=Constants!$B$3, FALSE(), FALSE())))</f>
        <v/>
      </c>
      <c r="Z487" s="97" t="str">
        <f aca="false">IF(ISBLANK($C487),"",AND(S487&lt;&gt;"",Q487))</f>
        <v/>
      </c>
      <c r="AA487" s="97" t="str">
        <f aca="false">IF(ISBLANK($C487),"",AND(V487&lt;&gt;"",Q487))</f>
        <v/>
      </c>
      <c r="AB487" s="97" t="str">
        <f aca="false">IF(ISBLANK($C487),"",IF(Y487,Constants!$B$4,IF(COUNTA(E487:N487)=0,Constants!$B$5,IF(NOT(Q487),Constants!$B$6,IF(AND(NOT(Z487),NOT(AA487)),Constants!$B$6,Constants!$B$7)))))</f>
        <v/>
      </c>
      <c r="AC487" s="97" t="str">
        <f aca="false">IF(ISBLANK($C487),"",IF($AB487&lt;&gt;Constants!$B$7,$AB487,Constants!$B$20))</f>
        <v/>
      </c>
      <c r="AD487" s="97" t="str">
        <f aca="false">IF($AB487=Constants!$B$7,IF(Z487,S487,Constants!$B$13),"")</f>
        <v/>
      </c>
      <c r="AE487" s="97" t="str">
        <f aca="false">IF($AB487=Constants!$B$7,IF(Z487,R487*IF(T487, 1, Constants!$B$11)*IF(U487, 1, Constants!$B$12),Constants!$B$13),"")</f>
        <v/>
      </c>
      <c r="AF487" s="97" t="str">
        <f aca="false">IF($AB487=Constants!$B$7,AD487*AE487,"")</f>
        <v/>
      </c>
      <c r="AG487" s="97" t="str">
        <f aca="false">IF($AB487=Constants!$B$7,IF(AA487,V487,Constants!$B$13),"")</f>
        <v/>
      </c>
      <c r="AH487" s="97" t="str">
        <f aca="false">IF($AB487=Constants!$B$7,IF(AA487,R487*IF(W487, 1, Constants!$B$11)*IF(X487, 1, Constants!$B$12),Constants!$B$13),"")</f>
        <v/>
      </c>
      <c r="AI487" s="97" t="str">
        <f aca="false">IF($AB487=Constants!$B$7,AG487*AH487,"")</f>
        <v/>
      </c>
      <c r="AJ487" s="97" t="str">
        <f aca="false">IF($AB487=Constants!$B$7,IF(AI487&gt;AF487,2,1),"")</f>
        <v/>
      </c>
      <c r="AK487" s="97" t="str">
        <f aca="false">IF($AB487=Constants!$B$7,IF(AJ487=1,2,1),"")</f>
        <v/>
      </c>
      <c r="AL487" s="97" t="str">
        <f aca="false">IF(ISBLANK($C487),"",IF($AB487&lt;&gt;Constants!$B$7,$AB487,IF(AJ487=1,AF487,AI487)))</f>
        <v/>
      </c>
      <c r="AM487" s="97" t="str">
        <f aca="false">IF(ISBLANK($C487),"",IF($AB487=Constants!$B$7,IF(ISNUMBER(AL487),RANK(AL487,$AL$8:$AL$507),Constants!$B$14),$AB487))</f>
        <v/>
      </c>
      <c r="AN487" s="97" t="str">
        <f aca="false">IF(ISBLANK($C487),"",IF($AB487=Constants!$B$7,IF(AK487=1,AF487,AI487),""))</f>
        <v/>
      </c>
      <c r="AO487" s="97" t="str">
        <f aca="false">IF(ISBLANK($C487),"",IF($AB487=Constants!$B$7,RANK(AN487,$AN$8:$AN$507),$AB487))</f>
        <v/>
      </c>
      <c r="AP487" s="97" t="str">
        <f aca="false">IF(ISBLANK($C487),"",IF($AB487=Constants!$B$7,IF(ISNUMBER(AM487),COUNTIFS($AM$8:$AM$507,"&lt;"&amp;$AM487)+COUNTIFS($AM$8:$AM$507,$AM487,$AO$8:$AO$507,"&lt;"&amp;$AO487)+1,Constants!$B$14),$AB487))</f>
        <v/>
      </c>
      <c r="AQ487" s="97" t="str">
        <f aca="false">IF(ISBLANK($C487),"",IF($AB487=Constants!$B$7,IF(ISNUMBER(AM487),AM487-AP487,Constants!$B$14),$AB487))</f>
        <v/>
      </c>
      <c r="AR487" s="98"/>
      <c r="AS487" s="99" t="str">
        <f aca="false">IF(ISBLANK($C487),"",IF($AB487&lt;&gt;Constants!$B$7,"",AJ487))</f>
        <v/>
      </c>
      <c r="AT487" s="100" t="str">
        <f aca="false">IF(ISBLANK($C487),"",IF($AB487&lt;&gt;Constants!$B$7,"",IF(AJ487=1,AD487,AG487)))</f>
        <v/>
      </c>
      <c r="AU487" s="101" t="str">
        <f aca="false">IF(ISBLANK($C487),"",IF($AB487&lt;&gt;Constants!$B$7,"",IF(AJ487=1,AE487,AH487)))</f>
        <v/>
      </c>
      <c r="AV487" s="102" t="str">
        <f aca="false">IF(ISBLANK($C487),"",IF($AB487&lt;&gt;Constants!$B$7,$AB487,AL487))</f>
        <v/>
      </c>
      <c r="AW487" s="103" t="str">
        <f aca="false">IF(ISBLANK($C487),"",IF($AB487&lt;&gt;Constants!$B$7,$AB487,AC487))</f>
        <v/>
      </c>
      <c r="AX487" s="104" t="str">
        <f aca="false">IF(ISBLANK($C487),"",AQ487)</f>
        <v/>
      </c>
      <c r="AY487" s="104" t="str">
        <f aca="false">IF(ISBLANK($C487),"",AP487)</f>
        <v/>
      </c>
      <c r="AZ487" s="105" t="str">
        <f aca="false">IF(ISBLANK($C487),"",IF(AY487=Constants!$B$4,COUNTA($C$8:$C$507)+2,IF(AY487=Constants!$B$5,COUNTA($C$8:$C$507)+1,IF(AY487=Constants!$B$6,COUNTA($C$8:$C$507),AY487))))</f>
        <v/>
      </c>
      <c r="BA487" s="5"/>
      <c r="BB487" s="106" t="n">
        <f aca="false">IF(OR(ISNUMBER(AY487),AY487=Constants!$B$4,AY487=Constants!$B$6,AY487=Constants!$B$5),1,0)</f>
        <v>0</v>
      </c>
      <c r="BC487" s="106" t="n">
        <v>480</v>
      </c>
      <c r="BD487" s="106" t="str">
        <f aca="false">IF(ISBLANK($C487),"",IF(ISNUMBER(AZ487),AZ487+ROW($B487)/1000,""))</f>
        <v/>
      </c>
      <c r="BE487" s="106" t="str">
        <f aca="false">IF(ISNUMBER(BD487),RANK(BD487,$BD$8:$BD$507,1),"")</f>
        <v/>
      </c>
      <c r="BF487" s="106" t="str">
        <f aca="false">IF(ISBLANK($C487),"",$B487)</f>
        <v/>
      </c>
      <c r="BG487" s="106" t="str">
        <f aca="false">IF(ISBLANK($C487),"",$C487)</f>
        <v/>
      </c>
      <c r="BH487" s="106" t="str">
        <f aca="false">IF(ISBLANK($C487),"",$D487)</f>
        <v/>
      </c>
      <c r="BI487" s="107" t="str">
        <f aca="false">AW487</f>
        <v/>
      </c>
      <c r="BJ487" s="108" t="str">
        <f aca="false">AV487</f>
        <v/>
      </c>
      <c r="BK487" s="106" t="str">
        <f aca="false">IF(ISBLANK($C487),"",AY487)</f>
        <v/>
      </c>
      <c r="BL487" s="109" t="str">
        <f aca="false">IF($BC487&gt;$BB$7,"",VLOOKUP($BC487,$BE$8:$BK$507,7,FALSE()))</f>
        <v/>
      </c>
      <c r="BM487" s="110" t="str">
        <f aca="false">IF($BC487&gt;$BB$7,"",VLOOKUP($BC487,$BE$8:$BK$507,2,FALSE()))</f>
        <v/>
      </c>
      <c r="BN487" s="110" t="str">
        <f aca="false">IF($BC487&gt;$BB$7,"",VLOOKUP($BC487,$BE$8:$BK$507,3,FALSE()))</f>
        <v/>
      </c>
      <c r="BO487" s="110" t="str">
        <f aca="false">IF($BC487&gt;$BB$7,"",VLOOKUP($BC487,$BE$8:$BK$507,4,FALSE()))</f>
        <v/>
      </c>
      <c r="BP487" s="110" t="str">
        <f aca="false">IF($BC487&gt;$BB$7,"",VLOOKUP($BC487,$BE$8:$BK$507,5,FALSE()))</f>
        <v/>
      </c>
      <c r="BQ487" s="111" t="str">
        <f aca="false">IF($BC487&gt;$BB$7,"",VLOOKUP($BC487,$BE$8:$BK$507,6,FALSE()))</f>
        <v/>
      </c>
      <c r="BR487" s="54"/>
    </row>
    <row r="488" customFormat="false" ht="15.75" hidden="false" customHeight="false" outlineLevel="0" collapsed="false">
      <c r="A488" s="5"/>
      <c r="B488" s="124"/>
      <c r="C488" s="56"/>
      <c r="D488" s="57"/>
      <c r="E488" s="83"/>
      <c r="F488" s="59"/>
      <c r="G488" s="60"/>
      <c r="H488" s="61"/>
      <c r="I488" s="62"/>
      <c r="J488" s="59"/>
      <c r="K488" s="60"/>
      <c r="L488" s="61"/>
      <c r="M488" s="62"/>
      <c r="N488" s="59"/>
      <c r="O488" s="83"/>
      <c r="P488" s="64"/>
      <c r="Q488" s="66" t="str">
        <f aca="false">IF(ISBLANK($C488),"",IF(E488=Constants!$B$2, TRUE(), IF(E488=Constants!$B$3, FALSE(), TRUE())))</f>
        <v/>
      </c>
      <c r="R488" s="66" t="str">
        <f aca="false">IF(ISBLANK($C488),"",IF(F488=Constants!$B$16,Constants!$B$9,IF(F488=Constants!$B$17,Constants!$B$10,Constants!$B$8)))</f>
        <v/>
      </c>
      <c r="S488" s="66" t="str">
        <f aca="false">IF(ISBLANK($C488),"",IF(COUNTA(G488:H488)=0,"",IF(AND(OR(ISBLANK(G488),AND(ISNUMBER(G488),G488&gt;=0)),OR(ISBLANK(H488),AND(ISNUMBER(H488),H488&gt;=0))),60*IF(ISBLANK(G488),0,G488)+IF(ISBLANK(H488),0,H488),"")))</f>
        <v/>
      </c>
      <c r="T488" s="66" t="str">
        <f aca="false">IF(ISBLANK($C488),"",IF(I488=Constants!$B$2, TRUE(), IF(I488=Constants!$B$3, FALSE(), TRUE())))</f>
        <v/>
      </c>
      <c r="U488" s="66" t="str">
        <f aca="false">IF(ISBLANK($C488),"",IF(J488=Constants!$B$2, TRUE(), IF(J488=Constants!$B$3, FALSE(), TRUE())))</f>
        <v/>
      </c>
      <c r="V488" s="66" t="str">
        <f aca="false">IF(ISBLANK($C488),"",IF(COUNTA(K488:L488)=0,"",IF(AND(OR(ISBLANK(K488),AND(ISNUMBER(K488),K488&gt;=0)),OR(ISBLANK(L488),AND(ISNUMBER(L488),L488&gt;=0))),60*IF(ISBLANK(K488),0,K488)+IF(ISBLANK(L488),0,L488),"")))</f>
        <v/>
      </c>
      <c r="W488" s="66" t="str">
        <f aca="false">IF(ISBLANK($C488),"",IF(M488=Constants!$B$2, TRUE(), IF(M488=Constants!$B$3, FALSE(), TRUE())))</f>
        <v/>
      </c>
      <c r="X488" s="66" t="str">
        <f aca="false">IF(ISBLANK($C488),"",IF(N488=Constants!$B$2, TRUE(), IF(N488=Constants!$B$3, FALSE(), TRUE())))</f>
        <v/>
      </c>
      <c r="Y488" s="66" t="str">
        <f aca="false">IF(ISBLANK($C488),"",IF(O488=Constants!$B$2, TRUE(), IF(O488=Constants!$B$3, FALSE(), FALSE())))</f>
        <v/>
      </c>
      <c r="Z488" s="66" t="str">
        <f aca="false">IF(ISBLANK($C488),"",AND(S488&lt;&gt;"",Q488))</f>
        <v/>
      </c>
      <c r="AA488" s="66" t="str">
        <f aca="false">IF(ISBLANK($C488),"",AND(V488&lt;&gt;"",Q488))</f>
        <v/>
      </c>
      <c r="AB488" s="66" t="str">
        <f aca="false">IF(ISBLANK($C488),"",IF(Y488,Constants!$B$4,IF(COUNTA(E488:N488)=0,Constants!$B$5,IF(NOT(Q488),Constants!$B$6,IF(AND(NOT(Z488),NOT(AA488)),Constants!$B$6,Constants!$B$7)))))</f>
        <v/>
      </c>
      <c r="AC488" s="66" t="str">
        <f aca="false">IF(ISBLANK($C488),"",IF($AB488&lt;&gt;Constants!$B$7,$AB488,Constants!$B$20))</f>
        <v/>
      </c>
      <c r="AD488" s="66" t="str">
        <f aca="false">IF($AB488=Constants!$B$7,IF(Z488,S488,Constants!$B$13),"")</f>
        <v/>
      </c>
      <c r="AE488" s="66" t="str">
        <f aca="false">IF($AB488=Constants!$B$7,IF(Z488,R488*IF(T488, 1, Constants!$B$11)*IF(U488, 1, Constants!$B$12),Constants!$B$13),"")</f>
        <v/>
      </c>
      <c r="AF488" s="66" t="str">
        <f aca="false">IF($AB488=Constants!$B$7,AD488*AE488,"")</f>
        <v/>
      </c>
      <c r="AG488" s="66" t="str">
        <f aca="false">IF($AB488=Constants!$B$7,IF(AA488,V488,Constants!$B$13),"")</f>
        <v/>
      </c>
      <c r="AH488" s="66" t="str">
        <f aca="false">IF($AB488=Constants!$B$7,IF(AA488,R488*IF(W488, 1, Constants!$B$11)*IF(X488, 1, Constants!$B$12),Constants!$B$13),"")</f>
        <v/>
      </c>
      <c r="AI488" s="66" t="str">
        <f aca="false">IF($AB488=Constants!$B$7,AG488*AH488,"")</f>
        <v/>
      </c>
      <c r="AJ488" s="66" t="str">
        <f aca="false">IF($AB488=Constants!$B$7,IF(AI488&gt;AF488,2,1),"")</f>
        <v/>
      </c>
      <c r="AK488" s="66" t="str">
        <f aca="false">IF($AB488=Constants!$B$7,IF(AJ488=1,2,1),"")</f>
        <v/>
      </c>
      <c r="AL488" s="66" t="str">
        <f aca="false">IF(ISBLANK($C488),"",IF($AB488&lt;&gt;Constants!$B$7,$AB488,IF(AJ488=1,AF488,AI488)))</f>
        <v/>
      </c>
      <c r="AM488" s="66" t="str">
        <f aca="false">IF(ISBLANK($C488),"",IF($AB488=Constants!$B$7,IF(ISNUMBER(AL488),RANK(AL488,$AL$8:$AL$507),Constants!$B$14),$AB488))</f>
        <v/>
      </c>
      <c r="AN488" s="66" t="str">
        <f aca="false">IF(ISBLANK($C488),"",IF($AB488=Constants!$B$7,IF(AK488=1,AF488,AI488),""))</f>
        <v/>
      </c>
      <c r="AO488" s="66" t="str">
        <f aca="false">IF(ISBLANK($C488),"",IF($AB488=Constants!$B$7,RANK(AN488,$AN$8:$AN$507),$AB488))</f>
        <v/>
      </c>
      <c r="AP488" s="66" t="str">
        <f aca="false">IF(ISBLANK($C488),"",IF($AB488=Constants!$B$7,IF(ISNUMBER(AM488),COUNTIFS($AM$8:$AM$507,"&lt;"&amp;$AM488)+COUNTIFS($AM$8:$AM$507,$AM488,$AO$8:$AO$507,"&lt;"&amp;$AO488)+1,Constants!$B$14),$AB488))</f>
        <v/>
      </c>
      <c r="AQ488" s="66" t="str">
        <f aca="false">IF(ISBLANK($C488),"",IF($AB488=Constants!$B$7,IF(ISNUMBER(AM488),AM488-AP488,Constants!$B$14),$AB488))</f>
        <v/>
      </c>
      <c r="AR488" s="68"/>
      <c r="AS488" s="69" t="str">
        <f aca="false">IF(ISBLANK($C488),"",IF($AB488&lt;&gt;Constants!$B$7,"",AJ488))</f>
        <v/>
      </c>
      <c r="AT488" s="84" t="str">
        <f aca="false">IF(ISBLANK($C488),"",IF($AB488&lt;&gt;Constants!$B$7,"",IF(AJ488=1,AD488,AG488)))</f>
        <v/>
      </c>
      <c r="AU488" s="71" t="str">
        <f aca="false">IF(ISBLANK($C488),"",IF($AB488&lt;&gt;Constants!$B$7,"",IF(AJ488=1,AE488,AH488)))</f>
        <v/>
      </c>
      <c r="AV488" s="72" t="str">
        <f aca="false">IF(ISBLANK($C488),"",IF($AB488&lt;&gt;Constants!$B$7,$AB488,AL488))</f>
        <v/>
      </c>
      <c r="AW488" s="73" t="str">
        <f aca="false">IF(ISBLANK($C488),"",IF($AB488&lt;&gt;Constants!$B$7,$AB488,AC488))</f>
        <v/>
      </c>
      <c r="AX488" s="74" t="str">
        <f aca="false">IF(ISBLANK($C488),"",AQ488)</f>
        <v/>
      </c>
      <c r="AY488" s="74" t="str">
        <f aca="false">IF(ISBLANK($C488),"",AP488)</f>
        <v/>
      </c>
      <c r="AZ488" s="75" t="str">
        <f aca="false">IF(ISBLANK($C488),"",IF(AY488=Constants!$B$4,COUNTA($C$8:$C$507)+2,IF(AY488=Constants!$B$5,COUNTA($C$8:$C$507)+1,IF(AY488=Constants!$B$6,COUNTA($C$8:$C$507),AY488))))</f>
        <v/>
      </c>
      <c r="BA488" s="5"/>
      <c r="BB488" s="76" t="n">
        <f aca="false">IF(OR(ISNUMBER(AY488),AY488=Constants!$B$4,AY488=Constants!$B$6,AY488=Constants!$B$5),1,0)</f>
        <v>0</v>
      </c>
      <c r="BC488" s="76" t="n">
        <v>481</v>
      </c>
      <c r="BD488" s="76" t="str">
        <f aca="false">IF(ISBLANK($C488),"",IF(ISNUMBER(AZ488),AZ488+ROW($B488)/1000,""))</f>
        <v/>
      </c>
      <c r="BE488" s="76" t="str">
        <f aca="false">IF(ISNUMBER(BD488),RANK(BD488,$BD$8:$BD$507,1),"")</f>
        <v/>
      </c>
      <c r="BF488" s="76" t="str">
        <f aca="false">IF(ISBLANK($C488),"",$B488)</f>
        <v/>
      </c>
      <c r="BG488" s="76" t="str">
        <f aca="false">IF(ISBLANK($C488),"",$C488)</f>
        <v/>
      </c>
      <c r="BH488" s="76" t="str">
        <f aca="false">IF(ISBLANK($C488),"",$D488)</f>
        <v/>
      </c>
      <c r="BI488" s="77" t="str">
        <f aca="false">AW488</f>
        <v/>
      </c>
      <c r="BJ488" s="78" t="str">
        <f aca="false">AV488</f>
        <v/>
      </c>
      <c r="BK488" s="76" t="str">
        <f aca="false">IF(ISBLANK($C488),"",AY488)</f>
        <v/>
      </c>
      <c r="BL488" s="79" t="str">
        <f aca="false">IF($BC488&gt;$BB$7,"",VLOOKUP($BC488,$BE$8:$BK$507,7,FALSE()))</f>
        <v/>
      </c>
      <c r="BM488" s="80" t="str">
        <f aca="false">IF($BC488&gt;$BB$7,"",VLOOKUP($BC488,$BE$8:$BK$507,2,FALSE()))</f>
        <v/>
      </c>
      <c r="BN488" s="80" t="str">
        <f aca="false">IF($BC488&gt;$BB$7,"",VLOOKUP($BC488,$BE$8:$BK$507,3,FALSE()))</f>
        <v/>
      </c>
      <c r="BO488" s="80" t="str">
        <f aca="false">IF($BC488&gt;$BB$7,"",VLOOKUP($BC488,$BE$8:$BK$507,4,FALSE()))</f>
        <v/>
      </c>
      <c r="BP488" s="80" t="str">
        <f aca="false">IF($BC488&gt;$BB$7,"",VLOOKUP($BC488,$BE$8:$BK$507,5,FALSE()))</f>
        <v/>
      </c>
      <c r="BQ488" s="81" t="str">
        <f aca="false">IF($BC488&gt;$BB$7,"",VLOOKUP($BC488,$BE$8:$BK$507,6,FALSE()))</f>
        <v/>
      </c>
      <c r="BR488" s="54"/>
    </row>
    <row r="489" customFormat="false" ht="15.75" hidden="false" customHeight="false" outlineLevel="0" collapsed="false">
      <c r="A489" s="5"/>
      <c r="B489" s="124"/>
      <c r="C489" s="56"/>
      <c r="D489" s="57"/>
      <c r="E489" s="83"/>
      <c r="F489" s="59"/>
      <c r="G489" s="60"/>
      <c r="H489" s="61"/>
      <c r="I489" s="62"/>
      <c r="J489" s="59"/>
      <c r="K489" s="60"/>
      <c r="L489" s="61"/>
      <c r="M489" s="62"/>
      <c r="N489" s="59"/>
      <c r="O489" s="83"/>
      <c r="P489" s="64"/>
      <c r="Q489" s="66" t="str">
        <f aca="false">IF(ISBLANK($C489),"",IF(E489=Constants!$B$2, TRUE(), IF(E489=Constants!$B$3, FALSE(), TRUE())))</f>
        <v/>
      </c>
      <c r="R489" s="66" t="str">
        <f aca="false">IF(ISBLANK($C489),"",IF(F489=Constants!$B$16,Constants!$B$9,IF(F489=Constants!$B$17,Constants!$B$10,Constants!$B$8)))</f>
        <v/>
      </c>
      <c r="S489" s="66" t="str">
        <f aca="false">IF(ISBLANK($C489),"",IF(COUNTA(G489:H489)=0,"",IF(AND(OR(ISBLANK(G489),AND(ISNUMBER(G489),G489&gt;=0)),OR(ISBLANK(H489),AND(ISNUMBER(H489),H489&gt;=0))),60*IF(ISBLANK(G489),0,G489)+IF(ISBLANK(H489),0,H489),"")))</f>
        <v/>
      </c>
      <c r="T489" s="66" t="str">
        <f aca="false">IF(ISBLANK($C489),"",IF(I489=Constants!$B$2, TRUE(), IF(I489=Constants!$B$3, FALSE(), TRUE())))</f>
        <v/>
      </c>
      <c r="U489" s="66" t="str">
        <f aca="false">IF(ISBLANK($C489),"",IF(J489=Constants!$B$2, TRUE(), IF(J489=Constants!$B$3, FALSE(), TRUE())))</f>
        <v/>
      </c>
      <c r="V489" s="66" t="str">
        <f aca="false">IF(ISBLANK($C489),"",IF(COUNTA(K489:L489)=0,"",IF(AND(OR(ISBLANK(K489),AND(ISNUMBER(K489),K489&gt;=0)),OR(ISBLANK(L489),AND(ISNUMBER(L489),L489&gt;=0))),60*IF(ISBLANK(K489),0,K489)+IF(ISBLANK(L489),0,L489),"")))</f>
        <v/>
      </c>
      <c r="W489" s="66" t="str">
        <f aca="false">IF(ISBLANK($C489),"",IF(M489=Constants!$B$2, TRUE(), IF(M489=Constants!$B$3, FALSE(), TRUE())))</f>
        <v/>
      </c>
      <c r="X489" s="66" t="str">
        <f aca="false">IF(ISBLANK($C489),"",IF(N489=Constants!$B$2, TRUE(), IF(N489=Constants!$B$3, FALSE(), TRUE())))</f>
        <v/>
      </c>
      <c r="Y489" s="66" t="str">
        <f aca="false">IF(ISBLANK($C489),"",IF(O489=Constants!$B$2, TRUE(), IF(O489=Constants!$B$3, FALSE(), FALSE())))</f>
        <v/>
      </c>
      <c r="Z489" s="66" t="str">
        <f aca="false">IF(ISBLANK($C489),"",AND(S489&lt;&gt;"",Q489))</f>
        <v/>
      </c>
      <c r="AA489" s="66" t="str">
        <f aca="false">IF(ISBLANK($C489),"",AND(V489&lt;&gt;"",Q489))</f>
        <v/>
      </c>
      <c r="AB489" s="66" t="str">
        <f aca="false">IF(ISBLANK($C489),"",IF(Y489,Constants!$B$4,IF(COUNTA(E489:N489)=0,Constants!$B$5,IF(NOT(Q489),Constants!$B$6,IF(AND(NOT(Z489),NOT(AA489)),Constants!$B$6,Constants!$B$7)))))</f>
        <v/>
      </c>
      <c r="AC489" s="66" t="str">
        <f aca="false">IF(ISBLANK($C489),"",IF($AB489&lt;&gt;Constants!$B$7,$AB489,Constants!$B$20))</f>
        <v/>
      </c>
      <c r="AD489" s="66" t="str">
        <f aca="false">IF($AB489=Constants!$B$7,IF(Z489,S489,Constants!$B$13),"")</f>
        <v/>
      </c>
      <c r="AE489" s="66" t="str">
        <f aca="false">IF($AB489=Constants!$B$7,IF(Z489,R489*IF(T489, 1, Constants!$B$11)*IF(U489, 1, Constants!$B$12),Constants!$B$13),"")</f>
        <v/>
      </c>
      <c r="AF489" s="66" t="str">
        <f aca="false">IF($AB489=Constants!$B$7,AD489*AE489,"")</f>
        <v/>
      </c>
      <c r="AG489" s="66" t="str">
        <f aca="false">IF($AB489=Constants!$B$7,IF(AA489,V489,Constants!$B$13),"")</f>
        <v/>
      </c>
      <c r="AH489" s="66" t="str">
        <f aca="false">IF($AB489=Constants!$B$7,IF(AA489,R489*IF(W489, 1, Constants!$B$11)*IF(X489, 1, Constants!$B$12),Constants!$B$13),"")</f>
        <v/>
      </c>
      <c r="AI489" s="66" t="str">
        <f aca="false">IF($AB489=Constants!$B$7,AG489*AH489,"")</f>
        <v/>
      </c>
      <c r="AJ489" s="66" t="str">
        <f aca="false">IF($AB489=Constants!$B$7,IF(AI489&gt;AF489,2,1),"")</f>
        <v/>
      </c>
      <c r="AK489" s="66" t="str">
        <f aca="false">IF($AB489=Constants!$B$7,IF(AJ489=1,2,1),"")</f>
        <v/>
      </c>
      <c r="AL489" s="66" t="str">
        <f aca="false">IF(ISBLANK($C489),"",IF($AB489&lt;&gt;Constants!$B$7,$AB489,IF(AJ489=1,AF489,AI489)))</f>
        <v/>
      </c>
      <c r="AM489" s="66" t="str">
        <f aca="false">IF(ISBLANK($C489),"",IF($AB489=Constants!$B$7,IF(ISNUMBER(AL489),RANK(AL489,$AL$8:$AL$507),Constants!$B$14),$AB489))</f>
        <v/>
      </c>
      <c r="AN489" s="66" t="str">
        <f aca="false">IF(ISBLANK($C489),"",IF($AB489=Constants!$B$7,IF(AK489=1,AF489,AI489),""))</f>
        <v/>
      </c>
      <c r="AO489" s="66" t="str">
        <f aca="false">IF(ISBLANK($C489),"",IF($AB489=Constants!$B$7,RANK(AN489,$AN$8:$AN$507),$AB489))</f>
        <v/>
      </c>
      <c r="AP489" s="66" t="str">
        <f aca="false">IF(ISBLANK($C489),"",IF($AB489=Constants!$B$7,IF(ISNUMBER(AM489),COUNTIFS($AM$8:$AM$507,"&lt;"&amp;$AM489)+COUNTIFS($AM$8:$AM$507,$AM489,$AO$8:$AO$507,"&lt;"&amp;$AO489)+1,Constants!$B$14),$AB489))</f>
        <v/>
      </c>
      <c r="AQ489" s="66" t="str">
        <f aca="false">IF(ISBLANK($C489),"",IF($AB489=Constants!$B$7,IF(ISNUMBER(AM489),AM489-AP489,Constants!$B$14),$AB489))</f>
        <v/>
      </c>
      <c r="AR489" s="68"/>
      <c r="AS489" s="69" t="str">
        <f aca="false">IF(ISBLANK($C489),"",IF($AB489&lt;&gt;Constants!$B$7,"",AJ489))</f>
        <v/>
      </c>
      <c r="AT489" s="84" t="str">
        <f aca="false">IF(ISBLANK($C489),"",IF($AB489&lt;&gt;Constants!$B$7,"",IF(AJ489=1,AD489,AG489)))</f>
        <v/>
      </c>
      <c r="AU489" s="71" t="str">
        <f aca="false">IF(ISBLANK($C489),"",IF($AB489&lt;&gt;Constants!$B$7,"",IF(AJ489=1,AE489,AH489)))</f>
        <v/>
      </c>
      <c r="AV489" s="72" t="str">
        <f aca="false">IF(ISBLANK($C489),"",IF($AB489&lt;&gt;Constants!$B$7,$AB489,AL489))</f>
        <v/>
      </c>
      <c r="AW489" s="73" t="str">
        <f aca="false">IF(ISBLANK($C489),"",IF($AB489&lt;&gt;Constants!$B$7,$AB489,AC489))</f>
        <v/>
      </c>
      <c r="AX489" s="74" t="str">
        <f aca="false">IF(ISBLANK($C489),"",AQ489)</f>
        <v/>
      </c>
      <c r="AY489" s="74" t="str">
        <f aca="false">IF(ISBLANK($C489),"",AP489)</f>
        <v/>
      </c>
      <c r="AZ489" s="75" t="str">
        <f aca="false">IF(ISBLANK($C489),"",IF(AY489=Constants!$B$4,COUNTA($C$8:$C$507)+2,IF(AY489=Constants!$B$5,COUNTA($C$8:$C$507)+1,IF(AY489=Constants!$B$6,COUNTA($C$8:$C$507),AY489))))</f>
        <v/>
      </c>
      <c r="BA489" s="5"/>
      <c r="BB489" s="76" t="n">
        <f aca="false">IF(OR(ISNUMBER(AY489),AY489=Constants!$B$4,AY489=Constants!$B$6,AY489=Constants!$B$5),1,0)</f>
        <v>0</v>
      </c>
      <c r="BC489" s="76" t="n">
        <v>482</v>
      </c>
      <c r="BD489" s="76" t="str">
        <f aca="false">IF(ISBLANK($C489),"",IF(ISNUMBER(AZ489),AZ489+ROW($B489)/1000,""))</f>
        <v/>
      </c>
      <c r="BE489" s="76" t="str">
        <f aca="false">IF(ISNUMBER(BD489),RANK(BD489,$BD$8:$BD$507,1),"")</f>
        <v/>
      </c>
      <c r="BF489" s="76" t="str">
        <f aca="false">IF(ISBLANK($C489),"",$B489)</f>
        <v/>
      </c>
      <c r="BG489" s="76" t="str">
        <f aca="false">IF(ISBLANK($C489),"",$C489)</f>
        <v/>
      </c>
      <c r="BH489" s="76" t="str">
        <f aca="false">IF(ISBLANK($C489),"",$D489)</f>
        <v/>
      </c>
      <c r="BI489" s="77" t="str">
        <f aca="false">AW489</f>
        <v/>
      </c>
      <c r="BJ489" s="78" t="str">
        <f aca="false">AV489</f>
        <v/>
      </c>
      <c r="BK489" s="76" t="str">
        <f aca="false">IF(ISBLANK($C489),"",AY489)</f>
        <v/>
      </c>
      <c r="BL489" s="79" t="str">
        <f aca="false">IF($BC489&gt;$BB$7,"",VLOOKUP($BC489,$BE$8:$BK$507,7,FALSE()))</f>
        <v/>
      </c>
      <c r="BM489" s="80" t="str">
        <f aca="false">IF($BC489&gt;$BB$7,"",VLOOKUP($BC489,$BE$8:$BK$507,2,FALSE()))</f>
        <v/>
      </c>
      <c r="BN489" s="80" t="str">
        <f aca="false">IF($BC489&gt;$BB$7,"",VLOOKUP($BC489,$BE$8:$BK$507,3,FALSE()))</f>
        <v/>
      </c>
      <c r="BO489" s="80" t="str">
        <f aca="false">IF($BC489&gt;$BB$7,"",VLOOKUP($BC489,$BE$8:$BK$507,4,FALSE()))</f>
        <v/>
      </c>
      <c r="BP489" s="80" t="str">
        <f aca="false">IF($BC489&gt;$BB$7,"",VLOOKUP($BC489,$BE$8:$BK$507,5,FALSE()))</f>
        <v/>
      </c>
      <c r="BQ489" s="81" t="str">
        <f aca="false">IF($BC489&gt;$BB$7,"",VLOOKUP($BC489,$BE$8:$BK$507,6,FALSE()))</f>
        <v/>
      </c>
      <c r="BR489" s="54"/>
    </row>
    <row r="490" customFormat="false" ht="15.75" hidden="false" customHeight="false" outlineLevel="0" collapsed="false">
      <c r="A490" s="5"/>
      <c r="B490" s="124"/>
      <c r="C490" s="56"/>
      <c r="D490" s="57"/>
      <c r="E490" s="83"/>
      <c r="F490" s="59"/>
      <c r="G490" s="60"/>
      <c r="H490" s="61"/>
      <c r="I490" s="62"/>
      <c r="J490" s="59"/>
      <c r="K490" s="60"/>
      <c r="L490" s="61"/>
      <c r="M490" s="62"/>
      <c r="N490" s="59"/>
      <c r="O490" s="83"/>
      <c r="P490" s="64"/>
      <c r="Q490" s="66" t="str">
        <f aca="false">IF(ISBLANK($C490),"",IF(E490=Constants!$B$2, TRUE(), IF(E490=Constants!$B$3, FALSE(), TRUE())))</f>
        <v/>
      </c>
      <c r="R490" s="66" t="str">
        <f aca="false">IF(ISBLANK($C490),"",IF(F490=Constants!$B$16,Constants!$B$9,IF(F490=Constants!$B$17,Constants!$B$10,Constants!$B$8)))</f>
        <v/>
      </c>
      <c r="S490" s="66" t="str">
        <f aca="false">IF(ISBLANK($C490),"",IF(COUNTA(G490:H490)=0,"",IF(AND(OR(ISBLANK(G490),AND(ISNUMBER(G490),G490&gt;=0)),OR(ISBLANK(H490),AND(ISNUMBER(H490),H490&gt;=0))),60*IF(ISBLANK(G490),0,G490)+IF(ISBLANK(H490),0,H490),"")))</f>
        <v/>
      </c>
      <c r="T490" s="66" t="str">
        <f aca="false">IF(ISBLANK($C490),"",IF(I490=Constants!$B$2, TRUE(), IF(I490=Constants!$B$3, FALSE(), TRUE())))</f>
        <v/>
      </c>
      <c r="U490" s="66" t="str">
        <f aca="false">IF(ISBLANK($C490),"",IF(J490=Constants!$B$2, TRUE(), IF(J490=Constants!$B$3, FALSE(), TRUE())))</f>
        <v/>
      </c>
      <c r="V490" s="66" t="str">
        <f aca="false">IF(ISBLANK($C490),"",IF(COUNTA(K490:L490)=0,"",IF(AND(OR(ISBLANK(K490),AND(ISNUMBER(K490),K490&gt;=0)),OR(ISBLANK(L490),AND(ISNUMBER(L490),L490&gt;=0))),60*IF(ISBLANK(K490),0,K490)+IF(ISBLANK(L490),0,L490),"")))</f>
        <v/>
      </c>
      <c r="W490" s="66" t="str">
        <f aca="false">IF(ISBLANK($C490),"",IF(M490=Constants!$B$2, TRUE(), IF(M490=Constants!$B$3, FALSE(), TRUE())))</f>
        <v/>
      </c>
      <c r="X490" s="66" t="str">
        <f aca="false">IF(ISBLANK($C490),"",IF(N490=Constants!$B$2, TRUE(), IF(N490=Constants!$B$3, FALSE(), TRUE())))</f>
        <v/>
      </c>
      <c r="Y490" s="66" t="str">
        <f aca="false">IF(ISBLANK($C490),"",IF(O490=Constants!$B$2, TRUE(), IF(O490=Constants!$B$3, FALSE(), FALSE())))</f>
        <v/>
      </c>
      <c r="Z490" s="66" t="str">
        <f aca="false">IF(ISBLANK($C490),"",AND(S490&lt;&gt;"",Q490))</f>
        <v/>
      </c>
      <c r="AA490" s="66" t="str">
        <f aca="false">IF(ISBLANK($C490),"",AND(V490&lt;&gt;"",Q490))</f>
        <v/>
      </c>
      <c r="AB490" s="66" t="str">
        <f aca="false">IF(ISBLANK($C490),"",IF(Y490,Constants!$B$4,IF(COUNTA(E490:N490)=0,Constants!$B$5,IF(NOT(Q490),Constants!$B$6,IF(AND(NOT(Z490),NOT(AA490)),Constants!$B$6,Constants!$B$7)))))</f>
        <v/>
      </c>
      <c r="AC490" s="66" t="str">
        <f aca="false">IF(ISBLANK($C490),"",IF($AB490&lt;&gt;Constants!$B$7,$AB490,Constants!$B$20))</f>
        <v/>
      </c>
      <c r="AD490" s="66" t="str">
        <f aca="false">IF($AB490=Constants!$B$7,IF(Z490,S490,Constants!$B$13),"")</f>
        <v/>
      </c>
      <c r="AE490" s="66" t="str">
        <f aca="false">IF($AB490=Constants!$B$7,IF(Z490,R490*IF(T490, 1, Constants!$B$11)*IF(U490, 1, Constants!$B$12),Constants!$B$13),"")</f>
        <v/>
      </c>
      <c r="AF490" s="66" t="str">
        <f aca="false">IF($AB490=Constants!$B$7,AD490*AE490,"")</f>
        <v/>
      </c>
      <c r="AG490" s="66" t="str">
        <f aca="false">IF($AB490=Constants!$B$7,IF(AA490,V490,Constants!$B$13),"")</f>
        <v/>
      </c>
      <c r="AH490" s="66" t="str">
        <f aca="false">IF($AB490=Constants!$B$7,IF(AA490,R490*IF(W490, 1, Constants!$B$11)*IF(X490, 1, Constants!$B$12),Constants!$B$13),"")</f>
        <v/>
      </c>
      <c r="AI490" s="66" t="str">
        <f aca="false">IF($AB490=Constants!$B$7,AG490*AH490,"")</f>
        <v/>
      </c>
      <c r="AJ490" s="66" t="str">
        <f aca="false">IF($AB490=Constants!$B$7,IF(AI490&gt;AF490,2,1),"")</f>
        <v/>
      </c>
      <c r="AK490" s="66" t="str">
        <f aca="false">IF($AB490=Constants!$B$7,IF(AJ490=1,2,1),"")</f>
        <v/>
      </c>
      <c r="AL490" s="66" t="str">
        <f aca="false">IF(ISBLANK($C490),"",IF($AB490&lt;&gt;Constants!$B$7,$AB490,IF(AJ490=1,AF490,AI490)))</f>
        <v/>
      </c>
      <c r="AM490" s="66" t="str">
        <f aca="false">IF(ISBLANK($C490),"",IF($AB490=Constants!$B$7,IF(ISNUMBER(AL490),RANK(AL490,$AL$8:$AL$507),Constants!$B$14),$AB490))</f>
        <v/>
      </c>
      <c r="AN490" s="66" t="str">
        <f aca="false">IF(ISBLANK($C490),"",IF($AB490=Constants!$B$7,IF(AK490=1,AF490,AI490),""))</f>
        <v/>
      </c>
      <c r="AO490" s="66" t="str">
        <f aca="false">IF(ISBLANK($C490),"",IF($AB490=Constants!$B$7,RANK(AN490,$AN$8:$AN$507),$AB490))</f>
        <v/>
      </c>
      <c r="AP490" s="66" t="str">
        <f aca="false">IF(ISBLANK($C490),"",IF($AB490=Constants!$B$7,IF(ISNUMBER(AM490),COUNTIFS($AM$8:$AM$507,"&lt;"&amp;$AM490)+COUNTIFS($AM$8:$AM$507,$AM490,$AO$8:$AO$507,"&lt;"&amp;$AO490)+1,Constants!$B$14),$AB490))</f>
        <v/>
      </c>
      <c r="AQ490" s="66" t="str">
        <f aca="false">IF(ISBLANK($C490),"",IF($AB490=Constants!$B$7,IF(ISNUMBER(AM490),AM490-AP490,Constants!$B$14),$AB490))</f>
        <v/>
      </c>
      <c r="AR490" s="68"/>
      <c r="AS490" s="69" t="str">
        <f aca="false">IF(ISBLANK($C490),"",IF($AB490&lt;&gt;Constants!$B$7,"",AJ490))</f>
        <v/>
      </c>
      <c r="AT490" s="84" t="str">
        <f aca="false">IF(ISBLANK($C490),"",IF($AB490&lt;&gt;Constants!$B$7,"",IF(AJ490=1,AD490,AG490)))</f>
        <v/>
      </c>
      <c r="AU490" s="71" t="str">
        <f aca="false">IF(ISBLANK($C490),"",IF($AB490&lt;&gt;Constants!$B$7,"",IF(AJ490=1,AE490,AH490)))</f>
        <v/>
      </c>
      <c r="AV490" s="72" t="str">
        <f aca="false">IF(ISBLANK($C490),"",IF($AB490&lt;&gt;Constants!$B$7,$AB490,AL490))</f>
        <v/>
      </c>
      <c r="AW490" s="73" t="str">
        <f aca="false">IF(ISBLANK($C490),"",IF($AB490&lt;&gt;Constants!$B$7,$AB490,AC490))</f>
        <v/>
      </c>
      <c r="AX490" s="74" t="str">
        <f aca="false">IF(ISBLANK($C490),"",AQ490)</f>
        <v/>
      </c>
      <c r="AY490" s="74" t="str">
        <f aca="false">IF(ISBLANK($C490),"",AP490)</f>
        <v/>
      </c>
      <c r="AZ490" s="75" t="str">
        <f aca="false">IF(ISBLANK($C490),"",IF(AY490=Constants!$B$4,COUNTA($C$8:$C$507)+2,IF(AY490=Constants!$B$5,COUNTA($C$8:$C$507)+1,IF(AY490=Constants!$B$6,COUNTA($C$8:$C$507),AY490))))</f>
        <v/>
      </c>
      <c r="BA490" s="5"/>
      <c r="BB490" s="76" t="n">
        <f aca="false">IF(OR(ISNUMBER(AY490),AY490=Constants!$B$4,AY490=Constants!$B$6,AY490=Constants!$B$5),1,0)</f>
        <v>0</v>
      </c>
      <c r="BC490" s="76" t="n">
        <v>483</v>
      </c>
      <c r="BD490" s="76" t="str">
        <f aca="false">IF(ISBLANK($C490),"",IF(ISNUMBER(AZ490),AZ490+ROW($B490)/1000,""))</f>
        <v/>
      </c>
      <c r="BE490" s="76" t="str">
        <f aca="false">IF(ISNUMBER(BD490),RANK(BD490,$BD$8:$BD$507,1),"")</f>
        <v/>
      </c>
      <c r="BF490" s="76" t="str">
        <f aca="false">IF(ISBLANK($C490),"",$B490)</f>
        <v/>
      </c>
      <c r="BG490" s="76" t="str">
        <f aca="false">IF(ISBLANK($C490),"",$C490)</f>
        <v/>
      </c>
      <c r="BH490" s="76" t="str">
        <f aca="false">IF(ISBLANK($C490),"",$D490)</f>
        <v/>
      </c>
      <c r="BI490" s="77" t="str">
        <f aca="false">AW490</f>
        <v/>
      </c>
      <c r="BJ490" s="78" t="str">
        <f aca="false">AV490</f>
        <v/>
      </c>
      <c r="BK490" s="76" t="str">
        <f aca="false">IF(ISBLANK($C490),"",AY490)</f>
        <v/>
      </c>
      <c r="BL490" s="79" t="str">
        <f aca="false">IF($BC490&gt;$BB$7,"",VLOOKUP($BC490,$BE$8:$BK$507,7,FALSE()))</f>
        <v/>
      </c>
      <c r="BM490" s="80" t="str">
        <f aca="false">IF($BC490&gt;$BB$7,"",VLOOKUP($BC490,$BE$8:$BK$507,2,FALSE()))</f>
        <v/>
      </c>
      <c r="BN490" s="80" t="str">
        <f aca="false">IF($BC490&gt;$BB$7,"",VLOOKUP($BC490,$BE$8:$BK$507,3,FALSE()))</f>
        <v/>
      </c>
      <c r="BO490" s="80" t="str">
        <f aca="false">IF($BC490&gt;$BB$7,"",VLOOKUP($BC490,$BE$8:$BK$507,4,FALSE()))</f>
        <v/>
      </c>
      <c r="BP490" s="80" t="str">
        <f aca="false">IF($BC490&gt;$BB$7,"",VLOOKUP($BC490,$BE$8:$BK$507,5,FALSE()))</f>
        <v/>
      </c>
      <c r="BQ490" s="81" t="str">
        <f aca="false">IF($BC490&gt;$BB$7,"",VLOOKUP($BC490,$BE$8:$BK$507,6,FALSE()))</f>
        <v/>
      </c>
      <c r="BR490" s="54"/>
    </row>
    <row r="491" customFormat="false" ht="15.75" hidden="false" customHeight="false" outlineLevel="0" collapsed="false">
      <c r="A491" s="5"/>
      <c r="B491" s="120"/>
      <c r="C491" s="121"/>
      <c r="D491" s="112"/>
      <c r="E491" s="123"/>
      <c r="F491" s="91"/>
      <c r="G491" s="92"/>
      <c r="H491" s="93"/>
      <c r="I491" s="94"/>
      <c r="J491" s="91"/>
      <c r="K491" s="92"/>
      <c r="L491" s="93"/>
      <c r="M491" s="94"/>
      <c r="N491" s="91"/>
      <c r="O491" s="123"/>
      <c r="P491" s="96"/>
      <c r="Q491" s="97" t="str">
        <f aca="false">IF(ISBLANK($C491),"",IF(E491=Constants!$B$2, TRUE(), IF(E491=Constants!$B$3, FALSE(), TRUE())))</f>
        <v/>
      </c>
      <c r="R491" s="97" t="str">
        <f aca="false">IF(ISBLANK($C491),"",IF(F491=Constants!$B$16,Constants!$B$9,IF(F491=Constants!$B$17,Constants!$B$10,Constants!$B$8)))</f>
        <v/>
      </c>
      <c r="S491" s="97" t="str">
        <f aca="false">IF(ISBLANK($C491),"",IF(COUNTA(G491:H491)=0,"",IF(AND(OR(ISBLANK(G491),AND(ISNUMBER(G491),G491&gt;=0)),OR(ISBLANK(H491),AND(ISNUMBER(H491),H491&gt;=0))),60*IF(ISBLANK(G491),0,G491)+IF(ISBLANK(H491),0,H491),"")))</f>
        <v/>
      </c>
      <c r="T491" s="97" t="str">
        <f aca="false">IF(ISBLANK($C491),"",IF(I491=Constants!$B$2, TRUE(), IF(I491=Constants!$B$3, FALSE(), TRUE())))</f>
        <v/>
      </c>
      <c r="U491" s="97" t="str">
        <f aca="false">IF(ISBLANK($C491),"",IF(J491=Constants!$B$2, TRUE(), IF(J491=Constants!$B$3, FALSE(), TRUE())))</f>
        <v/>
      </c>
      <c r="V491" s="97" t="str">
        <f aca="false">IF(ISBLANK($C491),"",IF(COUNTA(K491:L491)=0,"",IF(AND(OR(ISBLANK(K491),AND(ISNUMBER(K491),K491&gt;=0)),OR(ISBLANK(L491),AND(ISNUMBER(L491),L491&gt;=0))),60*IF(ISBLANK(K491),0,K491)+IF(ISBLANK(L491),0,L491),"")))</f>
        <v/>
      </c>
      <c r="W491" s="97" t="str">
        <f aca="false">IF(ISBLANK($C491),"",IF(M491=Constants!$B$2, TRUE(), IF(M491=Constants!$B$3, FALSE(), TRUE())))</f>
        <v/>
      </c>
      <c r="X491" s="97" t="str">
        <f aca="false">IF(ISBLANK($C491),"",IF(N491=Constants!$B$2, TRUE(), IF(N491=Constants!$B$3, FALSE(), TRUE())))</f>
        <v/>
      </c>
      <c r="Y491" s="97" t="str">
        <f aca="false">IF(ISBLANK($C491),"",IF(O491=Constants!$B$2, TRUE(), IF(O491=Constants!$B$3, FALSE(), FALSE())))</f>
        <v/>
      </c>
      <c r="Z491" s="97" t="str">
        <f aca="false">IF(ISBLANK($C491),"",AND(S491&lt;&gt;"",Q491))</f>
        <v/>
      </c>
      <c r="AA491" s="97" t="str">
        <f aca="false">IF(ISBLANK($C491),"",AND(V491&lt;&gt;"",Q491))</f>
        <v/>
      </c>
      <c r="AB491" s="97" t="str">
        <f aca="false">IF(ISBLANK($C491),"",IF(Y491,Constants!$B$4,IF(COUNTA(E491:N491)=0,Constants!$B$5,IF(NOT(Q491),Constants!$B$6,IF(AND(NOT(Z491),NOT(AA491)),Constants!$B$6,Constants!$B$7)))))</f>
        <v/>
      </c>
      <c r="AC491" s="97" t="str">
        <f aca="false">IF(ISBLANK($C491),"",IF($AB491&lt;&gt;Constants!$B$7,$AB491,Constants!$B$20))</f>
        <v/>
      </c>
      <c r="AD491" s="97" t="str">
        <f aca="false">IF($AB491=Constants!$B$7,IF(Z491,S491,Constants!$B$13),"")</f>
        <v/>
      </c>
      <c r="AE491" s="97" t="str">
        <f aca="false">IF($AB491=Constants!$B$7,IF(Z491,R491*IF(T491, 1, Constants!$B$11)*IF(U491, 1, Constants!$B$12),Constants!$B$13),"")</f>
        <v/>
      </c>
      <c r="AF491" s="97" t="str">
        <f aca="false">IF($AB491=Constants!$B$7,AD491*AE491,"")</f>
        <v/>
      </c>
      <c r="AG491" s="97" t="str">
        <f aca="false">IF($AB491=Constants!$B$7,IF(AA491,V491,Constants!$B$13),"")</f>
        <v/>
      </c>
      <c r="AH491" s="97" t="str">
        <f aca="false">IF($AB491=Constants!$B$7,IF(AA491,R491*IF(W491, 1, Constants!$B$11)*IF(X491, 1, Constants!$B$12),Constants!$B$13),"")</f>
        <v/>
      </c>
      <c r="AI491" s="97" t="str">
        <f aca="false">IF($AB491=Constants!$B$7,AG491*AH491,"")</f>
        <v/>
      </c>
      <c r="AJ491" s="97" t="str">
        <f aca="false">IF($AB491=Constants!$B$7,IF(AI491&gt;AF491,2,1),"")</f>
        <v/>
      </c>
      <c r="AK491" s="97" t="str">
        <f aca="false">IF($AB491=Constants!$B$7,IF(AJ491=1,2,1),"")</f>
        <v/>
      </c>
      <c r="AL491" s="97" t="str">
        <f aca="false">IF(ISBLANK($C491),"",IF($AB491&lt;&gt;Constants!$B$7,$AB491,IF(AJ491=1,AF491,AI491)))</f>
        <v/>
      </c>
      <c r="AM491" s="97" t="str">
        <f aca="false">IF(ISBLANK($C491),"",IF($AB491=Constants!$B$7,IF(ISNUMBER(AL491),RANK(AL491,$AL$8:$AL$507),Constants!$B$14),$AB491))</f>
        <v/>
      </c>
      <c r="AN491" s="97" t="str">
        <f aca="false">IF(ISBLANK($C491),"",IF($AB491=Constants!$B$7,IF(AK491=1,AF491,AI491),""))</f>
        <v/>
      </c>
      <c r="AO491" s="97" t="str">
        <f aca="false">IF(ISBLANK($C491),"",IF($AB491=Constants!$B$7,RANK(AN491,$AN$8:$AN$507),$AB491))</f>
        <v/>
      </c>
      <c r="AP491" s="97" t="str">
        <f aca="false">IF(ISBLANK($C491),"",IF($AB491=Constants!$B$7,IF(ISNUMBER(AM491),COUNTIFS($AM$8:$AM$507,"&lt;"&amp;$AM491)+COUNTIFS($AM$8:$AM$507,$AM491,$AO$8:$AO$507,"&lt;"&amp;$AO491)+1,Constants!$B$14),$AB491))</f>
        <v/>
      </c>
      <c r="AQ491" s="97" t="str">
        <f aca="false">IF(ISBLANK($C491),"",IF($AB491=Constants!$B$7,IF(ISNUMBER(AM491),AM491-AP491,Constants!$B$14),$AB491))</f>
        <v/>
      </c>
      <c r="AR491" s="98"/>
      <c r="AS491" s="99" t="str">
        <f aca="false">IF(ISBLANK($C491),"",IF($AB491&lt;&gt;Constants!$B$7,"",AJ491))</f>
        <v/>
      </c>
      <c r="AT491" s="100" t="str">
        <f aca="false">IF(ISBLANK($C491),"",IF($AB491&lt;&gt;Constants!$B$7,"",IF(AJ491=1,AD491,AG491)))</f>
        <v/>
      </c>
      <c r="AU491" s="101" t="str">
        <f aca="false">IF(ISBLANK($C491),"",IF($AB491&lt;&gt;Constants!$B$7,"",IF(AJ491=1,AE491,AH491)))</f>
        <v/>
      </c>
      <c r="AV491" s="102" t="str">
        <f aca="false">IF(ISBLANK($C491),"",IF($AB491&lt;&gt;Constants!$B$7,$AB491,AL491))</f>
        <v/>
      </c>
      <c r="AW491" s="103" t="str">
        <f aca="false">IF(ISBLANK($C491),"",IF($AB491&lt;&gt;Constants!$B$7,$AB491,AC491))</f>
        <v/>
      </c>
      <c r="AX491" s="104" t="str">
        <f aca="false">IF(ISBLANK($C491),"",AQ491)</f>
        <v/>
      </c>
      <c r="AY491" s="104" t="str">
        <f aca="false">IF(ISBLANK($C491),"",AP491)</f>
        <v/>
      </c>
      <c r="AZ491" s="105" t="str">
        <f aca="false">IF(ISBLANK($C491),"",IF(AY491=Constants!$B$4,COUNTA($C$8:$C$507)+2,IF(AY491=Constants!$B$5,COUNTA($C$8:$C$507)+1,IF(AY491=Constants!$B$6,COUNTA($C$8:$C$507),AY491))))</f>
        <v/>
      </c>
      <c r="BA491" s="5"/>
      <c r="BB491" s="106" t="n">
        <f aca="false">IF(OR(ISNUMBER(AY491),AY491=Constants!$B$4,AY491=Constants!$B$6,AY491=Constants!$B$5),1,0)</f>
        <v>0</v>
      </c>
      <c r="BC491" s="106" t="n">
        <v>484</v>
      </c>
      <c r="BD491" s="106" t="str">
        <f aca="false">IF(ISBLANK($C491),"",IF(ISNUMBER(AZ491),AZ491+ROW($B491)/1000,""))</f>
        <v/>
      </c>
      <c r="BE491" s="106" t="str">
        <f aca="false">IF(ISNUMBER(BD491),RANK(BD491,$BD$8:$BD$507,1),"")</f>
        <v/>
      </c>
      <c r="BF491" s="106" t="str">
        <f aca="false">IF(ISBLANK($C491),"",$B491)</f>
        <v/>
      </c>
      <c r="BG491" s="106" t="str">
        <f aca="false">IF(ISBLANK($C491),"",$C491)</f>
        <v/>
      </c>
      <c r="BH491" s="106" t="str">
        <f aca="false">IF(ISBLANK($C491),"",$D491)</f>
        <v/>
      </c>
      <c r="BI491" s="107" t="str">
        <f aca="false">AW491</f>
        <v/>
      </c>
      <c r="BJ491" s="108" t="str">
        <f aca="false">AV491</f>
        <v/>
      </c>
      <c r="BK491" s="106" t="str">
        <f aca="false">IF(ISBLANK($C491),"",AY491)</f>
        <v/>
      </c>
      <c r="BL491" s="109" t="str">
        <f aca="false">IF($BC491&gt;$BB$7,"",VLOOKUP($BC491,$BE$8:$BK$507,7,FALSE()))</f>
        <v/>
      </c>
      <c r="BM491" s="110" t="str">
        <f aca="false">IF($BC491&gt;$BB$7,"",VLOOKUP($BC491,$BE$8:$BK$507,2,FALSE()))</f>
        <v/>
      </c>
      <c r="BN491" s="110" t="str">
        <f aca="false">IF($BC491&gt;$BB$7,"",VLOOKUP($BC491,$BE$8:$BK$507,3,FALSE()))</f>
        <v/>
      </c>
      <c r="BO491" s="110" t="str">
        <f aca="false">IF($BC491&gt;$BB$7,"",VLOOKUP($BC491,$BE$8:$BK$507,4,FALSE()))</f>
        <v/>
      </c>
      <c r="BP491" s="110" t="str">
        <f aca="false">IF($BC491&gt;$BB$7,"",VLOOKUP($BC491,$BE$8:$BK$507,5,FALSE()))</f>
        <v/>
      </c>
      <c r="BQ491" s="111" t="str">
        <f aca="false">IF($BC491&gt;$BB$7,"",VLOOKUP($BC491,$BE$8:$BK$507,6,FALSE()))</f>
        <v/>
      </c>
      <c r="BR491" s="54"/>
    </row>
    <row r="492" customFormat="false" ht="15.75" hidden="false" customHeight="false" outlineLevel="0" collapsed="false">
      <c r="A492" s="5"/>
      <c r="B492" s="120"/>
      <c r="C492" s="121"/>
      <c r="D492" s="112"/>
      <c r="E492" s="123"/>
      <c r="F492" s="91"/>
      <c r="G492" s="92"/>
      <c r="H492" s="93"/>
      <c r="I492" s="94"/>
      <c r="J492" s="91"/>
      <c r="K492" s="92"/>
      <c r="L492" s="93"/>
      <c r="M492" s="94"/>
      <c r="N492" s="91"/>
      <c r="O492" s="123"/>
      <c r="P492" s="96"/>
      <c r="Q492" s="97" t="str">
        <f aca="false">IF(ISBLANK($C492),"",IF(E492=Constants!$B$2, TRUE(), IF(E492=Constants!$B$3, FALSE(), TRUE())))</f>
        <v/>
      </c>
      <c r="R492" s="97" t="str">
        <f aca="false">IF(ISBLANK($C492),"",IF(F492=Constants!$B$16,Constants!$B$9,IF(F492=Constants!$B$17,Constants!$B$10,Constants!$B$8)))</f>
        <v/>
      </c>
      <c r="S492" s="97" t="str">
        <f aca="false">IF(ISBLANK($C492),"",IF(COUNTA(G492:H492)=0,"",IF(AND(OR(ISBLANK(G492),AND(ISNUMBER(G492),G492&gt;=0)),OR(ISBLANK(H492),AND(ISNUMBER(H492),H492&gt;=0))),60*IF(ISBLANK(G492),0,G492)+IF(ISBLANK(H492),0,H492),"")))</f>
        <v/>
      </c>
      <c r="T492" s="97" t="str">
        <f aca="false">IF(ISBLANK($C492),"",IF(I492=Constants!$B$2, TRUE(), IF(I492=Constants!$B$3, FALSE(), TRUE())))</f>
        <v/>
      </c>
      <c r="U492" s="97" t="str">
        <f aca="false">IF(ISBLANK($C492),"",IF(J492=Constants!$B$2, TRUE(), IF(J492=Constants!$B$3, FALSE(), TRUE())))</f>
        <v/>
      </c>
      <c r="V492" s="97" t="str">
        <f aca="false">IF(ISBLANK($C492),"",IF(COUNTA(K492:L492)=0,"",IF(AND(OR(ISBLANK(K492),AND(ISNUMBER(K492),K492&gt;=0)),OR(ISBLANK(L492),AND(ISNUMBER(L492),L492&gt;=0))),60*IF(ISBLANK(K492),0,K492)+IF(ISBLANK(L492),0,L492),"")))</f>
        <v/>
      </c>
      <c r="W492" s="97" t="str">
        <f aca="false">IF(ISBLANK($C492),"",IF(M492=Constants!$B$2, TRUE(), IF(M492=Constants!$B$3, FALSE(), TRUE())))</f>
        <v/>
      </c>
      <c r="X492" s="97" t="str">
        <f aca="false">IF(ISBLANK($C492),"",IF(N492=Constants!$B$2, TRUE(), IF(N492=Constants!$B$3, FALSE(), TRUE())))</f>
        <v/>
      </c>
      <c r="Y492" s="97" t="str">
        <f aca="false">IF(ISBLANK($C492),"",IF(O492=Constants!$B$2, TRUE(), IF(O492=Constants!$B$3, FALSE(), FALSE())))</f>
        <v/>
      </c>
      <c r="Z492" s="97" t="str">
        <f aca="false">IF(ISBLANK($C492),"",AND(S492&lt;&gt;"",Q492))</f>
        <v/>
      </c>
      <c r="AA492" s="97" t="str">
        <f aca="false">IF(ISBLANK($C492),"",AND(V492&lt;&gt;"",Q492))</f>
        <v/>
      </c>
      <c r="AB492" s="97" t="str">
        <f aca="false">IF(ISBLANK($C492),"",IF(Y492,Constants!$B$4,IF(COUNTA(E492:N492)=0,Constants!$B$5,IF(NOT(Q492),Constants!$B$6,IF(AND(NOT(Z492),NOT(AA492)),Constants!$B$6,Constants!$B$7)))))</f>
        <v/>
      </c>
      <c r="AC492" s="97" t="str">
        <f aca="false">IF(ISBLANK($C492),"",IF($AB492&lt;&gt;Constants!$B$7,$AB492,Constants!$B$20))</f>
        <v/>
      </c>
      <c r="AD492" s="97" t="str">
        <f aca="false">IF($AB492=Constants!$B$7,IF(Z492,S492,Constants!$B$13),"")</f>
        <v/>
      </c>
      <c r="AE492" s="97" t="str">
        <f aca="false">IF($AB492=Constants!$B$7,IF(Z492,R492*IF(T492, 1, Constants!$B$11)*IF(U492, 1, Constants!$B$12),Constants!$B$13),"")</f>
        <v/>
      </c>
      <c r="AF492" s="97" t="str">
        <f aca="false">IF($AB492=Constants!$B$7,AD492*AE492,"")</f>
        <v/>
      </c>
      <c r="AG492" s="97" t="str">
        <f aca="false">IF($AB492=Constants!$B$7,IF(AA492,V492,Constants!$B$13),"")</f>
        <v/>
      </c>
      <c r="AH492" s="97" t="str">
        <f aca="false">IF($AB492=Constants!$B$7,IF(AA492,R492*IF(W492, 1, Constants!$B$11)*IF(X492, 1, Constants!$B$12),Constants!$B$13),"")</f>
        <v/>
      </c>
      <c r="AI492" s="97" t="str">
        <f aca="false">IF($AB492=Constants!$B$7,AG492*AH492,"")</f>
        <v/>
      </c>
      <c r="AJ492" s="97" t="str">
        <f aca="false">IF($AB492=Constants!$B$7,IF(AI492&gt;AF492,2,1),"")</f>
        <v/>
      </c>
      <c r="AK492" s="97" t="str">
        <f aca="false">IF($AB492=Constants!$B$7,IF(AJ492=1,2,1),"")</f>
        <v/>
      </c>
      <c r="AL492" s="97" t="str">
        <f aca="false">IF(ISBLANK($C492),"",IF($AB492&lt;&gt;Constants!$B$7,$AB492,IF(AJ492=1,AF492,AI492)))</f>
        <v/>
      </c>
      <c r="AM492" s="97" t="str">
        <f aca="false">IF(ISBLANK($C492),"",IF($AB492=Constants!$B$7,IF(ISNUMBER(AL492),RANK(AL492,$AL$8:$AL$507),Constants!$B$14),$AB492))</f>
        <v/>
      </c>
      <c r="AN492" s="97" t="str">
        <f aca="false">IF(ISBLANK($C492),"",IF($AB492=Constants!$B$7,IF(AK492=1,AF492,AI492),""))</f>
        <v/>
      </c>
      <c r="AO492" s="97" t="str">
        <f aca="false">IF(ISBLANK($C492),"",IF($AB492=Constants!$B$7,RANK(AN492,$AN$8:$AN$507),$AB492))</f>
        <v/>
      </c>
      <c r="AP492" s="97" t="str">
        <f aca="false">IF(ISBLANK($C492),"",IF($AB492=Constants!$B$7,IF(ISNUMBER(AM492),COUNTIFS($AM$8:$AM$507,"&lt;"&amp;$AM492)+COUNTIFS($AM$8:$AM$507,$AM492,$AO$8:$AO$507,"&lt;"&amp;$AO492)+1,Constants!$B$14),$AB492))</f>
        <v/>
      </c>
      <c r="AQ492" s="97" t="str">
        <f aca="false">IF(ISBLANK($C492),"",IF($AB492=Constants!$B$7,IF(ISNUMBER(AM492),AM492-AP492,Constants!$B$14),$AB492))</f>
        <v/>
      </c>
      <c r="AR492" s="98"/>
      <c r="AS492" s="99" t="str">
        <f aca="false">IF(ISBLANK($C492),"",IF($AB492&lt;&gt;Constants!$B$7,"",AJ492))</f>
        <v/>
      </c>
      <c r="AT492" s="100" t="str">
        <f aca="false">IF(ISBLANK($C492),"",IF($AB492&lt;&gt;Constants!$B$7,"",IF(AJ492=1,AD492,AG492)))</f>
        <v/>
      </c>
      <c r="AU492" s="101" t="str">
        <f aca="false">IF(ISBLANK($C492),"",IF($AB492&lt;&gt;Constants!$B$7,"",IF(AJ492=1,AE492,AH492)))</f>
        <v/>
      </c>
      <c r="AV492" s="102" t="str">
        <f aca="false">IF(ISBLANK($C492),"",IF($AB492&lt;&gt;Constants!$B$7,$AB492,AL492))</f>
        <v/>
      </c>
      <c r="AW492" s="103" t="str">
        <f aca="false">IF(ISBLANK($C492),"",IF($AB492&lt;&gt;Constants!$B$7,$AB492,AC492))</f>
        <v/>
      </c>
      <c r="AX492" s="104" t="str">
        <f aca="false">IF(ISBLANK($C492),"",AQ492)</f>
        <v/>
      </c>
      <c r="AY492" s="104" t="str">
        <f aca="false">IF(ISBLANK($C492),"",AP492)</f>
        <v/>
      </c>
      <c r="AZ492" s="105" t="str">
        <f aca="false">IF(ISBLANK($C492),"",IF(AY492=Constants!$B$4,COUNTA($C$8:$C$507)+2,IF(AY492=Constants!$B$5,COUNTA($C$8:$C$507)+1,IF(AY492=Constants!$B$6,COUNTA($C$8:$C$507),AY492))))</f>
        <v/>
      </c>
      <c r="BA492" s="5"/>
      <c r="BB492" s="106" t="n">
        <f aca="false">IF(OR(ISNUMBER(AY492),AY492=Constants!$B$4,AY492=Constants!$B$6,AY492=Constants!$B$5),1,0)</f>
        <v>0</v>
      </c>
      <c r="BC492" s="106" t="n">
        <v>485</v>
      </c>
      <c r="BD492" s="106" t="str">
        <f aca="false">IF(ISBLANK($C492),"",IF(ISNUMBER(AZ492),AZ492+ROW($B492)/1000,""))</f>
        <v/>
      </c>
      <c r="BE492" s="106" t="str">
        <f aca="false">IF(ISNUMBER(BD492),RANK(BD492,$BD$8:$BD$507,1),"")</f>
        <v/>
      </c>
      <c r="BF492" s="106" t="str">
        <f aca="false">IF(ISBLANK($C492),"",$B492)</f>
        <v/>
      </c>
      <c r="BG492" s="106" t="str">
        <f aca="false">IF(ISBLANK($C492),"",$C492)</f>
        <v/>
      </c>
      <c r="BH492" s="106" t="str">
        <f aca="false">IF(ISBLANK($C492),"",$D492)</f>
        <v/>
      </c>
      <c r="BI492" s="107" t="str">
        <f aca="false">AW492</f>
        <v/>
      </c>
      <c r="BJ492" s="108" t="str">
        <f aca="false">AV492</f>
        <v/>
      </c>
      <c r="BK492" s="106" t="str">
        <f aca="false">IF(ISBLANK($C492),"",AY492)</f>
        <v/>
      </c>
      <c r="BL492" s="109" t="str">
        <f aca="false">IF($BC492&gt;$BB$7,"",VLOOKUP($BC492,$BE$8:$BK$507,7,FALSE()))</f>
        <v/>
      </c>
      <c r="BM492" s="110" t="str">
        <f aca="false">IF($BC492&gt;$BB$7,"",VLOOKUP($BC492,$BE$8:$BK$507,2,FALSE()))</f>
        <v/>
      </c>
      <c r="BN492" s="110" t="str">
        <f aca="false">IF($BC492&gt;$BB$7,"",VLOOKUP($BC492,$BE$8:$BK$507,3,FALSE()))</f>
        <v/>
      </c>
      <c r="BO492" s="110" t="str">
        <f aca="false">IF($BC492&gt;$BB$7,"",VLOOKUP($BC492,$BE$8:$BK$507,4,FALSE()))</f>
        <v/>
      </c>
      <c r="BP492" s="110" t="str">
        <f aca="false">IF($BC492&gt;$BB$7,"",VLOOKUP($BC492,$BE$8:$BK$507,5,FALSE()))</f>
        <v/>
      </c>
      <c r="BQ492" s="111" t="str">
        <f aca="false">IF($BC492&gt;$BB$7,"",VLOOKUP($BC492,$BE$8:$BK$507,6,FALSE()))</f>
        <v/>
      </c>
      <c r="BR492" s="54"/>
    </row>
    <row r="493" customFormat="false" ht="15.75" hidden="false" customHeight="false" outlineLevel="0" collapsed="false">
      <c r="A493" s="5"/>
      <c r="B493" s="120"/>
      <c r="C493" s="121"/>
      <c r="D493" s="112"/>
      <c r="E493" s="123"/>
      <c r="F493" s="91"/>
      <c r="G493" s="92"/>
      <c r="H493" s="93"/>
      <c r="I493" s="94"/>
      <c r="J493" s="91"/>
      <c r="K493" s="92"/>
      <c r="L493" s="93"/>
      <c r="M493" s="94"/>
      <c r="N493" s="91"/>
      <c r="O493" s="123"/>
      <c r="P493" s="96"/>
      <c r="Q493" s="97" t="str">
        <f aca="false">IF(ISBLANK($C493),"",IF(E493=Constants!$B$2, TRUE(), IF(E493=Constants!$B$3, FALSE(), TRUE())))</f>
        <v/>
      </c>
      <c r="R493" s="97" t="str">
        <f aca="false">IF(ISBLANK($C493),"",IF(F493=Constants!$B$16,Constants!$B$9,IF(F493=Constants!$B$17,Constants!$B$10,Constants!$B$8)))</f>
        <v/>
      </c>
      <c r="S493" s="97" t="str">
        <f aca="false">IF(ISBLANK($C493),"",IF(COUNTA(G493:H493)=0,"",IF(AND(OR(ISBLANK(G493),AND(ISNUMBER(G493),G493&gt;=0)),OR(ISBLANK(H493),AND(ISNUMBER(H493),H493&gt;=0))),60*IF(ISBLANK(G493),0,G493)+IF(ISBLANK(H493),0,H493),"")))</f>
        <v/>
      </c>
      <c r="T493" s="97" t="str">
        <f aca="false">IF(ISBLANK($C493),"",IF(I493=Constants!$B$2, TRUE(), IF(I493=Constants!$B$3, FALSE(), TRUE())))</f>
        <v/>
      </c>
      <c r="U493" s="97" t="str">
        <f aca="false">IF(ISBLANK($C493),"",IF(J493=Constants!$B$2, TRUE(), IF(J493=Constants!$B$3, FALSE(), TRUE())))</f>
        <v/>
      </c>
      <c r="V493" s="97" t="str">
        <f aca="false">IF(ISBLANK($C493),"",IF(COUNTA(K493:L493)=0,"",IF(AND(OR(ISBLANK(K493),AND(ISNUMBER(K493),K493&gt;=0)),OR(ISBLANK(L493),AND(ISNUMBER(L493),L493&gt;=0))),60*IF(ISBLANK(K493),0,K493)+IF(ISBLANK(L493),0,L493),"")))</f>
        <v/>
      </c>
      <c r="W493" s="97" t="str">
        <f aca="false">IF(ISBLANK($C493),"",IF(M493=Constants!$B$2, TRUE(), IF(M493=Constants!$B$3, FALSE(), TRUE())))</f>
        <v/>
      </c>
      <c r="X493" s="97" t="str">
        <f aca="false">IF(ISBLANK($C493),"",IF(N493=Constants!$B$2, TRUE(), IF(N493=Constants!$B$3, FALSE(), TRUE())))</f>
        <v/>
      </c>
      <c r="Y493" s="97" t="str">
        <f aca="false">IF(ISBLANK($C493),"",IF(O493=Constants!$B$2, TRUE(), IF(O493=Constants!$B$3, FALSE(), FALSE())))</f>
        <v/>
      </c>
      <c r="Z493" s="97" t="str">
        <f aca="false">IF(ISBLANK($C493),"",AND(S493&lt;&gt;"",Q493))</f>
        <v/>
      </c>
      <c r="AA493" s="97" t="str">
        <f aca="false">IF(ISBLANK($C493),"",AND(V493&lt;&gt;"",Q493))</f>
        <v/>
      </c>
      <c r="AB493" s="97" t="str">
        <f aca="false">IF(ISBLANK($C493),"",IF(Y493,Constants!$B$4,IF(COUNTA(E493:N493)=0,Constants!$B$5,IF(NOT(Q493),Constants!$B$6,IF(AND(NOT(Z493),NOT(AA493)),Constants!$B$6,Constants!$B$7)))))</f>
        <v/>
      </c>
      <c r="AC493" s="97" t="str">
        <f aca="false">IF(ISBLANK($C493),"",IF($AB493&lt;&gt;Constants!$B$7,$AB493,Constants!$B$20))</f>
        <v/>
      </c>
      <c r="AD493" s="97" t="str">
        <f aca="false">IF($AB493=Constants!$B$7,IF(Z493,S493,Constants!$B$13),"")</f>
        <v/>
      </c>
      <c r="AE493" s="97" t="str">
        <f aca="false">IF($AB493=Constants!$B$7,IF(Z493,R493*IF(T493, 1, Constants!$B$11)*IF(U493, 1, Constants!$B$12),Constants!$B$13),"")</f>
        <v/>
      </c>
      <c r="AF493" s="97" t="str">
        <f aca="false">IF($AB493=Constants!$B$7,AD493*AE493,"")</f>
        <v/>
      </c>
      <c r="AG493" s="97" t="str">
        <f aca="false">IF($AB493=Constants!$B$7,IF(AA493,V493,Constants!$B$13),"")</f>
        <v/>
      </c>
      <c r="AH493" s="97" t="str">
        <f aca="false">IF($AB493=Constants!$B$7,IF(AA493,R493*IF(W493, 1, Constants!$B$11)*IF(X493, 1, Constants!$B$12),Constants!$B$13),"")</f>
        <v/>
      </c>
      <c r="AI493" s="97" t="str">
        <f aca="false">IF($AB493=Constants!$B$7,AG493*AH493,"")</f>
        <v/>
      </c>
      <c r="AJ493" s="97" t="str">
        <f aca="false">IF($AB493=Constants!$B$7,IF(AI493&gt;AF493,2,1),"")</f>
        <v/>
      </c>
      <c r="AK493" s="97" t="str">
        <f aca="false">IF($AB493=Constants!$B$7,IF(AJ493=1,2,1),"")</f>
        <v/>
      </c>
      <c r="AL493" s="97" t="str">
        <f aca="false">IF(ISBLANK($C493),"",IF($AB493&lt;&gt;Constants!$B$7,$AB493,IF(AJ493=1,AF493,AI493)))</f>
        <v/>
      </c>
      <c r="AM493" s="97" t="str">
        <f aca="false">IF(ISBLANK($C493),"",IF($AB493=Constants!$B$7,IF(ISNUMBER(AL493),RANK(AL493,$AL$8:$AL$507),Constants!$B$14),$AB493))</f>
        <v/>
      </c>
      <c r="AN493" s="97" t="str">
        <f aca="false">IF(ISBLANK($C493),"",IF($AB493=Constants!$B$7,IF(AK493=1,AF493,AI493),""))</f>
        <v/>
      </c>
      <c r="AO493" s="97" t="str">
        <f aca="false">IF(ISBLANK($C493),"",IF($AB493=Constants!$B$7,RANK(AN493,$AN$8:$AN$507),$AB493))</f>
        <v/>
      </c>
      <c r="AP493" s="97" t="str">
        <f aca="false">IF(ISBLANK($C493),"",IF($AB493=Constants!$B$7,IF(ISNUMBER(AM493),COUNTIFS($AM$8:$AM$507,"&lt;"&amp;$AM493)+COUNTIFS($AM$8:$AM$507,$AM493,$AO$8:$AO$507,"&lt;"&amp;$AO493)+1,Constants!$B$14),$AB493))</f>
        <v/>
      </c>
      <c r="AQ493" s="97" t="str">
        <f aca="false">IF(ISBLANK($C493),"",IF($AB493=Constants!$B$7,IF(ISNUMBER(AM493),AM493-AP493,Constants!$B$14),$AB493))</f>
        <v/>
      </c>
      <c r="AR493" s="98"/>
      <c r="AS493" s="99" t="str">
        <f aca="false">IF(ISBLANK($C493),"",IF($AB493&lt;&gt;Constants!$B$7,"",AJ493))</f>
        <v/>
      </c>
      <c r="AT493" s="100" t="str">
        <f aca="false">IF(ISBLANK($C493),"",IF($AB493&lt;&gt;Constants!$B$7,"",IF(AJ493=1,AD493,AG493)))</f>
        <v/>
      </c>
      <c r="AU493" s="101" t="str">
        <f aca="false">IF(ISBLANK($C493),"",IF($AB493&lt;&gt;Constants!$B$7,"",IF(AJ493=1,AE493,AH493)))</f>
        <v/>
      </c>
      <c r="AV493" s="102" t="str">
        <f aca="false">IF(ISBLANK($C493),"",IF($AB493&lt;&gt;Constants!$B$7,$AB493,AL493))</f>
        <v/>
      </c>
      <c r="AW493" s="103" t="str">
        <f aca="false">IF(ISBLANK($C493),"",IF($AB493&lt;&gt;Constants!$B$7,$AB493,AC493))</f>
        <v/>
      </c>
      <c r="AX493" s="104" t="str">
        <f aca="false">IF(ISBLANK($C493),"",AQ493)</f>
        <v/>
      </c>
      <c r="AY493" s="104" t="str">
        <f aca="false">IF(ISBLANK($C493),"",AP493)</f>
        <v/>
      </c>
      <c r="AZ493" s="105" t="str">
        <f aca="false">IF(ISBLANK($C493),"",IF(AY493=Constants!$B$4,COUNTA($C$8:$C$507)+2,IF(AY493=Constants!$B$5,COUNTA($C$8:$C$507)+1,IF(AY493=Constants!$B$6,COUNTA($C$8:$C$507),AY493))))</f>
        <v/>
      </c>
      <c r="BA493" s="5"/>
      <c r="BB493" s="106" t="n">
        <f aca="false">IF(OR(ISNUMBER(AY493),AY493=Constants!$B$4,AY493=Constants!$B$6,AY493=Constants!$B$5),1,0)</f>
        <v>0</v>
      </c>
      <c r="BC493" s="106" t="n">
        <v>486</v>
      </c>
      <c r="BD493" s="106" t="str">
        <f aca="false">IF(ISBLANK($C493),"",IF(ISNUMBER(AZ493),AZ493+ROW($B493)/1000,""))</f>
        <v/>
      </c>
      <c r="BE493" s="106" t="str">
        <f aca="false">IF(ISNUMBER(BD493),RANK(BD493,$BD$8:$BD$507,1),"")</f>
        <v/>
      </c>
      <c r="BF493" s="106" t="str">
        <f aca="false">IF(ISBLANK($C493),"",$B493)</f>
        <v/>
      </c>
      <c r="BG493" s="106" t="str">
        <f aca="false">IF(ISBLANK($C493),"",$C493)</f>
        <v/>
      </c>
      <c r="BH493" s="106" t="str">
        <f aca="false">IF(ISBLANK($C493),"",$D493)</f>
        <v/>
      </c>
      <c r="BI493" s="107" t="str">
        <f aca="false">AW493</f>
        <v/>
      </c>
      <c r="BJ493" s="108" t="str">
        <f aca="false">AV493</f>
        <v/>
      </c>
      <c r="BK493" s="106" t="str">
        <f aca="false">IF(ISBLANK($C493),"",AY493)</f>
        <v/>
      </c>
      <c r="BL493" s="109" t="str">
        <f aca="false">IF($BC493&gt;$BB$7,"",VLOOKUP($BC493,$BE$8:$BK$507,7,FALSE()))</f>
        <v/>
      </c>
      <c r="BM493" s="110" t="str">
        <f aca="false">IF($BC493&gt;$BB$7,"",VLOOKUP($BC493,$BE$8:$BK$507,2,FALSE()))</f>
        <v/>
      </c>
      <c r="BN493" s="110" t="str">
        <f aca="false">IF($BC493&gt;$BB$7,"",VLOOKUP($BC493,$BE$8:$BK$507,3,FALSE()))</f>
        <v/>
      </c>
      <c r="BO493" s="110" t="str">
        <f aca="false">IF($BC493&gt;$BB$7,"",VLOOKUP($BC493,$BE$8:$BK$507,4,FALSE()))</f>
        <v/>
      </c>
      <c r="BP493" s="110" t="str">
        <f aca="false">IF($BC493&gt;$BB$7,"",VLOOKUP($BC493,$BE$8:$BK$507,5,FALSE()))</f>
        <v/>
      </c>
      <c r="BQ493" s="111" t="str">
        <f aca="false">IF($BC493&gt;$BB$7,"",VLOOKUP($BC493,$BE$8:$BK$507,6,FALSE()))</f>
        <v/>
      </c>
      <c r="BR493" s="54"/>
    </row>
    <row r="494" customFormat="false" ht="15.75" hidden="false" customHeight="false" outlineLevel="0" collapsed="false">
      <c r="A494" s="5"/>
      <c r="B494" s="124"/>
      <c r="C494" s="56"/>
      <c r="D494" s="57"/>
      <c r="E494" s="83"/>
      <c r="F494" s="59"/>
      <c r="G494" s="60"/>
      <c r="H494" s="61"/>
      <c r="I494" s="62"/>
      <c r="J494" s="59"/>
      <c r="K494" s="60"/>
      <c r="L494" s="61"/>
      <c r="M494" s="62"/>
      <c r="N494" s="59"/>
      <c r="O494" s="83"/>
      <c r="P494" s="64"/>
      <c r="Q494" s="66" t="str">
        <f aca="false">IF(ISBLANK($C494),"",IF(E494=Constants!$B$2, TRUE(), IF(E494=Constants!$B$3, FALSE(), TRUE())))</f>
        <v/>
      </c>
      <c r="R494" s="66" t="str">
        <f aca="false">IF(ISBLANK($C494),"",IF(F494=Constants!$B$16,Constants!$B$9,IF(F494=Constants!$B$17,Constants!$B$10,Constants!$B$8)))</f>
        <v/>
      </c>
      <c r="S494" s="66" t="str">
        <f aca="false">IF(ISBLANK($C494),"",IF(COUNTA(G494:H494)=0,"",IF(AND(OR(ISBLANK(G494),AND(ISNUMBER(G494),G494&gt;=0)),OR(ISBLANK(H494),AND(ISNUMBER(H494),H494&gt;=0))),60*IF(ISBLANK(G494),0,G494)+IF(ISBLANK(H494),0,H494),"")))</f>
        <v/>
      </c>
      <c r="T494" s="66" t="str">
        <f aca="false">IF(ISBLANK($C494),"",IF(I494=Constants!$B$2, TRUE(), IF(I494=Constants!$B$3, FALSE(), TRUE())))</f>
        <v/>
      </c>
      <c r="U494" s="66" t="str">
        <f aca="false">IF(ISBLANK($C494),"",IF(J494=Constants!$B$2, TRUE(), IF(J494=Constants!$B$3, FALSE(), TRUE())))</f>
        <v/>
      </c>
      <c r="V494" s="66" t="str">
        <f aca="false">IF(ISBLANK($C494),"",IF(COUNTA(K494:L494)=0,"",IF(AND(OR(ISBLANK(K494),AND(ISNUMBER(K494),K494&gt;=0)),OR(ISBLANK(L494),AND(ISNUMBER(L494),L494&gt;=0))),60*IF(ISBLANK(K494),0,K494)+IF(ISBLANK(L494),0,L494),"")))</f>
        <v/>
      </c>
      <c r="W494" s="66" t="str">
        <f aca="false">IF(ISBLANK($C494),"",IF(M494=Constants!$B$2, TRUE(), IF(M494=Constants!$B$3, FALSE(), TRUE())))</f>
        <v/>
      </c>
      <c r="X494" s="66" t="str">
        <f aca="false">IF(ISBLANK($C494),"",IF(N494=Constants!$B$2, TRUE(), IF(N494=Constants!$B$3, FALSE(), TRUE())))</f>
        <v/>
      </c>
      <c r="Y494" s="66" t="str">
        <f aca="false">IF(ISBLANK($C494),"",IF(O494=Constants!$B$2, TRUE(), IF(O494=Constants!$B$3, FALSE(), FALSE())))</f>
        <v/>
      </c>
      <c r="Z494" s="66" t="str">
        <f aca="false">IF(ISBLANK($C494),"",AND(S494&lt;&gt;"",Q494))</f>
        <v/>
      </c>
      <c r="AA494" s="66" t="str">
        <f aca="false">IF(ISBLANK($C494),"",AND(V494&lt;&gt;"",Q494))</f>
        <v/>
      </c>
      <c r="AB494" s="66" t="str">
        <f aca="false">IF(ISBLANK($C494),"",IF(Y494,Constants!$B$4,IF(COUNTA(E494:N494)=0,Constants!$B$5,IF(NOT(Q494),Constants!$B$6,IF(AND(NOT(Z494),NOT(AA494)),Constants!$B$6,Constants!$B$7)))))</f>
        <v/>
      </c>
      <c r="AC494" s="66" t="str">
        <f aca="false">IF(ISBLANK($C494),"",IF($AB494&lt;&gt;Constants!$B$7,$AB494,Constants!$B$20))</f>
        <v/>
      </c>
      <c r="AD494" s="66" t="str">
        <f aca="false">IF($AB494=Constants!$B$7,IF(Z494,S494,Constants!$B$13),"")</f>
        <v/>
      </c>
      <c r="AE494" s="66" t="str">
        <f aca="false">IF($AB494=Constants!$B$7,IF(Z494,R494*IF(T494, 1, Constants!$B$11)*IF(U494, 1, Constants!$B$12),Constants!$B$13),"")</f>
        <v/>
      </c>
      <c r="AF494" s="66" t="str">
        <f aca="false">IF($AB494=Constants!$B$7,AD494*AE494,"")</f>
        <v/>
      </c>
      <c r="AG494" s="66" t="str">
        <f aca="false">IF($AB494=Constants!$B$7,IF(AA494,V494,Constants!$B$13),"")</f>
        <v/>
      </c>
      <c r="AH494" s="66" t="str">
        <f aca="false">IF($AB494=Constants!$B$7,IF(AA494,R494*IF(W494, 1, Constants!$B$11)*IF(X494, 1, Constants!$B$12),Constants!$B$13),"")</f>
        <v/>
      </c>
      <c r="AI494" s="66" t="str">
        <f aca="false">IF($AB494=Constants!$B$7,AG494*AH494,"")</f>
        <v/>
      </c>
      <c r="AJ494" s="66" t="str">
        <f aca="false">IF($AB494=Constants!$B$7,IF(AI494&gt;AF494,2,1),"")</f>
        <v/>
      </c>
      <c r="AK494" s="66" t="str">
        <f aca="false">IF($AB494=Constants!$B$7,IF(AJ494=1,2,1),"")</f>
        <v/>
      </c>
      <c r="AL494" s="66" t="str">
        <f aca="false">IF(ISBLANK($C494),"",IF($AB494&lt;&gt;Constants!$B$7,$AB494,IF(AJ494=1,AF494,AI494)))</f>
        <v/>
      </c>
      <c r="AM494" s="66" t="str">
        <f aca="false">IF(ISBLANK($C494),"",IF($AB494=Constants!$B$7,IF(ISNUMBER(AL494),RANK(AL494,$AL$8:$AL$507),Constants!$B$14),$AB494))</f>
        <v/>
      </c>
      <c r="AN494" s="66" t="str">
        <f aca="false">IF(ISBLANK($C494),"",IF($AB494=Constants!$B$7,IF(AK494=1,AF494,AI494),""))</f>
        <v/>
      </c>
      <c r="AO494" s="66" t="str">
        <f aca="false">IF(ISBLANK($C494),"",IF($AB494=Constants!$B$7,RANK(AN494,$AN$8:$AN$507),$AB494))</f>
        <v/>
      </c>
      <c r="AP494" s="66" t="str">
        <f aca="false">IF(ISBLANK($C494),"",IF($AB494=Constants!$B$7,IF(ISNUMBER(AM494),COUNTIFS($AM$8:$AM$507,"&lt;"&amp;$AM494)+COUNTIFS($AM$8:$AM$507,$AM494,$AO$8:$AO$507,"&lt;"&amp;$AO494)+1,Constants!$B$14),$AB494))</f>
        <v/>
      </c>
      <c r="AQ494" s="66" t="str">
        <f aca="false">IF(ISBLANK($C494),"",IF($AB494=Constants!$B$7,IF(ISNUMBER(AM494),AM494-AP494,Constants!$B$14),$AB494))</f>
        <v/>
      </c>
      <c r="AR494" s="68"/>
      <c r="AS494" s="69" t="str">
        <f aca="false">IF(ISBLANK($C494),"",IF($AB494&lt;&gt;Constants!$B$7,"",AJ494))</f>
        <v/>
      </c>
      <c r="AT494" s="84" t="str">
        <f aca="false">IF(ISBLANK($C494),"",IF($AB494&lt;&gt;Constants!$B$7,"",IF(AJ494=1,AD494,AG494)))</f>
        <v/>
      </c>
      <c r="AU494" s="71" t="str">
        <f aca="false">IF(ISBLANK($C494),"",IF($AB494&lt;&gt;Constants!$B$7,"",IF(AJ494=1,AE494,AH494)))</f>
        <v/>
      </c>
      <c r="AV494" s="72" t="str">
        <f aca="false">IF(ISBLANK($C494),"",IF($AB494&lt;&gt;Constants!$B$7,$AB494,AL494))</f>
        <v/>
      </c>
      <c r="AW494" s="73" t="str">
        <f aca="false">IF(ISBLANK($C494),"",IF($AB494&lt;&gt;Constants!$B$7,$AB494,AC494))</f>
        <v/>
      </c>
      <c r="AX494" s="74" t="str">
        <f aca="false">IF(ISBLANK($C494),"",AQ494)</f>
        <v/>
      </c>
      <c r="AY494" s="74" t="str">
        <f aca="false">IF(ISBLANK($C494),"",AP494)</f>
        <v/>
      </c>
      <c r="AZ494" s="75" t="str">
        <f aca="false">IF(ISBLANK($C494),"",IF(AY494=Constants!$B$4,COUNTA($C$8:$C$507)+2,IF(AY494=Constants!$B$5,COUNTA($C$8:$C$507)+1,IF(AY494=Constants!$B$6,COUNTA($C$8:$C$507),AY494))))</f>
        <v/>
      </c>
      <c r="BA494" s="5"/>
      <c r="BB494" s="76" t="n">
        <f aca="false">IF(OR(ISNUMBER(AY494),AY494=Constants!$B$4,AY494=Constants!$B$6,AY494=Constants!$B$5),1,0)</f>
        <v>0</v>
      </c>
      <c r="BC494" s="76" t="n">
        <v>487</v>
      </c>
      <c r="BD494" s="76" t="str">
        <f aca="false">IF(ISBLANK($C494),"",IF(ISNUMBER(AZ494),AZ494+ROW($B494)/1000,""))</f>
        <v/>
      </c>
      <c r="BE494" s="76" t="str">
        <f aca="false">IF(ISNUMBER(BD494),RANK(BD494,$BD$8:$BD$507,1),"")</f>
        <v/>
      </c>
      <c r="BF494" s="76" t="str">
        <f aca="false">IF(ISBLANK($C494),"",$B494)</f>
        <v/>
      </c>
      <c r="BG494" s="76" t="str">
        <f aca="false">IF(ISBLANK($C494),"",$C494)</f>
        <v/>
      </c>
      <c r="BH494" s="76" t="str">
        <f aca="false">IF(ISBLANK($C494),"",$D494)</f>
        <v/>
      </c>
      <c r="BI494" s="77" t="str">
        <f aca="false">AW494</f>
        <v/>
      </c>
      <c r="BJ494" s="78" t="str">
        <f aca="false">AV494</f>
        <v/>
      </c>
      <c r="BK494" s="76" t="str">
        <f aca="false">IF(ISBLANK($C494),"",AY494)</f>
        <v/>
      </c>
      <c r="BL494" s="79" t="str">
        <f aca="false">IF($BC494&gt;$BB$7,"",VLOOKUP($BC494,$BE$8:$BK$507,7,FALSE()))</f>
        <v/>
      </c>
      <c r="BM494" s="80" t="str">
        <f aca="false">IF($BC494&gt;$BB$7,"",VLOOKUP($BC494,$BE$8:$BK$507,2,FALSE()))</f>
        <v/>
      </c>
      <c r="BN494" s="80" t="str">
        <f aca="false">IF($BC494&gt;$BB$7,"",VLOOKUP($BC494,$BE$8:$BK$507,3,FALSE()))</f>
        <v/>
      </c>
      <c r="BO494" s="80" t="str">
        <f aca="false">IF($BC494&gt;$BB$7,"",VLOOKUP($BC494,$BE$8:$BK$507,4,FALSE()))</f>
        <v/>
      </c>
      <c r="BP494" s="80" t="str">
        <f aca="false">IF($BC494&gt;$BB$7,"",VLOOKUP($BC494,$BE$8:$BK$507,5,FALSE()))</f>
        <v/>
      </c>
      <c r="BQ494" s="81" t="str">
        <f aca="false">IF($BC494&gt;$BB$7,"",VLOOKUP($BC494,$BE$8:$BK$507,6,FALSE()))</f>
        <v/>
      </c>
      <c r="BR494" s="54"/>
    </row>
    <row r="495" customFormat="false" ht="15.75" hidden="false" customHeight="false" outlineLevel="0" collapsed="false">
      <c r="A495" s="5"/>
      <c r="B495" s="124"/>
      <c r="C495" s="56"/>
      <c r="D495" s="57"/>
      <c r="E495" s="83"/>
      <c r="F495" s="59"/>
      <c r="G495" s="60"/>
      <c r="H495" s="61"/>
      <c r="I495" s="62"/>
      <c r="J495" s="59"/>
      <c r="K495" s="60"/>
      <c r="L495" s="61"/>
      <c r="M495" s="62"/>
      <c r="N495" s="59"/>
      <c r="O495" s="83"/>
      <c r="P495" s="64"/>
      <c r="Q495" s="66" t="str">
        <f aca="false">IF(ISBLANK($C495),"",IF(E495=Constants!$B$2, TRUE(), IF(E495=Constants!$B$3, FALSE(), TRUE())))</f>
        <v/>
      </c>
      <c r="R495" s="66" t="str">
        <f aca="false">IF(ISBLANK($C495),"",IF(F495=Constants!$B$16,Constants!$B$9,IF(F495=Constants!$B$17,Constants!$B$10,Constants!$B$8)))</f>
        <v/>
      </c>
      <c r="S495" s="66" t="str">
        <f aca="false">IF(ISBLANK($C495),"",IF(COUNTA(G495:H495)=0,"",IF(AND(OR(ISBLANK(G495),AND(ISNUMBER(G495),G495&gt;=0)),OR(ISBLANK(H495),AND(ISNUMBER(H495),H495&gt;=0))),60*IF(ISBLANK(G495),0,G495)+IF(ISBLANK(H495),0,H495),"")))</f>
        <v/>
      </c>
      <c r="T495" s="66" t="str">
        <f aca="false">IF(ISBLANK($C495),"",IF(I495=Constants!$B$2, TRUE(), IF(I495=Constants!$B$3, FALSE(), TRUE())))</f>
        <v/>
      </c>
      <c r="U495" s="66" t="str">
        <f aca="false">IF(ISBLANK($C495),"",IF(J495=Constants!$B$2, TRUE(), IF(J495=Constants!$B$3, FALSE(), TRUE())))</f>
        <v/>
      </c>
      <c r="V495" s="66" t="str">
        <f aca="false">IF(ISBLANK($C495),"",IF(COUNTA(K495:L495)=0,"",IF(AND(OR(ISBLANK(K495),AND(ISNUMBER(K495),K495&gt;=0)),OR(ISBLANK(L495),AND(ISNUMBER(L495),L495&gt;=0))),60*IF(ISBLANK(K495),0,K495)+IF(ISBLANK(L495),0,L495),"")))</f>
        <v/>
      </c>
      <c r="W495" s="66" t="str">
        <f aca="false">IF(ISBLANK($C495),"",IF(M495=Constants!$B$2, TRUE(), IF(M495=Constants!$B$3, FALSE(), TRUE())))</f>
        <v/>
      </c>
      <c r="X495" s="66" t="str">
        <f aca="false">IF(ISBLANK($C495),"",IF(N495=Constants!$B$2, TRUE(), IF(N495=Constants!$B$3, FALSE(), TRUE())))</f>
        <v/>
      </c>
      <c r="Y495" s="66" t="str">
        <f aca="false">IF(ISBLANK($C495),"",IF(O495=Constants!$B$2, TRUE(), IF(O495=Constants!$B$3, FALSE(), FALSE())))</f>
        <v/>
      </c>
      <c r="Z495" s="66" t="str">
        <f aca="false">IF(ISBLANK($C495),"",AND(S495&lt;&gt;"",Q495))</f>
        <v/>
      </c>
      <c r="AA495" s="66" t="str">
        <f aca="false">IF(ISBLANK($C495),"",AND(V495&lt;&gt;"",Q495))</f>
        <v/>
      </c>
      <c r="AB495" s="66" t="str">
        <f aca="false">IF(ISBLANK($C495),"",IF(Y495,Constants!$B$4,IF(COUNTA(E495:N495)=0,Constants!$B$5,IF(NOT(Q495),Constants!$B$6,IF(AND(NOT(Z495),NOT(AA495)),Constants!$B$6,Constants!$B$7)))))</f>
        <v/>
      </c>
      <c r="AC495" s="66" t="str">
        <f aca="false">IF(ISBLANK($C495),"",IF($AB495&lt;&gt;Constants!$B$7,$AB495,Constants!$B$20))</f>
        <v/>
      </c>
      <c r="AD495" s="66" t="str">
        <f aca="false">IF($AB495=Constants!$B$7,IF(Z495,S495,Constants!$B$13),"")</f>
        <v/>
      </c>
      <c r="AE495" s="66" t="str">
        <f aca="false">IF($AB495=Constants!$B$7,IF(Z495,R495*IF(T495, 1, Constants!$B$11)*IF(U495, 1, Constants!$B$12),Constants!$B$13),"")</f>
        <v/>
      </c>
      <c r="AF495" s="66" t="str">
        <f aca="false">IF($AB495=Constants!$B$7,AD495*AE495,"")</f>
        <v/>
      </c>
      <c r="AG495" s="66" t="str">
        <f aca="false">IF($AB495=Constants!$B$7,IF(AA495,V495,Constants!$B$13),"")</f>
        <v/>
      </c>
      <c r="AH495" s="66" t="str">
        <f aca="false">IF($AB495=Constants!$B$7,IF(AA495,R495*IF(W495, 1, Constants!$B$11)*IF(X495, 1, Constants!$B$12),Constants!$B$13),"")</f>
        <v/>
      </c>
      <c r="AI495" s="66" t="str">
        <f aca="false">IF($AB495=Constants!$B$7,AG495*AH495,"")</f>
        <v/>
      </c>
      <c r="AJ495" s="66" t="str">
        <f aca="false">IF($AB495=Constants!$B$7,IF(AI495&gt;AF495,2,1),"")</f>
        <v/>
      </c>
      <c r="AK495" s="66" t="str">
        <f aca="false">IF($AB495=Constants!$B$7,IF(AJ495=1,2,1),"")</f>
        <v/>
      </c>
      <c r="AL495" s="66" t="str">
        <f aca="false">IF(ISBLANK($C495),"",IF($AB495&lt;&gt;Constants!$B$7,$AB495,IF(AJ495=1,AF495,AI495)))</f>
        <v/>
      </c>
      <c r="AM495" s="66" t="str">
        <f aca="false">IF(ISBLANK($C495),"",IF($AB495=Constants!$B$7,IF(ISNUMBER(AL495),RANK(AL495,$AL$8:$AL$507),Constants!$B$14),$AB495))</f>
        <v/>
      </c>
      <c r="AN495" s="66" t="str">
        <f aca="false">IF(ISBLANK($C495),"",IF($AB495=Constants!$B$7,IF(AK495=1,AF495,AI495),""))</f>
        <v/>
      </c>
      <c r="AO495" s="66" t="str">
        <f aca="false">IF(ISBLANK($C495),"",IF($AB495=Constants!$B$7,RANK(AN495,$AN$8:$AN$507),$AB495))</f>
        <v/>
      </c>
      <c r="AP495" s="66" t="str">
        <f aca="false">IF(ISBLANK($C495),"",IF($AB495=Constants!$B$7,IF(ISNUMBER(AM495),COUNTIFS($AM$8:$AM$507,"&lt;"&amp;$AM495)+COUNTIFS($AM$8:$AM$507,$AM495,$AO$8:$AO$507,"&lt;"&amp;$AO495)+1,Constants!$B$14),$AB495))</f>
        <v/>
      </c>
      <c r="AQ495" s="66" t="str">
        <f aca="false">IF(ISBLANK($C495),"",IF($AB495=Constants!$B$7,IF(ISNUMBER(AM495),AM495-AP495,Constants!$B$14),$AB495))</f>
        <v/>
      </c>
      <c r="AR495" s="68"/>
      <c r="AS495" s="69" t="str">
        <f aca="false">IF(ISBLANK($C495),"",IF($AB495&lt;&gt;Constants!$B$7,"",AJ495))</f>
        <v/>
      </c>
      <c r="AT495" s="84" t="str">
        <f aca="false">IF(ISBLANK($C495),"",IF($AB495&lt;&gt;Constants!$B$7,"",IF(AJ495=1,AD495,AG495)))</f>
        <v/>
      </c>
      <c r="AU495" s="71" t="str">
        <f aca="false">IF(ISBLANK($C495),"",IF($AB495&lt;&gt;Constants!$B$7,"",IF(AJ495=1,AE495,AH495)))</f>
        <v/>
      </c>
      <c r="AV495" s="72" t="str">
        <f aca="false">IF(ISBLANK($C495),"",IF($AB495&lt;&gt;Constants!$B$7,$AB495,AL495))</f>
        <v/>
      </c>
      <c r="AW495" s="73" t="str">
        <f aca="false">IF(ISBLANK($C495),"",IF($AB495&lt;&gt;Constants!$B$7,$AB495,AC495))</f>
        <v/>
      </c>
      <c r="AX495" s="74" t="str">
        <f aca="false">IF(ISBLANK($C495),"",AQ495)</f>
        <v/>
      </c>
      <c r="AY495" s="74" t="str">
        <f aca="false">IF(ISBLANK($C495),"",AP495)</f>
        <v/>
      </c>
      <c r="AZ495" s="75" t="str">
        <f aca="false">IF(ISBLANK($C495),"",IF(AY495=Constants!$B$4,COUNTA($C$8:$C$507)+2,IF(AY495=Constants!$B$5,COUNTA($C$8:$C$507)+1,IF(AY495=Constants!$B$6,COUNTA($C$8:$C$507),AY495))))</f>
        <v/>
      </c>
      <c r="BA495" s="5"/>
      <c r="BB495" s="76" t="n">
        <f aca="false">IF(OR(ISNUMBER(AY495),AY495=Constants!$B$4,AY495=Constants!$B$6,AY495=Constants!$B$5),1,0)</f>
        <v>0</v>
      </c>
      <c r="BC495" s="76" t="n">
        <v>488</v>
      </c>
      <c r="BD495" s="76" t="str">
        <f aca="false">IF(ISBLANK($C495),"",IF(ISNUMBER(AZ495),AZ495+ROW($B495)/1000,""))</f>
        <v/>
      </c>
      <c r="BE495" s="76" t="str">
        <f aca="false">IF(ISNUMBER(BD495),RANK(BD495,$BD$8:$BD$507,1),"")</f>
        <v/>
      </c>
      <c r="BF495" s="76" t="str">
        <f aca="false">IF(ISBLANK($C495),"",$B495)</f>
        <v/>
      </c>
      <c r="BG495" s="76" t="str">
        <f aca="false">IF(ISBLANK($C495),"",$C495)</f>
        <v/>
      </c>
      <c r="BH495" s="76" t="str">
        <f aca="false">IF(ISBLANK($C495),"",$D495)</f>
        <v/>
      </c>
      <c r="BI495" s="77" t="str">
        <f aca="false">AW495</f>
        <v/>
      </c>
      <c r="BJ495" s="78" t="str">
        <f aca="false">AV495</f>
        <v/>
      </c>
      <c r="BK495" s="76" t="str">
        <f aca="false">IF(ISBLANK($C495),"",AY495)</f>
        <v/>
      </c>
      <c r="BL495" s="79" t="str">
        <f aca="false">IF($BC495&gt;$BB$7,"",VLOOKUP($BC495,$BE$8:$BK$507,7,FALSE()))</f>
        <v/>
      </c>
      <c r="BM495" s="80" t="str">
        <f aca="false">IF($BC495&gt;$BB$7,"",VLOOKUP($BC495,$BE$8:$BK$507,2,FALSE()))</f>
        <v/>
      </c>
      <c r="BN495" s="80" t="str">
        <f aca="false">IF($BC495&gt;$BB$7,"",VLOOKUP($BC495,$BE$8:$BK$507,3,FALSE()))</f>
        <v/>
      </c>
      <c r="BO495" s="80" t="str">
        <f aca="false">IF($BC495&gt;$BB$7,"",VLOOKUP($BC495,$BE$8:$BK$507,4,FALSE()))</f>
        <v/>
      </c>
      <c r="BP495" s="80" t="str">
        <f aca="false">IF($BC495&gt;$BB$7,"",VLOOKUP($BC495,$BE$8:$BK$507,5,FALSE()))</f>
        <v/>
      </c>
      <c r="BQ495" s="81" t="str">
        <f aca="false">IF($BC495&gt;$BB$7,"",VLOOKUP($BC495,$BE$8:$BK$507,6,FALSE()))</f>
        <v/>
      </c>
      <c r="BR495" s="54"/>
    </row>
    <row r="496" customFormat="false" ht="15.75" hidden="false" customHeight="false" outlineLevel="0" collapsed="false">
      <c r="A496" s="5"/>
      <c r="B496" s="124"/>
      <c r="C496" s="56"/>
      <c r="D496" s="57"/>
      <c r="E496" s="83"/>
      <c r="F496" s="59"/>
      <c r="G496" s="60"/>
      <c r="H496" s="61"/>
      <c r="I496" s="62"/>
      <c r="J496" s="59"/>
      <c r="K496" s="60"/>
      <c r="L496" s="61"/>
      <c r="M496" s="62"/>
      <c r="N496" s="59"/>
      <c r="O496" s="83"/>
      <c r="P496" s="64"/>
      <c r="Q496" s="66" t="str">
        <f aca="false">IF(ISBLANK($C496),"",IF(E496=Constants!$B$2, TRUE(), IF(E496=Constants!$B$3, FALSE(), TRUE())))</f>
        <v/>
      </c>
      <c r="R496" s="66" t="str">
        <f aca="false">IF(ISBLANK($C496),"",IF(F496=Constants!$B$16,Constants!$B$9,IF(F496=Constants!$B$17,Constants!$B$10,Constants!$B$8)))</f>
        <v/>
      </c>
      <c r="S496" s="66" t="str">
        <f aca="false">IF(ISBLANK($C496),"",IF(COUNTA(G496:H496)=0,"",IF(AND(OR(ISBLANK(G496),AND(ISNUMBER(G496),G496&gt;=0)),OR(ISBLANK(H496),AND(ISNUMBER(H496),H496&gt;=0))),60*IF(ISBLANK(G496),0,G496)+IF(ISBLANK(H496),0,H496),"")))</f>
        <v/>
      </c>
      <c r="T496" s="66" t="str">
        <f aca="false">IF(ISBLANK($C496),"",IF(I496=Constants!$B$2, TRUE(), IF(I496=Constants!$B$3, FALSE(), TRUE())))</f>
        <v/>
      </c>
      <c r="U496" s="66" t="str">
        <f aca="false">IF(ISBLANK($C496),"",IF(J496=Constants!$B$2, TRUE(), IF(J496=Constants!$B$3, FALSE(), TRUE())))</f>
        <v/>
      </c>
      <c r="V496" s="66" t="str">
        <f aca="false">IF(ISBLANK($C496),"",IF(COUNTA(K496:L496)=0,"",IF(AND(OR(ISBLANK(K496),AND(ISNUMBER(K496),K496&gt;=0)),OR(ISBLANK(L496),AND(ISNUMBER(L496),L496&gt;=0))),60*IF(ISBLANK(K496),0,K496)+IF(ISBLANK(L496),0,L496),"")))</f>
        <v/>
      </c>
      <c r="W496" s="66" t="str">
        <f aca="false">IF(ISBLANK($C496),"",IF(M496=Constants!$B$2, TRUE(), IF(M496=Constants!$B$3, FALSE(), TRUE())))</f>
        <v/>
      </c>
      <c r="X496" s="66" t="str">
        <f aca="false">IF(ISBLANK($C496),"",IF(N496=Constants!$B$2, TRUE(), IF(N496=Constants!$B$3, FALSE(), TRUE())))</f>
        <v/>
      </c>
      <c r="Y496" s="66" t="str">
        <f aca="false">IF(ISBLANK($C496),"",IF(O496=Constants!$B$2, TRUE(), IF(O496=Constants!$B$3, FALSE(), FALSE())))</f>
        <v/>
      </c>
      <c r="Z496" s="66" t="str">
        <f aca="false">IF(ISBLANK($C496),"",AND(S496&lt;&gt;"",Q496))</f>
        <v/>
      </c>
      <c r="AA496" s="66" t="str">
        <f aca="false">IF(ISBLANK($C496),"",AND(V496&lt;&gt;"",Q496))</f>
        <v/>
      </c>
      <c r="AB496" s="66" t="str">
        <f aca="false">IF(ISBLANK($C496),"",IF(Y496,Constants!$B$4,IF(COUNTA(E496:N496)=0,Constants!$B$5,IF(NOT(Q496),Constants!$B$6,IF(AND(NOT(Z496),NOT(AA496)),Constants!$B$6,Constants!$B$7)))))</f>
        <v/>
      </c>
      <c r="AC496" s="66" t="str">
        <f aca="false">IF(ISBLANK($C496),"",IF($AB496&lt;&gt;Constants!$B$7,$AB496,Constants!$B$20))</f>
        <v/>
      </c>
      <c r="AD496" s="66" t="str">
        <f aca="false">IF($AB496=Constants!$B$7,IF(Z496,S496,Constants!$B$13),"")</f>
        <v/>
      </c>
      <c r="AE496" s="66" t="str">
        <f aca="false">IF($AB496=Constants!$B$7,IF(Z496,R496*IF(T496, 1, Constants!$B$11)*IF(U496, 1, Constants!$B$12),Constants!$B$13),"")</f>
        <v/>
      </c>
      <c r="AF496" s="66" t="str">
        <f aca="false">IF($AB496=Constants!$B$7,AD496*AE496,"")</f>
        <v/>
      </c>
      <c r="AG496" s="66" t="str">
        <f aca="false">IF($AB496=Constants!$B$7,IF(AA496,V496,Constants!$B$13),"")</f>
        <v/>
      </c>
      <c r="AH496" s="66" t="str">
        <f aca="false">IF($AB496=Constants!$B$7,IF(AA496,R496*IF(W496, 1, Constants!$B$11)*IF(X496, 1, Constants!$B$12),Constants!$B$13),"")</f>
        <v/>
      </c>
      <c r="AI496" s="66" t="str">
        <f aca="false">IF($AB496=Constants!$B$7,AG496*AH496,"")</f>
        <v/>
      </c>
      <c r="AJ496" s="66" t="str">
        <f aca="false">IF($AB496=Constants!$B$7,IF(AI496&gt;AF496,2,1),"")</f>
        <v/>
      </c>
      <c r="AK496" s="66" t="str">
        <f aca="false">IF($AB496=Constants!$B$7,IF(AJ496=1,2,1),"")</f>
        <v/>
      </c>
      <c r="AL496" s="66" t="str">
        <f aca="false">IF(ISBLANK($C496),"",IF($AB496&lt;&gt;Constants!$B$7,$AB496,IF(AJ496=1,AF496,AI496)))</f>
        <v/>
      </c>
      <c r="AM496" s="66" t="str">
        <f aca="false">IF(ISBLANK($C496),"",IF($AB496=Constants!$B$7,IF(ISNUMBER(AL496),RANK(AL496,$AL$8:$AL$507),Constants!$B$14),$AB496))</f>
        <v/>
      </c>
      <c r="AN496" s="66" t="str">
        <f aca="false">IF(ISBLANK($C496),"",IF($AB496=Constants!$B$7,IF(AK496=1,AF496,AI496),""))</f>
        <v/>
      </c>
      <c r="AO496" s="66" t="str">
        <f aca="false">IF(ISBLANK($C496),"",IF($AB496=Constants!$B$7,RANK(AN496,$AN$8:$AN$507),$AB496))</f>
        <v/>
      </c>
      <c r="AP496" s="66" t="str">
        <f aca="false">IF(ISBLANK($C496),"",IF($AB496=Constants!$B$7,IF(ISNUMBER(AM496),COUNTIFS($AM$8:$AM$507,"&lt;"&amp;$AM496)+COUNTIFS($AM$8:$AM$507,$AM496,$AO$8:$AO$507,"&lt;"&amp;$AO496)+1,Constants!$B$14),$AB496))</f>
        <v/>
      </c>
      <c r="AQ496" s="66" t="str">
        <f aca="false">IF(ISBLANK($C496),"",IF($AB496=Constants!$B$7,IF(ISNUMBER(AM496),AM496-AP496,Constants!$B$14),$AB496))</f>
        <v/>
      </c>
      <c r="AR496" s="68"/>
      <c r="AS496" s="69" t="str">
        <f aca="false">IF(ISBLANK($C496),"",IF($AB496&lt;&gt;Constants!$B$7,"",AJ496))</f>
        <v/>
      </c>
      <c r="AT496" s="84" t="str">
        <f aca="false">IF(ISBLANK($C496),"",IF($AB496&lt;&gt;Constants!$B$7,"",IF(AJ496=1,AD496,AG496)))</f>
        <v/>
      </c>
      <c r="AU496" s="71" t="str">
        <f aca="false">IF(ISBLANK($C496),"",IF($AB496&lt;&gt;Constants!$B$7,"",IF(AJ496=1,AE496,AH496)))</f>
        <v/>
      </c>
      <c r="AV496" s="72" t="str">
        <f aca="false">IF(ISBLANK($C496),"",IF($AB496&lt;&gt;Constants!$B$7,$AB496,AL496))</f>
        <v/>
      </c>
      <c r="AW496" s="73" t="str">
        <f aca="false">IF(ISBLANK($C496),"",IF($AB496&lt;&gt;Constants!$B$7,$AB496,AC496))</f>
        <v/>
      </c>
      <c r="AX496" s="74" t="str">
        <f aca="false">IF(ISBLANK($C496),"",AQ496)</f>
        <v/>
      </c>
      <c r="AY496" s="74" t="str">
        <f aca="false">IF(ISBLANK($C496),"",AP496)</f>
        <v/>
      </c>
      <c r="AZ496" s="75" t="str">
        <f aca="false">IF(ISBLANK($C496),"",IF(AY496=Constants!$B$4,COUNTA($C$8:$C$507)+2,IF(AY496=Constants!$B$5,COUNTA($C$8:$C$507)+1,IF(AY496=Constants!$B$6,COUNTA($C$8:$C$507),AY496))))</f>
        <v/>
      </c>
      <c r="BA496" s="5"/>
      <c r="BB496" s="76" t="n">
        <f aca="false">IF(OR(ISNUMBER(AY496),AY496=Constants!$B$4,AY496=Constants!$B$6,AY496=Constants!$B$5),1,0)</f>
        <v>0</v>
      </c>
      <c r="BC496" s="76" t="n">
        <v>489</v>
      </c>
      <c r="BD496" s="76" t="str">
        <f aca="false">IF(ISBLANK($C496),"",IF(ISNUMBER(AZ496),AZ496+ROW($B496)/1000,""))</f>
        <v/>
      </c>
      <c r="BE496" s="76" t="str">
        <f aca="false">IF(ISNUMBER(BD496),RANK(BD496,$BD$8:$BD$507,1),"")</f>
        <v/>
      </c>
      <c r="BF496" s="76" t="str">
        <f aca="false">IF(ISBLANK($C496),"",$B496)</f>
        <v/>
      </c>
      <c r="BG496" s="76" t="str">
        <f aca="false">IF(ISBLANK($C496),"",$C496)</f>
        <v/>
      </c>
      <c r="BH496" s="76" t="str">
        <f aca="false">IF(ISBLANK($C496),"",$D496)</f>
        <v/>
      </c>
      <c r="BI496" s="77" t="str">
        <f aca="false">AW496</f>
        <v/>
      </c>
      <c r="BJ496" s="78" t="str">
        <f aca="false">AV496</f>
        <v/>
      </c>
      <c r="BK496" s="76" t="str">
        <f aca="false">IF(ISBLANK($C496),"",AY496)</f>
        <v/>
      </c>
      <c r="BL496" s="79" t="str">
        <f aca="false">IF($BC496&gt;$BB$7,"",VLOOKUP($BC496,$BE$8:$BK$507,7,FALSE()))</f>
        <v/>
      </c>
      <c r="BM496" s="80" t="str">
        <f aca="false">IF($BC496&gt;$BB$7,"",VLOOKUP($BC496,$BE$8:$BK$507,2,FALSE()))</f>
        <v/>
      </c>
      <c r="BN496" s="80" t="str">
        <f aca="false">IF($BC496&gt;$BB$7,"",VLOOKUP($BC496,$BE$8:$BK$507,3,FALSE()))</f>
        <v/>
      </c>
      <c r="BO496" s="80" t="str">
        <f aca="false">IF($BC496&gt;$BB$7,"",VLOOKUP($BC496,$BE$8:$BK$507,4,FALSE()))</f>
        <v/>
      </c>
      <c r="BP496" s="80" t="str">
        <f aca="false">IF($BC496&gt;$BB$7,"",VLOOKUP($BC496,$BE$8:$BK$507,5,FALSE()))</f>
        <v/>
      </c>
      <c r="BQ496" s="81" t="str">
        <f aca="false">IF($BC496&gt;$BB$7,"",VLOOKUP($BC496,$BE$8:$BK$507,6,FALSE()))</f>
        <v/>
      </c>
      <c r="BR496" s="54"/>
    </row>
    <row r="497" customFormat="false" ht="15.75" hidden="false" customHeight="false" outlineLevel="0" collapsed="false">
      <c r="A497" s="5"/>
      <c r="B497" s="120"/>
      <c r="C497" s="121"/>
      <c r="D497" s="112"/>
      <c r="E497" s="123"/>
      <c r="F497" s="91"/>
      <c r="G497" s="92"/>
      <c r="H497" s="93"/>
      <c r="I497" s="94"/>
      <c r="J497" s="91"/>
      <c r="K497" s="92"/>
      <c r="L497" s="93"/>
      <c r="M497" s="94"/>
      <c r="N497" s="91"/>
      <c r="O497" s="123"/>
      <c r="P497" s="96"/>
      <c r="Q497" s="97" t="str">
        <f aca="false">IF(ISBLANK($C497),"",IF(E497=Constants!$B$2, TRUE(), IF(E497=Constants!$B$3, FALSE(), TRUE())))</f>
        <v/>
      </c>
      <c r="R497" s="97" t="str">
        <f aca="false">IF(ISBLANK($C497),"",IF(F497=Constants!$B$16,Constants!$B$9,IF(F497=Constants!$B$17,Constants!$B$10,Constants!$B$8)))</f>
        <v/>
      </c>
      <c r="S497" s="97" t="str">
        <f aca="false">IF(ISBLANK($C497),"",IF(COUNTA(G497:H497)=0,"",IF(AND(OR(ISBLANK(G497),AND(ISNUMBER(G497),G497&gt;=0)),OR(ISBLANK(H497),AND(ISNUMBER(H497),H497&gt;=0))),60*IF(ISBLANK(G497),0,G497)+IF(ISBLANK(H497),0,H497),"")))</f>
        <v/>
      </c>
      <c r="T497" s="97" t="str">
        <f aca="false">IF(ISBLANK($C497),"",IF(I497=Constants!$B$2, TRUE(), IF(I497=Constants!$B$3, FALSE(), TRUE())))</f>
        <v/>
      </c>
      <c r="U497" s="97" t="str">
        <f aca="false">IF(ISBLANK($C497),"",IF(J497=Constants!$B$2, TRUE(), IF(J497=Constants!$B$3, FALSE(), TRUE())))</f>
        <v/>
      </c>
      <c r="V497" s="97" t="str">
        <f aca="false">IF(ISBLANK($C497),"",IF(COUNTA(K497:L497)=0,"",IF(AND(OR(ISBLANK(K497),AND(ISNUMBER(K497),K497&gt;=0)),OR(ISBLANK(L497),AND(ISNUMBER(L497),L497&gt;=0))),60*IF(ISBLANK(K497),0,K497)+IF(ISBLANK(L497),0,L497),"")))</f>
        <v/>
      </c>
      <c r="W497" s="97" t="str">
        <f aca="false">IF(ISBLANK($C497),"",IF(M497=Constants!$B$2, TRUE(), IF(M497=Constants!$B$3, FALSE(), TRUE())))</f>
        <v/>
      </c>
      <c r="X497" s="97" t="str">
        <f aca="false">IF(ISBLANK($C497),"",IF(N497=Constants!$B$2, TRUE(), IF(N497=Constants!$B$3, FALSE(), TRUE())))</f>
        <v/>
      </c>
      <c r="Y497" s="97" t="str">
        <f aca="false">IF(ISBLANK($C497),"",IF(O497=Constants!$B$2, TRUE(), IF(O497=Constants!$B$3, FALSE(), FALSE())))</f>
        <v/>
      </c>
      <c r="Z497" s="97" t="str">
        <f aca="false">IF(ISBLANK($C497),"",AND(S497&lt;&gt;"",Q497))</f>
        <v/>
      </c>
      <c r="AA497" s="97" t="str">
        <f aca="false">IF(ISBLANK($C497),"",AND(V497&lt;&gt;"",Q497))</f>
        <v/>
      </c>
      <c r="AB497" s="97" t="str">
        <f aca="false">IF(ISBLANK($C497),"",IF(Y497,Constants!$B$4,IF(COUNTA(E497:N497)=0,Constants!$B$5,IF(NOT(Q497),Constants!$B$6,IF(AND(NOT(Z497),NOT(AA497)),Constants!$B$6,Constants!$B$7)))))</f>
        <v/>
      </c>
      <c r="AC497" s="97" t="str">
        <f aca="false">IF(ISBLANK($C497),"",IF($AB497&lt;&gt;Constants!$B$7,$AB497,Constants!$B$20))</f>
        <v/>
      </c>
      <c r="AD497" s="97" t="str">
        <f aca="false">IF($AB497=Constants!$B$7,IF(Z497,S497,Constants!$B$13),"")</f>
        <v/>
      </c>
      <c r="AE497" s="97" t="str">
        <f aca="false">IF($AB497=Constants!$B$7,IF(Z497,R497*IF(T497, 1, Constants!$B$11)*IF(U497, 1, Constants!$B$12),Constants!$B$13),"")</f>
        <v/>
      </c>
      <c r="AF497" s="97" t="str">
        <f aca="false">IF($AB497=Constants!$B$7,AD497*AE497,"")</f>
        <v/>
      </c>
      <c r="AG497" s="97" t="str">
        <f aca="false">IF($AB497=Constants!$B$7,IF(AA497,V497,Constants!$B$13),"")</f>
        <v/>
      </c>
      <c r="AH497" s="97" t="str">
        <f aca="false">IF($AB497=Constants!$B$7,IF(AA497,R497*IF(W497, 1, Constants!$B$11)*IF(X497, 1, Constants!$B$12),Constants!$B$13),"")</f>
        <v/>
      </c>
      <c r="AI497" s="97" t="str">
        <f aca="false">IF($AB497=Constants!$B$7,AG497*AH497,"")</f>
        <v/>
      </c>
      <c r="AJ497" s="97" t="str">
        <f aca="false">IF($AB497=Constants!$B$7,IF(AI497&gt;AF497,2,1),"")</f>
        <v/>
      </c>
      <c r="AK497" s="97" t="str">
        <f aca="false">IF($AB497=Constants!$B$7,IF(AJ497=1,2,1),"")</f>
        <v/>
      </c>
      <c r="AL497" s="97" t="str">
        <f aca="false">IF(ISBLANK($C497),"",IF($AB497&lt;&gt;Constants!$B$7,$AB497,IF(AJ497=1,AF497,AI497)))</f>
        <v/>
      </c>
      <c r="AM497" s="97" t="str">
        <f aca="false">IF(ISBLANK($C497),"",IF($AB497=Constants!$B$7,IF(ISNUMBER(AL497),RANK(AL497,$AL$8:$AL$507),Constants!$B$14),$AB497))</f>
        <v/>
      </c>
      <c r="AN497" s="97" t="str">
        <f aca="false">IF(ISBLANK($C497),"",IF($AB497=Constants!$B$7,IF(AK497=1,AF497,AI497),""))</f>
        <v/>
      </c>
      <c r="AO497" s="97" t="str">
        <f aca="false">IF(ISBLANK($C497),"",IF($AB497=Constants!$B$7,RANK(AN497,$AN$8:$AN$507),$AB497))</f>
        <v/>
      </c>
      <c r="AP497" s="97" t="str">
        <f aca="false">IF(ISBLANK($C497),"",IF($AB497=Constants!$B$7,IF(ISNUMBER(AM497),COUNTIFS($AM$8:$AM$507,"&lt;"&amp;$AM497)+COUNTIFS($AM$8:$AM$507,$AM497,$AO$8:$AO$507,"&lt;"&amp;$AO497)+1,Constants!$B$14),$AB497))</f>
        <v/>
      </c>
      <c r="AQ497" s="97" t="str">
        <f aca="false">IF(ISBLANK($C497),"",IF($AB497=Constants!$B$7,IF(ISNUMBER(AM497),AM497-AP497,Constants!$B$14),$AB497))</f>
        <v/>
      </c>
      <c r="AR497" s="98"/>
      <c r="AS497" s="99" t="str">
        <f aca="false">IF(ISBLANK($C497),"",IF($AB497&lt;&gt;Constants!$B$7,"",AJ497))</f>
        <v/>
      </c>
      <c r="AT497" s="100" t="str">
        <f aca="false">IF(ISBLANK($C497),"",IF($AB497&lt;&gt;Constants!$B$7,"",IF(AJ497=1,AD497,AG497)))</f>
        <v/>
      </c>
      <c r="AU497" s="101" t="str">
        <f aca="false">IF(ISBLANK($C497),"",IF($AB497&lt;&gt;Constants!$B$7,"",IF(AJ497=1,AE497,AH497)))</f>
        <v/>
      </c>
      <c r="AV497" s="102" t="str">
        <f aca="false">IF(ISBLANK($C497),"",IF($AB497&lt;&gt;Constants!$B$7,$AB497,AL497))</f>
        <v/>
      </c>
      <c r="AW497" s="103" t="str">
        <f aca="false">IF(ISBLANK($C497),"",IF($AB497&lt;&gt;Constants!$B$7,$AB497,AC497))</f>
        <v/>
      </c>
      <c r="AX497" s="104" t="str">
        <f aca="false">IF(ISBLANK($C497),"",AQ497)</f>
        <v/>
      </c>
      <c r="AY497" s="104" t="str">
        <f aca="false">IF(ISBLANK($C497),"",AP497)</f>
        <v/>
      </c>
      <c r="AZ497" s="105" t="str">
        <f aca="false">IF(ISBLANK($C497),"",IF(AY497=Constants!$B$4,COUNTA($C$8:$C$507)+2,IF(AY497=Constants!$B$5,COUNTA($C$8:$C$507)+1,IF(AY497=Constants!$B$6,COUNTA($C$8:$C$507),AY497))))</f>
        <v/>
      </c>
      <c r="BA497" s="5"/>
      <c r="BB497" s="106" t="n">
        <f aca="false">IF(OR(ISNUMBER(AY497),AY497=Constants!$B$4,AY497=Constants!$B$6,AY497=Constants!$B$5),1,0)</f>
        <v>0</v>
      </c>
      <c r="BC497" s="106" t="n">
        <v>490</v>
      </c>
      <c r="BD497" s="106" t="str">
        <f aca="false">IF(ISBLANK($C497),"",IF(ISNUMBER(AZ497),AZ497+ROW($B497)/1000,""))</f>
        <v/>
      </c>
      <c r="BE497" s="106" t="str">
        <f aca="false">IF(ISNUMBER(BD497),RANK(BD497,$BD$8:$BD$507,1),"")</f>
        <v/>
      </c>
      <c r="BF497" s="106" t="str">
        <f aca="false">IF(ISBLANK($C497),"",$B497)</f>
        <v/>
      </c>
      <c r="BG497" s="106" t="str">
        <f aca="false">IF(ISBLANK($C497),"",$C497)</f>
        <v/>
      </c>
      <c r="BH497" s="106" t="str">
        <f aca="false">IF(ISBLANK($C497),"",$D497)</f>
        <v/>
      </c>
      <c r="BI497" s="107" t="str">
        <f aca="false">AW497</f>
        <v/>
      </c>
      <c r="BJ497" s="108" t="str">
        <f aca="false">AV497</f>
        <v/>
      </c>
      <c r="BK497" s="106" t="str">
        <f aca="false">IF(ISBLANK($C497),"",AY497)</f>
        <v/>
      </c>
      <c r="BL497" s="109" t="str">
        <f aca="false">IF($BC497&gt;$BB$7,"",VLOOKUP($BC497,$BE$8:$BK$507,7,FALSE()))</f>
        <v/>
      </c>
      <c r="BM497" s="110" t="str">
        <f aca="false">IF($BC497&gt;$BB$7,"",VLOOKUP($BC497,$BE$8:$BK$507,2,FALSE()))</f>
        <v/>
      </c>
      <c r="BN497" s="110" t="str">
        <f aca="false">IF($BC497&gt;$BB$7,"",VLOOKUP($BC497,$BE$8:$BK$507,3,FALSE()))</f>
        <v/>
      </c>
      <c r="BO497" s="110" t="str">
        <f aca="false">IF($BC497&gt;$BB$7,"",VLOOKUP($BC497,$BE$8:$BK$507,4,FALSE()))</f>
        <v/>
      </c>
      <c r="BP497" s="110" t="str">
        <f aca="false">IF($BC497&gt;$BB$7,"",VLOOKUP($BC497,$BE$8:$BK$507,5,FALSE()))</f>
        <v/>
      </c>
      <c r="BQ497" s="111" t="str">
        <f aca="false">IF($BC497&gt;$BB$7,"",VLOOKUP($BC497,$BE$8:$BK$507,6,FALSE()))</f>
        <v/>
      </c>
      <c r="BR497" s="54"/>
    </row>
    <row r="498" customFormat="false" ht="15.75" hidden="false" customHeight="false" outlineLevel="0" collapsed="false">
      <c r="A498" s="5"/>
      <c r="B498" s="120"/>
      <c r="C498" s="121"/>
      <c r="D498" s="112"/>
      <c r="E498" s="123"/>
      <c r="F498" s="91"/>
      <c r="G498" s="92"/>
      <c r="H498" s="93"/>
      <c r="I498" s="94"/>
      <c r="J498" s="91"/>
      <c r="K498" s="92"/>
      <c r="L498" s="93"/>
      <c r="M498" s="94"/>
      <c r="N498" s="91"/>
      <c r="O498" s="123"/>
      <c r="P498" s="96"/>
      <c r="Q498" s="97" t="str">
        <f aca="false">IF(ISBLANK($C498),"",IF(E498=Constants!$B$2, TRUE(), IF(E498=Constants!$B$3, FALSE(), TRUE())))</f>
        <v/>
      </c>
      <c r="R498" s="97" t="str">
        <f aca="false">IF(ISBLANK($C498),"",IF(F498=Constants!$B$16,Constants!$B$9,IF(F498=Constants!$B$17,Constants!$B$10,Constants!$B$8)))</f>
        <v/>
      </c>
      <c r="S498" s="97" t="str">
        <f aca="false">IF(ISBLANK($C498),"",IF(COUNTA(G498:H498)=0,"",IF(AND(OR(ISBLANK(G498),AND(ISNUMBER(G498),G498&gt;=0)),OR(ISBLANK(H498),AND(ISNUMBER(H498),H498&gt;=0))),60*IF(ISBLANK(G498),0,G498)+IF(ISBLANK(H498),0,H498),"")))</f>
        <v/>
      </c>
      <c r="T498" s="97" t="str">
        <f aca="false">IF(ISBLANK($C498),"",IF(I498=Constants!$B$2, TRUE(), IF(I498=Constants!$B$3, FALSE(), TRUE())))</f>
        <v/>
      </c>
      <c r="U498" s="97" t="str">
        <f aca="false">IF(ISBLANK($C498),"",IF(J498=Constants!$B$2, TRUE(), IF(J498=Constants!$B$3, FALSE(), TRUE())))</f>
        <v/>
      </c>
      <c r="V498" s="97" t="str">
        <f aca="false">IF(ISBLANK($C498),"",IF(COUNTA(K498:L498)=0,"",IF(AND(OR(ISBLANK(K498),AND(ISNUMBER(K498),K498&gt;=0)),OR(ISBLANK(L498),AND(ISNUMBER(L498),L498&gt;=0))),60*IF(ISBLANK(K498),0,K498)+IF(ISBLANK(L498),0,L498),"")))</f>
        <v/>
      </c>
      <c r="W498" s="97" t="str">
        <f aca="false">IF(ISBLANK($C498),"",IF(M498=Constants!$B$2, TRUE(), IF(M498=Constants!$B$3, FALSE(), TRUE())))</f>
        <v/>
      </c>
      <c r="X498" s="97" t="str">
        <f aca="false">IF(ISBLANK($C498),"",IF(N498=Constants!$B$2, TRUE(), IF(N498=Constants!$B$3, FALSE(), TRUE())))</f>
        <v/>
      </c>
      <c r="Y498" s="97" t="str">
        <f aca="false">IF(ISBLANK($C498),"",IF(O498=Constants!$B$2, TRUE(), IF(O498=Constants!$B$3, FALSE(), FALSE())))</f>
        <v/>
      </c>
      <c r="Z498" s="97" t="str">
        <f aca="false">IF(ISBLANK($C498),"",AND(S498&lt;&gt;"",Q498))</f>
        <v/>
      </c>
      <c r="AA498" s="97" t="str">
        <f aca="false">IF(ISBLANK($C498),"",AND(V498&lt;&gt;"",Q498))</f>
        <v/>
      </c>
      <c r="AB498" s="97" t="str">
        <f aca="false">IF(ISBLANK($C498),"",IF(Y498,Constants!$B$4,IF(COUNTA(E498:N498)=0,Constants!$B$5,IF(NOT(Q498),Constants!$B$6,IF(AND(NOT(Z498),NOT(AA498)),Constants!$B$6,Constants!$B$7)))))</f>
        <v/>
      </c>
      <c r="AC498" s="97" t="str">
        <f aca="false">IF(ISBLANK($C498),"",IF($AB498&lt;&gt;Constants!$B$7,$AB498,Constants!$B$20))</f>
        <v/>
      </c>
      <c r="AD498" s="97" t="str">
        <f aca="false">IF($AB498=Constants!$B$7,IF(Z498,S498,Constants!$B$13),"")</f>
        <v/>
      </c>
      <c r="AE498" s="97" t="str">
        <f aca="false">IF($AB498=Constants!$B$7,IF(Z498,R498*IF(T498, 1, Constants!$B$11)*IF(U498, 1, Constants!$B$12),Constants!$B$13),"")</f>
        <v/>
      </c>
      <c r="AF498" s="97" t="str">
        <f aca="false">IF($AB498=Constants!$B$7,AD498*AE498,"")</f>
        <v/>
      </c>
      <c r="AG498" s="97" t="str">
        <f aca="false">IF($AB498=Constants!$B$7,IF(AA498,V498,Constants!$B$13),"")</f>
        <v/>
      </c>
      <c r="AH498" s="97" t="str">
        <f aca="false">IF($AB498=Constants!$B$7,IF(AA498,R498*IF(W498, 1, Constants!$B$11)*IF(X498, 1, Constants!$B$12),Constants!$B$13),"")</f>
        <v/>
      </c>
      <c r="AI498" s="97" t="str">
        <f aca="false">IF($AB498=Constants!$B$7,AG498*AH498,"")</f>
        <v/>
      </c>
      <c r="AJ498" s="97" t="str">
        <f aca="false">IF($AB498=Constants!$B$7,IF(AI498&gt;AF498,2,1),"")</f>
        <v/>
      </c>
      <c r="AK498" s="97" t="str">
        <f aca="false">IF($AB498=Constants!$B$7,IF(AJ498=1,2,1),"")</f>
        <v/>
      </c>
      <c r="AL498" s="97" t="str">
        <f aca="false">IF(ISBLANK($C498),"",IF($AB498&lt;&gt;Constants!$B$7,$AB498,IF(AJ498=1,AF498,AI498)))</f>
        <v/>
      </c>
      <c r="AM498" s="97" t="str">
        <f aca="false">IF(ISBLANK($C498),"",IF($AB498=Constants!$B$7,IF(ISNUMBER(AL498),RANK(AL498,$AL$8:$AL$507),Constants!$B$14),$AB498))</f>
        <v/>
      </c>
      <c r="AN498" s="97" t="str">
        <f aca="false">IF(ISBLANK($C498),"",IF($AB498=Constants!$B$7,IF(AK498=1,AF498,AI498),""))</f>
        <v/>
      </c>
      <c r="AO498" s="97" t="str">
        <f aca="false">IF(ISBLANK($C498),"",IF($AB498=Constants!$B$7,RANK(AN498,$AN$8:$AN$507),$AB498))</f>
        <v/>
      </c>
      <c r="AP498" s="97" t="str">
        <f aca="false">IF(ISBLANK($C498),"",IF($AB498=Constants!$B$7,IF(ISNUMBER(AM498),COUNTIFS($AM$8:$AM$507,"&lt;"&amp;$AM498)+COUNTIFS($AM$8:$AM$507,$AM498,$AO$8:$AO$507,"&lt;"&amp;$AO498)+1,Constants!$B$14),$AB498))</f>
        <v/>
      </c>
      <c r="AQ498" s="97" t="str">
        <f aca="false">IF(ISBLANK($C498),"",IF($AB498=Constants!$B$7,IF(ISNUMBER(AM498),AM498-AP498,Constants!$B$14),$AB498))</f>
        <v/>
      </c>
      <c r="AR498" s="98"/>
      <c r="AS498" s="99" t="str">
        <f aca="false">IF(ISBLANK($C498),"",IF($AB498&lt;&gt;Constants!$B$7,"",AJ498))</f>
        <v/>
      </c>
      <c r="AT498" s="100" t="str">
        <f aca="false">IF(ISBLANK($C498),"",IF($AB498&lt;&gt;Constants!$B$7,"",IF(AJ498=1,AD498,AG498)))</f>
        <v/>
      </c>
      <c r="AU498" s="101" t="str">
        <f aca="false">IF(ISBLANK($C498),"",IF($AB498&lt;&gt;Constants!$B$7,"",IF(AJ498=1,AE498,AH498)))</f>
        <v/>
      </c>
      <c r="AV498" s="102" t="str">
        <f aca="false">IF(ISBLANK($C498),"",IF($AB498&lt;&gt;Constants!$B$7,$AB498,AL498))</f>
        <v/>
      </c>
      <c r="AW498" s="103" t="str">
        <f aca="false">IF(ISBLANK($C498),"",IF($AB498&lt;&gt;Constants!$B$7,$AB498,AC498))</f>
        <v/>
      </c>
      <c r="AX498" s="104" t="str">
        <f aca="false">IF(ISBLANK($C498),"",AQ498)</f>
        <v/>
      </c>
      <c r="AY498" s="104" t="str">
        <f aca="false">IF(ISBLANK($C498),"",AP498)</f>
        <v/>
      </c>
      <c r="AZ498" s="105" t="str">
        <f aca="false">IF(ISBLANK($C498),"",IF(AY498=Constants!$B$4,COUNTA($C$8:$C$507)+2,IF(AY498=Constants!$B$5,COUNTA($C$8:$C$507)+1,IF(AY498=Constants!$B$6,COUNTA($C$8:$C$507),AY498))))</f>
        <v/>
      </c>
      <c r="BA498" s="5"/>
      <c r="BB498" s="106" t="n">
        <f aca="false">IF(OR(ISNUMBER(AY498),AY498=Constants!$B$4,AY498=Constants!$B$6,AY498=Constants!$B$5),1,0)</f>
        <v>0</v>
      </c>
      <c r="BC498" s="106" t="n">
        <v>491</v>
      </c>
      <c r="BD498" s="106" t="str">
        <f aca="false">IF(ISBLANK($C498),"",IF(ISNUMBER(AZ498),AZ498+ROW($B498)/1000,""))</f>
        <v/>
      </c>
      <c r="BE498" s="106" t="str">
        <f aca="false">IF(ISNUMBER(BD498),RANK(BD498,$BD$8:$BD$507,1),"")</f>
        <v/>
      </c>
      <c r="BF498" s="106" t="str">
        <f aca="false">IF(ISBLANK($C498),"",$B498)</f>
        <v/>
      </c>
      <c r="BG498" s="106" t="str">
        <f aca="false">IF(ISBLANK($C498),"",$C498)</f>
        <v/>
      </c>
      <c r="BH498" s="106" t="str">
        <f aca="false">IF(ISBLANK($C498),"",$D498)</f>
        <v/>
      </c>
      <c r="BI498" s="107" t="str">
        <f aca="false">AW498</f>
        <v/>
      </c>
      <c r="BJ498" s="108" t="str">
        <f aca="false">AV498</f>
        <v/>
      </c>
      <c r="BK498" s="106" t="str">
        <f aca="false">IF(ISBLANK($C498),"",AY498)</f>
        <v/>
      </c>
      <c r="BL498" s="109" t="str">
        <f aca="false">IF($BC498&gt;$BB$7,"",VLOOKUP($BC498,$BE$8:$BK$507,7,FALSE()))</f>
        <v/>
      </c>
      <c r="BM498" s="110" t="str">
        <f aca="false">IF($BC498&gt;$BB$7,"",VLOOKUP($BC498,$BE$8:$BK$507,2,FALSE()))</f>
        <v/>
      </c>
      <c r="BN498" s="110" t="str">
        <f aca="false">IF($BC498&gt;$BB$7,"",VLOOKUP($BC498,$BE$8:$BK$507,3,FALSE()))</f>
        <v/>
      </c>
      <c r="BO498" s="110" t="str">
        <f aca="false">IF($BC498&gt;$BB$7,"",VLOOKUP($BC498,$BE$8:$BK$507,4,FALSE()))</f>
        <v/>
      </c>
      <c r="BP498" s="110" t="str">
        <f aca="false">IF($BC498&gt;$BB$7,"",VLOOKUP($BC498,$BE$8:$BK$507,5,FALSE()))</f>
        <v/>
      </c>
      <c r="BQ498" s="111" t="str">
        <f aca="false">IF($BC498&gt;$BB$7,"",VLOOKUP($BC498,$BE$8:$BK$507,6,FALSE()))</f>
        <v/>
      </c>
      <c r="BR498" s="54"/>
    </row>
    <row r="499" customFormat="false" ht="15.75" hidden="false" customHeight="false" outlineLevel="0" collapsed="false">
      <c r="A499" s="5"/>
      <c r="B499" s="120"/>
      <c r="C499" s="121"/>
      <c r="D499" s="112"/>
      <c r="E499" s="123"/>
      <c r="F499" s="91"/>
      <c r="G499" s="92"/>
      <c r="H499" s="93"/>
      <c r="I499" s="94"/>
      <c r="J499" s="91"/>
      <c r="K499" s="92"/>
      <c r="L499" s="93"/>
      <c r="M499" s="94"/>
      <c r="N499" s="91"/>
      <c r="O499" s="123"/>
      <c r="P499" s="96"/>
      <c r="Q499" s="97" t="str">
        <f aca="false">IF(ISBLANK($C499),"",IF(E499=Constants!$B$2, TRUE(), IF(E499=Constants!$B$3, FALSE(), TRUE())))</f>
        <v/>
      </c>
      <c r="R499" s="97" t="str">
        <f aca="false">IF(ISBLANK($C499),"",IF(F499=Constants!$B$16,Constants!$B$9,IF(F499=Constants!$B$17,Constants!$B$10,Constants!$B$8)))</f>
        <v/>
      </c>
      <c r="S499" s="97" t="str">
        <f aca="false">IF(ISBLANK($C499),"",IF(COUNTA(G499:H499)=0,"",IF(AND(OR(ISBLANK(G499),AND(ISNUMBER(G499),G499&gt;=0)),OR(ISBLANK(H499),AND(ISNUMBER(H499),H499&gt;=0))),60*IF(ISBLANK(G499),0,G499)+IF(ISBLANK(H499),0,H499),"")))</f>
        <v/>
      </c>
      <c r="T499" s="97" t="str">
        <f aca="false">IF(ISBLANK($C499),"",IF(I499=Constants!$B$2, TRUE(), IF(I499=Constants!$B$3, FALSE(), TRUE())))</f>
        <v/>
      </c>
      <c r="U499" s="97" t="str">
        <f aca="false">IF(ISBLANK($C499),"",IF(J499=Constants!$B$2, TRUE(), IF(J499=Constants!$B$3, FALSE(), TRUE())))</f>
        <v/>
      </c>
      <c r="V499" s="97" t="str">
        <f aca="false">IF(ISBLANK($C499),"",IF(COUNTA(K499:L499)=0,"",IF(AND(OR(ISBLANK(K499),AND(ISNUMBER(K499),K499&gt;=0)),OR(ISBLANK(L499),AND(ISNUMBER(L499),L499&gt;=0))),60*IF(ISBLANK(K499),0,K499)+IF(ISBLANK(L499),0,L499),"")))</f>
        <v/>
      </c>
      <c r="W499" s="97" t="str">
        <f aca="false">IF(ISBLANK($C499),"",IF(M499=Constants!$B$2, TRUE(), IF(M499=Constants!$B$3, FALSE(), TRUE())))</f>
        <v/>
      </c>
      <c r="X499" s="97" t="str">
        <f aca="false">IF(ISBLANK($C499),"",IF(N499=Constants!$B$2, TRUE(), IF(N499=Constants!$B$3, FALSE(), TRUE())))</f>
        <v/>
      </c>
      <c r="Y499" s="97" t="str">
        <f aca="false">IF(ISBLANK($C499),"",IF(O499=Constants!$B$2, TRUE(), IF(O499=Constants!$B$3, FALSE(), FALSE())))</f>
        <v/>
      </c>
      <c r="Z499" s="97" t="str">
        <f aca="false">IF(ISBLANK($C499),"",AND(S499&lt;&gt;"",Q499))</f>
        <v/>
      </c>
      <c r="AA499" s="97" t="str">
        <f aca="false">IF(ISBLANK($C499),"",AND(V499&lt;&gt;"",Q499))</f>
        <v/>
      </c>
      <c r="AB499" s="97" t="str">
        <f aca="false">IF(ISBLANK($C499),"",IF(Y499,Constants!$B$4,IF(COUNTA(E499:N499)=0,Constants!$B$5,IF(NOT(Q499),Constants!$B$6,IF(AND(NOT(Z499),NOT(AA499)),Constants!$B$6,Constants!$B$7)))))</f>
        <v/>
      </c>
      <c r="AC499" s="97" t="str">
        <f aca="false">IF(ISBLANK($C499),"",IF($AB499&lt;&gt;Constants!$B$7,$AB499,Constants!$B$20))</f>
        <v/>
      </c>
      <c r="AD499" s="97" t="str">
        <f aca="false">IF($AB499=Constants!$B$7,IF(Z499,S499,Constants!$B$13),"")</f>
        <v/>
      </c>
      <c r="AE499" s="97" t="str">
        <f aca="false">IF($AB499=Constants!$B$7,IF(Z499,R499*IF(T499, 1, Constants!$B$11)*IF(U499, 1, Constants!$B$12),Constants!$B$13),"")</f>
        <v/>
      </c>
      <c r="AF499" s="97" t="str">
        <f aca="false">IF($AB499=Constants!$B$7,AD499*AE499,"")</f>
        <v/>
      </c>
      <c r="AG499" s="97" t="str">
        <f aca="false">IF($AB499=Constants!$B$7,IF(AA499,V499,Constants!$B$13),"")</f>
        <v/>
      </c>
      <c r="AH499" s="97" t="str">
        <f aca="false">IF($AB499=Constants!$B$7,IF(AA499,R499*IF(W499, 1, Constants!$B$11)*IF(X499, 1, Constants!$B$12),Constants!$B$13),"")</f>
        <v/>
      </c>
      <c r="AI499" s="97" t="str">
        <f aca="false">IF($AB499=Constants!$B$7,AG499*AH499,"")</f>
        <v/>
      </c>
      <c r="AJ499" s="97" t="str">
        <f aca="false">IF($AB499=Constants!$B$7,IF(AI499&gt;AF499,2,1),"")</f>
        <v/>
      </c>
      <c r="AK499" s="97" t="str">
        <f aca="false">IF($AB499=Constants!$B$7,IF(AJ499=1,2,1),"")</f>
        <v/>
      </c>
      <c r="AL499" s="97" t="str">
        <f aca="false">IF(ISBLANK($C499),"",IF($AB499&lt;&gt;Constants!$B$7,$AB499,IF(AJ499=1,AF499,AI499)))</f>
        <v/>
      </c>
      <c r="AM499" s="97" t="str">
        <f aca="false">IF(ISBLANK($C499),"",IF($AB499=Constants!$B$7,IF(ISNUMBER(AL499),RANK(AL499,$AL$8:$AL$507),Constants!$B$14),$AB499))</f>
        <v/>
      </c>
      <c r="AN499" s="97" t="str">
        <f aca="false">IF(ISBLANK($C499),"",IF($AB499=Constants!$B$7,IF(AK499=1,AF499,AI499),""))</f>
        <v/>
      </c>
      <c r="AO499" s="97" t="str">
        <f aca="false">IF(ISBLANK($C499),"",IF($AB499=Constants!$B$7,RANK(AN499,$AN$8:$AN$507),$AB499))</f>
        <v/>
      </c>
      <c r="AP499" s="97" t="str">
        <f aca="false">IF(ISBLANK($C499),"",IF($AB499=Constants!$B$7,IF(ISNUMBER(AM499),COUNTIFS($AM$8:$AM$507,"&lt;"&amp;$AM499)+COUNTIFS($AM$8:$AM$507,$AM499,$AO$8:$AO$507,"&lt;"&amp;$AO499)+1,Constants!$B$14),$AB499))</f>
        <v/>
      </c>
      <c r="AQ499" s="97" t="str">
        <f aca="false">IF(ISBLANK($C499),"",IF($AB499=Constants!$B$7,IF(ISNUMBER(AM499),AM499-AP499,Constants!$B$14),$AB499))</f>
        <v/>
      </c>
      <c r="AR499" s="98"/>
      <c r="AS499" s="99" t="str">
        <f aca="false">IF(ISBLANK($C499),"",IF($AB499&lt;&gt;Constants!$B$7,"",AJ499))</f>
        <v/>
      </c>
      <c r="AT499" s="100" t="str">
        <f aca="false">IF(ISBLANK($C499),"",IF($AB499&lt;&gt;Constants!$B$7,"",IF(AJ499=1,AD499,AG499)))</f>
        <v/>
      </c>
      <c r="AU499" s="101" t="str">
        <f aca="false">IF(ISBLANK($C499),"",IF($AB499&lt;&gt;Constants!$B$7,"",IF(AJ499=1,AE499,AH499)))</f>
        <v/>
      </c>
      <c r="AV499" s="102" t="str">
        <f aca="false">IF(ISBLANK($C499),"",IF($AB499&lt;&gt;Constants!$B$7,$AB499,AL499))</f>
        <v/>
      </c>
      <c r="AW499" s="103" t="str">
        <f aca="false">IF(ISBLANK($C499),"",IF($AB499&lt;&gt;Constants!$B$7,$AB499,AC499))</f>
        <v/>
      </c>
      <c r="AX499" s="104" t="str">
        <f aca="false">IF(ISBLANK($C499),"",AQ499)</f>
        <v/>
      </c>
      <c r="AY499" s="104" t="str">
        <f aca="false">IF(ISBLANK($C499),"",AP499)</f>
        <v/>
      </c>
      <c r="AZ499" s="105" t="str">
        <f aca="false">IF(ISBLANK($C499),"",IF(AY499=Constants!$B$4,COUNTA($C$8:$C$507)+2,IF(AY499=Constants!$B$5,COUNTA($C$8:$C$507)+1,IF(AY499=Constants!$B$6,COUNTA($C$8:$C$507),AY499))))</f>
        <v/>
      </c>
      <c r="BA499" s="5"/>
      <c r="BB499" s="106" t="n">
        <f aca="false">IF(OR(ISNUMBER(AY499),AY499=Constants!$B$4,AY499=Constants!$B$6,AY499=Constants!$B$5),1,0)</f>
        <v>0</v>
      </c>
      <c r="BC499" s="106" t="n">
        <v>492</v>
      </c>
      <c r="BD499" s="106" t="str">
        <f aca="false">IF(ISBLANK($C499),"",IF(ISNUMBER(AZ499),AZ499+ROW($B499)/1000,""))</f>
        <v/>
      </c>
      <c r="BE499" s="106" t="str">
        <f aca="false">IF(ISNUMBER(BD499),RANK(BD499,$BD$8:$BD$507,1),"")</f>
        <v/>
      </c>
      <c r="BF499" s="106" t="str">
        <f aca="false">IF(ISBLANK($C499),"",$B499)</f>
        <v/>
      </c>
      <c r="BG499" s="106" t="str">
        <f aca="false">IF(ISBLANK($C499),"",$C499)</f>
        <v/>
      </c>
      <c r="BH499" s="106" t="str">
        <f aca="false">IF(ISBLANK($C499),"",$D499)</f>
        <v/>
      </c>
      <c r="BI499" s="107" t="str">
        <f aca="false">AW499</f>
        <v/>
      </c>
      <c r="BJ499" s="108" t="str">
        <f aca="false">AV499</f>
        <v/>
      </c>
      <c r="BK499" s="106" t="str">
        <f aca="false">IF(ISBLANK($C499),"",AY499)</f>
        <v/>
      </c>
      <c r="BL499" s="109" t="str">
        <f aca="false">IF($BC499&gt;$BB$7,"",VLOOKUP($BC499,$BE$8:$BK$507,7,FALSE()))</f>
        <v/>
      </c>
      <c r="BM499" s="110" t="str">
        <f aca="false">IF($BC499&gt;$BB$7,"",VLOOKUP($BC499,$BE$8:$BK$507,2,FALSE()))</f>
        <v/>
      </c>
      <c r="BN499" s="110" t="str">
        <f aca="false">IF($BC499&gt;$BB$7,"",VLOOKUP($BC499,$BE$8:$BK$507,3,FALSE()))</f>
        <v/>
      </c>
      <c r="BO499" s="110" t="str">
        <f aca="false">IF($BC499&gt;$BB$7,"",VLOOKUP($BC499,$BE$8:$BK$507,4,FALSE()))</f>
        <v/>
      </c>
      <c r="BP499" s="110" t="str">
        <f aca="false">IF($BC499&gt;$BB$7,"",VLOOKUP($BC499,$BE$8:$BK$507,5,FALSE()))</f>
        <v/>
      </c>
      <c r="BQ499" s="111" t="str">
        <f aca="false">IF($BC499&gt;$BB$7,"",VLOOKUP($BC499,$BE$8:$BK$507,6,FALSE()))</f>
        <v/>
      </c>
      <c r="BR499" s="54"/>
    </row>
    <row r="500" customFormat="false" ht="15.75" hidden="false" customHeight="false" outlineLevel="0" collapsed="false">
      <c r="A500" s="5"/>
      <c r="B500" s="124"/>
      <c r="C500" s="56"/>
      <c r="D500" s="57"/>
      <c r="E500" s="83"/>
      <c r="F500" s="59"/>
      <c r="G500" s="60"/>
      <c r="H500" s="61"/>
      <c r="I500" s="62"/>
      <c r="J500" s="59"/>
      <c r="K500" s="60"/>
      <c r="L500" s="61"/>
      <c r="M500" s="62"/>
      <c r="N500" s="59"/>
      <c r="O500" s="83"/>
      <c r="P500" s="64"/>
      <c r="Q500" s="66" t="str">
        <f aca="false">IF(ISBLANK($C500),"",IF(E500=Constants!$B$2, TRUE(), IF(E500=Constants!$B$3, FALSE(), TRUE())))</f>
        <v/>
      </c>
      <c r="R500" s="66" t="str">
        <f aca="false">IF(ISBLANK($C500),"",IF(F500=Constants!$B$16,Constants!$B$9,IF(F500=Constants!$B$17,Constants!$B$10,Constants!$B$8)))</f>
        <v/>
      </c>
      <c r="S500" s="66" t="str">
        <f aca="false">IF(ISBLANK($C500),"",IF(COUNTA(G500:H500)=0,"",IF(AND(OR(ISBLANK(G500),AND(ISNUMBER(G500),G500&gt;=0)),OR(ISBLANK(H500),AND(ISNUMBER(H500),H500&gt;=0))),60*IF(ISBLANK(G500),0,G500)+IF(ISBLANK(H500),0,H500),"")))</f>
        <v/>
      </c>
      <c r="T500" s="66" t="str">
        <f aca="false">IF(ISBLANK($C500),"",IF(I500=Constants!$B$2, TRUE(), IF(I500=Constants!$B$3, FALSE(), TRUE())))</f>
        <v/>
      </c>
      <c r="U500" s="66" t="str">
        <f aca="false">IF(ISBLANK($C500),"",IF(J500=Constants!$B$2, TRUE(), IF(J500=Constants!$B$3, FALSE(), TRUE())))</f>
        <v/>
      </c>
      <c r="V500" s="66" t="str">
        <f aca="false">IF(ISBLANK($C500),"",IF(COUNTA(K500:L500)=0,"",IF(AND(OR(ISBLANK(K500),AND(ISNUMBER(K500),K500&gt;=0)),OR(ISBLANK(L500),AND(ISNUMBER(L500),L500&gt;=0))),60*IF(ISBLANK(K500),0,K500)+IF(ISBLANK(L500),0,L500),"")))</f>
        <v/>
      </c>
      <c r="W500" s="66" t="str">
        <f aca="false">IF(ISBLANK($C500),"",IF(M500=Constants!$B$2, TRUE(), IF(M500=Constants!$B$3, FALSE(), TRUE())))</f>
        <v/>
      </c>
      <c r="X500" s="66" t="str">
        <f aca="false">IF(ISBLANK($C500),"",IF(N500=Constants!$B$2, TRUE(), IF(N500=Constants!$B$3, FALSE(), TRUE())))</f>
        <v/>
      </c>
      <c r="Y500" s="66" t="str">
        <f aca="false">IF(ISBLANK($C500),"",IF(O500=Constants!$B$2, TRUE(), IF(O500=Constants!$B$3, FALSE(), FALSE())))</f>
        <v/>
      </c>
      <c r="Z500" s="66" t="str">
        <f aca="false">IF(ISBLANK($C500),"",AND(S500&lt;&gt;"",Q500))</f>
        <v/>
      </c>
      <c r="AA500" s="66" t="str">
        <f aca="false">IF(ISBLANK($C500),"",AND(V500&lt;&gt;"",Q500))</f>
        <v/>
      </c>
      <c r="AB500" s="66" t="str">
        <f aca="false">IF(ISBLANK($C500),"",IF(Y500,Constants!$B$4,IF(COUNTA(E500:N500)=0,Constants!$B$5,IF(NOT(Q500),Constants!$B$6,IF(AND(NOT(Z500),NOT(AA500)),Constants!$B$6,Constants!$B$7)))))</f>
        <v/>
      </c>
      <c r="AC500" s="66" t="str">
        <f aca="false">IF(ISBLANK($C500),"",IF($AB500&lt;&gt;Constants!$B$7,$AB500,Constants!$B$20))</f>
        <v/>
      </c>
      <c r="AD500" s="66" t="str">
        <f aca="false">IF($AB500=Constants!$B$7,IF(Z500,S500,Constants!$B$13),"")</f>
        <v/>
      </c>
      <c r="AE500" s="66" t="str">
        <f aca="false">IF($AB500=Constants!$B$7,IF(Z500,R500*IF(T500, 1, Constants!$B$11)*IF(U500, 1, Constants!$B$12),Constants!$B$13),"")</f>
        <v/>
      </c>
      <c r="AF500" s="66" t="str">
        <f aca="false">IF($AB500=Constants!$B$7,AD500*AE500,"")</f>
        <v/>
      </c>
      <c r="AG500" s="66" t="str">
        <f aca="false">IF($AB500=Constants!$B$7,IF(AA500,V500,Constants!$B$13),"")</f>
        <v/>
      </c>
      <c r="AH500" s="66" t="str">
        <f aca="false">IF($AB500=Constants!$B$7,IF(AA500,R500*IF(W500, 1, Constants!$B$11)*IF(X500, 1, Constants!$B$12),Constants!$B$13),"")</f>
        <v/>
      </c>
      <c r="AI500" s="66" t="str">
        <f aca="false">IF($AB500=Constants!$B$7,AG500*AH500,"")</f>
        <v/>
      </c>
      <c r="AJ500" s="66" t="str">
        <f aca="false">IF($AB500=Constants!$B$7,IF(AI500&gt;AF500,2,1),"")</f>
        <v/>
      </c>
      <c r="AK500" s="66" t="str">
        <f aca="false">IF($AB500=Constants!$B$7,IF(AJ500=1,2,1),"")</f>
        <v/>
      </c>
      <c r="AL500" s="66" t="str">
        <f aca="false">IF(ISBLANK($C500),"",IF($AB500&lt;&gt;Constants!$B$7,$AB500,IF(AJ500=1,AF500,AI500)))</f>
        <v/>
      </c>
      <c r="AM500" s="66" t="str">
        <f aca="false">IF(ISBLANK($C500),"",IF($AB500=Constants!$B$7,IF(ISNUMBER(AL500),RANK(AL500,$AL$8:$AL$507),Constants!$B$14),$AB500))</f>
        <v/>
      </c>
      <c r="AN500" s="66" t="str">
        <f aca="false">IF(ISBLANK($C500),"",IF($AB500=Constants!$B$7,IF(AK500=1,AF500,AI500),""))</f>
        <v/>
      </c>
      <c r="AO500" s="66" t="str">
        <f aca="false">IF(ISBLANK($C500),"",IF($AB500=Constants!$B$7,RANK(AN500,$AN$8:$AN$507),$AB500))</f>
        <v/>
      </c>
      <c r="AP500" s="66" t="str">
        <f aca="false">IF(ISBLANK($C500),"",IF($AB500=Constants!$B$7,IF(ISNUMBER(AM500),COUNTIFS($AM$8:$AM$507,"&lt;"&amp;$AM500)+COUNTIFS($AM$8:$AM$507,$AM500,$AO$8:$AO$507,"&lt;"&amp;$AO500)+1,Constants!$B$14),$AB500))</f>
        <v/>
      </c>
      <c r="AQ500" s="66" t="str">
        <f aca="false">IF(ISBLANK($C500),"",IF($AB500=Constants!$B$7,IF(ISNUMBER(AM500),AM500-AP500,Constants!$B$14),$AB500))</f>
        <v/>
      </c>
      <c r="AR500" s="68"/>
      <c r="AS500" s="69" t="str">
        <f aca="false">IF(ISBLANK($C500),"",IF($AB500&lt;&gt;Constants!$B$7,"",AJ500))</f>
        <v/>
      </c>
      <c r="AT500" s="84" t="str">
        <f aca="false">IF(ISBLANK($C500),"",IF($AB500&lt;&gt;Constants!$B$7,"",IF(AJ500=1,AD500,AG500)))</f>
        <v/>
      </c>
      <c r="AU500" s="71" t="str">
        <f aca="false">IF(ISBLANK($C500),"",IF($AB500&lt;&gt;Constants!$B$7,"",IF(AJ500=1,AE500,AH500)))</f>
        <v/>
      </c>
      <c r="AV500" s="72" t="str">
        <f aca="false">IF(ISBLANK($C500),"",IF($AB500&lt;&gt;Constants!$B$7,$AB500,AL500))</f>
        <v/>
      </c>
      <c r="AW500" s="73" t="str">
        <f aca="false">IF(ISBLANK($C500),"",IF($AB500&lt;&gt;Constants!$B$7,$AB500,AC500))</f>
        <v/>
      </c>
      <c r="AX500" s="74" t="str">
        <f aca="false">IF(ISBLANK($C500),"",AQ500)</f>
        <v/>
      </c>
      <c r="AY500" s="74" t="str">
        <f aca="false">IF(ISBLANK($C500),"",AP500)</f>
        <v/>
      </c>
      <c r="AZ500" s="75" t="str">
        <f aca="false">IF(ISBLANK($C500),"",IF(AY500=Constants!$B$4,COUNTA($C$8:$C$507)+2,IF(AY500=Constants!$B$5,COUNTA($C$8:$C$507)+1,IF(AY500=Constants!$B$6,COUNTA($C$8:$C$507),AY500))))</f>
        <v/>
      </c>
      <c r="BA500" s="5"/>
      <c r="BB500" s="76" t="n">
        <f aca="false">IF(OR(ISNUMBER(AY500),AY500=Constants!$B$4,AY500=Constants!$B$6,AY500=Constants!$B$5),1,0)</f>
        <v>0</v>
      </c>
      <c r="BC500" s="76" t="n">
        <v>493</v>
      </c>
      <c r="BD500" s="76" t="str">
        <f aca="false">IF(ISBLANK($C500),"",IF(ISNUMBER(AZ500),AZ500+ROW($B500)/1000,""))</f>
        <v/>
      </c>
      <c r="BE500" s="76" t="str">
        <f aca="false">IF(ISNUMBER(BD500),RANK(BD500,$BD$8:$BD$507,1),"")</f>
        <v/>
      </c>
      <c r="BF500" s="76" t="str">
        <f aca="false">IF(ISBLANK($C500),"",$B500)</f>
        <v/>
      </c>
      <c r="BG500" s="76" t="str">
        <f aca="false">IF(ISBLANK($C500),"",$C500)</f>
        <v/>
      </c>
      <c r="BH500" s="76" t="str">
        <f aca="false">IF(ISBLANK($C500),"",$D500)</f>
        <v/>
      </c>
      <c r="BI500" s="77" t="str">
        <f aca="false">AW500</f>
        <v/>
      </c>
      <c r="BJ500" s="78" t="str">
        <f aca="false">AV500</f>
        <v/>
      </c>
      <c r="BK500" s="76" t="str">
        <f aca="false">IF(ISBLANK($C500),"",AY500)</f>
        <v/>
      </c>
      <c r="BL500" s="79" t="str">
        <f aca="false">IF($BC500&gt;$BB$7,"",VLOOKUP($BC500,$BE$8:$BK$507,7,FALSE()))</f>
        <v/>
      </c>
      <c r="BM500" s="80" t="str">
        <f aca="false">IF($BC500&gt;$BB$7,"",VLOOKUP($BC500,$BE$8:$BK$507,2,FALSE()))</f>
        <v/>
      </c>
      <c r="BN500" s="80" t="str">
        <f aca="false">IF($BC500&gt;$BB$7,"",VLOOKUP($BC500,$BE$8:$BK$507,3,FALSE()))</f>
        <v/>
      </c>
      <c r="BO500" s="80" t="str">
        <f aca="false">IF($BC500&gt;$BB$7,"",VLOOKUP($BC500,$BE$8:$BK$507,4,FALSE()))</f>
        <v/>
      </c>
      <c r="BP500" s="80" t="str">
        <f aca="false">IF($BC500&gt;$BB$7,"",VLOOKUP($BC500,$BE$8:$BK$507,5,FALSE()))</f>
        <v/>
      </c>
      <c r="BQ500" s="81" t="str">
        <f aca="false">IF($BC500&gt;$BB$7,"",VLOOKUP($BC500,$BE$8:$BK$507,6,FALSE()))</f>
        <v/>
      </c>
      <c r="BR500" s="54"/>
    </row>
    <row r="501" customFormat="false" ht="15.75" hidden="false" customHeight="false" outlineLevel="0" collapsed="false">
      <c r="A501" s="5"/>
      <c r="B501" s="124"/>
      <c r="C501" s="56"/>
      <c r="D501" s="57"/>
      <c r="E501" s="83"/>
      <c r="F501" s="59"/>
      <c r="G501" s="60"/>
      <c r="H501" s="61"/>
      <c r="I501" s="62"/>
      <c r="J501" s="59"/>
      <c r="K501" s="60"/>
      <c r="L501" s="61"/>
      <c r="M501" s="62"/>
      <c r="N501" s="59"/>
      <c r="O501" s="83"/>
      <c r="P501" s="64"/>
      <c r="Q501" s="66" t="str">
        <f aca="false">IF(ISBLANK($C501),"",IF(E501=Constants!$B$2, TRUE(), IF(E501=Constants!$B$3, FALSE(), TRUE())))</f>
        <v/>
      </c>
      <c r="R501" s="66" t="str">
        <f aca="false">IF(ISBLANK($C501),"",IF(F501=Constants!$B$16,Constants!$B$9,IF(F501=Constants!$B$17,Constants!$B$10,Constants!$B$8)))</f>
        <v/>
      </c>
      <c r="S501" s="66" t="str">
        <f aca="false">IF(ISBLANK($C501),"",IF(COUNTA(G501:H501)=0,"",IF(AND(OR(ISBLANK(G501),AND(ISNUMBER(G501),G501&gt;=0)),OR(ISBLANK(H501),AND(ISNUMBER(H501),H501&gt;=0))),60*IF(ISBLANK(G501),0,G501)+IF(ISBLANK(H501),0,H501),"")))</f>
        <v/>
      </c>
      <c r="T501" s="66" t="str">
        <f aca="false">IF(ISBLANK($C501),"",IF(I501=Constants!$B$2, TRUE(), IF(I501=Constants!$B$3, FALSE(), TRUE())))</f>
        <v/>
      </c>
      <c r="U501" s="66" t="str">
        <f aca="false">IF(ISBLANK($C501),"",IF(J501=Constants!$B$2, TRUE(), IF(J501=Constants!$B$3, FALSE(), TRUE())))</f>
        <v/>
      </c>
      <c r="V501" s="66" t="str">
        <f aca="false">IF(ISBLANK($C501),"",IF(COUNTA(K501:L501)=0,"",IF(AND(OR(ISBLANK(K501),AND(ISNUMBER(K501),K501&gt;=0)),OR(ISBLANK(L501),AND(ISNUMBER(L501),L501&gt;=0))),60*IF(ISBLANK(K501),0,K501)+IF(ISBLANK(L501),0,L501),"")))</f>
        <v/>
      </c>
      <c r="W501" s="66" t="str">
        <f aca="false">IF(ISBLANK($C501),"",IF(M501=Constants!$B$2, TRUE(), IF(M501=Constants!$B$3, FALSE(), TRUE())))</f>
        <v/>
      </c>
      <c r="X501" s="66" t="str">
        <f aca="false">IF(ISBLANK($C501),"",IF(N501=Constants!$B$2, TRUE(), IF(N501=Constants!$B$3, FALSE(), TRUE())))</f>
        <v/>
      </c>
      <c r="Y501" s="66" t="str">
        <f aca="false">IF(ISBLANK($C501),"",IF(O501=Constants!$B$2, TRUE(), IF(O501=Constants!$B$3, FALSE(), FALSE())))</f>
        <v/>
      </c>
      <c r="Z501" s="66" t="str">
        <f aca="false">IF(ISBLANK($C501),"",AND(S501&lt;&gt;"",Q501))</f>
        <v/>
      </c>
      <c r="AA501" s="66" t="str">
        <f aca="false">IF(ISBLANK($C501),"",AND(V501&lt;&gt;"",Q501))</f>
        <v/>
      </c>
      <c r="AB501" s="66" t="str">
        <f aca="false">IF(ISBLANK($C501),"",IF(Y501,Constants!$B$4,IF(COUNTA(E501:N501)=0,Constants!$B$5,IF(NOT(Q501),Constants!$B$6,IF(AND(NOT(Z501),NOT(AA501)),Constants!$B$6,Constants!$B$7)))))</f>
        <v/>
      </c>
      <c r="AC501" s="66" t="str">
        <f aca="false">IF(ISBLANK($C501),"",IF($AB501&lt;&gt;Constants!$B$7,$AB501,Constants!$B$20))</f>
        <v/>
      </c>
      <c r="AD501" s="66" t="str">
        <f aca="false">IF($AB501=Constants!$B$7,IF(Z501,S501,Constants!$B$13),"")</f>
        <v/>
      </c>
      <c r="AE501" s="66" t="str">
        <f aca="false">IF($AB501=Constants!$B$7,IF(Z501,R501*IF(T501, 1, Constants!$B$11)*IF(U501, 1, Constants!$B$12),Constants!$B$13),"")</f>
        <v/>
      </c>
      <c r="AF501" s="66" t="str">
        <f aca="false">IF($AB501=Constants!$B$7,AD501*AE501,"")</f>
        <v/>
      </c>
      <c r="AG501" s="66" t="str">
        <f aca="false">IF($AB501=Constants!$B$7,IF(AA501,V501,Constants!$B$13),"")</f>
        <v/>
      </c>
      <c r="AH501" s="66" t="str">
        <f aca="false">IF($AB501=Constants!$B$7,IF(AA501,R501*IF(W501, 1, Constants!$B$11)*IF(X501, 1, Constants!$B$12),Constants!$B$13),"")</f>
        <v/>
      </c>
      <c r="AI501" s="66" t="str">
        <f aca="false">IF($AB501=Constants!$B$7,AG501*AH501,"")</f>
        <v/>
      </c>
      <c r="AJ501" s="66" t="str">
        <f aca="false">IF($AB501=Constants!$B$7,IF(AI501&gt;AF501,2,1),"")</f>
        <v/>
      </c>
      <c r="AK501" s="66" t="str">
        <f aca="false">IF($AB501=Constants!$B$7,IF(AJ501=1,2,1),"")</f>
        <v/>
      </c>
      <c r="AL501" s="66" t="str">
        <f aca="false">IF(ISBLANK($C501),"",IF($AB501&lt;&gt;Constants!$B$7,$AB501,IF(AJ501=1,AF501,AI501)))</f>
        <v/>
      </c>
      <c r="AM501" s="66" t="str">
        <f aca="false">IF(ISBLANK($C501),"",IF($AB501=Constants!$B$7,IF(ISNUMBER(AL501),RANK(AL501,$AL$8:$AL$507),Constants!$B$14),$AB501))</f>
        <v/>
      </c>
      <c r="AN501" s="66" t="str">
        <f aca="false">IF(ISBLANK($C501),"",IF($AB501=Constants!$B$7,IF(AK501=1,AF501,AI501),""))</f>
        <v/>
      </c>
      <c r="AO501" s="66" t="str">
        <f aca="false">IF(ISBLANK($C501),"",IF($AB501=Constants!$B$7,RANK(AN501,$AN$8:$AN$507),$AB501))</f>
        <v/>
      </c>
      <c r="AP501" s="66" t="str">
        <f aca="false">IF(ISBLANK($C501),"",IF($AB501=Constants!$B$7,IF(ISNUMBER(AM501),COUNTIFS($AM$8:$AM$507,"&lt;"&amp;$AM501)+COUNTIFS($AM$8:$AM$507,$AM501,$AO$8:$AO$507,"&lt;"&amp;$AO501)+1,Constants!$B$14),$AB501))</f>
        <v/>
      </c>
      <c r="AQ501" s="66" t="str">
        <f aca="false">IF(ISBLANK($C501),"",IF($AB501=Constants!$B$7,IF(ISNUMBER(AM501),AM501-AP501,Constants!$B$14),$AB501))</f>
        <v/>
      </c>
      <c r="AR501" s="68"/>
      <c r="AS501" s="69" t="str">
        <f aca="false">IF(ISBLANK($C501),"",IF($AB501&lt;&gt;Constants!$B$7,"",AJ501))</f>
        <v/>
      </c>
      <c r="AT501" s="84" t="str">
        <f aca="false">IF(ISBLANK($C501),"",IF($AB501&lt;&gt;Constants!$B$7,"",IF(AJ501=1,AD501,AG501)))</f>
        <v/>
      </c>
      <c r="AU501" s="71" t="str">
        <f aca="false">IF(ISBLANK($C501),"",IF($AB501&lt;&gt;Constants!$B$7,"",IF(AJ501=1,AE501,AH501)))</f>
        <v/>
      </c>
      <c r="AV501" s="72" t="str">
        <f aca="false">IF(ISBLANK($C501),"",IF($AB501&lt;&gt;Constants!$B$7,$AB501,AL501))</f>
        <v/>
      </c>
      <c r="AW501" s="73" t="str">
        <f aca="false">IF(ISBLANK($C501),"",IF($AB501&lt;&gt;Constants!$B$7,$AB501,AC501))</f>
        <v/>
      </c>
      <c r="AX501" s="74" t="str">
        <f aca="false">IF(ISBLANK($C501),"",AQ501)</f>
        <v/>
      </c>
      <c r="AY501" s="74" t="str">
        <f aca="false">IF(ISBLANK($C501),"",AP501)</f>
        <v/>
      </c>
      <c r="AZ501" s="75" t="str">
        <f aca="false">IF(ISBLANK($C501),"",IF(AY501=Constants!$B$4,COUNTA($C$8:$C$507)+2,IF(AY501=Constants!$B$5,COUNTA($C$8:$C$507)+1,IF(AY501=Constants!$B$6,COUNTA($C$8:$C$507),AY501))))</f>
        <v/>
      </c>
      <c r="BA501" s="5"/>
      <c r="BB501" s="76" t="n">
        <f aca="false">IF(OR(ISNUMBER(AY501),AY501=Constants!$B$4,AY501=Constants!$B$6,AY501=Constants!$B$5),1,0)</f>
        <v>0</v>
      </c>
      <c r="BC501" s="76" t="n">
        <v>494</v>
      </c>
      <c r="BD501" s="76" t="str">
        <f aca="false">IF(ISBLANK($C501),"",IF(ISNUMBER(AZ501),AZ501+ROW($B501)/1000,""))</f>
        <v/>
      </c>
      <c r="BE501" s="76" t="str">
        <f aca="false">IF(ISNUMBER(BD501),RANK(BD501,$BD$8:$BD$507,1),"")</f>
        <v/>
      </c>
      <c r="BF501" s="76" t="str">
        <f aca="false">IF(ISBLANK($C501),"",$B501)</f>
        <v/>
      </c>
      <c r="BG501" s="76" t="str">
        <f aca="false">IF(ISBLANK($C501),"",$C501)</f>
        <v/>
      </c>
      <c r="BH501" s="76" t="str">
        <f aca="false">IF(ISBLANK($C501),"",$D501)</f>
        <v/>
      </c>
      <c r="BI501" s="77" t="str">
        <f aca="false">AW501</f>
        <v/>
      </c>
      <c r="BJ501" s="78" t="str">
        <f aca="false">AV501</f>
        <v/>
      </c>
      <c r="BK501" s="76" t="str">
        <f aca="false">IF(ISBLANK($C501),"",AY501)</f>
        <v/>
      </c>
      <c r="BL501" s="79" t="str">
        <f aca="false">IF($BC501&gt;$BB$7,"",VLOOKUP($BC501,$BE$8:$BK$507,7,FALSE()))</f>
        <v/>
      </c>
      <c r="BM501" s="80" t="str">
        <f aca="false">IF($BC501&gt;$BB$7,"",VLOOKUP($BC501,$BE$8:$BK$507,2,FALSE()))</f>
        <v/>
      </c>
      <c r="BN501" s="80" t="str">
        <f aca="false">IF($BC501&gt;$BB$7,"",VLOOKUP($BC501,$BE$8:$BK$507,3,FALSE()))</f>
        <v/>
      </c>
      <c r="BO501" s="80" t="str">
        <f aca="false">IF($BC501&gt;$BB$7,"",VLOOKUP($BC501,$BE$8:$BK$507,4,FALSE()))</f>
        <v/>
      </c>
      <c r="BP501" s="80" t="str">
        <f aca="false">IF($BC501&gt;$BB$7,"",VLOOKUP($BC501,$BE$8:$BK$507,5,FALSE()))</f>
        <v/>
      </c>
      <c r="BQ501" s="81" t="str">
        <f aca="false">IF($BC501&gt;$BB$7,"",VLOOKUP($BC501,$BE$8:$BK$507,6,FALSE()))</f>
        <v/>
      </c>
      <c r="BR501" s="54"/>
    </row>
    <row r="502" customFormat="false" ht="15.75" hidden="false" customHeight="false" outlineLevel="0" collapsed="false">
      <c r="A502" s="5"/>
      <c r="B502" s="124"/>
      <c r="C502" s="56"/>
      <c r="D502" s="57"/>
      <c r="E502" s="83"/>
      <c r="F502" s="59"/>
      <c r="G502" s="60"/>
      <c r="H502" s="61"/>
      <c r="I502" s="62"/>
      <c r="J502" s="59"/>
      <c r="K502" s="60"/>
      <c r="L502" s="61"/>
      <c r="M502" s="62"/>
      <c r="N502" s="59"/>
      <c r="O502" s="83"/>
      <c r="P502" s="64"/>
      <c r="Q502" s="66" t="str">
        <f aca="false">IF(ISBLANK($C502),"",IF(E502=Constants!$B$2, TRUE(), IF(E502=Constants!$B$3, FALSE(), TRUE())))</f>
        <v/>
      </c>
      <c r="R502" s="66" t="str">
        <f aca="false">IF(ISBLANK($C502),"",IF(F502=Constants!$B$16,Constants!$B$9,IF(F502=Constants!$B$17,Constants!$B$10,Constants!$B$8)))</f>
        <v/>
      </c>
      <c r="S502" s="66" t="str">
        <f aca="false">IF(ISBLANK($C502),"",IF(COUNTA(G502:H502)=0,"",IF(AND(OR(ISBLANK(G502),AND(ISNUMBER(G502),G502&gt;=0)),OR(ISBLANK(H502),AND(ISNUMBER(H502),H502&gt;=0))),60*IF(ISBLANK(G502),0,G502)+IF(ISBLANK(H502),0,H502),"")))</f>
        <v/>
      </c>
      <c r="T502" s="66" t="str">
        <f aca="false">IF(ISBLANK($C502),"",IF(I502=Constants!$B$2, TRUE(), IF(I502=Constants!$B$3, FALSE(), TRUE())))</f>
        <v/>
      </c>
      <c r="U502" s="66" t="str">
        <f aca="false">IF(ISBLANK($C502),"",IF(J502=Constants!$B$2, TRUE(), IF(J502=Constants!$B$3, FALSE(), TRUE())))</f>
        <v/>
      </c>
      <c r="V502" s="66" t="str">
        <f aca="false">IF(ISBLANK($C502),"",IF(COUNTA(K502:L502)=0,"",IF(AND(OR(ISBLANK(K502),AND(ISNUMBER(K502),K502&gt;=0)),OR(ISBLANK(L502),AND(ISNUMBER(L502),L502&gt;=0))),60*IF(ISBLANK(K502),0,K502)+IF(ISBLANK(L502),0,L502),"")))</f>
        <v/>
      </c>
      <c r="W502" s="66" t="str">
        <f aca="false">IF(ISBLANK($C502),"",IF(M502=Constants!$B$2, TRUE(), IF(M502=Constants!$B$3, FALSE(), TRUE())))</f>
        <v/>
      </c>
      <c r="X502" s="66" t="str">
        <f aca="false">IF(ISBLANK($C502),"",IF(N502=Constants!$B$2, TRUE(), IF(N502=Constants!$B$3, FALSE(), TRUE())))</f>
        <v/>
      </c>
      <c r="Y502" s="66" t="str">
        <f aca="false">IF(ISBLANK($C502),"",IF(O502=Constants!$B$2, TRUE(), IF(O502=Constants!$B$3, FALSE(), FALSE())))</f>
        <v/>
      </c>
      <c r="Z502" s="66" t="str">
        <f aca="false">IF(ISBLANK($C502),"",AND(S502&lt;&gt;"",Q502))</f>
        <v/>
      </c>
      <c r="AA502" s="66" t="str">
        <f aca="false">IF(ISBLANK($C502),"",AND(V502&lt;&gt;"",Q502))</f>
        <v/>
      </c>
      <c r="AB502" s="66" t="str">
        <f aca="false">IF(ISBLANK($C502),"",IF(Y502,Constants!$B$4,IF(COUNTA(E502:N502)=0,Constants!$B$5,IF(NOT(Q502),Constants!$B$6,IF(AND(NOT(Z502),NOT(AA502)),Constants!$B$6,Constants!$B$7)))))</f>
        <v/>
      </c>
      <c r="AC502" s="66" t="str">
        <f aca="false">IF(ISBLANK($C502),"",IF($AB502&lt;&gt;Constants!$B$7,$AB502,Constants!$B$20))</f>
        <v/>
      </c>
      <c r="AD502" s="66" t="str">
        <f aca="false">IF($AB502=Constants!$B$7,IF(Z502,S502,Constants!$B$13),"")</f>
        <v/>
      </c>
      <c r="AE502" s="66" t="str">
        <f aca="false">IF($AB502=Constants!$B$7,IF(Z502,R502*IF(T502, 1, Constants!$B$11)*IF(U502, 1, Constants!$B$12),Constants!$B$13),"")</f>
        <v/>
      </c>
      <c r="AF502" s="66" t="str">
        <f aca="false">IF($AB502=Constants!$B$7,AD502*AE502,"")</f>
        <v/>
      </c>
      <c r="AG502" s="66" t="str">
        <f aca="false">IF($AB502=Constants!$B$7,IF(AA502,V502,Constants!$B$13),"")</f>
        <v/>
      </c>
      <c r="AH502" s="66" t="str">
        <f aca="false">IF($AB502=Constants!$B$7,IF(AA502,R502*IF(W502, 1, Constants!$B$11)*IF(X502, 1, Constants!$B$12),Constants!$B$13),"")</f>
        <v/>
      </c>
      <c r="AI502" s="66" t="str">
        <f aca="false">IF($AB502=Constants!$B$7,AG502*AH502,"")</f>
        <v/>
      </c>
      <c r="AJ502" s="66" t="str">
        <f aca="false">IF($AB502=Constants!$B$7,IF(AI502&gt;AF502,2,1),"")</f>
        <v/>
      </c>
      <c r="AK502" s="66" t="str">
        <f aca="false">IF($AB502=Constants!$B$7,IF(AJ502=1,2,1),"")</f>
        <v/>
      </c>
      <c r="AL502" s="66" t="str">
        <f aca="false">IF(ISBLANK($C502),"",IF($AB502&lt;&gt;Constants!$B$7,$AB502,IF(AJ502=1,AF502,AI502)))</f>
        <v/>
      </c>
      <c r="AM502" s="66" t="str">
        <f aca="false">IF(ISBLANK($C502),"",IF($AB502=Constants!$B$7,IF(ISNUMBER(AL502),RANK(AL502,$AL$8:$AL$507),Constants!$B$14),$AB502))</f>
        <v/>
      </c>
      <c r="AN502" s="66" t="str">
        <f aca="false">IF(ISBLANK($C502),"",IF($AB502=Constants!$B$7,IF(AK502=1,AF502,AI502),""))</f>
        <v/>
      </c>
      <c r="AO502" s="66" t="str">
        <f aca="false">IF(ISBLANK($C502),"",IF($AB502=Constants!$B$7,RANK(AN502,$AN$8:$AN$507),$AB502))</f>
        <v/>
      </c>
      <c r="AP502" s="66" t="str">
        <f aca="false">IF(ISBLANK($C502),"",IF($AB502=Constants!$B$7,IF(ISNUMBER(AM502),COUNTIFS($AM$8:$AM$507,"&lt;"&amp;$AM502)+COUNTIFS($AM$8:$AM$507,$AM502,$AO$8:$AO$507,"&lt;"&amp;$AO502)+1,Constants!$B$14),$AB502))</f>
        <v/>
      </c>
      <c r="AQ502" s="66" t="str">
        <f aca="false">IF(ISBLANK($C502),"",IF($AB502=Constants!$B$7,IF(ISNUMBER(AM502),AM502-AP502,Constants!$B$14),$AB502))</f>
        <v/>
      </c>
      <c r="AR502" s="68"/>
      <c r="AS502" s="69" t="str">
        <f aca="false">IF(ISBLANK($C502),"",IF($AB502&lt;&gt;Constants!$B$7,"",AJ502))</f>
        <v/>
      </c>
      <c r="AT502" s="84" t="str">
        <f aca="false">IF(ISBLANK($C502),"",IF($AB502&lt;&gt;Constants!$B$7,"",IF(AJ502=1,AD502,AG502)))</f>
        <v/>
      </c>
      <c r="AU502" s="71" t="str">
        <f aca="false">IF(ISBLANK($C502),"",IF($AB502&lt;&gt;Constants!$B$7,"",IF(AJ502=1,AE502,AH502)))</f>
        <v/>
      </c>
      <c r="AV502" s="72" t="str">
        <f aca="false">IF(ISBLANK($C502),"",IF($AB502&lt;&gt;Constants!$B$7,$AB502,AL502))</f>
        <v/>
      </c>
      <c r="AW502" s="73" t="str">
        <f aca="false">IF(ISBLANK($C502),"",IF($AB502&lt;&gt;Constants!$B$7,$AB502,AC502))</f>
        <v/>
      </c>
      <c r="AX502" s="74" t="str">
        <f aca="false">IF(ISBLANK($C502),"",AQ502)</f>
        <v/>
      </c>
      <c r="AY502" s="74" t="str">
        <f aca="false">IF(ISBLANK($C502),"",AP502)</f>
        <v/>
      </c>
      <c r="AZ502" s="75" t="str">
        <f aca="false">IF(ISBLANK($C502),"",IF(AY502=Constants!$B$4,COUNTA($C$8:$C$507)+2,IF(AY502=Constants!$B$5,COUNTA($C$8:$C$507)+1,IF(AY502=Constants!$B$6,COUNTA($C$8:$C$507),AY502))))</f>
        <v/>
      </c>
      <c r="BA502" s="5"/>
      <c r="BB502" s="76" t="n">
        <f aca="false">IF(OR(ISNUMBER(AY502),AY502=Constants!$B$4,AY502=Constants!$B$6,AY502=Constants!$B$5),1,0)</f>
        <v>0</v>
      </c>
      <c r="BC502" s="76" t="n">
        <v>495</v>
      </c>
      <c r="BD502" s="76" t="str">
        <f aca="false">IF(ISBLANK($C502),"",IF(ISNUMBER(AZ502),AZ502+ROW($B502)/1000,""))</f>
        <v/>
      </c>
      <c r="BE502" s="76" t="str">
        <f aca="false">IF(ISNUMBER(BD502),RANK(BD502,$BD$8:$BD$507,1),"")</f>
        <v/>
      </c>
      <c r="BF502" s="76" t="str">
        <f aca="false">IF(ISBLANK($C502),"",$B502)</f>
        <v/>
      </c>
      <c r="BG502" s="76" t="str">
        <f aca="false">IF(ISBLANK($C502),"",$C502)</f>
        <v/>
      </c>
      <c r="BH502" s="76" t="str">
        <f aca="false">IF(ISBLANK($C502),"",$D502)</f>
        <v/>
      </c>
      <c r="BI502" s="77" t="str">
        <f aca="false">AW502</f>
        <v/>
      </c>
      <c r="BJ502" s="78" t="str">
        <f aca="false">AV502</f>
        <v/>
      </c>
      <c r="BK502" s="76" t="str">
        <f aca="false">IF(ISBLANK($C502),"",AY502)</f>
        <v/>
      </c>
      <c r="BL502" s="79" t="str">
        <f aca="false">IF($BC502&gt;$BB$7,"",VLOOKUP($BC502,$BE$8:$BK$507,7,FALSE()))</f>
        <v/>
      </c>
      <c r="BM502" s="80" t="str">
        <f aca="false">IF($BC502&gt;$BB$7,"",VLOOKUP($BC502,$BE$8:$BK$507,2,FALSE()))</f>
        <v/>
      </c>
      <c r="BN502" s="80" t="str">
        <f aca="false">IF($BC502&gt;$BB$7,"",VLOOKUP($BC502,$BE$8:$BK$507,3,FALSE()))</f>
        <v/>
      </c>
      <c r="BO502" s="80" t="str">
        <f aca="false">IF($BC502&gt;$BB$7,"",VLOOKUP($BC502,$BE$8:$BK$507,4,FALSE()))</f>
        <v/>
      </c>
      <c r="BP502" s="80" t="str">
        <f aca="false">IF($BC502&gt;$BB$7,"",VLOOKUP($BC502,$BE$8:$BK$507,5,FALSE()))</f>
        <v/>
      </c>
      <c r="BQ502" s="81" t="str">
        <f aca="false">IF($BC502&gt;$BB$7,"",VLOOKUP($BC502,$BE$8:$BK$507,6,FALSE()))</f>
        <v/>
      </c>
      <c r="BR502" s="54"/>
    </row>
    <row r="503" customFormat="false" ht="15.75" hidden="false" customHeight="false" outlineLevel="0" collapsed="false">
      <c r="A503" s="5"/>
      <c r="B503" s="120"/>
      <c r="C503" s="121"/>
      <c r="D503" s="112"/>
      <c r="E503" s="123"/>
      <c r="F503" s="91"/>
      <c r="G503" s="92"/>
      <c r="H503" s="93"/>
      <c r="I503" s="94"/>
      <c r="J503" s="91"/>
      <c r="K503" s="92"/>
      <c r="L503" s="93"/>
      <c r="M503" s="94"/>
      <c r="N503" s="91"/>
      <c r="O503" s="123"/>
      <c r="P503" s="96"/>
      <c r="Q503" s="97" t="str">
        <f aca="false">IF(ISBLANK($C503),"",IF(E503=Constants!$B$2, TRUE(), IF(E503=Constants!$B$3, FALSE(), TRUE())))</f>
        <v/>
      </c>
      <c r="R503" s="97" t="str">
        <f aca="false">IF(ISBLANK($C503),"",IF(F503=Constants!$B$16,Constants!$B$9,IF(F503=Constants!$B$17,Constants!$B$10,Constants!$B$8)))</f>
        <v/>
      </c>
      <c r="S503" s="97" t="str">
        <f aca="false">IF(ISBLANK($C503),"",IF(COUNTA(G503:H503)=0,"",IF(AND(OR(ISBLANK(G503),AND(ISNUMBER(G503),G503&gt;=0)),OR(ISBLANK(H503),AND(ISNUMBER(H503),H503&gt;=0))),60*IF(ISBLANK(G503),0,G503)+IF(ISBLANK(H503),0,H503),"")))</f>
        <v/>
      </c>
      <c r="T503" s="97" t="str">
        <f aca="false">IF(ISBLANK($C503),"",IF(I503=Constants!$B$2, TRUE(), IF(I503=Constants!$B$3, FALSE(), TRUE())))</f>
        <v/>
      </c>
      <c r="U503" s="97" t="str">
        <f aca="false">IF(ISBLANK($C503),"",IF(J503=Constants!$B$2, TRUE(), IF(J503=Constants!$B$3, FALSE(), TRUE())))</f>
        <v/>
      </c>
      <c r="V503" s="97" t="str">
        <f aca="false">IF(ISBLANK($C503),"",IF(COUNTA(K503:L503)=0,"",IF(AND(OR(ISBLANK(K503),AND(ISNUMBER(K503),K503&gt;=0)),OR(ISBLANK(L503),AND(ISNUMBER(L503),L503&gt;=0))),60*IF(ISBLANK(K503),0,K503)+IF(ISBLANK(L503),0,L503),"")))</f>
        <v/>
      </c>
      <c r="W503" s="97" t="str">
        <f aca="false">IF(ISBLANK($C503),"",IF(M503=Constants!$B$2, TRUE(), IF(M503=Constants!$B$3, FALSE(), TRUE())))</f>
        <v/>
      </c>
      <c r="X503" s="97" t="str">
        <f aca="false">IF(ISBLANK($C503),"",IF(N503=Constants!$B$2, TRUE(), IF(N503=Constants!$B$3, FALSE(), TRUE())))</f>
        <v/>
      </c>
      <c r="Y503" s="97" t="str">
        <f aca="false">IF(ISBLANK($C503),"",IF(O503=Constants!$B$2, TRUE(), IF(O503=Constants!$B$3, FALSE(), FALSE())))</f>
        <v/>
      </c>
      <c r="Z503" s="97" t="str">
        <f aca="false">IF(ISBLANK($C503),"",AND(S503&lt;&gt;"",Q503))</f>
        <v/>
      </c>
      <c r="AA503" s="97" t="str">
        <f aca="false">IF(ISBLANK($C503),"",AND(V503&lt;&gt;"",Q503))</f>
        <v/>
      </c>
      <c r="AB503" s="97" t="str">
        <f aca="false">IF(ISBLANK($C503),"",IF(Y503,Constants!$B$4,IF(COUNTA(E503:N503)=0,Constants!$B$5,IF(NOT(Q503),Constants!$B$6,IF(AND(NOT(Z503),NOT(AA503)),Constants!$B$6,Constants!$B$7)))))</f>
        <v/>
      </c>
      <c r="AC503" s="97" t="str">
        <f aca="false">IF(ISBLANK($C503),"",IF($AB503&lt;&gt;Constants!$B$7,$AB503,Constants!$B$20))</f>
        <v/>
      </c>
      <c r="AD503" s="97" t="str">
        <f aca="false">IF($AB503=Constants!$B$7,IF(Z503,S503,Constants!$B$13),"")</f>
        <v/>
      </c>
      <c r="AE503" s="97" t="str">
        <f aca="false">IF($AB503=Constants!$B$7,IF(Z503,R503*IF(T503, 1, Constants!$B$11)*IF(U503, 1, Constants!$B$12),Constants!$B$13),"")</f>
        <v/>
      </c>
      <c r="AF503" s="97" t="str">
        <f aca="false">IF($AB503=Constants!$B$7,AD503*AE503,"")</f>
        <v/>
      </c>
      <c r="AG503" s="97" t="str">
        <f aca="false">IF($AB503=Constants!$B$7,IF(AA503,V503,Constants!$B$13),"")</f>
        <v/>
      </c>
      <c r="AH503" s="97" t="str">
        <f aca="false">IF($AB503=Constants!$B$7,IF(AA503,R503*IF(W503, 1, Constants!$B$11)*IF(X503, 1, Constants!$B$12),Constants!$B$13),"")</f>
        <v/>
      </c>
      <c r="AI503" s="97" t="str">
        <f aca="false">IF($AB503=Constants!$B$7,AG503*AH503,"")</f>
        <v/>
      </c>
      <c r="AJ503" s="97" t="str">
        <f aca="false">IF($AB503=Constants!$B$7,IF(AI503&gt;AF503,2,1),"")</f>
        <v/>
      </c>
      <c r="AK503" s="97" t="str">
        <f aca="false">IF($AB503=Constants!$B$7,IF(AJ503=1,2,1),"")</f>
        <v/>
      </c>
      <c r="AL503" s="97" t="str">
        <f aca="false">IF(ISBLANK($C503),"",IF($AB503&lt;&gt;Constants!$B$7,$AB503,IF(AJ503=1,AF503,AI503)))</f>
        <v/>
      </c>
      <c r="AM503" s="97" t="str">
        <f aca="false">IF(ISBLANK($C503),"",IF($AB503=Constants!$B$7,IF(ISNUMBER(AL503),RANK(AL503,$AL$8:$AL$507),Constants!$B$14),$AB503))</f>
        <v/>
      </c>
      <c r="AN503" s="97" t="str">
        <f aca="false">IF(ISBLANK($C503),"",IF($AB503=Constants!$B$7,IF(AK503=1,AF503,AI503),""))</f>
        <v/>
      </c>
      <c r="AO503" s="97" t="str">
        <f aca="false">IF(ISBLANK($C503),"",IF($AB503=Constants!$B$7,RANK(AN503,$AN$8:$AN$507),$AB503))</f>
        <v/>
      </c>
      <c r="AP503" s="97" t="str">
        <f aca="false">IF(ISBLANK($C503),"",IF($AB503=Constants!$B$7,IF(ISNUMBER(AM503),COUNTIFS($AM$8:$AM$507,"&lt;"&amp;$AM503)+COUNTIFS($AM$8:$AM$507,$AM503,$AO$8:$AO$507,"&lt;"&amp;$AO503)+1,Constants!$B$14),$AB503))</f>
        <v/>
      </c>
      <c r="AQ503" s="97" t="str">
        <f aca="false">IF(ISBLANK($C503),"",IF($AB503=Constants!$B$7,IF(ISNUMBER(AM503),AM503-AP503,Constants!$B$14),$AB503))</f>
        <v/>
      </c>
      <c r="AR503" s="98"/>
      <c r="AS503" s="99" t="str">
        <f aca="false">IF(ISBLANK($C503),"",IF($AB503&lt;&gt;Constants!$B$7,"",AJ503))</f>
        <v/>
      </c>
      <c r="AT503" s="100" t="str">
        <f aca="false">IF(ISBLANK($C503),"",IF($AB503&lt;&gt;Constants!$B$7,"",IF(AJ503=1,AD503,AG503)))</f>
        <v/>
      </c>
      <c r="AU503" s="101" t="str">
        <f aca="false">IF(ISBLANK($C503),"",IF($AB503&lt;&gt;Constants!$B$7,"",IF(AJ503=1,AE503,AH503)))</f>
        <v/>
      </c>
      <c r="AV503" s="102" t="str">
        <f aca="false">IF(ISBLANK($C503),"",IF($AB503&lt;&gt;Constants!$B$7,$AB503,AL503))</f>
        <v/>
      </c>
      <c r="AW503" s="103" t="str">
        <f aca="false">IF(ISBLANK($C503),"",IF($AB503&lt;&gt;Constants!$B$7,$AB503,AC503))</f>
        <v/>
      </c>
      <c r="AX503" s="104" t="str">
        <f aca="false">IF(ISBLANK($C503),"",AQ503)</f>
        <v/>
      </c>
      <c r="AY503" s="104" t="str">
        <f aca="false">IF(ISBLANK($C503),"",AP503)</f>
        <v/>
      </c>
      <c r="AZ503" s="105" t="str">
        <f aca="false">IF(ISBLANK($C503),"",IF(AY503=Constants!$B$4,COUNTA($C$8:$C$507)+2,IF(AY503=Constants!$B$5,COUNTA($C$8:$C$507)+1,IF(AY503=Constants!$B$6,COUNTA($C$8:$C$507),AY503))))</f>
        <v/>
      </c>
      <c r="BA503" s="5"/>
      <c r="BB503" s="106" t="n">
        <f aca="false">IF(OR(ISNUMBER(AY503),AY503=Constants!$B$4,AY503=Constants!$B$6,AY503=Constants!$B$5),1,0)</f>
        <v>0</v>
      </c>
      <c r="BC503" s="106" t="n">
        <v>496</v>
      </c>
      <c r="BD503" s="106" t="str">
        <f aca="false">IF(ISBLANK($C503),"",IF(ISNUMBER(AZ503),AZ503+ROW($B503)/1000,""))</f>
        <v/>
      </c>
      <c r="BE503" s="106" t="str">
        <f aca="false">IF(ISNUMBER(BD503),RANK(BD503,$BD$8:$BD$507,1),"")</f>
        <v/>
      </c>
      <c r="BF503" s="106" t="str">
        <f aca="false">IF(ISBLANK($C503),"",$B503)</f>
        <v/>
      </c>
      <c r="BG503" s="106" t="str">
        <f aca="false">IF(ISBLANK($C503),"",$C503)</f>
        <v/>
      </c>
      <c r="BH503" s="106" t="str">
        <f aca="false">IF(ISBLANK($C503),"",$D503)</f>
        <v/>
      </c>
      <c r="BI503" s="107" t="str">
        <f aca="false">AW503</f>
        <v/>
      </c>
      <c r="BJ503" s="108" t="str">
        <f aca="false">AV503</f>
        <v/>
      </c>
      <c r="BK503" s="106" t="str">
        <f aca="false">IF(ISBLANK($C503),"",AY503)</f>
        <v/>
      </c>
      <c r="BL503" s="109" t="str">
        <f aca="false">IF($BC503&gt;$BB$7,"",VLOOKUP($BC503,$BE$8:$BK$507,7,FALSE()))</f>
        <v/>
      </c>
      <c r="BM503" s="110" t="str">
        <f aca="false">IF($BC503&gt;$BB$7,"",VLOOKUP($BC503,$BE$8:$BK$507,2,FALSE()))</f>
        <v/>
      </c>
      <c r="BN503" s="110" t="str">
        <f aca="false">IF($BC503&gt;$BB$7,"",VLOOKUP($BC503,$BE$8:$BK$507,3,FALSE()))</f>
        <v/>
      </c>
      <c r="BO503" s="110" t="str">
        <f aca="false">IF($BC503&gt;$BB$7,"",VLOOKUP($BC503,$BE$8:$BK$507,4,FALSE()))</f>
        <v/>
      </c>
      <c r="BP503" s="110" t="str">
        <f aca="false">IF($BC503&gt;$BB$7,"",VLOOKUP($BC503,$BE$8:$BK$507,5,FALSE()))</f>
        <v/>
      </c>
      <c r="BQ503" s="111" t="str">
        <f aca="false">IF($BC503&gt;$BB$7,"",VLOOKUP($BC503,$BE$8:$BK$507,6,FALSE()))</f>
        <v/>
      </c>
      <c r="BR503" s="54"/>
    </row>
    <row r="504" customFormat="false" ht="15.75" hidden="false" customHeight="false" outlineLevel="0" collapsed="false">
      <c r="A504" s="5"/>
      <c r="B504" s="120"/>
      <c r="C504" s="121"/>
      <c r="D504" s="112"/>
      <c r="E504" s="123"/>
      <c r="F504" s="91"/>
      <c r="G504" s="92"/>
      <c r="H504" s="93"/>
      <c r="I504" s="94"/>
      <c r="J504" s="91"/>
      <c r="K504" s="92"/>
      <c r="L504" s="93"/>
      <c r="M504" s="94"/>
      <c r="N504" s="91"/>
      <c r="O504" s="123"/>
      <c r="P504" s="96"/>
      <c r="Q504" s="97" t="str">
        <f aca="false">IF(ISBLANK($C504),"",IF(E504=Constants!$B$2, TRUE(), IF(E504=Constants!$B$3, FALSE(), TRUE())))</f>
        <v/>
      </c>
      <c r="R504" s="97" t="str">
        <f aca="false">IF(ISBLANK($C504),"",IF(F504=Constants!$B$16,Constants!$B$9,IF(F504=Constants!$B$17,Constants!$B$10,Constants!$B$8)))</f>
        <v/>
      </c>
      <c r="S504" s="97" t="str">
        <f aca="false">IF(ISBLANK($C504),"",IF(COUNTA(G504:H504)=0,"",IF(AND(OR(ISBLANK(G504),AND(ISNUMBER(G504),G504&gt;=0)),OR(ISBLANK(H504),AND(ISNUMBER(H504),H504&gt;=0))),60*IF(ISBLANK(G504),0,G504)+IF(ISBLANK(H504),0,H504),"")))</f>
        <v/>
      </c>
      <c r="T504" s="97" t="str">
        <f aca="false">IF(ISBLANK($C504),"",IF(I504=Constants!$B$2, TRUE(), IF(I504=Constants!$B$3, FALSE(), TRUE())))</f>
        <v/>
      </c>
      <c r="U504" s="97" t="str">
        <f aca="false">IF(ISBLANK($C504),"",IF(J504=Constants!$B$2, TRUE(), IF(J504=Constants!$B$3, FALSE(), TRUE())))</f>
        <v/>
      </c>
      <c r="V504" s="97" t="str">
        <f aca="false">IF(ISBLANK($C504),"",IF(COUNTA(K504:L504)=0,"",IF(AND(OR(ISBLANK(K504),AND(ISNUMBER(K504),K504&gt;=0)),OR(ISBLANK(L504),AND(ISNUMBER(L504),L504&gt;=0))),60*IF(ISBLANK(K504),0,K504)+IF(ISBLANK(L504),0,L504),"")))</f>
        <v/>
      </c>
      <c r="W504" s="97" t="str">
        <f aca="false">IF(ISBLANK($C504),"",IF(M504=Constants!$B$2, TRUE(), IF(M504=Constants!$B$3, FALSE(), TRUE())))</f>
        <v/>
      </c>
      <c r="X504" s="97" t="str">
        <f aca="false">IF(ISBLANK($C504),"",IF(N504=Constants!$B$2, TRUE(), IF(N504=Constants!$B$3, FALSE(), TRUE())))</f>
        <v/>
      </c>
      <c r="Y504" s="97" t="str">
        <f aca="false">IF(ISBLANK($C504),"",IF(O504=Constants!$B$2, TRUE(), IF(O504=Constants!$B$3, FALSE(), FALSE())))</f>
        <v/>
      </c>
      <c r="Z504" s="97" t="str">
        <f aca="false">IF(ISBLANK($C504),"",AND(S504&lt;&gt;"",Q504))</f>
        <v/>
      </c>
      <c r="AA504" s="97" t="str">
        <f aca="false">IF(ISBLANK($C504),"",AND(V504&lt;&gt;"",Q504))</f>
        <v/>
      </c>
      <c r="AB504" s="97" t="str">
        <f aca="false">IF(ISBLANK($C504),"",IF(Y504,Constants!$B$4,IF(COUNTA(E504:N504)=0,Constants!$B$5,IF(NOT(Q504),Constants!$B$6,IF(AND(NOT(Z504),NOT(AA504)),Constants!$B$6,Constants!$B$7)))))</f>
        <v/>
      </c>
      <c r="AC504" s="97" t="str">
        <f aca="false">IF(ISBLANK($C504),"",IF($AB504&lt;&gt;Constants!$B$7,$AB504,Constants!$B$20))</f>
        <v/>
      </c>
      <c r="AD504" s="97" t="str">
        <f aca="false">IF($AB504=Constants!$B$7,IF(Z504,S504,Constants!$B$13),"")</f>
        <v/>
      </c>
      <c r="AE504" s="97" t="str">
        <f aca="false">IF($AB504=Constants!$B$7,IF(Z504,R504*IF(T504, 1, Constants!$B$11)*IF(U504, 1, Constants!$B$12),Constants!$B$13),"")</f>
        <v/>
      </c>
      <c r="AF504" s="97" t="str">
        <f aca="false">IF($AB504=Constants!$B$7,AD504*AE504,"")</f>
        <v/>
      </c>
      <c r="AG504" s="97" t="str">
        <f aca="false">IF($AB504=Constants!$B$7,IF(AA504,V504,Constants!$B$13),"")</f>
        <v/>
      </c>
      <c r="AH504" s="97" t="str">
        <f aca="false">IF($AB504=Constants!$B$7,IF(AA504,R504*IF(W504, 1, Constants!$B$11)*IF(X504, 1, Constants!$B$12),Constants!$B$13),"")</f>
        <v/>
      </c>
      <c r="AI504" s="97" t="str">
        <f aca="false">IF($AB504=Constants!$B$7,AG504*AH504,"")</f>
        <v/>
      </c>
      <c r="AJ504" s="97" t="str">
        <f aca="false">IF($AB504=Constants!$B$7,IF(AI504&gt;AF504,2,1),"")</f>
        <v/>
      </c>
      <c r="AK504" s="97" t="str">
        <f aca="false">IF($AB504=Constants!$B$7,IF(AJ504=1,2,1),"")</f>
        <v/>
      </c>
      <c r="AL504" s="97" t="str">
        <f aca="false">IF(ISBLANK($C504),"",IF($AB504&lt;&gt;Constants!$B$7,$AB504,IF(AJ504=1,AF504,AI504)))</f>
        <v/>
      </c>
      <c r="AM504" s="97" t="str">
        <f aca="false">IF(ISBLANK($C504),"",IF($AB504=Constants!$B$7,IF(ISNUMBER(AL504),RANK(AL504,$AL$8:$AL$507),Constants!$B$14),$AB504))</f>
        <v/>
      </c>
      <c r="AN504" s="97" t="str">
        <f aca="false">IF(ISBLANK($C504),"",IF($AB504=Constants!$B$7,IF(AK504=1,AF504,AI504),""))</f>
        <v/>
      </c>
      <c r="AO504" s="97" t="str">
        <f aca="false">IF(ISBLANK($C504),"",IF($AB504=Constants!$B$7,RANK(AN504,$AN$8:$AN$507),$AB504))</f>
        <v/>
      </c>
      <c r="AP504" s="97" t="str">
        <f aca="false">IF(ISBLANK($C504),"",IF($AB504=Constants!$B$7,IF(ISNUMBER(AM504),COUNTIFS($AM$8:$AM$507,"&lt;"&amp;$AM504)+COUNTIFS($AM$8:$AM$507,$AM504,$AO$8:$AO$507,"&lt;"&amp;$AO504)+1,Constants!$B$14),$AB504))</f>
        <v/>
      </c>
      <c r="AQ504" s="97" t="str">
        <f aca="false">IF(ISBLANK($C504),"",IF($AB504=Constants!$B$7,IF(ISNUMBER(AM504),AM504-AP504,Constants!$B$14),$AB504))</f>
        <v/>
      </c>
      <c r="AR504" s="98"/>
      <c r="AS504" s="99" t="str">
        <f aca="false">IF(ISBLANK($C504),"",IF($AB504&lt;&gt;Constants!$B$7,"",AJ504))</f>
        <v/>
      </c>
      <c r="AT504" s="100" t="str">
        <f aca="false">IF(ISBLANK($C504),"",IF($AB504&lt;&gt;Constants!$B$7,"",IF(AJ504=1,AD504,AG504)))</f>
        <v/>
      </c>
      <c r="AU504" s="101" t="str">
        <f aca="false">IF(ISBLANK($C504),"",IF($AB504&lt;&gt;Constants!$B$7,"",IF(AJ504=1,AE504,AH504)))</f>
        <v/>
      </c>
      <c r="AV504" s="102" t="str">
        <f aca="false">IF(ISBLANK($C504),"",IF($AB504&lt;&gt;Constants!$B$7,$AB504,AL504))</f>
        <v/>
      </c>
      <c r="AW504" s="103" t="str">
        <f aca="false">IF(ISBLANK($C504),"",IF($AB504&lt;&gt;Constants!$B$7,$AB504,AC504))</f>
        <v/>
      </c>
      <c r="AX504" s="104" t="str">
        <f aca="false">IF(ISBLANK($C504),"",AQ504)</f>
        <v/>
      </c>
      <c r="AY504" s="104" t="str">
        <f aca="false">IF(ISBLANK($C504),"",AP504)</f>
        <v/>
      </c>
      <c r="AZ504" s="105" t="str">
        <f aca="false">IF(ISBLANK($C504),"",IF(AY504=Constants!$B$4,COUNTA($C$8:$C$507)+2,IF(AY504=Constants!$B$5,COUNTA($C$8:$C$507)+1,IF(AY504=Constants!$B$6,COUNTA($C$8:$C$507),AY504))))</f>
        <v/>
      </c>
      <c r="BA504" s="5"/>
      <c r="BB504" s="106" t="n">
        <f aca="false">IF(OR(ISNUMBER(AY504),AY504=Constants!$B$4,AY504=Constants!$B$6,AY504=Constants!$B$5),1,0)</f>
        <v>0</v>
      </c>
      <c r="BC504" s="106" t="n">
        <v>497</v>
      </c>
      <c r="BD504" s="106" t="str">
        <f aca="false">IF(ISBLANK($C504),"",IF(ISNUMBER(AZ504),AZ504+ROW($B504)/1000,""))</f>
        <v/>
      </c>
      <c r="BE504" s="106" t="str">
        <f aca="false">IF(ISNUMBER(BD504),RANK(BD504,$BD$8:$BD$507,1),"")</f>
        <v/>
      </c>
      <c r="BF504" s="106" t="str">
        <f aca="false">IF(ISBLANK($C504),"",$B504)</f>
        <v/>
      </c>
      <c r="BG504" s="106" t="str">
        <f aca="false">IF(ISBLANK($C504),"",$C504)</f>
        <v/>
      </c>
      <c r="BH504" s="106" t="str">
        <f aca="false">IF(ISBLANK($C504),"",$D504)</f>
        <v/>
      </c>
      <c r="BI504" s="107" t="str">
        <f aca="false">AW504</f>
        <v/>
      </c>
      <c r="BJ504" s="108" t="str">
        <f aca="false">AV504</f>
        <v/>
      </c>
      <c r="BK504" s="106" t="str">
        <f aca="false">IF(ISBLANK($C504),"",AY504)</f>
        <v/>
      </c>
      <c r="BL504" s="109" t="str">
        <f aca="false">IF($BC504&gt;$BB$7,"",VLOOKUP($BC504,$BE$8:$BK$507,7,FALSE()))</f>
        <v/>
      </c>
      <c r="BM504" s="110" t="str">
        <f aca="false">IF($BC504&gt;$BB$7,"",VLOOKUP($BC504,$BE$8:$BK$507,2,FALSE()))</f>
        <v/>
      </c>
      <c r="BN504" s="110" t="str">
        <f aca="false">IF($BC504&gt;$BB$7,"",VLOOKUP($BC504,$BE$8:$BK$507,3,FALSE()))</f>
        <v/>
      </c>
      <c r="BO504" s="110" t="str">
        <f aca="false">IF($BC504&gt;$BB$7,"",VLOOKUP($BC504,$BE$8:$BK$507,4,FALSE()))</f>
        <v/>
      </c>
      <c r="BP504" s="110" t="str">
        <f aca="false">IF($BC504&gt;$BB$7,"",VLOOKUP($BC504,$BE$8:$BK$507,5,FALSE()))</f>
        <v/>
      </c>
      <c r="BQ504" s="111" t="str">
        <f aca="false">IF($BC504&gt;$BB$7,"",VLOOKUP($BC504,$BE$8:$BK$507,6,FALSE()))</f>
        <v/>
      </c>
      <c r="BR504" s="54"/>
    </row>
    <row r="505" customFormat="false" ht="15.75" hidden="false" customHeight="false" outlineLevel="0" collapsed="false">
      <c r="A505" s="5"/>
      <c r="B505" s="120"/>
      <c r="C505" s="121"/>
      <c r="D505" s="112"/>
      <c r="E505" s="123"/>
      <c r="F505" s="91"/>
      <c r="G505" s="92"/>
      <c r="H505" s="93"/>
      <c r="I505" s="94"/>
      <c r="J505" s="91"/>
      <c r="K505" s="92"/>
      <c r="L505" s="93"/>
      <c r="M505" s="94"/>
      <c r="N505" s="91"/>
      <c r="O505" s="123"/>
      <c r="P505" s="96"/>
      <c r="Q505" s="97" t="str">
        <f aca="false">IF(ISBLANK($C505),"",IF(E505=Constants!$B$2, TRUE(), IF(E505=Constants!$B$3, FALSE(), TRUE())))</f>
        <v/>
      </c>
      <c r="R505" s="97" t="str">
        <f aca="false">IF(ISBLANK($C505),"",IF(F505=Constants!$B$16,Constants!$B$9,IF(F505=Constants!$B$17,Constants!$B$10,Constants!$B$8)))</f>
        <v/>
      </c>
      <c r="S505" s="97" t="str">
        <f aca="false">IF(ISBLANK($C505),"",IF(COUNTA(G505:H505)=0,"",IF(AND(OR(ISBLANK(G505),AND(ISNUMBER(G505),G505&gt;=0)),OR(ISBLANK(H505),AND(ISNUMBER(H505),H505&gt;=0))),60*IF(ISBLANK(G505),0,G505)+IF(ISBLANK(H505),0,H505),"")))</f>
        <v/>
      </c>
      <c r="T505" s="97" t="str">
        <f aca="false">IF(ISBLANK($C505),"",IF(I505=Constants!$B$2, TRUE(), IF(I505=Constants!$B$3, FALSE(), TRUE())))</f>
        <v/>
      </c>
      <c r="U505" s="97" t="str">
        <f aca="false">IF(ISBLANK($C505),"",IF(J505=Constants!$B$2, TRUE(), IF(J505=Constants!$B$3, FALSE(), TRUE())))</f>
        <v/>
      </c>
      <c r="V505" s="97" t="str">
        <f aca="false">IF(ISBLANK($C505),"",IF(COUNTA(K505:L505)=0,"",IF(AND(OR(ISBLANK(K505),AND(ISNUMBER(K505),K505&gt;=0)),OR(ISBLANK(L505),AND(ISNUMBER(L505),L505&gt;=0))),60*IF(ISBLANK(K505),0,K505)+IF(ISBLANK(L505),0,L505),"")))</f>
        <v/>
      </c>
      <c r="W505" s="97" t="str">
        <f aca="false">IF(ISBLANK($C505),"",IF(M505=Constants!$B$2, TRUE(), IF(M505=Constants!$B$3, FALSE(), TRUE())))</f>
        <v/>
      </c>
      <c r="X505" s="97" t="str">
        <f aca="false">IF(ISBLANK($C505),"",IF(N505=Constants!$B$2, TRUE(), IF(N505=Constants!$B$3, FALSE(), TRUE())))</f>
        <v/>
      </c>
      <c r="Y505" s="97" t="str">
        <f aca="false">IF(ISBLANK($C505),"",IF(O505=Constants!$B$2, TRUE(), IF(O505=Constants!$B$3, FALSE(), FALSE())))</f>
        <v/>
      </c>
      <c r="Z505" s="97" t="str">
        <f aca="false">IF(ISBLANK($C505),"",AND(S505&lt;&gt;"",Q505))</f>
        <v/>
      </c>
      <c r="AA505" s="97" t="str">
        <f aca="false">IF(ISBLANK($C505),"",AND(V505&lt;&gt;"",Q505))</f>
        <v/>
      </c>
      <c r="AB505" s="97" t="str">
        <f aca="false">IF(ISBLANK($C505),"",IF(Y505,Constants!$B$4,IF(COUNTA(E505:N505)=0,Constants!$B$5,IF(NOT(Q505),Constants!$B$6,IF(AND(NOT(Z505),NOT(AA505)),Constants!$B$6,Constants!$B$7)))))</f>
        <v/>
      </c>
      <c r="AC505" s="97" t="str">
        <f aca="false">IF(ISBLANK($C505),"",IF($AB505&lt;&gt;Constants!$B$7,$AB505,Constants!$B$20))</f>
        <v/>
      </c>
      <c r="AD505" s="97" t="str">
        <f aca="false">IF($AB505=Constants!$B$7,IF(Z505,S505,Constants!$B$13),"")</f>
        <v/>
      </c>
      <c r="AE505" s="97" t="str">
        <f aca="false">IF($AB505=Constants!$B$7,IF(Z505,R505*IF(T505, 1, Constants!$B$11)*IF(U505, 1, Constants!$B$12),Constants!$B$13),"")</f>
        <v/>
      </c>
      <c r="AF505" s="97" t="str">
        <f aca="false">IF($AB505=Constants!$B$7,AD505*AE505,"")</f>
        <v/>
      </c>
      <c r="AG505" s="97" t="str">
        <f aca="false">IF($AB505=Constants!$B$7,IF(AA505,V505,Constants!$B$13),"")</f>
        <v/>
      </c>
      <c r="AH505" s="97" t="str">
        <f aca="false">IF($AB505=Constants!$B$7,IF(AA505,R505*IF(W505, 1, Constants!$B$11)*IF(X505, 1, Constants!$B$12),Constants!$B$13),"")</f>
        <v/>
      </c>
      <c r="AI505" s="97" t="str">
        <f aca="false">IF($AB505=Constants!$B$7,AG505*AH505,"")</f>
        <v/>
      </c>
      <c r="AJ505" s="97" t="str">
        <f aca="false">IF($AB505=Constants!$B$7,IF(AI505&gt;AF505,2,1),"")</f>
        <v/>
      </c>
      <c r="AK505" s="97" t="str">
        <f aca="false">IF($AB505=Constants!$B$7,IF(AJ505=1,2,1),"")</f>
        <v/>
      </c>
      <c r="AL505" s="97" t="str">
        <f aca="false">IF(ISBLANK($C505),"",IF($AB505&lt;&gt;Constants!$B$7,$AB505,IF(AJ505=1,AF505,AI505)))</f>
        <v/>
      </c>
      <c r="AM505" s="97" t="str">
        <f aca="false">IF(ISBLANK($C505),"",IF($AB505=Constants!$B$7,IF(ISNUMBER(AL505),RANK(AL505,$AL$8:$AL$507),Constants!$B$14),$AB505))</f>
        <v/>
      </c>
      <c r="AN505" s="97" t="str">
        <f aca="false">IF(ISBLANK($C505),"",IF($AB505=Constants!$B$7,IF(AK505=1,AF505,AI505),""))</f>
        <v/>
      </c>
      <c r="AO505" s="97" t="str">
        <f aca="false">IF(ISBLANK($C505),"",IF($AB505=Constants!$B$7,RANK(AN505,$AN$8:$AN$507),$AB505))</f>
        <v/>
      </c>
      <c r="AP505" s="97" t="str">
        <f aca="false">IF(ISBLANK($C505),"",IF($AB505=Constants!$B$7,IF(ISNUMBER(AM505),COUNTIFS($AM$8:$AM$507,"&lt;"&amp;$AM505)+COUNTIFS($AM$8:$AM$507,$AM505,$AO$8:$AO$507,"&lt;"&amp;$AO505)+1,Constants!$B$14),$AB505))</f>
        <v/>
      </c>
      <c r="AQ505" s="97" t="str">
        <f aca="false">IF(ISBLANK($C505),"",IF($AB505=Constants!$B$7,IF(ISNUMBER(AM505),AM505-AP505,Constants!$B$14),$AB505))</f>
        <v/>
      </c>
      <c r="AR505" s="98"/>
      <c r="AS505" s="99" t="str">
        <f aca="false">IF(ISBLANK($C505),"",IF($AB505&lt;&gt;Constants!$B$7,"",AJ505))</f>
        <v/>
      </c>
      <c r="AT505" s="100" t="str">
        <f aca="false">IF(ISBLANK($C505),"",IF($AB505&lt;&gt;Constants!$B$7,"",IF(AJ505=1,AD505,AG505)))</f>
        <v/>
      </c>
      <c r="AU505" s="101" t="str">
        <f aca="false">IF(ISBLANK($C505),"",IF($AB505&lt;&gt;Constants!$B$7,"",IF(AJ505=1,AE505,AH505)))</f>
        <v/>
      </c>
      <c r="AV505" s="102" t="str">
        <f aca="false">IF(ISBLANK($C505),"",IF($AB505&lt;&gt;Constants!$B$7,$AB505,AL505))</f>
        <v/>
      </c>
      <c r="AW505" s="103" t="str">
        <f aca="false">IF(ISBLANK($C505),"",IF($AB505&lt;&gt;Constants!$B$7,$AB505,AC505))</f>
        <v/>
      </c>
      <c r="AX505" s="104" t="str">
        <f aca="false">IF(ISBLANK($C505),"",AQ505)</f>
        <v/>
      </c>
      <c r="AY505" s="104" t="str">
        <f aca="false">IF(ISBLANK($C505),"",AP505)</f>
        <v/>
      </c>
      <c r="AZ505" s="105" t="str">
        <f aca="false">IF(ISBLANK($C505),"",IF(AY505=Constants!$B$4,COUNTA($C$8:$C$507)+2,IF(AY505=Constants!$B$5,COUNTA($C$8:$C$507)+1,IF(AY505=Constants!$B$6,COUNTA($C$8:$C$507),AY505))))</f>
        <v/>
      </c>
      <c r="BA505" s="5"/>
      <c r="BB505" s="106" t="n">
        <f aca="false">IF(OR(ISNUMBER(AY505),AY505=Constants!$B$4,AY505=Constants!$B$6,AY505=Constants!$B$5),1,0)</f>
        <v>0</v>
      </c>
      <c r="BC505" s="106" t="n">
        <v>498</v>
      </c>
      <c r="BD505" s="106" t="str">
        <f aca="false">IF(ISBLANK($C505),"",IF(ISNUMBER(AZ505),AZ505+ROW($B505)/1000,""))</f>
        <v/>
      </c>
      <c r="BE505" s="106" t="str">
        <f aca="false">IF(ISNUMBER(BD505),RANK(BD505,$BD$8:$BD$507,1),"")</f>
        <v/>
      </c>
      <c r="BF505" s="106" t="str">
        <f aca="false">IF(ISBLANK($C505),"",$B505)</f>
        <v/>
      </c>
      <c r="BG505" s="106" t="str">
        <f aca="false">IF(ISBLANK($C505),"",$C505)</f>
        <v/>
      </c>
      <c r="BH505" s="106" t="str">
        <f aca="false">IF(ISBLANK($C505),"",$D505)</f>
        <v/>
      </c>
      <c r="BI505" s="107" t="str">
        <f aca="false">AW505</f>
        <v/>
      </c>
      <c r="BJ505" s="108" t="str">
        <f aca="false">AV505</f>
        <v/>
      </c>
      <c r="BK505" s="106" t="str">
        <f aca="false">IF(ISBLANK($C505),"",AY505)</f>
        <v/>
      </c>
      <c r="BL505" s="109" t="str">
        <f aca="false">IF($BC505&gt;$BB$7,"",VLOOKUP($BC505,$BE$8:$BK$507,7,FALSE()))</f>
        <v/>
      </c>
      <c r="BM505" s="110" t="str">
        <f aca="false">IF($BC505&gt;$BB$7,"",VLOOKUP($BC505,$BE$8:$BK$507,2,FALSE()))</f>
        <v/>
      </c>
      <c r="BN505" s="110" t="str">
        <f aca="false">IF($BC505&gt;$BB$7,"",VLOOKUP($BC505,$BE$8:$BK$507,3,FALSE()))</f>
        <v/>
      </c>
      <c r="BO505" s="110" t="str">
        <f aca="false">IF($BC505&gt;$BB$7,"",VLOOKUP($BC505,$BE$8:$BK$507,4,FALSE()))</f>
        <v/>
      </c>
      <c r="BP505" s="110" t="str">
        <f aca="false">IF($BC505&gt;$BB$7,"",VLOOKUP($BC505,$BE$8:$BK$507,5,FALSE()))</f>
        <v/>
      </c>
      <c r="BQ505" s="111" t="str">
        <f aca="false">IF($BC505&gt;$BB$7,"",VLOOKUP($BC505,$BE$8:$BK$507,6,FALSE()))</f>
        <v/>
      </c>
      <c r="BR505" s="54"/>
    </row>
    <row r="506" customFormat="false" ht="15.75" hidden="false" customHeight="false" outlineLevel="0" collapsed="false">
      <c r="A506" s="5"/>
      <c r="B506" s="124"/>
      <c r="C506" s="56"/>
      <c r="D506" s="57"/>
      <c r="E506" s="83"/>
      <c r="F506" s="59"/>
      <c r="G506" s="60"/>
      <c r="H506" s="61"/>
      <c r="I506" s="62"/>
      <c r="J506" s="59"/>
      <c r="K506" s="60"/>
      <c r="L506" s="61"/>
      <c r="M506" s="62"/>
      <c r="N506" s="59"/>
      <c r="O506" s="83"/>
      <c r="P506" s="64"/>
      <c r="Q506" s="66" t="str">
        <f aca="false">IF(ISBLANK($C506),"",IF(E506=Constants!$B$2, TRUE(), IF(E506=Constants!$B$3, FALSE(), TRUE())))</f>
        <v/>
      </c>
      <c r="R506" s="66" t="str">
        <f aca="false">IF(ISBLANK($C506),"",IF(F506=Constants!$B$16,Constants!$B$9,IF(F506=Constants!$B$17,Constants!$B$10,Constants!$B$8)))</f>
        <v/>
      </c>
      <c r="S506" s="66" t="str">
        <f aca="false">IF(ISBLANK($C506),"",IF(COUNTA(G506:H506)=0,"",IF(AND(OR(ISBLANK(G506),AND(ISNUMBER(G506),G506&gt;=0)),OR(ISBLANK(H506),AND(ISNUMBER(H506),H506&gt;=0))),60*IF(ISBLANK(G506),0,G506)+IF(ISBLANK(H506),0,H506),"")))</f>
        <v/>
      </c>
      <c r="T506" s="66" t="str">
        <f aca="false">IF(ISBLANK($C506),"",IF(I506=Constants!$B$2, TRUE(), IF(I506=Constants!$B$3, FALSE(), TRUE())))</f>
        <v/>
      </c>
      <c r="U506" s="66" t="str">
        <f aca="false">IF(ISBLANK($C506),"",IF(J506=Constants!$B$2, TRUE(), IF(J506=Constants!$B$3, FALSE(), TRUE())))</f>
        <v/>
      </c>
      <c r="V506" s="66" t="str">
        <f aca="false">IF(ISBLANK($C506),"",IF(COUNTA(K506:L506)=0,"",IF(AND(OR(ISBLANK(K506),AND(ISNUMBER(K506),K506&gt;=0)),OR(ISBLANK(L506),AND(ISNUMBER(L506),L506&gt;=0))),60*IF(ISBLANK(K506),0,K506)+IF(ISBLANK(L506),0,L506),"")))</f>
        <v/>
      </c>
      <c r="W506" s="66" t="str">
        <f aca="false">IF(ISBLANK($C506),"",IF(M506=Constants!$B$2, TRUE(), IF(M506=Constants!$B$3, FALSE(), TRUE())))</f>
        <v/>
      </c>
      <c r="X506" s="66" t="str">
        <f aca="false">IF(ISBLANK($C506),"",IF(N506=Constants!$B$2, TRUE(), IF(N506=Constants!$B$3, FALSE(), TRUE())))</f>
        <v/>
      </c>
      <c r="Y506" s="66" t="str">
        <f aca="false">IF(ISBLANK($C506),"",IF(O506=Constants!$B$2, TRUE(), IF(O506=Constants!$B$3, FALSE(), FALSE())))</f>
        <v/>
      </c>
      <c r="Z506" s="66" t="str">
        <f aca="false">IF(ISBLANK($C506),"",AND(S506&lt;&gt;"",Q506))</f>
        <v/>
      </c>
      <c r="AA506" s="66" t="str">
        <f aca="false">IF(ISBLANK($C506),"",AND(V506&lt;&gt;"",Q506))</f>
        <v/>
      </c>
      <c r="AB506" s="66" t="str">
        <f aca="false">IF(ISBLANK($C506),"",IF(Y506,Constants!$B$4,IF(COUNTA(E506:N506)=0,Constants!$B$5,IF(NOT(Q506),Constants!$B$6,IF(AND(NOT(Z506),NOT(AA506)),Constants!$B$6,Constants!$B$7)))))</f>
        <v/>
      </c>
      <c r="AC506" s="66" t="str">
        <f aca="false">IF(ISBLANK($C506),"",IF($AB506&lt;&gt;Constants!$B$7,$AB506,Constants!$B$20))</f>
        <v/>
      </c>
      <c r="AD506" s="66" t="str">
        <f aca="false">IF($AB506=Constants!$B$7,IF(Z506,S506,Constants!$B$13),"")</f>
        <v/>
      </c>
      <c r="AE506" s="66" t="str">
        <f aca="false">IF($AB506=Constants!$B$7,IF(Z506,R506*IF(T506, 1, Constants!$B$11)*IF(U506, 1, Constants!$B$12),Constants!$B$13),"")</f>
        <v/>
      </c>
      <c r="AF506" s="66" t="str">
        <f aca="false">IF($AB506=Constants!$B$7,AD506*AE506,"")</f>
        <v/>
      </c>
      <c r="AG506" s="66" t="str">
        <f aca="false">IF($AB506=Constants!$B$7,IF(AA506,V506,Constants!$B$13),"")</f>
        <v/>
      </c>
      <c r="AH506" s="66" t="str">
        <f aca="false">IF($AB506=Constants!$B$7,IF(AA506,R506*IF(W506, 1, Constants!$B$11)*IF(X506, 1, Constants!$B$12),Constants!$B$13),"")</f>
        <v/>
      </c>
      <c r="AI506" s="66" t="str">
        <f aca="false">IF($AB506=Constants!$B$7,AG506*AH506,"")</f>
        <v/>
      </c>
      <c r="AJ506" s="66" t="str">
        <f aca="false">IF($AB506=Constants!$B$7,IF(AI506&gt;AF506,2,1),"")</f>
        <v/>
      </c>
      <c r="AK506" s="66" t="str">
        <f aca="false">IF($AB506=Constants!$B$7,IF(AJ506=1,2,1),"")</f>
        <v/>
      </c>
      <c r="AL506" s="66" t="str">
        <f aca="false">IF(ISBLANK($C506),"",IF($AB506&lt;&gt;Constants!$B$7,$AB506,IF(AJ506=1,AF506,AI506)))</f>
        <v/>
      </c>
      <c r="AM506" s="66" t="str">
        <f aca="false">IF(ISBLANK($C506),"",IF($AB506=Constants!$B$7,IF(ISNUMBER(AL506),RANK(AL506,$AL$8:$AL$507),Constants!$B$14),$AB506))</f>
        <v/>
      </c>
      <c r="AN506" s="66" t="str">
        <f aca="false">IF(ISBLANK($C506),"",IF($AB506=Constants!$B$7,IF(AK506=1,AF506,AI506),""))</f>
        <v/>
      </c>
      <c r="AO506" s="66" t="str">
        <f aca="false">IF(ISBLANK($C506),"",IF($AB506=Constants!$B$7,RANK(AN506,$AN$8:$AN$507),$AB506))</f>
        <v/>
      </c>
      <c r="AP506" s="66" t="str">
        <f aca="false">IF(ISBLANK($C506),"",IF($AB506=Constants!$B$7,IF(ISNUMBER(AM506),COUNTIFS($AM$8:$AM$507,"&lt;"&amp;$AM506)+COUNTIFS($AM$8:$AM$507,$AM506,$AO$8:$AO$507,"&lt;"&amp;$AO506)+1,Constants!$B$14),$AB506))</f>
        <v/>
      </c>
      <c r="AQ506" s="66" t="str">
        <f aca="false">IF(ISBLANK($C506),"",IF($AB506=Constants!$B$7,IF(ISNUMBER(AM506),AM506-AP506,Constants!$B$14),$AB506))</f>
        <v/>
      </c>
      <c r="AR506" s="68"/>
      <c r="AS506" s="69" t="str">
        <f aca="false">IF(ISBLANK($C506),"",IF($AB506&lt;&gt;Constants!$B$7,"",AJ506))</f>
        <v/>
      </c>
      <c r="AT506" s="84" t="str">
        <f aca="false">IF(ISBLANK($C506),"",IF($AB506&lt;&gt;Constants!$B$7,"",IF(AJ506=1,AD506,AG506)))</f>
        <v/>
      </c>
      <c r="AU506" s="71" t="str">
        <f aca="false">IF(ISBLANK($C506),"",IF($AB506&lt;&gt;Constants!$B$7,"",IF(AJ506=1,AE506,AH506)))</f>
        <v/>
      </c>
      <c r="AV506" s="72" t="str">
        <f aca="false">IF(ISBLANK($C506),"",IF($AB506&lt;&gt;Constants!$B$7,$AB506,AL506))</f>
        <v/>
      </c>
      <c r="AW506" s="73" t="str">
        <f aca="false">IF(ISBLANK($C506),"",IF($AB506&lt;&gt;Constants!$B$7,$AB506,AC506))</f>
        <v/>
      </c>
      <c r="AX506" s="74" t="str">
        <f aca="false">IF(ISBLANK($C506),"",AQ506)</f>
        <v/>
      </c>
      <c r="AY506" s="74" t="str">
        <f aca="false">IF(ISBLANK($C506),"",AP506)</f>
        <v/>
      </c>
      <c r="AZ506" s="75" t="str">
        <f aca="false">IF(ISBLANK($C506),"",IF(AY506=Constants!$B$4,COUNTA($C$8:$C$507)+2,IF(AY506=Constants!$B$5,COUNTA($C$8:$C$507)+1,IF(AY506=Constants!$B$6,COUNTA($C$8:$C$507),AY506))))</f>
        <v/>
      </c>
      <c r="BA506" s="5"/>
      <c r="BB506" s="76" t="n">
        <f aca="false">IF(OR(ISNUMBER(AY506),AY506=Constants!$B$4,AY506=Constants!$B$6,AY506=Constants!$B$5),1,0)</f>
        <v>0</v>
      </c>
      <c r="BC506" s="76" t="n">
        <v>499</v>
      </c>
      <c r="BD506" s="76" t="str">
        <f aca="false">IF(ISBLANK($C506),"",IF(ISNUMBER(AZ506),AZ506+ROW($B506)/1000,""))</f>
        <v/>
      </c>
      <c r="BE506" s="76" t="str">
        <f aca="false">IF(ISNUMBER(BD506),RANK(BD506,$BD$8:$BD$507,1),"")</f>
        <v/>
      </c>
      <c r="BF506" s="76" t="str">
        <f aca="false">IF(ISBLANK($C506),"",$B506)</f>
        <v/>
      </c>
      <c r="BG506" s="76" t="str">
        <f aca="false">IF(ISBLANK($C506),"",$C506)</f>
        <v/>
      </c>
      <c r="BH506" s="76" t="str">
        <f aca="false">IF(ISBLANK($C506),"",$D506)</f>
        <v/>
      </c>
      <c r="BI506" s="77" t="str">
        <f aca="false">AW506</f>
        <v/>
      </c>
      <c r="BJ506" s="78" t="str">
        <f aca="false">AV506</f>
        <v/>
      </c>
      <c r="BK506" s="76" t="str">
        <f aca="false">IF(ISBLANK($C506),"",AY506)</f>
        <v/>
      </c>
      <c r="BL506" s="79" t="str">
        <f aca="false">IF($BC506&gt;$BB$7,"",VLOOKUP($BC506,$BE$8:$BK$507,7,FALSE()))</f>
        <v/>
      </c>
      <c r="BM506" s="80" t="str">
        <f aca="false">IF($BC506&gt;$BB$7,"",VLOOKUP($BC506,$BE$8:$BK$507,2,FALSE()))</f>
        <v/>
      </c>
      <c r="BN506" s="80" t="str">
        <f aca="false">IF($BC506&gt;$BB$7,"",VLOOKUP($BC506,$BE$8:$BK$507,3,FALSE()))</f>
        <v/>
      </c>
      <c r="BO506" s="80" t="str">
        <f aca="false">IF($BC506&gt;$BB$7,"",VLOOKUP($BC506,$BE$8:$BK$507,4,FALSE()))</f>
        <v/>
      </c>
      <c r="BP506" s="80" t="str">
        <f aca="false">IF($BC506&gt;$BB$7,"",VLOOKUP($BC506,$BE$8:$BK$507,5,FALSE()))</f>
        <v/>
      </c>
      <c r="BQ506" s="81" t="str">
        <f aca="false">IF($BC506&gt;$BB$7,"",VLOOKUP($BC506,$BE$8:$BK$507,6,FALSE()))</f>
        <v/>
      </c>
      <c r="BR506" s="54"/>
    </row>
    <row r="507" customFormat="false" ht="15.75" hidden="false" customHeight="false" outlineLevel="0" collapsed="false">
      <c r="A507" s="5"/>
      <c r="B507" s="124"/>
      <c r="C507" s="56"/>
      <c r="D507" s="57"/>
      <c r="E507" s="83"/>
      <c r="F507" s="59"/>
      <c r="G507" s="60"/>
      <c r="H507" s="61"/>
      <c r="I507" s="62"/>
      <c r="J507" s="59"/>
      <c r="K507" s="60"/>
      <c r="L507" s="61"/>
      <c r="M507" s="62"/>
      <c r="N507" s="59"/>
      <c r="O507" s="83"/>
      <c r="P507" s="64"/>
      <c r="Q507" s="66" t="str">
        <f aca="false">IF(ISBLANK($C507),"",IF(E507=Constants!$B$2, TRUE(), IF(E507=Constants!$B$3, FALSE(), TRUE())))</f>
        <v/>
      </c>
      <c r="R507" s="66" t="str">
        <f aca="false">IF(ISBLANK($C507),"",IF(F507=Constants!$B$16,Constants!$B$9,IF(F507=Constants!$B$17,Constants!$B$10,Constants!$B$8)))</f>
        <v/>
      </c>
      <c r="S507" s="66" t="str">
        <f aca="false">IF(ISBLANK($C507),"",IF(COUNTA(G507:H507)=0,"",IF(AND(OR(ISBLANK(G507),AND(ISNUMBER(G507),G507&gt;=0)),OR(ISBLANK(H507),AND(ISNUMBER(H507),H507&gt;=0))),60*IF(ISBLANK(G507),0,G507)+IF(ISBLANK(H507),0,H507),"")))</f>
        <v/>
      </c>
      <c r="T507" s="66" t="str">
        <f aca="false">IF(ISBLANK($C507),"",IF(I507=Constants!$B$2, TRUE(), IF(I507=Constants!$B$3, FALSE(), TRUE())))</f>
        <v/>
      </c>
      <c r="U507" s="66" t="str">
        <f aca="false">IF(ISBLANK($C507),"",IF(J507=Constants!$B$2, TRUE(), IF(J507=Constants!$B$3, FALSE(), TRUE())))</f>
        <v/>
      </c>
      <c r="V507" s="66" t="str">
        <f aca="false">IF(ISBLANK($C507),"",IF(COUNTA(K507:L507)=0,"",IF(AND(OR(ISBLANK(K507),AND(ISNUMBER(K507),K507&gt;=0)),OR(ISBLANK(L507),AND(ISNUMBER(L507),L507&gt;=0))),60*IF(ISBLANK(K507),0,K507)+IF(ISBLANK(L507),0,L507),"")))</f>
        <v/>
      </c>
      <c r="W507" s="66" t="str">
        <f aca="false">IF(ISBLANK($C507),"",IF(M507=Constants!$B$2, TRUE(), IF(M507=Constants!$B$3, FALSE(), TRUE())))</f>
        <v/>
      </c>
      <c r="X507" s="66" t="str">
        <f aca="false">IF(ISBLANK($C507),"",IF(N507=Constants!$B$2, TRUE(), IF(N507=Constants!$B$3, FALSE(), TRUE())))</f>
        <v/>
      </c>
      <c r="Y507" s="66" t="str">
        <f aca="false">IF(ISBLANK($C507),"",IF(O507=Constants!$B$2, TRUE(), IF(O507=Constants!$B$3, FALSE(), FALSE())))</f>
        <v/>
      </c>
      <c r="Z507" s="66" t="str">
        <f aca="false">IF(ISBLANK($C507),"",AND(S507&lt;&gt;"",Q507))</f>
        <v/>
      </c>
      <c r="AA507" s="66" t="str">
        <f aca="false">IF(ISBLANK($C507),"",AND(V507&lt;&gt;"",Q507))</f>
        <v/>
      </c>
      <c r="AB507" s="66" t="str">
        <f aca="false">IF(ISBLANK($C507),"",IF(Y507,Constants!$B$4,IF(COUNTA(E507:N507)=0,Constants!$B$5,IF(NOT(Q507),Constants!$B$6,IF(AND(NOT(Z507),NOT(AA507)),Constants!$B$6,Constants!$B$7)))))</f>
        <v/>
      </c>
      <c r="AC507" s="66" t="str">
        <f aca="false">IF(ISBLANK($C507),"",IF($AB507&lt;&gt;Constants!$B$7,$AB507,Constants!$B$20))</f>
        <v/>
      </c>
      <c r="AD507" s="66" t="str">
        <f aca="false">IF($AB507=Constants!$B$7,IF(Z507,S507,Constants!$B$13),"")</f>
        <v/>
      </c>
      <c r="AE507" s="66" t="str">
        <f aca="false">IF($AB507=Constants!$B$7,IF(Z507,R507*IF(T507, 1, Constants!$B$11)*IF(U507, 1, Constants!$B$12),Constants!$B$13),"")</f>
        <v/>
      </c>
      <c r="AF507" s="66" t="str">
        <f aca="false">IF($AB507=Constants!$B$7,AD507*AE507,"")</f>
        <v/>
      </c>
      <c r="AG507" s="66" t="str">
        <f aca="false">IF($AB507=Constants!$B$7,IF(AA507,V507,Constants!$B$13),"")</f>
        <v/>
      </c>
      <c r="AH507" s="66" t="str">
        <f aca="false">IF($AB507=Constants!$B$7,IF(AA507,R507*IF(W507, 1, Constants!$B$11)*IF(X507, 1, Constants!$B$12),Constants!$B$13),"")</f>
        <v/>
      </c>
      <c r="AI507" s="66" t="str">
        <f aca="false">IF($AB507=Constants!$B$7,AG507*AH507,"")</f>
        <v/>
      </c>
      <c r="AJ507" s="66" t="str">
        <f aca="false">IF($AB507=Constants!$B$7,IF(AI507&gt;AF507,2,1),"")</f>
        <v/>
      </c>
      <c r="AK507" s="66" t="str">
        <f aca="false">IF($AB507=Constants!$B$7,IF(AJ507=1,2,1),"")</f>
        <v/>
      </c>
      <c r="AL507" s="66" t="str">
        <f aca="false">IF(ISBLANK($C507),"",IF($AB507&lt;&gt;Constants!$B$7,$AB507,IF(AJ507=1,AF507,AI507)))</f>
        <v/>
      </c>
      <c r="AM507" s="66" t="str">
        <f aca="false">IF(ISBLANK($C507),"",IF($AB507=Constants!$B$7,IF(ISNUMBER(AL507),RANK(AL507,$AL$8:$AL$507),Constants!$B$14),$AB507))</f>
        <v/>
      </c>
      <c r="AN507" s="66" t="str">
        <f aca="false">IF(ISBLANK($C507),"",IF($AB507=Constants!$B$7,IF(AK507=1,AF507,AI507),""))</f>
        <v/>
      </c>
      <c r="AO507" s="66" t="str">
        <f aca="false">IF(ISBLANK($C507),"",IF($AB507=Constants!$B$7,RANK(AN507,$AN$8:$AN$507),$AB507))</f>
        <v/>
      </c>
      <c r="AP507" s="66" t="str">
        <f aca="false">IF(ISBLANK($C507),"",IF($AB507=Constants!$B$7,IF(ISNUMBER(AM507),COUNTIFS($AM$8:$AM$507,"&lt;"&amp;$AM507)+COUNTIFS($AM$8:$AM$507,$AM507,$AO$8:$AO$507,"&lt;"&amp;$AO507)+1,Constants!$B$14),$AB507))</f>
        <v/>
      </c>
      <c r="AQ507" s="66" t="str">
        <f aca="false">IF(ISBLANK($C507),"",IF($AB507=Constants!$B$7,IF(ISNUMBER(AM507),AM507-AP507,Constants!$B$14),$AB507))</f>
        <v/>
      </c>
      <c r="AR507" s="68"/>
      <c r="AS507" s="69" t="str">
        <f aca="false">IF(ISBLANK($C507),"",IF($AB507&lt;&gt;Constants!$B$7,"",AJ507))</f>
        <v/>
      </c>
      <c r="AT507" s="84" t="str">
        <f aca="false">IF(ISBLANK($C507),"",IF($AB507&lt;&gt;Constants!$B$7,"",IF(AJ507=1,AD507,AG507)))</f>
        <v/>
      </c>
      <c r="AU507" s="71" t="str">
        <f aca="false">IF(ISBLANK($C507),"",IF($AB507&lt;&gt;Constants!$B$7,"",IF(AJ507=1,AE507,AH507)))</f>
        <v/>
      </c>
      <c r="AV507" s="72" t="str">
        <f aca="false">IF(ISBLANK($C507),"",IF($AB507&lt;&gt;Constants!$B$7,$AB507,AL507))</f>
        <v/>
      </c>
      <c r="AW507" s="73" t="str">
        <f aca="false">IF(ISBLANK($C507),"",IF($AB507&lt;&gt;Constants!$B$7,$AB507,AC507))</f>
        <v/>
      </c>
      <c r="AX507" s="74" t="str">
        <f aca="false">IF(ISBLANK($C507),"",AQ507)</f>
        <v/>
      </c>
      <c r="AY507" s="74" t="str">
        <f aca="false">IF(ISBLANK($C507),"",AP507)</f>
        <v/>
      </c>
      <c r="AZ507" s="75" t="str">
        <f aca="false">IF(ISBLANK($C507),"",IF(AY507=Constants!$B$4,COUNTA($C$8:$C$507)+2,IF(AY507=Constants!$B$5,COUNTA($C$8:$C$507)+1,IF(AY507=Constants!$B$6,COUNTA($C$8:$C$507),AY507))))</f>
        <v/>
      </c>
      <c r="BA507" s="5"/>
      <c r="BB507" s="76" t="n">
        <f aca="false">IF(OR(ISNUMBER(AY507),AY507=Constants!$B$4,AY507=Constants!$B$6,AY507=Constants!$B$5),1,0)</f>
        <v>0</v>
      </c>
      <c r="BC507" s="76" t="n">
        <v>500</v>
      </c>
      <c r="BD507" s="76" t="str">
        <f aca="false">IF(ISBLANK($C507),"",IF(ISNUMBER(AZ507),AZ507+ROW($B507)/1000,""))</f>
        <v/>
      </c>
      <c r="BE507" s="76" t="str">
        <f aca="false">IF(ISNUMBER(BD507),RANK(BD507,$BD$8:$BD$507,1),"")</f>
        <v/>
      </c>
      <c r="BF507" s="76" t="str">
        <f aca="false">IF(ISBLANK($C507),"",$B507)</f>
        <v/>
      </c>
      <c r="BG507" s="76" t="str">
        <f aca="false">IF(ISBLANK($C507),"",$C507)</f>
        <v/>
      </c>
      <c r="BH507" s="76" t="str">
        <f aca="false">IF(ISBLANK($C507),"",$D507)</f>
        <v/>
      </c>
      <c r="BI507" s="77" t="str">
        <f aca="false">AW507</f>
        <v/>
      </c>
      <c r="BJ507" s="78" t="str">
        <f aca="false">AV507</f>
        <v/>
      </c>
      <c r="BK507" s="76" t="str">
        <f aca="false">IF(ISBLANK($C507),"",AY507)</f>
        <v/>
      </c>
      <c r="BL507" s="79" t="str">
        <f aca="false">IF($BC507&gt;$BB$7,"",VLOOKUP($BC507,$BE$8:$BK$507,7,FALSE()))</f>
        <v/>
      </c>
      <c r="BM507" s="80" t="str">
        <f aca="false">IF($BC507&gt;$BB$7,"",VLOOKUP($BC507,$BE$8:$BK$507,2,FALSE()))</f>
        <v/>
      </c>
      <c r="BN507" s="80" t="str">
        <f aca="false">IF($BC507&gt;$BB$7,"",VLOOKUP($BC507,$BE$8:$BK$507,3,FALSE()))</f>
        <v/>
      </c>
      <c r="BO507" s="80" t="str">
        <f aca="false">IF($BC507&gt;$BB$7,"",VLOOKUP($BC507,$BE$8:$BK$507,4,FALSE()))</f>
        <v/>
      </c>
      <c r="BP507" s="80" t="str">
        <f aca="false">IF($BC507&gt;$BB$7,"",VLOOKUP($BC507,$BE$8:$BK$507,5,FALSE()))</f>
        <v/>
      </c>
      <c r="BQ507" s="81" t="str">
        <f aca="false">IF($BC507&gt;$BB$7,"",VLOOKUP($BC507,$BE$8:$BK$507,6,FALSE()))</f>
        <v/>
      </c>
      <c r="BR507" s="54"/>
    </row>
  </sheetData>
  <mergeCells count="55">
    <mergeCell ref="B2:D3"/>
    <mergeCell ref="E2:F2"/>
    <mergeCell ref="G2:N2"/>
    <mergeCell ref="P2:P6"/>
    <mergeCell ref="AR2:AR6"/>
    <mergeCell ref="AS2:AU2"/>
    <mergeCell ref="AV2:AZ2"/>
    <mergeCell ref="BD2:BD7"/>
    <mergeCell ref="BE2:BE7"/>
    <mergeCell ref="BF2:BF7"/>
    <mergeCell ref="BG2:BG7"/>
    <mergeCell ref="BH2:BH7"/>
    <mergeCell ref="BI2:BI7"/>
    <mergeCell ref="BJ2:BJ7"/>
    <mergeCell ref="BK2:BK7"/>
    <mergeCell ref="BL2:BQ2"/>
    <mergeCell ref="E3:E7"/>
    <mergeCell ref="F3:F7"/>
    <mergeCell ref="G3:J3"/>
    <mergeCell ref="K3:N3"/>
    <mergeCell ref="O3:O7"/>
    <mergeCell ref="Q3:Q7"/>
    <mergeCell ref="R3:R7"/>
    <mergeCell ref="S3:S7"/>
    <mergeCell ref="T3:T7"/>
    <mergeCell ref="U3:U7"/>
    <mergeCell ref="V3:V7"/>
    <mergeCell ref="W3:W7"/>
    <mergeCell ref="X3:X7"/>
    <mergeCell ref="Y3:Y7"/>
    <mergeCell ref="AS3:AS7"/>
    <mergeCell ref="AT3:AT7"/>
    <mergeCell ref="AU3:AU7"/>
    <mergeCell ref="AV3:AV7"/>
    <mergeCell ref="AW3:AW7"/>
    <mergeCell ref="AX3:AX7"/>
    <mergeCell ref="AY3:AY7"/>
    <mergeCell ref="AZ3:AZ7"/>
    <mergeCell ref="BL3:BL7"/>
    <mergeCell ref="BM3:BM7"/>
    <mergeCell ref="BN3:BN7"/>
    <mergeCell ref="BO3:BO7"/>
    <mergeCell ref="BP3:BP7"/>
    <mergeCell ref="BQ3:BQ7"/>
    <mergeCell ref="B4:D4"/>
    <mergeCell ref="G4:H6"/>
    <mergeCell ref="I4:I7"/>
    <mergeCell ref="J4:J7"/>
    <mergeCell ref="K4:L6"/>
    <mergeCell ref="M4:M7"/>
    <mergeCell ref="N4:N7"/>
    <mergeCell ref="B5:D5"/>
    <mergeCell ref="B6:D6"/>
    <mergeCell ref="AD6:AF6"/>
    <mergeCell ref="AG6:AI6"/>
  </mergeCells>
  <conditionalFormatting sqref="I8:J507 M8:N507 E8:E507">
    <cfRule type="cellIs" priority="2" operator="equal" aboveAverage="0" equalAverage="0" bottom="0" percent="0" rank="0" text="" dxfId="0">
      <formula>"F"</formula>
    </cfRule>
  </conditionalFormatting>
  <conditionalFormatting sqref="B4:D4">
    <cfRule type="containsText" priority="3" operator="containsText" aboveAverage="0" equalAverage="0" bottom="0" percent="0" rank="0" text="download" dxfId="1">
      <formula>NOT(ISERROR(SEARCH("download",B4)))</formula>
    </cfRule>
  </conditionalFormatting>
  <conditionalFormatting sqref="O8:O507">
    <cfRule type="cellIs" priority="4" operator="equal" aboveAverage="0" equalAverage="0" bottom="0" percent="0" rank="0" text="" dxfId="0">
      <formula>"T"</formula>
    </cfRule>
  </conditionalFormatting>
  <conditionalFormatting sqref="F8:F507">
    <cfRule type="cellIs" priority="5" operator="equal" aboveAverage="0" equalAverage="0" bottom="0" percent="0" rank="0" text="" dxfId="0">
      <formula>"Incomplete"</formula>
    </cfRule>
    <cfRule type="cellIs" priority="6" operator="equal" aboveAverage="0" equalAverage="0" bottom="0" percent="0" rank="0" text="" dxfId="0">
      <formula>"Not present"</formula>
    </cfRule>
  </conditionalFormatting>
  <dataValidations count="4">
    <dataValidation allowBlank="true" errorStyle="stop" operator="equal" prompt="True (T)/False (F)" showDropDown="false" showErrorMessage="true" showInputMessage="true" sqref="E8:E507 I8:J507 M8:O507" type="list">
      <formula1>"T,F"</formula1>
      <formula2>0</formula2>
    </dataValidation>
    <dataValidation allowBlank="true" errorStyle="stop" operator="equal" prompt="Complete / Incomplete / Not present (blank = Complete)" showDropDown="false" showErrorMessage="true" showInputMessage="true" sqref="F8:F507" type="list">
      <formula1>Constants!$B$15:$B$17</formula1>
      <formula2>0</formula2>
    </dataValidation>
    <dataValidation allowBlank="true" errorStyle="stop" operator="greaterThanOrEqual" prompt="Minutes" showDropDown="false" showErrorMessage="true" showInputMessage="true" sqref="G8:G507 K8:K507" type="whole">
      <formula1>0</formula1>
      <formula2>0</formula2>
    </dataValidation>
    <dataValidation allowBlank="true" errorStyle="stop" operator="greaterThanOrEqual" prompt="Seconds" showDropDown="false" showErrorMessage="true" showInputMessage="true" sqref="H8:H507 L8:L507" type="decimal">
      <formula1>0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3" activeCellId="0" sqref="A13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36.45"/>
  </cols>
  <sheetData>
    <row r="1" customFormat="false" ht="13.8" hidden="false" customHeight="false" outlineLevel="0" collapsed="false">
      <c r="A1" s="125" t="s">
        <v>52</v>
      </c>
      <c r="B1" s="125" t="s">
        <v>53</v>
      </c>
    </row>
    <row r="2" customFormat="false" ht="13.8" hidden="false" customHeight="false" outlineLevel="0" collapsed="false">
      <c r="A2" s="125" t="b">
        <f aca="false">TRUE()</f>
        <v>1</v>
      </c>
      <c r="B2" s="125" t="s">
        <v>54</v>
      </c>
    </row>
    <row r="3" customFormat="false" ht="13.8" hidden="false" customHeight="false" outlineLevel="0" collapsed="false">
      <c r="A3" s="125" t="b">
        <f aca="false">FALSE()</f>
        <v>0</v>
      </c>
      <c r="B3" s="125" t="s">
        <v>55</v>
      </c>
    </row>
    <row r="4" customFormat="false" ht="13.8" hidden="false" customHeight="false" outlineLevel="0" collapsed="false">
      <c r="A4" s="125" t="s">
        <v>56</v>
      </c>
      <c r="B4" s="125" t="s">
        <v>57</v>
      </c>
    </row>
    <row r="5" customFormat="false" ht="13.8" hidden="false" customHeight="false" outlineLevel="0" collapsed="false">
      <c r="A5" s="125" t="s">
        <v>58</v>
      </c>
      <c r="B5" s="125" t="s">
        <v>59</v>
      </c>
    </row>
    <row r="6" customFormat="false" ht="13.8" hidden="false" customHeight="false" outlineLevel="0" collapsed="false">
      <c r="A6" s="125" t="s">
        <v>60</v>
      </c>
      <c r="B6" s="125" t="s">
        <v>61</v>
      </c>
    </row>
    <row r="7" customFormat="false" ht="13.8" hidden="false" customHeight="false" outlineLevel="0" collapsed="false">
      <c r="A7" s="125" t="s">
        <v>62</v>
      </c>
      <c r="B7" s="125" t="s">
        <v>63</v>
      </c>
    </row>
    <row r="8" customFormat="false" ht="13.8" hidden="false" customHeight="false" outlineLevel="0" collapsed="false">
      <c r="A8" s="125" t="s">
        <v>64</v>
      </c>
      <c r="B8" s="125" t="n">
        <v>1</v>
      </c>
    </row>
    <row r="9" customFormat="false" ht="13.8" hidden="false" customHeight="false" outlineLevel="0" collapsed="false">
      <c r="A9" s="125" t="s">
        <v>65</v>
      </c>
      <c r="B9" s="125" t="n">
        <v>0.85</v>
      </c>
    </row>
    <row r="10" customFormat="false" ht="13.8" hidden="false" customHeight="false" outlineLevel="0" collapsed="false">
      <c r="A10" s="125" t="s">
        <v>66</v>
      </c>
      <c r="B10" s="125" t="n">
        <v>0.7</v>
      </c>
    </row>
    <row r="11" customFormat="false" ht="13.8" hidden="false" customHeight="false" outlineLevel="0" collapsed="false">
      <c r="A11" s="125" t="s">
        <v>67</v>
      </c>
      <c r="B11" s="125" t="n">
        <v>0.9</v>
      </c>
    </row>
    <row r="12" customFormat="false" ht="13.8" hidden="false" customHeight="false" outlineLevel="0" collapsed="false">
      <c r="A12" s="125" t="s">
        <v>68</v>
      </c>
      <c r="B12" s="125" t="n">
        <v>0.25</v>
      </c>
    </row>
    <row r="13" customFormat="false" ht="13.8" hidden="false" customHeight="false" outlineLevel="0" collapsed="false">
      <c r="A13" s="125" t="s">
        <v>69</v>
      </c>
      <c r="B13" s="125" t="n">
        <v>0</v>
      </c>
    </row>
    <row r="14" customFormat="false" ht="13.8" hidden="false" customHeight="false" outlineLevel="0" collapsed="false">
      <c r="A14" s="125" t="s">
        <v>70</v>
      </c>
      <c r="B14" s="125" t="s">
        <v>71</v>
      </c>
    </row>
    <row r="15" customFormat="false" ht="13.8" hidden="false" customHeight="false" outlineLevel="0" collapsed="false">
      <c r="A15" s="125" t="s">
        <v>72</v>
      </c>
      <c r="B15" s="125" t="s">
        <v>73</v>
      </c>
    </row>
    <row r="16" customFormat="false" ht="13.8" hidden="false" customHeight="false" outlineLevel="0" collapsed="false">
      <c r="A16" s="125" t="s">
        <v>74</v>
      </c>
      <c r="B16" s="125" t="s">
        <v>75</v>
      </c>
    </row>
    <row r="17" customFormat="false" ht="13.8" hidden="false" customHeight="false" outlineLevel="0" collapsed="false">
      <c r="A17" s="125" t="s">
        <v>76</v>
      </c>
      <c r="B17" s="125" t="s">
        <v>77</v>
      </c>
    </row>
    <row r="18" customFormat="false" ht="13.8" hidden="false" customHeight="false" outlineLevel="0" collapsed="false">
      <c r="A18" s="125" t="s">
        <v>78</v>
      </c>
      <c r="B18" s="125" t="s">
        <v>79</v>
      </c>
    </row>
    <row r="19" customFormat="false" ht="13.8" hidden="false" customHeight="false" outlineLevel="0" collapsed="false">
      <c r="A19" s="125" t="s">
        <v>80</v>
      </c>
      <c r="B19" s="125" t="s">
        <v>81</v>
      </c>
    </row>
    <row r="20" customFormat="false" ht="15.75" hidden="false" customHeight="true" outlineLevel="0" collapsed="false">
      <c r="A20" s="125" t="s">
        <v>82</v>
      </c>
      <c r="B20" s="125" t="n">
        <v>1</v>
      </c>
    </row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2" activeCellId="0" sqref="G2"/>
    </sheetView>
  </sheetViews>
  <sheetFormatPr defaultColWidth="12.6328125" defaultRowHeight="15.75" customHeight="true" zeroHeight="false" outlineLevelRow="0" outlineLevelCol="0"/>
  <sheetData>
    <row r="1" customFormat="false" ht="24.75" hidden="false" customHeight="true" outlineLevel="0" collapsed="false">
      <c r="A1" s="126" t="s">
        <v>25</v>
      </c>
      <c r="B1" s="126" t="s">
        <v>26</v>
      </c>
      <c r="C1" s="126" t="s">
        <v>27</v>
      </c>
      <c r="D1" s="126" t="s">
        <v>39</v>
      </c>
      <c r="E1" s="126" t="s">
        <v>20</v>
      </c>
      <c r="F1" s="126" t="s">
        <v>22</v>
      </c>
      <c r="G1" s="126" t="s">
        <v>21</v>
      </c>
      <c r="H1" s="126" t="s">
        <v>24</v>
      </c>
      <c r="I1" s="126" t="s">
        <v>23</v>
      </c>
    </row>
    <row r="2" customFormat="false" ht="13.8" hidden="false" customHeight="false" outlineLevel="0" collapsed="false">
      <c r="A2" s="127" t="n">
        <f aca="false">ExportRaw!$F2</f>
        <v>0</v>
      </c>
      <c r="B2" s="127" t="n">
        <f aca="false">ExportRaw!$C2</f>
        <v>0</v>
      </c>
      <c r="C2" s="127" t="n">
        <f aca="false">ExportRaw!$G2</f>
        <v>0</v>
      </c>
      <c r="D2" s="127" t="str">
        <f aca="false">ExportRaw!$E2</f>
        <v/>
      </c>
      <c r="E2" s="128" t="str">
        <f aca="false">ExportRaw!$D2</f>
        <v/>
      </c>
      <c r="F2" s="127" t="str">
        <f aca="false">ExportRaw!$H2</f>
        <v/>
      </c>
      <c r="G2" s="129" t="str">
        <f aca="false">ExportRaw!$I2</f>
        <v/>
      </c>
      <c r="H2" s="127" t="str">
        <f aca="false">ExportRaw!$A2</f>
        <v/>
      </c>
      <c r="I2" s="127" t="str">
        <f aca="false">ExportRaw!$B2</f>
        <v/>
      </c>
    </row>
    <row r="3" customFormat="false" ht="13.8" hidden="false" customHeight="false" outlineLevel="0" collapsed="false">
      <c r="A3" s="127" t="n">
        <f aca="false">ExportRaw!$F3</f>
        <v>0</v>
      </c>
      <c r="B3" s="127" t="n">
        <f aca="false">ExportRaw!$C3</f>
        <v>0</v>
      </c>
      <c r="C3" s="127" t="n">
        <f aca="false">ExportRaw!$G3</f>
        <v>0</v>
      </c>
      <c r="D3" s="127" t="str">
        <f aca="false">ExportRaw!$E3</f>
        <v/>
      </c>
      <c r="E3" s="128" t="str">
        <f aca="false">ExportRaw!$D3</f>
        <v/>
      </c>
      <c r="F3" s="127" t="str">
        <f aca="false">ExportRaw!$H3</f>
        <v/>
      </c>
      <c r="G3" s="129" t="str">
        <f aca="false">ExportRaw!$I3</f>
        <v/>
      </c>
      <c r="H3" s="127" t="str">
        <f aca="false">ExportRaw!$A3</f>
        <v/>
      </c>
      <c r="I3" s="127" t="str">
        <f aca="false">ExportRaw!$B3</f>
        <v/>
      </c>
    </row>
    <row r="4" customFormat="false" ht="13.8" hidden="false" customHeight="false" outlineLevel="0" collapsed="false">
      <c r="A4" s="127" t="n">
        <f aca="false">ExportRaw!$F4</f>
        <v>0</v>
      </c>
      <c r="B4" s="127" t="n">
        <f aca="false">ExportRaw!$C4</f>
        <v>0</v>
      </c>
      <c r="C4" s="127" t="n">
        <f aca="false">ExportRaw!$G4</f>
        <v>0</v>
      </c>
      <c r="D4" s="127" t="str">
        <f aca="false">ExportRaw!$E4</f>
        <v/>
      </c>
      <c r="E4" s="128" t="str">
        <f aca="false">ExportRaw!$D4</f>
        <v/>
      </c>
      <c r="F4" s="127" t="str">
        <f aca="false">ExportRaw!$H4</f>
        <v/>
      </c>
      <c r="G4" s="129" t="str">
        <f aca="false">ExportRaw!$I4</f>
        <v/>
      </c>
      <c r="H4" s="127" t="str">
        <f aca="false">ExportRaw!$A4</f>
        <v/>
      </c>
      <c r="I4" s="127" t="str">
        <f aca="false">ExportRaw!$B4</f>
        <v/>
      </c>
    </row>
    <row r="5" customFormat="false" ht="13.8" hidden="false" customHeight="false" outlineLevel="0" collapsed="false">
      <c r="A5" s="127" t="n">
        <f aca="false">ExportRaw!$F5</f>
        <v>0</v>
      </c>
      <c r="B5" s="127" t="n">
        <f aca="false">ExportRaw!$C5</f>
        <v>0</v>
      </c>
      <c r="C5" s="127" t="n">
        <f aca="false">ExportRaw!$G5</f>
        <v>0</v>
      </c>
      <c r="D5" s="127" t="str">
        <f aca="false">ExportRaw!$E5</f>
        <v/>
      </c>
      <c r="E5" s="128" t="str">
        <f aca="false">ExportRaw!$D5</f>
        <v/>
      </c>
      <c r="F5" s="127" t="str">
        <f aca="false">ExportRaw!$H5</f>
        <v/>
      </c>
      <c r="G5" s="129" t="str">
        <f aca="false">ExportRaw!$I5</f>
        <v/>
      </c>
      <c r="H5" s="127" t="str">
        <f aca="false">ExportRaw!$A5</f>
        <v/>
      </c>
      <c r="I5" s="127" t="str">
        <f aca="false">ExportRaw!$B5</f>
        <v/>
      </c>
    </row>
    <row r="6" customFormat="false" ht="13.8" hidden="false" customHeight="false" outlineLevel="0" collapsed="false">
      <c r="A6" s="127" t="n">
        <f aca="false">ExportRaw!$F6</f>
        <v>0</v>
      </c>
      <c r="B6" s="127" t="n">
        <f aca="false">ExportRaw!$C6</f>
        <v>0</v>
      </c>
      <c r="C6" s="127" t="n">
        <f aca="false">ExportRaw!$G6</f>
        <v>0</v>
      </c>
      <c r="D6" s="127" t="str">
        <f aca="false">ExportRaw!$E6</f>
        <v/>
      </c>
      <c r="E6" s="128" t="str">
        <f aca="false">ExportRaw!$D6</f>
        <v/>
      </c>
      <c r="F6" s="127" t="str">
        <f aca="false">ExportRaw!$H6</f>
        <v/>
      </c>
      <c r="G6" s="129" t="str">
        <f aca="false">ExportRaw!$I6</f>
        <v/>
      </c>
      <c r="H6" s="127" t="str">
        <f aca="false">ExportRaw!$A6</f>
        <v/>
      </c>
      <c r="I6" s="127" t="str">
        <f aca="false">ExportRaw!$B6</f>
        <v/>
      </c>
    </row>
    <row r="7" customFormat="false" ht="13.8" hidden="false" customHeight="false" outlineLevel="0" collapsed="false">
      <c r="A7" s="127" t="n">
        <f aca="false">ExportRaw!$F7</f>
        <v>0</v>
      </c>
      <c r="B7" s="127" t="n">
        <f aca="false">ExportRaw!$C7</f>
        <v>0</v>
      </c>
      <c r="C7" s="127" t="n">
        <f aca="false">ExportRaw!$G7</f>
        <v>0</v>
      </c>
      <c r="D7" s="127" t="str">
        <f aca="false">ExportRaw!$E7</f>
        <v/>
      </c>
      <c r="E7" s="128" t="str">
        <f aca="false">ExportRaw!$D7</f>
        <v/>
      </c>
      <c r="F7" s="127" t="str">
        <f aca="false">ExportRaw!$H7</f>
        <v/>
      </c>
      <c r="G7" s="129" t="str">
        <f aca="false">ExportRaw!$I7</f>
        <v/>
      </c>
      <c r="H7" s="127" t="str">
        <f aca="false">ExportRaw!$A7</f>
        <v/>
      </c>
      <c r="I7" s="127" t="str">
        <f aca="false">ExportRaw!$B7</f>
        <v/>
      </c>
    </row>
    <row r="8" customFormat="false" ht="13.8" hidden="false" customHeight="false" outlineLevel="0" collapsed="false">
      <c r="A8" s="127" t="n">
        <f aca="false">ExportRaw!$F8</f>
        <v>0</v>
      </c>
      <c r="B8" s="127" t="n">
        <f aca="false">ExportRaw!$C8</f>
        <v>0</v>
      </c>
      <c r="C8" s="127" t="n">
        <f aca="false">ExportRaw!$G8</f>
        <v>0</v>
      </c>
      <c r="D8" s="127" t="str">
        <f aca="false">ExportRaw!$E8</f>
        <v/>
      </c>
      <c r="E8" s="128" t="str">
        <f aca="false">ExportRaw!$D8</f>
        <v/>
      </c>
      <c r="F8" s="127" t="str">
        <f aca="false">ExportRaw!$H8</f>
        <v/>
      </c>
      <c r="G8" s="129" t="str">
        <f aca="false">ExportRaw!$I8</f>
        <v/>
      </c>
      <c r="H8" s="127" t="str">
        <f aca="false">ExportRaw!$A8</f>
        <v/>
      </c>
      <c r="I8" s="127" t="str">
        <f aca="false">ExportRaw!$B8</f>
        <v/>
      </c>
    </row>
    <row r="9" customFormat="false" ht="13.8" hidden="false" customHeight="false" outlineLevel="0" collapsed="false">
      <c r="A9" s="127" t="n">
        <f aca="false">ExportRaw!$F9</f>
        <v>0</v>
      </c>
      <c r="B9" s="127" t="n">
        <f aca="false">ExportRaw!$C9</f>
        <v>0</v>
      </c>
      <c r="C9" s="127" t="n">
        <f aca="false">ExportRaw!$G9</f>
        <v>0</v>
      </c>
      <c r="D9" s="127" t="str">
        <f aca="false">ExportRaw!$E9</f>
        <v/>
      </c>
      <c r="E9" s="128" t="str">
        <f aca="false">ExportRaw!$D9</f>
        <v/>
      </c>
      <c r="F9" s="127" t="str">
        <f aca="false">ExportRaw!$H9</f>
        <v/>
      </c>
      <c r="G9" s="129" t="str">
        <f aca="false">ExportRaw!$I9</f>
        <v/>
      </c>
      <c r="H9" s="127" t="str">
        <f aca="false">ExportRaw!$A9</f>
        <v/>
      </c>
      <c r="I9" s="127" t="str">
        <f aca="false">ExportRaw!$B9</f>
        <v/>
      </c>
    </row>
    <row r="10" customFormat="false" ht="13.8" hidden="false" customHeight="false" outlineLevel="0" collapsed="false">
      <c r="A10" s="127" t="n">
        <f aca="false">ExportRaw!$F10</f>
        <v>0</v>
      </c>
      <c r="B10" s="127" t="n">
        <f aca="false">ExportRaw!$C10</f>
        <v>0</v>
      </c>
      <c r="C10" s="127" t="n">
        <f aca="false">ExportRaw!$G10</f>
        <v>0</v>
      </c>
      <c r="D10" s="127" t="str">
        <f aca="false">ExportRaw!$E10</f>
        <v/>
      </c>
      <c r="E10" s="128" t="str">
        <f aca="false">ExportRaw!$D10</f>
        <v/>
      </c>
      <c r="F10" s="127" t="str">
        <f aca="false">ExportRaw!$H10</f>
        <v/>
      </c>
      <c r="G10" s="129" t="str">
        <f aca="false">ExportRaw!$I10</f>
        <v/>
      </c>
      <c r="H10" s="127" t="str">
        <f aca="false">ExportRaw!$A10</f>
        <v/>
      </c>
      <c r="I10" s="127" t="str">
        <f aca="false">ExportRaw!$B10</f>
        <v/>
      </c>
    </row>
    <row r="11" customFormat="false" ht="13.8" hidden="false" customHeight="false" outlineLevel="0" collapsed="false">
      <c r="A11" s="127" t="n">
        <f aca="false">ExportRaw!$F11</f>
        <v>0</v>
      </c>
      <c r="B11" s="127" t="n">
        <f aca="false">ExportRaw!$C11</f>
        <v>0</v>
      </c>
      <c r="C11" s="127" t="n">
        <f aca="false">ExportRaw!$G11</f>
        <v>0</v>
      </c>
      <c r="D11" s="127" t="str">
        <f aca="false">ExportRaw!$E11</f>
        <v/>
      </c>
      <c r="E11" s="128" t="str">
        <f aca="false">ExportRaw!$D11</f>
        <v/>
      </c>
      <c r="F11" s="127" t="str">
        <f aca="false">ExportRaw!$H11</f>
        <v/>
      </c>
      <c r="G11" s="129" t="str">
        <f aca="false">ExportRaw!$I11</f>
        <v/>
      </c>
      <c r="H11" s="127" t="str">
        <f aca="false">ExportRaw!$A11</f>
        <v/>
      </c>
      <c r="I11" s="127" t="str">
        <f aca="false">ExportRaw!$B11</f>
        <v/>
      </c>
    </row>
    <row r="12" customFormat="false" ht="13.8" hidden="false" customHeight="false" outlineLevel="0" collapsed="false">
      <c r="A12" s="127" t="n">
        <f aca="false">ExportRaw!$F12</f>
        <v>0</v>
      </c>
      <c r="B12" s="127" t="n">
        <f aca="false">ExportRaw!$C12</f>
        <v>0</v>
      </c>
      <c r="C12" s="127" t="n">
        <f aca="false">ExportRaw!$G12</f>
        <v>0</v>
      </c>
      <c r="D12" s="127" t="str">
        <f aca="false">ExportRaw!$E12</f>
        <v/>
      </c>
      <c r="E12" s="128" t="str">
        <f aca="false">ExportRaw!$D12</f>
        <v/>
      </c>
      <c r="F12" s="127" t="str">
        <f aca="false">ExportRaw!$H12</f>
        <v/>
      </c>
      <c r="G12" s="129" t="str">
        <f aca="false">ExportRaw!$I12</f>
        <v/>
      </c>
      <c r="H12" s="127" t="str">
        <f aca="false">ExportRaw!$A12</f>
        <v/>
      </c>
      <c r="I12" s="127" t="str">
        <f aca="false">ExportRaw!$B12</f>
        <v/>
      </c>
    </row>
    <row r="13" customFormat="false" ht="13.8" hidden="false" customHeight="false" outlineLevel="0" collapsed="false">
      <c r="A13" s="127" t="n">
        <f aca="false">ExportRaw!$F13</f>
        <v>0</v>
      </c>
      <c r="B13" s="127" t="n">
        <f aca="false">ExportRaw!$C13</f>
        <v>0</v>
      </c>
      <c r="C13" s="127" t="n">
        <f aca="false">ExportRaw!$G13</f>
        <v>0</v>
      </c>
      <c r="D13" s="127" t="str">
        <f aca="false">ExportRaw!$E13</f>
        <v/>
      </c>
      <c r="E13" s="128" t="str">
        <f aca="false">ExportRaw!$D13</f>
        <v/>
      </c>
      <c r="F13" s="127" t="str">
        <f aca="false">ExportRaw!$H13</f>
        <v/>
      </c>
      <c r="G13" s="129" t="str">
        <f aca="false">ExportRaw!$I13</f>
        <v/>
      </c>
      <c r="H13" s="127" t="str">
        <f aca="false">ExportRaw!$A13</f>
        <v/>
      </c>
      <c r="I13" s="127" t="str">
        <f aca="false">ExportRaw!$B13</f>
        <v/>
      </c>
    </row>
    <row r="14" customFormat="false" ht="13.8" hidden="false" customHeight="false" outlineLevel="0" collapsed="false">
      <c r="A14" s="127" t="n">
        <f aca="false">ExportRaw!$F14</f>
        <v>0</v>
      </c>
      <c r="B14" s="127" t="n">
        <f aca="false">ExportRaw!$C14</f>
        <v>0</v>
      </c>
      <c r="C14" s="127" t="n">
        <f aca="false">ExportRaw!$G14</f>
        <v>0</v>
      </c>
      <c r="D14" s="127" t="str">
        <f aca="false">ExportRaw!$E14</f>
        <v/>
      </c>
      <c r="E14" s="128" t="str">
        <f aca="false">ExportRaw!$D14</f>
        <v/>
      </c>
      <c r="F14" s="127" t="str">
        <f aca="false">ExportRaw!$H14</f>
        <v/>
      </c>
      <c r="G14" s="129" t="str">
        <f aca="false">ExportRaw!$I14</f>
        <v/>
      </c>
      <c r="H14" s="127" t="str">
        <f aca="false">ExportRaw!$A14</f>
        <v/>
      </c>
      <c r="I14" s="127" t="str">
        <f aca="false">ExportRaw!$B14</f>
        <v/>
      </c>
    </row>
    <row r="15" customFormat="false" ht="13.8" hidden="false" customHeight="false" outlineLevel="0" collapsed="false">
      <c r="A15" s="127" t="n">
        <f aca="false">ExportRaw!$F15</f>
        <v>0</v>
      </c>
      <c r="B15" s="127" t="n">
        <f aca="false">ExportRaw!$C15</f>
        <v>0</v>
      </c>
      <c r="C15" s="127" t="n">
        <f aca="false">ExportRaw!$G15</f>
        <v>0</v>
      </c>
      <c r="D15" s="127" t="str">
        <f aca="false">ExportRaw!$E15</f>
        <v/>
      </c>
      <c r="E15" s="128" t="str">
        <f aca="false">ExportRaw!$D15</f>
        <v/>
      </c>
      <c r="F15" s="127" t="str">
        <f aca="false">ExportRaw!$H15</f>
        <v/>
      </c>
      <c r="G15" s="129" t="str">
        <f aca="false">ExportRaw!$I15</f>
        <v/>
      </c>
      <c r="H15" s="127" t="str">
        <f aca="false">ExportRaw!$A15</f>
        <v/>
      </c>
      <c r="I15" s="127" t="str">
        <f aca="false">ExportRaw!$B15</f>
        <v/>
      </c>
    </row>
    <row r="16" customFormat="false" ht="13.8" hidden="false" customHeight="false" outlineLevel="0" collapsed="false">
      <c r="A16" s="127" t="n">
        <f aca="false">ExportRaw!$F16</f>
        <v>0</v>
      </c>
      <c r="B16" s="127" t="n">
        <f aca="false">ExportRaw!$C16</f>
        <v>0</v>
      </c>
      <c r="C16" s="127" t="n">
        <f aca="false">ExportRaw!$G16</f>
        <v>0</v>
      </c>
      <c r="D16" s="127" t="str">
        <f aca="false">ExportRaw!$E16</f>
        <v/>
      </c>
      <c r="E16" s="128" t="str">
        <f aca="false">ExportRaw!$D16</f>
        <v/>
      </c>
      <c r="F16" s="127" t="str">
        <f aca="false">ExportRaw!$H16</f>
        <v/>
      </c>
      <c r="G16" s="129" t="str">
        <f aca="false">ExportRaw!$I16</f>
        <v/>
      </c>
      <c r="H16" s="127" t="str">
        <f aca="false">ExportRaw!$A16</f>
        <v/>
      </c>
      <c r="I16" s="127" t="str">
        <f aca="false">ExportRaw!$B16</f>
        <v/>
      </c>
    </row>
    <row r="17" customFormat="false" ht="13.8" hidden="false" customHeight="false" outlineLevel="0" collapsed="false">
      <c r="A17" s="127" t="n">
        <f aca="false">ExportRaw!$F17</f>
        <v>0</v>
      </c>
      <c r="B17" s="127" t="n">
        <f aca="false">ExportRaw!$C17</f>
        <v>0</v>
      </c>
      <c r="C17" s="127" t="n">
        <f aca="false">ExportRaw!$G17</f>
        <v>0</v>
      </c>
      <c r="D17" s="127" t="str">
        <f aca="false">ExportRaw!$E17</f>
        <v/>
      </c>
      <c r="E17" s="128" t="str">
        <f aca="false">ExportRaw!$D17</f>
        <v/>
      </c>
      <c r="F17" s="127" t="str">
        <f aca="false">ExportRaw!$H17</f>
        <v/>
      </c>
      <c r="G17" s="129" t="str">
        <f aca="false">ExportRaw!$I17</f>
        <v/>
      </c>
      <c r="H17" s="127" t="str">
        <f aca="false">ExportRaw!$A17</f>
        <v/>
      </c>
      <c r="I17" s="127" t="str">
        <f aca="false">ExportRaw!$B17</f>
        <v/>
      </c>
    </row>
    <row r="18" customFormat="false" ht="13.8" hidden="false" customHeight="false" outlineLevel="0" collapsed="false">
      <c r="A18" s="127" t="n">
        <f aca="false">ExportRaw!$F18</f>
        <v>0</v>
      </c>
      <c r="B18" s="127" t="n">
        <f aca="false">ExportRaw!$C18</f>
        <v>0</v>
      </c>
      <c r="C18" s="127" t="n">
        <f aca="false">ExportRaw!$G18</f>
        <v>0</v>
      </c>
      <c r="D18" s="127" t="str">
        <f aca="false">ExportRaw!$E18</f>
        <v/>
      </c>
      <c r="E18" s="128" t="str">
        <f aca="false">ExportRaw!$D18</f>
        <v/>
      </c>
      <c r="F18" s="127" t="str">
        <f aca="false">ExportRaw!$H18</f>
        <v/>
      </c>
      <c r="G18" s="129" t="str">
        <f aca="false">ExportRaw!$I18</f>
        <v/>
      </c>
      <c r="H18" s="127" t="str">
        <f aca="false">ExportRaw!$A18</f>
        <v/>
      </c>
      <c r="I18" s="127" t="str">
        <f aca="false">ExportRaw!$B18</f>
        <v/>
      </c>
    </row>
    <row r="19" customFormat="false" ht="13.8" hidden="false" customHeight="false" outlineLevel="0" collapsed="false">
      <c r="A19" s="127" t="n">
        <f aca="false">ExportRaw!$F19</f>
        <v>0</v>
      </c>
      <c r="B19" s="127" t="n">
        <f aca="false">ExportRaw!$C19</f>
        <v>0</v>
      </c>
      <c r="C19" s="127" t="n">
        <f aca="false">ExportRaw!$G19</f>
        <v>0</v>
      </c>
      <c r="D19" s="127" t="str">
        <f aca="false">ExportRaw!$E19</f>
        <v/>
      </c>
      <c r="E19" s="128" t="str">
        <f aca="false">ExportRaw!$D19</f>
        <v/>
      </c>
      <c r="F19" s="127" t="str">
        <f aca="false">ExportRaw!$H19</f>
        <v/>
      </c>
      <c r="G19" s="129" t="str">
        <f aca="false">ExportRaw!$I19</f>
        <v/>
      </c>
      <c r="H19" s="127" t="str">
        <f aca="false">ExportRaw!$A19</f>
        <v/>
      </c>
      <c r="I19" s="127" t="str">
        <f aca="false">ExportRaw!$B19</f>
        <v/>
      </c>
    </row>
    <row r="20" customFormat="false" ht="13.8" hidden="false" customHeight="false" outlineLevel="0" collapsed="false">
      <c r="A20" s="127" t="n">
        <f aca="false">ExportRaw!$F20</f>
        <v>0</v>
      </c>
      <c r="B20" s="127" t="n">
        <f aca="false">ExportRaw!$C20</f>
        <v>0</v>
      </c>
      <c r="C20" s="127" t="n">
        <f aca="false">ExportRaw!$G20</f>
        <v>0</v>
      </c>
      <c r="D20" s="127" t="str">
        <f aca="false">ExportRaw!$E20</f>
        <v/>
      </c>
      <c r="E20" s="128" t="str">
        <f aca="false">ExportRaw!$D20</f>
        <v/>
      </c>
      <c r="F20" s="127" t="str">
        <f aca="false">ExportRaw!$H20</f>
        <v/>
      </c>
      <c r="G20" s="129" t="str">
        <f aca="false">ExportRaw!$I20</f>
        <v/>
      </c>
      <c r="H20" s="127" t="str">
        <f aca="false">ExportRaw!$A20</f>
        <v/>
      </c>
      <c r="I20" s="127" t="str">
        <f aca="false">ExportRaw!$B20</f>
        <v/>
      </c>
    </row>
    <row r="21" customFormat="false" ht="13.8" hidden="false" customHeight="false" outlineLevel="0" collapsed="false">
      <c r="A21" s="127" t="n">
        <f aca="false">ExportRaw!$F21</f>
        <v>0</v>
      </c>
      <c r="B21" s="127" t="n">
        <f aca="false">ExportRaw!$C21</f>
        <v>0</v>
      </c>
      <c r="C21" s="127" t="n">
        <f aca="false">ExportRaw!$G21</f>
        <v>0</v>
      </c>
      <c r="D21" s="127" t="str">
        <f aca="false">ExportRaw!$E21</f>
        <v/>
      </c>
      <c r="E21" s="128" t="str">
        <f aca="false">ExportRaw!$D21</f>
        <v/>
      </c>
      <c r="F21" s="127" t="str">
        <f aca="false">ExportRaw!$H21</f>
        <v/>
      </c>
      <c r="G21" s="129" t="str">
        <f aca="false">ExportRaw!$I21</f>
        <v/>
      </c>
      <c r="H21" s="127" t="str">
        <f aca="false">ExportRaw!$A21</f>
        <v/>
      </c>
      <c r="I21" s="127" t="str">
        <f aca="false">ExportRaw!$B21</f>
        <v/>
      </c>
    </row>
    <row r="22" customFormat="false" ht="13.8" hidden="false" customHeight="false" outlineLevel="0" collapsed="false">
      <c r="A22" s="127" t="n">
        <f aca="false">ExportRaw!$F22</f>
        <v>0</v>
      </c>
      <c r="B22" s="127" t="n">
        <f aca="false">ExportRaw!$C22</f>
        <v>0</v>
      </c>
      <c r="C22" s="127" t="n">
        <f aca="false">ExportRaw!$G22</f>
        <v>0</v>
      </c>
      <c r="D22" s="127" t="str">
        <f aca="false">ExportRaw!$E22</f>
        <v/>
      </c>
      <c r="E22" s="128" t="str">
        <f aca="false">ExportRaw!$D22</f>
        <v/>
      </c>
      <c r="F22" s="127" t="str">
        <f aca="false">ExportRaw!$H22</f>
        <v/>
      </c>
      <c r="G22" s="129" t="str">
        <f aca="false">ExportRaw!$I22</f>
        <v/>
      </c>
      <c r="H22" s="127" t="str">
        <f aca="false">ExportRaw!$A22</f>
        <v/>
      </c>
      <c r="I22" s="127" t="str">
        <f aca="false">ExportRaw!$B22</f>
        <v/>
      </c>
    </row>
    <row r="23" customFormat="false" ht="13.8" hidden="false" customHeight="false" outlineLevel="0" collapsed="false">
      <c r="A23" s="127" t="n">
        <f aca="false">ExportRaw!$F23</f>
        <v>0</v>
      </c>
      <c r="B23" s="127" t="n">
        <f aca="false">ExportRaw!$C23</f>
        <v>0</v>
      </c>
      <c r="C23" s="127" t="n">
        <f aca="false">ExportRaw!$G23</f>
        <v>0</v>
      </c>
      <c r="D23" s="127" t="str">
        <f aca="false">ExportRaw!$E23</f>
        <v/>
      </c>
      <c r="E23" s="128" t="str">
        <f aca="false">ExportRaw!$D23</f>
        <v/>
      </c>
      <c r="F23" s="127" t="str">
        <f aca="false">ExportRaw!$H23</f>
        <v/>
      </c>
      <c r="G23" s="129" t="str">
        <f aca="false">ExportRaw!$I23</f>
        <v/>
      </c>
      <c r="H23" s="127" t="str">
        <f aca="false">ExportRaw!$A23</f>
        <v/>
      </c>
      <c r="I23" s="127" t="str">
        <f aca="false">ExportRaw!$B23</f>
        <v/>
      </c>
    </row>
    <row r="24" customFormat="false" ht="13.8" hidden="false" customHeight="false" outlineLevel="0" collapsed="false">
      <c r="A24" s="127" t="n">
        <f aca="false">ExportRaw!$F24</f>
        <v>0</v>
      </c>
      <c r="B24" s="127" t="n">
        <f aca="false">ExportRaw!$C24</f>
        <v>0</v>
      </c>
      <c r="C24" s="127" t="n">
        <f aca="false">ExportRaw!$G24</f>
        <v>0</v>
      </c>
      <c r="D24" s="127" t="str">
        <f aca="false">ExportRaw!$E24</f>
        <v/>
      </c>
      <c r="E24" s="128" t="str">
        <f aca="false">ExportRaw!$D24</f>
        <v/>
      </c>
      <c r="F24" s="127" t="str">
        <f aca="false">ExportRaw!$H24</f>
        <v/>
      </c>
      <c r="G24" s="129" t="str">
        <f aca="false">ExportRaw!$I24</f>
        <v/>
      </c>
      <c r="H24" s="127" t="str">
        <f aca="false">ExportRaw!$A24</f>
        <v/>
      </c>
      <c r="I24" s="127" t="str">
        <f aca="false">ExportRaw!$B24</f>
        <v/>
      </c>
    </row>
    <row r="25" customFormat="false" ht="13.8" hidden="false" customHeight="false" outlineLevel="0" collapsed="false">
      <c r="A25" s="127" t="n">
        <f aca="false">ExportRaw!$F25</f>
        <v>0</v>
      </c>
      <c r="B25" s="127" t="n">
        <f aca="false">ExportRaw!$C25</f>
        <v>0</v>
      </c>
      <c r="C25" s="127" t="n">
        <f aca="false">ExportRaw!$G25</f>
        <v>0</v>
      </c>
      <c r="D25" s="127" t="str">
        <f aca="false">ExportRaw!$E25</f>
        <v/>
      </c>
      <c r="E25" s="128" t="str">
        <f aca="false">ExportRaw!$D25</f>
        <v/>
      </c>
      <c r="F25" s="127" t="str">
        <f aca="false">ExportRaw!$H25</f>
        <v/>
      </c>
      <c r="G25" s="129" t="str">
        <f aca="false">ExportRaw!$I25</f>
        <v/>
      </c>
      <c r="H25" s="127" t="str">
        <f aca="false">ExportRaw!$A25</f>
        <v/>
      </c>
      <c r="I25" s="127" t="str">
        <f aca="false">ExportRaw!$B25</f>
        <v/>
      </c>
    </row>
    <row r="26" customFormat="false" ht="13.8" hidden="false" customHeight="false" outlineLevel="0" collapsed="false">
      <c r="A26" s="127" t="n">
        <f aca="false">ExportRaw!$F26</f>
        <v>0</v>
      </c>
      <c r="B26" s="127" t="n">
        <f aca="false">ExportRaw!$C26</f>
        <v>0</v>
      </c>
      <c r="C26" s="127" t="n">
        <f aca="false">ExportRaw!$G26</f>
        <v>0</v>
      </c>
      <c r="D26" s="127" t="str">
        <f aca="false">ExportRaw!$E26</f>
        <v/>
      </c>
      <c r="E26" s="128" t="str">
        <f aca="false">ExportRaw!$D26</f>
        <v/>
      </c>
      <c r="F26" s="127" t="str">
        <f aca="false">ExportRaw!$H26</f>
        <v/>
      </c>
      <c r="G26" s="129" t="str">
        <f aca="false">ExportRaw!$I26</f>
        <v/>
      </c>
      <c r="H26" s="127" t="str">
        <f aca="false">ExportRaw!$A26</f>
        <v/>
      </c>
      <c r="I26" s="127" t="str">
        <f aca="false">ExportRaw!$B26</f>
        <v/>
      </c>
    </row>
    <row r="27" customFormat="false" ht="13.8" hidden="false" customHeight="false" outlineLevel="0" collapsed="false">
      <c r="A27" s="127" t="n">
        <f aca="false">ExportRaw!$F27</f>
        <v>0</v>
      </c>
      <c r="B27" s="127" t="n">
        <f aca="false">ExportRaw!$C27</f>
        <v>0</v>
      </c>
      <c r="C27" s="127" t="n">
        <f aca="false">ExportRaw!$G27</f>
        <v>0</v>
      </c>
      <c r="D27" s="127" t="str">
        <f aca="false">ExportRaw!$E27</f>
        <v/>
      </c>
      <c r="E27" s="128" t="str">
        <f aca="false">ExportRaw!$D27</f>
        <v/>
      </c>
      <c r="F27" s="127" t="str">
        <f aca="false">ExportRaw!$H27</f>
        <v/>
      </c>
      <c r="G27" s="129" t="str">
        <f aca="false">ExportRaw!$I27</f>
        <v/>
      </c>
      <c r="H27" s="127" t="str">
        <f aca="false">ExportRaw!$A27</f>
        <v/>
      </c>
      <c r="I27" s="127" t="str">
        <f aca="false">ExportRaw!$B27</f>
        <v/>
      </c>
    </row>
    <row r="28" customFormat="false" ht="13.8" hidden="false" customHeight="false" outlineLevel="0" collapsed="false">
      <c r="A28" s="127" t="n">
        <f aca="false">ExportRaw!$F28</f>
        <v>0</v>
      </c>
      <c r="B28" s="127" t="n">
        <f aca="false">ExportRaw!$C28</f>
        <v>0</v>
      </c>
      <c r="C28" s="127" t="n">
        <f aca="false">ExportRaw!$G28</f>
        <v>0</v>
      </c>
      <c r="D28" s="127" t="str">
        <f aca="false">ExportRaw!$E28</f>
        <v/>
      </c>
      <c r="E28" s="128" t="str">
        <f aca="false">ExportRaw!$D28</f>
        <v/>
      </c>
      <c r="F28" s="127" t="str">
        <f aca="false">ExportRaw!$H28</f>
        <v/>
      </c>
      <c r="G28" s="129" t="str">
        <f aca="false">ExportRaw!$I28</f>
        <v/>
      </c>
      <c r="H28" s="127" t="str">
        <f aca="false">ExportRaw!$A28</f>
        <v/>
      </c>
      <c r="I28" s="127" t="str">
        <f aca="false">ExportRaw!$B28</f>
        <v/>
      </c>
    </row>
    <row r="29" customFormat="false" ht="13.8" hidden="false" customHeight="false" outlineLevel="0" collapsed="false">
      <c r="A29" s="127" t="n">
        <f aca="false">ExportRaw!$F29</f>
        <v>0</v>
      </c>
      <c r="B29" s="127" t="n">
        <f aca="false">ExportRaw!$C29</f>
        <v>0</v>
      </c>
      <c r="C29" s="127" t="n">
        <f aca="false">ExportRaw!$G29</f>
        <v>0</v>
      </c>
      <c r="D29" s="127" t="str">
        <f aca="false">ExportRaw!$E29</f>
        <v/>
      </c>
      <c r="E29" s="128" t="str">
        <f aca="false">ExportRaw!$D29</f>
        <v/>
      </c>
      <c r="F29" s="127" t="str">
        <f aca="false">ExportRaw!$H29</f>
        <v/>
      </c>
      <c r="G29" s="129" t="str">
        <f aca="false">ExportRaw!$I29</f>
        <v/>
      </c>
      <c r="H29" s="127" t="str">
        <f aca="false">ExportRaw!$A29</f>
        <v/>
      </c>
      <c r="I29" s="127" t="str">
        <f aca="false">ExportRaw!$B29</f>
        <v/>
      </c>
    </row>
    <row r="30" customFormat="false" ht="13.8" hidden="false" customHeight="false" outlineLevel="0" collapsed="false">
      <c r="A30" s="127" t="n">
        <f aca="false">ExportRaw!$F30</f>
        <v>0</v>
      </c>
      <c r="B30" s="127" t="n">
        <f aca="false">ExportRaw!$C30</f>
        <v>0</v>
      </c>
      <c r="C30" s="127" t="n">
        <f aca="false">ExportRaw!$G30</f>
        <v>0</v>
      </c>
      <c r="D30" s="127" t="str">
        <f aca="false">ExportRaw!$E30</f>
        <v/>
      </c>
      <c r="E30" s="128" t="str">
        <f aca="false">ExportRaw!$D30</f>
        <v/>
      </c>
      <c r="F30" s="127" t="str">
        <f aca="false">ExportRaw!$H30</f>
        <v/>
      </c>
      <c r="G30" s="129" t="str">
        <f aca="false">ExportRaw!$I30</f>
        <v/>
      </c>
      <c r="H30" s="127" t="str">
        <f aca="false">ExportRaw!$A30</f>
        <v/>
      </c>
      <c r="I30" s="127" t="str">
        <f aca="false">ExportRaw!$B30</f>
        <v/>
      </c>
    </row>
    <row r="31" customFormat="false" ht="13.8" hidden="false" customHeight="false" outlineLevel="0" collapsed="false">
      <c r="A31" s="127" t="n">
        <f aca="false">ExportRaw!$F31</f>
        <v>0</v>
      </c>
      <c r="B31" s="127" t="n">
        <f aca="false">ExportRaw!$C31</f>
        <v>0</v>
      </c>
      <c r="C31" s="127" t="n">
        <f aca="false">ExportRaw!$G31</f>
        <v>0</v>
      </c>
      <c r="D31" s="127" t="str">
        <f aca="false">ExportRaw!$E31</f>
        <v/>
      </c>
      <c r="E31" s="128" t="str">
        <f aca="false">ExportRaw!$D31</f>
        <v/>
      </c>
      <c r="F31" s="127" t="str">
        <f aca="false">ExportRaw!$H31</f>
        <v/>
      </c>
      <c r="G31" s="129" t="str">
        <f aca="false">ExportRaw!$I31</f>
        <v/>
      </c>
      <c r="H31" s="127" t="str">
        <f aca="false">ExportRaw!$A31</f>
        <v/>
      </c>
      <c r="I31" s="127" t="str">
        <f aca="false">ExportRaw!$B31</f>
        <v/>
      </c>
    </row>
    <row r="32" customFormat="false" ht="13.8" hidden="false" customHeight="false" outlineLevel="0" collapsed="false">
      <c r="A32" s="127" t="n">
        <f aca="false">ExportRaw!$F32</f>
        <v>0</v>
      </c>
      <c r="B32" s="127" t="n">
        <f aca="false">ExportRaw!$C32</f>
        <v>0</v>
      </c>
      <c r="C32" s="127" t="n">
        <f aca="false">ExportRaw!$G32</f>
        <v>0</v>
      </c>
      <c r="D32" s="127" t="str">
        <f aca="false">ExportRaw!$E32</f>
        <v/>
      </c>
      <c r="E32" s="128" t="str">
        <f aca="false">ExportRaw!$D32</f>
        <v/>
      </c>
      <c r="F32" s="127" t="str">
        <f aca="false">ExportRaw!$H32</f>
        <v/>
      </c>
      <c r="G32" s="129" t="str">
        <f aca="false">ExportRaw!$I32</f>
        <v/>
      </c>
      <c r="H32" s="127" t="str">
        <f aca="false">ExportRaw!$A32</f>
        <v/>
      </c>
      <c r="I32" s="127" t="str">
        <f aca="false">ExportRaw!$B32</f>
        <v/>
      </c>
    </row>
    <row r="33" customFormat="false" ht="13.8" hidden="false" customHeight="false" outlineLevel="0" collapsed="false">
      <c r="A33" s="127" t="n">
        <f aca="false">ExportRaw!$F33</f>
        <v>0</v>
      </c>
      <c r="B33" s="127" t="n">
        <f aca="false">ExportRaw!$C33</f>
        <v>0</v>
      </c>
      <c r="C33" s="127" t="n">
        <f aca="false">ExportRaw!$G33</f>
        <v>0</v>
      </c>
      <c r="D33" s="127" t="str">
        <f aca="false">ExportRaw!$E33</f>
        <v/>
      </c>
      <c r="E33" s="128" t="str">
        <f aca="false">ExportRaw!$D33</f>
        <v/>
      </c>
      <c r="F33" s="127" t="str">
        <f aca="false">ExportRaw!$H33</f>
        <v/>
      </c>
      <c r="G33" s="129" t="str">
        <f aca="false">ExportRaw!$I33</f>
        <v/>
      </c>
      <c r="H33" s="127" t="str">
        <f aca="false">ExportRaw!$A33</f>
        <v/>
      </c>
      <c r="I33" s="127" t="str">
        <f aca="false">ExportRaw!$B33</f>
        <v/>
      </c>
    </row>
    <row r="34" customFormat="false" ht="13.8" hidden="false" customHeight="false" outlineLevel="0" collapsed="false">
      <c r="A34" s="127" t="n">
        <f aca="false">ExportRaw!$F34</f>
        <v>0</v>
      </c>
      <c r="B34" s="127" t="n">
        <f aca="false">ExportRaw!$C34</f>
        <v>0</v>
      </c>
      <c r="C34" s="127" t="n">
        <f aca="false">ExportRaw!$G34</f>
        <v>0</v>
      </c>
      <c r="D34" s="127" t="str">
        <f aca="false">ExportRaw!$E34</f>
        <v/>
      </c>
      <c r="E34" s="128" t="str">
        <f aca="false">ExportRaw!$D34</f>
        <v/>
      </c>
      <c r="F34" s="127" t="str">
        <f aca="false">ExportRaw!$H34</f>
        <v/>
      </c>
      <c r="G34" s="129" t="str">
        <f aca="false">ExportRaw!$I34</f>
        <v/>
      </c>
      <c r="H34" s="127" t="str">
        <f aca="false">ExportRaw!$A34</f>
        <v/>
      </c>
      <c r="I34" s="127" t="str">
        <f aca="false">ExportRaw!$B34</f>
        <v/>
      </c>
    </row>
    <row r="35" customFormat="false" ht="13.8" hidden="false" customHeight="false" outlineLevel="0" collapsed="false">
      <c r="A35" s="127" t="n">
        <f aca="false">ExportRaw!$F35</f>
        <v>0</v>
      </c>
      <c r="B35" s="127" t="n">
        <f aca="false">ExportRaw!$C35</f>
        <v>0</v>
      </c>
      <c r="C35" s="127" t="n">
        <f aca="false">ExportRaw!$G35</f>
        <v>0</v>
      </c>
      <c r="D35" s="127" t="str">
        <f aca="false">ExportRaw!$E35</f>
        <v/>
      </c>
      <c r="E35" s="128" t="str">
        <f aca="false">ExportRaw!$D35</f>
        <v/>
      </c>
      <c r="F35" s="127" t="str">
        <f aca="false">ExportRaw!$H35</f>
        <v/>
      </c>
      <c r="G35" s="129" t="str">
        <f aca="false">ExportRaw!$I35</f>
        <v/>
      </c>
      <c r="H35" s="127" t="str">
        <f aca="false">ExportRaw!$A35</f>
        <v/>
      </c>
      <c r="I35" s="127" t="str">
        <f aca="false">ExportRaw!$B35</f>
        <v/>
      </c>
    </row>
    <row r="36" customFormat="false" ht="13.8" hidden="false" customHeight="false" outlineLevel="0" collapsed="false">
      <c r="A36" s="127" t="n">
        <f aca="false">ExportRaw!$F36</f>
        <v>0</v>
      </c>
      <c r="B36" s="127" t="n">
        <f aca="false">ExportRaw!$C36</f>
        <v>0</v>
      </c>
      <c r="C36" s="127" t="n">
        <f aca="false">ExportRaw!$G36</f>
        <v>0</v>
      </c>
      <c r="D36" s="127" t="str">
        <f aca="false">ExportRaw!$E36</f>
        <v/>
      </c>
      <c r="E36" s="128" t="str">
        <f aca="false">ExportRaw!$D36</f>
        <v/>
      </c>
      <c r="F36" s="127" t="str">
        <f aca="false">ExportRaw!$H36</f>
        <v/>
      </c>
      <c r="G36" s="129" t="str">
        <f aca="false">ExportRaw!$I36</f>
        <v/>
      </c>
      <c r="H36" s="127" t="str">
        <f aca="false">ExportRaw!$A36</f>
        <v/>
      </c>
      <c r="I36" s="127" t="str">
        <f aca="false">ExportRaw!$B36</f>
        <v/>
      </c>
    </row>
    <row r="37" customFormat="false" ht="13.8" hidden="false" customHeight="false" outlineLevel="0" collapsed="false">
      <c r="A37" s="127" t="n">
        <f aca="false">ExportRaw!$F37</f>
        <v>0</v>
      </c>
      <c r="B37" s="127" t="n">
        <f aca="false">ExportRaw!$C37</f>
        <v>0</v>
      </c>
      <c r="C37" s="127" t="n">
        <f aca="false">ExportRaw!$G37</f>
        <v>0</v>
      </c>
      <c r="D37" s="127" t="str">
        <f aca="false">ExportRaw!$E37</f>
        <v/>
      </c>
      <c r="E37" s="128" t="str">
        <f aca="false">ExportRaw!$D37</f>
        <v/>
      </c>
      <c r="F37" s="127" t="str">
        <f aca="false">ExportRaw!$H37</f>
        <v/>
      </c>
      <c r="G37" s="129" t="str">
        <f aca="false">ExportRaw!$I37</f>
        <v/>
      </c>
      <c r="H37" s="127" t="str">
        <f aca="false">ExportRaw!$A37</f>
        <v/>
      </c>
      <c r="I37" s="127" t="str">
        <f aca="false">ExportRaw!$B37</f>
        <v/>
      </c>
    </row>
    <row r="38" customFormat="false" ht="13.8" hidden="false" customHeight="false" outlineLevel="0" collapsed="false">
      <c r="A38" s="127" t="n">
        <f aca="false">ExportRaw!$F38</f>
        <v>0</v>
      </c>
      <c r="B38" s="127" t="n">
        <f aca="false">ExportRaw!$C38</f>
        <v>0</v>
      </c>
      <c r="C38" s="127" t="n">
        <f aca="false">ExportRaw!$G38</f>
        <v>0</v>
      </c>
      <c r="D38" s="127" t="str">
        <f aca="false">ExportRaw!$E38</f>
        <v/>
      </c>
      <c r="E38" s="128" t="str">
        <f aca="false">ExportRaw!$D38</f>
        <v/>
      </c>
      <c r="F38" s="127" t="str">
        <f aca="false">ExportRaw!$H38</f>
        <v/>
      </c>
      <c r="G38" s="129" t="str">
        <f aca="false">ExportRaw!$I38</f>
        <v/>
      </c>
      <c r="H38" s="127" t="str">
        <f aca="false">ExportRaw!$A38</f>
        <v/>
      </c>
      <c r="I38" s="127" t="str">
        <f aca="false">ExportRaw!$B38</f>
        <v/>
      </c>
    </row>
    <row r="39" customFormat="false" ht="13.8" hidden="false" customHeight="false" outlineLevel="0" collapsed="false">
      <c r="A39" s="127" t="n">
        <f aca="false">ExportRaw!$F39</f>
        <v>0</v>
      </c>
      <c r="B39" s="127" t="n">
        <f aca="false">ExportRaw!$C39</f>
        <v>0</v>
      </c>
      <c r="C39" s="127" t="n">
        <f aca="false">ExportRaw!$G39</f>
        <v>0</v>
      </c>
      <c r="D39" s="127" t="str">
        <f aca="false">ExportRaw!$E39</f>
        <v/>
      </c>
      <c r="E39" s="128" t="str">
        <f aca="false">ExportRaw!$D39</f>
        <v/>
      </c>
      <c r="F39" s="127" t="str">
        <f aca="false">ExportRaw!$H39</f>
        <v/>
      </c>
      <c r="G39" s="129" t="str">
        <f aca="false">ExportRaw!$I39</f>
        <v/>
      </c>
      <c r="H39" s="127" t="str">
        <f aca="false">ExportRaw!$A39</f>
        <v/>
      </c>
      <c r="I39" s="127" t="str">
        <f aca="false">ExportRaw!$B39</f>
        <v/>
      </c>
    </row>
    <row r="40" customFormat="false" ht="13.8" hidden="false" customHeight="false" outlineLevel="0" collapsed="false">
      <c r="A40" s="127" t="n">
        <f aca="false">ExportRaw!$F40</f>
        <v>0</v>
      </c>
      <c r="B40" s="127" t="n">
        <f aca="false">ExportRaw!$C40</f>
        <v>0</v>
      </c>
      <c r="C40" s="127" t="n">
        <f aca="false">ExportRaw!$G40</f>
        <v>0</v>
      </c>
      <c r="D40" s="127" t="str">
        <f aca="false">ExportRaw!$E40</f>
        <v/>
      </c>
      <c r="E40" s="128" t="str">
        <f aca="false">ExportRaw!$D40</f>
        <v/>
      </c>
      <c r="F40" s="127" t="str">
        <f aca="false">ExportRaw!$H40</f>
        <v/>
      </c>
      <c r="G40" s="129" t="str">
        <f aca="false">ExportRaw!$I40</f>
        <v/>
      </c>
      <c r="H40" s="127" t="str">
        <f aca="false">ExportRaw!$A40</f>
        <v/>
      </c>
      <c r="I40" s="127" t="str">
        <f aca="false">ExportRaw!$B40</f>
        <v/>
      </c>
    </row>
    <row r="41" customFormat="false" ht="13.8" hidden="false" customHeight="false" outlineLevel="0" collapsed="false">
      <c r="A41" s="127" t="n">
        <f aca="false">ExportRaw!$F41</f>
        <v>0</v>
      </c>
      <c r="B41" s="127" t="n">
        <f aca="false">ExportRaw!$C41</f>
        <v>0</v>
      </c>
      <c r="C41" s="127" t="n">
        <f aca="false">ExportRaw!$G41</f>
        <v>0</v>
      </c>
      <c r="D41" s="127" t="str">
        <f aca="false">ExportRaw!$E41</f>
        <v/>
      </c>
      <c r="E41" s="128" t="str">
        <f aca="false">ExportRaw!$D41</f>
        <v/>
      </c>
      <c r="F41" s="127" t="str">
        <f aca="false">ExportRaw!$H41</f>
        <v/>
      </c>
      <c r="G41" s="129" t="str">
        <f aca="false">ExportRaw!$I41</f>
        <v/>
      </c>
      <c r="H41" s="127" t="str">
        <f aca="false">ExportRaw!$A41</f>
        <v/>
      </c>
      <c r="I41" s="127" t="str">
        <f aca="false">ExportRaw!$B41</f>
        <v/>
      </c>
    </row>
    <row r="42" customFormat="false" ht="13.8" hidden="false" customHeight="false" outlineLevel="0" collapsed="false">
      <c r="A42" s="127" t="n">
        <f aca="false">ExportRaw!$F42</f>
        <v>0</v>
      </c>
      <c r="B42" s="127" t="n">
        <f aca="false">ExportRaw!$C42</f>
        <v>0</v>
      </c>
      <c r="C42" s="127" t="n">
        <f aca="false">ExportRaw!$G42</f>
        <v>0</v>
      </c>
      <c r="D42" s="127" t="str">
        <f aca="false">ExportRaw!$E42</f>
        <v/>
      </c>
      <c r="E42" s="128" t="str">
        <f aca="false">ExportRaw!$D42</f>
        <v/>
      </c>
      <c r="F42" s="127" t="str">
        <f aca="false">ExportRaw!$H42</f>
        <v/>
      </c>
      <c r="G42" s="129" t="str">
        <f aca="false">ExportRaw!$I42</f>
        <v/>
      </c>
      <c r="H42" s="127" t="str">
        <f aca="false">ExportRaw!$A42</f>
        <v/>
      </c>
      <c r="I42" s="127" t="str">
        <f aca="false">ExportRaw!$B42</f>
        <v/>
      </c>
    </row>
    <row r="43" customFormat="false" ht="13.8" hidden="false" customHeight="false" outlineLevel="0" collapsed="false">
      <c r="A43" s="127" t="n">
        <f aca="false">ExportRaw!$F43</f>
        <v>0</v>
      </c>
      <c r="B43" s="127" t="n">
        <f aca="false">ExportRaw!$C43</f>
        <v>0</v>
      </c>
      <c r="C43" s="127" t="n">
        <f aca="false">ExportRaw!$G43</f>
        <v>0</v>
      </c>
      <c r="D43" s="127" t="str">
        <f aca="false">ExportRaw!$E43</f>
        <v/>
      </c>
      <c r="E43" s="128" t="str">
        <f aca="false">ExportRaw!$D43</f>
        <v/>
      </c>
      <c r="F43" s="127" t="str">
        <f aca="false">ExportRaw!$H43</f>
        <v/>
      </c>
      <c r="G43" s="129" t="str">
        <f aca="false">ExportRaw!$I43</f>
        <v/>
      </c>
      <c r="H43" s="127" t="str">
        <f aca="false">ExportRaw!$A43</f>
        <v/>
      </c>
      <c r="I43" s="127" t="str">
        <f aca="false">ExportRaw!$B43</f>
        <v/>
      </c>
    </row>
    <row r="44" customFormat="false" ht="13.8" hidden="false" customHeight="false" outlineLevel="0" collapsed="false">
      <c r="A44" s="127" t="n">
        <f aca="false">ExportRaw!$F44</f>
        <v>0</v>
      </c>
      <c r="B44" s="127" t="n">
        <f aca="false">ExportRaw!$C44</f>
        <v>0</v>
      </c>
      <c r="C44" s="127" t="n">
        <f aca="false">ExportRaw!$G44</f>
        <v>0</v>
      </c>
      <c r="D44" s="127" t="str">
        <f aca="false">ExportRaw!$E44</f>
        <v/>
      </c>
      <c r="E44" s="128" t="str">
        <f aca="false">ExportRaw!$D44</f>
        <v/>
      </c>
      <c r="F44" s="127" t="str">
        <f aca="false">ExportRaw!$H44</f>
        <v/>
      </c>
      <c r="G44" s="129" t="str">
        <f aca="false">ExportRaw!$I44</f>
        <v/>
      </c>
      <c r="H44" s="127" t="str">
        <f aca="false">ExportRaw!$A44</f>
        <v/>
      </c>
      <c r="I44" s="127" t="str">
        <f aca="false">ExportRaw!$B44</f>
        <v/>
      </c>
    </row>
    <row r="45" customFormat="false" ht="13.8" hidden="false" customHeight="false" outlineLevel="0" collapsed="false">
      <c r="A45" s="127" t="n">
        <f aca="false">ExportRaw!$F45</f>
        <v>0</v>
      </c>
      <c r="B45" s="127" t="n">
        <f aca="false">ExportRaw!$C45</f>
        <v>0</v>
      </c>
      <c r="C45" s="127" t="n">
        <f aca="false">ExportRaw!$G45</f>
        <v>0</v>
      </c>
      <c r="D45" s="127" t="str">
        <f aca="false">ExportRaw!$E45</f>
        <v/>
      </c>
      <c r="E45" s="128" t="str">
        <f aca="false">ExportRaw!$D45</f>
        <v/>
      </c>
      <c r="F45" s="127" t="str">
        <f aca="false">ExportRaw!$H45</f>
        <v/>
      </c>
      <c r="G45" s="129" t="str">
        <f aca="false">ExportRaw!$I45</f>
        <v/>
      </c>
      <c r="H45" s="127" t="str">
        <f aca="false">ExportRaw!$A45</f>
        <v/>
      </c>
      <c r="I45" s="127" t="str">
        <f aca="false">ExportRaw!$B45</f>
        <v/>
      </c>
    </row>
    <row r="46" customFormat="false" ht="13.8" hidden="false" customHeight="false" outlineLevel="0" collapsed="false">
      <c r="A46" s="127" t="n">
        <f aca="false">ExportRaw!$F46</f>
        <v>0</v>
      </c>
      <c r="B46" s="127" t="n">
        <f aca="false">ExportRaw!$C46</f>
        <v>0</v>
      </c>
      <c r="C46" s="127" t="n">
        <f aca="false">ExportRaw!$G46</f>
        <v>0</v>
      </c>
      <c r="D46" s="127" t="str">
        <f aca="false">ExportRaw!$E46</f>
        <v/>
      </c>
      <c r="E46" s="128" t="str">
        <f aca="false">ExportRaw!$D46</f>
        <v/>
      </c>
      <c r="F46" s="127" t="str">
        <f aca="false">ExportRaw!$H46</f>
        <v/>
      </c>
      <c r="G46" s="129" t="str">
        <f aca="false">ExportRaw!$I46</f>
        <v/>
      </c>
      <c r="H46" s="127" t="str">
        <f aca="false">ExportRaw!$A46</f>
        <v/>
      </c>
      <c r="I46" s="127" t="str">
        <f aca="false">ExportRaw!$B46</f>
        <v/>
      </c>
    </row>
    <row r="47" customFormat="false" ht="13.8" hidden="false" customHeight="false" outlineLevel="0" collapsed="false">
      <c r="A47" s="127" t="n">
        <f aca="false">ExportRaw!$F47</f>
        <v>0</v>
      </c>
      <c r="B47" s="127" t="n">
        <f aca="false">ExportRaw!$C47</f>
        <v>0</v>
      </c>
      <c r="C47" s="127" t="n">
        <f aca="false">ExportRaw!$G47</f>
        <v>0</v>
      </c>
      <c r="D47" s="127" t="str">
        <f aca="false">ExportRaw!$E47</f>
        <v/>
      </c>
      <c r="E47" s="128" t="str">
        <f aca="false">ExportRaw!$D47</f>
        <v/>
      </c>
      <c r="F47" s="127" t="str">
        <f aca="false">ExportRaw!$H47</f>
        <v/>
      </c>
      <c r="G47" s="129" t="str">
        <f aca="false">ExportRaw!$I47</f>
        <v/>
      </c>
      <c r="H47" s="127" t="str">
        <f aca="false">ExportRaw!$A47</f>
        <v/>
      </c>
      <c r="I47" s="127" t="str">
        <f aca="false">ExportRaw!$B47</f>
        <v/>
      </c>
    </row>
    <row r="48" customFormat="false" ht="13.8" hidden="false" customHeight="false" outlineLevel="0" collapsed="false">
      <c r="A48" s="127" t="n">
        <f aca="false">ExportRaw!$F48</f>
        <v>0</v>
      </c>
      <c r="B48" s="127" t="n">
        <f aca="false">ExportRaw!$C48</f>
        <v>0</v>
      </c>
      <c r="C48" s="127" t="n">
        <f aca="false">ExportRaw!$G48</f>
        <v>0</v>
      </c>
      <c r="D48" s="127" t="str">
        <f aca="false">ExportRaw!$E48</f>
        <v/>
      </c>
      <c r="E48" s="128" t="str">
        <f aca="false">ExportRaw!$D48</f>
        <v/>
      </c>
      <c r="F48" s="127" t="str">
        <f aca="false">ExportRaw!$H48</f>
        <v/>
      </c>
      <c r="G48" s="129" t="str">
        <f aca="false">ExportRaw!$I48</f>
        <v/>
      </c>
      <c r="H48" s="127" t="str">
        <f aca="false">ExportRaw!$A48</f>
        <v/>
      </c>
      <c r="I48" s="127" t="str">
        <f aca="false">ExportRaw!$B48</f>
        <v/>
      </c>
    </row>
    <row r="49" customFormat="false" ht="13.8" hidden="false" customHeight="false" outlineLevel="0" collapsed="false">
      <c r="A49" s="127" t="n">
        <f aca="false">ExportRaw!$F49</f>
        <v>0</v>
      </c>
      <c r="B49" s="127" t="n">
        <f aca="false">ExportRaw!$C49</f>
        <v>0</v>
      </c>
      <c r="C49" s="127" t="n">
        <f aca="false">ExportRaw!$G49</f>
        <v>0</v>
      </c>
      <c r="D49" s="127" t="str">
        <f aca="false">ExportRaw!$E49</f>
        <v/>
      </c>
      <c r="E49" s="128" t="str">
        <f aca="false">ExportRaw!$D49</f>
        <v/>
      </c>
      <c r="F49" s="127" t="str">
        <f aca="false">ExportRaw!$H49</f>
        <v/>
      </c>
      <c r="G49" s="129" t="str">
        <f aca="false">ExportRaw!$I49</f>
        <v/>
      </c>
      <c r="H49" s="127" t="str">
        <f aca="false">ExportRaw!$A49</f>
        <v/>
      </c>
      <c r="I49" s="127" t="str">
        <f aca="false">ExportRaw!$B49</f>
        <v/>
      </c>
    </row>
    <row r="50" customFormat="false" ht="13.8" hidden="false" customHeight="false" outlineLevel="0" collapsed="false">
      <c r="A50" s="127" t="n">
        <f aca="false">ExportRaw!$F50</f>
        <v>0</v>
      </c>
      <c r="B50" s="127" t="n">
        <f aca="false">ExportRaw!$C50</f>
        <v>0</v>
      </c>
      <c r="C50" s="127" t="n">
        <f aca="false">ExportRaw!$G50</f>
        <v>0</v>
      </c>
      <c r="D50" s="127" t="str">
        <f aca="false">ExportRaw!$E50</f>
        <v/>
      </c>
      <c r="E50" s="128" t="str">
        <f aca="false">ExportRaw!$D50</f>
        <v/>
      </c>
      <c r="F50" s="127" t="str">
        <f aca="false">ExportRaw!$H50</f>
        <v/>
      </c>
      <c r="G50" s="129" t="str">
        <f aca="false">ExportRaw!$I50</f>
        <v/>
      </c>
      <c r="H50" s="127" t="str">
        <f aca="false">ExportRaw!$A50</f>
        <v/>
      </c>
      <c r="I50" s="127" t="str">
        <f aca="false">ExportRaw!$B50</f>
        <v/>
      </c>
    </row>
    <row r="51" customFormat="false" ht="13.8" hidden="false" customHeight="false" outlineLevel="0" collapsed="false">
      <c r="A51" s="127" t="n">
        <f aca="false">ExportRaw!$F51</f>
        <v>0</v>
      </c>
      <c r="B51" s="127" t="n">
        <f aca="false">ExportRaw!$C51</f>
        <v>0</v>
      </c>
      <c r="C51" s="127" t="n">
        <f aca="false">ExportRaw!$G51</f>
        <v>0</v>
      </c>
      <c r="D51" s="127" t="str">
        <f aca="false">ExportRaw!$E51</f>
        <v/>
      </c>
      <c r="E51" s="128" t="str">
        <f aca="false">ExportRaw!$D51</f>
        <v/>
      </c>
      <c r="F51" s="127" t="str">
        <f aca="false">ExportRaw!$H51</f>
        <v/>
      </c>
      <c r="G51" s="129" t="str">
        <f aca="false">ExportRaw!$I51</f>
        <v/>
      </c>
      <c r="H51" s="127" t="str">
        <f aca="false">ExportRaw!$A51</f>
        <v/>
      </c>
      <c r="I51" s="127" t="str">
        <f aca="false">ExportRaw!$B51</f>
        <v/>
      </c>
    </row>
    <row r="52" customFormat="false" ht="13.8" hidden="false" customHeight="false" outlineLevel="0" collapsed="false">
      <c r="A52" s="127" t="n">
        <f aca="false">ExportRaw!$F52</f>
        <v>0</v>
      </c>
      <c r="B52" s="127" t="n">
        <f aca="false">ExportRaw!$C52</f>
        <v>0</v>
      </c>
      <c r="C52" s="127" t="n">
        <f aca="false">ExportRaw!$G52</f>
        <v>0</v>
      </c>
      <c r="D52" s="127" t="str">
        <f aca="false">ExportRaw!$E52</f>
        <v/>
      </c>
      <c r="E52" s="128" t="str">
        <f aca="false">ExportRaw!$D52</f>
        <v/>
      </c>
      <c r="F52" s="127" t="str">
        <f aca="false">ExportRaw!$H52</f>
        <v/>
      </c>
      <c r="G52" s="129" t="str">
        <f aca="false">ExportRaw!$I52</f>
        <v/>
      </c>
      <c r="H52" s="127" t="str">
        <f aca="false">ExportRaw!$A52</f>
        <v/>
      </c>
      <c r="I52" s="127" t="str">
        <f aca="false">ExportRaw!$B52</f>
        <v/>
      </c>
    </row>
    <row r="53" customFormat="false" ht="13.8" hidden="false" customHeight="false" outlineLevel="0" collapsed="false">
      <c r="A53" s="127" t="n">
        <f aca="false">ExportRaw!$F53</f>
        <v>0</v>
      </c>
      <c r="B53" s="127" t="n">
        <f aca="false">ExportRaw!$C53</f>
        <v>0</v>
      </c>
      <c r="C53" s="127" t="n">
        <f aca="false">ExportRaw!$G53</f>
        <v>0</v>
      </c>
      <c r="D53" s="127" t="str">
        <f aca="false">ExportRaw!$E53</f>
        <v/>
      </c>
      <c r="E53" s="128" t="str">
        <f aca="false">ExportRaw!$D53</f>
        <v/>
      </c>
      <c r="F53" s="127" t="str">
        <f aca="false">ExportRaw!$H53</f>
        <v/>
      </c>
      <c r="G53" s="129" t="str">
        <f aca="false">ExportRaw!$I53</f>
        <v/>
      </c>
      <c r="H53" s="127" t="str">
        <f aca="false">ExportRaw!$A53</f>
        <v/>
      </c>
      <c r="I53" s="127" t="str">
        <f aca="false">ExportRaw!$B53</f>
        <v/>
      </c>
    </row>
    <row r="54" customFormat="false" ht="13.8" hidden="false" customHeight="false" outlineLevel="0" collapsed="false">
      <c r="A54" s="127" t="n">
        <f aca="false">ExportRaw!$F54</f>
        <v>0</v>
      </c>
      <c r="B54" s="127" t="n">
        <f aca="false">ExportRaw!$C54</f>
        <v>0</v>
      </c>
      <c r="C54" s="127" t="n">
        <f aca="false">ExportRaw!$G54</f>
        <v>0</v>
      </c>
      <c r="D54" s="127" t="str">
        <f aca="false">ExportRaw!$E54</f>
        <v/>
      </c>
      <c r="E54" s="128" t="str">
        <f aca="false">ExportRaw!$D54</f>
        <v/>
      </c>
      <c r="F54" s="127" t="str">
        <f aca="false">ExportRaw!$H54</f>
        <v/>
      </c>
      <c r="G54" s="129" t="str">
        <f aca="false">ExportRaw!$I54</f>
        <v/>
      </c>
      <c r="H54" s="127" t="str">
        <f aca="false">ExportRaw!$A54</f>
        <v/>
      </c>
      <c r="I54" s="127" t="str">
        <f aca="false">ExportRaw!$B54</f>
        <v/>
      </c>
    </row>
    <row r="55" customFormat="false" ht="13.8" hidden="false" customHeight="false" outlineLevel="0" collapsed="false">
      <c r="A55" s="127" t="n">
        <f aca="false">ExportRaw!$F55</f>
        <v>0</v>
      </c>
      <c r="B55" s="127" t="n">
        <f aca="false">ExportRaw!$C55</f>
        <v>0</v>
      </c>
      <c r="C55" s="127" t="n">
        <f aca="false">ExportRaw!$G55</f>
        <v>0</v>
      </c>
      <c r="D55" s="127" t="str">
        <f aca="false">ExportRaw!$E55</f>
        <v/>
      </c>
      <c r="E55" s="128" t="str">
        <f aca="false">ExportRaw!$D55</f>
        <v/>
      </c>
      <c r="F55" s="127" t="str">
        <f aca="false">ExportRaw!$H55</f>
        <v/>
      </c>
      <c r="G55" s="129" t="str">
        <f aca="false">ExportRaw!$I55</f>
        <v/>
      </c>
      <c r="H55" s="127" t="str">
        <f aca="false">ExportRaw!$A55</f>
        <v/>
      </c>
      <c r="I55" s="127" t="str">
        <f aca="false">ExportRaw!$B55</f>
        <v/>
      </c>
    </row>
    <row r="56" customFormat="false" ht="13.8" hidden="false" customHeight="false" outlineLevel="0" collapsed="false">
      <c r="A56" s="127" t="n">
        <f aca="false">ExportRaw!$F56</f>
        <v>0</v>
      </c>
      <c r="B56" s="127" t="n">
        <f aca="false">ExportRaw!$C56</f>
        <v>0</v>
      </c>
      <c r="C56" s="127" t="n">
        <f aca="false">ExportRaw!$G56</f>
        <v>0</v>
      </c>
      <c r="D56" s="127" t="str">
        <f aca="false">ExportRaw!$E56</f>
        <v/>
      </c>
      <c r="E56" s="128" t="str">
        <f aca="false">ExportRaw!$D56</f>
        <v/>
      </c>
      <c r="F56" s="127" t="str">
        <f aca="false">ExportRaw!$H56</f>
        <v/>
      </c>
      <c r="G56" s="129" t="str">
        <f aca="false">ExportRaw!$I56</f>
        <v/>
      </c>
      <c r="H56" s="127" t="str">
        <f aca="false">ExportRaw!$A56</f>
        <v/>
      </c>
      <c r="I56" s="127" t="str">
        <f aca="false">ExportRaw!$B56</f>
        <v/>
      </c>
    </row>
    <row r="57" customFormat="false" ht="13.8" hidden="false" customHeight="false" outlineLevel="0" collapsed="false">
      <c r="A57" s="127" t="n">
        <f aca="false">ExportRaw!$F57</f>
        <v>0</v>
      </c>
      <c r="B57" s="127" t="n">
        <f aca="false">ExportRaw!$C57</f>
        <v>0</v>
      </c>
      <c r="C57" s="127" t="n">
        <f aca="false">ExportRaw!$G57</f>
        <v>0</v>
      </c>
      <c r="D57" s="127" t="str">
        <f aca="false">ExportRaw!$E57</f>
        <v/>
      </c>
      <c r="E57" s="128" t="str">
        <f aca="false">ExportRaw!$D57</f>
        <v/>
      </c>
      <c r="F57" s="127" t="str">
        <f aca="false">ExportRaw!$H57</f>
        <v/>
      </c>
      <c r="G57" s="129" t="str">
        <f aca="false">ExportRaw!$I57</f>
        <v/>
      </c>
      <c r="H57" s="127" t="str">
        <f aca="false">ExportRaw!$A57</f>
        <v/>
      </c>
      <c r="I57" s="127" t="str">
        <f aca="false">ExportRaw!$B57</f>
        <v/>
      </c>
    </row>
    <row r="58" customFormat="false" ht="13.8" hidden="false" customHeight="false" outlineLevel="0" collapsed="false">
      <c r="A58" s="127" t="n">
        <f aca="false">ExportRaw!$F58</f>
        <v>0</v>
      </c>
      <c r="B58" s="127" t="n">
        <f aca="false">ExportRaw!$C58</f>
        <v>0</v>
      </c>
      <c r="C58" s="127" t="n">
        <f aca="false">ExportRaw!$G58</f>
        <v>0</v>
      </c>
      <c r="D58" s="127" t="str">
        <f aca="false">ExportRaw!$E58</f>
        <v/>
      </c>
      <c r="E58" s="128" t="str">
        <f aca="false">ExportRaw!$D58</f>
        <v/>
      </c>
      <c r="F58" s="127" t="str">
        <f aca="false">ExportRaw!$H58</f>
        <v/>
      </c>
      <c r="G58" s="129" t="str">
        <f aca="false">ExportRaw!$I58</f>
        <v/>
      </c>
      <c r="H58" s="127" t="str">
        <f aca="false">ExportRaw!$A58</f>
        <v/>
      </c>
      <c r="I58" s="127" t="str">
        <f aca="false">ExportRaw!$B58</f>
        <v/>
      </c>
    </row>
    <row r="59" customFormat="false" ht="13.8" hidden="false" customHeight="false" outlineLevel="0" collapsed="false">
      <c r="A59" s="127" t="n">
        <f aca="false">ExportRaw!$F59</f>
        <v>0</v>
      </c>
      <c r="B59" s="127" t="n">
        <f aca="false">ExportRaw!$C59</f>
        <v>0</v>
      </c>
      <c r="C59" s="127" t="n">
        <f aca="false">ExportRaw!$G59</f>
        <v>0</v>
      </c>
      <c r="D59" s="127" t="str">
        <f aca="false">ExportRaw!$E59</f>
        <v/>
      </c>
      <c r="E59" s="128" t="str">
        <f aca="false">ExportRaw!$D59</f>
        <v/>
      </c>
      <c r="F59" s="127" t="str">
        <f aca="false">ExportRaw!$H59</f>
        <v/>
      </c>
      <c r="G59" s="129" t="str">
        <f aca="false">ExportRaw!$I59</f>
        <v/>
      </c>
      <c r="H59" s="127" t="str">
        <f aca="false">ExportRaw!$A59</f>
        <v/>
      </c>
      <c r="I59" s="127" t="str">
        <f aca="false">ExportRaw!$B59</f>
        <v/>
      </c>
    </row>
    <row r="60" customFormat="false" ht="13.8" hidden="false" customHeight="false" outlineLevel="0" collapsed="false">
      <c r="A60" s="127" t="n">
        <f aca="false">ExportRaw!$F60</f>
        <v>0</v>
      </c>
      <c r="B60" s="127" t="n">
        <f aca="false">ExportRaw!$C60</f>
        <v>0</v>
      </c>
      <c r="C60" s="127" t="n">
        <f aca="false">ExportRaw!$G60</f>
        <v>0</v>
      </c>
      <c r="D60" s="127" t="str">
        <f aca="false">ExportRaw!$E60</f>
        <v/>
      </c>
      <c r="E60" s="128" t="str">
        <f aca="false">ExportRaw!$D60</f>
        <v/>
      </c>
      <c r="F60" s="127" t="str">
        <f aca="false">ExportRaw!$H60</f>
        <v/>
      </c>
      <c r="G60" s="129" t="str">
        <f aca="false">ExportRaw!$I60</f>
        <v/>
      </c>
      <c r="H60" s="127" t="str">
        <f aca="false">ExportRaw!$A60</f>
        <v/>
      </c>
      <c r="I60" s="127" t="str">
        <f aca="false">ExportRaw!$B60</f>
        <v/>
      </c>
    </row>
    <row r="61" customFormat="false" ht="13.8" hidden="false" customHeight="false" outlineLevel="0" collapsed="false">
      <c r="A61" s="127" t="n">
        <f aca="false">ExportRaw!$F61</f>
        <v>0</v>
      </c>
      <c r="B61" s="127" t="n">
        <f aca="false">ExportRaw!$C61</f>
        <v>0</v>
      </c>
      <c r="C61" s="127" t="n">
        <f aca="false">ExportRaw!$G61</f>
        <v>0</v>
      </c>
      <c r="D61" s="127" t="str">
        <f aca="false">ExportRaw!$E61</f>
        <v/>
      </c>
      <c r="E61" s="128" t="str">
        <f aca="false">ExportRaw!$D61</f>
        <v/>
      </c>
      <c r="F61" s="127" t="str">
        <f aca="false">ExportRaw!$H61</f>
        <v/>
      </c>
      <c r="G61" s="129" t="str">
        <f aca="false">ExportRaw!$I61</f>
        <v/>
      </c>
      <c r="H61" s="127" t="str">
        <f aca="false">ExportRaw!$A61</f>
        <v/>
      </c>
      <c r="I61" s="127" t="str">
        <f aca="false">ExportRaw!$B61</f>
        <v/>
      </c>
    </row>
    <row r="62" customFormat="false" ht="13.8" hidden="false" customHeight="false" outlineLevel="0" collapsed="false">
      <c r="A62" s="127" t="n">
        <f aca="false">ExportRaw!$F62</f>
        <v>0</v>
      </c>
      <c r="B62" s="127" t="n">
        <f aca="false">ExportRaw!$C62</f>
        <v>0</v>
      </c>
      <c r="C62" s="127" t="n">
        <f aca="false">ExportRaw!$G62</f>
        <v>0</v>
      </c>
      <c r="D62" s="127" t="str">
        <f aca="false">ExportRaw!$E62</f>
        <v/>
      </c>
      <c r="E62" s="128" t="str">
        <f aca="false">ExportRaw!$D62</f>
        <v/>
      </c>
      <c r="F62" s="127" t="str">
        <f aca="false">ExportRaw!$H62</f>
        <v/>
      </c>
      <c r="G62" s="129" t="str">
        <f aca="false">ExportRaw!$I62</f>
        <v/>
      </c>
      <c r="H62" s="127" t="str">
        <f aca="false">ExportRaw!$A62</f>
        <v/>
      </c>
      <c r="I62" s="127" t="str">
        <f aca="false">ExportRaw!$B62</f>
        <v/>
      </c>
    </row>
    <row r="63" customFormat="false" ht="13.8" hidden="false" customHeight="false" outlineLevel="0" collapsed="false">
      <c r="A63" s="127" t="n">
        <f aca="false">ExportRaw!$F63</f>
        <v>0</v>
      </c>
      <c r="B63" s="127" t="n">
        <f aca="false">ExportRaw!$C63</f>
        <v>0</v>
      </c>
      <c r="C63" s="127" t="n">
        <f aca="false">ExportRaw!$G63</f>
        <v>0</v>
      </c>
      <c r="D63" s="127" t="str">
        <f aca="false">ExportRaw!$E63</f>
        <v/>
      </c>
      <c r="E63" s="128" t="str">
        <f aca="false">ExportRaw!$D63</f>
        <v/>
      </c>
      <c r="F63" s="127" t="str">
        <f aca="false">ExportRaw!$H63</f>
        <v/>
      </c>
      <c r="G63" s="129" t="str">
        <f aca="false">ExportRaw!$I63</f>
        <v/>
      </c>
      <c r="H63" s="127" t="str">
        <f aca="false">ExportRaw!$A63</f>
        <v/>
      </c>
      <c r="I63" s="127" t="str">
        <f aca="false">ExportRaw!$B63</f>
        <v/>
      </c>
    </row>
    <row r="64" customFormat="false" ht="13.8" hidden="false" customHeight="false" outlineLevel="0" collapsed="false">
      <c r="A64" s="127" t="n">
        <f aca="false">ExportRaw!$F64</f>
        <v>0</v>
      </c>
      <c r="B64" s="127" t="n">
        <f aca="false">ExportRaw!$C64</f>
        <v>0</v>
      </c>
      <c r="C64" s="127" t="n">
        <f aca="false">ExportRaw!$G64</f>
        <v>0</v>
      </c>
      <c r="D64" s="127" t="str">
        <f aca="false">ExportRaw!$E64</f>
        <v/>
      </c>
      <c r="E64" s="128" t="str">
        <f aca="false">ExportRaw!$D64</f>
        <v/>
      </c>
      <c r="F64" s="127" t="str">
        <f aca="false">ExportRaw!$H64</f>
        <v/>
      </c>
      <c r="G64" s="129" t="str">
        <f aca="false">ExportRaw!$I64</f>
        <v/>
      </c>
      <c r="H64" s="127" t="str">
        <f aca="false">ExportRaw!$A64</f>
        <v/>
      </c>
      <c r="I64" s="127" t="str">
        <f aca="false">ExportRaw!$B64</f>
        <v/>
      </c>
    </row>
    <row r="65" customFormat="false" ht="13.8" hidden="false" customHeight="false" outlineLevel="0" collapsed="false">
      <c r="A65" s="127" t="n">
        <f aca="false">ExportRaw!$F65</f>
        <v>0</v>
      </c>
      <c r="B65" s="127" t="n">
        <f aca="false">ExportRaw!$C65</f>
        <v>0</v>
      </c>
      <c r="C65" s="127" t="n">
        <f aca="false">ExportRaw!$G65</f>
        <v>0</v>
      </c>
      <c r="D65" s="127" t="str">
        <f aca="false">ExportRaw!$E65</f>
        <v/>
      </c>
      <c r="E65" s="128" t="str">
        <f aca="false">ExportRaw!$D65</f>
        <v/>
      </c>
      <c r="F65" s="127" t="str">
        <f aca="false">ExportRaw!$H65</f>
        <v/>
      </c>
      <c r="G65" s="129" t="str">
        <f aca="false">ExportRaw!$I65</f>
        <v/>
      </c>
      <c r="H65" s="127" t="str">
        <f aca="false">ExportRaw!$A65</f>
        <v/>
      </c>
      <c r="I65" s="127" t="str">
        <f aca="false">ExportRaw!$B65</f>
        <v/>
      </c>
    </row>
    <row r="66" customFormat="false" ht="13.8" hidden="false" customHeight="false" outlineLevel="0" collapsed="false">
      <c r="A66" s="127" t="n">
        <f aca="false">ExportRaw!$F66</f>
        <v>0</v>
      </c>
      <c r="B66" s="127" t="n">
        <f aca="false">ExportRaw!$C66</f>
        <v>0</v>
      </c>
      <c r="C66" s="127" t="n">
        <f aca="false">ExportRaw!$G66</f>
        <v>0</v>
      </c>
      <c r="D66" s="127" t="str">
        <f aca="false">ExportRaw!$E66</f>
        <v/>
      </c>
      <c r="E66" s="128" t="str">
        <f aca="false">ExportRaw!$D66</f>
        <v/>
      </c>
      <c r="F66" s="127" t="str">
        <f aca="false">ExportRaw!$H66</f>
        <v/>
      </c>
      <c r="G66" s="129" t="str">
        <f aca="false">ExportRaw!$I66</f>
        <v/>
      </c>
      <c r="H66" s="127" t="str">
        <f aca="false">ExportRaw!$A66</f>
        <v/>
      </c>
      <c r="I66" s="127" t="str">
        <f aca="false">ExportRaw!$B66</f>
        <v/>
      </c>
    </row>
    <row r="67" customFormat="false" ht="13.8" hidden="false" customHeight="false" outlineLevel="0" collapsed="false">
      <c r="A67" s="127" t="n">
        <f aca="false">ExportRaw!$F67</f>
        <v>0</v>
      </c>
      <c r="B67" s="127" t="n">
        <f aca="false">ExportRaw!$C67</f>
        <v>0</v>
      </c>
      <c r="C67" s="127" t="n">
        <f aca="false">ExportRaw!$G67</f>
        <v>0</v>
      </c>
      <c r="D67" s="127" t="str">
        <f aca="false">ExportRaw!$E67</f>
        <v/>
      </c>
      <c r="E67" s="128" t="str">
        <f aca="false">ExportRaw!$D67</f>
        <v/>
      </c>
      <c r="F67" s="127" t="str">
        <f aca="false">ExportRaw!$H67</f>
        <v/>
      </c>
      <c r="G67" s="129" t="str">
        <f aca="false">ExportRaw!$I67</f>
        <v/>
      </c>
      <c r="H67" s="127" t="str">
        <f aca="false">ExportRaw!$A67</f>
        <v/>
      </c>
      <c r="I67" s="127" t="str">
        <f aca="false">ExportRaw!$B67</f>
        <v/>
      </c>
    </row>
    <row r="68" customFormat="false" ht="13.8" hidden="false" customHeight="false" outlineLevel="0" collapsed="false">
      <c r="A68" s="127" t="n">
        <f aca="false">ExportRaw!$F68</f>
        <v>0</v>
      </c>
      <c r="B68" s="127" t="n">
        <f aca="false">ExportRaw!$C68</f>
        <v>0</v>
      </c>
      <c r="C68" s="127" t="n">
        <f aca="false">ExportRaw!$G68</f>
        <v>0</v>
      </c>
      <c r="D68" s="127" t="str">
        <f aca="false">ExportRaw!$E68</f>
        <v/>
      </c>
      <c r="E68" s="128" t="str">
        <f aca="false">ExportRaw!$D68</f>
        <v/>
      </c>
      <c r="F68" s="127" t="str">
        <f aca="false">ExportRaw!$H68</f>
        <v/>
      </c>
      <c r="G68" s="129" t="str">
        <f aca="false">ExportRaw!$I68</f>
        <v/>
      </c>
      <c r="H68" s="127" t="str">
        <f aca="false">ExportRaw!$A68</f>
        <v/>
      </c>
      <c r="I68" s="127" t="str">
        <f aca="false">ExportRaw!$B68</f>
        <v/>
      </c>
    </row>
    <row r="69" customFormat="false" ht="13.8" hidden="false" customHeight="false" outlineLevel="0" collapsed="false">
      <c r="A69" s="127" t="n">
        <f aca="false">ExportRaw!$F69</f>
        <v>0</v>
      </c>
      <c r="B69" s="127" t="n">
        <f aca="false">ExportRaw!$C69</f>
        <v>0</v>
      </c>
      <c r="C69" s="127" t="n">
        <f aca="false">ExportRaw!$G69</f>
        <v>0</v>
      </c>
      <c r="D69" s="127" t="str">
        <f aca="false">ExportRaw!$E69</f>
        <v/>
      </c>
      <c r="E69" s="128" t="str">
        <f aca="false">ExportRaw!$D69</f>
        <v/>
      </c>
      <c r="F69" s="127" t="str">
        <f aca="false">ExportRaw!$H69</f>
        <v/>
      </c>
      <c r="G69" s="129" t="str">
        <f aca="false">ExportRaw!$I69</f>
        <v/>
      </c>
      <c r="H69" s="127" t="str">
        <f aca="false">ExportRaw!$A69</f>
        <v/>
      </c>
      <c r="I69" s="127" t="str">
        <f aca="false">ExportRaw!$B69</f>
        <v/>
      </c>
    </row>
    <row r="70" customFormat="false" ht="13.8" hidden="false" customHeight="false" outlineLevel="0" collapsed="false">
      <c r="A70" s="127" t="n">
        <f aca="false">ExportRaw!$F70</f>
        <v>0</v>
      </c>
      <c r="B70" s="127" t="n">
        <f aca="false">ExportRaw!$C70</f>
        <v>0</v>
      </c>
      <c r="C70" s="127" t="n">
        <f aca="false">ExportRaw!$G70</f>
        <v>0</v>
      </c>
      <c r="D70" s="127" t="str">
        <f aca="false">ExportRaw!$E70</f>
        <v/>
      </c>
      <c r="E70" s="128" t="str">
        <f aca="false">ExportRaw!$D70</f>
        <v/>
      </c>
      <c r="F70" s="127" t="str">
        <f aca="false">ExportRaw!$H70</f>
        <v/>
      </c>
      <c r="G70" s="129" t="str">
        <f aca="false">ExportRaw!$I70</f>
        <v/>
      </c>
      <c r="H70" s="127" t="str">
        <f aca="false">ExportRaw!$A70</f>
        <v/>
      </c>
      <c r="I70" s="127" t="str">
        <f aca="false">ExportRaw!$B70</f>
        <v/>
      </c>
    </row>
    <row r="71" customFormat="false" ht="13.8" hidden="false" customHeight="false" outlineLevel="0" collapsed="false">
      <c r="A71" s="127" t="n">
        <f aca="false">ExportRaw!$F71</f>
        <v>0</v>
      </c>
      <c r="B71" s="127" t="n">
        <f aca="false">ExportRaw!$C71</f>
        <v>0</v>
      </c>
      <c r="C71" s="127" t="n">
        <f aca="false">ExportRaw!$G71</f>
        <v>0</v>
      </c>
      <c r="D71" s="127" t="str">
        <f aca="false">ExportRaw!$E71</f>
        <v/>
      </c>
      <c r="E71" s="128" t="str">
        <f aca="false">ExportRaw!$D71</f>
        <v/>
      </c>
      <c r="F71" s="127" t="str">
        <f aca="false">ExportRaw!$H71</f>
        <v/>
      </c>
      <c r="G71" s="129" t="str">
        <f aca="false">ExportRaw!$I71</f>
        <v/>
      </c>
      <c r="H71" s="127" t="str">
        <f aca="false">ExportRaw!$A71</f>
        <v/>
      </c>
      <c r="I71" s="127" t="str">
        <f aca="false">ExportRaw!$B71</f>
        <v/>
      </c>
    </row>
    <row r="72" customFormat="false" ht="13.8" hidden="false" customHeight="false" outlineLevel="0" collapsed="false">
      <c r="A72" s="127" t="n">
        <f aca="false">ExportRaw!$F72</f>
        <v>0</v>
      </c>
      <c r="B72" s="127" t="n">
        <f aca="false">ExportRaw!$C72</f>
        <v>0</v>
      </c>
      <c r="C72" s="127" t="n">
        <f aca="false">ExportRaw!$G72</f>
        <v>0</v>
      </c>
      <c r="D72" s="127" t="str">
        <f aca="false">ExportRaw!$E72</f>
        <v/>
      </c>
      <c r="E72" s="128" t="str">
        <f aca="false">ExportRaw!$D72</f>
        <v/>
      </c>
      <c r="F72" s="127" t="str">
        <f aca="false">ExportRaw!$H72</f>
        <v/>
      </c>
      <c r="G72" s="129" t="str">
        <f aca="false">ExportRaw!$I72</f>
        <v/>
      </c>
      <c r="H72" s="127" t="str">
        <f aca="false">ExportRaw!$A72</f>
        <v/>
      </c>
      <c r="I72" s="127" t="str">
        <f aca="false">ExportRaw!$B72</f>
        <v/>
      </c>
    </row>
    <row r="73" customFormat="false" ht="13.8" hidden="false" customHeight="false" outlineLevel="0" collapsed="false">
      <c r="A73" s="127" t="n">
        <f aca="false">ExportRaw!$F73</f>
        <v>0</v>
      </c>
      <c r="B73" s="127" t="n">
        <f aca="false">ExportRaw!$C73</f>
        <v>0</v>
      </c>
      <c r="C73" s="127" t="n">
        <f aca="false">ExportRaw!$G73</f>
        <v>0</v>
      </c>
      <c r="D73" s="127" t="str">
        <f aca="false">ExportRaw!$E73</f>
        <v/>
      </c>
      <c r="E73" s="128" t="str">
        <f aca="false">ExportRaw!$D73</f>
        <v/>
      </c>
      <c r="F73" s="127" t="str">
        <f aca="false">ExportRaw!$H73</f>
        <v/>
      </c>
      <c r="G73" s="129" t="str">
        <f aca="false">ExportRaw!$I73</f>
        <v/>
      </c>
      <c r="H73" s="127" t="str">
        <f aca="false">ExportRaw!$A73</f>
        <v/>
      </c>
      <c r="I73" s="127" t="str">
        <f aca="false">ExportRaw!$B73</f>
        <v/>
      </c>
    </row>
    <row r="74" customFormat="false" ht="13.8" hidden="false" customHeight="false" outlineLevel="0" collapsed="false">
      <c r="A74" s="127" t="n">
        <f aca="false">ExportRaw!$F74</f>
        <v>0</v>
      </c>
      <c r="B74" s="127" t="n">
        <f aca="false">ExportRaw!$C74</f>
        <v>0</v>
      </c>
      <c r="C74" s="127" t="n">
        <f aca="false">ExportRaw!$G74</f>
        <v>0</v>
      </c>
      <c r="D74" s="127" t="str">
        <f aca="false">ExportRaw!$E74</f>
        <v/>
      </c>
      <c r="E74" s="128" t="str">
        <f aca="false">ExportRaw!$D74</f>
        <v/>
      </c>
      <c r="F74" s="127" t="str">
        <f aca="false">ExportRaw!$H74</f>
        <v/>
      </c>
      <c r="G74" s="129" t="str">
        <f aca="false">ExportRaw!$I74</f>
        <v/>
      </c>
      <c r="H74" s="127" t="str">
        <f aca="false">ExportRaw!$A74</f>
        <v/>
      </c>
      <c r="I74" s="127" t="str">
        <f aca="false">ExportRaw!$B74</f>
        <v/>
      </c>
    </row>
    <row r="75" customFormat="false" ht="13.8" hidden="false" customHeight="false" outlineLevel="0" collapsed="false">
      <c r="A75" s="127" t="n">
        <f aca="false">ExportRaw!$F75</f>
        <v>0</v>
      </c>
      <c r="B75" s="127" t="n">
        <f aca="false">ExportRaw!$C75</f>
        <v>0</v>
      </c>
      <c r="C75" s="127" t="n">
        <f aca="false">ExportRaw!$G75</f>
        <v>0</v>
      </c>
      <c r="D75" s="127" t="str">
        <f aca="false">ExportRaw!$E75</f>
        <v/>
      </c>
      <c r="E75" s="128" t="str">
        <f aca="false">ExportRaw!$D75</f>
        <v/>
      </c>
      <c r="F75" s="127" t="str">
        <f aca="false">ExportRaw!$H75</f>
        <v/>
      </c>
      <c r="G75" s="129" t="str">
        <f aca="false">ExportRaw!$I75</f>
        <v/>
      </c>
      <c r="H75" s="127" t="str">
        <f aca="false">ExportRaw!$A75</f>
        <v/>
      </c>
      <c r="I75" s="127" t="str">
        <f aca="false">ExportRaw!$B75</f>
        <v/>
      </c>
    </row>
    <row r="76" customFormat="false" ht="13.8" hidden="false" customHeight="false" outlineLevel="0" collapsed="false">
      <c r="A76" s="127" t="n">
        <f aca="false">ExportRaw!$F76</f>
        <v>0</v>
      </c>
      <c r="B76" s="127" t="n">
        <f aca="false">ExportRaw!$C76</f>
        <v>0</v>
      </c>
      <c r="C76" s="127" t="n">
        <f aca="false">ExportRaw!$G76</f>
        <v>0</v>
      </c>
      <c r="D76" s="127" t="str">
        <f aca="false">ExportRaw!$E76</f>
        <v/>
      </c>
      <c r="E76" s="128" t="str">
        <f aca="false">ExportRaw!$D76</f>
        <v/>
      </c>
      <c r="F76" s="127" t="str">
        <f aca="false">ExportRaw!$H76</f>
        <v/>
      </c>
      <c r="G76" s="129" t="str">
        <f aca="false">ExportRaw!$I76</f>
        <v/>
      </c>
      <c r="H76" s="127" t="str">
        <f aca="false">ExportRaw!$A76</f>
        <v/>
      </c>
      <c r="I76" s="127" t="str">
        <f aca="false">ExportRaw!$B76</f>
        <v/>
      </c>
    </row>
    <row r="77" customFormat="false" ht="13.8" hidden="false" customHeight="false" outlineLevel="0" collapsed="false">
      <c r="A77" s="127" t="n">
        <f aca="false">ExportRaw!$F77</f>
        <v>0</v>
      </c>
      <c r="B77" s="127" t="n">
        <f aca="false">ExportRaw!$C77</f>
        <v>0</v>
      </c>
      <c r="C77" s="127" t="n">
        <f aca="false">ExportRaw!$G77</f>
        <v>0</v>
      </c>
      <c r="D77" s="127" t="str">
        <f aca="false">ExportRaw!$E77</f>
        <v/>
      </c>
      <c r="E77" s="128" t="str">
        <f aca="false">ExportRaw!$D77</f>
        <v/>
      </c>
      <c r="F77" s="127" t="str">
        <f aca="false">ExportRaw!$H77</f>
        <v/>
      </c>
      <c r="G77" s="129" t="str">
        <f aca="false">ExportRaw!$I77</f>
        <v/>
      </c>
      <c r="H77" s="127" t="str">
        <f aca="false">ExportRaw!$A77</f>
        <v/>
      </c>
      <c r="I77" s="127" t="str">
        <f aca="false">ExportRaw!$B77</f>
        <v/>
      </c>
    </row>
    <row r="78" customFormat="false" ht="13.8" hidden="false" customHeight="false" outlineLevel="0" collapsed="false">
      <c r="A78" s="127" t="n">
        <f aca="false">ExportRaw!$F78</f>
        <v>0</v>
      </c>
      <c r="B78" s="127" t="n">
        <f aca="false">ExportRaw!$C78</f>
        <v>0</v>
      </c>
      <c r="C78" s="127" t="n">
        <f aca="false">ExportRaw!$G78</f>
        <v>0</v>
      </c>
      <c r="D78" s="127" t="str">
        <f aca="false">ExportRaw!$E78</f>
        <v/>
      </c>
      <c r="E78" s="128" t="str">
        <f aca="false">ExportRaw!$D78</f>
        <v/>
      </c>
      <c r="F78" s="127" t="str">
        <f aca="false">ExportRaw!$H78</f>
        <v/>
      </c>
      <c r="G78" s="129" t="str">
        <f aca="false">ExportRaw!$I78</f>
        <v/>
      </c>
      <c r="H78" s="127" t="str">
        <f aca="false">ExportRaw!$A78</f>
        <v/>
      </c>
      <c r="I78" s="127" t="str">
        <f aca="false">ExportRaw!$B78</f>
        <v/>
      </c>
    </row>
    <row r="79" customFormat="false" ht="13.8" hidden="false" customHeight="false" outlineLevel="0" collapsed="false">
      <c r="A79" s="127" t="n">
        <f aca="false">ExportRaw!$F79</f>
        <v>0</v>
      </c>
      <c r="B79" s="127" t="n">
        <f aca="false">ExportRaw!$C79</f>
        <v>0</v>
      </c>
      <c r="C79" s="127" t="n">
        <f aca="false">ExportRaw!$G79</f>
        <v>0</v>
      </c>
      <c r="D79" s="127" t="str">
        <f aca="false">ExportRaw!$E79</f>
        <v/>
      </c>
      <c r="E79" s="128" t="str">
        <f aca="false">ExportRaw!$D79</f>
        <v/>
      </c>
      <c r="F79" s="127" t="str">
        <f aca="false">ExportRaw!$H79</f>
        <v/>
      </c>
      <c r="G79" s="129" t="str">
        <f aca="false">ExportRaw!$I79</f>
        <v/>
      </c>
      <c r="H79" s="127" t="str">
        <f aca="false">ExportRaw!$A79</f>
        <v/>
      </c>
      <c r="I79" s="127" t="str">
        <f aca="false">ExportRaw!$B79</f>
        <v/>
      </c>
    </row>
    <row r="80" customFormat="false" ht="13.8" hidden="false" customHeight="false" outlineLevel="0" collapsed="false">
      <c r="A80" s="127" t="n">
        <f aca="false">ExportRaw!$F80</f>
        <v>0</v>
      </c>
      <c r="B80" s="127" t="n">
        <f aca="false">ExportRaw!$C80</f>
        <v>0</v>
      </c>
      <c r="C80" s="127" t="n">
        <f aca="false">ExportRaw!$G80</f>
        <v>0</v>
      </c>
      <c r="D80" s="127" t="str">
        <f aca="false">ExportRaw!$E80</f>
        <v/>
      </c>
      <c r="E80" s="128" t="str">
        <f aca="false">ExportRaw!$D80</f>
        <v/>
      </c>
      <c r="F80" s="127" t="str">
        <f aca="false">ExportRaw!$H80</f>
        <v/>
      </c>
      <c r="G80" s="129" t="str">
        <f aca="false">ExportRaw!$I80</f>
        <v/>
      </c>
      <c r="H80" s="127" t="str">
        <f aca="false">ExportRaw!$A80</f>
        <v/>
      </c>
      <c r="I80" s="127" t="str">
        <f aca="false">ExportRaw!$B80</f>
        <v/>
      </c>
    </row>
    <row r="81" customFormat="false" ht="13.8" hidden="false" customHeight="false" outlineLevel="0" collapsed="false">
      <c r="A81" s="127" t="n">
        <f aca="false">ExportRaw!$F81</f>
        <v>0</v>
      </c>
      <c r="B81" s="127" t="n">
        <f aca="false">ExportRaw!$C81</f>
        <v>0</v>
      </c>
      <c r="C81" s="127" t="n">
        <f aca="false">ExportRaw!$G81</f>
        <v>0</v>
      </c>
      <c r="D81" s="127" t="str">
        <f aca="false">ExportRaw!$E81</f>
        <v/>
      </c>
      <c r="E81" s="128" t="str">
        <f aca="false">ExportRaw!$D81</f>
        <v/>
      </c>
      <c r="F81" s="127" t="str">
        <f aca="false">ExportRaw!$H81</f>
        <v/>
      </c>
      <c r="G81" s="129" t="str">
        <f aca="false">ExportRaw!$I81</f>
        <v/>
      </c>
      <c r="H81" s="127" t="str">
        <f aca="false">ExportRaw!$A81</f>
        <v/>
      </c>
      <c r="I81" s="127" t="str">
        <f aca="false">ExportRaw!$B81</f>
        <v/>
      </c>
    </row>
    <row r="82" customFormat="false" ht="13.8" hidden="false" customHeight="false" outlineLevel="0" collapsed="false">
      <c r="A82" s="127" t="n">
        <f aca="false">ExportRaw!$F82</f>
        <v>0</v>
      </c>
      <c r="B82" s="127" t="n">
        <f aca="false">ExportRaw!$C82</f>
        <v>0</v>
      </c>
      <c r="C82" s="127" t="n">
        <f aca="false">ExportRaw!$G82</f>
        <v>0</v>
      </c>
      <c r="D82" s="127" t="str">
        <f aca="false">ExportRaw!$E82</f>
        <v/>
      </c>
      <c r="E82" s="128" t="str">
        <f aca="false">ExportRaw!$D82</f>
        <v/>
      </c>
      <c r="F82" s="127" t="str">
        <f aca="false">ExportRaw!$H82</f>
        <v/>
      </c>
      <c r="G82" s="129" t="str">
        <f aca="false">ExportRaw!$I82</f>
        <v/>
      </c>
      <c r="H82" s="127" t="str">
        <f aca="false">ExportRaw!$A82</f>
        <v/>
      </c>
      <c r="I82" s="127" t="str">
        <f aca="false">ExportRaw!$B82</f>
        <v/>
      </c>
    </row>
    <row r="83" customFormat="false" ht="13.8" hidden="false" customHeight="false" outlineLevel="0" collapsed="false">
      <c r="A83" s="127" t="n">
        <f aca="false">ExportRaw!$F83</f>
        <v>0</v>
      </c>
      <c r="B83" s="127" t="n">
        <f aca="false">ExportRaw!$C83</f>
        <v>0</v>
      </c>
      <c r="C83" s="127" t="n">
        <f aca="false">ExportRaw!$G83</f>
        <v>0</v>
      </c>
      <c r="D83" s="127" t="str">
        <f aca="false">ExportRaw!$E83</f>
        <v/>
      </c>
      <c r="E83" s="128" t="str">
        <f aca="false">ExportRaw!$D83</f>
        <v/>
      </c>
      <c r="F83" s="127" t="str">
        <f aca="false">ExportRaw!$H83</f>
        <v/>
      </c>
      <c r="G83" s="129" t="str">
        <f aca="false">ExportRaw!$I83</f>
        <v/>
      </c>
      <c r="H83" s="127" t="str">
        <f aca="false">ExportRaw!$A83</f>
        <v/>
      </c>
      <c r="I83" s="127" t="str">
        <f aca="false">ExportRaw!$B83</f>
        <v/>
      </c>
    </row>
    <row r="84" customFormat="false" ht="13.8" hidden="false" customHeight="false" outlineLevel="0" collapsed="false">
      <c r="A84" s="127" t="n">
        <f aca="false">ExportRaw!$F84</f>
        <v>0</v>
      </c>
      <c r="B84" s="127" t="n">
        <f aca="false">ExportRaw!$C84</f>
        <v>0</v>
      </c>
      <c r="C84" s="127" t="n">
        <f aca="false">ExportRaw!$G84</f>
        <v>0</v>
      </c>
      <c r="D84" s="127" t="str">
        <f aca="false">ExportRaw!$E84</f>
        <v/>
      </c>
      <c r="E84" s="128" t="str">
        <f aca="false">ExportRaw!$D84</f>
        <v/>
      </c>
      <c r="F84" s="127" t="str">
        <f aca="false">ExportRaw!$H84</f>
        <v/>
      </c>
      <c r="G84" s="129" t="str">
        <f aca="false">ExportRaw!$I84</f>
        <v/>
      </c>
      <c r="H84" s="127" t="str">
        <f aca="false">ExportRaw!$A84</f>
        <v/>
      </c>
      <c r="I84" s="127" t="str">
        <f aca="false">ExportRaw!$B84</f>
        <v/>
      </c>
    </row>
    <row r="85" customFormat="false" ht="13.8" hidden="false" customHeight="false" outlineLevel="0" collapsed="false">
      <c r="A85" s="127" t="n">
        <f aca="false">ExportRaw!$F85</f>
        <v>0</v>
      </c>
      <c r="B85" s="127" t="n">
        <f aca="false">ExportRaw!$C85</f>
        <v>0</v>
      </c>
      <c r="C85" s="127" t="n">
        <f aca="false">ExportRaw!$G85</f>
        <v>0</v>
      </c>
      <c r="D85" s="127" t="str">
        <f aca="false">ExportRaw!$E85</f>
        <v/>
      </c>
      <c r="E85" s="128" t="str">
        <f aca="false">ExportRaw!$D85</f>
        <v/>
      </c>
      <c r="F85" s="127" t="str">
        <f aca="false">ExportRaw!$H85</f>
        <v/>
      </c>
      <c r="G85" s="129" t="str">
        <f aca="false">ExportRaw!$I85</f>
        <v/>
      </c>
      <c r="H85" s="127" t="str">
        <f aca="false">ExportRaw!$A85</f>
        <v/>
      </c>
      <c r="I85" s="127" t="str">
        <f aca="false">ExportRaw!$B85</f>
        <v/>
      </c>
    </row>
    <row r="86" customFormat="false" ht="13.8" hidden="false" customHeight="false" outlineLevel="0" collapsed="false">
      <c r="A86" s="127" t="n">
        <f aca="false">ExportRaw!$F86</f>
        <v>0</v>
      </c>
      <c r="B86" s="127" t="n">
        <f aca="false">ExportRaw!$C86</f>
        <v>0</v>
      </c>
      <c r="C86" s="127" t="n">
        <f aca="false">ExportRaw!$G86</f>
        <v>0</v>
      </c>
      <c r="D86" s="127" t="str">
        <f aca="false">ExportRaw!$E86</f>
        <v/>
      </c>
      <c r="E86" s="128" t="str">
        <f aca="false">ExportRaw!$D86</f>
        <v/>
      </c>
      <c r="F86" s="127" t="str">
        <f aca="false">ExportRaw!$H86</f>
        <v/>
      </c>
      <c r="G86" s="129" t="str">
        <f aca="false">ExportRaw!$I86</f>
        <v/>
      </c>
      <c r="H86" s="127" t="str">
        <f aca="false">ExportRaw!$A86</f>
        <v/>
      </c>
      <c r="I86" s="127" t="str">
        <f aca="false">ExportRaw!$B86</f>
        <v/>
      </c>
    </row>
    <row r="87" customFormat="false" ht="13.8" hidden="false" customHeight="false" outlineLevel="0" collapsed="false">
      <c r="A87" s="127" t="n">
        <f aca="false">ExportRaw!$F87</f>
        <v>0</v>
      </c>
      <c r="B87" s="127" t="n">
        <f aca="false">ExportRaw!$C87</f>
        <v>0</v>
      </c>
      <c r="C87" s="127" t="n">
        <f aca="false">ExportRaw!$G87</f>
        <v>0</v>
      </c>
      <c r="D87" s="127" t="str">
        <f aca="false">ExportRaw!$E87</f>
        <v/>
      </c>
      <c r="E87" s="128" t="str">
        <f aca="false">ExportRaw!$D87</f>
        <v/>
      </c>
      <c r="F87" s="127" t="str">
        <f aca="false">ExportRaw!$H87</f>
        <v/>
      </c>
      <c r="G87" s="129" t="str">
        <f aca="false">ExportRaw!$I87</f>
        <v/>
      </c>
      <c r="H87" s="127" t="str">
        <f aca="false">ExportRaw!$A87</f>
        <v/>
      </c>
      <c r="I87" s="127" t="str">
        <f aca="false">ExportRaw!$B87</f>
        <v/>
      </c>
    </row>
    <row r="88" customFormat="false" ht="13.8" hidden="false" customHeight="false" outlineLevel="0" collapsed="false">
      <c r="A88" s="127" t="n">
        <f aca="false">ExportRaw!$F88</f>
        <v>0</v>
      </c>
      <c r="B88" s="127" t="n">
        <f aca="false">ExportRaw!$C88</f>
        <v>0</v>
      </c>
      <c r="C88" s="127" t="n">
        <f aca="false">ExportRaw!$G88</f>
        <v>0</v>
      </c>
      <c r="D88" s="127" t="str">
        <f aca="false">ExportRaw!$E88</f>
        <v/>
      </c>
      <c r="E88" s="128" t="str">
        <f aca="false">ExportRaw!$D88</f>
        <v/>
      </c>
      <c r="F88" s="127" t="str">
        <f aca="false">ExportRaw!$H88</f>
        <v/>
      </c>
      <c r="G88" s="129" t="str">
        <f aca="false">ExportRaw!$I88</f>
        <v/>
      </c>
      <c r="H88" s="127" t="str">
        <f aca="false">ExportRaw!$A88</f>
        <v/>
      </c>
      <c r="I88" s="127" t="str">
        <f aca="false">ExportRaw!$B88</f>
        <v/>
      </c>
    </row>
    <row r="89" customFormat="false" ht="13.8" hidden="false" customHeight="false" outlineLevel="0" collapsed="false">
      <c r="A89" s="127" t="n">
        <f aca="false">ExportRaw!$F89</f>
        <v>0</v>
      </c>
      <c r="B89" s="127" t="n">
        <f aca="false">ExportRaw!$C89</f>
        <v>0</v>
      </c>
      <c r="C89" s="127" t="n">
        <f aca="false">ExportRaw!$G89</f>
        <v>0</v>
      </c>
      <c r="D89" s="127" t="str">
        <f aca="false">ExportRaw!$E89</f>
        <v/>
      </c>
      <c r="E89" s="128" t="str">
        <f aca="false">ExportRaw!$D89</f>
        <v/>
      </c>
      <c r="F89" s="127" t="str">
        <f aca="false">ExportRaw!$H89</f>
        <v/>
      </c>
      <c r="G89" s="129" t="str">
        <f aca="false">ExportRaw!$I89</f>
        <v/>
      </c>
      <c r="H89" s="127" t="str">
        <f aca="false">ExportRaw!$A89</f>
        <v/>
      </c>
      <c r="I89" s="127" t="str">
        <f aca="false">ExportRaw!$B89</f>
        <v/>
      </c>
    </row>
    <row r="90" customFormat="false" ht="13.8" hidden="false" customHeight="false" outlineLevel="0" collapsed="false">
      <c r="A90" s="127" t="n">
        <f aca="false">ExportRaw!$F90</f>
        <v>0</v>
      </c>
      <c r="B90" s="127" t="n">
        <f aca="false">ExportRaw!$C90</f>
        <v>0</v>
      </c>
      <c r="C90" s="127" t="n">
        <f aca="false">ExportRaw!$G90</f>
        <v>0</v>
      </c>
      <c r="D90" s="127" t="str">
        <f aca="false">ExportRaw!$E90</f>
        <v/>
      </c>
      <c r="E90" s="128" t="str">
        <f aca="false">ExportRaw!$D90</f>
        <v/>
      </c>
      <c r="F90" s="127" t="str">
        <f aca="false">ExportRaw!$H90</f>
        <v/>
      </c>
      <c r="G90" s="129" t="str">
        <f aca="false">ExportRaw!$I90</f>
        <v/>
      </c>
      <c r="H90" s="127" t="str">
        <f aca="false">ExportRaw!$A90</f>
        <v/>
      </c>
      <c r="I90" s="127" t="str">
        <f aca="false">ExportRaw!$B90</f>
        <v/>
      </c>
    </row>
    <row r="91" customFormat="false" ht="13.8" hidden="false" customHeight="false" outlineLevel="0" collapsed="false">
      <c r="A91" s="127" t="n">
        <f aca="false">ExportRaw!$F91</f>
        <v>0</v>
      </c>
      <c r="B91" s="127" t="n">
        <f aca="false">ExportRaw!$C91</f>
        <v>0</v>
      </c>
      <c r="C91" s="127" t="n">
        <f aca="false">ExportRaw!$G91</f>
        <v>0</v>
      </c>
      <c r="D91" s="127" t="str">
        <f aca="false">ExportRaw!$E91</f>
        <v/>
      </c>
      <c r="E91" s="128" t="str">
        <f aca="false">ExportRaw!$D91</f>
        <v/>
      </c>
      <c r="F91" s="127" t="str">
        <f aca="false">ExportRaw!$H91</f>
        <v/>
      </c>
      <c r="G91" s="129" t="str">
        <f aca="false">ExportRaw!$I91</f>
        <v/>
      </c>
      <c r="H91" s="127" t="str">
        <f aca="false">ExportRaw!$A91</f>
        <v/>
      </c>
      <c r="I91" s="127" t="str">
        <f aca="false">ExportRaw!$B91</f>
        <v/>
      </c>
    </row>
    <row r="92" customFormat="false" ht="13.8" hidden="false" customHeight="false" outlineLevel="0" collapsed="false">
      <c r="A92" s="127" t="n">
        <f aca="false">ExportRaw!$F92</f>
        <v>0</v>
      </c>
      <c r="B92" s="127" t="n">
        <f aca="false">ExportRaw!$C92</f>
        <v>0</v>
      </c>
      <c r="C92" s="127" t="n">
        <f aca="false">ExportRaw!$G92</f>
        <v>0</v>
      </c>
      <c r="D92" s="127" t="str">
        <f aca="false">ExportRaw!$E92</f>
        <v/>
      </c>
      <c r="E92" s="128" t="str">
        <f aca="false">ExportRaw!$D92</f>
        <v/>
      </c>
      <c r="F92" s="127" t="str">
        <f aca="false">ExportRaw!$H92</f>
        <v/>
      </c>
      <c r="G92" s="129" t="str">
        <f aca="false">ExportRaw!$I92</f>
        <v/>
      </c>
      <c r="H92" s="127" t="str">
        <f aca="false">ExportRaw!$A92</f>
        <v/>
      </c>
      <c r="I92" s="127" t="str">
        <f aca="false">ExportRaw!$B92</f>
        <v/>
      </c>
    </row>
    <row r="93" customFormat="false" ht="13.8" hidden="false" customHeight="false" outlineLevel="0" collapsed="false">
      <c r="A93" s="127" t="n">
        <f aca="false">ExportRaw!$F93</f>
        <v>0</v>
      </c>
      <c r="B93" s="127" t="n">
        <f aca="false">ExportRaw!$C93</f>
        <v>0</v>
      </c>
      <c r="C93" s="127" t="n">
        <f aca="false">ExportRaw!$G93</f>
        <v>0</v>
      </c>
      <c r="D93" s="127" t="str">
        <f aca="false">ExportRaw!$E93</f>
        <v/>
      </c>
      <c r="E93" s="128" t="str">
        <f aca="false">ExportRaw!$D93</f>
        <v/>
      </c>
      <c r="F93" s="127" t="str">
        <f aca="false">ExportRaw!$H93</f>
        <v/>
      </c>
      <c r="G93" s="129" t="str">
        <f aca="false">ExportRaw!$I93</f>
        <v/>
      </c>
      <c r="H93" s="127" t="str">
        <f aca="false">ExportRaw!$A93</f>
        <v/>
      </c>
      <c r="I93" s="127" t="str">
        <f aca="false">ExportRaw!$B93</f>
        <v/>
      </c>
    </row>
    <row r="94" customFormat="false" ht="13.8" hidden="false" customHeight="false" outlineLevel="0" collapsed="false">
      <c r="A94" s="127" t="n">
        <f aca="false">ExportRaw!$F94</f>
        <v>0</v>
      </c>
      <c r="B94" s="127" t="n">
        <f aca="false">ExportRaw!$C94</f>
        <v>0</v>
      </c>
      <c r="C94" s="127" t="n">
        <f aca="false">ExportRaw!$G94</f>
        <v>0</v>
      </c>
      <c r="D94" s="127" t="str">
        <f aca="false">ExportRaw!$E94</f>
        <v/>
      </c>
      <c r="E94" s="128" t="str">
        <f aca="false">ExportRaw!$D94</f>
        <v/>
      </c>
      <c r="F94" s="127" t="str">
        <f aca="false">ExportRaw!$H94</f>
        <v/>
      </c>
      <c r="G94" s="129" t="str">
        <f aca="false">ExportRaw!$I94</f>
        <v/>
      </c>
      <c r="H94" s="127" t="str">
        <f aca="false">ExportRaw!$A94</f>
        <v/>
      </c>
      <c r="I94" s="127" t="str">
        <f aca="false">ExportRaw!$B94</f>
        <v/>
      </c>
    </row>
    <row r="95" customFormat="false" ht="13.8" hidden="false" customHeight="false" outlineLevel="0" collapsed="false">
      <c r="A95" s="127" t="n">
        <f aca="false">ExportRaw!$F95</f>
        <v>0</v>
      </c>
      <c r="B95" s="127" t="n">
        <f aca="false">ExportRaw!$C95</f>
        <v>0</v>
      </c>
      <c r="C95" s="127" t="n">
        <f aca="false">ExportRaw!$G95</f>
        <v>0</v>
      </c>
      <c r="D95" s="127" t="str">
        <f aca="false">ExportRaw!$E95</f>
        <v/>
      </c>
      <c r="E95" s="128" t="str">
        <f aca="false">ExportRaw!$D95</f>
        <v/>
      </c>
      <c r="F95" s="127" t="str">
        <f aca="false">ExportRaw!$H95</f>
        <v/>
      </c>
      <c r="G95" s="129" t="str">
        <f aca="false">ExportRaw!$I95</f>
        <v/>
      </c>
      <c r="H95" s="127" t="str">
        <f aca="false">ExportRaw!$A95</f>
        <v/>
      </c>
      <c r="I95" s="127" t="str">
        <f aca="false">ExportRaw!$B95</f>
        <v/>
      </c>
    </row>
    <row r="96" customFormat="false" ht="13.8" hidden="false" customHeight="false" outlineLevel="0" collapsed="false">
      <c r="A96" s="127" t="n">
        <f aca="false">ExportRaw!$F96</f>
        <v>0</v>
      </c>
      <c r="B96" s="127" t="n">
        <f aca="false">ExportRaw!$C96</f>
        <v>0</v>
      </c>
      <c r="C96" s="127" t="n">
        <f aca="false">ExportRaw!$G96</f>
        <v>0</v>
      </c>
      <c r="D96" s="127" t="str">
        <f aca="false">ExportRaw!$E96</f>
        <v/>
      </c>
      <c r="E96" s="128" t="str">
        <f aca="false">ExportRaw!$D96</f>
        <v/>
      </c>
      <c r="F96" s="127" t="str">
        <f aca="false">ExportRaw!$H96</f>
        <v/>
      </c>
      <c r="G96" s="129" t="str">
        <f aca="false">ExportRaw!$I96</f>
        <v/>
      </c>
      <c r="H96" s="127" t="str">
        <f aca="false">ExportRaw!$A96</f>
        <v/>
      </c>
      <c r="I96" s="127" t="str">
        <f aca="false">ExportRaw!$B96</f>
        <v/>
      </c>
    </row>
    <row r="97" customFormat="false" ht="13.8" hidden="false" customHeight="false" outlineLevel="0" collapsed="false">
      <c r="A97" s="127" t="n">
        <f aca="false">ExportRaw!$F97</f>
        <v>0</v>
      </c>
      <c r="B97" s="127" t="n">
        <f aca="false">ExportRaw!$C97</f>
        <v>0</v>
      </c>
      <c r="C97" s="127" t="n">
        <f aca="false">ExportRaw!$G97</f>
        <v>0</v>
      </c>
      <c r="D97" s="127" t="str">
        <f aca="false">ExportRaw!$E97</f>
        <v/>
      </c>
      <c r="E97" s="128" t="str">
        <f aca="false">ExportRaw!$D97</f>
        <v/>
      </c>
      <c r="F97" s="127" t="str">
        <f aca="false">ExportRaw!$H97</f>
        <v/>
      </c>
      <c r="G97" s="129" t="str">
        <f aca="false">ExportRaw!$I97</f>
        <v/>
      </c>
      <c r="H97" s="127" t="str">
        <f aca="false">ExportRaw!$A97</f>
        <v/>
      </c>
      <c r="I97" s="127" t="str">
        <f aca="false">ExportRaw!$B97</f>
        <v/>
      </c>
    </row>
    <row r="98" customFormat="false" ht="13.8" hidden="false" customHeight="false" outlineLevel="0" collapsed="false">
      <c r="A98" s="127" t="n">
        <f aca="false">ExportRaw!$F98</f>
        <v>0</v>
      </c>
      <c r="B98" s="127" t="n">
        <f aca="false">ExportRaw!$C98</f>
        <v>0</v>
      </c>
      <c r="C98" s="127" t="n">
        <f aca="false">ExportRaw!$G98</f>
        <v>0</v>
      </c>
      <c r="D98" s="127" t="str">
        <f aca="false">ExportRaw!$E98</f>
        <v/>
      </c>
      <c r="E98" s="128" t="str">
        <f aca="false">ExportRaw!$D98</f>
        <v/>
      </c>
      <c r="F98" s="127" t="str">
        <f aca="false">ExportRaw!$H98</f>
        <v/>
      </c>
      <c r="G98" s="129" t="str">
        <f aca="false">ExportRaw!$I98</f>
        <v/>
      </c>
      <c r="H98" s="127" t="str">
        <f aca="false">ExportRaw!$A98</f>
        <v/>
      </c>
      <c r="I98" s="127" t="str">
        <f aca="false">ExportRaw!$B98</f>
        <v/>
      </c>
    </row>
    <row r="99" customFormat="false" ht="13.8" hidden="false" customHeight="false" outlineLevel="0" collapsed="false">
      <c r="A99" s="127" t="n">
        <f aca="false">ExportRaw!$F99</f>
        <v>0</v>
      </c>
      <c r="B99" s="127" t="n">
        <f aca="false">ExportRaw!$C99</f>
        <v>0</v>
      </c>
      <c r="C99" s="127" t="n">
        <f aca="false">ExportRaw!$G99</f>
        <v>0</v>
      </c>
      <c r="D99" s="127" t="str">
        <f aca="false">ExportRaw!$E99</f>
        <v/>
      </c>
      <c r="E99" s="128" t="str">
        <f aca="false">ExportRaw!$D99</f>
        <v/>
      </c>
      <c r="F99" s="127" t="str">
        <f aca="false">ExportRaw!$H99</f>
        <v/>
      </c>
      <c r="G99" s="129" t="str">
        <f aca="false">ExportRaw!$I99</f>
        <v/>
      </c>
      <c r="H99" s="127" t="str">
        <f aca="false">ExportRaw!$A99</f>
        <v/>
      </c>
      <c r="I99" s="127" t="str">
        <f aca="false">ExportRaw!$B99</f>
        <v/>
      </c>
    </row>
    <row r="100" customFormat="false" ht="13.8" hidden="false" customHeight="false" outlineLevel="0" collapsed="false">
      <c r="A100" s="127" t="n">
        <f aca="false">ExportRaw!$F100</f>
        <v>0</v>
      </c>
      <c r="B100" s="127" t="n">
        <f aca="false">ExportRaw!$C100</f>
        <v>0</v>
      </c>
      <c r="C100" s="127" t="n">
        <f aca="false">ExportRaw!$G100</f>
        <v>0</v>
      </c>
      <c r="D100" s="127" t="str">
        <f aca="false">ExportRaw!$E100</f>
        <v/>
      </c>
      <c r="E100" s="128" t="str">
        <f aca="false">ExportRaw!$D100</f>
        <v/>
      </c>
      <c r="F100" s="127" t="str">
        <f aca="false">ExportRaw!$H100</f>
        <v/>
      </c>
      <c r="G100" s="129" t="str">
        <f aca="false">ExportRaw!$I100</f>
        <v/>
      </c>
      <c r="H100" s="127" t="str">
        <f aca="false">ExportRaw!$A100</f>
        <v/>
      </c>
      <c r="I100" s="127" t="str">
        <f aca="false">ExportRaw!$B100</f>
        <v/>
      </c>
    </row>
    <row r="101" customFormat="false" ht="13.8" hidden="false" customHeight="false" outlineLevel="0" collapsed="false">
      <c r="A101" s="127" t="n">
        <f aca="false">ExportRaw!$F101</f>
        <v>0</v>
      </c>
      <c r="B101" s="127" t="n">
        <f aca="false">ExportRaw!$C101</f>
        <v>0</v>
      </c>
      <c r="C101" s="127" t="n">
        <f aca="false">ExportRaw!$G101</f>
        <v>0</v>
      </c>
      <c r="D101" s="127" t="str">
        <f aca="false">ExportRaw!$E101</f>
        <v/>
      </c>
      <c r="E101" s="128" t="str">
        <f aca="false">ExportRaw!$D101</f>
        <v/>
      </c>
      <c r="F101" s="127" t="str">
        <f aca="false">ExportRaw!$H101</f>
        <v/>
      </c>
      <c r="G101" s="129" t="str">
        <f aca="false">ExportRaw!$I101</f>
        <v/>
      </c>
      <c r="H101" s="127" t="str">
        <f aca="false">ExportRaw!$A101</f>
        <v/>
      </c>
      <c r="I101" s="127" t="str">
        <f aca="false">ExportRaw!$B101</f>
        <v/>
      </c>
    </row>
    <row r="102" customFormat="false" ht="13.8" hidden="false" customHeight="false" outlineLevel="0" collapsed="false">
      <c r="A102" s="127" t="n">
        <f aca="false">ExportRaw!$F102</f>
        <v>0</v>
      </c>
      <c r="B102" s="127" t="n">
        <f aca="false">ExportRaw!$C102</f>
        <v>0</v>
      </c>
      <c r="C102" s="127" t="n">
        <f aca="false">ExportRaw!$G102</f>
        <v>0</v>
      </c>
      <c r="D102" s="127" t="str">
        <f aca="false">ExportRaw!$E102</f>
        <v/>
      </c>
      <c r="E102" s="128" t="str">
        <f aca="false">ExportRaw!$D102</f>
        <v/>
      </c>
      <c r="F102" s="127" t="str">
        <f aca="false">ExportRaw!$H102</f>
        <v/>
      </c>
      <c r="G102" s="129" t="str">
        <f aca="false">ExportRaw!$I102</f>
        <v/>
      </c>
      <c r="H102" s="127" t="str">
        <f aca="false">ExportRaw!$A102</f>
        <v/>
      </c>
      <c r="I102" s="127" t="str">
        <f aca="false">ExportRaw!$B102</f>
        <v/>
      </c>
    </row>
    <row r="103" customFormat="false" ht="13.8" hidden="false" customHeight="false" outlineLevel="0" collapsed="false">
      <c r="A103" s="127" t="n">
        <f aca="false">ExportRaw!$F103</f>
        <v>0</v>
      </c>
      <c r="B103" s="127" t="n">
        <f aca="false">ExportRaw!$C103</f>
        <v>0</v>
      </c>
      <c r="C103" s="127" t="n">
        <f aca="false">ExportRaw!$G103</f>
        <v>0</v>
      </c>
      <c r="D103" s="127" t="str">
        <f aca="false">ExportRaw!$E103</f>
        <v/>
      </c>
      <c r="E103" s="128" t="str">
        <f aca="false">ExportRaw!$D103</f>
        <v/>
      </c>
      <c r="F103" s="127" t="str">
        <f aca="false">ExportRaw!$H103</f>
        <v/>
      </c>
      <c r="G103" s="129" t="str">
        <f aca="false">ExportRaw!$I103</f>
        <v/>
      </c>
      <c r="H103" s="127" t="str">
        <f aca="false">ExportRaw!$A103</f>
        <v/>
      </c>
      <c r="I103" s="127" t="str">
        <f aca="false">ExportRaw!$B103</f>
        <v/>
      </c>
    </row>
    <row r="104" customFormat="false" ht="13.8" hidden="false" customHeight="false" outlineLevel="0" collapsed="false">
      <c r="A104" s="127" t="n">
        <f aca="false">ExportRaw!$F104</f>
        <v>0</v>
      </c>
      <c r="B104" s="127" t="n">
        <f aca="false">ExportRaw!$C104</f>
        <v>0</v>
      </c>
      <c r="C104" s="127" t="n">
        <f aca="false">ExportRaw!$G104</f>
        <v>0</v>
      </c>
      <c r="D104" s="127" t="str">
        <f aca="false">ExportRaw!$E104</f>
        <v/>
      </c>
      <c r="E104" s="128" t="str">
        <f aca="false">ExportRaw!$D104</f>
        <v/>
      </c>
      <c r="F104" s="127" t="str">
        <f aca="false">ExportRaw!$H104</f>
        <v/>
      </c>
      <c r="G104" s="129" t="str">
        <f aca="false">ExportRaw!$I104</f>
        <v/>
      </c>
      <c r="H104" s="127" t="str">
        <f aca="false">ExportRaw!$A104</f>
        <v/>
      </c>
      <c r="I104" s="127" t="str">
        <f aca="false">ExportRaw!$B104</f>
        <v/>
      </c>
    </row>
    <row r="105" customFormat="false" ht="13.8" hidden="false" customHeight="false" outlineLevel="0" collapsed="false">
      <c r="A105" s="127" t="n">
        <f aca="false">ExportRaw!$F105</f>
        <v>0</v>
      </c>
      <c r="B105" s="127" t="n">
        <f aca="false">ExportRaw!$C105</f>
        <v>0</v>
      </c>
      <c r="C105" s="127" t="n">
        <f aca="false">ExportRaw!$G105</f>
        <v>0</v>
      </c>
      <c r="D105" s="127" t="str">
        <f aca="false">ExportRaw!$E105</f>
        <v/>
      </c>
      <c r="E105" s="128" t="str">
        <f aca="false">ExportRaw!$D105</f>
        <v/>
      </c>
      <c r="F105" s="127" t="str">
        <f aca="false">ExportRaw!$H105</f>
        <v/>
      </c>
      <c r="G105" s="129" t="str">
        <f aca="false">ExportRaw!$I105</f>
        <v/>
      </c>
      <c r="H105" s="127" t="str">
        <f aca="false">ExportRaw!$A105</f>
        <v/>
      </c>
      <c r="I105" s="127" t="str">
        <f aca="false">ExportRaw!$B105</f>
        <v/>
      </c>
    </row>
    <row r="106" customFormat="false" ht="13.8" hidden="false" customHeight="false" outlineLevel="0" collapsed="false">
      <c r="A106" s="127" t="n">
        <f aca="false">ExportRaw!$F106</f>
        <v>0</v>
      </c>
      <c r="B106" s="127" t="n">
        <f aca="false">ExportRaw!$C106</f>
        <v>0</v>
      </c>
      <c r="C106" s="127" t="n">
        <f aca="false">ExportRaw!$G106</f>
        <v>0</v>
      </c>
      <c r="D106" s="127" t="str">
        <f aca="false">ExportRaw!$E106</f>
        <v/>
      </c>
      <c r="E106" s="128" t="str">
        <f aca="false">ExportRaw!$D106</f>
        <v/>
      </c>
      <c r="F106" s="127" t="str">
        <f aca="false">ExportRaw!$H106</f>
        <v/>
      </c>
      <c r="G106" s="129" t="str">
        <f aca="false">ExportRaw!$I106</f>
        <v/>
      </c>
      <c r="H106" s="127" t="str">
        <f aca="false">ExportRaw!$A106</f>
        <v/>
      </c>
      <c r="I106" s="127" t="str">
        <f aca="false">ExportRaw!$B106</f>
        <v/>
      </c>
    </row>
    <row r="107" customFormat="false" ht="13.8" hidden="false" customHeight="false" outlineLevel="0" collapsed="false">
      <c r="A107" s="127" t="n">
        <f aca="false">ExportRaw!$F107</f>
        <v>0</v>
      </c>
      <c r="B107" s="127" t="n">
        <f aca="false">ExportRaw!$C107</f>
        <v>0</v>
      </c>
      <c r="C107" s="127" t="n">
        <f aca="false">ExportRaw!$G107</f>
        <v>0</v>
      </c>
      <c r="D107" s="127" t="str">
        <f aca="false">ExportRaw!$E107</f>
        <v/>
      </c>
      <c r="E107" s="128" t="str">
        <f aca="false">ExportRaw!$D107</f>
        <v/>
      </c>
      <c r="F107" s="127" t="str">
        <f aca="false">ExportRaw!$H107</f>
        <v/>
      </c>
      <c r="G107" s="129" t="str">
        <f aca="false">ExportRaw!$I107</f>
        <v/>
      </c>
      <c r="H107" s="127" t="str">
        <f aca="false">ExportRaw!$A107</f>
        <v/>
      </c>
      <c r="I107" s="127" t="str">
        <f aca="false">ExportRaw!$B107</f>
        <v/>
      </c>
    </row>
    <row r="108" customFormat="false" ht="13.8" hidden="false" customHeight="false" outlineLevel="0" collapsed="false">
      <c r="A108" s="127" t="n">
        <f aca="false">ExportRaw!$F108</f>
        <v>0</v>
      </c>
      <c r="B108" s="127" t="n">
        <f aca="false">ExportRaw!$C108</f>
        <v>0</v>
      </c>
      <c r="C108" s="127" t="n">
        <f aca="false">ExportRaw!$G108</f>
        <v>0</v>
      </c>
      <c r="D108" s="127" t="str">
        <f aca="false">ExportRaw!$E108</f>
        <v/>
      </c>
      <c r="E108" s="128" t="str">
        <f aca="false">ExportRaw!$D108</f>
        <v/>
      </c>
      <c r="F108" s="127" t="str">
        <f aca="false">ExportRaw!$H108</f>
        <v/>
      </c>
      <c r="G108" s="129" t="str">
        <f aca="false">ExportRaw!$I108</f>
        <v/>
      </c>
      <c r="H108" s="127" t="str">
        <f aca="false">ExportRaw!$A108</f>
        <v/>
      </c>
      <c r="I108" s="127" t="str">
        <f aca="false">ExportRaw!$B108</f>
        <v/>
      </c>
    </row>
    <row r="109" customFormat="false" ht="13.8" hidden="false" customHeight="false" outlineLevel="0" collapsed="false">
      <c r="A109" s="127" t="n">
        <f aca="false">ExportRaw!$F109</f>
        <v>0</v>
      </c>
      <c r="B109" s="127" t="n">
        <f aca="false">ExportRaw!$C109</f>
        <v>0</v>
      </c>
      <c r="C109" s="127" t="n">
        <f aca="false">ExportRaw!$G109</f>
        <v>0</v>
      </c>
      <c r="D109" s="127" t="str">
        <f aca="false">ExportRaw!$E109</f>
        <v/>
      </c>
      <c r="E109" s="128" t="str">
        <f aca="false">ExportRaw!$D109</f>
        <v/>
      </c>
      <c r="F109" s="127" t="str">
        <f aca="false">ExportRaw!$H109</f>
        <v/>
      </c>
      <c r="G109" s="129" t="str">
        <f aca="false">ExportRaw!$I109</f>
        <v/>
      </c>
      <c r="H109" s="127" t="str">
        <f aca="false">ExportRaw!$A109</f>
        <v/>
      </c>
      <c r="I109" s="127" t="str">
        <f aca="false">ExportRaw!$B109</f>
        <v/>
      </c>
    </row>
    <row r="110" customFormat="false" ht="13.8" hidden="false" customHeight="false" outlineLevel="0" collapsed="false">
      <c r="A110" s="127" t="n">
        <f aca="false">ExportRaw!$F110</f>
        <v>0</v>
      </c>
      <c r="B110" s="127" t="n">
        <f aca="false">ExportRaw!$C110</f>
        <v>0</v>
      </c>
      <c r="C110" s="127" t="n">
        <f aca="false">ExportRaw!$G110</f>
        <v>0</v>
      </c>
      <c r="D110" s="127" t="str">
        <f aca="false">ExportRaw!$E110</f>
        <v/>
      </c>
      <c r="E110" s="128" t="str">
        <f aca="false">ExportRaw!$D110</f>
        <v/>
      </c>
      <c r="F110" s="127" t="str">
        <f aca="false">ExportRaw!$H110</f>
        <v/>
      </c>
      <c r="G110" s="129" t="str">
        <f aca="false">ExportRaw!$I110</f>
        <v/>
      </c>
      <c r="H110" s="127" t="str">
        <f aca="false">ExportRaw!$A110</f>
        <v/>
      </c>
      <c r="I110" s="127" t="str">
        <f aca="false">ExportRaw!$B110</f>
        <v/>
      </c>
    </row>
    <row r="111" customFormat="false" ht="13.8" hidden="false" customHeight="false" outlineLevel="0" collapsed="false">
      <c r="A111" s="127" t="n">
        <f aca="false">ExportRaw!$F111</f>
        <v>0</v>
      </c>
      <c r="B111" s="127" t="n">
        <f aca="false">ExportRaw!$C111</f>
        <v>0</v>
      </c>
      <c r="C111" s="127" t="n">
        <f aca="false">ExportRaw!$G111</f>
        <v>0</v>
      </c>
      <c r="D111" s="127" t="str">
        <f aca="false">ExportRaw!$E111</f>
        <v/>
      </c>
      <c r="E111" s="128" t="str">
        <f aca="false">ExportRaw!$D111</f>
        <v/>
      </c>
      <c r="F111" s="127" t="str">
        <f aca="false">ExportRaw!$H111</f>
        <v/>
      </c>
      <c r="G111" s="129" t="str">
        <f aca="false">ExportRaw!$I111</f>
        <v/>
      </c>
      <c r="H111" s="127" t="str">
        <f aca="false">ExportRaw!$A111</f>
        <v/>
      </c>
      <c r="I111" s="127" t="str">
        <f aca="false">ExportRaw!$B111</f>
        <v/>
      </c>
    </row>
    <row r="112" customFormat="false" ht="13.8" hidden="false" customHeight="false" outlineLevel="0" collapsed="false">
      <c r="A112" s="127" t="n">
        <f aca="false">ExportRaw!$F112</f>
        <v>0</v>
      </c>
      <c r="B112" s="127" t="n">
        <f aca="false">ExportRaw!$C112</f>
        <v>0</v>
      </c>
      <c r="C112" s="127" t="n">
        <f aca="false">ExportRaw!$G112</f>
        <v>0</v>
      </c>
      <c r="D112" s="127" t="str">
        <f aca="false">ExportRaw!$E112</f>
        <v/>
      </c>
      <c r="E112" s="128" t="str">
        <f aca="false">ExportRaw!$D112</f>
        <v/>
      </c>
      <c r="F112" s="127" t="str">
        <f aca="false">ExportRaw!$H112</f>
        <v/>
      </c>
      <c r="G112" s="129" t="str">
        <f aca="false">ExportRaw!$I112</f>
        <v/>
      </c>
      <c r="H112" s="127" t="str">
        <f aca="false">ExportRaw!$A112</f>
        <v/>
      </c>
      <c r="I112" s="127" t="str">
        <f aca="false">ExportRaw!$B112</f>
        <v/>
      </c>
    </row>
    <row r="113" customFormat="false" ht="13.8" hidden="false" customHeight="false" outlineLevel="0" collapsed="false">
      <c r="A113" s="127" t="n">
        <f aca="false">ExportRaw!$F113</f>
        <v>0</v>
      </c>
      <c r="B113" s="127" t="n">
        <f aca="false">ExportRaw!$C113</f>
        <v>0</v>
      </c>
      <c r="C113" s="127" t="n">
        <f aca="false">ExportRaw!$G113</f>
        <v>0</v>
      </c>
      <c r="D113" s="127" t="str">
        <f aca="false">ExportRaw!$E113</f>
        <v/>
      </c>
      <c r="E113" s="128" t="str">
        <f aca="false">ExportRaw!$D113</f>
        <v/>
      </c>
      <c r="F113" s="127" t="str">
        <f aca="false">ExportRaw!$H113</f>
        <v/>
      </c>
      <c r="G113" s="129" t="str">
        <f aca="false">ExportRaw!$I113</f>
        <v/>
      </c>
      <c r="H113" s="127" t="str">
        <f aca="false">ExportRaw!$A113</f>
        <v/>
      </c>
      <c r="I113" s="127" t="str">
        <f aca="false">ExportRaw!$B113</f>
        <v/>
      </c>
    </row>
    <row r="114" customFormat="false" ht="13.8" hidden="false" customHeight="false" outlineLevel="0" collapsed="false">
      <c r="A114" s="127" t="n">
        <f aca="false">ExportRaw!$F114</f>
        <v>0</v>
      </c>
      <c r="B114" s="127" t="n">
        <f aca="false">ExportRaw!$C114</f>
        <v>0</v>
      </c>
      <c r="C114" s="127" t="n">
        <f aca="false">ExportRaw!$G114</f>
        <v>0</v>
      </c>
      <c r="D114" s="127" t="str">
        <f aca="false">ExportRaw!$E114</f>
        <v/>
      </c>
      <c r="E114" s="128" t="str">
        <f aca="false">ExportRaw!$D114</f>
        <v/>
      </c>
      <c r="F114" s="127" t="str">
        <f aca="false">ExportRaw!$H114</f>
        <v/>
      </c>
      <c r="G114" s="129" t="str">
        <f aca="false">ExportRaw!$I114</f>
        <v/>
      </c>
      <c r="H114" s="127" t="str">
        <f aca="false">ExportRaw!$A114</f>
        <v/>
      </c>
      <c r="I114" s="127" t="str">
        <f aca="false">ExportRaw!$B114</f>
        <v/>
      </c>
    </row>
    <row r="115" customFormat="false" ht="13.8" hidden="false" customHeight="false" outlineLevel="0" collapsed="false">
      <c r="A115" s="127" t="n">
        <f aca="false">ExportRaw!$F115</f>
        <v>0</v>
      </c>
      <c r="B115" s="127" t="n">
        <f aca="false">ExportRaw!$C115</f>
        <v>0</v>
      </c>
      <c r="C115" s="127" t="n">
        <f aca="false">ExportRaw!$G115</f>
        <v>0</v>
      </c>
      <c r="D115" s="127" t="str">
        <f aca="false">ExportRaw!$E115</f>
        <v/>
      </c>
      <c r="E115" s="128" t="str">
        <f aca="false">ExportRaw!$D115</f>
        <v/>
      </c>
      <c r="F115" s="127" t="str">
        <f aca="false">ExportRaw!$H115</f>
        <v/>
      </c>
      <c r="G115" s="129" t="str">
        <f aca="false">ExportRaw!$I115</f>
        <v/>
      </c>
      <c r="H115" s="127" t="str">
        <f aca="false">ExportRaw!$A115</f>
        <v/>
      </c>
      <c r="I115" s="127" t="str">
        <f aca="false">ExportRaw!$B115</f>
        <v/>
      </c>
    </row>
    <row r="116" customFormat="false" ht="13.8" hidden="false" customHeight="false" outlineLevel="0" collapsed="false">
      <c r="A116" s="127" t="n">
        <f aca="false">ExportRaw!$F116</f>
        <v>0</v>
      </c>
      <c r="B116" s="127" t="n">
        <f aca="false">ExportRaw!$C116</f>
        <v>0</v>
      </c>
      <c r="C116" s="127" t="n">
        <f aca="false">ExportRaw!$G116</f>
        <v>0</v>
      </c>
      <c r="D116" s="127" t="str">
        <f aca="false">ExportRaw!$E116</f>
        <v/>
      </c>
      <c r="E116" s="128" t="str">
        <f aca="false">ExportRaw!$D116</f>
        <v/>
      </c>
      <c r="F116" s="127" t="str">
        <f aca="false">ExportRaw!$H116</f>
        <v/>
      </c>
      <c r="G116" s="129" t="str">
        <f aca="false">ExportRaw!$I116</f>
        <v/>
      </c>
      <c r="H116" s="127" t="str">
        <f aca="false">ExportRaw!$A116</f>
        <v/>
      </c>
      <c r="I116" s="127" t="str">
        <f aca="false">ExportRaw!$B116</f>
        <v/>
      </c>
    </row>
    <row r="117" customFormat="false" ht="13.8" hidden="false" customHeight="false" outlineLevel="0" collapsed="false">
      <c r="A117" s="127" t="n">
        <f aca="false">ExportRaw!$F117</f>
        <v>0</v>
      </c>
      <c r="B117" s="127" t="n">
        <f aca="false">ExportRaw!$C117</f>
        <v>0</v>
      </c>
      <c r="C117" s="127" t="n">
        <f aca="false">ExportRaw!$G117</f>
        <v>0</v>
      </c>
      <c r="D117" s="127" t="str">
        <f aca="false">ExportRaw!$E117</f>
        <v/>
      </c>
      <c r="E117" s="128" t="str">
        <f aca="false">ExportRaw!$D117</f>
        <v/>
      </c>
      <c r="F117" s="127" t="str">
        <f aca="false">ExportRaw!$H117</f>
        <v/>
      </c>
      <c r="G117" s="129" t="str">
        <f aca="false">ExportRaw!$I117</f>
        <v/>
      </c>
      <c r="H117" s="127" t="str">
        <f aca="false">ExportRaw!$A117</f>
        <v/>
      </c>
      <c r="I117" s="127" t="str">
        <f aca="false">ExportRaw!$B117</f>
        <v/>
      </c>
    </row>
    <row r="118" customFormat="false" ht="13.8" hidden="false" customHeight="false" outlineLevel="0" collapsed="false">
      <c r="A118" s="127" t="n">
        <f aca="false">ExportRaw!$F118</f>
        <v>0</v>
      </c>
      <c r="B118" s="127" t="n">
        <f aca="false">ExportRaw!$C118</f>
        <v>0</v>
      </c>
      <c r="C118" s="127" t="n">
        <f aca="false">ExportRaw!$G118</f>
        <v>0</v>
      </c>
      <c r="D118" s="127" t="str">
        <f aca="false">ExportRaw!$E118</f>
        <v/>
      </c>
      <c r="E118" s="128" t="str">
        <f aca="false">ExportRaw!$D118</f>
        <v/>
      </c>
      <c r="F118" s="127" t="str">
        <f aca="false">ExportRaw!$H118</f>
        <v/>
      </c>
      <c r="G118" s="129" t="str">
        <f aca="false">ExportRaw!$I118</f>
        <v/>
      </c>
      <c r="H118" s="127" t="str">
        <f aca="false">ExportRaw!$A118</f>
        <v/>
      </c>
      <c r="I118" s="127" t="str">
        <f aca="false">ExportRaw!$B118</f>
        <v/>
      </c>
    </row>
    <row r="119" customFormat="false" ht="13.8" hidden="false" customHeight="false" outlineLevel="0" collapsed="false">
      <c r="A119" s="127" t="n">
        <f aca="false">ExportRaw!$F119</f>
        <v>0</v>
      </c>
      <c r="B119" s="127" t="n">
        <f aca="false">ExportRaw!$C119</f>
        <v>0</v>
      </c>
      <c r="C119" s="127" t="n">
        <f aca="false">ExportRaw!$G119</f>
        <v>0</v>
      </c>
      <c r="D119" s="127" t="str">
        <f aca="false">ExportRaw!$E119</f>
        <v/>
      </c>
      <c r="E119" s="128" t="str">
        <f aca="false">ExportRaw!$D119</f>
        <v/>
      </c>
      <c r="F119" s="127" t="str">
        <f aca="false">ExportRaw!$H119</f>
        <v/>
      </c>
      <c r="G119" s="129" t="str">
        <f aca="false">ExportRaw!$I119</f>
        <v/>
      </c>
      <c r="H119" s="127" t="str">
        <f aca="false">ExportRaw!$A119</f>
        <v/>
      </c>
      <c r="I119" s="127" t="str">
        <f aca="false">ExportRaw!$B119</f>
        <v/>
      </c>
    </row>
    <row r="120" customFormat="false" ht="13.8" hidden="false" customHeight="false" outlineLevel="0" collapsed="false">
      <c r="A120" s="127" t="n">
        <f aca="false">ExportRaw!$F120</f>
        <v>0</v>
      </c>
      <c r="B120" s="127" t="n">
        <f aca="false">ExportRaw!$C120</f>
        <v>0</v>
      </c>
      <c r="C120" s="127" t="n">
        <f aca="false">ExportRaw!$G120</f>
        <v>0</v>
      </c>
      <c r="D120" s="127" t="str">
        <f aca="false">ExportRaw!$E120</f>
        <v/>
      </c>
      <c r="E120" s="128" t="str">
        <f aca="false">ExportRaw!$D120</f>
        <v/>
      </c>
      <c r="F120" s="127" t="str">
        <f aca="false">ExportRaw!$H120</f>
        <v/>
      </c>
      <c r="G120" s="129" t="str">
        <f aca="false">ExportRaw!$I120</f>
        <v/>
      </c>
      <c r="H120" s="127" t="str">
        <f aca="false">ExportRaw!$A120</f>
        <v/>
      </c>
      <c r="I120" s="127" t="str">
        <f aca="false">ExportRaw!$B120</f>
        <v/>
      </c>
    </row>
    <row r="121" customFormat="false" ht="13.8" hidden="false" customHeight="false" outlineLevel="0" collapsed="false">
      <c r="A121" s="127" t="n">
        <f aca="false">ExportRaw!$F121</f>
        <v>0</v>
      </c>
      <c r="B121" s="127" t="n">
        <f aca="false">ExportRaw!$C121</f>
        <v>0</v>
      </c>
      <c r="C121" s="127" t="n">
        <f aca="false">ExportRaw!$G121</f>
        <v>0</v>
      </c>
      <c r="D121" s="127" t="str">
        <f aca="false">ExportRaw!$E121</f>
        <v/>
      </c>
      <c r="E121" s="128" t="str">
        <f aca="false">ExportRaw!$D121</f>
        <v/>
      </c>
      <c r="F121" s="127" t="str">
        <f aca="false">ExportRaw!$H121</f>
        <v/>
      </c>
      <c r="G121" s="129" t="str">
        <f aca="false">ExportRaw!$I121</f>
        <v/>
      </c>
      <c r="H121" s="127" t="str">
        <f aca="false">ExportRaw!$A121</f>
        <v/>
      </c>
      <c r="I121" s="127" t="str">
        <f aca="false">ExportRaw!$B121</f>
        <v/>
      </c>
    </row>
    <row r="122" customFormat="false" ht="13.8" hidden="false" customHeight="false" outlineLevel="0" collapsed="false">
      <c r="A122" s="127" t="n">
        <f aca="false">ExportRaw!$F122</f>
        <v>0</v>
      </c>
      <c r="B122" s="127" t="n">
        <f aca="false">ExportRaw!$C122</f>
        <v>0</v>
      </c>
      <c r="C122" s="127" t="n">
        <f aca="false">ExportRaw!$G122</f>
        <v>0</v>
      </c>
      <c r="D122" s="127" t="str">
        <f aca="false">ExportRaw!$E122</f>
        <v/>
      </c>
      <c r="E122" s="128" t="str">
        <f aca="false">ExportRaw!$D122</f>
        <v/>
      </c>
      <c r="F122" s="127" t="str">
        <f aca="false">ExportRaw!$H122</f>
        <v/>
      </c>
      <c r="G122" s="129" t="str">
        <f aca="false">ExportRaw!$I122</f>
        <v/>
      </c>
      <c r="H122" s="127" t="str">
        <f aca="false">ExportRaw!$A122</f>
        <v/>
      </c>
      <c r="I122" s="127" t="str">
        <f aca="false">ExportRaw!$B122</f>
        <v/>
      </c>
    </row>
    <row r="123" customFormat="false" ht="13.8" hidden="false" customHeight="false" outlineLevel="0" collapsed="false">
      <c r="A123" s="127" t="n">
        <f aca="false">ExportRaw!$F123</f>
        <v>0</v>
      </c>
      <c r="B123" s="127" t="n">
        <f aca="false">ExportRaw!$C123</f>
        <v>0</v>
      </c>
      <c r="C123" s="127" t="n">
        <f aca="false">ExportRaw!$G123</f>
        <v>0</v>
      </c>
      <c r="D123" s="127" t="str">
        <f aca="false">ExportRaw!$E123</f>
        <v/>
      </c>
      <c r="E123" s="128" t="str">
        <f aca="false">ExportRaw!$D123</f>
        <v/>
      </c>
      <c r="F123" s="127" t="str">
        <f aca="false">ExportRaw!$H123</f>
        <v/>
      </c>
      <c r="G123" s="129" t="str">
        <f aca="false">ExportRaw!$I123</f>
        <v/>
      </c>
      <c r="H123" s="127" t="str">
        <f aca="false">ExportRaw!$A123</f>
        <v/>
      </c>
      <c r="I123" s="127" t="str">
        <f aca="false">ExportRaw!$B123</f>
        <v/>
      </c>
    </row>
    <row r="124" customFormat="false" ht="13.8" hidden="false" customHeight="false" outlineLevel="0" collapsed="false">
      <c r="A124" s="127" t="n">
        <f aca="false">ExportRaw!$F124</f>
        <v>0</v>
      </c>
      <c r="B124" s="127" t="n">
        <f aca="false">ExportRaw!$C124</f>
        <v>0</v>
      </c>
      <c r="C124" s="127" t="n">
        <f aca="false">ExportRaw!$G124</f>
        <v>0</v>
      </c>
      <c r="D124" s="127" t="str">
        <f aca="false">ExportRaw!$E124</f>
        <v/>
      </c>
      <c r="E124" s="128" t="str">
        <f aca="false">ExportRaw!$D124</f>
        <v/>
      </c>
      <c r="F124" s="127" t="str">
        <f aca="false">ExportRaw!$H124</f>
        <v/>
      </c>
      <c r="G124" s="129" t="str">
        <f aca="false">ExportRaw!$I124</f>
        <v/>
      </c>
      <c r="H124" s="127" t="str">
        <f aca="false">ExportRaw!$A124</f>
        <v/>
      </c>
      <c r="I124" s="127" t="str">
        <f aca="false">ExportRaw!$B124</f>
        <v/>
      </c>
    </row>
    <row r="125" customFormat="false" ht="13.8" hidden="false" customHeight="false" outlineLevel="0" collapsed="false">
      <c r="A125" s="127" t="n">
        <f aca="false">ExportRaw!$F125</f>
        <v>0</v>
      </c>
      <c r="B125" s="127" t="n">
        <f aca="false">ExportRaw!$C125</f>
        <v>0</v>
      </c>
      <c r="C125" s="127" t="n">
        <f aca="false">ExportRaw!$G125</f>
        <v>0</v>
      </c>
      <c r="D125" s="127" t="str">
        <f aca="false">ExportRaw!$E125</f>
        <v/>
      </c>
      <c r="E125" s="128" t="str">
        <f aca="false">ExportRaw!$D125</f>
        <v/>
      </c>
      <c r="F125" s="127" t="str">
        <f aca="false">ExportRaw!$H125</f>
        <v/>
      </c>
      <c r="G125" s="129" t="str">
        <f aca="false">ExportRaw!$I125</f>
        <v/>
      </c>
      <c r="H125" s="127" t="str">
        <f aca="false">ExportRaw!$A125</f>
        <v/>
      </c>
      <c r="I125" s="127" t="str">
        <f aca="false">ExportRaw!$B125</f>
        <v/>
      </c>
    </row>
    <row r="126" customFormat="false" ht="13.8" hidden="false" customHeight="false" outlineLevel="0" collapsed="false">
      <c r="A126" s="127" t="n">
        <f aca="false">ExportRaw!$F126</f>
        <v>0</v>
      </c>
      <c r="B126" s="127" t="n">
        <f aca="false">ExportRaw!$C126</f>
        <v>0</v>
      </c>
      <c r="C126" s="127" t="n">
        <f aca="false">ExportRaw!$G126</f>
        <v>0</v>
      </c>
      <c r="D126" s="127" t="str">
        <f aca="false">ExportRaw!$E126</f>
        <v/>
      </c>
      <c r="E126" s="128" t="str">
        <f aca="false">ExportRaw!$D126</f>
        <v/>
      </c>
      <c r="F126" s="127" t="str">
        <f aca="false">ExportRaw!$H126</f>
        <v/>
      </c>
      <c r="G126" s="129" t="str">
        <f aca="false">ExportRaw!$I126</f>
        <v/>
      </c>
      <c r="H126" s="127" t="str">
        <f aca="false">ExportRaw!$A126</f>
        <v/>
      </c>
      <c r="I126" s="127" t="str">
        <f aca="false">ExportRaw!$B126</f>
        <v/>
      </c>
    </row>
    <row r="127" customFormat="false" ht="13.8" hidden="false" customHeight="false" outlineLevel="0" collapsed="false">
      <c r="A127" s="127" t="n">
        <f aca="false">ExportRaw!$F127</f>
        <v>0</v>
      </c>
      <c r="B127" s="127" t="n">
        <f aca="false">ExportRaw!$C127</f>
        <v>0</v>
      </c>
      <c r="C127" s="127" t="n">
        <f aca="false">ExportRaw!$G127</f>
        <v>0</v>
      </c>
      <c r="D127" s="127" t="str">
        <f aca="false">ExportRaw!$E127</f>
        <v/>
      </c>
      <c r="E127" s="128" t="str">
        <f aca="false">ExportRaw!$D127</f>
        <v/>
      </c>
      <c r="F127" s="127" t="str">
        <f aca="false">ExportRaw!$H127</f>
        <v/>
      </c>
      <c r="G127" s="129" t="str">
        <f aca="false">ExportRaw!$I127</f>
        <v/>
      </c>
      <c r="H127" s="127" t="str">
        <f aca="false">ExportRaw!$A127</f>
        <v/>
      </c>
      <c r="I127" s="127" t="str">
        <f aca="false">ExportRaw!$B127</f>
        <v/>
      </c>
    </row>
    <row r="128" customFormat="false" ht="13.8" hidden="false" customHeight="false" outlineLevel="0" collapsed="false">
      <c r="A128" s="127" t="n">
        <f aca="false">ExportRaw!$F128</f>
        <v>0</v>
      </c>
      <c r="B128" s="127" t="n">
        <f aca="false">ExportRaw!$C128</f>
        <v>0</v>
      </c>
      <c r="C128" s="127" t="n">
        <f aca="false">ExportRaw!$G128</f>
        <v>0</v>
      </c>
      <c r="D128" s="127" t="str">
        <f aca="false">ExportRaw!$E128</f>
        <v/>
      </c>
      <c r="E128" s="128" t="str">
        <f aca="false">ExportRaw!$D128</f>
        <v/>
      </c>
      <c r="F128" s="127" t="str">
        <f aca="false">ExportRaw!$H128</f>
        <v/>
      </c>
      <c r="G128" s="129" t="str">
        <f aca="false">ExportRaw!$I128</f>
        <v/>
      </c>
      <c r="H128" s="127" t="str">
        <f aca="false">ExportRaw!$A128</f>
        <v/>
      </c>
      <c r="I128" s="127" t="str">
        <f aca="false">ExportRaw!$B128</f>
        <v/>
      </c>
    </row>
    <row r="129" customFormat="false" ht="13.8" hidden="false" customHeight="false" outlineLevel="0" collapsed="false">
      <c r="A129" s="127" t="n">
        <f aca="false">ExportRaw!$F129</f>
        <v>0</v>
      </c>
      <c r="B129" s="127" t="n">
        <f aca="false">ExportRaw!$C129</f>
        <v>0</v>
      </c>
      <c r="C129" s="127" t="n">
        <f aca="false">ExportRaw!$G129</f>
        <v>0</v>
      </c>
      <c r="D129" s="127" t="str">
        <f aca="false">ExportRaw!$E129</f>
        <v/>
      </c>
      <c r="E129" s="128" t="str">
        <f aca="false">ExportRaw!$D129</f>
        <v/>
      </c>
      <c r="F129" s="127" t="str">
        <f aca="false">ExportRaw!$H129</f>
        <v/>
      </c>
      <c r="G129" s="129" t="str">
        <f aca="false">ExportRaw!$I129</f>
        <v/>
      </c>
      <c r="H129" s="127" t="str">
        <f aca="false">ExportRaw!$A129</f>
        <v/>
      </c>
      <c r="I129" s="127" t="str">
        <f aca="false">ExportRaw!$B129</f>
        <v/>
      </c>
    </row>
    <row r="130" customFormat="false" ht="13.8" hidden="false" customHeight="false" outlineLevel="0" collapsed="false">
      <c r="A130" s="127" t="n">
        <f aca="false">ExportRaw!$F130</f>
        <v>0</v>
      </c>
      <c r="B130" s="127" t="n">
        <f aca="false">ExportRaw!$C130</f>
        <v>0</v>
      </c>
      <c r="C130" s="127" t="n">
        <f aca="false">ExportRaw!$G130</f>
        <v>0</v>
      </c>
      <c r="D130" s="127" t="str">
        <f aca="false">ExportRaw!$E130</f>
        <v/>
      </c>
      <c r="E130" s="128" t="str">
        <f aca="false">ExportRaw!$D130</f>
        <v/>
      </c>
      <c r="F130" s="127" t="str">
        <f aca="false">ExportRaw!$H130</f>
        <v/>
      </c>
      <c r="G130" s="129" t="str">
        <f aca="false">ExportRaw!$I130</f>
        <v/>
      </c>
      <c r="H130" s="127" t="str">
        <f aca="false">ExportRaw!$A130</f>
        <v/>
      </c>
      <c r="I130" s="127" t="str">
        <f aca="false">ExportRaw!$B130</f>
        <v/>
      </c>
    </row>
    <row r="131" customFormat="false" ht="13.8" hidden="false" customHeight="false" outlineLevel="0" collapsed="false">
      <c r="A131" s="127" t="n">
        <f aca="false">ExportRaw!$F131</f>
        <v>0</v>
      </c>
      <c r="B131" s="127" t="n">
        <f aca="false">ExportRaw!$C131</f>
        <v>0</v>
      </c>
      <c r="C131" s="127" t="n">
        <f aca="false">ExportRaw!$G131</f>
        <v>0</v>
      </c>
      <c r="D131" s="127" t="str">
        <f aca="false">ExportRaw!$E131</f>
        <v/>
      </c>
      <c r="E131" s="128" t="str">
        <f aca="false">ExportRaw!$D131</f>
        <v/>
      </c>
      <c r="F131" s="127" t="str">
        <f aca="false">ExportRaw!$H131</f>
        <v/>
      </c>
      <c r="G131" s="129" t="str">
        <f aca="false">ExportRaw!$I131</f>
        <v/>
      </c>
      <c r="H131" s="127" t="str">
        <f aca="false">ExportRaw!$A131</f>
        <v/>
      </c>
      <c r="I131" s="127" t="str">
        <f aca="false">ExportRaw!$B131</f>
        <v/>
      </c>
    </row>
    <row r="132" customFormat="false" ht="13.8" hidden="false" customHeight="false" outlineLevel="0" collapsed="false">
      <c r="A132" s="127" t="n">
        <f aca="false">ExportRaw!$F132</f>
        <v>0</v>
      </c>
      <c r="B132" s="127" t="n">
        <f aca="false">ExportRaw!$C132</f>
        <v>0</v>
      </c>
      <c r="C132" s="127" t="n">
        <f aca="false">ExportRaw!$G132</f>
        <v>0</v>
      </c>
      <c r="D132" s="127" t="str">
        <f aca="false">ExportRaw!$E132</f>
        <v/>
      </c>
      <c r="E132" s="128" t="str">
        <f aca="false">ExportRaw!$D132</f>
        <v/>
      </c>
      <c r="F132" s="127" t="str">
        <f aca="false">ExportRaw!$H132</f>
        <v/>
      </c>
      <c r="G132" s="129" t="str">
        <f aca="false">ExportRaw!$I132</f>
        <v/>
      </c>
      <c r="H132" s="127" t="str">
        <f aca="false">ExportRaw!$A132</f>
        <v/>
      </c>
      <c r="I132" s="127" t="str">
        <f aca="false">ExportRaw!$B132</f>
        <v/>
      </c>
    </row>
    <row r="133" customFormat="false" ht="13.8" hidden="false" customHeight="false" outlineLevel="0" collapsed="false">
      <c r="A133" s="127" t="n">
        <f aca="false">ExportRaw!$F133</f>
        <v>0</v>
      </c>
      <c r="B133" s="127" t="n">
        <f aca="false">ExportRaw!$C133</f>
        <v>0</v>
      </c>
      <c r="C133" s="127" t="n">
        <f aca="false">ExportRaw!$G133</f>
        <v>0</v>
      </c>
      <c r="D133" s="127" t="str">
        <f aca="false">ExportRaw!$E133</f>
        <v/>
      </c>
      <c r="E133" s="128" t="str">
        <f aca="false">ExportRaw!$D133</f>
        <v/>
      </c>
      <c r="F133" s="127" t="str">
        <f aca="false">ExportRaw!$H133</f>
        <v/>
      </c>
      <c r="G133" s="129" t="str">
        <f aca="false">ExportRaw!$I133</f>
        <v/>
      </c>
      <c r="H133" s="127" t="str">
        <f aca="false">ExportRaw!$A133</f>
        <v/>
      </c>
      <c r="I133" s="127" t="str">
        <f aca="false">ExportRaw!$B133</f>
        <v/>
      </c>
    </row>
    <row r="134" customFormat="false" ht="13.8" hidden="false" customHeight="false" outlineLevel="0" collapsed="false">
      <c r="A134" s="127" t="n">
        <f aca="false">ExportRaw!$F134</f>
        <v>0</v>
      </c>
      <c r="B134" s="127" t="n">
        <f aca="false">ExportRaw!$C134</f>
        <v>0</v>
      </c>
      <c r="C134" s="127" t="n">
        <f aca="false">ExportRaw!$G134</f>
        <v>0</v>
      </c>
      <c r="D134" s="127" t="str">
        <f aca="false">ExportRaw!$E134</f>
        <v/>
      </c>
      <c r="E134" s="128" t="str">
        <f aca="false">ExportRaw!$D134</f>
        <v/>
      </c>
      <c r="F134" s="127" t="str">
        <f aca="false">ExportRaw!$H134</f>
        <v/>
      </c>
      <c r="G134" s="129" t="str">
        <f aca="false">ExportRaw!$I134</f>
        <v/>
      </c>
      <c r="H134" s="127" t="str">
        <f aca="false">ExportRaw!$A134</f>
        <v/>
      </c>
      <c r="I134" s="127" t="str">
        <f aca="false">ExportRaw!$B134</f>
        <v/>
      </c>
    </row>
    <row r="135" customFormat="false" ht="13.8" hidden="false" customHeight="false" outlineLevel="0" collapsed="false">
      <c r="A135" s="127" t="n">
        <f aca="false">ExportRaw!$F135</f>
        <v>0</v>
      </c>
      <c r="B135" s="127" t="n">
        <f aca="false">ExportRaw!$C135</f>
        <v>0</v>
      </c>
      <c r="C135" s="127" t="n">
        <f aca="false">ExportRaw!$G135</f>
        <v>0</v>
      </c>
      <c r="D135" s="127" t="str">
        <f aca="false">ExportRaw!$E135</f>
        <v/>
      </c>
      <c r="E135" s="128" t="str">
        <f aca="false">ExportRaw!$D135</f>
        <v/>
      </c>
      <c r="F135" s="127" t="str">
        <f aca="false">ExportRaw!$H135</f>
        <v/>
      </c>
      <c r="G135" s="129" t="str">
        <f aca="false">ExportRaw!$I135</f>
        <v/>
      </c>
      <c r="H135" s="127" t="str">
        <f aca="false">ExportRaw!$A135</f>
        <v/>
      </c>
      <c r="I135" s="127" t="str">
        <f aca="false">ExportRaw!$B135</f>
        <v/>
      </c>
    </row>
    <row r="136" customFormat="false" ht="13.8" hidden="false" customHeight="false" outlineLevel="0" collapsed="false">
      <c r="A136" s="127" t="n">
        <f aca="false">ExportRaw!$F136</f>
        <v>0</v>
      </c>
      <c r="B136" s="127" t="n">
        <f aca="false">ExportRaw!$C136</f>
        <v>0</v>
      </c>
      <c r="C136" s="127" t="n">
        <f aca="false">ExportRaw!$G136</f>
        <v>0</v>
      </c>
      <c r="D136" s="127" t="str">
        <f aca="false">ExportRaw!$E136</f>
        <v/>
      </c>
      <c r="E136" s="128" t="str">
        <f aca="false">ExportRaw!$D136</f>
        <v/>
      </c>
      <c r="F136" s="127" t="str">
        <f aca="false">ExportRaw!$H136</f>
        <v/>
      </c>
      <c r="G136" s="129" t="str">
        <f aca="false">ExportRaw!$I136</f>
        <v/>
      </c>
      <c r="H136" s="127" t="str">
        <f aca="false">ExportRaw!$A136</f>
        <v/>
      </c>
      <c r="I136" s="127" t="str">
        <f aca="false">ExportRaw!$B136</f>
        <v/>
      </c>
    </row>
    <row r="137" customFormat="false" ht="13.8" hidden="false" customHeight="false" outlineLevel="0" collapsed="false">
      <c r="A137" s="127" t="n">
        <f aca="false">ExportRaw!$F137</f>
        <v>0</v>
      </c>
      <c r="B137" s="127" t="n">
        <f aca="false">ExportRaw!$C137</f>
        <v>0</v>
      </c>
      <c r="C137" s="127" t="n">
        <f aca="false">ExportRaw!$G137</f>
        <v>0</v>
      </c>
      <c r="D137" s="127" t="str">
        <f aca="false">ExportRaw!$E137</f>
        <v/>
      </c>
      <c r="E137" s="128" t="str">
        <f aca="false">ExportRaw!$D137</f>
        <v/>
      </c>
      <c r="F137" s="127" t="str">
        <f aca="false">ExportRaw!$H137</f>
        <v/>
      </c>
      <c r="G137" s="129" t="str">
        <f aca="false">ExportRaw!$I137</f>
        <v/>
      </c>
      <c r="H137" s="127" t="str">
        <f aca="false">ExportRaw!$A137</f>
        <v/>
      </c>
      <c r="I137" s="127" t="str">
        <f aca="false">ExportRaw!$B137</f>
        <v/>
      </c>
    </row>
    <row r="138" customFormat="false" ht="13.8" hidden="false" customHeight="false" outlineLevel="0" collapsed="false">
      <c r="A138" s="127" t="n">
        <f aca="false">ExportRaw!$F138</f>
        <v>0</v>
      </c>
      <c r="B138" s="127" t="n">
        <f aca="false">ExportRaw!$C138</f>
        <v>0</v>
      </c>
      <c r="C138" s="127" t="n">
        <f aca="false">ExportRaw!$G138</f>
        <v>0</v>
      </c>
      <c r="D138" s="127" t="str">
        <f aca="false">ExportRaw!$E138</f>
        <v/>
      </c>
      <c r="E138" s="128" t="str">
        <f aca="false">ExportRaw!$D138</f>
        <v/>
      </c>
      <c r="F138" s="127" t="str">
        <f aca="false">ExportRaw!$H138</f>
        <v/>
      </c>
      <c r="G138" s="129" t="str">
        <f aca="false">ExportRaw!$I138</f>
        <v/>
      </c>
      <c r="H138" s="127" t="str">
        <f aca="false">ExportRaw!$A138</f>
        <v/>
      </c>
      <c r="I138" s="127" t="str">
        <f aca="false">ExportRaw!$B138</f>
        <v/>
      </c>
    </row>
    <row r="139" customFormat="false" ht="13.8" hidden="false" customHeight="false" outlineLevel="0" collapsed="false">
      <c r="A139" s="127" t="n">
        <f aca="false">ExportRaw!$F139</f>
        <v>0</v>
      </c>
      <c r="B139" s="127" t="n">
        <f aca="false">ExportRaw!$C139</f>
        <v>0</v>
      </c>
      <c r="C139" s="127" t="n">
        <f aca="false">ExportRaw!$G139</f>
        <v>0</v>
      </c>
      <c r="D139" s="127" t="str">
        <f aca="false">ExportRaw!$E139</f>
        <v/>
      </c>
      <c r="E139" s="128" t="str">
        <f aca="false">ExportRaw!$D139</f>
        <v/>
      </c>
      <c r="F139" s="127" t="str">
        <f aca="false">ExportRaw!$H139</f>
        <v/>
      </c>
      <c r="G139" s="129" t="str">
        <f aca="false">ExportRaw!$I139</f>
        <v/>
      </c>
      <c r="H139" s="127" t="str">
        <f aca="false">ExportRaw!$A139</f>
        <v/>
      </c>
      <c r="I139" s="127" t="str">
        <f aca="false">ExportRaw!$B139</f>
        <v/>
      </c>
    </row>
    <row r="140" customFormat="false" ht="13.8" hidden="false" customHeight="false" outlineLevel="0" collapsed="false">
      <c r="A140" s="127" t="n">
        <f aca="false">ExportRaw!$F140</f>
        <v>0</v>
      </c>
      <c r="B140" s="127" t="n">
        <f aca="false">ExportRaw!$C140</f>
        <v>0</v>
      </c>
      <c r="C140" s="127" t="n">
        <f aca="false">ExportRaw!$G140</f>
        <v>0</v>
      </c>
      <c r="D140" s="127" t="str">
        <f aca="false">ExportRaw!$E140</f>
        <v/>
      </c>
      <c r="E140" s="128" t="str">
        <f aca="false">ExportRaw!$D140</f>
        <v/>
      </c>
      <c r="F140" s="127" t="str">
        <f aca="false">ExportRaw!$H140</f>
        <v/>
      </c>
      <c r="G140" s="129" t="str">
        <f aca="false">ExportRaw!$I140</f>
        <v/>
      </c>
      <c r="H140" s="127" t="str">
        <f aca="false">ExportRaw!$A140</f>
        <v/>
      </c>
      <c r="I140" s="127" t="str">
        <f aca="false">ExportRaw!$B140</f>
        <v/>
      </c>
    </row>
    <row r="141" customFormat="false" ht="13.8" hidden="false" customHeight="false" outlineLevel="0" collapsed="false">
      <c r="A141" s="127" t="n">
        <f aca="false">ExportRaw!$F141</f>
        <v>0</v>
      </c>
      <c r="B141" s="127" t="n">
        <f aca="false">ExportRaw!$C141</f>
        <v>0</v>
      </c>
      <c r="C141" s="127" t="n">
        <f aca="false">ExportRaw!$G141</f>
        <v>0</v>
      </c>
      <c r="D141" s="127" t="str">
        <f aca="false">ExportRaw!$E141</f>
        <v/>
      </c>
      <c r="E141" s="128" t="str">
        <f aca="false">ExportRaw!$D141</f>
        <v/>
      </c>
      <c r="F141" s="127" t="str">
        <f aca="false">ExportRaw!$H141</f>
        <v/>
      </c>
      <c r="G141" s="129" t="str">
        <f aca="false">ExportRaw!$I141</f>
        <v/>
      </c>
      <c r="H141" s="127" t="str">
        <f aca="false">ExportRaw!$A141</f>
        <v/>
      </c>
      <c r="I141" s="127" t="str">
        <f aca="false">ExportRaw!$B141</f>
        <v/>
      </c>
    </row>
    <row r="142" customFormat="false" ht="13.8" hidden="false" customHeight="false" outlineLevel="0" collapsed="false">
      <c r="A142" s="127" t="n">
        <f aca="false">ExportRaw!$F142</f>
        <v>0</v>
      </c>
      <c r="B142" s="127" t="n">
        <f aca="false">ExportRaw!$C142</f>
        <v>0</v>
      </c>
      <c r="C142" s="127" t="n">
        <f aca="false">ExportRaw!$G142</f>
        <v>0</v>
      </c>
      <c r="D142" s="127" t="str">
        <f aca="false">ExportRaw!$E142</f>
        <v/>
      </c>
      <c r="E142" s="128" t="str">
        <f aca="false">ExportRaw!$D142</f>
        <v/>
      </c>
      <c r="F142" s="127" t="str">
        <f aca="false">ExportRaw!$H142</f>
        <v/>
      </c>
      <c r="G142" s="129" t="str">
        <f aca="false">ExportRaw!$I142</f>
        <v/>
      </c>
      <c r="H142" s="127" t="str">
        <f aca="false">ExportRaw!$A142</f>
        <v/>
      </c>
      <c r="I142" s="127" t="str">
        <f aca="false">ExportRaw!$B142</f>
        <v/>
      </c>
    </row>
    <row r="143" customFormat="false" ht="13.8" hidden="false" customHeight="false" outlineLevel="0" collapsed="false">
      <c r="A143" s="127" t="n">
        <f aca="false">ExportRaw!$F143</f>
        <v>0</v>
      </c>
      <c r="B143" s="127" t="n">
        <f aca="false">ExportRaw!$C143</f>
        <v>0</v>
      </c>
      <c r="C143" s="127" t="n">
        <f aca="false">ExportRaw!$G143</f>
        <v>0</v>
      </c>
      <c r="D143" s="127" t="str">
        <f aca="false">ExportRaw!$E143</f>
        <v/>
      </c>
      <c r="E143" s="128" t="str">
        <f aca="false">ExportRaw!$D143</f>
        <v/>
      </c>
      <c r="F143" s="127" t="str">
        <f aca="false">ExportRaw!$H143</f>
        <v/>
      </c>
      <c r="G143" s="129" t="str">
        <f aca="false">ExportRaw!$I143</f>
        <v/>
      </c>
      <c r="H143" s="127" t="str">
        <f aca="false">ExportRaw!$A143</f>
        <v/>
      </c>
      <c r="I143" s="127" t="str">
        <f aca="false">ExportRaw!$B143</f>
        <v/>
      </c>
    </row>
    <row r="144" customFormat="false" ht="13.8" hidden="false" customHeight="false" outlineLevel="0" collapsed="false">
      <c r="A144" s="127" t="n">
        <f aca="false">ExportRaw!$F144</f>
        <v>0</v>
      </c>
      <c r="B144" s="127" t="n">
        <f aca="false">ExportRaw!$C144</f>
        <v>0</v>
      </c>
      <c r="C144" s="127" t="n">
        <f aca="false">ExportRaw!$G144</f>
        <v>0</v>
      </c>
      <c r="D144" s="127" t="str">
        <f aca="false">ExportRaw!$E144</f>
        <v/>
      </c>
      <c r="E144" s="128" t="str">
        <f aca="false">ExportRaw!$D144</f>
        <v/>
      </c>
      <c r="F144" s="127" t="str">
        <f aca="false">ExportRaw!$H144</f>
        <v/>
      </c>
      <c r="G144" s="129" t="str">
        <f aca="false">ExportRaw!$I144</f>
        <v/>
      </c>
      <c r="H144" s="127" t="str">
        <f aca="false">ExportRaw!$A144</f>
        <v/>
      </c>
      <c r="I144" s="127" t="str">
        <f aca="false">ExportRaw!$B144</f>
        <v/>
      </c>
    </row>
    <row r="145" customFormat="false" ht="13.8" hidden="false" customHeight="false" outlineLevel="0" collapsed="false">
      <c r="A145" s="127" t="n">
        <f aca="false">ExportRaw!$F145</f>
        <v>0</v>
      </c>
      <c r="B145" s="127" t="n">
        <f aca="false">ExportRaw!$C145</f>
        <v>0</v>
      </c>
      <c r="C145" s="127" t="n">
        <f aca="false">ExportRaw!$G145</f>
        <v>0</v>
      </c>
      <c r="D145" s="127" t="str">
        <f aca="false">ExportRaw!$E145</f>
        <v/>
      </c>
      <c r="E145" s="128" t="str">
        <f aca="false">ExportRaw!$D145</f>
        <v/>
      </c>
      <c r="F145" s="127" t="str">
        <f aca="false">ExportRaw!$H145</f>
        <v/>
      </c>
      <c r="G145" s="129" t="str">
        <f aca="false">ExportRaw!$I145</f>
        <v/>
      </c>
      <c r="H145" s="127" t="str">
        <f aca="false">ExportRaw!$A145</f>
        <v/>
      </c>
      <c r="I145" s="127" t="str">
        <f aca="false">ExportRaw!$B145</f>
        <v/>
      </c>
    </row>
    <row r="146" customFormat="false" ht="13.8" hidden="false" customHeight="false" outlineLevel="0" collapsed="false">
      <c r="A146" s="127" t="n">
        <f aca="false">ExportRaw!$F146</f>
        <v>0</v>
      </c>
      <c r="B146" s="127" t="n">
        <f aca="false">ExportRaw!$C146</f>
        <v>0</v>
      </c>
      <c r="C146" s="127" t="n">
        <f aca="false">ExportRaw!$G146</f>
        <v>0</v>
      </c>
      <c r="D146" s="127" t="str">
        <f aca="false">ExportRaw!$E146</f>
        <v/>
      </c>
      <c r="E146" s="128" t="str">
        <f aca="false">ExportRaw!$D146</f>
        <v/>
      </c>
      <c r="F146" s="127" t="str">
        <f aca="false">ExportRaw!$H146</f>
        <v/>
      </c>
      <c r="G146" s="129" t="str">
        <f aca="false">ExportRaw!$I146</f>
        <v/>
      </c>
      <c r="H146" s="127" t="str">
        <f aca="false">ExportRaw!$A146</f>
        <v/>
      </c>
      <c r="I146" s="127" t="str">
        <f aca="false">ExportRaw!$B146</f>
        <v/>
      </c>
    </row>
    <row r="147" customFormat="false" ht="13.8" hidden="false" customHeight="false" outlineLevel="0" collapsed="false">
      <c r="A147" s="127" t="n">
        <f aca="false">ExportRaw!$F147</f>
        <v>0</v>
      </c>
      <c r="B147" s="127" t="n">
        <f aca="false">ExportRaw!$C147</f>
        <v>0</v>
      </c>
      <c r="C147" s="127" t="n">
        <f aca="false">ExportRaw!$G147</f>
        <v>0</v>
      </c>
      <c r="D147" s="127" t="str">
        <f aca="false">ExportRaw!$E147</f>
        <v/>
      </c>
      <c r="E147" s="128" t="str">
        <f aca="false">ExportRaw!$D147</f>
        <v/>
      </c>
      <c r="F147" s="127" t="str">
        <f aca="false">ExportRaw!$H147</f>
        <v/>
      </c>
      <c r="G147" s="129" t="str">
        <f aca="false">ExportRaw!$I147</f>
        <v/>
      </c>
      <c r="H147" s="127" t="str">
        <f aca="false">ExportRaw!$A147</f>
        <v/>
      </c>
      <c r="I147" s="127" t="str">
        <f aca="false">ExportRaw!$B147</f>
        <v/>
      </c>
    </row>
    <row r="148" customFormat="false" ht="13.8" hidden="false" customHeight="false" outlineLevel="0" collapsed="false">
      <c r="A148" s="127" t="n">
        <f aca="false">ExportRaw!$F148</f>
        <v>0</v>
      </c>
      <c r="B148" s="127" t="n">
        <f aca="false">ExportRaw!$C148</f>
        <v>0</v>
      </c>
      <c r="C148" s="127" t="n">
        <f aca="false">ExportRaw!$G148</f>
        <v>0</v>
      </c>
      <c r="D148" s="127" t="str">
        <f aca="false">ExportRaw!$E148</f>
        <v/>
      </c>
      <c r="E148" s="128" t="str">
        <f aca="false">ExportRaw!$D148</f>
        <v/>
      </c>
      <c r="F148" s="127" t="str">
        <f aca="false">ExportRaw!$H148</f>
        <v/>
      </c>
      <c r="G148" s="129" t="str">
        <f aca="false">ExportRaw!$I148</f>
        <v/>
      </c>
      <c r="H148" s="127" t="str">
        <f aca="false">ExportRaw!$A148</f>
        <v/>
      </c>
      <c r="I148" s="127" t="str">
        <f aca="false">ExportRaw!$B148</f>
        <v/>
      </c>
    </row>
    <row r="149" customFormat="false" ht="13.8" hidden="false" customHeight="false" outlineLevel="0" collapsed="false">
      <c r="A149" s="127" t="n">
        <f aca="false">ExportRaw!$F149</f>
        <v>0</v>
      </c>
      <c r="B149" s="127" t="n">
        <f aca="false">ExportRaw!$C149</f>
        <v>0</v>
      </c>
      <c r="C149" s="127" t="n">
        <f aca="false">ExportRaw!$G149</f>
        <v>0</v>
      </c>
      <c r="D149" s="127" t="str">
        <f aca="false">ExportRaw!$E149</f>
        <v/>
      </c>
      <c r="E149" s="128" t="str">
        <f aca="false">ExportRaw!$D149</f>
        <v/>
      </c>
      <c r="F149" s="127" t="str">
        <f aca="false">ExportRaw!$H149</f>
        <v/>
      </c>
      <c r="G149" s="129" t="str">
        <f aca="false">ExportRaw!$I149</f>
        <v/>
      </c>
      <c r="H149" s="127" t="str">
        <f aca="false">ExportRaw!$A149</f>
        <v/>
      </c>
      <c r="I149" s="127" t="str">
        <f aca="false">ExportRaw!$B149</f>
        <v/>
      </c>
    </row>
    <row r="150" customFormat="false" ht="13.8" hidden="false" customHeight="false" outlineLevel="0" collapsed="false">
      <c r="A150" s="127" t="n">
        <f aca="false">ExportRaw!$F150</f>
        <v>0</v>
      </c>
      <c r="B150" s="127" t="n">
        <f aca="false">ExportRaw!$C150</f>
        <v>0</v>
      </c>
      <c r="C150" s="127" t="n">
        <f aca="false">ExportRaw!$G150</f>
        <v>0</v>
      </c>
      <c r="D150" s="127" t="str">
        <f aca="false">ExportRaw!$E150</f>
        <v/>
      </c>
      <c r="E150" s="128" t="str">
        <f aca="false">ExportRaw!$D150</f>
        <v/>
      </c>
      <c r="F150" s="127" t="str">
        <f aca="false">ExportRaw!$H150</f>
        <v/>
      </c>
      <c r="G150" s="129" t="str">
        <f aca="false">ExportRaw!$I150</f>
        <v/>
      </c>
      <c r="H150" s="127" t="str">
        <f aca="false">ExportRaw!$A150</f>
        <v/>
      </c>
      <c r="I150" s="127" t="str">
        <f aca="false">ExportRaw!$B150</f>
        <v/>
      </c>
    </row>
    <row r="151" customFormat="false" ht="13.8" hidden="false" customHeight="false" outlineLevel="0" collapsed="false">
      <c r="A151" s="127" t="n">
        <f aca="false">ExportRaw!$F151</f>
        <v>0</v>
      </c>
      <c r="B151" s="127" t="n">
        <f aca="false">ExportRaw!$C151</f>
        <v>0</v>
      </c>
      <c r="C151" s="127" t="n">
        <f aca="false">ExportRaw!$G151</f>
        <v>0</v>
      </c>
      <c r="D151" s="127" t="str">
        <f aca="false">ExportRaw!$E151</f>
        <v/>
      </c>
      <c r="E151" s="128" t="str">
        <f aca="false">ExportRaw!$D151</f>
        <v/>
      </c>
      <c r="F151" s="127" t="str">
        <f aca="false">ExportRaw!$H151</f>
        <v/>
      </c>
      <c r="G151" s="129" t="str">
        <f aca="false">ExportRaw!$I151</f>
        <v/>
      </c>
      <c r="H151" s="127" t="str">
        <f aca="false">ExportRaw!$A151</f>
        <v/>
      </c>
      <c r="I151" s="127" t="str">
        <f aca="false">ExportRaw!$B151</f>
        <v/>
      </c>
    </row>
    <row r="152" customFormat="false" ht="13.8" hidden="false" customHeight="false" outlineLevel="0" collapsed="false">
      <c r="A152" s="127" t="n">
        <f aca="false">ExportRaw!$F152</f>
        <v>0</v>
      </c>
      <c r="B152" s="127" t="n">
        <f aca="false">ExportRaw!$C152</f>
        <v>0</v>
      </c>
      <c r="C152" s="127" t="n">
        <f aca="false">ExportRaw!$G152</f>
        <v>0</v>
      </c>
      <c r="D152" s="127" t="str">
        <f aca="false">ExportRaw!$E152</f>
        <v/>
      </c>
      <c r="E152" s="128" t="str">
        <f aca="false">ExportRaw!$D152</f>
        <v/>
      </c>
      <c r="F152" s="127" t="str">
        <f aca="false">ExportRaw!$H152</f>
        <v/>
      </c>
      <c r="G152" s="129" t="str">
        <f aca="false">ExportRaw!$I152</f>
        <v/>
      </c>
      <c r="H152" s="127" t="str">
        <f aca="false">ExportRaw!$A152</f>
        <v/>
      </c>
      <c r="I152" s="127" t="str">
        <f aca="false">ExportRaw!$B152</f>
        <v/>
      </c>
    </row>
    <row r="153" customFormat="false" ht="13.8" hidden="false" customHeight="false" outlineLevel="0" collapsed="false">
      <c r="A153" s="127" t="n">
        <f aca="false">ExportRaw!$F153</f>
        <v>0</v>
      </c>
      <c r="B153" s="127" t="n">
        <f aca="false">ExportRaw!$C153</f>
        <v>0</v>
      </c>
      <c r="C153" s="127" t="n">
        <f aca="false">ExportRaw!$G153</f>
        <v>0</v>
      </c>
      <c r="D153" s="127" t="str">
        <f aca="false">ExportRaw!$E153</f>
        <v/>
      </c>
      <c r="E153" s="128" t="str">
        <f aca="false">ExportRaw!$D153</f>
        <v/>
      </c>
      <c r="F153" s="127" t="str">
        <f aca="false">ExportRaw!$H153</f>
        <v/>
      </c>
      <c r="G153" s="129" t="str">
        <f aca="false">ExportRaw!$I153</f>
        <v/>
      </c>
      <c r="H153" s="127" t="str">
        <f aca="false">ExportRaw!$A153</f>
        <v/>
      </c>
      <c r="I153" s="127" t="str">
        <f aca="false">ExportRaw!$B153</f>
        <v/>
      </c>
    </row>
    <row r="154" customFormat="false" ht="13.8" hidden="false" customHeight="false" outlineLevel="0" collapsed="false">
      <c r="A154" s="127" t="n">
        <f aca="false">ExportRaw!$F154</f>
        <v>0</v>
      </c>
      <c r="B154" s="127" t="n">
        <f aca="false">ExportRaw!$C154</f>
        <v>0</v>
      </c>
      <c r="C154" s="127" t="n">
        <f aca="false">ExportRaw!$G154</f>
        <v>0</v>
      </c>
      <c r="D154" s="127" t="str">
        <f aca="false">ExportRaw!$E154</f>
        <v/>
      </c>
      <c r="E154" s="128" t="str">
        <f aca="false">ExportRaw!$D154</f>
        <v/>
      </c>
      <c r="F154" s="127" t="str">
        <f aca="false">ExportRaw!$H154</f>
        <v/>
      </c>
      <c r="G154" s="129" t="str">
        <f aca="false">ExportRaw!$I154</f>
        <v/>
      </c>
      <c r="H154" s="127" t="str">
        <f aca="false">ExportRaw!$A154</f>
        <v/>
      </c>
      <c r="I154" s="127" t="str">
        <f aca="false">ExportRaw!$B154</f>
        <v/>
      </c>
    </row>
    <row r="155" customFormat="false" ht="13.8" hidden="false" customHeight="false" outlineLevel="0" collapsed="false">
      <c r="A155" s="127" t="n">
        <f aca="false">ExportRaw!$F155</f>
        <v>0</v>
      </c>
      <c r="B155" s="127" t="n">
        <f aca="false">ExportRaw!$C155</f>
        <v>0</v>
      </c>
      <c r="C155" s="127" t="n">
        <f aca="false">ExportRaw!$G155</f>
        <v>0</v>
      </c>
      <c r="D155" s="127" t="str">
        <f aca="false">ExportRaw!$E155</f>
        <v/>
      </c>
      <c r="E155" s="128" t="str">
        <f aca="false">ExportRaw!$D155</f>
        <v/>
      </c>
      <c r="F155" s="127" t="str">
        <f aca="false">ExportRaw!$H155</f>
        <v/>
      </c>
      <c r="G155" s="129" t="str">
        <f aca="false">ExportRaw!$I155</f>
        <v/>
      </c>
      <c r="H155" s="127" t="str">
        <f aca="false">ExportRaw!$A155</f>
        <v/>
      </c>
      <c r="I155" s="127" t="str">
        <f aca="false">ExportRaw!$B155</f>
        <v/>
      </c>
    </row>
    <row r="156" customFormat="false" ht="13.8" hidden="false" customHeight="false" outlineLevel="0" collapsed="false">
      <c r="A156" s="127" t="n">
        <f aca="false">ExportRaw!$F156</f>
        <v>0</v>
      </c>
      <c r="B156" s="127" t="n">
        <f aca="false">ExportRaw!$C156</f>
        <v>0</v>
      </c>
      <c r="C156" s="127" t="n">
        <f aca="false">ExportRaw!$G156</f>
        <v>0</v>
      </c>
      <c r="D156" s="127" t="str">
        <f aca="false">ExportRaw!$E156</f>
        <v/>
      </c>
      <c r="E156" s="128" t="str">
        <f aca="false">ExportRaw!$D156</f>
        <v/>
      </c>
      <c r="F156" s="127" t="str">
        <f aca="false">ExportRaw!$H156</f>
        <v/>
      </c>
      <c r="G156" s="129" t="str">
        <f aca="false">ExportRaw!$I156</f>
        <v/>
      </c>
      <c r="H156" s="127" t="str">
        <f aca="false">ExportRaw!$A156</f>
        <v/>
      </c>
      <c r="I156" s="127" t="str">
        <f aca="false">ExportRaw!$B156</f>
        <v/>
      </c>
    </row>
    <row r="157" customFormat="false" ht="13.8" hidden="false" customHeight="false" outlineLevel="0" collapsed="false">
      <c r="A157" s="127" t="n">
        <f aca="false">ExportRaw!$F157</f>
        <v>0</v>
      </c>
      <c r="B157" s="127" t="n">
        <f aca="false">ExportRaw!$C157</f>
        <v>0</v>
      </c>
      <c r="C157" s="127" t="n">
        <f aca="false">ExportRaw!$G157</f>
        <v>0</v>
      </c>
      <c r="D157" s="127" t="str">
        <f aca="false">ExportRaw!$E157</f>
        <v/>
      </c>
      <c r="E157" s="128" t="str">
        <f aca="false">ExportRaw!$D157</f>
        <v/>
      </c>
      <c r="F157" s="127" t="str">
        <f aca="false">ExportRaw!$H157</f>
        <v/>
      </c>
      <c r="G157" s="129" t="str">
        <f aca="false">ExportRaw!$I157</f>
        <v/>
      </c>
      <c r="H157" s="127" t="str">
        <f aca="false">ExportRaw!$A157</f>
        <v/>
      </c>
      <c r="I157" s="127" t="str">
        <f aca="false">ExportRaw!$B157</f>
        <v/>
      </c>
    </row>
    <row r="158" customFormat="false" ht="13.8" hidden="false" customHeight="false" outlineLevel="0" collapsed="false">
      <c r="A158" s="127" t="n">
        <f aca="false">ExportRaw!$F158</f>
        <v>0</v>
      </c>
      <c r="B158" s="127" t="n">
        <f aca="false">ExportRaw!$C158</f>
        <v>0</v>
      </c>
      <c r="C158" s="127" t="n">
        <f aca="false">ExportRaw!$G158</f>
        <v>0</v>
      </c>
      <c r="D158" s="127" t="str">
        <f aca="false">ExportRaw!$E158</f>
        <v/>
      </c>
      <c r="E158" s="128" t="str">
        <f aca="false">ExportRaw!$D158</f>
        <v/>
      </c>
      <c r="F158" s="127" t="str">
        <f aca="false">ExportRaw!$H158</f>
        <v/>
      </c>
      <c r="G158" s="129" t="str">
        <f aca="false">ExportRaw!$I158</f>
        <v/>
      </c>
      <c r="H158" s="127" t="str">
        <f aca="false">ExportRaw!$A158</f>
        <v/>
      </c>
      <c r="I158" s="127" t="str">
        <f aca="false">ExportRaw!$B158</f>
        <v/>
      </c>
    </row>
    <row r="159" customFormat="false" ht="13.8" hidden="false" customHeight="false" outlineLevel="0" collapsed="false">
      <c r="A159" s="127" t="n">
        <f aca="false">ExportRaw!$F159</f>
        <v>0</v>
      </c>
      <c r="B159" s="127" t="n">
        <f aca="false">ExportRaw!$C159</f>
        <v>0</v>
      </c>
      <c r="C159" s="127" t="n">
        <f aca="false">ExportRaw!$G159</f>
        <v>0</v>
      </c>
      <c r="D159" s="127" t="str">
        <f aca="false">ExportRaw!$E159</f>
        <v/>
      </c>
      <c r="E159" s="128" t="str">
        <f aca="false">ExportRaw!$D159</f>
        <v/>
      </c>
      <c r="F159" s="127" t="str">
        <f aca="false">ExportRaw!$H159</f>
        <v/>
      </c>
      <c r="G159" s="129" t="str">
        <f aca="false">ExportRaw!$I159</f>
        <v/>
      </c>
      <c r="H159" s="127" t="str">
        <f aca="false">ExportRaw!$A159</f>
        <v/>
      </c>
      <c r="I159" s="127" t="str">
        <f aca="false">ExportRaw!$B159</f>
        <v/>
      </c>
    </row>
    <row r="160" customFormat="false" ht="13.8" hidden="false" customHeight="false" outlineLevel="0" collapsed="false">
      <c r="A160" s="127" t="n">
        <f aca="false">ExportRaw!$F160</f>
        <v>0</v>
      </c>
      <c r="B160" s="127" t="n">
        <f aca="false">ExportRaw!$C160</f>
        <v>0</v>
      </c>
      <c r="C160" s="127" t="n">
        <f aca="false">ExportRaw!$G160</f>
        <v>0</v>
      </c>
      <c r="D160" s="127" t="str">
        <f aca="false">ExportRaw!$E160</f>
        <v/>
      </c>
      <c r="E160" s="128" t="str">
        <f aca="false">ExportRaw!$D160</f>
        <v/>
      </c>
      <c r="F160" s="127" t="str">
        <f aca="false">ExportRaw!$H160</f>
        <v/>
      </c>
      <c r="G160" s="129" t="str">
        <f aca="false">ExportRaw!$I160</f>
        <v/>
      </c>
      <c r="H160" s="127" t="str">
        <f aca="false">ExportRaw!$A160</f>
        <v/>
      </c>
      <c r="I160" s="127" t="str">
        <f aca="false">ExportRaw!$B160</f>
        <v/>
      </c>
    </row>
    <row r="161" customFormat="false" ht="13.8" hidden="false" customHeight="false" outlineLevel="0" collapsed="false">
      <c r="A161" s="127" t="n">
        <f aca="false">ExportRaw!$F161</f>
        <v>0</v>
      </c>
      <c r="B161" s="127" t="n">
        <f aca="false">ExportRaw!$C161</f>
        <v>0</v>
      </c>
      <c r="C161" s="127" t="n">
        <f aca="false">ExportRaw!$G161</f>
        <v>0</v>
      </c>
      <c r="D161" s="127" t="str">
        <f aca="false">ExportRaw!$E161</f>
        <v/>
      </c>
      <c r="E161" s="128" t="str">
        <f aca="false">ExportRaw!$D161</f>
        <v/>
      </c>
      <c r="F161" s="127" t="str">
        <f aca="false">ExportRaw!$H161</f>
        <v/>
      </c>
      <c r="G161" s="129" t="str">
        <f aca="false">ExportRaw!$I161</f>
        <v/>
      </c>
      <c r="H161" s="127" t="str">
        <f aca="false">ExportRaw!$A161</f>
        <v/>
      </c>
      <c r="I161" s="127" t="str">
        <f aca="false">ExportRaw!$B161</f>
        <v/>
      </c>
    </row>
    <row r="162" customFormat="false" ht="13.8" hidden="false" customHeight="false" outlineLevel="0" collapsed="false">
      <c r="A162" s="127" t="n">
        <f aca="false">ExportRaw!$F162</f>
        <v>0</v>
      </c>
      <c r="B162" s="127" t="n">
        <f aca="false">ExportRaw!$C162</f>
        <v>0</v>
      </c>
      <c r="C162" s="127" t="n">
        <f aca="false">ExportRaw!$G162</f>
        <v>0</v>
      </c>
      <c r="D162" s="127" t="str">
        <f aca="false">ExportRaw!$E162</f>
        <v/>
      </c>
      <c r="E162" s="128" t="str">
        <f aca="false">ExportRaw!$D162</f>
        <v/>
      </c>
      <c r="F162" s="127" t="str">
        <f aca="false">ExportRaw!$H162</f>
        <v/>
      </c>
      <c r="G162" s="129" t="str">
        <f aca="false">ExportRaw!$I162</f>
        <v/>
      </c>
      <c r="H162" s="127" t="str">
        <f aca="false">ExportRaw!$A162</f>
        <v/>
      </c>
      <c r="I162" s="127" t="str">
        <f aca="false">ExportRaw!$B162</f>
        <v/>
      </c>
    </row>
    <row r="163" customFormat="false" ht="13.8" hidden="false" customHeight="false" outlineLevel="0" collapsed="false">
      <c r="A163" s="127" t="n">
        <f aca="false">ExportRaw!$F163</f>
        <v>0</v>
      </c>
      <c r="B163" s="127" t="n">
        <f aca="false">ExportRaw!$C163</f>
        <v>0</v>
      </c>
      <c r="C163" s="127" t="n">
        <f aca="false">ExportRaw!$G163</f>
        <v>0</v>
      </c>
      <c r="D163" s="127" t="str">
        <f aca="false">ExportRaw!$E163</f>
        <v/>
      </c>
      <c r="E163" s="128" t="str">
        <f aca="false">ExportRaw!$D163</f>
        <v/>
      </c>
      <c r="F163" s="127" t="str">
        <f aca="false">ExportRaw!$H163</f>
        <v/>
      </c>
      <c r="G163" s="129" t="str">
        <f aca="false">ExportRaw!$I163</f>
        <v/>
      </c>
      <c r="H163" s="127" t="str">
        <f aca="false">ExportRaw!$A163</f>
        <v/>
      </c>
      <c r="I163" s="127" t="str">
        <f aca="false">ExportRaw!$B163</f>
        <v/>
      </c>
    </row>
    <row r="164" customFormat="false" ht="13.8" hidden="false" customHeight="false" outlineLevel="0" collapsed="false">
      <c r="A164" s="127" t="n">
        <f aca="false">ExportRaw!$F164</f>
        <v>0</v>
      </c>
      <c r="B164" s="127" t="n">
        <f aca="false">ExportRaw!$C164</f>
        <v>0</v>
      </c>
      <c r="C164" s="127" t="n">
        <f aca="false">ExportRaw!$G164</f>
        <v>0</v>
      </c>
      <c r="D164" s="127" t="str">
        <f aca="false">ExportRaw!$E164</f>
        <v/>
      </c>
      <c r="E164" s="128" t="str">
        <f aca="false">ExportRaw!$D164</f>
        <v/>
      </c>
      <c r="F164" s="127" t="str">
        <f aca="false">ExportRaw!$H164</f>
        <v/>
      </c>
      <c r="G164" s="129" t="str">
        <f aca="false">ExportRaw!$I164</f>
        <v/>
      </c>
      <c r="H164" s="127" t="str">
        <f aca="false">ExportRaw!$A164</f>
        <v/>
      </c>
      <c r="I164" s="127" t="str">
        <f aca="false">ExportRaw!$B164</f>
        <v/>
      </c>
    </row>
    <row r="165" customFormat="false" ht="13.8" hidden="false" customHeight="false" outlineLevel="0" collapsed="false">
      <c r="A165" s="127" t="n">
        <f aca="false">ExportRaw!$F165</f>
        <v>0</v>
      </c>
      <c r="B165" s="127" t="n">
        <f aca="false">ExportRaw!$C165</f>
        <v>0</v>
      </c>
      <c r="C165" s="127" t="n">
        <f aca="false">ExportRaw!$G165</f>
        <v>0</v>
      </c>
      <c r="D165" s="127" t="str">
        <f aca="false">ExportRaw!$E165</f>
        <v/>
      </c>
      <c r="E165" s="128" t="str">
        <f aca="false">ExportRaw!$D165</f>
        <v/>
      </c>
      <c r="F165" s="127" t="str">
        <f aca="false">ExportRaw!$H165</f>
        <v/>
      </c>
      <c r="G165" s="129" t="str">
        <f aca="false">ExportRaw!$I165</f>
        <v/>
      </c>
      <c r="H165" s="127" t="str">
        <f aca="false">ExportRaw!$A165</f>
        <v/>
      </c>
      <c r="I165" s="127" t="str">
        <f aca="false">ExportRaw!$B165</f>
        <v/>
      </c>
    </row>
    <row r="166" customFormat="false" ht="13.8" hidden="false" customHeight="false" outlineLevel="0" collapsed="false">
      <c r="A166" s="127" t="n">
        <f aca="false">ExportRaw!$F166</f>
        <v>0</v>
      </c>
      <c r="B166" s="127" t="n">
        <f aca="false">ExportRaw!$C166</f>
        <v>0</v>
      </c>
      <c r="C166" s="127" t="n">
        <f aca="false">ExportRaw!$G166</f>
        <v>0</v>
      </c>
      <c r="D166" s="127" t="str">
        <f aca="false">ExportRaw!$E166</f>
        <v/>
      </c>
      <c r="E166" s="128" t="str">
        <f aca="false">ExportRaw!$D166</f>
        <v/>
      </c>
      <c r="F166" s="127" t="str">
        <f aca="false">ExportRaw!$H166</f>
        <v/>
      </c>
      <c r="G166" s="129" t="str">
        <f aca="false">ExportRaw!$I166</f>
        <v/>
      </c>
      <c r="H166" s="127" t="str">
        <f aca="false">ExportRaw!$A166</f>
        <v/>
      </c>
      <c r="I166" s="127" t="str">
        <f aca="false">ExportRaw!$B166</f>
        <v/>
      </c>
    </row>
    <row r="167" customFormat="false" ht="13.8" hidden="false" customHeight="false" outlineLevel="0" collapsed="false">
      <c r="A167" s="127" t="n">
        <f aca="false">ExportRaw!$F167</f>
        <v>0</v>
      </c>
      <c r="B167" s="127" t="n">
        <f aca="false">ExportRaw!$C167</f>
        <v>0</v>
      </c>
      <c r="C167" s="127" t="n">
        <f aca="false">ExportRaw!$G167</f>
        <v>0</v>
      </c>
      <c r="D167" s="127" t="str">
        <f aca="false">ExportRaw!$E167</f>
        <v/>
      </c>
      <c r="E167" s="128" t="str">
        <f aca="false">ExportRaw!$D167</f>
        <v/>
      </c>
      <c r="F167" s="127" t="str">
        <f aca="false">ExportRaw!$H167</f>
        <v/>
      </c>
      <c r="G167" s="129" t="str">
        <f aca="false">ExportRaw!$I167</f>
        <v/>
      </c>
      <c r="H167" s="127" t="str">
        <f aca="false">ExportRaw!$A167</f>
        <v/>
      </c>
      <c r="I167" s="127" t="str">
        <f aca="false">ExportRaw!$B167</f>
        <v/>
      </c>
    </row>
    <row r="168" customFormat="false" ht="13.8" hidden="false" customHeight="false" outlineLevel="0" collapsed="false">
      <c r="A168" s="127" t="n">
        <f aca="false">ExportRaw!$F168</f>
        <v>0</v>
      </c>
      <c r="B168" s="127" t="n">
        <f aca="false">ExportRaw!$C168</f>
        <v>0</v>
      </c>
      <c r="C168" s="127" t="n">
        <f aca="false">ExportRaw!$G168</f>
        <v>0</v>
      </c>
      <c r="D168" s="127" t="str">
        <f aca="false">ExportRaw!$E168</f>
        <v/>
      </c>
      <c r="E168" s="128" t="str">
        <f aca="false">ExportRaw!$D168</f>
        <v/>
      </c>
      <c r="F168" s="127" t="str">
        <f aca="false">ExportRaw!$H168</f>
        <v/>
      </c>
      <c r="G168" s="129" t="str">
        <f aca="false">ExportRaw!$I168</f>
        <v/>
      </c>
      <c r="H168" s="127" t="str">
        <f aca="false">ExportRaw!$A168</f>
        <v/>
      </c>
      <c r="I168" s="127" t="str">
        <f aca="false">ExportRaw!$B168</f>
        <v/>
      </c>
    </row>
    <row r="169" customFormat="false" ht="13.8" hidden="false" customHeight="false" outlineLevel="0" collapsed="false">
      <c r="A169" s="127" t="n">
        <f aca="false">ExportRaw!$F169</f>
        <v>0</v>
      </c>
      <c r="B169" s="127" t="n">
        <f aca="false">ExportRaw!$C169</f>
        <v>0</v>
      </c>
      <c r="C169" s="127" t="n">
        <f aca="false">ExportRaw!$G169</f>
        <v>0</v>
      </c>
      <c r="D169" s="127" t="str">
        <f aca="false">ExportRaw!$E169</f>
        <v/>
      </c>
      <c r="E169" s="128" t="str">
        <f aca="false">ExportRaw!$D169</f>
        <v/>
      </c>
      <c r="F169" s="127" t="str">
        <f aca="false">ExportRaw!$H169</f>
        <v/>
      </c>
      <c r="G169" s="129" t="str">
        <f aca="false">ExportRaw!$I169</f>
        <v/>
      </c>
      <c r="H169" s="127" t="str">
        <f aca="false">ExportRaw!$A169</f>
        <v/>
      </c>
      <c r="I169" s="127" t="str">
        <f aca="false">ExportRaw!$B169</f>
        <v/>
      </c>
    </row>
    <row r="170" customFormat="false" ht="13.8" hidden="false" customHeight="false" outlineLevel="0" collapsed="false">
      <c r="A170" s="127" t="n">
        <f aca="false">ExportRaw!$F170</f>
        <v>0</v>
      </c>
      <c r="B170" s="127" t="n">
        <f aca="false">ExportRaw!$C170</f>
        <v>0</v>
      </c>
      <c r="C170" s="127" t="n">
        <f aca="false">ExportRaw!$G170</f>
        <v>0</v>
      </c>
      <c r="D170" s="127" t="str">
        <f aca="false">ExportRaw!$E170</f>
        <v/>
      </c>
      <c r="E170" s="128" t="str">
        <f aca="false">ExportRaw!$D170</f>
        <v/>
      </c>
      <c r="F170" s="127" t="str">
        <f aca="false">ExportRaw!$H170</f>
        <v/>
      </c>
      <c r="G170" s="129" t="str">
        <f aca="false">ExportRaw!$I170</f>
        <v/>
      </c>
      <c r="H170" s="127" t="str">
        <f aca="false">ExportRaw!$A170</f>
        <v/>
      </c>
      <c r="I170" s="127" t="str">
        <f aca="false">ExportRaw!$B170</f>
        <v/>
      </c>
    </row>
    <row r="171" customFormat="false" ht="13.8" hidden="false" customHeight="false" outlineLevel="0" collapsed="false">
      <c r="A171" s="127" t="n">
        <f aca="false">ExportRaw!$F171</f>
        <v>0</v>
      </c>
      <c r="B171" s="127" t="n">
        <f aca="false">ExportRaw!$C171</f>
        <v>0</v>
      </c>
      <c r="C171" s="127" t="n">
        <f aca="false">ExportRaw!$G171</f>
        <v>0</v>
      </c>
      <c r="D171" s="127" t="str">
        <f aca="false">ExportRaw!$E171</f>
        <v/>
      </c>
      <c r="E171" s="128" t="str">
        <f aca="false">ExportRaw!$D171</f>
        <v/>
      </c>
      <c r="F171" s="127" t="str">
        <f aca="false">ExportRaw!$H171</f>
        <v/>
      </c>
      <c r="G171" s="129" t="str">
        <f aca="false">ExportRaw!$I171</f>
        <v/>
      </c>
      <c r="H171" s="127" t="str">
        <f aca="false">ExportRaw!$A171</f>
        <v/>
      </c>
      <c r="I171" s="127" t="str">
        <f aca="false">ExportRaw!$B171</f>
        <v/>
      </c>
    </row>
    <row r="172" customFormat="false" ht="13.8" hidden="false" customHeight="false" outlineLevel="0" collapsed="false">
      <c r="A172" s="127" t="n">
        <f aca="false">ExportRaw!$F172</f>
        <v>0</v>
      </c>
      <c r="B172" s="127" t="n">
        <f aca="false">ExportRaw!$C172</f>
        <v>0</v>
      </c>
      <c r="C172" s="127" t="n">
        <f aca="false">ExportRaw!$G172</f>
        <v>0</v>
      </c>
      <c r="D172" s="127" t="str">
        <f aca="false">ExportRaw!$E172</f>
        <v/>
      </c>
      <c r="E172" s="128" t="str">
        <f aca="false">ExportRaw!$D172</f>
        <v/>
      </c>
      <c r="F172" s="127" t="str">
        <f aca="false">ExportRaw!$H172</f>
        <v/>
      </c>
      <c r="G172" s="129" t="str">
        <f aca="false">ExportRaw!$I172</f>
        <v/>
      </c>
      <c r="H172" s="127" t="str">
        <f aca="false">ExportRaw!$A172</f>
        <v/>
      </c>
      <c r="I172" s="127" t="str">
        <f aca="false">ExportRaw!$B172</f>
        <v/>
      </c>
    </row>
    <row r="173" customFormat="false" ht="13.8" hidden="false" customHeight="false" outlineLevel="0" collapsed="false">
      <c r="A173" s="127" t="n">
        <f aca="false">ExportRaw!$F173</f>
        <v>0</v>
      </c>
      <c r="B173" s="127" t="n">
        <f aca="false">ExportRaw!$C173</f>
        <v>0</v>
      </c>
      <c r="C173" s="127" t="n">
        <f aca="false">ExportRaw!$G173</f>
        <v>0</v>
      </c>
      <c r="D173" s="127" t="str">
        <f aca="false">ExportRaw!$E173</f>
        <v/>
      </c>
      <c r="E173" s="128" t="str">
        <f aca="false">ExportRaw!$D173</f>
        <v/>
      </c>
      <c r="F173" s="127" t="str">
        <f aca="false">ExportRaw!$H173</f>
        <v/>
      </c>
      <c r="G173" s="129" t="str">
        <f aca="false">ExportRaw!$I173</f>
        <v/>
      </c>
      <c r="H173" s="127" t="str">
        <f aca="false">ExportRaw!$A173</f>
        <v/>
      </c>
      <c r="I173" s="127" t="str">
        <f aca="false">ExportRaw!$B173</f>
        <v/>
      </c>
    </row>
    <row r="174" customFormat="false" ht="13.8" hidden="false" customHeight="false" outlineLevel="0" collapsed="false">
      <c r="A174" s="127" t="n">
        <f aca="false">ExportRaw!$F174</f>
        <v>0</v>
      </c>
      <c r="B174" s="127" t="n">
        <f aca="false">ExportRaw!$C174</f>
        <v>0</v>
      </c>
      <c r="C174" s="127" t="n">
        <f aca="false">ExportRaw!$G174</f>
        <v>0</v>
      </c>
      <c r="D174" s="127" t="str">
        <f aca="false">ExportRaw!$E174</f>
        <v/>
      </c>
      <c r="E174" s="128" t="str">
        <f aca="false">ExportRaw!$D174</f>
        <v/>
      </c>
      <c r="F174" s="127" t="str">
        <f aca="false">ExportRaw!$H174</f>
        <v/>
      </c>
      <c r="G174" s="129" t="str">
        <f aca="false">ExportRaw!$I174</f>
        <v/>
      </c>
      <c r="H174" s="127" t="str">
        <f aca="false">ExportRaw!$A174</f>
        <v/>
      </c>
      <c r="I174" s="127" t="str">
        <f aca="false">ExportRaw!$B174</f>
        <v/>
      </c>
    </row>
    <row r="175" customFormat="false" ht="13.8" hidden="false" customHeight="false" outlineLevel="0" collapsed="false">
      <c r="A175" s="127" t="n">
        <f aca="false">ExportRaw!$F175</f>
        <v>0</v>
      </c>
      <c r="B175" s="127" t="n">
        <f aca="false">ExportRaw!$C175</f>
        <v>0</v>
      </c>
      <c r="C175" s="127" t="n">
        <f aca="false">ExportRaw!$G175</f>
        <v>0</v>
      </c>
      <c r="D175" s="127" t="str">
        <f aca="false">ExportRaw!$E175</f>
        <v/>
      </c>
      <c r="E175" s="128" t="str">
        <f aca="false">ExportRaw!$D175</f>
        <v/>
      </c>
      <c r="F175" s="127" t="str">
        <f aca="false">ExportRaw!$H175</f>
        <v/>
      </c>
      <c r="G175" s="129" t="str">
        <f aca="false">ExportRaw!$I175</f>
        <v/>
      </c>
      <c r="H175" s="127" t="str">
        <f aca="false">ExportRaw!$A175</f>
        <v/>
      </c>
      <c r="I175" s="127" t="str">
        <f aca="false">ExportRaw!$B175</f>
        <v/>
      </c>
    </row>
    <row r="176" customFormat="false" ht="13.8" hidden="false" customHeight="false" outlineLevel="0" collapsed="false">
      <c r="A176" s="127" t="n">
        <f aca="false">ExportRaw!$F176</f>
        <v>0</v>
      </c>
      <c r="B176" s="127" t="n">
        <f aca="false">ExportRaw!$C176</f>
        <v>0</v>
      </c>
      <c r="C176" s="127" t="n">
        <f aca="false">ExportRaw!$G176</f>
        <v>0</v>
      </c>
      <c r="D176" s="127" t="str">
        <f aca="false">ExportRaw!$E176</f>
        <v/>
      </c>
      <c r="E176" s="128" t="str">
        <f aca="false">ExportRaw!$D176</f>
        <v/>
      </c>
      <c r="F176" s="127" t="str">
        <f aca="false">ExportRaw!$H176</f>
        <v/>
      </c>
      <c r="G176" s="129" t="str">
        <f aca="false">ExportRaw!$I176</f>
        <v/>
      </c>
      <c r="H176" s="127" t="str">
        <f aca="false">ExportRaw!$A176</f>
        <v/>
      </c>
      <c r="I176" s="127" t="str">
        <f aca="false">ExportRaw!$B176</f>
        <v/>
      </c>
    </row>
    <row r="177" customFormat="false" ht="13.8" hidden="false" customHeight="false" outlineLevel="0" collapsed="false">
      <c r="A177" s="127" t="n">
        <f aca="false">ExportRaw!$F177</f>
        <v>0</v>
      </c>
      <c r="B177" s="127" t="n">
        <f aca="false">ExportRaw!$C177</f>
        <v>0</v>
      </c>
      <c r="C177" s="127" t="n">
        <f aca="false">ExportRaw!$G177</f>
        <v>0</v>
      </c>
      <c r="D177" s="127" t="str">
        <f aca="false">ExportRaw!$E177</f>
        <v/>
      </c>
      <c r="E177" s="128" t="str">
        <f aca="false">ExportRaw!$D177</f>
        <v/>
      </c>
      <c r="F177" s="127" t="str">
        <f aca="false">ExportRaw!$H177</f>
        <v/>
      </c>
      <c r="G177" s="129" t="str">
        <f aca="false">ExportRaw!$I177</f>
        <v/>
      </c>
      <c r="H177" s="127" t="str">
        <f aca="false">ExportRaw!$A177</f>
        <v/>
      </c>
      <c r="I177" s="127" t="str">
        <f aca="false">ExportRaw!$B177</f>
        <v/>
      </c>
    </row>
    <row r="178" customFormat="false" ht="13.8" hidden="false" customHeight="false" outlineLevel="0" collapsed="false">
      <c r="A178" s="127" t="n">
        <f aca="false">ExportRaw!$F178</f>
        <v>0</v>
      </c>
      <c r="B178" s="127" t="n">
        <f aca="false">ExportRaw!$C178</f>
        <v>0</v>
      </c>
      <c r="C178" s="127" t="n">
        <f aca="false">ExportRaw!$G178</f>
        <v>0</v>
      </c>
      <c r="D178" s="127" t="str">
        <f aca="false">ExportRaw!$E178</f>
        <v/>
      </c>
      <c r="E178" s="128" t="str">
        <f aca="false">ExportRaw!$D178</f>
        <v/>
      </c>
      <c r="F178" s="127" t="str">
        <f aca="false">ExportRaw!$H178</f>
        <v/>
      </c>
      <c r="G178" s="129" t="str">
        <f aca="false">ExportRaw!$I178</f>
        <v/>
      </c>
      <c r="H178" s="127" t="str">
        <f aca="false">ExportRaw!$A178</f>
        <v/>
      </c>
      <c r="I178" s="127" t="str">
        <f aca="false">ExportRaw!$B178</f>
        <v/>
      </c>
    </row>
    <row r="179" customFormat="false" ht="13.8" hidden="false" customHeight="false" outlineLevel="0" collapsed="false">
      <c r="A179" s="127" t="n">
        <f aca="false">ExportRaw!$F179</f>
        <v>0</v>
      </c>
      <c r="B179" s="127" t="n">
        <f aca="false">ExportRaw!$C179</f>
        <v>0</v>
      </c>
      <c r="C179" s="127" t="n">
        <f aca="false">ExportRaw!$G179</f>
        <v>0</v>
      </c>
      <c r="D179" s="127" t="str">
        <f aca="false">ExportRaw!$E179</f>
        <v/>
      </c>
      <c r="E179" s="128" t="str">
        <f aca="false">ExportRaw!$D179</f>
        <v/>
      </c>
      <c r="F179" s="127" t="str">
        <f aca="false">ExportRaw!$H179</f>
        <v/>
      </c>
      <c r="G179" s="129" t="str">
        <f aca="false">ExportRaw!$I179</f>
        <v/>
      </c>
      <c r="H179" s="127" t="str">
        <f aca="false">ExportRaw!$A179</f>
        <v/>
      </c>
      <c r="I179" s="127" t="str">
        <f aca="false">ExportRaw!$B179</f>
        <v/>
      </c>
    </row>
    <row r="180" customFormat="false" ht="13.8" hidden="false" customHeight="false" outlineLevel="0" collapsed="false">
      <c r="A180" s="127" t="n">
        <f aca="false">ExportRaw!$F180</f>
        <v>0</v>
      </c>
      <c r="B180" s="127" t="n">
        <f aca="false">ExportRaw!$C180</f>
        <v>0</v>
      </c>
      <c r="C180" s="127" t="n">
        <f aca="false">ExportRaw!$G180</f>
        <v>0</v>
      </c>
      <c r="D180" s="127" t="str">
        <f aca="false">ExportRaw!$E180</f>
        <v/>
      </c>
      <c r="E180" s="128" t="str">
        <f aca="false">ExportRaw!$D180</f>
        <v/>
      </c>
      <c r="F180" s="127" t="str">
        <f aca="false">ExportRaw!$H180</f>
        <v/>
      </c>
      <c r="G180" s="129" t="str">
        <f aca="false">ExportRaw!$I180</f>
        <v/>
      </c>
      <c r="H180" s="127" t="str">
        <f aca="false">ExportRaw!$A180</f>
        <v/>
      </c>
      <c r="I180" s="127" t="str">
        <f aca="false">ExportRaw!$B180</f>
        <v/>
      </c>
    </row>
    <row r="181" customFormat="false" ht="13.8" hidden="false" customHeight="false" outlineLevel="0" collapsed="false">
      <c r="A181" s="127" t="n">
        <f aca="false">ExportRaw!$F181</f>
        <v>0</v>
      </c>
      <c r="B181" s="127" t="n">
        <f aca="false">ExportRaw!$C181</f>
        <v>0</v>
      </c>
      <c r="C181" s="127" t="n">
        <f aca="false">ExportRaw!$G181</f>
        <v>0</v>
      </c>
      <c r="D181" s="127" t="str">
        <f aca="false">ExportRaw!$E181</f>
        <v/>
      </c>
      <c r="E181" s="128" t="str">
        <f aca="false">ExportRaw!$D181</f>
        <v/>
      </c>
      <c r="F181" s="127" t="str">
        <f aca="false">ExportRaw!$H181</f>
        <v/>
      </c>
      <c r="G181" s="129" t="str">
        <f aca="false">ExportRaw!$I181</f>
        <v/>
      </c>
      <c r="H181" s="127" t="str">
        <f aca="false">ExportRaw!$A181</f>
        <v/>
      </c>
      <c r="I181" s="127" t="str">
        <f aca="false">ExportRaw!$B181</f>
        <v/>
      </c>
    </row>
    <row r="182" customFormat="false" ht="13.8" hidden="false" customHeight="false" outlineLevel="0" collapsed="false">
      <c r="A182" s="127" t="n">
        <f aca="false">ExportRaw!$F182</f>
        <v>0</v>
      </c>
      <c r="B182" s="127" t="n">
        <f aca="false">ExportRaw!$C182</f>
        <v>0</v>
      </c>
      <c r="C182" s="127" t="n">
        <f aca="false">ExportRaw!$G182</f>
        <v>0</v>
      </c>
      <c r="D182" s="127" t="str">
        <f aca="false">ExportRaw!$E182</f>
        <v/>
      </c>
      <c r="E182" s="128" t="str">
        <f aca="false">ExportRaw!$D182</f>
        <v/>
      </c>
      <c r="F182" s="127" t="str">
        <f aca="false">ExportRaw!$H182</f>
        <v/>
      </c>
      <c r="G182" s="129" t="str">
        <f aca="false">ExportRaw!$I182</f>
        <v/>
      </c>
      <c r="H182" s="127" t="str">
        <f aca="false">ExportRaw!$A182</f>
        <v/>
      </c>
      <c r="I182" s="127" t="str">
        <f aca="false">ExportRaw!$B182</f>
        <v/>
      </c>
    </row>
    <row r="183" customFormat="false" ht="13.8" hidden="false" customHeight="false" outlineLevel="0" collapsed="false">
      <c r="A183" s="127" t="n">
        <f aca="false">ExportRaw!$F183</f>
        <v>0</v>
      </c>
      <c r="B183" s="127" t="n">
        <f aca="false">ExportRaw!$C183</f>
        <v>0</v>
      </c>
      <c r="C183" s="127" t="n">
        <f aca="false">ExportRaw!$G183</f>
        <v>0</v>
      </c>
      <c r="D183" s="127" t="str">
        <f aca="false">ExportRaw!$E183</f>
        <v/>
      </c>
      <c r="E183" s="128" t="str">
        <f aca="false">ExportRaw!$D183</f>
        <v/>
      </c>
      <c r="F183" s="127" t="str">
        <f aca="false">ExportRaw!$H183</f>
        <v/>
      </c>
      <c r="G183" s="129" t="str">
        <f aca="false">ExportRaw!$I183</f>
        <v/>
      </c>
      <c r="H183" s="127" t="str">
        <f aca="false">ExportRaw!$A183</f>
        <v/>
      </c>
      <c r="I183" s="127" t="str">
        <f aca="false">ExportRaw!$B183</f>
        <v/>
      </c>
    </row>
    <row r="184" customFormat="false" ht="13.8" hidden="false" customHeight="false" outlineLevel="0" collapsed="false">
      <c r="A184" s="127" t="n">
        <f aca="false">ExportRaw!$F184</f>
        <v>0</v>
      </c>
      <c r="B184" s="127" t="n">
        <f aca="false">ExportRaw!$C184</f>
        <v>0</v>
      </c>
      <c r="C184" s="127" t="n">
        <f aca="false">ExportRaw!$G184</f>
        <v>0</v>
      </c>
      <c r="D184" s="127" t="str">
        <f aca="false">ExportRaw!$E184</f>
        <v/>
      </c>
      <c r="E184" s="128" t="str">
        <f aca="false">ExportRaw!$D184</f>
        <v/>
      </c>
      <c r="F184" s="127" t="str">
        <f aca="false">ExportRaw!$H184</f>
        <v/>
      </c>
      <c r="G184" s="129" t="str">
        <f aca="false">ExportRaw!$I184</f>
        <v/>
      </c>
      <c r="H184" s="127" t="str">
        <f aca="false">ExportRaw!$A184</f>
        <v/>
      </c>
      <c r="I184" s="127" t="str">
        <f aca="false">ExportRaw!$B184</f>
        <v/>
      </c>
    </row>
    <row r="185" customFormat="false" ht="13.8" hidden="false" customHeight="false" outlineLevel="0" collapsed="false">
      <c r="A185" s="127" t="n">
        <f aca="false">ExportRaw!$F185</f>
        <v>0</v>
      </c>
      <c r="B185" s="127" t="n">
        <f aca="false">ExportRaw!$C185</f>
        <v>0</v>
      </c>
      <c r="C185" s="127" t="n">
        <f aca="false">ExportRaw!$G185</f>
        <v>0</v>
      </c>
      <c r="D185" s="127" t="str">
        <f aca="false">ExportRaw!$E185</f>
        <v/>
      </c>
      <c r="E185" s="128" t="str">
        <f aca="false">ExportRaw!$D185</f>
        <v/>
      </c>
      <c r="F185" s="127" t="str">
        <f aca="false">ExportRaw!$H185</f>
        <v/>
      </c>
      <c r="G185" s="129" t="str">
        <f aca="false">ExportRaw!$I185</f>
        <v/>
      </c>
      <c r="H185" s="127" t="str">
        <f aca="false">ExportRaw!$A185</f>
        <v/>
      </c>
      <c r="I185" s="127" t="str">
        <f aca="false">ExportRaw!$B185</f>
        <v/>
      </c>
    </row>
    <row r="186" customFormat="false" ht="13.8" hidden="false" customHeight="false" outlineLevel="0" collapsed="false">
      <c r="A186" s="127" t="n">
        <f aca="false">ExportRaw!$F186</f>
        <v>0</v>
      </c>
      <c r="B186" s="127" t="n">
        <f aca="false">ExportRaw!$C186</f>
        <v>0</v>
      </c>
      <c r="C186" s="127" t="n">
        <f aca="false">ExportRaw!$G186</f>
        <v>0</v>
      </c>
      <c r="D186" s="127" t="str">
        <f aca="false">ExportRaw!$E186</f>
        <v/>
      </c>
      <c r="E186" s="128" t="str">
        <f aca="false">ExportRaw!$D186</f>
        <v/>
      </c>
      <c r="F186" s="127" t="str">
        <f aca="false">ExportRaw!$H186</f>
        <v/>
      </c>
      <c r="G186" s="129" t="str">
        <f aca="false">ExportRaw!$I186</f>
        <v/>
      </c>
      <c r="H186" s="127" t="str">
        <f aca="false">ExportRaw!$A186</f>
        <v/>
      </c>
      <c r="I186" s="127" t="str">
        <f aca="false">ExportRaw!$B186</f>
        <v/>
      </c>
    </row>
    <row r="187" customFormat="false" ht="13.8" hidden="false" customHeight="false" outlineLevel="0" collapsed="false">
      <c r="A187" s="127" t="n">
        <f aca="false">ExportRaw!$F187</f>
        <v>0</v>
      </c>
      <c r="B187" s="127" t="n">
        <f aca="false">ExportRaw!$C187</f>
        <v>0</v>
      </c>
      <c r="C187" s="127" t="n">
        <f aca="false">ExportRaw!$G187</f>
        <v>0</v>
      </c>
      <c r="D187" s="127" t="str">
        <f aca="false">ExportRaw!$E187</f>
        <v/>
      </c>
      <c r="E187" s="128" t="str">
        <f aca="false">ExportRaw!$D187</f>
        <v/>
      </c>
      <c r="F187" s="127" t="str">
        <f aca="false">ExportRaw!$H187</f>
        <v/>
      </c>
      <c r="G187" s="129" t="str">
        <f aca="false">ExportRaw!$I187</f>
        <v/>
      </c>
      <c r="H187" s="127" t="str">
        <f aca="false">ExportRaw!$A187</f>
        <v/>
      </c>
      <c r="I187" s="127" t="str">
        <f aca="false">ExportRaw!$B187</f>
        <v/>
      </c>
    </row>
    <row r="188" customFormat="false" ht="13.8" hidden="false" customHeight="false" outlineLevel="0" collapsed="false">
      <c r="A188" s="127" t="n">
        <f aca="false">ExportRaw!$F188</f>
        <v>0</v>
      </c>
      <c r="B188" s="127" t="n">
        <f aca="false">ExportRaw!$C188</f>
        <v>0</v>
      </c>
      <c r="C188" s="127" t="n">
        <f aca="false">ExportRaw!$G188</f>
        <v>0</v>
      </c>
      <c r="D188" s="127" t="str">
        <f aca="false">ExportRaw!$E188</f>
        <v/>
      </c>
      <c r="E188" s="128" t="str">
        <f aca="false">ExportRaw!$D188</f>
        <v/>
      </c>
      <c r="F188" s="127" t="str">
        <f aca="false">ExportRaw!$H188</f>
        <v/>
      </c>
      <c r="G188" s="129" t="str">
        <f aca="false">ExportRaw!$I188</f>
        <v/>
      </c>
      <c r="H188" s="127" t="str">
        <f aca="false">ExportRaw!$A188</f>
        <v/>
      </c>
      <c r="I188" s="127" t="str">
        <f aca="false">ExportRaw!$B188</f>
        <v/>
      </c>
    </row>
    <row r="189" customFormat="false" ht="13.8" hidden="false" customHeight="false" outlineLevel="0" collapsed="false">
      <c r="A189" s="127" t="n">
        <f aca="false">ExportRaw!$F189</f>
        <v>0</v>
      </c>
      <c r="B189" s="127" t="n">
        <f aca="false">ExportRaw!$C189</f>
        <v>0</v>
      </c>
      <c r="C189" s="127" t="n">
        <f aca="false">ExportRaw!$G189</f>
        <v>0</v>
      </c>
      <c r="D189" s="127" t="str">
        <f aca="false">ExportRaw!$E189</f>
        <v/>
      </c>
      <c r="E189" s="128" t="str">
        <f aca="false">ExportRaw!$D189</f>
        <v/>
      </c>
      <c r="F189" s="127" t="str">
        <f aca="false">ExportRaw!$H189</f>
        <v/>
      </c>
      <c r="G189" s="129" t="str">
        <f aca="false">ExportRaw!$I189</f>
        <v/>
      </c>
      <c r="H189" s="127" t="str">
        <f aca="false">ExportRaw!$A189</f>
        <v/>
      </c>
      <c r="I189" s="127" t="str">
        <f aca="false">ExportRaw!$B189</f>
        <v/>
      </c>
    </row>
    <row r="190" customFormat="false" ht="13.8" hidden="false" customHeight="false" outlineLevel="0" collapsed="false">
      <c r="A190" s="127" t="n">
        <f aca="false">ExportRaw!$F190</f>
        <v>0</v>
      </c>
      <c r="B190" s="127" t="n">
        <f aca="false">ExportRaw!$C190</f>
        <v>0</v>
      </c>
      <c r="C190" s="127" t="n">
        <f aca="false">ExportRaw!$G190</f>
        <v>0</v>
      </c>
      <c r="D190" s="127" t="str">
        <f aca="false">ExportRaw!$E190</f>
        <v/>
      </c>
      <c r="E190" s="128" t="str">
        <f aca="false">ExportRaw!$D190</f>
        <v/>
      </c>
      <c r="F190" s="127" t="str">
        <f aca="false">ExportRaw!$H190</f>
        <v/>
      </c>
      <c r="G190" s="129" t="str">
        <f aca="false">ExportRaw!$I190</f>
        <v/>
      </c>
      <c r="H190" s="127" t="str">
        <f aca="false">ExportRaw!$A190</f>
        <v/>
      </c>
      <c r="I190" s="127" t="str">
        <f aca="false">ExportRaw!$B190</f>
        <v/>
      </c>
    </row>
    <row r="191" customFormat="false" ht="13.8" hidden="false" customHeight="false" outlineLevel="0" collapsed="false">
      <c r="A191" s="127" t="n">
        <f aca="false">ExportRaw!$F191</f>
        <v>0</v>
      </c>
      <c r="B191" s="127" t="n">
        <f aca="false">ExportRaw!$C191</f>
        <v>0</v>
      </c>
      <c r="C191" s="127" t="n">
        <f aca="false">ExportRaw!$G191</f>
        <v>0</v>
      </c>
      <c r="D191" s="127" t="str">
        <f aca="false">ExportRaw!$E191</f>
        <v/>
      </c>
      <c r="E191" s="128" t="str">
        <f aca="false">ExportRaw!$D191</f>
        <v/>
      </c>
      <c r="F191" s="127" t="str">
        <f aca="false">ExportRaw!$H191</f>
        <v/>
      </c>
      <c r="G191" s="129" t="str">
        <f aca="false">ExportRaw!$I191</f>
        <v/>
      </c>
      <c r="H191" s="127" t="str">
        <f aca="false">ExportRaw!$A191</f>
        <v/>
      </c>
      <c r="I191" s="127" t="str">
        <f aca="false">ExportRaw!$B191</f>
        <v/>
      </c>
    </row>
    <row r="192" customFormat="false" ht="13.8" hidden="false" customHeight="false" outlineLevel="0" collapsed="false">
      <c r="A192" s="127" t="n">
        <f aca="false">ExportRaw!$F192</f>
        <v>0</v>
      </c>
      <c r="B192" s="127" t="n">
        <f aca="false">ExportRaw!$C192</f>
        <v>0</v>
      </c>
      <c r="C192" s="127" t="n">
        <f aca="false">ExportRaw!$G192</f>
        <v>0</v>
      </c>
      <c r="D192" s="127" t="str">
        <f aca="false">ExportRaw!$E192</f>
        <v/>
      </c>
      <c r="E192" s="128" t="str">
        <f aca="false">ExportRaw!$D192</f>
        <v/>
      </c>
      <c r="F192" s="127" t="str">
        <f aca="false">ExportRaw!$H192</f>
        <v/>
      </c>
      <c r="G192" s="129" t="str">
        <f aca="false">ExportRaw!$I192</f>
        <v/>
      </c>
      <c r="H192" s="127" t="str">
        <f aca="false">ExportRaw!$A192</f>
        <v/>
      </c>
      <c r="I192" s="127" t="str">
        <f aca="false">ExportRaw!$B192</f>
        <v/>
      </c>
    </row>
    <row r="193" customFormat="false" ht="13.8" hidden="false" customHeight="false" outlineLevel="0" collapsed="false">
      <c r="A193" s="127" t="n">
        <f aca="false">ExportRaw!$F193</f>
        <v>0</v>
      </c>
      <c r="B193" s="127" t="n">
        <f aca="false">ExportRaw!$C193</f>
        <v>0</v>
      </c>
      <c r="C193" s="127" t="n">
        <f aca="false">ExportRaw!$G193</f>
        <v>0</v>
      </c>
      <c r="D193" s="127" t="str">
        <f aca="false">ExportRaw!$E193</f>
        <v/>
      </c>
      <c r="E193" s="128" t="str">
        <f aca="false">ExportRaw!$D193</f>
        <v/>
      </c>
      <c r="F193" s="127" t="str">
        <f aca="false">ExportRaw!$H193</f>
        <v/>
      </c>
      <c r="G193" s="129" t="str">
        <f aca="false">ExportRaw!$I193</f>
        <v/>
      </c>
      <c r="H193" s="127" t="str">
        <f aca="false">ExportRaw!$A193</f>
        <v/>
      </c>
      <c r="I193" s="127" t="str">
        <f aca="false">ExportRaw!$B193</f>
        <v/>
      </c>
    </row>
    <row r="194" customFormat="false" ht="13.8" hidden="false" customHeight="false" outlineLevel="0" collapsed="false">
      <c r="A194" s="127" t="n">
        <f aca="false">ExportRaw!$F194</f>
        <v>0</v>
      </c>
      <c r="B194" s="127" t="n">
        <f aca="false">ExportRaw!$C194</f>
        <v>0</v>
      </c>
      <c r="C194" s="127" t="n">
        <f aca="false">ExportRaw!$G194</f>
        <v>0</v>
      </c>
      <c r="D194" s="127" t="str">
        <f aca="false">ExportRaw!$E194</f>
        <v/>
      </c>
      <c r="E194" s="128" t="str">
        <f aca="false">ExportRaw!$D194</f>
        <v/>
      </c>
      <c r="F194" s="127" t="str">
        <f aca="false">ExportRaw!$H194</f>
        <v/>
      </c>
      <c r="G194" s="129" t="str">
        <f aca="false">ExportRaw!$I194</f>
        <v/>
      </c>
      <c r="H194" s="127" t="str">
        <f aca="false">ExportRaw!$A194</f>
        <v/>
      </c>
      <c r="I194" s="127" t="str">
        <f aca="false">ExportRaw!$B194</f>
        <v/>
      </c>
    </row>
    <row r="195" customFormat="false" ht="13.8" hidden="false" customHeight="false" outlineLevel="0" collapsed="false">
      <c r="A195" s="127" t="n">
        <f aca="false">ExportRaw!$F195</f>
        <v>0</v>
      </c>
      <c r="B195" s="127" t="n">
        <f aca="false">ExportRaw!$C195</f>
        <v>0</v>
      </c>
      <c r="C195" s="127" t="n">
        <f aca="false">ExportRaw!$G195</f>
        <v>0</v>
      </c>
      <c r="D195" s="127" t="str">
        <f aca="false">ExportRaw!$E195</f>
        <v/>
      </c>
      <c r="E195" s="128" t="str">
        <f aca="false">ExportRaw!$D195</f>
        <v/>
      </c>
      <c r="F195" s="127" t="str">
        <f aca="false">ExportRaw!$H195</f>
        <v/>
      </c>
      <c r="G195" s="129" t="str">
        <f aca="false">ExportRaw!$I195</f>
        <v/>
      </c>
      <c r="H195" s="127" t="str">
        <f aca="false">ExportRaw!$A195</f>
        <v/>
      </c>
      <c r="I195" s="127" t="str">
        <f aca="false">ExportRaw!$B195</f>
        <v/>
      </c>
    </row>
    <row r="196" customFormat="false" ht="13.8" hidden="false" customHeight="false" outlineLevel="0" collapsed="false">
      <c r="A196" s="127" t="n">
        <f aca="false">ExportRaw!$F196</f>
        <v>0</v>
      </c>
      <c r="B196" s="127" t="n">
        <f aca="false">ExportRaw!$C196</f>
        <v>0</v>
      </c>
      <c r="C196" s="127" t="n">
        <f aca="false">ExportRaw!$G196</f>
        <v>0</v>
      </c>
      <c r="D196" s="127" t="str">
        <f aca="false">ExportRaw!$E196</f>
        <v/>
      </c>
      <c r="E196" s="128" t="str">
        <f aca="false">ExportRaw!$D196</f>
        <v/>
      </c>
      <c r="F196" s="127" t="str">
        <f aca="false">ExportRaw!$H196</f>
        <v/>
      </c>
      <c r="G196" s="129" t="str">
        <f aca="false">ExportRaw!$I196</f>
        <v/>
      </c>
      <c r="H196" s="127" t="str">
        <f aca="false">ExportRaw!$A196</f>
        <v/>
      </c>
      <c r="I196" s="127" t="str">
        <f aca="false">ExportRaw!$B196</f>
        <v/>
      </c>
    </row>
    <row r="197" customFormat="false" ht="13.8" hidden="false" customHeight="false" outlineLevel="0" collapsed="false">
      <c r="A197" s="127" t="n">
        <f aca="false">ExportRaw!$F197</f>
        <v>0</v>
      </c>
      <c r="B197" s="127" t="n">
        <f aca="false">ExportRaw!$C197</f>
        <v>0</v>
      </c>
      <c r="C197" s="127" t="n">
        <f aca="false">ExportRaw!$G197</f>
        <v>0</v>
      </c>
      <c r="D197" s="127" t="str">
        <f aca="false">ExportRaw!$E197</f>
        <v/>
      </c>
      <c r="E197" s="128" t="str">
        <f aca="false">ExportRaw!$D197</f>
        <v/>
      </c>
      <c r="F197" s="127" t="str">
        <f aca="false">ExportRaw!$H197</f>
        <v/>
      </c>
      <c r="G197" s="129" t="str">
        <f aca="false">ExportRaw!$I197</f>
        <v/>
      </c>
      <c r="H197" s="127" t="str">
        <f aca="false">ExportRaw!$A197</f>
        <v/>
      </c>
      <c r="I197" s="127" t="str">
        <f aca="false">ExportRaw!$B197</f>
        <v/>
      </c>
    </row>
    <row r="198" customFormat="false" ht="13.8" hidden="false" customHeight="false" outlineLevel="0" collapsed="false">
      <c r="A198" s="127" t="n">
        <f aca="false">ExportRaw!$F198</f>
        <v>0</v>
      </c>
      <c r="B198" s="127" t="n">
        <f aca="false">ExportRaw!$C198</f>
        <v>0</v>
      </c>
      <c r="C198" s="127" t="n">
        <f aca="false">ExportRaw!$G198</f>
        <v>0</v>
      </c>
      <c r="D198" s="127" t="str">
        <f aca="false">ExportRaw!$E198</f>
        <v/>
      </c>
      <c r="E198" s="128" t="str">
        <f aca="false">ExportRaw!$D198</f>
        <v/>
      </c>
      <c r="F198" s="127" t="str">
        <f aca="false">ExportRaw!$H198</f>
        <v/>
      </c>
      <c r="G198" s="129" t="str">
        <f aca="false">ExportRaw!$I198</f>
        <v/>
      </c>
      <c r="H198" s="127" t="str">
        <f aca="false">ExportRaw!$A198</f>
        <v/>
      </c>
      <c r="I198" s="127" t="str">
        <f aca="false">ExportRaw!$B198</f>
        <v/>
      </c>
    </row>
    <row r="199" customFormat="false" ht="13.8" hidden="false" customHeight="false" outlineLevel="0" collapsed="false">
      <c r="A199" s="127" t="n">
        <f aca="false">ExportRaw!$F199</f>
        <v>0</v>
      </c>
      <c r="B199" s="127" t="n">
        <f aca="false">ExportRaw!$C199</f>
        <v>0</v>
      </c>
      <c r="C199" s="127" t="n">
        <f aca="false">ExportRaw!$G199</f>
        <v>0</v>
      </c>
      <c r="D199" s="127" t="str">
        <f aca="false">ExportRaw!$E199</f>
        <v/>
      </c>
      <c r="E199" s="128" t="str">
        <f aca="false">ExportRaw!$D199</f>
        <v/>
      </c>
      <c r="F199" s="127" t="str">
        <f aca="false">ExportRaw!$H199</f>
        <v/>
      </c>
      <c r="G199" s="129" t="str">
        <f aca="false">ExportRaw!$I199</f>
        <v/>
      </c>
      <c r="H199" s="127" t="str">
        <f aca="false">ExportRaw!$A199</f>
        <v/>
      </c>
      <c r="I199" s="127" t="str">
        <f aca="false">ExportRaw!$B199</f>
        <v/>
      </c>
    </row>
    <row r="200" customFormat="false" ht="13.8" hidden="false" customHeight="false" outlineLevel="0" collapsed="false">
      <c r="A200" s="127" t="n">
        <f aca="false">ExportRaw!$F200</f>
        <v>0</v>
      </c>
      <c r="B200" s="127" t="n">
        <f aca="false">ExportRaw!$C200</f>
        <v>0</v>
      </c>
      <c r="C200" s="127" t="n">
        <f aca="false">ExportRaw!$G200</f>
        <v>0</v>
      </c>
      <c r="D200" s="127" t="str">
        <f aca="false">ExportRaw!$E200</f>
        <v/>
      </c>
      <c r="E200" s="128" t="str">
        <f aca="false">ExportRaw!$D200</f>
        <v/>
      </c>
      <c r="F200" s="127" t="str">
        <f aca="false">ExportRaw!$H200</f>
        <v/>
      </c>
      <c r="G200" s="129" t="str">
        <f aca="false">ExportRaw!$I200</f>
        <v/>
      </c>
      <c r="H200" s="127" t="str">
        <f aca="false">ExportRaw!$A200</f>
        <v/>
      </c>
      <c r="I200" s="127" t="str">
        <f aca="false">ExportRaw!$B200</f>
        <v/>
      </c>
    </row>
    <row r="201" customFormat="false" ht="13.8" hidden="false" customHeight="false" outlineLevel="0" collapsed="false">
      <c r="A201" s="127" t="n">
        <f aca="false">ExportRaw!$F201</f>
        <v>0</v>
      </c>
      <c r="B201" s="127" t="n">
        <f aca="false">ExportRaw!$C201</f>
        <v>0</v>
      </c>
      <c r="C201" s="127" t="n">
        <f aca="false">ExportRaw!$G201</f>
        <v>0</v>
      </c>
      <c r="D201" s="127" t="str">
        <f aca="false">ExportRaw!$E201</f>
        <v/>
      </c>
      <c r="E201" s="128" t="str">
        <f aca="false">ExportRaw!$D201</f>
        <v/>
      </c>
      <c r="F201" s="127" t="str">
        <f aca="false">ExportRaw!$H201</f>
        <v/>
      </c>
      <c r="G201" s="129" t="str">
        <f aca="false">ExportRaw!$I201</f>
        <v/>
      </c>
      <c r="H201" s="127" t="str">
        <f aca="false">ExportRaw!$A201</f>
        <v/>
      </c>
      <c r="I201" s="127" t="str">
        <f aca="false">ExportRaw!$B201</f>
        <v/>
      </c>
    </row>
    <row r="202" customFormat="false" ht="15.75" hidden="false" customHeight="false" outlineLevel="0" collapsed="false">
      <c r="A202" s="127" t="n">
        <f aca="false">ExportRaw!$F202</f>
        <v>0</v>
      </c>
      <c r="B202" s="127" t="n">
        <f aca="false">ExportRaw!$C202</f>
        <v>0</v>
      </c>
      <c r="C202" s="127" t="n">
        <f aca="false">ExportRaw!$G202</f>
        <v>0</v>
      </c>
      <c r="D202" s="127" t="str">
        <f aca="false">ExportRaw!$E202</f>
        <v/>
      </c>
      <c r="E202" s="128" t="str">
        <f aca="false">ExportRaw!$D202</f>
        <v/>
      </c>
      <c r="F202" s="127" t="str">
        <f aca="false">ExportRaw!$H202</f>
        <v/>
      </c>
      <c r="G202" s="129" t="str">
        <f aca="false">ExportRaw!$I202</f>
        <v/>
      </c>
      <c r="H202" s="127" t="str">
        <f aca="false">ExportRaw!$A202</f>
        <v/>
      </c>
      <c r="I202" s="127" t="str">
        <f aca="false">ExportRaw!$B202</f>
        <v/>
      </c>
    </row>
    <row r="203" customFormat="false" ht="15.75" hidden="false" customHeight="false" outlineLevel="0" collapsed="false">
      <c r="A203" s="127" t="n">
        <f aca="false">ExportRaw!$F203</f>
        <v>0</v>
      </c>
      <c r="B203" s="127" t="n">
        <f aca="false">ExportRaw!$C203</f>
        <v>0</v>
      </c>
      <c r="C203" s="127" t="n">
        <f aca="false">ExportRaw!$G203</f>
        <v>0</v>
      </c>
      <c r="D203" s="127" t="str">
        <f aca="false">ExportRaw!$E203</f>
        <v/>
      </c>
      <c r="E203" s="128" t="str">
        <f aca="false">ExportRaw!$D203</f>
        <v/>
      </c>
      <c r="F203" s="127" t="str">
        <f aca="false">ExportRaw!$H203</f>
        <v/>
      </c>
      <c r="G203" s="129" t="str">
        <f aca="false">ExportRaw!$I203</f>
        <v/>
      </c>
      <c r="H203" s="127" t="str">
        <f aca="false">ExportRaw!$A203</f>
        <v/>
      </c>
      <c r="I203" s="127" t="str">
        <f aca="false">ExportRaw!$B203</f>
        <v/>
      </c>
    </row>
    <row r="204" customFormat="false" ht="15.75" hidden="false" customHeight="false" outlineLevel="0" collapsed="false">
      <c r="A204" s="127" t="n">
        <f aca="false">ExportRaw!$F204</f>
        <v>0</v>
      </c>
      <c r="B204" s="127" t="n">
        <f aca="false">ExportRaw!$C204</f>
        <v>0</v>
      </c>
      <c r="C204" s="127" t="n">
        <f aca="false">ExportRaw!$G204</f>
        <v>0</v>
      </c>
      <c r="D204" s="127" t="str">
        <f aca="false">ExportRaw!$E204</f>
        <v/>
      </c>
      <c r="E204" s="128" t="str">
        <f aca="false">ExportRaw!$D204</f>
        <v/>
      </c>
      <c r="F204" s="127" t="str">
        <f aca="false">ExportRaw!$H204</f>
        <v/>
      </c>
      <c r="G204" s="129" t="str">
        <f aca="false">ExportRaw!$I204</f>
        <v/>
      </c>
      <c r="H204" s="127" t="str">
        <f aca="false">ExportRaw!$A204</f>
        <v/>
      </c>
      <c r="I204" s="127" t="str">
        <f aca="false">ExportRaw!$B204</f>
        <v/>
      </c>
    </row>
    <row r="205" customFormat="false" ht="15.75" hidden="false" customHeight="false" outlineLevel="0" collapsed="false">
      <c r="A205" s="127" t="n">
        <f aca="false">ExportRaw!$F205</f>
        <v>0</v>
      </c>
      <c r="B205" s="127" t="n">
        <f aca="false">ExportRaw!$C205</f>
        <v>0</v>
      </c>
      <c r="C205" s="127" t="n">
        <f aca="false">ExportRaw!$G205</f>
        <v>0</v>
      </c>
      <c r="D205" s="127" t="str">
        <f aca="false">ExportRaw!$E205</f>
        <v/>
      </c>
      <c r="E205" s="128" t="str">
        <f aca="false">ExportRaw!$D205</f>
        <v/>
      </c>
      <c r="F205" s="127" t="str">
        <f aca="false">ExportRaw!$H205</f>
        <v/>
      </c>
      <c r="G205" s="129" t="str">
        <f aca="false">ExportRaw!$I205</f>
        <v/>
      </c>
      <c r="H205" s="127" t="str">
        <f aca="false">ExportRaw!$A205</f>
        <v/>
      </c>
      <c r="I205" s="127" t="str">
        <f aca="false">ExportRaw!$B205</f>
        <v/>
      </c>
    </row>
    <row r="206" customFormat="false" ht="15.75" hidden="false" customHeight="false" outlineLevel="0" collapsed="false">
      <c r="A206" s="127" t="n">
        <f aca="false">ExportRaw!$F206</f>
        <v>0</v>
      </c>
      <c r="B206" s="127" t="n">
        <f aca="false">ExportRaw!$C206</f>
        <v>0</v>
      </c>
      <c r="C206" s="127" t="n">
        <f aca="false">ExportRaw!$G206</f>
        <v>0</v>
      </c>
      <c r="D206" s="127" t="str">
        <f aca="false">ExportRaw!$E206</f>
        <v/>
      </c>
      <c r="E206" s="128" t="str">
        <f aca="false">ExportRaw!$D206</f>
        <v/>
      </c>
      <c r="F206" s="127" t="str">
        <f aca="false">ExportRaw!$H206</f>
        <v/>
      </c>
      <c r="G206" s="129" t="str">
        <f aca="false">ExportRaw!$I206</f>
        <v/>
      </c>
      <c r="H206" s="127" t="str">
        <f aca="false">ExportRaw!$A206</f>
        <v/>
      </c>
      <c r="I206" s="127" t="str">
        <f aca="false">ExportRaw!$B206</f>
        <v/>
      </c>
    </row>
    <row r="207" customFormat="false" ht="15.75" hidden="false" customHeight="false" outlineLevel="0" collapsed="false">
      <c r="A207" s="127" t="n">
        <f aca="false">ExportRaw!$F207</f>
        <v>0</v>
      </c>
      <c r="B207" s="127" t="n">
        <f aca="false">ExportRaw!$C207</f>
        <v>0</v>
      </c>
      <c r="C207" s="127" t="n">
        <f aca="false">ExportRaw!$G207</f>
        <v>0</v>
      </c>
      <c r="D207" s="127" t="str">
        <f aca="false">ExportRaw!$E207</f>
        <v/>
      </c>
      <c r="E207" s="128" t="str">
        <f aca="false">ExportRaw!$D207</f>
        <v/>
      </c>
      <c r="F207" s="127" t="str">
        <f aca="false">ExportRaw!$H207</f>
        <v/>
      </c>
      <c r="G207" s="129" t="str">
        <f aca="false">ExportRaw!$I207</f>
        <v/>
      </c>
      <c r="H207" s="127" t="str">
        <f aca="false">ExportRaw!$A207</f>
        <v/>
      </c>
      <c r="I207" s="127" t="str">
        <f aca="false">ExportRaw!$B207</f>
        <v/>
      </c>
    </row>
    <row r="208" customFormat="false" ht="15.75" hidden="false" customHeight="false" outlineLevel="0" collapsed="false">
      <c r="A208" s="127" t="n">
        <f aca="false">ExportRaw!$F208</f>
        <v>0</v>
      </c>
      <c r="B208" s="127" t="n">
        <f aca="false">ExportRaw!$C208</f>
        <v>0</v>
      </c>
      <c r="C208" s="127" t="n">
        <f aca="false">ExportRaw!$G208</f>
        <v>0</v>
      </c>
      <c r="D208" s="127" t="str">
        <f aca="false">ExportRaw!$E208</f>
        <v/>
      </c>
      <c r="E208" s="128" t="str">
        <f aca="false">ExportRaw!$D208</f>
        <v/>
      </c>
      <c r="F208" s="127" t="str">
        <f aca="false">ExportRaw!$H208</f>
        <v/>
      </c>
      <c r="G208" s="129" t="str">
        <f aca="false">ExportRaw!$I208</f>
        <v/>
      </c>
      <c r="H208" s="127" t="str">
        <f aca="false">ExportRaw!$A208</f>
        <v/>
      </c>
      <c r="I208" s="127" t="str">
        <f aca="false">ExportRaw!$B208</f>
        <v/>
      </c>
    </row>
    <row r="209" customFormat="false" ht="15.75" hidden="false" customHeight="false" outlineLevel="0" collapsed="false">
      <c r="A209" s="127" t="n">
        <f aca="false">ExportRaw!$F209</f>
        <v>0</v>
      </c>
      <c r="B209" s="127" t="n">
        <f aca="false">ExportRaw!$C209</f>
        <v>0</v>
      </c>
      <c r="C209" s="127" t="n">
        <f aca="false">ExportRaw!$G209</f>
        <v>0</v>
      </c>
      <c r="D209" s="127" t="str">
        <f aca="false">ExportRaw!$E209</f>
        <v/>
      </c>
      <c r="E209" s="128" t="str">
        <f aca="false">ExportRaw!$D209</f>
        <v/>
      </c>
      <c r="F209" s="127" t="str">
        <f aca="false">ExportRaw!$H209</f>
        <v/>
      </c>
      <c r="G209" s="129" t="str">
        <f aca="false">ExportRaw!$I209</f>
        <v/>
      </c>
      <c r="H209" s="127" t="str">
        <f aca="false">ExportRaw!$A209</f>
        <v/>
      </c>
      <c r="I209" s="127" t="str">
        <f aca="false">ExportRaw!$B209</f>
        <v/>
      </c>
    </row>
    <row r="210" customFormat="false" ht="15.75" hidden="false" customHeight="false" outlineLevel="0" collapsed="false">
      <c r="A210" s="127" t="n">
        <f aca="false">ExportRaw!$F210</f>
        <v>0</v>
      </c>
      <c r="B210" s="127" t="n">
        <f aca="false">ExportRaw!$C210</f>
        <v>0</v>
      </c>
      <c r="C210" s="127" t="n">
        <f aca="false">ExportRaw!$G210</f>
        <v>0</v>
      </c>
      <c r="D210" s="127" t="str">
        <f aca="false">ExportRaw!$E210</f>
        <v/>
      </c>
      <c r="E210" s="128" t="str">
        <f aca="false">ExportRaw!$D210</f>
        <v/>
      </c>
      <c r="F210" s="127" t="str">
        <f aca="false">ExportRaw!$H210</f>
        <v/>
      </c>
      <c r="G210" s="129" t="str">
        <f aca="false">ExportRaw!$I210</f>
        <v/>
      </c>
      <c r="H210" s="127" t="str">
        <f aca="false">ExportRaw!$A210</f>
        <v/>
      </c>
      <c r="I210" s="127" t="str">
        <f aca="false">ExportRaw!$B210</f>
        <v/>
      </c>
    </row>
    <row r="211" customFormat="false" ht="15.75" hidden="false" customHeight="false" outlineLevel="0" collapsed="false">
      <c r="A211" s="127" t="n">
        <f aca="false">ExportRaw!$F211</f>
        <v>0</v>
      </c>
      <c r="B211" s="127" t="n">
        <f aca="false">ExportRaw!$C211</f>
        <v>0</v>
      </c>
      <c r="C211" s="127" t="n">
        <f aca="false">ExportRaw!$G211</f>
        <v>0</v>
      </c>
      <c r="D211" s="127" t="str">
        <f aca="false">ExportRaw!$E211</f>
        <v/>
      </c>
      <c r="E211" s="128" t="str">
        <f aca="false">ExportRaw!$D211</f>
        <v/>
      </c>
      <c r="F211" s="127" t="str">
        <f aca="false">ExportRaw!$H211</f>
        <v/>
      </c>
      <c r="G211" s="129" t="str">
        <f aca="false">ExportRaw!$I211</f>
        <v/>
      </c>
      <c r="H211" s="127" t="str">
        <f aca="false">ExportRaw!$A211</f>
        <v/>
      </c>
      <c r="I211" s="127" t="str">
        <f aca="false">ExportRaw!$B211</f>
        <v/>
      </c>
    </row>
    <row r="212" customFormat="false" ht="15.75" hidden="false" customHeight="false" outlineLevel="0" collapsed="false">
      <c r="A212" s="127" t="n">
        <f aca="false">ExportRaw!$F212</f>
        <v>0</v>
      </c>
      <c r="B212" s="127" t="n">
        <f aca="false">ExportRaw!$C212</f>
        <v>0</v>
      </c>
      <c r="C212" s="127" t="n">
        <f aca="false">ExportRaw!$G212</f>
        <v>0</v>
      </c>
      <c r="D212" s="127" t="str">
        <f aca="false">ExportRaw!$E212</f>
        <v/>
      </c>
      <c r="E212" s="128" t="str">
        <f aca="false">ExportRaw!$D212</f>
        <v/>
      </c>
      <c r="F212" s="127" t="str">
        <f aca="false">ExportRaw!$H212</f>
        <v/>
      </c>
      <c r="G212" s="129" t="str">
        <f aca="false">ExportRaw!$I212</f>
        <v/>
      </c>
      <c r="H212" s="127" t="str">
        <f aca="false">ExportRaw!$A212</f>
        <v/>
      </c>
      <c r="I212" s="127" t="str">
        <f aca="false">ExportRaw!$B212</f>
        <v/>
      </c>
    </row>
    <row r="213" customFormat="false" ht="15.75" hidden="false" customHeight="false" outlineLevel="0" collapsed="false">
      <c r="A213" s="127" t="n">
        <f aca="false">ExportRaw!$F213</f>
        <v>0</v>
      </c>
      <c r="B213" s="127" t="n">
        <f aca="false">ExportRaw!$C213</f>
        <v>0</v>
      </c>
      <c r="C213" s="127" t="n">
        <f aca="false">ExportRaw!$G213</f>
        <v>0</v>
      </c>
      <c r="D213" s="127" t="str">
        <f aca="false">ExportRaw!$E213</f>
        <v/>
      </c>
      <c r="E213" s="128" t="str">
        <f aca="false">ExportRaw!$D213</f>
        <v/>
      </c>
      <c r="F213" s="127" t="str">
        <f aca="false">ExportRaw!$H213</f>
        <v/>
      </c>
      <c r="G213" s="129" t="str">
        <f aca="false">ExportRaw!$I213</f>
        <v/>
      </c>
      <c r="H213" s="127" t="str">
        <f aca="false">ExportRaw!$A213</f>
        <v/>
      </c>
      <c r="I213" s="127" t="str">
        <f aca="false">ExportRaw!$B213</f>
        <v/>
      </c>
    </row>
    <row r="214" customFormat="false" ht="15.75" hidden="false" customHeight="false" outlineLevel="0" collapsed="false">
      <c r="A214" s="127" t="n">
        <f aca="false">ExportRaw!$F214</f>
        <v>0</v>
      </c>
      <c r="B214" s="127" t="n">
        <f aca="false">ExportRaw!$C214</f>
        <v>0</v>
      </c>
      <c r="C214" s="127" t="n">
        <f aca="false">ExportRaw!$G214</f>
        <v>0</v>
      </c>
      <c r="D214" s="127" t="str">
        <f aca="false">ExportRaw!$E214</f>
        <v/>
      </c>
      <c r="E214" s="128" t="str">
        <f aca="false">ExportRaw!$D214</f>
        <v/>
      </c>
      <c r="F214" s="127" t="str">
        <f aca="false">ExportRaw!$H214</f>
        <v/>
      </c>
      <c r="G214" s="129" t="str">
        <f aca="false">ExportRaw!$I214</f>
        <v/>
      </c>
      <c r="H214" s="127" t="str">
        <f aca="false">ExportRaw!$A214</f>
        <v/>
      </c>
      <c r="I214" s="127" t="str">
        <f aca="false">ExportRaw!$B214</f>
        <v/>
      </c>
    </row>
    <row r="215" customFormat="false" ht="15.75" hidden="false" customHeight="false" outlineLevel="0" collapsed="false">
      <c r="A215" s="127" t="n">
        <f aca="false">ExportRaw!$F215</f>
        <v>0</v>
      </c>
      <c r="B215" s="127" t="n">
        <f aca="false">ExportRaw!$C215</f>
        <v>0</v>
      </c>
      <c r="C215" s="127" t="n">
        <f aca="false">ExportRaw!$G215</f>
        <v>0</v>
      </c>
      <c r="D215" s="127" t="str">
        <f aca="false">ExportRaw!$E215</f>
        <v/>
      </c>
      <c r="E215" s="128" t="str">
        <f aca="false">ExportRaw!$D215</f>
        <v/>
      </c>
      <c r="F215" s="127" t="str">
        <f aca="false">ExportRaw!$H215</f>
        <v/>
      </c>
      <c r="G215" s="129" t="str">
        <f aca="false">ExportRaw!$I215</f>
        <v/>
      </c>
      <c r="H215" s="127" t="str">
        <f aca="false">ExportRaw!$A215</f>
        <v/>
      </c>
      <c r="I215" s="127" t="str">
        <f aca="false">ExportRaw!$B215</f>
        <v/>
      </c>
    </row>
    <row r="216" customFormat="false" ht="15.75" hidden="false" customHeight="false" outlineLevel="0" collapsed="false">
      <c r="A216" s="127" t="n">
        <f aca="false">ExportRaw!$F216</f>
        <v>0</v>
      </c>
      <c r="B216" s="127" t="n">
        <f aca="false">ExportRaw!$C216</f>
        <v>0</v>
      </c>
      <c r="C216" s="127" t="n">
        <f aca="false">ExportRaw!$G216</f>
        <v>0</v>
      </c>
      <c r="D216" s="127" t="str">
        <f aca="false">ExportRaw!$E216</f>
        <v/>
      </c>
      <c r="E216" s="128" t="str">
        <f aca="false">ExportRaw!$D216</f>
        <v/>
      </c>
      <c r="F216" s="127" t="str">
        <f aca="false">ExportRaw!$H216</f>
        <v/>
      </c>
      <c r="G216" s="129" t="str">
        <f aca="false">ExportRaw!$I216</f>
        <v/>
      </c>
      <c r="H216" s="127" t="str">
        <f aca="false">ExportRaw!$A216</f>
        <v/>
      </c>
      <c r="I216" s="127" t="str">
        <f aca="false">ExportRaw!$B216</f>
        <v/>
      </c>
    </row>
    <row r="217" customFormat="false" ht="15.75" hidden="false" customHeight="false" outlineLevel="0" collapsed="false">
      <c r="A217" s="127" t="n">
        <f aca="false">ExportRaw!$F217</f>
        <v>0</v>
      </c>
      <c r="B217" s="127" t="n">
        <f aca="false">ExportRaw!$C217</f>
        <v>0</v>
      </c>
      <c r="C217" s="127" t="n">
        <f aca="false">ExportRaw!$G217</f>
        <v>0</v>
      </c>
      <c r="D217" s="127" t="str">
        <f aca="false">ExportRaw!$E217</f>
        <v/>
      </c>
      <c r="E217" s="128" t="str">
        <f aca="false">ExportRaw!$D217</f>
        <v/>
      </c>
      <c r="F217" s="127" t="str">
        <f aca="false">ExportRaw!$H217</f>
        <v/>
      </c>
      <c r="G217" s="129" t="str">
        <f aca="false">ExportRaw!$I217</f>
        <v/>
      </c>
      <c r="H217" s="127" t="str">
        <f aca="false">ExportRaw!$A217</f>
        <v/>
      </c>
      <c r="I217" s="127" t="str">
        <f aca="false">ExportRaw!$B217</f>
        <v/>
      </c>
    </row>
    <row r="218" customFormat="false" ht="15.75" hidden="false" customHeight="false" outlineLevel="0" collapsed="false">
      <c r="A218" s="127" t="n">
        <f aca="false">ExportRaw!$F218</f>
        <v>0</v>
      </c>
      <c r="B218" s="127" t="n">
        <f aca="false">ExportRaw!$C218</f>
        <v>0</v>
      </c>
      <c r="C218" s="127" t="n">
        <f aca="false">ExportRaw!$G218</f>
        <v>0</v>
      </c>
      <c r="D218" s="127" t="str">
        <f aca="false">ExportRaw!$E218</f>
        <v/>
      </c>
      <c r="E218" s="128" t="str">
        <f aca="false">ExportRaw!$D218</f>
        <v/>
      </c>
      <c r="F218" s="127" t="str">
        <f aca="false">ExportRaw!$H218</f>
        <v/>
      </c>
      <c r="G218" s="129" t="str">
        <f aca="false">ExportRaw!$I218</f>
        <v/>
      </c>
      <c r="H218" s="127" t="str">
        <f aca="false">ExportRaw!$A218</f>
        <v/>
      </c>
      <c r="I218" s="127" t="str">
        <f aca="false">ExportRaw!$B218</f>
        <v/>
      </c>
    </row>
    <row r="219" customFormat="false" ht="15.75" hidden="false" customHeight="false" outlineLevel="0" collapsed="false">
      <c r="A219" s="127" t="n">
        <f aca="false">ExportRaw!$F219</f>
        <v>0</v>
      </c>
      <c r="B219" s="127" t="n">
        <f aca="false">ExportRaw!$C219</f>
        <v>0</v>
      </c>
      <c r="C219" s="127" t="n">
        <f aca="false">ExportRaw!$G219</f>
        <v>0</v>
      </c>
      <c r="D219" s="127" t="str">
        <f aca="false">ExportRaw!$E219</f>
        <v/>
      </c>
      <c r="E219" s="128" t="str">
        <f aca="false">ExportRaw!$D219</f>
        <v/>
      </c>
      <c r="F219" s="127" t="str">
        <f aca="false">ExportRaw!$H219</f>
        <v/>
      </c>
      <c r="G219" s="129" t="str">
        <f aca="false">ExportRaw!$I219</f>
        <v/>
      </c>
      <c r="H219" s="127" t="str">
        <f aca="false">ExportRaw!$A219</f>
        <v/>
      </c>
      <c r="I219" s="127" t="str">
        <f aca="false">ExportRaw!$B219</f>
        <v/>
      </c>
    </row>
    <row r="220" customFormat="false" ht="15.75" hidden="false" customHeight="false" outlineLevel="0" collapsed="false">
      <c r="A220" s="127" t="n">
        <f aca="false">ExportRaw!$F220</f>
        <v>0</v>
      </c>
      <c r="B220" s="127" t="n">
        <f aca="false">ExportRaw!$C220</f>
        <v>0</v>
      </c>
      <c r="C220" s="127" t="n">
        <f aca="false">ExportRaw!$G220</f>
        <v>0</v>
      </c>
      <c r="D220" s="127" t="str">
        <f aca="false">ExportRaw!$E220</f>
        <v/>
      </c>
      <c r="E220" s="128" t="str">
        <f aca="false">ExportRaw!$D220</f>
        <v/>
      </c>
      <c r="F220" s="127" t="str">
        <f aca="false">ExportRaw!$H220</f>
        <v/>
      </c>
      <c r="G220" s="129" t="str">
        <f aca="false">ExportRaw!$I220</f>
        <v/>
      </c>
      <c r="H220" s="127" t="str">
        <f aca="false">ExportRaw!$A220</f>
        <v/>
      </c>
      <c r="I220" s="127" t="str">
        <f aca="false">ExportRaw!$B220</f>
        <v/>
      </c>
    </row>
    <row r="221" customFormat="false" ht="15.75" hidden="false" customHeight="false" outlineLevel="0" collapsed="false">
      <c r="A221" s="127" t="n">
        <f aca="false">ExportRaw!$F221</f>
        <v>0</v>
      </c>
      <c r="B221" s="127" t="n">
        <f aca="false">ExportRaw!$C221</f>
        <v>0</v>
      </c>
      <c r="C221" s="127" t="n">
        <f aca="false">ExportRaw!$G221</f>
        <v>0</v>
      </c>
      <c r="D221" s="127" t="str">
        <f aca="false">ExportRaw!$E221</f>
        <v/>
      </c>
      <c r="E221" s="128" t="str">
        <f aca="false">ExportRaw!$D221</f>
        <v/>
      </c>
      <c r="F221" s="127" t="str">
        <f aca="false">ExportRaw!$H221</f>
        <v/>
      </c>
      <c r="G221" s="129" t="str">
        <f aca="false">ExportRaw!$I221</f>
        <v/>
      </c>
      <c r="H221" s="127" t="str">
        <f aca="false">ExportRaw!$A221</f>
        <v/>
      </c>
      <c r="I221" s="127" t="str">
        <f aca="false">ExportRaw!$B221</f>
        <v/>
      </c>
    </row>
    <row r="222" customFormat="false" ht="15.75" hidden="false" customHeight="false" outlineLevel="0" collapsed="false">
      <c r="A222" s="127" t="n">
        <f aca="false">ExportRaw!$F222</f>
        <v>0</v>
      </c>
      <c r="B222" s="127" t="n">
        <f aca="false">ExportRaw!$C222</f>
        <v>0</v>
      </c>
      <c r="C222" s="127" t="n">
        <f aca="false">ExportRaw!$G222</f>
        <v>0</v>
      </c>
      <c r="D222" s="127" t="str">
        <f aca="false">ExportRaw!$E222</f>
        <v/>
      </c>
      <c r="E222" s="128" t="str">
        <f aca="false">ExportRaw!$D222</f>
        <v/>
      </c>
      <c r="F222" s="127" t="str">
        <f aca="false">ExportRaw!$H222</f>
        <v/>
      </c>
      <c r="G222" s="129" t="str">
        <f aca="false">ExportRaw!$I222</f>
        <v/>
      </c>
      <c r="H222" s="127" t="str">
        <f aca="false">ExportRaw!$A222</f>
        <v/>
      </c>
      <c r="I222" s="127" t="str">
        <f aca="false">ExportRaw!$B222</f>
        <v/>
      </c>
    </row>
    <row r="223" customFormat="false" ht="15.75" hidden="false" customHeight="false" outlineLevel="0" collapsed="false">
      <c r="A223" s="127" t="n">
        <f aca="false">ExportRaw!$F223</f>
        <v>0</v>
      </c>
      <c r="B223" s="127" t="n">
        <f aca="false">ExportRaw!$C223</f>
        <v>0</v>
      </c>
      <c r="C223" s="127" t="n">
        <f aca="false">ExportRaw!$G223</f>
        <v>0</v>
      </c>
      <c r="D223" s="127" t="str">
        <f aca="false">ExportRaw!$E223</f>
        <v/>
      </c>
      <c r="E223" s="128" t="str">
        <f aca="false">ExportRaw!$D223</f>
        <v/>
      </c>
      <c r="F223" s="127" t="str">
        <f aca="false">ExportRaw!$H223</f>
        <v/>
      </c>
      <c r="G223" s="129" t="str">
        <f aca="false">ExportRaw!$I223</f>
        <v/>
      </c>
      <c r="H223" s="127" t="str">
        <f aca="false">ExportRaw!$A223</f>
        <v/>
      </c>
      <c r="I223" s="127" t="str">
        <f aca="false">ExportRaw!$B223</f>
        <v/>
      </c>
    </row>
    <row r="224" customFormat="false" ht="15.75" hidden="false" customHeight="false" outlineLevel="0" collapsed="false">
      <c r="A224" s="127" t="n">
        <f aca="false">ExportRaw!$F224</f>
        <v>0</v>
      </c>
      <c r="B224" s="127" t="n">
        <f aca="false">ExportRaw!$C224</f>
        <v>0</v>
      </c>
      <c r="C224" s="127" t="n">
        <f aca="false">ExportRaw!$G224</f>
        <v>0</v>
      </c>
      <c r="D224" s="127" t="str">
        <f aca="false">ExportRaw!$E224</f>
        <v/>
      </c>
      <c r="E224" s="128" t="str">
        <f aca="false">ExportRaw!$D224</f>
        <v/>
      </c>
      <c r="F224" s="127" t="str">
        <f aca="false">ExportRaw!$H224</f>
        <v/>
      </c>
      <c r="G224" s="129" t="str">
        <f aca="false">ExportRaw!$I224</f>
        <v/>
      </c>
      <c r="H224" s="127" t="str">
        <f aca="false">ExportRaw!$A224</f>
        <v/>
      </c>
      <c r="I224" s="127" t="str">
        <f aca="false">ExportRaw!$B224</f>
        <v/>
      </c>
    </row>
    <row r="225" customFormat="false" ht="15.75" hidden="false" customHeight="false" outlineLevel="0" collapsed="false">
      <c r="A225" s="127" t="n">
        <f aca="false">ExportRaw!$F225</f>
        <v>0</v>
      </c>
      <c r="B225" s="127" t="n">
        <f aca="false">ExportRaw!$C225</f>
        <v>0</v>
      </c>
      <c r="C225" s="127" t="n">
        <f aca="false">ExportRaw!$G225</f>
        <v>0</v>
      </c>
      <c r="D225" s="127" t="str">
        <f aca="false">ExportRaw!$E225</f>
        <v/>
      </c>
      <c r="E225" s="128" t="str">
        <f aca="false">ExportRaw!$D225</f>
        <v/>
      </c>
      <c r="F225" s="127" t="str">
        <f aca="false">ExportRaw!$H225</f>
        <v/>
      </c>
      <c r="G225" s="129" t="str">
        <f aca="false">ExportRaw!$I225</f>
        <v/>
      </c>
      <c r="H225" s="127" t="str">
        <f aca="false">ExportRaw!$A225</f>
        <v/>
      </c>
      <c r="I225" s="127" t="str">
        <f aca="false">ExportRaw!$B225</f>
        <v/>
      </c>
    </row>
    <row r="226" customFormat="false" ht="15.75" hidden="false" customHeight="false" outlineLevel="0" collapsed="false">
      <c r="A226" s="127" t="n">
        <f aca="false">ExportRaw!$F226</f>
        <v>0</v>
      </c>
      <c r="B226" s="127" t="n">
        <f aca="false">ExportRaw!$C226</f>
        <v>0</v>
      </c>
      <c r="C226" s="127" t="n">
        <f aca="false">ExportRaw!$G226</f>
        <v>0</v>
      </c>
      <c r="D226" s="127" t="str">
        <f aca="false">ExportRaw!$E226</f>
        <v/>
      </c>
      <c r="E226" s="128" t="str">
        <f aca="false">ExportRaw!$D226</f>
        <v/>
      </c>
      <c r="F226" s="127" t="str">
        <f aca="false">ExportRaw!$H226</f>
        <v/>
      </c>
      <c r="G226" s="129" t="str">
        <f aca="false">ExportRaw!$I226</f>
        <v/>
      </c>
      <c r="H226" s="127" t="str">
        <f aca="false">ExportRaw!$A226</f>
        <v/>
      </c>
      <c r="I226" s="127" t="str">
        <f aca="false">ExportRaw!$B226</f>
        <v/>
      </c>
    </row>
    <row r="227" customFormat="false" ht="15.75" hidden="false" customHeight="false" outlineLevel="0" collapsed="false">
      <c r="A227" s="127" t="n">
        <f aca="false">ExportRaw!$F227</f>
        <v>0</v>
      </c>
      <c r="B227" s="127" t="n">
        <f aca="false">ExportRaw!$C227</f>
        <v>0</v>
      </c>
      <c r="C227" s="127" t="n">
        <f aca="false">ExportRaw!$G227</f>
        <v>0</v>
      </c>
      <c r="D227" s="127" t="str">
        <f aca="false">ExportRaw!$E227</f>
        <v/>
      </c>
      <c r="E227" s="128" t="str">
        <f aca="false">ExportRaw!$D227</f>
        <v/>
      </c>
      <c r="F227" s="127" t="str">
        <f aca="false">ExportRaw!$H227</f>
        <v/>
      </c>
      <c r="G227" s="129" t="str">
        <f aca="false">ExportRaw!$I227</f>
        <v/>
      </c>
      <c r="H227" s="127" t="str">
        <f aca="false">ExportRaw!$A227</f>
        <v/>
      </c>
      <c r="I227" s="127" t="str">
        <f aca="false">ExportRaw!$B227</f>
        <v/>
      </c>
    </row>
    <row r="228" customFormat="false" ht="15.75" hidden="false" customHeight="false" outlineLevel="0" collapsed="false">
      <c r="A228" s="127" t="n">
        <f aca="false">ExportRaw!$F228</f>
        <v>0</v>
      </c>
      <c r="B228" s="127" t="n">
        <f aca="false">ExportRaw!$C228</f>
        <v>0</v>
      </c>
      <c r="C228" s="127" t="n">
        <f aca="false">ExportRaw!$G228</f>
        <v>0</v>
      </c>
      <c r="D228" s="127" t="str">
        <f aca="false">ExportRaw!$E228</f>
        <v/>
      </c>
      <c r="E228" s="128" t="str">
        <f aca="false">ExportRaw!$D228</f>
        <v/>
      </c>
      <c r="F228" s="127" t="str">
        <f aca="false">ExportRaw!$H228</f>
        <v/>
      </c>
      <c r="G228" s="129" t="str">
        <f aca="false">ExportRaw!$I228</f>
        <v/>
      </c>
      <c r="H228" s="127" t="str">
        <f aca="false">ExportRaw!$A228</f>
        <v/>
      </c>
      <c r="I228" s="127" t="str">
        <f aca="false">ExportRaw!$B228</f>
        <v/>
      </c>
    </row>
    <row r="229" customFormat="false" ht="15.75" hidden="false" customHeight="false" outlineLevel="0" collapsed="false">
      <c r="A229" s="127" t="n">
        <f aca="false">ExportRaw!$F229</f>
        <v>0</v>
      </c>
      <c r="B229" s="127" t="n">
        <f aca="false">ExportRaw!$C229</f>
        <v>0</v>
      </c>
      <c r="C229" s="127" t="n">
        <f aca="false">ExportRaw!$G229</f>
        <v>0</v>
      </c>
      <c r="D229" s="127" t="str">
        <f aca="false">ExportRaw!$E229</f>
        <v/>
      </c>
      <c r="E229" s="128" t="str">
        <f aca="false">ExportRaw!$D229</f>
        <v/>
      </c>
      <c r="F229" s="127" t="str">
        <f aca="false">ExportRaw!$H229</f>
        <v/>
      </c>
      <c r="G229" s="129" t="str">
        <f aca="false">ExportRaw!$I229</f>
        <v/>
      </c>
      <c r="H229" s="127" t="str">
        <f aca="false">ExportRaw!$A229</f>
        <v/>
      </c>
      <c r="I229" s="127" t="str">
        <f aca="false">ExportRaw!$B229</f>
        <v/>
      </c>
    </row>
    <row r="230" customFormat="false" ht="15.75" hidden="false" customHeight="false" outlineLevel="0" collapsed="false">
      <c r="A230" s="127" t="n">
        <f aca="false">ExportRaw!$F230</f>
        <v>0</v>
      </c>
      <c r="B230" s="127" t="n">
        <f aca="false">ExportRaw!$C230</f>
        <v>0</v>
      </c>
      <c r="C230" s="127" t="n">
        <f aca="false">ExportRaw!$G230</f>
        <v>0</v>
      </c>
      <c r="D230" s="127" t="str">
        <f aca="false">ExportRaw!$E230</f>
        <v/>
      </c>
      <c r="E230" s="128" t="str">
        <f aca="false">ExportRaw!$D230</f>
        <v/>
      </c>
      <c r="F230" s="127" t="str">
        <f aca="false">ExportRaw!$H230</f>
        <v/>
      </c>
      <c r="G230" s="129" t="str">
        <f aca="false">ExportRaw!$I230</f>
        <v/>
      </c>
      <c r="H230" s="127" t="str">
        <f aca="false">ExportRaw!$A230</f>
        <v/>
      </c>
      <c r="I230" s="127" t="str">
        <f aca="false">ExportRaw!$B230</f>
        <v/>
      </c>
    </row>
    <row r="231" customFormat="false" ht="15.75" hidden="false" customHeight="false" outlineLevel="0" collapsed="false">
      <c r="A231" s="127" t="n">
        <f aca="false">ExportRaw!$F231</f>
        <v>0</v>
      </c>
      <c r="B231" s="127" t="n">
        <f aca="false">ExportRaw!$C231</f>
        <v>0</v>
      </c>
      <c r="C231" s="127" t="n">
        <f aca="false">ExportRaw!$G231</f>
        <v>0</v>
      </c>
      <c r="D231" s="127" t="str">
        <f aca="false">ExportRaw!$E231</f>
        <v/>
      </c>
      <c r="E231" s="128" t="str">
        <f aca="false">ExportRaw!$D231</f>
        <v/>
      </c>
      <c r="F231" s="127" t="str">
        <f aca="false">ExportRaw!$H231</f>
        <v/>
      </c>
      <c r="G231" s="129" t="str">
        <f aca="false">ExportRaw!$I231</f>
        <v/>
      </c>
      <c r="H231" s="127" t="str">
        <f aca="false">ExportRaw!$A231</f>
        <v/>
      </c>
      <c r="I231" s="127" t="str">
        <f aca="false">ExportRaw!$B231</f>
        <v/>
      </c>
    </row>
    <row r="232" customFormat="false" ht="15.75" hidden="false" customHeight="false" outlineLevel="0" collapsed="false">
      <c r="A232" s="127" t="n">
        <f aca="false">ExportRaw!$F232</f>
        <v>0</v>
      </c>
      <c r="B232" s="127" t="n">
        <f aca="false">ExportRaw!$C232</f>
        <v>0</v>
      </c>
      <c r="C232" s="127" t="n">
        <f aca="false">ExportRaw!$G232</f>
        <v>0</v>
      </c>
      <c r="D232" s="127" t="str">
        <f aca="false">ExportRaw!$E232</f>
        <v/>
      </c>
      <c r="E232" s="128" t="str">
        <f aca="false">ExportRaw!$D232</f>
        <v/>
      </c>
      <c r="F232" s="127" t="str">
        <f aca="false">ExportRaw!$H232</f>
        <v/>
      </c>
      <c r="G232" s="129" t="str">
        <f aca="false">ExportRaw!$I232</f>
        <v/>
      </c>
      <c r="H232" s="127" t="str">
        <f aca="false">ExportRaw!$A232</f>
        <v/>
      </c>
      <c r="I232" s="127" t="str">
        <f aca="false">ExportRaw!$B232</f>
        <v/>
      </c>
    </row>
    <row r="233" customFormat="false" ht="15.75" hidden="false" customHeight="false" outlineLevel="0" collapsed="false">
      <c r="A233" s="127" t="n">
        <f aca="false">ExportRaw!$F233</f>
        <v>0</v>
      </c>
      <c r="B233" s="127" t="n">
        <f aca="false">ExportRaw!$C233</f>
        <v>0</v>
      </c>
      <c r="C233" s="127" t="n">
        <f aca="false">ExportRaw!$G233</f>
        <v>0</v>
      </c>
      <c r="D233" s="127" t="str">
        <f aca="false">ExportRaw!$E233</f>
        <v/>
      </c>
      <c r="E233" s="128" t="str">
        <f aca="false">ExportRaw!$D233</f>
        <v/>
      </c>
      <c r="F233" s="127" t="str">
        <f aca="false">ExportRaw!$H233</f>
        <v/>
      </c>
      <c r="G233" s="129" t="str">
        <f aca="false">ExportRaw!$I233</f>
        <v/>
      </c>
      <c r="H233" s="127" t="str">
        <f aca="false">ExportRaw!$A233</f>
        <v/>
      </c>
      <c r="I233" s="127" t="str">
        <f aca="false">ExportRaw!$B233</f>
        <v/>
      </c>
    </row>
    <row r="234" customFormat="false" ht="15.75" hidden="false" customHeight="false" outlineLevel="0" collapsed="false">
      <c r="A234" s="127" t="n">
        <f aca="false">ExportRaw!$F234</f>
        <v>0</v>
      </c>
      <c r="B234" s="127" t="n">
        <f aca="false">ExportRaw!$C234</f>
        <v>0</v>
      </c>
      <c r="C234" s="127" t="n">
        <f aca="false">ExportRaw!$G234</f>
        <v>0</v>
      </c>
      <c r="D234" s="127" t="str">
        <f aca="false">ExportRaw!$E234</f>
        <v/>
      </c>
      <c r="E234" s="128" t="str">
        <f aca="false">ExportRaw!$D234</f>
        <v/>
      </c>
      <c r="F234" s="127" t="str">
        <f aca="false">ExportRaw!$H234</f>
        <v/>
      </c>
      <c r="G234" s="129" t="str">
        <f aca="false">ExportRaw!$I234</f>
        <v/>
      </c>
      <c r="H234" s="127" t="str">
        <f aca="false">ExportRaw!$A234</f>
        <v/>
      </c>
      <c r="I234" s="127" t="str">
        <f aca="false">ExportRaw!$B234</f>
        <v/>
      </c>
    </row>
    <row r="235" customFormat="false" ht="15.75" hidden="false" customHeight="false" outlineLevel="0" collapsed="false">
      <c r="A235" s="127" t="n">
        <f aca="false">ExportRaw!$F235</f>
        <v>0</v>
      </c>
      <c r="B235" s="127" t="n">
        <f aca="false">ExportRaw!$C235</f>
        <v>0</v>
      </c>
      <c r="C235" s="127" t="n">
        <f aca="false">ExportRaw!$G235</f>
        <v>0</v>
      </c>
      <c r="D235" s="127" t="str">
        <f aca="false">ExportRaw!$E235</f>
        <v/>
      </c>
      <c r="E235" s="128" t="str">
        <f aca="false">ExportRaw!$D235</f>
        <v/>
      </c>
      <c r="F235" s="127" t="str">
        <f aca="false">ExportRaw!$H235</f>
        <v/>
      </c>
      <c r="G235" s="129" t="str">
        <f aca="false">ExportRaw!$I235</f>
        <v/>
      </c>
      <c r="H235" s="127" t="str">
        <f aca="false">ExportRaw!$A235</f>
        <v/>
      </c>
      <c r="I235" s="127" t="str">
        <f aca="false">ExportRaw!$B235</f>
        <v/>
      </c>
    </row>
    <row r="236" customFormat="false" ht="15.75" hidden="false" customHeight="false" outlineLevel="0" collapsed="false">
      <c r="A236" s="127" t="n">
        <f aca="false">ExportRaw!$F236</f>
        <v>0</v>
      </c>
      <c r="B236" s="127" t="n">
        <f aca="false">ExportRaw!$C236</f>
        <v>0</v>
      </c>
      <c r="C236" s="127" t="n">
        <f aca="false">ExportRaw!$G236</f>
        <v>0</v>
      </c>
      <c r="D236" s="127" t="str">
        <f aca="false">ExportRaw!$E236</f>
        <v/>
      </c>
      <c r="E236" s="128" t="str">
        <f aca="false">ExportRaw!$D236</f>
        <v/>
      </c>
      <c r="F236" s="127" t="str">
        <f aca="false">ExportRaw!$H236</f>
        <v/>
      </c>
      <c r="G236" s="129" t="str">
        <f aca="false">ExportRaw!$I236</f>
        <v/>
      </c>
      <c r="H236" s="127" t="str">
        <f aca="false">ExportRaw!$A236</f>
        <v/>
      </c>
      <c r="I236" s="127" t="str">
        <f aca="false">ExportRaw!$B236</f>
        <v/>
      </c>
    </row>
    <row r="237" customFormat="false" ht="15.75" hidden="false" customHeight="false" outlineLevel="0" collapsed="false">
      <c r="A237" s="127" t="n">
        <f aca="false">ExportRaw!$F237</f>
        <v>0</v>
      </c>
      <c r="B237" s="127" t="n">
        <f aca="false">ExportRaw!$C237</f>
        <v>0</v>
      </c>
      <c r="C237" s="127" t="n">
        <f aca="false">ExportRaw!$G237</f>
        <v>0</v>
      </c>
      <c r="D237" s="127" t="str">
        <f aca="false">ExportRaw!$E237</f>
        <v/>
      </c>
      <c r="E237" s="128" t="str">
        <f aca="false">ExportRaw!$D237</f>
        <v/>
      </c>
      <c r="F237" s="127" t="str">
        <f aca="false">ExportRaw!$H237</f>
        <v/>
      </c>
      <c r="G237" s="129" t="str">
        <f aca="false">ExportRaw!$I237</f>
        <v/>
      </c>
      <c r="H237" s="127" t="str">
        <f aca="false">ExportRaw!$A237</f>
        <v/>
      </c>
      <c r="I237" s="127" t="str">
        <f aca="false">ExportRaw!$B237</f>
        <v/>
      </c>
    </row>
    <row r="238" customFormat="false" ht="15.75" hidden="false" customHeight="false" outlineLevel="0" collapsed="false">
      <c r="A238" s="127" t="n">
        <f aca="false">ExportRaw!$F238</f>
        <v>0</v>
      </c>
      <c r="B238" s="127" t="n">
        <f aca="false">ExportRaw!$C238</f>
        <v>0</v>
      </c>
      <c r="C238" s="127" t="n">
        <f aca="false">ExportRaw!$G238</f>
        <v>0</v>
      </c>
      <c r="D238" s="127" t="str">
        <f aca="false">ExportRaw!$E238</f>
        <v/>
      </c>
      <c r="E238" s="128" t="str">
        <f aca="false">ExportRaw!$D238</f>
        <v/>
      </c>
      <c r="F238" s="127" t="str">
        <f aca="false">ExportRaw!$H238</f>
        <v/>
      </c>
      <c r="G238" s="129" t="str">
        <f aca="false">ExportRaw!$I238</f>
        <v/>
      </c>
      <c r="H238" s="127" t="str">
        <f aca="false">ExportRaw!$A238</f>
        <v/>
      </c>
      <c r="I238" s="127" t="str">
        <f aca="false">ExportRaw!$B238</f>
        <v/>
      </c>
    </row>
    <row r="239" customFormat="false" ht="15.75" hidden="false" customHeight="false" outlineLevel="0" collapsed="false">
      <c r="A239" s="127" t="n">
        <f aca="false">ExportRaw!$F239</f>
        <v>0</v>
      </c>
      <c r="B239" s="127" t="n">
        <f aca="false">ExportRaw!$C239</f>
        <v>0</v>
      </c>
      <c r="C239" s="127" t="n">
        <f aca="false">ExportRaw!$G239</f>
        <v>0</v>
      </c>
      <c r="D239" s="127" t="str">
        <f aca="false">ExportRaw!$E239</f>
        <v/>
      </c>
      <c r="E239" s="128" t="str">
        <f aca="false">ExportRaw!$D239</f>
        <v/>
      </c>
      <c r="F239" s="127" t="str">
        <f aca="false">ExportRaw!$H239</f>
        <v/>
      </c>
      <c r="G239" s="129" t="str">
        <f aca="false">ExportRaw!$I239</f>
        <v/>
      </c>
      <c r="H239" s="127" t="str">
        <f aca="false">ExportRaw!$A239</f>
        <v/>
      </c>
      <c r="I239" s="127" t="str">
        <f aca="false">ExportRaw!$B239</f>
        <v/>
      </c>
    </row>
    <row r="240" customFormat="false" ht="15.75" hidden="false" customHeight="false" outlineLevel="0" collapsed="false">
      <c r="A240" s="127" t="n">
        <f aca="false">ExportRaw!$F240</f>
        <v>0</v>
      </c>
      <c r="B240" s="127" t="n">
        <f aca="false">ExportRaw!$C240</f>
        <v>0</v>
      </c>
      <c r="C240" s="127" t="n">
        <f aca="false">ExportRaw!$G240</f>
        <v>0</v>
      </c>
      <c r="D240" s="127" t="str">
        <f aca="false">ExportRaw!$E240</f>
        <v/>
      </c>
      <c r="E240" s="128" t="str">
        <f aca="false">ExportRaw!$D240</f>
        <v/>
      </c>
      <c r="F240" s="127" t="str">
        <f aca="false">ExportRaw!$H240</f>
        <v/>
      </c>
      <c r="G240" s="129" t="str">
        <f aca="false">ExportRaw!$I240</f>
        <v/>
      </c>
      <c r="H240" s="127" t="str">
        <f aca="false">ExportRaw!$A240</f>
        <v/>
      </c>
      <c r="I240" s="127" t="str">
        <f aca="false">ExportRaw!$B240</f>
        <v/>
      </c>
    </row>
    <row r="241" customFormat="false" ht="15.75" hidden="false" customHeight="false" outlineLevel="0" collapsed="false">
      <c r="A241" s="127" t="n">
        <f aca="false">ExportRaw!$F241</f>
        <v>0</v>
      </c>
      <c r="B241" s="127" t="n">
        <f aca="false">ExportRaw!$C241</f>
        <v>0</v>
      </c>
      <c r="C241" s="127" t="n">
        <f aca="false">ExportRaw!$G241</f>
        <v>0</v>
      </c>
      <c r="D241" s="127" t="str">
        <f aca="false">ExportRaw!$E241</f>
        <v/>
      </c>
      <c r="E241" s="128" t="str">
        <f aca="false">ExportRaw!$D241</f>
        <v/>
      </c>
      <c r="F241" s="127" t="str">
        <f aca="false">ExportRaw!$H241</f>
        <v/>
      </c>
      <c r="G241" s="129" t="str">
        <f aca="false">ExportRaw!$I241</f>
        <v/>
      </c>
      <c r="H241" s="127" t="str">
        <f aca="false">ExportRaw!$A241</f>
        <v/>
      </c>
      <c r="I241" s="127" t="str">
        <f aca="false">ExportRaw!$B241</f>
        <v/>
      </c>
    </row>
    <row r="242" customFormat="false" ht="15.75" hidden="false" customHeight="false" outlineLevel="0" collapsed="false">
      <c r="A242" s="127" t="n">
        <f aca="false">ExportRaw!$F242</f>
        <v>0</v>
      </c>
      <c r="B242" s="127" t="n">
        <f aca="false">ExportRaw!$C242</f>
        <v>0</v>
      </c>
      <c r="C242" s="127" t="n">
        <f aca="false">ExportRaw!$G242</f>
        <v>0</v>
      </c>
      <c r="D242" s="127" t="str">
        <f aca="false">ExportRaw!$E242</f>
        <v/>
      </c>
      <c r="E242" s="128" t="str">
        <f aca="false">ExportRaw!$D242</f>
        <v/>
      </c>
      <c r="F242" s="127" t="str">
        <f aca="false">ExportRaw!$H242</f>
        <v/>
      </c>
      <c r="G242" s="129" t="str">
        <f aca="false">ExportRaw!$I242</f>
        <v/>
      </c>
      <c r="H242" s="127" t="str">
        <f aca="false">ExportRaw!$A242</f>
        <v/>
      </c>
      <c r="I242" s="127" t="str">
        <f aca="false">ExportRaw!$B242</f>
        <v/>
      </c>
    </row>
    <row r="243" customFormat="false" ht="15.75" hidden="false" customHeight="false" outlineLevel="0" collapsed="false">
      <c r="A243" s="127" t="n">
        <f aca="false">ExportRaw!$F243</f>
        <v>0</v>
      </c>
      <c r="B243" s="127" t="n">
        <f aca="false">ExportRaw!$C243</f>
        <v>0</v>
      </c>
      <c r="C243" s="127" t="n">
        <f aca="false">ExportRaw!$G243</f>
        <v>0</v>
      </c>
      <c r="D243" s="127" t="str">
        <f aca="false">ExportRaw!$E243</f>
        <v/>
      </c>
      <c r="E243" s="128" t="str">
        <f aca="false">ExportRaw!$D243</f>
        <v/>
      </c>
      <c r="F243" s="127" t="str">
        <f aca="false">ExportRaw!$H243</f>
        <v/>
      </c>
      <c r="G243" s="129" t="str">
        <f aca="false">ExportRaw!$I243</f>
        <v/>
      </c>
      <c r="H243" s="127" t="str">
        <f aca="false">ExportRaw!$A243</f>
        <v/>
      </c>
      <c r="I243" s="127" t="str">
        <f aca="false">ExportRaw!$B243</f>
        <v/>
      </c>
    </row>
    <row r="244" customFormat="false" ht="15.75" hidden="false" customHeight="false" outlineLevel="0" collapsed="false">
      <c r="A244" s="127" t="n">
        <f aca="false">ExportRaw!$F244</f>
        <v>0</v>
      </c>
      <c r="B244" s="127" t="n">
        <f aca="false">ExportRaw!$C244</f>
        <v>0</v>
      </c>
      <c r="C244" s="127" t="n">
        <f aca="false">ExportRaw!$G244</f>
        <v>0</v>
      </c>
      <c r="D244" s="127" t="str">
        <f aca="false">ExportRaw!$E244</f>
        <v/>
      </c>
      <c r="E244" s="128" t="str">
        <f aca="false">ExportRaw!$D244</f>
        <v/>
      </c>
      <c r="F244" s="127" t="str">
        <f aca="false">ExportRaw!$H244</f>
        <v/>
      </c>
      <c r="G244" s="129" t="str">
        <f aca="false">ExportRaw!$I244</f>
        <v/>
      </c>
      <c r="H244" s="127" t="str">
        <f aca="false">ExportRaw!$A244</f>
        <v/>
      </c>
      <c r="I244" s="127" t="str">
        <f aca="false">ExportRaw!$B244</f>
        <v/>
      </c>
    </row>
    <row r="245" customFormat="false" ht="15.75" hidden="false" customHeight="false" outlineLevel="0" collapsed="false">
      <c r="A245" s="127" t="n">
        <f aca="false">ExportRaw!$F245</f>
        <v>0</v>
      </c>
      <c r="B245" s="127" t="n">
        <f aca="false">ExportRaw!$C245</f>
        <v>0</v>
      </c>
      <c r="C245" s="127" t="n">
        <f aca="false">ExportRaw!$G245</f>
        <v>0</v>
      </c>
      <c r="D245" s="127" t="str">
        <f aca="false">ExportRaw!$E245</f>
        <v/>
      </c>
      <c r="E245" s="128" t="str">
        <f aca="false">ExportRaw!$D245</f>
        <v/>
      </c>
      <c r="F245" s="127" t="str">
        <f aca="false">ExportRaw!$H245</f>
        <v/>
      </c>
      <c r="G245" s="129" t="str">
        <f aca="false">ExportRaw!$I245</f>
        <v/>
      </c>
      <c r="H245" s="127" t="str">
        <f aca="false">ExportRaw!$A245</f>
        <v/>
      </c>
      <c r="I245" s="127" t="str">
        <f aca="false">ExportRaw!$B245</f>
        <v/>
      </c>
    </row>
    <row r="246" customFormat="false" ht="15.75" hidden="false" customHeight="false" outlineLevel="0" collapsed="false">
      <c r="A246" s="127" t="n">
        <f aca="false">ExportRaw!$F246</f>
        <v>0</v>
      </c>
      <c r="B246" s="127" t="n">
        <f aca="false">ExportRaw!$C246</f>
        <v>0</v>
      </c>
      <c r="C246" s="127" t="n">
        <f aca="false">ExportRaw!$G246</f>
        <v>0</v>
      </c>
      <c r="D246" s="127" t="str">
        <f aca="false">ExportRaw!$E246</f>
        <v/>
      </c>
      <c r="E246" s="128" t="str">
        <f aca="false">ExportRaw!$D246</f>
        <v/>
      </c>
      <c r="F246" s="127" t="str">
        <f aca="false">ExportRaw!$H246</f>
        <v/>
      </c>
      <c r="G246" s="129" t="str">
        <f aca="false">ExportRaw!$I246</f>
        <v/>
      </c>
      <c r="H246" s="127" t="str">
        <f aca="false">ExportRaw!$A246</f>
        <v/>
      </c>
      <c r="I246" s="127" t="str">
        <f aca="false">ExportRaw!$B246</f>
        <v/>
      </c>
    </row>
    <row r="247" customFormat="false" ht="15.75" hidden="false" customHeight="false" outlineLevel="0" collapsed="false">
      <c r="A247" s="127" t="n">
        <f aca="false">ExportRaw!$F247</f>
        <v>0</v>
      </c>
      <c r="B247" s="127" t="n">
        <f aca="false">ExportRaw!$C247</f>
        <v>0</v>
      </c>
      <c r="C247" s="127" t="n">
        <f aca="false">ExportRaw!$G247</f>
        <v>0</v>
      </c>
      <c r="D247" s="127" t="str">
        <f aca="false">ExportRaw!$E247</f>
        <v/>
      </c>
      <c r="E247" s="128" t="str">
        <f aca="false">ExportRaw!$D247</f>
        <v/>
      </c>
      <c r="F247" s="127" t="str">
        <f aca="false">ExportRaw!$H247</f>
        <v/>
      </c>
      <c r="G247" s="129" t="str">
        <f aca="false">ExportRaw!$I247</f>
        <v/>
      </c>
      <c r="H247" s="127" t="str">
        <f aca="false">ExportRaw!$A247</f>
        <v/>
      </c>
      <c r="I247" s="127" t="str">
        <f aca="false">ExportRaw!$B247</f>
        <v/>
      </c>
    </row>
    <row r="248" customFormat="false" ht="15.75" hidden="false" customHeight="false" outlineLevel="0" collapsed="false">
      <c r="A248" s="127" t="n">
        <f aca="false">ExportRaw!$F248</f>
        <v>0</v>
      </c>
      <c r="B248" s="127" t="n">
        <f aca="false">ExportRaw!$C248</f>
        <v>0</v>
      </c>
      <c r="C248" s="127" t="n">
        <f aca="false">ExportRaw!$G248</f>
        <v>0</v>
      </c>
      <c r="D248" s="127" t="str">
        <f aca="false">ExportRaw!$E248</f>
        <v/>
      </c>
      <c r="E248" s="128" t="str">
        <f aca="false">ExportRaw!$D248</f>
        <v/>
      </c>
      <c r="F248" s="127" t="str">
        <f aca="false">ExportRaw!$H248</f>
        <v/>
      </c>
      <c r="G248" s="129" t="str">
        <f aca="false">ExportRaw!$I248</f>
        <v/>
      </c>
      <c r="H248" s="127" t="str">
        <f aca="false">ExportRaw!$A248</f>
        <v/>
      </c>
      <c r="I248" s="127" t="str">
        <f aca="false">ExportRaw!$B248</f>
        <v/>
      </c>
    </row>
    <row r="249" customFormat="false" ht="15.75" hidden="false" customHeight="false" outlineLevel="0" collapsed="false">
      <c r="A249" s="127" t="n">
        <f aca="false">ExportRaw!$F249</f>
        <v>0</v>
      </c>
      <c r="B249" s="127" t="n">
        <f aca="false">ExportRaw!$C249</f>
        <v>0</v>
      </c>
      <c r="C249" s="127" t="n">
        <f aca="false">ExportRaw!$G249</f>
        <v>0</v>
      </c>
      <c r="D249" s="127" t="str">
        <f aca="false">ExportRaw!$E249</f>
        <v/>
      </c>
      <c r="E249" s="128" t="str">
        <f aca="false">ExportRaw!$D249</f>
        <v/>
      </c>
      <c r="F249" s="127" t="str">
        <f aca="false">ExportRaw!$H249</f>
        <v/>
      </c>
      <c r="G249" s="129" t="str">
        <f aca="false">ExportRaw!$I249</f>
        <v/>
      </c>
      <c r="H249" s="127" t="str">
        <f aca="false">ExportRaw!$A249</f>
        <v/>
      </c>
      <c r="I249" s="127" t="str">
        <f aca="false">ExportRaw!$B249</f>
        <v/>
      </c>
    </row>
    <row r="250" customFormat="false" ht="15.75" hidden="false" customHeight="false" outlineLevel="0" collapsed="false">
      <c r="A250" s="127" t="n">
        <f aca="false">ExportRaw!$F250</f>
        <v>0</v>
      </c>
      <c r="B250" s="127" t="n">
        <f aca="false">ExportRaw!$C250</f>
        <v>0</v>
      </c>
      <c r="C250" s="127" t="n">
        <f aca="false">ExportRaw!$G250</f>
        <v>0</v>
      </c>
      <c r="D250" s="127" t="str">
        <f aca="false">ExportRaw!$E250</f>
        <v/>
      </c>
      <c r="E250" s="128" t="str">
        <f aca="false">ExportRaw!$D250</f>
        <v/>
      </c>
      <c r="F250" s="127" t="str">
        <f aca="false">ExportRaw!$H250</f>
        <v/>
      </c>
      <c r="G250" s="129" t="str">
        <f aca="false">ExportRaw!$I250</f>
        <v/>
      </c>
      <c r="H250" s="127" t="str">
        <f aca="false">ExportRaw!$A250</f>
        <v/>
      </c>
      <c r="I250" s="127" t="str">
        <f aca="false">ExportRaw!$B250</f>
        <v/>
      </c>
    </row>
    <row r="251" customFormat="false" ht="15.75" hidden="false" customHeight="false" outlineLevel="0" collapsed="false">
      <c r="A251" s="127" t="n">
        <f aca="false">ExportRaw!$F251</f>
        <v>0</v>
      </c>
      <c r="B251" s="127" t="n">
        <f aca="false">ExportRaw!$C251</f>
        <v>0</v>
      </c>
      <c r="C251" s="127" t="n">
        <f aca="false">ExportRaw!$G251</f>
        <v>0</v>
      </c>
      <c r="D251" s="127" t="str">
        <f aca="false">ExportRaw!$E251</f>
        <v/>
      </c>
      <c r="E251" s="128" t="str">
        <f aca="false">ExportRaw!$D251</f>
        <v/>
      </c>
      <c r="F251" s="127" t="str">
        <f aca="false">ExportRaw!$H251</f>
        <v/>
      </c>
      <c r="G251" s="129" t="str">
        <f aca="false">ExportRaw!$I251</f>
        <v/>
      </c>
      <c r="H251" s="127" t="str">
        <f aca="false">ExportRaw!$A251</f>
        <v/>
      </c>
      <c r="I251" s="127" t="str">
        <f aca="false">ExportRaw!$B251</f>
        <v/>
      </c>
    </row>
    <row r="252" customFormat="false" ht="15.75" hidden="false" customHeight="false" outlineLevel="0" collapsed="false">
      <c r="A252" s="127" t="n">
        <f aca="false">ExportRaw!$F252</f>
        <v>0</v>
      </c>
      <c r="B252" s="127" t="n">
        <f aca="false">ExportRaw!$C252</f>
        <v>0</v>
      </c>
      <c r="C252" s="127" t="n">
        <f aca="false">ExportRaw!$G252</f>
        <v>0</v>
      </c>
      <c r="D252" s="127" t="str">
        <f aca="false">ExportRaw!$E252</f>
        <v/>
      </c>
      <c r="E252" s="128" t="str">
        <f aca="false">ExportRaw!$D252</f>
        <v/>
      </c>
      <c r="F252" s="127" t="str">
        <f aca="false">ExportRaw!$H252</f>
        <v/>
      </c>
      <c r="G252" s="129" t="str">
        <f aca="false">ExportRaw!$I252</f>
        <v/>
      </c>
      <c r="H252" s="127" t="str">
        <f aca="false">ExportRaw!$A252</f>
        <v/>
      </c>
      <c r="I252" s="127" t="str">
        <f aca="false">ExportRaw!$B252</f>
        <v/>
      </c>
    </row>
    <row r="253" customFormat="false" ht="15.75" hidden="false" customHeight="false" outlineLevel="0" collapsed="false">
      <c r="A253" s="127" t="n">
        <f aca="false">ExportRaw!$F253</f>
        <v>0</v>
      </c>
      <c r="B253" s="127" t="n">
        <f aca="false">ExportRaw!$C253</f>
        <v>0</v>
      </c>
      <c r="C253" s="127" t="n">
        <f aca="false">ExportRaw!$G253</f>
        <v>0</v>
      </c>
      <c r="D253" s="127" t="str">
        <f aca="false">ExportRaw!$E253</f>
        <v/>
      </c>
      <c r="E253" s="128" t="str">
        <f aca="false">ExportRaw!$D253</f>
        <v/>
      </c>
      <c r="F253" s="127" t="str">
        <f aca="false">ExportRaw!$H253</f>
        <v/>
      </c>
      <c r="G253" s="129" t="str">
        <f aca="false">ExportRaw!$I253</f>
        <v/>
      </c>
      <c r="H253" s="127" t="str">
        <f aca="false">ExportRaw!$A253</f>
        <v/>
      </c>
      <c r="I253" s="127" t="str">
        <f aca="false">ExportRaw!$B253</f>
        <v/>
      </c>
    </row>
    <row r="254" customFormat="false" ht="15.75" hidden="false" customHeight="false" outlineLevel="0" collapsed="false">
      <c r="A254" s="127" t="n">
        <f aca="false">ExportRaw!$F254</f>
        <v>0</v>
      </c>
      <c r="B254" s="127" t="n">
        <f aca="false">ExportRaw!$C254</f>
        <v>0</v>
      </c>
      <c r="C254" s="127" t="n">
        <f aca="false">ExportRaw!$G254</f>
        <v>0</v>
      </c>
      <c r="D254" s="127" t="str">
        <f aca="false">ExportRaw!$E254</f>
        <v/>
      </c>
      <c r="E254" s="128" t="str">
        <f aca="false">ExportRaw!$D254</f>
        <v/>
      </c>
      <c r="F254" s="127" t="str">
        <f aca="false">ExportRaw!$H254</f>
        <v/>
      </c>
      <c r="G254" s="129" t="str">
        <f aca="false">ExportRaw!$I254</f>
        <v/>
      </c>
      <c r="H254" s="127" t="str">
        <f aca="false">ExportRaw!$A254</f>
        <v/>
      </c>
      <c r="I254" s="127" t="str">
        <f aca="false">ExportRaw!$B254</f>
        <v/>
      </c>
    </row>
    <row r="255" customFormat="false" ht="15.75" hidden="false" customHeight="false" outlineLevel="0" collapsed="false">
      <c r="A255" s="127" t="n">
        <f aca="false">ExportRaw!$F255</f>
        <v>0</v>
      </c>
      <c r="B255" s="127" t="n">
        <f aca="false">ExportRaw!$C255</f>
        <v>0</v>
      </c>
      <c r="C255" s="127" t="n">
        <f aca="false">ExportRaw!$G255</f>
        <v>0</v>
      </c>
      <c r="D255" s="127" t="str">
        <f aca="false">ExportRaw!$E255</f>
        <v/>
      </c>
      <c r="E255" s="128" t="str">
        <f aca="false">ExportRaw!$D255</f>
        <v/>
      </c>
      <c r="F255" s="127" t="str">
        <f aca="false">ExportRaw!$H255</f>
        <v/>
      </c>
      <c r="G255" s="129" t="str">
        <f aca="false">ExportRaw!$I255</f>
        <v/>
      </c>
      <c r="H255" s="127" t="str">
        <f aca="false">ExportRaw!$A255</f>
        <v/>
      </c>
      <c r="I255" s="127" t="str">
        <f aca="false">ExportRaw!$B255</f>
        <v/>
      </c>
    </row>
    <row r="256" customFormat="false" ht="15.75" hidden="false" customHeight="false" outlineLevel="0" collapsed="false">
      <c r="A256" s="127" t="n">
        <f aca="false">ExportRaw!$F256</f>
        <v>0</v>
      </c>
      <c r="B256" s="127" t="n">
        <f aca="false">ExportRaw!$C256</f>
        <v>0</v>
      </c>
      <c r="C256" s="127" t="n">
        <f aca="false">ExportRaw!$G256</f>
        <v>0</v>
      </c>
      <c r="D256" s="127" t="str">
        <f aca="false">ExportRaw!$E256</f>
        <v/>
      </c>
      <c r="E256" s="128" t="str">
        <f aca="false">ExportRaw!$D256</f>
        <v/>
      </c>
      <c r="F256" s="127" t="str">
        <f aca="false">ExportRaw!$H256</f>
        <v/>
      </c>
      <c r="G256" s="129" t="str">
        <f aca="false">ExportRaw!$I256</f>
        <v/>
      </c>
      <c r="H256" s="127" t="str">
        <f aca="false">ExportRaw!$A256</f>
        <v/>
      </c>
      <c r="I256" s="127" t="str">
        <f aca="false">ExportRaw!$B256</f>
        <v/>
      </c>
    </row>
    <row r="257" customFormat="false" ht="15.75" hidden="false" customHeight="false" outlineLevel="0" collapsed="false">
      <c r="A257" s="127" t="n">
        <f aca="false">ExportRaw!$F257</f>
        <v>0</v>
      </c>
      <c r="B257" s="127" t="n">
        <f aca="false">ExportRaw!$C257</f>
        <v>0</v>
      </c>
      <c r="C257" s="127" t="n">
        <f aca="false">ExportRaw!$G257</f>
        <v>0</v>
      </c>
      <c r="D257" s="127" t="str">
        <f aca="false">ExportRaw!$E257</f>
        <v/>
      </c>
      <c r="E257" s="128" t="str">
        <f aca="false">ExportRaw!$D257</f>
        <v/>
      </c>
      <c r="F257" s="127" t="str">
        <f aca="false">ExportRaw!$H257</f>
        <v/>
      </c>
      <c r="G257" s="129" t="str">
        <f aca="false">ExportRaw!$I257</f>
        <v/>
      </c>
      <c r="H257" s="127" t="str">
        <f aca="false">ExportRaw!$A257</f>
        <v/>
      </c>
      <c r="I257" s="127" t="str">
        <f aca="false">ExportRaw!$B257</f>
        <v/>
      </c>
    </row>
    <row r="258" customFormat="false" ht="15.75" hidden="false" customHeight="false" outlineLevel="0" collapsed="false">
      <c r="A258" s="127" t="n">
        <f aca="false">ExportRaw!$F258</f>
        <v>0</v>
      </c>
      <c r="B258" s="127" t="n">
        <f aca="false">ExportRaw!$C258</f>
        <v>0</v>
      </c>
      <c r="C258" s="127" t="n">
        <f aca="false">ExportRaw!$G258</f>
        <v>0</v>
      </c>
      <c r="D258" s="127" t="str">
        <f aca="false">ExportRaw!$E258</f>
        <v/>
      </c>
      <c r="E258" s="128" t="str">
        <f aca="false">ExportRaw!$D258</f>
        <v/>
      </c>
      <c r="F258" s="127" t="str">
        <f aca="false">ExportRaw!$H258</f>
        <v/>
      </c>
      <c r="G258" s="129" t="str">
        <f aca="false">ExportRaw!$I258</f>
        <v/>
      </c>
      <c r="H258" s="127" t="str">
        <f aca="false">ExportRaw!$A258</f>
        <v/>
      </c>
      <c r="I258" s="127" t="str">
        <f aca="false">ExportRaw!$B258</f>
        <v/>
      </c>
    </row>
    <row r="259" customFormat="false" ht="15.75" hidden="false" customHeight="false" outlineLevel="0" collapsed="false">
      <c r="A259" s="127" t="n">
        <f aca="false">ExportRaw!$F259</f>
        <v>0</v>
      </c>
      <c r="B259" s="127" t="n">
        <f aca="false">ExportRaw!$C259</f>
        <v>0</v>
      </c>
      <c r="C259" s="127" t="n">
        <f aca="false">ExportRaw!$G259</f>
        <v>0</v>
      </c>
      <c r="D259" s="127" t="str">
        <f aca="false">ExportRaw!$E259</f>
        <v/>
      </c>
      <c r="E259" s="128" t="str">
        <f aca="false">ExportRaw!$D259</f>
        <v/>
      </c>
      <c r="F259" s="127" t="str">
        <f aca="false">ExportRaw!$H259</f>
        <v/>
      </c>
      <c r="G259" s="129" t="str">
        <f aca="false">ExportRaw!$I259</f>
        <v/>
      </c>
      <c r="H259" s="127" t="str">
        <f aca="false">ExportRaw!$A259</f>
        <v/>
      </c>
      <c r="I259" s="127" t="str">
        <f aca="false">ExportRaw!$B259</f>
        <v/>
      </c>
    </row>
    <row r="260" customFormat="false" ht="15.75" hidden="false" customHeight="false" outlineLevel="0" collapsed="false">
      <c r="A260" s="127" t="n">
        <f aca="false">ExportRaw!$F260</f>
        <v>0</v>
      </c>
      <c r="B260" s="127" t="n">
        <f aca="false">ExportRaw!$C260</f>
        <v>0</v>
      </c>
      <c r="C260" s="127" t="n">
        <f aca="false">ExportRaw!$G260</f>
        <v>0</v>
      </c>
      <c r="D260" s="127" t="str">
        <f aca="false">ExportRaw!$E260</f>
        <v/>
      </c>
      <c r="E260" s="128" t="str">
        <f aca="false">ExportRaw!$D260</f>
        <v/>
      </c>
      <c r="F260" s="127" t="str">
        <f aca="false">ExportRaw!$H260</f>
        <v/>
      </c>
      <c r="G260" s="129" t="str">
        <f aca="false">ExportRaw!$I260</f>
        <v/>
      </c>
      <c r="H260" s="127" t="str">
        <f aca="false">ExportRaw!$A260</f>
        <v/>
      </c>
      <c r="I260" s="127" t="str">
        <f aca="false">ExportRaw!$B260</f>
        <v/>
      </c>
    </row>
    <row r="261" customFormat="false" ht="15.75" hidden="false" customHeight="false" outlineLevel="0" collapsed="false">
      <c r="A261" s="127" t="n">
        <f aca="false">ExportRaw!$F261</f>
        <v>0</v>
      </c>
      <c r="B261" s="127" t="n">
        <f aca="false">ExportRaw!$C261</f>
        <v>0</v>
      </c>
      <c r="C261" s="127" t="n">
        <f aca="false">ExportRaw!$G261</f>
        <v>0</v>
      </c>
      <c r="D261" s="127" t="str">
        <f aca="false">ExportRaw!$E261</f>
        <v/>
      </c>
      <c r="E261" s="128" t="str">
        <f aca="false">ExportRaw!$D261</f>
        <v/>
      </c>
      <c r="F261" s="127" t="str">
        <f aca="false">ExportRaw!$H261</f>
        <v/>
      </c>
      <c r="G261" s="129" t="str">
        <f aca="false">ExportRaw!$I261</f>
        <v/>
      </c>
      <c r="H261" s="127" t="str">
        <f aca="false">ExportRaw!$A261</f>
        <v/>
      </c>
      <c r="I261" s="127" t="str">
        <f aca="false">ExportRaw!$B261</f>
        <v/>
      </c>
    </row>
    <row r="262" customFormat="false" ht="15.75" hidden="false" customHeight="false" outlineLevel="0" collapsed="false">
      <c r="A262" s="127" t="n">
        <f aca="false">ExportRaw!$F262</f>
        <v>0</v>
      </c>
      <c r="B262" s="127" t="n">
        <f aca="false">ExportRaw!$C262</f>
        <v>0</v>
      </c>
      <c r="C262" s="127" t="n">
        <f aca="false">ExportRaw!$G262</f>
        <v>0</v>
      </c>
      <c r="D262" s="127" t="str">
        <f aca="false">ExportRaw!$E262</f>
        <v/>
      </c>
      <c r="E262" s="128" t="str">
        <f aca="false">ExportRaw!$D262</f>
        <v/>
      </c>
      <c r="F262" s="127" t="str">
        <f aca="false">ExportRaw!$H262</f>
        <v/>
      </c>
      <c r="G262" s="129" t="str">
        <f aca="false">ExportRaw!$I262</f>
        <v/>
      </c>
      <c r="H262" s="127" t="str">
        <f aca="false">ExportRaw!$A262</f>
        <v/>
      </c>
      <c r="I262" s="127" t="str">
        <f aca="false">ExportRaw!$B262</f>
        <v/>
      </c>
    </row>
    <row r="263" customFormat="false" ht="15.75" hidden="false" customHeight="false" outlineLevel="0" collapsed="false">
      <c r="A263" s="127" t="n">
        <f aca="false">ExportRaw!$F263</f>
        <v>0</v>
      </c>
      <c r="B263" s="127" t="n">
        <f aca="false">ExportRaw!$C263</f>
        <v>0</v>
      </c>
      <c r="C263" s="127" t="n">
        <f aca="false">ExportRaw!$G263</f>
        <v>0</v>
      </c>
      <c r="D263" s="127" t="str">
        <f aca="false">ExportRaw!$E263</f>
        <v/>
      </c>
      <c r="E263" s="128" t="str">
        <f aca="false">ExportRaw!$D263</f>
        <v/>
      </c>
      <c r="F263" s="127" t="str">
        <f aca="false">ExportRaw!$H263</f>
        <v/>
      </c>
      <c r="G263" s="129" t="str">
        <f aca="false">ExportRaw!$I263</f>
        <v/>
      </c>
      <c r="H263" s="127" t="str">
        <f aca="false">ExportRaw!$A263</f>
        <v/>
      </c>
      <c r="I263" s="127" t="str">
        <f aca="false">ExportRaw!$B263</f>
        <v/>
      </c>
    </row>
    <row r="264" customFormat="false" ht="15.75" hidden="false" customHeight="false" outlineLevel="0" collapsed="false">
      <c r="A264" s="127" t="n">
        <f aca="false">ExportRaw!$F264</f>
        <v>0</v>
      </c>
      <c r="B264" s="127" t="n">
        <f aca="false">ExportRaw!$C264</f>
        <v>0</v>
      </c>
      <c r="C264" s="127" t="n">
        <f aca="false">ExportRaw!$G264</f>
        <v>0</v>
      </c>
      <c r="D264" s="127" t="str">
        <f aca="false">ExportRaw!$E264</f>
        <v/>
      </c>
      <c r="E264" s="128" t="str">
        <f aca="false">ExportRaw!$D264</f>
        <v/>
      </c>
      <c r="F264" s="127" t="str">
        <f aca="false">ExportRaw!$H264</f>
        <v/>
      </c>
      <c r="G264" s="129" t="str">
        <f aca="false">ExportRaw!$I264</f>
        <v/>
      </c>
      <c r="H264" s="127" t="str">
        <f aca="false">ExportRaw!$A264</f>
        <v/>
      </c>
      <c r="I264" s="127" t="str">
        <f aca="false">ExportRaw!$B264</f>
        <v/>
      </c>
    </row>
    <row r="265" customFormat="false" ht="15.75" hidden="false" customHeight="false" outlineLevel="0" collapsed="false">
      <c r="A265" s="127" t="n">
        <f aca="false">ExportRaw!$F265</f>
        <v>0</v>
      </c>
      <c r="B265" s="127" t="n">
        <f aca="false">ExportRaw!$C265</f>
        <v>0</v>
      </c>
      <c r="C265" s="127" t="n">
        <f aca="false">ExportRaw!$G265</f>
        <v>0</v>
      </c>
      <c r="D265" s="127" t="str">
        <f aca="false">ExportRaw!$E265</f>
        <v/>
      </c>
      <c r="E265" s="128" t="str">
        <f aca="false">ExportRaw!$D265</f>
        <v/>
      </c>
      <c r="F265" s="127" t="str">
        <f aca="false">ExportRaw!$H265</f>
        <v/>
      </c>
      <c r="G265" s="129" t="str">
        <f aca="false">ExportRaw!$I265</f>
        <v/>
      </c>
      <c r="H265" s="127" t="str">
        <f aca="false">ExportRaw!$A265</f>
        <v/>
      </c>
      <c r="I265" s="127" t="str">
        <f aca="false">ExportRaw!$B265</f>
        <v/>
      </c>
    </row>
    <row r="266" customFormat="false" ht="15.75" hidden="false" customHeight="false" outlineLevel="0" collapsed="false">
      <c r="A266" s="127" t="n">
        <f aca="false">ExportRaw!$F266</f>
        <v>0</v>
      </c>
      <c r="B266" s="127" t="n">
        <f aca="false">ExportRaw!$C266</f>
        <v>0</v>
      </c>
      <c r="C266" s="127" t="n">
        <f aca="false">ExportRaw!$G266</f>
        <v>0</v>
      </c>
      <c r="D266" s="127" t="str">
        <f aca="false">ExportRaw!$E266</f>
        <v/>
      </c>
      <c r="E266" s="128" t="str">
        <f aca="false">ExportRaw!$D266</f>
        <v/>
      </c>
      <c r="F266" s="127" t="str">
        <f aca="false">ExportRaw!$H266</f>
        <v/>
      </c>
      <c r="G266" s="129" t="str">
        <f aca="false">ExportRaw!$I266</f>
        <v/>
      </c>
      <c r="H266" s="127" t="str">
        <f aca="false">ExportRaw!$A266</f>
        <v/>
      </c>
      <c r="I266" s="127" t="str">
        <f aca="false">ExportRaw!$B266</f>
        <v/>
      </c>
    </row>
    <row r="267" customFormat="false" ht="15.75" hidden="false" customHeight="false" outlineLevel="0" collapsed="false">
      <c r="A267" s="127" t="n">
        <f aca="false">ExportRaw!$F267</f>
        <v>0</v>
      </c>
      <c r="B267" s="127" t="n">
        <f aca="false">ExportRaw!$C267</f>
        <v>0</v>
      </c>
      <c r="C267" s="127" t="n">
        <f aca="false">ExportRaw!$G267</f>
        <v>0</v>
      </c>
      <c r="D267" s="127" t="str">
        <f aca="false">ExportRaw!$E267</f>
        <v/>
      </c>
      <c r="E267" s="128" t="str">
        <f aca="false">ExportRaw!$D267</f>
        <v/>
      </c>
      <c r="F267" s="127" t="str">
        <f aca="false">ExportRaw!$H267</f>
        <v/>
      </c>
      <c r="G267" s="129" t="str">
        <f aca="false">ExportRaw!$I267</f>
        <v/>
      </c>
      <c r="H267" s="127" t="str">
        <f aca="false">ExportRaw!$A267</f>
        <v/>
      </c>
      <c r="I267" s="127" t="str">
        <f aca="false">ExportRaw!$B267</f>
        <v/>
      </c>
    </row>
    <row r="268" customFormat="false" ht="15.75" hidden="false" customHeight="false" outlineLevel="0" collapsed="false">
      <c r="A268" s="127" t="n">
        <f aca="false">ExportRaw!$F268</f>
        <v>0</v>
      </c>
      <c r="B268" s="127" t="n">
        <f aca="false">ExportRaw!$C268</f>
        <v>0</v>
      </c>
      <c r="C268" s="127" t="n">
        <f aca="false">ExportRaw!$G268</f>
        <v>0</v>
      </c>
      <c r="D268" s="127" t="str">
        <f aca="false">ExportRaw!$E268</f>
        <v/>
      </c>
      <c r="E268" s="128" t="str">
        <f aca="false">ExportRaw!$D268</f>
        <v/>
      </c>
      <c r="F268" s="127" t="str">
        <f aca="false">ExportRaw!$H268</f>
        <v/>
      </c>
      <c r="G268" s="129" t="str">
        <f aca="false">ExportRaw!$I268</f>
        <v/>
      </c>
      <c r="H268" s="127" t="str">
        <f aca="false">ExportRaw!$A268</f>
        <v/>
      </c>
      <c r="I268" s="127" t="str">
        <f aca="false">ExportRaw!$B268</f>
        <v/>
      </c>
    </row>
    <row r="269" customFormat="false" ht="15.75" hidden="false" customHeight="false" outlineLevel="0" collapsed="false">
      <c r="A269" s="127" t="n">
        <f aca="false">ExportRaw!$F269</f>
        <v>0</v>
      </c>
      <c r="B269" s="127" t="n">
        <f aca="false">ExportRaw!$C269</f>
        <v>0</v>
      </c>
      <c r="C269" s="127" t="n">
        <f aca="false">ExportRaw!$G269</f>
        <v>0</v>
      </c>
      <c r="D269" s="127" t="str">
        <f aca="false">ExportRaw!$E269</f>
        <v/>
      </c>
      <c r="E269" s="128" t="str">
        <f aca="false">ExportRaw!$D269</f>
        <v/>
      </c>
      <c r="F269" s="127" t="str">
        <f aca="false">ExportRaw!$H269</f>
        <v/>
      </c>
      <c r="G269" s="129" t="str">
        <f aca="false">ExportRaw!$I269</f>
        <v/>
      </c>
      <c r="H269" s="127" t="str">
        <f aca="false">ExportRaw!$A269</f>
        <v/>
      </c>
      <c r="I269" s="127" t="str">
        <f aca="false">ExportRaw!$B269</f>
        <v/>
      </c>
    </row>
    <row r="270" customFormat="false" ht="15.75" hidden="false" customHeight="false" outlineLevel="0" collapsed="false">
      <c r="A270" s="127" t="n">
        <f aca="false">ExportRaw!$F270</f>
        <v>0</v>
      </c>
      <c r="B270" s="127" t="n">
        <f aca="false">ExportRaw!$C270</f>
        <v>0</v>
      </c>
      <c r="C270" s="127" t="n">
        <f aca="false">ExportRaw!$G270</f>
        <v>0</v>
      </c>
      <c r="D270" s="127" t="str">
        <f aca="false">ExportRaw!$E270</f>
        <v/>
      </c>
      <c r="E270" s="128" t="str">
        <f aca="false">ExportRaw!$D270</f>
        <v/>
      </c>
      <c r="F270" s="127" t="str">
        <f aca="false">ExportRaw!$H270</f>
        <v/>
      </c>
      <c r="G270" s="129" t="str">
        <f aca="false">ExportRaw!$I270</f>
        <v/>
      </c>
      <c r="H270" s="127" t="str">
        <f aca="false">ExportRaw!$A270</f>
        <v/>
      </c>
      <c r="I270" s="127" t="str">
        <f aca="false">ExportRaw!$B270</f>
        <v/>
      </c>
    </row>
    <row r="271" customFormat="false" ht="15.75" hidden="false" customHeight="false" outlineLevel="0" collapsed="false">
      <c r="A271" s="127" t="n">
        <f aca="false">ExportRaw!$F271</f>
        <v>0</v>
      </c>
      <c r="B271" s="127" t="n">
        <f aca="false">ExportRaw!$C271</f>
        <v>0</v>
      </c>
      <c r="C271" s="127" t="n">
        <f aca="false">ExportRaw!$G271</f>
        <v>0</v>
      </c>
      <c r="D271" s="127" t="str">
        <f aca="false">ExportRaw!$E271</f>
        <v/>
      </c>
      <c r="E271" s="128" t="str">
        <f aca="false">ExportRaw!$D271</f>
        <v/>
      </c>
      <c r="F271" s="127" t="str">
        <f aca="false">ExportRaw!$H271</f>
        <v/>
      </c>
      <c r="G271" s="129" t="str">
        <f aca="false">ExportRaw!$I271</f>
        <v/>
      </c>
      <c r="H271" s="127" t="str">
        <f aca="false">ExportRaw!$A271</f>
        <v/>
      </c>
      <c r="I271" s="127" t="str">
        <f aca="false">ExportRaw!$B271</f>
        <v/>
      </c>
    </row>
    <row r="272" customFormat="false" ht="15.75" hidden="false" customHeight="false" outlineLevel="0" collapsed="false">
      <c r="A272" s="127" t="n">
        <f aca="false">ExportRaw!$F272</f>
        <v>0</v>
      </c>
      <c r="B272" s="127" t="n">
        <f aca="false">ExportRaw!$C272</f>
        <v>0</v>
      </c>
      <c r="C272" s="127" t="n">
        <f aca="false">ExportRaw!$G272</f>
        <v>0</v>
      </c>
      <c r="D272" s="127" t="str">
        <f aca="false">ExportRaw!$E272</f>
        <v/>
      </c>
      <c r="E272" s="128" t="str">
        <f aca="false">ExportRaw!$D272</f>
        <v/>
      </c>
      <c r="F272" s="127" t="str">
        <f aca="false">ExportRaw!$H272</f>
        <v/>
      </c>
      <c r="G272" s="129" t="str">
        <f aca="false">ExportRaw!$I272</f>
        <v/>
      </c>
      <c r="H272" s="127" t="str">
        <f aca="false">ExportRaw!$A272</f>
        <v/>
      </c>
      <c r="I272" s="127" t="str">
        <f aca="false">ExportRaw!$B272</f>
        <v/>
      </c>
    </row>
    <row r="273" customFormat="false" ht="15.75" hidden="false" customHeight="false" outlineLevel="0" collapsed="false">
      <c r="A273" s="127" t="n">
        <f aca="false">ExportRaw!$F273</f>
        <v>0</v>
      </c>
      <c r="B273" s="127" t="n">
        <f aca="false">ExportRaw!$C273</f>
        <v>0</v>
      </c>
      <c r="C273" s="127" t="n">
        <f aca="false">ExportRaw!$G273</f>
        <v>0</v>
      </c>
      <c r="D273" s="127" t="str">
        <f aca="false">ExportRaw!$E273</f>
        <v/>
      </c>
      <c r="E273" s="128" t="str">
        <f aca="false">ExportRaw!$D273</f>
        <v/>
      </c>
      <c r="F273" s="127" t="str">
        <f aca="false">ExportRaw!$H273</f>
        <v/>
      </c>
      <c r="G273" s="129" t="str">
        <f aca="false">ExportRaw!$I273</f>
        <v/>
      </c>
      <c r="H273" s="127" t="str">
        <f aca="false">ExportRaw!$A273</f>
        <v/>
      </c>
      <c r="I273" s="127" t="str">
        <f aca="false">ExportRaw!$B273</f>
        <v/>
      </c>
    </row>
    <row r="274" customFormat="false" ht="15.75" hidden="false" customHeight="false" outlineLevel="0" collapsed="false">
      <c r="A274" s="127" t="n">
        <f aca="false">ExportRaw!$F274</f>
        <v>0</v>
      </c>
      <c r="B274" s="127" t="n">
        <f aca="false">ExportRaw!$C274</f>
        <v>0</v>
      </c>
      <c r="C274" s="127" t="n">
        <f aca="false">ExportRaw!$G274</f>
        <v>0</v>
      </c>
      <c r="D274" s="127" t="str">
        <f aca="false">ExportRaw!$E274</f>
        <v/>
      </c>
      <c r="E274" s="128" t="str">
        <f aca="false">ExportRaw!$D274</f>
        <v/>
      </c>
      <c r="F274" s="127" t="str">
        <f aca="false">ExportRaw!$H274</f>
        <v/>
      </c>
      <c r="G274" s="129" t="str">
        <f aca="false">ExportRaw!$I274</f>
        <v/>
      </c>
      <c r="H274" s="127" t="str">
        <f aca="false">ExportRaw!$A274</f>
        <v/>
      </c>
      <c r="I274" s="127" t="str">
        <f aca="false">ExportRaw!$B274</f>
        <v/>
      </c>
    </row>
    <row r="275" customFormat="false" ht="15.75" hidden="false" customHeight="false" outlineLevel="0" collapsed="false">
      <c r="A275" s="127" t="n">
        <f aca="false">ExportRaw!$F275</f>
        <v>0</v>
      </c>
      <c r="B275" s="127" t="n">
        <f aca="false">ExportRaw!$C275</f>
        <v>0</v>
      </c>
      <c r="C275" s="127" t="n">
        <f aca="false">ExportRaw!$G275</f>
        <v>0</v>
      </c>
      <c r="D275" s="127" t="str">
        <f aca="false">ExportRaw!$E275</f>
        <v/>
      </c>
      <c r="E275" s="128" t="str">
        <f aca="false">ExportRaw!$D275</f>
        <v/>
      </c>
      <c r="F275" s="127" t="str">
        <f aca="false">ExportRaw!$H275</f>
        <v/>
      </c>
      <c r="G275" s="129" t="str">
        <f aca="false">ExportRaw!$I275</f>
        <v/>
      </c>
      <c r="H275" s="127" t="str">
        <f aca="false">ExportRaw!$A275</f>
        <v/>
      </c>
      <c r="I275" s="127" t="str">
        <f aca="false">ExportRaw!$B275</f>
        <v/>
      </c>
    </row>
    <row r="276" customFormat="false" ht="15.75" hidden="false" customHeight="false" outlineLevel="0" collapsed="false">
      <c r="A276" s="127" t="n">
        <f aca="false">ExportRaw!$F276</f>
        <v>0</v>
      </c>
      <c r="B276" s="127" t="n">
        <f aca="false">ExportRaw!$C276</f>
        <v>0</v>
      </c>
      <c r="C276" s="127" t="n">
        <f aca="false">ExportRaw!$G276</f>
        <v>0</v>
      </c>
      <c r="D276" s="127" t="str">
        <f aca="false">ExportRaw!$E276</f>
        <v/>
      </c>
      <c r="E276" s="128" t="str">
        <f aca="false">ExportRaw!$D276</f>
        <v/>
      </c>
      <c r="F276" s="127" t="str">
        <f aca="false">ExportRaw!$H276</f>
        <v/>
      </c>
      <c r="G276" s="129" t="str">
        <f aca="false">ExportRaw!$I276</f>
        <v/>
      </c>
      <c r="H276" s="127" t="str">
        <f aca="false">ExportRaw!$A276</f>
        <v/>
      </c>
      <c r="I276" s="127" t="str">
        <f aca="false">ExportRaw!$B276</f>
        <v/>
      </c>
    </row>
    <row r="277" customFormat="false" ht="15.75" hidden="false" customHeight="false" outlineLevel="0" collapsed="false">
      <c r="A277" s="127" t="n">
        <f aca="false">ExportRaw!$F277</f>
        <v>0</v>
      </c>
      <c r="B277" s="127" t="n">
        <f aca="false">ExportRaw!$C277</f>
        <v>0</v>
      </c>
      <c r="C277" s="127" t="n">
        <f aca="false">ExportRaw!$G277</f>
        <v>0</v>
      </c>
      <c r="D277" s="127" t="str">
        <f aca="false">ExportRaw!$E277</f>
        <v/>
      </c>
      <c r="E277" s="128" t="str">
        <f aca="false">ExportRaw!$D277</f>
        <v/>
      </c>
      <c r="F277" s="127" t="str">
        <f aca="false">ExportRaw!$H277</f>
        <v/>
      </c>
      <c r="G277" s="129" t="str">
        <f aca="false">ExportRaw!$I277</f>
        <v/>
      </c>
      <c r="H277" s="127" t="str">
        <f aca="false">ExportRaw!$A277</f>
        <v/>
      </c>
      <c r="I277" s="127" t="str">
        <f aca="false">ExportRaw!$B277</f>
        <v/>
      </c>
    </row>
    <row r="278" customFormat="false" ht="15.75" hidden="false" customHeight="false" outlineLevel="0" collapsed="false">
      <c r="A278" s="127" t="n">
        <f aca="false">ExportRaw!$F278</f>
        <v>0</v>
      </c>
      <c r="B278" s="127" t="n">
        <f aca="false">ExportRaw!$C278</f>
        <v>0</v>
      </c>
      <c r="C278" s="127" t="n">
        <f aca="false">ExportRaw!$G278</f>
        <v>0</v>
      </c>
      <c r="D278" s="127" t="str">
        <f aca="false">ExportRaw!$E278</f>
        <v/>
      </c>
      <c r="E278" s="128" t="str">
        <f aca="false">ExportRaw!$D278</f>
        <v/>
      </c>
      <c r="F278" s="127" t="str">
        <f aca="false">ExportRaw!$H278</f>
        <v/>
      </c>
      <c r="G278" s="129" t="str">
        <f aca="false">ExportRaw!$I278</f>
        <v/>
      </c>
      <c r="H278" s="127" t="str">
        <f aca="false">ExportRaw!$A278</f>
        <v/>
      </c>
      <c r="I278" s="127" t="str">
        <f aca="false">ExportRaw!$B278</f>
        <v/>
      </c>
    </row>
    <row r="279" customFormat="false" ht="15.75" hidden="false" customHeight="false" outlineLevel="0" collapsed="false">
      <c r="A279" s="127" t="n">
        <f aca="false">ExportRaw!$F279</f>
        <v>0</v>
      </c>
      <c r="B279" s="127" t="n">
        <f aca="false">ExportRaw!$C279</f>
        <v>0</v>
      </c>
      <c r="C279" s="127" t="n">
        <f aca="false">ExportRaw!$G279</f>
        <v>0</v>
      </c>
      <c r="D279" s="127" t="str">
        <f aca="false">ExportRaw!$E279</f>
        <v/>
      </c>
      <c r="E279" s="128" t="str">
        <f aca="false">ExportRaw!$D279</f>
        <v/>
      </c>
      <c r="F279" s="127" t="str">
        <f aca="false">ExportRaw!$H279</f>
        <v/>
      </c>
      <c r="G279" s="129" t="str">
        <f aca="false">ExportRaw!$I279</f>
        <v/>
      </c>
      <c r="H279" s="127" t="str">
        <f aca="false">ExportRaw!$A279</f>
        <v/>
      </c>
      <c r="I279" s="127" t="str">
        <f aca="false">ExportRaw!$B279</f>
        <v/>
      </c>
    </row>
    <row r="280" customFormat="false" ht="15.75" hidden="false" customHeight="false" outlineLevel="0" collapsed="false">
      <c r="A280" s="127" t="n">
        <f aca="false">ExportRaw!$F280</f>
        <v>0</v>
      </c>
      <c r="B280" s="127" t="n">
        <f aca="false">ExportRaw!$C280</f>
        <v>0</v>
      </c>
      <c r="C280" s="127" t="n">
        <f aca="false">ExportRaw!$G280</f>
        <v>0</v>
      </c>
      <c r="D280" s="127" t="str">
        <f aca="false">ExportRaw!$E280</f>
        <v/>
      </c>
      <c r="E280" s="128" t="str">
        <f aca="false">ExportRaw!$D280</f>
        <v/>
      </c>
      <c r="F280" s="127" t="str">
        <f aca="false">ExportRaw!$H280</f>
        <v/>
      </c>
      <c r="G280" s="129" t="str">
        <f aca="false">ExportRaw!$I280</f>
        <v/>
      </c>
      <c r="H280" s="127" t="str">
        <f aca="false">ExportRaw!$A280</f>
        <v/>
      </c>
      <c r="I280" s="127" t="str">
        <f aca="false">ExportRaw!$B280</f>
        <v/>
      </c>
    </row>
    <row r="281" customFormat="false" ht="15.75" hidden="false" customHeight="false" outlineLevel="0" collapsed="false">
      <c r="A281" s="127" t="n">
        <f aca="false">ExportRaw!$F281</f>
        <v>0</v>
      </c>
      <c r="B281" s="127" t="n">
        <f aca="false">ExportRaw!$C281</f>
        <v>0</v>
      </c>
      <c r="C281" s="127" t="n">
        <f aca="false">ExportRaw!$G281</f>
        <v>0</v>
      </c>
      <c r="D281" s="127" t="str">
        <f aca="false">ExportRaw!$E281</f>
        <v/>
      </c>
      <c r="E281" s="128" t="str">
        <f aca="false">ExportRaw!$D281</f>
        <v/>
      </c>
      <c r="F281" s="127" t="str">
        <f aca="false">ExportRaw!$H281</f>
        <v/>
      </c>
      <c r="G281" s="129" t="str">
        <f aca="false">ExportRaw!$I281</f>
        <v/>
      </c>
      <c r="H281" s="127" t="str">
        <f aca="false">ExportRaw!$A281</f>
        <v/>
      </c>
      <c r="I281" s="127" t="str">
        <f aca="false">ExportRaw!$B281</f>
        <v/>
      </c>
    </row>
    <row r="282" customFormat="false" ht="15.75" hidden="false" customHeight="false" outlineLevel="0" collapsed="false">
      <c r="A282" s="127" t="n">
        <f aca="false">ExportRaw!$F282</f>
        <v>0</v>
      </c>
      <c r="B282" s="127" t="n">
        <f aca="false">ExportRaw!$C282</f>
        <v>0</v>
      </c>
      <c r="C282" s="127" t="n">
        <f aca="false">ExportRaw!$G282</f>
        <v>0</v>
      </c>
      <c r="D282" s="127" t="str">
        <f aca="false">ExportRaw!$E282</f>
        <v/>
      </c>
      <c r="E282" s="128" t="str">
        <f aca="false">ExportRaw!$D282</f>
        <v/>
      </c>
      <c r="F282" s="127" t="str">
        <f aca="false">ExportRaw!$H282</f>
        <v/>
      </c>
      <c r="G282" s="129" t="str">
        <f aca="false">ExportRaw!$I282</f>
        <v/>
      </c>
      <c r="H282" s="127" t="str">
        <f aca="false">ExportRaw!$A282</f>
        <v/>
      </c>
      <c r="I282" s="127" t="str">
        <f aca="false">ExportRaw!$B282</f>
        <v/>
      </c>
    </row>
    <row r="283" customFormat="false" ht="15.75" hidden="false" customHeight="false" outlineLevel="0" collapsed="false">
      <c r="A283" s="127" t="n">
        <f aca="false">ExportRaw!$F283</f>
        <v>0</v>
      </c>
      <c r="B283" s="127" t="n">
        <f aca="false">ExportRaw!$C283</f>
        <v>0</v>
      </c>
      <c r="C283" s="127" t="n">
        <f aca="false">ExportRaw!$G283</f>
        <v>0</v>
      </c>
      <c r="D283" s="127" t="str">
        <f aca="false">ExportRaw!$E283</f>
        <v/>
      </c>
      <c r="E283" s="128" t="str">
        <f aca="false">ExportRaw!$D283</f>
        <v/>
      </c>
      <c r="F283" s="127" t="str">
        <f aca="false">ExportRaw!$H283</f>
        <v/>
      </c>
      <c r="G283" s="129" t="str">
        <f aca="false">ExportRaw!$I283</f>
        <v/>
      </c>
      <c r="H283" s="127" t="str">
        <f aca="false">ExportRaw!$A283</f>
        <v/>
      </c>
      <c r="I283" s="127" t="str">
        <f aca="false">ExportRaw!$B283</f>
        <v/>
      </c>
    </row>
    <row r="284" customFormat="false" ht="15.75" hidden="false" customHeight="false" outlineLevel="0" collapsed="false">
      <c r="A284" s="127" t="n">
        <f aca="false">ExportRaw!$F284</f>
        <v>0</v>
      </c>
      <c r="B284" s="127" t="n">
        <f aca="false">ExportRaw!$C284</f>
        <v>0</v>
      </c>
      <c r="C284" s="127" t="n">
        <f aca="false">ExportRaw!$G284</f>
        <v>0</v>
      </c>
      <c r="D284" s="127" t="str">
        <f aca="false">ExportRaw!$E284</f>
        <v/>
      </c>
      <c r="E284" s="128" t="str">
        <f aca="false">ExportRaw!$D284</f>
        <v/>
      </c>
      <c r="F284" s="127" t="str">
        <f aca="false">ExportRaw!$H284</f>
        <v/>
      </c>
      <c r="G284" s="129" t="str">
        <f aca="false">ExportRaw!$I284</f>
        <v/>
      </c>
      <c r="H284" s="127" t="str">
        <f aca="false">ExportRaw!$A284</f>
        <v/>
      </c>
      <c r="I284" s="127" t="str">
        <f aca="false">ExportRaw!$B284</f>
        <v/>
      </c>
    </row>
    <row r="285" customFormat="false" ht="15.75" hidden="false" customHeight="false" outlineLevel="0" collapsed="false">
      <c r="A285" s="127" t="n">
        <f aca="false">ExportRaw!$F285</f>
        <v>0</v>
      </c>
      <c r="B285" s="127" t="n">
        <f aca="false">ExportRaw!$C285</f>
        <v>0</v>
      </c>
      <c r="C285" s="127" t="n">
        <f aca="false">ExportRaw!$G285</f>
        <v>0</v>
      </c>
      <c r="D285" s="127" t="str">
        <f aca="false">ExportRaw!$E285</f>
        <v/>
      </c>
      <c r="E285" s="128" t="str">
        <f aca="false">ExportRaw!$D285</f>
        <v/>
      </c>
      <c r="F285" s="127" t="str">
        <f aca="false">ExportRaw!$H285</f>
        <v/>
      </c>
      <c r="G285" s="129" t="str">
        <f aca="false">ExportRaw!$I285</f>
        <v/>
      </c>
      <c r="H285" s="127" t="str">
        <f aca="false">ExportRaw!$A285</f>
        <v/>
      </c>
      <c r="I285" s="127" t="str">
        <f aca="false">ExportRaw!$B285</f>
        <v/>
      </c>
    </row>
    <row r="286" customFormat="false" ht="15.75" hidden="false" customHeight="false" outlineLevel="0" collapsed="false">
      <c r="A286" s="127" t="n">
        <f aca="false">ExportRaw!$F286</f>
        <v>0</v>
      </c>
      <c r="B286" s="127" t="n">
        <f aca="false">ExportRaw!$C286</f>
        <v>0</v>
      </c>
      <c r="C286" s="127" t="n">
        <f aca="false">ExportRaw!$G286</f>
        <v>0</v>
      </c>
      <c r="D286" s="127" t="str">
        <f aca="false">ExportRaw!$E286</f>
        <v/>
      </c>
      <c r="E286" s="128" t="str">
        <f aca="false">ExportRaw!$D286</f>
        <v/>
      </c>
      <c r="F286" s="127" t="str">
        <f aca="false">ExportRaw!$H286</f>
        <v/>
      </c>
      <c r="G286" s="129" t="str">
        <f aca="false">ExportRaw!$I286</f>
        <v/>
      </c>
      <c r="H286" s="127" t="str">
        <f aca="false">ExportRaw!$A286</f>
        <v/>
      </c>
      <c r="I286" s="127" t="str">
        <f aca="false">ExportRaw!$B286</f>
        <v/>
      </c>
    </row>
    <row r="287" customFormat="false" ht="15.75" hidden="false" customHeight="false" outlineLevel="0" collapsed="false">
      <c r="A287" s="127" t="n">
        <f aca="false">ExportRaw!$F287</f>
        <v>0</v>
      </c>
      <c r="B287" s="127" t="n">
        <f aca="false">ExportRaw!$C287</f>
        <v>0</v>
      </c>
      <c r="C287" s="127" t="n">
        <f aca="false">ExportRaw!$G287</f>
        <v>0</v>
      </c>
      <c r="D287" s="127" t="str">
        <f aca="false">ExportRaw!$E287</f>
        <v/>
      </c>
      <c r="E287" s="128" t="str">
        <f aca="false">ExportRaw!$D287</f>
        <v/>
      </c>
      <c r="F287" s="127" t="str">
        <f aca="false">ExportRaw!$H287</f>
        <v/>
      </c>
      <c r="G287" s="129" t="str">
        <f aca="false">ExportRaw!$I287</f>
        <v/>
      </c>
      <c r="H287" s="127" t="str">
        <f aca="false">ExportRaw!$A287</f>
        <v/>
      </c>
      <c r="I287" s="127" t="str">
        <f aca="false">ExportRaw!$B287</f>
        <v/>
      </c>
    </row>
    <row r="288" customFormat="false" ht="15.75" hidden="false" customHeight="false" outlineLevel="0" collapsed="false">
      <c r="A288" s="127" t="n">
        <f aca="false">ExportRaw!$F288</f>
        <v>0</v>
      </c>
      <c r="B288" s="127" t="n">
        <f aca="false">ExportRaw!$C288</f>
        <v>0</v>
      </c>
      <c r="C288" s="127" t="n">
        <f aca="false">ExportRaw!$G288</f>
        <v>0</v>
      </c>
      <c r="D288" s="127" t="str">
        <f aca="false">ExportRaw!$E288</f>
        <v/>
      </c>
      <c r="E288" s="128" t="str">
        <f aca="false">ExportRaw!$D288</f>
        <v/>
      </c>
      <c r="F288" s="127" t="str">
        <f aca="false">ExportRaw!$H288</f>
        <v/>
      </c>
      <c r="G288" s="129" t="str">
        <f aca="false">ExportRaw!$I288</f>
        <v/>
      </c>
      <c r="H288" s="127" t="str">
        <f aca="false">ExportRaw!$A288</f>
        <v/>
      </c>
      <c r="I288" s="127" t="str">
        <f aca="false">ExportRaw!$B288</f>
        <v/>
      </c>
    </row>
    <row r="289" customFormat="false" ht="15.75" hidden="false" customHeight="false" outlineLevel="0" collapsed="false">
      <c r="A289" s="127" t="n">
        <f aca="false">ExportRaw!$F289</f>
        <v>0</v>
      </c>
      <c r="B289" s="127" t="n">
        <f aca="false">ExportRaw!$C289</f>
        <v>0</v>
      </c>
      <c r="C289" s="127" t="n">
        <f aca="false">ExportRaw!$G289</f>
        <v>0</v>
      </c>
      <c r="D289" s="127" t="str">
        <f aca="false">ExportRaw!$E289</f>
        <v/>
      </c>
      <c r="E289" s="128" t="str">
        <f aca="false">ExportRaw!$D289</f>
        <v/>
      </c>
      <c r="F289" s="127" t="str">
        <f aca="false">ExportRaw!$H289</f>
        <v/>
      </c>
      <c r="G289" s="129" t="str">
        <f aca="false">ExportRaw!$I289</f>
        <v/>
      </c>
      <c r="H289" s="127" t="str">
        <f aca="false">ExportRaw!$A289</f>
        <v/>
      </c>
      <c r="I289" s="127" t="str">
        <f aca="false">ExportRaw!$B289</f>
        <v/>
      </c>
    </row>
    <row r="290" customFormat="false" ht="15.75" hidden="false" customHeight="false" outlineLevel="0" collapsed="false">
      <c r="A290" s="127" t="n">
        <f aca="false">ExportRaw!$F290</f>
        <v>0</v>
      </c>
      <c r="B290" s="127" t="n">
        <f aca="false">ExportRaw!$C290</f>
        <v>0</v>
      </c>
      <c r="C290" s="127" t="n">
        <f aca="false">ExportRaw!$G290</f>
        <v>0</v>
      </c>
      <c r="D290" s="127" t="str">
        <f aca="false">ExportRaw!$E290</f>
        <v/>
      </c>
      <c r="E290" s="128" t="str">
        <f aca="false">ExportRaw!$D290</f>
        <v/>
      </c>
      <c r="F290" s="127" t="str">
        <f aca="false">ExportRaw!$H290</f>
        <v/>
      </c>
      <c r="G290" s="129" t="str">
        <f aca="false">ExportRaw!$I290</f>
        <v/>
      </c>
      <c r="H290" s="127" t="str">
        <f aca="false">ExportRaw!$A290</f>
        <v/>
      </c>
      <c r="I290" s="127" t="str">
        <f aca="false">ExportRaw!$B290</f>
        <v/>
      </c>
    </row>
    <row r="291" customFormat="false" ht="15.75" hidden="false" customHeight="false" outlineLevel="0" collapsed="false">
      <c r="A291" s="127" t="n">
        <f aca="false">ExportRaw!$F291</f>
        <v>0</v>
      </c>
      <c r="B291" s="127" t="n">
        <f aca="false">ExportRaw!$C291</f>
        <v>0</v>
      </c>
      <c r="C291" s="127" t="n">
        <f aca="false">ExportRaw!$G291</f>
        <v>0</v>
      </c>
      <c r="D291" s="127" t="str">
        <f aca="false">ExportRaw!$E291</f>
        <v/>
      </c>
      <c r="E291" s="128" t="str">
        <f aca="false">ExportRaw!$D291</f>
        <v/>
      </c>
      <c r="F291" s="127" t="str">
        <f aca="false">ExportRaw!$H291</f>
        <v/>
      </c>
      <c r="G291" s="129" t="str">
        <f aca="false">ExportRaw!$I291</f>
        <v/>
      </c>
      <c r="H291" s="127" t="str">
        <f aca="false">ExportRaw!$A291</f>
        <v/>
      </c>
      <c r="I291" s="127" t="str">
        <f aca="false">ExportRaw!$B291</f>
        <v/>
      </c>
    </row>
    <row r="292" customFormat="false" ht="15.75" hidden="false" customHeight="false" outlineLevel="0" collapsed="false">
      <c r="A292" s="127" t="n">
        <f aca="false">ExportRaw!$F292</f>
        <v>0</v>
      </c>
      <c r="B292" s="127" t="n">
        <f aca="false">ExportRaw!$C292</f>
        <v>0</v>
      </c>
      <c r="C292" s="127" t="n">
        <f aca="false">ExportRaw!$G292</f>
        <v>0</v>
      </c>
      <c r="D292" s="127" t="str">
        <f aca="false">ExportRaw!$E292</f>
        <v/>
      </c>
      <c r="E292" s="128" t="str">
        <f aca="false">ExportRaw!$D292</f>
        <v/>
      </c>
      <c r="F292" s="127" t="str">
        <f aca="false">ExportRaw!$H292</f>
        <v/>
      </c>
      <c r="G292" s="129" t="str">
        <f aca="false">ExportRaw!$I292</f>
        <v/>
      </c>
      <c r="H292" s="127" t="str">
        <f aca="false">ExportRaw!$A292</f>
        <v/>
      </c>
      <c r="I292" s="127" t="str">
        <f aca="false">ExportRaw!$B292</f>
        <v/>
      </c>
    </row>
    <row r="293" customFormat="false" ht="15.75" hidden="false" customHeight="false" outlineLevel="0" collapsed="false">
      <c r="A293" s="127" t="n">
        <f aca="false">ExportRaw!$F293</f>
        <v>0</v>
      </c>
      <c r="B293" s="127" t="n">
        <f aca="false">ExportRaw!$C293</f>
        <v>0</v>
      </c>
      <c r="C293" s="127" t="n">
        <f aca="false">ExportRaw!$G293</f>
        <v>0</v>
      </c>
      <c r="D293" s="127" t="str">
        <f aca="false">ExportRaw!$E293</f>
        <v/>
      </c>
      <c r="E293" s="128" t="str">
        <f aca="false">ExportRaw!$D293</f>
        <v/>
      </c>
      <c r="F293" s="127" t="str">
        <f aca="false">ExportRaw!$H293</f>
        <v/>
      </c>
      <c r="G293" s="129" t="str">
        <f aca="false">ExportRaw!$I293</f>
        <v/>
      </c>
      <c r="H293" s="127" t="str">
        <f aca="false">ExportRaw!$A293</f>
        <v/>
      </c>
      <c r="I293" s="127" t="str">
        <f aca="false">ExportRaw!$B293</f>
        <v/>
      </c>
    </row>
    <row r="294" customFormat="false" ht="15.75" hidden="false" customHeight="false" outlineLevel="0" collapsed="false">
      <c r="A294" s="127" t="n">
        <f aca="false">ExportRaw!$F294</f>
        <v>0</v>
      </c>
      <c r="B294" s="127" t="n">
        <f aca="false">ExportRaw!$C294</f>
        <v>0</v>
      </c>
      <c r="C294" s="127" t="n">
        <f aca="false">ExportRaw!$G294</f>
        <v>0</v>
      </c>
      <c r="D294" s="127" t="str">
        <f aca="false">ExportRaw!$E294</f>
        <v/>
      </c>
      <c r="E294" s="128" t="str">
        <f aca="false">ExportRaw!$D294</f>
        <v/>
      </c>
      <c r="F294" s="127" t="str">
        <f aca="false">ExportRaw!$H294</f>
        <v/>
      </c>
      <c r="G294" s="129" t="str">
        <f aca="false">ExportRaw!$I294</f>
        <v/>
      </c>
      <c r="H294" s="127" t="str">
        <f aca="false">ExportRaw!$A294</f>
        <v/>
      </c>
      <c r="I294" s="127" t="str">
        <f aca="false">ExportRaw!$B294</f>
        <v/>
      </c>
    </row>
    <row r="295" customFormat="false" ht="15.75" hidden="false" customHeight="false" outlineLevel="0" collapsed="false">
      <c r="A295" s="127" t="n">
        <f aca="false">ExportRaw!$F295</f>
        <v>0</v>
      </c>
      <c r="B295" s="127" t="n">
        <f aca="false">ExportRaw!$C295</f>
        <v>0</v>
      </c>
      <c r="C295" s="127" t="n">
        <f aca="false">ExportRaw!$G295</f>
        <v>0</v>
      </c>
      <c r="D295" s="127" t="str">
        <f aca="false">ExportRaw!$E295</f>
        <v/>
      </c>
      <c r="E295" s="128" t="str">
        <f aca="false">ExportRaw!$D295</f>
        <v/>
      </c>
      <c r="F295" s="127" t="str">
        <f aca="false">ExportRaw!$H295</f>
        <v/>
      </c>
      <c r="G295" s="129" t="str">
        <f aca="false">ExportRaw!$I295</f>
        <v/>
      </c>
      <c r="H295" s="127" t="str">
        <f aca="false">ExportRaw!$A295</f>
        <v/>
      </c>
      <c r="I295" s="127" t="str">
        <f aca="false">ExportRaw!$B295</f>
        <v/>
      </c>
    </row>
    <row r="296" customFormat="false" ht="15.75" hidden="false" customHeight="false" outlineLevel="0" collapsed="false">
      <c r="A296" s="127" t="n">
        <f aca="false">ExportRaw!$F296</f>
        <v>0</v>
      </c>
      <c r="B296" s="127" t="n">
        <f aca="false">ExportRaw!$C296</f>
        <v>0</v>
      </c>
      <c r="C296" s="127" t="n">
        <f aca="false">ExportRaw!$G296</f>
        <v>0</v>
      </c>
      <c r="D296" s="127" t="str">
        <f aca="false">ExportRaw!$E296</f>
        <v/>
      </c>
      <c r="E296" s="128" t="str">
        <f aca="false">ExportRaw!$D296</f>
        <v/>
      </c>
      <c r="F296" s="127" t="str">
        <f aca="false">ExportRaw!$H296</f>
        <v/>
      </c>
      <c r="G296" s="129" t="str">
        <f aca="false">ExportRaw!$I296</f>
        <v/>
      </c>
      <c r="H296" s="127" t="str">
        <f aca="false">ExportRaw!$A296</f>
        <v/>
      </c>
      <c r="I296" s="127" t="str">
        <f aca="false">ExportRaw!$B296</f>
        <v/>
      </c>
    </row>
    <row r="297" customFormat="false" ht="15.75" hidden="false" customHeight="false" outlineLevel="0" collapsed="false">
      <c r="A297" s="127" t="n">
        <f aca="false">ExportRaw!$F297</f>
        <v>0</v>
      </c>
      <c r="B297" s="127" t="n">
        <f aca="false">ExportRaw!$C297</f>
        <v>0</v>
      </c>
      <c r="C297" s="127" t="n">
        <f aca="false">ExportRaw!$G297</f>
        <v>0</v>
      </c>
      <c r="D297" s="127" t="str">
        <f aca="false">ExportRaw!$E297</f>
        <v/>
      </c>
      <c r="E297" s="128" t="str">
        <f aca="false">ExportRaw!$D297</f>
        <v/>
      </c>
      <c r="F297" s="127" t="str">
        <f aca="false">ExportRaw!$H297</f>
        <v/>
      </c>
      <c r="G297" s="129" t="str">
        <f aca="false">ExportRaw!$I297</f>
        <v/>
      </c>
      <c r="H297" s="127" t="str">
        <f aca="false">ExportRaw!$A297</f>
        <v/>
      </c>
      <c r="I297" s="127" t="str">
        <f aca="false">ExportRaw!$B297</f>
        <v/>
      </c>
    </row>
    <row r="298" customFormat="false" ht="15.75" hidden="false" customHeight="false" outlineLevel="0" collapsed="false">
      <c r="A298" s="127" t="n">
        <f aca="false">ExportRaw!$F298</f>
        <v>0</v>
      </c>
      <c r="B298" s="127" t="n">
        <f aca="false">ExportRaw!$C298</f>
        <v>0</v>
      </c>
      <c r="C298" s="127" t="n">
        <f aca="false">ExportRaw!$G298</f>
        <v>0</v>
      </c>
      <c r="D298" s="127" t="str">
        <f aca="false">ExportRaw!$E298</f>
        <v/>
      </c>
      <c r="E298" s="128" t="str">
        <f aca="false">ExportRaw!$D298</f>
        <v/>
      </c>
      <c r="F298" s="127" t="str">
        <f aca="false">ExportRaw!$H298</f>
        <v/>
      </c>
      <c r="G298" s="129" t="str">
        <f aca="false">ExportRaw!$I298</f>
        <v/>
      </c>
      <c r="H298" s="127" t="str">
        <f aca="false">ExportRaw!$A298</f>
        <v/>
      </c>
      <c r="I298" s="127" t="str">
        <f aca="false">ExportRaw!$B298</f>
        <v/>
      </c>
    </row>
    <row r="299" customFormat="false" ht="15.75" hidden="false" customHeight="false" outlineLevel="0" collapsed="false">
      <c r="A299" s="127" t="n">
        <f aca="false">ExportRaw!$F299</f>
        <v>0</v>
      </c>
      <c r="B299" s="127" t="n">
        <f aca="false">ExportRaw!$C299</f>
        <v>0</v>
      </c>
      <c r="C299" s="127" t="n">
        <f aca="false">ExportRaw!$G299</f>
        <v>0</v>
      </c>
      <c r="D299" s="127" t="str">
        <f aca="false">ExportRaw!$E299</f>
        <v/>
      </c>
      <c r="E299" s="128" t="str">
        <f aca="false">ExportRaw!$D299</f>
        <v/>
      </c>
      <c r="F299" s="127" t="str">
        <f aca="false">ExportRaw!$H299</f>
        <v/>
      </c>
      <c r="G299" s="129" t="str">
        <f aca="false">ExportRaw!$I299</f>
        <v/>
      </c>
      <c r="H299" s="127" t="str">
        <f aca="false">ExportRaw!$A299</f>
        <v/>
      </c>
      <c r="I299" s="127" t="str">
        <f aca="false">ExportRaw!$B299</f>
        <v/>
      </c>
    </row>
    <row r="300" customFormat="false" ht="15.75" hidden="false" customHeight="false" outlineLevel="0" collapsed="false">
      <c r="A300" s="127" t="n">
        <f aca="false">ExportRaw!$F300</f>
        <v>0</v>
      </c>
      <c r="B300" s="127" t="n">
        <f aca="false">ExportRaw!$C300</f>
        <v>0</v>
      </c>
      <c r="C300" s="127" t="n">
        <f aca="false">ExportRaw!$G300</f>
        <v>0</v>
      </c>
      <c r="D300" s="127" t="str">
        <f aca="false">ExportRaw!$E300</f>
        <v/>
      </c>
      <c r="E300" s="128" t="str">
        <f aca="false">ExportRaw!$D300</f>
        <v/>
      </c>
      <c r="F300" s="127" t="str">
        <f aca="false">ExportRaw!$H300</f>
        <v/>
      </c>
      <c r="G300" s="129" t="str">
        <f aca="false">ExportRaw!$I300</f>
        <v/>
      </c>
      <c r="H300" s="127" t="str">
        <f aca="false">ExportRaw!$A300</f>
        <v/>
      </c>
      <c r="I300" s="127" t="str">
        <f aca="false">ExportRaw!$B300</f>
        <v/>
      </c>
    </row>
    <row r="301" customFormat="false" ht="15.75" hidden="false" customHeight="false" outlineLevel="0" collapsed="false">
      <c r="A301" s="127" t="n">
        <f aca="false">ExportRaw!$F301</f>
        <v>0</v>
      </c>
      <c r="B301" s="127" t="n">
        <f aca="false">ExportRaw!$C301</f>
        <v>0</v>
      </c>
      <c r="C301" s="127" t="n">
        <f aca="false">ExportRaw!$G301</f>
        <v>0</v>
      </c>
      <c r="D301" s="127" t="str">
        <f aca="false">ExportRaw!$E301</f>
        <v/>
      </c>
      <c r="E301" s="128" t="str">
        <f aca="false">ExportRaw!$D301</f>
        <v/>
      </c>
      <c r="F301" s="127" t="str">
        <f aca="false">ExportRaw!$H301</f>
        <v/>
      </c>
      <c r="G301" s="129" t="str">
        <f aca="false">ExportRaw!$I301</f>
        <v/>
      </c>
      <c r="H301" s="127" t="str">
        <f aca="false">ExportRaw!$A301</f>
        <v/>
      </c>
      <c r="I301" s="127" t="str">
        <f aca="false">ExportRaw!$B301</f>
        <v/>
      </c>
    </row>
    <row r="302" customFormat="false" ht="15.75" hidden="false" customHeight="false" outlineLevel="0" collapsed="false">
      <c r="A302" s="127" t="n">
        <f aca="false">ExportRaw!$F302</f>
        <v>0</v>
      </c>
      <c r="B302" s="127" t="n">
        <f aca="false">ExportRaw!$C302</f>
        <v>0</v>
      </c>
      <c r="C302" s="127" t="n">
        <f aca="false">ExportRaw!$G302</f>
        <v>0</v>
      </c>
      <c r="D302" s="127" t="str">
        <f aca="false">ExportRaw!$E302</f>
        <v/>
      </c>
      <c r="E302" s="128" t="str">
        <f aca="false">ExportRaw!$D302</f>
        <v/>
      </c>
      <c r="F302" s="127" t="str">
        <f aca="false">ExportRaw!$H302</f>
        <v/>
      </c>
      <c r="G302" s="129" t="str">
        <f aca="false">ExportRaw!$I302</f>
        <v/>
      </c>
      <c r="H302" s="127" t="str">
        <f aca="false">ExportRaw!$A302</f>
        <v/>
      </c>
      <c r="I302" s="127" t="str">
        <f aca="false">ExportRaw!$B302</f>
        <v/>
      </c>
    </row>
    <row r="303" customFormat="false" ht="15.75" hidden="false" customHeight="false" outlineLevel="0" collapsed="false">
      <c r="A303" s="127" t="n">
        <f aca="false">ExportRaw!$F303</f>
        <v>0</v>
      </c>
      <c r="B303" s="127" t="n">
        <f aca="false">ExportRaw!$C303</f>
        <v>0</v>
      </c>
      <c r="C303" s="127" t="n">
        <f aca="false">ExportRaw!$G303</f>
        <v>0</v>
      </c>
      <c r="D303" s="127" t="str">
        <f aca="false">ExportRaw!$E303</f>
        <v/>
      </c>
      <c r="E303" s="128" t="str">
        <f aca="false">ExportRaw!$D303</f>
        <v/>
      </c>
      <c r="F303" s="127" t="str">
        <f aca="false">ExportRaw!$H303</f>
        <v/>
      </c>
      <c r="G303" s="129" t="str">
        <f aca="false">ExportRaw!$I303</f>
        <v/>
      </c>
      <c r="H303" s="127" t="str">
        <f aca="false">ExportRaw!$A303</f>
        <v/>
      </c>
      <c r="I303" s="127" t="str">
        <f aca="false">ExportRaw!$B303</f>
        <v/>
      </c>
    </row>
    <row r="304" customFormat="false" ht="15.75" hidden="false" customHeight="false" outlineLevel="0" collapsed="false">
      <c r="A304" s="127" t="n">
        <f aca="false">ExportRaw!$F304</f>
        <v>0</v>
      </c>
      <c r="B304" s="127" t="n">
        <f aca="false">ExportRaw!$C304</f>
        <v>0</v>
      </c>
      <c r="C304" s="127" t="n">
        <f aca="false">ExportRaw!$G304</f>
        <v>0</v>
      </c>
      <c r="D304" s="127" t="str">
        <f aca="false">ExportRaw!$E304</f>
        <v/>
      </c>
      <c r="E304" s="128" t="str">
        <f aca="false">ExportRaw!$D304</f>
        <v/>
      </c>
      <c r="F304" s="127" t="str">
        <f aca="false">ExportRaw!$H304</f>
        <v/>
      </c>
      <c r="G304" s="129" t="str">
        <f aca="false">ExportRaw!$I304</f>
        <v/>
      </c>
      <c r="H304" s="127" t="str">
        <f aca="false">ExportRaw!$A304</f>
        <v/>
      </c>
      <c r="I304" s="127" t="str">
        <f aca="false">ExportRaw!$B304</f>
        <v/>
      </c>
    </row>
    <row r="305" customFormat="false" ht="15.75" hidden="false" customHeight="false" outlineLevel="0" collapsed="false">
      <c r="A305" s="127" t="n">
        <f aca="false">ExportRaw!$F305</f>
        <v>0</v>
      </c>
      <c r="B305" s="127" t="n">
        <f aca="false">ExportRaw!$C305</f>
        <v>0</v>
      </c>
      <c r="C305" s="127" t="n">
        <f aca="false">ExportRaw!$G305</f>
        <v>0</v>
      </c>
      <c r="D305" s="127" t="str">
        <f aca="false">ExportRaw!$E305</f>
        <v/>
      </c>
      <c r="E305" s="128" t="str">
        <f aca="false">ExportRaw!$D305</f>
        <v/>
      </c>
      <c r="F305" s="127" t="str">
        <f aca="false">ExportRaw!$H305</f>
        <v/>
      </c>
      <c r="G305" s="129" t="str">
        <f aca="false">ExportRaw!$I305</f>
        <v/>
      </c>
      <c r="H305" s="127" t="str">
        <f aca="false">ExportRaw!$A305</f>
        <v/>
      </c>
      <c r="I305" s="127" t="str">
        <f aca="false">ExportRaw!$B305</f>
        <v/>
      </c>
    </row>
    <row r="306" customFormat="false" ht="15.75" hidden="false" customHeight="false" outlineLevel="0" collapsed="false">
      <c r="A306" s="127" t="n">
        <f aca="false">ExportRaw!$F306</f>
        <v>0</v>
      </c>
      <c r="B306" s="127" t="n">
        <f aca="false">ExportRaw!$C306</f>
        <v>0</v>
      </c>
      <c r="C306" s="127" t="n">
        <f aca="false">ExportRaw!$G306</f>
        <v>0</v>
      </c>
      <c r="D306" s="127" t="str">
        <f aca="false">ExportRaw!$E306</f>
        <v/>
      </c>
      <c r="E306" s="128" t="str">
        <f aca="false">ExportRaw!$D306</f>
        <v/>
      </c>
      <c r="F306" s="127" t="str">
        <f aca="false">ExportRaw!$H306</f>
        <v/>
      </c>
      <c r="G306" s="129" t="str">
        <f aca="false">ExportRaw!$I306</f>
        <v/>
      </c>
      <c r="H306" s="127" t="str">
        <f aca="false">ExportRaw!$A306</f>
        <v/>
      </c>
      <c r="I306" s="127" t="str">
        <f aca="false">ExportRaw!$B306</f>
        <v/>
      </c>
    </row>
    <row r="307" customFormat="false" ht="15.75" hidden="false" customHeight="false" outlineLevel="0" collapsed="false">
      <c r="A307" s="127" t="n">
        <f aca="false">ExportRaw!$F307</f>
        <v>0</v>
      </c>
      <c r="B307" s="127" t="n">
        <f aca="false">ExportRaw!$C307</f>
        <v>0</v>
      </c>
      <c r="C307" s="127" t="n">
        <f aca="false">ExportRaw!$G307</f>
        <v>0</v>
      </c>
      <c r="D307" s="127" t="str">
        <f aca="false">ExportRaw!$E307</f>
        <v/>
      </c>
      <c r="E307" s="128" t="str">
        <f aca="false">ExportRaw!$D307</f>
        <v/>
      </c>
      <c r="F307" s="127" t="str">
        <f aca="false">ExportRaw!$H307</f>
        <v/>
      </c>
      <c r="G307" s="129" t="str">
        <f aca="false">ExportRaw!$I307</f>
        <v/>
      </c>
      <c r="H307" s="127" t="str">
        <f aca="false">ExportRaw!$A307</f>
        <v/>
      </c>
      <c r="I307" s="127" t="str">
        <f aca="false">ExportRaw!$B307</f>
        <v/>
      </c>
    </row>
    <row r="308" customFormat="false" ht="15.75" hidden="false" customHeight="false" outlineLevel="0" collapsed="false">
      <c r="A308" s="127" t="n">
        <f aca="false">ExportRaw!$F308</f>
        <v>0</v>
      </c>
      <c r="B308" s="127" t="n">
        <f aca="false">ExportRaw!$C308</f>
        <v>0</v>
      </c>
      <c r="C308" s="127" t="n">
        <f aca="false">ExportRaw!$G308</f>
        <v>0</v>
      </c>
      <c r="D308" s="127" t="str">
        <f aca="false">ExportRaw!$E308</f>
        <v/>
      </c>
      <c r="E308" s="128" t="str">
        <f aca="false">ExportRaw!$D308</f>
        <v/>
      </c>
      <c r="F308" s="127" t="str">
        <f aca="false">ExportRaw!$H308</f>
        <v/>
      </c>
      <c r="G308" s="129" t="str">
        <f aca="false">ExportRaw!$I308</f>
        <v/>
      </c>
      <c r="H308" s="127" t="str">
        <f aca="false">ExportRaw!$A308</f>
        <v/>
      </c>
      <c r="I308" s="127" t="str">
        <f aca="false">ExportRaw!$B308</f>
        <v/>
      </c>
    </row>
    <row r="309" customFormat="false" ht="15.75" hidden="false" customHeight="false" outlineLevel="0" collapsed="false">
      <c r="A309" s="127" t="n">
        <f aca="false">ExportRaw!$F309</f>
        <v>0</v>
      </c>
      <c r="B309" s="127" t="n">
        <f aca="false">ExportRaw!$C309</f>
        <v>0</v>
      </c>
      <c r="C309" s="127" t="n">
        <f aca="false">ExportRaw!$G309</f>
        <v>0</v>
      </c>
      <c r="D309" s="127" t="str">
        <f aca="false">ExportRaw!$E309</f>
        <v/>
      </c>
      <c r="E309" s="128" t="str">
        <f aca="false">ExportRaw!$D309</f>
        <v/>
      </c>
      <c r="F309" s="127" t="str">
        <f aca="false">ExportRaw!$H309</f>
        <v/>
      </c>
      <c r="G309" s="129" t="str">
        <f aca="false">ExportRaw!$I309</f>
        <v/>
      </c>
      <c r="H309" s="127" t="str">
        <f aca="false">ExportRaw!$A309</f>
        <v/>
      </c>
      <c r="I309" s="127" t="str">
        <f aca="false">ExportRaw!$B309</f>
        <v/>
      </c>
    </row>
    <row r="310" customFormat="false" ht="15.75" hidden="false" customHeight="false" outlineLevel="0" collapsed="false">
      <c r="A310" s="127" t="n">
        <f aca="false">ExportRaw!$F310</f>
        <v>0</v>
      </c>
      <c r="B310" s="127" t="n">
        <f aca="false">ExportRaw!$C310</f>
        <v>0</v>
      </c>
      <c r="C310" s="127" t="n">
        <f aca="false">ExportRaw!$G310</f>
        <v>0</v>
      </c>
      <c r="D310" s="127" t="str">
        <f aca="false">ExportRaw!$E310</f>
        <v/>
      </c>
      <c r="E310" s="128" t="str">
        <f aca="false">ExportRaw!$D310</f>
        <v/>
      </c>
      <c r="F310" s="127" t="str">
        <f aca="false">ExportRaw!$H310</f>
        <v/>
      </c>
      <c r="G310" s="129" t="str">
        <f aca="false">ExportRaw!$I310</f>
        <v/>
      </c>
      <c r="H310" s="127" t="str">
        <f aca="false">ExportRaw!$A310</f>
        <v/>
      </c>
      <c r="I310" s="127" t="str">
        <f aca="false">ExportRaw!$B310</f>
        <v/>
      </c>
    </row>
    <row r="311" customFormat="false" ht="15.75" hidden="false" customHeight="false" outlineLevel="0" collapsed="false">
      <c r="A311" s="127" t="n">
        <f aca="false">ExportRaw!$F311</f>
        <v>0</v>
      </c>
      <c r="B311" s="127" t="n">
        <f aca="false">ExportRaw!$C311</f>
        <v>0</v>
      </c>
      <c r="C311" s="127" t="n">
        <f aca="false">ExportRaw!$G311</f>
        <v>0</v>
      </c>
      <c r="D311" s="127" t="str">
        <f aca="false">ExportRaw!$E311</f>
        <v/>
      </c>
      <c r="E311" s="128" t="str">
        <f aca="false">ExportRaw!$D311</f>
        <v/>
      </c>
      <c r="F311" s="127" t="str">
        <f aca="false">ExportRaw!$H311</f>
        <v/>
      </c>
      <c r="G311" s="129" t="str">
        <f aca="false">ExportRaw!$I311</f>
        <v/>
      </c>
      <c r="H311" s="127" t="str">
        <f aca="false">ExportRaw!$A311</f>
        <v/>
      </c>
      <c r="I311" s="127" t="str">
        <f aca="false">ExportRaw!$B311</f>
        <v/>
      </c>
    </row>
    <row r="312" customFormat="false" ht="15.75" hidden="false" customHeight="false" outlineLevel="0" collapsed="false">
      <c r="A312" s="127" t="n">
        <f aca="false">ExportRaw!$F312</f>
        <v>0</v>
      </c>
      <c r="B312" s="127" t="n">
        <f aca="false">ExportRaw!$C312</f>
        <v>0</v>
      </c>
      <c r="C312" s="127" t="n">
        <f aca="false">ExportRaw!$G312</f>
        <v>0</v>
      </c>
      <c r="D312" s="127" t="str">
        <f aca="false">ExportRaw!$E312</f>
        <v/>
      </c>
      <c r="E312" s="128" t="str">
        <f aca="false">ExportRaw!$D312</f>
        <v/>
      </c>
      <c r="F312" s="127" t="str">
        <f aca="false">ExportRaw!$H312</f>
        <v/>
      </c>
      <c r="G312" s="129" t="str">
        <f aca="false">ExportRaw!$I312</f>
        <v/>
      </c>
      <c r="H312" s="127" t="str">
        <f aca="false">ExportRaw!$A312</f>
        <v/>
      </c>
      <c r="I312" s="127" t="str">
        <f aca="false">ExportRaw!$B312</f>
        <v/>
      </c>
    </row>
    <row r="313" customFormat="false" ht="15.75" hidden="false" customHeight="false" outlineLevel="0" collapsed="false">
      <c r="A313" s="127" t="n">
        <f aca="false">ExportRaw!$F313</f>
        <v>0</v>
      </c>
      <c r="B313" s="127" t="n">
        <f aca="false">ExportRaw!$C313</f>
        <v>0</v>
      </c>
      <c r="C313" s="127" t="n">
        <f aca="false">ExportRaw!$G313</f>
        <v>0</v>
      </c>
      <c r="D313" s="127" t="str">
        <f aca="false">ExportRaw!$E313</f>
        <v/>
      </c>
      <c r="E313" s="128" t="str">
        <f aca="false">ExportRaw!$D313</f>
        <v/>
      </c>
      <c r="F313" s="127" t="str">
        <f aca="false">ExportRaw!$H313</f>
        <v/>
      </c>
      <c r="G313" s="129" t="str">
        <f aca="false">ExportRaw!$I313</f>
        <v/>
      </c>
      <c r="H313" s="127" t="str">
        <f aca="false">ExportRaw!$A313</f>
        <v/>
      </c>
      <c r="I313" s="127" t="str">
        <f aca="false">ExportRaw!$B313</f>
        <v/>
      </c>
    </row>
    <row r="314" customFormat="false" ht="15.75" hidden="false" customHeight="false" outlineLevel="0" collapsed="false">
      <c r="A314" s="127" t="n">
        <f aca="false">ExportRaw!$F314</f>
        <v>0</v>
      </c>
      <c r="B314" s="127" t="n">
        <f aca="false">ExportRaw!$C314</f>
        <v>0</v>
      </c>
      <c r="C314" s="127" t="n">
        <f aca="false">ExportRaw!$G314</f>
        <v>0</v>
      </c>
      <c r="D314" s="127" t="str">
        <f aca="false">ExportRaw!$E314</f>
        <v/>
      </c>
      <c r="E314" s="128" t="str">
        <f aca="false">ExportRaw!$D314</f>
        <v/>
      </c>
      <c r="F314" s="127" t="str">
        <f aca="false">ExportRaw!$H314</f>
        <v/>
      </c>
      <c r="G314" s="129" t="str">
        <f aca="false">ExportRaw!$I314</f>
        <v/>
      </c>
      <c r="H314" s="127" t="str">
        <f aca="false">ExportRaw!$A314</f>
        <v/>
      </c>
      <c r="I314" s="127" t="str">
        <f aca="false">ExportRaw!$B314</f>
        <v/>
      </c>
    </row>
    <row r="315" customFormat="false" ht="15.75" hidden="false" customHeight="false" outlineLevel="0" collapsed="false">
      <c r="A315" s="127" t="n">
        <f aca="false">ExportRaw!$F315</f>
        <v>0</v>
      </c>
      <c r="B315" s="127" t="n">
        <f aca="false">ExportRaw!$C315</f>
        <v>0</v>
      </c>
      <c r="C315" s="127" t="n">
        <f aca="false">ExportRaw!$G315</f>
        <v>0</v>
      </c>
      <c r="D315" s="127" t="str">
        <f aca="false">ExportRaw!$E315</f>
        <v/>
      </c>
      <c r="E315" s="128" t="str">
        <f aca="false">ExportRaw!$D315</f>
        <v/>
      </c>
      <c r="F315" s="127" t="str">
        <f aca="false">ExportRaw!$H315</f>
        <v/>
      </c>
      <c r="G315" s="129" t="str">
        <f aca="false">ExportRaw!$I315</f>
        <v/>
      </c>
      <c r="H315" s="127" t="str">
        <f aca="false">ExportRaw!$A315</f>
        <v/>
      </c>
      <c r="I315" s="127" t="str">
        <f aca="false">ExportRaw!$B315</f>
        <v/>
      </c>
    </row>
    <row r="316" customFormat="false" ht="15.75" hidden="false" customHeight="false" outlineLevel="0" collapsed="false">
      <c r="A316" s="127" t="n">
        <f aca="false">ExportRaw!$F316</f>
        <v>0</v>
      </c>
      <c r="B316" s="127" t="n">
        <f aca="false">ExportRaw!$C316</f>
        <v>0</v>
      </c>
      <c r="C316" s="127" t="n">
        <f aca="false">ExportRaw!$G316</f>
        <v>0</v>
      </c>
      <c r="D316" s="127" t="str">
        <f aca="false">ExportRaw!$E316</f>
        <v/>
      </c>
      <c r="E316" s="128" t="str">
        <f aca="false">ExportRaw!$D316</f>
        <v/>
      </c>
      <c r="F316" s="127" t="str">
        <f aca="false">ExportRaw!$H316</f>
        <v/>
      </c>
      <c r="G316" s="129" t="str">
        <f aca="false">ExportRaw!$I316</f>
        <v/>
      </c>
      <c r="H316" s="127" t="str">
        <f aca="false">ExportRaw!$A316</f>
        <v/>
      </c>
      <c r="I316" s="127" t="str">
        <f aca="false">ExportRaw!$B316</f>
        <v/>
      </c>
    </row>
    <row r="317" customFormat="false" ht="15.75" hidden="false" customHeight="false" outlineLevel="0" collapsed="false">
      <c r="A317" s="127" t="n">
        <f aca="false">ExportRaw!$F317</f>
        <v>0</v>
      </c>
      <c r="B317" s="127" t="n">
        <f aca="false">ExportRaw!$C317</f>
        <v>0</v>
      </c>
      <c r="C317" s="127" t="n">
        <f aca="false">ExportRaw!$G317</f>
        <v>0</v>
      </c>
      <c r="D317" s="127" t="str">
        <f aca="false">ExportRaw!$E317</f>
        <v/>
      </c>
      <c r="E317" s="128" t="str">
        <f aca="false">ExportRaw!$D317</f>
        <v/>
      </c>
      <c r="F317" s="127" t="str">
        <f aca="false">ExportRaw!$H317</f>
        <v/>
      </c>
      <c r="G317" s="129" t="str">
        <f aca="false">ExportRaw!$I317</f>
        <v/>
      </c>
      <c r="H317" s="127" t="str">
        <f aca="false">ExportRaw!$A317</f>
        <v/>
      </c>
      <c r="I317" s="127" t="str">
        <f aca="false">ExportRaw!$B317</f>
        <v/>
      </c>
    </row>
    <row r="318" customFormat="false" ht="15.75" hidden="false" customHeight="false" outlineLevel="0" collapsed="false">
      <c r="A318" s="127" t="n">
        <f aca="false">ExportRaw!$F318</f>
        <v>0</v>
      </c>
      <c r="B318" s="127" t="n">
        <f aca="false">ExportRaw!$C318</f>
        <v>0</v>
      </c>
      <c r="C318" s="127" t="n">
        <f aca="false">ExportRaw!$G318</f>
        <v>0</v>
      </c>
      <c r="D318" s="127" t="str">
        <f aca="false">ExportRaw!$E318</f>
        <v/>
      </c>
      <c r="E318" s="128" t="str">
        <f aca="false">ExportRaw!$D318</f>
        <v/>
      </c>
      <c r="F318" s="127" t="str">
        <f aca="false">ExportRaw!$H318</f>
        <v/>
      </c>
      <c r="G318" s="129" t="str">
        <f aca="false">ExportRaw!$I318</f>
        <v/>
      </c>
      <c r="H318" s="127" t="str">
        <f aca="false">ExportRaw!$A318</f>
        <v/>
      </c>
      <c r="I318" s="127" t="str">
        <f aca="false">ExportRaw!$B318</f>
        <v/>
      </c>
    </row>
    <row r="319" customFormat="false" ht="15.75" hidden="false" customHeight="false" outlineLevel="0" collapsed="false">
      <c r="A319" s="127" t="n">
        <f aca="false">ExportRaw!$F319</f>
        <v>0</v>
      </c>
      <c r="B319" s="127" t="n">
        <f aca="false">ExportRaw!$C319</f>
        <v>0</v>
      </c>
      <c r="C319" s="127" t="n">
        <f aca="false">ExportRaw!$G319</f>
        <v>0</v>
      </c>
      <c r="D319" s="127" t="str">
        <f aca="false">ExportRaw!$E319</f>
        <v/>
      </c>
      <c r="E319" s="128" t="str">
        <f aca="false">ExportRaw!$D319</f>
        <v/>
      </c>
      <c r="F319" s="127" t="str">
        <f aca="false">ExportRaw!$H319</f>
        <v/>
      </c>
      <c r="G319" s="129" t="str">
        <f aca="false">ExportRaw!$I319</f>
        <v/>
      </c>
      <c r="H319" s="127" t="str">
        <f aca="false">ExportRaw!$A319</f>
        <v/>
      </c>
      <c r="I319" s="127" t="str">
        <f aca="false">ExportRaw!$B319</f>
        <v/>
      </c>
    </row>
    <row r="320" customFormat="false" ht="15.75" hidden="false" customHeight="false" outlineLevel="0" collapsed="false">
      <c r="A320" s="127" t="n">
        <f aca="false">ExportRaw!$F320</f>
        <v>0</v>
      </c>
      <c r="B320" s="127" t="n">
        <f aca="false">ExportRaw!$C320</f>
        <v>0</v>
      </c>
      <c r="C320" s="127" t="n">
        <f aca="false">ExportRaw!$G320</f>
        <v>0</v>
      </c>
      <c r="D320" s="127" t="str">
        <f aca="false">ExportRaw!$E320</f>
        <v/>
      </c>
      <c r="E320" s="128" t="str">
        <f aca="false">ExportRaw!$D320</f>
        <v/>
      </c>
      <c r="F320" s="127" t="str">
        <f aca="false">ExportRaw!$H320</f>
        <v/>
      </c>
      <c r="G320" s="129" t="str">
        <f aca="false">ExportRaw!$I320</f>
        <v/>
      </c>
      <c r="H320" s="127" t="str">
        <f aca="false">ExportRaw!$A320</f>
        <v/>
      </c>
      <c r="I320" s="127" t="str">
        <f aca="false">ExportRaw!$B320</f>
        <v/>
      </c>
    </row>
    <row r="321" customFormat="false" ht="15.75" hidden="false" customHeight="false" outlineLevel="0" collapsed="false">
      <c r="A321" s="127" t="n">
        <f aca="false">ExportRaw!$F321</f>
        <v>0</v>
      </c>
      <c r="B321" s="127" t="n">
        <f aca="false">ExportRaw!$C321</f>
        <v>0</v>
      </c>
      <c r="C321" s="127" t="n">
        <f aca="false">ExportRaw!$G321</f>
        <v>0</v>
      </c>
      <c r="D321" s="127" t="str">
        <f aca="false">ExportRaw!$E321</f>
        <v/>
      </c>
      <c r="E321" s="128" t="str">
        <f aca="false">ExportRaw!$D321</f>
        <v/>
      </c>
      <c r="F321" s="127" t="str">
        <f aca="false">ExportRaw!$H321</f>
        <v/>
      </c>
      <c r="G321" s="129" t="str">
        <f aca="false">ExportRaw!$I321</f>
        <v/>
      </c>
      <c r="H321" s="127" t="str">
        <f aca="false">ExportRaw!$A321</f>
        <v/>
      </c>
      <c r="I321" s="127" t="str">
        <f aca="false">ExportRaw!$B321</f>
        <v/>
      </c>
    </row>
    <row r="322" customFormat="false" ht="15.75" hidden="false" customHeight="false" outlineLevel="0" collapsed="false">
      <c r="A322" s="127" t="n">
        <f aca="false">ExportRaw!$F322</f>
        <v>0</v>
      </c>
      <c r="B322" s="127" t="n">
        <f aca="false">ExportRaw!$C322</f>
        <v>0</v>
      </c>
      <c r="C322" s="127" t="n">
        <f aca="false">ExportRaw!$G322</f>
        <v>0</v>
      </c>
      <c r="D322" s="127" t="str">
        <f aca="false">ExportRaw!$E322</f>
        <v/>
      </c>
      <c r="E322" s="128" t="str">
        <f aca="false">ExportRaw!$D322</f>
        <v/>
      </c>
      <c r="F322" s="127" t="str">
        <f aca="false">ExportRaw!$H322</f>
        <v/>
      </c>
      <c r="G322" s="129" t="str">
        <f aca="false">ExportRaw!$I322</f>
        <v/>
      </c>
      <c r="H322" s="127" t="str">
        <f aca="false">ExportRaw!$A322</f>
        <v/>
      </c>
      <c r="I322" s="127" t="str">
        <f aca="false">ExportRaw!$B322</f>
        <v/>
      </c>
    </row>
    <row r="323" customFormat="false" ht="15.75" hidden="false" customHeight="false" outlineLevel="0" collapsed="false">
      <c r="A323" s="127" t="n">
        <f aca="false">ExportRaw!$F323</f>
        <v>0</v>
      </c>
      <c r="B323" s="127" t="n">
        <f aca="false">ExportRaw!$C323</f>
        <v>0</v>
      </c>
      <c r="C323" s="127" t="n">
        <f aca="false">ExportRaw!$G323</f>
        <v>0</v>
      </c>
      <c r="D323" s="127" t="str">
        <f aca="false">ExportRaw!$E323</f>
        <v/>
      </c>
      <c r="E323" s="128" t="str">
        <f aca="false">ExportRaw!$D323</f>
        <v/>
      </c>
      <c r="F323" s="127" t="str">
        <f aca="false">ExportRaw!$H323</f>
        <v/>
      </c>
      <c r="G323" s="129" t="str">
        <f aca="false">ExportRaw!$I323</f>
        <v/>
      </c>
      <c r="H323" s="127" t="str">
        <f aca="false">ExportRaw!$A323</f>
        <v/>
      </c>
      <c r="I323" s="127" t="str">
        <f aca="false">ExportRaw!$B323</f>
        <v/>
      </c>
    </row>
    <row r="324" customFormat="false" ht="15.75" hidden="false" customHeight="false" outlineLevel="0" collapsed="false">
      <c r="A324" s="127" t="n">
        <f aca="false">ExportRaw!$F324</f>
        <v>0</v>
      </c>
      <c r="B324" s="127" t="n">
        <f aca="false">ExportRaw!$C324</f>
        <v>0</v>
      </c>
      <c r="C324" s="127" t="n">
        <f aca="false">ExportRaw!$G324</f>
        <v>0</v>
      </c>
      <c r="D324" s="127" t="str">
        <f aca="false">ExportRaw!$E324</f>
        <v/>
      </c>
      <c r="E324" s="128" t="str">
        <f aca="false">ExportRaw!$D324</f>
        <v/>
      </c>
      <c r="F324" s="127" t="str">
        <f aca="false">ExportRaw!$H324</f>
        <v/>
      </c>
      <c r="G324" s="129" t="str">
        <f aca="false">ExportRaw!$I324</f>
        <v/>
      </c>
      <c r="H324" s="127" t="str">
        <f aca="false">ExportRaw!$A324</f>
        <v/>
      </c>
      <c r="I324" s="127" t="str">
        <f aca="false">ExportRaw!$B324</f>
        <v/>
      </c>
    </row>
    <row r="325" customFormat="false" ht="15.75" hidden="false" customHeight="false" outlineLevel="0" collapsed="false">
      <c r="A325" s="127" t="n">
        <f aca="false">ExportRaw!$F325</f>
        <v>0</v>
      </c>
      <c r="B325" s="127" t="n">
        <f aca="false">ExportRaw!$C325</f>
        <v>0</v>
      </c>
      <c r="C325" s="127" t="n">
        <f aca="false">ExportRaw!$G325</f>
        <v>0</v>
      </c>
      <c r="D325" s="127" t="str">
        <f aca="false">ExportRaw!$E325</f>
        <v/>
      </c>
      <c r="E325" s="128" t="str">
        <f aca="false">ExportRaw!$D325</f>
        <v/>
      </c>
      <c r="F325" s="127" t="str">
        <f aca="false">ExportRaw!$H325</f>
        <v/>
      </c>
      <c r="G325" s="129" t="str">
        <f aca="false">ExportRaw!$I325</f>
        <v/>
      </c>
      <c r="H325" s="127" t="str">
        <f aca="false">ExportRaw!$A325</f>
        <v/>
      </c>
      <c r="I325" s="127" t="str">
        <f aca="false">ExportRaw!$B325</f>
        <v/>
      </c>
    </row>
    <row r="326" customFormat="false" ht="15.75" hidden="false" customHeight="false" outlineLevel="0" collapsed="false">
      <c r="A326" s="127" t="n">
        <f aca="false">ExportRaw!$F326</f>
        <v>0</v>
      </c>
      <c r="B326" s="127" t="n">
        <f aca="false">ExportRaw!$C326</f>
        <v>0</v>
      </c>
      <c r="C326" s="127" t="n">
        <f aca="false">ExportRaw!$G326</f>
        <v>0</v>
      </c>
      <c r="D326" s="127" t="str">
        <f aca="false">ExportRaw!$E326</f>
        <v/>
      </c>
      <c r="E326" s="128" t="str">
        <f aca="false">ExportRaw!$D326</f>
        <v/>
      </c>
      <c r="F326" s="127" t="str">
        <f aca="false">ExportRaw!$H326</f>
        <v/>
      </c>
      <c r="G326" s="129" t="str">
        <f aca="false">ExportRaw!$I326</f>
        <v/>
      </c>
      <c r="H326" s="127" t="str">
        <f aca="false">ExportRaw!$A326</f>
        <v/>
      </c>
      <c r="I326" s="127" t="str">
        <f aca="false">ExportRaw!$B326</f>
        <v/>
      </c>
    </row>
    <row r="327" customFormat="false" ht="15.75" hidden="false" customHeight="false" outlineLevel="0" collapsed="false">
      <c r="A327" s="127" t="n">
        <f aca="false">ExportRaw!$F327</f>
        <v>0</v>
      </c>
      <c r="B327" s="127" t="n">
        <f aca="false">ExportRaw!$C327</f>
        <v>0</v>
      </c>
      <c r="C327" s="127" t="n">
        <f aca="false">ExportRaw!$G327</f>
        <v>0</v>
      </c>
      <c r="D327" s="127" t="str">
        <f aca="false">ExportRaw!$E327</f>
        <v/>
      </c>
      <c r="E327" s="128" t="str">
        <f aca="false">ExportRaw!$D327</f>
        <v/>
      </c>
      <c r="F327" s="127" t="str">
        <f aca="false">ExportRaw!$H327</f>
        <v/>
      </c>
      <c r="G327" s="129" t="str">
        <f aca="false">ExportRaw!$I327</f>
        <v/>
      </c>
      <c r="H327" s="127" t="str">
        <f aca="false">ExportRaw!$A327</f>
        <v/>
      </c>
      <c r="I327" s="127" t="str">
        <f aca="false">ExportRaw!$B327</f>
        <v/>
      </c>
    </row>
    <row r="328" customFormat="false" ht="15.75" hidden="false" customHeight="false" outlineLevel="0" collapsed="false">
      <c r="A328" s="127" t="n">
        <f aca="false">ExportRaw!$F328</f>
        <v>0</v>
      </c>
      <c r="B328" s="127" t="n">
        <f aca="false">ExportRaw!$C328</f>
        <v>0</v>
      </c>
      <c r="C328" s="127" t="n">
        <f aca="false">ExportRaw!$G328</f>
        <v>0</v>
      </c>
      <c r="D328" s="127" t="str">
        <f aca="false">ExportRaw!$E328</f>
        <v/>
      </c>
      <c r="E328" s="128" t="str">
        <f aca="false">ExportRaw!$D328</f>
        <v/>
      </c>
      <c r="F328" s="127" t="str">
        <f aca="false">ExportRaw!$H328</f>
        <v/>
      </c>
      <c r="G328" s="129" t="str">
        <f aca="false">ExportRaw!$I328</f>
        <v/>
      </c>
      <c r="H328" s="127" t="str">
        <f aca="false">ExportRaw!$A328</f>
        <v/>
      </c>
      <c r="I328" s="127" t="str">
        <f aca="false">ExportRaw!$B328</f>
        <v/>
      </c>
    </row>
    <row r="329" customFormat="false" ht="15.75" hidden="false" customHeight="false" outlineLevel="0" collapsed="false">
      <c r="A329" s="127" t="n">
        <f aca="false">ExportRaw!$F329</f>
        <v>0</v>
      </c>
      <c r="B329" s="127" t="n">
        <f aca="false">ExportRaw!$C329</f>
        <v>0</v>
      </c>
      <c r="C329" s="127" t="n">
        <f aca="false">ExportRaw!$G329</f>
        <v>0</v>
      </c>
      <c r="D329" s="127" t="str">
        <f aca="false">ExportRaw!$E329</f>
        <v/>
      </c>
      <c r="E329" s="128" t="str">
        <f aca="false">ExportRaw!$D329</f>
        <v/>
      </c>
      <c r="F329" s="127" t="str">
        <f aca="false">ExportRaw!$H329</f>
        <v/>
      </c>
      <c r="G329" s="129" t="str">
        <f aca="false">ExportRaw!$I329</f>
        <v/>
      </c>
      <c r="H329" s="127" t="str">
        <f aca="false">ExportRaw!$A329</f>
        <v/>
      </c>
      <c r="I329" s="127" t="str">
        <f aca="false">ExportRaw!$B329</f>
        <v/>
      </c>
    </row>
    <row r="330" customFormat="false" ht="15.75" hidden="false" customHeight="false" outlineLevel="0" collapsed="false">
      <c r="A330" s="127" t="n">
        <f aca="false">ExportRaw!$F330</f>
        <v>0</v>
      </c>
      <c r="B330" s="127" t="n">
        <f aca="false">ExportRaw!$C330</f>
        <v>0</v>
      </c>
      <c r="C330" s="127" t="n">
        <f aca="false">ExportRaw!$G330</f>
        <v>0</v>
      </c>
      <c r="D330" s="127" t="str">
        <f aca="false">ExportRaw!$E330</f>
        <v/>
      </c>
      <c r="E330" s="128" t="str">
        <f aca="false">ExportRaw!$D330</f>
        <v/>
      </c>
      <c r="F330" s="127" t="str">
        <f aca="false">ExportRaw!$H330</f>
        <v/>
      </c>
      <c r="G330" s="129" t="str">
        <f aca="false">ExportRaw!$I330</f>
        <v/>
      </c>
      <c r="H330" s="127" t="str">
        <f aca="false">ExportRaw!$A330</f>
        <v/>
      </c>
      <c r="I330" s="127" t="str">
        <f aca="false">ExportRaw!$B330</f>
        <v/>
      </c>
    </row>
    <row r="331" customFormat="false" ht="15.75" hidden="false" customHeight="false" outlineLevel="0" collapsed="false">
      <c r="A331" s="127" t="n">
        <f aca="false">ExportRaw!$F331</f>
        <v>0</v>
      </c>
      <c r="B331" s="127" t="n">
        <f aca="false">ExportRaw!$C331</f>
        <v>0</v>
      </c>
      <c r="C331" s="127" t="n">
        <f aca="false">ExportRaw!$G331</f>
        <v>0</v>
      </c>
      <c r="D331" s="127" t="str">
        <f aca="false">ExportRaw!$E331</f>
        <v/>
      </c>
      <c r="E331" s="128" t="str">
        <f aca="false">ExportRaw!$D331</f>
        <v/>
      </c>
      <c r="F331" s="127" t="str">
        <f aca="false">ExportRaw!$H331</f>
        <v/>
      </c>
      <c r="G331" s="129" t="str">
        <f aca="false">ExportRaw!$I331</f>
        <v/>
      </c>
      <c r="H331" s="127" t="str">
        <f aca="false">ExportRaw!$A331</f>
        <v/>
      </c>
      <c r="I331" s="127" t="str">
        <f aca="false">ExportRaw!$B331</f>
        <v/>
      </c>
    </row>
    <row r="332" customFormat="false" ht="15.75" hidden="false" customHeight="false" outlineLevel="0" collapsed="false">
      <c r="A332" s="127" t="n">
        <f aca="false">ExportRaw!$F332</f>
        <v>0</v>
      </c>
      <c r="B332" s="127" t="n">
        <f aca="false">ExportRaw!$C332</f>
        <v>0</v>
      </c>
      <c r="C332" s="127" t="n">
        <f aca="false">ExportRaw!$G332</f>
        <v>0</v>
      </c>
      <c r="D332" s="127" t="str">
        <f aca="false">ExportRaw!$E332</f>
        <v/>
      </c>
      <c r="E332" s="128" t="str">
        <f aca="false">ExportRaw!$D332</f>
        <v/>
      </c>
      <c r="F332" s="127" t="str">
        <f aca="false">ExportRaw!$H332</f>
        <v/>
      </c>
      <c r="G332" s="129" t="str">
        <f aca="false">ExportRaw!$I332</f>
        <v/>
      </c>
      <c r="H332" s="127" t="str">
        <f aca="false">ExportRaw!$A332</f>
        <v/>
      </c>
      <c r="I332" s="127" t="str">
        <f aca="false">ExportRaw!$B332</f>
        <v/>
      </c>
    </row>
    <row r="333" customFormat="false" ht="15.75" hidden="false" customHeight="false" outlineLevel="0" collapsed="false">
      <c r="A333" s="127" t="n">
        <f aca="false">ExportRaw!$F333</f>
        <v>0</v>
      </c>
      <c r="B333" s="127" t="n">
        <f aca="false">ExportRaw!$C333</f>
        <v>0</v>
      </c>
      <c r="C333" s="127" t="n">
        <f aca="false">ExportRaw!$G333</f>
        <v>0</v>
      </c>
      <c r="D333" s="127" t="str">
        <f aca="false">ExportRaw!$E333</f>
        <v/>
      </c>
      <c r="E333" s="128" t="str">
        <f aca="false">ExportRaw!$D333</f>
        <v/>
      </c>
      <c r="F333" s="127" t="str">
        <f aca="false">ExportRaw!$H333</f>
        <v/>
      </c>
      <c r="G333" s="129" t="str">
        <f aca="false">ExportRaw!$I333</f>
        <v/>
      </c>
      <c r="H333" s="127" t="str">
        <f aca="false">ExportRaw!$A333</f>
        <v/>
      </c>
      <c r="I333" s="127" t="str">
        <f aca="false">ExportRaw!$B333</f>
        <v/>
      </c>
    </row>
    <row r="334" customFormat="false" ht="15.75" hidden="false" customHeight="false" outlineLevel="0" collapsed="false">
      <c r="A334" s="127" t="n">
        <f aca="false">ExportRaw!$F334</f>
        <v>0</v>
      </c>
      <c r="B334" s="127" t="n">
        <f aca="false">ExportRaw!$C334</f>
        <v>0</v>
      </c>
      <c r="C334" s="127" t="n">
        <f aca="false">ExportRaw!$G334</f>
        <v>0</v>
      </c>
      <c r="D334" s="127" t="str">
        <f aca="false">ExportRaw!$E334</f>
        <v/>
      </c>
      <c r="E334" s="128" t="str">
        <f aca="false">ExportRaw!$D334</f>
        <v/>
      </c>
      <c r="F334" s="127" t="str">
        <f aca="false">ExportRaw!$H334</f>
        <v/>
      </c>
      <c r="G334" s="129" t="str">
        <f aca="false">ExportRaw!$I334</f>
        <v/>
      </c>
      <c r="H334" s="127" t="str">
        <f aca="false">ExportRaw!$A334</f>
        <v/>
      </c>
      <c r="I334" s="127" t="str">
        <f aca="false">ExportRaw!$B334</f>
        <v/>
      </c>
    </row>
    <row r="335" customFormat="false" ht="15.75" hidden="false" customHeight="false" outlineLevel="0" collapsed="false">
      <c r="A335" s="127" t="n">
        <f aca="false">ExportRaw!$F335</f>
        <v>0</v>
      </c>
      <c r="B335" s="127" t="n">
        <f aca="false">ExportRaw!$C335</f>
        <v>0</v>
      </c>
      <c r="C335" s="127" t="n">
        <f aca="false">ExportRaw!$G335</f>
        <v>0</v>
      </c>
      <c r="D335" s="127" t="str">
        <f aca="false">ExportRaw!$E335</f>
        <v/>
      </c>
      <c r="E335" s="128" t="str">
        <f aca="false">ExportRaw!$D335</f>
        <v/>
      </c>
      <c r="F335" s="127" t="str">
        <f aca="false">ExportRaw!$H335</f>
        <v/>
      </c>
      <c r="G335" s="129" t="str">
        <f aca="false">ExportRaw!$I335</f>
        <v/>
      </c>
      <c r="H335" s="127" t="str">
        <f aca="false">ExportRaw!$A335</f>
        <v/>
      </c>
      <c r="I335" s="127" t="str">
        <f aca="false">ExportRaw!$B335</f>
        <v/>
      </c>
    </row>
    <row r="336" customFormat="false" ht="15.75" hidden="false" customHeight="false" outlineLevel="0" collapsed="false">
      <c r="A336" s="127" t="n">
        <f aca="false">ExportRaw!$F336</f>
        <v>0</v>
      </c>
      <c r="B336" s="127" t="n">
        <f aca="false">ExportRaw!$C336</f>
        <v>0</v>
      </c>
      <c r="C336" s="127" t="n">
        <f aca="false">ExportRaw!$G336</f>
        <v>0</v>
      </c>
      <c r="D336" s="127" t="str">
        <f aca="false">ExportRaw!$E336</f>
        <v/>
      </c>
      <c r="E336" s="128" t="str">
        <f aca="false">ExportRaw!$D336</f>
        <v/>
      </c>
      <c r="F336" s="127" t="str">
        <f aca="false">ExportRaw!$H336</f>
        <v/>
      </c>
      <c r="G336" s="129" t="str">
        <f aca="false">ExportRaw!$I336</f>
        <v/>
      </c>
      <c r="H336" s="127" t="str">
        <f aca="false">ExportRaw!$A336</f>
        <v/>
      </c>
      <c r="I336" s="127" t="str">
        <f aca="false">ExportRaw!$B336</f>
        <v/>
      </c>
    </row>
    <row r="337" customFormat="false" ht="15.75" hidden="false" customHeight="false" outlineLevel="0" collapsed="false">
      <c r="A337" s="127" t="n">
        <f aca="false">ExportRaw!$F337</f>
        <v>0</v>
      </c>
      <c r="B337" s="127" t="n">
        <f aca="false">ExportRaw!$C337</f>
        <v>0</v>
      </c>
      <c r="C337" s="127" t="n">
        <f aca="false">ExportRaw!$G337</f>
        <v>0</v>
      </c>
      <c r="D337" s="127" t="str">
        <f aca="false">ExportRaw!$E337</f>
        <v/>
      </c>
      <c r="E337" s="128" t="str">
        <f aca="false">ExportRaw!$D337</f>
        <v/>
      </c>
      <c r="F337" s="127" t="str">
        <f aca="false">ExportRaw!$H337</f>
        <v/>
      </c>
      <c r="G337" s="129" t="str">
        <f aca="false">ExportRaw!$I337</f>
        <v/>
      </c>
      <c r="H337" s="127" t="str">
        <f aca="false">ExportRaw!$A337</f>
        <v/>
      </c>
      <c r="I337" s="127" t="str">
        <f aca="false">ExportRaw!$B337</f>
        <v/>
      </c>
    </row>
    <row r="338" customFormat="false" ht="15.75" hidden="false" customHeight="false" outlineLevel="0" collapsed="false">
      <c r="A338" s="127" t="n">
        <f aca="false">ExportRaw!$F338</f>
        <v>0</v>
      </c>
      <c r="B338" s="127" t="n">
        <f aca="false">ExportRaw!$C338</f>
        <v>0</v>
      </c>
      <c r="C338" s="127" t="n">
        <f aca="false">ExportRaw!$G338</f>
        <v>0</v>
      </c>
      <c r="D338" s="127" t="str">
        <f aca="false">ExportRaw!$E338</f>
        <v/>
      </c>
      <c r="E338" s="128" t="str">
        <f aca="false">ExportRaw!$D338</f>
        <v/>
      </c>
      <c r="F338" s="127" t="str">
        <f aca="false">ExportRaw!$H338</f>
        <v/>
      </c>
      <c r="G338" s="129" t="str">
        <f aca="false">ExportRaw!$I338</f>
        <v/>
      </c>
      <c r="H338" s="127" t="str">
        <f aca="false">ExportRaw!$A338</f>
        <v/>
      </c>
      <c r="I338" s="127" t="str">
        <f aca="false">ExportRaw!$B338</f>
        <v/>
      </c>
    </row>
    <row r="339" customFormat="false" ht="15.75" hidden="false" customHeight="false" outlineLevel="0" collapsed="false">
      <c r="A339" s="127" t="n">
        <f aca="false">ExportRaw!$F339</f>
        <v>0</v>
      </c>
      <c r="B339" s="127" t="n">
        <f aca="false">ExportRaw!$C339</f>
        <v>0</v>
      </c>
      <c r="C339" s="127" t="n">
        <f aca="false">ExportRaw!$G339</f>
        <v>0</v>
      </c>
      <c r="D339" s="127" t="str">
        <f aca="false">ExportRaw!$E339</f>
        <v/>
      </c>
      <c r="E339" s="128" t="str">
        <f aca="false">ExportRaw!$D339</f>
        <v/>
      </c>
      <c r="F339" s="127" t="str">
        <f aca="false">ExportRaw!$H339</f>
        <v/>
      </c>
      <c r="G339" s="129" t="str">
        <f aca="false">ExportRaw!$I339</f>
        <v/>
      </c>
      <c r="H339" s="127" t="str">
        <f aca="false">ExportRaw!$A339</f>
        <v/>
      </c>
      <c r="I339" s="127" t="str">
        <f aca="false">ExportRaw!$B339</f>
        <v/>
      </c>
    </row>
    <row r="340" customFormat="false" ht="15.75" hidden="false" customHeight="false" outlineLevel="0" collapsed="false">
      <c r="A340" s="127" t="n">
        <f aca="false">ExportRaw!$F340</f>
        <v>0</v>
      </c>
      <c r="B340" s="127" t="n">
        <f aca="false">ExportRaw!$C340</f>
        <v>0</v>
      </c>
      <c r="C340" s="127" t="n">
        <f aca="false">ExportRaw!$G340</f>
        <v>0</v>
      </c>
      <c r="D340" s="127" t="str">
        <f aca="false">ExportRaw!$E340</f>
        <v/>
      </c>
      <c r="E340" s="128" t="str">
        <f aca="false">ExportRaw!$D340</f>
        <v/>
      </c>
      <c r="F340" s="127" t="str">
        <f aca="false">ExportRaw!$H340</f>
        <v/>
      </c>
      <c r="G340" s="129" t="str">
        <f aca="false">ExportRaw!$I340</f>
        <v/>
      </c>
      <c r="H340" s="127" t="str">
        <f aca="false">ExportRaw!$A340</f>
        <v/>
      </c>
      <c r="I340" s="127" t="str">
        <f aca="false">ExportRaw!$B340</f>
        <v/>
      </c>
    </row>
    <row r="341" customFormat="false" ht="15.75" hidden="false" customHeight="false" outlineLevel="0" collapsed="false">
      <c r="A341" s="127" t="n">
        <f aca="false">ExportRaw!$F341</f>
        <v>0</v>
      </c>
      <c r="B341" s="127" t="n">
        <f aca="false">ExportRaw!$C341</f>
        <v>0</v>
      </c>
      <c r="C341" s="127" t="n">
        <f aca="false">ExportRaw!$G341</f>
        <v>0</v>
      </c>
      <c r="D341" s="127" t="str">
        <f aca="false">ExportRaw!$E341</f>
        <v/>
      </c>
      <c r="E341" s="128" t="str">
        <f aca="false">ExportRaw!$D341</f>
        <v/>
      </c>
      <c r="F341" s="127" t="str">
        <f aca="false">ExportRaw!$H341</f>
        <v/>
      </c>
      <c r="G341" s="129" t="str">
        <f aca="false">ExportRaw!$I341</f>
        <v/>
      </c>
      <c r="H341" s="127" t="str">
        <f aca="false">ExportRaw!$A341</f>
        <v/>
      </c>
      <c r="I341" s="127" t="str">
        <f aca="false">ExportRaw!$B341</f>
        <v/>
      </c>
    </row>
    <row r="342" customFormat="false" ht="15.75" hidden="false" customHeight="false" outlineLevel="0" collapsed="false">
      <c r="A342" s="127" t="n">
        <f aca="false">ExportRaw!$F342</f>
        <v>0</v>
      </c>
      <c r="B342" s="127" t="n">
        <f aca="false">ExportRaw!$C342</f>
        <v>0</v>
      </c>
      <c r="C342" s="127" t="n">
        <f aca="false">ExportRaw!$G342</f>
        <v>0</v>
      </c>
      <c r="D342" s="127" t="str">
        <f aca="false">ExportRaw!$E342</f>
        <v/>
      </c>
      <c r="E342" s="128" t="str">
        <f aca="false">ExportRaw!$D342</f>
        <v/>
      </c>
      <c r="F342" s="127" t="str">
        <f aca="false">ExportRaw!$H342</f>
        <v/>
      </c>
      <c r="G342" s="129" t="str">
        <f aca="false">ExportRaw!$I342</f>
        <v/>
      </c>
      <c r="H342" s="127" t="str">
        <f aca="false">ExportRaw!$A342</f>
        <v/>
      </c>
      <c r="I342" s="127" t="str">
        <f aca="false">ExportRaw!$B342</f>
        <v/>
      </c>
    </row>
    <row r="343" customFormat="false" ht="15.75" hidden="false" customHeight="false" outlineLevel="0" collapsed="false">
      <c r="A343" s="127" t="n">
        <f aca="false">ExportRaw!$F343</f>
        <v>0</v>
      </c>
      <c r="B343" s="127" t="n">
        <f aca="false">ExportRaw!$C343</f>
        <v>0</v>
      </c>
      <c r="C343" s="127" t="n">
        <f aca="false">ExportRaw!$G343</f>
        <v>0</v>
      </c>
      <c r="D343" s="127" t="str">
        <f aca="false">ExportRaw!$E343</f>
        <v/>
      </c>
      <c r="E343" s="128" t="str">
        <f aca="false">ExportRaw!$D343</f>
        <v/>
      </c>
      <c r="F343" s="127" t="str">
        <f aca="false">ExportRaw!$H343</f>
        <v/>
      </c>
      <c r="G343" s="129" t="str">
        <f aca="false">ExportRaw!$I343</f>
        <v/>
      </c>
      <c r="H343" s="127" t="str">
        <f aca="false">ExportRaw!$A343</f>
        <v/>
      </c>
      <c r="I343" s="127" t="str">
        <f aca="false">ExportRaw!$B343</f>
        <v/>
      </c>
    </row>
    <row r="344" customFormat="false" ht="15.75" hidden="false" customHeight="false" outlineLevel="0" collapsed="false">
      <c r="A344" s="127" t="n">
        <f aca="false">ExportRaw!$F344</f>
        <v>0</v>
      </c>
      <c r="B344" s="127" t="n">
        <f aca="false">ExportRaw!$C344</f>
        <v>0</v>
      </c>
      <c r="C344" s="127" t="n">
        <f aca="false">ExportRaw!$G344</f>
        <v>0</v>
      </c>
      <c r="D344" s="127" t="str">
        <f aca="false">ExportRaw!$E344</f>
        <v/>
      </c>
      <c r="E344" s="128" t="str">
        <f aca="false">ExportRaw!$D344</f>
        <v/>
      </c>
      <c r="F344" s="127" t="str">
        <f aca="false">ExportRaw!$H344</f>
        <v/>
      </c>
      <c r="G344" s="129" t="str">
        <f aca="false">ExportRaw!$I344</f>
        <v/>
      </c>
      <c r="H344" s="127" t="str">
        <f aca="false">ExportRaw!$A344</f>
        <v/>
      </c>
      <c r="I344" s="127" t="str">
        <f aca="false">ExportRaw!$B344</f>
        <v/>
      </c>
    </row>
    <row r="345" customFormat="false" ht="15.75" hidden="false" customHeight="false" outlineLevel="0" collapsed="false">
      <c r="A345" s="127" t="n">
        <f aca="false">ExportRaw!$F345</f>
        <v>0</v>
      </c>
      <c r="B345" s="127" t="n">
        <f aca="false">ExportRaw!$C345</f>
        <v>0</v>
      </c>
      <c r="C345" s="127" t="n">
        <f aca="false">ExportRaw!$G345</f>
        <v>0</v>
      </c>
      <c r="D345" s="127" t="str">
        <f aca="false">ExportRaw!$E345</f>
        <v/>
      </c>
      <c r="E345" s="128" t="str">
        <f aca="false">ExportRaw!$D345</f>
        <v/>
      </c>
      <c r="F345" s="127" t="str">
        <f aca="false">ExportRaw!$H345</f>
        <v/>
      </c>
      <c r="G345" s="129" t="str">
        <f aca="false">ExportRaw!$I345</f>
        <v/>
      </c>
      <c r="H345" s="127" t="str">
        <f aca="false">ExportRaw!$A345</f>
        <v/>
      </c>
      <c r="I345" s="127" t="str">
        <f aca="false">ExportRaw!$B345</f>
        <v/>
      </c>
    </row>
    <row r="346" customFormat="false" ht="15.75" hidden="false" customHeight="false" outlineLevel="0" collapsed="false">
      <c r="A346" s="127" t="n">
        <f aca="false">ExportRaw!$F346</f>
        <v>0</v>
      </c>
      <c r="B346" s="127" t="n">
        <f aca="false">ExportRaw!$C346</f>
        <v>0</v>
      </c>
      <c r="C346" s="127" t="n">
        <f aca="false">ExportRaw!$G346</f>
        <v>0</v>
      </c>
      <c r="D346" s="127" t="str">
        <f aca="false">ExportRaw!$E346</f>
        <v/>
      </c>
      <c r="E346" s="128" t="str">
        <f aca="false">ExportRaw!$D346</f>
        <v/>
      </c>
      <c r="F346" s="127" t="str">
        <f aca="false">ExportRaw!$H346</f>
        <v/>
      </c>
      <c r="G346" s="129" t="str">
        <f aca="false">ExportRaw!$I346</f>
        <v/>
      </c>
      <c r="H346" s="127" t="str">
        <f aca="false">ExportRaw!$A346</f>
        <v/>
      </c>
      <c r="I346" s="127" t="str">
        <f aca="false">ExportRaw!$B346</f>
        <v/>
      </c>
    </row>
    <row r="347" customFormat="false" ht="15.75" hidden="false" customHeight="false" outlineLevel="0" collapsed="false">
      <c r="A347" s="127" t="n">
        <f aca="false">ExportRaw!$F347</f>
        <v>0</v>
      </c>
      <c r="B347" s="127" t="n">
        <f aca="false">ExportRaw!$C347</f>
        <v>0</v>
      </c>
      <c r="C347" s="127" t="n">
        <f aca="false">ExportRaw!$G347</f>
        <v>0</v>
      </c>
      <c r="D347" s="127" t="str">
        <f aca="false">ExportRaw!$E347</f>
        <v/>
      </c>
      <c r="E347" s="128" t="str">
        <f aca="false">ExportRaw!$D347</f>
        <v/>
      </c>
      <c r="F347" s="127" t="str">
        <f aca="false">ExportRaw!$H347</f>
        <v/>
      </c>
      <c r="G347" s="129" t="str">
        <f aca="false">ExportRaw!$I347</f>
        <v/>
      </c>
      <c r="H347" s="127" t="str">
        <f aca="false">ExportRaw!$A347</f>
        <v/>
      </c>
      <c r="I347" s="127" t="str">
        <f aca="false">ExportRaw!$B347</f>
        <v/>
      </c>
    </row>
    <row r="348" customFormat="false" ht="15.75" hidden="false" customHeight="false" outlineLevel="0" collapsed="false">
      <c r="A348" s="127" t="n">
        <f aca="false">ExportRaw!$F348</f>
        <v>0</v>
      </c>
      <c r="B348" s="127" t="n">
        <f aca="false">ExportRaw!$C348</f>
        <v>0</v>
      </c>
      <c r="C348" s="127" t="n">
        <f aca="false">ExportRaw!$G348</f>
        <v>0</v>
      </c>
      <c r="D348" s="127" t="str">
        <f aca="false">ExportRaw!$E348</f>
        <v/>
      </c>
      <c r="E348" s="128" t="str">
        <f aca="false">ExportRaw!$D348</f>
        <v/>
      </c>
      <c r="F348" s="127" t="str">
        <f aca="false">ExportRaw!$H348</f>
        <v/>
      </c>
      <c r="G348" s="129" t="str">
        <f aca="false">ExportRaw!$I348</f>
        <v/>
      </c>
      <c r="H348" s="127" t="str">
        <f aca="false">ExportRaw!$A348</f>
        <v/>
      </c>
      <c r="I348" s="127" t="str">
        <f aca="false">ExportRaw!$B348</f>
        <v/>
      </c>
    </row>
    <row r="349" customFormat="false" ht="15.75" hidden="false" customHeight="false" outlineLevel="0" collapsed="false">
      <c r="A349" s="127" t="n">
        <f aca="false">ExportRaw!$F349</f>
        <v>0</v>
      </c>
      <c r="B349" s="127" t="n">
        <f aca="false">ExportRaw!$C349</f>
        <v>0</v>
      </c>
      <c r="C349" s="127" t="n">
        <f aca="false">ExportRaw!$G349</f>
        <v>0</v>
      </c>
      <c r="D349" s="127" t="str">
        <f aca="false">ExportRaw!$E349</f>
        <v/>
      </c>
      <c r="E349" s="128" t="str">
        <f aca="false">ExportRaw!$D349</f>
        <v/>
      </c>
      <c r="F349" s="127" t="str">
        <f aca="false">ExportRaw!$H349</f>
        <v/>
      </c>
      <c r="G349" s="129" t="str">
        <f aca="false">ExportRaw!$I349</f>
        <v/>
      </c>
      <c r="H349" s="127" t="str">
        <f aca="false">ExportRaw!$A349</f>
        <v/>
      </c>
      <c r="I349" s="127" t="str">
        <f aca="false">ExportRaw!$B349</f>
        <v/>
      </c>
    </row>
    <row r="350" customFormat="false" ht="15.75" hidden="false" customHeight="false" outlineLevel="0" collapsed="false">
      <c r="A350" s="127" t="n">
        <f aca="false">ExportRaw!$F350</f>
        <v>0</v>
      </c>
      <c r="B350" s="127" t="n">
        <f aca="false">ExportRaw!$C350</f>
        <v>0</v>
      </c>
      <c r="C350" s="127" t="n">
        <f aca="false">ExportRaw!$G350</f>
        <v>0</v>
      </c>
      <c r="D350" s="127" t="str">
        <f aca="false">ExportRaw!$E350</f>
        <v/>
      </c>
      <c r="E350" s="128" t="str">
        <f aca="false">ExportRaw!$D350</f>
        <v/>
      </c>
      <c r="F350" s="127" t="str">
        <f aca="false">ExportRaw!$H350</f>
        <v/>
      </c>
      <c r="G350" s="129" t="str">
        <f aca="false">ExportRaw!$I350</f>
        <v/>
      </c>
      <c r="H350" s="127" t="str">
        <f aca="false">ExportRaw!$A350</f>
        <v/>
      </c>
      <c r="I350" s="127" t="str">
        <f aca="false">ExportRaw!$B350</f>
        <v/>
      </c>
    </row>
    <row r="351" customFormat="false" ht="15.75" hidden="false" customHeight="false" outlineLevel="0" collapsed="false">
      <c r="A351" s="127" t="n">
        <f aca="false">ExportRaw!$F351</f>
        <v>0</v>
      </c>
      <c r="B351" s="127" t="n">
        <f aca="false">ExportRaw!$C351</f>
        <v>0</v>
      </c>
      <c r="C351" s="127" t="n">
        <f aca="false">ExportRaw!$G351</f>
        <v>0</v>
      </c>
      <c r="D351" s="127" t="str">
        <f aca="false">ExportRaw!$E351</f>
        <v/>
      </c>
      <c r="E351" s="128" t="str">
        <f aca="false">ExportRaw!$D351</f>
        <v/>
      </c>
      <c r="F351" s="127" t="str">
        <f aca="false">ExportRaw!$H351</f>
        <v/>
      </c>
      <c r="G351" s="129" t="str">
        <f aca="false">ExportRaw!$I351</f>
        <v/>
      </c>
      <c r="H351" s="127" t="str">
        <f aca="false">ExportRaw!$A351</f>
        <v/>
      </c>
      <c r="I351" s="127" t="str">
        <f aca="false">ExportRaw!$B351</f>
        <v/>
      </c>
    </row>
    <row r="352" customFormat="false" ht="15.75" hidden="false" customHeight="false" outlineLevel="0" collapsed="false">
      <c r="A352" s="127" t="n">
        <f aca="false">ExportRaw!$F352</f>
        <v>0</v>
      </c>
      <c r="B352" s="127" t="n">
        <f aca="false">ExportRaw!$C352</f>
        <v>0</v>
      </c>
      <c r="C352" s="127" t="n">
        <f aca="false">ExportRaw!$G352</f>
        <v>0</v>
      </c>
      <c r="D352" s="127" t="str">
        <f aca="false">ExportRaw!$E352</f>
        <v/>
      </c>
      <c r="E352" s="128" t="str">
        <f aca="false">ExportRaw!$D352</f>
        <v/>
      </c>
      <c r="F352" s="127" t="str">
        <f aca="false">ExportRaw!$H352</f>
        <v/>
      </c>
      <c r="G352" s="129" t="str">
        <f aca="false">ExportRaw!$I352</f>
        <v/>
      </c>
      <c r="H352" s="127" t="str">
        <f aca="false">ExportRaw!$A352</f>
        <v/>
      </c>
      <c r="I352" s="127" t="str">
        <f aca="false">ExportRaw!$B352</f>
        <v/>
      </c>
    </row>
    <row r="353" customFormat="false" ht="15.75" hidden="false" customHeight="false" outlineLevel="0" collapsed="false">
      <c r="A353" s="127" t="n">
        <f aca="false">ExportRaw!$F353</f>
        <v>0</v>
      </c>
      <c r="B353" s="127" t="n">
        <f aca="false">ExportRaw!$C353</f>
        <v>0</v>
      </c>
      <c r="C353" s="127" t="n">
        <f aca="false">ExportRaw!$G353</f>
        <v>0</v>
      </c>
      <c r="D353" s="127" t="str">
        <f aca="false">ExportRaw!$E353</f>
        <v/>
      </c>
      <c r="E353" s="128" t="str">
        <f aca="false">ExportRaw!$D353</f>
        <v/>
      </c>
      <c r="F353" s="127" t="str">
        <f aca="false">ExportRaw!$H353</f>
        <v/>
      </c>
      <c r="G353" s="129" t="str">
        <f aca="false">ExportRaw!$I353</f>
        <v/>
      </c>
      <c r="H353" s="127" t="str">
        <f aca="false">ExportRaw!$A353</f>
        <v/>
      </c>
      <c r="I353" s="127" t="str">
        <f aca="false">ExportRaw!$B353</f>
        <v/>
      </c>
    </row>
    <row r="354" customFormat="false" ht="15.75" hidden="false" customHeight="false" outlineLevel="0" collapsed="false">
      <c r="A354" s="127" t="n">
        <f aca="false">ExportRaw!$F354</f>
        <v>0</v>
      </c>
      <c r="B354" s="127" t="n">
        <f aca="false">ExportRaw!$C354</f>
        <v>0</v>
      </c>
      <c r="C354" s="127" t="n">
        <f aca="false">ExportRaw!$G354</f>
        <v>0</v>
      </c>
      <c r="D354" s="127" t="str">
        <f aca="false">ExportRaw!$E354</f>
        <v/>
      </c>
      <c r="E354" s="128" t="str">
        <f aca="false">ExportRaw!$D354</f>
        <v/>
      </c>
      <c r="F354" s="127" t="str">
        <f aca="false">ExportRaw!$H354</f>
        <v/>
      </c>
      <c r="G354" s="129" t="str">
        <f aca="false">ExportRaw!$I354</f>
        <v/>
      </c>
      <c r="H354" s="127" t="str">
        <f aca="false">ExportRaw!$A354</f>
        <v/>
      </c>
      <c r="I354" s="127" t="str">
        <f aca="false">ExportRaw!$B354</f>
        <v/>
      </c>
    </row>
    <row r="355" customFormat="false" ht="15.75" hidden="false" customHeight="false" outlineLevel="0" collapsed="false">
      <c r="A355" s="127" t="n">
        <f aca="false">ExportRaw!$F355</f>
        <v>0</v>
      </c>
      <c r="B355" s="127" t="n">
        <f aca="false">ExportRaw!$C355</f>
        <v>0</v>
      </c>
      <c r="C355" s="127" t="n">
        <f aca="false">ExportRaw!$G355</f>
        <v>0</v>
      </c>
      <c r="D355" s="127" t="str">
        <f aca="false">ExportRaw!$E355</f>
        <v/>
      </c>
      <c r="E355" s="128" t="str">
        <f aca="false">ExportRaw!$D355</f>
        <v/>
      </c>
      <c r="F355" s="127" t="str">
        <f aca="false">ExportRaw!$H355</f>
        <v/>
      </c>
      <c r="G355" s="129" t="str">
        <f aca="false">ExportRaw!$I355</f>
        <v/>
      </c>
      <c r="H355" s="127" t="str">
        <f aca="false">ExportRaw!$A355</f>
        <v/>
      </c>
      <c r="I355" s="127" t="str">
        <f aca="false">ExportRaw!$B355</f>
        <v/>
      </c>
    </row>
    <row r="356" customFormat="false" ht="15.75" hidden="false" customHeight="false" outlineLevel="0" collapsed="false">
      <c r="A356" s="127" t="n">
        <f aca="false">ExportRaw!$F356</f>
        <v>0</v>
      </c>
      <c r="B356" s="127" t="n">
        <f aca="false">ExportRaw!$C356</f>
        <v>0</v>
      </c>
      <c r="C356" s="127" t="n">
        <f aca="false">ExportRaw!$G356</f>
        <v>0</v>
      </c>
      <c r="D356" s="127" t="str">
        <f aca="false">ExportRaw!$E356</f>
        <v/>
      </c>
      <c r="E356" s="128" t="str">
        <f aca="false">ExportRaw!$D356</f>
        <v/>
      </c>
      <c r="F356" s="127" t="str">
        <f aca="false">ExportRaw!$H356</f>
        <v/>
      </c>
      <c r="G356" s="129" t="str">
        <f aca="false">ExportRaw!$I356</f>
        <v/>
      </c>
      <c r="H356" s="127" t="str">
        <f aca="false">ExportRaw!$A356</f>
        <v/>
      </c>
      <c r="I356" s="127" t="str">
        <f aca="false">ExportRaw!$B356</f>
        <v/>
      </c>
    </row>
    <row r="357" customFormat="false" ht="15.75" hidden="false" customHeight="false" outlineLevel="0" collapsed="false">
      <c r="A357" s="127" t="n">
        <f aca="false">ExportRaw!$F357</f>
        <v>0</v>
      </c>
      <c r="B357" s="127" t="n">
        <f aca="false">ExportRaw!$C357</f>
        <v>0</v>
      </c>
      <c r="C357" s="127" t="n">
        <f aca="false">ExportRaw!$G357</f>
        <v>0</v>
      </c>
      <c r="D357" s="127" t="str">
        <f aca="false">ExportRaw!$E357</f>
        <v/>
      </c>
      <c r="E357" s="128" t="str">
        <f aca="false">ExportRaw!$D357</f>
        <v/>
      </c>
      <c r="F357" s="127" t="str">
        <f aca="false">ExportRaw!$H357</f>
        <v/>
      </c>
      <c r="G357" s="129" t="str">
        <f aca="false">ExportRaw!$I357</f>
        <v/>
      </c>
      <c r="H357" s="127" t="str">
        <f aca="false">ExportRaw!$A357</f>
        <v/>
      </c>
      <c r="I357" s="127" t="str">
        <f aca="false">ExportRaw!$B357</f>
        <v/>
      </c>
    </row>
    <row r="358" customFormat="false" ht="15.75" hidden="false" customHeight="false" outlineLevel="0" collapsed="false">
      <c r="A358" s="127" t="n">
        <f aca="false">ExportRaw!$F358</f>
        <v>0</v>
      </c>
      <c r="B358" s="127" t="n">
        <f aca="false">ExportRaw!$C358</f>
        <v>0</v>
      </c>
      <c r="C358" s="127" t="n">
        <f aca="false">ExportRaw!$G358</f>
        <v>0</v>
      </c>
      <c r="D358" s="127" t="str">
        <f aca="false">ExportRaw!$E358</f>
        <v/>
      </c>
      <c r="E358" s="128" t="str">
        <f aca="false">ExportRaw!$D358</f>
        <v/>
      </c>
      <c r="F358" s="127" t="str">
        <f aca="false">ExportRaw!$H358</f>
        <v/>
      </c>
      <c r="G358" s="129" t="str">
        <f aca="false">ExportRaw!$I358</f>
        <v/>
      </c>
      <c r="H358" s="127" t="str">
        <f aca="false">ExportRaw!$A358</f>
        <v/>
      </c>
      <c r="I358" s="127" t="str">
        <f aca="false">ExportRaw!$B358</f>
        <v/>
      </c>
    </row>
    <row r="359" customFormat="false" ht="15.75" hidden="false" customHeight="false" outlineLevel="0" collapsed="false">
      <c r="A359" s="127" t="n">
        <f aca="false">ExportRaw!$F359</f>
        <v>0</v>
      </c>
      <c r="B359" s="127" t="n">
        <f aca="false">ExportRaw!$C359</f>
        <v>0</v>
      </c>
      <c r="C359" s="127" t="n">
        <f aca="false">ExportRaw!$G359</f>
        <v>0</v>
      </c>
      <c r="D359" s="127" t="str">
        <f aca="false">ExportRaw!$E359</f>
        <v/>
      </c>
      <c r="E359" s="128" t="str">
        <f aca="false">ExportRaw!$D359</f>
        <v/>
      </c>
      <c r="F359" s="127" t="str">
        <f aca="false">ExportRaw!$H359</f>
        <v/>
      </c>
      <c r="G359" s="129" t="str">
        <f aca="false">ExportRaw!$I359</f>
        <v/>
      </c>
      <c r="H359" s="127" t="str">
        <f aca="false">ExportRaw!$A359</f>
        <v/>
      </c>
      <c r="I359" s="127" t="str">
        <f aca="false">ExportRaw!$B359</f>
        <v/>
      </c>
    </row>
    <row r="360" customFormat="false" ht="15.75" hidden="false" customHeight="false" outlineLevel="0" collapsed="false">
      <c r="A360" s="127" t="n">
        <f aca="false">ExportRaw!$F360</f>
        <v>0</v>
      </c>
      <c r="B360" s="127" t="n">
        <f aca="false">ExportRaw!$C360</f>
        <v>0</v>
      </c>
      <c r="C360" s="127" t="n">
        <f aca="false">ExportRaw!$G360</f>
        <v>0</v>
      </c>
      <c r="D360" s="127" t="str">
        <f aca="false">ExportRaw!$E360</f>
        <v/>
      </c>
      <c r="E360" s="128" t="str">
        <f aca="false">ExportRaw!$D360</f>
        <v/>
      </c>
      <c r="F360" s="127" t="str">
        <f aca="false">ExportRaw!$H360</f>
        <v/>
      </c>
      <c r="G360" s="129" t="str">
        <f aca="false">ExportRaw!$I360</f>
        <v/>
      </c>
      <c r="H360" s="127" t="str">
        <f aca="false">ExportRaw!$A360</f>
        <v/>
      </c>
      <c r="I360" s="127" t="str">
        <f aca="false">ExportRaw!$B360</f>
        <v/>
      </c>
    </row>
    <row r="361" customFormat="false" ht="15.75" hidden="false" customHeight="false" outlineLevel="0" collapsed="false">
      <c r="A361" s="127" t="n">
        <f aca="false">ExportRaw!$F361</f>
        <v>0</v>
      </c>
      <c r="B361" s="127" t="n">
        <f aca="false">ExportRaw!$C361</f>
        <v>0</v>
      </c>
      <c r="C361" s="127" t="n">
        <f aca="false">ExportRaw!$G361</f>
        <v>0</v>
      </c>
      <c r="D361" s="127" t="str">
        <f aca="false">ExportRaw!$E361</f>
        <v/>
      </c>
      <c r="E361" s="128" t="str">
        <f aca="false">ExportRaw!$D361</f>
        <v/>
      </c>
      <c r="F361" s="127" t="str">
        <f aca="false">ExportRaw!$H361</f>
        <v/>
      </c>
      <c r="G361" s="129" t="str">
        <f aca="false">ExportRaw!$I361</f>
        <v/>
      </c>
      <c r="H361" s="127" t="str">
        <f aca="false">ExportRaw!$A361</f>
        <v/>
      </c>
      <c r="I361" s="127" t="str">
        <f aca="false">ExportRaw!$B361</f>
        <v/>
      </c>
    </row>
    <row r="362" customFormat="false" ht="15.75" hidden="false" customHeight="false" outlineLevel="0" collapsed="false">
      <c r="A362" s="127" t="n">
        <f aca="false">ExportRaw!$F362</f>
        <v>0</v>
      </c>
      <c r="B362" s="127" t="n">
        <f aca="false">ExportRaw!$C362</f>
        <v>0</v>
      </c>
      <c r="C362" s="127" t="n">
        <f aca="false">ExportRaw!$G362</f>
        <v>0</v>
      </c>
      <c r="D362" s="127" t="str">
        <f aca="false">ExportRaw!$E362</f>
        <v/>
      </c>
      <c r="E362" s="128" t="str">
        <f aca="false">ExportRaw!$D362</f>
        <v/>
      </c>
      <c r="F362" s="127" t="str">
        <f aca="false">ExportRaw!$H362</f>
        <v/>
      </c>
      <c r="G362" s="129" t="str">
        <f aca="false">ExportRaw!$I362</f>
        <v/>
      </c>
      <c r="H362" s="127" t="str">
        <f aca="false">ExportRaw!$A362</f>
        <v/>
      </c>
      <c r="I362" s="127" t="str">
        <f aca="false">ExportRaw!$B362</f>
        <v/>
      </c>
    </row>
    <row r="363" customFormat="false" ht="15.75" hidden="false" customHeight="false" outlineLevel="0" collapsed="false">
      <c r="A363" s="127" t="n">
        <f aca="false">ExportRaw!$F363</f>
        <v>0</v>
      </c>
      <c r="B363" s="127" t="n">
        <f aca="false">ExportRaw!$C363</f>
        <v>0</v>
      </c>
      <c r="C363" s="127" t="n">
        <f aca="false">ExportRaw!$G363</f>
        <v>0</v>
      </c>
      <c r="D363" s="127" t="str">
        <f aca="false">ExportRaw!$E363</f>
        <v/>
      </c>
      <c r="E363" s="128" t="str">
        <f aca="false">ExportRaw!$D363</f>
        <v/>
      </c>
      <c r="F363" s="127" t="str">
        <f aca="false">ExportRaw!$H363</f>
        <v/>
      </c>
      <c r="G363" s="129" t="str">
        <f aca="false">ExportRaw!$I363</f>
        <v/>
      </c>
      <c r="H363" s="127" t="str">
        <f aca="false">ExportRaw!$A363</f>
        <v/>
      </c>
      <c r="I363" s="127" t="str">
        <f aca="false">ExportRaw!$B363</f>
        <v/>
      </c>
    </row>
    <row r="364" customFormat="false" ht="15.75" hidden="false" customHeight="false" outlineLevel="0" collapsed="false">
      <c r="A364" s="127" t="n">
        <f aca="false">ExportRaw!$F364</f>
        <v>0</v>
      </c>
      <c r="B364" s="127" t="n">
        <f aca="false">ExportRaw!$C364</f>
        <v>0</v>
      </c>
      <c r="C364" s="127" t="n">
        <f aca="false">ExportRaw!$G364</f>
        <v>0</v>
      </c>
      <c r="D364" s="127" t="str">
        <f aca="false">ExportRaw!$E364</f>
        <v/>
      </c>
      <c r="E364" s="128" t="str">
        <f aca="false">ExportRaw!$D364</f>
        <v/>
      </c>
      <c r="F364" s="127" t="str">
        <f aca="false">ExportRaw!$H364</f>
        <v/>
      </c>
      <c r="G364" s="129" t="str">
        <f aca="false">ExportRaw!$I364</f>
        <v/>
      </c>
      <c r="H364" s="127" t="str">
        <f aca="false">ExportRaw!$A364</f>
        <v/>
      </c>
      <c r="I364" s="127" t="str">
        <f aca="false">ExportRaw!$B364</f>
        <v/>
      </c>
    </row>
    <row r="365" customFormat="false" ht="15.75" hidden="false" customHeight="false" outlineLevel="0" collapsed="false">
      <c r="A365" s="127" t="n">
        <f aca="false">ExportRaw!$F365</f>
        <v>0</v>
      </c>
      <c r="B365" s="127" t="n">
        <f aca="false">ExportRaw!$C365</f>
        <v>0</v>
      </c>
      <c r="C365" s="127" t="n">
        <f aca="false">ExportRaw!$G365</f>
        <v>0</v>
      </c>
      <c r="D365" s="127" t="str">
        <f aca="false">ExportRaw!$E365</f>
        <v/>
      </c>
      <c r="E365" s="128" t="str">
        <f aca="false">ExportRaw!$D365</f>
        <v/>
      </c>
      <c r="F365" s="127" t="str">
        <f aca="false">ExportRaw!$H365</f>
        <v/>
      </c>
      <c r="G365" s="129" t="str">
        <f aca="false">ExportRaw!$I365</f>
        <v/>
      </c>
      <c r="H365" s="127" t="str">
        <f aca="false">ExportRaw!$A365</f>
        <v/>
      </c>
      <c r="I365" s="127" t="str">
        <f aca="false">ExportRaw!$B365</f>
        <v/>
      </c>
    </row>
    <row r="366" customFormat="false" ht="15.75" hidden="false" customHeight="false" outlineLevel="0" collapsed="false">
      <c r="A366" s="127" t="n">
        <f aca="false">ExportRaw!$F366</f>
        <v>0</v>
      </c>
      <c r="B366" s="127" t="n">
        <f aca="false">ExportRaw!$C366</f>
        <v>0</v>
      </c>
      <c r="C366" s="127" t="n">
        <f aca="false">ExportRaw!$G366</f>
        <v>0</v>
      </c>
      <c r="D366" s="127" t="str">
        <f aca="false">ExportRaw!$E366</f>
        <v/>
      </c>
      <c r="E366" s="128" t="str">
        <f aca="false">ExportRaw!$D366</f>
        <v/>
      </c>
      <c r="F366" s="127" t="str">
        <f aca="false">ExportRaw!$H366</f>
        <v/>
      </c>
      <c r="G366" s="129" t="str">
        <f aca="false">ExportRaw!$I366</f>
        <v/>
      </c>
      <c r="H366" s="127" t="str">
        <f aca="false">ExportRaw!$A366</f>
        <v/>
      </c>
      <c r="I366" s="127" t="str">
        <f aca="false">ExportRaw!$B366</f>
        <v/>
      </c>
    </row>
    <row r="367" customFormat="false" ht="15.75" hidden="false" customHeight="false" outlineLevel="0" collapsed="false">
      <c r="A367" s="127" t="n">
        <f aca="false">ExportRaw!$F367</f>
        <v>0</v>
      </c>
      <c r="B367" s="127" t="n">
        <f aca="false">ExportRaw!$C367</f>
        <v>0</v>
      </c>
      <c r="C367" s="127" t="n">
        <f aca="false">ExportRaw!$G367</f>
        <v>0</v>
      </c>
      <c r="D367" s="127" t="str">
        <f aca="false">ExportRaw!$E367</f>
        <v/>
      </c>
      <c r="E367" s="128" t="str">
        <f aca="false">ExportRaw!$D367</f>
        <v/>
      </c>
      <c r="F367" s="127" t="str">
        <f aca="false">ExportRaw!$H367</f>
        <v/>
      </c>
      <c r="G367" s="129" t="str">
        <f aca="false">ExportRaw!$I367</f>
        <v/>
      </c>
      <c r="H367" s="127" t="str">
        <f aca="false">ExportRaw!$A367</f>
        <v/>
      </c>
      <c r="I367" s="127" t="str">
        <f aca="false">ExportRaw!$B367</f>
        <v/>
      </c>
    </row>
    <row r="368" customFormat="false" ht="15.75" hidden="false" customHeight="false" outlineLevel="0" collapsed="false">
      <c r="A368" s="127" t="n">
        <f aca="false">ExportRaw!$F368</f>
        <v>0</v>
      </c>
      <c r="B368" s="127" t="n">
        <f aca="false">ExportRaw!$C368</f>
        <v>0</v>
      </c>
      <c r="C368" s="127" t="n">
        <f aca="false">ExportRaw!$G368</f>
        <v>0</v>
      </c>
      <c r="D368" s="127" t="str">
        <f aca="false">ExportRaw!$E368</f>
        <v/>
      </c>
      <c r="E368" s="128" t="str">
        <f aca="false">ExportRaw!$D368</f>
        <v/>
      </c>
      <c r="F368" s="127" t="str">
        <f aca="false">ExportRaw!$H368</f>
        <v/>
      </c>
      <c r="G368" s="129" t="str">
        <f aca="false">ExportRaw!$I368</f>
        <v/>
      </c>
      <c r="H368" s="127" t="str">
        <f aca="false">ExportRaw!$A368</f>
        <v/>
      </c>
      <c r="I368" s="127" t="str">
        <f aca="false">ExportRaw!$B368</f>
        <v/>
      </c>
    </row>
    <row r="369" customFormat="false" ht="15.75" hidden="false" customHeight="false" outlineLevel="0" collapsed="false">
      <c r="A369" s="127" t="n">
        <f aca="false">ExportRaw!$F369</f>
        <v>0</v>
      </c>
      <c r="B369" s="127" t="n">
        <f aca="false">ExportRaw!$C369</f>
        <v>0</v>
      </c>
      <c r="C369" s="127" t="n">
        <f aca="false">ExportRaw!$G369</f>
        <v>0</v>
      </c>
      <c r="D369" s="127" t="str">
        <f aca="false">ExportRaw!$E369</f>
        <v/>
      </c>
      <c r="E369" s="128" t="str">
        <f aca="false">ExportRaw!$D369</f>
        <v/>
      </c>
      <c r="F369" s="127" t="str">
        <f aca="false">ExportRaw!$H369</f>
        <v/>
      </c>
      <c r="G369" s="129" t="str">
        <f aca="false">ExportRaw!$I369</f>
        <v/>
      </c>
      <c r="H369" s="127" t="str">
        <f aca="false">ExportRaw!$A369</f>
        <v/>
      </c>
      <c r="I369" s="127" t="str">
        <f aca="false">ExportRaw!$B369</f>
        <v/>
      </c>
    </row>
    <row r="370" customFormat="false" ht="15.75" hidden="false" customHeight="false" outlineLevel="0" collapsed="false">
      <c r="A370" s="127" t="n">
        <f aca="false">ExportRaw!$F370</f>
        <v>0</v>
      </c>
      <c r="B370" s="127" t="n">
        <f aca="false">ExportRaw!$C370</f>
        <v>0</v>
      </c>
      <c r="C370" s="127" t="n">
        <f aca="false">ExportRaw!$G370</f>
        <v>0</v>
      </c>
      <c r="D370" s="127" t="str">
        <f aca="false">ExportRaw!$E370</f>
        <v/>
      </c>
      <c r="E370" s="128" t="str">
        <f aca="false">ExportRaw!$D370</f>
        <v/>
      </c>
      <c r="F370" s="127" t="str">
        <f aca="false">ExportRaw!$H370</f>
        <v/>
      </c>
      <c r="G370" s="129" t="str">
        <f aca="false">ExportRaw!$I370</f>
        <v/>
      </c>
      <c r="H370" s="127" t="str">
        <f aca="false">ExportRaw!$A370</f>
        <v/>
      </c>
      <c r="I370" s="127" t="str">
        <f aca="false">ExportRaw!$B370</f>
        <v/>
      </c>
    </row>
    <row r="371" customFormat="false" ht="15.75" hidden="false" customHeight="false" outlineLevel="0" collapsed="false">
      <c r="A371" s="127" t="n">
        <f aca="false">ExportRaw!$F371</f>
        <v>0</v>
      </c>
      <c r="B371" s="127" t="n">
        <f aca="false">ExportRaw!$C371</f>
        <v>0</v>
      </c>
      <c r="C371" s="127" t="n">
        <f aca="false">ExportRaw!$G371</f>
        <v>0</v>
      </c>
      <c r="D371" s="127" t="str">
        <f aca="false">ExportRaw!$E371</f>
        <v/>
      </c>
      <c r="E371" s="128" t="str">
        <f aca="false">ExportRaw!$D371</f>
        <v/>
      </c>
      <c r="F371" s="127" t="str">
        <f aca="false">ExportRaw!$H371</f>
        <v/>
      </c>
      <c r="G371" s="129" t="str">
        <f aca="false">ExportRaw!$I371</f>
        <v/>
      </c>
      <c r="H371" s="127" t="str">
        <f aca="false">ExportRaw!$A371</f>
        <v/>
      </c>
      <c r="I371" s="127" t="str">
        <f aca="false">ExportRaw!$B371</f>
        <v/>
      </c>
    </row>
    <row r="372" customFormat="false" ht="15.75" hidden="false" customHeight="false" outlineLevel="0" collapsed="false">
      <c r="A372" s="127" t="n">
        <f aca="false">ExportRaw!$F372</f>
        <v>0</v>
      </c>
      <c r="B372" s="127" t="n">
        <f aca="false">ExportRaw!$C372</f>
        <v>0</v>
      </c>
      <c r="C372" s="127" t="n">
        <f aca="false">ExportRaw!$G372</f>
        <v>0</v>
      </c>
      <c r="D372" s="127" t="str">
        <f aca="false">ExportRaw!$E372</f>
        <v/>
      </c>
      <c r="E372" s="128" t="str">
        <f aca="false">ExportRaw!$D372</f>
        <v/>
      </c>
      <c r="F372" s="127" t="str">
        <f aca="false">ExportRaw!$H372</f>
        <v/>
      </c>
      <c r="G372" s="129" t="str">
        <f aca="false">ExportRaw!$I372</f>
        <v/>
      </c>
      <c r="H372" s="127" t="str">
        <f aca="false">ExportRaw!$A372</f>
        <v/>
      </c>
      <c r="I372" s="127" t="str">
        <f aca="false">ExportRaw!$B372</f>
        <v/>
      </c>
    </row>
    <row r="373" customFormat="false" ht="15.75" hidden="false" customHeight="false" outlineLevel="0" collapsed="false">
      <c r="A373" s="127" t="n">
        <f aca="false">ExportRaw!$F373</f>
        <v>0</v>
      </c>
      <c r="B373" s="127" t="n">
        <f aca="false">ExportRaw!$C373</f>
        <v>0</v>
      </c>
      <c r="C373" s="127" t="n">
        <f aca="false">ExportRaw!$G373</f>
        <v>0</v>
      </c>
      <c r="D373" s="127" t="str">
        <f aca="false">ExportRaw!$E373</f>
        <v/>
      </c>
      <c r="E373" s="128" t="str">
        <f aca="false">ExportRaw!$D373</f>
        <v/>
      </c>
      <c r="F373" s="127" t="str">
        <f aca="false">ExportRaw!$H373</f>
        <v/>
      </c>
      <c r="G373" s="129" t="str">
        <f aca="false">ExportRaw!$I373</f>
        <v/>
      </c>
      <c r="H373" s="127" t="str">
        <f aca="false">ExportRaw!$A373</f>
        <v/>
      </c>
      <c r="I373" s="127" t="str">
        <f aca="false">ExportRaw!$B373</f>
        <v/>
      </c>
    </row>
    <row r="374" customFormat="false" ht="15.75" hidden="false" customHeight="false" outlineLevel="0" collapsed="false">
      <c r="A374" s="127" t="n">
        <f aca="false">ExportRaw!$F374</f>
        <v>0</v>
      </c>
      <c r="B374" s="127" t="n">
        <f aca="false">ExportRaw!$C374</f>
        <v>0</v>
      </c>
      <c r="C374" s="127" t="n">
        <f aca="false">ExportRaw!$G374</f>
        <v>0</v>
      </c>
      <c r="D374" s="127" t="str">
        <f aca="false">ExportRaw!$E374</f>
        <v/>
      </c>
      <c r="E374" s="128" t="str">
        <f aca="false">ExportRaw!$D374</f>
        <v/>
      </c>
      <c r="F374" s="127" t="str">
        <f aca="false">ExportRaw!$H374</f>
        <v/>
      </c>
      <c r="G374" s="129" t="str">
        <f aca="false">ExportRaw!$I374</f>
        <v/>
      </c>
      <c r="H374" s="127" t="str">
        <f aca="false">ExportRaw!$A374</f>
        <v/>
      </c>
      <c r="I374" s="127" t="str">
        <f aca="false">ExportRaw!$B374</f>
        <v/>
      </c>
    </row>
    <row r="375" customFormat="false" ht="15.75" hidden="false" customHeight="false" outlineLevel="0" collapsed="false">
      <c r="A375" s="127" t="n">
        <f aca="false">ExportRaw!$F375</f>
        <v>0</v>
      </c>
      <c r="B375" s="127" t="n">
        <f aca="false">ExportRaw!$C375</f>
        <v>0</v>
      </c>
      <c r="C375" s="127" t="n">
        <f aca="false">ExportRaw!$G375</f>
        <v>0</v>
      </c>
      <c r="D375" s="127" t="str">
        <f aca="false">ExportRaw!$E375</f>
        <v/>
      </c>
      <c r="E375" s="128" t="str">
        <f aca="false">ExportRaw!$D375</f>
        <v/>
      </c>
      <c r="F375" s="127" t="str">
        <f aca="false">ExportRaw!$H375</f>
        <v/>
      </c>
      <c r="G375" s="129" t="str">
        <f aca="false">ExportRaw!$I375</f>
        <v/>
      </c>
      <c r="H375" s="127" t="str">
        <f aca="false">ExportRaw!$A375</f>
        <v/>
      </c>
      <c r="I375" s="127" t="str">
        <f aca="false">ExportRaw!$B375</f>
        <v/>
      </c>
    </row>
    <row r="376" customFormat="false" ht="15.75" hidden="false" customHeight="false" outlineLevel="0" collapsed="false">
      <c r="A376" s="127" t="n">
        <f aca="false">ExportRaw!$F376</f>
        <v>0</v>
      </c>
      <c r="B376" s="127" t="n">
        <f aca="false">ExportRaw!$C376</f>
        <v>0</v>
      </c>
      <c r="C376" s="127" t="n">
        <f aca="false">ExportRaw!$G376</f>
        <v>0</v>
      </c>
      <c r="D376" s="127" t="str">
        <f aca="false">ExportRaw!$E376</f>
        <v/>
      </c>
      <c r="E376" s="128" t="str">
        <f aca="false">ExportRaw!$D376</f>
        <v/>
      </c>
      <c r="F376" s="127" t="str">
        <f aca="false">ExportRaw!$H376</f>
        <v/>
      </c>
      <c r="G376" s="129" t="str">
        <f aca="false">ExportRaw!$I376</f>
        <v/>
      </c>
      <c r="H376" s="127" t="str">
        <f aca="false">ExportRaw!$A376</f>
        <v/>
      </c>
      <c r="I376" s="127" t="str">
        <f aca="false">ExportRaw!$B376</f>
        <v/>
      </c>
    </row>
    <row r="377" customFormat="false" ht="15.75" hidden="false" customHeight="false" outlineLevel="0" collapsed="false">
      <c r="A377" s="127" t="n">
        <f aca="false">ExportRaw!$F377</f>
        <v>0</v>
      </c>
      <c r="B377" s="127" t="n">
        <f aca="false">ExportRaw!$C377</f>
        <v>0</v>
      </c>
      <c r="C377" s="127" t="n">
        <f aca="false">ExportRaw!$G377</f>
        <v>0</v>
      </c>
      <c r="D377" s="127" t="str">
        <f aca="false">ExportRaw!$E377</f>
        <v/>
      </c>
      <c r="E377" s="128" t="str">
        <f aca="false">ExportRaw!$D377</f>
        <v/>
      </c>
      <c r="F377" s="127" t="str">
        <f aca="false">ExportRaw!$H377</f>
        <v/>
      </c>
      <c r="G377" s="129" t="str">
        <f aca="false">ExportRaw!$I377</f>
        <v/>
      </c>
      <c r="H377" s="127" t="str">
        <f aca="false">ExportRaw!$A377</f>
        <v/>
      </c>
      <c r="I377" s="127" t="str">
        <f aca="false">ExportRaw!$B377</f>
        <v/>
      </c>
    </row>
    <row r="378" customFormat="false" ht="15.75" hidden="false" customHeight="false" outlineLevel="0" collapsed="false">
      <c r="A378" s="127" t="n">
        <f aca="false">ExportRaw!$F378</f>
        <v>0</v>
      </c>
      <c r="B378" s="127" t="n">
        <f aca="false">ExportRaw!$C378</f>
        <v>0</v>
      </c>
      <c r="C378" s="127" t="n">
        <f aca="false">ExportRaw!$G378</f>
        <v>0</v>
      </c>
      <c r="D378" s="127" t="str">
        <f aca="false">ExportRaw!$E378</f>
        <v/>
      </c>
      <c r="E378" s="128" t="str">
        <f aca="false">ExportRaw!$D378</f>
        <v/>
      </c>
      <c r="F378" s="127" t="str">
        <f aca="false">ExportRaw!$H378</f>
        <v/>
      </c>
      <c r="G378" s="129" t="str">
        <f aca="false">ExportRaw!$I378</f>
        <v/>
      </c>
      <c r="H378" s="127" t="str">
        <f aca="false">ExportRaw!$A378</f>
        <v/>
      </c>
      <c r="I378" s="127" t="str">
        <f aca="false">ExportRaw!$B378</f>
        <v/>
      </c>
    </row>
    <row r="379" customFormat="false" ht="15.75" hidden="false" customHeight="false" outlineLevel="0" collapsed="false">
      <c r="A379" s="127" t="n">
        <f aca="false">ExportRaw!$F379</f>
        <v>0</v>
      </c>
      <c r="B379" s="127" t="n">
        <f aca="false">ExportRaw!$C379</f>
        <v>0</v>
      </c>
      <c r="C379" s="127" t="n">
        <f aca="false">ExportRaw!$G379</f>
        <v>0</v>
      </c>
      <c r="D379" s="127" t="str">
        <f aca="false">ExportRaw!$E379</f>
        <v/>
      </c>
      <c r="E379" s="128" t="str">
        <f aca="false">ExportRaw!$D379</f>
        <v/>
      </c>
      <c r="F379" s="127" t="str">
        <f aca="false">ExportRaw!$H379</f>
        <v/>
      </c>
      <c r="G379" s="129" t="str">
        <f aca="false">ExportRaw!$I379</f>
        <v/>
      </c>
      <c r="H379" s="127" t="str">
        <f aca="false">ExportRaw!$A379</f>
        <v/>
      </c>
      <c r="I379" s="127" t="str">
        <f aca="false">ExportRaw!$B379</f>
        <v/>
      </c>
    </row>
    <row r="380" customFormat="false" ht="15.75" hidden="false" customHeight="false" outlineLevel="0" collapsed="false">
      <c r="A380" s="127" t="n">
        <f aca="false">ExportRaw!$F380</f>
        <v>0</v>
      </c>
      <c r="B380" s="127" t="n">
        <f aca="false">ExportRaw!$C380</f>
        <v>0</v>
      </c>
      <c r="C380" s="127" t="n">
        <f aca="false">ExportRaw!$G380</f>
        <v>0</v>
      </c>
      <c r="D380" s="127" t="str">
        <f aca="false">ExportRaw!$E380</f>
        <v/>
      </c>
      <c r="E380" s="128" t="str">
        <f aca="false">ExportRaw!$D380</f>
        <v/>
      </c>
      <c r="F380" s="127" t="str">
        <f aca="false">ExportRaw!$H380</f>
        <v/>
      </c>
      <c r="G380" s="129" t="str">
        <f aca="false">ExportRaw!$I380</f>
        <v/>
      </c>
      <c r="H380" s="127" t="str">
        <f aca="false">ExportRaw!$A380</f>
        <v/>
      </c>
      <c r="I380" s="127" t="str">
        <f aca="false">ExportRaw!$B380</f>
        <v/>
      </c>
    </row>
    <row r="381" customFormat="false" ht="15.75" hidden="false" customHeight="false" outlineLevel="0" collapsed="false">
      <c r="A381" s="127" t="n">
        <f aca="false">ExportRaw!$F381</f>
        <v>0</v>
      </c>
      <c r="B381" s="127" t="n">
        <f aca="false">ExportRaw!$C381</f>
        <v>0</v>
      </c>
      <c r="C381" s="127" t="n">
        <f aca="false">ExportRaw!$G381</f>
        <v>0</v>
      </c>
      <c r="D381" s="127" t="str">
        <f aca="false">ExportRaw!$E381</f>
        <v/>
      </c>
      <c r="E381" s="128" t="str">
        <f aca="false">ExportRaw!$D381</f>
        <v/>
      </c>
      <c r="F381" s="127" t="str">
        <f aca="false">ExportRaw!$H381</f>
        <v/>
      </c>
      <c r="G381" s="129" t="str">
        <f aca="false">ExportRaw!$I381</f>
        <v/>
      </c>
      <c r="H381" s="127" t="str">
        <f aca="false">ExportRaw!$A381</f>
        <v/>
      </c>
      <c r="I381" s="127" t="str">
        <f aca="false">ExportRaw!$B381</f>
        <v/>
      </c>
    </row>
    <row r="382" customFormat="false" ht="15.75" hidden="false" customHeight="false" outlineLevel="0" collapsed="false">
      <c r="A382" s="127" t="n">
        <f aca="false">ExportRaw!$F382</f>
        <v>0</v>
      </c>
      <c r="B382" s="127" t="n">
        <f aca="false">ExportRaw!$C382</f>
        <v>0</v>
      </c>
      <c r="C382" s="127" t="n">
        <f aca="false">ExportRaw!$G382</f>
        <v>0</v>
      </c>
      <c r="D382" s="127" t="str">
        <f aca="false">ExportRaw!$E382</f>
        <v/>
      </c>
      <c r="E382" s="128" t="str">
        <f aca="false">ExportRaw!$D382</f>
        <v/>
      </c>
      <c r="F382" s="127" t="str">
        <f aca="false">ExportRaw!$H382</f>
        <v/>
      </c>
      <c r="G382" s="129" t="str">
        <f aca="false">ExportRaw!$I382</f>
        <v/>
      </c>
      <c r="H382" s="127" t="str">
        <f aca="false">ExportRaw!$A382</f>
        <v/>
      </c>
      <c r="I382" s="127" t="str">
        <f aca="false">ExportRaw!$B382</f>
        <v/>
      </c>
    </row>
    <row r="383" customFormat="false" ht="15.75" hidden="false" customHeight="false" outlineLevel="0" collapsed="false">
      <c r="A383" s="127" t="n">
        <f aca="false">ExportRaw!$F383</f>
        <v>0</v>
      </c>
      <c r="B383" s="127" t="n">
        <f aca="false">ExportRaw!$C383</f>
        <v>0</v>
      </c>
      <c r="C383" s="127" t="n">
        <f aca="false">ExportRaw!$G383</f>
        <v>0</v>
      </c>
      <c r="D383" s="127" t="str">
        <f aca="false">ExportRaw!$E383</f>
        <v/>
      </c>
      <c r="E383" s="128" t="str">
        <f aca="false">ExportRaw!$D383</f>
        <v/>
      </c>
      <c r="F383" s="127" t="str">
        <f aca="false">ExportRaw!$H383</f>
        <v/>
      </c>
      <c r="G383" s="129" t="str">
        <f aca="false">ExportRaw!$I383</f>
        <v/>
      </c>
      <c r="H383" s="127" t="str">
        <f aca="false">ExportRaw!$A383</f>
        <v/>
      </c>
      <c r="I383" s="127" t="str">
        <f aca="false">ExportRaw!$B383</f>
        <v/>
      </c>
    </row>
    <row r="384" customFormat="false" ht="15.75" hidden="false" customHeight="false" outlineLevel="0" collapsed="false">
      <c r="A384" s="127" t="n">
        <f aca="false">ExportRaw!$F384</f>
        <v>0</v>
      </c>
      <c r="B384" s="127" t="n">
        <f aca="false">ExportRaw!$C384</f>
        <v>0</v>
      </c>
      <c r="C384" s="127" t="n">
        <f aca="false">ExportRaw!$G384</f>
        <v>0</v>
      </c>
      <c r="D384" s="127" t="str">
        <f aca="false">ExportRaw!$E384</f>
        <v/>
      </c>
      <c r="E384" s="128" t="str">
        <f aca="false">ExportRaw!$D384</f>
        <v/>
      </c>
      <c r="F384" s="127" t="str">
        <f aca="false">ExportRaw!$H384</f>
        <v/>
      </c>
      <c r="G384" s="129" t="str">
        <f aca="false">ExportRaw!$I384</f>
        <v/>
      </c>
      <c r="H384" s="127" t="str">
        <f aca="false">ExportRaw!$A384</f>
        <v/>
      </c>
      <c r="I384" s="127" t="str">
        <f aca="false">ExportRaw!$B384</f>
        <v/>
      </c>
    </row>
    <row r="385" customFormat="false" ht="15.75" hidden="false" customHeight="false" outlineLevel="0" collapsed="false">
      <c r="A385" s="127" t="n">
        <f aca="false">ExportRaw!$F385</f>
        <v>0</v>
      </c>
      <c r="B385" s="127" t="n">
        <f aca="false">ExportRaw!$C385</f>
        <v>0</v>
      </c>
      <c r="C385" s="127" t="n">
        <f aca="false">ExportRaw!$G385</f>
        <v>0</v>
      </c>
      <c r="D385" s="127" t="str">
        <f aca="false">ExportRaw!$E385</f>
        <v/>
      </c>
      <c r="E385" s="128" t="str">
        <f aca="false">ExportRaw!$D385</f>
        <v/>
      </c>
      <c r="F385" s="127" t="str">
        <f aca="false">ExportRaw!$H385</f>
        <v/>
      </c>
      <c r="G385" s="129" t="str">
        <f aca="false">ExportRaw!$I385</f>
        <v/>
      </c>
      <c r="H385" s="127" t="str">
        <f aca="false">ExportRaw!$A385</f>
        <v/>
      </c>
      <c r="I385" s="127" t="str">
        <f aca="false">ExportRaw!$B385</f>
        <v/>
      </c>
    </row>
    <row r="386" customFormat="false" ht="15.75" hidden="false" customHeight="false" outlineLevel="0" collapsed="false">
      <c r="A386" s="127" t="n">
        <f aca="false">ExportRaw!$F386</f>
        <v>0</v>
      </c>
      <c r="B386" s="127" t="n">
        <f aca="false">ExportRaw!$C386</f>
        <v>0</v>
      </c>
      <c r="C386" s="127" t="n">
        <f aca="false">ExportRaw!$G386</f>
        <v>0</v>
      </c>
      <c r="D386" s="127" t="str">
        <f aca="false">ExportRaw!$E386</f>
        <v/>
      </c>
      <c r="E386" s="128" t="str">
        <f aca="false">ExportRaw!$D386</f>
        <v/>
      </c>
      <c r="F386" s="127" t="str">
        <f aca="false">ExportRaw!$H386</f>
        <v/>
      </c>
      <c r="G386" s="129" t="str">
        <f aca="false">ExportRaw!$I386</f>
        <v/>
      </c>
      <c r="H386" s="127" t="str">
        <f aca="false">ExportRaw!$A386</f>
        <v/>
      </c>
      <c r="I386" s="127" t="str">
        <f aca="false">ExportRaw!$B386</f>
        <v/>
      </c>
    </row>
    <row r="387" customFormat="false" ht="15.75" hidden="false" customHeight="false" outlineLevel="0" collapsed="false">
      <c r="A387" s="127" t="n">
        <f aca="false">ExportRaw!$F387</f>
        <v>0</v>
      </c>
      <c r="B387" s="127" t="n">
        <f aca="false">ExportRaw!$C387</f>
        <v>0</v>
      </c>
      <c r="C387" s="127" t="n">
        <f aca="false">ExportRaw!$G387</f>
        <v>0</v>
      </c>
      <c r="D387" s="127" t="str">
        <f aca="false">ExportRaw!$E387</f>
        <v/>
      </c>
      <c r="E387" s="128" t="str">
        <f aca="false">ExportRaw!$D387</f>
        <v/>
      </c>
      <c r="F387" s="127" t="str">
        <f aca="false">ExportRaw!$H387</f>
        <v/>
      </c>
      <c r="G387" s="129" t="str">
        <f aca="false">ExportRaw!$I387</f>
        <v/>
      </c>
      <c r="H387" s="127" t="str">
        <f aca="false">ExportRaw!$A387</f>
        <v/>
      </c>
      <c r="I387" s="127" t="str">
        <f aca="false">ExportRaw!$B387</f>
        <v/>
      </c>
    </row>
    <row r="388" customFormat="false" ht="15.75" hidden="false" customHeight="false" outlineLevel="0" collapsed="false">
      <c r="A388" s="127" t="n">
        <f aca="false">ExportRaw!$F388</f>
        <v>0</v>
      </c>
      <c r="B388" s="127" t="n">
        <f aca="false">ExportRaw!$C388</f>
        <v>0</v>
      </c>
      <c r="C388" s="127" t="n">
        <f aca="false">ExportRaw!$G388</f>
        <v>0</v>
      </c>
      <c r="D388" s="127" t="str">
        <f aca="false">ExportRaw!$E388</f>
        <v/>
      </c>
      <c r="E388" s="128" t="str">
        <f aca="false">ExportRaw!$D388</f>
        <v/>
      </c>
      <c r="F388" s="127" t="str">
        <f aca="false">ExportRaw!$H388</f>
        <v/>
      </c>
      <c r="G388" s="129" t="str">
        <f aca="false">ExportRaw!$I388</f>
        <v/>
      </c>
      <c r="H388" s="127" t="str">
        <f aca="false">ExportRaw!$A388</f>
        <v/>
      </c>
      <c r="I388" s="127" t="str">
        <f aca="false">ExportRaw!$B388</f>
        <v/>
      </c>
    </row>
    <row r="389" customFormat="false" ht="15.75" hidden="false" customHeight="false" outlineLevel="0" collapsed="false">
      <c r="A389" s="127" t="n">
        <f aca="false">ExportRaw!$F389</f>
        <v>0</v>
      </c>
      <c r="B389" s="127" t="n">
        <f aca="false">ExportRaw!$C389</f>
        <v>0</v>
      </c>
      <c r="C389" s="127" t="n">
        <f aca="false">ExportRaw!$G389</f>
        <v>0</v>
      </c>
      <c r="D389" s="127" t="str">
        <f aca="false">ExportRaw!$E389</f>
        <v/>
      </c>
      <c r="E389" s="128" t="str">
        <f aca="false">ExportRaw!$D389</f>
        <v/>
      </c>
      <c r="F389" s="127" t="str">
        <f aca="false">ExportRaw!$H389</f>
        <v/>
      </c>
      <c r="G389" s="129" t="str">
        <f aca="false">ExportRaw!$I389</f>
        <v/>
      </c>
      <c r="H389" s="127" t="str">
        <f aca="false">ExportRaw!$A389</f>
        <v/>
      </c>
      <c r="I389" s="127" t="str">
        <f aca="false">ExportRaw!$B389</f>
        <v/>
      </c>
    </row>
    <row r="390" customFormat="false" ht="15.75" hidden="false" customHeight="false" outlineLevel="0" collapsed="false">
      <c r="A390" s="127" t="n">
        <f aca="false">ExportRaw!$F390</f>
        <v>0</v>
      </c>
      <c r="B390" s="127" t="n">
        <f aca="false">ExportRaw!$C390</f>
        <v>0</v>
      </c>
      <c r="C390" s="127" t="n">
        <f aca="false">ExportRaw!$G390</f>
        <v>0</v>
      </c>
      <c r="D390" s="127" t="str">
        <f aca="false">ExportRaw!$E390</f>
        <v/>
      </c>
      <c r="E390" s="128" t="str">
        <f aca="false">ExportRaw!$D390</f>
        <v/>
      </c>
      <c r="F390" s="127" t="str">
        <f aca="false">ExportRaw!$H390</f>
        <v/>
      </c>
      <c r="G390" s="129" t="str">
        <f aca="false">ExportRaw!$I390</f>
        <v/>
      </c>
      <c r="H390" s="127" t="str">
        <f aca="false">ExportRaw!$A390</f>
        <v/>
      </c>
      <c r="I390" s="127" t="str">
        <f aca="false">ExportRaw!$B390</f>
        <v/>
      </c>
    </row>
    <row r="391" customFormat="false" ht="15.75" hidden="false" customHeight="false" outlineLevel="0" collapsed="false">
      <c r="A391" s="127" t="n">
        <f aca="false">ExportRaw!$F391</f>
        <v>0</v>
      </c>
      <c r="B391" s="127" t="n">
        <f aca="false">ExportRaw!$C391</f>
        <v>0</v>
      </c>
      <c r="C391" s="127" t="n">
        <f aca="false">ExportRaw!$G391</f>
        <v>0</v>
      </c>
      <c r="D391" s="127" t="str">
        <f aca="false">ExportRaw!$E391</f>
        <v/>
      </c>
      <c r="E391" s="128" t="str">
        <f aca="false">ExportRaw!$D391</f>
        <v/>
      </c>
      <c r="F391" s="127" t="str">
        <f aca="false">ExportRaw!$H391</f>
        <v/>
      </c>
      <c r="G391" s="129" t="str">
        <f aca="false">ExportRaw!$I391</f>
        <v/>
      </c>
      <c r="H391" s="127" t="str">
        <f aca="false">ExportRaw!$A391</f>
        <v/>
      </c>
      <c r="I391" s="127" t="str">
        <f aca="false">ExportRaw!$B391</f>
        <v/>
      </c>
    </row>
    <row r="392" customFormat="false" ht="15.75" hidden="false" customHeight="false" outlineLevel="0" collapsed="false">
      <c r="A392" s="127" t="n">
        <f aca="false">ExportRaw!$F392</f>
        <v>0</v>
      </c>
      <c r="B392" s="127" t="n">
        <f aca="false">ExportRaw!$C392</f>
        <v>0</v>
      </c>
      <c r="C392" s="127" t="n">
        <f aca="false">ExportRaw!$G392</f>
        <v>0</v>
      </c>
      <c r="D392" s="127" t="str">
        <f aca="false">ExportRaw!$E392</f>
        <v/>
      </c>
      <c r="E392" s="128" t="str">
        <f aca="false">ExportRaw!$D392</f>
        <v/>
      </c>
      <c r="F392" s="127" t="str">
        <f aca="false">ExportRaw!$H392</f>
        <v/>
      </c>
      <c r="G392" s="129" t="str">
        <f aca="false">ExportRaw!$I392</f>
        <v/>
      </c>
      <c r="H392" s="127" t="str">
        <f aca="false">ExportRaw!$A392</f>
        <v/>
      </c>
      <c r="I392" s="127" t="str">
        <f aca="false">ExportRaw!$B392</f>
        <v/>
      </c>
    </row>
    <row r="393" customFormat="false" ht="15.75" hidden="false" customHeight="false" outlineLevel="0" collapsed="false">
      <c r="A393" s="127" t="n">
        <f aca="false">ExportRaw!$F393</f>
        <v>0</v>
      </c>
      <c r="B393" s="127" t="n">
        <f aca="false">ExportRaw!$C393</f>
        <v>0</v>
      </c>
      <c r="C393" s="127" t="n">
        <f aca="false">ExportRaw!$G393</f>
        <v>0</v>
      </c>
      <c r="D393" s="127" t="str">
        <f aca="false">ExportRaw!$E393</f>
        <v/>
      </c>
      <c r="E393" s="128" t="str">
        <f aca="false">ExportRaw!$D393</f>
        <v/>
      </c>
      <c r="F393" s="127" t="str">
        <f aca="false">ExportRaw!$H393</f>
        <v/>
      </c>
      <c r="G393" s="129" t="str">
        <f aca="false">ExportRaw!$I393</f>
        <v/>
      </c>
      <c r="H393" s="127" t="str">
        <f aca="false">ExportRaw!$A393</f>
        <v/>
      </c>
      <c r="I393" s="127" t="str">
        <f aca="false">ExportRaw!$B393</f>
        <v/>
      </c>
    </row>
    <row r="394" customFormat="false" ht="15.75" hidden="false" customHeight="false" outlineLevel="0" collapsed="false">
      <c r="A394" s="127" t="n">
        <f aca="false">ExportRaw!$F394</f>
        <v>0</v>
      </c>
      <c r="B394" s="127" t="n">
        <f aca="false">ExportRaw!$C394</f>
        <v>0</v>
      </c>
      <c r="C394" s="127" t="n">
        <f aca="false">ExportRaw!$G394</f>
        <v>0</v>
      </c>
      <c r="D394" s="127" t="str">
        <f aca="false">ExportRaw!$E394</f>
        <v/>
      </c>
      <c r="E394" s="128" t="str">
        <f aca="false">ExportRaw!$D394</f>
        <v/>
      </c>
      <c r="F394" s="127" t="str">
        <f aca="false">ExportRaw!$H394</f>
        <v/>
      </c>
      <c r="G394" s="129" t="str">
        <f aca="false">ExportRaw!$I394</f>
        <v/>
      </c>
      <c r="H394" s="127" t="str">
        <f aca="false">ExportRaw!$A394</f>
        <v/>
      </c>
      <c r="I394" s="127" t="str">
        <f aca="false">ExportRaw!$B394</f>
        <v/>
      </c>
    </row>
    <row r="395" customFormat="false" ht="15.75" hidden="false" customHeight="false" outlineLevel="0" collapsed="false">
      <c r="A395" s="127" t="n">
        <f aca="false">ExportRaw!$F395</f>
        <v>0</v>
      </c>
      <c r="B395" s="127" t="n">
        <f aca="false">ExportRaw!$C395</f>
        <v>0</v>
      </c>
      <c r="C395" s="127" t="n">
        <f aca="false">ExportRaw!$G395</f>
        <v>0</v>
      </c>
      <c r="D395" s="127" t="str">
        <f aca="false">ExportRaw!$E395</f>
        <v/>
      </c>
      <c r="E395" s="128" t="str">
        <f aca="false">ExportRaw!$D395</f>
        <v/>
      </c>
      <c r="F395" s="127" t="str">
        <f aca="false">ExportRaw!$H395</f>
        <v/>
      </c>
      <c r="G395" s="129" t="str">
        <f aca="false">ExportRaw!$I395</f>
        <v/>
      </c>
      <c r="H395" s="127" t="str">
        <f aca="false">ExportRaw!$A395</f>
        <v/>
      </c>
      <c r="I395" s="127" t="str">
        <f aca="false">ExportRaw!$B395</f>
        <v/>
      </c>
    </row>
    <row r="396" customFormat="false" ht="15.75" hidden="false" customHeight="false" outlineLevel="0" collapsed="false">
      <c r="A396" s="127" t="n">
        <f aca="false">ExportRaw!$F396</f>
        <v>0</v>
      </c>
      <c r="B396" s="127" t="n">
        <f aca="false">ExportRaw!$C396</f>
        <v>0</v>
      </c>
      <c r="C396" s="127" t="n">
        <f aca="false">ExportRaw!$G396</f>
        <v>0</v>
      </c>
      <c r="D396" s="127" t="str">
        <f aca="false">ExportRaw!$E396</f>
        <v/>
      </c>
      <c r="E396" s="128" t="str">
        <f aca="false">ExportRaw!$D396</f>
        <v/>
      </c>
      <c r="F396" s="127" t="str">
        <f aca="false">ExportRaw!$H396</f>
        <v/>
      </c>
      <c r="G396" s="129" t="str">
        <f aca="false">ExportRaw!$I396</f>
        <v/>
      </c>
      <c r="H396" s="127" t="str">
        <f aca="false">ExportRaw!$A396</f>
        <v/>
      </c>
      <c r="I396" s="127" t="str">
        <f aca="false">ExportRaw!$B396</f>
        <v/>
      </c>
    </row>
    <row r="397" customFormat="false" ht="15.75" hidden="false" customHeight="false" outlineLevel="0" collapsed="false">
      <c r="A397" s="127" t="n">
        <f aca="false">ExportRaw!$F397</f>
        <v>0</v>
      </c>
      <c r="B397" s="127" t="n">
        <f aca="false">ExportRaw!$C397</f>
        <v>0</v>
      </c>
      <c r="C397" s="127" t="n">
        <f aca="false">ExportRaw!$G397</f>
        <v>0</v>
      </c>
      <c r="D397" s="127" t="str">
        <f aca="false">ExportRaw!$E397</f>
        <v/>
      </c>
      <c r="E397" s="128" t="str">
        <f aca="false">ExportRaw!$D397</f>
        <v/>
      </c>
      <c r="F397" s="127" t="str">
        <f aca="false">ExportRaw!$H397</f>
        <v/>
      </c>
      <c r="G397" s="129" t="str">
        <f aca="false">ExportRaw!$I397</f>
        <v/>
      </c>
      <c r="H397" s="127" t="str">
        <f aca="false">ExportRaw!$A397</f>
        <v/>
      </c>
      <c r="I397" s="127" t="str">
        <f aca="false">ExportRaw!$B397</f>
        <v/>
      </c>
    </row>
    <row r="398" customFormat="false" ht="15.75" hidden="false" customHeight="false" outlineLevel="0" collapsed="false">
      <c r="A398" s="127" t="n">
        <f aca="false">ExportRaw!$F398</f>
        <v>0</v>
      </c>
      <c r="B398" s="127" t="n">
        <f aca="false">ExportRaw!$C398</f>
        <v>0</v>
      </c>
      <c r="C398" s="127" t="n">
        <f aca="false">ExportRaw!$G398</f>
        <v>0</v>
      </c>
      <c r="D398" s="127" t="str">
        <f aca="false">ExportRaw!$E398</f>
        <v/>
      </c>
      <c r="E398" s="128" t="str">
        <f aca="false">ExportRaw!$D398</f>
        <v/>
      </c>
      <c r="F398" s="127" t="str">
        <f aca="false">ExportRaw!$H398</f>
        <v/>
      </c>
      <c r="G398" s="129" t="str">
        <f aca="false">ExportRaw!$I398</f>
        <v/>
      </c>
      <c r="H398" s="127" t="str">
        <f aca="false">ExportRaw!$A398</f>
        <v/>
      </c>
      <c r="I398" s="127" t="str">
        <f aca="false">ExportRaw!$B398</f>
        <v/>
      </c>
    </row>
    <row r="399" customFormat="false" ht="15.75" hidden="false" customHeight="false" outlineLevel="0" collapsed="false">
      <c r="A399" s="127" t="n">
        <f aca="false">ExportRaw!$F399</f>
        <v>0</v>
      </c>
      <c r="B399" s="127" t="n">
        <f aca="false">ExportRaw!$C399</f>
        <v>0</v>
      </c>
      <c r="C399" s="127" t="n">
        <f aca="false">ExportRaw!$G399</f>
        <v>0</v>
      </c>
      <c r="D399" s="127" t="str">
        <f aca="false">ExportRaw!$E399</f>
        <v/>
      </c>
      <c r="E399" s="128" t="str">
        <f aca="false">ExportRaw!$D399</f>
        <v/>
      </c>
      <c r="F399" s="127" t="str">
        <f aca="false">ExportRaw!$H399</f>
        <v/>
      </c>
      <c r="G399" s="129" t="str">
        <f aca="false">ExportRaw!$I399</f>
        <v/>
      </c>
      <c r="H399" s="127" t="str">
        <f aca="false">ExportRaw!$A399</f>
        <v/>
      </c>
      <c r="I399" s="127" t="str">
        <f aca="false">ExportRaw!$B399</f>
        <v/>
      </c>
    </row>
    <row r="400" customFormat="false" ht="15.75" hidden="false" customHeight="false" outlineLevel="0" collapsed="false">
      <c r="A400" s="127" t="n">
        <f aca="false">ExportRaw!$F400</f>
        <v>0</v>
      </c>
      <c r="B400" s="127" t="n">
        <f aca="false">ExportRaw!$C400</f>
        <v>0</v>
      </c>
      <c r="C400" s="127" t="n">
        <f aca="false">ExportRaw!$G400</f>
        <v>0</v>
      </c>
      <c r="D400" s="127" t="str">
        <f aca="false">ExportRaw!$E400</f>
        <v/>
      </c>
      <c r="E400" s="128" t="str">
        <f aca="false">ExportRaw!$D400</f>
        <v/>
      </c>
      <c r="F400" s="127" t="str">
        <f aca="false">ExportRaw!$H400</f>
        <v/>
      </c>
      <c r="G400" s="129" t="str">
        <f aca="false">ExportRaw!$I400</f>
        <v/>
      </c>
      <c r="H400" s="127" t="str">
        <f aca="false">ExportRaw!$A400</f>
        <v/>
      </c>
      <c r="I400" s="127" t="str">
        <f aca="false">ExportRaw!$B400</f>
        <v/>
      </c>
    </row>
    <row r="401" customFormat="false" ht="15.75" hidden="false" customHeight="false" outlineLevel="0" collapsed="false">
      <c r="A401" s="127" t="n">
        <f aca="false">ExportRaw!$F401</f>
        <v>0</v>
      </c>
      <c r="B401" s="127" t="n">
        <f aca="false">ExportRaw!$C401</f>
        <v>0</v>
      </c>
      <c r="C401" s="127" t="n">
        <f aca="false">ExportRaw!$G401</f>
        <v>0</v>
      </c>
      <c r="D401" s="127" t="str">
        <f aca="false">ExportRaw!$E401</f>
        <v/>
      </c>
      <c r="E401" s="128" t="str">
        <f aca="false">ExportRaw!$D401</f>
        <v/>
      </c>
      <c r="F401" s="127" t="str">
        <f aca="false">ExportRaw!$H401</f>
        <v/>
      </c>
      <c r="G401" s="129" t="str">
        <f aca="false">ExportRaw!$I401</f>
        <v/>
      </c>
      <c r="H401" s="127" t="str">
        <f aca="false">ExportRaw!$A401</f>
        <v/>
      </c>
      <c r="I401" s="127" t="str">
        <f aca="false">ExportRaw!$B401</f>
        <v/>
      </c>
    </row>
    <row r="402" customFormat="false" ht="15.75" hidden="false" customHeight="false" outlineLevel="0" collapsed="false">
      <c r="A402" s="127" t="n">
        <f aca="false">ExportRaw!$F402</f>
        <v>0</v>
      </c>
      <c r="B402" s="127" t="n">
        <f aca="false">ExportRaw!$C402</f>
        <v>0</v>
      </c>
      <c r="C402" s="127" t="n">
        <f aca="false">ExportRaw!$G402</f>
        <v>0</v>
      </c>
      <c r="D402" s="127" t="str">
        <f aca="false">ExportRaw!$E402</f>
        <v/>
      </c>
      <c r="E402" s="128" t="str">
        <f aca="false">ExportRaw!$D402</f>
        <v/>
      </c>
      <c r="F402" s="127" t="str">
        <f aca="false">ExportRaw!$H402</f>
        <v/>
      </c>
      <c r="G402" s="129" t="str">
        <f aca="false">ExportRaw!$I402</f>
        <v/>
      </c>
      <c r="H402" s="127" t="str">
        <f aca="false">ExportRaw!$A402</f>
        <v/>
      </c>
      <c r="I402" s="127" t="str">
        <f aca="false">ExportRaw!$B402</f>
        <v/>
      </c>
    </row>
    <row r="403" customFormat="false" ht="15.75" hidden="false" customHeight="false" outlineLevel="0" collapsed="false">
      <c r="A403" s="127" t="n">
        <f aca="false">ExportRaw!$F403</f>
        <v>0</v>
      </c>
      <c r="B403" s="127" t="n">
        <f aca="false">ExportRaw!$C403</f>
        <v>0</v>
      </c>
      <c r="C403" s="127" t="n">
        <f aca="false">ExportRaw!$G403</f>
        <v>0</v>
      </c>
      <c r="D403" s="127" t="str">
        <f aca="false">ExportRaw!$E403</f>
        <v/>
      </c>
      <c r="E403" s="128" t="str">
        <f aca="false">ExportRaw!$D403</f>
        <v/>
      </c>
      <c r="F403" s="127" t="str">
        <f aca="false">ExportRaw!$H403</f>
        <v/>
      </c>
      <c r="G403" s="129" t="str">
        <f aca="false">ExportRaw!$I403</f>
        <v/>
      </c>
      <c r="H403" s="127" t="str">
        <f aca="false">ExportRaw!$A403</f>
        <v/>
      </c>
      <c r="I403" s="127" t="str">
        <f aca="false">ExportRaw!$B403</f>
        <v/>
      </c>
    </row>
    <row r="404" customFormat="false" ht="15.75" hidden="false" customHeight="false" outlineLevel="0" collapsed="false">
      <c r="A404" s="127" t="n">
        <f aca="false">ExportRaw!$F404</f>
        <v>0</v>
      </c>
      <c r="B404" s="127" t="n">
        <f aca="false">ExportRaw!$C404</f>
        <v>0</v>
      </c>
      <c r="C404" s="127" t="n">
        <f aca="false">ExportRaw!$G404</f>
        <v>0</v>
      </c>
      <c r="D404" s="127" t="str">
        <f aca="false">ExportRaw!$E404</f>
        <v/>
      </c>
      <c r="E404" s="128" t="str">
        <f aca="false">ExportRaw!$D404</f>
        <v/>
      </c>
      <c r="F404" s="127" t="str">
        <f aca="false">ExportRaw!$H404</f>
        <v/>
      </c>
      <c r="G404" s="129" t="str">
        <f aca="false">ExportRaw!$I404</f>
        <v/>
      </c>
      <c r="H404" s="127" t="str">
        <f aca="false">ExportRaw!$A404</f>
        <v/>
      </c>
      <c r="I404" s="127" t="str">
        <f aca="false">ExportRaw!$B404</f>
        <v/>
      </c>
    </row>
    <row r="405" customFormat="false" ht="15.75" hidden="false" customHeight="false" outlineLevel="0" collapsed="false">
      <c r="A405" s="127" t="n">
        <f aca="false">ExportRaw!$F405</f>
        <v>0</v>
      </c>
      <c r="B405" s="127" t="n">
        <f aca="false">ExportRaw!$C405</f>
        <v>0</v>
      </c>
      <c r="C405" s="127" t="n">
        <f aca="false">ExportRaw!$G405</f>
        <v>0</v>
      </c>
      <c r="D405" s="127" t="str">
        <f aca="false">ExportRaw!$E405</f>
        <v/>
      </c>
      <c r="E405" s="128" t="str">
        <f aca="false">ExportRaw!$D405</f>
        <v/>
      </c>
      <c r="F405" s="127" t="str">
        <f aca="false">ExportRaw!$H405</f>
        <v/>
      </c>
      <c r="G405" s="129" t="str">
        <f aca="false">ExportRaw!$I405</f>
        <v/>
      </c>
      <c r="H405" s="127" t="str">
        <f aca="false">ExportRaw!$A405</f>
        <v/>
      </c>
      <c r="I405" s="127" t="str">
        <f aca="false">ExportRaw!$B405</f>
        <v/>
      </c>
    </row>
    <row r="406" customFormat="false" ht="15.75" hidden="false" customHeight="false" outlineLevel="0" collapsed="false">
      <c r="A406" s="127" t="n">
        <f aca="false">ExportRaw!$F406</f>
        <v>0</v>
      </c>
      <c r="B406" s="127" t="n">
        <f aca="false">ExportRaw!$C406</f>
        <v>0</v>
      </c>
      <c r="C406" s="127" t="n">
        <f aca="false">ExportRaw!$G406</f>
        <v>0</v>
      </c>
      <c r="D406" s="127" t="str">
        <f aca="false">ExportRaw!$E406</f>
        <v/>
      </c>
      <c r="E406" s="128" t="str">
        <f aca="false">ExportRaw!$D406</f>
        <v/>
      </c>
      <c r="F406" s="127" t="str">
        <f aca="false">ExportRaw!$H406</f>
        <v/>
      </c>
      <c r="G406" s="129" t="str">
        <f aca="false">ExportRaw!$I406</f>
        <v/>
      </c>
      <c r="H406" s="127" t="str">
        <f aca="false">ExportRaw!$A406</f>
        <v/>
      </c>
      <c r="I406" s="127" t="str">
        <f aca="false">ExportRaw!$B406</f>
        <v/>
      </c>
    </row>
    <row r="407" customFormat="false" ht="15.75" hidden="false" customHeight="false" outlineLevel="0" collapsed="false">
      <c r="A407" s="127" t="n">
        <f aca="false">ExportRaw!$F407</f>
        <v>0</v>
      </c>
      <c r="B407" s="127" t="n">
        <f aca="false">ExportRaw!$C407</f>
        <v>0</v>
      </c>
      <c r="C407" s="127" t="n">
        <f aca="false">ExportRaw!$G407</f>
        <v>0</v>
      </c>
      <c r="D407" s="127" t="str">
        <f aca="false">ExportRaw!$E407</f>
        <v/>
      </c>
      <c r="E407" s="128" t="str">
        <f aca="false">ExportRaw!$D407</f>
        <v/>
      </c>
      <c r="F407" s="127" t="str">
        <f aca="false">ExportRaw!$H407</f>
        <v/>
      </c>
      <c r="G407" s="129" t="str">
        <f aca="false">ExportRaw!$I407</f>
        <v/>
      </c>
      <c r="H407" s="127" t="str">
        <f aca="false">ExportRaw!$A407</f>
        <v/>
      </c>
      <c r="I407" s="127" t="str">
        <f aca="false">ExportRaw!$B407</f>
        <v/>
      </c>
    </row>
    <row r="408" customFormat="false" ht="15.75" hidden="false" customHeight="false" outlineLevel="0" collapsed="false">
      <c r="A408" s="127" t="n">
        <f aca="false">ExportRaw!$F408</f>
        <v>0</v>
      </c>
      <c r="B408" s="127" t="n">
        <f aca="false">ExportRaw!$C408</f>
        <v>0</v>
      </c>
      <c r="C408" s="127" t="n">
        <f aca="false">ExportRaw!$G408</f>
        <v>0</v>
      </c>
      <c r="D408" s="127" t="str">
        <f aca="false">ExportRaw!$E408</f>
        <v/>
      </c>
      <c r="E408" s="128" t="str">
        <f aca="false">ExportRaw!$D408</f>
        <v/>
      </c>
      <c r="F408" s="127" t="str">
        <f aca="false">ExportRaw!$H408</f>
        <v/>
      </c>
      <c r="G408" s="129" t="str">
        <f aca="false">ExportRaw!$I408</f>
        <v/>
      </c>
      <c r="H408" s="127" t="str">
        <f aca="false">ExportRaw!$A408</f>
        <v/>
      </c>
      <c r="I408" s="127" t="str">
        <f aca="false">ExportRaw!$B408</f>
        <v/>
      </c>
    </row>
    <row r="409" customFormat="false" ht="15.75" hidden="false" customHeight="false" outlineLevel="0" collapsed="false">
      <c r="A409" s="127" t="n">
        <f aca="false">ExportRaw!$F409</f>
        <v>0</v>
      </c>
      <c r="B409" s="127" t="n">
        <f aca="false">ExportRaw!$C409</f>
        <v>0</v>
      </c>
      <c r="C409" s="127" t="n">
        <f aca="false">ExportRaw!$G409</f>
        <v>0</v>
      </c>
      <c r="D409" s="127" t="str">
        <f aca="false">ExportRaw!$E409</f>
        <v/>
      </c>
      <c r="E409" s="128" t="str">
        <f aca="false">ExportRaw!$D409</f>
        <v/>
      </c>
      <c r="F409" s="127" t="str">
        <f aca="false">ExportRaw!$H409</f>
        <v/>
      </c>
      <c r="G409" s="129" t="str">
        <f aca="false">ExportRaw!$I409</f>
        <v/>
      </c>
      <c r="H409" s="127" t="str">
        <f aca="false">ExportRaw!$A409</f>
        <v/>
      </c>
      <c r="I409" s="127" t="str">
        <f aca="false">ExportRaw!$B409</f>
        <v/>
      </c>
    </row>
    <row r="410" customFormat="false" ht="15.75" hidden="false" customHeight="false" outlineLevel="0" collapsed="false">
      <c r="A410" s="127" t="n">
        <f aca="false">ExportRaw!$F410</f>
        <v>0</v>
      </c>
      <c r="B410" s="127" t="n">
        <f aca="false">ExportRaw!$C410</f>
        <v>0</v>
      </c>
      <c r="C410" s="127" t="n">
        <f aca="false">ExportRaw!$G410</f>
        <v>0</v>
      </c>
      <c r="D410" s="127" t="str">
        <f aca="false">ExportRaw!$E410</f>
        <v/>
      </c>
      <c r="E410" s="128" t="str">
        <f aca="false">ExportRaw!$D410</f>
        <v/>
      </c>
      <c r="F410" s="127" t="str">
        <f aca="false">ExportRaw!$H410</f>
        <v/>
      </c>
      <c r="G410" s="129" t="str">
        <f aca="false">ExportRaw!$I410</f>
        <v/>
      </c>
      <c r="H410" s="127" t="str">
        <f aca="false">ExportRaw!$A410</f>
        <v/>
      </c>
      <c r="I410" s="127" t="str">
        <f aca="false">ExportRaw!$B410</f>
        <v/>
      </c>
    </row>
    <row r="411" customFormat="false" ht="15.75" hidden="false" customHeight="false" outlineLevel="0" collapsed="false">
      <c r="A411" s="127" t="n">
        <f aca="false">ExportRaw!$F411</f>
        <v>0</v>
      </c>
      <c r="B411" s="127" t="n">
        <f aca="false">ExportRaw!$C411</f>
        <v>0</v>
      </c>
      <c r="C411" s="127" t="n">
        <f aca="false">ExportRaw!$G411</f>
        <v>0</v>
      </c>
      <c r="D411" s="127" t="str">
        <f aca="false">ExportRaw!$E411</f>
        <v/>
      </c>
      <c r="E411" s="128" t="str">
        <f aca="false">ExportRaw!$D411</f>
        <v/>
      </c>
      <c r="F411" s="127" t="str">
        <f aca="false">ExportRaw!$H411</f>
        <v/>
      </c>
      <c r="G411" s="129" t="str">
        <f aca="false">ExportRaw!$I411</f>
        <v/>
      </c>
      <c r="H411" s="127" t="str">
        <f aca="false">ExportRaw!$A411</f>
        <v/>
      </c>
      <c r="I411" s="127" t="str">
        <f aca="false">ExportRaw!$B411</f>
        <v/>
      </c>
    </row>
    <row r="412" customFormat="false" ht="15.75" hidden="false" customHeight="false" outlineLevel="0" collapsed="false">
      <c r="A412" s="127" t="n">
        <f aca="false">ExportRaw!$F412</f>
        <v>0</v>
      </c>
      <c r="B412" s="127" t="n">
        <f aca="false">ExportRaw!$C412</f>
        <v>0</v>
      </c>
      <c r="C412" s="127" t="n">
        <f aca="false">ExportRaw!$G412</f>
        <v>0</v>
      </c>
      <c r="D412" s="127" t="str">
        <f aca="false">ExportRaw!$E412</f>
        <v/>
      </c>
      <c r="E412" s="128" t="str">
        <f aca="false">ExportRaw!$D412</f>
        <v/>
      </c>
      <c r="F412" s="127" t="str">
        <f aca="false">ExportRaw!$H412</f>
        <v/>
      </c>
      <c r="G412" s="129" t="str">
        <f aca="false">ExportRaw!$I412</f>
        <v/>
      </c>
      <c r="H412" s="127" t="str">
        <f aca="false">ExportRaw!$A412</f>
        <v/>
      </c>
      <c r="I412" s="127" t="str">
        <f aca="false">ExportRaw!$B412</f>
        <v/>
      </c>
    </row>
    <row r="413" customFormat="false" ht="15.75" hidden="false" customHeight="false" outlineLevel="0" collapsed="false">
      <c r="A413" s="127" t="n">
        <f aca="false">ExportRaw!$F413</f>
        <v>0</v>
      </c>
      <c r="B413" s="127" t="n">
        <f aca="false">ExportRaw!$C413</f>
        <v>0</v>
      </c>
      <c r="C413" s="127" t="n">
        <f aca="false">ExportRaw!$G413</f>
        <v>0</v>
      </c>
      <c r="D413" s="127" t="str">
        <f aca="false">ExportRaw!$E413</f>
        <v/>
      </c>
      <c r="E413" s="128" t="str">
        <f aca="false">ExportRaw!$D413</f>
        <v/>
      </c>
      <c r="F413" s="127" t="str">
        <f aca="false">ExportRaw!$H413</f>
        <v/>
      </c>
      <c r="G413" s="129" t="str">
        <f aca="false">ExportRaw!$I413</f>
        <v/>
      </c>
      <c r="H413" s="127" t="str">
        <f aca="false">ExportRaw!$A413</f>
        <v/>
      </c>
      <c r="I413" s="127" t="str">
        <f aca="false">ExportRaw!$B413</f>
        <v/>
      </c>
    </row>
    <row r="414" customFormat="false" ht="15.75" hidden="false" customHeight="false" outlineLevel="0" collapsed="false">
      <c r="A414" s="127" t="n">
        <f aca="false">ExportRaw!$F414</f>
        <v>0</v>
      </c>
      <c r="B414" s="127" t="n">
        <f aca="false">ExportRaw!$C414</f>
        <v>0</v>
      </c>
      <c r="C414" s="127" t="n">
        <f aca="false">ExportRaw!$G414</f>
        <v>0</v>
      </c>
      <c r="D414" s="127" t="str">
        <f aca="false">ExportRaw!$E414</f>
        <v/>
      </c>
      <c r="E414" s="128" t="str">
        <f aca="false">ExportRaw!$D414</f>
        <v/>
      </c>
      <c r="F414" s="127" t="str">
        <f aca="false">ExportRaw!$H414</f>
        <v/>
      </c>
      <c r="G414" s="129" t="str">
        <f aca="false">ExportRaw!$I414</f>
        <v/>
      </c>
      <c r="H414" s="127" t="str">
        <f aca="false">ExportRaw!$A414</f>
        <v/>
      </c>
      <c r="I414" s="127" t="str">
        <f aca="false">ExportRaw!$B414</f>
        <v/>
      </c>
    </row>
    <row r="415" customFormat="false" ht="15.75" hidden="false" customHeight="false" outlineLevel="0" collapsed="false">
      <c r="A415" s="127" t="n">
        <f aca="false">ExportRaw!$F415</f>
        <v>0</v>
      </c>
      <c r="B415" s="127" t="n">
        <f aca="false">ExportRaw!$C415</f>
        <v>0</v>
      </c>
      <c r="C415" s="127" t="n">
        <f aca="false">ExportRaw!$G415</f>
        <v>0</v>
      </c>
      <c r="D415" s="127" t="str">
        <f aca="false">ExportRaw!$E415</f>
        <v/>
      </c>
      <c r="E415" s="128" t="str">
        <f aca="false">ExportRaw!$D415</f>
        <v/>
      </c>
      <c r="F415" s="127" t="str">
        <f aca="false">ExportRaw!$H415</f>
        <v/>
      </c>
      <c r="G415" s="129" t="str">
        <f aca="false">ExportRaw!$I415</f>
        <v/>
      </c>
      <c r="H415" s="127" t="str">
        <f aca="false">ExportRaw!$A415</f>
        <v/>
      </c>
      <c r="I415" s="127" t="str">
        <f aca="false">ExportRaw!$B415</f>
        <v/>
      </c>
    </row>
    <row r="416" customFormat="false" ht="15.75" hidden="false" customHeight="false" outlineLevel="0" collapsed="false">
      <c r="A416" s="127" t="n">
        <f aca="false">ExportRaw!$F416</f>
        <v>0</v>
      </c>
      <c r="B416" s="127" t="n">
        <f aca="false">ExportRaw!$C416</f>
        <v>0</v>
      </c>
      <c r="C416" s="127" t="n">
        <f aca="false">ExportRaw!$G416</f>
        <v>0</v>
      </c>
      <c r="D416" s="127" t="str">
        <f aca="false">ExportRaw!$E416</f>
        <v/>
      </c>
      <c r="E416" s="128" t="str">
        <f aca="false">ExportRaw!$D416</f>
        <v/>
      </c>
      <c r="F416" s="127" t="str">
        <f aca="false">ExportRaw!$H416</f>
        <v/>
      </c>
      <c r="G416" s="129" t="str">
        <f aca="false">ExportRaw!$I416</f>
        <v/>
      </c>
      <c r="H416" s="127" t="str">
        <f aca="false">ExportRaw!$A416</f>
        <v/>
      </c>
      <c r="I416" s="127" t="str">
        <f aca="false">ExportRaw!$B416</f>
        <v/>
      </c>
    </row>
    <row r="417" customFormat="false" ht="15.75" hidden="false" customHeight="false" outlineLevel="0" collapsed="false">
      <c r="A417" s="127" t="n">
        <f aca="false">ExportRaw!$F417</f>
        <v>0</v>
      </c>
      <c r="B417" s="127" t="n">
        <f aca="false">ExportRaw!$C417</f>
        <v>0</v>
      </c>
      <c r="C417" s="127" t="n">
        <f aca="false">ExportRaw!$G417</f>
        <v>0</v>
      </c>
      <c r="D417" s="127" t="str">
        <f aca="false">ExportRaw!$E417</f>
        <v/>
      </c>
      <c r="E417" s="128" t="str">
        <f aca="false">ExportRaw!$D417</f>
        <v/>
      </c>
      <c r="F417" s="127" t="str">
        <f aca="false">ExportRaw!$H417</f>
        <v/>
      </c>
      <c r="G417" s="129" t="str">
        <f aca="false">ExportRaw!$I417</f>
        <v/>
      </c>
      <c r="H417" s="127" t="str">
        <f aca="false">ExportRaw!$A417</f>
        <v/>
      </c>
      <c r="I417" s="127" t="str">
        <f aca="false">ExportRaw!$B417</f>
        <v/>
      </c>
    </row>
    <row r="418" customFormat="false" ht="15.75" hidden="false" customHeight="false" outlineLevel="0" collapsed="false">
      <c r="A418" s="127" t="n">
        <f aca="false">ExportRaw!$F418</f>
        <v>0</v>
      </c>
      <c r="B418" s="127" t="n">
        <f aca="false">ExportRaw!$C418</f>
        <v>0</v>
      </c>
      <c r="C418" s="127" t="n">
        <f aca="false">ExportRaw!$G418</f>
        <v>0</v>
      </c>
      <c r="D418" s="127" t="str">
        <f aca="false">ExportRaw!$E418</f>
        <v/>
      </c>
      <c r="E418" s="128" t="str">
        <f aca="false">ExportRaw!$D418</f>
        <v/>
      </c>
      <c r="F418" s="127" t="str">
        <f aca="false">ExportRaw!$H418</f>
        <v/>
      </c>
      <c r="G418" s="129" t="str">
        <f aca="false">ExportRaw!$I418</f>
        <v/>
      </c>
      <c r="H418" s="127" t="str">
        <f aca="false">ExportRaw!$A418</f>
        <v/>
      </c>
      <c r="I418" s="127" t="str">
        <f aca="false">ExportRaw!$B418</f>
        <v/>
      </c>
    </row>
    <row r="419" customFormat="false" ht="15.75" hidden="false" customHeight="false" outlineLevel="0" collapsed="false">
      <c r="A419" s="127" t="n">
        <f aca="false">ExportRaw!$F419</f>
        <v>0</v>
      </c>
      <c r="B419" s="127" t="n">
        <f aca="false">ExportRaw!$C419</f>
        <v>0</v>
      </c>
      <c r="C419" s="127" t="n">
        <f aca="false">ExportRaw!$G419</f>
        <v>0</v>
      </c>
      <c r="D419" s="127" t="str">
        <f aca="false">ExportRaw!$E419</f>
        <v/>
      </c>
      <c r="E419" s="128" t="str">
        <f aca="false">ExportRaw!$D419</f>
        <v/>
      </c>
      <c r="F419" s="127" t="str">
        <f aca="false">ExportRaw!$H419</f>
        <v/>
      </c>
      <c r="G419" s="129" t="str">
        <f aca="false">ExportRaw!$I419</f>
        <v/>
      </c>
      <c r="H419" s="127" t="str">
        <f aca="false">ExportRaw!$A419</f>
        <v/>
      </c>
      <c r="I419" s="127" t="str">
        <f aca="false">ExportRaw!$B419</f>
        <v/>
      </c>
    </row>
    <row r="420" customFormat="false" ht="15.75" hidden="false" customHeight="false" outlineLevel="0" collapsed="false">
      <c r="A420" s="127" t="n">
        <f aca="false">ExportRaw!$F420</f>
        <v>0</v>
      </c>
      <c r="B420" s="127" t="n">
        <f aca="false">ExportRaw!$C420</f>
        <v>0</v>
      </c>
      <c r="C420" s="127" t="n">
        <f aca="false">ExportRaw!$G420</f>
        <v>0</v>
      </c>
      <c r="D420" s="127" t="str">
        <f aca="false">ExportRaw!$E420</f>
        <v/>
      </c>
      <c r="E420" s="128" t="str">
        <f aca="false">ExportRaw!$D420</f>
        <v/>
      </c>
      <c r="F420" s="127" t="str">
        <f aca="false">ExportRaw!$H420</f>
        <v/>
      </c>
      <c r="G420" s="129" t="str">
        <f aca="false">ExportRaw!$I420</f>
        <v/>
      </c>
      <c r="H420" s="127" t="str">
        <f aca="false">ExportRaw!$A420</f>
        <v/>
      </c>
      <c r="I420" s="127" t="str">
        <f aca="false">ExportRaw!$B420</f>
        <v/>
      </c>
    </row>
    <row r="421" customFormat="false" ht="15.75" hidden="false" customHeight="false" outlineLevel="0" collapsed="false">
      <c r="A421" s="127" t="n">
        <f aca="false">ExportRaw!$F421</f>
        <v>0</v>
      </c>
      <c r="B421" s="127" t="n">
        <f aca="false">ExportRaw!$C421</f>
        <v>0</v>
      </c>
      <c r="C421" s="127" t="n">
        <f aca="false">ExportRaw!$G421</f>
        <v>0</v>
      </c>
      <c r="D421" s="127" t="str">
        <f aca="false">ExportRaw!$E421</f>
        <v/>
      </c>
      <c r="E421" s="128" t="str">
        <f aca="false">ExportRaw!$D421</f>
        <v/>
      </c>
      <c r="F421" s="127" t="str">
        <f aca="false">ExportRaw!$H421</f>
        <v/>
      </c>
      <c r="G421" s="129" t="str">
        <f aca="false">ExportRaw!$I421</f>
        <v/>
      </c>
      <c r="H421" s="127" t="str">
        <f aca="false">ExportRaw!$A421</f>
        <v/>
      </c>
      <c r="I421" s="127" t="str">
        <f aca="false">ExportRaw!$B421</f>
        <v/>
      </c>
    </row>
    <row r="422" customFormat="false" ht="15.75" hidden="false" customHeight="false" outlineLevel="0" collapsed="false">
      <c r="A422" s="127" t="n">
        <f aca="false">ExportRaw!$F422</f>
        <v>0</v>
      </c>
      <c r="B422" s="127" t="n">
        <f aca="false">ExportRaw!$C422</f>
        <v>0</v>
      </c>
      <c r="C422" s="127" t="n">
        <f aca="false">ExportRaw!$G422</f>
        <v>0</v>
      </c>
      <c r="D422" s="127" t="str">
        <f aca="false">ExportRaw!$E422</f>
        <v/>
      </c>
      <c r="E422" s="128" t="str">
        <f aca="false">ExportRaw!$D422</f>
        <v/>
      </c>
      <c r="F422" s="127" t="str">
        <f aca="false">ExportRaw!$H422</f>
        <v/>
      </c>
      <c r="G422" s="129" t="str">
        <f aca="false">ExportRaw!$I422</f>
        <v/>
      </c>
      <c r="H422" s="127" t="str">
        <f aca="false">ExportRaw!$A422</f>
        <v/>
      </c>
      <c r="I422" s="127" t="str">
        <f aca="false">ExportRaw!$B422</f>
        <v/>
      </c>
    </row>
    <row r="423" customFormat="false" ht="15.75" hidden="false" customHeight="false" outlineLevel="0" collapsed="false">
      <c r="A423" s="127" t="n">
        <f aca="false">ExportRaw!$F423</f>
        <v>0</v>
      </c>
      <c r="B423" s="127" t="n">
        <f aca="false">ExportRaw!$C423</f>
        <v>0</v>
      </c>
      <c r="C423" s="127" t="n">
        <f aca="false">ExportRaw!$G423</f>
        <v>0</v>
      </c>
      <c r="D423" s="127" t="str">
        <f aca="false">ExportRaw!$E423</f>
        <v/>
      </c>
      <c r="E423" s="128" t="str">
        <f aca="false">ExportRaw!$D423</f>
        <v/>
      </c>
      <c r="F423" s="127" t="str">
        <f aca="false">ExportRaw!$H423</f>
        <v/>
      </c>
      <c r="G423" s="129" t="str">
        <f aca="false">ExportRaw!$I423</f>
        <v/>
      </c>
      <c r="H423" s="127" t="str">
        <f aca="false">ExportRaw!$A423</f>
        <v/>
      </c>
      <c r="I423" s="127" t="str">
        <f aca="false">ExportRaw!$B423</f>
        <v/>
      </c>
    </row>
    <row r="424" customFormat="false" ht="15.75" hidden="false" customHeight="false" outlineLevel="0" collapsed="false">
      <c r="A424" s="127" t="n">
        <f aca="false">ExportRaw!$F424</f>
        <v>0</v>
      </c>
      <c r="B424" s="127" t="n">
        <f aca="false">ExportRaw!$C424</f>
        <v>0</v>
      </c>
      <c r="C424" s="127" t="n">
        <f aca="false">ExportRaw!$G424</f>
        <v>0</v>
      </c>
      <c r="D424" s="127" t="str">
        <f aca="false">ExportRaw!$E424</f>
        <v/>
      </c>
      <c r="E424" s="128" t="str">
        <f aca="false">ExportRaw!$D424</f>
        <v/>
      </c>
      <c r="F424" s="127" t="str">
        <f aca="false">ExportRaw!$H424</f>
        <v/>
      </c>
      <c r="G424" s="129" t="str">
        <f aca="false">ExportRaw!$I424</f>
        <v/>
      </c>
      <c r="H424" s="127" t="str">
        <f aca="false">ExportRaw!$A424</f>
        <v/>
      </c>
      <c r="I424" s="127" t="str">
        <f aca="false">ExportRaw!$B424</f>
        <v/>
      </c>
    </row>
    <row r="425" customFormat="false" ht="15.75" hidden="false" customHeight="false" outlineLevel="0" collapsed="false">
      <c r="A425" s="127" t="n">
        <f aca="false">ExportRaw!$F425</f>
        <v>0</v>
      </c>
      <c r="B425" s="127" t="n">
        <f aca="false">ExportRaw!$C425</f>
        <v>0</v>
      </c>
      <c r="C425" s="127" t="n">
        <f aca="false">ExportRaw!$G425</f>
        <v>0</v>
      </c>
      <c r="D425" s="127" t="str">
        <f aca="false">ExportRaw!$E425</f>
        <v/>
      </c>
      <c r="E425" s="128" t="str">
        <f aca="false">ExportRaw!$D425</f>
        <v/>
      </c>
      <c r="F425" s="127" t="str">
        <f aca="false">ExportRaw!$H425</f>
        <v/>
      </c>
      <c r="G425" s="129" t="str">
        <f aca="false">ExportRaw!$I425</f>
        <v/>
      </c>
      <c r="H425" s="127" t="str">
        <f aca="false">ExportRaw!$A425</f>
        <v/>
      </c>
      <c r="I425" s="127" t="str">
        <f aca="false">ExportRaw!$B425</f>
        <v/>
      </c>
    </row>
    <row r="426" customFormat="false" ht="15.75" hidden="false" customHeight="false" outlineLevel="0" collapsed="false">
      <c r="A426" s="127" t="n">
        <f aca="false">ExportRaw!$F426</f>
        <v>0</v>
      </c>
      <c r="B426" s="127" t="n">
        <f aca="false">ExportRaw!$C426</f>
        <v>0</v>
      </c>
      <c r="C426" s="127" t="n">
        <f aca="false">ExportRaw!$G426</f>
        <v>0</v>
      </c>
      <c r="D426" s="127" t="str">
        <f aca="false">ExportRaw!$E426</f>
        <v/>
      </c>
      <c r="E426" s="128" t="str">
        <f aca="false">ExportRaw!$D426</f>
        <v/>
      </c>
      <c r="F426" s="127" t="str">
        <f aca="false">ExportRaw!$H426</f>
        <v/>
      </c>
      <c r="G426" s="129" t="str">
        <f aca="false">ExportRaw!$I426</f>
        <v/>
      </c>
      <c r="H426" s="127" t="str">
        <f aca="false">ExportRaw!$A426</f>
        <v/>
      </c>
      <c r="I426" s="127" t="str">
        <f aca="false">ExportRaw!$B426</f>
        <v/>
      </c>
    </row>
    <row r="427" customFormat="false" ht="15.75" hidden="false" customHeight="false" outlineLevel="0" collapsed="false">
      <c r="A427" s="127" t="n">
        <f aca="false">ExportRaw!$F427</f>
        <v>0</v>
      </c>
      <c r="B427" s="127" t="n">
        <f aca="false">ExportRaw!$C427</f>
        <v>0</v>
      </c>
      <c r="C427" s="127" t="n">
        <f aca="false">ExportRaw!$G427</f>
        <v>0</v>
      </c>
      <c r="D427" s="127" t="str">
        <f aca="false">ExportRaw!$E427</f>
        <v/>
      </c>
      <c r="E427" s="128" t="str">
        <f aca="false">ExportRaw!$D427</f>
        <v/>
      </c>
      <c r="F427" s="127" t="str">
        <f aca="false">ExportRaw!$H427</f>
        <v/>
      </c>
      <c r="G427" s="129" t="str">
        <f aca="false">ExportRaw!$I427</f>
        <v/>
      </c>
      <c r="H427" s="127" t="str">
        <f aca="false">ExportRaw!$A427</f>
        <v/>
      </c>
      <c r="I427" s="127" t="str">
        <f aca="false">ExportRaw!$B427</f>
        <v/>
      </c>
    </row>
    <row r="428" customFormat="false" ht="15.75" hidden="false" customHeight="false" outlineLevel="0" collapsed="false">
      <c r="A428" s="127" t="n">
        <f aca="false">ExportRaw!$F428</f>
        <v>0</v>
      </c>
      <c r="B428" s="127" t="n">
        <f aca="false">ExportRaw!$C428</f>
        <v>0</v>
      </c>
      <c r="C428" s="127" t="n">
        <f aca="false">ExportRaw!$G428</f>
        <v>0</v>
      </c>
      <c r="D428" s="127" t="str">
        <f aca="false">ExportRaw!$E428</f>
        <v/>
      </c>
      <c r="E428" s="128" t="str">
        <f aca="false">ExportRaw!$D428</f>
        <v/>
      </c>
      <c r="F428" s="127" t="str">
        <f aca="false">ExportRaw!$H428</f>
        <v/>
      </c>
      <c r="G428" s="129" t="str">
        <f aca="false">ExportRaw!$I428</f>
        <v/>
      </c>
      <c r="H428" s="127" t="str">
        <f aca="false">ExportRaw!$A428</f>
        <v/>
      </c>
      <c r="I428" s="127" t="str">
        <f aca="false">ExportRaw!$B428</f>
        <v/>
      </c>
    </row>
    <row r="429" customFormat="false" ht="15.75" hidden="false" customHeight="false" outlineLevel="0" collapsed="false">
      <c r="A429" s="127" t="n">
        <f aca="false">ExportRaw!$F429</f>
        <v>0</v>
      </c>
      <c r="B429" s="127" t="n">
        <f aca="false">ExportRaw!$C429</f>
        <v>0</v>
      </c>
      <c r="C429" s="127" t="n">
        <f aca="false">ExportRaw!$G429</f>
        <v>0</v>
      </c>
      <c r="D429" s="127" t="str">
        <f aca="false">ExportRaw!$E429</f>
        <v/>
      </c>
      <c r="E429" s="128" t="str">
        <f aca="false">ExportRaw!$D429</f>
        <v/>
      </c>
      <c r="F429" s="127" t="str">
        <f aca="false">ExportRaw!$H429</f>
        <v/>
      </c>
      <c r="G429" s="129" t="str">
        <f aca="false">ExportRaw!$I429</f>
        <v/>
      </c>
      <c r="H429" s="127" t="str">
        <f aca="false">ExportRaw!$A429</f>
        <v/>
      </c>
      <c r="I429" s="127" t="str">
        <f aca="false">ExportRaw!$B429</f>
        <v/>
      </c>
    </row>
    <row r="430" customFormat="false" ht="15.75" hidden="false" customHeight="false" outlineLevel="0" collapsed="false">
      <c r="A430" s="127" t="n">
        <f aca="false">ExportRaw!$F430</f>
        <v>0</v>
      </c>
      <c r="B430" s="127" t="n">
        <f aca="false">ExportRaw!$C430</f>
        <v>0</v>
      </c>
      <c r="C430" s="127" t="n">
        <f aca="false">ExportRaw!$G430</f>
        <v>0</v>
      </c>
      <c r="D430" s="127" t="str">
        <f aca="false">ExportRaw!$E430</f>
        <v/>
      </c>
      <c r="E430" s="128" t="str">
        <f aca="false">ExportRaw!$D430</f>
        <v/>
      </c>
      <c r="F430" s="127" t="str">
        <f aca="false">ExportRaw!$H430</f>
        <v/>
      </c>
      <c r="G430" s="129" t="str">
        <f aca="false">ExportRaw!$I430</f>
        <v/>
      </c>
      <c r="H430" s="127" t="str">
        <f aca="false">ExportRaw!$A430</f>
        <v/>
      </c>
      <c r="I430" s="127" t="str">
        <f aca="false">ExportRaw!$B430</f>
        <v/>
      </c>
    </row>
    <row r="431" customFormat="false" ht="15.75" hidden="false" customHeight="false" outlineLevel="0" collapsed="false">
      <c r="A431" s="127" t="n">
        <f aca="false">ExportRaw!$F431</f>
        <v>0</v>
      </c>
      <c r="B431" s="127" t="n">
        <f aca="false">ExportRaw!$C431</f>
        <v>0</v>
      </c>
      <c r="C431" s="127" t="n">
        <f aca="false">ExportRaw!$G431</f>
        <v>0</v>
      </c>
      <c r="D431" s="127" t="str">
        <f aca="false">ExportRaw!$E431</f>
        <v/>
      </c>
      <c r="E431" s="128" t="str">
        <f aca="false">ExportRaw!$D431</f>
        <v/>
      </c>
      <c r="F431" s="127" t="str">
        <f aca="false">ExportRaw!$H431</f>
        <v/>
      </c>
      <c r="G431" s="129" t="str">
        <f aca="false">ExportRaw!$I431</f>
        <v/>
      </c>
      <c r="H431" s="127" t="str">
        <f aca="false">ExportRaw!$A431</f>
        <v/>
      </c>
      <c r="I431" s="127" t="str">
        <f aca="false">ExportRaw!$B431</f>
        <v/>
      </c>
    </row>
    <row r="432" customFormat="false" ht="15.75" hidden="false" customHeight="false" outlineLevel="0" collapsed="false">
      <c r="A432" s="127" t="n">
        <f aca="false">ExportRaw!$F432</f>
        <v>0</v>
      </c>
      <c r="B432" s="127" t="n">
        <f aca="false">ExportRaw!$C432</f>
        <v>0</v>
      </c>
      <c r="C432" s="127" t="n">
        <f aca="false">ExportRaw!$G432</f>
        <v>0</v>
      </c>
      <c r="D432" s="127" t="str">
        <f aca="false">ExportRaw!$E432</f>
        <v/>
      </c>
      <c r="E432" s="128" t="str">
        <f aca="false">ExportRaw!$D432</f>
        <v/>
      </c>
      <c r="F432" s="127" t="str">
        <f aca="false">ExportRaw!$H432</f>
        <v/>
      </c>
      <c r="G432" s="129" t="str">
        <f aca="false">ExportRaw!$I432</f>
        <v/>
      </c>
      <c r="H432" s="127" t="str">
        <f aca="false">ExportRaw!$A432</f>
        <v/>
      </c>
      <c r="I432" s="127" t="str">
        <f aca="false">ExportRaw!$B432</f>
        <v/>
      </c>
    </row>
    <row r="433" customFormat="false" ht="15.75" hidden="false" customHeight="false" outlineLevel="0" collapsed="false">
      <c r="A433" s="127" t="n">
        <f aca="false">ExportRaw!$F433</f>
        <v>0</v>
      </c>
      <c r="B433" s="127" t="n">
        <f aca="false">ExportRaw!$C433</f>
        <v>0</v>
      </c>
      <c r="C433" s="127" t="n">
        <f aca="false">ExportRaw!$G433</f>
        <v>0</v>
      </c>
      <c r="D433" s="127" t="str">
        <f aca="false">ExportRaw!$E433</f>
        <v/>
      </c>
      <c r="E433" s="128" t="str">
        <f aca="false">ExportRaw!$D433</f>
        <v/>
      </c>
      <c r="F433" s="127" t="str">
        <f aca="false">ExportRaw!$H433</f>
        <v/>
      </c>
      <c r="G433" s="129" t="str">
        <f aca="false">ExportRaw!$I433</f>
        <v/>
      </c>
      <c r="H433" s="127" t="str">
        <f aca="false">ExportRaw!$A433</f>
        <v/>
      </c>
      <c r="I433" s="127" t="str">
        <f aca="false">ExportRaw!$B433</f>
        <v/>
      </c>
    </row>
    <row r="434" customFormat="false" ht="15.75" hidden="false" customHeight="false" outlineLevel="0" collapsed="false">
      <c r="A434" s="127" t="n">
        <f aca="false">ExportRaw!$F434</f>
        <v>0</v>
      </c>
      <c r="B434" s="127" t="n">
        <f aca="false">ExportRaw!$C434</f>
        <v>0</v>
      </c>
      <c r="C434" s="127" t="n">
        <f aca="false">ExportRaw!$G434</f>
        <v>0</v>
      </c>
      <c r="D434" s="127" t="str">
        <f aca="false">ExportRaw!$E434</f>
        <v/>
      </c>
      <c r="E434" s="128" t="str">
        <f aca="false">ExportRaw!$D434</f>
        <v/>
      </c>
      <c r="F434" s="127" t="str">
        <f aca="false">ExportRaw!$H434</f>
        <v/>
      </c>
      <c r="G434" s="129" t="str">
        <f aca="false">ExportRaw!$I434</f>
        <v/>
      </c>
      <c r="H434" s="127" t="str">
        <f aca="false">ExportRaw!$A434</f>
        <v/>
      </c>
      <c r="I434" s="127" t="str">
        <f aca="false">ExportRaw!$B434</f>
        <v/>
      </c>
    </row>
    <row r="435" customFormat="false" ht="15.75" hidden="false" customHeight="false" outlineLevel="0" collapsed="false">
      <c r="A435" s="127" t="n">
        <f aca="false">ExportRaw!$F435</f>
        <v>0</v>
      </c>
      <c r="B435" s="127" t="n">
        <f aca="false">ExportRaw!$C435</f>
        <v>0</v>
      </c>
      <c r="C435" s="127" t="n">
        <f aca="false">ExportRaw!$G435</f>
        <v>0</v>
      </c>
      <c r="D435" s="127" t="str">
        <f aca="false">ExportRaw!$E435</f>
        <v/>
      </c>
      <c r="E435" s="128" t="str">
        <f aca="false">ExportRaw!$D435</f>
        <v/>
      </c>
      <c r="F435" s="127" t="str">
        <f aca="false">ExportRaw!$H435</f>
        <v/>
      </c>
      <c r="G435" s="129" t="str">
        <f aca="false">ExportRaw!$I435</f>
        <v/>
      </c>
      <c r="H435" s="127" t="str">
        <f aca="false">ExportRaw!$A435</f>
        <v/>
      </c>
      <c r="I435" s="127" t="str">
        <f aca="false">ExportRaw!$B435</f>
        <v/>
      </c>
    </row>
    <row r="436" customFormat="false" ht="15.75" hidden="false" customHeight="false" outlineLevel="0" collapsed="false">
      <c r="A436" s="127" t="n">
        <f aca="false">ExportRaw!$F436</f>
        <v>0</v>
      </c>
      <c r="B436" s="127" t="n">
        <f aca="false">ExportRaw!$C436</f>
        <v>0</v>
      </c>
      <c r="C436" s="127" t="n">
        <f aca="false">ExportRaw!$G436</f>
        <v>0</v>
      </c>
      <c r="D436" s="127" t="str">
        <f aca="false">ExportRaw!$E436</f>
        <v/>
      </c>
      <c r="E436" s="128" t="str">
        <f aca="false">ExportRaw!$D436</f>
        <v/>
      </c>
      <c r="F436" s="127" t="str">
        <f aca="false">ExportRaw!$H436</f>
        <v/>
      </c>
      <c r="G436" s="129" t="str">
        <f aca="false">ExportRaw!$I436</f>
        <v/>
      </c>
      <c r="H436" s="127" t="str">
        <f aca="false">ExportRaw!$A436</f>
        <v/>
      </c>
      <c r="I436" s="127" t="str">
        <f aca="false">ExportRaw!$B436</f>
        <v/>
      </c>
    </row>
    <row r="437" customFormat="false" ht="15.75" hidden="false" customHeight="false" outlineLevel="0" collapsed="false">
      <c r="A437" s="127" t="n">
        <f aca="false">ExportRaw!$F437</f>
        <v>0</v>
      </c>
      <c r="B437" s="127" t="n">
        <f aca="false">ExportRaw!$C437</f>
        <v>0</v>
      </c>
      <c r="C437" s="127" t="n">
        <f aca="false">ExportRaw!$G437</f>
        <v>0</v>
      </c>
      <c r="D437" s="127" t="str">
        <f aca="false">ExportRaw!$E437</f>
        <v/>
      </c>
      <c r="E437" s="128" t="str">
        <f aca="false">ExportRaw!$D437</f>
        <v/>
      </c>
      <c r="F437" s="127" t="str">
        <f aca="false">ExportRaw!$H437</f>
        <v/>
      </c>
      <c r="G437" s="129" t="str">
        <f aca="false">ExportRaw!$I437</f>
        <v/>
      </c>
      <c r="H437" s="127" t="str">
        <f aca="false">ExportRaw!$A437</f>
        <v/>
      </c>
      <c r="I437" s="127" t="str">
        <f aca="false">ExportRaw!$B437</f>
        <v/>
      </c>
    </row>
    <row r="438" customFormat="false" ht="15.75" hidden="false" customHeight="false" outlineLevel="0" collapsed="false">
      <c r="A438" s="127" t="n">
        <f aca="false">ExportRaw!$F438</f>
        <v>0</v>
      </c>
      <c r="B438" s="127" t="n">
        <f aca="false">ExportRaw!$C438</f>
        <v>0</v>
      </c>
      <c r="C438" s="127" t="n">
        <f aca="false">ExportRaw!$G438</f>
        <v>0</v>
      </c>
      <c r="D438" s="127" t="str">
        <f aca="false">ExportRaw!$E438</f>
        <v/>
      </c>
      <c r="E438" s="128" t="str">
        <f aca="false">ExportRaw!$D438</f>
        <v/>
      </c>
      <c r="F438" s="127" t="str">
        <f aca="false">ExportRaw!$H438</f>
        <v/>
      </c>
      <c r="G438" s="129" t="str">
        <f aca="false">ExportRaw!$I438</f>
        <v/>
      </c>
      <c r="H438" s="127" t="str">
        <f aca="false">ExportRaw!$A438</f>
        <v/>
      </c>
      <c r="I438" s="127" t="str">
        <f aca="false">ExportRaw!$B438</f>
        <v/>
      </c>
    </row>
    <row r="439" customFormat="false" ht="15.75" hidden="false" customHeight="false" outlineLevel="0" collapsed="false">
      <c r="A439" s="127" t="n">
        <f aca="false">ExportRaw!$F439</f>
        <v>0</v>
      </c>
      <c r="B439" s="127" t="n">
        <f aca="false">ExportRaw!$C439</f>
        <v>0</v>
      </c>
      <c r="C439" s="127" t="n">
        <f aca="false">ExportRaw!$G439</f>
        <v>0</v>
      </c>
      <c r="D439" s="127" t="str">
        <f aca="false">ExportRaw!$E439</f>
        <v/>
      </c>
      <c r="E439" s="128" t="str">
        <f aca="false">ExportRaw!$D439</f>
        <v/>
      </c>
      <c r="F439" s="127" t="str">
        <f aca="false">ExportRaw!$H439</f>
        <v/>
      </c>
      <c r="G439" s="129" t="str">
        <f aca="false">ExportRaw!$I439</f>
        <v/>
      </c>
      <c r="H439" s="127" t="str">
        <f aca="false">ExportRaw!$A439</f>
        <v/>
      </c>
      <c r="I439" s="127" t="str">
        <f aca="false">ExportRaw!$B439</f>
        <v/>
      </c>
    </row>
    <row r="440" customFormat="false" ht="15.75" hidden="false" customHeight="false" outlineLevel="0" collapsed="false">
      <c r="A440" s="127" t="n">
        <f aca="false">ExportRaw!$F440</f>
        <v>0</v>
      </c>
      <c r="B440" s="127" t="n">
        <f aca="false">ExportRaw!$C440</f>
        <v>0</v>
      </c>
      <c r="C440" s="127" t="n">
        <f aca="false">ExportRaw!$G440</f>
        <v>0</v>
      </c>
      <c r="D440" s="127" t="str">
        <f aca="false">ExportRaw!$E440</f>
        <v/>
      </c>
      <c r="E440" s="128" t="str">
        <f aca="false">ExportRaw!$D440</f>
        <v/>
      </c>
      <c r="F440" s="127" t="str">
        <f aca="false">ExportRaw!$H440</f>
        <v/>
      </c>
      <c r="G440" s="129" t="str">
        <f aca="false">ExportRaw!$I440</f>
        <v/>
      </c>
      <c r="H440" s="127" t="str">
        <f aca="false">ExportRaw!$A440</f>
        <v/>
      </c>
      <c r="I440" s="127" t="str">
        <f aca="false">ExportRaw!$B440</f>
        <v/>
      </c>
    </row>
    <row r="441" customFormat="false" ht="15.75" hidden="false" customHeight="false" outlineLevel="0" collapsed="false">
      <c r="A441" s="127" t="n">
        <f aca="false">ExportRaw!$F441</f>
        <v>0</v>
      </c>
      <c r="B441" s="127" t="n">
        <f aca="false">ExportRaw!$C441</f>
        <v>0</v>
      </c>
      <c r="C441" s="127" t="n">
        <f aca="false">ExportRaw!$G441</f>
        <v>0</v>
      </c>
      <c r="D441" s="127" t="str">
        <f aca="false">ExportRaw!$E441</f>
        <v/>
      </c>
      <c r="E441" s="128" t="str">
        <f aca="false">ExportRaw!$D441</f>
        <v/>
      </c>
      <c r="F441" s="127" t="str">
        <f aca="false">ExportRaw!$H441</f>
        <v/>
      </c>
      <c r="G441" s="129" t="str">
        <f aca="false">ExportRaw!$I441</f>
        <v/>
      </c>
      <c r="H441" s="127" t="str">
        <f aca="false">ExportRaw!$A441</f>
        <v/>
      </c>
      <c r="I441" s="127" t="str">
        <f aca="false">ExportRaw!$B441</f>
        <v/>
      </c>
    </row>
    <row r="442" customFormat="false" ht="15.75" hidden="false" customHeight="false" outlineLevel="0" collapsed="false">
      <c r="A442" s="127" t="n">
        <f aca="false">ExportRaw!$F442</f>
        <v>0</v>
      </c>
      <c r="B442" s="127" t="n">
        <f aca="false">ExportRaw!$C442</f>
        <v>0</v>
      </c>
      <c r="C442" s="127" t="n">
        <f aca="false">ExportRaw!$G442</f>
        <v>0</v>
      </c>
      <c r="D442" s="127" t="str">
        <f aca="false">ExportRaw!$E442</f>
        <v/>
      </c>
      <c r="E442" s="128" t="str">
        <f aca="false">ExportRaw!$D442</f>
        <v/>
      </c>
      <c r="F442" s="127" t="str">
        <f aca="false">ExportRaw!$H442</f>
        <v/>
      </c>
      <c r="G442" s="129" t="str">
        <f aca="false">ExportRaw!$I442</f>
        <v/>
      </c>
      <c r="H442" s="127" t="str">
        <f aca="false">ExportRaw!$A442</f>
        <v/>
      </c>
      <c r="I442" s="127" t="str">
        <f aca="false">ExportRaw!$B442</f>
        <v/>
      </c>
    </row>
    <row r="443" customFormat="false" ht="15.75" hidden="false" customHeight="false" outlineLevel="0" collapsed="false">
      <c r="A443" s="127" t="n">
        <f aca="false">ExportRaw!$F443</f>
        <v>0</v>
      </c>
      <c r="B443" s="127" t="n">
        <f aca="false">ExportRaw!$C443</f>
        <v>0</v>
      </c>
      <c r="C443" s="127" t="n">
        <f aca="false">ExportRaw!$G443</f>
        <v>0</v>
      </c>
      <c r="D443" s="127" t="str">
        <f aca="false">ExportRaw!$E443</f>
        <v/>
      </c>
      <c r="E443" s="128" t="str">
        <f aca="false">ExportRaw!$D443</f>
        <v/>
      </c>
      <c r="F443" s="127" t="str">
        <f aca="false">ExportRaw!$H443</f>
        <v/>
      </c>
      <c r="G443" s="129" t="str">
        <f aca="false">ExportRaw!$I443</f>
        <v/>
      </c>
      <c r="H443" s="127" t="str">
        <f aca="false">ExportRaw!$A443</f>
        <v/>
      </c>
      <c r="I443" s="127" t="str">
        <f aca="false">ExportRaw!$B443</f>
        <v/>
      </c>
    </row>
    <row r="444" customFormat="false" ht="15.75" hidden="false" customHeight="false" outlineLevel="0" collapsed="false">
      <c r="A444" s="127" t="n">
        <f aca="false">ExportRaw!$F444</f>
        <v>0</v>
      </c>
      <c r="B444" s="127" t="n">
        <f aca="false">ExportRaw!$C444</f>
        <v>0</v>
      </c>
      <c r="C444" s="127" t="n">
        <f aca="false">ExportRaw!$G444</f>
        <v>0</v>
      </c>
      <c r="D444" s="127" t="str">
        <f aca="false">ExportRaw!$E444</f>
        <v/>
      </c>
      <c r="E444" s="128" t="str">
        <f aca="false">ExportRaw!$D444</f>
        <v/>
      </c>
      <c r="F444" s="127" t="str">
        <f aca="false">ExportRaw!$H444</f>
        <v/>
      </c>
      <c r="G444" s="129" t="str">
        <f aca="false">ExportRaw!$I444</f>
        <v/>
      </c>
      <c r="H444" s="127" t="str">
        <f aca="false">ExportRaw!$A444</f>
        <v/>
      </c>
      <c r="I444" s="127" t="str">
        <f aca="false">ExportRaw!$B444</f>
        <v/>
      </c>
    </row>
    <row r="445" customFormat="false" ht="15.75" hidden="false" customHeight="false" outlineLevel="0" collapsed="false">
      <c r="A445" s="127" t="n">
        <f aca="false">ExportRaw!$F445</f>
        <v>0</v>
      </c>
      <c r="B445" s="127" t="n">
        <f aca="false">ExportRaw!$C445</f>
        <v>0</v>
      </c>
      <c r="C445" s="127" t="n">
        <f aca="false">ExportRaw!$G445</f>
        <v>0</v>
      </c>
      <c r="D445" s="127" t="str">
        <f aca="false">ExportRaw!$E445</f>
        <v/>
      </c>
      <c r="E445" s="128" t="str">
        <f aca="false">ExportRaw!$D445</f>
        <v/>
      </c>
      <c r="F445" s="127" t="str">
        <f aca="false">ExportRaw!$H445</f>
        <v/>
      </c>
      <c r="G445" s="129" t="str">
        <f aca="false">ExportRaw!$I445</f>
        <v/>
      </c>
      <c r="H445" s="127" t="str">
        <f aca="false">ExportRaw!$A445</f>
        <v/>
      </c>
      <c r="I445" s="127" t="str">
        <f aca="false">ExportRaw!$B445</f>
        <v/>
      </c>
    </row>
    <row r="446" customFormat="false" ht="15.75" hidden="false" customHeight="false" outlineLevel="0" collapsed="false">
      <c r="A446" s="127" t="n">
        <f aca="false">ExportRaw!$F446</f>
        <v>0</v>
      </c>
      <c r="B446" s="127" t="n">
        <f aca="false">ExportRaw!$C446</f>
        <v>0</v>
      </c>
      <c r="C446" s="127" t="n">
        <f aca="false">ExportRaw!$G446</f>
        <v>0</v>
      </c>
      <c r="D446" s="127" t="str">
        <f aca="false">ExportRaw!$E446</f>
        <v/>
      </c>
      <c r="E446" s="128" t="str">
        <f aca="false">ExportRaw!$D446</f>
        <v/>
      </c>
      <c r="F446" s="127" t="str">
        <f aca="false">ExportRaw!$H446</f>
        <v/>
      </c>
      <c r="G446" s="129" t="str">
        <f aca="false">ExportRaw!$I446</f>
        <v/>
      </c>
      <c r="H446" s="127" t="str">
        <f aca="false">ExportRaw!$A446</f>
        <v/>
      </c>
      <c r="I446" s="127" t="str">
        <f aca="false">ExportRaw!$B446</f>
        <v/>
      </c>
    </row>
    <row r="447" customFormat="false" ht="15.75" hidden="false" customHeight="false" outlineLevel="0" collapsed="false">
      <c r="A447" s="127" t="n">
        <f aca="false">ExportRaw!$F447</f>
        <v>0</v>
      </c>
      <c r="B447" s="127" t="n">
        <f aca="false">ExportRaw!$C447</f>
        <v>0</v>
      </c>
      <c r="C447" s="127" t="n">
        <f aca="false">ExportRaw!$G447</f>
        <v>0</v>
      </c>
      <c r="D447" s="127" t="str">
        <f aca="false">ExportRaw!$E447</f>
        <v/>
      </c>
      <c r="E447" s="128" t="str">
        <f aca="false">ExportRaw!$D447</f>
        <v/>
      </c>
      <c r="F447" s="127" t="str">
        <f aca="false">ExportRaw!$H447</f>
        <v/>
      </c>
      <c r="G447" s="129" t="str">
        <f aca="false">ExportRaw!$I447</f>
        <v/>
      </c>
      <c r="H447" s="127" t="str">
        <f aca="false">ExportRaw!$A447</f>
        <v/>
      </c>
      <c r="I447" s="127" t="str">
        <f aca="false">ExportRaw!$B447</f>
        <v/>
      </c>
    </row>
    <row r="448" customFormat="false" ht="15.75" hidden="false" customHeight="false" outlineLevel="0" collapsed="false">
      <c r="A448" s="127" t="n">
        <f aca="false">ExportRaw!$F448</f>
        <v>0</v>
      </c>
      <c r="B448" s="127" t="n">
        <f aca="false">ExportRaw!$C448</f>
        <v>0</v>
      </c>
      <c r="C448" s="127" t="n">
        <f aca="false">ExportRaw!$G448</f>
        <v>0</v>
      </c>
      <c r="D448" s="127" t="str">
        <f aca="false">ExportRaw!$E448</f>
        <v/>
      </c>
      <c r="E448" s="128" t="str">
        <f aca="false">ExportRaw!$D448</f>
        <v/>
      </c>
      <c r="F448" s="127" t="str">
        <f aca="false">ExportRaw!$H448</f>
        <v/>
      </c>
      <c r="G448" s="129" t="str">
        <f aca="false">ExportRaw!$I448</f>
        <v/>
      </c>
      <c r="H448" s="127" t="str">
        <f aca="false">ExportRaw!$A448</f>
        <v/>
      </c>
      <c r="I448" s="127" t="str">
        <f aca="false">ExportRaw!$B448</f>
        <v/>
      </c>
    </row>
    <row r="449" customFormat="false" ht="15.75" hidden="false" customHeight="false" outlineLevel="0" collapsed="false">
      <c r="A449" s="127" t="n">
        <f aca="false">ExportRaw!$F449</f>
        <v>0</v>
      </c>
      <c r="B449" s="127" t="n">
        <f aca="false">ExportRaw!$C449</f>
        <v>0</v>
      </c>
      <c r="C449" s="127" t="n">
        <f aca="false">ExportRaw!$G449</f>
        <v>0</v>
      </c>
      <c r="D449" s="127" t="str">
        <f aca="false">ExportRaw!$E449</f>
        <v/>
      </c>
      <c r="E449" s="128" t="str">
        <f aca="false">ExportRaw!$D449</f>
        <v/>
      </c>
      <c r="F449" s="127" t="str">
        <f aca="false">ExportRaw!$H449</f>
        <v/>
      </c>
      <c r="G449" s="129" t="str">
        <f aca="false">ExportRaw!$I449</f>
        <v/>
      </c>
      <c r="H449" s="127" t="str">
        <f aca="false">ExportRaw!$A449</f>
        <v/>
      </c>
      <c r="I449" s="127" t="str">
        <f aca="false">ExportRaw!$B449</f>
        <v/>
      </c>
    </row>
    <row r="450" customFormat="false" ht="15.75" hidden="false" customHeight="false" outlineLevel="0" collapsed="false">
      <c r="A450" s="127" t="n">
        <f aca="false">ExportRaw!$F450</f>
        <v>0</v>
      </c>
      <c r="B450" s="127" t="n">
        <f aca="false">ExportRaw!$C450</f>
        <v>0</v>
      </c>
      <c r="C450" s="127" t="n">
        <f aca="false">ExportRaw!$G450</f>
        <v>0</v>
      </c>
      <c r="D450" s="127" t="str">
        <f aca="false">ExportRaw!$E450</f>
        <v/>
      </c>
      <c r="E450" s="128" t="str">
        <f aca="false">ExportRaw!$D450</f>
        <v/>
      </c>
      <c r="F450" s="127" t="str">
        <f aca="false">ExportRaw!$H450</f>
        <v/>
      </c>
      <c r="G450" s="129" t="str">
        <f aca="false">ExportRaw!$I450</f>
        <v/>
      </c>
      <c r="H450" s="127" t="str">
        <f aca="false">ExportRaw!$A450</f>
        <v/>
      </c>
      <c r="I450" s="127" t="str">
        <f aca="false">ExportRaw!$B450</f>
        <v/>
      </c>
    </row>
    <row r="451" customFormat="false" ht="15.75" hidden="false" customHeight="false" outlineLevel="0" collapsed="false">
      <c r="A451" s="127" t="n">
        <f aca="false">ExportRaw!$F451</f>
        <v>0</v>
      </c>
      <c r="B451" s="127" t="n">
        <f aca="false">ExportRaw!$C451</f>
        <v>0</v>
      </c>
      <c r="C451" s="127" t="n">
        <f aca="false">ExportRaw!$G451</f>
        <v>0</v>
      </c>
      <c r="D451" s="127" t="str">
        <f aca="false">ExportRaw!$E451</f>
        <v/>
      </c>
      <c r="E451" s="128" t="str">
        <f aca="false">ExportRaw!$D451</f>
        <v/>
      </c>
      <c r="F451" s="127" t="str">
        <f aca="false">ExportRaw!$H451</f>
        <v/>
      </c>
      <c r="G451" s="129" t="str">
        <f aca="false">ExportRaw!$I451</f>
        <v/>
      </c>
      <c r="H451" s="127" t="str">
        <f aca="false">ExportRaw!$A451</f>
        <v/>
      </c>
      <c r="I451" s="127" t="str">
        <f aca="false">ExportRaw!$B451</f>
        <v/>
      </c>
    </row>
    <row r="452" customFormat="false" ht="15.75" hidden="false" customHeight="false" outlineLevel="0" collapsed="false">
      <c r="A452" s="127" t="n">
        <f aca="false">ExportRaw!$F452</f>
        <v>0</v>
      </c>
      <c r="B452" s="127" t="n">
        <f aca="false">ExportRaw!$C452</f>
        <v>0</v>
      </c>
      <c r="C452" s="127" t="n">
        <f aca="false">ExportRaw!$G452</f>
        <v>0</v>
      </c>
      <c r="D452" s="127" t="str">
        <f aca="false">ExportRaw!$E452</f>
        <v/>
      </c>
      <c r="E452" s="128" t="str">
        <f aca="false">ExportRaw!$D452</f>
        <v/>
      </c>
      <c r="F452" s="127" t="str">
        <f aca="false">ExportRaw!$H452</f>
        <v/>
      </c>
      <c r="G452" s="129" t="str">
        <f aca="false">ExportRaw!$I452</f>
        <v/>
      </c>
      <c r="H452" s="127" t="str">
        <f aca="false">ExportRaw!$A452</f>
        <v/>
      </c>
      <c r="I452" s="127" t="str">
        <f aca="false">ExportRaw!$B452</f>
        <v/>
      </c>
    </row>
    <row r="453" customFormat="false" ht="15.75" hidden="false" customHeight="false" outlineLevel="0" collapsed="false">
      <c r="A453" s="127" t="n">
        <f aca="false">ExportRaw!$F453</f>
        <v>0</v>
      </c>
      <c r="B453" s="127" t="n">
        <f aca="false">ExportRaw!$C453</f>
        <v>0</v>
      </c>
      <c r="C453" s="127" t="n">
        <f aca="false">ExportRaw!$G453</f>
        <v>0</v>
      </c>
      <c r="D453" s="127" t="str">
        <f aca="false">ExportRaw!$E453</f>
        <v/>
      </c>
      <c r="E453" s="128" t="str">
        <f aca="false">ExportRaw!$D453</f>
        <v/>
      </c>
      <c r="F453" s="127" t="str">
        <f aca="false">ExportRaw!$H453</f>
        <v/>
      </c>
      <c r="G453" s="129" t="str">
        <f aca="false">ExportRaw!$I453</f>
        <v/>
      </c>
      <c r="H453" s="127" t="str">
        <f aca="false">ExportRaw!$A453</f>
        <v/>
      </c>
      <c r="I453" s="127" t="str">
        <f aca="false">ExportRaw!$B453</f>
        <v/>
      </c>
    </row>
    <row r="454" customFormat="false" ht="15.75" hidden="false" customHeight="false" outlineLevel="0" collapsed="false">
      <c r="A454" s="127" t="n">
        <f aca="false">ExportRaw!$F454</f>
        <v>0</v>
      </c>
      <c r="B454" s="127" t="n">
        <f aca="false">ExportRaw!$C454</f>
        <v>0</v>
      </c>
      <c r="C454" s="127" t="n">
        <f aca="false">ExportRaw!$G454</f>
        <v>0</v>
      </c>
      <c r="D454" s="127" t="str">
        <f aca="false">ExportRaw!$E454</f>
        <v/>
      </c>
      <c r="E454" s="128" t="str">
        <f aca="false">ExportRaw!$D454</f>
        <v/>
      </c>
      <c r="F454" s="127" t="str">
        <f aca="false">ExportRaw!$H454</f>
        <v/>
      </c>
      <c r="G454" s="129" t="str">
        <f aca="false">ExportRaw!$I454</f>
        <v/>
      </c>
      <c r="H454" s="127" t="str">
        <f aca="false">ExportRaw!$A454</f>
        <v/>
      </c>
      <c r="I454" s="127" t="str">
        <f aca="false">ExportRaw!$B454</f>
        <v/>
      </c>
    </row>
    <row r="455" customFormat="false" ht="15.75" hidden="false" customHeight="false" outlineLevel="0" collapsed="false">
      <c r="A455" s="127" t="n">
        <f aca="false">ExportRaw!$F455</f>
        <v>0</v>
      </c>
      <c r="B455" s="127" t="n">
        <f aca="false">ExportRaw!$C455</f>
        <v>0</v>
      </c>
      <c r="C455" s="127" t="n">
        <f aca="false">ExportRaw!$G455</f>
        <v>0</v>
      </c>
      <c r="D455" s="127" t="str">
        <f aca="false">ExportRaw!$E455</f>
        <v/>
      </c>
      <c r="E455" s="128" t="str">
        <f aca="false">ExportRaw!$D455</f>
        <v/>
      </c>
      <c r="F455" s="127" t="str">
        <f aca="false">ExportRaw!$H455</f>
        <v/>
      </c>
      <c r="G455" s="129" t="str">
        <f aca="false">ExportRaw!$I455</f>
        <v/>
      </c>
      <c r="H455" s="127" t="str">
        <f aca="false">ExportRaw!$A455</f>
        <v/>
      </c>
      <c r="I455" s="127" t="str">
        <f aca="false">ExportRaw!$B455</f>
        <v/>
      </c>
    </row>
    <row r="456" customFormat="false" ht="15.75" hidden="false" customHeight="false" outlineLevel="0" collapsed="false">
      <c r="A456" s="127" t="n">
        <f aca="false">ExportRaw!$F456</f>
        <v>0</v>
      </c>
      <c r="B456" s="127" t="n">
        <f aca="false">ExportRaw!$C456</f>
        <v>0</v>
      </c>
      <c r="C456" s="127" t="n">
        <f aca="false">ExportRaw!$G456</f>
        <v>0</v>
      </c>
      <c r="D456" s="127" t="str">
        <f aca="false">ExportRaw!$E456</f>
        <v/>
      </c>
      <c r="E456" s="128" t="str">
        <f aca="false">ExportRaw!$D456</f>
        <v/>
      </c>
      <c r="F456" s="127" t="str">
        <f aca="false">ExportRaw!$H456</f>
        <v/>
      </c>
      <c r="G456" s="129" t="str">
        <f aca="false">ExportRaw!$I456</f>
        <v/>
      </c>
      <c r="H456" s="127" t="str">
        <f aca="false">ExportRaw!$A456</f>
        <v/>
      </c>
      <c r="I456" s="127" t="str">
        <f aca="false">ExportRaw!$B456</f>
        <v/>
      </c>
    </row>
    <row r="457" customFormat="false" ht="15.75" hidden="false" customHeight="false" outlineLevel="0" collapsed="false">
      <c r="A457" s="127" t="n">
        <f aca="false">ExportRaw!$F457</f>
        <v>0</v>
      </c>
      <c r="B457" s="127" t="n">
        <f aca="false">ExportRaw!$C457</f>
        <v>0</v>
      </c>
      <c r="C457" s="127" t="n">
        <f aca="false">ExportRaw!$G457</f>
        <v>0</v>
      </c>
      <c r="D457" s="127" t="str">
        <f aca="false">ExportRaw!$E457</f>
        <v/>
      </c>
      <c r="E457" s="128" t="str">
        <f aca="false">ExportRaw!$D457</f>
        <v/>
      </c>
      <c r="F457" s="127" t="str">
        <f aca="false">ExportRaw!$H457</f>
        <v/>
      </c>
      <c r="G457" s="129" t="str">
        <f aca="false">ExportRaw!$I457</f>
        <v/>
      </c>
      <c r="H457" s="127" t="str">
        <f aca="false">ExportRaw!$A457</f>
        <v/>
      </c>
      <c r="I457" s="127" t="str">
        <f aca="false">ExportRaw!$B457</f>
        <v/>
      </c>
    </row>
    <row r="458" customFormat="false" ht="15.75" hidden="false" customHeight="false" outlineLevel="0" collapsed="false">
      <c r="A458" s="127" t="n">
        <f aca="false">ExportRaw!$F458</f>
        <v>0</v>
      </c>
      <c r="B458" s="127" t="n">
        <f aca="false">ExportRaw!$C458</f>
        <v>0</v>
      </c>
      <c r="C458" s="127" t="n">
        <f aca="false">ExportRaw!$G458</f>
        <v>0</v>
      </c>
      <c r="D458" s="127" t="str">
        <f aca="false">ExportRaw!$E458</f>
        <v/>
      </c>
      <c r="E458" s="128" t="str">
        <f aca="false">ExportRaw!$D458</f>
        <v/>
      </c>
      <c r="F458" s="127" t="str">
        <f aca="false">ExportRaw!$H458</f>
        <v/>
      </c>
      <c r="G458" s="129" t="str">
        <f aca="false">ExportRaw!$I458</f>
        <v/>
      </c>
      <c r="H458" s="127" t="str">
        <f aca="false">ExportRaw!$A458</f>
        <v/>
      </c>
      <c r="I458" s="127" t="str">
        <f aca="false">ExportRaw!$B458</f>
        <v/>
      </c>
    </row>
    <row r="459" customFormat="false" ht="15.75" hidden="false" customHeight="false" outlineLevel="0" collapsed="false">
      <c r="A459" s="127" t="n">
        <f aca="false">ExportRaw!$F459</f>
        <v>0</v>
      </c>
      <c r="B459" s="127" t="n">
        <f aca="false">ExportRaw!$C459</f>
        <v>0</v>
      </c>
      <c r="C459" s="127" t="n">
        <f aca="false">ExportRaw!$G459</f>
        <v>0</v>
      </c>
      <c r="D459" s="127" t="str">
        <f aca="false">ExportRaw!$E459</f>
        <v/>
      </c>
      <c r="E459" s="128" t="str">
        <f aca="false">ExportRaw!$D459</f>
        <v/>
      </c>
      <c r="F459" s="127" t="str">
        <f aca="false">ExportRaw!$H459</f>
        <v/>
      </c>
      <c r="G459" s="129" t="str">
        <f aca="false">ExportRaw!$I459</f>
        <v/>
      </c>
      <c r="H459" s="127" t="str">
        <f aca="false">ExportRaw!$A459</f>
        <v/>
      </c>
      <c r="I459" s="127" t="str">
        <f aca="false">ExportRaw!$B459</f>
        <v/>
      </c>
    </row>
    <row r="460" customFormat="false" ht="15.75" hidden="false" customHeight="false" outlineLevel="0" collapsed="false">
      <c r="A460" s="127" t="n">
        <f aca="false">ExportRaw!$F460</f>
        <v>0</v>
      </c>
      <c r="B460" s="127" t="n">
        <f aca="false">ExportRaw!$C460</f>
        <v>0</v>
      </c>
      <c r="C460" s="127" t="n">
        <f aca="false">ExportRaw!$G460</f>
        <v>0</v>
      </c>
      <c r="D460" s="127" t="str">
        <f aca="false">ExportRaw!$E460</f>
        <v/>
      </c>
      <c r="E460" s="128" t="str">
        <f aca="false">ExportRaw!$D460</f>
        <v/>
      </c>
      <c r="F460" s="127" t="str">
        <f aca="false">ExportRaw!$H460</f>
        <v/>
      </c>
      <c r="G460" s="129" t="str">
        <f aca="false">ExportRaw!$I460</f>
        <v/>
      </c>
      <c r="H460" s="127" t="str">
        <f aca="false">ExportRaw!$A460</f>
        <v/>
      </c>
      <c r="I460" s="127" t="str">
        <f aca="false">ExportRaw!$B460</f>
        <v/>
      </c>
    </row>
    <row r="461" customFormat="false" ht="15.75" hidden="false" customHeight="false" outlineLevel="0" collapsed="false">
      <c r="A461" s="127" t="n">
        <f aca="false">ExportRaw!$F461</f>
        <v>0</v>
      </c>
      <c r="B461" s="127" t="n">
        <f aca="false">ExportRaw!$C461</f>
        <v>0</v>
      </c>
      <c r="C461" s="127" t="n">
        <f aca="false">ExportRaw!$G461</f>
        <v>0</v>
      </c>
      <c r="D461" s="127" t="str">
        <f aca="false">ExportRaw!$E461</f>
        <v/>
      </c>
      <c r="E461" s="128" t="str">
        <f aca="false">ExportRaw!$D461</f>
        <v/>
      </c>
      <c r="F461" s="127" t="str">
        <f aca="false">ExportRaw!$H461</f>
        <v/>
      </c>
      <c r="G461" s="129" t="str">
        <f aca="false">ExportRaw!$I461</f>
        <v/>
      </c>
      <c r="H461" s="127" t="str">
        <f aca="false">ExportRaw!$A461</f>
        <v/>
      </c>
      <c r="I461" s="127" t="str">
        <f aca="false">ExportRaw!$B461</f>
        <v/>
      </c>
    </row>
    <row r="462" customFormat="false" ht="15.75" hidden="false" customHeight="false" outlineLevel="0" collapsed="false">
      <c r="A462" s="127" t="n">
        <f aca="false">ExportRaw!$F462</f>
        <v>0</v>
      </c>
      <c r="B462" s="127" t="n">
        <f aca="false">ExportRaw!$C462</f>
        <v>0</v>
      </c>
      <c r="C462" s="127" t="n">
        <f aca="false">ExportRaw!$G462</f>
        <v>0</v>
      </c>
      <c r="D462" s="127" t="str">
        <f aca="false">ExportRaw!$E462</f>
        <v/>
      </c>
      <c r="E462" s="128" t="str">
        <f aca="false">ExportRaw!$D462</f>
        <v/>
      </c>
      <c r="F462" s="127" t="str">
        <f aca="false">ExportRaw!$H462</f>
        <v/>
      </c>
      <c r="G462" s="129" t="str">
        <f aca="false">ExportRaw!$I462</f>
        <v/>
      </c>
      <c r="H462" s="127" t="str">
        <f aca="false">ExportRaw!$A462</f>
        <v/>
      </c>
      <c r="I462" s="127" t="str">
        <f aca="false">ExportRaw!$B462</f>
        <v/>
      </c>
    </row>
    <row r="463" customFormat="false" ht="15.75" hidden="false" customHeight="false" outlineLevel="0" collapsed="false">
      <c r="A463" s="127" t="n">
        <f aca="false">ExportRaw!$F463</f>
        <v>0</v>
      </c>
      <c r="B463" s="127" t="n">
        <f aca="false">ExportRaw!$C463</f>
        <v>0</v>
      </c>
      <c r="C463" s="127" t="n">
        <f aca="false">ExportRaw!$G463</f>
        <v>0</v>
      </c>
      <c r="D463" s="127" t="str">
        <f aca="false">ExportRaw!$E463</f>
        <v/>
      </c>
      <c r="E463" s="128" t="str">
        <f aca="false">ExportRaw!$D463</f>
        <v/>
      </c>
      <c r="F463" s="127" t="str">
        <f aca="false">ExportRaw!$H463</f>
        <v/>
      </c>
      <c r="G463" s="129" t="str">
        <f aca="false">ExportRaw!$I463</f>
        <v/>
      </c>
      <c r="H463" s="127" t="str">
        <f aca="false">ExportRaw!$A463</f>
        <v/>
      </c>
      <c r="I463" s="127" t="str">
        <f aca="false">ExportRaw!$B463</f>
        <v/>
      </c>
    </row>
    <row r="464" customFormat="false" ht="15.75" hidden="false" customHeight="false" outlineLevel="0" collapsed="false">
      <c r="A464" s="127" t="n">
        <f aca="false">ExportRaw!$F464</f>
        <v>0</v>
      </c>
      <c r="B464" s="127" t="n">
        <f aca="false">ExportRaw!$C464</f>
        <v>0</v>
      </c>
      <c r="C464" s="127" t="n">
        <f aca="false">ExportRaw!$G464</f>
        <v>0</v>
      </c>
      <c r="D464" s="127" t="str">
        <f aca="false">ExportRaw!$E464</f>
        <v/>
      </c>
      <c r="E464" s="128" t="str">
        <f aca="false">ExportRaw!$D464</f>
        <v/>
      </c>
      <c r="F464" s="127" t="str">
        <f aca="false">ExportRaw!$H464</f>
        <v/>
      </c>
      <c r="G464" s="129" t="str">
        <f aca="false">ExportRaw!$I464</f>
        <v/>
      </c>
      <c r="H464" s="127" t="str">
        <f aca="false">ExportRaw!$A464</f>
        <v/>
      </c>
      <c r="I464" s="127" t="str">
        <f aca="false">ExportRaw!$B464</f>
        <v/>
      </c>
    </row>
    <row r="465" customFormat="false" ht="15.75" hidden="false" customHeight="false" outlineLevel="0" collapsed="false">
      <c r="A465" s="127" t="n">
        <f aca="false">ExportRaw!$F465</f>
        <v>0</v>
      </c>
      <c r="B465" s="127" t="n">
        <f aca="false">ExportRaw!$C465</f>
        <v>0</v>
      </c>
      <c r="C465" s="127" t="n">
        <f aca="false">ExportRaw!$G465</f>
        <v>0</v>
      </c>
      <c r="D465" s="127" t="str">
        <f aca="false">ExportRaw!$E465</f>
        <v/>
      </c>
      <c r="E465" s="128" t="str">
        <f aca="false">ExportRaw!$D465</f>
        <v/>
      </c>
      <c r="F465" s="127" t="str">
        <f aca="false">ExportRaw!$H465</f>
        <v/>
      </c>
      <c r="G465" s="129" t="str">
        <f aca="false">ExportRaw!$I465</f>
        <v/>
      </c>
      <c r="H465" s="127" t="str">
        <f aca="false">ExportRaw!$A465</f>
        <v/>
      </c>
      <c r="I465" s="127" t="str">
        <f aca="false">ExportRaw!$B465</f>
        <v/>
      </c>
    </row>
    <row r="466" customFormat="false" ht="15.75" hidden="false" customHeight="false" outlineLevel="0" collapsed="false">
      <c r="A466" s="127" t="n">
        <f aca="false">ExportRaw!$F466</f>
        <v>0</v>
      </c>
      <c r="B466" s="127" t="n">
        <f aca="false">ExportRaw!$C466</f>
        <v>0</v>
      </c>
      <c r="C466" s="127" t="n">
        <f aca="false">ExportRaw!$G466</f>
        <v>0</v>
      </c>
      <c r="D466" s="127" t="str">
        <f aca="false">ExportRaw!$E466</f>
        <v/>
      </c>
      <c r="E466" s="128" t="str">
        <f aca="false">ExportRaw!$D466</f>
        <v/>
      </c>
      <c r="F466" s="127" t="str">
        <f aca="false">ExportRaw!$H466</f>
        <v/>
      </c>
      <c r="G466" s="129" t="str">
        <f aca="false">ExportRaw!$I466</f>
        <v/>
      </c>
      <c r="H466" s="127" t="str">
        <f aca="false">ExportRaw!$A466</f>
        <v/>
      </c>
      <c r="I466" s="127" t="str">
        <f aca="false">ExportRaw!$B466</f>
        <v/>
      </c>
    </row>
    <row r="467" customFormat="false" ht="15.75" hidden="false" customHeight="false" outlineLevel="0" collapsed="false">
      <c r="A467" s="127" t="n">
        <f aca="false">ExportRaw!$F467</f>
        <v>0</v>
      </c>
      <c r="B467" s="127" t="n">
        <f aca="false">ExportRaw!$C467</f>
        <v>0</v>
      </c>
      <c r="C467" s="127" t="n">
        <f aca="false">ExportRaw!$G467</f>
        <v>0</v>
      </c>
      <c r="D467" s="127" t="str">
        <f aca="false">ExportRaw!$E467</f>
        <v/>
      </c>
      <c r="E467" s="128" t="str">
        <f aca="false">ExportRaw!$D467</f>
        <v/>
      </c>
      <c r="F467" s="127" t="str">
        <f aca="false">ExportRaw!$H467</f>
        <v/>
      </c>
      <c r="G467" s="129" t="str">
        <f aca="false">ExportRaw!$I467</f>
        <v/>
      </c>
      <c r="H467" s="127" t="str">
        <f aca="false">ExportRaw!$A467</f>
        <v/>
      </c>
      <c r="I467" s="127" t="str">
        <f aca="false">ExportRaw!$B467</f>
        <v/>
      </c>
    </row>
    <row r="468" customFormat="false" ht="15.75" hidden="false" customHeight="false" outlineLevel="0" collapsed="false">
      <c r="A468" s="127" t="n">
        <f aca="false">ExportRaw!$F468</f>
        <v>0</v>
      </c>
      <c r="B468" s="127" t="n">
        <f aca="false">ExportRaw!$C468</f>
        <v>0</v>
      </c>
      <c r="C468" s="127" t="n">
        <f aca="false">ExportRaw!$G468</f>
        <v>0</v>
      </c>
      <c r="D468" s="127" t="str">
        <f aca="false">ExportRaw!$E468</f>
        <v/>
      </c>
      <c r="E468" s="128" t="str">
        <f aca="false">ExportRaw!$D468</f>
        <v/>
      </c>
      <c r="F468" s="127" t="str">
        <f aca="false">ExportRaw!$H468</f>
        <v/>
      </c>
      <c r="G468" s="129" t="str">
        <f aca="false">ExportRaw!$I468</f>
        <v/>
      </c>
      <c r="H468" s="127" t="str">
        <f aca="false">ExportRaw!$A468</f>
        <v/>
      </c>
      <c r="I468" s="127" t="str">
        <f aca="false">ExportRaw!$B468</f>
        <v/>
      </c>
    </row>
    <row r="469" customFormat="false" ht="15.75" hidden="false" customHeight="false" outlineLevel="0" collapsed="false">
      <c r="A469" s="127" t="n">
        <f aca="false">ExportRaw!$F469</f>
        <v>0</v>
      </c>
      <c r="B469" s="127" t="n">
        <f aca="false">ExportRaw!$C469</f>
        <v>0</v>
      </c>
      <c r="C469" s="127" t="n">
        <f aca="false">ExportRaw!$G469</f>
        <v>0</v>
      </c>
      <c r="D469" s="127" t="str">
        <f aca="false">ExportRaw!$E469</f>
        <v/>
      </c>
      <c r="E469" s="128" t="str">
        <f aca="false">ExportRaw!$D469</f>
        <v/>
      </c>
      <c r="F469" s="127" t="str">
        <f aca="false">ExportRaw!$H469</f>
        <v/>
      </c>
      <c r="G469" s="129" t="str">
        <f aca="false">ExportRaw!$I469</f>
        <v/>
      </c>
      <c r="H469" s="127" t="str">
        <f aca="false">ExportRaw!$A469</f>
        <v/>
      </c>
      <c r="I469" s="127" t="str">
        <f aca="false">ExportRaw!$B469</f>
        <v/>
      </c>
    </row>
    <row r="470" customFormat="false" ht="15.75" hidden="false" customHeight="false" outlineLevel="0" collapsed="false">
      <c r="A470" s="127" t="n">
        <f aca="false">ExportRaw!$F470</f>
        <v>0</v>
      </c>
      <c r="B470" s="127" t="n">
        <f aca="false">ExportRaw!$C470</f>
        <v>0</v>
      </c>
      <c r="C470" s="127" t="n">
        <f aca="false">ExportRaw!$G470</f>
        <v>0</v>
      </c>
      <c r="D470" s="127" t="str">
        <f aca="false">ExportRaw!$E470</f>
        <v/>
      </c>
      <c r="E470" s="128" t="str">
        <f aca="false">ExportRaw!$D470</f>
        <v/>
      </c>
      <c r="F470" s="127" t="str">
        <f aca="false">ExportRaw!$H470</f>
        <v/>
      </c>
      <c r="G470" s="129" t="str">
        <f aca="false">ExportRaw!$I470</f>
        <v/>
      </c>
      <c r="H470" s="127" t="str">
        <f aca="false">ExportRaw!$A470</f>
        <v/>
      </c>
      <c r="I470" s="127" t="str">
        <f aca="false">ExportRaw!$B470</f>
        <v/>
      </c>
    </row>
    <row r="471" customFormat="false" ht="15.75" hidden="false" customHeight="false" outlineLevel="0" collapsed="false">
      <c r="A471" s="127" t="n">
        <f aca="false">ExportRaw!$F471</f>
        <v>0</v>
      </c>
      <c r="B471" s="127" t="n">
        <f aca="false">ExportRaw!$C471</f>
        <v>0</v>
      </c>
      <c r="C471" s="127" t="n">
        <f aca="false">ExportRaw!$G471</f>
        <v>0</v>
      </c>
      <c r="D471" s="127" t="str">
        <f aca="false">ExportRaw!$E471</f>
        <v/>
      </c>
      <c r="E471" s="128" t="str">
        <f aca="false">ExportRaw!$D471</f>
        <v/>
      </c>
      <c r="F471" s="127" t="str">
        <f aca="false">ExportRaw!$H471</f>
        <v/>
      </c>
      <c r="G471" s="129" t="str">
        <f aca="false">ExportRaw!$I471</f>
        <v/>
      </c>
      <c r="H471" s="127" t="str">
        <f aca="false">ExportRaw!$A471</f>
        <v/>
      </c>
      <c r="I471" s="127" t="str">
        <f aca="false">ExportRaw!$B471</f>
        <v/>
      </c>
    </row>
    <row r="472" customFormat="false" ht="15.75" hidden="false" customHeight="false" outlineLevel="0" collapsed="false">
      <c r="A472" s="127" t="n">
        <f aca="false">ExportRaw!$F472</f>
        <v>0</v>
      </c>
      <c r="B472" s="127" t="n">
        <f aca="false">ExportRaw!$C472</f>
        <v>0</v>
      </c>
      <c r="C472" s="127" t="n">
        <f aca="false">ExportRaw!$G472</f>
        <v>0</v>
      </c>
      <c r="D472" s="127" t="str">
        <f aca="false">ExportRaw!$E472</f>
        <v/>
      </c>
      <c r="E472" s="128" t="str">
        <f aca="false">ExportRaw!$D472</f>
        <v/>
      </c>
      <c r="F472" s="127" t="str">
        <f aca="false">ExportRaw!$H472</f>
        <v/>
      </c>
      <c r="G472" s="129" t="str">
        <f aca="false">ExportRaw!$I472</f>
        <v/>
      </c>
      <c r="H472" s="127" t="str">
        <f aca="false">ExportRaw!$A472</f>
        <v/>
      </c>
      <c r="I472" s="127" t="str">
        <f aca="false">ExportRaw!$B472</f>
        <v/>
      </c>
    </row>
    <row r="473" customFormat="false" ht="15.75" hidden="false" customHeight="false" outlineLevel="0" collapsed="false">
      <c r="A473" s="127" t="n">
        <f aca="false">ExportRaw!$F473</f>
        <v>0</v>
      </c>
      <c r="B473" s="127" t="n">
        <f aca="false">ExportRaw!$C473</f>
        <v>0</v>
      </c>
      <c r="C473" s="127" t="n">
        <f aca="false">ExportRaw!$G473</f>
        <v>0</v>
      </c>
      <c r="D473" s="127" t="str">
        <f aca="false">ExportRaw!$E473</f>
        <v/>
      </c>
      <c r="E473" s="128" t="str">
        <f aca="false">ExportRaw!$D473</f>
        <v/>
      </c>
      <c r="F473" s="127" t="str">
        <f aca="false">ExportRaw!$H473</f>
        <v/>
      </c>
      <c r="G473" s="129" t="str">
        <f aca="false">ExportRaw!$I473</f>
        <v/>
      </c>
      <c r="H473" s="127" t="str">
        <f aca="false">ExportRaw!$A473</f>
        <v/>
      </c>
      <c r="I473" s="127" t="str">
        <f aca="false">ExportRaw!$B473</f>
        <v/>
      </c>
    </row>
    <row r="474" customFormat="false" ht="15.75" hidden="false" customHeight="false" outlineLevel="0" collapsed="false">
      <c r="A474" s="127" t="n">
        <f aca="false">ExportRaw!$F474</f>
        <v>0</v>
      </c>
      <c r="B474" s="127" t="n">
        <f aca="false">ExportRaw!$C474</f>
        <v>0</v>
      </c>
      <c r="C474" s="127" t="n">
        <f aca="false">ExportRaw!$G474</f>
        <v>0</v>
      </c>
      <c r="D474" s="127" t="str">
        <f aca="false">ExportRaw!$E474</f>
        <v/>
      </c>
      <c r="E474" s="128" t="str">
        <f aca="false">ExportRaw!$D474</f>
        <v/>
      </c>
      <c r="F474" s="127" t="str">
        <f aca="false">ExportRaw!$H474</f>
        <v/>
      </c>
      <c r="G474" s="129" t="str">
        <f aca="false">ExportRaw!$I474</f>
        <v/>
      </c>
      <c r="H474" s="127" t="str">
        <f aca="false">ExportRaw!$A474</f>
        <v/>
      </c>
      <c r="I474" s="127" t="str">
        <f aca="false">ExportRaw!$B474</f>
        <v/>
      </c>
    </row>
    <row r="475" customFormat="false" ht="15.75" hidden="false" customHeight="false" outlineLevel="0" collapsed="false">
      <c r="A475" s="127" t="n">
        <f aca="false">ExportRaw!$F475</f>
        <v>0</v>
      </c>
      <c r="B475" s="127" t="n">
        <f aca="false">ExportRaw!$C475</f>
        <v>0</v>
      </c>
      <c r="C475" s="127" t="n">
        <f aca="false">ExportRaw!$G475</f>
        <v>0</v>
      </c>
      <c r="D475" s="127" t="str">
        <f aca="false">ExportRaw!$E475</f>
        <v/>
      </c>
      <c r="E475" s="128" t="str">
        <f aca="false">ExportRaw!$D475</f>
        <v/>
      </c>
      <c r="F475" s="127" t="str">
        <f aca="false">ExportRaw!$H475</f>
        <v/>
      </c>
      <c r="G475" s="129" t="str">
        <f aca="false">ExportRaw!$I475</f>
        <v/>
      </c>
      <c r="H475" s="127" t="str">
        <f aca="false">ExportRaw!$A475</f>
        <v/>
      </c>
      <c r="I475" s="127" t="str">
        <f aca="false">ExportRaw!$B475</f>
        <v/>
      </c>
    </row>
    <row r="476" customFormat="false" ht="15.75" hidden="false" customHeight="false" outlineLevel="0" collapsed="false">
      <c r="A476" s="127" t="n">
        <f aca="false">ExportRaw!$F476</f>
        <v>0</v>
      </c>
      <c r="B476" s="127" t="n">
        <f aca="false">ExportRaw!$C476</f>
        <v>0</v>
      </c>
      <c r="C476" s="127" t="n">
        <f aca="false">ExportRaw!$G476</f>
        <v>0</v>
      </c>
      <c r="D476" s="127" t="str">
        <f aca="false">ExportRaw!$E476</f>
        <v/>
      </c>
      <c r="E476" s="128" t="str">
        <f aca="false">ExportRaw!$D476</f>
        <v/>
      </c>
      <c r="F476" s="127" t="str">
        <f aca="false">ExportRaw!$H476</f>
        <v/>
      </c>
      <c r="G476" s="129" t="str">
        <f aca="false">ExportRaw!$I476</f>
        <v/>
      </c>
      <c r="H476" s="127" t="str">
        <f aca="false">ExportRaw!$A476</f>
        <v/>
      </c>
      <c r="I476" s="127" t="str">
        <f aca="false">ExportRaw!$B476</f>
        <v/>
      </c>
    </row>
    <row r="477" customFormat="false" ht="15.75" hidden="false" customHeight="false" outlineLevel="0" collapsed="false">
      <c r="A477" s="127" t="n">
        <f aca="false">ExportRaw!$F477</f>
        <v>0</v>
      </c>
      <c r="B477" s="127" t="n">
        <f aca="false">ExportRaw!$C477</f>
        <v>0</v>
      </c>
      <c r="C477" s="127" t="n">
        <f aca="false">ExportRaw!$G477</f>
        <v>0</v>
      </c>
      <c r="D477" s="127" t="str">
        <f aca="false">ExportRaw!$E477</f>
        <v/>
      </c>
      <c r="E477" s="128" t="str">
        <f aca="false">ExportRaw!$D477</f>
        <v/>
      </c>
      <c r="F477" s="127" t="str">
        <f aca="false">ExportRaw!$H477</f>
        <v/>
      </c>
      <c r="G477" s="129" t="str">
        <f aca="false">ExportRaw!$I477</f>
        <v/>
      </c>
      <c r="H477" s="127" t="str">
        <f aca="false">ExportRaw!$A477</f>
        <v/>
      </c>
      <c r="I477" s="127" t="str">
        <f aca="false">ExportRaw!$B477</f>
        <v/>
      </c>
    </row>
    <row r="478" customFormat="false" ht="15.75" hidden="false" customHeight="false" outlineLevel="0" collapsed="false">
      <c r="A478" s="127" t="n">
        <f aca="false">ExportRaw!$F478</f>
        <v>0</v>
      </c>
      <c r="B478" s="127" t="n">
        <f aca="false">ExportRaw!$C478</f>
        <v>0</v>
      </c>
      <c r="C478" s="127" t="n">
        <f aca="false">ExportRaw!$G478</f>
        <v>0</v>
      </c>
      <c r="D478" s="127" t="str">
        <f aca="false">ExportRaw!$E478</f>
        <v/>
      </c>
      <c r="E478" s="128" t="str">
        <f aca="false">ExportRaw!$D478</f>
        <v/>
      </c>
      <c r="F478" s="127" t="str">
        <f aca="false">ExportRaw!$H478</f>
        <v/>
      </c>
      <c r="G478" s="129" t="str">
        <f aca="false">ExportRaw!$I478</f>
        <v/>
      </c>
      <c r="H478" s="127" t="str">
        <f aca="false">ExportRaw!$A478</f>
        <v/>
      </c>
      <c r="I478" s="127" t="str">
        <f aca="false">ExportRaw!$B478</f>
        <v/>
      </c>
    </row>
    <row r="479" customFormat="false" ht="15.75" hidden="false" customHeight="false" outlineLevel="0" collapsed="false">
      <c r="A479" s="127" t="n">
        <f aca="false">ExportRaw!$F479</f>
        <v>0</v>
      </c>
      <c r="B479" s="127" t="n">
        <f aca="false">ExportRaw!$C479</f>
        <v>0</v>
      </c>
      <c r="C479" s="127" t="n">
        <f aca="false">ExportRaw!$G479</f>
        <v>0</v>
      </c>
      <c r="D479" s="127" t="str">
        <f aca="false">ExportRaw!$E479</f>
        <v/>
      </c>
      <c r="E479" s="128" t="str">
        <f aca="false">ExportRaw!$D479</f>
        <v/>
      </c>
      <c r="F479" s="127" t="str">
        <f aca="false">ExportRaw!$H479</f>
        <v/>
      </c>
      <c r="G479" s="129" t="str">
        <f aca="false">ExportRaw!$I479</f>
        <v/>
      </c>
      <c r="H479" s="127" t="str">
        <f aca="false">ExportRaw!$A479</f>
        <v/>
      </c>
      <c r="I479" s="127" t="str">
        <f aca="false">ExportRaw!$B479</f>
        <v/>
      </c>
    </row>
    <row r="480" customFormat="false" ht="15.75" hidden="false" customHeight="false" outlineLevel="0" collapsed="false">
      <c r="A480" s="127" t="n">
        <f aca="false">ExportRaw!$F480</f>
        <v>0</v>
      </c>
      <c r="B480" s="127" t="n">
        <f aca="false">ExportRaw!$C480</f>
        <v>0</v>
      </c>
      <c r="C480" s="127" t="n">
        <f aca="false">ExportRaw!$G480</f>
        <v>0</v>
      </c>
      <c r="D480" s="127" t="str">
        <f aca="false">ExportRaw!$E480</f>
        <v/>
      </c>
      <c r="E480" s="128" t="str">
        <f aca="false">ExportRaw!$D480</f>
        <v/>
      </c>
      <c r="F480" s="127" t="str">
        <f aca="false">ExportRaw!$H480</f>
        <v/>
      </c>
      <c r="G480" s="129" t="str">
        <f aca="false">ExportRaw!$I480</f>
        <v/>
      </c>
      <c r="H480" s="127" t="str">
        <f aca="false">ExportRaw!$A480</f>
        <v/>
      </c>
      <c r="I480" s="127" t="str">
        <f aca="false">ExportRaw!$B480</f>
        <v/>
      </c>
    </row>
    <row r="481" customFormat="false" ht="15.75" hidden="false" customHeight="false" outlineLevel="0" collapsed="false">
      <c r="A481" s="127" t="n">
        <f aca="false">ExportRaw!$F481</f>
        <v>0</v>
      </c>
      <c r="B481" s="127" t="n">
        <f aca="false">ExportRaw!$C481</f>
        <v>0</v>
      </c>
      <c r="C481" s="127" t="n">
        <f aca="false">ExportRaw!$G481</f>
        <v>0</v>
      </c>
      <c r="D481" s="127" t="str">
        <f aca="false">ExportRaw!$E481</f>
        <v/>
      </c>
      <c r="E481" s="128" t="str">
        <f aca="false">ExportRaw!$D481</f>
        <v/>
      </c>
      <c r="F481" s="127" t="str">
        <f aca="false">ExportRaw!$H481</f>
        <v/>
      </c>
      <c r="G481" s="129" t="str">
        <f aca="false">ExportRaw!$I481</f>
        <v/>
      </c>
      <c r="H481" s="127" t="str">
        <f aca="false">ExportRaw!$A481</f>
        <v/>
      </c>
      <c r="I481" s="127" t="str">
        <f aca="false">ExportRaw!$B481</f>
        <v/>
      </c>
    </row>
    <row r="482" customFormat="false" ht="15.75" hidden="false" customHeight="false" outlineLevel="0" collapsed="false">
      <c r="A482" s="127" t="n">
        <f aca="false">ExportRaw!$F482</f>
        <v>0</v>
      </c>
      <c r="B482" s="127" t="n">
        <f aca="false">ExportRaw!$C482</f>
        <v>0</v>
      </c>
      <c r="C482" s="127" t="n">
        <f aca="false">ExportRaw!$G482</f>
        <v>0</v>
      </c>
      <c r="D482" s="127" t="str">
        <f aca="false">ExportRaw!$E482</f>
        <v/>
      </c>
      <c r="E482" s="128" t="str">
        <f aca="false">ExportRaw!$D482</f>
        <v/>
      </c>
      <c r="F482" s="127" t="str">
        <f aca="false">ExportRaw!$H482</f>
        <v/>
      </c>
      <c r="G482" s="129" t="str">
        <f aca="false">ExportRaw!$I482</f>
        <v/>
      </c>
      <c r="H482" s="127" t="str">
        <f aca="false">ExportRaw!$A482</f>
        <v/>
      </c>
      <c r="I482" s="127" t="str">
        <f aca="false">ExportRaw!$B482</f>
        <v/>
      </c>
    </row>
    <row r="483" customFormat="false" ht="15.75" hidden="false" customHeight="false" outlineLevel="0" collapsed="false">
      <c r="A483" s="127" t="n">
        <f aca="false">ExportRaw!$F483</f>
        <v>0</v>
      </c>
      <c r="B483" s="127" t="n">
        <f aca="false">ExportRaw!$C483</f>
        <v>0</v>
      </c>
      <c r="C483" s="127" t="n">
        <f aca="false">ExportRaw!$G483</f>
        <v>0</v>
      </c>
      <c r="D483" s="127" t="str">
        <f aca="false">ExportRaw!$E483</f>
        <v/>
      </c>
      <c r="E483" s="128" t="str">
        <f aca="false">ExportRaw!$D483</f>
        <v/>
      </c>
      <c r="F483" s="127" t="str">
        <f aca="false">ExportRaw!$H483</f>
        <v/>
      </c>
      <c r="G483" s="129" t="str">
        <f aca="false">ExportRaw!$I483</f>
        <v/>
      </c>
      <c r="H483" s="127" t="str">
        <f aca="false">ExportRaw!$A483</f>
        <v/>
      </c>
      <c r="I483" s="127" t="str">
        <f aca="false">ExportRaw!$B483</f>
        <v/>
      </c>
    </row>
    <row r="484" customFormat="false" ht="15.75" hidden="false" customHeight="false" outlineLevel="0" collapsed="false">
      <c r="A484" s="127" t="n">
        <f aca="false">ExportRaw!$F484</f>
        <v>0</v>
      </c>
      <c r="B484" s="127" t="n">
        <f aca="false">ExportRaw!$C484</f>
        <v>0</v>
      </c>
      <c r="C484" s="127" t="n">
        <f aca="false">ExportRaw!$G484</f>
        <v>0</v>
      </c>
      <c r="D484" s="127" t="str">
        <f aca="false">ExportRaw!$E484</f>
        <v/>
      </c>
      <c r="E484" s="128" t="str">
        <f aca="false">ExportRaw!$D484</f>
        <v/>
      </c>
      <c r="F484" s="127" t="str">
        <f aca="false">ExportRaw!$H484</f>
        <v/>
      </c>
      <c r="G484" s="129" t="str">
        <f aca="false">ExportRaw!$I484</f>
        <v/>
      </c>
      <c r="H484" s="127" t="str">
        <f aca="false">ExportRaw!$A484</f>
        <v/>
      </c>
      <c r="I484" s="127" t="str">
        <f aca="false">ExportRaw!$B484</f>
        <v/>
      </c>
    </row>
    <row r="485" customFormat="false" ht="15.75" hidden="false" customHeight="false" outlineLevel="0" collapsed="false">
      <c r="A485" s="127" t="n">
        <f aca="false">ExportRaw!$F485</f>
        <v>0</v>
      </c>
      <c r="B485" s="127" t="n">
        <f aca="false">ExportRaw!$C485</f>
        <v>0</v>
      </c>
      <c r="C485" s="127" t="n">
        <f aca="false">ExportRaw!$G485</f>
        <v>0</v>
      </c>
      <c r="D485" s="127" t="str">
        <f aca="false">ExportRaw!$E485</f>
        <v/>
      </c>
      <c r="E485" s="128" t="str">
        <f aca="false">ExportRaw!$D485</f>
        <v/>
      </c>
      <c r="F485" s="127" t="str">
        <f aca="false">ExportRaw!$H485</f>
        <v/>
      </c>
      <c r="G485" s="129" t="str">
        <f aca="false">ExportRaw!$I485</f>
        <v/>
      </c>
      <c r="H485" s="127" t="str">
        <f aca="false">ExportRaw!$A485</f>
        <v/>
      </c>
      <c r="I485" s="127" t="str">
        <f aca="false">ExportRaw!$B485</f>
        <v/>
      </c>
    </row>
    <row r="486" customFormat="false" ht="15.75" hidden="false" customHeight="false" outlineLevel="0" collapsed="false">
      <c r="A486" s="127" t="n">
        <f aca="false">ExportRaw!$F486</f>
        <v>0</v>
      </c>
      <c r="B486" s="127" t="n">
        <f aca="false">ExportRaw!$C486</f>
        <v>0</v>
      </c>
      <c r="C486" s="127" t="n">
        <f aca="false">ExportRaw!$G486</f>
        <v>0</v>
      </c>
      <c r="D486" s="127" t="str">
        <f aca="false">ExportRaw!$E486</f>
        <v/>
      </c>
      <c r="E486" s="128" t="str">
        <f aca="false">ExportRaw!$D486</f>
        <v/>
      </c>
      <c r="F486" s="127" t="str">
        <f aca="false">ExportRaw!$H486</f>
        <v/>
      </c>
      <c r="G486" s="129" t="str">
        <f aca="false">ExportRaw!$I486</f>
        <v/>
      </c>
      <c r="H486" s="127" t="str">
        <f aca="false">ExportRaw!$A486</f>
        <v/>
      </c>
      <c r="I486" s="127" t="str">
        <f aca="false">ExportRaw!$B486</f>
        <v/>
      </c>
    </row>
    <row r="487" customFormat="false" ht="15.75" hidden="false" customHeight="false" outlineLevel="0" collapsed="false">
      <c r="A487" s="127" t="n">
        <f aca="false">ExportRaw!$F487</f>
        <v>0</v>
      </c>
      <c r="B487" s="127" t="n">
        <f aca="false">ExportRaw!$C487</f>
        <v>0</v>
      </c>
      <c r="C487" s="127" t="n">
        <f aca="false">ExportRaw!$G487</f>
        <v>0</v>
      </c>
      <c r="D487" s="127" t="str">
        <f aca="false">ExportRaw!$E487</f>
        <v/>
      </c>
      <c r="E487" s="128" t="str">
        <f aca="false">ExportRaw!$D487</f>
        <v/>
      </c>
      <c r="F487" s="127" t="str">
        <f aca="false">ExportRaw!$H487</f>
        <v/>
      </c>
      <c r="G487" s="129" t="str">
        <f aca="false">ExportRaw!$I487</f>
        <v/>
      </c>
      <c r="H487" s="127" t="str">
        <f aca="false">ExportRaw!$A487</f>
        <v/>
      </c>
      <c r="I487" s="127" t="str">
        <f aca="false">ExportRaw!$B487</f>
        <v/>
      </c>
    </row>
    <row r="488" customFormat="false" ht="15.75" hidden="false" customHeight="false" outlineLevel="0" collapsed="false">
      <c r="A488" s="127" t="n">
        <f aca="false">ExportRaw!$F488</f>
        <v>0</v>
      </c>
      <c r="B488" s="127" t="n">
        <f aca="false">ExportRaw!$C488</f>
        <v>0</v>
      </c>
      <c r="C488" s="127" t="n">
        <f aca="false">ExportRaw!$G488</f>
        <v>0</v>
      </c>
      <c r="D488" s="127" t="str">
        <f aca="false">ExportRaw!$E488</f>
        <v/>
      </c>
      <c r="E488" s="128" t="str">
        <f aca="false">ExportRaw!$D488</f>
        <v/>
      </c>
      <c r="F488" s="127" t="str">
        <f aca="false">ExportRaw!$H488</f>
        <v/>
      </c>
      <c r="G488" s="129" t="str">
        <f aca="false">ExportRaw!$I488</f>
        <v/>
      </c>
      <c r="H488" s="127" t="str">
        <f aca="false">ExportRaw!$A488</f>
        <v/>
      </c>
      <c r="I488" s="127" t="str">
        <f aca="false">ExportRaw!$B488</f>
        <v/>
      </c>
    </row>
    <row r="489" customFormat="false" ht="15.75" hidden="false" customHeight="false" outlineLevel="0" collapsed="false">
      <c r="A489" s="127" t="n">
        <f aca="false">ExportRaw!$F489</f>
        <v>0</v>
      </c>
      <c r="B489" s="127" t="n">
        <f aca="false">ExportRaw!$C489</f>
        <v>0</v>
      </c>
      <c r="C489" s="127" t="n">
        <f aca="false">ExportRaw!$G489</f>
        <v>0</v>
      </c>
      <c r="D489" s="127" t="str">
        <f aca="false">ExportRaw!$E489</f>
        <v/>
      </c>
      <c r="E489" s="128" t="str">
        <f aca="false">ExportRaw!$D489</f>
        <v/>
      </c>
      <c r="F489" s="127" t="str">
        <f aca="false">ExportRaw!$H489</f>
        <v/>
      </c>
      <c r="G489" s="129" t="str">
        <f aca="false">ExportRaw!$I489</f>
        <v/>
      </c>
      <c r="H489" s="127" t="str">
        <f aca="false">ExportRaw!$A489</f>
        <v/>
      </c>
      <c r="I489" s="127" t="str">
        <f aca="false">ExportRaw!$B489</f>
        <v/>
      </c>
    </row>
    <row r="490" customFormat="false" ht="15.75" hidden="false" customHeight="false" outlineLevel="0" collapsed="false">
      <c r="A490" s="127" t="n">
        <f aca="false">ExportRaw!$F490</f>
        <v>0</v>
      </c>
      <c r="B490" s="127" t="n">
        <f aca="false">ExportRaw!$C490</f>
        <v>0</v>
      </c>
      <c r="C490" s="127" t="n">
        <f aca="false">ExportRaw!$G490</f>
        <v>0</v>
      </c>
      <c r="D490" s="127" t="str">
        <f aca="false">ExportRaw!$E490</f>
        <v/>
      </c>
      <c r="E490" s="128" t="str">
        <f aca="false">ExportRaw!$D490</f>
        <v/>
      </c>
      <c r="F490" s="127" t="str">
        <f aca="false">ExportRaw!$H490</f>
        <v/>
      </c>
      <c r="G490" s="129" t="str">
        <f aca="false">ExportRaw!$I490</f>
        <v/>
      </c>
      <c r="H490" s="127" t="str">
        <f aca="false">ExportRaw!$A490</f>
        <v/>
      </c>
      <c r="I490" s="127" t="str">
        <f aca="false">ExportRaw!$B490</f>
        <v/>
      </c>
    </row>
    <row r="491" customFormat="false" ht="15.75" hidden="false" customHeight="false" outlineLevel="0" collapsed="false">
      <c r="A491" s="127" t="n">
        <f aca="false">ExportRaw!$F491</f>
        <v>0</v>
      </c>
      <c r="B491" s="127" t="n">
        <f aca="false">ExportRaw!$C491</f>
        <v>0</v>
      </c>
      <c r="C491" s="127" t="n">
        <f aca="false">ExportRaw!$G491</f>
        <v>0</v>
      </c>
      <c r="D491" s="127" t="str">
        <f aca="false">ExportRaw!$E491</f>
        <v/>
      </c>
      <c r="E491" s="128" t="str">
        <f aca="false">ExportRaw!$D491</f>
        <v/>
      </c>
      <c r="F491" s="127" t="str">
        <f aca="false">ExportRaw!$H491</f>
        <v/>
      </c>
      <c r="G491" s="129" t="str">
        <f aca="false">ExportRaw!$I491</f>
        <v/>
      </c>
      <c r="H491" s="127" t="str">
        <f aca="false">ExportRaw!$A491</f>
        <v/>
      </c>
      <c r="I491" s="127" t="str">
        <f aca="false">ExportRaw!$B491</f>
        <v/>
      </c>
    </row>
    <row r="492" customFormat="false" ht="15.75" hidden="false" customHeight="false" outlineLevel="0" collapsed="false">
      <c r="A492" s="127" t="n">
        <f aca="false">ExportRaw!$F492</f>
        <v>0</v>
      </c>
      <c r="B492" s="127" t="n">
        <f aca="false">ExportRaw!$C492</f>
        <v>0</v>
      </c>
      <c r="C492" s="127" t="n">
        <f aca="false">ExportRaw!$G492</f>
        <v>0</v>
      </c>
      <c r="D492" s="127" t="str">
        <f aca="false">ExportRaw!$E492</f>
        <v/>
      </c>
      <c r="E492" s="128" t="str">
        <f aca="false">ExportRaw!$D492</f>
        <v/>
      </c>
      <c r="F492" s="127" t="str">
        <f aca="false">ExportRaw!$H492</f>
        <v/>
      </c>
      <c r="G492" s="129" t="str">
        <f aca="false">ExportRaw!$I492</f>
        <v/>
      </c>
      <c r="H492" s="127" t="str">
        <f aca="false">ExportRaw!$A492</f>
        <v/>
      </c>
      <c r="I492" s="127" t="str">
        <f aca="false">ExportRaw!$B492</f>
        <v/>
      </c>
    </row>
    <row r="493" customFormat="false" ht="15.75" hidden="false" customHeight="false" outlineLevel="0" collapsed="false">
      <c r="A493" s="127" t="n">
        <f aca="false">ExportRaw!$F493</f>
        <v>0</v>
      </c>
      <c r="B493" s="127" t="n">
        <f aca="false">ExportRaw!$C493</f>
        <v>0</v>
      </c>
      <c r="C493" s="127" t="n">
        <f aca="false">ExportRaw!$G493</f>
        <v>0</v>
      </c>
      <c r="D493" s="127" t="str">
        <f aca="false">ExportRaw!$E493</f>
        <v/>
      </c>
      <c r="E493" s="128" t="str">
        <f aca="false">ExportRaw!$D493</f>
        <v/>
      </c>
      <c r="F493" s="127" t="str">
        <f aca="false">ExportRaw!$H493</f>
        <v/>
      </c>
      <c r="G493" s="129" t="str">
        <f aca="false">ExportRaw!$I493</f>
        <v/>
      </c>
      <c r="H493" s="127" t="str">
        <f aca="false">ExportRaw!$A493</f>
        <v/>
      </c>
      <c r="I493" s="127" t="str">
        <f aca="false">ExportRaw!$B493</f>
        <v/>
      </c>
    </row>
    <row r="494" customFormat="false" ht="15.75" hidden="false" customHeight="false" outlineLevel="0" collapsed="false">
      <c r="A494" s="127" t="n">
        <f aca="false">ExportRaw!$F494</f>
        <v>0</v>
      </c>
      <c r="B494" s="127" t="n">
        <f aca="false">ExportRaw!$C494</f>
        <v>0</v>
      </c>
      <c r="C494" s="127" t="n">
        <f aca="false">ExportRaw!$G494</f>
        <v>0</v>
      </c>
      <c r="D494" s="127" t="str">
        <f aca="false">ExportRaw!$E494</f>
        <v/>
      </c>
      <c r="E494" s="128" t="str">
        <f aca="false">ExportRaw!$D494</f>
        <v/>
      </c>
      <c r="F494" s="127" t="str">
        <f aca="false">ExportRaw!$H494</f>
        <v/>
      </c>
      <c r="G494" s="129" t="str">
        <f aca="false">ExportRaw!$I494</f>
        <v/>
      </c>
      <c r="H494" s="127" t="str">
        <f aca="false">ExportRaw!$A494</f>
        <v/>
      </c>
      <c r="I494" s="127" t="str">
        <f aca="false">ExportRaw!$B494</f>
        <v/>
      </c>
    </row>
    <row r="495" customFormat="false" ht="15.75" hidden="false" customHeight="false" outlineLevel="0" collapsed="false">
      <c r="A495" s="127" t="n">
        <f aca="false">ExportRaw!$F495</f>
        <v>0</v>
      </c>
      <c r="B495" s="127" t="n">
        <f aca="false">ExportRaw!$C495</f>
        <v>0</v>
      </c>
      <c r="C495" s="127" t="n">
        <f aca="false">ExportRaw!$G495</f>
        <v>0</v>
      </c>
      <c r="D495" s="127" t="str">
        <f aca="false">ExportRaw!$E495</f>
        <v/>
      </c>
      <c r="E495" s="128" t="str">
        <f aca="false">ExportRaw!$D495</f>
        <v/>
      </c>
      <c r="F495" s="127" t="str">
        <f aca="false">ExportRaw!$H495</f>
        <v/>
      </c>
      <c r="G495" s="129" t="str">
        <f aca="false">ExportRaw!$I495</f>
        <v/>
      </c>
      <c r="H495" s="127" t="str">
        <f aca="false">ExportRaw!$A495</f>
        <v/>
      </c>
      <c r="I495" s="127" t="str">
        <f aca="false">ExportRaw!$B495</f>
        <v/>
      </c>
    </row>
    <row r="496" customFormat="false" ht="15.75" hidden="false" customHeight="false" outlineLevel="0" collapsed="false">
      <c r="A496" s="127" t="n">
        <f aca="false">ExportRaw!$F496</f>
        <v>0</v>
      </c>
      <c r="B496" s="127" t="n">
        <f aca="false">ExportRaw!$C496</f>
        <v>0</v>
      </c>
      <c r="C496" s="127" t="n">
        <f aca="false">ExportRaw!$G496</f>
        <v>0</v>
      </c>
      <c r="D496" s="127" t="str">
        <f aca="false">ExportRaw!$E496</f>
        <v/>
      </c>
      <c r="E496" s="128" t="str">
        <f aca="false">ExportRaw!$D496</f>
        <v/>
      </c>
      <c r="F496" s="127" t="str">
        <f aca="false">ExportRaw!$H496</f>
        <v/>
      </c>
      <c r="G496" s="129" t="str">
        <f aca="false">ExportRaw!$I496</f>
        <v/>
      </c>
      <c r="H496" s="127" t="str">
        <f aca="false">ExportRaw!$A496</f>
        <v/>
      </c>
      <c r="I496" s="127" t="str">
        <f aca="false">ExportRaw!$B496</f>
        <v/>
      </c>
    </row>
    <row r="497" customFormat="false" ht="15.75" hidden="false" customHeight="false" outlineLevel="0" collapsed="false">
      <c r="A497" s="127" t="n">
        <f aca="false">ExportRaw!$F497</f>
        <v>0</v>
      </c>
      <c r="B497" s="127" t="n">
        <f aca="false">ExportRaw!$C497</f>
        <v>0</v>
      </c>
      <c r="C497" s="127" t="n">
        <f aca="false">ExportRaw!$G497</f>
        <v>0</v>
      </c>
      <c r="D497" s="127" t="str">
        <f aca="false">ExportRaw!$E497</f>
        <v/>
      </c>
      <c r="E497" s="128" t="str">
        <f aca="false">ExportRaw!$D497</f>
        <v/>
      </c>
      <c r="F497" s="127" t="str">
        <f aca="false">ExportRaw!$H497</f>
        <v/>
      </c>
      <c r="G497" s="129" t="str">
        <f aca="false">ExportRaw!$I497</f>
        <v/>
      </c>
      <c r="H497" s="127" t="str">
        <f aca="false">ExportRaw!$A497</f>
        <v/>
      </c>
      <c r="I497" s="127" t="str">
        <f aca="false">ExportRaw!$B497</f>
        <v/>
      </c>
    </row>
    <row r="498" customFormat="false" ht="15.75" hidden="false" customHeight="false" outlineLevel="0" collapsed="false">
      <c r="A498" s="127" t="n">
        <f aca="false">ExportRaw!$F498</f>
        <v>0</v>
      </c>
      <c r="B498" s="127" t="n">
        <f aca="false">ExportRaw!$C498</f>
        <v>0</v>
      </c>
      <c r="C498" s="127" t="n">
        <f aca="false">ExportRaw!$G498</f>
        <v>0</v>
      </c>
      <c r="D498" s="127" t="str">
        <f aca="false">ExportRaw!$E498</f>
        <v/>
      </c>
      <c r="E498" s="128" t="str">
        <f aca="false">ExportRaw!$D498</f>
        <v/>
      </c>
      <c r="F498" s="127" t="str">
        <f aca="false">ExportRaw!$H498</f>
        <v/>
      </c>
      <c r="G498" s="129" t="str">
        <f aca="false">ExportRaw!$I498</f>
        <v/>
      </c>
      <c r="H498" s="127" t="str">
        <f aca="false">ExportRaw!$A498</f>
        <v/>
      </c>
      <c r="I498" s="127" t="str">
        <f aca="false">ExportRaw!$B498</f>
        <v/>
      </c>
    </row>
    <row r="499" customFormat="false" ht="15.75" hidden="false" customHeight="false" outlineLevel="0" collapsed="false">
      <c r="A499" s="127" t="n">
        <f aca="false">ExportRaw!$F499</f>
        <v>0</v>
      </c>
      <c r="B499" s="127" t="n">
        <f aca="false">ExportRaw!$C499</f>
        <v>0</v>
      </c>
      <c r="C499" s="127" t="n">
        <f aca="false">ExportRaw!$G499</f>
        <v>0</v>
      </c>
      <c r="D499" s="127" t="str">
        <f aca="false">ExportRaw!$E499</f>
        <v/>
      </c>
      <c r="E499" s="128" t="str">
        <f aca="false">ExportRaw!$D499</f>
        <v/>
      </c>
      <c r="F499" s="127" t="str">
        <f aca="false">ExportRaw!$H499</f>
        <v/>
      </c>
      <c r="G499" s="129" t="str">
        <f aca="false">ExportRaw!$I499</f>
        <v/>
      </c>
      <c r="H499" s="127" t="str">
        <f aca="false">ExportRaw!$A499</f>
        <v/>
      </c>
      <c r="I499" s="127" t="str">
        <f aca="false">ExportRaw!$B499</f>
        <v/>
      </c>
    </row>
    <row r="500" customFormat="false" ht="15.75" hidden="false" customHeight="false" outlineLevel="0" collapsed="false">
      <c r="A500" s="127" t="n">
        <f aca="false">ExportRaw!$F500</f>
        <v>0</v>
      </c>
      <c r="B500" s="127" t="n">
        <f aca="false">ExportRaw!$C500</f>
        <v>0</v>
      </c>
      <c r="C500" s="127" t="n">
        <f aca="false">ExportRaw!$G500</f>
        <v>0</v>
      </c>
      <c r="D500" s="127" t="str">
        <f aca="false">ExportRaw!$E500</f>
        <v/>
      </c>
      <c r="E500" s="128" t="str">
        <f aca="false">ExportRaw!$D500</f>
        <v/>
      </c>
      <c r="F500" s="127" t="str">
        <f aca="false">ExportRaw!$H500</f>
        <v/>
      </c>
      <c r="G500" s="129" t="str">
        <f aca="false">ExportRaw!$I500</f>
        <v/>
      </c>
      <c r="H500" s="127" t="str">
        <f aca="false">ExportRaw!$A500</f>
        <v/>
      </c>
      <c r="I500" s="127" t="str">
        <f aca="false">ExportRaw!$B500</f>
        <v/>
      </c>
    </row>
    <row r="501" customFormat="false" ht="15.75" hidden="false" customHeight="false" outlineLevel="0" collapsed="false">
      <c r="A501" s="127" t="n">
        <f aca="false">ExportRaw!$F501</f>
        <v>0</v>
      </c>
      <c r="B501" s="127" t="n">
        <f aca="false">ExportRaw!$C501</f>
        <v>0</v>
      </c>
      <c r="C501" s="127" t="n">
        <f aca="false">ExportRaw!$G501</f>
        <v>0</v>
      </c>
      <c r="D501" s="127" t="str">
        <f aca="false">ExportRaw!$E501</f>
        <v/>
      </c>
      <c r="E501" s="128" t="str">
        <f aca="false">ExportRaw!$D501</f>
        <v/>
      </c>
      <c r="F501" s="127" t="str">
        <f aca="false">ExportRaw!$H501</f>
        <v/>
      </c>
      <c r="G501" s="129" t="str">
        <f aca="false">ExportRaw!$I501</f>
        <v/>
      </c>
      <c r="H501" s="127" t="str">
        <f aca="false">ExportRaw!$A501</f>
        <v/>
      </c>
      <c r="I501" s="127" t="str">
        <f aca="false">ExportRaw!$B501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999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pane xSplit="0" ySplit="1" topLeftCell="A2" activePane="bottomLeft" state="frozen"/>
      <selection pane="topLeft" activeCell="B1" activeCellId="0" sqref="B1"/>
      <selection pane="bottomLeft" activeCell="C7" activeCellId="0" sqref="C7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6.27"/>
    <col collapsed="false" customWidth="true" hidden="false" outlineLevel="0" max="3" min="3" style="1" width="104.88"/>
  </cols>
  <sheetData>
    <row r="1" customFormat="false" ht="13.8" hidden="false" customHeight="false" outlineLevel="0" collapsed="false">
      <c r="A1" s="126" t="s">
        <v>83</v>
      </c>
      <c r="B1" s="126" t="s">
        <v>84</v>
      </c>
      <c r="C1" s="126" t="s">
        <v>85</v>
      </c>
      <c r="D1" s="126"/>
      <c r="E1" s="126"/>
      <c r="F1" s="126"/>
      <c r="G1" s="126"/>
      <c r="H1" s="126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</row>
    <row r="2" customFormat="false" ht="13.8" hidden="false" customHeight="false" outlineLevel="0" collapsed="false">
      <c r="A2" s="130" t="n">
        <v>46288</v>
      </c>
      <c r="B2" s="127" t="s">
        <v>86</v>
      </c>
      <c r="C2" s="127" t="s">
        <v>87</v>
      </c>
      <c r="D2" s="127"/>
      <c r="E2" s="127"/>
      <c r="F2" s="127"/>
      <c r="G2" s="127"/>
      <c r="H2" s="127"/>
      <c r="I2" s="127"/>
      <c r="J2" s="127"/>
      <c r="K2" s="127"/>
      <c r="L2" s="127"/>
      <c r="M2" s="127"/>
      <c r="N2" s="127"/>
      <c r="O2" s="127"/>
      <c r="P2" s="127"/>
      <c r="Q2" s="127"/>
      <c r="R2" s="127"/>
      <c r="S2" s="127"/>
      <c r="T2" s="127"/>
      <c r="U2" s="127"/>
      <c r="V2" s="127"/>
      <c r="W2" s="127"/>
      <c r="X2" s="127"/>
      <c r="Y2" s="127"/>
      <c r="Z2" s="127"/>
    </row>
    <row r="3" customFormat="false" ht="13.8" hidden="false" customHeight="false" outlineLevel="0" collapsed="false">
      <c r="A3" s="130" t="n">
        <v>46296</v>
      </c>
      <c r="B3" s="127" t="s">
        <v>88</v>
      </c>
      <c r="C3" s="127" t="s">
        <v>89</v>
      </c>
      <c r="D3" s="127"/>
      <c r="E3" s="127"/>
      <c r="F3" s="127"/>
      <c r="G3" s="127"/>
      <c r="H3" s="127"/>
      <c r="I3" s="127"/>
      <c r="J3" s="127"/>
      <c r="K3" s="127"/>
      <c r="L3" s="127"/>
      <c r="M3" s="127"/>
      <c r="N3" s="127"/>
      <c r="O3" s="127"/>
      <c r="P3" s="127"/>
      <c r="Q3" s="127"/>
      <c r="R3" s="127"/>
      <c r="S3" s="127"/>
      <c r="T3" s="127"/>
      <c r="U3" s="127"/>
      <c r="V3" s="127"/>
      <c r="W3" s="127"/>
      <c r="X3" s="127"/>
      <c r="Y3" s="127"/>
      <c r="Z3" s="127"/>
    </row>
    <row r="4" customFormat="false" ht="13.8" hidden="false" customHeight="false" outlineLevel="0" collapsed="false">
      <c r="A4" s="130"/>
      <c r="B4" s="127"/>
      <c r="C4" s="127"/>
      <c r="D4" s="127"/>
      <c r="E4" s="127"/>
      <c r="F4" s="127"/>
      <c r="G4" s="127"/>
      <c r="H4" s="127"/>
      <c r="I4" s="127"/>
      <c r="J4" s="127"/>
      <c r="K4" s="127"/>
      <c r="L4" s="127"/>
      <c r="M4" s="127"/>
      <c r="N4" s="127"/>
      <c r="O4" s="127"/>
      <c r="P4" s="127"/>
      <c r="Q4" s="127"/>
      <c r="R4" s="127"/>
      <c r="S4" s="127"/>
      <c r="T4" s="127"/>
      <c r="U4" s="127"/>
      <c r="V4" s="127"/>
      <c r="W4" s="127"/>
      <c r="X4" s="127"/>
      <c r="Y4" s="127"/>
      <c r="Z4" s="127"/>
    </row>
    <row r="5" customFormat="false" ht="13.8" hidden="false" customHeight="false" outlineLevel="0" collapsed="false">
      <c r="A5" s="131"/>
      <c r="B5" s="127"/>
      <c r="C5" s="127"/>
      <c r="D5" s="127"/>
      <c r="E5" s="127"/>
      <c r="F5" s="127"/>
      <c r="G5" s="127"/>
      <c r="H5" s="127"/>
      <c r="I5" s="127"/>
      <c r="J5" s="127"/>
      <c r="K5" s="127"/>
      <c r="L5" s="127"/>
      <c r="M5" s="127"/>
      <c r="N5" s="127"/>
      <c r="O5" s="127"/>
      <c r="P5" s="127"/>
      <c r="Q5" s="127"/>
      <c r="R5" s="127"/>
      <c r="S5" s="127"/>
      <c r="T5" s="127"/>
      <c r="U5" s="127"/>
      <c r="V5" s="127"/>
      <c r="W5" s="127"/>
      <c r="X5" s="127"/>
      <c r="Y5" s="127"/>
      <c r="Z5" s="127"/>
    </row>
    <row r="6" customFormat="false" ht="13.8" hidden="false" customHeight="false" outlineLevel="0" collapsed="false">
      <c r="A6" s="131"/>
      <c r="B6" s="127"/>
      <c r="C6" s="127"/>
      <c r="D6" s="127"/>
      <c r="E6" s="127"/>
      <c r="F6" s="127"/>
      <c r="G6" s="127"/>
      <c r="H6" s="127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customFormat="false" ht="13.8" hidden="false" customHeight="false" outlineLevel="0" collapsed="false">
      <c r="A7" s="131"/>
      <c r="B7" s="127"/>
      <c r="C7" s="127"/>
      <c r="D7" s="127"/>
      <c r="E7" s="127"/>
      <c r="F7" s="127"/>
      <c r="G7" s="127"/>
      <c r="H7" s="127"/>
      <c r="I7" s="127"/>
      <c r="J7" s="127"/>
      <c r="K7" s="127"/>
      <c r="L7" s="127"/>
      <c r="M7" s="127"/>
      <c r="N7" s="127"/>
      <c r="O7" s="127"/>
      <c r="P7" s="127"/>
      <c r="Q7" s="127"/>
      <c r="R7" s="127"/>
      <c r="S7" s="127"/>
      <c r="T7" s="127"/>
      <c r="U7" s="127"/>
      <c r="V7" s="127"/>
      <c r="W7" s="127"/>
      <c r="X7" s="127"/>
      <c r="Y7" s="127"/>
      <c r="Z7" s="127"/>
    </row>
    <row r="8" customFormat="false" ht="15.75" hidden="false" customHeight="false" outlineLevel="0" collapsed="false">
      <c r="A8" s="127"/>
      <c r="B8" s="127"/>
      <c r="C8" s="127"/>
      <c r="D8" s="127"/>
      <c r="E8" s="127"/>
      <c r="F8" s="127"/>
      <c r="G8" s="127"/>
      <c r="H8" s="127"/>
      <c r="I8" s="127"/>
      <c r="J8" s="127"/>
      <c r="K8" s="127"/>
      <c r="L8" s="127"/>
      <c r="M8" s="127"/>
      <c r="N8" s="127"/>
      <c r="O8" s="127"/>
      <c r="P8" s="127"/>
      <c r="Q8" s="127"/>
      <c r="R8" s="127"/>
      <c r="S8" s="127"/>
      <c r="T8" s="127"/>
      <c r="U8" s="127"/>
      <c r="V8" s="127"/>
      <c r="W8" s="127"/>
      <c r="X8" s="127"/>
      <c r="Y8" s="127"/>
      <c r="Z8" s="127"/>
    </row>
    <row r="9" customFormat="false" ht="15.75" hidden="false" customHeight="false" outlineLevel="0" collapsed="false">
      <c r="A9" s="127"/>
      <c r="B9" s="127"/>
      <c r="C9" s="127"/>
      <c r="D9" s="127"/>
      <c r="E9" s="127"/>
      <c r="F9" s="127"/>
      <c r="G9" s="127"/>
      <c r="H9" s="127"/>
      <c r="I9" s="127"/>
      <c r="J9" s="127"/>
      <c r="K9" s="127"/>
      <c r="L9" s="127"/>
      <c r="M9" s="127"/>
      <c r="N9" s="127"/>
      <c r="O9" s="127"/>
      <c r="P9" s="127"/>
      <c r="Q9" s="127"/>
      <c r="R9" s="127"/>
      <c r="S9" s="127"/>
      <c r="T9" s="127"/>
      <c r="U9" s="127"/>
      <c r="V9" s="127"/>
      <c r="W9" s="127"/>
      <c r="X9" s="127"/>
      <c r="Y9" s="127"/>
      <c r="Z9" s="127"/>
    </row>
    <row r="10" customFormat="false" ht="15.75" hidden="false" customHeight="false" outlineLevel="0" collapsed="false">
      <c r="A10" s="127"/>
      <c r="B10" s="127"/>
      <c r="C10" s="127"/>
      <c r="D10" s="127"/>
      <c r="E10" s="127"/>
      <c r="F10" s="127"/>
      <c r="G10" s="127"/>
      <c r="H10" s="127"/>
      <c r="I10" s="127"/>
      <c r="J10" s="127"/>
      <c r="K10" s="127"/>
      <c r="L10" s="127"/>
      <c r="M10" s="127"/>
      <c r="N10" s="127"/>
      <c r="O10" s="127"/>
      <c r="P10" s="127"/>
      <c r="Q10" s="127"/>
      <c r="R10" s="127"/>
      <c r="S10" s="127"/>
      <c r="T10" s="127"/>
      <c r="U10" s="127"/>
      <c r="V10" s="127"/>
      <c r="W10" s="127"/>
      <c r="X10" s="127"/>
      <c r="Y10" s="127"/>
      <c r="Z10" s="127"/>
    </row>
    <row r="11" customFormat="false" ht="15.75" hidden="false" customHeight="false" outlineLevel="0" collapsed="false">
      <c r="A11" s="127"/>
      <c r="B11" s="127"/>
      <c r="C11" s="127"/>
      <c r="D11" s="127"/>
      <c r="E11" s="127"/>
      <c r="F11" s="127"/>
      <c r="G11" s="127"/>
      <c r="H11" s="127"/>
      <c r="I11" s="127"/>
      <c r="J11" s="127"/>
      <c r="K11" s="127"/>
      <c r="L11" s="127"/>
      <c r="M11" s="127"/>
      <c r="N11" s="127"/>
      <c r="O11" s="127"/>
      <c r="P11" s="127"/>
      <c r="Q11" s="127"/>
      <c r="R11" s="127"/>
      <c r="S11" s="127"/>
      <c r="T11" s="127"/>
      <c r="U11" s="127"/>
      <c r="V11" s="127"/>
      <c r="W11" s="127"/>
      <c r="X11" s="127"/>
      <c r="Y11" s="127"/>
      <c r="Z11" s="127"/>
    </row>
    <row r="12" customFormat="false" ht="15.75" hidden="false" customHeight="false" outlineLevel="0" collapsed="false">
      <c r="A12" s="127"/>
      <c r="B12" s="127"/>
      <c r="C12" s="127"/>
      <c r="D12" s="127"/>
      <c r="E12" s="127"/>
      <c r="F12" s="127"/>
      <c r="G12" s="127"/>
      <c r="H12" s="127"/>
      <c r="I12" s="127"/>
      <c r="J12" s="127"/>
      <c r="K12" s="127"/>
      <c r="L12" s="127"/>
      <c r="M12" s="127"/>
      <c r="N12" s="127"/>
      <c r="O12" s="127"/>
      <c r="P12" s="127"/>
      <c r="Q12" s="127"/>
      <c r="R12" s="127"/>
      <c r="S12" s="127"/>
      <c r="T12" s="127"/>
      <c r="U12" s="127"/>
      <c r="V12" s="127"/>
      <c r="W12" s="127"/>
      <c r="X12" s="127"/>
      <c r="Y12" s="127"/>
      <c r="Z12" s="127"/>
    </row>
    <row r="13" customFormat="false" ht="15.75" hidden="false" customHeight="false" outlineLevel="0" collapsed="false">
      <c r="A13" s="127"/>
      <c r="B13" s="127"/>
      <c r="C13" s="127"/>
      <c r="D13" s="127"/>
      <c r="E13" s="127"/>
      <c r="F13" s="127"/>
      <c r="G13" s="127"/>
      <c r="H13" s="127"/>
      <c r="I13" s="127"/>
      <c r="J13" s="127"/>
      <c r="K13" s="127"/>
      <c r="L13" s="127"/>
      <c r="M13" s="127"/>
      <c r="N13" s="127"/>
      <c r="O13" s="127"/>
      <c r="P13" s="127"/>
      <c r="Q13" s="127"/>
      <c r="R13" s="127"/>
      <c r="S13" s="127"/>
      <c r="T13" s="127"/>
      <c r="U13" s="127"/>
      <c r="V13" s="127"/>
      <c r="W13" s="127"/>
      <c r="X13" s="127"/>
      <c r="Y13" s="127"/>
      <c r="Z13" s="127"/>
    </row>
    <row r="14" customFormat="false" ht="15.75" hidden="false" customHeight="false" outlineLevel="0" collapsed="false">
      <c r="A14" s="127"/>
      <c r="B14" s="127"/>
      <c r="C14" s="127"/>
      <c r="D14" s="127"/>
      <c r="E14" s="127"/>
      <c r="F14" s="127"/>
      <c r="G14" s="127"/>
      <c r="H14" s="127"/>
      <c r="I14" s="12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</row>
    <row r="15" customFormat="false" ht="15.75" hidden="false" customHeight="false" outlineLevel="0" collapsed="false">
      <c r="A15" s="127"/>
      <c r="B15" s="127"/>
      <c r="C15" s="127"/>
      <c r="D15" s="127"/>
      <c r="E15" s="127"/>
      <c r="F15" s="127"/>
      <c r="G15" s="127"/>
      <c r="H15" s="127"/>
      <c r="I15" s="127"/>
      <c r="J15" s="127"/>
      <c r="K15" s="127"/>
      <c r="L15" s="127"/>
      <c r="M15" s="127"/>
      <c r="N15" s="127"/>
      <c r="O15" s="127"/>
      <c r="P15" s="127"/>
      <c r="Q15" s="127"/>
      <c r="R15" s="127"/>
      <c r="S15" s="127"/>
      <c r="T15" s="127"/>
      <c r="U15" s="127"/>
      <c r="V15" s="127"/>
      <c r="W15" s="127"/>
      <c r="X15" s="127"/>
      <c r="Y15" s="127"/>
      <c r="Z15" s="127"/>
    </row>
    <row r="16" customFormat="false" ht="15.75" hidden="false" customHeight="false" outlineLevel="0" collapsed="false">
      <c r="A16" s="127"/>
      <c r="B16" s="127"/>
      <c r="C16" s="127"/>
      <c r="D16" s="127"/>
      <c r="E16" s="127"/>
      <c r="F16" s="127"/>
      <c r="G16" s="127"/>
      <c r="H16" s="127"/>
      <c r="I16" s="127"/>
      <c r="J16" s="127"/>
      <c r="K16" s="127"/>
      <c r="L16" s="127"/>
      <c r="M16" s="127"/>
      <c r="N16" s="127"/>
      <c r="O16" s="127"/>
      <c r="P16" s="127"/>
      <c r="Q16" s="127"/>
      <c r="R16" s="127"/>
      <c r="S16" s="127"/>
      <c r="T16" s="127"/>
      <c r="U16" s="127"/>
      <c r="V16" s="127"/>
      <c r="W16" s="127"/>
      <c r="X16" s="127"/>
      <c r="Y16" s="127"/>
      <c r="Z16" s="127"/>
    </row>
    <row r="17" customFormat="false" ht="15.75" hidden="false" customHeight="false" outlineLevel="0" collapsed="false">
      <c r="A17" s="127"/>
      <c r="B17" s="127"/>
      <c r="C17" s="127"/>
      <c r="D17" s="127"/>
      <c r="E17" s="127"/>
      <c r="F17" s="127"/>
      <c r="G17" s="127"/>
      <c r="H17" s="127"/>
      <c r="I17" s="127"/>
      <c r="J17" s="127"/>
      <c r="K17" s="127"/>
      <c r="L17" s="127"/>
      <c r="M17" s="127"/>
      <c r="N17" s="127"/>
      <c r="O17" s="127"/>
      <c r="P17" s="127"/>
      <c r="Q17" s="127"/>
      <c r="R17" s="127"/>
      <c r="S17" s="127"/>
      <c r="T17" s="127"/>
      <c r="U17" s="127"/>
      <c r="V17" s="127"/>
      <c r="W17" s="127"/>
      <c r="X17" s="127"/>
      <c r="Y17" s="127"/>
      <c r="Z17" s="127"/>
    </row>
    <row r="18" customFormat="false" ht="15.75" hidden="false" customHeight="false" outlineLevel="0" collapsed="false">
      <c r="A18" s="127"/>
      <c r="B18" s="127"/>
      <c r="C18" s="127"/>
      <c r="D18" s="127"/>
      <c r="E18" s="127"/>
      <c r="F18" s="127"/>
      <c r="G18" s="127"/>
      <c r="H18" s="127"/>
      <c r="I18" s="127"/>
      <c r="J18" s="127"/>
      <c r="K18" s="127"/>
      <c r="L18" s="127"/>
      <c r="M18" s="127"/>
      <c r="N18" s="127"/>
      <c r="O18" s="127"/>
      <c r="P18" s="127"/>
      <c r="Q18" s="127"/>
      <c r="R18" s="127"/>
      <c r="S18" s="127"/>
      <c r="T18" s="127"/>
      <c r="U18" s="127"/>
      <c r="V18" s="127"/>
      <c r="W18" s="127"/>
      <c r="X18" s="127"/>
      <c r="Y18" s="127"/>
      <c r="Z18" s="127"/>
    </row>
    <row r="19" customFormat="false" ht="15.75" hidden="false" customHeight="false" outlineLevel="0" collapsed="false">
      <c r="A19" s="127"/>
      <c r="B19" s="127"/>
      <c r="C19" s="127"/>
      <c r="D19" s="127"/>
      <c r="E19" s="127"/>
      <c r="F19" s="127"/>
      <c r="G19" s="127"/>
      <c r="H19" s="127"/>
      <c r="I19" s="127"/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</row>
    <row r="20" customFormat="false" ht="15.75" hidden="false" customHeight="false" outlineLevel="0" collapsed="false">
      <c r="A20" s="127"/>
      <c r="B20" s="127"/>
      <c r="C20" s="127"/>
      <c r="D20" s="127"/>
      <c r="E20" s="127"/>
      <c r="F20" s="127"/>
      <c r="G20" s="127"/>
      <c r="H20" s="127"/>
      <c r="I20" s="127"/>
      <c r="J20" s="127"/>
      <c r="K20" s="127"/>
      <c r="L20" s="127"/>
      <c r="M20" s="127"/>
      <c r="N20" s="127"/>
      <c r="O20" s="127"/>
      <c r="P20" s="127"/>
      <c r="Q20" s="127"/>
      <c r="R20" s="127"/>
      <c r="S20" s="127"/>
      <c r="T20" s="127"/>
      <c r="U20" s="127"/>
      <c r="V20" s="127"/>
      <c r="W20" s="127"/>
      <c r="X20" s="127"/>
      <c r="Y20" s="127"/>
      <c r="Z20" s="127"/>
    </row>
    <row r="21" customFormat="false" ht="15.75" hidden="false" customHeight="false" outlineLevel="0" collapsed="false">
      <c r="A21" s="127"/>
      <c r="B21" s="127"/>
      <c r="C21" s="127"/>
      <c r="D21" s="127"/>
      <c r="E21" s="127"/>
      <c r="F21" s="127"/>
      <c r="G21" s="127"/>
      <c r="H21" s="127"/>
      <c r="I21" s="127"/>
      <c r="J21" s="127"/>
      <c r="K21" s="127"/>
      <c r="L21" s="127"/>
      <c r="M21" s="127"/>
      <c r="N21" s="127"/>
      <c r="O21" s="127"/>
      <c r="P21" s="127"/>
      <c r="Q21" s="127"/>
      <c r="R21" s="127"/>
      <c r="S21" s="127"/>
      <c r="T21" s="127"/>
      <c r="U21" s="127"/>
      <c r="V21" s="127"/>
      <c r="W21" s="127"/>
      <c r="X21" s="127"/>
      <c r="Y21" s="127"/>
      <c r="Z21" s="127"/>
    </row>
    <row r="22" customFormat="false" ht="15.75" hidden="false" customHeight="false" outlineLevel="0" collapsed="false">
      <c r="A22" s="127"/>
      <c r="B22" s="127"/>
      <c r="C22" s="127"/>
      <c r="D22" s="127"/>
      <c r="E22" s="127"/>
      <c r="F22" s="127"/>
      <c r="G22" s="127"/>
      <c r="H22" s="127"/>
      <c r="I22" s="127"/>
      <c r="J22" s="127"/>
      <c r="K22" s="127"/>
      <c r="L22" s="127"/>
      <c r="M22" s="127"/>
      <c r="N22" s="127"/>
      <c r="O22" s="127"/>
      <c r="P22" s="127"/>
      <c r="Q22" s="127"/>
      <c r="R22" s="127"/>
      <c r="S22" s="127"/>
      <c r="T22" s="127"/>
      <c r="U22" s="127"/>
      <c r="V22" s="127"/>
      <c r="W22" s="127"/>
      <c r="X22" s="127"/>
      <c r="Y22" s="127"/>
      <c r="Z22" s="127"/>
    </row>
    <row r="23" customFormat="false" ht="15.75" hidden="false" customHeight="false" outlineLevel="0" collapsed="false">
      <c r="A23" s="127"/>
      <c r="B23" s="127"/>
      <c r="C23" s="127"/>
      <c r="D23" s="127"/>
      <c r="E23" s="127"/>
      <c r="F23" s="127"/>
      <c r="G23" s="127"/>
      <c r="H23" s="127"/>
      <c r="I23" s="127"/>
      <c r="J23" s="127"/>
      <c r="K23" s="127"/>
      <c r="L23" s="127"/>
      <c r="M23" s="127"/>
      <c r="N23" s="127"/>
      <c r="O23" s="127"/>
      <c r="P23" s="127"/>
      <c r="Q23" s="127"/>
      <c r="R23" s="127"/>
      <c r="S23" s="127"/>
      <c r="T23" s="127"/>
      <c r="U23" s="127"/>
      <c r="V23" s="127"/>
      <c r="W23" s="127"/>
      <c r="X23" s="127"/>
      <c r="Y23" s="127"/>
      <c r="Z23" s="127"/>
    </row>
    <row r="24" customFormat="false" ht="15.75" hidden="false" customHeight="false" outlineLevel="0" collapsed="false">
      <c r="A24" s="127"/>
      <c r="B24" s="127"/>
      <c r="C24" s="127"/>
      <c r="D24" s="127"/>
      <c r="E24" s="127"/>
      <c r="F24" s="127"/>
      <c r="G24" s="127"/>
      <c r="H24" s="127"/>
      <c r="I24" s="127"/>
      <c r="J24" s="127"/>
      <c r="K24" s="127"/>
      <c r="L24" s="127"/>
      <c r="M24" s="127"/>
      <c r="N24" s="127"/>
      <c r="O24" s="127"/>
      <c r="P24" s="127"/>
      <c r="Q24" s="127"/>
      <c r="R24" s="127"/>
      <c r="S24" s="127"/>
      <c r="T24" s="127"/>
      <c r="U24" s="127"/>
      <c r="V24" s="127"/>
      <c r="W24" s="127"/>
      <c r="X24" s="127"/>
      <c r="Y24" s="127"/>
      <c r="Z24" s="127"/>
    </row>
    <row r="25" customFormat="false" ht="15.75" hidden="false" customHeight="false" outlineLevel="0" collapsed="false">
      <c r="A25" s="127"/>
      <c r="B25" s="127"/>
      <c r="C25" s="127"/>
      <c r="D25" s="127"/>
      <c r="E25" s="127"/>
      <c r="F25" s="127"/>
      <c r="G25" s="127"/>
      <c r="H25" s="127"/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</row>
    <row r="26" customFormat="false" ht="15.75" hidden="false" customHeight="false" outlineLevel="0" collapsed="false">
      <c r="A26" s="127"/>
      <c r="B26" s="127"/>
      <c r="C26" s="127"/>
      <c r="D26" s="127"/>
      <c r="E26" s="127"/>
      <c r="F26" s="127"/>
      <c r="G26" s="127"/>
      <c r="H26" s="127"/>
      <c r="I26" s="127"/>
      <c r="J26" s="127"/>
      <c r="K26" s="127"/>
      <c r="L26" s="127"/>
      <c r="M26" s="127"/>
      <c r="N26" s="127"/>
      <c r="O26" s="127"/>
      <c r="P26" s="127"/>
      <c r="Q26" s="127"/>
      <c r="R26" s="127"/>
      <c r="S26" s="127"/>
      <c r="T26" s="127"/>
      <c r="U26" s="127"/>
      <c r="V26" s="127"/>
      <c r="W26" s="127"/>
      <c r="X26" s="127"/>
      <c r="Y26" s="127"/>
      <c r="Z26" s="127"/>
    </row>
    <row r="27" customFormat="false" ht="15.75" hidden="false" customHeight="false" outlineLevel="0" collapsed="false">
      <c r="A27" s="127"/>
      <c r="B27" s="127"/>
      <c r="C27" s="127"/>
      <c r="D27" s="127"/>
      <c r="E27" s="127"/>
      <c r="F27" s="127"/>
      <c r="G27" s="127"/>
      <c r="H27" s="127"/>
      <c r="I27" s="127"/>
      <c r="J27" s="127"/>
      <c r="K27" s="127"/>
      <c r="L27" s="127"/>
      <c r="M27" s="127"/>
      <c r="N27" s="127"/>
      <c r="O27" s="127"/>
      <c r="P27" s="127"/>
      <c r="Q27" s="127"/>
      <c r="R27" s="127"/>
      <c r="S27" s="127"/>
      <c r="T27" s="127"/>
      <c r="U27" s="127"/>
      <c r="V27" s="127"/>
      <c r="W27" s="127"/>
      <c r="X27" s="127"/>
      <c r="Y27" s="127"/>
      <c r="Z27" s="127"/>
    </row>
    <row r="28" customFormat="false" ht="15.75" hidden="false" customHeight="false" outlineLevel="0" collapsed="false">
      <c r="A28" s="127"/>
      <c r="B28" s="127"/>
      <c r="C28" s="127"/>
      <c r="D28" s="127"/>
      <c r="E28" s="127"/>
      <c r="F28" s="127"/>
      <c r="G28" s="127"/>
      <c r="H28" s="127"/>
      <c r="I28" s="127"/>
      <c r="J28" s="127"/>
      <c r="K28" s="127"/>
      <c r="L28" s="127"/>
      <c r="M28" s="127"/>
      <c r="N28" s="127"/>
      <c r="O28" s="127"/>
      <c r="P28" s="127"/>
      <c r="Q28" s="127"/>
      <c r="R28" s="127"/>
      <c r="S28" s="127"/>
      <c r="T28" s="127"/>
      <c r="U28" s="127"/>
      <c r="V28" s="127"/>
      <c r="W28" s="127"/>
      <c r="X28" s="127"/>
      <c r="Y28" s="127"/>
      <c r="Z28" s="127"/>
    </row>
    <row r="29" customFormat="false" ht="15.75" hidden="false" customHeight="false" outlineLevel="0" collapsed="false">
      <c r="A29" s="127"/>
      <c r="B29" s="127"/>
      <c r="C29" s="127"/>
      <c r="D29" s="127"/>
      <c r="E29" s="127"/>
      <c r="F29" s="127"/>
      <c r="G29" s="127"/>
      <c r="H29" s="127"/>
      <c r="I29" s="127"/>
      <c r="J29" s="127"/>
      <c r="K29" s="127"/>
      <c r="L29" s="127"/>
      <c r="M29" s="127"/>
      <c r="N29" s="127"/>
      <c r="O29" s="127"/>
      <c r="P29" s="127"/>
      <c r="Q29" s="127"/>
      <c r="R29" s="127"/>
      <c r="S29" s="127"/>
      <c r="T29" s="127"/>
      <c r="U29" s="127"/>
      <c r="V29" s="127"/>
      <c r="W29" s="127"/>
      <c r="X29" s="127"/>
      <c r="Y29" s="127"/>
      <c r="Z29" s="127"/>
    </row>
    <row r="30" customFormat="false" ht="15.75" hidden="false" customHeight="false" outlineLevel="0" collapsed="false">
      <c r="A30" s="127"/>
      <c r="B30" s="127"/>
      <c r="C30" s="127"/>
      <c r="D30" s="127"/>
      <c r="E30" s="127"/>
      <c r="F30" s="127"/>
      <c r="G30" s="127"/>
      <c r="H30" s="127"/>
      <c r="I30" s="127"/>
      <c r="J30" s="127"/>
      <c r="K30" s="127"/>
      <c r="L30" s="127"/>
      <c r="M30" s="127"/>
      <c r="N30" s="127"/>
      <c r="O30" s="127"/>
      <c r="P30" s="127"/>
      <c r="Q30" s="127"/>
      <c r="R30" s="127"/>
      <c r="S30" s="127"/>
      <c r="T30" s="127"/>
      <c r="U30" s="127"/>
      <c r="V30" s="127"/>
      <c r="W30" s="127"/>
      <c r="X30" s="127"/>
      <c r="Y30" s="127"/>
      <c r="Z30" s="127"/>
    </row>
    <row r="31" customFormat="false" ht="15.75" hidden="false" customHeight="false" outlineLevel="0" collapsed="false">
      <c r="A31" s="127"/>
      <c r="B31" s="127"/>
      <c r="C31" s="127"/>
      <c r="D31" s="127"/>
      <c r="E31" s="127"/>
      <c r="F31" s="127"/>
      <c r="G31" s="127"/>
      <c r="H31" s="127"/>
      <c r="I31" s="127"/>
      <c r="J31" s="127"/>
      <c r="K31" s="127"/>
      <c r="L31" s="127"/>
      <c r="M31" s="127"/>
      <c r="N31" s="127"/>
      <c r="O31" s="127"/>
      <c r="P31" s="127"/>
      <c r="Q31" s="127"/>
      <c r="R31" s="127"/>
      <c r="S31" s="127"/>
      <c r="T31" s="127"/>
      <c r="U31" s="127"/>
      <c r="V31" s="127"/>
      <c r="W31" s="127"/>
      <c r="X31" s="127"/>
      <c r="Y31" s="127"/>
      <c r="Z31" s="127"/>
    </row>
    <row r="32" customFormat="false" ht="15.75" hidden="false" customHeight="false" outlineLevel="0" collapsed="false">
      <c r="A32" s="127"/>
      <c r="B32" s="127"/>
      <c r="C32" s="127"/>
      <c r="D32" s="127"/>
      <c r="E32" s="127"/>
      <c r="F32" s="127"/>
      <c r="G32" s="127"/>
      <c r="H32" s="127"/>
      <c r="I32" s="127"/>
      <c r="J32" s="127"/>
      <c r="K32" s="127"/>
      <c r="L32" s="127"/>
      <c r="M32" s="127"/>
      <c r="N32" s="127"/>
      <c r="O32" s="127"/>
      <c r="P32" s="127"/>
      <c r="Q32" s="127"/>
      <c r="R32" s="127"/>
      <c r="S32" s="127"/>
      <c r="T32" s="127"/>
      <c r="U32" s="127"/>
      <c r="V32" s="127"/>
      <c r="W32" s="127"/>
      <c r="X32" s="127"/>
      <c r="Y32" s="127"/>
      <c r="Z32" s="127"/>
    </row>
    <row r="33" customFormat="false" ht="15.75" hidden="false" customHeight="false" outlineLevel="0" collapsed="false">
      <c r="A33" s="127"/>
      <c r="B33" s="127"/>
      <c r="C33" s="127"/>
      <c r="D33" s="127"/>
      <c r="E33" s="127"/>
      <c r="F33" s="127"/>
      <c r="G33" s="127"/>
      <c r="H33" s="127"/>
      <c r="I33" s="127"/>
      <c r="J33" s="127"/>
      <c r="K33" s="127"/>
      <c r="L33" s="127"/>
      <c r="M33" s="127"/>
      <c r="N33" s="127"/>
      <c r="O33" s="127"/>
      <c r="P33" s="127"/>
      <c r="Q33" s="127"/>
      <c r="R33" s="127"/>
      <c r="S33" s="127"/>
      <c r="T33" s="127"/>
      <c r="U33" s="127"/>
      <c r="V33" s="127"/>
      <c r="W33" s="127"/>
      <c r="X33" s="127"/>
      <c r="Y33" s="127"/>
      <c r="Z33" s="127"/>
    </row>
    <row r="34" customFormat="false" ht="15.75" hidden="false" customHeight="false" outlineLevel="0" collapsed="false">
      <c r="A34" s="127"/>
      <c r="B34" s="127"/>
      <c r="C34" s="127"/>
      <c r="D34" s="127"/>
      <c r="E34" s="127"/>
      <c r="F34" s="127"/>
      <c r="G34" s="127"/>
      <c r="H34" s="127"/>
      <c r="I34" s="127"/>
      <c r="J34" s="127"/>
      <c r="K34" s="127"/>
      <c r="L34" s="127"/>
      <c r="M34" s="127"/>
      <c r="N34" s="127"/>
      <c r="O34" s="127"/>
      <c r="P34" s="127"/>
      <c r="Q34" s="127"/>
      <c r="R34" s="127"/>
      <c r="S34" s="127"/>
      <c r="T34" s="127"/>
      <c r="U34" s="127"/>
      <c r="V34" s="127"/>
      <c r="W34" s="127"/>
      <c r="X34" s="127"/>
      <c r="Y34" s="127"/>
      <c r="Z34" s="127"/>
    </row>
    <row r="35" customFormat="false" ht="15.75" hidden="false" customHeight="false" outlineLevel="0" collapsed="false">
      <c r="A35" s="127"/>
      <c r="B35" s="127"/>
      <c r="C35" s="127"/>
      <c r="D35" s="127"/>
      <c r="E35" s="127"/>
      <c r="F35" s="127"/>
      <c r="G35" s="127"/>
      <c r="H35" s="127"/>
      <c r="I35" s="127"/>
      <c r="J35" s="127"/>
      <c r="K35" s="127"/>
      <c r="L35" s="127"/>
      <c r="M35" s="127"/>
      <c r="N35" s="127"/>
      <c r="O35" s="127"/>
      <c r="P35" s="127"/>
      <c r="Q35" s="127"/>
      <c r="R35" s="127"/>
      <c r="S35" s="127"/>
      <c r="T35" s="127"/>
      <c r="U35" s="127"/>
      <c r="V35" s="127"/>
      <c r="W35" s="127"/>
      <c r="X35" s="127"/>
      <c r="Y35" s="127"/>
      <c r="Z35" s="127"/>
    </row>
    <row r="36" customFormat="false" ht="15.75" hidden="false" customHeight="false" outlineLevel="0" collapsed="false">
      <c r="A36" s="127"/>
      <c r="B36" s="127"/>
      <c r="C36" s="127"/>
      <c r="D36" s="127"/>
      <c r="E36" s="127"/>
      <c r="F36" s="127"/>
      <c r="G36" s="127"/>
      <c r="H36" s="127"/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</row>
    <row r="37" customFormat="false" ht="15.75" hidden="false" customHeight="false" outlineLevel="0" collapsed="false">
      <c r="A37" s="127"/>
      <c r="B37" s="127"/>
      <c r="C37" s="127"/>
      <c r="D37" s="127"/>
      <c r="E37" s="127"/>
      <c r="F37" s="127"/>
      <c r="G37" s="127"/>
      <c r="H37" s="127"/>
      <c r="I37" s="127"/>
      <c r="J37" s="127"/>
      <c r="K37" s="127"/>
      <c r="L37" s="127"/>
      <c r="M37" s="127"/>
      <c r="N37" s="127"/>
      <c r="O37" s="127"/>
      <c r="P37" s="127"/>
      <c r="Q37" s="127"/>
      <c r="R37" s="127"/>
      <c r="S37" s="127"/>
      <c r="T37" s="127"/>
      <c r="U37" s="127"/>
      <c r="V37" s="127"/>
      <c r="W37" s="127"/>
      <c r="X37" s="127"/>
      <c r="Y37" s="127"/>
      <c r="Z37" s="127"/>
    </row>
    <row r="38" customFormat="false" ht="15.75" hidden="false" customHeight="false" outlineLevel="0" collapsed="false">
      <c r="A38" s="127"/>
      <c r="B38" s="127"/>
      <c r="C38" s="127"/>
      <c r="D38" s="127"/>
      <c r="E38" s="127"/>
      <c r="F38" s="127"/>
      <c r="G38" s="127"/>
      <c r="H38" s="127"/>
      <c r="I38" s="127"/>
      <c r="J38" s="127"/>
      <c r="K38" s="127"/>
      <c r="L38" s="127"/>
      <c r="M38" s="127"/>
      <c r="N38" s="127"/>
      <c r="O38" s="127"/>
      <c r="P38" s="127"/>
      <c r="Q38" s="127"/>
      <c r="R38" s="127"/>
      <c r="S38" s="127"/>
      <c r="T38" s="127"/>
      <c r="U38" s="127"/>
      <c r="V38" s="127"/>
      <c r="W38" s="127"/>
      <c r="X38" s="127"/>
      <c r="Y38" s="127"/>
      <c r="Z38" s="127"/>
    </row>
    <row r="39" customFormat="false" ht="15.75" hidden="false" customHeight="false" outlineLevel="0" collapsed="false">
      <c r="A39" s="127"/>
      <c r="B39" s="127"/>
      <c r="C39" s="127"/>
      <c r="D39" s="127"/>
      <c r="E39" s="127"/>
      <c r="F39" s="127"/>
      <c r="G39" s="127"/>
      <c r="H39" s="127"/>
      <c r="I39" s="127"/>
      <c r="J39" s="127"/>
      <c r="K39" s="127"/>
      <c r="L39" s="127"/>
      <c r="M39" s="127"/>
      <c r="N39" s="127"/>
      <c r="O39" s="127"/>
      <c r="P39" s="127"/>
      <c r="Q39" s="127"/>
      <c r="R39" s="127"/>
      <c r="S39" s="127"/>
      <c r="T39" s="127"/>
      <c r="U39" s="127"/>
      <c r="V39" s="127"/>
      <c r="W39" s="127"/>
      <c r="X39" s="127"/>
      <c r="Y39" s="127"/>
      <c r="Z39" s="127"/>
    </row>
    <row r="40" customFormat="false" ht="15.75" hidden="false" customHeight="false" outlineLevel="0" collapsed="false">
      <c r="A40" s="127"/>
      <c r="B40" s="127"/>
      <c r="C40" s="127"/>
      <c r="D40" s="127"/>
      <c r="E40" s="127"/>
      <c r="F40" s="127"/>
      <c r="G40" s="127"/>
      <c r="H40" s="127"/>
      <c r="I40" s="127"/>
      <c r="J40" s="127"/>
      <c r="K40" s="127"/>
      <c r="L40" s="127"/>
      <c r="M40" s="127"/>
      <c r="N40" s="127"/>
      <c r="O40" s="127"/>
      <c r="P40" s="127"/>
      <c r="Q40" s="127"/>
      <c r="R40" s="127"/>
      <c r="S40" s="127"/>
      <c r="T40" s="127"/>
      <c r="U40" s="127"/>
      <c r="V40" s="127"/>
      <c r="W40" s="127"/>
      <c r="X40" s="127"/>
      <c r="Y40" s="127"/>
      <c r="Z40" s="127"/>
    </row>
    <row r="41" customFormat="false" ht="15.75" hidden="false" customHeight="false" outlineLevel="0" collapsed="false">
      <c r="A41" s="127"/>
      <c r="B41" s="127"/>
      <c r="C41" s="127"/>
      <c r="D41" s="127"/>
      <c r="E41" s="127"/>
      <c r="F41" s="127"/>
      <c r="G41" s="127"/>
      <c r="H41" s="127"/>
      <c r="I41" s="127"/>
      <c r="J41" s="127"/>
      <c r="K41" s="127"/>
      <c r="L41" s="127"/>
      <c r="M41" s="127"/>
      <c r="N41" s="127"/>
      <c r="O41" s="127"/>
      <c r="P41" s="127"/>
      <c r="Q41" s="127"/>
      <c r="R41" s="127"/>
      <c r="S41" s="127"/>
      <c r="T41" s="127"/>
      <c r="U41" s="127"/>
      <c r="V41" s="127"/>
      <c r="W41" s="127"/>
      <c r="X41" s="127"/>
      <c r="Y41" s="127"/>
      <c r="Z41" s="127"/>
    </row>
    <row r="42" customFormat="false" ht="15.75" hidden="false" customHeight="false" outlineLevel="0" collapsed="false">
      <c r="A42" s="127"/>
      <c r="B42" s="127"/>
      <c r="C42" s="127"/>
      <c r="D42" s="127"/>
      <c r="E42" s="127"/>
      <c r="F42" s="127"/>
      <c r="G42" s="127"/>
      <c r="H42" s="127"/>
      <c r="I42" s="127"/>
      <c r="J42" s="127"/>
      <c r="K42" s="127"/>
      <c r="L42" s="127"/>
      <c r="M42" s="127"/>
      <c r="N42" s="127"/>
      <c r="O42" s="127"/>
      <c r="P42" s="127"/>
      <c r="Q42" s="127"/>
      <c r="R42" s="127"/>
      <c r="S42" s="127"/>
      <c r="T42" s="127"/>
      <c r="U42" s="127"/>
      <c r="V42" s="127"/>
      <c r="W42" s="127"/>
      <c r="X42" s="127"/>
      <c r="Y42" s="127"/>
      <c r="Z42" s="127"/>
    </row>
    <row r="43" customFormat="false" ht="15.75" hidden="false" customHeight="false" outlineLevel="0" collapsed="false">
      <c r="A43" s="127"/>
      <c r="B43" s="127"/>
      <c r="C43" s="127"/>
      <c r="D43" s="127"/>
      <c r="E43" s="127"/>
      <c r="F43" s="127"/>
      <c r="G43" s="127"/>
      <c r="H43" s="127"/>
      <c r="I43" s="127"/>
      <c r="J43" s="127"/>
      <c r="K43" s="127"/>
      <c r="L43" s="127"/>
      <c r="M43" s="127"/>
      <c r="N43" s="127"/>
      <c r="O43" s="127"/>
      <c r="P43" s="127"/>
      <c r="Q43" s="127"/>
      <c r="R43" s="127"/>
      <c r="S43" s="127"/>
      <c r="T43" s="127"/>
      <c r="U43" s="127"/>
      <c r="V43" s="127"/>
      <c r="W43" s="127"/>
      <c r="X43" s="127"/>
      <c r="Y43" s="127"/>
      <c r="Z43" s="127"/>
    </row>
    <row r="44" customFormat="false" ht="15.75" hidden="false" customHeight="false" outlineLevel="0" collapsed="false">
      <c r="A44" s="127"/>
      <c r="B44" s="127"/>
      <c r="C44" s="127"/>
      <c r="D44" s="127"/>
      <c r="E44" s="127"/>
      <c r="F44" s="127"/>
      <c r="G44" s="127"/>
      <c r="H44" s="127"/>
      <c r="I44" s="127"/>
      <c r="J44" s="127"/>
      <c r="K44" s="127"/>
      <c r="L44" s="127"/>
      <c r="M44" s="127"/>
      <c r="N44" s="127"/>
      <c r="O44" s="127"/>
      <c r="P44" s="127"/>
      <c r="Q44" s="127"/>
      <c r="R44" s="127"/>
      <c r="S44" s="127"/>
      <c r="T44" s="127"/>
      <c r="U44" s="127"/>
      <c r="V44" s="127"/>
      <c r="W44" s="127"/>
      <c r="X44" s="127"/>
      <c r="Y44" s="127"/>
      <c r="Z44" s="127"/>
    </row>
    <row r="45" customFormat="false" ht="15.75" hidden="false" customHeight="false" outlineLevel="0" collapsed="false">
      <c r="A45" s="127"/>
      <c r="B45" s="127"/>
      <c r="C45" s="127"/>
      <c r="D45" s="127"/>
      <c r="E45" s="127"/>
      <c r="F45" s="127"/>
      <c r="G45" s="127"/>
      <c r="H45" s="127"/>
      <c r="I45" s="127"/>
      <c r="J45" s="127"/>
      <c r="K45" s="127"/>
      <c r="L45" s="127"/>
      <c r="M45" s="127"/>
      <c r="N45" s="127"/>
      <c r="O45" s="127"/>
      <c r="P45" s="127"/>
      <c r="Q45" s="127"/>
      <c r="R45" s="127"/>
      <c r="S45" s="127"/>
      <c r="T45" s="127"/>
      <c r="U45" s="127"/>
      <c r="V45" s="127"/>
      <c r="W45" s="127"/>
      <c r="X45" s="127"/>
      <c r="Y45" s="127"/>
      <c r="Z45" s="127"/>
    </row>
    <row r="46" customFormat="false" ht="15.75" hidden="false" customHeight="false" outlineLevel="0" collapsed="false">
      <c r="A46" s="127"/>
      <c r="B46" s="127"/>
      <c r="C46" s="127"/>
      <c r="D46" s="127"/>
      <c r="E46" s="127"/>
      <c r="F46" s="127"/>
      <c r="G46" s="127"/>
      <c r="H46" s="127"/>
      <c r="I46" s="127"/>
      <c r="J46" s="127"/>
      <c r="K46" s="127"/>
      <c r="L46" s="127"/>
      <c r="M46" s="127"/>
      <c r="N46" s="127"/>
      <c r="O46" s="127"/>
      <c r="P46" s="127"/>
      <c r="Q46" s="127"/>
      <c r="R46" s="127"/>
      <c r="S46" s="127"/>
      <c r="T46" s="127"/>
      <c r="U46" s="127"/>
      <c r="V46" s="127"/>
      <c r="W46" s="127"/>
      <c r="X46" s="127"/>
      <c r="Y46" s="127"/>
      <c r="Z46" s="127"/>
    </row>
    <row r="47" customFormat="false" ht="15.75" hidden="false" customHeight="false" outlineLevel="0" collapsed="false">
      <c r="A47" s="127"/>
      <c r="B47" s="127"/>
      <c r="C47" s="127"/>
      <c r="D47" s="127"/>
      <c r="E47" s="127"/>
      <c r="F47" s="127"/>
      <c r="G47" s="127"/>
      <c r="H47" s="127"/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</row>
    <row r="48" customFormat="false" ht="15.75" hidden="false" customHeight="false" outlineLevel="0" collapsed="false">
      <c r="A48" s="127"/>
      <c r="B48" s="127"/>
      <c r="C48" s="127"/>
      <c r="D48" s="127"/>
      <c r="E48" s="127"/>
      <c r="F48" s="127"/>
      <c r="G48" s="127"/>
      <c r="H48" s="127"/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</row>
    <row r="49" customFormat="false" ht="15.75" hidden="false" customHeight="false" outlineLevel="0" collapsed="false">
      <c r="A49" s="127"/>
      <c r="B49" s="127"/>
      <c r="C49" s="127"/>
      <c r="D49" s="127"/>
      <c r="E49" s="127"/>
      <c r="F49" s="127"/>
      <c r="G49" s="127"/>
      <c r="H49" s="127"/>
      <c r="I49" s="127"/>
      <c r="J49" s="127"/>
      <c r="K49" s="127"/>
      <c r="L49" s="127"/>
      <c r="M49" s="127"/>
      <c r="N49" s="127"/>
      <c r="O49" s="127"/>
      <c r="P49" s="127"/>
      <c r="Q49" s="127"/>
      <c r="R49" s="127"/>
      <c r="S49" s="127"/>
      <c r="T49" s="127"/>
      <c r="U49" s="127"/>
      <c r="V49" s="127"/>
      <c r="W49" s="127"/>
      <c r="X49" s="127"/>
      <c r="Y49" s="127"/>
      <c r="Z49" s="127"/>
    </row>
    <row r="50" customFormat="false" ht="15.75" hidden="false" customHeight="false" outlineLevel="0" collapsed="false">
      <c r="A50" s="127"/>
      <c r="B50" s="127"/>
      <c r="C50" s="127"/>
      <c r="D50" s="127"/>
      <c r="E50" s="127"/>
      <c r="F50" s="127"/>
      <c r="G50" s="127"/>
      <c r="H50" s="127"/>
      <c r="I50" s="127"/>
      <c r="J50" s="127"/>
      <c r="K50" s="127"/>
      <c r="L50" s="127"/>
      <c r="M50" s="127"/>
      <c r="N50" s="127"/>
      <c r="O50" s="127"/>
      <c r="P50" s="127"/>
      <c r="Q50" s="127"/>
      <c r="R50" s="127"/>
      <c r="S50" s="127"/>
      <c r="T50" s="127"/>
      <c r="U50" s="127"/>
      <c r="V50" s="127"/>
      <c r="W50" s="127"/>
      <c r="X50" s="127"/>
      <c r="Y50" s="127"/>
      <c r="Z50" s="127"/>
    </row>
    <row r="51" customFormat="false" ht="15.75" hidden="false" customHeight="false" outlineLevel="0" collapsed="false">
      <c r="A51" s="127"/>
      <c r="B51" s="127"/>
      <c r="C51" s="127"/>
      <c r="D51" s="127"/>
      <c r="E51" s="127"/>
      <c r="F51" s="127"/>
      <c r="G51" s="127"/>
      <c r="H51" s="127"/>
      <c r="I51" s="127"/>
      <c r="J51" s="127"/>
      <c r="K51" s="127"/>
      <c r="L51" s="127"/>
      <c r="M51" s="127"/>
      <c r="N51" s="127"/>
      <c r="O51" s="127"/>
      <c r="P51" s="127"/>
      <c r="Q51" s="127"/>
      <c r="R51" s="127"/>
      <c r="S51" s="127"/>
      <c r="T51" s="127"/>
      <c r="U51" s="127"/>
      <c r="V51" s="127"/>
      <c r="W51" s="127"/>
      <c r="X51" s="127"/>
      <c r="Y51" s="127"/>
      <c r="Z51" s="127"/>
    </row>
    <row r="52" customFormat="false" ht="15.75" hidden="false" customHeight="false" outlineLevel="0" collapsed="false">
      <c r="A52" s="127"/>
      <c r="B52" s="127"/>
      <c r="C52" s="127"/>
      <c r="D52" s="127"/>
      <c r="E52" s="127"/>
      <c r="F52" s="127"/>
      <c r="G52" s="127"/>
      <c r="H52" s="127"/>
      <c r="I52" s="127"/>
      <c r="J52" s="127"/>
      <c r="K52" s="127"/>
      <c r="L52" s="127"/>
      <c r="M52" s="127"/>
      <c r="N52" s="127"/>
      <c r="O52" s="127"/>
      <c r="P52" s="127"/>
      <c r="Q52" s="127"/>
      <c r="R52" s="127"/>
      <c r="S52" s="127"/>
      <c r="T52" s="127"/>
      <c r="U52" s="127"/>
      <c r="V52" s="127"/>
      <c r="W52" s="127"/>
      <c r="X52" s="127"/>
      <c r="Y52" s="127"/>
      <c r="Z52" s="127"/>
    </row>
    <row r="53" customFormat="false" ht="15.75" hidden="false" customHeight="false" outlineLevel="0" collapsed="false">
      <c r="A53" s="127"/>
      <c r="B53" s="127"/>
      <c r="C53" s="127"/>
      <c r="D53" s="127"/>
      <c r="E53" s="127"/>
      <c r="F53" s="127"/>
      <c r="G53" s="127"/>
      <c r="H53" s="127"/>
      <c r="I53" s="127"/>
      <c r="J53" s="127"/>
      <c r="K53" s="127"/>
      <c r="L53" s="127"/>
      <c r="M53" s="127"/>
      <c r="N53" s="127"/>
      <c r="O53" s="127"/>
      <c r="P53" s="127"/>
      <c r="Q53" s="127"/>
      <c r="R53" s="127"/>
      <c r="S53" s="127"/>
      <c r="T53" s="127"/>
      <c r="U53" s="127"/>
      <c r="V53" s="127"/>
      <c r="W53" s="127"/>
      <c r="X53" s="127"/>
      <c r="Y53" s="127"/>
      <c r="Z53" s="127"/>
    </row>
    <row r="54" customFormat="false" ht="15.75" hidden="false" customHeight="false" outlineLevel="0" collapsed="false">
      <c r="A54" s="127"/>
      <c r="B54" s="127"/>
      <c r="C54" s="127"/>
      <c r="D54" s="127"/>
      <c r="E54" s="127"/>
      <c r="F54" s="127"/>
      <c r="G54" s="127"/>
      <c r="H54" s="127"/>
      <c r="I54" s="127"/>
      <c r="J54" s="127"/>
      <c r="K54" s="127"/>
      <c r="L54" s="127"/>
      <c r="M54" s="127"/>
      <c r="N54" s="127"/>
      <c r="O54" s="127"/>
      <c r="P54" s="127"/>
      <c r="Q54" s="127"/>
      <c r="R54" s="127"/>
      <c r="S54" s="127"/>
      <c r="T54" s="127"/>
      <c r="U54" s="127"/>
      <c r="V54" s="127"/>
      <c r="W54" s="127"/>
      <c r="X54" s="127"/>
      <c r="Y54" s="127"/>
      <c r="Z54" s="127"/>
    </row>
    <row r="55" customFormat="false" ht="15.75" hidden="false" customHeight="false" outlineLevel="0" collapsed="false">
      <c r="A55" s="127"/>
      <c r="B55" s="127"/>
      <c r="C55" s="127"/>
      <c r="D55" s="127"/>
      <c r="E55" s="127"/>
      <c r="F55" s="127"/>
      <c r="G55" s="127"/>
      <c r="H55" s="127"/>
      <c r="I55" s="127"/>
      <c r="J55" s="127"/>
      <c r="K55" s="127"/>
      <c r="L55" s="127"/>
      <c r="M55" s="127"/>
      <c r="N55" s="127"/>
      <c r="O55" s="127"/>
      <c r="P55" s="127"/>
      <c r="Q55" s="127"/>
      <c r="R55" s="127"/>
      <c r="S55" s="127"/>
      <c r="T55" s="127"/>
      <c r="U55" s="127"/>
      <c r="V55" s="127"/>
      <c r="W55" s="127"/>
      <c r="X55" s="127"/>
      <c r="Y55" s="127"/>
      <c r="Z55" s="127"/>
    </row>
    <row r="56" customFormat="false" ht="15.75" hidden="false" customHeight="false" outlineLevel="0" collapsed="false">
      <c r="A56" s="127"/>
      <c r="B56" s="127"/>
      <c r="C56" s="127"/>
      <c r="D56" s="127"/>
      <c r="E56" s="127"/>
      <c r="F56" s="127"/>
      <c r="G56" s="127"/>
      <c r="H56" s="127"/>
      <c r="I56" s="127"/>
      <c r="J56" s="127"/>
      <c r="K56" s="127"/>
      <c r="L56" s="127"/>
      <c r="M56" s="127"/>
      <c r="N56" s="127"/>
      <c r="O56" s="127"/>
      <c r="P56" s="127"/>
      <c r="Q56" s="127"/>
      <c r="R56" s="127"/>
      <c r="S56" s="127"/>
      <c r="T56" s="127"/>
      <c r="U56" s="127"/>
      <c r="V56" s="127"/>
      <c r="W56" s="127"/>
      <c r="X56" s="127"/>
      <c r="Y56" s="127"/>
      <c r="Z56" s="127"/>
    </row>
    <row r="57" customFormat="false" ht="15.75" hidden="false" customHeight="false" outlineLevel="0" collapsed="false">
      <c r="A57" s="127"/>
      <c r="B57" s="127"/>
      <c r="C57" s="127"/>
      <c r="D57" s="127"/>
      <c r="E57" s="127"/>
      <c r="F57" s="127"/>
      <c r="G57" s="127"/>
      <c r="H57" s="127"/>
      <c r="I57" s="127"/>
      <c r="J57" s="127"/>
      <c r="K57" s="127"/>
      <c r="L57" s="127"/>
      <c r="M57" s="127"/>
      <c r="N57" s="127"/>
      <c r="O57" s="127"/>
      <c r="P57" s="127"/>
      <c r="Q57" s="127"/>
      <c r="R57" s="127"/>
      <c r="S57" s="127"/>
      <c r="T57" s="127"/>
      <c r="U57" s="127"/>
      <c r="V57" s="127"/>
      <c r="W57" s="127"/>
      <c r="X57" s="127"/>
      <c r="Y57" s="127"/>
      <c r="Z57" s="127"/>
    </row>
    <row r="58" customFormat="false" ht="15.75" hidden="false" customHeight="false" outlineLevel="0" collapsed="false">
      <c r="A58" s="127"/>
      <c r="B58" s="127"/>
      <c r="C58" s="127"/>
      <c r="D58" s="127"/>
      <c r="E58" s="127"/>
      <c r="F58" s="127"/>
      <c r="G58" s="127"/>
      <c r="H58" s="127"/>
      <c r="I58" s="127"/>
      <c r="J58" s="127"/>
      <c r="K58" s="127"/>
      <c r="L58" s="127"/>
      <c r="M58" s="127"/>
      <c r="N58" s="127"/>
      <c r="O58" s="127"/>
      <c r="P58" s="127"/>
      <c r="Q58" s="127"/>
      <c r="R58" s="127"/>
      <c r="S58" s="127"/>
      <c r="T58" s="127"/>
      <c r="U58" s="127"/>
      <c r="V58" s="127"/>
      <c r="W58" s="127"/>
      <c r="X58" s="127"/>
      <c r="Y58" s="127"/>
      <c r="Z58" s="127"/>
    </row>
    <row r="59" customFormat="false" ht="15.75" hidden="false" customHeight="false" outlineLevel="0" collapsed="false">
      <c r="A59" s="127"/>
      <c r="B59" s="127"/>
      <c r="C59" s="127"/>
      <c r="D59" s="127"/>
      <c r="E59" s="127"/>
      <c r="F59" s="127"/>
      <c r="G59" s="127"/>
      <c r="H59" s="127"/>
      <c r="I59" s="127"/>
      <c r="J59" s="127"/>
      <c r="K59" s="127"/>
      <c r="L59" s="127"/>
      <c r="M59" s="127"/>
      <c r="N59" s="127"/>
      <c r="O59" s="127"/>
      <c r="P59" s="127"/>
      <c r="Q59" s="127"/>
      <c r="R59" s="127"/>
      <c r="S59" s="127"/>
      <c r="T59" s="127"/>
      <c r="U59" s="127"/>
      <c r="V59" s="127"/>
      <c r="W59" s="127"/>
      <c r="X59" s="127"/>
      <c r="Y59" s="127"/>
      <c r="Z59" s="127"/>
    </row>
    <row r="60" customFormat="false" ht="15.75" hidden="false" customHeight="false" outlineLevel="0" collapsed="false">
      <c r="A60" s="127"/>
      <c r="B60" s="127"/>
      <c r="C60" s="127"/>
      <c r="D60" s="127"/>
      <c r="E60" s="127"/>
      <c r="F60" s="127"/>
      <c r="G60" s="127"/>
      <c r="H60" s="127"/>
      <c r="I60" s="127"/>
      <c r="J60" s="127"/>
      <c r="K60" s="127"/>
      <c r="L60" s="127"/>
      <c r="M60" s="127"/>
      <c r="N60" s="127"/>
      <c r="O60" s="127"/>
      <c r="P60" s="127"/>
      <c r="Q60" s="127"/>
      <c r="R60" s="127"/>
      <c r="S60" s="127"/>
      <c r="T60" s="127"/>
      <c r="U60" s="127"/>
      <c r="V60" s="127"/>
      <c r="W60" s="127"/>
      <c r="X60" s="127"/>
      <c r="Y60" s="127"/>
      <c r="Z60" s="127"/>
    </row>
    <row r="61" customFormat="false" ht="15.75" hidden="false" customHeight="false" outlineLevel="0" collapsed="false">
      <c r="A61" s="127"/>
      <c r="B61" s="127"/>
      <c r="C61" s="127"/>
      <c r="D61" s="127"/>
      <c r="E61" s="127"/>
      <c r="F61" s="127"/>
      <c r="G61" s="127"/>
      <c r="H61" s="127"/>
      <c r="I61" s="127"/>
      <c r="J61" s="127"/>
      <c r="K61" s="127"/>
      <c r="L61" s="127"/>
      <c r="M61" s="127"/>
      <c r="N61" s="127"/>
      <c r="O61" s="127"/>
      <c r="P61" s="127"/>
      <c r="Q61" s="127"/>
      <c r="R61" s="127"/>
      <c r="S61" s="127"/>
      <c r="T61" s="127"/>
      <c r="U61" s="127"/>
      <c r="V61" s="127"/>
      <c r="W61" s="127"/>
      <c r="X61" s="127"/>
      <c r="Y61" s="127"/>
      <c r="Z61" s="127"/>
    </row>
    <row r="62" customFormat="false" ht="15.75" hidden="false" customHeight="false" outlineLevel="0" collapsed="false">
      <c r="A62" s="127"/>
      <c r="B62" s="127"/>
      <c r="C62" s="127"/>
      <c r="D62" s="127"/>
      <c r="E62" s="127"/>
      <c r="F62" s="127"/>
      <c r="G62" s="127"/>
      <c r="H62" s="127"/>
      <c r="I62" s="127"/>
      <c r="J62" s="127"/>
      <c r="K62" s="127"/>
      <c r="L62" s="127"/>
      <c r="M62" s="127"/>
      <c r="N62" s="127"/>
      <c r="O62" s="127"/>
      <c r="P62" s="127"/>
      <c r="Q62" s="127"/>
      <c r="R62" s="127"/>
      <c r="S62" s="127"/>
      <c r="T62" s="127"/>
      <c r="U62" s="127"/>
      <c r="V62" s="127"/>
      <c r="W62" s="127"/>
      <c r="X62" s="127"/>
      <c r="Y62" s="127"/>
      <c r="Z62" s="127"/>
    </row>
    <row r="63" customFormat="false" ht="15.75" hidden="false" customHeight="false" outlineLevel="0" collapsed="false">
      <c r="A63" s="127"/>
      <c r="B63" s="127"/>
      <c r="C63" s="127"/>
      <c r="D63" s="127"/>
      <c r="E63" s="127"/>
      <c r="F63" s="127"/>
      <c r="G63" s="127"/>
      <c r="H63" s="127"/>
      <c r="I63" s="127"/>
      <c r="J63" s="127"/>
      <c r="K63" s="127"/>
      <c r="L63" s="127"/>
      <c r="M63" s="127"/>
      <c r="N63" s="127"/>
      <c r="O63" s="127"/>
      <c r="P63" s="127"/>
      <c r="Q63" s="127"/>
      <c r="R63" s="127"/>
      <c r="S63" s="127"/>
      <c r="T63" s="127"/>
      <c r="U63" s="127"/>
      <c r="V63" s="127"/>
      <c r="W63" s="127"/>
      <c r="X63" s="127"/>
      <c r="Y63" s="127"/>
      <c r="Z63" s="127"/>
    </row>
    <row r="64" customFormat="false" ht="15.75" hidden="false" customHeight="false" outlineLevel="0" collapsed="false">
      <c r="A64" s="127"/>
      <c r="B64" s="127"/>
      <c r="C64" s="127"/>
      <c r="D64" s="127"/>
      <c r="E64" s="127"/>
      <c r="F64" s="127"/>
      <c r="G64" s="127"/>
      <c r="H64" s="127"/>
      <c r="I64" s="127"/>
      <c r="J64" s="127"/>
      <c r="K64" s="127"/>
      <c r="L64" s="127"/>
      <c r="M64" s="127"/>
      <c r="N64" s="127"/>
      <c r="O64" s="127"/>
      <c r="P64" s="127"/>
      <c r="Q64" s="127"/>
      <c r="R64" s="127"/>
      <c r="S64" s="127"/>
      <c r="T64" s="127"/>
      <c r="U64" s="127"/>
      <c r="V64" s="127"/>
      <c r="W64" s="127"/>
      <c r="X64" s="127"/>
      <c r="Y64" s="127"/>
      <c r="Z64" s="127"/>
    </row>
    <row r="65" customFormat="false" ht="15.75" hidden="false" customHeight="false" outlineLevel="0" collapsed="false">
      <c r="A65" s="127"/>
      <c r="B65" s="127"/>
      <c r="C65" s="127"/>
      <c r="D65" s="127"/>
      <c r="E65" s="127"/>
      <c r="F65" s="127"/>
      <c r="G65" s="127"/>
      <c r="H65" s="127"/>
      <c r="I65" s="127"/>
      <c r="J65" s="127"/>
      <c r="K65" s="127"/>
      <c r="L65" s="127"/>
      <c r="M65" s="127"/>
      <c r="N65" s="127"/>
      <c r="O65" s="127"/>
      <c r="P65" s="127"/>
      <c r="Q65" s="127"/>
      <c r="R65" s="127"/>
      <c r="S65" s="127"/>
      <c r="T65" s="127"/>
      <c r="U65" s="127"/>
      <c r="V65" s="127"/>
      <c r="W65" s="127"/>
      <c r="X65" s="127"/>
      <c r="Y65" s="127"/>
      <c r="Z65" s="127"/>
    </row>
    <row r="66" customFormat="false" ht="15.75" hidden="false" customHeight="false" outlineLevel="0" collapsed="false">
      <c r="A66" s="127"/>
      <c r="B66" s="127"/>
      <c r="C66" s="127"/>
      <c r="D66" s="127"/>
      <c r="E66" s="127"/>
      <c r="F66" s="127"/>
      <c r="G66" s="127"/>
      <c r="H66" s="127"/>
      <c r="I66" s="127"/>
      <c r="J66" s="127"/>
      <c r="K66" s="127"/>
      <c r="L66" s="127"/>
      <c r="M66" s="127"/>
      <c r="N66" s="127"/>
      <c r="O66" s="127"/>
      <c r="P66" s="127"/>
      <c r="Q66" s="127"/>
      <c r="R66" s="127"/>
      <c r="S66" s="127"/>
      <c r="T66" s="127"/>
      <c r="U66" s="127"/>
      <c r="V66" s="127"/>
      <c r="W66" s="127"/>
      <c r="X66" s="127"/>
      <c r="Y66" s="127"/>
      <c r="Z66" s="127"/>
    </row>
    <row r="67" customFormat="false" ht="15.75" hidden="false" customHeight="false" outlineLevel="0" collapsed="false">
      <c r="A67" s="127"/>
      <c r="B67" s="127"/>
      <c r="C67" s="127"/>
      <c r="D67" s="127"/>
      <c r="E67" s="127"/>
      <c r="F67" s="127"/>
      <c r="G67" s="127"/>
      <c r="H67" s="127"/>
      <c r="I67" s="127"/>
      <c r="J67" s="127"/>
      <c r="K67" s="127"/>
      <c r="L67" s="127"/>
      <c r="M67" s="127"/>
      <c r="N67" s="127"/>
      <c r="O67" s="127"/>
      <c r="P67" s="127"/>
      <c r="Q67" s="127"/>
      <c r="R67" s="127"/>
      <c r="S67" s="127"/>
      <c r="T67" s="127"/>
      <c r="U67" s="127"/>
      <c r="V67" s="127"/>
      <c r="W67" s="127"/>
      <c r="X67" s="127"/>
      <c r="Y67" s="127"/>
      <c r="Z67" s="127"/>
    </row>
    <row r="68" customFormat="false" ht="15.75" hidden="false" customHeight="false" outlineLevel="0" collapsed="false">
      <c r="A68" s="127"/>
      <c r="B68" s="127"/>
      <c r="C68" s="127"/>
      <c r="D68" s="127"/>
      <c r="E68" s="127"/>
      <c r="F68" s="127"/>
      <c r="G68" s="127"/>
      <c r="H68" s="127"/>
      <c r="I68" s="127"/>
      <c r="J68" s="127"/>
      <c r="K68" s="127"/>
      <c r="L68" s="127"/>
      <c r="M68" s="127"/>
      <c r="N68" s="127"/>
      <c r="O68" s="127"/>
      <c r="P68" s="127"/>
      <c r="Q68" s="127"/>
      <c r="R68" s="127"/>
      <c r="S68" s="127"/>
      <c r="T68" s="127"/>
      <c r="U68" s="127"/>
      <c r="V68" s="127"/>
      <c r="W68" s="127"/>
      <c r="X68" s="127"/>
      <c r="Y68" s="127"/>
      <c r="Z68" s="127"/>
    </row>
    <row r="69" customFormat="false" ht="15.75" hidden="false" customHeight="false" outlineLevel="0" collapsed="false">
      <c r="A69" s="127"/>
      <c r="B69" s="127"/>
      <c r="C69" s="127"/>
      <c r="D69" s="127"/>
      <c r="E69" s="127"/>
      <c r="F69" s="127"/>
      <c r="G69" s="127"/>
      <c r="H69" s="127"/>
      <c r="I69" s="127"/>
      <c r="J69" s="127"/>
      <c r="K69" s="127"/>
      <c r="L69" s="127"/>
      <c r="M69" s="127"/>
      <c r="N69" s="127"/>
      <c r="O69" s="127"/>
      <c r="P69" s="127"/>
      <c r="Q69" s="127"/>
      <c r="R69" s="127"/>
      <c r="S69" s="127"/>
      <c r="T69" s="127"/>
      <c r="U69" s="127"/>
      <c r="V69" s="127"/>
      <c r="W69" s="127"/>
      <c r="X69" s="127"/>
      <c r="Y69" s="127"/>
      <c r="Z69" s="127"/>
    </row>
    <row r="70" customFormat="false" ht="15.75" hidden="false" customHeight="false" outlineLevel="0" collapsed="false">
      <c r="A70" s="127"/>
      <c r="B70" s="127"/>
      <c r="C70" s="127"/>
      <c r="D70" s="127"/>
      <c r="E70" s="127"/>
      <c r="F70" s="127"/>
      <c r="G70" s="127"/>
      <c r="H70" s="127"/>
      <c r="I70" s="127"/>
      <c r="J70" s="127"/>
      <c r="K70" s="127"/>
      <c r="L70" s="127"/>
      <c r="M70" s="127"/>
      <c r="N70" s="127"/>
      <c r="O70" s="127"/>
      <c r="P70" s="127"/>
      <c r="Q70" s="127"/>
      <c r="R70" s="127"/>
      <c r="S70" s="127"/>
      <c r="T70" s="127"/>
      <c r="U70" s="127"/>
      <c r="V70" s="127"/>
      <c r="W70" s="127"/>
      <c r="X70" s="127"/>
      <c r="Y70" s="127"/>
      <c r="Z70" s="127"/>
    </row>
    <row r="71" customFormat="false" ht="15.75" hidden="false" customHeight="false" outlineLevel="0" collapsed="false">
      <c r="A71" s="127"/>
      <c r="B71" s="127"/>
      <c r="C71" s="127"/>
      <c r="D71" s="127"/>
      <c r="E71" s="127"/>
      <c r="F71" s="127"/>
      <c r="G71" s="127"/>
      <c r="H71" s="127"/>
      <c r="I71" s="127"/>
      <c r="J71" s="127"/>
      <c r="K71" s="127"/>
      <c r="L71" s="127"/>
      <c r="M71" s="127"/>
      <c r="N71" s="127"/>
      <c r="O71" s="127"/>
      <c r="P71" s="127"/>
      <c r="Q71" s="127"/>
      <c r="R71" s="127"/>
      <c r="S71" s="127"/>
      <c r="T71" s="127"/>
      <c r="U71" s="127"/>
      <c r="V71" s="127"/>
      <c r="W71" s="127"/>
      <c r="X71" s="127"/>
      <c r="Y71" s="127"/>
      <c r="Z71" s="127"/>
    </row>
    <row r="72" customFormat="false" ht="15.75" hidden="false" customHeight="false" outlineLevel="0" collapsed="false">
      <c r="A72" s="127"/>
      <c r="B72" s="127"/>
      <c r="C72" s="127"/>
      <c r="D72" s="127"/>
      <c r="E72" s="127"/>
      <c r="F72" s="127"/>
      <c r="G72" s="127"/>
      <c r="H72" s="127"/>
      <c r="I72" s="127"/>
      <c r="J72" s="127"/>
      <c r="K72" s="127"/>
      <c r="L72" s="127"/>
      <c r="M72" s="127"/>
      <c r="N72" s="127"/>
      <c r="O72" s="127"/>
      <c r="P72" s="127"/>
      <c r="Q72" s="127"/>
      <c r="R72" s="127"/>
      <c r="S72" s="127"/>
      <c r="T72" s="127"/>
      <c r="U72" s="127"/>
      <c r="V72" s="127"/>
      <c r="W72" s="127"/>
      <c r="X72" s="127"/>
      <c r="Y72" s="127"/>
      <c r="Z72" s="127"/>
    </row>
    <row r="73" customFormat="false" ht="15.75" hidden="false" customHeight="false" outlineLevel="0" collapsed="false">
      <c r="A73" s="127"/>
      <c r="B73" s="127"/>
      <c r="C73" s="127"/>
      <c r="D73" s="127"/>
      <c r="E73" s="127"/>
      <c r="F73" s="127"/>
      <c r="G73" s="127"/>
      <c r="H73" s="127"/>
      <c r="I73" s="127"/>
      <c r="J73" s="127"/>
      <c r="K73" s="127"/>
      <c r="L73" s="127"/>
      <c r="M73" s="127"/>
      <c r="N73" s="127"/>
      <c r="O73" s="127"/>
      <c r="P73" s="127"/>
      <c r="Q73" s="127"/>
      <c r="R73" s="127"/>
      <c r="S73" s="127"/>
      <c r="T73" s="127"/>
      <c r="U73" s="127"/>
      <c r="V73" s="127"/>
      <c r="W73" s="127"/>
      <c r="X73" s="127"/>
      <c r="Y73" s="127"/>
      <c r="Z73" s="127"/>
    </row>
    <row r="74" customFormat="false" ht="15.75" hidden="false" customHeight="false" outlineLevel="0" collapsed="false">
      <c r="A74" s="127"/>
      <c r="B74" s="127"/>
      <c r="C74" s="127"/>
      <c r="D74" s="127"/>
      <c r="E74" s="127"/>
      <c r="F74" s="127"/>
      <c r="G74" s="127"/>
      <c r="H74" s="127"/>
      <c r="I74" s="127"/>
      <c r="J74" s="127"/>
      <c r="K74" s="127"/>
      <c r="L74" s="127"/>
      <c r="M74" s="127"/>
      <c r="N74" s="127"/>
      <c r="O74" s="127"/>
      <c r="P74" s="127"/>
      <c r="Q74" s="127"/>
      <c r="R74" s="127"/>
      <c r="S74" s="127"/>
      <c r="T74" s="127"/>
      <c r="U74" s="127"/>
      <c r="V74" s="127"/>
      <c r="W74" s="127"/>
      <c r="X74" s="127"/>
      <c r="Y74" s="127"/>
      <c r="Z74" s="127"/>
    </row>
    <row r="75" customFormat="false" ht="15.75" hidden="false" customHeight="false" outlineLevel="0" collapsed="false">
      <c r="A75" s="127"/>
      <c r="B75" s="127"/>
      <c r="C75" s="127"/>
      <c r="D75" s="127"/>
      <c r="E75" s="127"/>
      <c r="F75" s="127"/>
      <c r="G75" s="127"/>
      <c r="H75" s="127"/>
      <c r="I75" s="127"/>
      <c r="J75" s="127"/>
      <c r="K75" s="127"/>
      <c r="L75" s="127"/>
      <c r="M75" s="127"/>
      <c r="N75" s="127"/>
      <c r="O75" s="127"/>
      <c r="P75" s="127"/>
      <c r="Q75" s="127"/>
      <c r="R75" s="127"/>
      <c r="S75" s="127"/>
      <c r="T75" s="127"/>
      <c r="U75" s="127"/>
      <c r="V75" s="127"/>
      <c r="W75" s="127"/>
      <c r="X75" s="127"/>
      <c r="Y75" s="127"/>
      <c r="Z75" s="127"/>
    </row>
    <row r="76" customFormat="false" ht="15.75" hidden="false" customHeight="false" outlineLevel="0" collapsed="false">
      <c r="A76" s="127"/>
      <c r="B76" s="127"/>
      <c r="C76" s="127"/>
      <c r="D76" s="127"/>
      <c r="E76" s="127"/>
      <c r="F76" s="127"/>
      <c r="G76" s="127"/>
      <c r="H76" s="127"/>
      <c r="I76" s="127"/>
      <c r="J76" s="127"/>
      <c r="K76" s="127"/>
      <c r="L76" s="127"/>
      <c r="M76" s="127"/>
      <c r="N76" s="127"/>
      <c r="O76" s="127"/>
      <c r="P76" s="127"/>
      <c r="Q76" s="127"/>
      <c r="R76" s="127"/>
      <c r="S76" s="127"/>
      <c r="T76" s="127"/>
      <c r="U76" s="127"/>
      <c r="V76" s="127"/>
      <c r="W76" s="127"/>
      <c r="X76" s="127"/>
      <c r="Y76" s="127"/>
      <c r="Z76" s="127"/>
    </row>
    <row r="77" customFormat="false" ht="15.75" hidden="false" customHeight="false" outlineLevel="0" collapsed="false">
      <c r="A77" s="127"/>
      <c r="B77" s="127"/>
      <c r="C77" s="127"/>
      <c r="D77" s="127"/>
      <c r="E77" s="127"/>
      <c r="F77" s="127"/>
      <c r="G77" s="127"/>
      <c r="H77" s="127"/>
      <c r="I77" s="127"/>
      <c r="J77" s="127"/>
      <c r="K77" s="127"/>
      <c r="L77" s="127"/>
      <c r="M77" s="127"/>
      <c r="N77" s="127"/>
      <c r="O77" s="127"/>
      <c r="P77" s="127"/>
      <c r="Q77" s="127"/>
      <c r="R77" s="127"/>
      <c r="S77" s="127"/>
      <c r="T77" s="127"/>
      <c r="U77" s="127"/>
      <c r="V77" s="127"/>
      <c r="W77" s="127"/>
      <c r="X77" s="127"/>
      <c r="Y77" s="127"/>
      <c r="Z77" s="127"/>
    </row>
    <row r="78" customFormat="false" ht="15.75" hidden="false" customHeight="false" outlineLevel="0" collapsed="false">
      <c r="A78" s="127"/>
      <c r="B78" s="127"/>
      <c r="C78" s="127"/>
      <c r="D78" s="127"/>
      <c r="E78" s="127"/>
      <c r="F78" s="127"/>
      <c r="G78" s="127"/>
      <c r="H78" s="127"/>
      <c r="I78" s="127"/>
      <c r="J78" s="127"/>
      <c r="K78" s="127"/>
      <c r="L78" s="127"/>
      <c r="M78" s="127"/>
      <c r="N78" s="127"/>
      <c r="O78" s="127"/>
      <c r="P78" s="127"/>
      <c r="Q78" s="127"/>
      <c r="R78" s="127"/>
      <c r="S78" s="127"/>
      <c r="T78" s="127"/>
      <c r="U78" s="127"/>
      <c r="V78" s="127"/>
      <c r="W78" s="127"/>
      <c r="X78" s="127"/>
      <c r="Y78" s="127"/>
      <c r="Z78" s="127"/>
    </row>
    <row r="79" customFormat="false" ht="15.75" hidden="false" customHeight="false" outlineLevel="0" collapsed="false">
      <c r="A79" s="127"/>
      <c r="B79" s="127"/>
      <c r="C79" s="127"/>
      <c r="D79" s="127"/>
      <c r="E79" s="127"/>
      <c r="F79" s="127"/>
      <c r="G79" s="127"/>
      <c r="H79" s="127"/>
      <c r="I79" s="127"/>
      <c r="J79" s="127"/>
      <c r="K79" s="127"/>
      <c r="L79" s="127"/>
      <c r="M79" s="127"/>
      <c r="N79" s="127"/>
      <c r="O79" s="127"/>
      <c r="P79" s="127"/>
      <c r="Q79" s="127"/>
      <c r="R79" s="127"/>
      <c r="S79" s="127"/>
      <c r="T79" s="127"/>
      <c r="U79" s="127"/>
      <c r="V79" s="127"/>
      <c r="W79" s="127"/>
      <c r="X79" s="127"/>
      <c r="Y79" s="127"/>
      <c r="Z79" s="127"/>
    </row>
    <row r="80" customFormat="false" ht="15.75" hidden="false" customHeight="false" outlineLevel="0" collapsed="false">
      <c r="A80" s="127"/>
      <c r="B80" s="127"/>
      <c r="C80" s="127"/>
      <c r="D80" s="127"/>
      <c r="E80" s="127"/>
      <c r="F80" s="127"/>
      <c r="G80" s="127"/>
      <c r="H80" s="127"/>
      <c r="I80" s="127"/>
      <c r="J80" s="127"/>
      <c r="K80" s="127"/>
      <c r="L80" s="127"/>
      <c r="M80" s="127"/>
      <c r="N80" s="127"/>
      <c r="O80" s="127"/>
      <c r="P80" s="127"/>
      <c r="Q80" s="127"/>
      <c r="R80" s="127"/>
      <c r="S80" s="127"/>
      <c r="T80" s="127"/>
      <c r="U80" s="127"/>
      <c r="V80" s="127"/>
      <c r="W80" s="127"/>
      <c r="X80" s="127"/>
      <c r="Y80" s="127"/>
      <c r="Z80" s="127"/>
    </row>
    <row r="81" customFormat="false" ht="15.75" hidden="false" customHeight="false" outlineLevel="0" collapsed="false">
      <c r="A81" s="127"/>
      <c r="B81" s="127"/>
      <c r="C81" s="127"/>
      <c r="D81" s="127"/>
      <c r="E81" s="127"/>
      <c r="F81" s="127"/>
      <c r="G81" s="127"/>
      <c r="H81" s="127"/>
      <c r="I81" s="127"/>
      <c r="J81" s="127"/>
      <c r="K81" s="127"/>
      <c r="L81" s="127"/>
      <c r="M81" s="127"/>
      <c r="N81" s="127"/>
      <c r="O81" s="127"/>
      <c r="P81" s="127"/>
      <c r="Q81" s="127"/>
      <c r="R81" s="127"/>
      <c r="S81" s="127"/>
      <c r="T81" s="127"/>
      <c r="U81" s="127"/>
      <c r="V81" s="127"/>
      <c r="W81" s="127"/>
      <c r="X81" s="127"/>
      <c r="Y81" s="127"/>
      <c r="Z81" s="127"/>
    </row>
    <row r="82" customFormat="false" ht="15.75" hidden="false" customHeight="false" outlineLevel="0" collapsed="false">
      <c r="A82" s="127"/>
      <c r="B82" s="127"/>
      <c r="C82" s="127"/>
      <c r="D82" s="127"/>
      <c r="E82" s="127"/>
      <c r="F82" s="127"/>
      <c r="G82" s="127"/>
      <c r="H82" s="127"/>
      <c r="I82" s="127"/>
      <c r="J82" s="127"/>
      <c r="K82" s="127"/>
      <c r="L82" s="127"/>
      <c r="M82" s="127"/>
      <c r="N82" s="127"/>
      <c r="O82" s="127"/>
      <c r="P82" s="127"/>
      <c r="Q82" s="127"/>
      <c r="R82" s="127"/>
      <c r="S82" s="127"/>
      <c r="T82" s="127"/>
      <c r="U82" s="127"/>
      <c r="V82" s="127"/>
      <c r="W82" s="127"/>
      <c r="X82" s="127"/>
      <c r="Y82" s="127"/>
      <c r="Z82" s="127"/>
    </row>
    <row r="83" customFormat="false" ht="15.75" hidden="false" customHeight="false" outlineLevel="0" collapsed="false">
      <c r="A83" s="127"/>
      <c r="B83" s="127"/>
      <c r="C83" s="127"/>
      <c r="D83" s="127"/>
      <c r="E83" s="127"/>
      <c r="F83" s="127"/>
      <c r="G83" s="127"/>
      <c r="H83" s="127"/>
      <c r="I83" s="127"/>
      <c r="J83" s="127"/>
      <c r="K83" s="127"/>
      <c r="L83" s="127"/>
      <c r="M83" s="127"/>
      <c r="N83" s="127"/>
      <c r="O83" s="127"/>
      <c r="P83" s="127"/>
      <c r="Q83" s="127"/>
      <c r="R83" s="127"/>
      <c r="S83" s="127"/>
      <c r="T83" s="127"/>
      <c r="U83" s="127"/>
      <c r="V83" s="127"/>
      <c r="W83" s="127"/>
      <c r="X83" s="127"/>
      <c r="Y83" s="127"/>
      <c r="Z83" s="127"/>
    </row>
    <row r="84" customFormat="false" ht="15.75" hidden="false" customHeight="false" outlineLevel="0" collapsed="false">
      <c r="A84" s="127"/>
      <c r="B84" s="127"/>
      <c r="C84" s="127"/>
      <c r="D84" s="127"/>
      <c r="E84" s="127"/>
      <c r="F84" s="127"/>
      <c r="G84" s="127"/>
      <c r="H84" s="127"/>
      <c r="I84" s="127"/>
      <c r="J84" s="127"/>
      <c r="K84" s="127"/>
      <c r="L84" s="127"/>
      <c r="M84" s="127"/>
      <c r="N84" s="127"/>
      <c r="O84" s="127"/>
      <c r="P84" s="127"/>
      <c r="Q84" s="127"/>
      <c r="R84" s="127"/>
      <c r="S84" s="127"/>
      <c r="T84" s="127"/>
      <c r="U84" s="127"/>
      <c r="V84" s="127"/>
      <c r="W84" s="127"/>
      <c r="X84" s="127"/>
      <c r="Y84" s="127"/>
      <c r="Z84" s="127"/>
    </row>
    <row r="85" customFormat="false" ht="15.75" hidden="false" customHeight="false" outlineLevel="0" collapsed="false">
      <c r="A85" s="127"/>
      <c r="B85" s="127"/>
      <c r="C85" s="127"/>
      <c r="D85" s="127"/>
      <c r="E85" s="127"/>
      <c r="F85" s="127"/>
      <c r="G85" s="127"/>
      <c r="H85" s="127"/>
      <c r="I85" s="127"/>
      <c r="J85" s="127"/>
      <c r="K85" s="127"/>
      <c r="L85" s="127"/>
      <c r="M85" s="127"/>
      <c r="N85" s="127"/>
      <c r="O85" s="127"/>
      <c r="P85" s="127"/>
      <c r="Q85" s="127"/>
      <c r="R85" s="127"/>
      <c r="S85" s="127"/>
      <c r="T85" s="127"/>
      <c r="U85" s="127"/>
      <c r="V85" s="127"/>
      <c r="W85" s="127"/>
      <c r="X85" s="127"/>
      <c r="Y85" s="127"/>
      <c r="Z85" s="127"/>
    </row>
    <row r="86" customFormat="false" ht="15.75" hidden="false" customHeight="false" outlineLevel="0" collapsed="false">
      <c r="A86" s="127"/>
      <c r="B86" s="127"/>
      <c r="C86" s="127"/>
      <c r="D86" s="127"/>
      <c r="E86" s="127"/>
      <c r="F86" s="127"/>
      <c r="G86" s="127"/>
      <c r="H86" s="127"/>
      <c r="I86" s="127"/>
      <c r="J86" s="127"/>
      <c r="K86" s="127"/>
      <c r="L86" s="127"/>
      <c r="M86" s="127"/>
      <c r="N86" s="127"/>
      <c r="O86" s="127"/>
      <c r="P86" s="127"/>
      <c r="Q86" s="127"/>
      <c r="R86" s="127"/>
      <c r="S86" s="127"/>
      <c r="T86" s="127"/>
      <c r="U86" s="127"/>
      <c r="V86" s="127"/>
      <c r="W86" s="127"/>
      <c r="X86" s="127"/>
      <c r="Y86" s="127"/>
      <c r="Z86" s="127"/>
    </row>
    <row r="87" customFormat="false" ht="15.75" hidden="false" customHeight="false" outlineLevel="0" collapsed="false">
      <c r="A87" s="127"/>
      <c r="B87" s="127"/>
      <c r="C87" s="127"/>
      <c r="D87" s="127"/>
      <c r="E87" s="127"/>
      <c r="F87" s="127"/>
      <c r="G87" s="127"/>
      <c r="H87" s="127"/>
      <c r="I87" s="127"/>
      <c r="J87" s="127"/>
      <c r="K87" s="127"/>
      <c r="L87" s="127"/>
      <c r="M87" s="127"/>
      <c r="N87" s="127"/>
      <c r="O87" s="127"/>
      <c r="P87" s="127"/>
      <c r="Q87" s="127"/>
      <c r="R87" s="127"/>
      <c r="S87" s="127"/>
      <c r="T87" s="127"/>
      <c r="U87" s="127"/>
      <c r="V87" s="127"/>
      <c r="W87" s="127"/>
      <c r="X87" s="127"/>
      <c r="Y87" s="127"/>
      <c r="Z87" s="127"/>
    </row>
    <row r="88" customFormat="false" ht="15.75" hidden="false" customHeight="false" outlineLevel="0" collapsed="false">
      <c r="A88" s="127"/>
      <c r="B88" s="127"/>
      <c r="C88" s="127"/>
      <c r="D88" s="127"/>
      <c r="E88" s="127"/>
      <c r="F88" s="127"/>
      <c r="G88" s="127"/>
      <c r="H88" s="127"/>
      <c r="I88" s="127"/>
      <c r="J88" s="127"/>
      <c r="K88" s="127"/>
      <c r="L88" s="127"/>
      <c r="M88" s="127"/>
      <c r="N88" s="127"/>
      <c r="O88" s="127"/>
      <c r="P88" s="127"/>
      <c r="Q88" s="127"/>
      <c r="R88" s="127"/>
      <c r="S88" s="127"/>
      <c r="T88" s="127"/>
      <c r="U88" s="127"/>
      <c r="V88" s="127"/>
      <c r="W88" s="127"/>
      <c r="X88" s="127"/>
      <c r="Y88" s="127"/>
      <c r="Z88" s="127"/>
    </row>
    <row r="89" customFormat="false" ht="15.75" hidden="false" customHeight="false" outlineLevel="0" collapsed="false">
      <c r="A89" s="127"/>
      <c r="B89" s="127"/>
      <c r="C89" s="127"/>
      <c r="D89" s="127"/>
      <c r="E89" s="127"/>
      <c r="F89" s="127"/>
      <c r="G89" s="127"/>
      <c r="H89" s="127"/>
      <c r="I89" s="127"/>
      <c r="J89" s="127"/>
      <c r="K89" s="127"/>
      <c r="L89" s="127"/>
      <c r="M89" s="127"/>
      <c r="N89" s="127"/>
      <c r="O89" s="127"/>
      <c r="P89" s="127"/>
      <c r="Q89" s="127"/>
      <c r="R89" s="127"/>
      <c r="S89" s="127"/>
      <c r="T89" s="127"/>
      <c r="U89" s="127"/>
      <c r="V89" s="127"/>
      <c r="W89" s="127"/>
      <c r="X89" s="127"/>
      <c r="Y89" s="127"/>
      <c r="Z89" s="127"/>
    </row>
    <row r="90" customFormat="false" ht="15.75" hidden="false" customHeight="false" outlineLevel="0" collapsed="false">
      <c r="A90" s="127"/>
      <c r="B90" s="127"/>
      <c r="C90" s="127"/>
      <c r="D90" s="127"/>
      <c r="E90" s="127"/>
      <c r="F90" s="127"/>
      <c r="G90" s="127"/>
      <c r="H90" s="127"/>
      <c r="I90" s="127"/>
      <c r="J90" s="127"/>
      <c r="K90" s="127"/>
      <c r="L90" s="127"/>
      <c r="M90" s="127"/>
      <c r="N90" s="127"/>
      <c r="O90" s="127"/>
      <c r="P90" s="127"/>
      <c r="Q90" s="127"/>
      <c r="R90" s="127"/>
      <c r="S90" s="127"/>
      <c r="T90" s="127"/>
      <c r="U90" s="127"/>
      <c r="V90" s="127"/>
      <c r="W90" s="127"/>
      <c r="X90" s="127"/>
      <c r="Y90" s="127"/>
      <c r="Z90" s="127"/>
    </row>
    <row r="91" customFormat="false" ht="15.75" hidden="false" customHeight="false" outlineLevel="0" collapsed="false">
      <c r="A91" s="127"/>
      <c r="B91" s="127"/>
      <c r="C91" s="127"/>
      <c r="D91" s="127"/>
      <c r="E91" s="127"/>
      <c r="F91" s="127"/>
      <c r="G91" s="127"/>
      <c r="H91" s="127"/>
      <c r="I91" s="127"/>
      <c r="J91" s="127"/>
      <c r="K91" s="127"/>
      <c r="L91" s="127"/>
      <c r="M91" s="127"/>
      <c r="N91" s="127"/>
      <c r="O91" s="127"/>
      <c r="P91" s="127"/>
      <c r="Q91" s="127"/>
      <c r="R91" s="127"/>
      <c r="S91" s="127"/>
      <c r="T91" s="127"/>
      <c r="U91" s="127"/>
      <c r="V91" s="127"/>
      <c r="W91" s="127"/>
      <c r="X91" s="127"/>
      <c r="Y91" s="127"/>
      <c r="Z91" s="127"/>
    </row>
    <row r="92" customFormat="false" ht="15.75" hidden="false" customHeight="false" outlineLevel="0" collapsed="false">
      <c r="A92" s="127"/>
      <c r="B92" s="127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127"/>
      <c r="P92" s="127"/>
      <c r="Q92" s="127"/>
      <c r="R92" s="127"/>
      <c r="S92" s="127"/>
      <c r="T92" s="127"/>
      <c r="U92" s="127"/>
      <c r="V92" s="127"/>
      <c r="W92" s="127"/>
      <c r="X92" s="127"/>
      <c r="Y92" s="127"/>
      <c r="Z92" s="127"/>
    </row>
    <row r="93" customFormat="false" ht="15.75" hidden="false" customHeight="false" outlineLevel="0" collapsed="false">
      <c r="A93" s="127"/>
      <c r="B93" s="127"/>
      <c r="C93" s="127"/>
      <c r="D93" s="127"/>
      <c r="E93" s="127"/>
      <c r="F93" s="127"/>
      <c r="G93" s="127"/>
      <c r="H93" s="127"/>
      <c r="I93" s="127"/>
      <c r="J93" s="127"/>
      <c r="K93" s="127"/>
      <c r="L93" s="127"/>
      <c r="M93" s="127"/>
      <c r="N93" s="127"/>
      <c r="O93" s="127"/>
      <c r="P93" s="127"/>
      <c r="Q93" s="127"/>
      <c r="R93" s="127"/>
      <c r="S93" s="127"/>
      <c r="T93" s="127"/>
      <c r="U93" s="127"/>
      <c r="V93" s="127"/>
      <c r="W93" s="127"/>
      <c r="X93" s="127"/>
      <c r="Y93" s="127"/>
      <c r="Z93" s="127"/>
    </row>
    <row r="94" customFormat="false" ht="15.75" hidden="false" customHeight="false" outlineLevel="0" collapsed="false">
      <c r="A94" s="127"/>
      <c r="B94" s="127"/>
      <c r="C94" s="127"/>
      <c r="D94" s="127"/>
      <c r="E94" s="127"/>
      <c r="F94" s="127"/>
      <c r="G94" s="127"/>
      <c r="H94" s="127"/>
      <c r="I94" s="127"/>
      <c r="J94" s="127"/>
      <c r="K94" s="127"/>
      <c r="L94" s="127"/>
      <c r="M94" s="127"/>
      <c r="N94" s="127"/>
      <c r="O94" s="127"/>
      <c r="P94" s="127"/>
      <c r="Q94" s="127"/>
      <c r="R94" s="127"/>
      <c r="S94" s="127"/>
      <c r="T94" s="127"/>
      <c r="U94" s="127"/>
      <c r="V94" s="127"/>
      <c r="W94" s="127"/>
      <c r="X94" s="127"/>
      <c r="Y94" s="127"/>
      <c r="Z94" s="127"/>
    </row>
    <row r="95" customFormat="false" ht="15.75" hidden="false" customHeight="false" outlineLevel="0" collapsed="false">
      <c r="A95" s="127"/>
      <c r="B95" s="127"/>
      <c r="C95" s="127"/>
      <c r="D95" s="127"/>
      <c r="E95" s="127"/>
      <c r="F95" s="127"/>
      <c r="G95" s="127"/>
      <c r="H95" s="127"/>
      <c r="I95" s="127"/>
      <c r="J95" s="127"/>
      <c r="K95" s="127"/>
      <c r="L95" s="127"/>
      <c r="M95" s="127"/>
      <c r="N95" s="127"/>
      <c r="O95" s="127"/>
      <c r="P95" s="127"/>
      <c r="Q95" s="127"/>
      <c r="R95" s="127"/>
      <c r="S95" s="127"/>
      <c r="T95" s="127"/>
      <c r="U95" s="127"/>
      <c r="V95" s="127"/>
      <c r="W95" s="127"/>
      <c r="X95" s="127"/>
      <c r="Y95" s="127"/>
      <c r="Z95" s="127"/>
    </row>
    <row r="96" customFormat="false" ht="15.75" hidden="false" customHeight="false" outlineLevel="0" collapsed="false">
      <c r="A96" s="127"/>
      <c r="B96" s="127"/>
      <c r="C96" s="127"/>
      <c r="D96" s="127"/>
      <c r="E96" s="127"/>
      <c r="F96" s="127"/>
      <c r="G96" s="127"/>
      <c r="H96" s="127"/>
      <c r="I96" s="127"/>
      <c r="J96" s="127"/>
      <c r="K96" s="127"/>
      <c r="L96" s="127"/>
      <c r="M96" s="127"/>
      <c r="N96" s="127"/>
      <c r="O96" s="127"/>
      <c r="P96" s="127"/>
      <c r="Q96" s="127"/>
      <c r="R96" s="127"/>
      <c r="S96" s="127"/>
      <c r="T96" s="127"/>
      <c r="U96" s="127"/>
      <c r="V96" s="127"/>
      <c r="W96" s="127"/>
      <c r="X96" s="127"/>
      <c r="Y96" s="127"/>
      <c r="Z96" s="127"/>
    </row>
    <row r="97" customFormat="false" ht="15.75" hidden="false" customHeight="false" outlineLevel="0" collapsed="false">
      <c r="A97" s="127"/>
      <c r="B97" s="127"/>
      <c r="C97" s="127"/>
      <c r="D97" s="127"/>
      <c r="E97" s="127"/>
      <c r="F97" s="127"/>
      <c r="G97" s="127"/>
      <c r="H97" s="127"/>
      <c r="I97" s="127"/>
      <c r="J97" s="127"/>
      <c r="K97" s="127"/>
      <c r="L97" s="127"/>
      <c r="M97" s="127"/>
      <c r="N97" s="127"/>
      <c r="O97" s="127"/>
      <c r="P97" s="127"/>
      <c r="Q97" s="127"/>
      <c r="R97" s="127"/>
      <c r="S97" s="127"/>
      <c r="T97" s="127"/>
      <c r="U97" s="127"/>
      <c r="V97" s="127"/>
      <c r="W97" s="127"/>
      <c r="X97" s="127"/>
      <c r="Y97" s="127"/>
      <c r="Z97" s="127"/>
    </row>
    <row r="98" customFormat="false" ht="15.75" hidden="false" customHeight="false" outlineLevel="0" collapsed="false">
      <c r="A98" s="127"/>
      <c r="B98" s="127"/>
      <c r="C98" s="127"/>
      <c r="D98" s="127"/>
      <c r="E98" s="127"/>
      <c r="F98" s="127"/>
      <c r="G98" s="127"/>
      <c r="H98" s="127"/>
      <c r="I98" s="127"/>
      <c r="J98" s="127"/>
      <c r="K98" s="127"/>
      <c r="L98" s="127"/>
      <c r="M98" s="127"/>
      <c r="N98" s="127"/>
      <c r="O98" s="127"/>
      <c r="P98" s="127"/>
      <c r="Q98" s="127"/>
      <c r="R98" s="127"/>
      <c r="S98" s="127"/>
      <c r="T98" s="127"/>
      <c r="U98" s="127"/>
      <c r="V98" s="127"/>
      <c r="W98" s="127"/>
      <c r="X98" s="127"/>
      <c r="Y98" s="127"/>
      <c r="Z98" s="127"/>
    </row>
    <row r="99" customFormat="false" ht="15.75" hidden="false" customHeight="false" outlineLevel="0" collapsed="false">
      <c r="A99" s="127"/>
      <c r="B99" s="127"/>
      <c r="C99" s="127"/>
      <c r="D99" s="127"/>
      <c r="E99" s="127"/>
      <c r="F99" s="127"/>
      <c r="G99" s="127"/>
      <c r="H99" s="127"/>
      <c r="I99" s="127"/>
      <c r="J99" s="127"/>
      <c r="K99" s="127"/>
      <c r="L99" s="127"/>
      <c r="M99" s="127"/>
      <c r="N99" s="127"/>
      <c r="O99" s="127"/>
      <c r="P99" s="127"/>
      <c r="Q99" s="127"/>
      <c r="R99" s="127"/>
      <c r="S99" s="127"/>
      <c r="T99" s="127"/>
      <c r="U99" s="127"/>
      <c r="V99" s="127"/>
      <c r="W99" s="127"/>
      <c r="X99" s="127"/>
      <c r="Y99" s="127"/>
      <c r="Z99" s="127"/>
    </row>
    <row r="100" customFormat="false" ht="15.75" hidden="false" customHeight="false" outlineLevel="0" collapsed="false">
      <c r="A100" s="127"/>
      <c r="B100" s="127"/>
      <c r="C100" s="127"/>
      <c r="D100" s="127"/>
      <c r="E100" s="127"/>
      <c r="F100" s="127"/>
      <c r="G100" s="127"/>
      <c r="H100" s="127"/>
      <c r="I100" s="127"/>
      <c r="J100" s="127"/>
      <c r="K100" s="127"/>
      <c r="L100" s="127"/>
      <c r="M100" s="127"/>
      <c r="N100" s="127"/>
      <c r="O100" s="127"/>
      <c r="P100" s="127"/>
      <c r="Q100" s="127"/>
      <c r="R100" s="127"/>
      <c r="S100" s="127"/>
      <c r="T100" s="127"/>
      <c r="U100" s="127"/>
      <c r="V100" s="127"/>
      <c r="W100" s="127"/>
      <c r="X100" s="127"/>
      <c r="Y100" s="127"/>
      <c r="Z100" s="127"/>
    </row>
    <row r="101" customFormat="false" ht="15.75" hidden="false" customHeight="false" outlineLevel="0" collapsed="false">
      <c r="A101" s="127"/>
      <c r="B101" s="127"/>
      <c r="C101" s="127"/>
      <c r="D101" s="127"/>
      <c r="E101" s="127"/>
      <c r="F101" s="127"/>
      <c r="G101" s="127"/>
      <c r="H101" s="127"/>
      <c r="I101" s="127"/>
      <c r="J101" s="127"/>
      <c r="K101" s="127"/>
      <c r="L101" s="127"/>
      <c r="M101" s="127"/>
      <c r="N101" s="127"/>
      <c r="O101" s="127"/>
      <c r="P101" s="127"/>
      <c r="Q101" s="127"/>
      <c r="R101" s="127"/>
      <c r="S101" s="127"/>
      <c r="T101" s="127"/>
      <c r="U101" s="127"/>
      <c r="V101" s="127"/>
      <c r="W101" s="127"/>
      <c r="X101" s="127"/>
      <c r="Y101" s="127"/>
      <c r="Z101" s="127"/>
    </row>
    <row r="102" customFormat="false" ht="15.75" hidden="false" customHeight="false" outlineLevel="0" collapsed="false">
      <c r="A102" s="127"/>
      <c r="B102" s="127"/>
      <c r="C102" s="127"/>
      <c r="D102" s="127"/>
      <c r="E102" s="127"/>
      <c r="F102" s="127"/>
      <c r="G102" s="127"/>
      <c r="H102" s="127"/>
      <c r="I102" s="127"/>
      <c r="J102" s="127"/>
      <c r="K102" s="127"/>
      <c r="L102" s="127"/>
      <c r="M102" s="127"/>
      <c r="N102" s="127"/>
      <c r="O102" s="127"/>
      <c r="P102" s="127"/>
      <c r="Q102" s="127"/>
      <c r="R102" s="127"/>
      <c r="S102" s="127"/>
      <c r="T102" s="127"/>
      <c r="U102" s="127"/>
      <c r="V102" s="127"/>
      <c r="W102" s="127"/>
      <c r="X102" s="127"/>
      <c r="Y102" s="127"/>
      <c r="Z102" s="127"/>
    </row>
    <row r="103" customFormat="false" ht="15.75" hidden="false" customHeight="false" outlineLevel="0" collapsed="false">
      <c r="A103" s="127"/>
      <c r="B103" s="127"/>
      <c r="C103" s="127"/>
      <c r="D103" s="127"/>
      <c r="E103" s="127"/>
      <c r="F103" s="127"/>
      <c r="G103" s="127"/>
      <c r="H103" s="127"/>
      <c r="I103" s="127"/>
      <c r="J103" s="127"/>
      <c r="K103" s="127"/>
      <c r="L103" s="127"/>
      <c r="M103" s="127"/>
      <c r="N103" s="127"/>
      <c r="O103" s="127"/>
      <c r="P103" s="127"/>
      <c r="Q103" s="127"/>
      <c r="R103" s="127"/>
      <c r="S103" s="127"/>
      <c r="T103" s="127"/>
      <c r="U103" s="127"/>
      <c r="V103" s="127"/>
      <c r="W103" s="127"/>
      <c r="X103" s="127"/>
      <c r="Y103" s="127"/>
      <c r="Z103" s="127"/>
    </row>
    <row r="104" customFormat="false" ht="15.75" hidden="false" customHeight="false" outlineLevel="0" collapsed="false">
      <c r="A104" s="127"/>
      <c r="B104" s="127"/>
      <c r="C104" s="127"/>
      <c r="D104" s="127"/>
      <c r="E104" s="127"/>
      <c r="F104" s="127"/>
      <c r="G104" s="127"/>
      <c r="H104" s="127"/>
      <c r="I104" s="127"/>
      <c r="J104" s="127"/>
      <c r="K104" s="127"/>
      <c r="L104" s="127"/>
      <c r="M104" s="127"/>
      <c r="N104" s="127"/>
      <c r="O104" s="127"/>
      <c r="P104" s="127"/>
      <c r="Q104" s="127"/>
      <c r="R104" s="127"/>
      <c r="S104" s="127"/>
      <c r="T104" s="127"/>
      <c r="U104" s="127"/>
      <c r="V104" s="127"/>
      <c r="W104" s="127"/>
      <c r="X104" s="127"/>
      <c r="Y104" s="127"/>
      <c r="Z104" s="127"/>
    </row>
    <row r="105" customFormat="false" ht="15.75" hidden="false" customHeight="false" outlineLevel="0" collapsed="false">
      <c r="A105" s="127"/>
      <c r="B105" s="127"/>
      <c r="C105" s="127"/>
      <c r="D105" s="127"/>
      <c r="E105" s="127"/>
      <c r="F105" s="127"/>
      <c r="G105" s="127"/>
      <c r="H105" s="127"/>
      <c r="I105" s="127"/>
      <c r="J105" s="127"/>
      <c r="K105" s="127"/>
      <c r="L105" s="127"/>
      <c r="M105" s="127"/>
      <c r="N105" s="127"/>
      <c r="O105" s="127"/>
      <c r="P105" s="127"/>
      <c r="Q105" s="127"/>
      <c r="R105" s="127"/>
      <c r="S105" s="127"/>
      <c r="T105" s="127"/>
      <c r="U105" s="127"/>
      <c r="V105" s="127"/>
      <c r="W105" s="127"/>
      <c r="X105" s="127"/>
      <c r="Y105" s="127"/>
      <c r="Z105" s="127"/>
    </row>
    <row r="106" customFormat="false" ht="15.75" hidden="false" customHeight="false" outlineLevel="0" collapsed="false">
      <c r="A106" s="127"/>
      <c r="B106" s="127"/>
      <c r="C106" s="127"/>
      <c r="D106" s="127"/>
      <c r="E106" s="127"/>
      <c r="F106" s="127"/>
      <c r="G106" s="127"/>
      <c r="H106" s="127"/>
      <c r="I106" s="127"/>
      <c r="J106" s="127"/>
      <c r="K106" s="127"/>
      <c r="L106" s="127"/>
      <c r="M106" s="127"/>
      <c r="N106" s="127"/>
      <c r="O106" s="127"/>
      <c r="P106" s="127"/>
      <c r="Q106" s="127"/>
      <c r="R106" s="127"/>
      <c r="S106" s="127"/>
      <c r="T106" s="127"/>
      <c r="U106" s="127"/>
      <c r="V106" s="127"/>
      <c r="W106" s="127"/>
      <c r="X106" s="127"/>
      <c r="Y106" s="127"/>
      <c r="Z106" s="127"/>
    </row>
    <row r="107" customFormat="false" ht="15.75" hidden="false" customHeight="false" outlineLevel="0" collapsed="false">
      <c r="A107" s="127"/>
      <c r="B107" s="127"/>
      <c r="C107" s="127"/>
      <c r="D107" s="127"/>
      <c r="E107" s="127"/>
      <c r="F107" s="127"/>
      <c r="G107" s="127"/>
      <c r="H107" s="127"/>
      <c r="I107" s="127"/>
      <c r="J107" s="127"/>
      <c r="K107" s="127"/>
      <c r="L107" s="127"/>
      <c r="M107" s="127"/>
      <c r="N107" s="127"/>
      <c r="O107" s="127"/>
      <c r="P107" s="127"/>
      <c r="Q107" s="127"/>
      <c r="R107" s="127"/>
      <c r="S107" s="127"/>
      <c r="T107" s="127"/>
      <c r="U107" s="127"/>
      <c r="V107" s="127"/>
      <c r="W107" s="127"/>
      <c r="X107" s="127"/>
      <c r="Y107" s="127"/>
      <c r="Z107" s="127"/>
    </row>
    <row r="108" customFormat="false" ht="15.75" hidden="false" customHeight="false" outlineLevel="0" collapsed="false">
      <c r="A108" s="127"/>
      <c r="B108" s="127"/>
      <c r="C108" s="127"/>
      <c r="D108" s="127"/>
      <c r="E108" s="127"/>
      <c r="F108" s="127"/>
      <c r="G108" s="127"/>
      <c r="H108" s="127"/>
      <c r="I108" s="127"/>
      <c r="J108" s="127"/>
      <c r="K108" s="127"/>
      <c r="L108" s="127"/>
      <c r="M108" s="127"/>
      <c r="N108" s="127"/>
      <c r="O108" s="127"/>
      <c r="P108" s="127"/>
      <c r="Q108" s="127"/>
      <c r="R108" s="127"/>
      <c r="S108" s="127"/>
      <c r="T108" s="127"/>
      <c r="U108" s="127"/>
      <c r="V108" s="127"/>
      <c r="W108" s="127"/>
      <c r="X108" s="127"/>
      <c r="Y108" s="127"/>
      <c r="Z108" s="127"/>
    </row>
    <row r="109" customFormat="false" ht="15.75" hidden="false" customHeight="false" outlineLevel="0" collapsed="false">
      <c r="A109" s="127"/>
      <c r="B109" s="127"/>
      <c r="C109" s="127"/>
      <c r="D109" s="127"/>
      <c r="E109" s="127"/>
      <c r="F109" s="127"/>
      <c r="G109" s="127"/>
      <c r="H109" s="127"/>
      <c r="I109" s="127"/>
      <c r="J109" s="127"/>
      <c r="K109" s="127"/>
      <c r="L109" s="127"/>
      <c r="M109" s="127"/>
      <c r="N109" s="127"/>
      <c r="O109" s="127"/>
      <c r="P109" s="127"/>
      <c r="Q109" s="127"/>
      <c r="R109" s="127"/>
      <c r="S109" s="127"/>
      <c r="T109" s="127"/>
      <c r="U109" s="127"/>
      <c r="V109" s="127"/>
      <c r="W109" s="127"/>
      <c r="X109" s="127"/>
      <c r="Y109" s="127"/>
      <c r="Z109" s="127"/>
    </row>
    <row r="110" customFormat="false" ht="15.75" hidden="false" customHeight="false" outlineLevel="0" collapsed="false">
      <c r="A110" s="127"/>
      <c r="B110" s="127"/>
      <c r="C110" s="127"/>
      <c r="D110" s="127"/>
      <c r="E110" s="127"/>
      <c r="F110" s="127"/>
      <c r="G110" s="127"/>
      <c r="H110" s="127"/>
      <c r="I110" s="127"/>
      <c r="J110" s="127"/>
      <c r="K110" s="127"/>
      <c r="L110" s="127"/>
      <c r="M110" s="127"/>
      <c r="N110" s="127"/>
      <c r="O110" s="127"/>
      <c r="P110" s="127"/>
      <c r="Q110" s="127"/>
      <c r="R110" s="127"/>
      <c r="S110" s="127"/>
      <c r="T110" s="127"/>
      <c r="U110" s="127"/>
      <c r="V110" s="127"/>
      <c r="W110" s="127"/>
      <c r="X110" s="127"/>
      <c r="Y110" s="127"/>
      <c r="Z110" s="127"/>
    </row>
    <row r="111" customFormat="false" ht="15.75" hidden="false" customHeight="false" outlineLevel="0" collapsed="false">
      <c r="A111" s="127"/>
      <c r="B111" s="127"/>
      <c r="C111" s="127"/>
      <c r="D111" s="127"/>
      <c r="E111" s="127"/>
      <c r="F111" s="127"/>
      <c r="G111" s="127"/>
      <c r="H111" s="127"/>
      <c r="I111" s="127"/>
      <c r="J111" s="127"/>
      <c r="K111" s="127"/>
      <c r="L111" s="127"/>
      <c r="M111" s="127"/>
      <c r="N111" s="127"/>
      <c r="O111" s="127"/>
      <c r="P111" s="127"/>
      <c r="Q111" s="127"/>
      <c r="R111" s="127"/>
      <c r="S111" s="127"/>
      <c r="T111" s="127"/>
      <c r="U111" s="127"/>
      <c r="V111" s="127"/>
      <c r="W111" s="127"/>
      <c r="X111" s="127"/>
      <c r="Y111" s="127"/>
      <c r="Z111" s="127"/>
    </row>
    <row r="112" customFormat="false" ht="15.75" hidden="false" customHeight="false" outlineLevel="0" collapsed="false">
      <c r="A112" s="127"/>
      <c r="B112" s="127"/>
      <c r="C112" s="127"/>
      <c r="D112" s="127"/>
      <c r="E112" s="127"/>
      <c r="F112" s="127"/>
      <c r="G112" s="127"/>
      <c r="H112" s="127"/>
      <c r="I112" s="127"/>
      <c r="J112" s="127"/>
      <c r="K112" s="127"/>
      <c r="L112" s="127"/>
      <c r="M112" s="127"/>
      <c r="N112" s="127"/>
      <c r="O112" s="127"/>
      <c r="P112" s="127"/>
      <c r="Q112" s="127"/>
      <c r="R112" s="127"/>
      <c r="S112" s="127"/>
      <c r="T112" s="127"/>
      <c r="U112" s="127"/>
      <c r="V112" s="127"/>
      <c r="W112" s="127"/>
      <c r="X112" s="127"/>
      <c r="Y112" s="127"/>
      <c r="Z112" s="127"/>
    </row>
    <row r="113" customFormat="false" ht="15.75" hidden="false" customHeight="false" outlineLevel="0" collapsed="false">
      <c r="A113" s="127"/>
      <c r="B113" s="127"/>
      <c r="C113" s="127"/>
      <c r="D113" s="127"/>
      <c r="E113" s="127"/>
      <c r="F113" s="127"/>
      <c r="G113" s="127"/>
      <c r="H113" s="127"/>
      <c r="I113" s="127"/>
      <c r="J113" s="127"/>
      <c r="K113" s="127"/>
      <c r="L113" s="127"/>
      <c r="M113" s="127"/>
      <c r="N113" s="127"/>
      <c r="O113" s="127"/>
      <c r="P113" s="127"/>
      <c r="Q113" s="127"/>
      <c r="R113" s="127"/>
      <c r="S113" s="127"/>
      <c r="T113" s="127"/>
      <c r="U113" s="127"/>
      <c r="V113" s="127"/>
      <c r="W113" s="127"/>
      <c r="X113" s="127"/>
      <c r="Y113" s="127"/>
      <c r="Z113" s="127"/>
    </row>
    <row r="114" customFormat="false" ht="15.75" hidden="false" customHeight="false" outlineLevel="0" collapsed="false">
      <c r="A114" s="127"/>
      <c r="B114" s="127"/>
      <c r="C114" s="127"/>
      <c r="D114" s="127"/>
      <c r="E114" s="127"/>
      <c r="F114" s="127"/>
      <c r="G114" s="127"/>
      <c r="H114" s="127"/>
      <c r="I114" s="127"/>
      <c r="J114" s="127"/>
      <c r="K114" s="127"/>
      <c r="L114" s="127"/>
      <c r="M114" s="127"/>
      <c r="N114" s="127"/>
      <c r="O114" s="127"/>
      <c r="P114" s="127"/>
      <c r="Q114" s="127"/>
      <c r="R114" s="127"/>
      <c r="S114" s="127"/>
      <c r="T114" s="127"/>
      <c r="U114" s="127"/>
      <c r="V114" s="127"/>
      <c r="W114" s="127"/>
      <c r="X114" s="127"/>
      <c r="Y114" s="127"/>
      <c r="Z114" s="127"/>
    </row>
    <row r="115" customFormat="false" ht="15.75" hidden="false" customHeight="false" outlineLevel="0" collapsed="false">
      <c r="A115" s="127"/>
      <c r="B115" s="127"/>
      <c r="C115" s="127"/>
      <c r="D115" s="127"/>
      <c r="E115" s="127"/>
      <c r="F115" s="127"/>
      <c r="G115" s="127"/>
      <c r="H115" s="127"/>
      <c r="I115" s="127"/>
      <c r="J115" s="127"/>
      <c r="K115" s="127"/>
      <c r="L115" s="127"/>
      <c r="M115" s="127"/>
      <c r="N115" s="127"/>
      <c r="O115" s="127"/>
      <c r="P115" s="127"/>
      <c r="Q115" s="127"/>
      <c r="R115" s="127"/>
      <c r="S115" s="127"/>
      <c r="T115" s="127"/>
      <c r="U115" s="127"/>
      <c r="V115" s="127"/>
      <c r="W115" s="127"/>
      <c r="X115" s="127"/>
      <c r="Y115" s="127"/>
      <c r="Z115" s="127"/>
    </row>
    <row r="116" customFormat="false" ht="15.75" hidden="false" customHeight="false" outlineLevel="0" collapsed="false">
      <c r="A116" s="127"/>
      <c r="B116" s="127"/>
      <c r="C116" s="127"/>
      <c r="D116" s="127"/>
      <c r="E116" s="127"/>
      <c r="F116" s="127"/>
      <c r="G116" s="127"/>
      <c r="H116" s="127"/>
      <c r="I116" s="127"/>
      <c r="J116" s="127"/>
      <c r="K116" s="127"/>
      <c r="L116" s="127"/>
      <c r="M116" s="127"/>
      <c r="N116" s="127"/>
      <c r="O116" s="127"/>
      <c r="P116" s="127"/>
      <c r="Q116" s="127"/>
      <c r="R116" s="127"/>
      <c r="S116" s="127"/>
      <c r="T116" s="127"/>
      <c r="U116" s="127"/>
      <c r="V116" s="127"/>
      <c r="W116" s="127"/>
      <c r="X116" s="127"/>
      <c r="Y116" s="127"/>
      <c r="Z116" s="127"/>
    </row>
    <row r="117" customFormat="false" ht="15.75" hidden="false" customHeight="false" outlineLevel="0" collapsed="false">
      <c r="A117" s="127"/>
      <c r="B117" s="127"/>
      <c r="C117" s="127"/>
      <c r="D117" s="127"/>
      <c r="E117" s="127"/>
      <c r="F117" s="127"/>
      <c r="G117" s="127"/>
      <c r="H117" s="127"/>
      <c r="I117" s="127"/>
      <c r="J117" s="127"/>
      <c r="K117" s="127"/>
      <c r="L117" s="127"/>
      <c r="M117" s="127"/>
      <c r="N117" s="127"/>
      <c r="O117" s="127"/>
      <c r="P117" s="127"/>
      <c r="Q117" s="127"/>
      <c r="R117" s="127"/>
      <c r="S117" s="127"/>
      <c r="T117" s="127"/>
      <c r="U117" s="127"/>
      <c r="V117" s="127"/>
      <c r="W117" s="127"/>
      <c r="X117" s="127"/>
      <c r="Y117" s="127"/>
      <c r="Z117" s="127"/>
    </row>
    <row r="118" customFormat="false" ht="15.75" hidden="false" customHeight="false" outlineLevel="0" collapsed="false">
      <c r="A118" s="127"/>
      <c r="B118" s="127"/>
      <c r="C118" s="127"/>
      <c r="D118" s="127"/>
      <c r="E118" s="127"/>
      <c r="F118" s="127"/>
      <c r="G118" s="127"/>
      <c r="H118" s="127"/>
      <c r="I118" s="127"/>
      <c r="J118" s="127"/>
      <c r="K118" s="127"/>
      <c r="L118" s="127"/>
      <c r="M118" s="127"/>
      <c r="N118" s="127"/>
      <c r="O118" s="127"/>
      <c r="P118" s="127"/>
      <c r="Q118" s="127"/>
      <c r="R118" s="127"/>
      <c r="S118" s="127"/>
      <c r="T118" s="127"/>
      <c r="U118" s="127"/>
      <c r="V118" s="127"/>
      <c r="W118" s="127"/>
      <c r="X118" s="127"/>
      <c r="Y118" s="127"/>
      <c r="Z118" s="127"/>
    </row>
    <row r="119" customFormat="false" ht="15.75" hidden="false" customHeight="false" outlineLevel="0" collapsed="false">
      <c r="A119" s="127"/>
      <c r="B119" s="127"/>
      <c r="C119" s="127"/>
      <c r="D119" s="127"/>
      <c r="E119" s="127"/>
      <c r="F119" s="127"/>
      <c r="G119" s="127"/>
      <c r="H119" s="127"/>
      <c r="I119" s="127"/>
      <c r="J119" s="127"/>
      <c r="K119" s="127"/>
      <c r="L119" s="127"/>
      <c r="M119" s="127"/>
      <c r="N119" s="127"/>
      <c r="O119" s="127"/>
      <c r="P119" s="127"/>
      <c r="Q119" s="127"/>
      <c r="R119" s="127"/>
      <c r="S119" s="127"/>
      <c r="T119" s="127"/>
      <c r="U119" s="127"/>
      <c r="V119" s="127"/>
      <c r="W119" s="127"/>
      <c r="X119" s="127"/>
      <c r="Y119" s="127"/>
      <c r="Z119" s="127"/>
    </row>
    <row r="120" customFormat="false" ht="15.75" hidden="false" customHeight="false" outlineLevel="0" collapsed="false">
      <c r="A120" s="127"/>
      <c r="B120" s="127"/>
      <c r="C120" s="127"/>
      <c r="D120" s="127"/>
      <c r="E120" s="127"/>
      <c r="F120" s="127"/>
      <c r="G120" s="127"/>
      <c r="H120" s="127"/>
      <c r="I120" s="127"/>
      <c r="J120" s="127"/>
      <c r="K120" s="127"/>
      <c r="L120" s="127"/>
      <c r="M120" s="127"/>
      <c r="N120" s="127"/>
      <c r="O120" s="127"/>
      <c r="P120" s="127"/>
      <c r="Q120" s="127"/>
      <c r="R120" s="127"/>
      <c r="S120" s="127"/>
      <c r="T120" s="127"/>
      <c r="U120" s="127"/>
      <c r="V120" s="127"/>
      <c r="W120" s="127"/>
      <c r="X120" s="127"/>
      <c r="Y120" s="127"/>
      <c r="Z120" s="127"/>
    </row>
    <row r="121" customFormat="false" ht="15.75" hidden="false" customHeight="false" outlineLevel="0" collapsed="false">
      <c r="A121" s="127"/>
      <c r="B121" s="127"/>
      <c r="C121" s="127"/>
      <c r="D121" s="127"/>
      <c r="E121" s="127"/>
      <c r="F121" s="127"/>
      <c r="G121" s="127"/>
      <c r="H121" s="127"/>
      <c r="I121" s="127"/>
      <c r="J121" s="127"/>
      <c r="K121" s="127"/>
      <c r="L121" s="127"/>
      <c r="M121" s="127"/>
      <c r="N121" s="127"/>
      <c r="O121" s="127"/>
      <c r="P121" s="127"/>
      <c r="Q121" s="127"/>
      <c r="R121" s="127"/>
      <c r="S121" s="127"/>
      <c r="T121" s="127"/>
      <c r="U121" s="127"/>
      <c r="V121" s="127"/>
      <c r="W121" s="127"/>
      <c r="X121" s="127"/>
      <c r="Y121" s="127"/>
      <c r="Z121" s="127"/>
    </row>
    <row r="122" customFormat="false" ht="15.75" hidden="false" customHeight="false" outlineLevel="0" collapsed="false">
      <c r="A122" s="127"/>
      <c r="B122" s="127"/>
      <c r="C122" s="127"/>
      <c r="D122" s="127"/>
      <c r="E122" s="127"/>
      <c r="F122" s="127"/>
      <c r="G122" s="127"/>
      <c r="H122" s="127"/>
      <c r="I122" s="127"/>
      <c r="J122" s="127"/>
      <c r="K122" s="127"/>
      <c r="L122" s="127"/>
      <c r="M122" s="127"/>
      <c r="N122" s="127"/>
      <c r="O122" s="127"/>
      <c r="P122" s="127"/>
      <c r="Q122" s="127"/>
      <c r="R122" s="127"/>
      <c r="S122" s="127"/>
      <c r="T122" s="127"/>
      <c r="U122" s="127"/>
      <c r="V122" s="127"/>
      <c r="W122" s="127"/>
      <c r="X122" s="127"/>
      <c r="Y122" s="127"/>
      <c r="Z122" s="127"/>
    </row>
    <row r="123" customFormat="false" ht="15.75" hidden="false" customHeight="false" outlineLevel="0" collapsed="false">
      <c r="A123" s="127"/>
      <c r="B123" s="127"/>
      <c r="C123" s="127"/>
      <c r="D123" s="127"/>
      <c r="E123" s="127"/>
      <c r="F123" s="127"/>
      <c r="G123" s="127"/>
      <c r="H123" s="127"/>
      <c r="I123" s="127"/>
      <c r="J123" s="127"/>
      <c r="K123" s="127"/>
      <c r="L123" s="127"/>
      <c r="M123" s="127"/>
      <c r="N123" s="127"/>
      <c r="O123" s="127"/>
      <c r="P123" s="127"/>
      <c r="Q123" s="127"/>
      <c r="R123" s="127"/>
      <c r="S123" s="127"/>
      <c r="T123" s="127"/>
      <c r="U123" s="127"/>
      <c r="V123" s="127"/>
      <c r="W123" s="127"/>
      <c r="X123" s="127"/>
      <c r="Y123" s="127"/>
      <c r="Z123" s="127"/>
    </row>
    <row r="124" customFormat="false" ht="15.75" hidden="false" customHeight="false" outlineLevel="0" collapsed="false">
      <c r="A124" s="127"/>
      <c r="B124" s="127"/>
      <c r="C124" s="127"/>
      <c r="D124" s="127"/>
      <c r="E124" s="127"/>
      <c r="F124" s="127"/>
      <c r="G124" s="127"/>
      <c r="H124" s="127"/>
      <c r="I124" s="127"/>
      <c r="J124" s="127"/>
      <c r="K124" s="127"/>
      <c r="L124" s="127"/>
      <c r="M124" s="127"/>
      <c r="N124" s="127"/>
      <c r="O124" s="127"/>
      <c r="P124" s="127"/>
      <c r="Q124" s="127"/>
      <c r="R124" s="127"/>
      <c r="S124" s="127"/>
      <c r="T124" s="127"/>
      <c r="U124" s="127"/>
      <c r="V124" s="127"/>
      <c r="W124" s="127"/>
      <c r="X124" s="127"/>
      <c r="Y124" s="127"/>
      <c r="Z124" s="127"/>
    </row>
    <row r="125" customFormat="false" ht="15.75" hidden="false" customHeight="false" outlineLevel="0" collapsed="false">
      <c r="A125" s="127"/>
      <c r="B125" s="127"/>
      <c r="C125" s="127"/>
      <c r="D125" s="127"/>
      <c r="E125" s="127"/>
      <c r="F125" s="127"/>
      <c r="G125" s="127"/>
      <c r="H125" s="127"/>
      <c r="I125" s="127"/>
      <c r="J125" s="127"/>
      <c r="K125" s="127"/>
      <c r="L125" s="127"/>
      <c r="M125" s="127"/>
      <c r="N125" s="127"/>
      <c r="O125" s="127"/>
      <c r="P125" s="127"/>
      <c r="Q125" s="127"/>
      <c r="R125" s="127"/>
      <c r="S125" s="127"/>
      <c r="T125" s="127"/>
      <c r="U125" s="127"/>
      <c r="V125" s="127"/>
      <c r="W125" s="127"/>
      <c r="X125" s="127"/>
      <c r="Y125" s="127"/>
      <c r="Z125" s="127"/>
    </row>
    <row r="126" customFormat="false" ht="15.75" hidden="false" customHeight="false" outlineLevel="0" collapsed="false">
      <c r="A126" s="127"/>
      <c r="B126" s="127"/>
      <c r="C126" s="127"/>
      <c r="D126" s="127"/>
      <c r="E126" s="127"/>
      <c r="F126" s="127"/>
      <c r="G126" s="127"/>
      <c r="H126" s="127"/>
      <c r="I126" s="127"/>
      <c r="J126" s="127"/>
      <c r="K126" s="127"/>
      <c r="L126" s="127"/>
      <c r="M126" s="127"/>
      <c r="N126" s="127"/>
      <c r="O126" s="127"/>
      <c r="P126" s="127"/>
      <c r="Q126" s="127"/>
      <c r="R126" s="127"/>
      <c r="S126" s="127"/>
      <c r="T126" s="127"/>
      <c r="U126" s="127"/>
      <c r="V126" s="127"/>
      <c r="W126" s="127"/>
      <c r="X126" s="127"/>
      <c r="Y126" s="127"/>
      <c r="Z126" s="127"/>
    </row>
    <row r="127" customFormat="false" ht="15.75" hidden="false" customHeight="false" outlineLevel="0" collapsed="false">
      <c r="A127" s="127"/>
      <c r="B127" s="127"/>
      <c r="C127" s="127"/>
      <c r="D127" s="127"/>
      <c r="E127" s="127"/>
      <c r="F127" s="127"/>
      <c r="G127" s="127"/>
      <c r="H127" s="127"/>
      <c r="I127" s="127"/>
      <c r="J127" s="127"/>
      <c r="K127" s="127"/>
      <c r="L127" s="127"/>
      <c r="M127" s="127"/>
      <c r="N127" s="127"/>
      <c r="O127" s="127"/>
      <c r="P127" s="127"/>
      <c r="Q127" s="127"/>
      <c r="R127" s="127"/>
      <c r="S127" s="127"/>
      <c r="T127" s="127"/>
      <c r="U127" s="127"/>
      <c r="V127" s="127"/>
      <c r="W127" s="127"/>
      <c r="X127" s="127"/>
      <c r="Y127" s="127"/>
      <c r="Z127" s="127"/>
    </row>
    <row r="128" customFormat="false" ht="15.75" hidden="false" customHeight="false" outlineLevel="0" collapsed="false">
      <c r="A128" s="127"/>
      <c r="B128" s="127"/>
      <c r="C128" s="127"/>
      <c r="D128" s="127"/>
      <c r="E128" s="127"/>
      <c r="F128" s="127"/>
      <c r="G128" s="127"/>
      <c r="H128" s="127"/>
      <c r="I128" s="127"/>
      <c r="J128" s="127"/>
      <c r="K128" s="127"/>
      <c r="L128" s="127"/>
      <c r="M128" s="127"/>
      <c r="N128" s="127"/>
      <c r="O128" s="127"/>
      <c r="P128" s="127"/>
      <c r="Q128" s="127"/>
      <c r="R128" s="127"/>
      <c r="S128" s="127"/>
      <c r="T128" s="127"/>
      <c r="U128" s="127"/>
      <c r="V128" s="127"/>
      <c r="W128" s="127"/>
      <c r="X128" s="127"/>
      <c r="Y128" s="127"/>
      <c r="Z128" s="127"/>
    </row>
    <row r="129" customFormat="false" ht="15.75" hidden="false" customHeight="false" outlineLevel="0" collapsed="false">
      <c r="A129" s="127"/>
      <c r="B129" s="127"/>
      <c r="C129" s="127"/>
      <c r="D129" s="127"/>
      <c r="E129" s="127"/>
      <c r="F129" s="127"/>
      <c r="G129" s="127"/>
      <c r="H129" s="127"/>
      <c r="I129" s="127"/>
      <c r="J129" s="127"/>
      <c r="K129" s="127"/>
      <c r="L129" s="127"/>
      <c r="M129" s="127"/>
      <c r="N129" s="127"/>
      <c r="O129" s="127"/>
      <c r="P129" s="127"/>
      <c r="Q129" s="127"/>
      <c r="R129" s="127"/>
      <c r="S129" s="127"/>
      <c r="T129" s="127"/>
      <c r="U129" s="127"/>
      <c r="V129" s="127"/>
      <c r="W129" s="127"/>
      <c r="X129" s="127"/>
      <c r="Y129" s="127"/>
      <c r="Z129" s="127"/>
    </row>
    <row r="130" customFormat="false" ht="15.75" hidden="false" customHeight="false" outlineLevel="0" collapsed="false">
      <c r="A130" s="127"/>
      <c r="B130" s="127"/>
      <c r="C130" s="127"/>
      <c r="D130" s="127"/>
      <c r="E130" s="127"/>
      <c r="F130" s="127"/>
      <c r="G130" s="127"/>
      <c r="H130" s="127"/>
      <c r="I130" s="127"/>
      <c r="J130" s="127"/>
      <c r="K130" s="127"/>
      <c r="L130" s="127"/>
      <c r="M130" s="127"/>
      <c r="N130" s="127"/>
      <c r="O130" s="127"/>
      <c r="P130" s="127"/>
      <c r="Q130" s="127"/>
      <c r="R130" s="127"/>
      <c r="S130" s="127"/>
      <c r="T130" s="127"/>
      <c r="U130" s="127"/>
      <c r="V130" s="127"/>
      <c r="W130" s="127"/>
      <c r="X130" s="127"/>
      <c r="Y130" s="127"/>
      <c r="Z130" s="127"/>
    </row>
    <row r="131" customFormat="false" ht="15.75" hidden="false" customHeight="false" outlineLevel="0" collapsed="false">
      <c r="A131" s="127"/>
      <c r="B131" s="127"/>
      <c r="C131" s="127"/>
      <c r="D131" s="127"/>
      <c r="E131" s="127"/>
      <c r="F131" s="127"/>
      <c r="G131" s="127"/>
      <c r="H131" s="127"/>
      <c r="I131" s="127"/>
      <c r="J131" s="127"/>
      <c r="K131" s="127"/>
      <c r="L131" s="127"/>
      <c r="M131" s="127"/>
      <c r="N131" s="127"/>
      <c r="O131" s="127"/>
      <c r="P131" s="127"/>
      <c r="Q131" s="127"/>
      <c r="R131" s="127"/>
      <c r="S131" s="127"/>
      <c r="T131" s="127"/>
      <c r="U131" s="127"/>
      <c r="V131" s="127"/>
      <c r="W131" s="127"/>
      <c r="X131" s="127"/>
      <c r="Y131" s="127"/>
      <c r="Z131" s="127"/>
    </row>
    <row r="132" customFormat="false" ht="15.75" hidden="false" customHeight="false" outlineLevel="0" collapsed="false">
      <c r="A132" s="127"/>
      <c r="B132" s="127"/>
      <c r="C132" s="127"/>
      <c r="D132" s="127"/>
      <c r="E132" s="127"/>
      <c r="F132" s="127"/>
      <c r="G132" s="127"/>
      <c r="H132" s="127"/>
      <c r="I132" s="127"/>
      <c r="J132" s="127"/>
      <c r="K132" s="127"/>
      <c r="L132" s="127"/>
      <c r="M132" s="127"/>
      <c r="N132" s="127"/>
      <c r="O132" s="127"/>
      <c r="P132" s="127"/>
      <c r="Q132" s="127"/>
      <c r="R132" s="127"/>
      <c r="S132" s="127"/>
      <c r="T132" s="127"/>
      <c r="U132" s="127"/>
      <c r="V132" s="127"/>
      <c r="W132" s="127"/>
      <c r="X132" s="127"/>
      <c r="Y132" s="127"/>
      <c r="Z132" s="127"/>
    </row>
    <row r="133" customFormat="false" ht="15.75" hidden="false" customHeight="false" outlineLevel="0" collapsed="false">
      <c r="A133" s="127"/>
      <c r="B133" s="127"/>
      <c r="C133" s="127"/>
      <c r="D133" s="127"/>
      <c r="E133" s="127"/>
      <c r="F133" s="127"/>
      <c r="G133" s="127"/>
      <c r="H133" s="127"/>
      <c r="I133" s="127"/>
      <c r="J133" s="127"/>
      <c r="K133" s="127"/>
      <c r="L133" s="127"/>
      <c r="M133" s="127"/>
      <c r="N133" s="127"/>
      <c r="O133" s="127"/>
      <c r="P133" s="127"/>
      <c r="Q133" s="127"/>
      <c r="R133" s="127"/>
      <c r="S133" s="127"/>
      <c r="T133" s="127"/>
      <c r="U133" s="127"/>
      <c r="V133" s="127"/>
      <c r="W133" s="127"/>
      <c r="X133" s="127"/>
      <c r="Y133" s="127"/>
      <c r="Z133" s="127"/>
    </row>
    <row r="134" customFormat="false" ht="15.75" hidden="false" customHeight="false" outlineLevel="0" collapsed="false">
      <c r="A134" s="127"/>
      <c r="B134" s="127"/>
      <c r="C134" s="127"/>
      <c r="D134" s="127"/>
      <c r="E134" s="127"/>
      <c r="F134" s="127"/>
      <c r="G134" s="127"/>
      <c r="H134" s="127"/>
      <c r="I134" s="127"/>
      <c r="J134" s="127"/>
      <c r="K134" s="127"/>
      <c r="L134" s="127"/>
      <c r="M134" s="127"/>
      <c r="N134" s="127"/>
      <c r="O134" s="127"/>
      <c r="P134" s="127"/>
      <c r="Q134" s="127"/>
      <c r="R134" s="127"/>
      <c r="S134" s="127"/>
      <c r="T134" s="127"/>
      <c r="U134" s="127"/>
      <c r="V134" s="127"/>
      <c r="W134" s="127"/>
      <c r="X134" s="127"/>
      <c r="Y134" s="127"/>
      <c r="Z134" s="127"/>
    </row>
    <row r="135" customFormat="false" ht="15.75" hidden="false" customHeight="false" outlineLevel="0" collapsed="false">
      <c r="A135" s="127"/>
      <c r="B135" s="127"/>
      <c r="C135" s="127"/>
      <c r="D135" s="127"/>
      <c r="E135" s="127"/>
      <c r="F135" s="127"/>
      <c r="G135" s="127"/>
      <c r="H135" s="127"/>
      <c r="I135" s="127"/>
      <c r="J135" s="127"/>
      <c r="K135" s="127"/>
      <c r="L135" s="127"/>
      <c r="M135" s="127"/>
      <c r="N135" s="127"/>
      <c r="O135" s="127"/>
      <c r="P135" s="127"/>
      <c r="Q135" s="127"/>
      <c r="R135" s="127"/>
      <c r="S135" s="127"/>
      <c r="T135" s="127"/>
      <c r="U135" s="127"/>
      <c r="V135" s="127"/>
      <c r="W135" s="127"/>
      <c r="X135" s="127"/>
      <c r="Y135" s="127"/>
      <c r="Z135" s="127"/>
    </row>
    <row r="136" customFormat="false" ht="15.75" hidden="false" customHeight="false" outlineLevel="0" collapsed="false">
      <c r="A136" s="127"/>
      <c r="B136" s="127"/>
      <c r="C136" s="127"/>
      <c r="D136" s="127"/>
      <c r="E136" s="127"/>
      <c r="F136" s="127"/>
      <c r="G136" s="127"/>
      <c r="H136" s="127"/>
      <c r="I136" s="127"/>
      <c r="J136" s="127"/>
      <c r="K136" s="127"/>
      <c r="L136" s="127"/>
      <c r="M136" s="127"/>
      <c r="N136" s="127"/>
      <c r="O136" s="127"/>
      <c r="P136" s="127"/>
      <c r="Q136" s="127"/>
      <c r="R136" s="127"/>
      <c r="S136" s="127"/>
      <c r="T136" s="127"/>
      <c r="U136" s="127"/>
      <c r="V136" s="127"/>
      <c r="W136" s="127"/>
      <c r="X136" s="127"/>
      <c r="Y136" s="127"/>
      <c r="Z136" s="127"/>
    </row>
    <row r="137" customFormat="false" ht="15.75" hidden="false" customHeight="false" outlineLevel="0" collapsed="false">
      <c r="A137" s="127"/>
      <c r="B137" s="127"/>
      <c r="C137" s="127"/>
      <c r="D137" s="127"/>
      <c r="E137" s="127"/>
      <c r="F137" s="127"/>
      <c r="G137" s="127"/>
      <c r="H137" s="127"/>
      <c r="I137" s="127"/>
      <c r="J137" s="127"/>
      <c r="K137" s="127"/>
      <c r="L137" s="127"/>
      <c r="M137" s="127"/>
      <c r="N137" s="127"/>
      <c r="O137" s="127"/>
      <c r="P137" s="127"/>
      <c r="Q137" s="127"/>
      <c r="R137" s="127"/>
      <c r="S137" s="127"/>
      <c r="T137" s="127"/>
      <c r="U137" s="127"/>
      <c r="V137" s="127"/>
      <c r="W137" s="127"/>
      <c r="X137" s="127"/>
      <c r="Y137" s="127"/>
      <c r="Z137" s="127"/>
    </row>
    <row r="138" customFormat="false" ht="15.75" hidden="false" customHeight="false" outlineLevel="0" collapsed="false">
      <c r="A138" s="127"/>
      <c r="B138" s="127"/>
      <c r="C138" s="127"/>
      <c r="D138" s="127"/>
      <c r="E138" s="127"/>
      <c r="F138" s="127"/>
      <c r="G138" s="127"/>
      <c r="H138" s="127"/>
      <c r="I138" s="127"/>
      <c r="J138" s="127"/>
      <c r="K138" s="127"/>
      <c r="L138" s="127"/>
      <c r="M138" s="127"/>
      <c r="N138" s="127"/>
      <c r="O138" s="127"/>
      <c r="P138" s="127"/>
      <c r="Q138" s="127"/>
      <c r="R138" s="127"/>
      <c r="S138" s="127"/>
      <c r="T138" s="127"/>
      <c r="U138" s="127"/>
      <c r="V138" s="127"/>
      <c r="W138" s="127"/>
      <c r="X138" s="127"/>
      <c r="Y138" s="127"/>
      <c r="Z138" s="127"/>
    </row>
    <row r="139" customFormat="false" ht="15.75" hidden="false" customHeight="false" outlineLevel="0" collapsed="false">
      <c r="A139" s="127"/>
      <c r="B139" s="127"/>
      <c r="C139" s="127"/>
      <c r="D139" s="127"/>
      <c r="E139" s="127"/>
      <c r="F139" s="127"/>
      <c r="G139" s="127"/>
      <c r="H139" s="127"/>
      <c r="I139" s="127"/>
      <c r="J139" s="127"/>
      <c r="K139" s="127"/>
      <c r="L139" s="127"/>
      <c r="M139" s="127"/>
      <c r="N139" s="127"/>
      <c r="O139" s="127"/>
      <c r="P139" s="127"/>
      <c r="Q139" s="127"/>
      <c r="R139" s="127"/>
      <c r="S139" s="127"/>
      <c r="T139" s="127"/>
      <c r="U139" s="127"/>
      <c r="V139" s="127"/>
      <c r="W139" s="127"/>
      <c r="X139" s="127"/>
      <c r="Y139" s="127"/>
      <c r="Z139" s="127"/>
    </row>
    <row r="140" customFormat="false" ht="15.75" hidden="false" customHeight="false" outlineLevel="0" collapsed="false">
      <c r="A140" s="127"/>
      <c r="B140" s="127"/>
      <c r="C140" s="127"/>
      <c r="D140" s="127"/>
      <c r="E140" s="127"/>
      <c r="F140" s="127"/>
      <c r="G140" s="127"/>
      <c r="H140" s="127"/>
      <c r="I140" s="127"/>
      <c r="J140" s="127"/>
      <c r="K140" s="127"/>
      <c r="L140" s="127"/>
      <c r="M140" s="127"/>
      <c r="N140" s="127"/>
      <c r="O140" s="127"/>
      <c r="P140" s="127"/>
      <c r="Q140" s="127"/>
      <c r="R140" s="127"/>
      <c r="S140" s="127"/>
      <c r="T140" s="127"/>
      <c r="U140" s="127"/>
      <c r="V140" s="127"/>
      <c r="W140" s="127"/>
      <c r="X140" s="127"/>
      <c r="Y140" s="127"/>
      <c r="Z140" s="127"/>
    </row>
    <row r="141" customFormat="false" ht="15.75" hidden="false" customHeight="false" outlineLevel="0" collapsed="false">
      <c r="A141" s="127"/>
      <c r="B141" s="127"/>
      <c r="C141" s="127"/>
      <c r="D141" s="127"/>
      <c r="E141" s="127"/>
      <c r="F141" s="127"/>
      <c r="G141" s="127"/>
      <c r="H141" s="127"/>
      <c r="I141" s="127"/>
      <c r="J141" s="127"/>
      <c r="K141" s="127"/>
      <c r="L141" s="127"/>
      <c r="M141" s="127"/>
      <c r="N141" s="127"/>
      <c r="O141" s="127"/>
      <c r="P141" s="127"/>
      <c r="Q141" s="127"/>
      <c r="R141" s="127"/>
      <c r="S141" s="127"/>
      <c r="T141" s="127"/>
      <c r="U141" s="127"/>
      <c r="V141" s="127"/>
      <c r="W141" s="127"/>
      <c r="X141" s="127"/>
      <c r="Y141" s="127"/>
      <c r="Z141" s="127"/>
    </row>
    <row r="142" customFormat="false" ht="15.75" hidden="false" customHeight="false" outlineLevel="0" collapsed="false">
      <c r="A142" s="127"/>
      <c r="B142" s="127"/>
      <c r="C142" s="127"/>
      <c r="D142" s="127"/>
      <c r="E142" s="127"/>
      <c r="F142" s="127"/>
      <c r="G142" s="127"/>
      <c r="H142" s="127"/>
      <c r="I142" s="127"/>
      <c r="J142" s="127"/>
      <c r="K142" s="127"/>
      <c r="L142" s="127"/>
      <c r="M142" s="127"/>
      <c r="N142" s="127"/>
      <c r="O142" s="127"/>
      <c r="P142" s="127"/>
      <c r="Q142" s="127"/>
      <c r="R142" s="127"/>
      <c r="S142" s="127"/>
      <c r="T142" s="127"/>
      <c r="U142" s="127"/>
      <c r="V142" s="127"/>
      <c r="W142" s="127"/>
      <c r="X142" s="127"/>
      <c r="Y142" s="127"/>
      <c r="Z142" s="127"/>
    </row>
    <row r="143" customFormat="false" ht="15.75" hidden="false" customHeight="false" outlineLevel="0" collapsed="false">
      <c r="A143" s="127"/>
      <c r="B143" s="127"/>
      <c r="C143" s="127"/>
      <c r="D143" s="127"/>
      <c r="E143" s="127"/>
      <c r="F143" s="127"/>
      <c r="G143" s="127"/>
      <c r="H143" s="127"/>
      <c r="I143" s="127"/>
      <c r="J143" s="127"/>
      <c r="K143" s="127"/>
      <c r="L143" s="127"/>
      <c r="M143" s="127"/>
      <c r="N143" s="127"/>
      <c r="O143" s="127"/>
      <c r="P143" s="127"/>
      <c r="Q143" s="127"/>
      <c r="R143" s="127"/>
      <c r="S143" s="127"/>
      <c r="T143" s="127"/>
      <c r="U143" s="127"/>
      <c r="V143" s="127"/>
      <c r="W143" s="127"/>
      <c r="X143" s="127"/>
      <c r="Y143" s="127"/>
      <c r="Z143" s="127"/>
    </row>
    <row r="144" customFormat="false" ht="15.75" hidden="false" customHeight="false" outlineLevel="0" collapsed="false">
      <c r="A144" s="127"/>
      <c r="B144" s="127"/>
      <c r="C144" s="127"/>
      <c r="D144" s="127"/>
      <c r="E144" s="127"/>
      <c r="F144" s="127"/>
      <c r="G144" s="127"/>
      <c r="H144" s="127"/>
      <c r="I144" s="127"/>
      <c r="J144" s="127"/>
      <c r="K144" s="127"/>
      <c r="L144" s="127"/>
      <c r="M144" s="127"/>
      <c r="N144" s="127"/>
      <c r="O144" s="127"/>
      <c r="P144" s="127"/>
      <c r="Q144" s="127"/>
      <c r="R144" s="127"/>
      <c r="S144" s="127"/>
      <c r="T144" s="127"/>
      <c r="U144" s="127"/>
      <c r="V144" s="127"/>
      <c r="W144" s="127"/>
      <c r="X144" s="127"/>
      <c r="Y144" s="127"/>
      <c r="Z144" s="127"/>
    </row>
    <row r="145" customFormat="false" ht="15.75" hidden="false" customHeight="false" outlineLevel="0" collapsed="false">
      <c r="A145" s="127"/>
      <c r="B145" s="127"/>
      <c r="C145" s="127"/>
      <c r="D145" s="127"/>
      <c r="E145" s="127"/>
      <c r="F145" s="127"/>
      <c r="G145" s="127"/>
      <c r="H145" s="127"/>
      <c r="I145" s="127"/>
      <c r="J145" s="127"/>
      <c r="K145" s="127"/>
      <c r="L145" s="127"/>
      <c r="M145" s="127"/>
      <c r="N145" s="127"/>
      <c r="O145" s="127"/>
      <c r="P145" s="127"/>
      <c r="Q145" s="127"/>
      <c r="R145" s="127"/>
      <c r="S145" s="127"/>
      <c r="T145" s="127"/>
      <c r="U145" s="127"/>
      <c r="V145" s="127"/>
      <c r="W145" s="127"/>
      <c r="X145" s="127"/>
      <c r="Y145" s="127"/>
      <c r="Z145" s="127"/>
    </row>
    <row r="146" customFormat="false" ht="15.75" hidden="false" customHeight="false" outlineLevel="0" collapsed="false">
      <c r="A146" s="127"/>
      <c r="B146" s="127"/>
      <c r="C146" s="127"/>
      <c r="D146" s="127"/>
      <c r="E146" s="127"/>
      <c r="F146" s="127"/>
      <c r="G146" s="127"/>
      <c r="H146" s="127"/>
      <c r="I146" s="127"/>
      <c r="J146" s="127"/>
      <c r="K146" s="127"/>
      <c r="L146" s="127"/>
      <c r="M146" s="127"/>
      <c r="N146" s="127"/>
      <c r="O146" s="127"/>
      <c r="P146" s="127"/>
      <c r="Q146" s="127"/>
      <c r="R146" s="127"/>
      <c r="S146" s="127"/>
      <c r="T146" s="127"/>
      <c r="U146" s="127"/>
      <c r="V146" s="127"/>
      <c r="W146" s="127"/>
      <c r="X146" s="127"/>
      <c r="Y146" s="127"/>
      <c r="Z146" s="127"/>
    </row>
    <row r="147" customFormat="false" ht="15.75" hidden="false" customHeight="false" outlineLevel="0" collapsed="false">
      <c r="A147" s="127"/>
      <c r="B147" s="127"/>
      <c r="C147" s="127"/>
      <c r="D147" s="127"/>
      <c r="E147" s="127"/>
      <c r="F147" s="127"/>
      <c r="G147" s="127"/>
      <c r="H147" s="127"/>
      <c r="I147" s="127"/>
      <c r="J147" s="127"/>
      <c r="K147" s="127"/>
      <c r="L147" s="127"/>
      <c r="M147" s="127"/>
      <c r="N147" s="127"/>
      <c r="O147" s="127"/>
      <c r="P147" s="127"/>
      <c r="Q147" s="127"/>
      <c r="R147" s="127"/>
      <c r="S147" s="127"/>
      <c r="T147" s="127"/>
      <c r="U147" s="127"/>
      <c r="V147" s="127"/>
      <c r="W147" s="127"/>
      <c r="X147" s="127"/>
      <c r="Y147" s="127"/>
      <c r="Z147" s="127"/>
    </row>
    <row r="148" customFormat="false" ht="15.75" hidden="false" customHeight="false" outlineLevel="0" collapsed="false">
      <c r="A148" s="127"/>
      <c r="B148" s="127"/>
      <c r="C148" s="127"/>
      <c r="D148" s="127"/>
      <c r="E148" s="127"/>
      <c r="F148" s="127"/>
      <c r="G148" s="127"/>
      <c r="H148" s="127"/>
      <c r="I148" s="127"/>
      <c r="J148" s="127"/>
      <c r="K148" s="127"/>
      <c r="L148" s="127"/>
      <c r="M148" s="127"/>
      <c r="N148" s="127"/>
      <c r="O148" s="127"/>
      <c r="P148" s="127"/>
      <c r="Q148" s="127"/>
      <c r="R148" s="127"/>
      <c r="S148" s="127"/>
      <c r="T148" s="127"/>
      <c r="U148" s="127"/>
      <c r="V148" s="127"/>
      <c r="W148" s="127"/>
      <c r="X148" s="127"/>
      <c r="Y148" s="127"/>
      <c r="Z148" s="127"/>
    </row>
    <row r="149" customFormat="false" ht="15.75" hidden="false" customHeight="false" outlineLevel="0" collapsed="false">
      <c r="A149" s="127"/>
      <c r="B149" s="127"/>
      <c r="C149" s="127"/>
      <c r="D149" s="127"/>
      <c r="E149" s="127"/>
      <c r="F149" s="127"/>
      <c r="G149" s="127"/>
      <c r="H149" s="127"/>
      <c r="I149" s="127"/>
      <c r="J149" s="127"/>
      <c r="K149" s="127"/>
      <c r="L149" s="127"/>
      <c r="M149" s="127"/>
      <c r="N149" s="127"/>
      <c r="O149" s="127"/>
      <c r="P149" s="127"/>
      <c r="Q149" s="127"/>
      <c r="R149" s="127"/>
      <c r="S149" s="127"/>
      <c r="T149" s="127"/>
      <c r="U149" s="127"/>
      <c r="V149" s="127"/>
      <c r="W149" s="127"/>
      <c r="X149" s="127"/>
      <c r="Y149" s="127"/>
      <c r="Z149" s="127"/>
    </row>
    <row r="150" customFormat="false" ht="15.75" hidden="false" customHeight="false" outlineLevel="0" collapsed="false">
      <c r="A150" s="127"/>
      <c r="B150" s="127"/>
      <c r="C150" s="127"/>
      <c r="D150" s="127"/>
      <c r="E150" s="127"/>
      <c r="F150" s="127"/>
      <c r="G150" s="127"/>
      <c r="H150" s="127"/>
      <c r="I150" s="127"/>
      <c r="J150" s="127"/>
      <c r="K150" s="127"/>
      <c r="L150" s="127"/>
      <c r="M150" s="127"/>
      <c r="N150" s="127"/>
      <c r="O150" s="127"/>
      <c r="P150" s="127"/>
      <c r="Q150" s="127"/>
      <c r="R150" s="127"/>
      <c r="S150" s="127"/>
      <c r="T150" s="127"/>
      <c r="U150" s="127"/>
      <c r="V150" s="127"/>
      <c r="W150" s="127"/>
      <c r="X150" s="127"/>
      <c r="Y150" s="127"/>
      <c r="Z150" s="127"/>
    </row>
    <row r="151" customFormat="false" ht="15.75" hidden="false" customHeight="false" outlineLevel="0" collapsed="false">
      <c r="A151" s="127"/>
      <c r="B151" s="127"/>
      <c r="C151" s="127"/>
      <c r="D151" s="127"/>
      <c r="E151" s="127"/>
      <c r="F151" s="127"/>
      <c r="G151" s="127"/>
      <c r="H151" s="127"/>
      <c r="I151" s="127"/>
      <c r="J151" s="127"/>
      <c r="K151" s="127"/>
      <c r="L151" s="127"/>
      <c r="M151" s="127"/>
      <c r="N151" s="127"/>
      <c r="O151" s="127"/>
      <c r="P151" s="127"/>
      <c r="Q151" s="127"/>
      <c r="R151" s="127"/>
      <c r="S151" s="127"/>
      <c r="T151" s="127"/>
      <c r="U151" s="127"/>
      <c r="V151" s="127"/>
      <c r="W151" s="127"/>
      <c r="X151" s="127"/>
      <c r="Y151" s="127"/>
      <c r="Z151" s="127"/>
    </row>
    <row r="152" customFormat="false" ht="15.75" hidden="false" customHeight="false" outlineLevel="0" collapsed="false">
      <c r="A152" s="127"/>
      <c r="B152" s="127"/>
      <c r="C152" s="127"/>
      <c r="D152" s="127"/>
      <c r="E152" s="127"/>
      <c r="F152" s="127"/>
      <c r="G152" s="127"/>
      <c r="H152" s="127"/>
      <c r="I152" s="127"/>
      <c r="J152" s="127"/>
      <c r="K152" s="127"/>
      <c r="L152" s="127"/>
      <c r="M152" s="127"/>
      <c r="N152" s="127"/>
      <c r="O152" s="127"/>
      <c r="P152" s="127"/>
      <c r="Q152" s="127"/>
      <c r="R152" s="127"/>
      <c r="S152" s="127"/>
      <c r="T152" s="127"/>
      <c r="U152" s="127"/>
      <c r="V152" s="127"/>
      <c r="W152" s="127"/>
      <c r="X152" s="127"/>
      <c r="Y152" s="127"/>
      <c r="Z152" s="127"/>
    </row>
    <row r="153" customFormat="false" ht="15.75" hidden="false" customHeight="false" outlineLevel="0" collapsed="false">
      <c r="A153" s="127"/>
      <c r="B153" s="127"/>
      <c r="C153" s="127"/>
      <c r="D153" s="127"/>
      <c r="E153" s="127"/>
      <c r="F153" s="127"/>
      <c r="G153" s="127"/>
      <c r="H153" s="127"/>
      <c r="I153" s="127"/>
      <c r="J153" s="127"/>
      <c r="K153" s="127"/>
      <c r="L153" s="127"/>
      <c r="M153" s="127"/>
      <c r="N153" s="127"/>
      <c r="O153" s="127"/>
      <c r="P153" s="127"/>
      <c r="Q153" s="127"/>
      <c r="R153" s="127"/>
      <c r="S153" s="127"/>
      <c r="T153" s="127"/>
      <c r="U153" s="127"/>
      <c r="V153" s="127"/>
      <c r="W153" s="127"/>
      <c r="X153" s="127"/>
      <c r="Y153" s="127"/>
      <c r="Z153" s="127"/>
    </row>
    <row r="154" customFormat="false" ht="15.75" hidden="false" customHeight="false" outlineLevel="0" collapsed="false">
      <c r="A154" s="127"/>
      <c r="B154" s="127"/>
      <c r="C154" s="127"/>
      <c r="D154" s="127"/>
      <c r="E154" s="127"/>
      <c r="F154" s="127"/>
      <c r="G154" s="127"/>
      <c r="H154" s="127"/>
      <c r="I154" s="127"/>
      <c r="J154" s="127"/>
      <c r="K154" s="127"/>
      <c r="L154" s="127"/>
      <c r="M154" s="127"/>
      <c r="N154" s="127"/>
      <c r="O154" s="127"/>
      <c r="P154" s="127"/>
      <c r="Q154" s="127"/>
      <c r="R154" s="127"/>
      <c r="S154" s="127"/>
      <c r="T154" s="127"/>
      <c r="U154" s="127"/>
      <c r="V154" s="127"/>
      <c r="W154" s="127"/>
      <c r="X154" s="127"/>
      <c r="Y154" s="127"/>
      <c r="Z154" s="127"/>
    </row>
    <row r="155" customFormat="false" ht="15.75" hidden="false" customHeight="false" outlineLevel="0" collapsed="false">
      <c r="A155" s="127"/>
      <c r="B155" s="127"/>
      <c r="C155" s="127"/>
      <c r="D155" s="127"/>
      <c r="E155" s="127"/>
      <c r="F155" s="127"/>
      <c r="G155" s="127"/>
      <c r="H155" s="127"/>
      <c r="I155" s="127"/>
      <c r="J155" s="127"/>
      <c r="K155" s="127"/>
      <c r="L155" s="127"/>
      <c r="M155" s="127"/>
      <c r="N155" s="127"/>
      <c r="O155" s="127"/>
      <c r="P155" s="127"/>
      <c r="Q155" s="127"/>
      <c r="R155" s="127"/>
      <c r="S155" s="127"/>
      <c r="T155" s="127"/>
      <c r="U155" s="127"/>
      <c r="V155" s="127"/>
      <c r="W155" s="127"/>
      <c r="X155" s="127"/>
      <c r="Y155" s="127"/>
      <c r="Z155" s="127"/>
    </row>
    <row r="156" customFormat="false" ht="15.75" hidden="false" customHeight="false" outlineLevel="0" collapsed="false">
      <c r="A156" s="127"/>
      <c r="B156" s="127"/>
      <c r="C156" s="127"/>
      <c r="D156" s="127"/>
      <c r="E156" s="127"/>
      <c r="F156" s="127"/>
      <c r="G156" s="127"/>
      <c r="H156" s="127"/>
      <c r="I156" s="127"/>
      <c r="J156" s="127"/>
      <c r="K156" s="127"/>
      <c r="L156" s="127"/>
      <c r="M156" s="127"/>
      <c r="N156" s="127"/>
      <c r="O156" s="127"/>
      <c r="P156" s="127"/>
      <c r="Q156" s="127"/>
      <c r="R156" s="127"/>
      <c r="S156" s="127"/>
      <c r="T156" s="127"/>
      <c r="U156" s="127"/>
      <c r="V156" s="127"/>
      <c r="W156" s="127"/>
      <c r="X156" s="127"/>
      <c r="Y156" s="127"/>
      <c r="Z156" s="127"/>
    </row>
    <row r="157" customFormat="false" ht="15.75" hidden="false" customHeight="false" outlineLevel="0" collapsed="false">
      <c r="A157" s="127"/>
      <c r="B157" s="127"/>
      <c r="C157" s="127"/>
      <c r="D157" s="127"/>
      <c r="E157" s="127"/>
      <c r="F157" s="127"/>
      <c r="G157" s="127"/>
      <c r="H157" s="127"/>
      <c r="I157" s="127"/>
      <c r="J157" s="127"/>
      <c r="K157" s="127"/>
      <c r="L157" s="127"/>
      <c r="M157" s="127"/>
      <c r="N157" s="127"/>
      <c r="O157" s="127"/>
      <c r="P157" s="127"/>
      <c r="Q157" s="127"/>
      <c r="R157" s="127"/>
      <c r="S157" s="127"/>
      <c r="T157" s="127"/>
      <c r="U157" s="127"/>
      <c r="V157" s="127"/>
      <c r="W157" s="127"/>
      <c r="X157" s="127"/>
      <c r="Y157" s="127"/>
      <c r="Z157" s="127"/>
    </row>
    <row r="158" customFormat="false" ht="15.75" hidden="false" customHeight="false" outlineLevel="0" collapsed="false">
      <c r="A158" s="127"/>
      <c r="B158" s="127"/>
      <c r="C158" s="127"/>
      <c r="D158" s="127"/>
      <c r="E158" s="127"/>
      <c r="F158" s="127"/>
      <c r="G158" s="127"/>
      <c r="H158" s="127"/>
      <c r="I158" s="127"/>
      <c r="J158" s="127"/>
      <c r="K158" s="127"/>
      <c r="L158" s="127"/>
      <c r="M158" s="127"/>
      <c r="N158" s="127"/>
      <c r="O158" s="127"/>
      <c r="P158" s="127"/>
      <c r="Q158" s="127"/>
      <c r="R158" s="127"/>
      <c r="S158" s="127"/>
      <c r="T158" s="127"/>
      <c r="U158" s="127"/>
      <c r="V158" s="127"/>
      <c r="W158" s="127"/>
      <c r="X158" s="127"/>
      <c r="Y158" s="127"/>
      <c r="Z158" s="127"/>
    </row>
    <row r="159" customFormat="false" ht="15.75" hidden="false" customHeight="false" outlineLevel="0" collapsed="false">
      <c r="A159" s="127"/>
      <c r="B159" s="127"/>
      <c r="C159" s="127"/>
      <c r="D159" s="127"/>
      <c r="E159" s="127"/>
      <c r="F159" s="127"/>
      <c r="G159" s="127"/>
      <c r="H159" s="127"/>
      <c r="I159" s="127"/>
      <c r="J159" s="127"/>
      <c r="K159" s="127"/>
      <c r="L159" s="127"/>
      <c r="M159" s="127"/>
      <c r="N159" s="127"/>
      <c r="O159" s="127"/>
      <c r="P159" s="127"/>
      <c r="Q159" s="127"/>
      <c r="R159" s="127"/>
      <c r="S159" s="127"/>
      <c r="T159" s="127"/>
      <c r="U159" s="127"/>
      <c r="V159" s="127"/>
      <c r="W159" s="127"/>
      <c r="X159" s="127"/>
      <c r="Y159" s="127"/>
      <c r="Z159" s="127"/>
    </row>
    <row r="160" customFormat="false" ht="15.75" hidden="false" customHeight="false" outlineLevel="0" collapsed="false">
      <c r="A160" s="127"/>
      <c r="B160" s="127"/>
      <c r="C160" s="127"/>
      <c r="D160" s="127"/>
      <c r="E160" s="127"/>
      <c r="F160" s="127"/>
      <c r="G160" s="127"/>
      <c r="H160" s="127"/>
      <c r="I160" s="127"/>
      <c r="J160" s="127"/>
      <c r="K160" s="127"/>
      <c r="L160" s="127"/>
      <c r="M160" s="127"/>
      <c r="N160" s="127"/>
      <c r="O160" s="127"/>
      <c r="P160" s="127"/>
      <c r="Q160" s="127"/>
      <c r="R160" s="127"/>
      <c r="S160" s="127"/>
      <c r="T160" s="127"/>
      <c r="U160" s="127"/>
      <c r="V160" s="127"/>
      <c r="W160" s="127"/>
      <c r="X160" s="127"/>
      <c r="Y160" s="127"/>
      <c r="Z160" s="127"/>
    </row>
    <row r="161" customFormat="false" ht="15.75" hidden="false" customHeight="false" outlineLevel="0" collapsed="false">
      <c r="A161" s="127"/>
      <c r="B161" s="127"/>
      <c r="C161" s="127"/>
      <c r="D161" s="127"/>
      <c r="E161" s="127"/>
      <c r="F161" s="127"/>
      <c r="G161" s="127"/>
      <c r="H161" s="127"/>
      <c r="I161" s="127"/>
      <c r="J161" s="127"/>
      <c r="K161" s="127"/>
      <c r="L161" s="127"/>
      <c r="M161" s="127"/>
      <c r="N161" s="127"/>
      <c r="O161" s="127"/>
      <c r="P161" s="127"/>
      <c r="Q161" s="127"/>
      <c r="R161" s="127"/>
      <c r="S161" s="127"/>
      <c r="T161" s="127"/>
      <c r="U161" s="127"/>
      <c r="V161" s="127"/>
      <c r="W161" s="127"/>
      <c r="X161" s="127"/>
      <c r="Y161" s="127"/>
      <c r="Z161" s="127"/>
    </row>
    <row r="162" customFormat="false" ht="15.75" hidden="false" customHeight="false" outlineLevel="0" collapsed="false">
      <c r="A162" s="127"/>
      <c r="B162" s="127"/>
      <c r="C162" s="127"/>
      <c r="D162" s="127"/>
      <c r="E162" s="127"/>
      <c r="F162" s="127"/>
      <c r="G162" s="127"/>
      <c r="H162" s="127"/>
      <c r="I162" s="127"/>
      <c r="J162" s="127"/>
      <c r="K162" s="127"/>
      <c r="L162" s="127"/>
      <c r="M162" s="127"/>
      <c r="N162" s="127"/>
      <c r="O162" s="127"/>
      <c r="P162" s="127"/>
      <c r="Q162" s="127"/>
      <c r="R162" s="127"/>
      <c r="S162" s="127"/>
      <c r="T162" s="127"/>
      <c r="U162" s="127"/>
      <c r="V162" s="127"/>
      <c r="W162" s="127"/>
      <c r="X162" s="127"/>
      <c r="Y162" s="127"/>
      <c r="Z162" s="127"/>
    </row>
    <row r="163" customFormat="false" ht="15.75" hidden="false" customHeight="false" outlineLevel="0" collapsed="false">
      <c r="A163" s="127"/>
      <c r="B163" s="127"/>
      <c r="C163" s="127"/>
      <c r="D163" s="127"/>
      <c r="E163" s="127"/>
      <c r="F163" s="127"/>
      <c r="G163" s="127"/>
      <c r="H163" s="127"/>
      <c r="I163" s="127"/>
      <c r="J163" s="127"/>
      <c r="K163" s="127"/>
      <c r="L163" s="127"/>
      <c r="M163" s="127"/>
      <c r="N163" s="127"/>
      <c r="O163" s="127"/>
      <c r="P163" s="127"/>
      <c r="Q163" s="127"/>
      <c r="R163" s="127"/>
      <c r="S163" s="127"/>
      <c r="T163" s="127"/>
      <c r="U163" s="127"/>
      <c r="V163" s="127"/>
      <c r="W163" s="127"/>
      <c r="X163" s="127"/>
      <c r="Y163" s="127"/>
      <c r="Z163" s="127"/>
    </row>
    <row r="164" customFormat="false" ht="15.75" hidden="false" customHeight="false" outlineLevel="0" collapsed="false">
      <c r="A164" s="127"/>
      <c r="B164" s="127"/>
      <c r="C164" s="127"/>
      <c r="D164" s="127"/>
      <c r="E164" s="127"/>
      <c r="F164" s="127"/>
      <c r="G164" s="127"/>
      <c r="H164" s="127"/>
      <c r="I164" s="127"/>
      <c r="J164" s="127"/>
      <c r="K164" s="127"/>
      <c r="L164" s="127"/>
      <c r="M164" s="127"/>
      <c r="N164" s="127"/>
      <c r="O164" s="127"/>
      <c r="P164" s="127"/>
      <c r="Q164" s="127"/>
      <c r="R164" s="127"/>
      <c r="S164" s="127"/>
      <c r="T164" s="127"/>
      <c r="U164" s="127"/>
      <c r="V164" s="127"/>
      <c r="W164" s="127"/>
      <c r="X164" s="127"/>
      <c r="Y164" s="127"/>
      <c r="Z164" s="127"/>
    </row>
    <row r="165" customFormat="false" ht="15.75" hidden="false" customHeight="false" outlineLevel="0" collapsed="false">
      <c r="A165" s="127"/>
      <c r="B165" s="127"/>
      <c r="C165" s="127"/>
      <c r="D165" s="127"/>
      <c r="E165" s="127"/>
      <c r="F165" s="127"/>
      <c r="G165" s="127"/>
      <c r="H165" s="127"/>
      <c r="I165" s="127"/>
      <c r="J165" s="127"/>
      <c r="K165" s="127"/>
      <c r="L165" s="127"/>
      <c r="M165" s="127"/>
      <c r="N165" s="127"/>
      <c r="O165" s="127"/>
      <c r="P165" s="127"/>
      <c r="Q165" s="127"/>
      <c r="R165" s="127"/>
      <c r="S165" s="127"/>
      <c r="T165" s="127"/>
      <c r="U165" s="127"/>
      <c r="V165" s="127"/>
      <c r="W165" s="127"/>
      <c r="X165" s="127"/>
      <c r="Y165" s="127"/>
      <c r="Z165" s="127"/>
    </row>
    <row r="166" customFormat="false" ht="15.75" hidden="false" customHeight="false" outlineLevel="0" collapsed="false">
      <c r="A166" s="127"/>
      <c r="B166" s="127"/>
      <c r="C166" s="127"/>
      <c r="D166" s="127"/>
      <c r="E166" s="127"/>
      <c r="F166" s="127"/>
      <c r="G166" s="127"/>
      <c r="H166" s="127"/>
      <c r="I166" s="127"/>
      <c r="J166" s="127"/>
      <c r="K166" s="127"/>
      <c r="L166" s="127"/>
      <c r="M166" s="127"/>
      <c r="N166" s="127"/>
      <c r="O166" s="127"/>
      <c r="P166" s="127"/>
      <c r="Q166" s="127"/>
      <c r="R166" s="127"/>
      <c r="S166" s="127"/>
      <c r="T166" s="127"/>
      <c r="U166" s="127"/>
      <c r="V166" s="127"/>
      <c r="W166" s="127"/>
      <c r="X166" s="127"/>
      <c r="Y166" s="127"/>
      <c r="Z166" s="127"/>
    </row>
    <row r="167" customFormat="false" ht="15.75" hidden="false" customHeight="false" outlineLevel="0" collapsed="false">
      <c r="A167" s="127"/>
      <c r="B167" s="127"/>
      <c r="C167" s="127"/>
      <c r="D167" s="127"/>
      <c r="E167" s="127"/>
      <c r="F167" s="127"/>
      <c r="G167" s="127"/>
      <c r="H167" s="127"/>
      <c r="I167" s="127"/>
      <c r="J167" s="127"/>
      <c r="K167" s="127"/>
      <c r="L167" s="127"/>
      <c r="M167" s="127"/>
      <c r="N167" s="127"/>
      <c r="O167" s="127"/>
      <c r="P167" s="127"/>
      <c r="Q167" s="127"/>
      <c r="R167" s="127"/>
      <c r="S167" s="127"/>
      <c r="T167" s="127"/>
      <c r="U167" s="127"/>
      <c r="V167" s="127"/>
      <c r="W167" s="127"/>
      <c r="X167" s="127"/>
      <c r="Y167" s="127"/>
      <c r="Z167" s="127"/>
    </row>
    <row r="168" customFormat="false" ht="15.75" hidden="false" customHeight="false" outlineLevel="0" collapsed="false">
      <c r="A168" s="127"/>
      <c r="B168" s="127"/>
      <c r="C168" s="127"/>
      <c r="D168" s="127"/>
      <c r="E168" s="127"/>
      <c r="F168" s="127"/>
      <c r="G168" s="127"/>
      <c r="H168" s="127"/>
      <c r="I168" s="127"/>
      <c r="J168" s="127"/>
      <c r="K168" s="127"/>
      <c r="L168" s="127"/>
      <c r="M168" s="127"/>
      <c r="N168" s="127"/>
      <c r="O168" s="127"/>
      <c r="P168" s="127"/>
      <c r="Q168" s="127"/>
      <c r="R168" s="127"/>
      <c r="S168" s="127"/>
      <c r="T168" s="127"/>
      <c r="U168" s="127"/>
      <c r="V168" s="127"/>
      <c r="W168" s="127"/>
      <c r="X168" s="127"/>
      <c r="Y168" s="127"/>
      <c r="Z168" s="127"/>
    </row>
    <row r="169" customFormat="false" ht="15.75" hidden="false" customHeight="false" outlineLevel="0" collapsed="false">
      <c r="A169" s="127"/>
      <c r="B169" s="127"/>
      <c r="C169" s="127"/>
      <c r="D169" s="127"/>
      <c r="E169" s="127"/>
      <c r="F169" s="127"/>
      <c r="G169" s="127"/>
      <c r="H169" s="127"/>
      <c r="I169" s="127"/>
      <c r="J169" s="127"/>
      <c r="K169" s="127"/>
      <c r="L169" s="127"/>
      <c r="M169" s="127"/>
      <c r="N169" s="127"/>
      <c r="O169" s="127"/>
      <c r="P169" s="127"/>
      <c r="Q169" s="127"/>
      <c r="R169" s="127"/>
      <c r="S169" s="127"/>
      <c r="T169" s="127"/>
      <c r="U169" s="127"/>
      <c r="V169" s="127"/>
      <c r="W169" s="127"/>
      <c r="X169" s="127"/>
      <c r="Y169" s="127"/>
      <c r="Z169" s="127"/>
    </row>
    <row r="170" customFormat="false" ht="15.75" hidden="false" customHeight="false" outlineLevel="0" collapsed="false">
      <c r="A170" s="127"/>
      <c r="B170" s="127"/>
      <c r="C170" s="127"/>
      <c r="D170" s="127"/>
      <c r="E170" s="127"/>
      <c r="F170" s="127"/>
      <c r="G170" s="127"/>
      <c r="H170" s="127"/>
      <c r="I170" s="127"/>
      <c r="J170" s="127"/>
      <c r="K170" s="127"/>
      <c r="L170" s="127"/>
      <c r="M170" s="127"/>
      <c r="N170" s="127"/>
      <c r="O170" s="127"/>
      <c r="P170" s="127"/>
      <c r="Q170" s="127"/>
      <c r="R170" s="127"/>
      <c r="S170" s="127"/>
      <c r="T170" s="127"/>
      <c r="U170" s="127"/>
      <c r="V170" s="127"/>
      <c r="W170" s="127"/>
      <c r="X170" s="127"/>
      <c r="Y170" s="127"/>
      <c r="Z170" s="127"/>
    </row>
    <row r="171" customFormat="false" ht="15.75" hidden="false" customHeight="false" outlineLevel="0" collapsed="false">
      <c r="A171" s="127"/>
      <c r="B171" s="127"/>
      <c r="C171" s="127"/>
      <c r="D171" s="127"/>
      <c r="E171" s="127"/>
      <c r="F171" s="127"/>
      <c r="G171" s="127"/>
      <c r="H171" s="127"/>
      <c r="I171" s="127"/>
      <c r="J171" s="127"/>
      <c r="K171" s="127"/>
      <c r="L171" s="127"/>
      <c r="M171" s="127"/>
      <c r="N171" s="127"/>
      <c r="O171" s="127"/>
      <c r="P171" s="127"/>
      <c r="Q171" s="127"/>
      <c r="R171" s="127"/>
      <c r="S171" s="127"/>
      <c r="T171" s="127"/>
      <c r="U171" s="127"/>
      <c r="V171" s="127"/>
      <c r="W171" s="127"/>
      <c r="X171" s="127"/>
      <c r="Y171" s="127"/>
      <c r="Z171" s="127"/>
    </row>
    <row r="172" customFormat="false" ht="15.75" hidden="false" customHeight="false" outlineLevel="0" collapsed="false">
      <c r="A172" s="127"/>
      <c r="B172" s="127"/>
      <c r="C172" s="127"/>
      <c r="D172" s="127"/>
      <c r="E172" s="127"/>
      <c r="F172" s="127"/>
      <c r="G172" s="127"/>
      <c r="H172" s="127"/>
      <c r="I172" s="127"/>
      <c r="J172" s="127"/>
      <c r="K172" s="127"/>
      <c r="L172" s="127"/>
      <c r="M172" s="127"/>
      <c r="N172" s="127"/>
      <c r="O172" s="127"/>
      <c r="P172" s="127"/>
      <c r="Q172" s="127"/>
      <c r="R172" s="127"/>
      <c r="S172" s="127"/>
      <c r="T172" s="127"/>
      <c r="U172" s="127"/>
      <c r="V172" s="127"/>
      <c r="W172" s="127"/>
      <c r="X172" s="127"/>
      <c r="Y172" s="127"/>
      <c r="Z172" s="127"/>
    </row>
    <row r="173" customFormat="false" ht="15.75" hidden="false" customHeight="false" outlineLevel="0" collapsed="false">
      <c r="A173" s="127"/>
      <c r="B173" s="127"/>
      <c r="C173" s="127"/>
      <c r="D173" s="127"/>
      <c r="E173" s="127"/>
      <c r="F173" s="127"/>
      <c r="G173" s="127"/>
      <c r="H173" s="127"/>
      <c r="I173" s="127"/>
      <c r="J173" s="127"/>
      <c r="K173" s="127"/>
      <c r="L173" s="127"/>
      <c r="M173" s="127"/>
      <c r="N173" s="127"/>
      <c r="O173" s="127"/>
      <c r="P173" s="127"/>
      <c r="Q173" s="127"/>
      <c r="R173" s="127"/>
      <c r="S173" s="127"/>
      <c r="T173" s="127"/>
      <c r="U173" s="127"/>
      <c r="V173" s="127"/>
      <c r="W173" s="127"/>
      <c r="X173" s="127"/>
      <c r="Y173" s="127"/>
      <c r="Z173" s="127"/>
    </row>
    <row r="174" customFormat="false" ht="15.75" hidden="false" customHeight="false" outlineLevel="0" collapsed="false">
      <c r="A174" s="127"/>
      <c r="B174" s="127"/>
      <c r="C174" s="127"/>
      <c r="D174" s="127"/>
      <c r="E174" s="127"/>
      <c r="F174" s="127"/>
      <c r="G174" s="127"/>
      <c r="H174" s="127"/>
      <c r="I174" s="127"/>
      <c r="J174" s="127"/>
      <c r="K174" s="127"/>
      <c r="L174" s="127"/>
      <c r="M174" s="127"/>
      <c r="N174" s="127"/>
      <c r="O174" s="127"/>
      <c r="P174" s="127"/>
      <c r="Q174" s="127"/>
      <c r="R174" s="127"/>
      <c r="S174" s="127"/>
      <c r="T174" s="127"/>
      <c r="U174" s="127"/>
      <c r="V174" s="127"/>
      <c r="W174" s="127"/>
      <c r="X174" s="127"/>
      <c r="Y174" s="127"/>
      <c r="Z174" s="127"/>
    </row>
    <row r="175" customFormat="false" ht="15.75" hidden="false" customHeight="false" outlineLevel="0" collapsed="false">
      <c r="A175" s="127"/>
      <c r="B175" s="127"/>
      <c r="C175" s="127"/>
      <c r="D175" s="127"/>
      <c r="E175" s="127"/>
      <c r="F175" s="127"/>
      <c r="G175" s="127"/>
      <c r="H175" s="127"/>
      <c r="I175" s="127"/>
      <c r="J175" s="127"/>
      <c r="K175" s="127"/>
      <c r="L175" s="127"/>
      <c r="M175" s="127"/>
      <c r="N175" s="127"/>
      <c r="O175" s="127"/>
      <c r="P175" s="127"/>
      <c r="Q175" s="127"/>
      <c r="R175" s="127"/>
      <c r="S175" s="127"/>
      <c r="T175" s="127"/>
      <c r="U175" s="127"/>
      <c r="V175" s="127"/>
      <c r="W175" s="127"/>
      <c r="X175" s="127"/>
      <c r="Y175" s="127"/>
      <c r="Z175" s="127"/>
    </row>
    <row r="176" customFormat="false" ht="15.75" hidden="false" customHeight="false" outlineLevel="0" collapsed="false">
      <c r="A176" s="127"/>
      <c r="B176" s="127"/>
      <c r="C176" s="127"/>
      <c r="D176" s="127"/>
      <c r="E176" s="127"/>
      <c r="F176" s="127"/>
      <c r="G176" s="127"/>
      <c r="H176" s="127"/>
      <c r="I176" s="127"/>
      <c r="J176" s="127"/>
      <c r="K176" s="127"/>
      <c r="L176" s="127"/>
      <c r="M176" s="127"/>
      <c r="N176" s="127"/>
      <c r="O176" s="127"/>
      <c r="P176" s="127"/>
      <c r="Q176" s="127"/>
      <c r="R176" s="127"/>
      <c r="S176" s="127"/>
      <c r="T176" s="127"/>
      <c r="U176" s="127"/>
      <c r="V176" s="127"/>
      <c r="W176" s="127"/>
      <c r="X176" s="127"/>
      <c r="Y176" s="127"/>
      <c r="Z176" s="127"/>
    </row>
    <row r="177" customFormat="false" ht="15.75" hidden="false" customHeight="false" outlineLevel="0" collapsed="false">
      <c r="A177" s="127"/>
      <c r="B177" s="127"/>
      <c r="C177" s="127"/>
      <c r="D177" s="127"/>
      <c r="E177" s="127"/>
      <c r="F177" s="127"/>
      <c r="G177" s="127"/>
      <c r="H177" s="127"/>
      <c r="I177" s="127"/>
      <c r="J177" s="127"/>
      <c r="K177" s="127"/>
      <c r="L177" s="127"/>
      <c r="M177" s="127"/>
      <c r="N177" s="127"/>
      <c r="O177" s="127"/>
      <c r="P177" s="127"/>
      <c r="Q177" s="127"/>
      <c r="R177" s="127"/>
      <c r="S177" s="127"/>
      <c r="T177" s="127"/>
      <c r="U177" s="127"/>
      <c r="V177" s="127"/>
      <c r="W177" s="127"/>
      <c r="X177" s="127"/>
      <c r="Y177" s="127"/>
      <c r="Z177" s="127"/>
    </row>
    <row r="178" customFormat="false" ht="15.75" hidden="false" customHeight="false" outlineLevel="0" collapsed="false">
      <c r="A178" s="127"/>
      <c r="B178" s="127"/>
      <c r="C178" s="127"/>
      <c r="D178" s="127"/>
      <c r="E178" s="127"/>
      <c r="F178" s="127"/>
      <c r="G178" s="127"/>
      <c r="H178" s="127"/>
      <c r="I178" s="127"/>
      <c r="J178" s="127"/>
      <c r="K178" s="127"/>
      <c r="L178" s="127"/>
      <c r="M178" s="127"/>
      <c r="N178" s="127"/>
      <c r="O178" s="127"/>
      <c r="P178" s="127"/>
      <c r="Q178" s="127"/>
      <c r="R178" s="127"/>
      <c r="S178" s="127"/>
      <c r="T178" s="127"/>
      <c r="U178" s="127"/>
      <c r="V178" s="127"/>
      <c r="W178" s="127"/>
      <c r="X178" s="127"/>
      <c r="Y178" s="127"/>
      <c r="Z178" s="127"/>
    </row>
    <row r="179" customFormat="false" ht="15.75" hidden="false" customHeight="false" outlineLevel="0" collapsed="false">
      <c r="A179" s="127"/>
      <c r="B179" s="127"/>
      <c r="C179" s="127"/>
      <c r="D179" s="127"/>
      <c r="E179" s="127"/>
      <c r="F179" s="127"/>
      <c r="G179" s="127"/>
      <c r="H179" s="127"/>
      <c r="I179" s="127"/>
      <c r="J179" s="127"/>
      <c r="K179" s="127"/>
      <c r="L179" s="127"/>
      <c r="M179" s="127"/>
      <c r="N179" s="127"/>
      <c r="O179" s="127"/>
      <c r="P179" s="127"/>
      <c r="Q179" s="127"/>
      <c r="R179" s="127"/>
      <c r="S179" s="127"/>
      <c r="T179" s="127"/>
      <c r="U179" s="127"/>
      <c r="V179" s="127"/>
      <c r="W179" s="127"/>
      <c r="X179" s="127"/>
      <c r="Y179" s="127"/>
      <c r="Z179" s="127"/>
    </row>
    <row r="180" customFormat="false" ht="15.75" hidden="false" customHeight="false" outlineLevel="0" collapsed="false">
      <c r="A180" s="127"/>
      <c r="B180" s="127"/>
      <c r="C180" s="127"/>
      <c r="D180" s="127"/>
      <c r="E180" s="127"/>
      <c r="F180" s="127"/>
      <c r="G180" s="127"/>
      <c r="H180" s="127"/>
      <c r="I180" s="127"/>
      <c r="J180" s="127"/>
      <c r="K180" s="127"/>
      <c r="L180" s="127"/>
      <c r="M180" s="127"/>
      <c r="N180" s="127"/>
      <c r="O180" s="127"/>
      <c r="P180" s="127"/>
      <c r="Q180" s="127"/>
      <c r="R180" s="127"/>
      <c r="S180" s="127"/>
      <c r="T180" s="127"/>
      <c r="U180" s="127"/>
      <c r="V180" s="127"/>
      <c r="W180" s="127"/>
      <c r="X180" s="127"/>
      <c r="Y180" s="127"/>
      <c r="Z180" s="127"/>
    </row>
    <row r="181" customFormat="false" ht="15.75" hidden="false" customHeight="false" outlineLevel="0" collapsed="false">
      <c r="A181" s="127"/>
      <c r="B181" s="127"/>
      <c r="C181" s="127"/>
      <c r="D181" s="127"/>
      <c r="E181" s="127"/>
      <c r="F181" s="127"/>
      <c r="G181" s="127"/>
      <c r="H181" s="127"/>
      <c r="I181" s="127"/>
      <c r="J181" s="127"/>
      <c r="K181" s="127"/>
      <c r="L181" s="127"/>
      <c r="M181" s="127"/>
      <c r="N181" s="127"/>
      <c r="O181" s="127"/>
      <c r="P181" s="127"/>
      <c r="Q181" s="127"/>
      <c r="R181" s="127"/>
      <c r="S181" s="127"/>
      <c r="T181" s="127"/>
      <c r="U181" s="127"/>
      <c r="V181" s="127"/>
      <c r="W181" s="127"/>
      <c r="X181" s="127"/>
      <c r="Y181" s="127"/>
      <c r="Z181" s="127"/>
    </row>
    <row r="182" customFormat="false" ht="15.75" hidden="false" customHeight="false" outlineLevel="0" collapsed="false">
      <c r="A182" s="127"/>
      <c r="B182" s="127"/>
      <c r="C182" s="127"/>
      <c r="D182" s="127"/>
      <c r="E182" s="127"/>
      <c r="F182" s="127"/>
      <c r="G182" s="127"/>
      <c r="H182" s="127"/>
      <c r="I182" s="127"/>
      <c r="J182" s="127"/>
      <c r="K182" s="127"/>
      <c r="L182" s="127"/>
      <c r="M182" s="127"/>
      <c r="N182" s="127"/>
      <c r="O182" s="127"/>
      <c r="P182" s="127"/>
      <c r="Q182" s="127"/>
      <c r="R182" s="127"/>
      <c r="S182" s="127"/>
      <c r="T182" s="127"/>
      <c r="U182" s="127"/>
      <c r="V182" s="127"/>
      <c r="W182" s="127"/>
      <c r="X182" s="127"/>
      <c r="Y182" s="127"/>
      <c r="Z182" s="127"/>
    </row>
    <row r="183" customFormat="false" ht="15.75" hidden="false" customHeight="false" outlineLevel="0" collapsed="false">
      <c r="A183" s="127"/>
      <c r="B183" s="127"/>
      <c r="C183" s="127"/>
      <c r="D183" s="127"/>
      <c r="E183" s="127"/>
      <c r="F183" s="127"/>
      <c r="G183" s="127"/>
      <c r="H183" s="127"/>
      <c r="I183" s="127"/>
      <c r="J183" s="127"/>
      <c r="K183" s="127"/>
      <c r="L183" s="127"/>
      <c r="M183" s="127"/>
      <c r="N183" s="127"/>
      <c r="O183" s="127"/>
      <c r="P183" s="127"/>
      <c r="Q183" s="127"/>
      <c r="R183" s="127"/>
      <c r="S183" s="127"/>
      <c r="T183" s="127"/>
      <c r="U183" s="127"/>
      <c r="V183" s="127"/>
      <c r="W183" s="127"/>
      <c r="X183" s="127"/>
      <c r="Y183" s="127"/>
      <c r="Z183" s="127"/>
    </row>
    <row r="184" customFormat="false" ht="15.75" hidden="false" customHeight="false" outlineLevel="0" collapsed="false">
      <c r="A184" s="127"/>
      <c r="B184" s="127"/>
      <c r="C184" s="127"/>
      <c r="D184" s="127"/>
      <c r="E184" s="127"/>
      <c r="F184" s="127"/>
      <c r="G184" s="127"/>
      <c r="H184" s="127"/>
      <c r="I184" s="127"/>
      <c r="J184" s="127"/>
      <c r="K184" s="127"/>
      <c r="L184" s="127"/>
      <c r="M184" s="127"/>
      <c r="N184" s="127"/>
      <c r="O184" s="127"/>
      <c r="P184" s="127"/>
      <c r="Q184" s="127"/>
      <c r="R184" s="127"/>
      <c r="S184" s="127"/>
      <c r="T184" s="127"/>
      <c r="U184" s="127"/>
      <c r="V184" s="127"/>
      <c r="W184" s="127"/>
      <c r="X184" s="127"/>
      <c r="Y184" s="127"/>
      <c r="Z184" s="127"/>
    </row>
    <row r="185" customFormat="false" ht="15.75" hidden="false" customHeight="false" outlineLevel="0" collapsed="false">
      <c r="A185" s="127"/>
      <c r="B185" s="127"/>
      <c r="C185" s="127"/>
      <c r="D185" s="127"/>
      <c r="E185" s="127"/>
      <c r="F185" s="127"/>
      <c r="G185" s="127"/>
      <c r="H185" s="127"/>
      <c r="I185" s="127"/>
      <c r="J185" s="127"/>
      <c r="K185" s="127"/>
      <c r="L185" s="127"/>
      <c r="M185" s="127"/>
      <c r="N185" s="127"/>
      <c r="O185" s="127"/>
      <c r="P185" s="127"/>
      <c r="Q185" s="127"/>
      <c r="R185" s="127"/>
      <c r="S185" s="127"/>
      <c r="T185" s="127"/>
      <c r="U185" s="127"/>
      <c r="V185" s="127"/>
      <c r="W185" s="127"/>
      <c r="X185" s="127"/>
      <c r="Y185" s="127"/>
      <c r="Z185" s="127"/>
    </row>
    <row r="186" customFormat="false" ht="15.75" hidden="false" customHeight="false" outlineLevel="0" collapsed="false">
      <c r="A186" s="127"/>
      <c r="B186" s="127"/>
      <c r="C186" s="127"/>
      <c r="D186" s="127"/>
      <c r="E186" s="127"/>
      <c r="F186" s="127"/>
      <c r="G186" s="127"/>
      <c r="H186" s="127"/>
      <c r="I186" s="127"/>
      <c r="J186" s="127"/>
      <c r="K186" s="127"/>
      <c r="L186" s="127"/>
      <c r="M186" s="127"/>
      <c r="N186" s="127"/>
      <c r="O186" s="127"/>
      <c r="P186" s="127"/>
      <c r="Q186" s="127"/>
      <c r="R186" s="127"/>
      <c r="S186" s="127"/>
      <c r="T186" s="127"/>
      <c r="U186" s="127"/>
      <c r="V186" s="127"/>
      <c r="W186" s="127"/>
      <c r="X186" s="127"/>
      <c r="Y186" s="127"/>
      <c r="Z186" s="127"/>
    </row>
    <row r="187" customFormat="false" ht="15.75" hidden="false" customHeight="false" outlineLevel="0" collapsed="false">
      <c r="A187" s="127"/>
      <c r="B187" s="127"/>
      <c r="C187" s="127"/>
      <c r="D187" s="127"/>
      <c r="E187" s="127"/>
      <c r="F187" s="127"/>
      <c r="G187" s="127"/>
      <c r="H187" s="127"/>
      <c r="I187" s="127"/>
      <c r="J187" s="127"/>
      <c r="K187" s="127"/>
      <c r="L187" s="127"/>
      <c r="M187" s="127"/>
      <c r="N187" s="127"/>
      <c r="O187" s="127"/>
      <c r="P187" s="127"/>
      <c r="Q187" s="127"/>
      <c r="R187" s="127"/>
      <c r="S187" s="127"/>
      <c r="T187" s="127"/>
      <c r="U187" s="127"/>
      <c r="V187" s="127"/>
      <c r="W187" s="127"/>
      <c r="X187" s="127"/>
      <c r="Y187" s="127"/>
      <c r="Z187" s="127"/>
    </row>
    <row r="188" customFormat="false" ht="15.75" hidden="false" customHeight="false" outlineLevel="0" collapsed="false">
      <c r="A188" s="127"/>
      <c r="B188" s="127"/>
      <c r="C188" s="127"/>
      <c r="D188" s="127"/>
      <c r="E188" s="127"/>
      <c r="F188" s="127"/>
      <c r="G188" s="127"/>
      <c r="H188" s="127"/>
      <c r="I188" s="127"/>
      <c r="J188" s="127"/>
      <c r="K188" s="127"/>
      <c r="L188" s="127"/>
      <c r="M188" s="127"/>
      <c r="N188" s="127"/>
      <c r="O188" s="127"/>
      <c r="P188" s="127"/>
      <c r="Q188" s="127"/>
      <c r="R188" s="127"/>
      <c r="S188" s="127"/>
      <c r="T188" s="127"/>
      <c r="U188" s="127"/>
      <c r="V188" s="127"/>
      <c r="W188" s="127"/>
      <c r="X188" s="127"/>
      <c r="Y188" s="127"/>
      <c r="Z188" s="127"/>
    </row>
    <row r="189" customFormat="false" ht="15.75" hidden="false" customHeight="false" outlineLevel="0" collapsed="false">
      <c r="A189" s="127"/>
      <c r="B189" s="127"/>
      <c r="C189" s="127"/>
      <c r="D189" s="127"/>
      <c r="E189" s="127"/>
      <c r="F189" s="127"/>
      <c r="G189" s="127"/>
      <c r="H189" s="127"/>
      <c r="I189" s="127"/>
      <c r="J189" s="127"/>
      <c r="K189" s="127"/>
      <c r="L189" s="127"/>
      <c r="M189" s="127"/>
      <c r="N189" s="127"/>
      <c r="O189" s="127"/>
      <c r="P189" s="127"/>
      <c r="Q189" s="127"/>
      <c r="R189" s="127"/>
      <c r="S189" s="127"/>
      <c r="T189" s="127"/>
      <c r="U189" s="127"/>
      <c r="V189" s="127"/>
      <c r="W189" s="127"/>
      <c r="X189" s="127"/>
      <c r="Y189" s="127"/>
      <c r="Z189" s="127"/>
    </row>
    <row r="190" customFormat="false" ht="15.75" hidden="false" customHeight="false" outlineLevel="0" collapsed="false">
      <c r="A190" s="127"/>
      <c r="B190" s="127"/>
      <c r="C190" s="127"/>
      <c r="D190" s="127"/>
      <c r="E190" s="127"/>
      <c r="F190" s="127"/>
      <c r="G190" s="127"/>
      <c r="H190" s="127"/>
      <c r="I190" s="127"/>
      <c r="J190" s="127"/>
      <c r="K190" s="127"/>
      <c r="L190" s="127"/>
      <c r="M190" s="127"/>
      <c r="N190" s="127"/>
      <c r="O190" s="127"/>
      <c r="P190" s="127"/>
      <c r="Q190" s="127"/>
      <c r="R190" s="127"/>
      <c r="S190" s="127"/>
      <c r="T190" s="127"/>
      <c r="U190" s="127"/>
      <c r="V190" s="127"/>
      <c r="W190" s="127"/>
      <c r="X190" s="127"/>
      <c r="Y190" s="127"/>
      <c r="Z190" s="127"/>
    </row>
    <row r="191" customFormat="false" ht="15.75" hidden="false" customHeight="false" outlineLevel="0" collapsed="false">
      <c r="A191" s="127"/>
      <c r="B191" s="127"/>
      <c r="C191" s="127"/>
      <c r="D191" s="127"/>
      <c r="E191" s="127"/>
      <c r="F191" s="127"/>
      <c r="G191" s="127"/>
      <c r="H191" s="127"/>
      <c r="I191" s="127"/>
      <c r="J191" s="127"/>
      <c r="K191" s="127"/>
      <c r="L191" s="127"/>
      <c r="M191" s="127"/>
      <c r="N191" s="127"/>
      <c r="O191" s="127"/>
      <c r="P191" s="127"/>
      <c r="Q191" s="127"/>
      <c r="R191" s="127"/>
      <c r="S191" s="127"/>
      <c r="T191" s="127"/>
      <c r="U191" s="127"/>
      <c r="V191" s="127"/>
      <c r="W191" s="127"/>
      <c r="X191" s="127"/>
      <c r="Y191" s="127"/>
      <c r="Z191" s="127"/>
    </row>
    <row r="192" customFormat="false" ht="15.75" hidden="false" customHeight="false" outlineLevel="0" collapsed="false">
      <c r="A192" s="127"/>
      <c r="B192" s="127"/>
      <c r="C192" s="127"/>
      <c r="D192" s="127"/>
      <c r="E192" s="127"/>
      <c r="F192" s="127"/>
      <c r="G192" s="127"/>
      <c r="H192" s="127"/>
      <c r="I192" s="127"/>
      <c r="J192" s="127"/>
      <c r="K192" s="127"/>
      <c r="L192" s="127"/>
      <c r="M192" s="127"/>
      <c r="N192" s="127"/>
      <c r="O192" s="127"/>
      <c r="P192" s="127"/>
      <c r="Q192" s="127"/>
      <c r="R192" s="127"/>
      <c r="S192" s="127"/>
      <c r="T192" s="127"/>
      <c r="U192" s="127"/>
      <c r="V192" s="127"/>
      <c r="W192" s="127"/>
      <c r="X192" s="127"/>
      <c r="Y192" s="127"/>
      <c r="Z192" s="127"/>
    </row>
    <row r="193" customFormat="false" ht="15.75" hidden="false" customHeight="false" outlineLevel="0" collapsed="false">
      <c r="A193" s="127"/>
      <c r="B193" s="127"/>
      <c r="C193" s="127"/>
      <c r="D193" s="127"/>
      <c r="E193" s="127"/>
      <c r="F193" s="127"/>
      <c r="G193" s="127"/>
      <c r="H193" s="127"/>
      <c r="I193" s="127"/>
      <c r="J193" s="127"/>
      <c r="K193" s="127"/>
      <c r="L193" s="127"/>
      <c r="M193" s="127"/>
      <c r="N193" s="127"/>
      <c r="O193" s="127"/>
      <c r="P193" s="127"/>
      <c r="Q193" s="127"/>
      <c r="R193" s="127"/>
      <c r="S193" s="127"/>
      <c r="T193" s="127"/>
      <c r="U193" s="127"/>
      <c r="V193" s="127"/>
      <c r="W193" s="127"/>
      <c r="X193" s="127"/>
      <c r="Y193" s="127"/>
      <c r="Z193" s="127"/>
    </row>
    <row r="194" customFormat="false" ht="15.75" hidden="false" customHeight="false" outlineLevel="0" collapsed="false">
      <c r="A194" s="127"/>
      <c r="B194" s="127"/>
      <c r="C194" s="127"/>
      <c r="D194" s="127"/>
      <c r="E194" s="127"/>
      <c r="F194" s="127"/>
      <c r="G194" s="127"/>
      <c r="H194" s="127"/>
      <c r="I194" s="127"/>
      <c r="J194" s="127"/>
      <c r="K194" s="127"/>
      <c r="L194" s="127"/>
      <c r="M194" s="127"/>
      <c r="N194" s="127"/>
      <c r="O194" s="127"/>
      <c r="P194" s="127"/>
      <c r="Q194" s="127"/>
      <c r="R194" s="127"/>
      <c r="S194" s="127"/>
      <c r="T194" s="127"/>
      <c r="U194" s="127"/>
      <c r="V194" s="127"/>
      <c r="W194" s="127"/>
      <c r="X194" s="127"/>
      <c r="Y194" s="127"/>
      <c r="Z194" s="127"/>
    </row>
    <row r="195" customFormat="false" ht="15.75" hidden="false" customHeight="false" outlineLevel="0" collapsed="false">
      <c r="A195" s="127"/>
      <c r="B195" s="127"/>
      <c r="C195" s="127"/>
      <c r="D195" s="127"/>
      <c r="E195" s="127"/>
      <c r="F195" s="127"/>
      <c r="G195" s="127"/>
      <c r="H195" s="127"/>
      <c r="I195" s="127"/>
      <c r="J195" s="127"/>
      <c r="K195" s="127"/>
      <c r="L195" s="127"/>
      <c r="M195" s="127"/>
      <c r="N195" s="127"/>
      <c r="O195" s="127"/>
      <c r="P195" s="127"/>
      <c r="Q195" s="127"/>
      <c r="R195" s="127"/>
      <c r="S195" s="127"/>
      <c r="T195" s="127"/>
      <c r="U195" s="127"/>
      <c r="V195" s="127"/>
      <c r="W195" s="127"/>
      <c r="X195" s="127"/>
      <c r="Y195" s="127"/>
      <c r="Z195" s="127"/>
    </row>
    <row r="196" customFormat="false" ht="15.75" hidden="false" customHeight="false" outlineLevel="0" collapsed="false">
      <c r="A196" s="127"/>
      <c r="B196" s="127"/>
      <c r="C196" s="127"/>
      <c r="D196" s="127"/>
      <c r="E196" s="127"/>
      <c r="F196" s="127"/>
      <c r="G196" s="127"/>
      <c r="H196" s="127"/>
      <c r="I196" s="127"/>
      <c r="J196" s="127"/>
      <c r="K196" s="127"/>
      <c r="L196" s="127"/>
      <c r="M196" s="127"/>
      <c r="N196" s="127"/>
      <c r="O196" s="127"/>
      <c r="P196" s="127"/>
      <c r="Q196" s="127"/>
      <c r="R196" s="127"/>
      <c r="S196" s="127"/>
      <c r="T196" s="127"/>
      <c r="U196" s="127"/>
      <c r="V196" s="127"/>
      <c r="W196" s="127"/>
      <c r="X196" s="127"/>
      <c r="Y196" s="127"/>
      <c r="Z196" s="127"/>
    </row>
    <row r="197" customFormat="false" ht="15.75" hidden="false" customHeight="false" outlineLevel="0" collapsed="false">
      <c r="A197" s="127"/>
      <c r="B197" s="127"/>
      <c r="C197" s="127"/>
      <c r="D197" s="127"/>
      <c r="E197" s="127"/>
      <c r="F197" s="127"/>
      <c r="G197" s="127"/>
      <c r="H197" s="127"/>
      <c r="I197" s="127"/>
      <c r="J197" s="127"/>
      <c r="K197" s="127"/>
      <c r="L197" s="127"/>
      <c r="M197" s="127"/>
      <c r="N197" s="127"/>
      <c r="O197" s="127"/>
      <c r="P197" s="127"/>
      <c r="Q197" s="127"/>
      <c r="R197" s="127"/>
      <c r="S197" s="127"/>
      <c r="T197" s="127"/>
      <c r="U197" s="127"/>
      <c r="V197" s="127"/>
      <c r="W197" s="127"/>
      <c r="X197" s="127"/>
      <c r="Y197" s="127"/>
      <c r="Z197" s="127"/>
    </row>
    <row r="198" customFormat="false" ht="15.75" hidden="false" customHeight="false" outlineLevel="0" collapsed="false">
      <c r="A198" s="127"/>
      <c r="B198" s="127"/>
      <c r="C198" s="127"/>
      <c r="D198" s="127"/>
      <c r="E198" s="127"/>
      <c r="F198" s="127"/>
      <c r="G198" s="127"/>
      <c r="H198" s="127"/>
      <c r="I198" s="127"/>
      <c r="J198" s="127"/>
      <c r="K198" s="127"/>
      <c r="L198" s="127"/>
      <c r="M198" s="127"/>
      <c r="N198" s="127"/>
      <c r="O198" s="127"/>
      <c r="P198" s="127"/>
      <c r="Q198" s="127"/>
      <c r="R198" s="127"/>
      <c r="S198" s="127"/>
      <c r="T198" s="127"/>
      <c r="U198" s="127"/>
      <c r="V198" s="127"/>
      <c r="W198" s="127"/>
      <c r="X198" s="127"/>
      <c r="Y198" s="127"/>
      <c r="Z198" s="127"/>
    </row>
    <row r="199" customFormat="false" ht="15.75" hidden="false" customHeight="false" outlineLevel="0" collapsed="false">
      <c r="A199" s="127"/>
      <c r="B199" s="127"/>
      <c r="C199" s="127"/>
      <c r="D199" s="127"/>
      <c r="E199" s="127"/>
      <c r="F199" s="127"/>
      <c r="G199" s="127"/>
      <c r="H199" s="127"/>
      <c r="I199" s="127"/>
      <c r="J199" s="127"/>
      <c r="K199" s="127"/>
      <c r="L199" s="127"/>
      <c r="M199" s="127"/>
      <c r="N199" s="127"/>
      <c r="O199" s="127"/>
      <c r="P199" s="127"/>
      <c r="Q199" s="127"/>
      <c r="R199" s="127"/>
      <c r="S199" s="127"/>
      <c r="T199" s="127"/>
      <c r="U199" s="127"/>
      <c r="V199" s="127"/>
      <c r="W199" s="127"/>
      <c r="X199" s="127"/>
      <c r="Y199" s="127"/>
      <c r="Z199" s="127"/>
    </row>
    <row r="200" customFormat="false" ht="15.75" hidden="false" customHeight="false" outlineLevel="0" collapsed="false">
      <c r="A200" s="127"/>
      <c r="B200" s="127"/>
      <c r="C200" s="127"/>
      <c r="D200" s="127"/>
      <c r="E200" s="127"/>
      <c r="F200" s="127"/>
      <c r="G200" s="127"/>
      <c r="H200" s="127"/>
      <c r="I200" s="127"/>
      <c r="J200" s="127"/>
      <c r="K200" s="127"/>
      <c r="L200" s="127"/>
      <c r="M200" s="127"/>
      <c r="N200" s="127"/>
      <c r="O200" s="127"/>
      <c r="P200" s="127"/>
      <c r="Q200" s="127"/>
      <c r="R200" s="127"/>
      <c r="S200" s="127"/>
      <c r="T200" s="127"/>
      <c r="U200" s="127"/>
      <c r="V200" s="127"/>
      <c r="W200" s="127"/>
      <c r="X200" s="127"/>
      <c r="Y200" s="127"/>
      <c r="Z200" s="127"/>
    </row>
    <row r="201" customFormat="false" ht="15.75" hidden="false" customHeight="false" outlineLevel="0" collapsed="false">
      <c r="A201" s="127"/>
      <c r="B201" s="127"/>
      <c r="C201" s="127"/>
      <c r="D201" s="127"/>
      <c r="E201" s="127"/>
      <c r="F201" s="127"/>
      <c r="G201" s="127"/>
      <c r="H201" s="127"/>
      <c r="I201" s="127"/>
      <c r="J201" s="127"/>
      <c r="K201" s="127"/>
      <c r="L201" s="127"/>
      <c r="M201" s="127"/>
      <c r="N201" s="127"/>
      <c r="O201" s="127"/>
      <c r="P201" s="127"/>
      <c r="Q201" s="127"/>
      <c r="R201" s="127"/>
      <c r="S201" s="127"/>
      <c r="T201" s="127"/>
      <c r="U201" s="127"/>
      <c r="V201" s="127"/>
      <c r="W201" s="127"/>
      <c r="X201" s="127"/>
      <c r="Y201" s="127"/>
      <c r="Z201" s="127"/>
    </row>
    <row r="202" customFormat="false" ht="15.75" hidden="false" customHeight="false" outlineLevel="0" collapsed="false">
      <c r="A202" s="127"/>
      <c r="B202" s="127"/>
      <c r="C202" s="127"/>
      <c r="D202" s="127"/>
      <c r="E202" s="127"/>
      <c r="F202" s="127"/>
      <c r="G202" s="127"/>
      <c r="H202" s="127"/>
      <c r="I202" s="127"/>
      <c r="J202" s="127"/>
      <c r="K202" s="127"/>
      <c r="L202" s="127"/>
      <c r="M202" s="127"/>
      <c r="N202" s="127"/>
      <c r="O202" s="127"/>
      <c r="P202" s="127"/>
      <c r="Q202" s="127"/>
      <c r="R202" s="127"/>
      <c r="S202" s="127"/>
      <c r="T202" s="127"/>
      <c r="U202" s="127"/>
      <c r="V202" s="127"/>
      <c r="W202" s="127"/>
      <c r="X202" s="127"/>
      <c r="Y202" s="127"/>
      <c r="Z202" s="127"/>
    </row>
    <row r="203" customFormat="false" ht="15.75" hidden="false" customHeight="false" outlineLevel="0" collapsed="false">
      <c r="A203" s="127"/>
      <c r="B203" s="127"/>
      <c r="C203" s="127"/>
      <c r="D203" s="127"/>
      <c r="E203" s="127"/>
      <c r="F203" s="127"/>
      <c r="G203" s="127"/>
      <c r="H203" s="127"/>
      <c r="I203" s="127"/>
      <c r="J203" s="127"/>
      <c r="K203" s="127"/>
      <c r="L203" s="127"/>
      <c r="M203" s="127"/>
      <c r="N203" s="127"/>
      <c r="O203" s="127"/>
      <c r="P203" s="127"/>
      <c r="Q203" s="127"/>
      <c r="R203" s="127"/>
      <c r="S203" s="127"/>
      <c r="T203" s="127"/>
      <c r="U203" s="127"/>
      <c r="V203" s="127"/>
      <c r="W203" s="127"/>
      <c r="X203" s="127"/>
      <c r="Y203" s="127"/>
      <c r="Z203" s="127"/>
    </row>
    <row r="204" customFormat="false" ht="15.75" hidden="false" customHeight="false" outlineLevel="0" collapsed="false">
      <c r="A204" s="127"/>
      <c r="B204" s="127"/>
      <c r="C204" s="127"/>
      <c r="D204" s="127"/>
      <c r="E204" s="127"/>
      <c r="F204" s="127"/>
      <c r="G204" s="127"/>
      <c r="H204" s="127"/>
      <c r="I204" s="127"/>
      <c r="J204" s="127"/>
      <c r="K204" s="127"/>
      <c r="L204" s="127"/>
      <c r="M204" s="127"/>
      <c r="N204" s="127"/>
      <c r="O204" s="127"/>
      <c r="P204" s="127"/>
      <c r="Q204" s="127"/>
      <c r="R204" s="127"/>
      <c r="S204" s="127"/>
      <c r="T204" s="127"/>
      <c r="U204" s="127"/>
      <c r="V204" s="127"/>
      <c r="W204" s="127"/>
      <c r="X204" s="127"/>
      <c r="Y204" s="127"/>
      <c r="Z204" s="127"/>
    </row>
    <row r="205" customFormat="false" ht="15.75" hidden="false" customHeight="false" outlineLevel="0" collapsed="false">
      <c r="A205" s="127"/>
      <c r="B205" s="127"/>
      <c r="C205" s="127"/>
      <c r="D205" s="127"/>
      <c r="E205" s="127"/>
      <c r="F205" s="127"/>
      <c r="G205" s="127"/>
      <c r="H205" s="127"/>
      <c r="I205" s="127"/>
      <c r="J205" s="127"/>
      <c r="K205" s="127"/>
      <c r="L205" s="127"/>
      <c r="M205" s="127"/>
      <c r="N205" s="127"/>
      <c r="O205" s="127"/>
      <c r="P205" s="127"/>
      <c r="Q205" s="127"/>
      <c r="R205" s="127"/>
      <c r="S205" s="127"/>
      <c r="T205" s="127"/>
      <c r="U205" s="127"/>
      <c r="V205" s="127"/>
      <c r="W205" s="127"/>
      <c r="X205" s="127"/>
      <c r="Y205" s="127"/>
      <c r="Z205" s="127"/>
    </row>
    <row r="206" customFormat="false" ht="15.75" hidden="false" customHeight="false" outlineLevel="0" collapsed="false">
      <c r="A206" s="127"/>
      <c r="B206" s="127"/>
      <c r="C206" s="127"/>
      <c r="D206" s="127"/>
      <c r="E206" s="127"/>
      <c r="F206" s="127"/>
      <c r="G206" s="127"/>
      <c r="H206" s="127"/>
      <c r="I206" s="127"/>
      <c r="J206" s="127"/>
      <c r="K206" s="127"/>
      <c r="L206" s="127"/>
      <c r="M206" s="127"/>
      <c r="N206" s="127"/>
      <c r="O206" s="127"/>
      <c r="P206" s="127"/>
      <c r="Q206" s="127"/>
      <c r="R206" s="127"/>
      <c r="S206" s="127"/>
      <c r="T206" s="127"/>
      <c r="U206" s="127"/>
      <c r="V206" s="127"/>
      <c r="W206" s="127"/>
      <c r="X206" s="127"/>
      <c r="Y206" s="127"/>
      <c r="Z206" s="127"/>
    </row>
    <row r="207" customFormat="false" ht="15.75" hidden="false" customHeight="false" outlineLevel="0" collapsed="false">
      <c r="A207" s="127"/>
      <c r="B207" s="127"/>
      <c r="C207" s="127"/>
      <c r="D207" s="127"/>
      <c r="E207" s="127"/>
      <c r="F207" s="127"/>
      <c r="G207" s="127"/>
      <c r="H207" s="127"/>
      <c r="I207" s="127"/>
      <c r="J207" s="127"/>
      <c r="K207" s="127"/>
      <c r="L207" s="127"/>
      <c r="M207" s="127"/>
      <c r="N207" s="127"/>
      <c r="O207" s="127"/>
      <c r="P207" s="127"/>
      <c r="Q207" s="127"/>
      <c r="R207" s="127"/>
      <c r="S207" s="127"/>
      <c r="T207" s="127"/>
      <c r="U207" s="127"/>
      <c r="V207" s="127"/>
      <c r="W207" s="127"/>
      <c r="X207" s="127"/>
      <c r="Y207" s="127"/>
      <c r="Z207" s="127"/>
    </row>
    <row r="208" customFormat="false" ht="15.75" hidden="false" customHeight="false" outlineLevel="0" collapsed="false">
      <c r="A208" s="127"/>
      <c r="B208" s="127"/>
      <c r="C208" s="127"/>
      <c r="D208" s="127"/>
      <c r="E208" s="127"/>
      <c r="F208" s="127"/>
      <c r="G208" s="127"/>
      <c r="H208" s="127"/>
      <c r="I208" s="127"/>
      <c r="J208" s="127"/>
      <c r="K208" s="127"/>
      <c r="L208" s="127"/>
      <c r="M208" s="127"/>
      <c r="N208" s="127"/>
      <c r="O208" s="127"/>
      <c r="P208" s="127"/>
      <c r="Q208" s="127"/>
      <c r="R208" s="127"/>
      <c r="S208" s="127"/>
      <c r="T208" s="127"/>
      <c r="U208" s="127"/>
      <c r="V208" s="127"/>
      <c r="W208" s="127"/>
      <c r="X208" s="127"/>
      <c r="Y208" s="127"/>
      <c r="Z208" s="127"/>
    </row>
    <row r="209" customFormat="false" ht="15.75" hidden="false" customHeight="false" outlineLevel="0" collapsed="false">
      <c r="A209" s="127"/>
      <c r="B209" s="127"/>
      <c r="C209" s="127"/>
      <c r="D209" s="127"/>
      <c r="E209" s="127"/>
      <c r="F209" s="127"/>
      <c r="G209" s="127"/>
      <c r="H209" s="127"/>
      <c r="I209" s="127"/>
      <c r="J209" s="127"/>
      <c r="K209" s="127"/>
      <c r="L209" s="127"/>
      <c r="M209" s="127"/>
      <c r="N209" s="127"/>
      <c r="O209" s="127"/>
      <c r="P209" s="127"/>
      <c r="Q209" s="127"/>
      <c r="R209" s="127"/>
      <c r="S209" s="127"/>
      <c r="T209" s="127"/>
      <c r="U209" s="127"/>
      <c r="V209" s="127"/>
      <c r="W209" s="127"/>
      <c r="X209" s="127"/>
      <c r="Y209" s="127"/>
      <c r="Z209" s="127"/>
    </row>
    <row r="210" customFormat="false" ht="15.75" hidden="false" customHeight="false" outlineLevel="0" collapsed="false">
      <c r="A210" s="127"/>
      <c r="B210" s="127"/>
      <c r="C210" s="127"/>
      <c r="D210" s="127"/>
      <c r="E210" s="127"/>
      <c r="F210" s="127"/>
      <c r="G210" s="127"/>
      <c r="H210" s="127"/>
      <c r="I210" s="127"/>
      <c r="J210" s="127"/>
      <c r="K210" s="127"/>
      <c r="L210" s="127"/>
      <c r="M210" s="127"/>
      <c r="N210" s="127"/>
      <c r="O210" s="127"/>
      <c r="P210" s="127"/>
      <c r="Q210" s="127"/>
      <c r="R210" s="127"/>
      <c r="S210" s="127"/>
      <c r="T210" s="127"/>
      <c r="U210" s="127"/>
      <c r="V210" s="127"/>
      <c r="W210" s="127"/>
      <c r="X210" s="127"/>
      <c r="Y210" s="127"/>
      <c r="Z210" s="127"/>
    </row>
    <row r="211" customFormat="false" ht="15.75" hidden="false" customHeight="false" outlineLevel="0" collapsed="false">
      <c r="A211" s="127"/>
      <c r="B211" s="127"/>
      <c r="C211" s="127"/>
      <c r="D211" s="127"/>
      <c r="E211" s="127"/>
      <c r="F211" s="127"/>
      <c r="G211" s="127"/>
      <c r="H211" s="127"/>
      <c r="I211" s="127"/>
      <c r="J211" s="127"/>
      <c r="K211" s="127"/>
      <c r="L211" s="127"/>
      <c r="M211" s="127"/>
      <c r="N211" s="127"/>
      <c r="O211" s="127"/>
      <c r="P211" s="127"/>
      <c r="Q211" s="127"/>
      <c r="R211" s="127"/>
      <c r="S211" s="127"/>
      <c r="T211" s="127"/>
      <c r="U211" s="127"/>
      <c r="V211" s="127"/>
      <c r="W211" s="127"/>
      <c r="X211" s="127"/>
      <c r="Y211" s="127"/>
      <c r="Z211" s="127"/>
    </row>
    <row r="212" customFormat="false" ht="15.75" hidden="false" customHeight="false" outlineLevel="0" collapsed="false">
      <c r="A212" s="127"/>
      <c r="B212" s="127"/>
      <c r="C212" s="127"/>
      <c r="D212" s="127"/>
      <c r="E212" s="127"/>
      <c r="F212" s="127"/>
      <c r="G212" s="127"/>
      <c r="H212" s="127"/>
      <c r="I212" s="127"/>
      <c r="J212" s="127"/>
      <c r="K212" s="127"/>
      <c r="L212" s="127"/>
      <c r="M212" s="127"/>
      <c r="N212" s="127"/>
      <c r="O212" s="127"/>
      <c r="P212" s="127"/>
      <c r="Q212" s="127"/>
      <c r="R212" s="127"/>
      <c r="S212" s="127"/>
      <c r="T212" s="127"/>
      <c r="U212" s="127"/>
      <c r="V212" s="127"/>
      <c r="W212" s="127"/>
      <c r="X212" s="127"/>
      <c r="Y212" s="127"/>
      <c r="Z212" s="127"/>
    </row>
    <row r="213" customFormat="false" ht="15.75" hidden="false" customHeight="false" outlineLevel="0" collapsed="false">
      <c r="A213" s="127"/>
      <c r="B213" s="127"/>
      <c r="C213" s="127"/>
      <c r="D213" s="127"/>
      <c r="E213" s="127"/>
      <c r="F213" s="127"/>
      <c r="G213" s="127"/>
      <c r="H213" s="127"/>
      <c r="I213" s="127"/>
      <c r="J213" s="127"/>
      <c r="K213" s="127"/>
      <c r="L213" s="127"/>
      <c r="M213" s="127"/>
      <c r="N213" s="127"/>
      <c r="O213" s="127"/>
      <c r="P213" s="127"/>
      <c r="Q213" s="127"/>
      <c r="R213" s="127"/>
      <c r="S213" s="127"/>
      <c r="T213" s="127"/>
      <c r="U213" s="127"/>
      <c r="V213" s="127"/>
      <c r="W213" s="127"/>
      <c r="X213" s="127"/>
      <c r="Y213" s="127"/>
      <c r="Z213" s="127"/>
    </row>
    <row r="214" customFormat="false" ht="15.75" hidden="false" customHeight="false" outlineLevel="0" collapsed="false">
      <c r="A214" s="127"/>
      <c r="B214" s="127"/>
      <c r="C214" s="127"/>
      <c r="D214" s="127"/>
      <c r="E214" s="127"/>
      <c r="F214" s="127"/>
      <c r="G214" s="127"/>
      <c r="H214" s="127"/>
      <c r="I214" s="127"/>
      <c r="J214" s="127"/>
      <c r="K214" s="127"/>
      <c r="L214" s="127"/>
      <c r="M214" s="127"/>
      <c r="N214" s="127"/>
      <c r="O214" s="127"/>
      <c r="P214" s="127"/>
      <c r="Q214" s="127"/>
      <c r="R214" s="127"/>
      <c r="S214" s="127"/>
      <c r="T214" s="127"/>
      <c r="U214" s="127"/>
      <c r="V214" s="127"/>
      <c r="W214" s="127"/>
      <c r="X214" s="127"/>
      <c r="Y214" s="127"/>
      <c r="Z214" s="127"/>
    </row>
    <row r="215" customFormat="false" ht="15.75" hidden="false" customHeight="false" outlineLevel="0" collapsed="false">
      <c r="A215" s="127"/>
      <c r="B215" s="127"/>
      <c r="C215" s="127"/>
      <c r="D215" s="127"/>
      <c r="E215" s="127"/>
      <c r="F215" s="127"/>
      <c r="G215" s="127"/>
      <c r="H215" s="127"/>
      <c r="I215" s="127"/>
      <c r="J215" s="127"/>
      <c r="K215" s="127"/>
      <c r="L215" s="127"/>
      <c r="M215" s="127"/>
      <c r="N215" s="127"/>
      <c r="O215" s="127"/>
      <c r="P215" s="127"/>
      <c r="Q215" s="127"/>
      <c r="R215" s="127"/>
      <c r="S215" s="127"/>
      <c r="T215" s="127"/>
      <c r="U215" s="127"/>
      <c r="V215" s="127"/>
      <c r="W215" s="127"/>
      <c r="X215" s="127"/>
      <c r="Y215" s="127"/>
      <c r="Z215" s="127"/>
    </row>
    <row r="216" customFormat="false" ht="15.75" hidden="false" customHeight="false" outlineLevel="0" collapsed="false">
      <c r="A216" s="127"/>
      <c r="B216" s="127"/>
      <c r="C216" s="127"/>
      <c r="D216" s="127"/>
      <c r="E216" s="127"/>
      <c r="F216" s="127"/>
      <c r="G216" s="127"/>
      <c r="H216" s="127"/>
      <c r="I216" s="127"/>
      <c r="J216" s="127"/>
      <c r="K216" s="127"/>
      <c r="L216" s="127"/>
      <c r="M216" s="127"/>
      <c r="N216" s="127"/>
      <c r="O216" s="127"/>
      <c r="P216" s="127"/>
      <c r="Q216" s="127"/>
      <c r="R216" s="127"/>
      <c r="S216" s="127"/>
      <c r="T216" s="127"/>
      <c r="U216" s="127"/>
      <c r="V216" s="127"/>
      <c r="W216" s="127"/>
      <c r="X216" s="127"/>
      <c r="Y216" s="127"/>
      <c r="Z216" s="127"/>
    </row>
    <row r="217" customFormat="false" ht="15.75" hidden="false" customHeight="false" outlineLevel="0" collapsed="false">
      <c r="A217" s="127"/>
      <c r="B217" s="127"/>
      <c r="C217" s="127"/>
      <c r="D217" s="127"/>
      <c r="E217" s="127"/>
      <c r="F217" s="127"/>
      <c r="G217" s="127"/>
      <c r="H217" s="127"/>
      <c r="I217" s="127"/>
      <c r="J217" s="127"/>
      <c r="K217" s="127"/>
      <c r="L217" s="127"/>
      <c r="M217" s="127"/>
      <c r="N217" s="127"/>
      <c r="O217" s="127"/>
      <c r="P217" s="127"/>
      <c r="Q217" s="127"/>
      <c r="R217" s="127"/>
      <c r="S217" s="127"/>
      <c r="T217" s="127"/>
      <c r="U217" s="127"/>
      <c r="V217" s="127"/>
      <c r="W217" s="127"/>
      <c r="X217" s="127"/>
      <c r="Y217" s="127"/>
      <c r="Z217" s="127"/>
    </row>
    <row r="218" customFormat="false" ht="15.75" hidden="false" customHeight="false" outlineLevel="0" collapsed="false">
      <c r="A218" s="127"/>
      <c r="B218" s="127"/>
      <c r="C218" s="127"/>
      <c r="D218" s="127"/>
      <c r="E218" s="127"/>
      <c r="F218" s="127"/>
      <c r="G218" s="127"/>
      <c r="H218" s="127"/>
      <c r="I218" s="127"/>
      <c r="J218" s="127"/>
      <c r="K218" s="127"/>
      <c r="L218" s="127"/>
      <c r="M218" s="127"/>
      <c r="N218" s="127"/>
      <c r="O218" s="127"/>
      <c r="P218" s="127"/>
      <c r="Q218" s="127"/>
      <c r="R218" s="127"/>
      <c r="S218" s="127"/>
      <c r="T218" s="127"/>
      <c r="U218" s="127"/>
      <c r="V218" s="127"/>
      <c r="W218" s="127"/>
      <c r="X218" s="127"/>
      <c r="Y218" s="127"/>
      <c r="Z218" s="127"/>
    </row>
    <row r="219" customFormat="false" ht="15.75" hidden="false" customHeight="false" outlineLevel="0" collapsed="false">
      <c r="A219" s="127"/>
      <c r="B219" s="127"/>
      <c r="C219" s="127"/>
      <c r="D219" s="127"/>
      <c r="E219" s="127"/>
      <c r="F219" s="127"/>
      <c r="G219" s="127"/>
      <c r="H219" s="127"/>
      <c r="I219" s="127"/>
      <c r="J219" s="127"/>
      <c r="K219" s="127"/>
      <c r="L219" s="127"/>
      <c r="M219" s="127"/>
      <c r="N219" s="127"/>
      <c r="O219" s="127"/>
      <c r="P219" s="127"/>
      <c r="Q219" s="127"/>
      <c r="R219" s="127"/>
      <c r="S219" s="127"/>
      <c r="T219" s="127"/>
      <c r="U219" s="127"/>
      <c r="V219" s="127"/>
      <c r="W219" s="127"/>
      <c r="X219" s="127"/>
      <c r="Y219" s="127"/>
      <c r="Z219" s="127"/>
    </row>
    <row r="220" customFormat="false" ht="15.75" hidden="false" customHeight="false" outlineLevel="0" collapsed="false">
      <c r="A220" s="127"/>
      <c r="B220" s="127"/>
      <c r="C220" s="127"/>
      <c r="D220" s="127"/>
      <c r="E220" s="127"/>
      <c r="F220" s="127"/>
      <c r="G220" s="127"/>
      <c r="H220" s="127"/>
      <c r="I220" s="127"/>
      <c r="J220" s="127"/>
      <c r="K220" s="127"/>
      <c r="L220" s="127"/>
      <c r="M220" s="127"/>
      <c r="N220" s="127"/>
      <c r="O220" s="127"/>
      <c r="P220" s="127"/>
      <c r="Q220" s="127"/>
      <c r="R220" s="127"/>
      <c r="S220" s="127"/>
      <c r="T220" s="127"/>
      <c r="U220" s="127"/>
      <c r="V220" s="127"/>
      <c r="W220" s="127"/>
      <c r="X220" s="127"/>
      <c r="Y220" s="127"/>
      <c r="Z220" s="127"/>
    </row>
    <row r="221" customFormat="false" ht="15.75" hidden="false" customHeight="false" outlineLevel="0" collapsed="false">
      <c r="A221" s="127"/>
      <c r="B221" s="127"/>
      <c r="C221" s="127"/>
      <c r="D221" s="127"/>
      <c r="E221" s="127"/>
      <c r="F221" s="127"/>
      <c r="G221" s="127"/>
      <c r="H221" s="127"/>
      <c r="I221" s="127"/>
      <c r="J221" s="127"/>
      <c r="K221" s="127"/>
      <c r="L221" s="127"/>
      <c r="M221" s="127"/>
      <c r="N221" s="127"/>
      <c r="O221" s="127"/>
      <c r="P221" s="127"/>
      <c r="Q221" s="127"/>
      <c r="R221" s="127"/>
      <c r="S221" s="127"/>
      <c r="T221" s="127"/>
      <c r="U221" s="127"/>
      <c r="V221" s="127"/>
      <c r="W221" s="127"/>
      <c r="X221" s="127"/>
      <c r="Y221" s="127"/>
      <c r="Z221" s="127"/>
    </row>
    <row r="222" customFormat="false" ht="15.75" hidden="false" customHeight="false" outlineLevel="0" collapsed="false">
      <c r="A222" s="127"/>
      <c r="B222" s="127"/>
      <c r="C222" s="127"/>
      <c r="D222" s="127"/>
      <c r="E222" s="127"/>
      <c r="F222" s="127"/>
      <c r="G222" s="127"/>
      <c r="H222" s="127"/>
      <c r="I222" s="127"/>
      <c r="J222" s="127"/>
      <c r="K222" s="127"/>
      <c r="L222" s="127"/>
      <c r="M222" s="127"/>
      <c r="N222" s="127"/>
      <c r="O222" s="127"/>
      <c r="P222" s="127"/>
      <c r="Q222" s="127"/>
      <c r="R222" s="127"/>
      <c r="S222" s="127"/>
      <c r="T222" s="127"/>
      <c r="U222" s="127"/>
      <c r="V222" s="127"/>
      <c r="W222" s="127"/>
      <c r="X222" s="127"/>
      <c r="Y222" s="127"/>
      <c r="Z222" s="127"/>
    </row>
    <row r="223" customFormat="false" ht="15.75" hidden="false" customHeight="false" outlineLevel="0" collapsed="false">
      <c r="A223" s="127"/>
      <c r="B223" s="127"/>
      <c r="C223" s="127"/>
      <c r="D223" s="127"/>
      <c r="E223" s="127"/>
      <c r="F223" s="127"/>
      <c r="G223" s="127"/>
      <c r="H223" s="127"/>
      <c r="I223" s="127"/>
      <c r="J223" s="127"/>
      <c r="K223" s="127"/>
      <c r="L223" s="127"/>
      <c r="M223" s="127"/>
      <c r="N223" s="127"/>
      <c r="O223" s="127"/>
      <c r="P223" s="127"/>
      <c r="Q223" s="127"/>
      <c r="R223" s="127"/>
      <c r="S223" s="127"/>
      <c r="T223" s="127"/>
      <c r="U223" s="127"/>
      <c r="V223" s="127"/>
      <c r="W223" s="127"/>
      <c r="X223" s="127"/>
      <c r="Y223" s="127"/>
      <c r="Z223" s="127"/>
    </row>
    <row r="224" customFormat="false" ht="15.75" hidden="false" customHeight="false" outlineLevel="0" collapsed="false">
      <c r="A224" s="127"/>
      <c r="B224" s="127"/>
      <c r="C224" s="127"/>
      <c r="D224" s="127"/>
      <c r="E224" s="127"/>
      <c r="F224" s="127"/>
      <c r="G224" s="127"/>
      <c r="H224" s="127"/>
      <c r="I224" s="127"/>
      <c r="J224" s="127"/>
      <c r="K224" s="127"/>
      <c r="L224" s="127"/>
      <c r="M224" s="127"/>
      <c r="N224" s="127"/>
      <c r="O224" s="127"/>
      <c r="P224" s="127"/>
      <c r="Q224" s="127"/>
      <c r="R224" s="127"/>
      <c r="S224" s="127"/>
      <c r="T224" s="127"/>
      <c r="U224" s="127"/>
      <c r="V224" s="127"/>
      <c r="W224" s="127"/>
      <c r="X224" s="127"/>
      <c r="Y224" s="127"/>
      <c r="Z224" s="127"/>
    </row>
    <row r="225" customFormat="false" ht="15.75" hidden="false" customHeight="false" outlineLevel="0" collapsed="false">
      <c r="A225" s="127"/>
      <c r="B225" s="127"/>
      <c r="C225" s="127"/>
      <c r="D225" s="127"/>
      <c r="E225" s="127"/>
      <c r="F225" s="127"/>
      <c r="G225" s="127"/>
      <c r="H225" s="127"/>
      <c r="I225" s="127"/>
      <c r="J225" s="127"/>
      <c r="K225" s="127"/>
      <c r="L225" s="127"/>
      <c r="M225" s="127"/>
      <c r="N225" s="127"/>
      <c r="O225" s="127"/>
      <c r="P225" s="127"/>
      <c r="Q225" s="127"/>
      <c r="R225" s="127"/>
      <c r="S225" s="127"/>
      <c r="T225" s="127"/>
      <c r="U225" s="127"/>
      <c r="V225" s="127"/>
      <c r="W225" s="127"/>
      <c r="X225" s="127"/>
      <c r="Y225" s="127"/>
      <c r="Z225" s="127"/>
    </row>
    <row r="226" customFormat="false" ht="15.75" hidden="false" customHeight="false" outlineLevel="0" collapsed="false">
      <c r="A226" s="127"/>
      <c r="B226" s="127"/>
      <c r="C226" s="127"/>
      <c r="D226" s="127"/>
      <c r="E226" s="127"/>
      <c r="F226" s="127"/>
      <c r="G226" s="127"/>
      <c r="H226" s="127"/>
      <c r="I226" s="127"/>
      <c r="J226" s="127"/>
      <c r="K226" s="127"/>
      <c r="L226" s="127"/>
      <c r="M226" s="127"/>
      <c r="N226" s="127"/>
      <c r="O226" s="127"/>
      <c r="P226" s="127"/>
      <c r="Q226" s="127"/>
      <c r="R226" s="127"/>
      <c r="S226" s="127"/>
      <c r="T226" s="127"/>
      <c r="U226" s="127"/>
      <c r="V226" s="127"/>
      <c r="W226" s="127"/>
      <c r="X226" s="127"/>
      <c r="Y226" s="127"/>
      <c r="Z226" s="127"/>
    </row>
    <row r="227" customFormat="false" ht="15.75" hidden="false" customHeight="false" outlineLevel="0" collapsed="false">
      <c r="A227" s="127"/>
      <c r="B227" s="127"/>
      <c r="C227" s="127"/>
      <c r="D227" s="127"/>
      <c r="E227" s="127"/>
      <c r="F227" s="127"/>
      <c r="G227" s="127"/>
      <c r="H227" s="127"/>
      <c r="I227" s="127"/>
      <c r="J227" s="127"/>
      <c r="K227" s="127"/>
      <c r="L227" s="127"/>
      <c r="M227" s="127"/>
      <c r="N227" s="127"/>
      <c r="O227" s="127"/>
      <c r="P227" s="127"/>
      <c r="Q227" s="127"/>
      <c r="R227" s="127"/>
      <c r="S227" s="127"/>
      <c r="T227" s="127"/>
      <c r="U227" s="127"/>
      <c r="V227" s="127"/>
      <c r="W227" s="127"/>
      <c r="X227" s="127"/>
      <c r="Y227" s="127"/>
      <c r="Z227" s="127"/>
    </row>
    <row r="228" customFormat="false" ht="15.75" hidden="false" customHeight="false" outlineLevel="0" collapsed="false">
      <c r="A228" s="127"/>
      <c r="B228" s="127"/>
      <c r="C228" s="127"/>
      <c r="D228" s="127"/>
      <c r="E228" s="127"/>
      <c r="F228" s="127"/>
      <c r="G228" s="127"/>
      <c r="H228" s="127"/>
      <c r="I228" s="127"/>
      <c r="J228" s="127"/>
      <c r="K228" s="127"/>
      <c r="L228" s="127"/>
      <c r="M228" s="127"/>
      <c r="N228" s="127"/>
      <c r="O228" s="127"/>
      <c r="P228" s="127"/>
      <c r="Q228" s="127"/>
      <c r="R228" s="127"/>
      <c r="S228" s="127"/>
      <c r="T228" s="127"/>
      <c r="U228" s="127"/>
      <c r="V228" s="127"/>
      <c r="W228" s="127"/>
      <c r="X228" s="127"/>
      <c r="Y228" s="127"/>
      <c r="Z228" s="127"/>
    </row>
    <row r="229" customFormat="false" ht="15.75" hidden="false" customHeight="false" outlineLevel="0" collapsed="false">
      <c r="A229" s="127"/>
      <c r="B229" s="127"/>
      <c r="C229" s="127"/>
      <c r="D229" s="127"/>
      <c r="E229" s="127"/>
      <c r="F229" s="127"/>
      <c r="G229" s="127"/>
      <c r="H229" s="127"/>
      <c r="I229" s="127"/>
      <c r="J229" s="127"/>
      <c r="K229" s="127"/>
      <c r="L229" s="127"/>
      <c r="M229" s="127"/>
      <c r="N229" s="127"/>
      <c r="O229" s="127"/>
      <c r="P229" s="127"/>
      <c r="Q229" s="127"/>
      <c r="R229" s="127"/>
      <c r="S229" s="127"/>
      <c r="T229" s="127"/>
      <c r="U229" s="127"/>
      <c r="V229" s="127"/>
      <c r="W229" s="127"/>
      <c r="X229" s="127"/>
      <c r="Y229" s="127"/>
      <c r="Z229" s="127"/>
    </row>
    <row r="230" customFormat="false" ht="15.75" hidden="false" customHeight="false" outlineLevel="0" collapsed="false">
      <c r="A230" s="127"/>
      <c r="B230" s="127"/>
      <c r="C230" s="127"/>
      <c r="D230" s="127"/>
      <c r="E230" s="127"/>
      <c r="F230" s="127"/>
      <c r="G230" s="127"/>
      <c r="H230" s="127"/>
      <c r="I230" s="127"/>
      <c r="J230" s="127"/>
      <c r="K230" s="127"/>
      <c r="L230" s="127"/>
      <c r="M230" s="127"/>
      <c r="N230" s="127"/>
      <c r="O230" s="127"/>
      <c r="P230" s="127"/>
      <c r="Q230" s="127"/>
      <c r="R230" s="127"/>
      <c r="S230" s="127"/>
      <c r="T230" s="127"/>
      <c r="U230" s="127"/>
      <c r="V230" s="127"/>
      <c r="W230" s="127"/>
      <c r="X230" s="127"/>
      <c r="Y230" s="127"/>
      <c r="Z230" s="127"/>
    </row>
    <row r="231" customFormat="false" ht="15.75" hidden="false" customHeight="false" outlineLevel="0" collapsed="false">
      <c r="A231" s="127"/>
      <c r="B231" s="127"/>
      <c r="C231" s="127"/>
      <c r="D231" s="127"/>
      <c r="E231" s="127"/>
      <c r="F231" s="127"/>
      <c r="G231" s="127"/>
      <c r="H231" s="127"/>
      <c r="I231" s="127"/>
      <c r="J231" s="127"/>
      <c r="K231" s="127"/>
      <c r="L231" s="127"/>
      <c r="M231" s="127"/>
      <c r="N231" s="127"/>
      <c r="O231" s="127"/>
      <c r="P231" s="127"/>
      <c r="Q231" s="127"/>
      <c r="R231" s="127"/>
      <c r="S231" s="127"/>
      <c r="T231" s="127"/>
      <c r="U231" s="127"/>
      <c r="V231" s="127"/>
      <c r="W231" s="127"/>
      <c r="X231" s="127"/>
      <c r="Y231" s="127"/>
      <c r="Z231" s="127"/>
    </row>
    <row r="232" customFormat="false" ht="15.75" hidden="false" customHeight="false" outlineLevel="0" collapsed="false">
      <c r="A232" s="127"/>
      <c r="B232" s="127"/>
      <c r="C232" s="127"/>
      <c r="D232" s="127"/>
      <c r="E232" s="127"/>
      <c r="F232" s="127"/>
      <c r="G232" s="127"/>
      <c r="H232" s="127"/>
      <c r="I232" s="127"/>
      <c r="J232" s="127"/>
      <c r="K232" s="127"/>
      <c r="L232" s="127"/>
      <c r="M232" s="127"/>
      <c r="N232" s="127"/>
      <c r="O232" s="127"/>
      <c r="P232" s="127"/>
      <c r="Q232" s="127"/>
      <c r="R232" s="127"/>
      <c r="S232" s="127"/>
      <c r="T232" s="127"/>
      <c r="U232" s="127"/>
      <c r="V232" s="127"/>
      <c r="W232" s="127"/>
      <c r="X232" s="127"/>
      <c r="Y232" s="127"/>
      <c r="Z232" s="127"/>
    </row>
    <row r="233" customFormat="false" ht="15.75" hidden="false" customHeight="false" outlineLevel="0" collapsed="false">
      <c r="A233" s="127"/>
      <c r="B233" s="127"/>
      <c r="C233" s="127"/>
      <c r="D233" s="127"/>
      <c r="E233" s="127"/>
      <c r="F233" s="127"/>
      <c r="G233" s="127"/>
      <c r="H233" s="127"/>
      <c r="I233" s="127"/>
      <c r="J233" s="127"/>
      <c r="K233" s="127"/>
      <c r="L233" s="127"/>
      <c r="M233" s="127"/>
      <c r="N233" s="127"/>
      <c r="O233" s="127"/>
      <c r="P233" s="127"/>
      <c r="Q233" s="127"/>
      <c r="R233" s="127"/>
      <c r="S233" s="127"/>
      <c r="T233" s="127"/>
      <c r="U233" s="127"/>
      <c r="V233" s="127"/>
      <c r="W233" s="127"/>
      <c r="X233" s="127"/>
      <c r="Y233" s="127"/>
      <c r="Z233" s="127"/>
    </row>
    <row r="234" customFormat="false" ht="15.75" hidden="false" customHeight="false" outlineLevel="0" collapsed="false">
      <c r="A234" s="127"/>
      <c r="B234" s="127"/>
      <c r="C234" s="127"/>
      <c r="D234" s="127"/>
      <c r="E234" s="127"/>
      <c r="F234" s="127"/>
      <c r="G234" s="127"/>
      <c r="H234" s="127"/>
      <c r="I234" s="127"/>
      <c r="J234" s="127"/>
      <c r="K234" s="127"/>
      <c r="L234" s="127"/>
      <c r="M234" s="127"/>
      <c r="N234" s="127"/>
      <c r="O234" s="127"/>
      <c r="P234" s="127"/>
      <c r="Q234" s="127"/>
      <c r="R234" s="127"/>
      <c r="S234" s="127"/>
      <c r="T234" s="127"/>
      <c r="U234" s="127"/>
      <c r="V234" s="127"/>
      <c r="W234" s="127"/>
      <c r="X234" s="127"/>
      <c r="Y234" s="127"/>
      <c r="Z234" s="127"/>
    </row>
    <row r="235" customFormat="false" ht="15.75" hidden="false" customHeight="false" outlineLevel="0" collapsed="false">
      <c r="A235" s="127"/>
      <c r="B235" s="127"/>
      <c r="C235" s="127"/>
      <c r="D235" s="127"/>
      <c r="E235" s="127"/>
      <c r="F235" s="127"/>
      <c r="G235" s="127"/>
      <c r="H235" s="127"/>
      <c r="I235" s="127"/>
      <c r="J235" s="127"/>
      <c r="K235" s="127"/>
      <c r="L235" s="127"/>
      <c r="M235" s="127"/>
      <c r="N235" s="127"/>
      <c r="O235" s="127"/>
      <c r="P235" s="127"/>
      <c r="Q235" s="127"/>
      <c r="R235" s="127"/>
      <c r="S235" s="127"/>
      <c r="T235" s="127"/>
      <c r="U235" s="127"/>
      <c r="V235" s="127"/>
      <c r="W235" s="127"/>
      <c r="X235" s="127"/>
      <c r="Y235" s="127"/>
      <c r="Z235" s="127"/>
    </row>
    <row r="236" customFormat="false" ht="15.75" hidden="false" customHeight="false" outlineLevel="0" collapsed="false">
      <c r="A236" s="127"/>
      <c r="B236" s="127"/>
      <c r="C236" s="127"/>
      <c r="D236" s="127"/>
      <c r="E236" s="127"/>
      <c r="F236" s="127"/>
      <c r="G236" s="127"/>
      <c r="H236" s="127"/>
      <c r="I236" s="127"/>
      <c r="J236" s="127"/>
      <c r="K236" s="127"/>
      <c r="L236" s="127"/>
      <c r="M236" s="127"/>
      <c r="N236" s="127"/>
      <c r="O236" s="127"/>
      <c r="P236" s="127"/>
      <c r="Q236" s="127"/>
      <c r="R236" s="127"/>
      <c r="S236" s="127"/>
      <c r="T236" s="127"/>
      <c r="U236" s="127"/>
      <c r="V236" s="127"/>
      <c r="W236" s="127"/>
      <c r="X236" s="127"/>
      <c r="Y236" s="127"/>
      <c r="Z236" s="127"/>
    </row>
    <row r="237" customFormat="false" ht="15.75" hidden="false" customHeight="false" outlineLevel="0" collapsed="false">
      <c r="A237" s="127"/>
      <c r="B237" s="127"/>
      <c r="C237" s="127"/>
      <c r="D237" s="127"/>
      <c r="E237" s="127"/>
      <c r="F237" s="127"/>
      <c r="G237" s="127"/>
      <c r="H237" s="127"/>
      <c r="I237" s="127"/>
      <c r="J237" s="127"/>
      <c r="K237" s="127"/>
      <c r="L237" s="127"/>
      <c r="M237" s="127"/>
      <c r="N237" s="127"/>
      <c r="O237" s="127"/>
      <c r="P237" s="127"/>
      <c r="Q237" s="127"/>
      <c r="R237" s="127"/>
      <c r="S237" s="127"/>
      <c r="T237" s="127"/>
      <c r="U237" s="127"/>
      <c r="V237" s="127"/>
      <c r="W237" s="127"/>
      <c r="X237" s="127"/>
      <c r="Y237" s="127"/>
      <c r="Z237" s="127"/>
    </row>
    <row r="238" customFormat="false" ht="15.75" hidden="false" customHeight="false" outlineLevel="0" collapsed="false">
      <c r="A238" s="127"/>
      <c r="B238" s="127"/>
      <c r="C238" s="127"/>
      <c r="D238" s="127"/>
      <c r="E238" s="127"/>
      <c r="F238" s="127"/>
      <c r="G238" s="127"/>
      <c r="H238" s="127"/>
      <c r="I238" s="127"/>
      <c r="J238" s="127"/>
      <c r="K238" s="127"/>
      <c r="L238" s="127"/>
      <c r="M238" s="127"/>
      <c r="N238" s="127"/>
      <c r="O238" s="127"/>
      <c r="P238" s="127"/>
      <c r="Q238" s="127"/>
      <c r="R238" s="127"/>
      <c r="S238" s="127"/>
      <c r="T238" s="127"/>
      <c r="U238" s="127"/>
      <c r="V238" s="127"/>
      <c r="W238" s="127"/>
      <c r="X238" s="127"/>
      <c r="Y238" s="127"/>
      <c r="Z238" s="127"/>
    </row>
    <row r="239" customFormat="false" ht="15.75" hidden="false" customHeight="false" outlineLevel="0" collapsed="false">
      <c r="A239" s="127"/>
      <c r="B239" s="127"/>
      <c r="C239" s="127"/>
      <c r="D239" s="127"/>
      <c r="E239" s="127"/>
      <c r="F239" s="127"/>
      <c r="G239" s="127"/>
      <c r="H239" s="127"/>
      <c r="I239" s="127"/>
      <c r="J239" s="127"/>
      <c r="K239" s="127"/>
      <c r="L239" s="127"/>
      <c r="M239" s="127"/>
      <c r="N239" s="127"/>
      <c r="O239" s="127"/>
      <c r="P239" s="127"/>
      <c r="Q239" s="127"/>
      <c r="R239" s="127"/>
      <c r="S239" s="127"/>
      <c r="T239" s="127"/>
      <c r="U239" s="127"/>
      <c r="V239" s="127"/>
      <c r="W239" s="127"/>
      <c r="X239" s="127"/>
      <c r="Y239" s="127"/>
      <c r="Z239" s="127"/>
    </row>
    <row r="240" customFormat="false" ht="15.75" hidden="false" customHeight="false" outlineLevel="0" collapsed="false">
      <c r="A240" s="127"/>
      <c r="B240" s="127"/>
      <c r="C240" s="127"/>
      <c r="D240" s="127"/>
      <c r="E240" s="127"/>
      <c r="F240" s="127"/>
      <c r="G240" s="127"/>
      <c r="H240" s="127"/>
      <c r="I240" s="127"/>
      <c r="J240" s="127"/>
      <c r="K240" s="127"/>
      <c r="L240" s="127"/>
      <c r="M240" s="127"/>
      <c r="N240" s="127"/>
      <c r="O240" s="127"/>
      <c r="P240" s="127"/>
      <c r="Q240" s="127"/>
      <c r="R240" s="127"/>
      <c r="S240" s="127"/>
      <c r="T240" s="127"/>
      <c r="U240" s="127"/>
      <c r="V240" s="127"/>
      <c r="W240" s="127"/>
      <c r="X240" s="127"/>
      <c r="Y240" s="127"/>
      <c r="Z240" s="127"/>
    </row>
    <row r="241" customFormat="false" ht="15.75" hidden="false" customHeight="false" outlineLevel="0" collapsed="false">
      <c r="A241" s="127"/>
      <c r="B241" s="127"/>
      <c r="C241" s="127"/>
      <c r="D241" s="127"/>
      <c r="E241" s="127"/>
      <c r="F241" s="127"/>
      <c r="G241" s="127"/>
      <c r="H241" s="127"/>
      <c r="I241" s="127"/>
      <c r="J241" s="127"/>
      <c r="K241" s="127"/>
      <c r="L241" s="127"/>
      <c r="M241" s="127"/>
      <c r="N241" s="127"/>
      <c r="O241" s="127"/>
      <c r="P241" s="127"/>
      <c r="Q241" s="127"/>
      <c r="R241" s="127"/>
      <c r="S241" s="127"/>
      <c r="T241" s="127"/>
      <c r="U241" s="127"/>
      <c r="V241" s="127"/>
      <c r="W241" s="127"/>
      <c r="X241" s="127"/>
      <c r="Y241" s="127"/>
      <c r="Z241" s="127"/>
    </row>
    <row r="242" customFormat="false" ht="15.75" hidden="false" customHeight="false" outlineLevel="0" collapsed="false">
      <c r="A242" s="127"/>
      <c r="B242" s="127"/>
      <c r="C242" s="127"/>
      <c r="D242" s="127"/>
      <c r="E242" s="127"/>
      <c r="F242" s="127"/>
      <c r="G242" s="127"/>
      <c r="H242" s="127"/>
      <c r="I242" s="127"/>
      <c r="J242" s="127"/>
      <c r="K242" s="127"/>
      <c r="L242" s="127"/>
      <c r="M242" s="127"/>
      <c r="N242" s="127"/>
      <c r="O242" s="127"/>
      <c r="P242" s="127"/>
      <c r="Q242" s="127"/>
      <c r="R242" s="127"/>
      <c r="S242" s="127"/>
      <c r="T242" s="127"/>
      <c r="U242" s="127"/>
      <c r="V242" s="127"/>
      <c r="W242" s="127"/>
      <c r="X242" s="127"/>
      <c r="Y242" s="127"/>
      <c r="Z242" s="127"/>
    </row>
    <row r="243" customFormat="false" ht="15.75" hidden="false" customHeight="false" outlineLevel="0" collapsed="false">
      <c r="A243" s="127"/>
      <c r="B243" s="127"/>
      <c r="C243" s="127"/>
      <c r="D243" s="127"/>
      <c r="E243" s="127"/>
      <c r="F243" s="127"/>
      <c r="G243" s="127"/>
      <c r="H243" s="127"/>
      <c r="I243" s="127"/>
      <c r="J243" s="127"/>
      <c r="K243" s="127"/>
      <c r="L243" s="127"/>
      <c r="M243" s="127"/>
      <c r="N243" s="127"/>
      <c r="O243" s="127"/>
      <c r="P243" s="127"/>
      <c r="Q243" s="127"/>
      <c r="R243" s="127"/>
      <c r="S243" s="127"/>
      <c r="T243" s="127"/>
      <c r="U243" s="127"/>
      <c r="V243" s="127"/>
      <c r="W243" s="127"/>
      <c r="X243" s="127"/>
      <c r="Y243" s="127"/>
      <c r="Z243" s="127"/>
    </row>
    <row r="244" customFormat="false" ht="15.75" hidden="false" customHeight="false" outlineLevel="0" collapsed="false">
      <c r="A244" s="127"/>
      <c r="B244" s="127"/>
      <c r="C244" s="127"/>
      <c r="D244" s="127"/>
      <c r="E244" s="127"/>
      <c r="F244" s="127"/>
      <c r="G244" s="127"/>
      <c r="H244" s="127"/>
      <c r="I244" s="127"/>
      <c r="J244" s="127"/>
      <c r="K244" s="127"/>
      <c r="L244" s="127"/>
      <c r="M244" s="127"/>
      <c r="N244" s="127"/>
      <c r="O244" s="127"/>
      <c r="P244" s="127"/>
      <c r="Q244" s="127"/>
      <c r="R244" s="127"/>
      <c r="S244" s="127"/>
      <c r="T244" s="127"/>
      <c r="U244" s="127"/>
      <c r="V244" s="127"/>
      <c r="W244" s="127"/>
      <c r="X244" s="127"/>
      <c r="Y244" s="127"/>
      <c r="Z244" s="127"/>
    </row>
    <row r="245" customFormat="false" ht="15.75" hidden="false" customHeight="false" outlineLevel="0" collapsed="false">
      <c r="A245" s="127"/>
      <c r="B245" s="127"/>
      <c r="C245" s="127"/>
      <c r="D245" s="127"/>
      <c r="E245" s="127"/>
      <c r="F245" s="127"/>
      <c r="G245" s="127"/>
      <c r="H245" s="127"/>
      <c r="I245" s="127"/>
      <c r="J245" s="127"/>
      <c r="K245" s="127"/>
      <c r="L245" s="127"/>
      <c r="M245" s="127"/>
      <c r="N245" s="127"/>
      <c r="O245" s="127"/>
      <c r="P245" s="127"/>
      <c r="Q245" s="127"/>
      <c r="R245" s="127"/>
      <c r="S245" s="127"/>
      <c r="T245" s="127"/>
      <c r="U245" s="127"/>
      <c r="V245" s="127"/>
      <c r="W245" s="127"/>
      <c r="X245" s="127"/>
      <c r="Y245" s="127"/>
      <c r="Z245" s="127"/>
    </row>
    <row r="246" customFormat="false" ht="15.75" hidden="false" customHeight="false" outlineLevel="0" collapsed="false">
      <c r="A246" s="127"/>
      <c r="B246" s="127"/>
      <c r="C246" s="127"/>
      <c r="D246" s="127"/>
      <c r="E246" s="127"/>
      <c r="F246" s="127"/>
      <c r="G246" s="127"/>
      <c r="H246" s="127"/>
      <c r="I246" s="127"/>
      <c r="J246" s="127"/>
      <c r="K246" s="127"/>
      <c r="L246" s="127"/>
      <c r="M246" s="127"/>
      <c r="N246" s="127"/>
      <c r="O246" s="127"/>
      <c r="P246" s="127"/>
      <c r="Q246" s="127"/>
      <c r="R246" s="127"/>
      <c r="S246" s="127"/>
      <c r="T246" s="127"/>
      <c r="U246" s="127"/>
      <c r="V246" s="127"/>
      <c r="W246" s="127"/>
      <c r="X246" s="127"/>
      <c r="Y246" s="127"/>
      <c r="Z246" s="127"/>
    </row>
    <row r="247" customFormat="false" ht="15.75" hidden="false" customHeight="false" outlineLevel="0" collapsed="false">
      <c r="A247" s="127"/>
      <c r="B247" s="127"/>
      <c r="C247" s="127"/>
      <c r="D247" s="127"/>
      <c r="E247" s="127"/>
      <c r="F247" s="127"/>
      <c r="G247" s="127"/>
      <c r="H247" s="127"/>
      <c r="I247" s="127"/>
      <c r="J247" s="127"/>
      <c r="K247" s="127"/>
      <c r="L247" s="127"/>
      <c r="M247" s="127"/>
      <c r="N247" s="127"/>
      <c r="O247" s="127"/>
      <c r="P247" s="127"/>
      <c r="Q247" s="127"/>
      <c r="R247" s="127"/>
      <c r="S247" s="127"/>
      <c r="T247" s="127"/>
      <c r="U247" s="127"/>
      <c r="V247" s="127"/>
      <c r="W247" s="127"/>
      <c r="X247" s="127"/>
      <c r="Y247" s="127"/>
      <c r="Z247" s="127"/>
    </row>
    <row r="248" customFormat="false" ht="15.75" hidden="false" customHeight="false" outlineLevel="0" collapsed="false">
      <c r="A248" s="127"/>
      <c r="B248" s="127"/>
      <c r="C248" s="127"/>
      <c r="D248" s="127"/>
      <c r="E248" s="127"/>
      <c r="F248" s="127"/>
      <c r="G248" s="127"/>
      <c r="H248" s="127"/>
      <c r="I248" s="127"/>
      <c r="J248" s="127"/>
      <c r="K248" s="127"/>
      <c r="L248" s="127"/>
      <c r="M248" s="127"/>
      <c r="N248" s="127"/>
      <c r="O248" s="127"/>
      <c r="P248" s="127"/>
      <c r="Q248" s="127"/>
      <c r="R248" s="127"/>
      <c r="S248" s="127"/>
      <c r="T248" s="127"/>
      <c r="U248" s="127"/>
      <c r="V248" s="127"/>
      <c r="W248" s="127"/>
      <c r="X248" s="127"/>
      <c r="Y248" s="127"/>
      <c r="Z248" s="127"/>
    </row>
    <row r="249" customFormat="false" ht="15.75" hidden="false" customHeight="false" outlineLevel="0" collapsed="false">
      <c r="A249" s="127"/>
      <c r="B249" s="127"/>
      <c r="C249" s="127"/>
      <c r="D249" s="127"/>
      <c r="E249" s="127"/>
      <c r="F249" s="127"/>
      <c r="G249" s="127"/>
      <c r="H249" s="127"/>
      <c r="I249" s="127"/>
      <c r="J249" s="127"/>
      <c r="K249" s="127"/>
      <c r="L249" s="127"/>
      <c r="M249" s="127"/>
      <c r="N249" s="127"/>
      <c r="O249" s="127"/>
      <c r="P249" s="127"/>
      <c r="Q249" s="127"/>
      <c r="R249" s="127"/>
      <c r="S249" s="127"/>
      <c r="T249" s="127"/>
      <c r="U249" s="127"/>
      <c r="V249" s="127"/>
      <c r="W249" s="127"/>
      <c r="X249" s="127"/>
      <c r="Y249" s="127"/>
      <c r="Z249" s="127"/>
    </row>
    <row r="250" customFormat="false" ht="15.75" hidden="false" customHeight="false" outlineLevel="0" collapsed="false">
      <c r="A250" s="127"/>
      <c r="B250" s="127"/>
      <c r="C250" s="127"/>
      <c r="D250" s="127"/>
      <c r="E250" s="127"/>
      <c r="F250" s="127"/>
      <c r="G250" s="127"/>
      <c r="H250" s="127"/>
      <c r="I250" s="127"/>
      <c r="J250" s="127"/>
      <c r="K250" s="127"/>
      <c r="L250" s="127"/>
      <c r="M250" s="127"/>
      <c r="N250" s="127"/>
      <c r="O250" s="127"/>
      <c r="P250" s="127"/>
      <c r="Q250" s="127"/>
      <c r="R250" s="127"/>
      <c r="S250" s="127"/>
      <c r="T250" s="127"/>
      <c r="U250" s="127"/>
      <c r="V250" s="127"/>
      <c r="W250" s="127"/>
      <c r="X250" s="127"/>
      <c r="Y250" s="127"/>
      <c r="Z250" s="127"/>
    </row>
    <row r="251" customFormat="false" ht="15.75" hidden="false" customHeight="false" outlineLevel="0" collapsed="false">
      <c r="A251" s="127"/>
      <c r="B251" s="127"/>
      <c r="C251" s="127"/>
      <c r="D251" s="127"/>
      <c r="E251" s="127"/>
      <c r="F251" s="127"/>
      <c r="G251" s="127"/>
      <c r="H251" s="127"/>
      <c r="I251" s="127"/>
      <c r="J251" s="127"/>
      <c r="K251" s="127"/>
      <c r="L251" s="127"/>
      <c r="M251" s="127"/>
      <c r="N251" s="127"/>
      <c r="O251" s="127"/>
      <c r="P251" s="127"/>
      <c r="Q251" s="127"/>
      <c r="R251" s="127"/>
      <c r="S251" s="127"/>
      <c r="T251" s="127"/>
      <c r="U251" s="127"/>
      <c r="V251" s="127"/>
      <c r="W251" s="127"/>
      <c r="X251" s="127"/>
      <c r="Y251" s="127"/>
      <c r="Z251" s="127"/>
    </row>
    <row r="252" customFormat="false" ht="15.75" hidden="false" customHeight="false" outlineLevel="0" collapsed="false">
      <c r="A252" s="127"/>
      <c r="B252" s="127"/>
      <c r="C252" s="127"/>
      <c r="D252" s="127"/>
      <c r="E252" s="127"/>
      <c r="F252" s="127"/>
      <c r="G252" s="127"/>
      <c r="H252" s="127"/>
      <c r="I252" s="127"/>
      <c r="J252" s="127"/>
      <c r="K252" s="127"/>
      <c r="L252" s="127"/>
      <c r="M252" s="127"/>
      <c r="N252" s="127"/>
      <c r="O252" s="127"/>
      <c r="P252" s="127"/>
      <c r="Q252" s="127"/>
      <c r="R252" s="127"/>
      <c r="S252" s="127"/>
      <c r="T252" s="127"/>
      <c r="U252" s="127"/>
      <c r="V252" s="127"/>
      <c r="W252" s="127"/>
      <c r="X252" s="127"/>
      <c r="Y252" s="127"/>
      <c r="Z252" s="127"/>
    </row>
    <row r="253" customFormat="false" ht="15.75" hidden="false" customHeight="false" outlineLevel="0" collapsed="false">
      <c r="A253" s="127"/>
      <c r="B253" s="127"/>
      <c r="C253" s="127"/>
      <c r="D253" s="127"/>
      <c r="E253" s="127"/>
      <c r="F253" s="127"/>
      <c r="G253" s="127"/>
      <c r="H253" s="127"/>
      <c r="I253" s="127"/>
      <c r="J253" s="127"/>
      <c r="K253" s="127"/>
      <c r="L253" s="127"/>
      <c r="M253" s="127"/>
      <c r="N253" s="127"/>
      <c r="O253" s="127"/>
      <c r="P253" s="127"/>
      <c r="Q253" s="127"/>
      <c r="R253" s="127"/>
      <c r="S253" s="127"/>
      <c r="T253" s="127"/>
      <c r="U253" s="127"/>
      <c r="V253" s="127"/>
      <c r="W253" s="127"/>
      <c r="X253" s="127"/>
      <c r="Y253" s="127"/>
      <c r="Z253" s="127"/>
    </row>
    <row r="254" customFormat="false" ht="15.75" hidden="false" customHeight="false" outlineLevel="0" collapsed="false">
      <c r="A254" s="127"/>
      <c r="B254" s="127"/>
      <c r="C254" s="127"/>
      <c r="D254" s="127"/>
      <c r="E254" s="127"/>
      <c r="F254" s="127"/>
      <c r="G254" s="127"/>
      <c r="H254" s="127"/>
      <c r="I254" s="127"/>
      <c r="J254" s="127"/>
      <c r="K254" s="127"/>
      <c r="L254" s="127"/>
      <c r="M254" s="127"/>
      <c r="N254" s="127"/>
      <c r="O254" s="127"/>
      <c r="P254" s="127"/>
      <c r="Q254" s="127"/>
      <c r="R254" s="127"/>
      <c r="S254" s="127"/>
      <c r="T254" s="127"/>
      <c r="U254" s="127"/>
      <c r="V254" s="127"/>
      <c r="W254" s="127"/>
      <c r="X254" s="127"/>
      <c r="Y254" s="127"/>
      <c r="Z254" s="127"/>
    </row>
    <row r="255" customFormat="false" ht="15.75" hidden="false" customHeight="false" outlineLevel="0" collapsed="false">
      <c r="A255" s="127"/>
      <c r="B255" s="127"/>
      <c r="C255" s="127"/>
      <c r="D255" s="127"/>
      <c r="E255" s="127"/>
      <c r="F255" s="127"/>
      <c r="G255" s="127"/>
      <c r="H255" s="127"/>
      <c r="I255" s="127"/>
      <c r="J255" s="127"/>
      <c r="K255" s="127"/>
      <c r="L255" s="127"/>
      <c r="M255" s="127"/>
      <c r="N255" s="127"/>
      <c r="O255" s="127"/>
      <c r="P255" s="127"/>
      <c r="Q255" s="127"/>
      <c r="R255" s="127"/>
      <c r="S255" s="127"/>
      <c r="T255" s="127"/>
      <c r="U255" s="127"/>
      <c r="V255" s="127"/>
      <c r="W255" s="127"/>
      <c r="X255" s="127"/>
      <c r="Y255" s="127"/>
      <c r="Z255" s="127"/>
    </row>
    <row r="256" customFormat="false" ht="15.75" hidden="false" customHeight="false" outlineLevel="0" collapsed="false">
      <c r="A256" s="127"/>
      <c r="B256" s="127"/>
      <c r="C256" s="127"/>
      <c r="D256" s="127"/>
      <c r="E256" s="127"/>
      <c r="F256" s="127"/>
      <c r="G256" s="127"/>
      <c r="H256" s="127"/>
      <c r="I256" s="127"/>
      <c r="J256" s="127"/>
      <c r="K256" s="127"/>
      <c r="L256" s="127"/>
      <c r="M256" s="127"/>
      <c r="N256" s="127"/>
      <c r="O256" s="127"/>
      <c r="P256" s="127"/>
      <c r="Q256" s="127"/>
      <c r="R256" s="127"/>
      <c r="S256" s="127"/>
      <c r="T256" s="127"/>
      <c r="U256" s="127"/>
      <c r="V256" s="127"/>
      <c r="W256" s="127"/>
      <c r="X256" s="127"/>
      <c r="Y256" s="127"/>
      <c r="Z256" s="127"/>
    </row>
    <row r="257" customFormat="false" ht="15.75" hidden="false" customHeight="false" outlineLevel="0" collapsed="false">
      <c r="A257" s="127"/>
      <c r="B257" s="127"/>
      <c r="C257" s="127"/>
      <c r="D257" s="127"/>
      <c r="E257" s="127"/>
      <c r="F257" s="127"/>
      <c r="G257" s="127"/>
      <c r="H257" s="127"/>
      <c r="I257" s="127"/>
      <c r="J257" s="127"/>
      <c r="K257" s="127"/>
      <c r="L257" s="127"/>
      <c r="M257" s="127"/>
      <c r="N257" s="127"/>
      <c r="O257" s="127"/>
      <c r="P257" s="127"/>
      <c r="Q257" s="127"/>
      <c r="R257" s="127"/>
      <c r="S257" s="127"/>
      <c r="T257" s="127"/>
      <c r="U257" s="127"/>
      <c r="V257" s="127"/>
      <c r="W257" s="127"/>
      <c r="X257" s="127"/>
      <c r="Y257" s="127"/>
      <c r="Z257" s="127"/>
    </row>
    <row r="258" customFormat="false" ht="15.75" hidden="false" customHeight="false" outlineLevel="0" collapsed="false">
      <c r="A258" s="127"/>
      <c r="B258" s="127"/>
      <c r="C258" s="127"/>
      <c r="D258" s="127"/>
      <c r="E258" s="127"/>
      <c r="F258" s="127"/>
      <c r="G258" s="127"/>
      <c r="H258" s="127"/>
      <c r="I258" s="127"/>
      <c r="J258" s="127"/>
      <c r="K258" s="127"/>
      <c r="L258" s="127"/>
      <c r="M258" s="127"/>
      <c r="N258" s="127"/>
      <c r="O258" s="127"/>
      <c r="P258" s="127"/>
      <c r="Q258" s="127"/>
      <c r="R258" s="127"/>
      <c r="S258" s="127"/>
      <c r="T258" s="127"/>
      <c r="U258" s="127"/>
      <c r="V258" s="127"/>
      <c r="W258" s="127"/>
      <c r="X258" s="127"/>
      <c r="Y258" s="127"/>
      <c r="Z258" s="127"/>
    </row>
    <row r="259" customFormat="false" ht="15.75" hidden="false" customHeight="false" outlineLevel="0" collapsed="false">
      <c r="A259" s="127"/>
      <c r="B259" s="127"/>
      <c r="C259" s="127"/>
      <c r="D259" s="127"/>
      <c r="E259" s="127"/>
      <c r="F259" s="127"/>
      <c r="G259" s="127"/>
      <c r="H259" s="127"/>
      <c r="I259" s="127"/>
      <c r="J259" s="127"/>
      <c r="K259" s="127"/>
      <c r="L259" s="127"/>
      <c r="M259" s="127"/>
      <c r="N259" s="127"/>
      <c r="O259" s="127"/>
      <c r="P259" s="127"/>
      <c r="Q259" s="127"/>
      <c r="R259" s="127"/>
      <c r="S259" s="127"/>
      <c r="T259" s="127"/>
      <c r="U259" s="127"/>
      <c r="V259" s="127"/>
      <c r="W259" s="127"/>
      <c r="X259" s="127"/>
      <c r="Y259" s="127"/>
      <c r="Z259" s="127"/>
    </row>
    <row r="260" customFormat="false" ht="15.75" hidden="false" customHeight="false" outlineLevel="0" collapsed="false">
      <c r="A260" s="127"/>
      <c r="B260" s="127"/>
      <c r="C260" s="127"/>
      <c r="D260" s="127"/>
      <c r="E260" s="127"/>
      <c r="F260" s="127"/>
      <c r="G260" s="127"/>
      <c r="H260" s="127"/>
      <c r="I260" s="127"/>
      <c r="J260" s="127"/>
      <c r="K260" s="127"/>
      <c r="L260" s="127"/>
      <c r="M260" s="127"/>
      <c r="N260" s="127"/>
      <c r="O260" s="127"/>
      <c r="P260" s="127"/>
      <c r="Q260" s="127"/>
      <c r="R260" s="127"/>
      <c r="S260" s="127"/>
      <c r="T260" s="127"/>
      <c r="U260" s="127"/>
      <c r="V260" s="127"/>
      <c r="W260" s="127"/>
      <c r="X260" s="127"/>
      <c r="Y260" s="127"/>
      <c r="Z260" s="127"/>
    </row>
    <row r="261" customFormat="false" ht="15.75" hidden="false" customHeight="false" outlineLevel="0" collapsed="false">
      <c r="A261" s="127"/>
      <c r="B261" s="127"/>
      <c r="C261" s="127"/>
      <c r="D261" s="127"/>
      <c r="E261" s="127"/>
      <c r="F261" s="127"/>
      <c r="G261" s="127"/>
      <c r="H261" s="127"/>
      <c r="I261" s="127"/>
      <c r="J261" s="127"/>
      <c r="K261" s="127"/>
      <c r="L261" s="127"/>
      <c r="M261" s="127"/>
      <c r="N261" s="127"/>
      <c r="O261" s="127"/>
      <c r="P261" s="127"/>
      <c r="Q261" s="127"/>
      <c r="R261" s="127"/>
      <c r="S261" s="127"/>
      <c r="T261" s="127"/>
      <c r="U261" s="127"/>
      <c r="V261" s="127"/>
      <c r="W261" s="127"/>
      <c r="X261" s="127"/>
      <c r="Y261" s="127"/>
      <c r="Z261" s="127"/>
    </row>
    <row r="262" customFormat="false" ht="15.75" hidden="false" customHeight="false" outlineLevel="0" collapsed="false">
      <c r="A262" s="127"/>
      <c r="B262" s="127"/>
      <c r="C262" s="127"/>
      <c r="D262" s="127"/>
      <c r="E262" s="127"/>
      <c r="F262" s="127"/>
      <c r="G262" s="127"/>
      <c r="H262" s="127"/>
      <c r="I262" s="127"/>
      <c r="J262" s="127"/>
      <c r="K262" s="127"/>
      <c r="L262" s="127"/>
      <c r="M262" s="127"/>
      <c r="N262" s="127"/>
      <c r="O262" s="127"/>
      <c r="P262" s="127"/>
      <c r="Q262" s="127"/>
      <c r="R262" s="127"/>
      <c r="S262" s="127"/>
      <c r="T262" s="127"/>
      <c r="U262" s="127"/>
      <c r="V262" s="127"/>
      <c r="W262" s="127"/>
      <c r="X262" s="127"/>
      <c r="Y262" s="127"/>
      <c r="Z262" s="127"/>
    </row>
    <row r="263" customFormat="false" ht="15.75" hidden="false" customHeight="false" outlineLevel="0" collapsed="false">
      <c r="A263" s="127"/>
      <c r="B263" s="127"/>
      <c r="C263" s="127"/>
      <c r="D263" s="127"/>
      <c r="E263" s="127"/>
      <c r="F263" s="127"/>
      <c r="G263" s="127"/>
      <c r="H263" s="127"/>
      <c r="I263" s="127"/>
      <c r="J263" s="127"/>
      <c r="K263" s="127"/>
      <c r="L263" s="127"/>
      <c r="M263" s="127"/>
      <c r="N263" s="127"/>
      <c r="O263" s="127"/>
      <c r="P263" s="127"/>
      <c r="Q263" s="127"/>
      <c r="R263" s="127"/>
      <c r="S263" s="127"/>
      <c r="T263" s="127"/>
      <c r="U263" s="127"/>
      <c r="V263" s="127"/>
      <c r="W263" s="127"/>
      <c r="X263" s="127"/>
      <c r="Y263" s="127"/>
      <c r="Z263" s="127"/>
    </row>
    <row r="264" customFormat="false" ht="15.75" hidden="false" customHeight="false" outlineLevel="0" collapsed="false">
      <c r="A264" s="127"/>
      <c r="B264" s="127"/>
      <c r="C264" s="127"/>
      <c r="D264" s="127"/>
      <c r="E264" s="127"/>
      <c r="F264" s="127"/>
      <c r="G264" s="127"/>
      <c r="H264" s="127"/>
      <c r="I264" s="127"/>
      <c r="J264" s="127"/>
      <c r="K264" s="127"/>
      <c r="L264" s="127"/>
      <c r="M264" s="127"/>
      <c r="N264" s="127"/>
      <c r="O264" s="127"/>
      <c r="P264" s="127"/>
      <c r="Q264" s="127"/>
      <c r="R264" s="127"/>
      <c r="S264" s="127"/>
      <c r="T264" s="127"/>
      <c r="U264" s="127"/>
      <c r="V264" s="127"/>
      <c r="W264" s="127"/>
      <c r="X264" s="127"/>
      <c r="Y264" s="127"/>
      <c r="Z264" s="127"/>
    </row>
    <row r="265" customFormat="false" ht="15.75" hidden="false" customHeight="false" outlineLevel="0" collapsed="false">
      <c r="A265" s="127"/>
      <c r="B265" s="127"/>
      <c r="C265" s="127"/>
      <c r="D265" s="127"/>
      <c r="E265" s="127"/>
      <c r="F265" s="127"/>
      <c r="G265" s="127"/>
      <c r="H265" s="127"/>
      <c r="I265" s="127"/>
      <c r="J265" s="127"/>
      <c r="K265" s="127"/>
      <c r="L265" s="127"/>
      <c r="M265" s="127"/>
      <c r="N265" s="127"/>
      <c r="O265" s="127"/>
      <c r="P265" s="127"/>
      <c r="Q265" s="127"/>
      <c r="R265" s="127"/>
      <c r="S265" s="127"/>
      <c r="T265" s="127"/>
      <c r="U265" s="127"/>
      <c r="V265" s="127"/>
      <c r="W265" s="127"/>
      <c r="X265" s="127"/>
      <c r="Y265" s="127"/>
      <c r="Z265" s="127"/>
    </row>
    <row r="266" customFormat="false" ht="15.75" hidden="false" customHeight="false" outlineLevel="0" collapsed="false">
      <c r="A266" s="127"/>
      <c r="B266" s="127"/>
      <c r="C266" s="127"/>
      <c r="D266" s="127"/>
      <c r="E266" s="127"/>
      <c r="F266" s="127"/>
      <c r="G266" s="127"/>
      <c r="H266" s="127"/>
      <c r="I266" s="127"/>
      <c r="J266" s="127"/>
      <c r="K266" s="127"/>
      <c r="L266" s="127"/>
      <c r="M266" s="127"/>
      <c r="N266" s="127"/>
      <c r="O266" s="127"/>
      <c r="P266" s="127"/>
      <c r="Q266" s="127"/>
      <c r="R266" s="127"/>
      <c r="S266" s="127"/>
      <c r="T266" s="127"/>
      <c r="U266" s="127"/>
      <c r="V266" s="127"/>
      <c r="W266" s="127"/>
      <c r="X266" s="127"/>
      <c r="Y266" s="127"/>
      <c r="Z266" s="127"/>
    </row>
    <row r="267" customFormat="false" ht="15.75" hidden="false" customHeight="false" outlineLevel="0" collapsed="false">
      <c r="A267" s="127"/>
      <c r="B267" s="127"/>
      <c r="C267" s="127"/>
      <c r="D267" s="127"/>
      <c r="E267" s="127"/>
      <c r="F267" s="127"/>
      <c r="G267" s="127"/>
      <c r="H267" s="127"/>
      <c r="I267" s="127"/>
      <c r="J267" s="127"/>
      <c r="K267" s="127"/>
      <c r="L267" s="127"/>
      <c r="M267" s="127"/>
      <c r="N267" s="127"/>
      <c r="O267" s="127"/>
      <c r="P267" s="127"/>
      <c r="Q267" s="127"/>
      <c r="R267" s="127"/>
      <c r="S267" s="127"/>
      <c r="T267" s="127"/>
      <c r="U267" s="127"/>
      <c r="V267" s="127"/>
      <c r="W267" s="127"/>
      <c r="X267" s="127"/>
      <c r="Y267" s="127"/>
      <c r="Z267" s="127"/>
    </row>
    <row r="268" customFormat="false" ht="15.75" hidden="false" customHeight="false" outlineLevel="0" collapsed="false">
      <c r="A268" s="127"/>
      <c r="B268" s="127"/>
      <c r="C268" s="127"/>
      <c r="D268" s="127"/>
      <c r="E268" s="127"/>
      <c r="F268" s="127"/>
      <c r="G268" s="127"/>
      <c r="H268" s="127"/>
      <c r="I268" s="127"/>
      <c r="J268" s="127"/>
      <c r="K268" s="127"/>
      <c r="L268" s="127"/>
      <c r="M268" s="127"/>
      <c r="N268" s="127"/>
      <c r="O268" s="127"/>
      <c r="P268" s="127"/>
      <c r="Q268" s="127"/>
      <c r="R268" s="127"/>
      <c r="S268" s="127"/>
      <c r="T268" s="127"/>
      <c r="U268" s="127"/>
      <c r="V268" s="127"/>
      <c r="W268" s="127"/>
      <c r="X268" s="127"/>
      <c r="Y268" s="127"/>
      <c r="Z268" s="127"/>
    </row>
    <row r="269" customFormat="false" ht="15.75" hidden="false" customHeight="false" outlineLevel="0" collapsed="false">
      <c r="A269" s="127"/>
      <c r="B269" s="127"/>
      <c r="C269" s="127"/>
      <c r="D269" s="127"/>
      <c r="E269" s="127"/>
      <c r="F269" s="127"/>
      <c r="G269" s="127"/>
      <c r="H269" s="127"/>
      <c r="I269" s="127"/>
      <c r="J269" s="127"/>
      <c r="K269" s="127"/>
      <c r="L269" s="127"/>
      <c r="M269" s="127"/>
      <c r="N269" s="127"/>
      <c r="O269" s="127"/>
      <c r="P269" s="127"/>
      <c r="Q269" s="127"/>
      <c r="R269" s="127"/>
      <c r="S269" s="127"/>
      <c r="T269" s="127"/>
      <c r="U269" s="127"/>
      <c r="V269" s="127"/>
      <c r="W269" s="127"/>
      <c r="X269" s="127"/>
      <c r="Y269" s="127"/>
      <c r="Z269" s="127"/>
    </row>
    <row r="270" customFormat="false" ht="15.75" hidden="false" customHeight="false" outlineLevel="0" collapsed="false">
      <c r="A270" s="127"/>
      <c r="B270" s="127"/>
      <c r="C270" s="127"/>
      <c r="D270" s="127"/>
      <c r="E270" s="127"/>
      <c r="F270" s="127"/>
      <c r="G270" s="127"/>
      <c r="H270" s="127"/>
      <c r="I270" s="127"/>
      <c r="J270" s="127"/>
      <c r="K270" s="127"/>
      <c r="L270" s="127"/>
      <c r="M270" s="127"/>
      <c r="N270" s="127"/>
      <c r="O270" s="127"/>
      <c r="P270" s="127"/>
      <c r="Q270" s="127"/>
      <c r="R270" s="127"/>
      <c r="S270" s="127"/>
      <c r="T270" s="127"/>
      <c r="U270" s="127"/>
      <c r="V270" s="127"/>
      <c r="W270" s="127"/>
      <c r="X270" s="127"/>
      <c r="Y270" s="127"/>
      <c r="Z270" s="127"/>
    </row>
    <row r="271" customFormat="false" ht="15.75" hidden="false" customHeight="false" outlineLevel="0" collapsed="false">
      <c r="A271" s="127"/>
      <c r="B271" s="127"/>
      <c r="C271" s="127"/>
      <c r="D271" s="127"/>
      <c r="E271" s="127"/>
      <c r="F271" s="127"/>
      <c r="G271" s="127"/>
      <c r="H271" s="127"/>
      <c r="I271" s="127"/>
      <c r="J271" s="127"/>
      <c r="K271" s="127"/>
      <c r="L271" s="127"/>
      <c r="M271" s="127"/>
      <c r="N271" s="127"/>
      <c r="O271" s="127"/>
      <c r="P271" s="127"/>
      <c r="Q271" s="127"/>
      <c r="R271" s="127"/>
      <c r="S271" s="127"/>
      <c r="T271" s="127"/>
      <c r="U271" s="127"/>
      <c r="V271" s="127"/>
      <c r="W271" s="127"/>
      <c r="X271" s="127"/>
      <c r="Y271" s="127"/>
      <c r="Z271" s="127"/>
    </row>
    <row r="272" customFormat="false" ht="15.75" hidden="false" customHeight="false" outlineLevel="0" collapsed="false">
      <c r="A272" s="127"/>
      <c r="B272" s="127"/>
      <c r="C272" s="127"/>
      <c r="D272" s="127"/>
      <c r="E272" s="127"/>
      <c r="F272" s="127"/>
      <c r="G272" s="127"/>
      <c r="H272" s="127"/>
      <c r="I272" s="127"/>
      <c r="J272" s="127"/>
      <c r="K272" s="127"/>
      <c r="L272" s="127"/>
      <c r="M272" s="127"/>
      <c r="N272" s="127"/>
      <c r="O272" s="127"/>
      <c r="P272" s="127"/>
      <c r="Q272" s="127"/>
      <c r="R272" s="127"/>
      <c r="S272" s="127"/>
      <c r="T272" s="127"/>
      <c r="U272" s="127"/>
      <c r="V272" s="127"/>
      <c r="W272" s="127"/>
      <c r="X272" s="127"/>
      <c r="Y272" s="127"/>
      <c r="Z272" s="127"/>
    </row>
    <row r="273" customFormat="false" ht="15.75" hidden="false" customHeight="false" outlineLevel="0" collapsed="false">
      <c r="A273" s="127"/>
      <c r="B273" s="127"/>
      <c r="C273" s="127"/>
      <c r="D273" s="127"/>
      <c r="E273" s="127"/>
      <c r="F273" s="127"/>
      <c r="G273" s="127"/>
      <c r="H273" s="127"/>
      <c r="I273" s="127"/>
      <c r="J273" s="127"/>
      <c r="K273" s="127"/>
      <c r="L273" s="127"/>
      <c r="M273" s="127"/>
      <c r="N273" s="127"/>
      <c r="O273" s="127"/>
      <c r="P273" s="127"/>
      <c r="Q273" s="127"/>
      <c r="R273" s="127"/>
      <c r="S273" s="127"/>
      <c r="T273" s="127"/>
      <c r="U273" s="127"/>
      <c r="V273" s="127"/>
      <c r="W273" s="127"/>
      <c r="X273" s="127"/>
      <c r="Y273" s="127"/>
      <c r="Z273" s="127"/>
    </row>
    <row r="274" customFormat="false" ht="15.75" hidden="false" customHeight="false" outlineLevel="0" collapsed="false">
      <c r="A274" s="127"/>
      <c r="B274" s="127"/>
      <c r="C274" s="127"/>
      <c r="D274" s="127"/>
      <c r="E274" s="127"/>
      <c r="F274" s="127"/>
      <c r="G274" s="127"/>
      <c r="H274" s="127"/>
      <c r="I274" s="127"/>
      <c r="J274" s="127"/>
      <c r="K274" s="127"/>
      <c r="L274" s="127"/>
      <c r="M274" s="127"/>
      <c r="N274" s="127"/>
      <c r="O274" s="127"/>
      <c r="P274" s="127"/>
      <c r="Q274" s="127"/>
      <c r="R274" s="127"/>
      <c r="S274" s="127"/>
      <c r="T274" s="127"/>
      <c r="U274" s="127"/>
      <c r="V274" s="127"/>
      <c r="W274" s="127"/>
      <c r="X274" s="127"/>
      <c r="Y274" s="127"/>
      <c r="Z274" s="127"/>
    </row>
    <row r="275" customFormat="false" ht="15.75" hidden="false" customHeight="false" outlineLevel="0" collapsed="false">
      <c r="A275" s="127"/>
      <c r="B275" s="127"/>
      <c r="C275" s="127"/>
      <c r="D275" s="127"/>
      <c r="E275" s="127"/>
      <c r="F275" s="127"/>
      <c r="G275" s="127"/>
      <c r="H275" s="127"/>
      <c r="I275" s="127"/>
      <c r="J275" s="127"/>
      <c r="K275" s="127"/>
      <c r="L275" s="127"/>
      <c r="M275" s="127"/>
      <c r="N275" s="127"/>
      <c r="O275" s="127"/>
      <c r="P275" s="127"/>
      <c r="Q275" s="127"/>
      <c r="R275" s="127"/>
      <c r="S275" s="127"/>
      <c r="T275" s="127"/>
      <c r="U275" s="127"/>
      <c r="V275" s="127"/>
      <c r="W275" s="127"/>
      <c r="X275" s="127"/>
      <c r="Y275" s="127"/>
      <c r="Z275" s="127"/>
    </row>
    <row r="276" customFormat="false" ht="15.75" hidden="false" customHeight="false" outlineLevel="0" collapsed="false">
      <c r="A276" s="127"/>
      <c r="B276" s="127"/>
      <c r="C276" s="127"/>
      <c r="D276" s="127"/>
      <c r="E276" s="127"/>
      <c r="F276" s="127"/>
      <c r="G276" s="127"/>
      <c r="H276" s="127"/>
      <c r="I276" s="127"/>
      <c r="J276" s="127"/>
      <c r="K276" s="127"/>
      <c r="L276" s="127"/>
      <c r="M276" s="127"/>
      <c r="N276" s="127"/>
      <c r="O276" s="127"/>
      <c r="P276" s="127"/>
      <c r="Q276" s="127"/>
      <c r="R276" s="127"/>
      <c r="S276" s="127"/>
      <c r="T276" s="127"/>
      <c r="U276" s="127"/>
      <c r="V276" s="127"/>
      <c r="W276" s="127"/>
      <c r="X276" s="127"/>
      <c r="Y276" s="127"/>
      <c r="Z276" s="127"/>
    </row>
    <row r="277" customFormat="false" ht="15.75" hidden="false" customHeight="false" outlineLevel="0" collapsed="false">
      <c r="A277" s="127"/>
      <c r="B277" s="127"/>
      <c r="C277" s="127"/>
      <c r="D277" s="127"/>
      <c r="E277" s="127"/>
      <c r="F277" s="127"/>
      <c r="G277" s="127"/>
      <c r="H277" s="127"/>
      <c r="I277" s="127"/>
      <c r="J277" s="127"/>
      <c r="K277" s="127"/>
      <c r="L277" s="127"/>
      <c r="M277" s="127"/>
      <c r="N277" s="127"/>
      <c r="O277" s="127"/>
      <c r="P277" s="127"/>
      <c r="Q277" s="127"/>
      <c r="R277" s="127"/>
      <c r="S277" s="127"/>
      <c r="T277" s="127"/>
      <c r="U277" s="127"/>
      <c r="V277" s="127"/>
      <c r="W277" s="127"/>
      <c r="X277" s="127"/>
      <c r="Y277" s="127"/>
      <c r="Z277" s="127"/>
    </row>
    <row r="278" customFormat="false" ht="15.75" hidden="false" customHeight="false" outlineLevel="0" collapsed="false">
      <c r="A278" s="127"/>
      <c r="B278" s="127"/>
      <c r="C278" s="127"/>
      <c r="D278" s="127"/>
      <c r="E278" s="127"/>
      <c r="F278" s="127"/>
      <c r="G278" s="127"/>
      <c r="H278" s="127"/>
      <c r="I278" s="127"/>
      <c r="J278" s="127"/>
      <c r="K278" s="127"/>
      <c r="L278" s="127"/>
      <c r="M278" s="127"/>
      <c r="N278" s="127"/>
      <c r="O278" s="127"/>
      <c r="P278" s="127"/>
      <c r="Q278" s="127"/>
      <c r="R278" s="127"/>
      <c r="S278" s="127"/>
      <c r="T278" s="127"/>
      <c r="U278" s="127"/>
      <c r="V278" s="127"/>
      <c r="W278" s="127"/>
      <c r="X278" s="127"/>
      <c r="Y278" s="127"/>
      <c r="Z278" s="127"/>
    </row>
    <row r="279" customFormat="false" ht="15.75" hidden="false" customHeight="false" outlineLevel="0" collapsed="false">
      <c r="A279" s="127"/>
      <c r="B279" s="127"/>
      <c r="C279" s="127"/>
      <c r="D279" s="127"/>
      <c r="E279" s="127"/>
      <c r="F279" s="127"/>
      <c r="G279" s="127"/>
      <c r="H279" s="127"/>
      <c r="I279" s="127"/>
      <c r="J279" s="127"/>
      <c r="K279" s="127"/>
      <c r="L279" s="127"/>
      <c r="M279" s="127"/>
      <c r="N279" s="127"/>
      <c r="O279" s="127"/>
      <c r="P279" s="127"/>
      <c r="Q279" s="127"/>
      <c r="R279" s="127"/>
      <c r="S279" s="127"/>
      <c r="T279" s="127"/>
      <c r="U279" s="127"/>
      <c r="V279" s="127"/>
      <c r="W279" s="127"/>
      <c r="X279" s="127"/>
      <c r="Y279" s="127"/>
      <c r="Z279" s="127"/>
    </row>
    <row r="280" customFormat="false" ht="15.75" hidden="false" customHeight="false" outlineLevel="0" collapsed="false">
      <c r="A280" s="127"/>
      <c r="B280" s="127"/>
      <c r="C280" s="127"/>
      <c r="D280" s="127"/>
      <c r="E280" s="127"/>
      <c r="F280" s="127"/>
      <c r="G280" s="127"/>
      <c r="H280" s="127"/>
      <c r="I280" s="127"/>
      <c r="J280" s="127"/>
      <c r="K280" s="127"/>
      <c r="L280" s="127"/>
      <c r="M280" s="127"/>
      <c r="N280" s="127"/>
      <c r="O280" s="127"/>
      <c r="P280" s="127"/>
      <c r="Q280" s="127"/>
      <c r="R280" s="127"/>
      <c r="S280" s="127"/>
      <c r="T280" s="127"/>
      <c r="U280" s="127"/>
      <c r="V280" s="127"/>
      <c r="W280" s="127"/>
      <c r="X280" s="127"/>
      <c r="Y280" s="127"/>
      <c r="Z280" s="127"/>
    </row>
    <row r="281" customFormat="false" ht="15.75" hidden="false" customHeight="false" outlineLevel="0" collapsed="false">
      <c r="A281" s="127"/>
      <c r="B281" s="127"/>
      <c r="C281" s="127"/>
      <c r="D281" s="127"/>
      <c r="E281" s="127"/>
      <c r="F281" s="127"/>
      <c r="G281" s="127"/>
      <c r="H281" s="127"/>
      <c r="I281" s="127"/>
      <c r="J281" s="127"/>
      <c r="K281" s="127"/>
      <c r="L281" s="127"/>
      <c r="M281" s="127"/>
      <c r="N281" s="127"/>
      <c r="O281" s="127"/>
      <c r="P281" s="127"/>
      <c r="Q281" s="127"/>
      <c r="R281" s="127"/>
      <c r="S281" s="127"/>
      <c r="T281" s="127"/>
      <c r="U281" s="127"/>
      <c r="V281" s="127"/>
      <c r="W281" s="127"/>
      <c r="X281" s="127"/>
      <c r="Y281" s="127"/>
      <c r="Z281" s="127"/>
    </row>
    <row r="282" customFormat="false" ht="15.75" hidden="false" customHeight="false" outlineLevel="0" collapsed="false">
      <c r="A282" s="127"/>
      <c r="B282" s="127"/>
      <c r="C282" s="127"/>
      <c r="D282" s="127"/>
      <c r="E282" s="127"/>
      <c r="F282" s="127"/>
      <c r="G282" s="127"/>
      <c r="H282" s="127"/>
      <c r="I282" s="127"/>
      <c r="J282" s="127"/>
      <c r="K282" s="127"/>
      <c r="L282" s="127"/>
      <c r="M282" s="127"/>
      <c r="N282" s="127"/>
      <c r="O282" s="127"/>
      <c r="P282" s="127"/>
      <c r="Q282" s="127"/>
      <c r="R282" s="127"/>
      <c r="S282" s="127"/>
      <c r="T282" s="127"/>
      <c r="U282" s="127"/>
      <c r="V282" s="127"/>
      <c r="W282" s="127"/>
      <c r="X282" s="127"/>
      <c r="Y282" s="127"/>
      <c r="Z282" s="127"/>
    </row>
    <row r="283" customFormat="false" ht="15.75" hidden="false" customHeight="false" outlineLevel="0" collapsed="false">
      <c r="A283" s="127"/>
      <c r="B283" s="127"/>
      <c r="C283" s="127"/>
      <c r="D283" s="127"/>
      <c r="E283" s="127"/>
      <c r="F283" s="127"/>
      <c r="G283" s="127"/>
      <c r="H283" s="127"/>
      <c r="I283" s="127"/>
      <c r="J283" s="127"/>
      <c r="K283" s="127"/>
      <c r="L283" s="127"/>
      <c r="M283" s="127"/>
      <c r="N283" s="127"/>
      <c r="O283" s="127"/>
      <c r="P283" s="127"/>
      <c r="Q283" s="127"/>
      <c r="R283" s="127"/>
      <c r="S283" s="127"/>
      <c r="T283" s="127"/>
      <c r="U283" s="127"/>
      <c r="V283" s="127"/>
      <c r="W283" s="127"/>
      <c r="X283" s="127"/>
      <c r="Y283" s="127"/>
      <c r="Z283" s="127"/>
    </row>
    <row r="284" customFormat="false" ht="15.75" hidden="false" customHeight="false" outlineLevel="0" collapsed="false">
      <c r="A284" s="127"/>
      <c r="B284" s="127"/>
      <c r="C284" s="127"/>
      <c r="D284" s="127"/>
      <c r="E284" s="127"/>
      <c r="F284" s="127"/>
      <c r="G284" s="127"/>
      <c r="H284" s="127"/>
      <c r="I284" s="127"/>
      <c r="J284" s="127"/>
      <c r="K284" s="127"/>
      <c r="L284" s="127"/>
      <c r="M284" s="127"/>
      <c r="N284" s="127"/>
      <c r="O284" s="127"/>
      <c r="P284" s="127"/>
      <c r="Q284" s="127"/>
      <c r="R284" s="127"/>
      <c r="S284" s="127"/>
      <c r="T284" s="127"/>
      <c r="U284" s="127"/>
      <c r="V284" s="127"/>
      <c r="W284" s="127"/>
      <c r="X284" s="127"/>
      <c r="Y284" s="127"/>
      <c r="Z284" s="127"/>
    </row>
    <row r="285" customFormat="false" ht="15.75" hidden="false" customHeight="false" outlineLevel="0" collapsed="false">
      <c r="A285" s="127"/>
      <c r="B285" s="127"/>
      <c r="C285" s="127"/>
      <c r="D285" s="127"/>
      <c r="E285" s="127"/>
      <c r="F285" s="127"/>
      <c r="G285" s="127"/>
      <c r="H285" s="127"/>
      <c r="I285" s="127"/>
      <c r="J285" s="127"/>
      <c r="K285" s="127"/>
      <c r="L285" s="127"/>
      <c r="M285" s="127"/>
      <c r="N285" s="127"/>
      <c r="O285" s="127"/>
      <c r="P285" s="127"/>
      <c r="Q285" s="127"/>
      <c r="R285" s="127"/>
      <c r="S285" s="127"/>
      <c r="T285" s="127"/>
      <c r="U285" s="127"/>
      <c r="V285" s="127"/>
      <c r="W285" s="127"/>
      <c r="X285" s="127"/>
      <c r="Y285" s="127"/>
      <c r="Z285" s="127"/>
    </row>
    <row r="286" customFormat="false" ht="15.75" hidden="false" customHeight="false" outlineLevel="0" collapsed="false">
      <c r="A286" s="127"/>
      <c r="B286" s="127"/>
      <c r="C286" s="127"/>
      <c r="D286" s="127"/>
      <c r="E286" s="127"/>
      <c r="F286" s="127"/>
      <c r="G286" s="127"/>
      <c r="H286" s="127"/>
      <c r="I286" s="127"/>
      <c r="J286" s="127"/>
      <c r="K286" s="127"/>
      <c r="L286" s="127"/>
      <c r="M286" s="127"/>
      <c r="N286" s="127"/>
      <c r="O286" s="127"/>
      <c r="P286" s="127"/>
      <c r="Q286" s="127"/>
      <c r="R286" s="127"/>
      <c r="S286" s="127"/>
      <c r="T286" s="127"/>
      <c r="U286" s="127"/>
      <c r="V286" s="127"/>
      <c r="W286" s="127"/>
      <c r="X286" s="127"/>
      <c r="Y286" s="127"/>
      <c r="Z286" s="127"/>
    </row>
    <row r="287" customFormat="false" ht="15.75" hidden="false" customHeight="false" outlineLevel="0" collapsed="false">
      <c r="A287" s="127"/>
      <c r="B287" s="127"/>
      <c r="C287" s="127"/>
      <c r="D287" s="127"/>
      <c r="E287" s="127"/>
      <c r="F287" s="127"/>
      <c r="G287" s="127"/>
      <c r="H287" s="127"/>
      <c r="I287" s="127"/>
      <c r="J287" s="127"/>
      <c r="K287" s="127"/>
      <c r="L287" s="127"/>
      <c r="M287" s="127"/>
      <c r="N287" s="127"/>
      <c r="O287" s="127"/>
      <c r="P287" s="127"/>
      <c r="Q287" s="127"/>
      <c r="R287" s="127"/>
      <c r="S287" s="127"/>
      <c r="T287" s="127"/>
      <c r="U287" s="127"/>
      <c r="V287" s="127"/>
      <c r="W287" s="127"/>
      <c r="X287" s="127"/>
      <c r="Y287" s="127"/>
      <c r="Z287" s="127"/>
    </row>
    <row r="288" customFormat="false" ht="15.75" hidden="false" customHeight="false" outlineLevel="0" collapsed="false">
      <c r="A288" s="127"/>
      <c r="B288" s="127"/>
      <c r="C288" s="127"/>
      <c r="D288" s="127"/>
      <c r="E288" s="127"/>
      <c r="F288" s="127"/>
      <c r="G288" s="127"/>
      <c r="H288" s="127"/>
      <c r="I288" s="127"/>
      <c r="J288" s="127"/>
      <c r="K288" s="127"/>
      <c r="L288" s="127"/>
      <c r="M288" s="127"/>
      <c r="N288" s="127"/>
      <c r="O288" s="127"/>
      <c r="P288" s="127"/>
      <c r="Q288" s="127"/>
      <c r="R288" s="127"/>
      <c r="S288" s="127"/>
      <c r="T288" s="127"/>
      <c r="U288" s="127"/>
      <c r="V288" s="127"/>
      <c r="W288" s="127"/>
      <c r="X288" s="127"/>
      <c r="Y288" s="127"/>
      <c r="Z288" s="127"/>
    </row>
    <row r="289" customFormat="false" ht="15.75" hidden="false" customHeight="false" outlineLevel="0" collapsed="false">
      <c r="A289" s="127"/>
      <c r="B289" s="127"/>
      <c r="C289" s="127"/>
      <c r="D289" s="127"/>
      <c r="E289" s="127"/>
      <c r="F289" s="127"/>
      <c r="G289" s="127"/>
      <c r="H289" s="127"/>
      <c r="I289" s="127"/>
      <c r="J289" s="127"/>
      <c r="K289" s="127"/>
      <c r="L289" s="127"/>
      <c r="M289" s="127"/>
      <c r="N289" s="127"/>
      <c r="O289" s="127"/>
      <c r="P289" s="127"/>
      <c r="Q289" s="127"/>
      <c r="R289" s="127"/>
      <c r="S289" s="127"/>
      <c r="T289" s="127"/>
      <c r="U289" s="127"/>
      <c r="V289" s="127"/>
      <c r="W289" s="127"/>
      <c r="X289" s="127"/>
      <c r="Y289" s="127"/>
      <c r="Z289" s="127"/>
    </row>
    <row r="290" customFormat="false" ht="15.75" hidden="false" customHeight="false" outlineLevel="0" collapsed="false">
      <c r="A290" s="127"/>
      <c r="B290" s="127"/>
      <c r="C290" s="127"/>
      <c r="D290" s="127"/>
      <c r="E290" s="127"/>
      <c r="F290" s="127"/>
      <c r="G290" s="127"/>
      <c r="H290" s="127"/>
      <c r="I290" s="127"/>
      <c r="J290" s="127"/>
      <c r="K290" s="127"/>
      <c r="L290" s="127"/>
      <c r="M290" s="127"/>
      <c r="N290" s="127"/>
      <c r="O290" s="127"/>
      <c r="P290" s="127"/>
      <c r="Q290" s="127"/>
      <c r="R290" s="127"/>
      <c r="S290" s="127"/>
      <c r="T290" s="127"/>
      <c r="U290" s="127"/>
      <c r="V290" s="127"/>
      <c r="W290" s="127"/>
      <c r="X290" s="127"/>
      <c r="Y290" s="127"/>
      <c r="Z290" s="127"/>
    </row>
    <row r="291" customFormat="false" ht="15.75" hidden="false" customHeight="false" outlineLevel="0" collapsed="false">
      <c r="A291" s="127"/>
      <c r="B291" s="127"/>
      <c r="C291" s="127"/>
      <c r="D291" s="127"/>
      <c r="E291" s="127"/>
      <c r="F291" s="127"/>
      <c r="G291" s="127"/>
      <c r="H291" s="127"/>
      <c r="I291" s="127"/>
      <c r="J291" s="127"/>
      <c r="K291" s="127"/>
      <c r="L291" s="127"/>
      <c r="M291" s="127"/>
      <c r="N291" s="127"/>
      <c r="O291" s="127"/>
      <c r="P291" s="127"/>
      <c r="Q291" s="127"/>
      <c r="R291" s="127"/>
      <c r="S291" s="127"/>
      <c r="T291" s="127"/>
      <c r="U291" s="127"/>
      <c r="V291" s="127"/>
      <c r="W291" s="127"/>
      <c r="X291" s="127"/>
      <c r="Y291" s="127"/>
      <c r="Z291" s="127"/>
    </row>
    <row r="292" customFormat="false" ht="15.75" hidden="false" customHeight="false" outlineLevel="0" collapsed="false">
      <c r="A292" s="127"/>
      <c r="B292" s="127"/>
      <c r="C292" s="127"/>
      <c r="D292" s="127"/>
      <c r="E292" s="127"/>
      <c r="F292" s="127"/>
      <c r="G292" s="127"/>
      <c r="H292" s="127"/>
      <c r="I292" s="127"/>
      <c r="J292" s="127"/>
      <c r="K292" s="127"/>
      <c r="L292" s="127"/>
      <c r="M292" s="127"/>
      <c r="N292" s="127"/>
      <c r="O292" s="127"/>
      <c r="P292" s="127"/>
      <c r="Q292" s="127"/>
      <c r="R292" s="127"/>
      <c r="S292" s="127"/>
      <c r="T292" s="127"/>
      <c r="U292" s="127"/>
      <c r="V292" s="127"/>
      <c r="W292" s="127"/>
      <c r="X292" s="127"/>
      <c r="Y292" s="127"/>
      <c r="Z292" s="127"/>
    </row>
    <row r="293" customFormat="false" ht="15.75" hidden="false" customHeight="false" outlineLevel="0" collapsed="false">
      <c r="A293" s="127"/>
      <c r="B293" s="127"/>
      <c r="C293" s="127"/>
      <c r="D293" s="127"/>
      <c r="E293" s="127"/>
      <c r="F293" s="127"/>
      <c r="G293" s="127"/>
      <c r="H293" s="127"/>
      <c r="I293" s="127"/>
      <c r="J293" s="127"/>
      <c r="K293" s="127"/>
      <c r="L293" s="127"/>
      <c r="M293" s="127"/>
      <c r="N293" s="127"/>
      <c r="O293" s="127"/>
      <c r="P293" s="127"/>
      <c r="Q293" s="127"/>
      <c r="R293" s="127"/>
      <c r="S293" s="127"/>
      <c r="T293" s="127"/>
      <c r="U293" s="127"/>
      <c r="V293" s="127"/>
      <c r="W293" s="127"/>
      <c r="X293" s="127"/>
      <c r="Y293" s="127"/>
      <c r="Z293" s="127"/>
    </row>
    <row r="294" customFormat="false" ht="15.75" hidden="false" customHeight="false" outlineLevel="0" collapsed="false">
      <c r="A294" s="127"/>
      <c r="B294" s="127"/>
      <c r="C294" s="127"/>
      <c r="D294" s="127"/>
      <c r="E294" s="127"/>
      <c r="F294" s="127"/>
      <c r="G294" s="127"/>
      <c r="H294" s="127"/>
      <c r="I294" s="127"/>
      <c r="J294" s="127"/>
      <c r="K294" s="127"/>
      <c r="L294" s="127"/>
      <c r="M294" s="127"/>
      <c r="N294" s="127"/>
      <c r="O294" s="127"/>
      <c r="P294" s="127"/>
      <c r="Q294" s="127"/>
      <c r="R294" s="127"/>
      <c r="S294" s="127"/>
      <c r="T294" s="127"/>
      <c r="U294" s="127"/>
      <c r="V294" s="127"/>
      <c r="W294" s="127"/>
      <c r="X294" s="127"/>
      <c r="Y294" s="127"/>
      <c r="Z294" s="127"/>
    </row>
    <row r="295" customFormat="false" ht="15.75" hidden="false" customHeight="false" outlineLevel="0" collapsed="false">
      <c r="A295" s="127"/>
      <c r="B295" s="127"/>
      <c r="C295" s="127"/>
      <c r="D295" s="127"/>
      <c r="E295" s="127"/>
      <c r="F295" s="127"/>
      <c r="G295" s="127"/>
      <c r="H295" s="127"/>
      <c r="I295" s="127"/>
      <c r="J295" s="127"/>
      <c r="K295" s="127"/>
      <c r="L295" s="127"/>
      <c r="M295" s="127"/>
      <c r="N295" s="127"/>
      <c r="O295" s="127"/>
      <c r="P295" s="127"/>
      <c r="Q295" s="127"/>
      <c r="R295" s="127"/>
      <c r="S295" s="127"/>
      <c r="T295" s="127"/>
      <c r="U295" s="127"/>
      <c r="V295" s="127"/>
      <c r="W295" s="127"/>
      <c r="X295" s="127"/>
      <c r="Y295" s="127"/>
      <c r="Z295" s="127"/>
    </row>
    <row r="296" customFormat="false" ht="15.75" hidden="false" customHeight="false" outlineLevel="0" collapsed="false">
      <c r="A296" s="127"/>
      <c r="B296" s="127"/>
      <c r="C296" s="127"/>
      <c r="D296" s="127"/>
      <c r="E296" s="127"/>
      <c r="F296" s="127"/>
      <c r="G296" s="127"/>
      <c r="H296" s="127"/>
      <c r="I296" s="127"/>
      <c r="J296" s="127"/>
      <c r="K296" s="127"/>
      <c r="L296" s="127"/>
      <c r="M296" s="127"/>
      <c r="N296" s="127"/>
      <c r="O296" s="127"/>
      <c r="P296" s="127"/>
      <c r="Q296" s="127"/>
      <c r="R296" s="127"/>
      <c r="S296" s="127"/>
      <c r="T296" s="127"/>
      <c r="U296" s="127"/>
      <c r="V296" s="127"/>
      <c r="W296" s="127"/>
      <c r="X296" s="127"/>
      <c r="Y296" s="127"/>
      <c r="Z296" s="127"/>
    </row>
    <row r="297" customFormat="false" ht="15.75" hidden="false" customHeight="false" outlineLevel="0" collapsed="false">
      <c r="A297" s="127"/>
      <c r="B297" s="127"/>
      <c r="C297" s="127"/>
      <c r="D297" s="127"/>
      <c r="E297" s="127"/>
      <c r="F297" s="127"/>
      <c r="G297" s="127"/>
      <c r="H297" s="127"/>
      <c r="I297" s="127"/>
      <c r="J297" s="127"/>
      <c r="K297" s="127"/>
      <c r="L297" s="127"/>
      <c r="M297" s="127"/>
      <c r="N297" s="127"/>
      <c r="O297" s="127"/>
      <c r="P297" s="127"/>
      <c r="Q297" s="127"/>
      <c r="R297" s="127"/>
      <c r="S297" s="127"/>
      <c r="T297" s="127"/>
      <c r="U297" s="127"/>
      <c r="V297" s="127"/>
      <c r="W297" s="127"/>
      <c r="X297" s="127"/>
      <c r="Y297" s="127"/>
      <c r="Z297" s="127"/>
    </row>
    <row r="298" customFormat="false" ht="15.75" hidden="false" customHeight="false" outlineLevel="0" collapsed="false">
      <c r="A298" s="127"/>
      <c r="B298" s="127"/>
      <c r="C298" s="127"/>
      <c r="D298" s="127"/>
      <c r="E298" s="127"/>
      <c r="F298" s="127"/>
      <c r="G298" s="127"/>
      <c r="H298" s="127"/>
      <c r="I298" s="127"/>
      <c r="J298" s="127"/>
      <c r="K298" s="127"/>
      <c r="L298" s="127"/>
      <c r="M298" s="127"/>
      <c r="N298" s="127"/>
      <c r="O298" s="127"/>
      <c r="P298" s="127"/>
      <c r="Q298" s="127"/>
      <c r="R298" s="127"/>
      <c r="S298" s="127"/>
      <c r="T298" s="127"/>
      <c r="U298" s="127"/>
      <c r="V298" s="127"/>
      <c r="W298" s="127"/>
      <c r="X298" s="127"/>
      <c r="Y298" s="127"/>
      <c r="Z298" s="127"/>
    </row>
    <row r="299" customFormat="false" ht="15.75" hidden="false" customHeight="false" outlineLevel="0" collapsed="false">
      <c r="A299" s="127"/>
      <c r="B299" s="127"/>
      <c r="C299" s="127"/>
      <c r="D299" s="127"/>
      <c r="E299" s="127"/>
      <c r="F299" s="127"/>
      <c r="G299" s="127"/>
      <c r="H299" s="127"/>
      <c r="I299" s="127"/>
      <c r="J299" s="127"/>
      <c r="K299" s="127"/>
      <c r="L299" s="127"/>
      <c r="M299" s="127"/>
      <c r="N299" s="127"/>
      <c r="O299" s="127"/>
      <c r="P299" s="127"/>
      <c r="Q299" s="127"/>
      <c r="R299" s="127"/>
      <c r="S299" s="127"/>
      <c r="T299" s="127"/>
      <c r="U299" s="127"/>
      <c r="V299" s="127"/>
      <c r="W299" s="127"/>
      <c r="X299" s="127"/>
      <c r="Y299" s="127"/>
      <c r="Z299" s="127"/>
    </row>
    <row r="300" customFormat="false" ht="15.75" hidden="false" customHeight="false" outlineLevel="0" collapsed="false">
      <c r="A300" s="127"/>
      <c r="B300" s="127"/>
      <c r="C300" s="127"/>
      <c r="D300" s="127"/>
      <c r="E300" s="127"/>
      <c r="F300" s="127"/>
      <c r="G300" s="127"/>
      <c r="H300" s="127"/>
      <c r="I300" s="127"/>
      <c r="J300" s="127"/>
      <c r="K300" s="127"/>
      <c r="L300" s="127"/>
      <c r="M300" s="127"/>
      <c r="N300" s="127"/>
      <c r="O300" s="127"/>
      <c r="P300" s="127"/>
      <c r="Q300" s="127"/>
      <c r="R300" s="127"/>
      <c r="S300" s="127"/>
      <c r="T300" s="127"/>
      <c r="U300" s="127"/>
      <c r="V300" s="127"/>
      <c r="W300" s="127"/>
      <c r="X300" s="127"/>
      <c r="Y300" s="127"/>
      <c r="Z300" s="127"/>
    </row>
    <row r="301" customFormat="false" ht="15.75" hidden="false" customHeight="false" outlineLevel="0" collapsed="false">
      <c r="A301" s="127"/>
      <c r="B301" s="127"/>
      <c r="C301" s="127"/>
      <c r="D301" s="127"/>
      <c r="E301" s="127"/>
      <c r="F301" s="127"/>
      <c r="G301" s="127"/>
      <c r="H301" s="127"/>
      <c r="I301" s="127"/>
      <c r="J301" s="127"/>
      <c r="K301" s="127"/>
      <c r="L301" s="127"/>
      <c r="M301" s="127"/>
      <c r="N301" s="127"/>
      <c r="O301" s="127"/>
      <c r="P301" s="127"/>
      <c r="Q301" s="127"/>
      <c r="R301" s="127"/>
      <c r="S301" s="127"/>
      <c r="T301" s="127"/>
      <c r="U301" s="127"/>
      <c r="V301" s="127"/>
      <c r="W301" s="127"/>
      <c r="X301" s="127"/>
      <c r="Y301" s="127"/>
      <c r="Z301" s="127"/>
    </row>
    <row r="302" customFormat="false" ht="15.75" hidden="false" customHeight="false" outlineLevel="0" collapsed="false">
      <c r="A302" s="127"/>
      <c r="B302" s="127"/>
      <c r="C302" s="127"/>
      <c r="D302" s="127"/>
      <c r="E302" s="127"/>
      <c r="F302" s="127"/>
      <c r="G302" s="127"/>
      <c r="H302" s="127"/>
      <c r="I302" s="127"/>
      <c r="J302" s="127"/>
      <c r="K302" s="127"/>
      <c r="L302" s="127"/>
      <c r="M302" s="127"/>
      <c r="N302" s="127"/>
      <c r="O302" s="127"/>
      <c r="P302" s="127"/>
      <c r="Q302" s="127"/>
      <c r="R302" s="127"/>
      <c r="S302" s="127"/>
      <c r="T302" s="127"/>
      <c r="U302" s="127"/>
      <c r="V302" s="127"/>
      <c r="W302" s="127"/>
      <c r="X302" s="127"/>
      <c r="Y302" s="127"/>
      <c r="Z302" s="127"/>
    </row>
    <row r="303" customFormat="false" ht="15.75" hidden="false" customHeight="false" outlineLevel="0" collapsed="false">
      <c r="A303" s="127"/>
      <c r="B303" s="127"/>
      <c r="C303" s="127"/>
      <c r="D303" s="127"/>
      <c r="E303" s="127"/>
      <c r="F303" s="127"/>
      <c r="G303" s="127"/>
      <c r="H303" s="127"/>
      <c r="I303" s="127"/>
      <c r="J303" s="127"/>
      <c r="K303" s="127"/>
      <c r="L303" s="127"/>
      <c r="M303" s="127"/>
      <c r="N303" s="127"/>
      <c r="O303" s="127"/>
      <c r="P303" s="127"/>
      <c r="Q303" s="127"/>
      <c r="R303" s="127"/>
      <c r="S303" s="127"/>
      <c r="T303" s="127"/>
      <c r="U303" s="127"/>
      <c r="V303" s="127"/>
      <c r="W303" s="127"/>
      <c r="X303" s="127"/>
      <c r="Y303" s="127"/>
      <c r="Z303" s="127"/>
    </row>
    <row r="304" customFormat="false" ht="15.75" hidden="false" customHeight="false" outlineLevel="0" collapsed="false">
      <c r="A304" s="127"/>
      <c r="B304" s="127"/>
      <c r="C304" s="127"/>
      <c r="D304" s="127"/>
      <c r="E304" s="127"/>
      <c r="F304" s="127"/>
      <c r="G304" s="127"/>
      <c r="H304" s="127"/>
      <c r="I304" s="127"/>
      <c r="J304" s="127"/>
      <c r="K304" s="127"/>
      <c r="L304" s="127"/>
      <c r="M304" s="127"/>
      <c r="N304" s="127"/>
      <c r="O304" s="127"/>
      <c r="P304" s="127"/>
      <c r="Q304" s="127"/>
      <c r="R304" s="127"/>
      <c r="S304" s="127"/>
      <c r="T304" s="127"/>
      <c r="U304" s="127"/>
      <c r="V304" s="127"/>
      <c r="W304" s="127"/>
      <c r="X304" s="127"/>
      <c r="Y304" s="127"/>
      <c r="Z304" s="127"/>
    </row>
    <row r="305" customFormat="false" ht="15.75" hidden="false" customHeight="false" outlineLevel="0" collapsed="false">
      <c r="A305" s="127"/>
      <c r="B305" s="127"/>
      <c r="C305" s="127"/>
      <c r="D305" s="127"/>
      <c r="E305" s="127"/>
      <c r="F305" s="127"/>
      <c r="G305" s="127"/>
      <c r="H305" s="127"/>
      <c r="I305" s="127"/>
      <c r="J305" s="127"/>
      <c r="K305" s="127"/>
      <c r="L305" s="127"/>
      <c r="M305" s="127"/>
      <c r="N305" s="127"/>
      <c r="O305" s="127"/>
      <c r="P305" s="127"/>
      <c r="Q305" s="127"/>
      <c r="R305" s="127"/>
      <c r="S305" s="127"/>
      <c r="T305" s="127"/>
      <c r="U305" s="127"/>
      <c r="V305" s="127"/>
      <c r="W305" s="127"/>
      <c r="X305" s="127"/>
      <c r="Y305" s="127"/>
      <c r="Z305" s="127"/>
    </row>
    <row r="306" customFormat="false" ht="15.75" hidden="false" customHeight="false" outlineLevel="0" collapsed="false">
      <c r="A306" s="127"/>
      <c r="B306" s="127"/>
      <c r="C306" s="127"/>
      <c r="D306" s="127"/>
      <c r="E306" s="127"/>
      <c r="F306" s="127"/>
      <c r="G306" s="127"/>
      <c r="H306" s="127"/>
      <c r="I306" s="127"/>
      <c r="J306" s="127"/>
      <c r="K306" s="127"/>
      <c r="L306" s="127"/>
      <c r="M306" s="127"/>
      <c r="N306" s="127"/>
      <c r="O306" s="127"/>
      <c r="P306" s="127"/>
      <c r="Q306" s="127"/>
      <c r="R306" s="127"/>
      <c r="S306" s="127"/>
      <c r="T306" s="127"/>
      <c r="U306" s="127"/>
      <c r="V306" s="127"/>
      <c r="W306" s="127"/>
      <c r="X306" s="127"/>
      <c r="Y306" s="127"/>
      <c r="Z306" s="127"/>
    </row>
    <row r="307" customFormat="false" ht="15.75" hidden="false" customHeight="false" outlineLevel="0" collapsed="false">
      <c r="A307" s="127"/>
      <c r="B307" s="127"/>
      <c r="C307" s="127"/>
      <c r="D307" s="127"/>
      <c r="E307" s="127"/>
      <c r="F307" s="127"/>
      <c r="G307" s="127"/>
      <c r="H307" s="127"/>
      <c r="I307" s="127"/>
      <c r="J307" s="127"/>
      <c r="K307" s="127"/>
      <c r="L307" s="127"/>
      <c r="M307" s="127"/>
      <c r="N307" s="127"/>
      <c r="O307" s="127"/>
      <c r="P307" s="127"/>
      <c r="Q307" s="127"/>
      <c r="R307" s="127"/>
      <c r="S307" s="127"/>
      <c r="T307" s="127"/>
      <c r="U307" s="127"/>
      <c r="V307" s="127"/>
      <c r="W307" s="127"/>
      <c r="X307" s="127"/>
      <c r="Y307" s="127"/>
      <c r="Z307" s="127"/>
    </row>
    <row r="308" customFormat="false" ht="15.75" hidden="false" customHeight="false" outlineLevel="0" collapsed="false">
      <c r="A308" s="127"/>
      <c r="B308" s="127"/>
      <c r="C308" s="127"/>
      <c r="D308" s="127"/>
      <c r="E308" s="127"/>
      <c r="F308" s="127"/>
      <c r="G308" s="127"/>
      <c r="H308" s="127"/>
      <c r="I308" s="127"/>
      <c r="J308" s="127"/>
      <c r="K308" s="127"/>
      <c r="L308" s="127"/>
      <c r="M308" s="127"/>
      <c r="N308" s="127"/>
      <c r="O308" s="127"/>
      <c r="P308" s="127"/>
      <c r="Q308" s="127"/>
      <c r="R308" s="127"/>
      <c r="S308" s="127"/>
      <c r="T308" s="127"/>
      <c r="U308" s="127"/>
      <c r="V308" s="127"/>
      <c r="W308" s="127"/>
      <c r="X308" s="127"/>
      <c r="Y308" s="127"/>
      <c r="Z308" s="127"/>
    </row>
    <row r="309" customFormat="false" ht="15.75" hidden="false" customHeight="false" outlineLevel="0" collapsed="false">
      <c r="A309" s="127"/>
      <c r="B309" s="127"/>
      <c r="C309" s="127"/>
      <c r="D309" s="127"/>
      <c r="E309" s="127"/>
      <c r="F309" s="127"/>
      <c r="G309" s="127"/>
      <c r="H309" s="127"/>
      <c r="I309" s="127"/>
      <c r="J309" s="127"/>
      <c r="K309" s="127"/>
      <c r="L309" s="127"/>
      <c r="M309" s="127"/>
      <c r="N309" s="127"/>
      <c r="O309" s="127"/>
      <c r="P309" s="127"/>
      <c r="Q309" s="127"/>
      <c r="R309" s="127"/>
      <c r="S309" s="127"/>
      <c r="T309" s="127"/>
      <c r="U309" s="127"/>
      <c r="V309" s="127"/>
      <c r="W309" s="127"/>
      <c r="X309" s="127"/>
      <c r="Y309" s="127"/>
      <c r="Z309" s="127"/>
    </row>
    <row r="310" customFormat="false" ht="15.75" hidden="false" customHeight="false" outlineLevel="0" collapsed="false">
      <c r="A310" s="127"/>
      <c r="B310" s="127"/>
      <c r="C310" s="127"/>
      <c r="D310" s="127"/>
      <c r="E310" s="127"/>
      <c r="F310" s="127"/>
      <c r="G310" s="127"/>
      <c r="H310" s="127"/>
      <c r="I310" s="127"/>
      <c r="J310" s="127"/>
      <c r="K310" s="127"/>
      <c r="L310" s="127"/>
      <c r="M310" s="127"/>
      <c r="N310" s="127"/>
      <c r="O310" s="127"/>
      <c r="P310" s="127"/>
      <c r="Q310" s="127"/>
      <c r="R310" s="127"/>
      <c r="S310" s="127"/>
      <c r="T310" s="127"/>
      <c r="U310" s="127"/>
      <c r="V310" s="127"/>
      <c r="W310" s="127"/>
      <c r="X310" s="127"/>
      <c r="Y310" s="127"/>
      <c r="Z310" s="127"/>
    </row>
    <row r="311" customFormat="false" ht="15.75" hidden="false" customHeight="false" outlineLevel="0" collapsed="false">
      <c r="A311" s="127"/>
      <c r="B311" s="127"/>
      <c r="C311" s="127"/>
      <c r="D311" s="127"/>
      <c r="E311" s="127"/>
      <c r="F311" s="127"/>
      <c r="G311" s="127"/>
      <c r="H311" s="127"/>
      <c r="I311" s="127"/>
      <c r="J311" s="127"/>
      <c r="K311" s="127"/>
      <c r="L311" s="127"/>
      <c r="M311" s="127"/>
      <c r="N311" s="127"/>
      <c r="O311" s="127"/>
      <c r="P311" s="127"/>
      <c r="Q311" s="127"/>
      <c r="R311" s="127"/>
      <c r="S311" s="127"/>
      <c r="T311" s="127"/>
      <c r="U311" s="127"/>
      <c r="V311" s="127"/>
      <c r="W311" s="127"/>
      <c r="X311" s="127"/>
      <c r="Y311" s="127"/>
      <c r="Z311" s="127"/>
    </row>
    <row r="312" customFormat="false" ht="15.75" hidden="false" customHeight="false" outlineLevel="0" collapsed="false">
      <c r="A312" s="127"/>
      <c r="B312" s="127"/>
      <c r="C312" s="127"/>
      <c r="D312" s="127"/>
      <c r="E312" s="127"/>
      <c r="F312" s="127"/>
      <c r="G312" s="127"/>
      <c r="H312" s="127"/>
      <c r="I312" s="127"/>
      <c r="J312" s="127"/>
      <c r="K312" s="127"/>
      <c r="L312" s="127"/>
      <c r="M312" s="127"/>
      <c r="N312" s="127"/>
      <c r="O312" s="127"/>
      <c r="P312" s="127"/>
      <c r="Q312" s="127"/>
      <c r="R312" s="127"/>
      <c r="S312" s="127"/>
      <c r="T312" s="127"/>
      <c r="U312" s="127"/>
      <c r="V312" s="127"/>
      <c r="W312" s="127"/>
      <c r="X312" s="127"/>
      <c r="Y312" s="127"/>
      <c r="Z312" s="127"/>
    </row>
    <row r="313" customFormat="false" ht="15.75" hidden="false" customHeight="false" outlineLevel="0" collapsed="false">
      <c r="A313" s="127"/>
      <c r="B313" s="127"/>
      <c r="C313" s="127"/>
      <c r="D313" s="127"/>
      <c r="E313" s="127"/>
      <c r="F313" s="127"/>
      <c r="G313" s="127"/>
      <c r="H313" s="127"/>
      <c r="I313" s="127"/>
      <c r="J313" s="127"/>
      <c r="K313" s="127"/>
      <c r="L313" s="127"/>
      <c r="M313" s="127"/>
      <c r="N313" s="127"/>
      <c r="O313" s="127"/>
      <c r="P313" s="127"/>
      <c r="Q313" s="127"/>
      <c r="R313" s="127"/>
      <c r="S313" s="127"/>
      <c r="T313" s="127"/>
      <c r="U313" s="127"/>
      <c r="V313" s="127"/>
      <c r="W313" s="127"/>
      <c r="X313" s="127"/>
      <c r="Y313" s="127"/>
      <c r="Z313" s="127"/>
    </row>
    <row r="314" customFormat="false" ht="15.75" hidden="false" customHeight="false" outlineLevel="0" collapsed="false">
      <c r="A314" s="127"/>
      <c r="B314" s="127"/>
      <c r="C314" s="127"/>
      <c r="D314" s="127"/>
      <c r="E314" s="127"/>
      <c r="F314" s="127"/>
      <c r="G314" s="127"/>
      <c r="H314" s="127"/>
      <c r="I314" s="127"/>
      <c r="J314" s="127"/>
      <c r="K314" s="127"/>
      <c r="L314" s="127"/>
      <c r="M314" s="127"/>
      <c r="N314" s="127"/>
      <c r="O314" s="127"/>
      <c r="P314" s="127"/>
      <c r="Q314" s="127"/>
      <c r="R314" s="127"/>
      <c r="S314" s="127"/>
      <c r="T314" s="127"/>
      <c r="U314" s="127"/>
      <c r="V314" s="127"/>
      <c r="W314" s="127"/>
      <c r="X314" s="127"/>
      <c r="Y314" s="127"/>
      <c r="Z314" s="127"/>
    </row>
    <row r="315" customFormat="false" ht="15.75" hidden="false" customHeight="false" outlineLevel="0" collapsed="false">
      <c r="A315" s="127"/>
      <c r="B315" s="127"/>
      <c r="C315" s="127"/>
      <c r="D315" s="127"/>
      <c r="E315" s="127"/>
      <c r="F315" s="127"/>
      <c r="G315" s="127"/>
      <c r="H315" s="127"/>
      <c r="I315" s="127"/>
      <c r="J315" s="127"/>
      <c r="K315" s="127"/>
      <c r="L315" s="127"/>
      <c r="M315" s="127"/>
      <c r="N315" s="127"/>
      <c r="O315" s="127"/>
      <c r="P315" s="127"/>
      <c r="Q315" s="127"/>
      <c r="R315" s="127"/>
      <c r="S315" s="127"/>
      <c r="T315" s="127"/>
      <c r="U315" s="127"/>
      <c r="V315" s="127"/>
      <c r="W315" s="127"/>
      <c r="X315" s="127"/>
      <c r="Y315" s="127"/>
      <c r="Z315" s="127"/>
    </row>
    <row r="316" customFormat="false" ht="15.75" hidden="false" customHeight="false" outlineLevel="0" collapsed="false">
      <c r="A316" s="127"/>
      <c r="B316" s="127"/>
      <c r="C316" s="127"/>
      <c r="D316" s="127"/>
      <c r="E316" s="127"/>
      <c r="F316" s="127"/>
      <c r="G316" s="127"/>
      <c r="H316" s="127"/>
      <c r="I316" s="127"/>
      <c r="J316" s="127"/>
      <c r="K316" s="127"/>
      <c r="L316" s="127"/>
      <c r="M316" s="127"/>
      <c r="N316" s="127"/>
      <c r="O316" s="127"/>
      <c r="P316" s="127"/>
      <c r="Q316" s="127"/>
      <c r="R316" s="127"/>
      <c r="S316" s="127"/>
      <c r="T316" s="127"/>
      <c r="U316" s="127"/>
      <c r="V316" s="127"/>
      <c r="W316" s="127"/>
      <c r="X316" s="127"/>
      <c r="Y316" s="127"/>
      <c r="Z316" s="127"/>
    </row>
    <row r="317" customFormat="false" ht="15.75" hidden="false" customHeight="false" outlineLevel="0" collapsed="false">
      <c r="A317" s="127"/>
      <c r="B317" s="127"/>
      <c r="C317" s="127"/>
      <c r="D317" s="127"/>
      <c r="E317" s="127"/>
      <c r="F317" s="127"/>
      <c r="G317" s="127"/>
      <c r="H317" s="127"/>
      <c r="I317" s="127"/>
      <c r="J317" s="127"/>
      <c r="K317" s="127"/>
      <c r="L317" s="127"/>
      <c r="M317" s="127"/>
      <c r="N317" s="127"/>
      <c r="O317" s="127"/>
      <c r="P317" s="127"/>
      <c r="Q317" s="127"/>
      <c r="R317" s="127"/>
      <c r="S317" s="127"/>
      <c r="T317" s="127"/>
      <c r="U317" s="127"/>
      <c r="V317" s="127"/>
      <c r="W317" s="127"/>
      <c r="X317" s="127"/>
      <c r="Y317" s="127"/>
      <c r="Z317" s="127"/>
    </row>
    <row r="318" customFormat="false" ht="15.75" hidden="false" customHeight="false" outlineLevel="0" collapsed="false">
      <c r="A318" s="127"/>
      <c r="B318" s="127"/>
      <c r="C318" s="127"/>
      <c r="D318" s="127"/>
      <c r="E318" s="127"/>
      <c r="F318" s="127"/>
      <c r="G318" s="127"/>
      <c r="H318" s="127"/>
      <c r="I318" s="127"/>
      <c r="J318" s="127"/>
      <c r="K318" s="127"/>
      <c r="L318" s="127"/>
      <c r="M318" s="127"/>
      <c r="N318" s="127"/>
      <c r="O318" s="127"/>
      <c r="P318" s="127"/>
      <c r="Q318" s="127"/>
      <c r="R318" s="127"/>
      <c r="S318" s="127"/>
      <c r="T318" s="127"/>
      <c r="U318" s="127"/>
      <c r="V318" s="127"/>
      <c r="W318" s="127"/>
      <c r="X318" s="127"/>
      <c r="Y318" s="127"/>
      <c r="Z318" s="127"/>
    </row>
    <row r="319" customFormat="false" ht="15.75" hidden="false" customHeight="false" outlineLevel="0" collapsed="false">
      <c r="A319" s="127"/>
      <c r="B319" s="127"/>
      <c r="C319" s="127"/>
      <c r="D319" s="127"/>
      <c r="E319" s="127"/>
      <c r="F319" s="127"/>
      <c r="G319" s="127"/>
      <c r="H319" s="127"/>
      <c r="I319" s="127"/>
      <c r="J319" s="127"/>
      <c r="K319" s="127"/>
      <c r="L319" s="127"/>
      <c r="M319" s="127"/>
      <c r="N319" s="127"/>
      <c r="O319" s="127"/>
      <c r="P319" s="127"/>
      <c r="Q319" s="127"/>
      <c r="R319" s="127"/>
      <c r="S319" s="127"/>
      <c r="T319" s="127"/>
      <c r="U319" s="127"/>
      <c r="V319" s="127"/>
      <c r="W319" s="127"/>
      <c r="X319" s="127"/>
      <c r="Y319" s="127"/>
      <c r="Z319" s="127"/>
    </row>
    <row r="320" customFormat="false" ht="15.75" hidden="false" customHeight="false" outlineLevel="0" collapsed="false">
      <c r="A320" s="127"/>
      <c r="B320" s="127"/>
      <c r="C320" s="127"/>
      <c r="D320" s="127"/>
      <c r="E320" s="127"/>
      <c r="F320" s="127"/>
      <c r="G320" s="127"/>
      <c r="H320" s="127"/>
      <c r="I320" s="127"/>
      <c r="J320" s="127"/>
      <c r="K320" s="127"/>
      <c r="L320" s="127"/>
      <c r="M320" s="127"/>
      <c r="N320" s="127"/>
      <c r="O320" s="127"/>
      <c r="P320" s="127"/>
      <c r="Q320" s="127"/>
      <c r="R320" s="127"/>
      <c r="S320" s="127"/>
      <c r="T320" s="127"/>
      <c r="U320" s="127"/>
      <c r="V320" s="127"/>
      <c r="W320" s="127"/>
      <c r="X320" s="127"/>
      <c r="Y320" s="127"/>
      <c r="Z320" s="127"/>
    </row>
    <row r="321" customFormat="false" ht="15.75" hidden="false" customHeight="false" outlineLevel="0" collapsed="false">
      <c r="A321" s="127"/>
      <c r="B321" s="127"/>
      <c r="C321" s="127"/>
      <c r="D321" s="127"/>
      <c r="E321" s="127"/>
      <c r="F321" s="127"/>
      <c r="G321" s="127"/>
      <c r="H321" s="127"/>
      <c r="I321" s="127"/>
      <c r="J321" s="127"/>
      <c r="K321" s="127"/>
      <c r="L321" s="127"/>
      <c r="M321" s="127"/>
      <c r="N321" s="127"/>
      <c r="O321" s="127"/>
      <c r="P321" s="127"/>
      <c r="Q321" s="127"/>
      <c r="R321" s="127"/>
      <c r="S321" s="127"/>
      <c r="T321" s="127"/>
      <c r="U321" s="127"/>
      <c r="V321" s="127"/>
      <c r="W321" s="127"/>
      <c r="X321" s="127"/>
      <c r="Y321" s="127"/>
      <c r="Z321" s="127"/>
    </row>
    <row r="322" customFormat="false" ht="15.75" hidden="false" customHeight="false" outlineLevel="0" collapsed="false">
      <c r="A322" s="127"/>
      <c r="B322" s="127"/>
      <c r="C322" s="127"/>
      <c r="D322" s="127"/>
      <c r="E322" s="127"/>
      <c r="F322" s="127"/>
      <c r="G322" s="127"/>
      <c r="H322" s="127"/>
      <c r="I322" s="127"/>
      <c r="J322" s="127"/>
      <c r="K322" s="127"/>
      <c r="L322" s="127"/>
      <c r="M322" s="127"/>
      <c r="N322" s="127"/>
      <c r="O322" s="127"/>
      <c r="P322" s="127"/>
      <c r="Q322" s="127"/>
      <c r="R322" s="127"/>
      <c r="S322" s="127"/>
      <c r="T322" s="127"/>
      <c r="U322" s="127"/>
      <c r="V322" s="127"/>
      <c r="W322" s="127"/>
      <c r="X322" s="127"/>
      <c r="Y322" s="127"/>
      <c r="Z322" s="127"/>
    </row>
    <row r="323" customFormat="false" ht="15.75" hidden="false" customHeight="false" outlineLevel="0" collapsed="false">
      <c r="A323" s="127"/>
      <c r="B323" s="127"/>
      <c r="C323" s="127"/>
      <c r="D323" s="127"/>
      <c r="E323" s="127"/>
      <c r="F323" s="127"/>
      <c r="G323" s="127"/>
      <c r="H323" s="127"/>
      <c r="I323" s="127"/>
      <c r="J323" s="127"/>
      <c r="K323" s="127"/>
      <c r="L323" s="127"/>
      <c r="M323" s="127"/>
      <c r="N323" s="127"/>
      <c r="O323" s="127"/>
      <c r="P323" s="127"/>
      <c r="Q323" s="127"/>
      <c r="R323" s="127"/>
      <c r="S323" s="127"/>
      <c r="T323" s="127"/>
      <c r="U323" s="127"/>
      <c r="V323" s="127"/>
      <c r="W323" s="127"/>
      <c r="X323" s="127"/>
      <c r="Y323" s="127"/>
      <c r="Z323" s="127"/>
    </row>
    <row r="324" customFormat="false" ht="15.75" hidden="false" customHeight="false" outlineLevel="0" collapsed="false">
      <c r="A324" s="127"/>
      <c r="B324" s="127"/>
      <c r="C324" s="127"/>
      <c r="D324" s="127"/>
      <c r="E324" s="127"/>
      <c r="F324" s="127"/>
      <c r="G324" s="127"/>
      <c r="H324" s="127"/>
      <c r="I324" s="127"/>
      <c r="J324" s="127"/>
      <c r="K324" s="127"/>
      <c r="L324" s="127"/>
      <c r="M324" s="127"/>
      <c r="N324" s="127"/>
      <c r="O324" s="127"/>
      <c r="P324" s="127"/>
      <c r="Q324" s="127"/>
      <c r="R324" s="127"/>
      <c r="S324" s="127"/>
      <c r="T324" s="127"/>
      <c r="U324" s="127"/>
      <c r="V324" s="127"/>
      <c r="W324" s="127"/>
      <c r="X324" s="127"/>
      <c r="Y324" s="127"/>
      <c r="Z324" s="127"/>
    </row>
    <row r="325" customFormat="false" ht="15.75" hidden="false" customHeight="false" outlineLevel="0" collapsed="false">
      <c r="A325" s="127"/>
      <c r="B325" s="127"/>
      <c r="C325" s="127"/>
      <c r="D325" s="127"/>
      <c r="E325" s="127"/>
      <c r="F325" s="127"/>
      <c r="G325" s="127"/>
      <c r="H325" s="127"/>
      <c r="I325" s="127"/>
      <c r="J325" s="127"/>
      <c r="K325" s="127"/>
      <c r="L325" s="127"/>
      <c r="M325" s="127"/>
      <c r="N325" s="127"/>
      <c r="O325" s="127"/>
      <c r="P325" s="127"/>
      <c r="Q325" s="127"/>
      <c r="R325" s="127"/>
      <c r="S325" s="127"/>
      <c r="T325" s="127"/>
      <c r="U325" s="127"/>
      <c r="V325" s="127"/>
      <c r="W325" s="127"/>
      <c r="X325" s="127"/>
      <c r="Y325" s="127"/>
      <c r="Z325" s="127"/>
    </row>
    <row r="326" customFormat="false" ht="15.75" hidden="false" customHeight="false" outlineLevel="0" collapsed="false">
      <c r="A326" s="127"/>
      <c r="B326" s="127"/>
      <c r="C326" s="127"/>
      <c r="D326" s="127"/>
      <c r="E326" s="127"/>
      <c r="F326" s="127"/>
      <c r="G326" s="127"/>
      <c r="H326" s="127"/>
      <c r="I326" s="127"/>
      <c r="J326" s="127"/>
      <c r="K326" s="127"/>
      <c r="L326" s="127"/>
      <c r="M326" s="127"/>
      <c r="N326" s="127"/>
      <c r="O326" s="127"/>
      <c r="P326" s="127"/>
      <c r="Q326" s="127"/>
      <c r="R326" s="127"/>
      <c r="S326" s="127"/>
      <c r="T326" s="127"/>
      <c r="U326" s="127"/>
      <c r="V326" s="127"/>
      <c r="W326" s="127"/>
      <c r="X326" s="127"/>
      <c r="Y326" s="127"/>
      <c r="Z326" s="127"/>
    </row>
    <row r="327" customFormat="false" ht="15.75" hidden="false" customHeight="false" outlineLevel="0" collapsed="false">
      <c r="A327" s="127"/>
      <c r="B327" s="127"/>
      <c r="C327" s="127"/>
      <c r="D327" s="127"/>
      <c r="E327" s="127"/>
      <c r="F327" s="127"/>
      <c r="G327" s="127"/>
      <c r="H327" s="127"/>
      <c r="I327" s="127"/>
      <c r="J327" s="127"/>
      <c r="K327" s="127"/>
      <c r="L327" s="127"/>
      <c r="M327" s="127"/>
      <c r="N327" s="127"/>
      <c r="O327" s="127"/>
      <c r="P327" s="127"/>
      <c r="Q327" s="127"/>
      <c r="R327" s="127"/>
      <c r="S327" s="127"/>
      <c r="T327" s="127"/>
      <c r="U327" s="127"/>
      <c r="V327" s="127"/>
      <c r="W327" s="127"/>
      <c r="X327" s="127"/>
      <c r="Y327" s="127"/>
      <c r="Z327" s="127"/>
    </row>
    <row r="328" customFormat="false" ht="15.75" hidden="false" customHeight="false" outlineLevel="0" collapsed="false">
      <c r="A328" s="127"/>
      <c r="B328" s="127"/>
      <c r="C328" s="127"/>
      <c r="D328" s="127"/>
      <c r="E328" s="127"/>
      <c r="F328" s="127"/>
      <c r="G328" s="127"/>
      <c r="H328" s="127"/>
      <c r="I328" s="127"/>
      <c r="J328" s="127"/>
      <c r="K328" s="127"/>
      <c r="L328" s="127"/>
      <c r="M328" s="127"/>
      <c r="N328" s="127"/>
      <c r="O328" s="127"/>
      <c r="P328" s="127"/>
      <c r="Q328" s="127"/>
      <c r="R328" s="127"/>
      <c r="S328" s="127"/>
      <c r="T328" s="127"/>
      <c r="U328" s="127"/>
      <c r="V328" s="127"/>
      <c r="W328" s="127"/>
      <c r="X328" s="127"/>
      <c r="Y328" s="127"/>
      <c r="Z328" s="127"/>
    </row>
    <row r="329" customFormat="false" ht="15.75" hidden="false" customHeight="false" outlineLevel="0" collapsed="false">
      <c r="A329" s="127"/>
      <c r="B329" s="127"/>
      <c r="C329" s="127"/>
      <c r="D329" s="127"/>
      <c r="E329" s="127"/>
      <c r="F329" s="127"/>
      <c r="G329" s="127"/>
      <c r="H329" s="127"/>
      <c r="I329" s="127"/>
      <c r="J329" s="127"/>
      <c r="K329" s="127"/>
      <c r="L329" s="127"/>
      <c r="M329" s="127"/>
      <c r="N329" s="127"/>
      <c r="O329" s="127"/>
      <c r="P329" s="127"/>
      <c r="Q329" s="127"/>
      <c r="R329" s="127"/>
      <c r="S329" s="127"/>
      <c r="T329" s="127"/>
      <c r="U329" s="127"/>
      <c r="V329" s="127"/>
      <c r="W329" s="127"/>
      <c r="X329" s="127"/>
      <c r="Y329" s="127"/>
      <c r="Z329" s="127"/>
    </row>
    <row r="330" customFormat="false" ht="15.75" hidden="false" customHeight="false" outlineLevel="0" collapsed="false">
      <c r="A330" s="127"/>
      <c r="B330" s="127"/>
      <c r="C330" s="127"/>
      <c r="D330" s="127"/>
      <c r="E330" s="127"/>
      <c r="F330" s="127"/>
      <c r="G330" s="127"/>
      <c r="H330" s="127"/>
      <c r="I330" s="127"/>
      <c r="J330" s="127"/>
      <c r="K330" s="127"/>
      <c r="L330" s="127"/>
      <c r="M330" s="127"/>
      <c r="N330" s="127"/>
      <c r="O330" s="127"/>
      <c r="P330" s="127"/>
      <c r="Q330" s="127"/>
      <c r="R330" s="127"/>
      <c r="S330" s="127"/>
      <c r="T330" s="127"/>
      <c r="U330" s="127"/>
      <c r="V330" s="127"/>
      <c r="W330" s="127"/>
      <c r="X330" s="127"/>
      <c r="Y330" s="127"/>
      <c r="Z330" s="127"/>
    </row>
    <row r="331" customFormat="false" ht="15.75" hidden="false" customHeight="false" outlineLevel="0" collapsed="false">
      <c r="A331" s="127"/>
      <c r="B331" s="127"/>
      <c r="C331" s="127"/>
      <c r="D331" s="127"/>
      <c r="E331" s="127"/>
      <c r="F331" s="127"/>
      <c r="G331" s="127"/>
      <c r="H331" s="127"/>
      <c r="I331" s="127"/>
      <c r="J331" s="127"/>
      <c r="K331" s="127"/>
      <c r="L331" s="127"/>
      <c r="M331" s="127"/>
      <c r="N331" s="127"/>
      <c r="O331" s="127"/>
      <c r="P331" s="127"/>
      <c r="Q331" s="127"/>
      <c r="R331" s="127"/>
      <c r="S331" s="127"/>
      <c r="T331" s="127"/>
      <c r="U331" s="127"/>
      <c r="V331" s="127"/>
      <c r="W331" s="127"/>
      <c r="X331" s="127"/>
      <c r="Y331" s="127"/>
      <c r="Z331" s="127"/>
    </row>
    <row r="332" customFormat="false" ht="15.75" hidden="false" customHeight="false" outlineLevel="0" collapsed="false">
      <c r="A332" s="127"/>
      <c r="B332" s="127"/>
      <c r="C332" s="127"/>
      <c r="D332" s="127"/>
      <c r="E332" s="127"/>
      <c r="F332" s="127"/>
      <c r="G332" s="127"/>
      <c r="H332" s="127"/>
      <c r="I332" s="127"/>
      <c r="J332" s="127"/>
      <c r="K332" s="127"/>
      <c r="L332" s="127"/>
      <c r="M332" s="127"/>
      <c r="N332" s="127"/>
      <c r="O332" s="127"/>
      <c r="P332" s="127"/>
      <c r="Q332" s="127"/>
      <c r="R332" s="127"/>
      <c r="S332" s="127"/>
      <c r="T332" s="127"/>
      <c r="U332" s="127"/>
      <c r="V332" s="127"/>
      <c r="W332" s="127"/>
      <c r="X332" s="127"/>
      <c r="Y332" s="127"/>
      <c r="Z332" s="127"/>
    </row>
    <row r="333" customFormat="false" ht="15.75" hidden="false" customHeight="false" outlineLevel="0" collapsed="false">
      <c r="A333" s="127"/>
      <c r="B333" s="127"/>
      <c r="C333" s="127"/>
      <c r="D333" s="127"/>
      <c r="E333" s="127"/>
      <c r="F333" s="127"/>
      <c r="G333" s="127"/>
      <c r="H333" s="127"/>
      <c r="I333" s="127"/>
      <c r="J333" s="127"/>
      <c r="K333" s="127"/>
      <c r="L333" s="127"/>
      <c r="M333" s="127"/>
      <c r="N333" s="127"/>
      <c r="O333" s="127"/>
      <c r="P333" s="127"/>
      <c r="Q333" s="127"/>
      <c r="R333" s="127"/>
      <c r="S333" s="127"/>
      <c r="T333" s="127"/>
      <c r="U333" s="127"/>
      <c r="V333" s="127"/>
      <c r="W333" s="127"/>
      <c r="X333" s="127"/>
      <c r="Y333" s="127"/>
      <c r="Z333" s="127"/>
    </row>
    <row r="334" customFormat="false" ht="15.75" hidden="false" customHeight="false" outlineLevel="0" collapsed="false">
      <c r="A334" s="127"/>
      <c r="B334" s="127"/>
      <c r="C334" s="127"/>
      <c r="D334" s="127"/>
      <c r="E334" s="127"/>
      <c r="F334" s="127"/>
      <c r="G334" s="127"/>
      <c r="H334" s="127"/>
      <c r="I334" s="127"/>
      <c r="J334" s="127"/>
      <c r="K334" s="127"/>
      <c r="L334" s="127"/>
      <c r="M334" s="127"/>
      <c r="N334" s="127"/>
      <c r="O334" s="127"/>
      <c r="P334" s="127"/>
      <c r="Q334" s="127"/>
      <c r="R334" s="127"/>
      <c r="S334" s="127"/>
      <c r="T334" s="127"/>
      <c r="U334" s="127"/>
      <c r="V334" s="127"/>
      <c r="W334" s="127"/>
      <c r="X334" s="127"/>
      <c r="Y334" s="127"/>
      <c r="Z334" s="127"/>
    </row>
    <row r="335" customFormat="false" ht="15.75" hidden="false" customHeight="false" outlineLevel="0" collapsed="false">
      <c r="A335" s="127"/>
      <c r="B335" s="127"/>
      <c r="C335" s="127"/>
      <c r="D335" s="127"/>
      <c r="E335" s="127"/>
      <c r="F335" s="127"/>
      <c r="G335" s="127"/>
      <c r="H335" s="127"/>
      <c r="I335" s="127"/>
      <c r="J335" s="127"/>
      <c r="K335" s="127"/>
      <c r="L335" s="127"/>
      <c r="M335" s="127"/>
      <c r="N335" s="127"/>
      <c r="O335" s="127"/>
      <c r="P335" s="127"/>
      <c r="Q335" s="127"/>
      <c r="R335" s="127"/>
      <c r="S335" s="127"/>
      <c r="T335" s="127"/>
      <c r="U335" s="127"/>
      <c r="V335" s="127"/>
      <c r="W335" s="127"/>
      <c r="X335" s="127"/>
      <c r="Y335" s="127"/>
      <c r="Z335" s="127"/>
    </row>
    <row r="336" customFormat="false" ht="15.75" hidden="false" customHeight="false" outlineLevel="0" collapsed="false">
      <c r="A336" s="127"/>
      <c r="B336" s="127"/>
      <c r="C336" s="127"/>
      <c r="D336" s="127"/>
      <c r="E336" s="127"/>
      <c r="F336" s="127"/>
      <c r="G336" s="127"/>
      <c r="H336" s="127"/>
      <c r="I336" s="127"/>
      <c r="J336" s="127"/>
      <c r="K336" s="127"/>
      <c r="L336" s="127"/>
      <c r="M336" s="127"/>
      <c r="N336" s="127"/>
      <c r="O336" s="127"/>
      <c r="P336" s="127"/>
      <c r="Q336" s="127"/>
      <c r="R336" s="127"/>
      <c r="S336" s="127"/>
      <c r="T336" s="127"/>
      <c r="U336" s="127"/>
      <c r="V336" s="127"/>
      <c r="W336" s="127"/>
      <c r="X336" s="127"/>
      <c r="Y336" s="127"/>
      <c r="Z336" s="127"/>
    </row>
    <row r="337" customFormat="false" ht="15.75" hidden="false" customHeight="false" outlineLevel="0" collapsed="false">
      <c r="A337" s="127"/>
      <c r="B337" s="127"/>
      <c r="C337" s="127"/>
      <c r="D337" s="127"/>
      <c r="E337" s="127"/>
      <c r="F337" s="127"/>
      <c r="G337" s="127"/>
      <c r="H337" s="127"/>
      <c r="I337" s="127"/>
      <c r="J337" s="127"/>
      <c r="K337" s="127"/>
      <c r="L337" s="127"/>
      <c r="M337" s="127"/>
      <c r="N337" s="127"/>
      <c r="O337" s="127"/>
      <c r="P337" s="127"/>
      <c r="Q337" s="127"/>
      <c r="R337" s="127"/>
      <c r="S337" s="127"/>
      <c r="T337" s="127"/>
      <c r="U337" s="127"/>
      <c r="V337" s="127"/>
      <c r="W337" s="127"/>
      <c r="X337" s="127"/>
      <c r="Y337" s="127"/>
      <c r="Z337" s="127"/>
    </row>
    <row r="338" customFormat="false" ht="15.75" hidden="false" customHeight="false" outlineLevel="0" collapsed="false">
      <c r="A338" s="127"/>
      <c r="B338" s="127"/>
      <c r="C338" s="127"/>
      <c r="D338" s="127"/>
      <c r="E338" s="127"/>
      <c r="F338" s="127"/>
      <c r="G338" s="127"/>
      <c r="H338" s="127"/>
      <c r="I338" s="127"/>
      <c r="J338" s="127"/>
      <c r="K338" s="127"/>
      <c r="L338" s="127"/>
      <c r="M338" s="127"/>
      <c r="N338" s="127"/>
      <c r="O338" s="127"/>
      <c r="P338" s="127"/>
      <c r="Q338" s="127"/>
      <c r="R338" s="127"/>
      <c r="S338" s="127"/>
      <c r="T338" s="127"/>
      <c r="U338" s="127"/>
      <c r="V338" s="127"/>
      <c r="W338" s="127"/>
      <c r="X338" s="127"/>
      <c r="Y338" s="127"/>
      <c r="Z338" s="127"/>
    </row>
    <row r="339" customFormat="false" ht="15.75" hidden="false" customHeight="false" outlineLevel="0" collapsed="false">
      <c r="A339" s="127"/>
      <c r="B339" s="127"/>
      <c r="C339" s="127"/>
      <c r="D339" s="127"/>
      <c r="E339" s="127"/>
      <c r="F339" s="127"/>
      <c r="G339" s="127"/>
      <c r="H339" s="127"/>
      <c r="I339" s="127"/>
      <c r="J339" s="127"/>
      <c r="K339" s="127"/>
      <c r="L339" s="127"/>
      <c r="M339" s="127"/>
      <c r="N339" s="127"/>
      <c r="O339" s="127"/>
      <c r="P339" s="127"/>
      <c r="Q339" s="127"/>
      <c r="R339" s="127"/>
      <c r="S339" s="127"/>
      <c r="T339" s="127"/>
      <c r="U339" s="127"/>
      <c r="V339" s="127"/>
      <c r="W339" s="127"/>
      <c r="X339" s="127"/>
      <c r="Y339" s="127"/>
      <c r="Z339" s="127"/>
    </row>
    <row r="340" customFormat="false" ht="15.75" hidden="false" customHeight="false" outlineLevel="0" collapsed="false">
      <c r="A340" s="127"/>
      <c r="B340" s="127"/>
      <c r="C340" s="127"/>
      <c r="D340" s="127"/>
      <c r="E340" s="127"/>
      <c r="F340" s="127"/>
      <c r="G340" s="127"/>
      <c r="H340" s="127"/>
      <c r="I340" s="127"/>
      <c r="J340" s="127"/>
      <c r="K340" s="127"/>
      <c r="L340" s="127"/>
      <c r="M340" s="127"/>
      <c r="N340" s="127"/>
      <c r="O340" s="127"/>
      <c r="P340" s="127"/>
      <c r="Q340" s="127"/>
      <c r="R340" s="127"/>
      <c r="S340" s="127"/>
      <c r="T340" s="127"/>
      <c r="U340" s="127"/>
      <c r="V340" s="127"/>
      <c r="W340" s="127"/>
      <c r="X340" s="127"/>
      <c r="Y340" s="127"/>
      <c r="Z340" s="127"/>
    </row>
    <row r="341" customFormat="false" ht="15.75" hidden="false" customHeight="false" outlineLevel="0" collapsed="false">
      <c r="A341" s="127"/>
      <c r="B341" s="127"/>
      <c r="C341" s="127"/>
      <c r="D341" s="127"/>
      <c r="E341" s="127"/>
      <c r="F341" s="127"/>
      <c r="G341" s="127"/>
      <c r="H341" s="127"/>
      <c r="I341" s="127"/>
      <c r="J341" s="127"/>
      <c r="K341" s="127"/>
      <c r="L341" s="127"/>
      <c r="M341" s="127"/>
      <c r="N341" s="127"/>
      <c r="O341" s="127"/>
      <c r="P341" s="127"/>
      <c r="Q341" s="127"/>
      <c r="R341" s="127"/>
      <c r="S341" s="127"/>
      <c r="T341" s="127"/>
      <c r="U341" s="127"/>
      <c r="V341" s="127"/>
      <c r="W341" s="127"/>
      <c r="X341" s="127"/>
      <c r="Y341" s="127"/>
      <c r="Z341" s="127"/>
    </row>
    <row r="342" customFormat="false" ht="15.75" hidden="false" customHeight="false" outlineLevel="0" collapsed="false">
      <c r="A342" s="127"/>
      <c r="B342" s="127"/>
      <c r="C342" s="127"/>
      <c r="D342" s="127"/>
      <c r="E342" s="127"/>
      <c r="F342" s="127"/>
      <c r="G342" s="127"/>
      <c r="H342" s="127"/>
      <c r="I342" s="127"/>
      <c r="J342" s="127"/>
      <c r="K342" s="127"/>
      <c r="L342" s="127"/>
      <c r="M342" s="127"/>
      <c r="N342" s="127"/>
      <c r="O342" s="127"/>
      <c r="P342" s="127"/>
      <c r="Q342" s="127"/>
      <c r="R342" s="127"/>
      <c r="S342" s="127"/>
      <c r="T342" s="127"/>
      <c r="U342" s="127"/>
      <c r="V342" s="127"/>
      <c r="W342" s="127"/>
      <c r="X342" s="127"/>
      <c r="Y342" s="127"/>
      <c r="Z342" s="127"/>
    </row>
    <row r="343" customFormat="false" ht="15.75" hidden="false" customHeight="false" outlineLevel="0" collapsed="false">
      <c r="A343" s="127"/>
      <c r="B343" s="127"/>
      <c r="C343" s="127"/>
      <c r="D343" s="127"/>
      <c r="E343" s="127"/>
      <c r="F343" s="127"/>
      <c r="G343" s="127"/>
      <c r="H343" s="127"/>
      <c r="I343" s="127"/>
      <c r="J343" s="127"/>
      <c r="K343" s="127"/>
      <c r="L343" s="127"/>
      <c r="M343" s="127"/>
      <c r="N343" s="127"/>
      <c r="O343" s="127"/>
      <c r="P343" s="127"/>
      <c r="Q343" s="127"/>
      <c r="R343" s="127"/>
      <c r="S343" s="127"/>
      <c r="T343" s="127"/>
      <c r="U343" s="127"/>
      <c r="V343" s="127"/>
      <c r="W343" s="127"/>
      <c r="X343" s="127"/>
      <c r="Y343" s="127"/>
      <c r="Z343" s="127"/>
    </row>
    <row r="344" customFormat="false" ht="15.75" hidden="false" customHeight="false" outlineLevel="0" collapsed="false">
      <c r="A344" s="127"/>
      <c r="B344" s="127"/>
      <c r="C344" s="127"/>
      <c r="D344" s="127"/>
      <c r="E344" s="127"/>
      <c r="F344" s="127"/>
      <c r="G344" s="127"/>
      <c r="H344" s="127"/>
      <c r="I344" s="127"/>
      <c r="J344" s="127"/>
      <c r="K344" s="127"/>
      <c r="L344" s="127"/>
      <c r="M344" s="127"/>
      <c r="N344" s="127"/>
      <c r="O344" s="127"/>
      <c r="P344" s="127"/>
      <c r="Q344" s="127"/>
      <c r="R344" s="127"/>
      <c r="S344" s="127"/>
      <c r="T344" s="127"/>
      <c r="U344" s="127"/>
      <c r="V344" s="127"/>
      <c r="W344" s="127"/>
      <c r="X344" s="127"/>
      <c r="Y344" s="127"/>
      <c r="Z344" s="127"/>
    </row>
    <row r="345" customFormat="false" ht="15.75" hidden="false" customHeight="false" outlineLevel="0" collapsed="false">
      <c r="A345" s="127"/>
      <c r="B345" s="127"/>
      <c r="C345" s="127"/>
      <c r="D345" s="127"/>
      <c r="E345" s="127"/>
      <c r="F345" s="127"/>
      <c r="G345" s="127"/>
      <c r="H345" s="127"/>
      <c r="I345" s="127"/>
      <c r="J345" s="127"/>
      <c r="K345" s="127"/>
      <c r="L345" s="127"/>
      <c r="M345" s="127"/>
      <c r="N345" s="127"/>
      <c r="O345" s="127"/>
      <c r="P345" s="127"/>
      <c r="Q345" s="127"/>
      <c r="R345" s="127"/>
      <c r="S345" s="127"/>
      <c r="T345" s="127"/>
      <c r="U345" s="127"/>
      <c r="V345" s="127"/>
      <c r="W345" s="127"/>
      <c r="X345" s="127"/>
      <c r="Y345" s="127"/>
      <c r="Z345" s="127"/>
    </row>
    <row r="346" customFormat="false" ht="15.75" hidden="false" customHeight="false" outlineLevel="0" collapsed="false">
      <c r="A346" s="127"/>
      <c r="B346" s="127"/>
      <c r="C346" s="127"/>
      <c r="D346" s="127"/>
      <c r="E346" s="127"/>
      <c r="F346" s="127"/>
      <c r="G346" s="127"/>
      <c r="H346" s="127"/>
      <c r="I346" s="127"/>
      <c r="J346" s="127"/>
      <c r="K346" s="127"/>
      <c r="L346" s="127"/>
      <c r="M346" s="127"/>
      <c r="N346" s="127"/>
      <c r="O346" s="127"/>
      <c r="P346" s="127"/>
      <c r="Q346" s="127"/>
      <c r="R346" s="127"/>
      <c r="S346" s="127"/>
      <c r="T346" s="127"/>
      <c r="U346" s="127"/>
      <c r="V346" s="127"/>
      <c r="W346" s="127"/>
      <c r="X346" s="127"/>
      <c r="Y346" s="127"/>
      <c r="Z346" s="127"/>
    </row>
    <row r="347" customFormat="false" ht="15.75" hidden="false" customHeight="false" outlineLevel="0" collapsed="false">
      <c r="A347" s="127"/>
      <c r="B347" s="127"/>
      <c r="C347" s="127"/>
      <c r="D347" s="127"/>
      <c r="E347" s="127"/>
      <c r="F347" s="127"/>
      <c r="G347" s="127"/>
      <c r="H347" s="127"/>
      <c r="I347" s="127"/>
      <c r="J347" s="127"/>
      <c r="K347" s="127"/>
      <c r="L347" s="127"/>
      <c r="M347" s="127"/>
      <c r="N347" s="127"/>
      <c r="O347" s="127"/>
      <c r="P347" s="127"/>
      <c r="Q347" s="127"/>
      <c r="R347" s="127"/>
      <c r="S347" s="127"/>
      <c r="T347" s="127"/>
      <c r="U347" s="127"/>
      <c r="V347" s="127"/>
      <c r="W347" s="127"/>
      <c r="X347" s="127"/>
      <c r="Y347" s="127"/>
      <c r="Z347" s="127"/>
    </row>
    <row r="348" customFormat="false" ht="15.75" hidden="false" customHeight="false" outlineLevel="0" collapsed="false">
      <c r="A348" s="127"/>
      <c r="B348" s="127"/>
      <c r="C348" s="127"/>
      <c r="D348" s="127"/>
      <c r="E348" s="127"/>
      <c r="F348" s="127"/>
      <c r="G348" s="127"/>
      <c r="H348" s="127"/>
      <c r="I348" s="127"/>
      <c r="J348" s="127"/>
      <c r="K348" s="127"/>
      <c r="L348" s="127"/>
      <c r="M348" s="127"/>
      <c r="N348" s="127"/>
      <c r="O348" s="127"/>
      <c r="P348" s="127"/>
      <c r="Q348" s="127"/>
      <c r="R348" s="127"/>
      <c r="S348" s="127"/>
      <c r="T348" s="127"/>
      <c r="U348" s="127"/>
      <c r="V348" s="127"/>
      <c r="W348" s="127"/>
      <c r="X348" s="127"/>
      <c r="Y348" s="127"/>
      <c r="Z348" s="127"/>
    </row>
    <row r="349" customFormat="false" ht="15.75" hidden="false" customHeight="false" outlineLevel="0" collapsed="false">
      <c r="A349" s="127"/>
      <c r="B349" s="127"/>
      <c r="C349" s="127"/>
      <c r="D349" s="127"/>
      <c r="E349" s="127"/>
      <c r="F349" s="127"/>
      <c r="G349" s="127"/>
      <c r="H349" s="127"/>
      <c r="I349" s="127"/>
      <c r="J349" s="127"/>
      <c r="K349" s="127"/>
      <c r="L349" s="127"/>
      <c r="M349" s="127"/>
      <c r="N349" s="127"/>
      <c r="O349" s="127"/>
      <c r="P349" s="127"/>
      <c r="Q349" s="127"/>
      <c r="R349" s="127"/>
      <c r="S349" s="127"/>
      <c r="T349" s="127"/>
      <c r="U349" s="127"/>
      <c r="V349" s="127"/>
      <c r="W349" s="127"/>
      <c r="X349" s="127"/>
      <c r="Y349" s="127"/>
      <c r="Z349" s="127"/>
    </row>
    <row r="350" customFormat="false" ht="15.75" hidden="false" customHeight="false" outlineLevel="0" collapsed="false">
      <c r="A350" s="127"/>
      <c r="B350" s="127"/>
      <c r="C350" s="127"/>
      <c r="D350" s="127"/>
      <c r="E350" s="127"/>
      <c r="F350" s="127"/>
      <c r="G350" s="127"/>
      <c r="H350" s="127"/>
      <c r="I350" s="127"/>
      <c r="J350" s="127"/>
      <c r="K350" s="127"/>
      <c r="L350" s="127"/>
      <c r="M350" s="127"/>
      <c r="N350" s="127"/>
      <c r="O350" s="127"/>
      <c r="P350" s="127"/>
      <c r="Q350" s="127"/>
      <c r="R350" s="127"/>
      <c r="S350" s="127"/>
      <c r="T350" s="127"/>
      <c r="U350" s="127"/>
      <c r="V350" s="127"/>
      <c r="W350" s="127"/>
      <c r="X350" s="127"/>
      <c r="Y350" s="127"/>
      <c r="Z350" s="127"/>
    </row>
    <row r="351" customFormat="false" ht="15.75" hidden="false" customHeight="false" outlineLevel="0" collapsed="false">
      <c r="A351" s="127"/>
      <c r="B351" s="127"/>
      <c r="C351" s="127"/>
      <c r="D351" s="127"/>
      <c r="E351" s="127"/>
      <c r="F351" s="127"/>
      <c r="G351" s="127"/>
      <c r="H351" s="127"/>
      <c r="I351" s="127"/>
      <c r="J351" s="127"/>
      <c r="K351" s="127"/>
      <c r="L351" s="127"/>
      <c r="M351" s="127"/>
      <c r="N351" s="127"/>
      <c r="O351" s="127"/>
      <c r="P351" s="127"/>
      <c r="Q351" s="127"/>
      <c r="R351" s="127"/>
      <c r="S351" s="127"/>
      <c r="T351" s="127"/>
      <c r="U351" s="127"/>
      <c r="V351" s="127"/>
      <c r="W351" s="127"/>
      <c r="X351" s="127"/>
      <c r="Y351" s="127"/>
      <c r="Z351" s="127"/>
    </row>
    <row r="352" customFormat="false" ht="15.75" hidden="false" customHeight="false" outlineLevel="0" collapsed="false">
      <c r="A352" s="127"/>
      <c r="B352" s="127"/>
      <c r="C352" s="127"/>
      <c r="D352" s="127"/>
      <c r="E352" s="127"/>
      <c r="F352" s="127"/>
      <c r="G352" s="127"/>
      <c r="H352" s="127"/>
      <c r="I352" s="127"/>
      <c r="J352" s="127"/>
      <c r="K352" s="127"/>
      <c r="L352" s="127"/>
      <c r="M352" s="127"/>
      <c r="N352" s="127"/>
      <c r="O352" s="127"/>
      <c r="P352" s="127"/>
      <c r="Q352" s="127"/>
      <c r="R352" s="127"/>
      <c r="S352" s="127"/>
      <c r="T352" s="127"/>
      <c r="U352" s="127"/>
      <c r="V352" s="127"/>
      <c r="W352" s="127"/>
      <c r="X352" s="127"/>
      <c r="Y352" s="127"/>
      <c r="Z352" s="127"/>
    </row>
    <row r="353" customFormat="false" ht="15.75" hidden="false" customHeight="false" outlineLevel="0" collapsed="false">
      <c r="A353" s="127"/>
      <c r="B353" s="127"/>
      <c r="C353" s="127"/>
      <c r="D353" s="127"/>
      <c r="E353" s="127"/>
      <c r="F353" s="127"/>
      <c r="G353" s="127"/>
      <c r="H353" s="127"/>
      <c r="I353" s="127"/>
      <c r="J353" s="127"/>
      <c r="K353" s="127"/>
      <c r="L353" s="127"/>
      <c r="M353" s="127"/>
      <c r="N353" s="127"/>
      <c r="O353" s="127"/>
      <c r="P353" s="127"/>
      <c r="Q353" s="127"/>
      <c r="R353" s="127"/>
      <c r="S353" s="127"/>
      <c r="T353" s="127"/>
      <c r="U353" s="127"/>
      <c r="V353" s="127"/>
      <c r="W353" s="127"/>
      <c r="X353" s="127"/>
      <c r="Y353" s="127"/>
      <c r="Z353" s="127"/>
    </row>
    <row r="354" customFormat="false" ht="15.75" hidden="false" customHeight="false" outlineLevel="0" collapsed="false">
      <c r="A354" s="127"/>
      <c r="B354" s="127"/>
      <c r="C354" s="127"/>
      <c r="D354" s="127"/>
      <c r="E354" s="127"/>
      <c r="F354" s="127"/>
      <c r="G354" s="127"/>
      <c r="H354" s="127"/>
      <c r="I354" s="127"/>
      <c r="J354" s="127"/>
      <c r="K354" s="127"/>
      <c r="L354" s="127"/>
      <c r="M354" s="127"/>
      <c r="N354" s="127"/>
      <c r="O354" s="127"/>
      <c r="P354" s="127"/>
      <c r="Q354" s="127"/>
      <c r="R354" s="127"/>
      <c r="S354" s="127"/>
      <c r="T354" s="127"/>
      <c r="U354" s="127"/>
      <c r="V354" s="127"/>
      <c r="W354" s="127"/>
      <c r="X354" s="127"/>
      <c r="Y354" s="127"/>
      <c r="Z354" s="127"/>
    </row>
    <row r="355" customFormat="false" ht="15.75" hidden="false" customHeight="false" outlineLevel="0" collapsed="false">
      <c r="A355" s="127"/>
      <c r="B355" s="127"/>
      <c r="C355" s="127"/>
      <c r="D355" s="127"/>
      <c r="E355" s="127"/>
      <c r="F355" s="127"/>
      <c r="G355" s="127"/>
      <c r="H355" s="127"/>
      <c r="I355" s="127"/>
      <c r="J355" s="127"/>
      <c r="K355" s="127"/>
      <c r="L355" s="127"/>
      <c r="M355" s="127"/>
      <c r="N355" s="127"/>
      <c r="O355" s="127"/>
      <c r="P355" s="127"/>
      <c r="Q355" s="127"/>
      <c r="R355" s="127"/>
      <c r="S355" s="127"/>
      <c r="T355" s="127"/>
      <c r="U355" s="127"/>
      <c r="V355" s="127"/>
      <c r="W355" s="127"/>
      <c r="X355" s="127"/>
      <c r="Y355" s="127"/>
      <c r="Z355" s="127"/>
    </row>
    <row r="356" customFormat="false" ht="15.75" hidden="false" customHeight="false" outlineLevel="0" collapsed="false">
      <c r="A356" s="127"/>
      <c r="B356" s="127"/>
      <c r="C356" s="127"/>
      <c r="D356" s="127"/>
      <c r="E356" s="127"/>
      <c r="F356" s="127"/>
      <c r="G356" s="127"/>
      <c r="H356" s="127"/>
      <c r="I356" s="127"/>
      <c r="J356" s="127"/>
      <c r="K356" s="127"/>
      <c r="L356" s="127"/>
      <c r="M356" s="127"/>
      <c r="N356" s="127"/>
      <c r="O356" s="127"/>
      <c r="P356" s="127"/>
      <c r="Q356" s="127"/>
      <c r="R356" s="127"/>
      <c r="S356" s="127"/>
      <c r="T356" s="127"/>
      <c r="U356" s="127"/>
      <c r="V356" s="127"/>
      <c r="W356" s="127"/>
      <c r="X356" s="127"/>
      <c r="Y356" s="127"/>
      <c r="Z356" s="127"/>
    </row>
    <row r="357" customFormat="false" ht="15.75" hidden="false" customHeight="false" outlineLevel="0" collapsed="false">
      <c r="A357" s="127"/>
      <c r="B357" s="127"/>
      <c r="C357" s="127"/>
      <c r="D357" s="127"/>
      <c r="E357" s="127"/>
      <c r="F357" s="127"/>
      <c r="G357" s="127"/>
      <c r="H357" s="127"/>
      <c r="I357" s="127"/>
      <c r="J357" s="127"/>
      <c r="K357" s="127"/>
      <c r="L357" s="127"/>
      <c r="M357" s="127"/>
      <c r="N357" s="127"/>
      <c r="O357" s="127"/>
      <c r="P357" s="127"/>
      <c r="Q357" s="127"/>
      <c r="R357" s="127"/>
      <c r="S357" s="127"/>
      <c r="T357" s="127"/>
      <c r="U357" s="127"/>
      <c r="V357" s="127"/>
      <c r="W357" s="127"/>
      <c r="X357" s="127"/>
      <c r="Y357" s="127"/>
      <c r="Z357" s="127"/>
    </row>
    <row r="358" customFormat="false" ht="15.75" hidden="false" customHeight="false" outlineLevel="0" collapsed="false">
      <c r="A358" s="127"/>
      <c r="B358" s="127"/>
      <c r="C358" s="127"/>
      <c r="D358" s="127"/>
      <c r="E358" s="127"/>
      <c r="F358" s="127"/>
      <c r="G358" s="127"/>
      <c r="H358" s="127"/>
      <c r="I358" s="127"/>
      <c r="J358" s="127"/>
      <c r="K358" s="127"/>
      <c r="L358" s="127"/>
      <c r="M358" s="127"/>
      <c r="N358" s="127"/>
      <c r="O358" s="127"/>
      <c r="P358" s="127"/>
      <c r="Q358" s="127"/>
      <c r="R358" s="127"/>
      <c r="S358" s="127"/>
      <c r="T358" s="127"/>
      <c r="U358" s="127"/>
      <c r="V358" s="127"/>
      <c r="W358" s="127"/>
      <c r="X358" s="127"/>
      <c r="Y358" s="127"/>
      <c r="Z358" s="127"/>
    </row>
    <row r="359" customFormat="false" ht="15.75" hidden="false" customHeight="false" outlineLevel="0" collapsed="false">
      <c r="A359" s="127"/>
      <c r="B359" s="127"/>
      <c r="C359" s="127"/>
      <c r="D359" s="127"/>
      <c r="E359" s="127"/>
      <c r="F359" s="127"/>
      <c r="G359" s="127"/>
      <c r="H359" s="127"/>
      <c r="I359" s="127"/>
      <c r="J359" s="127"/>
      <c r="K359" s="127"/>
      <c r="L359" s="127"/>
      <c r="M359" s="127"/>
      <c r="N359" s="127"/>
      <c r="O359" s="127"/>
      <c r="P359" s="127"/>
      <c r="Q359" s="127"/>
      <c r="R359" s="127"/>
      <c r="S359" s="127"/>
      <c r="T359" s="127"/>
      <c r="U359" s="127"/>
      <c r="V359" s="127"/>
      <c r="W359" s="127"/>
      <c r="X359" s="127"/>
      <c r="Y359" s="127"/>
      <c r="Z359" s="127"/>
    </row>
    <row r="360" customFormat="false" ht="15.75" hidden="false" customHeight="false" outlineLevel="0" collapsed="false">
      <c r="A360" s="127"/>
      <c r="B360" s="127"/>
      <c r="C360" s="127"/>
      <c r="D360" s="127"/>
      <c r="E360" s="127"/>
      <c r="F360" s="127"/>
      <c r="G360" s="127"/>
      <c r="H360" s="127"/>
      <c r="I360" s="127"/>
      <c r="J360" s="127"/>
      <c r="K360" s="127"/>
      <c r="L360" s="127"/>
      <c r="M360" s="127"/>
      <c r="N360" s="127"/>
      <c r="O360" s="127"/>
      <c r="P360" s="127"/>
      <c r="Q360" s="127"/>
      <c r="R360" s="127"/>
      <c r="S360" s="127"/>
      <c r="T360" s="127"/>
      <c r="U360" s="127"/>
      <c r="V360" s="127"/>
      <c r="W360" s="127"/>
      <c r="X360" s="127"/>
      <c r="Y360" s="127"/>
      <c r="Z360" s="127"/>
    </row>
    <row r="361" customFormat="false" ht="15.75" hidden="false" customHeight="false" outlineLevel="0" collapsed="false">
      <c r="A361" s="127"/>
      <c r="B361" s="127"/>
      <c r="C361" s="127"/>
      <c r="D361" s="127"/>
      <c r="E361" s="127"/>
      <c r="F361" s="127"/>
      <c r="G361" s="127"/>
      <c r="H361" s="127"/>
      <c r="I361" s="127"/>
      <c r="J361" s="127"/>
      <c r="K361" s="127"/>
      <c r="L361" s="127"/>
      <c r="M361" s="127"/>
      <c r="N361" s="127"/>
      <c r="O361" s="127"/>
      <c r="P361" s="127"/>
      <c r="Q361" s="127"/>
      <c r="R361" s="127"/>
      <c r="S361" s="127"/>
      <c r="T361" s="127"/>
      <c r="U361" s="127"/>
      <c r="V361" s="127"/>
      <c r="W361" s="127"/>
      <c r="X361" s="127"/>
      <c r="Y361" s="127"/>
      <c r="Z361" s="127"/>
    </row>
    <row r="362" customFormat="false" ht="15.75" hidden="false" customHeight="false" outlineLevel="0" collapsed="false">
      <c r="A362" s="127"/>
      <c r="B362" s="127"/>
      <c r="C362" s="127"/>
      <c r="D362" s="127"/>
      <c r="E362" s="127"/>
      <c r="F362" s="127"/>
      <c r="G362" s="127"/>
      <c r="H362" s="127"/>
      <c r="I362" s="127"/>
      <c r="J362" s="127"/>
      <c r="K362" s="127"/>
      <c r="L362" s="127"/>
      <c r="M362" s="127"/>
      <c r="N362" s="127"/>
      <c r="O362" s="127"/>
      <c r="P362" s="127"/>
      <c r="Q362" s="127"/>
      <c r="R362" s="127"/>
      <c r="S362" s="127"/>
      <c r="T362" s="127"/>
      <c r="U362" s="127"/>
      <c r="V362" s="127"/>
      <c r="W362" s="127"/>
      <c r="X362" s="127"/>
      <c r="Y362" s="127"/>
      <c r="Z362" s="127"/>
    </row>
    <row r="363" customFormat="false" ht="15.75" hidden="false" customHeight="false" outlineLevel="0" collapsed="false">
      <c r="A363" s="127"/>
      <c r="B363" s="127"/>
      <c r="C363" s="127"/>
      <c r="D363" s="127"/>
      <c r="E363" s="127"/>
      <c r="F363" s="127"/>
      <c r="G363" s="127"/>
      <c r="H363" s="127"/>
      <c r="I363" s="127"/>
      <c r="J363" s="127"/>
      <c r="K363" s="127"/>
      <c r="L363" s="127"/>
      <c r="M363" s="127"/>
      <c r="N363" s="127"/>
      <c r="O363" s="127"/>
      <c r="P363" s="127"/>
      <c r="Q363" s="127"/>
      <c r="R363" s="127"/>
      <c r="S363" s="127"/>
      <c r="T363" s="127"/>
      <c r="U363" s="127"/>
      <c r="V363" s="127"/>
      <c r="W363" s="127"/>
      <c r="X363" s="127"/>
      <c r="Y363" s="127"/>
      <c r="Z363" s="127"/>
    </row>
    <row r="364" customFormat="false" ht="15.75" hidden="false" customHeight="false" outlineLevel="0" collapsed="false">
      <c r="A364" s="127"/>
      <c r="B364" s="127"/>
      <c r="C364" s="127"/>
      <c r="D364" s="127"/>
      <c r="E364" s="127"/>
      <c r="F364" s="127"/>
      <c r="G364" s="127"/>
      <c r="H364" s="127"/>
      <c r="I364" s="127"/>
      <c r="J364" s="127"/>
      <c r="K364" s="127"/>
      <c r="L364" s="127"/>
      <c r="M364" s="127"/>
      <c r="N364" s="127"/>
      <c r="O364" s="127"/>
      <c r="P364" s="127"/>
      <c r="Q364" s="127"/>
      <c r="R364" s="127"/>
      <c r="S364" s="127"/>
      <c r="T364" s="127"/>
      <c r="U364" s="127"/>
      <c r="V364" s="127"/>
      <c r="W364" s="127"/>
      <c r="X364" s="127"/>
      <c r="Y364" s="127"/>
      <c r="Z364" s="127"/>
    </row>
    <row r="365" customFormat="false" ht="15.75" hidden="false" customHeight="false" outlineLevel="0" collapsed="false">
      <c r="A365" s="127"/>
      <c r="B365" s="127"/>
      <c r="C365" s="127"/>
      <c r="D365" s="127"/>
      <c r="E365" s="127"/>
      <c r="F365" s="127"/>
      <c r="G365" s="127"/>
      <c r="H365" s="127"/>
      <c r="I365" s="127"/>
      <c r="J365" s="127"/>
      <c r="K365" s="127"/>
      <c r="L365" s="127"/>
      <c r="M365" s="127"/>
      <c r="N365" s="127"/>
      <c r="O365" s="127"/>
      <c r="P365" s="127"/>
      <c r="Q365" s="127"/>
      <c r="R365" s="127"/>
      <c r="S365" s="127"/>
      <c r="T365" s="127"/>
      <c r="U365" s="127"/>
      <c r="V365" s="127"/>
      <c r="W365" s="127"/>
      <c r="X365" s="127"/>
      <c r="Y365" s="127"/>
      <c r="Z365" s="127"/>
    </row>
    <row r="366" customFormat="false" ht="15.75" hidden="false" customHeight="false" outlineLevel="0" collapsed="false">
      <c r="A366" s="127"/>
      <c r="B366" s="127"/>
      <c r="C366" s="127"/>
      <c r="D366" s="127"/>
      <c r="E366" s="127"/>
      <c r="F366" s="127"/>
      <c r="G366" s="127"/>
      <c r="H366" s="127"/>
      <c r="I366" s="127"/>
      <c r="J366" s="127"/>
      <c r="K366" s="127"/>
      <c r="L366" s="127"/>
      <c r="M366" s="127"/>
      <c r="N366" s="127"/>
      <c r="O366" s="127"/>
      <c r="P366" s="127"/>
      <c r="Q366" s="127"/>
      <c r="R366" s="127"/>
      <c r="S366" s="127"/>
      <c r="T366" s="127"/>
      <c r="U366" s="127"/>
      <c r="V366" s="127"/>
      <c r="W366" s="127"/>
      <c r="X366" s="127"/>
      <c r="Y366" s="127"/>
      <c r="Z366" s="127"/>
    </row>
    <row r="367" customFormat="false" ht="15.75" hidden="false" customHeight="false" outlineLevel="0" collapsed="false">
      <c r="A367" s="127"/>
      <c r="B367" s="127"/>
      <c r="C367" s="127"/>
      <c r="D367" s="127"/>
      <c r="E367" s="127"/>
      <c r="F367" s="127"/>
      <c r="G367" s="127"/>
      <c r="H367" s="127"/>
      <c r="I367" s="127"/>
      <c r="J367" s="127"/>
      <c r="K367" s="127"/>
      <c r="L367" s="127"/>
      <c r="M367" s="127"/>
      <c r="N367" s="127"/>
      <c r="O367" s="127"/>
      <c r="P367" s="127"/>
      <c r="Q367" s="127"/>
      <c r="R367" s="127"/>
      <c r="S367" s="127"/>
      <c r="T367" s="127"/>
      <c r="U367" s="127"/>
      <c r="V367" s="127"/>
      <c r="W367" s="127"/>
      <c r="X367" s="127"/>
      <c r="Y367" s="127"/>
      <c r="Z367" s="127"/>
    </row>
    <row r="368" customFormat="false" ht="15.75" hidden="false" customHeight="false" outlineLevel="0" collapsed="false">
      <c r="A368" s="127"/>
      <c r="B368" s="127"/>
      <c r="C368" s="127"/>
      <c r="D368" s="127"/>
      <c r="E368" s="127"/>
      <c r="F368" s="127"/>
      <c r="G368" s="127"/>
      <c r="H368" s="127"/>
      <c r="I368" s="127"/>
      <c r="J368" s="127"/>
      <c r="K368" s="127"/>
      <c r="L368" s="127"/>
      <c r="M368" s="127"/>
      <c r="N368" s="127"/>
      <c r="O368" s="127"/>
      <c r="P368" s="127"/>
      <c r="Q368" s="127"/>
      <c r="R368" s="127"/>
      <c r="S368" s="127"/>
      <c r="T368" s="127"/>
      <c r="U368" s="127"/>
      <c r="V368" s="127"/>
      <c r="W368" s="127"/>
      <c r="X368" s="127"/>
      <c r="Y368" s="127"/>
      <c r="Z368" s="127"/>
    </row>
    <row r="369" customFormat="false" ht="15.75" hidden="false" customHeight="false" outlineLevel="0" collapsed="false">
      <c r="A369" s="127"/>
      <c r="B369" s="127"/>
      <c r="C369" s="127"/>
      <c r="D369" s="127"/>
      <c r="E369" s="127"/>
      <c r="F369" s="127"/>
      <c r="G369" s="127"/>
      <c r="H369" s="127"/>
      <c r="I369" s="127"/>
      <c r="J369" s="127"/>
      <c r="K369" s="127"/>
      <c r="L369" s="127"/>
      <c r="M369" s="127"/>
      <c r="N369" s="127"/>
      <c r="O369" s="127"/>
      <c r="P369" s="127"/>
      <c r="Q369" s="127"/>
      <c r="R369" s="127"/>
      <c r="S369" s="127"/>
      <c r="T369" s="127"/>
      <c r="U369" s="127"/>
      <c r="V369" s="127"/>
      <c r="W369" s="127"/>
      <c r="X369" s="127"/>
      <c r="Y369" s="127"/>
      <c r="Z369" s="127"/>
    </row>
    <row r="370" customFormat="false" ht="15.75" hidden="false" customHeight="false" outlineLevel="0" collapsed="false">
      <c r="A370" s="127"/>
      <c r="B370" s="127"/>
      <c r="C370" s="127"/>
      <c r="D370" s="127"/>
      <c r="E370" s="127"/>
      <c r="F370" s="127"/>
      <c r="G370" s="127"/>
      <c r="H370" s="127"/>
      <c r="I370" s="127"/>
      <c r="J370" s="127"/>
      <c r="K370" s="127"/>
      <c r="L370" s="127"/>
      <c r="M370" s="127"/>
      <c r="N370" s="127"/>
      <c r="O370" s="127"/>
      <c r="P370" s="127"/>
      <c r="Q370" s="127"/>
      <c r="R370" s="127"/>
      <c r="S370" s="127"/>
      <c r="T370" s="127"/>
      <c r="U370" s="127"/>
      <c r="V370" s="127"/>
      <c r="W370" s="127"/>
      <c r="X370" s="127"/>
      <c r="Y370" s="127"/>
      <c r="Z370" s="127"/>
    </row>
    <row r="371" customFormat="false" ht="15.75" hidden="false" customHeight="false" outlineLevel="0" collapsed="false">
      <c r="A371" s="127"/>
      <c r="B371" s="127"/>
      <c r="C371" s="127"/>
      <c r="D371" s="127"/>
      <c r="E371" s="127"/>
      <c r="F371" s="127"/>
      <c r="G371" s="127"/>
      <c r="H371" s="127"/>
      <c r="I371" s="127"/>
      <c r="J371" s="127"/>
      <c r="K371" s="127"/>
      <c r="L371" s="127"/>
      <c r="M371" s="127"/>
      <c r="N371" s="127"/>
      <c r="O371" s="127"/>
      <c r="P371" s="127"/>
      <c r="Q371" s="127"/>
      <c r="R371" s="127"/>
      <c r="S371" s="127"/>
      <c r="T371" s="127"/>
      <c r="U371" s="127"/>
      <c r="V371" s="127"/>
      <c r="W371" s="127"/>
      <c r="X371" s="127"/>
      <c r="Y371" s="127"/>
      <c r="Z371" s="127"/>
    </row>
    <row r="372" customFormat="false" ht="15.75" hidden="false" customHeight="false" outlineLevel="0" collapsed="false">
      <c r="A372" s="127"/>
      <c r="B372" s="127"/>
      <c r="C372" s="127"/>
      <c r="D372" s="127"/>
      <c r="E372" s="127"/>
      <c r="F372" s="127"/>
      <c r="G372" s="127"/>
      <c r="H372" s="127"/>
      <c r="I372" s="127"/>
      <c r="J372" s="127"/>
      <c r="K372" s="127"/>
      <c r="L372" s="127"/>
      <c r="M372" s="127"/>
      <c r="N372" s="127"/>
      <c r="O372" s="127"/>
      <c r="P372" s="127"/>
      <c r="Q372" s="127"/>
      <c r="R372" s="127"/>
      <c r="S372" s="127"/>
      <c r="T372" s="127"/>
      <c r="U372" s="127"/>
      <c r="V372" s="127"/>
      <c r="W372" s="127"/>
      <c r="X372" s="127"/>
      <c r="Y372" s="127"/>
      <c r="Z372" s="127"/>
    </row>
    <row r="373" customFormat="false" ht="15.75" hidden="false" customHeight="false" outlineLevel="0" collapsed="false">
      <c r="A373" s="127"/>
      <c r="B373" s="127"/>
      <c r="C373" s="127"/>
      <c r="D373" s="127"/>
      <c r="E373" s="127"/>
      <c r="F373" s="127"/>
      <c r="G373" s="127"/>
      <c r="H373" s="127"/>
      <c r="I373" s="127"/>
      <c r="J373" s="127"/>
      <c r="K373" s="127"/>
      <c r="L373" s="127"/>
      <c r="M373" s="127"/>
      <c r="N373" s="127"/>
      <c r="O373" s="127"/>
      <c r="P373" s="127"/>
      <c r="Q373" s="127"/>
      <c r="R373" s="127"/>
      <c r="S373" s="127"/>
      <c r="T373" s="127"/>
      <c r="U373" s="127"/>
      <c r="V373" s="127"/>
      <c r="W373" s="127"/>
      <c r="X373" s="127"/>
      <c r="Y373" s="127"/>
      <c r="Z373" s="127"/>
    </row>
    <row r="374" customFormat="false" ht="15.75" hidden="false" customHeight="false" outlineLevel="0" collapsed="false">
      <c r="A374" s="127"/>
      <c r="B374" s="127"/>
      <c r="C374" s="127"/>
      <c r="D374" s="127"/>
      <c r="E374" s="127"/>
      <c r="F374" s="127"/>
      <c r="G374" s="127"/>
      <c r="H374" s="127"/>
      <c r="I374" s="127"/>
      <c r="J374" s="127"/>
      <c r="K374" s="127"/>
      <c r="L374" s="127"/>
      <c r="M374" s="127"/>
      <c r="N374" s="127"/>
      <c r="O374" s="127"/>
      <c r="P374" s="127"/>
      <c r="Q374" s="127"/>
      <c r="R374" s="127"/>
      <c r="S374" s="127"/>
      <c r="T374" s="127"/>
      <c r="U374" s="127"/>
      <c r="V374" s="127"/>
      <c r="W374" s="127"/>
      <c r="X374" s="127"/>
      <c r="Y374" s="127"/>
      <c r="Z374" s="127"/>
    </row>
    <row r="375" customFormat="false" ht="15.75" hidden="false" customHeight="false" outlineLevel="0" collapsed="false">
      <c r="A375" s="127"/>
      <c r="B375" s="127"/>
      <c r="C375" s="127"/>
      <c r="D375" s="127"/>
      <c r="E375" s="127"/>
      <c r="F375" s="127"/>
      <c r="G375" s="127"/>
      <c r="H375" s="127"/>
      <c r="I375" s="127"/>
      <c r="J375" s="127"/>
      <c r="K375" s="127"/>
      <c r="L375" s="127"/>
      <c r="M375" s="127"/>
      <c r="N375" s="127"/>
      <c r="O375" s="127"/>
      <c r="P375" s="127"/>
      <c r="Q375" s="127"/>
      <c r="R375" s="127"/>
      <c r="S375" s="127"/>
      <c r="T375" s="127"/>
      <c r="U375" s="127"/>
      <c r="V375" s="127"/>
      <c r="W375" s="127"/>
      <c r="X375" s="127"/>
      <c r="Y375" s="127"/>
      <c r="Z375" s="127"/>
    </row>
    <row r="376" customFormat="false" ht="15.75" hidden="false" customHeight="false" outlineLevel="0" collapsed="false">
      <c r="A376" s="127"/>
      <c r="B376" s="127"/>
      <c r="C376" s="127"/>
      <c r="D376" s="127"/>
      <c r="E376" s="127"/>
      <c r="F376" s="127"/>
      <c r="G376" s="127"/>
      <c r="H376" s="127"/>
      <c r="I376" s="127"/>
      <c r="J376" s="127"/>
      <c r="K376" s="127"/>
      <c r="L376" s="127"/>
      <c r="M376" s="127"/>
      <c r="N376" s="127"/>
      <c r="O376" s="127"/>
      <c r="P376" s="127"/>
      <c r="Q376" s="127"/>
      <c r="R376" s="127"/>
      <c r="S376" s="127"/>
      <c r="T376" s="127"/>
      <c r="U376" s="127"/>
      <c r="V376" s="127"/>
      <c r="W376" s="127"/>
      <c r="X376" s="127"/>
      <c r="Y376" s="127"/>
      <c r="Z376" s="127"/>
    </row>
    <row r="377" customFormat="false" ht="15.75" hidden="false" customHeight="false" outlineLevel="0" collapsed="false">
      <c r="A377" s="127"/>
      <c r="B377" s="127"/>
      <c r="C377" s="127"/>
      <c r="D377" s="127"/>
      <c r="E377" s="127"/>
      <c r="F377" s="127"/>
      <c r="G377" s="127"/>
      <c r="H377" s="127"/>
      <c r="I377" s="127"/>
      <c r="J377" s="127"/>
      <c r="K377" s="127"/>
      <c r="L377" s="127"/>
      <c r="M377" s="127"/>
      <c r="N377" s="127"/>
      <c r="O377" s="127"/>
      <c r="P377" s="127"/>
      <c r="Q377" s="127"/>
      <c r="R377" s="127"/>
      <c r="S377" s="127"/>
      <c r="T377" s="127"/>
      <c r="U377" s="127"/>
      <c r="V377" s="127"/>
      <c r="W377" s="127"/>
      <c r="X377" s="127"/>
      <c r="Y377" s="127"/>
      <c r="Z377" s="127"/>
    </row>
    <row r="378" customFormat="false" ht="15.75" hidden="false" customHeight="false" outlineLevel="0" collapsed="false">
      <c r="A378" s="127"/>
      <c r="B378" s="127"/>
      <c r="C378" s="127"/>
      <c r="D378" s="127"/>
      <c r="E378" s="127"/>
      <c r="F378" s="127"/>
      <c r="G378" s="127"/>
      <c r="H378" s="127"/>
      <c r="I378" s="127"/>
      <c r="J378" s="127"/>
      <c r="K378" s="127"/>
      <c r="L378" s="127"/>
      <c r="M378" s="127"/>
      <c r="N378" s="127"/>
      <c r="O378" s="127"/>
      <c r="P378" s="127"/>
      <c r="Q378" s="127"/>
      <c r="R378" s="127"/>
      <c r="S378" s="127"/>
      <c r="T378" s="127"/>
      <c r="U378" s="127"/>
      <c r="V378" s="127"/>
      <c r="W378" s="127"/>
      <c r="X378" s="127"/>
      <c r="Y378" s="127"/>
      <c r="Z378" s="127"/>
    </row>
    <row r="379" customFormat="false" ht="15.75" hidden="false" customHeight="false" outlineLevel="0" collapsed="false">
      <c r="A379" s="127"/>
      <c r="B379" s="127"/>
      <c r="C379" s="127"/>
      <c r="D379" s="127"/>
      <c r="E379" s="127"/>
      <c r="F379" s="127"/>
      <c r="G379" s="127"/>
      <c r="H379" s="127"/>
      <c r="I379" s="127"/>
      <c r="J379" s="127"/>
      <c r="K379" s="127"/>
      <c r="L379" s="127"/>
      <c r="M379" s="127"/>
      <c r="N379" s="127"/>
      <c r="O379" s="127"/>
      <c r="P379" s="127"/>
      <c r="Q379" s="127"/>
      <c r="R379" s="127"/>
      <c r="S379" s="127"/>
      <c r="T379" s="127"/>
      <c r="U379" s="127"/>
      <c r="V379" s="127"/>
      <c r="W379" s="127"/>
      <c r="X379" s="127"/>
      <c r="Y379" s="127"/>
      <c r="Z379" s="127"/>
    </row>
    <row r="380" customFormat="false" ht="15.75" hidden="false" customHeight="false" outlineLevel="0" collapsed="false">
      <c r="A380" s="127"/>
      <c r="B380" s="127"/>
      <c r="C380" s="127"/>
      <c r="D380" s="127"/>
      <c r="E380" s="127"/>
      <c r="F380" s="127"/>
      <c r="G380" s="127"/>
      <c r="H380" s="127"/>
      <c r="I380" s="127"/>
      <c r="J380" s="127"/>
      <c r="K380" s="127"/>
      <c r="L380" s="127"/>
      <c r="M380" s="127"/>
      <c r="N380" s="127"/>
      <c r="O380" s="127"/>
      <c r="P380" s="127"/>
      <c r="Q380" s="127"/>
      <c r="R380" s="127"/>
      <c r="S380" s="127"/>
      <c r="T380" s="127"/>
      <c r="U380" s="127"/>
      <c r="V380" s="127"/>
      <c r="W380" s="127"/>
      <c r="X380" s="127"/>
      <c r="Y380" s="127"/>
      <c r="Z380" s="127"/>
    </row>
    <row r="381" customFormat="false" ht="15.75" hidden="false" customHeight="false" outlineLevel="0" collapsed="false">
      <c r="A381" s="127"/>
      <c r="B381" s="127"/>
      <c r="C381" s="127"/>
      <c r="D381" s="127"/>
      <c r="E381" s="127"/>
      <c r="F381" s="127"/>
      <c r="G381" s="127"/>
      <c r="H381" s="127"/>
      <c r="I381" s="127"/>
      <c r="J381" s="127"/>
      <c r="K381" s="127"/>
      <c r="L381" s="127"/>
      <c r="M381" s="127"/>
      <c r="N381" s="127"/>
      <c r="O381" s="127"/>
      <c r="P381" s="127"/>
      <c r="Q381" s="127"/>
      <c r="R381" s="127"/>
      <c r="S381" s="127"/>
      <c r="T381" s="127"/>
      <c r="U381" s="127"/>
      <c r="V381" s="127"/>
      <c r="W381" s="127"/>
      <c r="X381" s="127"/>
      <c r="Y381" s="127"/>
      <c r="Z381" s="127"/>
    </row>
    <row r="382" customFormat="false" ht="15.75" hidden="false" customHeight="false" outlineLevel="0" collapsed="false">
      <c r="A382" s="127"/>
      <c r="B382" s="127"/>
      <c r="C382" s="127"/>
      <c r="D382" s="127"/>
      <c r="E382" s="127"/>
      <c r="F382" s="127"/>
      <c r="G382" s="127"/>
      <c r="H382" s="127"/>
      <c r="I382" s="127"/>
      <c r="J382" s="127"/>
      <c r="K382" s="127"/>
      <c r="L382" s="127"/>
      <c r="M382" s="127"/>
      <c r="N382" s="127"/>
      <c r="O382" s="127"/>
      <c r="P382" s="127"/>
      <c r="Q382" s="127"/>
      <c r="R382" s="127"/>
      <c r="S382" s="127"/>
      <c r="T382" s="127"/>
      <c r="U382" s="127"/>
      <c r="V382" s="127"/>
      <c r="W382" s="127"/>
      <c r="X382" s="127"/>
      <c r="Y382" s="127"/>
      <c r="Z382" s="127"/>
    </row>
    <row r="383" customFormat="false" ht="15.75" hidden="false" customHeight="false" outlineLevel="0" collapsed="false">
      <c r="A383" s="127"/>
      <c r="B383" s="127"/>
      <c r="C383" s="127"/>
      <c r="D383" s="127"/>
      <c r="E383" s="127"/>
      <c r="F383" s="127"/>
      <c r="G383" s="127"/>
      <c r="H383" s="127"/>
      <c r="I383" s="127"/>
      <c r="J383" s="127"/>
      <c r="K383" s="127"/>
      <c r="L383" s="127"/>
      <c r="M383" s="127"/>
      <c r="N383" s="127"/>
      <c r="O383" s="127"/>
      <c r="P383" s="127"/>
      <c r="Q383" s="127"/>
      <c r="R383" s="127"/>
      <c r="S383" s="127"/>
      <c r="T383" s="127"/>
      <c r="U383" s="127"/>
      <c r="V383" s="127"/>
      <c r="W383" s="127"/>
      <c r="X383" s="127"/>
      <c r="Y383" s="127"/>
      <c r="Z383" s="127"/>
    </row>
    <row r="384" customFormat="false" ht="15.75" hidden="false" customHeight="false" outlineLevel="0" collapsed="false">
      <c r="A384" s="127"/>
      <c r="B384" s="127"/>
      <c r="C384" s="127"/>
      <c r="D384" s="127"/>
      <c r="E384" s="127"/>
      <c r="F384" s="127"/>
      <c r="G384" s="127"/>
      <c r="H384" s="127"/>
      <c r="I384" s="127"/>
      <c r="J384" s="127"/>
      <c r="K384" s="127"/>
      <c r="L384" s="127"/>
      <c r="M384" s="127"/>
      <c r="N384" s="127"/>
      <c r="O384" s="127"/>
      <c r="P384" s="127"/>
      <c r="Q384" s="127"/>
      <c r="R384" s="127"/>
      <c r="S384" s="127"/>
      <c r="T384" s="127"/>
      <c r="U384" s="127"/>
      <c r="V384" s="127"/>
      <c r="W384" s="127"/>
      <c r="X384" s="127"/>
      <c r="Y384" s="127"/>
      <c r="Z384" s="127"/>
    </row>
    <row r="385" customFormat="false" ht="15.75" hidden="false" customHeight="false" outlineLevel="0" collapsed="false">
      <c r="A385" s="127"/>
      <c r="B385" s="127"/>
      <c r="C385" s="127"/>
      <c r="D385" s="127"/>
      <c r="E385" s="127"/>
      <c r="F385" s="127"/>
      <c r="G385" s="127"/>
      <c r="H385" s="127"/>
      <c r="I385" s="127"/>
      <c r="J385" s="127"/>
      <c r="K385" s="127"/>
      <c r="L385" s="127"/>
      <c r="M385" s="127"/>
      <c r="N385" s="127"/>
      <c r="O385" s="127"/>
      <c r="P385" s="127"/>
      <c r="Q385" s="127"/>
      <c r="R385" s="127"/>
      <c r="S385" s="127"/>
      <c r="T385" s="127"/>
      <c r="U385" s="127"/>
      <c r="V385" s="127"/>
      <c r="W385" s="127"/>
      <c r="X385" s="127"/>
      <c r="Y385" s="127"/>
      <c r="Z385" s="127"/>
    </row>
    <row r="386" customFormat="false" ht="15.75" hidden="false" customHeight="false" outlineLevel="0" collapsed="false">
      <c r="A386" s="127"/>
      <c r="B386" s="127"/>
      <c r="C386" s="127"/>
      <c r="D386" s="127"/>
      <c r="E386" s="127"/>
      <c r="F386" s="127"/>
      <c r="G386" s="127"/>
      <c r="H386" s="127"/>
      <c r="I386" s="127"/>
      <c r="J386" s="127"/>
      <c r="K386" s="127"/>
      <c r="L386" s="127"/>
      <c r="M386" s="127"/>
      <c r="N386" s="127"/>
      <c r="O386" s="127"/>
      <c r="P386" s="127"/>
      <c r="Q386" s="127"/>
      <c r="R386" s="127"/>
      <c r="S386" s="127"/>
      <c r="T386" s="127"/>
      <c r="U386" s="127"/>
      <c r="V386" s="127"/>
      <c r="W386" s="127"/>
      <c r="X386" s="127"/>
      <c r="Y386" s="127"/>
      <c r="Z386" s="127"/>
    </row>
    <row r="387" customFormat="false" ht="15.75" hidden="false" customHeight="false" outlineLevel="0" collapsed="false">
      <c r="A387" s="127"/>
      <c r="B387" s="127"/>
      <c r="C387" s="127"/>
      <c r="D387" s="127"/>
      <c r="E387" s="127"/>
      <c r="F387" s="127"/>
      <c r="G387" s="127"/>
      <c r="H387" s="127"/>
      <c r="I387" s="127"/>
      <c r="J387" s="127"/>
      <c r="K387" s="127"/>
      <c r="L387" s="127"/>
      <c r="M387" s="127"/>
      <c r="N387" s="127"/>
      <c r="O387" s="127"/>
      <c r="P387" s="127"/>
      <c r="Q387" s="127"/>
      <c r="R387" s="127"/>
      <c r="S387" s="127"/>
      <c r="T387" s="127"/>
      <c r="U387" s="127"/>
      <c r="V387" s="127"/>
      <c r="W387" s="127"/>
      <c r="X387" s="127"/>
      <c r="Y387" s="127"/>
      <c r="Z387" s="127"/>
    </row>
    <row r="388" customFormat="false" ht="15.75" hidden="false" customHeight="false" outlineLevel="0" collapsed="false">
      <c r="A388" s="127"/>
      <c r="B388" s="127"/>
      <c r="C388" s="127"/>
      <c r="D388" s="127"/>
      <c r="E388" s="127"/>
      <c r="F388" s="127"/>
      <c r="G388" s="127"/>
      <c r="H388" s="127"/>
      <c r="I388" s="127"/>
      <c r="J388" s="127"/>
      <c r="K388" s="127"/>
      <c r="L388" s="127"/>
      <c r="M388" s="127"/>
      <c r="N388" s="127"/>
      <c r="O388" s="127"/>
      <c r="P388" s="127"/>
      <c r="Q388" s="127"/>
      <c r="R388" s="127"/>
      <c r="S388" s="127"/>
      <c r="T388" s="127"/>
      <c r="U388" s="127"/>
      <c r="V388" s="127"/>
      <c r="W388" s="127"/>
      <c r="X388" s="127"/>
      <c r="Y388" s="127"/>
      <c r="Z388" s="127"/>
    </row>
    <row r="389" customFormat="false" ht="15.75" hidden="false" customHeight="false" outlineLevel="0" collapsed="false">
      <c r="A389" s="127"/>
      <c r="B389" s="127"/>
      <c r="C389" s="127"/>
      <c r="D389" s="127"/>
      <c r="E389" s="127"/>
      <c r="F389" s="127"/>
      <c r="G389" s="127"/>
      <c r="H389" s="127"/>
      <c r="I389" s="127"/>
      <c r="J389" s="127"/>
      <c r="K389" s="127"/>
      <c r="L389" s="127"/>
      <c r="M389" s="127"/>
      <c r="N389" s="127"/>
      <c r="O389" s="127"/>
      <c r="P389" s="127"/>
      <c r="Q389" s="127"/>
      <c r="R389" s="127"/>
      <c r="S389" s="127"/>
      <c r="T389" s="127"/>
      <c r="U389" s="127"/>
      <c r="V389" s="127"/>
      <c r="W389" s="127"/>
      <c r="X389" s="127"/>
      <c r="Y389" s="127"/>
      <c r="Z389" s="127"/>
    </row>
    <row r="390" customFormat="false" ht="15.75" hidden="false" customHeight="false" outlineLevel="0" collapsed="false">
      <c r="A390" s="127"/>
      <c r="B390" s="127"/>
      <c r="C390" s="127"/>
      <c r="D390" s="127"/>
      <c r="E390" s="127"/>
      <c r="F390" s="127"/>
      <c r="G390" s="127"/>
      <c r="H390" s="127"/>
      <c r="I390" s="127"/>
      <c r="J390" s="127"/>
      <c r="K390" s="127"/>
      <c r="L390" s="127"/>
      <c r="M390" s="127"/>
      <c r="N390" s="127"/>
      <c r="O390" s="127"/>
      <c r="P390" s="127"/>
      <c r="Q390" s="127"/>
      <c r="R390" s="127"/>
      <c r="S390" s="127"/>
      <c r="T390" s="127"/>
      <c r="U390" s="127"/>
      <c r="V390" s="127"/>
      <c r="W390" s="127"/>
      <c r="X390" s="127"/>
      <c r="Y390" s="127"/>
      <c r="Z390" s="127"/>
    </row>
    <row r="391" customFormat="false" ht="15.75" hidden="false" customHeight="false" outlineLevel="0" collapsed="false">
      <c r="A391" s="127"/>
      <c r="B391" s="127"/>
      <c r="C391" s="127"/>
      <c r="D391" s="127"/>
      <c r="E391" s="127"/>
      <c r="F391" s="127"/>
      <c r="G391" s="127"/>
      <c r="H391" s="127"/>
      <c r="I391" s="127"/>
      <c r="J391" s="127"/>
      <c r="K391" s="127"/>
      <c r="L391" s="127"/>
      <c r="M391" s="127"/>
      <c r="N391" s="127"/>
      <c r="O391" s="127"/>
      <c r="P391" s="127"/>
      <c r="Q391" s="127"/>
      <c r="R391" s="127"/>
      <c r="S391" s="127"/>
      <c r="T391" s="127"/>
      <c r="U391" s="127"/>
      <c r="V391" s="127"/>
      <c r="W391" s="127"/>
      <c r="X391" s="127"/>
      <c r="Y391" s="127"/>
      <c r="Z391" s="127"/>
    </row>
    <row r="392" customFormat="false" ht="15.75" hidden="false" customHeight="false" outlineLevel="0" collapsed="false">
      <c r="A392" s="127"/>
      <c r="B392" s="127"/>
      <c r="C392" s="127"/>
      <c r="D392" s="127"/>
      <c r="E392" s="127"/>
      <c r="F392" s="127"/>
      <c r="G392" s="127"/>
      <c r="H392" s="127"/>
      <c r="I392" s="127"/>
      <c r="J392" s="127"/>
      <c r="K392" s="127"/>
      <c r="L392" s="127"/>
      <c r="M392" s="127"/>
      <c r="N392" s="127"/>
      <c r="O392" s="127"/>
      <c r="P392" s="127"/>
      <c r="Q392" s="127"/>
      <c r="R392" s="127"/>
      <c r="S392" s="127"/>
      <c r="T392" s="127"/>
      <c r="U392" s="127"/>
      <c r="V392" s="127"/>
      <c r="W392" s="127"/>
      <c r="X392" s="127"/>
      <c r="Y392" s="127"/>
      <c r="Z392" s="127"/>
    </row>
    <row r="393" customFormat="false" ht="15.75" hidden="false" customHeight="false" outlineLevel="0" collapsed="false">
      <c r="A393" s="127"/>
      <c r="B393" s="127"/>
      <c r="C393" s="127"/>
      <c r="D393" s="127"/>
      <c r="E393" s="127"/>
      <c r="F393" s="127"/>
      <c r="G393" s="127"/>
      <c r="H393" s="127"/>
      <c r="I393" s="127"/>
      <c r="J393" s="127"/>
      <c r="K393" s="127"/>
      <c r="L393" s="127"/>
      <c r="M393" s="127"/>
      <c r="N393" s="127"/>
      <c r="O393" s="127"/>
      <c r="P393" s="127"/>
      <c r="Q393" s="127"/>
      <c r="R393" s="127"/>
      <c r="S393" s="127"/>
      <c r="T393" s="127"/>
      <c r="U393" s="127"/>
      <c r="V393" s="127"/>
      <c r="W393" s="127"/>
      <c r="X393" s="127"/>
      <c r="Y393" s="127"/>
      <c r="Z393" s="127"/>
    </row>
    <row r="394" customFormat="false" ht="15.75" hidden="false" customHeight="false" outlineLevel="0" collapsed="false">
      <c r="A394" s="127"/>
      <c r="B394" s="127"/>
      <c r="C394" s="127"/>
      <c r="D394" s="127"/>
      <c r="E394" s="127"/>
      <c r="F394" s="127"/>
      <c r="G394" s="127"/>
      <c r="H394" s="127"/>
      <c r="I394" s="127"/>
      <c r="J394" s="127"/>
      <c r="K394" s="127"/>
      <c r="L394" s="127"/>
      <c r="M394" s="127"/>
      <c r="N394" s="127"/>
      <c r="O394" s="127"/>
      <c r="P394" s="127"/>
      <c r="Q394" s="127"/>
      <c r="R394" s="127"/>
      <c r="S394" s="127"/>
      <c r="T394" s="127"/>
      <c r="U394" s="127"/>
      <c r="V394" s="127"/>
      <c r="W394" s="127"/>
      <c r="X394" s="127"/>
      <c r="Y394" s="127"/>
      <c r="Z394" s="127"/>
    </row>
    <row r="395" customFormat="false" ht="15.75" hidden="false" customHeight="false" outlineLevel="0" collapsed="false">
      <c r="A395" s="127"/>
      <c r="B395" s="127"/>
      <c r="C395" s="127"/>
      <c r="D395" s="127"/>
      <c r="E395" s="127"/>
      <c r="F395" s="127"/>
      <c r="G395" s="127"/>
      <c r="H395" s="127"/>
      <c r="I395" s="127"/>
      <c r="J395" s="127"/>
      <c r="K395" s="127"/>
      <c r="L395" s="127"/>
      <c r="M395" s="127"/>
      <c r="N395" s="127"/>
      <c r="O395" s="127"/>
      <c r="P395" s="127"/>
      <c r="Q395" s="127"/>
      <c r="R395" s="127"/>
      <c r="S395" s="127"/>
      <c r="T395" s="127"/>
      <c r="U395" s="127"/>
      <c r="V395" s="127"/>
      <c r="W395" s="127"/>
      <c r="X395" s="127"/>
      <c r="Y395" s="127"/>
      <c r="Z395" s="127"/>
    </row>
    <row r="396" customFormat="false" ht="15.75" hidden="false" customHeight="false" outlineLevel="0" collapsed="false">
      <c r="A396" s="127"/>
      <c r="B396" s="127"/>
      <c r="C396" s="127"/>
      <c r="D396" s="127"/>
      <c r="E396" s="127"/>
      <c r="F396" s="127"/>
      <c r="G396" s="127"/>
      <c r="H396" s="127"/>
      <c r="I396" s="127"/>
      <c r="J396" s="127"/>
      <c r="K396" s="127"/>
      <c r="L396" s="127"/>
      <c r="M396" s="127"/>
      <c r="N396" s="127"/>
      <c r="O396" s="127"/>
      <c r="P396" s="127"/>
      <c r="Q396" s="127"/>
      <c r="R396" s="127"/>
      <c r="S396" s="127"/>
      <c r="T396" s="127"/>
      <c r="U396" s="127"/>
      <c r="V396" s="127"/>
      <c r="W396" s="127"/>
      <c r="X396" s="127"/>
      <c r="Y396" s="127"/>
      <c r="Z396" s="127"/>
    </row>
    <row r="397" customFormat="false" ht="15.75" hidden="false" customHeight="false" outlineLevel="0" collapsed="false">
      <c r="A397" s="127"/>
      <c r="B397" s="127"/>
      <c r="C397" s="127"/>
      <c r="D397" s="127"/>
      <c r="E397" s="127"/>
      <c r="F397" s="127"/>
      <c r="G397" s="127"/>
      <c r="H397" s="127"/>
      <c r="I397" s="127"/>
      <c r="J397" s="127"/>
      <c r="K397" s="127"/>
      <c r="L397" s="127"/>
      <c r="M397" s="127"/>
      <c r="N397" s="127"/>
      <c r="O397" s="127"/>
      <c r="P397" s="127"/>
      <c r="Q397" s="127"/>
      <c r="R397" s="127"/>
      <c r="S397" s="127"/>
      <c r="T397" s="127"/>
      <c r="U397" s="127"/>
      <c r="V397" s="127"/>
      <c r="W397" s="127"/>
      <c r="X397" s="127"/>
      <c r="Y397" s="127"/>
      <c r="Z397" s="127"/>
    </row>
    <row r="398" customFormat="false" ht="15.75" hidden="false" customHeight="false" outlineLevel="0" collapsed="false">
      <c r="A398" s="127"/>
      <c r="B398" s="127"/>
      <c r="C398" s="127"/>
      <c r="D398" s="127"/>
      <c r="E398" s="127"/>
      <c r="F398" s="127"/>
      <c r="G398" s="127"/>
      <c r="H398" s="127"/>
      <c r="I398" s="127"/>
      <c r="J398" s="127"/>
      <c r="K398" s="127"/>
      <c r="L398" s="127"/>
      <c r="M398" s="127"/>
      <c r="N398" s="127"/>
      <c r="O398" s="127"/>
      <c r="P398" s="127"/>
      <c r="Q398" s="127"/>
      <c r="R398" s="127"/>
      <c r="S398" s="127"/>
      <c r="T398" s="127"/>
      <c r="U398" s="127"/>
      <c r="V398" s="127"/>
      <c r="W398" s="127"/>
      <c r="X398" s="127"/>
      <c r="Y398" s="127"/>
      <c r="Z398" s="127"/>
    </row>
    <row r="399" customFormat="false" ht="15.75" hidden="false" customHeight="false" outlineLevel="0" collapsed="false">
      <c r="A399" s="127"/>
      <c r="B399" s="127"/>
      <c r="C399" s="127"/>
      <c r="D399" s="127"/>
      <c r="E399" s="127"/>
      <c r="F399" s="127"/>
      <c r="G399" s="127"/>
      <c r="H399" s="127"/>
      <c r="I399" s="127"/>
      <c r="J399" s="127"/>
      <c r="K399" s="127"/>
      <c r="L399" s="127"/>
      <c r="M399" s="127"/>
      <c r="N399" s="127"/>
      <c r="O399" s="127"/>
      <c r="P399" s="127"/>
      <c r="Q399" s="127"/>
      <c r="R399" s="127"/>
      <c r="S399" s="127"/>
      <c r="T399" s="127"/>
      <c r="U399" s="127"/>
      <c r="V399" s="127"/>
      <c r="W399" s="127"/>
      <c r="X399" s="127"/>
      <c r="Y399" s="127"/>
      <c r="Z399" s="127"/>
    </row>
    <row r="400" customFormat="false" ht="15.75" hidden="false" customHeight="false" outlineLevel="0" collapsed="false">
      <c r="A400" s="127"/>
      <c r="B400" s="127"/>
      <c r="C400" s="127"/>
      <c r="D400" s="127"/>
      <c r="E400" s="127"/>
      <c r="F400" s="127"/>
      <c r="G400" s="127"/>
      <c r="H400" s="127"/>
      <c r="I400" s="127"/>
      <c r="J400" s="127"/>
      <c r="K400" s="127"/>
      <c r="L400" s="127"/>
      <c r="M400" s="127"/>
      <c r="N400" s="127"/>
      <c r="O400" s="127"/>
      <c r="P400" s="127"/>
      <c r="Q400" s="127"/>
      <c r="R400" s="127"/>
      <c r="S400" s="127"/>
      <c r="T400" s="127"/>
      <c r="U400" s="127"/>
      <c r="V400" s="127"/>
      <c r="W400" s="127"/>
      <c r="X400" s="127"/>
      <c r="Y400" s="127"/>
      <c r="Z400" s="127"/>
    </row>
    <row r="401" customFormat="false" ht="15.75" hidden="false" customHeight="false" outlineLevel="0" collapsed="false">
      <c r="A401" s="127"/>
      <c r="B401" s="127"/>
      <c r="C401" s="127"/>
      <c r="D401" s="127"/>
      <c r="E401" s="127"/>
      <c r="F401" s="127"/>
      <c r="G401" s="127"/>
      <c r="H401" s="127"/>
      <c r="I401" s="127"/>
      <c r="J401" s="127"/>
      <c r="K401" s="127"/>
      <c r="L401" s="127"/>
      <c r="M401" s="127"/>
      <c r="N401" s="127"/>
      <c r="O401" s="127"/>
      <c r="P401" s="127"/>
      <c r="Q401" s="127"/>
      <c r="R401" s="127"/>
      <c r="S401" s="127"/>
      <c r="T401" s="127"/>
      <c r="U401" s="127"/>
      <c r="V401" s="127"/>
      <c r="W401" s="127"/>
      <c r="X401" s="127"/>
      <c r="Y401" s="127"/>
      <c r="Z401" s="127"/>
    </row>
    <row r="402" customFormat="false" ht="15.75" hidden="false" customHeight="false" outlineLevel="0" collapsed="false">
      <c r="A402" s="127"/>
      <c r="B402" s="127"/>
      <c r="C402" s="127"/>
      <c r="D402" s="127"/>
      <c r="E402" s="127"/>
      <c r="F402" s="127"/>
      <c r="G402" s="127"/>
      <c r="H402" s="127"/>
      <c r="I402" s="127"/>
      <c r="J402" s="127"/>
      <c r="K402" s="127"/>
      <c r="L402" s="127"/>
      <c r="M402" s="127"/>
      <c r="N402" s="127"/>
      <c r="O402" s="127"/>
      <c r="P402" s="127"/>
      <c r="Q402" s="127"/>
      <c r="R402" s="127"/>
      <c r="S402" s="127"/>
      <c r="T402" s="127"/>
      <c r="U402" s="127"/>
      <c r="V402" s="127"/>
      <c r="W402" s="127"/>
      <c r="X402" s="127"/>
      <c r="Y402" s="127"/>
      <c r="Z402" s="127"/>
    </row>
    <row r="403" customFormat="false" ht="15.75" hidden="false" customHeight="false" outlineLevel="0" collapsed="false">
      <c r="A403" s="127"/>
      <c r="B403" s="127"/>
      <c r="C403" s="127"/>
      <c r="D403" s="127"/>
      <c r="E403" s="127"/>
      <c r="F403" s="127"/>
      <c r="G403" s="127"/>
      <c r="H403" s="127"/>
      <c r="I403" s="127"/>
      <c r="J403" s="127"/>
      <c r="K403" s="127"/>
      <c r="L403" s="127"/>
      <c r="M403" s="127"/>
      <c r="N403" s="127"/>
      <c r="O403" s="127"/>
      <c r="P403" s="127"/>
      <c r="Q403" s="127"/>
      <c r="R403" s="127"/>
      <c r="S403" s="127"/>
      <c r="T403" s="127"/>
      <c r="U403" s="127"/>
      <c r="V403" s="127"/>
      <c r="W403" s="127"/>
      <c r="X403" s="127"/>
      <c r="Y403" s="127"/>
      <c r="Z403" s="127"/>
    </row>
    <row r="404" customFormat="false" ht="15.75" hidden="false" customHeight="false" outlineLevel="0" collapsed="false">
      <c r="A404" s="127"/>
      <c r="B404" s="127"/>
      <c r="C404" s="127"/>
      <c r="D404" s="127"/>
      <c r="E404" s="127"/>
      <c r="F404" s="127"/>
      <c r="G404" s="127"/>
      <c r="H404" s="127"/>
      <c r="I404" s="127"/>
      <c r="J404" s="127"/>
      <c r="K404" s="127"/>
      <c r="L404" s="127"/>
      <c r="M404" s="127"/>
      <c r="N404" s="127"/>
      <c r="O404" s="127"/>
      <c r="P404" s="127"/>
      <c r="Q404" s="127"/>
      <c r="R404" s="127"/>
      <c r="S404" s="127"/>
      <c r="T404" s="127"/>
      <c r="U404" s="127"/>
      <c r="V404" s="127"/>
      <c r="W404" s="127"/>
      <c r="X404" s="127"/>
      <c r="Y404" s="127"/>
      <c r="Z404" s="127"/>
    </row>
    <row r="405" customFormat="false" ht="15.75" hidden="false" customHeight="false" outlineLevel="0" collapsed="false">
      <c r="A405" s="127"/>
      <c r="B405" s="127"/>
      <c r="C405" s="127"/>
      <c r="D405" s="127"/>
      <c r="E405" s="127"/>
      <c r="F405" s="127"/>
      <c r="G405" s="127"/>
      <c r="H405" s="127"/>
      <c r="I405" s="127"/>
      <c r="J405" s="127"/>
      <c r="K405" s="127"/>
      <c r="L405" s="127"/>
      <c r="M405" s="127"/>
      <c r="N405" s="127"/>
      <c r="O405" s="127"/>
      <c r="P405" s="127"/>
      <c r="Q405" s="127"/>
      <c r="R405" s="127"/>
      <c r="S405" s="127"/>
      <c r="T405" s="127"/>
      <c r="U405" s="127"/>
      <c r="V405" s="127"/>
      <c r="W405" s="127"/>
      <c r="X405" s="127"/>
      <c r="Y405" s="127"/>
      <c r="Z405" s="127"/>
    </row>
    <row r="406" customFormat="false" ht="15.75" hidden="false" customHeight="false" outlineLevel="0" collapsed="false">
      <c r="A406" s="127"/>
      <c r="B406" s="127"/>
      <c r="C406" s="127"/>
      <c r="D406" s="127"/>
      <c r="E406" s="127"/>
      <c r="F406" s="127"/>
      <c r="G406" s="127"/>
      <c r="H406" s="127"/>
      <c r="I406" s="127"/>
      <c r="J406" s="127"/>
      <c r="K406" s="127"/>
      <c r="L406" s="127"/>
      <c r="M406" s="127"/>
      <c r="N406" s="127"/>
      <c r="O406" s="127"/>
      <c r="P406" s="127"/>
      <c r="Q406" s="127"/>
      <c r="R406" s="127"/>
      <c r="S406" s="127"/>
      <c r="T406" s="127"/>
      <c r="U406" s="127"/>
      <c r="V406" s="127"/>
      <c r="W406" s="127"/>
      <c r="X406" s="127"/>
      <c r="Y406" s="127"/>
      <c r="Z406" s="127"/>
    </row>
    <row r="407" customFormat="false" ht="15.75" hidden="false" customHeight="false" outlineLevel="0" collapsed="false">
      <c r="A407" s="127"/>
      <c r="B407" s="127"/>
      <c r="C407" s="127"/>
      <c r="D407" s="127"/>
      <c r="E407" s="127"/>
      <c r="F407" s="127"/>
      <c r="G407" s="127"/>
      <c r="H407" s="127"/>
      <c r="I407" s="127"/>
      <c r="J407" s="127"/>
      <c r="K407" s="127"/>
      <c r="L407" s="127"/>
      <c r="M407" s="127"/>
      <c r="N407" s="127"/>
      <c r="O407" s="127"/>
      <c r="P407" s="127"/>
      <c r="Q407" s="127"/>
      <c r="R407" s="127"/>
      <c r="S407" s="127"/>
      <c r="T407" s="127"/>
      <c r="U407" s="127"/>
      <c r="V407" s="127"/>
      <c r="W407" s="127"/>
      <c r="X407" s="127"/>
      <c r="Y407" s="127"/>
      <c r="Z407" s="127"/>
    </row>
    <row r="408" customFormat="false" ht="15.75" hidden="false" customHeight="false" outlineLevel="0" collapsed="false">
      <c r="A408" s="127"/>
      <c r="B408" s="127"/>
      <c r="C408" s="127"/>
      <c r="D408" s="127"/>
      <c r="E408" s="127"/>
      <c r="F408" s="127"/>
      <c r="G408" s="127"/>
      <c r="H408" s="127"/>
      <c r="I408" s="127"/>
      <c r="J408" s="127"/>
      <c r="K408" s="127"/>
      <c r="L408" s="127"/>
      <c r="M408" s="127"/>
      <c r="N408" s="127"/>
      <c r="O408" s="127"/>
      <c r="P408" s="127"/>
      <c r="Q408" s="127"/>
      <c r="R408" s="127"/>
      <c r="S408" s="127"/>
      <c r="T408" s="127"/>
      <c r="U408" s="127"/>
      <c r="V408" s="127"/>
      <c r="W408" s="127"/>
      <c r="X408" s="127"/>
      <c r="Y408" s="127"/>
      <c r="Z408" s="127"/>
    </row>
    <row r="409" customFormat="false" ht="15.75" hidden="false" customHeight="false" outlineLevel="0" collapsed="false">
      <c r="A409" s="127"/>
      <c r="B409" s="127"/>
      <c r="C409" s="127"/>
      <c r="D409" s="127"/>
      <c r="E409" s="127"/>
      <c r="F409" s="127"/>
      <c r="G409" s="127"/>
      <c r="H409" s="127"/>
      <c r="I409" s="127"/>
      <c r="J409" s="127"/>
      <c r="K409" s="127"/>
      <c r="L409" s="127"/>
      <c r="M409" s="127"/>
      <c r="N409" s="127"/>
      <c r="O409" s="127"/>
      <c r="P409" s="127"/>
      <c r="Q409" s="127"/>
      <c r="R409" s="127"/>
      <c r="S409" s="127"/>
      <c r="T409" s="127"/>
      <c r="U409" s="127"/>
      <c r="V409" s="127"/>
      <c r="W409" s="127"/>
      <c r="X409" s="127"/>
      <c r="Y409" s="127"/>
      <c r="Z409" s="127"/>
    </row>
    <row r="410" customFormat="false" ht="15.75" hidden="false" customHeight="false" outlineLevel="0" collapsed="false">
      <c r="A410" s="127"/>
      <c r="B410" s="127"/>
      <c r="C410" s="127"/>
      <c r="D410" s="127"/>
      <c r="E410" s="127"/>
      <c r="F410" s="127"/>
      <c r="G410" s="127"/>
      <c r="H410" s="127"/>
      <c r="I410" s="127"/>
      <c r="J410" s="127"/>
      <c r="K410" s="127"/>
      <c r="L410" s="127"/>
      <c r="M410" s="127"/>
      <c r="N410" s="127"/>
      <c r="O410" s="127"/>
      <c r="P410" s="127"/>
      <c r="Q410" s="127"/>
      <c r="R410" s="127"/>
      <c r="S410" s="127"/>
      <c r="T410" s="127"/>
      <c r="U410" s="127"/>
      <c r="V410" s="127"/>
      <c r="W410" s="127"/>
      <c r="X410" s="127"/>
      <c r="Y410" s="127"/>
      <c r="Z410" s="127"/>
    </row>
    <row r="411" customFormat="false" ht="15.75" hidden="false" customHeight="false" outlineLevel="0" collapsed="false">
      <c r="A411" s="127"/>
      <c r="B411" s="127"/>
      <c r="C411" s="127"/>
      <c r="D411" s="127"/>
      <c r="E411" s="127"/>
      <c r="F411" s="127"/>
      <c r="G411" s="127"/>
      <c r="H411" s="127"/>
      <c r="I411" s="127"/>
      <c r="J411" s="127"/>
      <c r="K411" s="127"/>
      <c r="L411" s="127"/>
      <c r="M411" s="127"/>
      <c r="N411" s="127"/>
      <c r="O411" s="127"/>
      <c r="P411" s="127"/>
      <c r="Q411" s="127"/>
      <c r="R411" s="127"/>
      <c r="S411" s="127"/>
      <c r="T411" s="127"/>
      <c r="U411" s="127"/>
      <c r="V411" s="127"/>
      <c r="W411" s="127"/>
      <c r="X411" s="127"/>
      <c r="Y411" s="127"/>
      <c r="Z411" s="127"/>
    </row>
    <row r="412" customFormat="false" ht="15.75" hidden="false" customHeight="false" outlineLevel="0" collapsed="false">
      <c r="A412" s="127"/>
      <c r="B412" s="127"/>
      <c r="C412" s="127"/>
      <c r="D412" s="127"/>
      <c r="E412" s="127"/>
      <c r="F412" s="127"/>
      <c r="G412" s="127"/>
      <c r="H412" s="127"/>
      <c r="I412" s="127"/>
      <c r="J412" s="127"/>
      <c r="K412" s="127"/>
      <c r="L412" s="127"/>
      <c r="M412" s="127"/>
      <c r="N412" s="127"/>
      <c r="O412" s="127"/>
      <c r="P412" s="127"/>
      <c r="Q412" s="127"/>
      <c r="R412" s="127"/>
      <c r="S412" s="127"/>
      <c r="T412" s="127"/>
      <c r="U412" s="127"/>
      <c r="V412" s="127"/>
      <c r="W412" s="127"/>
      <c r="X412" s="127"/>
      <c r="Y412" s="127"/>
      <c r="Z412" s="127"/>
    </row>
    <row r="413" customFormat="false" ht="15.75" hidden="false" customHeight="false" outlineLevel="0" collapsed="false">
      <c r="A413" s="127"/>
      <c r="B413" s="127"/>
      <c r="C413" s="127"/>
      <c r="D413" s="127"/>
      <c r="E413" s="127"/>
      <c r="F413" s="127"/>
      <c r="G413" s="127"/>
      <c r="H413" s="127"/>
      <c r="I413" s="127"/>
      <c r="J413" s="127"/>
      <c r="K413" s="127"/>
      <c r="L413" s="127"/>
      <c r="M413" s="127"/>
      <c r="N413" s="127"/>
      <c r="O413" s="127"/>
      <c r="P413" s="127"/>
      <c r="Q413" s="127"/>
      <c r="R413" s="127"/>
      <c r="S413" s="127"/>
      <c r="T413" s="127"/>
      <c r="U413" s="127"/>
      <c r="V413" s="127"/>
      <c r="W413" s="127"/>
      <c r="X413" s="127"/>
      <c r="Y413" s="127"/>
      <c r="Z413" s="127"/>
    </row>
    <row r="414" customFormat="false" ht="15.75" hidden="false" customHeight="false" outlineLevel="0" collapsed="false">
      <c r="A414" s="127"/>
      <c r="B414" s="127"/>
      <c r="C414" s="127"/>
      <c r="D414" s="127"/>
      <c r="E414" s="127"/>
      <c r="F414" s="127"/>
      <c r="G414" s="127"/>
      <c r="H414" s="127"/>
      <c r="I414" s="127"/>
      <c r="J414" s="127"/>
      <c r="K414" s="127"/>
      <c r="L414" s="127"/>
      <c r="M414" s="127"/>
      <c r="N414" s="127"/>
      <c r="O414" s="127"/>
      <c r="P414" s="127"/>
      <c r="Q414" s="127"/>
      <c r="R414" s="127"/>
      <c r="S414" s="127"/>
      <c r="T414" s="127"/>
      <c r="U414" s="127"/>
      <c r="V414" s="127"/>
      <c r="W414" s="127"/>
      <c r="X414" s="127"/>
      <c r="Y414" s="127"/>
      <c r="Z414" s="127"/>
    </row>
    <row r="415" customFormat="false" ht="15.75" hidden="false" customHeight="false" outlineLevel="0" collapsed="false">
      <c r="A415" s="127"/>
      <c r="B415" s="127"/>
      <c r="C415" s="127"/>
      <c r="D415" s="127"/>
      <c r="E415" s="127"/>
      <c r="F415" s="127"/>
      <c r="G415" s="127"/>
      <c r="H415" s="127"/>
      <c r="I415" s="127"/>
      <c r="J415" s="127"/>
      <c r="K415" s="127"/>
      <c r="L415" s="127"/>
      <c r="M415" s="127"/>
      <c r="N415" s="127"/>
      <c r="O415" s="127"/>
      <c r="P415" s="127"/>
      <c r="Q415" s="127"/>
      <c r="R415" s="127"/>
      <c r="S415" s="127"/>
      <c r="T415" s="127"/>
      <c r="U415" s="127"/>
      <c r="V415" s="127"/>
      <c r="W415" s="127"/>
      <c r="X415" s="127"/>
      <c r="Y415" s="127"/>
      <c r="Z415" s="127"/>
    </row>
    <row r="416" customFormat="false" ht="15.75" hidden="false" customHeight="false" outlineLevel="0" collapsed="false">
      <c r="A416" s="127"/>
      <c r="B416" s="127"/>
      <c r="C416" s="127"/>
      <c r="D416" s="127"/>
      <c r="E416" s="127"/>
      <c r="F416" s="127"/>
      <c r="G416" s="127"/>
      <c r="H416" s="127"/>
      <c r="I416" s="127"/>
      <c r="J416" s="127"/>
      <c r="K416" s="127"/>
      <c r="L416" s="127"/>
      <c r="M416" s="127"/>
      <c r="N416" s="127"/>
      <c r="O416" s="127"/>
      <c r="P416" s="127"/>
      <c r="Q416" s="127"/>
      <c r="R416" s="127"/>
      <c r="S416" s="127"/>
      <c r="T416" s="127"/>
      <c r="U416" s="127"/>
      <c r="V416" s="127"/>
      <c r="W416" s="127"/>
      <c r="X416" s="127"/>
      <c r="Y416" s="127"/>
      <c r="Z416" s="127"/>
    </row>
    <row r="417" customFormat="false" ht="15.75" hidden="false" customHeight="false" outlineLevel="0" collapsed="false">
      <c r="A417" s="127"/>
      <c r="B417" s="127"/>
      <c r="C417" s="127"/>
      <c r="D417" s="127"/>
      <c r="E417" s="127"/>
      <c r="F417" s="127"/>
      <c r="G417" s="127"/>
      <c r="H417" s="127"/>
      <c r="I417" s="127"/>
      <c r="J417" s="127"/>
      <c r="K417" s="127"/>
      <c r="L417" s="127"/>
      <c r="M417" s="127"/>
      <c r="N417" s="127"/>
      <c r="O417" s="127"/>
      <c r="P417" s="127"/>
      <c r="Q417" s="127"/>
      <c r="R417" s="127"/>
      <c r="S417" s="127"/>
      <c r="T417" s="127"/>
      <c r="U417" s="127"/>
      <c r="V417" s="127"/>
      <c r="W417" s="127"/>
      <c r="X417" s="127"/>
      <c r="Y417" s="127"/>
      <c r="Z417" s="127"/>
    </row>
    <row r="418" customFormat="false" ht="15.75" hidden="false" customHeight="false" outlineLevel="0" collapsed="false">
      <c r="A418" s="127"/>
      <c r="B418" s="127"/>
      <c r="C418" s="127"/>
      <c r="D418" s="127"/>
      <c r="E418" s="127"/>
      <c r="F418" s="127"/>
      <c r="G418" s="127"/>
      <c r="H418" s="127"/>
      <c r="I418" s="127"/>
      <c r="J418" s="127"/>
      <c r="K418" s="127"/>
      <c r="L418" s="127"/>
      <c r="M418" s="127"/>
      <c r="N418" s="127"/>
      <c r="O418" s="127"/>
      <c r="P418" s="127"/>
      <c r="Q418" s="127"/>
      <c r="R418" s="127"/>
      <c r="S418" s="127"/>
      <c r="T418" s="127"/>
      <c r="U418" s="127"/>
      <c r="V418" s="127"/>
      <c r="W418" s="127"/>
      <c r="X418" s="127"/>
      <c r="Y418" s="127"/>
      <c r="Z418" s="127"/>
    </row>
    <row r="419" customFormat="false" ht="15.75" hidden="false" customHeight="false" outlineLevel="0" collapsed="false">
      <c r="A419" s="127"/>
      <c r="B419" s="127"/>
      <c r="C419" s="127"/>
      <c r="D419" s="127"/>
      <c r="E419" s="127"/>
      <c r="F419" s="127"/>
      <c r="G419" s="127"/>
      <c r="H419" s="127"/>
      <c r="I419" s="127"/>
      <c r="J419" s="127"/>
      <c r="K419" s="127"/>
      <c r="L419" s="127"/>
      <c r="M419" s="127"/>
      <c r="N419" s="127"/>
      <c r="O419" s="127"/>
      <c r="P419" s="127"/>
      <c r="Q419" s="127"/>
      <c r="R419" s="127"/>
      <c r="S419" s="127"/>
      <c r="T419" s="127"/>
      <c r="U419" s="127"/>
      <c r="V419" s="127"/>
      <c r="W419" s="127"/>
      <c r="X419" s="127"/>
      <c r="Y419" s="127"/>
      <c r="Z419" s="127"/>
    </row>
    <row r="420" customFormat="false" ht="15.75" hidden="false" customHeight="false" outlineLevel="0" collapsed="false">
      <c r="A420" s="127"/>
      <c r="B420" s="127"/>
      <c r="C420" s="127"/>
      <c r="D420" s="127"/>
      <c r="E420" s="127"/>
      <c r="F420" s="127"/>
      <c r="G420" s="127"/>
      <c r="H420" s="127"/>
      <c r="I420" s="127"/>
      <c r="J420" s="127"/>
      <c r="K420" s="127"/>
      <c r="L420" s="127"/>
      <c r="M420" s="127"/>
      <c r="N420" s="127"/>
      <c r="O420" s="127"/>
      <c r="P420" s="127"/>
      <c r="Q420" s="127"/>
      <c r="R420" s="127"/>
      <c r="S420" s="127"/>
      <c r="T420" s="127"/>
      <c r="U420" s="127"/>
      <c r="V420" s="127"/>
      <c r="W420" s="127"/>
      <c r="X420" s="127"/>
      <c r="Y420" s="127"/>
      <c r="Z420" s="127"/>
    </row>
    <row r="421" customFormat="false" ht="15.75" hidden="false" customHeight="false" outlineLevel="0" collapsed="false">
      <c r="A421" s="127"/>
      <c r="B421" s="127"/>
      <c r="C421" s="127"/>
      <c r="D421" s="127"/>
      <c r="E421" s="127"/>
      <c r="F421" s="127"/>
      <c r="G421" s="127"/>
      <c r="H421" s="127"/>
      <c r="I421" s="127"/>
      <c r="J421" s="127"/>
      <c r="K421" s="127"/>
      <c r="L421" s="127"/>
      <c r="M421" s="127"/>
      <c r="N421" s="127"/>
      <c r="O421" s="127"/>
      <c r="P421" s="127"/>
      <c r="Q421" s="127"/>
      <c r="R421" s="127"/>
      <c r="S421" s="127"/>
      <c r="T421" s="127"/>
      <c r="U421" s="127"/>
      <c r="V421" s="127"/>
      <c r="W421" s="127"/>
      <c r="X421" s="127"/>
      <c r="Y421" s="127"/>
      <c r="Z421" s="127"/>
    </row>
    <row r="422" customFormat="false" ht="15.75" hidden="false" customHeight="false" outlineLevel="0" collapsed="false">
      <c r="A422" s="127"/>
      <c r="B422" s="127"/>
      <c r="C422" s="127"/>
      <c r="D422" s="127"/>
      <c r="E422" s="127"/>
      <c r="F422" s="127"/>
      <c r="G422" s="127"/>
      <c r="H422" s="127"/>
      <c r="I422" s="127"/>
      <c r="J422" s="127"/>
      <c r="K422" s="127"/>
      <c r="L422" s="127"/>
      <c r="M422" s="127"/>
      <c r="N422" s="127"/>
      <c r="O422" s="127"/>
      <c r="P422" s="127"/>
      <c r="Q422" s="127"/>
      <c r="R422" s="127"/>
      <c r="S422" s="127"/>
      <c r="T422" s="127"/>
      <c r="U422" s="127"/>
      <c r="V422" s="127"/>
      <c r="W422" s="127"/>
      <c r="X422" s="127"/>
      <c r="Y422" s="127"/>
      <c r="Z422" s="127"/>
    </row>
    <row r="423" customFormat="false" ht="15.75" hidden="false" customHeight="false" outlineLevel="0" collapsed="false">
      <c r="A423" s="127"/>
      <c r="B423" s="127"/>
      <c r="C423" s="127"/>
      <c r="D423" s="127"/>
      <c r="E423" s="127"/>
      <c r="F423" s="127"/>
      <c r="G423" s="127"/>
      <c r="H423" s="127"/>
      <c r="I423" s="127"/>
      <c r="J423" s="127"/>
      <c r="K423" s="127"/>
      <c r="L423" s="127"/>
      <c r="M423" s="127"/>
      <c r="N423" s="127"/>
      <c r="O423" s="127"/>
      <c r="P423" s="127"/>
      <c r="Q423" s="127"/>
      <c r="R423" s="127"/>
      <c r="S423" s="127"/>
      <c r="T423" s="127"/>
      <c r="U423" s="127"/>
      <c r="V423" s="127"/>
      <c r="W423" s="127"/>
      <c r="X423" s="127"/>
      <c r="Y423" s="127"/>
      <c r="Z423" s="127"/>
    </row>
    <row r="424" customFormat="false" ht="15.75" hidden="false" customHeight="false" outlineLevel="0" collapsed="false">
      <c r="A424" s="127"/>
      <c r="B424" s="127"/>
      <c r="C424" s="127"/>
      <c r="D424" s="127"/>
      <c r="E424" s="127"/>
      <c r="F424" s="127"/>
      <c r="G424" s="127"/>
      <c r="H424" s="127"/>
      <c r="I424" s="127"/>
      <c r="J424" s="127"/>
      <c r="K424" s="127"/>
      <c r="L424" s="127"/>
      <c r="M424" s="127"/>
      <c r="N424" s="127"/>
      <c r="O424" s="127"/>
      <c r="P424" s="127"/>
      <c r="Q424" s="127"/>
      <c r="R424" s="127"/>
      <c r="S424" s="127"/>
      <c r="T424" s="127"/>
      <c r="U424" s="127"/>
      <c r="V424" s="127"/>
      <c r="W424" s="127"/>
      <c r="X424" s="127"/>
      <c r="Y424" s="127"/>
      <c r="Z424" s="127"/>
    </row>
    <row r="425" customFormat="false" ht="15.75" hidden="false" customHeight="false" outlineLevel="0" collapsed="false">
      <c r="A425" s="127"/>
      <c r="B425" s="127"/>
      <c r="C425" s="127"/>
      <c r="D425" s="127"/>
      <c r="E425" s="127"/>
      <c r="F425" s="127"/>
      <c r="G425" s="127"/>
      <c r="H425" s="127"/>
      <c r="I425" s="127"/>
      <c r="J425" s="127"/>
      <c r="K425" s="127"/>
      <c r="L425" s="127"/>
      <c r="M425" s="127"/>
      <c r="N425" s="127"/>
      <c r="O425" s="127"/>
      <c r="P425" s="127"/>
      <c r="Q425" s="127"/>
      <c r="R425" s="127"/>
      <c r="S425" s="127"/>
      <c r="T425" s="127"/>
      <c r="U425" s="127"/>
      <c r="V425" s="127"/>
      <c r="W425" s="127"/>
      <c r="X425" s="127"/>
      <c r="Y425" s="127"/>
      <c r="Z425" s="127"/>
    </row>
    <row r="426" customFormat="false" ht="15.75" hidden="false" customHeight="false" outlineLevel="0" collapsed="false">
      <c r="A426" s="127"/>
      <c r="B426" s="127"/>
      <c r="C426" s="127"/>
      <c r="D426" s="127"/>
      <c r="E426" s="127"/>
      <c r="F426" s="127"/>
      <c r="G426" s="127"/>
      <c r="H426" s="127"/>
      <c r="I426" s="127"/>
      <c r="J426" s="127"/>
      <c r="K426" s="127"/>
      <c r="L426" s="127"/>
      <c r="M426" s="127"/>
      <c r="N426" s="127"/>
      <c r="O426" s="127"/>
      <c r="P426" s="127"/>
      <c r="Q426" s="127"/>
      <c r="R426" s="127"/>
      <c r="S426" s="127"/>
      <c r="T426" s="127"/>
      <c r="U426" s="127"/>
      <c r="V426" s="127"/>
      <c r="W426" s="127"/>
      <c r="X426" s="127"/>
      <c r="Y426" s="127"/>
      <c r="Z426" s="127"/>
    </row>
    <row r="427" customFormat="false" ht="15.75" hidden="false" customHeight="false" outlineLevel="0" collapsed="false">
      <c r="A427" s="127"/>
      <c r="B427" s="127"/>
      <c r="C427" s="127"/>
      <c r="D427" s="127"/>
      <c r="E427" s="127"/>
      <c r="F427" s="127"/>
      <c r="G427" s="127"/>
      <c r="H427" s="127"/>
      <c r="I427" s="127"/>
      <c r="J427" s="127"/>
      <c r="K427" s="127"/>
      <c r="L427" s="127"/>
      <c r="M427" s="127"/>
      <c r="N427" s="127"/>
      <c r="O427" s="127"/>
      <c r="P427" s="127"/>
      <c r="Q427" s="127"/>
      <c r="R427" s="127"/>
      <c r="S427" s="127"/>
      <c r="T427" s="127"/>
      <c r="U427" s="127"/>
      <c r="V427" s="127"/>
      <c r="W427" s="127"/>
      <c r="X427" s="127"/>
      <c r="Y427" s="127"/>
      <c r="Z427" s="127"/>
    </row>
    <row r="428" customFormat="false" ht="15.75" hidden="false" customHeight="false" outlineLevel="0" collapsed="false">
      <c r="A428" s="127"/>
      <c r="B428" s="127"/>
      <c r="C428" s="127"/>
      <c r="D428" s="127"/>
      <c r="E428" s="127"/>
      <c r="F428" s="127"/>
      <c r="G428" s="127"/>
      <c r="H428" s="127"/>
      <c r="I428" s="127"/>
      <c r="J428" s="127"/>
      <c r="K428" s="127"/>
      <c r="L428" s="127"/>
      <c r="M428" s="127"/>
      <c r="N428" s="127"/>
      <c r="O428" s="127"/>
      <c r="P428" s="127"/>
      <c r="Q428" s="127"/>
      <c r="R428" s="127"/>
      <c r="S428" s="127"/>
      <c r="T428" s="127"/>
      <c r="U428" s="127"/>
      <c r="V428" s="127"/>
      <c r="W428" s="127"/>
      <c r="X428" s="127"/>
      <c r="Y428" s="127"/>
      <c r="Z428" s="127"/>
    </row>
    <row r="429" customFormat="false" ht="15.75" hidden="false" customHeight="false" outlineLevel="0" collapsed="false">
      <c r="A429" s="127"/>
      <c r="B429" s="127"/>
      <c r="C429" s="127"/>
      <c r="D429" s="127"/>
      <c r="E429" s="127"/>
      <c r="F429" s="127"/>
      <c r="G429" s="127"/>
      <c r="H429" s="127"/>
      <c r="I429" s="127"/>
      <c r="J429" s="127"/>
      <c r="K429" s="127"/>
      <c r="L429" s="127"/>
      <c r="M429" s="127"/>
      <c r="N429" s="127"/>
      <c r="O429" s="127"/>
      <c r="P429" s="127"/>
      <c r="Q429" s="127"/>
      <c r="R429" s="127"/>
      <c r="S429" s="127"/>
      <c r="T429" s="127"/>
      <c r="U429" s="127"/>
      <c r="V429" s="127"/>
      <c r="W429" s="127"/>
      <c r="X429" s="127"/>
      <c r="Y429" s="127"/>
      <c r="Z429" s="127"/>
    </row>
    <row r="430" customFormat="false" ht="15.75" hidden="false" customHeight="false" outlineLevel="0" collapsed="false">
      <c r="A430" s="127"/>
      <c r="B430" s="127"/>
      <c r="C430" s="127"/>
      <c r="D430" s="127"/>
      <c r="E430" s="127"/>
      <c r="F430" s="127"/>
      <c r="G430" s="127"/>
      <c r="H430" s="127"/>
      <c r="I430" s="127"/>
      <c r="J430" s="127"/>
      <c r="K430" s="127"/>
      <c r="L430" s="127"/>
      <c r="M430" s="127"/>
      <c r="N430" s="127"/>
      <c r="O430" s="127"/>
      <c r="P430" s="127"/>
      <c r="Q430" s="127"/>
      <c r="R430" s="127"/>
      <c r="S430" s="127"/>
      <c r="T430" s="127"/>
      <c r="U430" s="127"/>
      <c r="V430" s="127"/>
      <c r="W430" s="127"/>
      <c r="X430" s="127"/>
      <c r="Y430" s="127"/>
      <c r="Z430" s="127"/>
    </row>
    <row r="431" customFormat="false" ht="15.75" hidden="false" customHeight="false" outlineLevel="0" collapsed="false">
      <c r="A431" s="127"/>
      <c r="B431" s="127"/>
      <c r="C431" s="127"/>
      <c r="D431" s="127"/>
      <c r="E431" s="127"/>
      <c r="F431" s="127"/>
      <c r="G431" s="127"/>
      <c r="H431" s="127"/>
      <c r="I431" s="127"/>
      <c r="J431" s="127"/>
      <c r="K431" s="127"/>
      <c r="L431" s="127"/>
      <c r="M431" s="127"/>
      <c r="N431" s="127"/>
      <c r="O431" s="127"/>
      <c r="P431" s="127"/>
      <c r="Q431" s="127"/>
      <c r="R431" s="127"/>
      <c r="S431" s="127"/>
      <c r="T431" s="127"/>
      <c r="U431" s="127"/>
      <c r="V431" s="127"/>
      <c r="W431" s="127"/>
      <c r="X431" s="127"/>
      <c r="Y431" s="127"/>
      <c r="Z431" s="127"/>
    </row>
    <row r="432" customFormat="false" ht="15.75" hidden="false" customHeight="false" outlineLevel="0" collapsed="false">
      <c r="A432" s="127"/>
      <c r="B432" s="127"/>
      <c r="C432" s="127"/>
      <c r="D432" s="127"/>
      <c r="E432" s="127"/>
      <c r="F432" s="127"/>
      <c r="G432" s="127"/>
      <c r="H432" s="127"/>
      <c r="I432" s="127"/>
      <c r="J432" s="127"/>
      <c r="K432" s="127"/>
      <c r="L432" s="127"/>
      <c r="M432" s="127"/>
      <c r="N432" s="127"/>
      <c r="O432" s="127"/>
      <c r="P432" s="127"/>
      <c r="Q432" s="127"/>
      <c r="R432" s="127"/>
      <c r="S432" s="127"/>
      <c r="T432" s="127"/>
      <c r="U432" s="127"/>
      <c r="V432" s="127"/>
      <c r="W432" s="127"/>
      <c r="X432" s="127"/>
      <c r="Y432" s="127"/>
      <c r="Z432" s="127"/>
    </row>
    <row r="433" customFormat="false" ht="15.75" hidden="false" customHeight="false" outlineLevel="0" collapsed="false">
      <c r="A433" s="127"/>
      <c r="B433" s="127"/>
      <c r="C433" s="127"/>
      <c r="D433" s="127"/>
      <c r="E433" s="127"/>
      <c r="F433" s="127"/>
      <c r="G433" s="127"/>
      <c r="H433" s="127"/>
      <c r="I433" s="127"/>
      <c r="J433" s="127"/>
      <c r="K433" s="127"/>
      <c r="L433" s="127"/>
      <c r="M433" s="127"/>
      <c r="N433" s="127"/>
      <c r="O433" s="127"/>
      <c r="P433" s="127"/>
      <c r="Q433" s="127"/>
      <c r="R433" s="127"/>
      <c r="S433" s="127"/>
      <c r="T433" s="127"/>
      <c r="U433" s="127"/>
      <c r="V433" s="127"/>
      <c r="W433" s="127"/>
      <c r="X433" s="127"/>
      <c r="Y433" s="127"/>
      <c r="Z433" s="127"/>
    </row>
    <row r="434" customFormat="false" ht="15.75" hidden="false" customHeight="false" outlineLevel="0" collapsed="false">
      <c r="A434" s="127"/>
      <c r="B434" s="127"/>
      <c r="C434" s="127"/>
      <c r="D434" s="127"/>
      <c r="E434" s="127"/>
      <c r="F434" s="127"/>
      <c r="G434" s="127"/>
      <c r="H434" s="127"/>
      <c r="I434" s="127"/>
      <c r="J434" s="127"/>
      <c r="K434" s="127"/>
      <c r="L434" s="127"/>
      <c r="M434" s="127"/>
      <c r="N434" s="127"/>
      <c r="O434" s="127"/>
      <c r="P434" s="127"/>
      <c r="Q434" s="127"/>
      <c r="R434" s="127"/>
      <c r="S434" s="127"/>
      <c r="T434" s="127"/>
      <c r="U434" s="127"/>
      <c r="V434" s="127"/>
      <c r="W434" s="127"/>
      <c r="X434" s="127"/>
      <c r="Y434" s="127"/>
      <c r="Z434" s="127"/>
    </row>
    <row r="435" customFormat="false" ht="15.75" hidden="false" customHeight="false" outlineLevel="0" collapsed="false">
      <c r="A435" s="127"/>
      <c r="B435" s="127"/>
      <c r="C435" s="127"/>
      <c r="D435" s="127"/>
      <c r="E435" s="127"/>
      <c r="F435" s="127"/>
      <c r="G435" s="127"/>
      <c r="H435" s="127"/>
      <c r="I435" s="127"/>
      <c r="J435" s="127"/>
      <c r="K435" s="127"/>
      <c r="L435" s="127"/>
      <c r="M435" s="127"/>
      <c r="N435" s="127"/>
      <c r="O435" s="127"/>
      <c r="P435" s="127"/>
      <c r="Q435" s="127"/>
      <c r="R435" s="127"/>
      <c r="S435" s="127"/>
      <c r="T435" s="127"/>
      <c r="U435" s="127"/>
      <c r="V435" s="127"/>
      <c r="W435" s="127"/>
      <c r="X435" s="127"/>
      <c r="Y435" s="127"/>
      <c r="Z435" s="127"/>
    </row>
    <row r="436" customFormat="false" ht="15.75" hidden="false" customHeight="false" outlineLevel="0" collapsed="false">
      <c r="A436" s="127"/>
      <c r="B436" s="127"/>
      <c r="C436" s="127"/>
      <c r="D436" s="127"/>
      <c r="E436" s="127"/>
      <c r="F436" s="127"/>
      <c r="G436" s="127"/>
      <c r="H436" s="127"/>
      <c r="I436" s="127"/>
      <c r="J436" s="127"/>
      <c r="K436" s="127"/>
      <c r="L436" s="127"/>
      <c r="M436" s="127"/>
      <c r="N436" s="127"/>
      <c r="O436" s="127"/>
      <c r="P436" s="127"/>
      <c r="Q436" s="127"/>
      <c r="R436" s="127"/>
      <c r="S436" s="127"/>
      <c r="T436" s="127"/>
      <c r="U436" s="127"/>
      <c r="V436" s="127"/>
      <c r="W436" s="127"/>
      <c r="X436" s="127"/>
      <c r="Y436" s="127"/>
      <c r="Z436" s="127"/>
    </row>
    <row r="437" customFormat="false" ht="15.75" hidden="false" customHeight="false" outlineLevel="0" collapsed="false">
      <c r="A437" s="127"/>
      <c r="B437" s="127"/>
      <c r="C437" s="127"/>
      <c r="D437" s="127"/>
      <c r="E437" s="127"/>
      <c r="F437" s="127"/>
      <c r="G437" s="127"/>
      <c r="H437" s="127"/>
      <c r="I437" s="127"/>
      <c r="J437" s="127"/>
      <c r="K437" s="127"/>
      <c r="L437" s="127"/>
      <c r="M437" s="127"/>
      <c r="N437" s="127"/>
      <c r="O437" s="127"/>
      <c r="P437" s="127"/>
      <c r="Q437" s="127"/>
      <c r="R437" s="127"/>
      <c r="S437" s="127"/>
      <c r="T437" s="127"/>
      <c r="U437" s="127"/>
      <c r="V437" s="127"/>
      <c r="W437" s="127"/>
      <c r="X437" s="127"/>
      <c r="Y437" s="127"/>
      <c r="Z437" s="127"/>
    </row>
    <row r="438" customFormat="false" ht="15.75" hidden="false" customHeight="false" outlineLevel="0" collapsed="false">
      <c r="A438" s="127"/>
      <c r="B438" s="127"/>
      <c r="C438" s="127"/>
      <c r="D438" s="127"/>
      <c r="E438" s="127"/>
      <c r="F438" s="127"/>
      <c r="G438" s="127"/>
      <c r="H438" s="127"/>
      <c r="I438" s="127"/>
      <c r="J438" s="127"/>
      <c r="K438" s="127"/>
      <c r="L438" s="127"/>
      <c r="M438" s="127"/>
      <c r="N438" s="127"/>
      <c r="O438" s="127"/>
      <c r="P438" s="127"/>
      <c r="Q438" s="127"/>
      <c r="R438" s="127"/>
      <c r="S438" s="127"/>
      <c r="T438" s="127"/>
      <c r="U438" s="127"/>
      <c r="V438" s="127"/>
      <c r="W438" s="127"/>
      <c r="X438" s="127"/>
      <c r="Y438" s="127"/>
      <c r="Z438" s="127"/>
    </row>
    <row r="439" customFormat="false" ht="15.75" hidden="false" customHeight="false" outlineLevel="0" collapsed="false">
      <c r="A439" s="127"/>
      <c r="B439" s="127"/>
      <c r="C439" s="127"/>
      <c r="D439" s="127"/>
      <c r="E439" s="127"/>
      <c r="F439" s="127"/>
      <c r="G439" s="127"/>
      <c r="H439" s="127"/>
      <c r="I439" s="127"/>
      <c r="J439" s="127"/>
      <c r="K439" s="127"/>
      <c r="L439" s="127"/>
      <c r="M439" s="127"/>
      <c r="N439" s="127"/>
      <c r="O439" s="127"/>
      <c r="P439" s="127"/>
      <c r="Q439" s="127"/>
      <c r="R439" s="127"/>
      <c r="S439" s="127"/>
      <c r="T439" s="127"/>
      <c r="U439" s="127"/>
      <c r="V439" s="127"/>
      <c r="W439" s="127"/>
      <c r="X439" s="127"/>
      <c r="Y439" s="127"/>
      <c r="Z439" s="127"/>
    </row>
    <row r="440" customFormat="false" ht="15.75" hidden="false" customHeight="false" outlineLevel="0" collapsed="false">
      <c r="A440" s="127"/>
      <c r="B440" s="127"/>
      <c r="C440" s="127"/>
      <c r="D440" s="127"/>
      <c r="E440" s="127"/>
      <c r="F440" s="127"/>
      <c r="G440" s="127"/>
      <c r="H440" s="127"/>
      <c r="I440" s="127"/>
      <c r="J440" s="127"/>
      <c r="K440" s="127"/>
      <c r="L440" s="127"/>
      <c r="M440" s="127"/>
      <c r="N440" s="127"/>
      <c r="O440" s="127"/>
      <c r="P440" s="127"/>
      <c r="Q440" s="127"/>
      <c r="R440" s="127"/>
      <c r="S440" s="127"/>
      <c r="T440" s="127"/>
      <c r="U440" s="127"/>
      <c r="V440" s="127"/>
      <c r="W440" s="127"/>
      <c r="X440" s="127"/>
      <c r="Y440" s="127"/>
      <c r="Z440" s="127"/>
    </row>
    <row r="441" customFormat="false" ht="15.75" hidden="false" customHeight="false" outlineLevel="0" collapsed="false">
      <c r="A441" s="127"/>
      <c r="B441" s="127"/>
      <c r="C441" s="127"/>
      <c r="D441" s="127"/>
      <c r="E441" s="127"/>
      <c r="F441" s="127"/>
      <c r="G441" s="127"/>
      <c r="H441" s="127"/>
      <c r="I441" s="127"/>
      <c r="J441" s="127"/>
      <c r="K441" s="127"/>
      <c r="L441" s="127"/>
      <c r="M441" s="127"/>
      <c r="N441" s="127"/>
      <c r="O441" s="127"/>
      <c r="P441" s="127"/>
      <c r="Q441" s="127"/>
      <c r="R441" s="127"/>
      <c r="S441" s="127"/>
      <c r="T441" s="127"/>
      <c r="U441" s="127"/>
      <c r="V441" s="127"/>
      <c r="W441" s="127"/>
      <c r="X441" s="127"/>
      <c r="Y441" s="127"/>
      <c r="Z441" s="127"/>
    </row>
    <row r="442" customFormat="false" ht="15.75" hidden="false" customHeight="false" outlineLevel="0" collapsed="false">
      <c r="A442" s="127"/>
      <c r="B442" s="127"/>
      <c r="C442" s="127"/>
      <c r="D442" s="127"/>
      <c r="E442" s="127"/>
      <c r="F442" s="127"/>
      <c r="G442" s="127"/>
      <c r="H442" s="127"/>
      <c r="I442" s="127"/>
      <c r="J442" s="127"/>
      <c r="K442" s="127"/>
      <c r="L442" s="127"/>
      <c r="M442" s="127"/>
      <c r="N442" s="127"/>
      <c r="O442" s="127"/>
      <c r="P442" s="127"/>
      <c r="Q442" s="127"/>
      <c r="R442" s="127"/>
      <c r="S442" s="127"/>
      <c r="T442" s="127"/>
      <c r="U442" s="127"/>
      <c r="V442" s="127"/>
      <c r="W442" s="127"/>
      <c r="X442" s="127"/>
      <c r="Y442" s="127"/>
      <c r="Z442" s="127"/>
    </row>
    <row r="443" customFormat="false" ht="15.75" hidden="false" customHeight="false" outlineLevel="0" collapsed="false">
      <c r="A443" s="127"/>
      <c r="B443" s="127"/>
      <c r="C443" s="127"/>
      <c r="D443" s="127"/>
      <c r="E443" s="127"/>
      <c r="F443" s="127"/>
      <c r="G443" s="127"/>
      <c r="H443" s="127"/>
      <c r="I443" s="127"/>
      <c r="J443" s="127"/>
      <c r="K443" s="127"/>
      <c r="L443" s="127"/>
      <c r="M443" s="127"/>
      <c r="N443" s="127"/>
      <c r="O443" s="127"/>
      <c r="P443" s="127"/>
      <c r="Q443" s="127"/>
      <c r="R443" s="127"/>
      <c r="S443" s="127"/>
      <c r="T443" s="127"/>
      <c r="U443" s="127"/>
      <c r="V443" s="127"/>
      <c r="W443" s="127"/>
      <c r="X443" s="127"/>
      <c r="Y443" s="127"/>
      <c r="Z443" s="127"/>
    </row>
    <row r="444" customFormat="false" ht="15.75" hidden="false" customHeight="false" outlineLevel="0" collapsed="false">
      <c r="A444" s="127"/>
      <c r="B444" s="127"/>
      <c r="C444" s="127"/>
      <c r="D444" s="127"/>
      <c r="E444" s="127"/>
      <c r="F444" s="127"/>
      <c r="G444" s="127"/>
      <c r="H444" s="127"/>
      <c r="I444" s="127"/>
      <c r="J444" s="127"/>
      <c r="K444" s="127"/>
      <c r="L444" s="127"/>
      <c r="M444" s="127"/>
      <c r="N444" s="127"/>
      <c r="O444" s="127"/>
      <c r="P444" s="127"/>
      <c r="Q444" s="127"/>
      <c r="R444" s="127"/>
      <c r="S444" s="127"/>
      <c r="T444" s="127"/>
      <c r="U444" s="127"/>
      <c r="V444" s="127"/>
      <c r="W444" s="127"/>
      <c r="X444" s="127"/>
      <c r="Y444" s="127"/>
      <c r="Z444" s="127"/>
    </row>
    <row r="445" customFormat="false" ht="15.75" hidden="false" customHeight="false" outlineLevel="0" collapsed="false">
      <c r="A445" s="127"/>
      <c r="B445" s="127"/>
      <c r="C445" s="127"/>
      <c r="D445" s="127"/>
      <c r="E445" s="127"/>
      <c r="F445" s="127"/>
      <c r="G445" s="127"/>
      <c r="H445" s="127"/>
      <c r="I445" s="127"/>
      <c r="J445" s="127"/>
      <c r="K445" s="127"/>
      <c r="L445" s="127"/>
      <c r="M445" s="127"/>
      <c r="N445" s="127"/>
      <c r="O445" s="127"/>
      <c r="P445" s="127"/>
      <c r="Q445" s="127"/>
      <c r="R445" s="127"/>
      <c r="S445" s="127"/>
      <c r="T445" s="127"/>
      <c r="U445" s="127"/>
      <c r="V445" s="127"/>
      <c r="W445" s="127"/>
      <c r="X445" s="127"/>
      <c r="Y445" s="127"/>
      <c r="Z445" s="127"/>
    </row>
    <row r="446" customFormat="false" ht="15.75" hidden="false" customHeight="false" outlineLevel="0" collapsed="false">
      <c r="A446" s="127"/>
      <c r="B446" s="127"/>
      <c r="C446" s="127"/>
      <c r="D446" s="127"/>
      <c r="E446" s="127"/>
      <c r="F446" s="127"/>
      <c r="G446" s="127"/>
      <c r="H446" s="127"/>
      <c r="I446" s="127"/>
      <c r="J446" s="127"/>
      <c r="K446" s="127"/>
      <c r="L446" s="127"/>
      <c r="M446" s="127"/>
      <c r="N446" s="127"/>
      <c r="O446" s="127"/>
      <c r="P446" s="127"/>
      <c r="Q446" s="127"/>
      <c r="R446" s="127"/>
      <c r="S446" s="127"/>
      <c r="T446" s="127"/>
      <c r="U446" s="127"/>
      <c r="V446" s="127"/>
      <c r="W446" s="127"/>
      <c r="X446" s="127"/>
      <c r="Y446" s="127"/>
      <c r="Z446" s="127"/>
    </row>
    <row r="447" customFormat="false" ht="15.75" hidden="false" customHeight="false" outlineLevel="0" collapsed="false">
      <c r="A447" s="127"/>
      <c r="B447" s="127"/>
      <c r="C447" s="127"/>
      <c r="D447" s="127"/>
      <c r="E447" s="127"/>
      <c r="F447" s="127"/>
      <c r="G447" s="127"/>
      <c r="H447" s="127"/>
      <c r="I447" s="127"/>
      <c r="J447" s="127"/>
      <c r="K447" s="127"/>
      <c r="L447" s="127"/>
      <c r="M447" s="127"/>
      <c r="N447" s="127"/>
      <c r="O447" s="127"/>
      <c r="P447" s="127"/>
      <c r="Q447" s="127"/>
      <c r="R447" s="127"/>
      <c r="S447" s="127"/>
      <c r="T447" s="127"/>
      <c r="U447" s="127"/>
      <c r="V447" s="127"/>
      <c r="W447" s="127"/>
      <c r="X447" s="127"/>
      <c r="Y447" s="127"/>
      <c r="Z447" s="127"/>
    </row>
    <row r="448" customFormat="false" ht="15.75" hidden="false" customHeight="false" outlineLevel="0" collapsed="false">
      <c r="A448" s="127"/>
      <c r="B448" s="127"/>
      <c r="C448" s="127"/>
      <c r="D448" s="127"/>
      <c r="E448" s="127"/>
      <c r="F448" s="127"/>
      <c r="G448" s="127"/>
      <c r="H448" s="127"/>
      <c r="I448" s="127"/>
      <c r="J448" s="127"/>
      <c r="K448" s="127"/>
      <c r="L448" s="127"/>
      <c r="M448" s="127"/>
      <c r="N448" s="127"/>
      <c r="O448" s="127"/>
      <c r="P448" s="127"/>
      <c r="Q448" s="127"/>
      <c r="R448" s="127"/>
      <c r="S448" s="127"/>
      <c r="T448" s="127"/>
      <c r="U448" s="127"/>
      <c r="V448" s="127"/>
      <c r="W448" s="127"/>
      <c r="X448" s="127"/>
      <c r="Y448" s="127"/>
      <c r="Z448" s="127"/>
    </row>
    <row r="449" customFormat="false" ht="15.75" hidden="false" customHeight="false" outlineLevel="0" collapsed="false">
      <c r="A449" s="127"/>
      <c r="B449" s="127"/>
      <c r="C449" s="127"/>
      <c r="D449" s="127"/>
      <c r="E449" s="127"/>
      <c r="F449" s="127"/>
      <c r="G449" s="127"/>
      <c r="H449" s="127"/>
      <c r="I449" s="127"/>
      <c r="J449" s="127"/>
      <c r="K449" s="127"/>
      <c r="L449" s="127"/>
      <c r="M449" s="127"/>
      <c r="N449" s="127"/>
      <c r="O449" s="127"/>
      <c r="P449" s="127"/>
      <c r="Q449" s="127"/>
      <c r="R449" s="127"/>
      <c r="S449" s="127"/>
      <c r="T449" s="127"/>
      <c r="U449" s="127"/>
      <c r="V449" s="127"/>
      <c r="W449" s="127"/>
      <c r="X449" s="127"/>
      <c r="Y449" s="127"/>
      <c r="Z449" s="127"/>
    </row>
    <row r="450" customFormat="false" ht="15.75" hidden="false" customHeight="false" outlineLevel="0" collapsed="false">
      <c r="A450" s="127"/>
      <c r="B450" s="127"/>
      <c r="C450" s="127"/>
      <c r="D450" s="127"/>
      <c r="E450" s="127"/>
      <c r="F450" s="127"/>
      <c r="G450" s="127"/>
      <c r="H450" s="127"/>
      <c r="I450" s="127"/>
      <c r="J450" s="127"/>
      <c r="K450" s="127"/>
      <c r="L450" s="127"/>
      <c r="M450" s="127"/>
      <c r="N450" s="127"/>
      <c r="O450" s="127"/>
      <c r="P450" s="127"/>
      <c r="Q450" s="127"/>
      <c r="R450" s="127"/>
      <c r="S450" s="127"/>
      <c r="T450" s="127"/>
      <c r="U450" s="127"/>
      <c r="V450" s="127"/>
      <c r="W450" s="127"/>
      <c r="X450" s="127"/>
      <c r="Y450" s="127"/>
      <c r="Z450" s="127"/>
    </row>
    <row r="451" customFormat="false" ht="15.75" hidden="false" customHeight="false" outlineLevel="0" collapsed="false">
      <c r="A451" s="127"/>
      <c r="B451" s="127"/>
      <c r="C451" s="127"/>
      <c r="D451" s="127"/>
      <c r="E451" s="127"/>
      <c r="F451" s="127"/>
      <c r="G451" s="127"/>
      <c r="H451" s="127"/>
      <c r="I451" s="127"/>
      <c r="J451" s="127"/>
      <c r="K451" s="127"/>
      <c r="L451" s="127"/>
      <c r="M451" s="127"/>
      <c r="N451" s="127"/>
      <c r="O451" s="127"/>
      <c r="P451" s="127"/>
      <c r="Q451" s="127"/>
      <c r="R451" s="127"/>
      <c r="S451" s="127"/>
      <c r="T451" s="127"/>
      <c r="U451" s="127"/>
      <c r="V451" s="127"/>
      <c r="W451" s="127"/>
      <c r="X451" s="127"/>
      <c r="Y451" s="127"/>
      <c r="Z451" s="127"/>
    </row>
    <row r="452" customFormat="false" ht="15.75" hidden="false" customHeight="false" outlineLevel="0" collapsed="false">
      <c r="A452" s="127"/>
      <c r="B452" s="127"/>
      <c r="C452" s="127"/>
      <c r="D452" s="127"/>
      <c r="E452" s="127"/>
      <c r="F452" s="127"/>
      <c r="G452" s="127"/>
      <c r="H452" s="127"/>
      <c r="I452" s="127"/>
      <c r="J452" s="127"/>
      <c r="K452" s="127"/>
      <c r="L452" s="127"/>
      <c r="M452" s="127"/>
      <c r="N452" s="127"/>
      <c r="O452" s="127"/>
      <c r="P452" s="127"/>
      <c r="Q452" s="127"/>
      <c r="R452" s="127"/>
      <c r="S452" s="127"/>
      <c r="T452" s="127"/>
      <c r="U452" s="127"/>
      <c r="V452" s="127"/>
      <c r="W452" s="127"/>
      <c r="X452" s="127"/>
      <c r="Y452" s="127"/>
      <c r="Z452" s="127"/>
    </row>
    <row r="453" customFormat="false" ht="15.75" hidden="false" customHeight="false" outlineLevel="0" collapsed="false">
      <c r="A453" s="127"/>
      <c r="B453" s="127"/>
      <c r="C453" s="127"/>
      <c r="D453" s="127"/>
      <c r="E453" s="127"/>
      <c r="F453" s="127"/>
      <c r="G453" s="127"/>
      <c r="H453" s="127"/>
      <c r="I453" s="127"/>
      <c r="J453" s="127"/>
      <c r="K453" s="127"/>
      <c r="L453" s="127"/>
      <c r="M453" s="127"/>
      <c r="N453" s="127"/>
      <c r="O453" s="127"/>
      <c r="P453" s="127"/>
      <c r="Q453" s="127"/>
      <c r="R453" s="127"/>
      <c r="S453" s="127"/>
      <c r="T453" s="127"/>
      <c r="U453" s="127"/>
      <c r="V453" s="127"/>
      <c r="W453" s="127"/>
      <c r="X453" s="127"/>
      <c r="Y453" s="127"/>
      <c r="Z453" s="127"/>
    </row>
    <row r="454" customFormat="false" ht="15.75" hidden="false" customHeight="false" outlineLevel="0" collapsed="false">
      <c r="A454" s="127"/>
      <c r="B454" s="127"/>
      <c r="C454" s="127"/>
      <c r="D454" s="127"/>
      <c r="E454" s="127"/>
      <c r="F454" s="127"/>
      <c r="G454" s="127"/>
      <c r="H454" s="127"/>
      <c r="I454" s="127"/>
      <c r="J454" s="127"/>
      <c r="K454" s="127"/>
      <c r="L454" s="127"/>
      <c r="M454" s="127"/>
      <c r="N454" s="127"/>
      <c r="O454" s="127"/>
      <c r="P454" s="127"/>
      <c r="Q454" s="127"/>
      <c r="R454" s="127"/>
      <c r="S454" s="127"/>
      <c r="T454" s="127"/>
      <c r="U454" s="127"/>
      <c r="V454" s="127"/>
      <c r="W454" s="127"/>
      <c r="X454" s="127"/>
      <c r="Y454" s="127"/>
      <c r="Z454" s="127"/>
    </row>
    <row r="455" customFormat="false" ht="15.75" hidden="false" customHeight="false" outlineLevel="0" collapsed="false">
      <c r="A455" s="127"/>
      <c r="B455" s="127"/>
      <c r="C455" s="127"/>
      <c r="D455" s="127"/>
      <c r="E455" s="127"/>
      <c r="F455" s="127"/>
      <c r="G455" s="127"/>
      <c r="H455" s="127"/>
      <c r="I455" s="127"/>
      <c r="J455" s="127"/>
      <c r="K455" s="127"/>
      <c r="L455" s="127"/>
      <c r="M455" s="127"/>
      <c r="N455" s="127"/>
      <c r="O455" s="127"/>
      <c r="P455" s="127"/>
      <c r="Q455" s="127"/>
      <c r="R455" s="127"/>
      <c r="S455" s="127"/>
      <c r="T455" s="127"/>
      <c r="U455" s="127"/>
      <c r="V455" s="127"/>
      <c r="W455" s="127"/>
      <c r="X455" s="127"/>
      <c r="Y455" s="127"/>
      <c r="Z455" s="127"/>
    </row>
    <row r="456" customFormat="false" ht="15.75" hidden="false" customHeight="false" outlineLevel="0" collapsed="false">
      <c r="A456" s="127"/>
      <c r="B456" s="127"/>
      <c r="C456" s="127"/>
      <c r="D456" s="127"/>
      <c r="E456" s="127"/>
      <c r="F456" s="127"/>
      <c r="G456" s="127"/>
      <c r="H456" s="127"/>
      <c r="I456" s="127"/>
      <c r="J456" s="127"/>
      <c r="K456" s="127"/>
      <c r="L456" s="127"/>
      <c r="M456" s="127"/>
      <c r="N456" s="127"/>
      <c r="O456" s="127"/>
      <c r="P456" s="127"/>
      <c r="Q456" s="127"/>
      <c r="R456" s="127"/>
      <c r="S456" s="127"/>
      <c r="T456" s="127"/>
      <c r="U456" s="127"/>
      <c r="V456" s="127"/>
      <c r="W456" s="127"/>
      <c r="X456" s="127"/>
      <c r="Y456" s="127"/>
      <c r="Z456" s="127"/>
    </row>
    <row r="457" customFormat="false" ht="15.75" hidden="false" customHeight="false" outlineLevel="0" collapsed="false">
      <c r="A457" s="127"/>
      <c r="B457" s="127"/>
      <c r="C457" s="127"/>
      <c r="D457" s="127"/>
      <c r="E457" s="127"/>
      <c r="F457" s="127"/>
      <c r="G457" s="127"/>
      <c r="H457" s="127"/>
      <c r="I457" s="127"/>
      <c r="J457" s="127"/>
      <c r="K457" s="127"/>
      <c r="L457" s="127"/>
      <c r="M457" s="127"/>
      <c r="N457" s="127"/>
      <c r="O457" s="127"/>
      <c r="P457" s="127"/>
      <c r="Q457" s="127"/>
      <c r="R457" s="127"/>
      <c r="S457" s="127"/>
      <c r="T457" s="127"/>
      <c r="U457" s="127"/>
      <c r="V457" s="127"/>
      <c r="W457" s="127"/>
      <c r="X457" s="127"/>
      <c r="Y457" s="127"/>
      <c r="Z457" s="127"/>
    </row>
    <row r="458" customFormat="false" ht="15.75" hidden="false" customHeight="false" outlineLevel="0" collapsed="false">
      <c r="A458" s="127"/>
      <c r="B458" s="127"/>
      <c r="C458" s="127"/>
      <c r="D458" s="127"/>
      <c r="E458" s="127"/>
      <c r="F458" s="127"/>
      <c r="G458" s="127"/>
      <c r="H458" s="127"/>
      <c r="I458" s="127"/>
      <c r="J458" s="127"/>
      <c r="K458" s="127"/>
      <c r="L458" s="127"/>
      <c r="M458" s="127"/>
      <c r="N458" s="127"/>
      <c r="O458" s="127"/>
      <c r="P458" s="127"/>
      <c r="Q458" s="127"/>
      <c r="R458" s="127"/>
      <c r="S458" s="127"/>
      <c r="T458" s="127"/>
      <c r="U458" s="127"/>
      <c r="V458" s="127"/>
      <c r="W458" s="127"/>
      <c r="X458" s="127"/>
      <c r="Y458" s="127"/>
      <c r="Z458" s="127"/>
    </row>
    <row r="459" customFormat="false" ht="15.75" hidden="false" customHeight="false" outlineLevel="0" collapsed="false">
      <c r="A459" s="127"/>
      <c r="B459" s="127"/>
      <c r="C459" s="127"/>
      <c r="D459" s="127"/>
      <c r="E459" s="127"/>
      <c r="F459" s="127"/>
      <c r="G459" s="127"/>
      <c r="H459" s="127"/>
      <c r="I459" s="127"/>
      <c r="J459" s="127"/>
      <c r="K459" s="127"/>
      <c r="L459" s="127"/>
      <c r="M459" s="127"/>
      <c r="N459" s="127"/>
      <c r="O459" s="127"/>
      <c r="P459" s="127"/>
      <c r="Q459" s="127"/>
      <c r="R459" s="127"/>
      <c r="S459" s="127"/>
      <c r="T459" s="127"/>
      <c r="U459" s="127"/>
      <c r="V459" s="127"/>
      <c r="W459" s="127"/>
      <c r="X459" s="127"/>
      <c r="Y459" s="127"/>
      <c r="Z459" s="127"/>
    </row>
    <row r="460" customFormat="false" ht="15.75" hidden="false" customHeight="false" outlineLevel="0" collapsed="false">
      <c r="A460" s="127"/>
      <c r="B460" s="127"/>
      <c r="C460" s="127"/>
      <c r="D460" s="127"/>
      <c r="E460" s="127"/>
      <c r="F460" s="127"/>
      <c r="G460" s="127"/>
      <c r="H460" s="127"/>
      <c r="I460" s="127"/>
      <c r="J460" s="127"/>
      <c r="K460" s="127"/>
      <c r="L460" s="127"/>
      <c r="M460" s="127"/>
      <c r="N460" s="127"/>
      <c r="O460" s="127"/>
      <c r="P460" s="127"/>
      <c r="Q460" s="127"/>
      <c r="R460" s="127"/>
      <c r="S460" s="127"/>
      <c r="T460" s="127"/>
      <c r="U460" s="127"/>
      <c r="V460" s="127"/>
      <c r="W460" s="127"/>
      <c r="X460" s="127"/>
      <c r="Y460" s="127"/>
      <c r="Z460" s="127"/>
    </row>
    <row r="461" customFormat="false" ht="15.75" hidden="false" customHeight="false" outlineLevel="0" collapsed="false">
      <c r="A461" s="127"/>
      <c r="B461" s="127"/>
      <c r="C461" s="127"/>
      <c r="D461" s="127"/>
      <c r="E461" s="127"/>
      <c r="F461" s="127"/>
      <c r="G461" s="127"/>
      <c r="H461" s="127"/>
      <c r="I461" s="127"/>
      <c r="J461" s="127"/>
      <c r="K461" s="127"/>
      <c r="L461" s="127"/>
      <c r="M461" s="127"/>
      <c r="N461" s="127"/>
      <c r="O461" s="127"/>
      <c r="P461" s="127"/>
      <c r="Q461" s="127"/>
      <c r="R461" s="127"/>
      <c r="S461" s="127"/>
      <c r="T461" s="127"/>
      <c r="U461" s="127"/>
      <c r="V461" s="127"/>
      <c r="W461" s="127"/>
      <c r="X461" s="127"/>
      <c r="Y461" s="127"/>
      <c r="Z461" s="127"/>
    </row>
    <row r="462" customFormat="false" ht="15.75" hidden="false" customHeight="false" outlineLevel="0" collapsed="false">
      <c r="A462" s="127"/>
      <c r="B462" s="127"/>
      <c r="C462" s="127"/>
      <c r="D462" s="127"/>
      <c r="E462" s="127"/>
      <c r="F462" s="127"/>
      <c r="G462" s="127"/>
      <c r="H462" s="127"/>
      <c r="I462" s="127"/>
      <c r="J462" s="127"/>
      <c r="K462" s="127"/>
      <c r="L462" s="127"/>
      <c r="M462" s="127"/>
      <c r="N462" s="127"/>
      <c r="O462" s="127"/>
      <c r="P462" s="127"/>
      <c r="Q462" s="127"/>
      <c r="R462" s="127"/>
      <c r="S462" s="127"/>
      <c r="T462" s="127"/>
      <c r="U462" s="127"/>
      <c r="V462" s="127"/>
      <c r="W462" s="127"/>
      <c r="X462" s="127"/>
      <c r="Y462" s="127"/>
      <c r="Z462" s="127"/>
    </row>
    <row r="463" customFormat="false" ht="15.75" hidden="false" customHeight="false" outlineLevel="0" collapsed="false">
      <c r="A463" s="127"/>
      <c r="B463" s="127"/>
      <c r="C463" s="127"/>
      <c r="D463" s="127"/>
      <c r="E463" s="127"/>
      <c r="F463" s="127"/>
      <c r="G463" s="127"/>
      <c r="H463" s="127"/>
      <c r="I463" s="127"/>
      <c r="J463" s="127"/>
      <c r="K463" s="127"/>
      <c r="L463" s="127"/>
      <c r="M463" s="127"/>
      <c r="N463" s="127"/>
      <c r="O463" s="127"/>
      <c r="P463" s="127"/>
      <c r="Q463" s="127"/>
      <c r="R463" s="127"/>
      <c r="S463" s="127"/>
      <c r="T463" s="127"/>
      <c r="U463" s="127"/>
      <c r="V463" s="127"/>
      <c r="W463" s="127"/>
      <c r="X463" s="127"/>
      <c r="Y463" s="127"/>
      <c r="Z463" s="127"/>
    </row>
    <row r="464" customFormat="false" ht="15.75" hidden="false" customHeight="false" outlineLevel="0" collapsed="false">
      <c r="A464" s="127"/>
      <c r="B464" s="127"/>
      <c r="C464" s="127"/>
      <c r="D464" s="127"/>
      <c r="E464" s="127"/>
      <c r="F464" s="127"/>
      <c r="G464" s="127"/>
      <c r="H464" s="127"/>
      <c r="I464" s="127"/>
      <c r="J464" s="127"/>
      <c r="K464" s="127"/>
      <c r="L464" s="127"/>
      <c r="M464" s="127"/>
      <c r="N464" s="127"/>
      <c r="O464" s="127"/>
      <c r="P464" s="127"/>
      <c r="Q464" s="127"/>
      <c r="R464" s="127"/>
      <c r="S464" s="127"/>
      <c r="T464" s="127"/>
      <c r="U464" s="127"/>
      <c r="V464" s="127"/>
      <c r="W464" s="127"/>
      <c r="X464" s="127"/>
      <c r="Y464" s="127"/>
      <c r="Z464" s="127"/>
    </row>
    <row r="465" customFormat="false" ht="15.75" hidden="false" customHeight="false" outlineLevel="0" collapsed="false">
      <c r="A465" s="127"/>
      <c r="B465" s="127"/>
      <c r="C465" s="127"/>
      <c r="D465" s="127"/>
      <c r="E465" s="127"/>
      <c r="F465" s="127"/>
      <c r="G465" s="127"/>
      <c r="H465" s="127"/>
      <c r="I465" s="127"/>
      <c r="J465" s="127"/>
      <c r="K465" s="127"/>
      <c r="L465" s="127"/>
      <c r="M465" s="127"/>
      <c r="N465" s="127"/>
      <c r="O465" s="127"/>
      <c r="P465" s="127"/>
      <c r="Q465" s="127"/>
      <c r="R465" s="127"/>
      <c r="S465" s="127"/>
      <c r="T465" s="127"/>
      <c r="U465" s="127"/>
      <c r="V465" s="127"/>
      <c r="W465" s="127"/>
      <c r="X465" s="127"/>
      <c r="Y465" s="127"/>
      <c r="Z465" s="127"/>
    </row>
    <row r="466" customFormat="false" ht="15.75" hidden="false" customHeight="false" outlineLevel="0" collapsed="false">
      <c r="A466" s="127"/>
      <c r="B466" s="127"/>
      <c r="C466" s="127"/>
      <c r="D466" s="127"/>
      <c r="E466" s="127"/>
      <c r="F466" s="127"/>
      <c r="G466" s="127"/>
      <c r="H466" s="127"/>
      <c r="I466" s="127"/>
      <c r="J466" s="127"/>
      <c r="K466" s="127"/>
      <c r="L466" s="127"/>
      <c r="M466" s="127"/>
      <c r="N466" s="127"/>
      <c r="O466" s="127"/>
      <c r="P466" s="127"/>
      <c r="Q466" s="127"/>
      <c r="R466" s="127"/>
      <c r="S466" s="127"/>
      <c r="T466" s="127"/>
      <c r="U466" s="127"/>
      <c r="V466" s="127"/>
      <c r="W466" s="127"/>
      <c r="X466" s="127"/>
      <c r="Y466" s="127"/>
      <c r="Z466" s="127"/>
    </row>
    <row r="467" customFormat="false" ht="15.75" hidden="false" customHeight="false" outlineLevel="0" collapsed="false">
      <c r="A467" s="127"/>
      <c r="B467" s="127"/>
      <c r="C467" s="127"/>
      <c r="D467" s="127"/>
      <c r="E467" s="127"/>
      <c r="F467" s="127"/>
      <c r="G467" s="127"/>
      <c r="H467" s="127"/>
      <c r="I467" s="127"/>
      <c r="J467" s="127"/>
      <c r="K467" s="127"/>
      <c r="L467" s="127"/>
      <c r="M467" s="127"/>
      <c r="N467" s="127"/>
      <c r="O467" s="127"/>
      <c r="P467" s="127"/>
      <c r="Q467" s="127"/>
      <c r="R467" s="127"/>
      <c r="S467" s="127"/>
      <c r="T467" s="127"/>
      <c r="U467" s="127"/>
      <c r="V467" s="127"/>
      <c r="W467" s="127"/>
      <c r="X467" s="127"/>
      <c r="Y467" s="127"/>
      <c r="Z467" s="127"/>
    </row>
    <row r="468" customFormat="false" ht="15.75" hidden="false" customHeight="false" outlineLevel="0" collapsed="false">
      <c r="A468" s="127"/>
      <c r="B468" s="127"/>
      <c r="C468" s="127"/>
      <c r="D468" s="127"/>
      <c r="E468" s="127"/>
      <c r="F468" s="127"/>
      <c r="G468" s="127"/>
      <c r="H468" s="127"/>
      <c r="I468" s="127"/>
      <c r="J468" s="127"/>
      <c r="K468" s="127"/>
      <c r="L468" s="127"/>
      <c r="M468" s="127"/>
      <c r="N468" s="127"/>
      <c r="O468" s="127"/>
      <c r="P468" s="127"/>
      <c r="Q468" s="127"/>
      <c r="R468" s="127"/>
      <c r="S468" s="127"/>
      <c r="T468" s="127"/>
      <c r="U468" s="127"/>
      <c r="V468" s="127"/>
      <c r="W468" s="127"/>
      <c r="X468" s="127"/>
      <c r="Y468" s="127"/>
      <c r="Z468" s="127"/>
    </row>
    <row r="469" customFormat="false" ht="15.75" hidden="false" customHeight="false" outlineLevel="0" collapsed="false">
      <c r="A469" s="127"/>
      <c r="B469" s="127"/>
      <c r="C469" s="127"/>
      <c r="D469" s="127"/>
      <c r="E469" s="127"/>
      <c r="F469" s="127"/>
      <c r="G469" s="127"/>
      <c r="H469" s="127"/>
      <c r="I469" s="127"/>
      <c r="J469" s="127"/>
      <c r="K469" s="127"/>
      <c r="L469" s="127"/>
      <c r="M469" s="127"/>
      <c r="N469" s="127"/>
      <c r="O469" s="127"/>
      <c r="P469" s="127"/>
      <c r="Q469" s="127"/>
      <c r="R469" s="127"/>
      <c r="S469" s="127"/>
      <c r="T469" s="127"/>
      <c r="U469" s="127"/>
      <c r="V469" s="127"/>
      <c r="W469" s="127"/>
      <c r="X469" s="127"/>
      <c r="Y469" s="127"/>
      <c r="Z469" s="127"/>
    </row>
    <row r="470" customFormat="false" ht="15.75" hidden="false" customHeight="false" outlineLevel="0" collapsed="false">
      <c r="A470" s="127"/>
      <c r="B470" s="127"/>
      <c r="C470" s="127"/>
      <c r="D470" s="127"/>
      <c r="E470" s="127"/>
      <c r="F470" s="127"/>
      <c r="G470" s="127"/>
      <c r="H470" s="127"/>
      <c r="I470" s="127"/>
      <c r="J470" s="127"/>
      <c r="K470" s="127"/>
      <c r="L470" s="127"/>
      <c r="M470" s="127"/>
      <c r="N470" s="127"/>
      <c r="O470" s="127"/>
      <c r="P470" s="127"/>
      <c r="Q470" s="127"/>
      <c r="R470" s="127"/>
      <c r="S470" s="127"/>
      <c r="T470" s="127"/>
      <c r="U470" s="127"/>
      <c r="V470" s="127"/>
      <c r="W470" s="127"/>
      <c r="X470" s="127"/>
      <c r="Y470" s="127"/>
      <c r="Z470" s="127"/>
    </row>
    <row r="471" customFormat="false" ht="15.75" hidden="false" customHeight="false" outlineLevel="0" collapsed="false">
      <c r="A471" s="127"/>
      <c r="B471" s="127"/>
      <c r="C471" s="127"/>
      <c r="D471" s="127"/>
      <c r="E471" s="127"/>
      <c r="F471" s="127"/>
      <c r="G471" s="127"/>
      <c r="H471" s="127"/>
      <c r="I471" s="127"/>
      <c r="J471" s="127"/>
      <c r="K471" s="127"/>
      <c r="L471" s="127"/>
      <c r="M471" s="127"/>
      <c r="N471" s="127"/>
      <c r="O471" s="127"/>
      <c r="P471" s="127"/>
      <c r="Q471" s="127"/>
      <c r="R471" s="127"/>
      <c r="S471" s="127"/>
      <c r="T471" s="127"/>
      <c r="U471" s="127"/>
      <c r="V471" s="127"/>
      <c r="W471" s="127"/>
      <c r="X471" s="127"/>
      <c r="Y471" s="127"/>
      <c r="Z471" s="127"/>
    </row>
    <row r="472" customFormat="false" ht="15.75" hidden="false" customHeight="false" outlineLevel="0" collapsed="false">
      <c r="A472" s="127"/>
      <c r="B472" s="127"/>
      <c r="C472" s="127"/>
      <c r="D472" s="127"/>
      <c r="E472" s="127"/>
      <c r="F472" s="127"/>
      <c r="G472" s="127"/>
      <c r="H472" s="127"/>
      <c r="I472" s="127"/>
      <c r="J472" s="127"/>
      <c r="K472" s="127"/>
      <c r="L472" s="127"/>
      <c r="M472" s="127"/>
      <c r="N472" s="127"/>
      <c r="O472" s="127"/>
      <c r="P472" s="127"/>
      <c r="Q472" s="127"/>
      <c r="R472" s="127"/>
      <c r="S472" s="127"/>
      <c r="T472" s="127"/>
      <c r="U472" s="127"/>
      <c r="V472" s="127"/>
      <c r="W472" s="127"/>
      <c r="X472" s="127"/>
      <c r="Y472" s="127"/>
      <c r="Z472" s="127"/>
    </row>
    <row r="473" customFormat="false" ht="15.75" hidden="false" customHeight="false" outlineLevel="0" collapsed="false">
      <c r="A473" s="127"/>
      <c r="B473" s="127"/>
      <c r="C473" s="127"/>
      <c r="D473" s="127"/>
      <c r="E473" s="127"/>
      <c r="F473" s="127"/>
      <c r="G473" s="127"/>
      <c r="H473" s="127"/>
      <c r="I473" s="127"/>
      <c r="J473" s="127"/>
      <c r="K473" s="127"/>
      <c r="L473" s="127"/>
      <c r="M473" s="127"/>
      <c r="N473" s="127"/>
      <c r="O473" s="127"/>
      <c r="P473" s="127"/>
      <c r="Q473" s="127"/>
      <c r="R473" s="127"/>
      <c r="S473" s="127"/>
      <c r="T473" s="127"/>
      <c r="U473" s="127"/>
      <c r="V473" s="127"/>
      <c r="W473" s="127"/>
      <c r="X473" s="127"/>
      <c r="Y473" s="127"/>
      <c r="Z473" s="127"/>
    </row>
    <row r="474" customFormat="false" ht="15.75" hidden="false" customHeight="false" outlineLevel="0" collapsed="false">
      <c r="A474" s="127"/>
      <c r="B474" s="127"/>
      <c r="C474" s="127"/>
      <c r="D474" s="127"/>
      <c r="E474" s="127"/>
      <c r="F474" s="127"/>
      <c r="G474" s="127"/>
      <c r="H474" s="127"/>
      <c r="I474" s="127"/>
      <c r="J474" s="127"/>
      <c r="K474" s="127"/>
      <c r="L474" s="127"/>
      <c r="M474" s="127"/>
      <c r="N474" s="127"/>
      <c r="O474" s="127"/>
      <c r="P474" s="127"/>
      <c r="Q474" s="127"/>
      <c r="R474" s="127"/>
      <c r="S474" s="127"/>
      <c r="T474" s="127"/>
      <c r="U474" s="127"/>
      <c r="V474" s="127"/>
      <c r="W474" s="127"/>
      <c r="X474" s="127"/>
      <c r="Y474" s="127"/>
      <c r="Z474" s="127"/>
    </row>
    <row r="475" customFormat="false" ht="15.75" hidden="false" customHeight="false" outlineLevel="0" collapsed="false">
      <c r="A475" s="127"/>
      <c r="B475" s="127"/>
      <c r="C475" s="127"/>
      <c r="D475" s="127"/>
      <c r="E475" s="127"/>
      <c r="F475" s="127"/>
      <c r="G475" s="127"/>
      <c r="H475" s="127"/>
      <c r="I475" s="127"/>
      <c r="J475" s="127"/>
      <c r="K475" s="127"/>
      <c r="L475" s="127"/>
      <c r="M475" s="127"/>
      <c r="N475" s="127"/>
      <c r="O475" s="127"/>
      <c r="P475" s="127"/>
      <c r="Q475" s="127"/>
      <c r="R475" s="127"/>
      <c r="S475" s="127"/>
      <c r="T475" s="127"/>
      <c r="U475" s="127"/>
      <c r="V475" s="127"/>
      <c r="W475" s="127"/>
      <c r="X475" s="127"/>
      <c r="Y475" s="127"/>
      <c r="Z475" s="127"/>
    </row>
    <row r="476" customFormat="false" ht="15.75" hidden="false" customHeight="false" outlineLevel="0" collapsed="false">
      <c r="A476" s="127"/>
      <c r="B476" s="127"/>
      <c r="C476" s="127"/>
      <c r="D476" s="127"/>
      <c r="E476" s="127"/>
      <c r="F476" s="127"/>
      <c r="G476" s="127"/>
      <c r="H476" s="127"/>
      <c r="I476" s="127"/>
      <c r="J476" s="127"/>
      <c r="K476" s="127"/>
      <c r="L476" s="127"/>
      <c r="M476" s="127"/>
      <c r="N476" s="127"/>
      <c r="O476" s="127"/>
      <c r="P476" s="127"/>
      <c r="Q476" s="127"/>
      <c r="R476" s="127"/>
      <c r="S476" s="127"/>
      <c r="T476" s="127"/>
      <c r="U476" s="127"/>
      <c r="V476" s="127"/>
      <c r="W476" s="127"/>
      <c r="X476" s="127"/>
      <c r="Y476" s="127"/>
      <c r="Z476" s="127"/>
    </row>
    <row r="477" customFormat="false" ht="15.75" hidden="false" customHeight="false" outlineLevel="0" collapsed="false">
      <c r="A477" s="127"/>
      <c r="B477" s="127"/>
      <c r="C477" s="127"/>
      <c r="D477" s="127"/>
      <c r="E477" s="127"/>
      <c r="F477" s="127"/>
      <c r="G477" s="127"/>
      <c r="H477" s="127"/>
      <c r="I477" s="127"/>
      <c r="J477" s="127"/>
      <c r="K477" s="127"/>
      <c r="L477" s="127"/>
      <c r="M477" s="127"/>
      <c r="N477" s="127"/>
      <c r="O477" s="127"/>
      <c r="P477" s="127"/>
      <c r="Q477" s="127"/>
      <c r="R477" s="127"/>
      <c r="S477" s="127"/>
      <c r="T477" s="127"/>
      <c r="U477" s="127"/>
      <c r="V477" s="127"/>
      <c r="W477" s="127"/>
      <c r="X477" s="127"/>
      <c r="Y477" s="127"/>
      <c r="Z477" s="127"/>
    </row>
    <row r="478" customFormat="false" ht="15.75" hidden="false" customHeight="false" outlineLevel="0" collapsed="false">
      <c r="A478" s="127"/>
      <c r="B478" s="127"/>
      <c r="C478" s="127"/>
      <c r="D478" s="127"/>
      <c r="E478" s="127"/>
      <c r="F478" s="127"/>
      <c r="G478" s="127"/>
      <c r="H478" s="127"/>
      <c r="I478" s="127"/>
      <c r="J478" s="127"/>
      <c r="K478" s="127"/>
      <c r="L478" s="127"/>
      <c r="M478" s="127"/>
      <c r="N478" s="127"/>
      <c r="O478" s="127"/>
      <c r="P478" s="127"/>
      <c r="Q478" s="127"/>
      <c r="R478" s="127"/>
      <c r="S478" s="127"/>
      <c r="T478" s="127"/>
      <c r="U478" s="127"/>
      <c r="V478" s="127"/>
      <c r="W478" s="127"/>
      <c r="X478" s="127"/>
      <c r="Y478" s="127"/>
      <c r="Z478" s="127"/>
    </row>
    <row r="479" customFormat="false" ht="15.75" hidden="false" customHeight="false" outlineLevel="0" collapsed="false">
      <c r="A479" s="127"/>
      <c r="B479" s="127"/>
      <c r="C479" s="127"/>
      <c r="D479" s="127"/>
      <c r="E479" s="127"/>
      <c r="F479" s="127"/>
      <c r="G479" s="127"/>
      <c r="H479" s="127"/>
      <c r="I479" s="127"/>
      <c r="J479" s="127"/>
      <c r="K479" s="127"/>
      <c r="L479" s="127"/>
      <c r="M479" s="127"/>
      <c r="N479" s="127"/>
      <c r="O479" s="127"/>
      <c r="P479" s="127"/>
      <c r="Q479" s="127"/>
      <c r="R479" s="127"/>
      <c r="S479" s="127"/>
      <c r="T479" s="127"/>
      <c r="U479" s="127"/>
      <c r="V479" s="127"/>
      <c r="W479" s="127"/>
      <c r="X479" s="127"/>
      <c r="Y479" s="127"/>
      <c r="Z479" s="127"/>
    </row>
    <row r="480" customFormat="false" ht="15.75" hidden="false" customHeight="false" outlineLevel="0" collapsed="false">
      <c r="A480" s="127"/>
      <c r="B480" s="127"/>
      <c r="C480" s="127"/>
      <c r="D480" s="127"/>
      <c r="E480" s="127"/>
      <c r="F480" s="127"/>
      <c r="G480" s="127"/>
      <c r="H480" s="127"/>
      <c r="I480" s="127"/>
      <c r="J480" s="127"/>
      <c r="K480" s="127"/>
      <c r="L480" s="127"/>
      <c r="M480" s="127"/>
      <c r="N480" s="127"/>
      <c r="O480" s="127"/>
      <c r="P480" s="127"/>
      <c r="Q480" s="127"/>
      <c r="R480" s="127"/>
      <c r="S480" s="127"/>
      <c r="T480" s="127"/>
      <c r="U480" s="127"/>
      <c r="V480" s="127"/>
      <c r="W480" s="127"/>
      <c r="X480" s="127"/>
      <c r="Y480" s="127"/>
      <c r="Z480" s="127"/>
    </row>
    <row r="481" customFormat="false" ht="15.75" hidden="false" customHeight="false" outlineLevel="0" collapsed="false">
      <c r="A481" s="127"/>
      <c r="B481" s="127"/>
      <c r="C481" s="127"/>
      <c r="D481" s="127"/>
      <c r="E481" s="127"/>
      <c r="F481" s="127"/>
      <c r="G481" s="127"/>
      <c r="H481" s="127"/>
      <c r="I481" s="127"/>
      <c r="J481" s="127"/>
      <c r="K481" s="127"/>
      <c r="L481" s="127"/>
      <c r="M481" s="127"/>
      <c r="N481" s="127"/>
      <c r="O481" s="127"/>
      <c r="P481" s="127"/>
      <c r="Q481" s="127"/>
      <c r="R481" s="127"/>
      <c r="S481" s="127"/>
      <c r="T481" s="127"/>
      <c r="U481" s="127"/>
      <c r="V481" s="127"/>
      <c r="W481" s="127"/>
      <c r="X481" s="127"/>
      <c r="Y481" s="127"/>
      <c r="Z481" s="127"/>
    </row>
    <row r="482" customFormat="false" ht="15.75" hidden="false" customHeight="false" outlineLevel="0" collapsed="false">
      <c r="A482" s="127"/>
      <c r="B482" s="127"/>
      <c r="C482" s="127"/>
      <c r="D482" s="127"/>
      <c r="E482" s="127"/>
      <c r="F482" s="127"/>
      <c r="G482" s="127"/>
      <c r="H482" s="127"/>
      <c r="I482" s="127"/>
      <c r="J482" s="127"/>
      <c r="K482" s="127"/>
      <c r="L482" s="127"/>
      <c r="M482" s="127"/>
      <c r="N482" s="127"/>
      <c r="O482" s="127"/>
      <c r="P482" s="127"/>
      <c r="Q482" s="127"/>
      <c r="R482" s="127"/>
      <c r="S482" s="127"/>
      <c r="T482" s="127"/>
      <c r="U482" s="127"/>
      <c r="V482" s="127"/>
      <c r="W482" s="127"/>
      <c r="X482" s="127"/>
      <c r="Y482" s="127"/>
      <c r="Z482" s="127"/>
    </row>
    <row r="483" customFormat="false" ht="15.75" hidden="false" customHeight="false" outlineLevel="0" collapsed="false">
      <c r="A483" s="127"/>
      <c r="B483" s="127"/>
      <c r="C483" s="127"/>
      <c r="D483" s="127"/>
      <c r="E483" s="127"/>
      <c r="F483" s="127"/>
      <c r="G483" s="127"/>
      <c r="H483" s="127"/>
      <c r="I483" s="127"/>
      <c r="J483" s="127"/>
      <c r="K483" s="127"/>
      <c r="L483" s="127"/>
      <c r="M483" s="127"/>
      <c r="N483" s="127"/>
      <c r="O483" s="127"/>
      <c r="P483" s="127"/>
      <c r="Q483" s="127"/>
      <c r="R483" s="127"/>
      <c r="S483" s="127"/>
      <c r="T483" s="127"/>
      <c r="U483" s="127"/>
      <c r="V483" s="127"/>
      <c r="W483" s="127"/>
      <c r="X483" s="127"/>
      <c r="Y483" s="127"/>
      <c r="Z483" s="127"/>
    </row>
    <row r="484" customFormat="false" ht="15.75" hidden="false" customHeight="false" outlineLevel="0" collapsed="false">
      <c r="A484" s="127"/>
      <c r="B484" s="127"/>
      <c r="C484" s="127"/>
      <c r="D484" s="127"/>
      <c r="E484" s="127"/>
      <c r="F484" s="127"/>
      <c r="G484" s="127"/>
      <c r="H484" s="127"/>
      <c r="I484" s="127"/>
      <c r="J484" s="127"/>
      <c r="K484" s="127"/>
      <c r="L484" s="127"/>
      <c r="M484" s="127"/>
      <c r="N484" s="127"/>
      <c r="O484" s="127"/>
      <c r="P484" s="127"/>
      <c r="Q484" s="127"/>
      <c r="R484" s="127"/>
      <c r="S484" s="127"/>
      <c r="T484" s="127"/>
      <c r="U484" s="127"/>
      <c r="V484" s="127"/>
      <c r="W484" s="127"/>
      <c r="X484" s="127"/>
      <c r="Y484" s="127"/>
      <c r="Z484" s="127"/>
    </row>
    <row r="485" customFormat="false" ht="15.75" hidden="false" customHeight="false" outlineLevel="0" collapsed="false">
      <c r="A485" s="127"/>
      <c r="B485" s="127"/>
      <c r="C485" s="127"/>
      <c r="D485" s="127"/>
      <c r="E485" s="127"/>
      <c r="F485" s="127"/>
      <c r="G485" s="127"/>
      <c r="H485" s="127"/>
      <c r="I485" s="127"/>
      <c r="J485" s="127"/>
      <c r="K485" s="127"/>
      <c r="L485" s="127"/>
      <c r="M485" s="127"/>
      <c r="N485" s="127"/>
      <c r="O485" s="127"/>
      <c r="P485" s="127"/>
      <c r="Q485" s="127"/>
      <c r="R485" s="127"/>
      <c r="S485" s="127"/>
      <c r="T485" s="127"/>
      <c r="U485" s="127"/>
      <c r="V485" s="127"/>
      <c r="W485" s="127"/>
      <c r="X485" s="127"/>
      <c r="Y485" s="127"/>
      <c r="Z485" s="127"/>
    </row>
    <row r="486" customFormat="false" ht="15.75" hidden="false" customHeight="false" outlineLevel="0" collapsed="false">
      <c r="A486" s="127"/>
      <c r="B486" s="127"/>
      <c r="C486" s="127"/>
      <c r="D486" s="127"/>
      <c r="E486" s="127"/>
      <c r="F486" s="127"/>
      <c r="G486" s="127"/>
      <c r="H486" s="127"/>
      <c r="I486" s="127"/>
      <c r="J486" s="127"/>
      <c r="K486" s="127"/>
      <c r="L486" s="127"/>
      <c r="M486" s="127"/>
      <c r="N486" s="127"/>
      <c r="O486" s="127"/>
      <c r="P486" s="127"/>
      <c r="Q486" s="127"/>
      <c r="R486" s="127"/>
      <c r="S486" s="127"/>
      <c r="T486" s="127"/>
      <c r="U486" s="127"/>
      <c r="V486" s="127"/>
      <c r="W486" s="127"/>
      <c r="X486" s="127"/>
      <c r="Y486" s="127"/>
      <c r="Z486" s="127"/>
    </row>
    <row r="487" customFormat="false" ht="15.75" hidden="false" customHeight="false" outlineLevel="0" collapsed="false">
      <c r="A487" s="127"/>
      <c r="B487" s="127"/>
      <c r="C487" s="127"/>
      <c r="D487" s="127"/>
      <c r="E487" s="127"/>
      <c r="F487" s="127"/>
      <c r="G487" s="127"/>
      <c r="H487" s="127"/>
      <c r="I487" s="127"/>
      <c r="J487" s="127"/>
      <c r="K487" s="127"/>
      <c r="L487" s="127"/>
      <c r="M487" s="127"/>
      <c r="N487" s="127"/>
      <c r="O487" s="127"/>
      <c r="P487" s="127"/>
      <c r="Q487" s="127"/>
      <c r="R487" s="127"/>
      <c r="S487" s="127"/>
      <c r="T487" s="127"/>
      <c r="U487" s="127"/>
      <c r="V487" s="127"/>
      <c r="W487" s="127"/>
      <c r="X487" s="127"/>
      <c r="Y487" s="127"/>
      <c r="Z487" s="127"/>
    </row>
    <row r="488" customFormat="false" ht="15.75" hidden="false" customHeight="false" outlineLevel="0" collapsed="false">
      <c r="A488" s="127"/>
      <c r="B488" s="127"/>
      <c r="C488" s="127"/>
      <c r="D488" s="127"/>
      <c r="E488" s="127"/>
      <c r="F488" s="127"/>
      <c r="G488" s="127"/>
      <c r="H488" s="127"/>
      <c r="I488" s="127"/>
      <c r="J488" s="127"/>
      <c r="K488" s="127"/>
      <c r="L488" s="127"/>
      <c r="M488" s="127"/>
      <c r="N488" s="127"/>
      <c r="O488" s="127"/>
      <c r="P488" s="127"/>
      <c r="Q488" s="127"/>
      <c r="R488" s="127"/>
      <c r="S488" s="127"/>
      <c r="T488" s="127"/>
      <c r="U488" s="127"/>
      <c r="V488" s="127"/>
      <c r="W488" s="127"/>
      <c r="X488" s="127"/>
      <c r="Y488" s="127"/>
      <c r="Z488" s="127"/>
    </row>
    <row r="489" customFormat="false" ht="15.75" hidden="false" customHeight="false" outlineLevel="0" collapsed="false">
      <c r="A489" s="127"/>
      <c r="B489" s="127"/>
      <c r="C489" s="127"/>
      <c r="D489" s="127"/>
      <c r="E489" s="127"/>
      <c r="F489" s="127"/>
      <c r="G489" s="127"/>
      <c r="H489" s="127"/>
      <c r="I489" s="127"/>
      <c r="J489" s="127"/>
      <c r="K489" s="127"/>
      <c r="L489" s="127"/>
      <c r="M489" s="127"/>
      <c r="N489" s="127"/>
      <c r="O489" s="127"/>
      <c r="P489" s="127"/>
      <c r="Q489" s="127"/>
      <c r="R489" s="127"/>
      <c r="S489" s="127"/>
      <c r="T489" s="127"/>
      <c r="U489" s="127"/>
      <c r="V489" s="127"/>
      <c r="W489" s="127"/>
      <c r="X489" s="127"/>
      <c r="Y489" s="127"/>
      <c r="Z489" s="127"/>
    </row>
    <row r="490" customFormat="false" ht="15.75" hidden="false" customHeight="false" outlineLevel="0" collapsed="false">
      <c r="A490" s="127"/>
      <c r="B490" s="127"/>
      <c r="C490" s="127"/>
      <c r="D490" s="127"/>
      <c r="E490" s="127"/>
      <c r="F490" s="127"/>
      <c r="G490" s="127"/>
      <c r="H490" s="127"/>
      <c r="I490" s="127"/>
      <c r="J490" s="127"/>
      <c r="K490" s="127"/>
      <c r="L490" s="127"/>
      <c r="M490" s="127"/>
      <c r="N490" s="127"/>
      <c r="O490" s="127"/>
      <c r="P490" s="127"/>
      <c r="Q490" s="127"/>
      <c r="R490" s="127"/>
      <c r="S490" s="127"/>
      <c r="T490" s="127"/>
      <c r="U490" s="127"/>
      <c r="V490" s="127"/>
      <c r="W490" s="127"/>
      <c r="X490" s="127"/>
      <c r="Y490" s="127"/>
      <c r="Z490" s="127"/>
    </row>
    <row r="491" customFormat="false" ht="15.75" hidden="false" customHeight="false" outlineLevel="0" collapsed="false">
      <c r="A491" s="127"/>
      <c r="B491" s="127"/>
      <c r="C491" s="127"/>
      <c r="D491" s="127"/>
      <c r="E491" s="127"/>
      <c r="F491" s="127"/>
      <c r="G491" s="127"/>
      <c r="H491" s="127"/>
      <c r="I491" s="127"/>
      <c r="J491" s="127"/>
      <c r="K491" s="127"/>
      <c r="L491" s="127"/>
      <c r="M491" s="127"/>
      <c r="N491" s="127"/>
      <c r="O491" s="127"/>
      <c r="P491" s="127"/>
      <c r="Q491" s="127"/>
      <c r="R491" s="127"/>
      <c r="S491" s="127"/>
      <c r="T491" s="127"/>
      <c r="U491" s="127"/>
      <c r="V491" s="127"/>
      <c r="W491" s="127"/>
      <c r="X491" s="127"/>
      <c r="Y491" s="127"/>
      <c r="Z491" s="127"/>
    </row>
    <row r="492" customFormat="false" ht="15.75" hidden="false" customHeight="false" outlineLevel="0" collapsed="false">
      <c r="A492" s="127"/>
      <c r="B492" s="127"/>
      <c r="C492" s="127"/>
      <c r="D492" s="127"/>
      <c r="E492" s="127"/>
      <c r="F492" s="127"/>
      <c r="G492" s="127"/>
      <c r="H492" s="127"/>
      <c r="I492" s="127"/>
      <c r="J492" s="127"/>
      <c r="K492" s="127"/>
      <c r="L492" s="127"/>
      <c r="M492" s="127"/>
      <c r="N492" s="127"/>
      <c r="O492" s="127"/>
      <c r="P492" s="127"/>
      <c r="Q492" s="127"/>
      <c r="R492" s="127"/>
      <c r="S492" s="127"/>
      <c r="T492" s="127"/>
      <c r="U492" s="127"/>
      <c r="V492" s="127"/>
      <c r="W492" s="127"/>
      <c r="X492" s="127"/>
      <c r="Y492" s="127"/>
      <c r="Z492" s="127"/>
    </row>
    <row r="493" customFormat="false" ht="15.75" hidden="false" customHeight="false" outlineLevel="0" collapsed="false">
      <c r="A493" s="127"/>
      <c r="B493" s="127"/>
      <c r="C493" s="127"/>
      <c r="D493" s="127"/>
      <c r="E493" s="127"/>
      <c r="F493" s="127"/>
      <c r="G493" s="127"/>
      <c r="H493" s="127"/>
      <c r="I493" s="127"/>
      <c r="J493" s="127"/>
      <c r="K493" s="127"/>
      <c r="L493" s="127"/>
      <c r="M493" s="127"/>
      <c r="N493" s="127"/>
      <c r="O493" s="127"/>
      <c r="P493" s="127"/>
      <c r="Q493" s="127"/>
      <c r="R493" s="127"/>
      <c r="S493" s="127"/>
      <c r="T493" s="127"/>
      <c r="U493" s="127"/>
      <c r="V493" s="127"/>
      <c r="W493" s="127"/>
      <c r="X493" s="127"/>
      <c r="Y493" s="127"/>
      <c r="Z493" s="127"/>
    </row>
    <row r="494" customFormat="false" ht="15.75" hidden="false" customHeight="false" outlineLevel="0" collapsed="false">
      <c r="A494" s="127"/>
      <c r="B494" s="127"/>
      <c r="C494" s="127"/>
      <c r="D494" s="127"/>
      <c r="E494" s="127"/>
      <c r="F494" s="127"/>
      <c r="G494" s="127"/>
      <c r="H494" s="127"/>
      <c r="I494" s="127"/>
      <c r="J494" s="127"/>
      <c r="K494" s="127"/>
      <c r="L494" s="127"/>
      <c r="M494" s="127"/>
      <c r="N494" s="127"/>
      <c r="O494" s="127"/>
      <c r="P494" s="127"/>
      <c r="Q494" s="127"/>
      <c r="R494" s="127"/>
      <c r="S494" s="127"/>
      <c r="T494" s="127"/>
      <c r="U494" s="127"/>
      <c r="V494" s="127"/>
      <c r="W494" s="127"/>
      <c r="X494" s="127"/>
      <c r="Y494" s="127"/>
      <c r="Z494" s="127"/>
    </row>
    <row r="495" customFormat="false" ht="15.75" hidden="false" customHeight="false" outlineLevel="0" collapsed="false">
      <c r="A495" s="127"/>
      <c r="B495" s="127"/>
      <c r="C495" s="127"/>
      <c r="D495" s="127"/>
      <c r="E495" s="127"/>
      <c r="F495" s="127"/>
      <c r="G495" s="127"/>
      <c r="H495" s="127"/>
      <c r="I495" s="127"/>
      <c r="J495" s="127"/>
      <c r="K495" s="127"/>
      <c r="L495" s="127"/>
      <c r="M495" s="127"/>
      <c r="N495" s="127"/>
      <c r="O495" s="127"/>
      <c r="P495" s="127"/>
      <c r="Q495" s="127"/>
      <c r="R495" s="127"/>
      <c r="S495" s="127"/>
      <c r="T495" s="127"/>
      <c r="U495" s="127"/>
      <c r="V495" s="127"/>
      <c r="W495" s="127"/>
      <c r="X495" s="127"/>
      <c r="Y495" s="127"/>
      <c r="Z495" s="127"/>
    </row>
    <row r="496" customFormat="false" ht="15.75" hidden="false" customHeight="false" outlineLevel="0" collapsed="false">
      <c r="A496" s="127"/>
      <c r="B496" s="127"/>
      <c r="C496" s="127"/>
      <c r="D496" s="127"/>
      <c r="E496" s="127"/>
      <c r="F496" s="127"/>
      <c r="G496" s="127"/>
      <c r="H496" s="127"/>
      <c r="I496" s="127"/>
      <c r="J496" s="127"/>
      <c r="K496" s="127"/>
      <c r="L496" s="127"/>
      <c r="M496" s="127"/>
      <c r="N496" s="127"/>
      <c r="O496" s="127"/>
      <c r="P496" s="127"/>
      <c r="Q496" s="127"/>
      <c r="R496" s="127"/>
      <c r="S496" s="127"/>
      <c r="T496" s="127"/>
      <c r="U496" s="127"/>
      <c r="V496" s="127"/>
      <c r="W496" s="127"/>
      <c r="X496" s="127"/>
      <c r="Y496" s="127"/>
      <c r="Z496" s="127"/>
    </row>
    <row r="497" customFormat="false" ht="15.75" hidden="false" customHeight="false" outlineLevel="0" collapsed="false">
      <c r="A497" s="127"/>
      <c r="B497" s="127"/>
      <c r="C497" s="127"/>
      <c r="D497" s="127"/>
      <c r="E497" s="127"/>
      <c r="F497" s="127"/>
      <c r="G497" s="127"/>
      <c r="H497" s="127"/>
      <c r="I497" s="127"/>
      <c r="J497" s="127"/>
      <c r="K497" s="127"/>
      <c r="L497" s="127"/>
      <c r="M497" s="127"/>
      <c r="N497" s="127"/>
      <c r="O497" s="127"/>
      <c r="P497" s="127"/>
      <c r="Q497" s="127"/>
      <c r="R497" s="127"/>
      <c r="S497" s="127"/>
      <c r="T497" s="127"/>
      <c r="U497" s="127"/>
      <c r="V497" s="127"/>
      <c r="W497" s="127"/>
      <c r="X497" s="127"/>
      <c r="Y497" s="127"/>
      <c r="Z497" s="127"/>
    </row>
    <row r="498" customFormat="false" ht="15.75" hidden="false" customHeight="false" outlineLevel="0" collapsed="false">
      <c r="A498" s="127"/>
      <c r="B498" s="127"/>
      <c r="C498" s="127"/>
      <c r="D498" s="127"/>
      <c r="E498" s="127"/>
      <c r="F498" s="127"/>
      <c r="G498" s="127"/>
      <c r="H498" s="127"/>
      <c r="I498" s="127"/>
      <c r="J498" s="127"/>
      <c r="K498" s="127"/>
      <c r="L498" s="127"/>
      <c r="M498" s="127"/>
      <c r="N498" s="127"/>
      <c r="O498" s="127"/>
      <c r="P498" s="127"/>
      <c r="Q498" s="127"/>
      <c r="R498" s="127"/>
      <c r="S498" s="127"/>
      <c r="T498" s="127"/>
      <c r="U498" s="127"/>
      <c r="V498" s="127"/>
      <c r="W498" s="127"/>
      <c r="X498" s="127"/>
      <c r="Y498" s="127"/>
      <c r="Z498" s="127"/>
    </row>
    <row r="499" customFormat="false" ht="15.75" hidden="false" customHeight="false" outlineLevel="0" collapsed="false">
      <c r="A499" s="127"/>
      <c r="B499" s="127"/>
      <c r="C499" s="127"/>
      <c r="D499" s="127"/>
      <c r="E499" s="127"/>
      <c r="F499" s="127"/>
      <c r="G499" s="127"/>
      <c r="H499" s="127"/>
      <c r="I499" s="127"/>
      <c r="J499" s="127"/>
      <c r="K499" s="127"/>
      <c r="L499" s="127"/>
      <c r="M499" s="127"/>
      <c r="N499" s="127"/>
      <c r="O499" s="127"/>
      <c r="P499" s="127"/>
      <c r="Q499" s="127"/>
      <c r="R499" s="127"/>
      <c r="S499" s="127"/>
      <c r="T499" s="127"/>
      <c r="U499" s="127"/>
      <c r="V499" s="127"/>
      <c r="W499" s="127"/>
      <c r="X499" s="127"/>
      <c r="Y499" s="127"/>
      <c r="Z499" s="127"/>
    </row>
    <row r="500" customFormat="false" ht="15.75" hidden="false" customHeight="false" outlineLevel="0" collapsed="false">
      <c r="A500" s="127"/>
      <c r="B500" s="127"/>
      <c r="C500" s="127"/>
      <c r="D500" s="127"/>
      <c r="E500" s="127"/>
      <c r="F500" s="127"/>
      <c r="G500" s="127"/>
      <c r="H500" s="127"/>
      <c r="I500" s="127"/>
      <c r="J500" s="127"/>
      <c r="K500" s="127"/>
      <c r="L500" s="127"/>
      <c r="M500" s="127"/>
      <c r="N500" s="127"/>
      <c r="O500" s="127"/>
      <c r="P500" s="127"/>
      <c r="Q500" s="127"/>
      <c r="R500" s="127"/>
      <c r="S500" s="127"/>
      <c r="T500" s="127"/>
      <c r="U500" s="127"/>
      <c r="V500" s="127"/>
      <c r="W500" s="127"/>
      <c r="X500" s="127"/>
      <c r="Y500" s="127"/>
      <c r="Z500" s="127"/>
    </row>
    <row r="501" customFormat="false" ht="15.75" hidden="false" customHeight="false" outlineLevel="0" collapsed="false">
      <c r="A501" s="127"/>
      <c r="B501" s="127"/>
      <c r="C501" s="127"/>
      <c r="D501" s="127"/>
      <c r="E501" s="127"/>
      <c r="F501" s="127"/>
      <c r="G501" s="127"/>
      <c r="H501" s="127"/>
      <c r="I501" s="127"/>
      <c r="J501" s="127"/>
      <c r="K501" s="127"/>
      <c r="L501" s="127"/>
      <c r="M501" s="127"/>
      <c r="N501" s="127"/>
      <c r="O501" s="127"/>
      <c r="P501" s="127"/>
      <c r="Q501" s="127"/>
      <c r="R501" s="127"/>
      <c r="S501" s="127"/>
      <c r="T501" s="127"/>
      <c r="U501" s="127"/>
      <c r="V501" s="127"/>
      <c r="W501" s="127"/>
      <c r="X501" s="127"/>
      <c r="Y501" s="127"/>
      <c r="Z501" s="127"/>
    </row>
    <row r="502" customFormat="false" ht="15.75" hidden="false" customHeight="false" outlineLevel="0" collapsed="false">
      <c r="A502" s="127"/>
      <c r="B502" s="127"/>
      <c r="C502" s="127"/>
      <c r="D502" s="127"/>
      <c r="E502" s="127"/>
      <c r="F502" s="127"/>
      <c r="G502" s="127"/>
      <c r="H502" s="127"/>
      <c r="I502" s="127"/>
      <c r="J502" s="127"/>
      <c r="K502" s="127"/>
      <c r="L502" s="127"/>
      <c r="M502" s="127"/>
      <c r="N502" s="127"/>
      <c r="O502" s="127"/>
      <c r="P502" s="127"/>
      <c r="Q502" s="127"/>
      <c r="R502" s="127"/>
      <c r="S502" s="127"/>
      <c r="T502" s="127"/>
      <c r="U502" s="127"/>
      <c r="V502" s="127"/>
      <c r="W502" s="127"/>
      <c r="X502" s="127"/>
      <c r="Y502" s="127"/>
      <c r="Z502" s="127"/>
    </row>
    <row r="503" customFormat="false" ht="15.75" hidden="false" customHeight="false" outlineLevel="0" collapsed="false">
      <c r="A503" s="127"/>
      <c r="B503" s="127"/>
      <c r="C503" s="127"/>
      <c r="D503" s="127"/>
      <c r="E503" s="127"/>
      <c r="F503" s="127"/>
      <c r="G503" s="127"/>
      <c r="H503" s="127"/>
      <c r="I503" s="127"/>
      <c r="J503" s="127"/>
      <c r="K503" s="127"/>
      <c r="L503" s="127"/>
      <c r="M503" s="127"/>
      <c r="N503" s="127"/>
      <c r="O503" s="127"/>
      <c r="P503" s="127"/>
      <c r="Q503" s="127"/>
      <c r="R503" s="127"/>
      <c r="S503" s="127"/>
      <c r="T503" s="127"/>
      <c r="U503" s="127"/>
      <c r="V503" s="127"/>
      <c r="W503" s="127"/>
      <c r="X503" s="127"/>
      <c r="Y503" s="127"/>
      <c r="Z503" s="127"/>
    </row>
    <row r="504" customFormat="false" ht="15.75" hidden="false" customHeight="false" outlineLevel="0" collapsed="false">
      <c r="A504" s="127"/>
      <c r="B504" s="127"/>
      <c r="C504" s="127"/>
      <c r="D504" s="127"/>
      <c r="E504" s="127"/>
      <c r="F504" s="127"/>
      <c r="G504" s="127"/>
      <c r="H504" s="127"/>
      <c r="I504" s="127"/>
      <c r="J504" s="127"/>
      <c r="K504" s="127"/>
      <c r="L504" s="127"/>
      <c r="M504" s="127"/>
      <c r="N504" s="127"/>
      <c r="O504" s="127"/>
      <c r="P504" s="127"/>
      <c r="Q504" s="127"/>
      <c r="R504" s="127"/>
      <c r="S504" s="127"/>
      <c r="T504" s="127"/>
      <c r="U504" s="127"/>
      <c r="V504" s="127"/>
      <c r="W504" s="127"/>
      <c r="X504" s="127"/>
      <c r="Y504" s="127"/>
      <c r="Z504" s="127"/>
    </row>
    <row r="505" customFormat="false" ht="15.75" hidden="false" customHeight="false" outlineLevel="0" collapsed="false">
      <c r="A505" s="127"/>
      <c r="B505" s="127"/>
      <c r="C505" s="127"/>
      <c r="D505" s="127"/>
      <c r="E505" s="127"/>
      <c r="F505" s="127"/>
      <c r="G505" s="127"/>
      <c r="H505" s="127"/>
      <c r="I505" s="127"/>
      <c r="J505" s="127"/>
      <c r="K505" s="127"/>
      <c r="L505" s="127"/>
      <c r="M505" s="127"/>
      <c r="N505" s="127"/>
      <c r="O505" s="127"/>
      <c r="P505" s="127"/>
      <c r="Q505" s="127"/>
      <c r="R505" s="127"/>
      <c r="S505" s="127"/>
      <c r="T505" s="127"/>
      <c r="U505" s="127"/>
      <c r="V505" s="127"/>
      <c r="W505" s="127"/>
      <c r="X505" s="127"/>
      <c r="Y505" s="127"/>
      <c r="Z505" s="127"/>
    </row>
    <row r="506" customFormat="false" ht="15.75" hidden="false" customHeight="false" outlineLevel="0" collapsed="false">
      <c r="A506" s="127"/>
      <c r="B506" s="127"/>
      <c r="C506" s="127"/>
      <c r="D506" s="127"/>
      <c r="E506" s="127"/>
      <c r="F506" s="127"/>
      <c r="G506" s="127"/>
      <c r="H506" s="127"/>
      <c r="I506" s="127"/>
      <c r="J506" s="127"/>
      <c r="K506" s="127"/>
      <c r="L506" s="127"/>
      <c r="M506" s="127"/>
      <c r="N506" s="127"/>
      <c r="O506" s="127"/>
      <c r="P506" s="127"/>
      <c r="Q506" s="127"/>
      <c r="R506" s="127"/>
      <c r="S506" s="127"/>
      <c r="T506" s="127"/>
      <c r="U506" s="127"/>
      <c r="V506" s="127"/>
      <c r="W506" s="127"/>
      <c r="X506" s="127"/>
      <c r="Y506" s="127"/>
      <c r="Z506" s="127"/>
    </row>
    <row r="507" customFormat="false" ht="15.75" hidden="false" customHeight="false" outlineLevel="0" collapsed="false">
      <c r="A507" s="127"/>
      <c r="B507" s="127"/>
      <c r="C507" s="127"/>
      <c r="D507" s="127"/>
      <c r="E507" s="127"/>
      <c r="F507" s="127"/>
      <c r="G507" s="127"/>
      <c r="H507" s="127"/>
      <c r="I507" s="127"/>
      <c r="J507" s="127"/>
      <c r="K507" s="127"/>
      <c r="L507" s="127"/>
      <c r="M507" s="127"/>
      <c r="N507" s="127"/>
      <c r="O507" s="127"/>
      <c r="P507" s="127"/>
      <c r="Q507" s="127"/>
      <c r="R507" s="127"/>
      <c r="S507" s="127"/>
      <c r="T507" s="127"/>
      <c r="U507" s="127"/>
      <c r="V507" s="127"/>
      <c r="W507" s="127"/>
      <c r="X507" s="127"/>
      <c r="Y507" s="127"/>
      <c r="Z507" s="127"/>
    </row>
    <row r="508" customFormat="false" ht="15.75" hidden="false" customHeight="false" outlineLevel="0" collapsed="false">
      <c r="A508" s="127"/>
      <c r="B508" s="127"/>
      <c r="C508" s="127"/>
      <c r="D508" s="127"/>
      <c r="E508" s="127"/>
      <c r="F508" s="127"/>
      <c r="G508" s="127"/>
      <c r="H508" s="127"/>
      <c r="I508" s="127"/>
      <c r="J508" s="127"/>
      <c r="K508" s="127"/>
      <c r="L508" s="127"/>
      <c r="M508" s="127"/>
      <c r="N508" s="127"/>
      <c r="O508" s="127"/>
      <c r="P508" s="127"/>
      <c r="Q508" s="127"/>
      <c r="R508" s="127"/>
      <c r="S508" s="127"/>
      <c r="T508" s="127"/>
      <c r="U508" s="127"/>
      <c r="V508" s="127"/>
      <c r="W508" s="127"/>
      <c r="X508" s="127"/>
      <c r="Y508" s="127"/>
      <c r="Z508" s="127"/>
    </row>
    <row r="509" customFormat="false" ht="15.75" hidden="false" customHeight="false" outlineLevel="0" collapsed="false">
      <c r="A509" s="127"/>
      <c r="B509" s="127"/>
      <c r="C509" s="127"/>
      <c r="D509" s="127"/>
      <c r="E509" s="127"/>
      <c r="F509" s="127"/>
      <c r="G509" s="127"/>
      <c r="H509" s="127"/>
      <c r="I509" s="127"/>
      <c r="J509" s="127"/>
      <c r="K509" s="127"/>
      <c r="L509" s="127"/>
      <c r="M509" s="127"/>
      <c r="N509" s="127"/>
      <c r="O509" s="127"/>
      <c r="P509" s="127"/>
      <c r="Q509" s="127"/>
      <c r="R509" s="127"/>
      <c r="S509" s="127"/>
      <c r="T509" s="127"/>
      <c r="U509" s="127"/>
      <c r="V509" s="127"/>
      <c r="W509" s="127"/>
      <c r="X509" s="127"/>
      <c r="Y509" s="127"/>
      <c r="Z509" s="127"/>
    </row>
    <row r="510" customFormat="false" ht="15.75" hidden="false" customHeight="false" outlineLevel="0" collapsed="false">
      <c r="A510" s="127"/>
      <c r="B510" s="127"/>
      <c r="C510" s="127"/>
      <c r="D510" s="127"/>
      <c r="E510" s="127"/>
      <c r="F510" s="127"/>
      <c r="G510" s="127"/>
      <c r="H510" s="127"/>
      <c r="I510" s="127"/>
      <c r="J510" s="127"/>
      <c r="K510" s="127"/>
      <c r="L510" s="127"/>
      <c r="M510" s="127"/>
      <c r="N510" s="127"/>
      <c r="O510" s="127"/>
      <c r="P510" s="127"/>
      <c r="Q510" s="127"/>
      <c r="R510" s="127"/>
      <c r="S510" s="127"/>
      <c r="T510" s="127"/>
      <c r="U510" s="127"/>
      <c r="V510" s="127"/>
      <c r="W510" s="127"/>
      <c r="X510" s="127"/>
      <c r="Y510" s="127"/>
      <c r="Z510" s="127"/>
    </row>
    <row r="511" customFormat="false" ht="15.75" hidden="false" customHeight="false" outlineLevel="0" collapsed="false">
      <c r="A511" s="127"/>
      <c r="B511" s="127"/>
      <c r="C511" s="127"/>
      <c r="D511" s="127"/>
      <c r="E511" s="127"/>
      <c r="F511" s="127"/>
      <c r="G511" s="127"/>
      <c r="H511" s="127"/>
      <c r="I511" s="127"/>
      <c r="J511" s="127"/>
      <c r="K511" s="127"/>
      <c r="L511" s="127"/>
      <c r="M511" s="127"/>
      <c r="N511" s="127"/>
      <c r="O511" s="127"/>
      <c r="P511" s="127"/>
      <c r="Q511" s="127"/>
      <c r="R511" s="127"/>
      <c r="S511" s="127"/>
      <c r="T511" s="127"/>
      <c r="U511" s="127"/>
      <c r="V511" s="127"/>
      <c r="W511" s="127"/>
      <c r="X511" s="127"/>
      <c r="Y511" s="127"/>
      <c r="Z511" s="127"/>
    </row>
    <row r="512" customFormat="false" ht="15.75" hidden="false" customHeight="false" outlineLevel="0" collapsed="false">
      <c r="A512" s="127"/>
      <c r="B512" s="127"/>
      <c r="C512" s="127"/>
      <c r="D512" s="127"/>
      <c r="E512" s="127"/>
      <c r="F512" s="127"/>
      <c r="G512" s="127"/>
      <c r="H512" s="127"/>
      <c r="I512" s="127"/>
      <c r="J512" s="127"/>
      <c r="K512" s="127"/>
      <c r="L512" s="127"/>
      <c r="M512" s="127"/>
      <c r="N512" s="127"/>
      <c r="O512" s="127"/>
      <c r="P512" s="127"/>
      <c r="Q512" s="127"/>
      <c r="R512" s="127"/>
      <c r="S512" s="127"/>
      <c r="T512" s="127"/>
      <c r="U512" s="127"/>
      <c r="V512" s="127"/>
      <c r="W512" s="127"/>
      <c r="X512" s="127"/>
      <c r="Y512" s="127"/>
      <c r="Z512" s="127"/>
    </row>
    <row r="513" customFormat="false" ht="15.75" hidden="false" customHeight="false" outlineLevel="0" collapsed="false">
      <c r="A513" s="127"/>
      <c r="B513" s="127"/>
      <c r="C513" s="127"/>
      <c r="D513" s="127"/>
      <c r="E513" s="127"/>
      <c r="F513" s="127"/>
      <c r="G513" s="127"/>
      <c r="H513" s="127"/>
      <c r="I513" s="127"/>
      <c r="J513" s="127"/>
      <c r="K513" s="127"/>
      <c r="L513" s="127"/>
      <c r="M513" s="127"/>
      <c r="N513" s="127"/>
      <c r="O513" s="127"/>
      <c r="P513" s="127"/>
      <c r="Q513" s="127"/>
      <c r="R513" s="127"/>
      <c r="S513" s="127"/>
      <c r="T513" s="127"/>
      <c r="U513" s="127"/>
      <c r="V513" s="127"/>
      <c r="W513" s="127"/>
      <c r="X513" s="127"/>
      <c r="Y513" s="127"/>
      <c r="Z513" s="127"/>
    </row>
    <row r="514" customFormat="false" ht="15.75" hidden="false" customHeight="false" outlineLevel="0" collapsed="false">
      <c r="A514" s="127"/>
      <c r="B514" s="127"/>
      <c r="C514" s="127"/>
      <c r="D514" s="127"/>
      <c r="E514" s="127"/>
      <c r="F514" s="127"/>
      <c r="G514" s="127"/>
      <c r="H514" s="127"/>
      <c r="I514" s="127"/>
      <c r="J514" s="127"/>
      <c r="K514" s="127"/>
      <c r="L514" s="127"/>
      <c r="M514" s="127"/>
      <c r="N514" s="127"/>
      <c r="O514" s="127"/>
      <c r="P514" s="127"/>
      <c r="Q514" s="127"/>
      <c r="R514" s="127"/>
      <c r="S514" s="127"/>
      <c r="T514" s="127"/>
      <c r="U514" s="127"/>
      <c r="V514" s="127"/>
      <c r="W514" s="127"/>
      <c r="X514" s="127"/>
      <c r="Y514" s="127"/>
      <c r="Z514" s="127"/>
    </row>
    <row r="515" customFormat="false" ht="15.75" hidden="false" customHeight="false" outlineLevel="0" collapsed="false">
      <c r="A515" s="127"/>
      <c r="B515" s="127"/>
      <c r="C515" s="127"/>
      <c r="D515" s="127"/>
      <c r="E515" s="127"/>
      <c r="F515" s="127"/>
      <c r="G515" s="127"/>
      <c r="H515" s="127"/>
      <c r="I515" s="127"/>
      <c r="J515" s="127"/>
      <c r="K515" s="127"/>
      <c r="L515" s="127"/>
      <c r="M515" s="127"/>
      <c r="N515" s="127"/>
      <c r="O515" s="127"/>
      <c r="P515" s="127"/>
      <c r="Q515" s="127"/>
      <c r="R515" s="127"/>
      <c r="S515" s="127"/>
      <c r="T515" s="127"/>
      <c r="U515" s="127"/>
      <c r="V515" s="127"/>
      <c r="W515" s="127"/>
      <c r="X515" s="127"/>
      <c r="Y515" s="127"/>
      <c r="Z515" s="127"/>
    </row>
    <row r="516" customFormat="false" ht="15.75" hidden="false" customHeight="false" outlineLevel="0" collapsed="false">
      <c r="A516" s="127"/>
      <c r="B516" s="127"/>
      <c r="C516" s="127"/>
      <c r="D516" s="127"/>
      <c r="E516" s="127"/>
      <c r="F516" s="127"/>
      <c r="G516" s="127"/>
      <c r="H516" s="127"/>
      <c r="I516" s="127"/>
      <c r="J516" s="127"/>
      <c r="K516" s="127"/>
      <c r="L516" s="127"/>
      <c r="M516" s="127"/>
      <c r="N516" s="127"/>
      <c r="O516" s="127"/>
      <c r="P516" s="127"/>
      <c r="Q516" s="127"/>
      <c r="R516" s="127"/>
      <c r="S516" s="127"/>
      <c r="T516" s="127"/>
      <c r="U516" s="127"/>
      <c r="V516" s="127"/>
      <c r="W516" s="127"/>
      <c r="X516" s="127"/>
      <c r="Y516" s="127"/>
      <c r="Z516" s="127"/>
    </row>
    <row r="517" customFormat="false" ht="15.75" hidden="false" customHeight="false" outlineLevel="0" collapsed="false">
      <c r="A517" s="127"/>
      <c r="B517" s="127"/>
      <c r="C517" s="127"/>
      <c r="D517" s="127"/>
      <c r="E517" s="127"/>
      <c r="F517" s="127"/>
      <c r="G517" s="127"/>
      <c r="H517" s="127"/>
      <c r="I517" s="127"/>
      <c r="J517" s="127"/>
      <c r="K517" s="127"/>
      <c r="L517" s="127"/>
      <c r="M517" s="127"/>
      <c r="N517" s="127"/>
      <c r="O517" s="127"/>
      <c r="P517" s="127"/>
      <c r="Q517" s="127"/>
      <c r="R517" s="127"/>
      <c r="S517" s="127"/>
      <c r="T517" s="127"/>
      <c r="U517" s="127"/>
      <c r="V517" s="127"/>
      <c r="W517" s="127"/>
      <c r="X517" s="127"/>
      <c r="Y517" s="127"/>
      <c r="Z517" s="127"/>
    </row>
    <row r="518" customFormat="false" ht="15.75" hidden="false" customHeight="false" outlineLevel="0" collapsed="false">
      <c r="A518" s="127"/>
      <c r="B518" s="127"/>
      <c r="C518" s="127"/>
      <c r="D518" s="127"/>
      <c r="E518" s="127"/>
      <c r="F518" s="127"/>
      <c r="G518" s="127"/>
      <c r="H518" s="127"/>
      <c r="I518" s="127"/>
      <c r="J518" s="127"/>
      <c r="K518" s="127"/>
      <c r="L518" s="127"/>
      <c r="M518" s="127"/>
      <c r="N518" s="127"/>
      <c r="O518" s="127"/>
      <c r="P518" s="127"/>
      <c r="Q518" s="127"/>
      <c r="R518" s="127"/>
      <c r="S518" s="127"/>
      <c r="T518" s="127"/>
      <c r="U518" s="127"/>
      <c r="V518" s="127"/>
      <c r="W518" s="127"/>
      <c r="X518" s="127"/>
      <c r="Y518" s="127"/>
      <c r="Z518" s="127"/>
    </row>
    <row r="519" customFormat="false" ht="15.75" hidden="false" customHeight="false" outlineLevel="0" collapsed="false">
      <c r="A519" s="127"/>
      <c r="B519" s="127"/>
      <c r="C519" s="127"/>
      <c r="D519" s="127"/>
      <c r="E519" s="127"/>
      <c r="F519" s="127"/>
      <c r="G519" s="127"/>
      <c r="H519" s="127"/>
      <c r="I519" s="127"/>
      <c r="J519" s="127"/>
      <c r="K519" s="127"/>
      <c r="L519" s="127"/>
      <c r="M519" s="127"/>
      <c r="N519" s="127"/>
      <c r="O519" s="127"/>
      <c r="P519" s="127"/>
      <c r="Q519" s="127"/>
      <c r="R519" s="127"/>
      <c r="S519" s="127"/>
      <c r="T519" s="127"/>
      <c r="U519" s="127"/>
      <c r="V519" s="127"/>
      <c r="W519" s="127"/>
      <c r="X519" s="127"/>
      <c r="Y519" s="127"/>
      <c r="Z519" s="127"/>
    </row>
    <row r="520" customFormat="false" ht="15.75" hidden="false" customHeight="false" outlineLevel="0" collapsed="false">
      <c r="A520" s="127"/>
      <c r="B520" s="127"/>
      <c r="C520" s="127"/>
      <c r="D520" s="127"/>
      <c r="E520" s="127"/>
      <c r="F520" s="127"/>
      <c r="G520" s="127"/>
      <c r="H520" s="127"/>
      <c r="I520" s="127"/>
      <c r="J520" s="127"/>
      <c r="K520" s="127"/>
      <c r="L520" s="127"/>
      <c r="M520" s="127"/>
      <c r="N520" s="127"/>
      <c r="O520" s="127"/>
      <c r="P520" s="127"/>
      <c r="Q520" s="127"/>
      <c r="R520" s="127"/>
      <c r="S520" s="127"/>
      <c r="T520" s="127"/>
      <c r="U520" s="127"/>
      <c r="V520" s="127"/>
      <c r="W520" s="127"/>
      <c r="X520" s="127"/>
      <c r="Y520" s="127"/>
      <c r="Z520" s="127"/>
    </row>
    <row r="521" customFormat="false" ht="15.75" hidden="false" customHeight="false" outlineLevel="0" collapsed="false">
      <c r="A521" s="127"/>
      <c r="B521" s="127"/>
      <c r="C521" s="127"/>
      <c r="D521" s="127"/>
      <c r="E521" s="127"/>
      <c r="F521" s="127"/>
      <c r="G521" s="127"/>
      <c r="H521" s="127"/>
      <c r="I521" s="127"/>
      <c r="J521" s="127"/>
      <c r="K521" s="127"/>
      <c r="L521" s="127"/>
      <c r="M521" s="127"/>
      <c r="N521" s="127"/>
      <c r="O521" s="127"/>
      <c r="P521" s="127"/>
      <c r="Q521" s="127"/>
      <c r="R521" s="127"/>
      <c r="S521" s="127"/>
      <c r="T521" s="127"/>
      <c r="U521" s="127"/>
      <c r="V521" s="127"/>
      <c r="W521" s="127"/>
      <c r="X521" s="127"/>
      <c r="Y521" s="127"/>
      <c r="Z521" s="127"/>
    </row>
    <row r="522" customFormat="false" ht="15.75" hidden="false" customHeight="false" outlineLevel="0" collapsed="false">
      <c r="A522" s="127"/>
      <c r="B522" s="127"/>
      <c r="C522" s="127"/>
      <c r="D522" s="127"/>
      <c r="E522" s="127"/>
      <c r="F522" s="127"/>
      <c r="G522" s="127"/>
      <c r="H522" s="127"/>
      <c r="I522" s="127"/>
      <c r="J522" s="127"/>
      <c r="K522" s="127"/>
      <c r="L522" s="127"/>
      <c r="M522" s="127"/>
      <c r="N522" s="127"/>
      <c r="O522" s="127"/>
      <c r="P522" s="127"/>
      <c r="Q522" s="127"/>
      <c r="R522" s="127"/>
      <c r="S522" s="127"/>
      <c r="T522" s="127"/>
      <c r="U522" s="127"/>
      <c r="V522" s="127"/>
      <c r="W522" s="127"/>
      <c r="X522" s="127"/>
      <c r="Y522" s="127"/>
      <c r="Z522" s="127"/>
    </row>
    <row r="523" customFormat="false" ht="15.75" hidden="false" customHeight="false" outlineLevel="0" collapsed="false">
      <c r="A523" s="127"/>
      <c r="B523" s="127"/>
      <c r="C523" s="127"/>
      <c r="D523" s="127"/>
      <c r="E523" s="127"/>
      <c r="F523" s="127"/>
      <c r="G523" s="127"/>
      <c r="H523" s="127"/>
      <c r="I523" s="127"/>
      <c r="J523" s="127"/>
      <c r="K523" s="127"/>
      <c r="L523" s="127"/>
      <c r="M523" s="127"/>
      <c r="N523" s="127"/>
      <c r="O523" s="127"/>
      <c r="P523" s="127"/>
      <c r="Q523" s="127"/>
      <c r="R523" s="127"/>
      <c r="S523" s="127"/>
      <c r="T523" s="127"/>
      <c r="U523" s="127"/>
      <c r="V523" s="127"/>
      <c r="W523" s="127"/>
      <c r="X523" s="127"/>
      <c r="Y523" s="127"/>
      <c r="Z523" s="127"/>
    </row>
    <row r="524" customFormat="false" ht="15.75" hidden="false" customHeight="false" outlineLevel="0" collapsed="false">
      <c r="A524" s="127"/>
      <c r="B524" s="127"/>
      <c r="C524" s="127"/>
      <c r="D524" s="127"/>
      <c r="E524" s="127"/>
      <c r="F524" s="127"/>
      <c r="G524" s="127"/>
      <c r="H524" s="127"/>
      <c r="I524" s="127"/>
      <c r="J524" s="127"/>
      <c r="K524" s="127"/>
      <c r="L524" s="127"/>
      <c r="M524" s="127"/>
      <c r="N524" s="127"/>
      <c r="O524" s="127"/>
      <c r="P524" s="127"/>
      <c r="Q524" s="127"/>
      <c r="R524" s="127"/>
      <c r="S524" s="127"/>
      <c r="T524" s="127"/>
      <c r="U524" s="127"/>
      <c r="V524" s="127"/>
      <c r="W524" s="127"/>
      <c r="X524" s="127"/>
      <c r="Y524" s="127"/>
      <c r="Z524" s="127"/>
    </row>
    <row r="525" customFormat="false" ht="15.75" hidden="false" customHeight="false" outlineLevel="0" collapsed="false">
      <c r="A525" s="127"/>
      <c r="B525" s="127"/>
      <c r="C525" s="127"/>
      <c r="D525" s="127"/>
      <c r="E525" s="127"/>
      <c r="F525" s="127"/>
      <c r="G525" s="127"/>
      <c r="H525" s="127"/>
      <c r="I525" s="127"/>
      <c r="J525" s="127"/>
      <c r="K525" s="127"/>
      <c r="L525" s="127"/>
      <c r="M525" s="127"/>
      <c r="N525" s="127"/>
      <c r="O525" s="127"/>
      <c r="P525" s="127"/>
      <c r="Q525" s="127"/>
      <c r="R525" s="127"/>
      <c r="S525" s="127"/>
      <c r="T525" s="127"/>
      <c r="U525" s="127"/>
      <c r="V525" s="127"/>
      <c r="W525" s="127"/>
      <c r="X525" s="127"/>
      <c r="Y525" s="127"/>
      <c r="Z525" s="127"/>
    </row>
    <row r="526" customFormat="false" ht="15.75" hidden="false" customHeight="false" outlineLevel="0" collapsed="false">
      <c r="A526" s="127"/>
      <c r="B526" s="127"/>
      <c r="C526" s="127"/>
      <c r="D526" s="127"/>
      <c r="E526" s="127"/>
      <c r="F526" s="127"/>
      <c r="G526" s="127"/>
      <c r="H526" s="127"/>
      <c r="I526" s="127"/>
      <c r="J526" s="127"/>
      <c r="K526" s="127"/>
      <c r="L526" s="127"/>
      <c r="M526" s="127"/>
      <c r="N526" s="127"/>
      <c r="O526" s="127"/>
      <c r="P526" s="127"/>
      <c r="Q526" s="127"/>
      <c r="R526" s="127"/>
      <c r="S526" s="127"/>
      <c r="T526" s="127"/>
      <c r="U526" s="127"/>
      <c r="V526" s="127"/>
      <c r="W526" s="127"/>
      <c r="X526" s="127"/>
      <c r="Y526" s="127"/>
      <c r="Z526" s="127"/>
    </row>
    <row r="527" customFormat="false" ht="15.75" hidden="false" customHeight="false" outlineLevel="0" collapsed="false">
      <c r="A527" s="127"/>
      <c r="B527" s="127"/>
      <c r="C527" s="127"/>
      <c r="D527" s="127"/>
      <c r="E527" s="127"/>
      <c r="F527" s="127"/>
      <c r="G527" s="127"/>
      <c r="H527" s="127"/>
      <c r="I527" s="127"/>
      <c r="J527" s="127"/>
      <c r="K527" s="127"/>
      <c r="L527" s="127"/>
      <c r="M527" s="127"/>
      <c r="N527" s="127"/>
      <c r="O527" s="127"/>
      <c r="P527" s="127"/>
      <c r="Q527" s="127"/>
      <c r="R527" s="127"/>
      <c r="S527" s="127"/>
      <c r="T527" s="127"/>
      <c r="U527" s="127"/>
      <c r="V527" s="127"/>
      <c r="W527" s="127"/>
      <c r="X527" s="127"/>
      <c r="Y527" s="127"/>
      <c r="Z527" s="127"/>
    </row>
    <row r="528" customFormat="false" ht="15.75" hidden="false" customHeight="false" outlineLevel="0" collapsed="false">
      <c r="A528" s="127"/>
      <c r="B528" s="127"/>
      <c r="C528" s="127"/>
      <c r="D528" s="127"/>
      <c r="E528" s="127"/>
      <c r="F528" s="127"/>
      <c r="G528" s="127"/>
      <c r="H528" s="127"/>
      <c r="I528" s="127"/>
      <c r="J528" s="127"/>
      <c r="K528" s="127"/>
      <c r="L528" s="127"/>
      <c r="M528" s="127"/>
      <c r="N528" s="127"/>
      <c r="O528" s="127"/>
      <c r="P528" s="127"/>
      <c r="Q528" s="127"/>
      <c r="R528" s="127"/>
      <c r="S528" s="127"/>
      <c r="T528" s="127"/>
      <c r="U528" s="127"/>
      <c r="V528" s="127"/>
      <c r="W528" s="127"/>
      <c r="X528" s="127"/>
      <c r="Y528" s="127"/>
      <c r="Z528" s="127"/>
    </row>
    <row r="529" customFormat="false" ht="15.75" hidden="false" customHeight="false" outlineLevel="0" collapsed="false">
      <c r="A529" s="127"/>
      <c r="B529" s="127"/>
      <c r="C529" s="127"/>
      <c r="D529" s="127"/>
      <c r="E529" s="127"/>
      <c r="F529" s="127"/>
      <c r="G529" s="127"/>
      <c r="H529" s="127"/>
      <c r="I529" s="127"/>
      <c r="J529" s="127"/>
      <c r="K529" s="127"/>
      <c r="L529" s="127"/>
      <c r="M529" s="127"/>
      <c r="N529" s="127"/>
      <c r="O529" s="127"/>
      <c r="P529" s="127"/>
      <c r="Q529" s="127"/>
      <c r="R529" s="127"/>
      <c r="S529" s="127"/>
      <c r="T529" s="127"/>
      <c r="U529" s="127"/>
      <c r="V529" s="127"/>
      <c r="W529" s="127"/>
      <c r="X529" s="127"/>
      <c r="Y529" s="127"/>
      <c r="Z529" s="127"/>
    </row>
    <row r="530" customFormat="false" ht="15.75" hidden="false" customHeight="false" outlineLevel="0" collapsed="false">
      <c r="A530" s="127"/>
      <c r="B530" s="127"/>
      <c r="C530" s="127"/>
      <c r="D530" s="127"/>
      <c r="E530" s="127"/>
      <c r="F530" s="127"/>
      <c r="G530" s="127"/>
      <c r="H530" s="127"/>
      <c r="I530" s="127"/>
      <c r="J530" s="127"/>
      <c r="K530" s="127"/>
      <c r="L530" s="127"/>
      <c r="M530" s="127"/>
      <c r="N530" s="127"/>
      <c r="O530" s="127"/>
      <c r="P530" s="127"/>
      <c r="Q530" s="127"/>
      <c r="R530" s="127"/>
      <c r="S530" s="127"/>
      <c r="T530" s="127"/>
      <c r="U530" s="127"/>
      <c r="V530" s="127"/>
      <c r="W530" s="127"/>
      <c r="X530" s="127"/>
      <c r="Y530" s="127"/>
      <c r="Z530" s="127"/>
    </row>
    <row r="531" customFormat="false" ht="15.75" hidden="false" customHeight="false" outlineLevel="0" collapsed="false">
      <c r="A531" s="127"/>
      <c r="B531" s="127"/>
      <c r="C531" s="127"/>
      <c r="D531" s="127"/>
      <c r="E531" s="127"/>
      <c r="F531" s="127"/>
      <c r="G531" s="127"/>
      <c r="H531" s="127"/>
      <c r="I531" s="127"/>
      <c r="J531" s="127"/>
      <c r="K531" s="127"/>
      <c r="L531" s="127"/>
      <c r="M531" s="127"/>
      <c r="N531" s="127"/>
      <c r="O531" s="127"/>
      <c r="P531" s="127"/>
      <c r="Q531" s="127"/>
      <c r="R531" s="127"/>
      <c r="S531" s="127"/>
      <c r="T531" s="127"/>
      <c r="U531" s="127"/>
      <c r="V531" s="127"/>
      <c r="W531" s="127"/>
      <c r="X531" s="127"/>
      <c r="Y531" s="127"/>
      <c r="Z531" s="127"/>
    </row>
    <row r="532" customFormat="false" ht="15.75" hidden="false" customHeight="false" outlineLevel="0" collapsed="false">
      <c r="A532" s="127"/>
      <c r="B532" s="127"/>
      <c r="C532" s="127"/>
      <c r="D532" s="127"/>
      <c r="E532" s="127"/>
      <c r="F532" s="127"/>
      <c r="G532" s="127"/>
      <c r="H532" s="127"/>
      <c r="I532" s="127"/>
      <c r="J532" s="127"/>
      <c r="K532" s="127"/>
      <c r="L532" s="127"/>
      <c r="M532" s="127"/>
      <c r="N532" s="127"/>
      <c r="O532" s="127"/>
      <c r="P532" s="127"/>
      <c r="Q532" s="127"/>
      <c r="R532" s="127"/>
      <c r="S532" s="127"/>
      <c r="T532" s="127"/>
      <c r="U532" s="127"/>
      <c r="V532" s="127"/>
      <c r="W532" s="127"/>
      <c r="X532" s="127"/>
      <c r="Y532" s="127"/>
      <c r="Z532" s="127"/>
    </row>
    <row r="533" customFormat="false" ht="15.75" hidden="false" customHeight="false" outlineLevel="0" collapsed="false">
      <c r="A533" s="127"/>
      <c r="B533" s="127"/>
      <c r="C533" s="127"/>
      <c r="D533" s="127"/>
      <c r="E533" s="127"/>
      <c r="F533" s="127"/>
      <c r="G533" s="127"/>
      <c r="H533" s="127"/>
      <c r="I533" s="127"/>
      <c r="J533" s="127"/>
      <c r="K533" s="127"/>
      <c r="L533" s="127"/>
      <c r="M533" s="127"/>
      <c r="N533" s="127"/>
      <c r="O533" s="127"/>
      <c r="P533" s="127"/>
      <c r="Q533" s="127"/>
      <c r="R533" s="127"/>
      <c r="S533" s="127"/>
      <c r="T533" s="127"/>
      <c r="U533" s="127"/>
      <c r="V533" s="127"/>
      <c r="W533" s="127"/>
      <c r="X533" s="127"/>
      <c r="Y533" s="127"/>
      <c r="Z533" s="127"/>
    </row>
    <row r="534" customFormat="false" ht="15.75" hidden="false" customHeight="false" outlineLevel="0" collapsed="false">
      <c r="A534" s="127"/>
      <c r="B534" s="127"/>
      <c r="C534" s="127"/>
      <c r="D534" s="127"/>
      <c r="E534" s="127"/>
      <c r="F534" s="127"/>
      <c r="G534" s="127"/>
      <c r="H534" s="127"/>
      <c r="I534" s="127"/>
      <c r="J534" s="127"/>
      <c r="K534" s="127"/>
      <c r="L534" s="127"/>
      <c r="M534" s="127"/>
      <c r="N534" s="127"/>
      <c r="O534" s="127"/>
      <c r="P534" s="127"/>
      <c r="Q534" s="127"/>
      <c r="R534" s="127"/>
      <c r="S534" s="127"/>
      <c r="T534" s="127"/>
      <c r="U534" s="127"/>
      <c r="V534" s="127"/>
      <c r="W534" s="127"/>
      <c r="X534" s="127"/>
      <c r="Y534" s="127"/>
      <c r="Z534" s="127"/>
    </row>
    <row r="535" customFormat="false" ht="15.75" hidden="false" customHeight="false" outlineLevel="0" collapsed="false">
      <c r="A535" s="127"/>
      <c r="B535" s="127"/>
      <c r="C535" s="127"/>
      <c r="D535" s="127"/>
      <c r="E535" s="127"/>
      <c r="F535" s="127"/>
      <c r="G535" s="127"/>
      <c r="H535" s="127"/>
      <c r="I535" s="127"/>
      <c r="J535" s="127"/>
      <c r="K535" s="127"/>
      <c r="L535" s="127"/>
      <c r="M535" s="127"/>
      <c r="N535" s="127"/>
      <c r="O535" s="127"/>
      <c r="P535" s="127"/>
      <c r="Q535" s="127"/>
      <c r="R535" s="127"/>
      <c r="S535" s="127"/>
      <c r="T535" s="127"/>
      <c r="U535" s="127"/>
      <c r="V535" s="127"/>
      <c r="W535" s="127"/>
      <c r="X535" s="127"/>
      <c r="Y535" s="127"/>
      <c r="Z535" s="127"/>
    </row>
    <row r="536" customFormat="false" ht="15.75" hidden="false" customHeight="false" outlineLevel="0" collapsed="false">
      <c r="A536" s="127"/>
      <c r="B536" s="127"/>
      <c r="C536" s="127"/>
      <c r="D536" s="127"/>
      <c r="E536" s="127"/>
      <c r="F536" s="127"/>
      <c r="G536" s="127"/>
      <c r="H536" s="127"/>
      <c r="I536" s="127"/>
      <c r="J536" s="127"/>
      <c r="K536" s="127"/>
      <c r="L536" s="127"/>
      <c r="M536" s="127"/>
      <c r="N536" s="127"/>
      <c r="O536" s="127"/>
      <c r="P536" s="127"/>
      <c r="Q536" s="127"/>
      <c r="R536" s="127"/>
      <c r="S536" s="127"/>
      <c r="T536" s="127"/>
      <c r="U536" s="127"/>
      <c r="V536" s="127"/>
      <c r="W536" s="127"/>
      <c r="X536" s="127"/>
      <c r="Y536" s="127"/>
      <c r="Z536" s="127"/>
    </row>
    <row r="537" customFormat="false" ht="15.75" hidden="false" customHeight="false" outlineLevel="0" collapsed="false">
      <c r="A537" s="127"/>
      <c r="B537" s="127"/>
      <c r="C537" s="127"/>
      <c r="D537" s="127"/>
      <c r="E537" s="127"/>
      <c r="F537" s="127"/>
      <c r="G537" s="127"/>
      <c r="H537" s="127"/>
      <c r="I537" s="127"/>
      <c r="J537" s="127"/>
      <c r="K537" s="127"/>
      <c r="L537" s="127"/>
      <c r="M537" s="127"/>
      <c r="N537" s="127"/>
      <c r="O537" s="127"/>
      <c r="P537" s="127"/>
      <c r="Q537" s="127"/>
      <c r="R537" s="127"/>
      <c r="S537" s="127"/>
      <c r="T537" s="127"/>
      <c r="U537" s="127"/>
      <c r="V537" s="127"/>
      <c r="W537" s="127"/>
      <c r="X537" s="127"/>
      <c r="Y537" s="127"/>
      <c r="Z537" s="127"/>
    </row>
    <row r="538" customFormat="false" ht="15.75" hidden="false" customHeight="false" outlineLevel="0" collapsed="false">
      <c r="A538" s="127"/>
      <c r="B538" s="127"/>
      <c r="C538" s="127"/>
      <c r="D538" s="127"/>
      <c r="E538" s="127"/>
      <c r="F538" s="127"/>
      <c r="G538" s="127"/>
      <c r="H538" s="127"/>
      <c r="I538" s="127"/>
      <c r="J538" s="127"/>
      <c r="K538" s="127"/>
      <c r="L538" s="127"/>
      <c r="M538" s="127"/>
      <c r="N538" s="127"/>
      <c r="O538" s="127"/>
      <c r="P538" s="127"/>
      <c r="Q538" s="127"/>
      <c r="R538" s="127"/>
      <c r="S538" s="127"/>
      <c r="T538" s="127"/>
      <c r="U538" s="127"/>
      <c r="V538" s="127"/>
      <c r="W538" s="127"/>
      <c r="X538" s="127"/>
      <c r="Y538" s="127"/>
      <c r="Z538" s="127"/>
    </row>
    <row r="539" customFormat="false" ht="15.75" hidden="false" customHeight="false" outlineLevel="0" collapsed="false">
      <c r="A539" s="127"/>
      <c r="B539" s="127"/>
      <c r="C539" s="127"/>
      <c r="D539" s="127"/>
      <c r="E539" s="127"/>
      <c r="F539" s="127"/>
      <c r="G539" s="127"/>
      <c r="H539" s="127"/>
      <c r="I539" s="127"/>
      <c r="J539" s="127"/>
      <c r="K539" s="127"/>
      <c r="L539" s="127"/>
      <c r="M539" s="127"/>
      <c r="N539" s="127"/>
      <c r="O539" s="127"/>
      <c r="P539" s="127"/>
      <c r="Q539" s="127"/>
      <c r="R539" s="127"/>
      <c r="S539" s="127"/>
      <c r="T539" s="127"/>
      <c r="U539" s="127"/>
      <c r="V539" s="127"/>
      <c r="W539" s="127"/>
      <c r="X539" s="127"/>
      <c r="Y539" s="127"/>
      <c r="Z539" s="127"/>
    </row>
    <row r="540" customFormat="false" ht="15.75" hidden="false" customHeight="false" outlineLevel="0" collapsed="false">
      <c r="A540" s="127"/>
      <c r="B540" s="127"/>
      <c r="C540" s="127"/>
      <c r="D540" s="127"/>
      <c r="E540" s="127"/>
      <c r="F540" s="127"/>
      <c r="G540" s="127"/>
      <c r="H540" s="127"/>
      <c r="I540" s="127"/>
      <c r="J540" s="127"/>
      <c r="K540" s="127"/>
      <c r="L540" s="127"/>
      <c r="M540" s="127"/>
      <c r="N540" s="127"/>
      <c r="O540" s="127"/>
      <c r="P540" s="127"/>
      <c r="Q540" s="127"/>
      <c r="R540" s="127"/>
      <c r="S540" s="127"/>
      <c r="T540" s="127"/>
      <c r="U540" s="127"/>
      <c r="V540" s="127"/>
      <c r="W540" s="127"/>
      <c r="X540" s="127"/>
      <c r="Y540" s="127"/>
      <c r="Z540" s="127"/>
    </row>
    <row r="541" customFormat="false" ht="15.75" hidden="false" customHeight="false" outlineLevel="0" collapsed="false">
      <c r="A541" s="127"/>
      <c r="B541" s="127"/>
      <c r="C541" s="127"/>
      <c r="D541" s="127"/>
      <c r="E541" s="127"/>
      <c r="F541" s="127"/>
      <c r="G541" s="127"/>
      <c r="H541" s="127"/>
      <c r="I541" s="127"/>
      <c r="J541" s="127"/>
      <c r="K541" s="127"/>
      <c r="L541" s="127"/>
      <c r="M541" s="127"/>
      <c r="N541" s="127"/>
      <c r="O541" s="127"/>
      <c r="P541" s="127"/>
      <c r="Q541" s="127"/>
      <c r="R541" s="127"/>
      <c r="S541" s="127"/>
      <c r="T541" s="127"/>
      <c r="U541" s="127"/>
      <c r="V541" s="127"/>
      <c r="W541" s="127"/>
      <c r="X541" s="127"/>
      <c r="Y541" s="127"/>
      <c r="Z541" s="127"/>
    </row>
    <row r="542" customFormat="false" ht="15.75" hidden="false" customHeight="false" outlineLevel="0" collapsed="false">
      <c r="A542" s="127"/>
      <c r="B542" s="127"/>
      <c r="C542" s="127"/>
      <c r="D542" s="127"/>
      <c r="E542" s="127"/>
      <c r="F542" s="127"/>
      <c r="G542" s="127"/>
      <c r="H542" s="127"/>
      <c r="I542" s="127"/>
      <c r="J542" s="127"/>
      <c r="K542" s="127"/>
      <c r="L542" s="127"/>
      <c r="M542" s="127"/>
      <c r="N542" s="127"/>
      <c r="O542" s="127"/>
      <c r="P542" s="127"/>
      <c r="Q542" s="127"/>
      <c r="R542" s="127"/>
      <c r="S542" s="127"/>
      <c r="T542" s="127"/>
      <c r="U542" s="127"/>
      <c r="V542" s="127"/>
      <c r="W542" s="127"/>
      <c r="X542" s="127"/>
      <c r="Y542" s="127"/>
      <c r="Z542" s="127"/>
    </row>
    <row r="543" customFormat="false" ht="15.75" hidden="false" customHeight="false" outlineLevel="0" collapsed="false">
      <c r="A543" s="127"/>
      <c r="B543" s="127"/>
      <c r="C543" s="127"/>
      <c r="D543" s="127"/>
      <c r="E543" s="127"/>
      <c r="F543" s="127"/>
      <c r="G543" s="127"/>
      <c r="H543" s="127"/>
      <c r="I543" s="127"/>
      <c r="J543" s="127"/>
      <c r="K543" s="127"/>
      <c r="L543" s="127"/>
      <c r="M543" s="127"/>
      <c r="N543" s="127"/>
      <c r="O543" s="127"/>
      <c r="P543" s="127"/>
      <c r="Q543" s="127"/>
      <c r="R543" s="127"/>
      <c r="S543" s="127"/>
      <c r="T543" s="127"/>
      <c r="U543" s="127"/>
      <c r="V543" s="127"/>
      <c r="W543" s="127"/>
      <c r="X543" s="127"/>
      <c r="Y543" s="127"/>
      <c r="Z543" s="127"/>
    </row>
    <row r="544" customFormat="false" ht="15.75" hidden="false" customHeight="false" outlineLevel="0" collapsed="false">
      <c r="A544" s="127"/>
      <c r="B544" s="127"/>
      <c r="C544" s="127"/>
      <c r="D544" s="127"/>
      <c r="E544" s="127"/>
      <c r="F544" s="127"/>
      <c r="G544" s="127"/>
      <c r="H544" s="127"/>
      <c r="I544" s="127"/>
      <c r="J544" s="127"/>
      <c r="K544" s="127"/>
      <c r="L544" s="127"/>
      <c r="M544" s="127"/>
      <c r="N544" s="127"/>
      <c r="O544" s="127"/>
      <c r="P544" s="127"/>
      <c r="Q544" s="127"/>
      <c r="R544" s="127"/>
      <c r="S544" s="127"/>
      <c r="T544" s="127"/>
      <c r="U544" s="127"/>
      <c r="V544" s="127"/>
      <c r="W544" s="127"/>
      <c r="X544" s="127"/>
      <c r="Y544" s="127"/>
      <c r="Z544" s="127"/>
    </row>
    <row r="545" customFormat="false" ht="15.75" hidden="false" customHeight="false" outlineLevel="0" collapsed="false">
      <c r="A545" s="127"/>
      <c r="B545" s="127"/>
      <c r="C545" s="127"/>
      <c r="D545" s="127"/>
      <c r="E545" s="127"/>
      <c r="F545" s="127"/>
      <c r="G545" s="127"/>
      <c r="H545" s="127"/>
      <c r="I545" s="127"/>
      <c r="J545" s="127"/>
      <c r="K545" s="127"/>
      <c r="L545" s="127"/>
      <c r="M545" s="127"/>
      <c r="N545" s="127"/>
      <c r="O545" s="127"/>
      <c r="P545" s="127"/>
      <c r="Q545" s="127"/>
      <c r="R545" s="127"/>
      <c r="S545" s="127"/>
      <c r="T545" s="127"/>
      <c r="U545" s="127"/>
      <c r="V545" s="127"/>
      <c r="W545" s="127"/>
      <c r="X545" s="127"/>
      <c r="Y545" s="127"/>
      <c r="Z545" s="127"/>
    </row>
    <row r="546" customFormat="false" ht="15.75" hidden="false" customHeight="false" outlineLevel="0" collapsed="false">
      <c r="A546" s="127"/>
      <c r="B546" s="127"/>
      <c r="C546" s="127"/>
      <c r="D546" s="127"/>
      <c r="E546" s="127"/>
      <c r="F546" s="127"/>
      <c r="G546" s="127"/>
      <c r="H546" s="127"/>
      <c r="I546" s="127"/>
      <c r="J546" s="127"/>
      <c r="K546" s="127"/>
      <c r="L546" s="127"/>
      <c r="M546" s="127"/>
      <c r="N546" s="127"/>
      <c r="O546" s="127"/>
      <c r="P546" s="127"/>
      <c r="Q546" s="127"/>
      <c r="R546" s="127"/>
      <c r="S546" s="127"/>
      <c r="T546" s="127"/>
      <c r="U546" s="127"/>
      <c r="V546" s="127"/>
      <c r="W546" s="127"/>
      <c r="X546" s="127"/>
      <c r="Y546" s="127"/>
      <c r="Z546" s="127"/>
    </row>
    <row r="547" customFormat="false" ht="15.75" hidden="false" customHeight="false" outlineLevel="0" collapsed="false">
      <c r="A547" s="127"/>
      <c r="B547" s="127"/>
      <c r="C547" s="127"/>
      <c r="D547" s="127"/>
      <c r="E547" s="127"/>
      <c r="F547" s="127"/>
      <c r="G547" s="127"/>
      <c r="H547" s="127"/>
      <c r="I547" s="127"/>
      <c r="J547" s="127"/>
      <c r="K547" s="127"/>
      <c r="L547" s="127"/>
      <c r="M547" s="127"/>
      <c r="N547" s="127"/>
      <c r="O547" s="127"/>
      <c r="P547" s="127"/>
      <c r="Q547" s="127"/>
      <c r="R547" s="127"/>
      <c r="S547" s="127"/>
      <c r="T547" s="127"/>
      <c r="U547" s="127"/>
      <c r="V547" s="127"/>
      <c r="W547" s="127"/>
      <c r="X547" s="127"/>
      <c r="Y547" s="127"/>
      <c r="Z547" s="127"/>
    </row>
    <row r="548" customFormat="false" ht="15.75" hidden="false" customHeight="false" outlineLevel="0" collapsed="false">
      <c r="A548" s="127"/>
      <c r="B548" s="127"/>
      <c r="C548" s="127"/>
      <c r="D548" s="127"/>
      <c r="E548" s="127"/>
      <c r="F548" s="127"/>
      <c r="G548" s="127"/>
      <c r="H548" s="127"/>
      <c r="I548" s="127"/>
      <c r="J548" s="127"/>
      <c r="K548" s="127"/>
      <c r="L548" s="127"/>
      <c r="M548" s="127"/>
      <c r="N548" s="127"/>
      <c r="O548" s="127"/>
      <c r="P548" s="127"/>
      <c r="Q548" s="127"/>
      <c r="R548" s="127"/>
      <c r="S548" s="127"/>
      <c r="T548" s="127"/>
      <c r="U548" s="127"/>
      <c r="V548" s="127"/>
      <c r="W548" s="127"/>
      <c r="X548" s="127"/>
      <c r="Y548" s="127"/>
      <c r="Z548" s="127"/>
    </row>
    <row r="549" customFormat="false" ht="15.75" hidden="false" customHeight="false" outlineLevel="0" collapsed="false">
      <c r="A549" s="127"/>
      <c r="B549" s="127"/>
      <c r="C549" s="127"/>
      <c r="D549" s="127"/>
      <c r="E549" s="127"/>
      <c r="F549" s="127"/>
      <c r="G549" s="127"/>
      <c r="H549" s="127"/>
      <c r="I549" s="127"/>
      <c r="J549" s="127"/>
      <c r="K549" s="127"/>
      <c r="L549" s="127"/>
      <c r="M549" s="127"/>
      <c r="N549" s="127"/>
      <c r="O549" s="127"/>
      <c r="P549" s="127"/>
      <c r="Q549" s="127"/>
      <c r="R549" s="127"/>
      <c r="S549" s="127"/>
      <c r="T549" s="127"/>
      <c r="U549" s="127"/>
      <c r="V549" s="127"/>
      <c r="W549" s="127"/>
      <c r="X549" s="127"/>
      <c r="Y549" s="127"/>
      <c r="Z549" s="127"/>
    </row>
    <row r="550" customFormat="false" ht="15.75" hidden="false" customHeight="false" outlineLevel="0" collapsed="false">
      <c r="A550" s="127"/>
      <c r="B550" s="127"/>
      <c r="C550" s="127"/>
      <c r="D550" s="127"/>
      <c r="E550" s="127"/>
      <c r="F550" s="127"/>
      <c r="G550" s="127"/>
      <c r="H550" s="127"/>
      <c r="I550" s="127"/>
      <c r="J550" s="127"/>
      <c r="K550" s="127"/>
      <c r="L550" s="127"/>
      <c r="M550" s="127"/>
      <c r="N550" s="127"/>
      <c r="O550" s="127"/>
      <c r="P550" s="127"/>
      <c r="Q550" s="127"/>
      <c r="R550" s="127"/>
      <c r="S550" s="127"/>
      <c r="T550" s="127"/>
      <c r="U550" s="127"/>
      <c r="V550" s="127"/>
      <c r="W550" s="127"/>
      <c r="X550" s="127"/>
      <c r="Y550" s="127"/>
      <c r="Z550" s="127"/>
    </row>
    <row r="551" customFormat="false" ht="15.75" hidden="false" customHeight="false" outlineLevel="0" collapsed="false">
      <c r="A551" s="127"/>
      <c r="B551" s="127"/>
      <c r="C551" s="127"/>
      <c r="D551" s="127"/>
      <c r="E551" s="127"/>
      <c r="F551" s="127"/>
      <c r="G551" s="127"/>
      <c r="H551" s="127"/>
      <c r="I551" s="127"/>
      <c r="J551" s="127"/>
      <c r="K551" s="127"/>
      <c r="L551" s="127"/>
      <c r="M551" s="127"/>
      <c r="N551" s="127"/>
      <c r="O551" s="127"/>
      <c r="P551" s="127"/>
      <c r="Q551" s="127"/>
      <c r="R551" s="127"/>
      <c r="S551" s="127"/>
      <c r="T551" s="127"/>
      <c r="U551" s="127"/>
      <c r="V551" s="127"/>
      <c r="W551" s="127"/>
      <c r="X551" s="127"/>
      <c r="Y551" s="127"/>
      <c r="Z551" s="127"/>
    </row>
    <row r="552" customFormat="false" ht="15.75" hidden="false" customHeight="false" outlineLevel="0" collapsed="false">
      <c r="A552" s="127"/>
      <c r="B552" s="127"/>
      <c r="C552" s="127"/>
      <c r="D552" s="127"/>
      <c r="E552" s="127"/>
      <c r="F552" s="127"/>
      <c r="G552" s="127"/>
      <c r="H552" s="127"/>
      <c r="I552" s="127"/>
      <c r="J552" s="127"/>
      <c r="K552" s="127"/>
      <c r="L552" s="127"/>
      <c r="M552" s="127"/>
      <c r="N552" s="127"/>
      <c r="O552" s="127"/>
      <c r="P552" s="127"/>
      <c r="Q552" s="127"/>
      <c r="R552" s="127"/>
      <c r="S552" s="127"/>
      <c r="T552" s="127"/>
      <c r="U552" s="127"/>
      <c r="V552" s="127"/>
      <c r="W552" s="127"/>
      <c r="X552" s="127"/>
      <c r="Y552" s="127"/>
      <c r="Z552" s="127"/>
    </row>
    <row r="553" customFormat="false" ht="15.75" hidden="false" customHeight="false" outlineLevel="0" collapsed="false">
      <c r="A553" s="127"/>
      <c r="B553" s="127"/>
      <c r="C553" s="127"/>
      <c r="D553" s="127"/>
      <c r="E553" s="127"/>
      <c r="F553" s="127"/>
      <c r="G553" s="127"/>
      <c r="H553" s="127"/>
      <c r="I553" s="127"/>
      <c r="J553" s="127"/>
      <c r="K553" s="127"/>
      <c r="L553" s="127"/>
      <c r="M553" s="127"/>
      <c r="N553" s="127"/>
      <c r="O553" s="127"/>
      <c r="P553" s="127"/>
      <c r="Q553" s="127"/>
      <c r="R553" s="127"/>
      <c r="S553" s="127"/>
      <c r="T553" s="127"/>
      <c r="U553" s="127"/>
      <c r="V553" s="127"/>
      <c r="W553" s="127"/>
      <c r="X553" s="127"/>
      <c r="Y553" s="127"/>
      <c r="Z553" s="127"/>
    </row>
    <row r="554" customFormat="false" ht="15.75" hidden="false" customHeight="false" outlineLevel="0" collapsed="false">
      <c r="A554" s="127"/>
      <c r="B554" s="127"/>
      <c r="C554" s="127"/>
      <c r="D554" s="127"/>
      <c r="E554" s="127"/>
      <c r="F554" s="127"/>
      <c r="G554" s="127"/>
      <c r="H554" s="127"/>
      <c r="I554" s="127"/>
      <c r="J554" s="127"/>
      <c r="K554" s="127"/>
      <c r="L554" s="127"/>
      <c r="M554" s="127"/>
      <c r="N554" s="127"/>
      <c r="O554" s="127"/>
      <c r="P554" s="127"/>
      <c r="Q554" s="127"/>
      <c r="R554" s="127"/>
      <c r="S554" s="127"/>
      <c r="T554" s="127"/>
      <c r="U554" s="127"/>
      <c r="V554" s="127"/>
      <c r="W554" s="127"/>
      <c r="X554" s="127"/>
      <c r="Y554" s="127"/>
      <c r="Z554" s="127"/>
    </row>
    <row r="555" customFormat="false" ht="15.75" hidden="false" customHeight="false" outlineLevel="0" collapsed="false">
      <c r="A555" s="127"/>
      <c r="B555" s="127"/>
      <c r="C555" s="127"/>
      <c r="D555" s="127"/>
      <c r="E555" s="127"/>
      <c r="F555" s="127"/>
      <c r="G555" s="127"/>
      <c r="H555" s="127"/>
      <c r="I555" s="127"/>
      <c r="J555" s="127"/>
      <c r="K555" s="127"/>
      <c r="L555" s="127"/>
      <c r="M555" s="127"/>
      <c r="N555" s="127"/>
      <c r="O555" s="127"/>
      <c r="P555" s="127"/>
      <c r="Q555" s="127"/>
      <c r="R555" s="127"/>
      <c r="S555" s="127"/>
      <c r="T555" s="127"/>
      <c r="U555" s="127"/>
      <c r="V555" s="127"/>
      <c r="W555" s="127"/>
      <c r="X555" s="127"/>
      <c r="Y555" s="127"/>
      <c r="Z555" s="127"/>
    </row>
    <row r="556" customFormat="false" ht="15.75" hidden="false" customHeight="false" outlineLevel="0" collapsed="false">
      <c r="A556" s="127"/>
      <c r="B556" s="127"/>
      <c r="C556" s="127"/>
      <c r="D556" s="127"/>
      <c r="E556" s="127"/>
      <c r="F556" s="127"/>
      <c r="G556" s="127"/>
      <c r="H556" s="127"/>
      <c r="I556" s="127"/>
      <c r="J556" s="127"/>
      <c r="K556" s="127"/>
      <c r="L556" s="127"/>
      <c r="M556" s="127"/>
      <c r="N556" s="127"/>
      <c r="O556" s="127"/>
      <c r="P556" s="127"/>
      <c r="Q556" s="127"/>
      <c r="R556" s="127"/>
      <c r="S556" s="127"/>
      <c r="T556" s="127"/>
      <c r="U556" s="127"/>
      <c r="V556" s="127"/>
      <c r="W556" s="127"/>
      <c r="X556" s="127"/>
      <c r="Y556" s="127"/>
      <c r="Z556" s="127"/>
    </row>
    <row r="557" customFormat="false" ht="15.75" hidden="false" customHeight="false" outlineLevel="0" collapsed="false">
      <c r="A557" s="127"/>
      <c r="B557" s="127"/>
      <c r="C557" s="127"/>
      <c r="D557" s="127"/>
      <c r="E557" s="127"/>
      <c r="F557" s="127"/>
      <c r="G557" s="127"/>
      <c r="H557" s="127"/>
      <c r="I557" s="127"/>
      <c r="J557" s="127"/>
      <c r="K557" s="127"/>
      <c r="L557" s="127"/>
      <c r="M557" s="127"/>
      <c r="N557" s="127"/>
      <c r="O557" s="127"/>
      <c r="P557" s="127"/>
      <c r="Q557" s="127"/>
      <c r="R557" s="127"/>
      <c r="S557" s="127"/>
      <c r="T557" s="127"/>
      <c r="U557" s="127"/>
      <c r="V557" s="127"/>
      <c r="W557" s="127"/>
      <c r="X557" s="127"/>
      <c r="Y557" s="127"/>
      <c r="Z557" s="127"/>
    </row>
    <row r="558" customFormat="false" ht="15.75" hidden="false" customHeight="false" outlineLevel="0" collapsed="false">
      <c r="A558" s="127"/>
      <c r="B558" s="127"/>
      <c r="C558" s="127"/>
      <c r="D558" s="127"/>
      <c r="E558" s="127"/>
      <c r="F558" s="127"/>
      <c r="G558" s="127"/>
      <c r="H558" s="127"/>
      <c r="I558" s="127"/>
      <c r="J558" s="127"/>
      <c r="K558" s="127"/>
      <c r="L558" s="127"/>
      <c r="M558" s="127"/>
      <c r="N558" s="127"/>
      <c r="O558" s="127"/>
      <c r="P558" s="127"/>
      <c r="Q558" s="127"/>
      <c r="R558" s="127"/>
      <c r="S558" s="127"/>
      <c r="T558" s="127"/>
      <c r="U558" s="127"/>
      <c r="V558" s="127"/>
      <c r="W558" s="127"/>
      <c r="X558" s="127"/>
      <c r="Y558" s="127"/>
      <c r="Z558" s="127"/>
    </row>
    <row r="559" customFormat="false" ht="15.75" hidden="false" customHeight="false" outlineLevel="0" collapsed="false">
      <c r="A559" s="127"/>
      <c r="B559" s="127"/>
      <c r="C559" s="127"/>
      <c r="D559" s="127"/>
      <c r="E559" s="127"/>
      <c r="F559" s="127"/>
      <c r="G559" s="127"/>
      <c r="H559" s="127"/>
      <c r="I559" s="127"/>
      <c r="J559" s="127"/>
      <c r="K559" s="127"/>
      <c r="L559" s="127"/>
      <c r="M559" s="127"/>
      <c r="N559" s="127"/>
      <c r="O559" s="127"/>
      <c r="P559" s="127"/>
      <c r="Q559" s="127"/>
      <c r="R559" s="127"/>
      <c r="S559" s="127"/>
      <c r="T559" s="127"/>
      <c r="U559" s="127"/>
      <c r="V559" s="127"/>
      <c r="W559" s="127"/>
      <c r="X559" s="127"/>
      <c r="Y559" s="127"/>
      <c r="Z559" s="127"/>
    </row>
    <row r="560" customFormat="false" ht="15.75" hidden="false" customHeight="false" outlineLevel="0" collapsed="false">
      <c r="A560" s="127"/>
      <c r="B560" s="127"/>
      <c r="C560" s="127"/>
      <c r="D560" s="127"/>
      <c r="E560" s="127"/>
      <c r="F560" s="127"/>
      <c r="G560" s="127"/>
      <c r="H560" s="127"/>
      <c r="I560" s="127"/>
      <c r="J560" s="127"/>
      <c r="K560" s="127"/>
      <c r="L560" s="127"/>
      <c r="M560" s="127"/>
      <c r="N560" s="127"/>
      <c r="O560" s="127"/>
      <c r="P560" s="127"/>
      <c r="Q560" s="127"/>
      <c r="R560" s="127"/>
      <c r="S560" s="127"/>
      <c r="T560" s="127"/>
      <c r="U560" s="127"/>
      <c r="V560" s="127"/>
      <c r="W560" s="127"/>
      <c r="X560" s="127"/>
      <c r="Y560" s="127"/>
      <c r="Z560" s="127"/>
    </row>
    <row r="561" customFormat="false" ht="15.75" hidden="false" customHeight="false" outlineLevel="0" collapsed="false">
      <c r="A561" s="127"/>
      <c r="B561" s="127"/>
      <c r="C561" s="127"/>
      <c r="D561" s="127"/>
      <c r="E561" s="127"/>
      <c r="F561" s="127"/>
      <c r="G561" s="127"/>
      <c r="H561" s="127"/>
      <c r="I561" s="127"/>
      <c r="J561" s="127"/>
      <c r="K561" s="127"/>
      <c r="L561" s="127"/>
      <c r="M561" s="127"/>
      <c r="N561" s="127"/>
      <c r="O561" s="127"/>
      <c r="P561" s="127"/>
      <c r="Q561" s="127"/>
      <c r="R561" s="127"/>
      <c r="S561" s="127"/>
      <c r="T561" s="127"/>
      <c r="U561" s="127"/>
      <c r="V561" s="127"/>
      <c r="W561" s="127"/>
      <c r="X561" s="127"/>
      <c r="Y561" s="127"/>
      <c r="Z561" s="127"/>
    </row>
    <row r="562" customFormat="false" ht="15.75" hidden="false" customHeight="false" outlineLevel="0" collapsed="false">
      <c r="A562" s="127"/>
      <c r="B562" s="127"/>
      <c r="C562" s="127"/>
      <c r="D562" s="127"/>
      <c r="E562" s="127"/>
      <c r="F562" s="127"/>
      <c r="G562" s="127"/>
      <c r="H562" s="127"/>
      <c r="I562" s="127"/>
      <c r="J562" s="127"/>
      <c r="K562" s="127"/>
      <c r="L562" s="127"/>
      <c r="M562" s="127"/>
      <c r="N562" s="127"/>
      <c r="O562" s="127"/>
      <c r="P562" s="127"/>
      <c r="Q562" s="127"/>
      <c r="R562" s="127"/>
      <c r="S562" s="127"/>
      <c r="T562" s="127"/>
      <c r="U562" s="127"/>
      <c r="V562" s="127"/>
      <c r="W562" s="127"/>
      <c r="X562" s="127"/>
      <c r="Y562" s="127"/>
      <c r="Z562" s="127"/>
    </row>
    <row r="563" customFormat="false" ht="15.75" hidden="false" customHeight="false" outlineLevel="0" collapsed="false">
      <c r="A563" s="127"/>
      <c r="B563" s="127"/>
      <c r="C563" s="127"/>
      <c r="D563" s="127"/>
      <c r="E563" s="127"/>
      <c r="F563" s="127"/>
      <c r="G563" s="127"/>
      <c r="H563" s="127"/>
      <c r="I563" s="127"/>
      <c r="J563" s="127"/>
      <c r="K563" s="127"/>
      <c r="L563" s="127"/>
      <c r="M563" s="127"/>
      <c r="N563" s="127"/>
      <c r="O563" s="127"/>
      <c r="P563" s="127"/>
      <c r="Q563" s="127"/>
      <c r="R563" s="127"/>
      <c r="S563" s="127"/>
      <c r="T563" s="127"/>
      <c r="U563" s="127"/>
      <c r="V563" s="127"/>
      <c r="W563" s="127"/>
      <c r="X563" s="127"/>
      <c r="Y563" s="127"/>
      <c r="Z563" s="127"/>
    </row>
    <row r="564" customFormat="false" ht="15.75" hidden="false" customHeight="false" outlineLevel="0" collapsed="false">
      <c r="A564" s="127"/>
      <c r="B564" s="127"/>
      <c r="C564" s="127"/>
      <c r="D564" s="127"/>
      <c r="E564" s="127"/>
      <c r="F564" s="127"/>
      <c r="G564" s="127"/>
      <c r="H564" s="127"/>
      <c r="I564" s="127"/>
      <c r="J564" s="127"/>
      <c r="K564" s="127"/>
      <c r="L564" s="127"/>
      <c r="M564" s="127"/>
      <c r="N564" s="127"/>
      <c r="O564" s="127"/>
      <c r="P564" s="127"/>
      <c r="Q564" s="127"/>
      <c r="R564" s="127"/>
      <c r="S564" s="127"/>
      <c r="T564" s="127"/>
      <c r="U564" s="127"/>
      <c r="V564" s="127"/>
      <c r="W564" s="127"/>
      <c r="X564" s="127"/>
      <c r="Y564" s="127"/>
      <c r="Z564" s="127"/>
    </row>
    <row r="565" customFormat="false" ht="15.75" hidden="false" customHeight="false" outlineLevel="0" collapsed="false">
      <c r="A565" s="127"/>
      <c r="B565" s="127"/>
      <c r="C565" s="127"/>
      <c r="D565" s="127"/>
      <c r="E565" s="127"/>
      <c r="F565" s="127"/>
      <c r="G565" s="127"/>
      <c r="H565" s="127"/>
      <c r="I565" s="127"/>
      <c r="J565" s="127"/>
      <c r="K565" s="127"/>
      <c r="L565" s="127"/>
      <c r="M565" s="127"/>
      <c r="N565" s="127"/>
      <c r="O565" s="127"/>
      <c r="P565" s="127"/>
      <c r="Q565" s="127"/>
      <c r="R565" s="127"/>
      <c r="S565" s="127"/>
      <c r="T565" s="127"/>
      <c r="U565" s="127"/>
      <c r="V565" s="127"/>
      <c r="W565" s="127"/>
      <c r="X565" s="127"/>
      <c r="Y565" s="127"/>
      <c r="Z565" s="127"/>
    </row>
    <row r="566" customFormat="false" ht="15.75" hidden="false" customHeight="false" outlineLevel="0" collapsed="false">
      <c r="A566" s="127"/>
      <c r="B566" s="127"/>
      <c r="C566" s="127"/>
      <c r="D566" s="127"/>
      <c r="E566" s="127"/>
      <c r="F566" s="127"/>
      <c r="G566" s="127"/>
      <c r="H566" s="127"/>
      <c r="I566" s="127"/>
      <c r="J566" s="127"/>
      <c r="K566" s="127"/>
      <c r="L566" s="127"/>
      <c r="M566" s="127"/>
      <c r="N566" s="127"/>
      <c r="O566" s="127"/>
      <c r="P566" s="127"/>
      <c r="Q566" s="127"/>
      <c r="R566" s="127"/>
      <c r="S566" s="127"/>
      <c r="T566" s="127"/>
      <c r="U566" s="127"/>
      <c r="V566" s="127"/>
      <c r="W566" s="127"/>
      <c r="X566" s="127"/>
      <c r="Y566" s="127"/>
      <c r="Z566" s="127"/>
    </row>
    <row r="567" customFormat="false" ht="15.75" hidden="false" customHeight="false" outlineLevel="0" collapsed="false">
      <c r="A567" s="127"/>
      <c r="B567" s="127"/>
      <c r="C567" s="127"/>
      <c r="D567" s="127"/>
      <c r="E567" s="127"/>
      <c r="F567" s="127"/>
      <c r="G567" s="127"/>
      <c r="H567" s="127"/>
      <c r="I567" s="127"/>
      <c r="J567" s="127"/>
      <c r="K567" s="127"/>
      <c r="L567" s="127"/>
      <c r="M567" s="127"/>
      <c r="N567" s="127"/>
      <c r="O567" s="127"/>
      <c r="P567" s="127"/>
      <c r="Q567" s="127"/>
      <c r="R567" s="127"/>
      <c r="S567" s="127"/>
      <c r="T567" s="127"/>
      <c r="U567" s="127"/>
      <c r="V567" s="127"/>
      <c r="W567" s="127"/>
      <c r="X567" s="127"/>
      <c r="Y567" s="127"/>
      <c r="Z567" s="127"/>
    </row>
    <row r="568" customFormat="false" ht="15.75" hidden="false" customHeight="false" outlineLevel="0" collapsed="false">
      <c r="A568" s="127"/>
      <c r="B568" s="127"/>
      <c r="C568" s="127"/>
      <c r="D568" s="127"/>
      <c r="E568" s="127"/>
      <c r="F568" s="127"/>
      <c r="G568" s="127"/>
      <c r="H568" s="127"/>
      <c r="I568" s="127"/>
      <c r="J568" s="127"/>
      <c r="K568" s="127"/>
      <c r="L568" s="127"/>
      <c r="M568" s="127"/>
      <c r="N568" s="127"/>
      <c r="O568" s="127"/>
      <c r="P568" s="127"/>
      <c r="Q568" s="127"/>
      <c r="R568" s="127"/>
      <c r="S568" s="127"/>
      <c r="T568" s="127"/>
      <c r="U568" s="127"/>
      <c r="V568" s="127"/>
      <c r="W568" s="127"/>
      <c r="X568" s="127"/>
      <c r="Y568" s="127"/>
      <c r="Z568" s="127"/>
    </row>
    <row r="569" customFormat="false" ht="15.75" hidden="false" customHeight="false" outlineLevel="0" collapsed="false">
      <c r="A569" s="127"/>
      <c r="B569" s="127"/>
      <c r="C569" s="127"/>
      <c r="D569" s="127"/>
      <c r="E569" s="127"/>
      <c r="F569" s="127"/>
      <c r="G569" s="127"/>
      <c r="H569" s="127"/>
      <c r="I569" s="127"/>
      <c r="J569" s="127"/>
      <c r="K569" s="127"/>
      <c r="L569" s="127"/>
      <c r="M569" s="127"/>
      <c r="N569" s="127"/>
      <c r="O569" s="127"/>
      <c r="P569" s="127"/>
      <c r="Q569" s="127"/>
      <c r="R569" s="127"/>
      <c r="S569" s="127"/>
      <c r="T569" s="127"/>
      <c r="U569" s="127"/>
      <c r="V569" s="127"/>
      <c r="W569" s="127"/>
      <c r="X569" s="127"/>
      <c r="Y569" s="127"/>
      <c r="Z569" s="127"/>
    </row>
    <row r="570" customFormat="false" ht="15.75" hidden="false" customHeight="false" outlineLevel="0" collapsed="false">
      <c r="A570" s="127"/>
      <c r="B570" s="127"/>
      <c r="C570" s="127"/>
      <c r="D570" s="127"/>
      <c r="E570" s="127"/>
      <c r="F570" s="127"/>
      <c r="G570" s="127"/>
      <c r="H570" s="127"/>
      <c r="I570" s="127"/>
      <c r="J570" s="127"/>
      <c r="K570" s="127"/>
      <c r="L570" s="127"/>
      <c r="M570" s="127"/>
      <c r="N570" s="127"/>
      <c r="O570" s="127"/>
      <c r="P570" s="127"/>
      <c r="Q570" s="127"/>
      <c r="R570" s="127"/>
      <c r="S570" s="127"/>
      <c r="T570" s="127"/>
      <c r="U570" s="127"/>
      <c r="V570" s="127"/>
      <c r="W570" s="127"/>
      <c r="X570" s="127"/>
      <c r="Y570" s="127"/>
      <c r="Z570" s="127"/>
    </row>
    <row r="571" customFormat="false" ht="15.75" hidden="false" customHeight="false" outlineLevel="0" collapsed="false">
      <c r="A571" s="127"/>
      <c r="B571" s="127"/>
      <c r="C571" s="127"/>
      <c r="D571" s="127"/>
      <c r="E571" s="127"/>
      <c r="F571" s="127"/>
      <c r="G571" s="127"/>
      <c r="H571" s="127"/>
      <c r="I571" s="127"/>
      <c r="J571" s="127"/>
      <c r="K571" s="127"/>
      <c r="L571" s="127"/>
      <c r="M571" s="127"/>
      <c r="N571" s="127"/>
      <c r="O571" s="127"/>
      <c r="P571" s="127"/>
      <c r="Q571" s="127"/>
      <c r="R571" s="127"/>
      <c r="S571" s="127"/>
      <c r="T571" s="127"/>
      <c r="U571" s="127"/>
      <c r="V571" s="127"/>
      <c r="W571" s="127"/>
      <c r="X571" s="127"/>
      <c r="Y571" s="127"/>
      <c r="Z571" s="127"/>
    </row>
    <row r="572" customFormat="false" ht="15.75" hidden="false" customHeight="false" outlineLevel="0" collapsed="false">
      <c r="A572" s="127"/>
      <c r="B572" s="127"/>
      <c r="C572" s="127"/>
      <c r="D572" s="127"/>
      <c r="E572" s="127"/>
      <c r="F572" s="127"/>
      <c r="G572" s="127"/>
      <c r="H572" s="127"/>
      <c r="I572" s="127"/>
      <c r="J572" s="127"/>
      <c r="K572" s="127"/>
      <c r="L572" s="127"/>
      <c r="M572" s="127"/>
      <c r="N572" s="127"/>
      <c r="O572" s="127"/>
      <c r="P572" s="127"/>
      <c r="Q572" s="127"/>
      <c r="R572" s="127"/>
      <c r="S572" s="127"/>
      <c r="T572" s="127"/>
      <c r="U572" s="127"/>
      <c r="V572" s="127"/>
      <c r="W572" s="127"/>
      <c r="X572" s="127"/>
      <c r="Y572" s="127"/>
      <c r="Z572" s="127"/>
    </row>
    <row r="573" customFormat="false" ht="15.75" hidden="false" customHeight="false" outlineLevel="0" collapsed="false">
      <c r="A573" s="127"/>
      <c r="B573" s="127"/>
      <c r="C573" s="127"/>
      <c r="D573" s="127"/>
      <c r="E573" s="127"/>
      <c r="F573" s="127"/>
      <c r="G573" s="127"/>
      <c r="H573" s="127"/>
      <c r="I573" s="127"/>
      <c r="J573" s="127"/>
      <c r="K573" s="127"/>
      <c r="L573" s="127"/>
      <c r="M573" s="127"/>
      <c r="N573" s="127"/>
      <c r="O573" s="127"/>
      <c r="P573" s="127"/>
      <c r="Q573" s="127"/>
      <c r="R573" s="127"/>
      <c r="S573" s="127"/>
      <c r="T573" s="127"/>
      <c r="U573" s="127"/>
      <c r="V573" s="127"/>
      <c r="W573" s="127"/>
      <c r="X573" s="127"/>
      <c r="Y573" s="127"/>
      <c r="Z573" s="127"/>
    </row>
    <row r="574" customFormat="false" ht="15.75" hidden="false" customHeight="false" outlineLevel="0" collapsed="false">
      <c r="A574" s="127"/>
      <c r="B574" s="127"/>
      <c r="C574" s="127"/>
      <c r="D574" s="127"/>
      <c r="E574" s="127"/>
      <c r="F574" s="127"/>
      <c r="G574" s="127"/>
      <c r="H574" s="127"/>
      <c r="I574" s="127"/>
      <c r="J574" s="127"/>
      <c r="K574" s="127"/>
      <c r="L574" s="127"/>
      <c r="M574" s="127"/>
      <c r="N574" s="127"/>
      <c r="O574" s="127"/>
      <c r="P574" s="127"/>
      <c r="Q574" s="127"/>
      <c r="R574" s="127"/>
      <c r="S574" s="127"/>
      <c r="T574" s="127"/>
      <c r="U574" s="127"/>
      <c r="V574" s="127"/>
      <c r="W574" s="127"/>
      <c r="X574" s="127"/>
      <c r="Y574" s="127"/>
      <c r="Z574" s="127"/>
    </row>
    <row r="575" customFormat="false" ht="15.75" hidden="false" customHeight="false" outlineLevel="0" collapsed="false">
      <c r="A575" s="127"/>
      <c r="B575" s="127"/>
      <c r="C575" s="127"/>
      <c r="D575" s="127"/>
      <c r="E575" s="127"/>
      <c r="F575" s="127"/>
      <c r="G575" s="127"/>
      <c r="H575" s="127"/>
      <c r="I575" s="127"/>
      <c r="J575" s="127"/>
      <c r="K575" s="127"/>
      <c r="L575" s="127"/>
      <c r="M575" s="127"/>
      <c r="N575" s="127"/>
      <c r="O575" s="127"/>
      <c r="P575" s="127"/>
      <c r="Q575" s="127"/>
      <c r="R575" s="127"/>
      <c r="S575" s="127"/>
      <c r="T575" s="127"/>
      <c r="U575" s="127"/>
      <c r="V575" s="127"/>
      <c r="W575" s="127"/>
      <c r="X575" s="127"/>
      <c r="Y575" s="127"/>
      <c r="Z575" s="127"/>
    </row>
    <row r="576" customFormat="false" ht="15.75" hidden="false" customHeight="false" outlineLevel="0" collapsed="false">
      <c r="A576" s="127"/>
      <c r="B576" s="127"/>
      <c r="C576" s="127"/>
      <c r="D576" s="127"/>
      <c r="E576" s="127"/>
      <c r="F576" s="127"/>
      <c r="G576" s="127"/>
      <c r="H576" s="127"/>
      <c r="I576" s="127"/>
      <c r="J576" s="127"/>
      <c r="K576" s="127"/>
      <c r="L576" s="127"/>
      <c r="M576" s="127"/>
      <c r="N576" s="127"/>
      <c r="O576" s="127"/>
      <c r="P576" s="127"/>
      <c r="Q576" s="127"/>
      <c r="R576" s="127"/>
      <c r="S576" s="127"/>
      <c r="T576" s="127"/>
      <c r="U576" s="127"/>
      <c r="V576" s="127"/>
      <c r="W576" s="127"/>
      <c r="X576" s="127"/>
      <c r="Y576" s="127"/>
      <c r="Z576" s="127"/>
    </row>
    <row r="577" customFormat="false" ht="15.75" hidden="false" customHeight="false" outlineLevel="0" collapsed="false">
      <c r="A577" s="127"/>
      <c r="B577" s="127"/>
      <c r="C577" s="127"/>
      <c r="D577" s="127"/>
      <c r="E577" s="127"/>
      <c r="F577" s="127"/>
      <c r="G577" s="127"/>
      <c r="H577" s="127"/>
      <c r="I577" s="127"/>
      <c r="J577" s="127"/>
      <c r="K577" s="127"/>
      <c r="L577" s="127"/>
      <c r="M577" s="127"/>
      <c r="N577" s="127"/>
      <c r="O577" s="127"/>
      <c r="P577" s="127"/>
      <c r="Q577" s="127"/>
      <c r="R577" s="127"/>
      <c r="S577" s="127"/>
      <c r="T577" s="127"/>
      <c r="U577" s="127"/>
      <c r="V577" s="127"/>
      <c r="W577" s="127"/>
      <c r="X577" s="127"/>
      <c r="Y577" s="127"/>
      <c r="Z577" s="127"/>
    </row>
    <row r="578" customFormat="false" ht="15.75" hidden="false" customHeight="false" outlineLevel="0" collapsed="false">
      <c r="A578" s="127"/>
      <c r="B578" s="127"/>
      <c r="C578" s="127"/>
      <c r="D578" s="127"/>
      <c r="E578" s="127"/>
      <c r="F578" s="127"/>
      <c r="G578" s="127"/>
      <c r="H578" s="127"/>
      <c r="I578" s="127"/>
      <c r="J578" s="127"/>
      <c r="K578" s="127"/>
      <c r="L578" s="127"/>
      <c r="M578" s="127"/>
      <c r="N578" s="127"/>
      <c r="O578" s="127"/>
      <c r="P578" s="127"/>
      <c r="Q578" s="127"/>
      <c r="R578" s="127"/>
      <c r="S578" s="127"/>
      <c r="T578" s="127"/>
      <c r="U578" s="127"/>
      <c r="V578" s="127"/>
      <c r="W578" s="127"/>
      <c r="X578" s="127"/>
      <c r="Y578" s="127"/>
      <c r="Z578" s="127"/>
    </row>
    <row r="579" customFormat="false" ht="15.75" hidden="false" customHeight="false" outlineLevel="0" collapsed="false">
      <c r="A579" s="127"/>
      <c r="B579" s="127"/>
      <c r="C579" s="127"/>
      <c r="D579" s="127"/>
      <c r="E579" s="127"/>
      <c r="F579" s="127"/>
      <c r="G579" s="127"/>
      <c r="H579" s="127"/>
      <c r="I579" s="127"/>
      <c r="J579" s="127"/>
      <c r="K579" s="127"/>
      <c r="L579" s="127"/>
      <c r="M579" s="127"/>
      <c r="N579" s="127"/>
      <c r="O579" s="127"/>
      <c r="P579" s="127"/>
      <c r="Q579" s="127"/>
      <c r="R579" s="127"/>
      <c r="S579" s="127"/>
      <c r="T579" s="127"/>
      <c r="U579" s="127"/>
      <c r="V579" s="127"/>
      <c r="W579" s="127"/>
      <c r="X579" s="127"/>
      <c r="Y579" s="127"/>
      <c r="Z579" s="127"/>
    </row>
    <row r="580" customFormat="false" ht="15.75" hidden="false" customHeight="false" outlineLevel="0" collapsed="false">
      <c r="A580" s="127"/>
      <c r="B580" s="127"/>
      <c r="C580" s="127"/>
      <c r="D580" s="127"/>
      <c r="E580" s="127"/>
      <c r="F580" s="127"/>
      <c r="G580" s="127"/>
      <c r="H580" s="127"/>
      <c r="I580" s="127"/>
      <c r="J580" s="127"/>
      <c r="K580" s="127"/>
      <c r="L580" s="127"/>
      <c r="M580" s="127"/>
      <c r="N580" s="127"/>
      <c r="O580" s="127"/>
      <c r="P580" s="127"/>
      <c r="Q580" s="127"/>
      <c r="R580" s="127"/>
      <c r="S580" s="127"/>
      <c r="T580" s="127"/>
      <c r="U580" s="127"/>
      <c r="V580" s="127"/>
      <c r="W580" s="127"/>
      <c r="X580" s="127"/>
      <c r="Y580" s="127"/>
      <c r="Z580" s="127"/>
    </row>
    <row r="581" customFormat="false" ht="15.75" hidden="false" customHeight="false" outlineLevel="0" collapsed="false">
      <c r="A581" s="127"/>
      <c r="B581" s="127"/>
      <c r="C581" s="127"/>
      <c r="D581" s="127"/>
      <c r="E581" s="127"/>
      <c r="F581" s="127"/>
      <c r="G581" s="127"/>
      <c r="H581" s="127"/>
      <c r="I581" s="127"/>
      <c r="J581" s="127"/>
      <c r="K581" s="127"/>
      <c r="L581" s="127"/>
      <c r="M581" s="127"/>
      <c r="N581" s="127"/>
      <c r="O581" s="127"/>
      <c r="P581" s="127"/>
      <c r="Q581" s="127"/>
      <c r="R581" s="127"/>
      <c r="S581" s="127"/>
      <c r="T581" s="127"/>
      <c r="U581" s="127"/>
      <c r="V581" s="127"/>
      <c r="W581" s="127"/>
      <c r="X581" s="127"/>
      <c r="Y581" s="127"/>
      <c r="Z581" s="127"/>
    </row>
    <row r="582" customFormat="false" ht="15.75" hidden="false" customHeight="false" outlineLevel="0" collapsed="false">
      <c r="A582" s="127"/>
      <c r="B582" s="127"/>
      <c r="C582" s="127"/>
      <c r="D582" s="127"/>
      <c r="E582" s="127"/>
      <c r="F582" s="127"/>
      <c r="G582" s="127"/>
      <c r="H582" s="127"/>
      <c r="I582" s="127"/>
      <c r="J582" s="127"/>
      <c r="K582" s="127"/>
      <c r="L582" s="127"/>
      <c r="M582" s="127"/>
      <c r="N582" s="127"/>
      <c r="O582" s="127"/>
      <c r="P582" s="127"/>
      <c r="Q582" s="127"/>
      <c r="R582" s="127"/>
      <c r="S582" s="127"/>
      <c r="T582" s="127"/>
      <c r="U582" s="127"/>
      <c r="V582" s="127"/>
      <c r="W582" s="127"/>
      <c r="X582" s="127"/>
      <c r="Y582" s="127"/>
      <c r="Z582" s="127"/>
    </row>
    <row r="583" customFormat="false" ht="15.75" hidden="false" customHeight="false" outlineLevel="0" collapsed="false">
      <c r="A583" s="127"/>
      <c r="B583" s="127"/>
      <c r="C583" s="127"/>
      <c r="D583" s="127"/>
      <c r="E583" s="127"/>
      <c r="F583" s="127"/>
      <c r="G583" s="127"/>
      <c r="H583" s="127"/>
      <c r="I583" s="127"/>
      <c r="J583" s="127"/>
      <c r="K583" s="127"/>
      <c r="L583" s="127"/>
      <c r="M583" s="127"/>
      <c r="N583" s="127"/>
      <c r="O583" s="127"/>
      <c r="P583" s="127"/>
      <c r="Q583" s="127"/>
      <c r="R583" s="127"/>
      <c r="S583" s="127"/>
      <c r="T583" s="127"/>
      <c r="U583" s="127"/>
      <c r="V583" s="127"/>
      <c r="W583" s="127"/>
      <c r="X583" s="127"/>
      <c r="Y583" s="127"/>
      <c r="Z583" s="127"/>
    </row>
    <row r="584" customFormat="false" ht="15.75" hidden="false" customHeight="false" outlineLevel="0" collapsed="false">
      <c r="A584" s="127"/>
      <c r="B584" s="127"/>
      <c r="C584" s="127"/>
      <c r="D584" s="127"/>
      <c r="E584" s="127"/>
      <c r="F584" s="127"/>
      <c r="G584" s="127"/>
      <c r="H584" s="127"/>
      <c r="I584" s="127"/>
      <c r="J584" s="127"/>
      <c r="K584" s="127"/>
      <c r="L584" s="127"/>
      <c r="M584" s="127"/>
      <c r="N584" s="127"/>
      <c r="O584" s="127"/>
      <c r="P584" s="127"/>
      <c r="Q584" s="127"/>
      <c r="R584" s="127"/>
      <c r="S584" s="127"/>
      <c r="T584" s="127"/>
      <c r="U584" s="127"/>
      <c r="V584" s="127"/>
      <c r="W584" s="127"/>
      <c r="X584" s="127"/>
      <c r="Y584" s="127"/>
      <c r="Z584" s="127"/>
    </row>
    <row r="585" customFormat="false" ht="15.75" hidden="false" customHeight="false" outlineLevel="0" collapsed="false">
      <c r="A585" s="127"/>
      <c r="B585" s="127"/>
      <c r="C585" s="127"/>
      <c r="D585" s="127"/>
      <c r="E585" s="127"/>
      <c r="F585" s="127"/>
      <c r="G585" s="127"/>
      <c r="H585" s="127"/>
      <c r="I585" s="127"/>
      <c r="J585" s="127"/>
      <c r="K585" s="127"/>
      <c r="L585" s="127"/>
      <c r="M585" s="127"/>
      <c r="N585" s="127"/>
      <c r="O585" s="127"/>
      <c r="P585" s="127"/>
      <c r="Q585" s="127"/>
      <c r="R585" s="127"/>
      <c r="S585" s="127"/>
      <c r="T585" s="127"/>
      <c r="U585" s="127"/>
      <c r="V585" s="127"/>
      <c r="W585" s="127"/>
      <c r="X585" s="127"/>
      <c r="Y585" s="127"/>
      <c r="Z585" s="127"/>
    </row>
    <row r="586" customFormat="false" ht="15.75" hidden="false" customHeight="false" outlineLevel="0" collapsed="false">
      <c r="A586" s="127"/>
      <c r="B586" s="127"/>
      <c r="C586" s="127"/>
      <c r="D586" s="127"/>
      <c r="E586" s="127"/>
      <c r="F586" s="127"/>
      <c r="G586" s="127"/>
      <c r="H586" s="127"/>
      <c r="I586" s="127"/>
      <c r="J586" s="127"/>
      <c r="K586" s="127"/>
      <c r="L586" s="127"/>
      <c r="M586" s="127"/>
      <c r="N586" s="127"/>
      <c r="O586" s="127"/>
      <c r="P586" s="127"/>
      <c r="Q586" s="127"/>
      <c r="R586" s="127"/>
      <c r="S586" s="127"/>
      <c r="T586" s="127"/>
      <c r="U586" s="127"/>
      <c r="V586" s="127"/>
      <c r="W586" s="127"/>
      <c r="X586" s="127"/>
      <c r="Y586" s="127"/>
      <c r="Z586" s="127"/>
    </row>
    <row r="587" customFormat="false" ht="15.75" hidden="false" customHeight="false" outlineLevel="0" collapsed="false">
      <c r="A587" s="127"/>
      <c r="B587" s="127"/>
      <c r="C587" s="127"/>
      <c r="D587" s="127"/>
      <c r="E587" s="127"/>
      <c r="F587" s="127"/>
      <c r="G587" s="127"/>
      <c r="H587" s="127"/>
      <c r="I587" s="127"/>
      <c r="J587" s="127"/>
      <c r="K587" s="127"/>
      <c r="L587" s="127"/>
      <c r="M587" s="127"/>
      <c r="N587" s="127"/>
      <c r="O587" s="127"/>
      <c r="P587" s="127"/>
      <c r="Q587" s="127"/>
      <c r="R587" s="127"/>
      <c r="S587" s="127"/>
      <c r="T587" s="127"/>
      <c r="U587" s="127"/>
      <c r="V587" s="127"/>
      <c r="W587" s="127"/>
      <c r="X587" s="127"/>
      <c r="Y587" s="127"/>
      <c r="Z587" s="127"/>
    </row>
    <row r="588" customFormat="false" ht="15.75" hidden="false" customHeight="false" outlineLevel="0" collapsed="false">
      <c r="A588" s="127"/>
      <c r="B588" s="127"/>
      <c r="C588" s="127"/>
      <c r="D588" s="127"/>
      <c r="E588" s="127"/>
      <c r="F588" s="127"/>
      <c r="G588" s="127"/>
      <c r="H588" s="127"/>
      <c r="I588" s="127"/>
      <c r="J588" s="127"/>
      <c r="K588" s="127"/>
      <c r="L588" s="127"/>
      <c r="M588" s="127"/>
      <c r="N588" s="127"/>
      <c r="O588" s="127"/>
      <c r="P588" s="127"/>
      <c r="Q588" s="127"/>
      <c r="R588" s="127"/>
      <c r="S588" s="127"/>
      <c r="T588" s="127"/>
      <c r="U588" s="127"/>
      <c r="V588" s="127"/>
      <c r="W588" s="127"/>
      <c r="X588" s="127"/>
      <c r="Y588" s="127"/>
      <c r="Z588" s="127"/>
    </row>
    <row r="589" customFormat="false" ht="15.75" hidden="false" customHeight="false" outlineLevel="0" collapsed="false">
      <c r="A589" s="127"/>
      <c r="B589" s="127"/>
      <c r="C589" s="127"/>
      <c r="D589" s="127"/>
      <c r="E589" s="127"/>
      <c r="F589" s="127"/>
      <c r="G589" s="127"/>
      <c r="H589" s="127"/>
      <c r="I589" s="127"/>
      <c r="J589" s="127"/>
      <c r="K589" s="127"/>
      <c r="L589" s="127"/>
      <c r="M589" s="127"/>
      <c r="N589" s="127"/>
      <c r="O589" s="127"/>
      <c r="P589" s="127"/>
      <c r="Q589" s="127"/>
      <c r="R589" s="127"/>
      <c r="S589" s="127"/>
      <c r="T589" s="127"/>
      <c r="U589" s="127"/>
      <c r="V589" s="127"/>
      <c r="W589" s="127"/>
      <c r="X589" s="127"/>
      <c r="Y589" s="127"/>
      <c r="Z589" s="127"/>
    </row>
    <row r="590" customFormat="false" ht="15.75" hidden="false" customHeight="false" outlineLevel="0" collapsed="false">
      <c r="A590" s="127"/>
      <c r="B590" s="127"/>
      <c r="C590" s="127"/>
      <c r="D590" s="127"/>
      <c r="E590" s="127"/>
      <c r="F590" s="127"/>
      <c r="G590" s="127"/>
      <c r="H590" s="127"/>
      <c r="I590" s="127"/>
      <c r="J590" s="127"/>
      <c r="K590" s="127"/>
      <c r="L590" s="127"/>
      <c r="M590" s="127"/>
      <c r="N590" s="127"/>
      <c r="O590" s="127"/>
      <c r="P590" s="127"/>
      <c r="Q590" s="127"/>
      <c r="R590" s="127"/>
      <c r="S590" s="127"/>
      <c r="T590" s="127"/>
      <c r="U590" s="127"/>
      <c r="V590" s="127"/>
      <c r="W590" s="127"/>
      <c r="X590" s="127"/>
      <c r="Y590" s="127"/>
      <c r="Z590" s="127"/>
    </row>
    <row r="591" customFormat="false" ht="15.75" hidden="false" customHeight="false" outlineLevel="0" collapsed="false">
      <c r="A591" s="127"/>
      <c r="B591" s="127"/>
      <c r="C591" s="127"/>
      <c r="D591" s="127"/>
      <c r="E591" s="127"/>
      <c r="F591" s="127"/>
      <c r="G591" s="127"/>
      <c r="H591" s="127"/>
      <c r="I591" s="127"/>
      <c r="J591" s="127"/>
      <c r="K591" s="127"/>
      <c r="L591" s="127"/>
      <c r="M591" s="127"/>
      <c r="N591" s="127"/>
      <c r="O591" s="127"/>
      <c r="P591" s="127"/>
      <c r="Q591" s="127"/>
      <c r="R591" s="127"/>
      <c r="S591" s="127"/>
      <c r="T591" s="127"/>
      <c r="U591" s="127"/>
      <c r="V591" s="127"/>
      <c r="W591" s="127"/>
      <c r="X591" s="127"/>
      <c r="Y591" s="127"/>
      <c r="Z591" s="127"/>
    </row>
    <row r="592" customFormat="false" ht="15.75" hidden="false" customHeight="false" outlineLevel="0" collapsed="false">
      <c r="A592" s="127"/>
      <c r="B592" s="127"/>
      <c r="C592" s="127"/>
      <c r="D592" s="127"/>
      <c r="E592" s="127"/>
      <c r="F592" s="127"/>
      <c r="G592" s="127"/>
      <c r="H592" s="127"/>
      <c r="I592" s="127"/>
      <c r="J592" s="127"/>
      <c r="K592" s="127"/>
      <c r="L592" s="127"/>
      <c r="M592" s="127"/>
      <c r="N592" s="127"/>
      <c r="O592" s="127"/>
      <c r="P592" s="127"/>
      <c r="Q592" s="127"/>
      <c r="R592" s="127"/>
      <c r="S592" s="127"/>
      <c r="T592" s="127"/>
      <c r="U592" s="127"/>
      <c r="V592" s="127"/>
      <c r="W592" s="127"/>
      <c r="X592" s="127"/>
      <c r="Y592" s="127"/>
      <c r="Z592" s="127"/>
    </row>
    <row r="593" customFormat="false" ht="15.75" hidden="false" customHeight="false" outlineLevel="0" collapsed="false">
      <c r="A593" s="127"/>
      <c r="B593" s="127"/>
      <c r="C593" s="127"/>
      <c r="D593" s="127"/>
      <c r="E593" s="127"/>
      <c r="F593" s="127"/>
      <c r="G593" s="127"/>
      <c r="H593" s="127"/>
      <c r="I593" s="127"/>
      <c r="J593" s="127"/>
      <c r="K593" s="127"/>
      <c r="L593" s="127"/>
      <c r="M593" s="127"/>
      <c r="N593" s="127"/>
      <c r="O593" s="127"/>
      <c r="P593" s="127"/>
      <c r="Q593" s="127"/>
      <c r="R593" s="127"/>
      <c r="S593" s="127"/>
      <c r="T593" s="127"/>
      <c r="U593" s="127"/>
      <c r="V593" s="127"/>
      <c r="W593" s="127"/>
      <c r="X593" s="127"/>
      <c r="Y593" s="127"/>
      <c r="Z593" s="127"/>
    </row>
    <row r="594" customFormat="false" ht="15.75" hidden="false" customHeight="false" outlineLevel="0" collapsed="false">
      <c r="A594" s="127"/>
      <c r="B594" s="127"/>
      <c r="C594" s="127"/>
      <c r="D594" s="127"/>
      <c r="E594" s="127"/>
      <c r="F594" s="127"/>
      <c r="G594" s="127"/>
      <c r="H594" s="127"/>
      <c r="I594" s="127"/>
      <c r="J594" s="127"/>
      <c r="K594" s="127"/>
      <c r="L594" s="127"/>
      <c r="M594" s="127"/>
      <c r="N594" s="127"/>
      <c r="O594" s="127"/>
      <c r="P594" s="127"/>
      <c r="Q594" s="127"/>
      <c r="R594" s="127"/>
      <c r="S594" s="127"/>
      <c r="T594" s="127"/>
      <c r="U594" s="127"/>
      <c r="V594" s="127"/>
      <c r="W594" s="127"/>
      <c r="X594" s="127"/>
      <c r="Y594" s="127"/>
      <c r="Z594" s="127"/>
    </row>
    <row r="595" customFormat="false" ht="15.75" hidden="false" customHeight="false" outlineLevel="0" collapsed="false">
      <c r="A595" s="127"/>
      <c r="B595" s="127"/>
      <c r="C595" s="127"/>
      <c r="D595" s="127"/>
      <c r="E595" s="127"/>
      <c r="F595" s="127"/>
      <c r="G595" s="127"/>
      <c r="H595" s="127"/>
      <c r="I595" s="127"/>
      <c r="J595" s="127"/>
      <c r="K595" s="127"/>
      <c r="L595" s="127"/>
      <c r="M595" s="127"/>
      <c r="N595" s="127"/>
      <c r="O595" s="127"/>
      <c r="P595" s="127"/>
      <c r="Q595" s="127"/>
      <c r="R595" s="127"/>
      <c r="S595" s="127"/>
      <c r="T595" s="127"/>
      <c r="U595" s="127"/>
      <c r="V595" s="127"/>
      <c r="W595" s="127"/>
      <c r="X595" s="127"/>
      <c r="Y595" s="127"/>
      <c r="Z595" s="127"/>
    </row>
    <row r="596" customFormat="false" ht="15.75" hidden="false" customHeight="false" outlineLevel="0" collapsed="false">
      <c r="A596" s="127"/>
      <c r="B596" s="127"/>
      <c r="C596" s="127"/>
      <c r="D596" s="127"/>
      <c r="E596" s="127"/>
      <c r="F596" s="127"/>
      <c r="G596" s="127"/>
      <c r="H596" s="127"/>
      <c r="I596" s="127"/>
      <c r="J596" s="127"/>
      <c r="K596" s="127"/>
      <c r="L596" s="127"/>
      <c r="M596" s="127"/>
      <c r="N596" s="127"/>
      <c r="O596" s="127"/>
      <c r="P596" s="127"/>
      <c r="Q596" s="127"/>
      <c r="R596" s="127"/>
      <c r="S596" s="127"/>
      <c r="T596" s="127"/>
      <c r="U596" s="127"/>
      <c r="V596" s="127"/>
      <c r="W596" s="127"/>
      <c r="X596" s="127"/>
      <c r="Y596" s="127"/>
      <c r="Z596" s="127"/>
    </row>
    <row r="597" customFormat="false" ht="15.75" hidden="false" customHeight="false" outlineLevel="0" collapsed="false">
      <c r="A597" s="127"/>
      <c r="B597" s="127"/>
      <c r="C597" s="127"/>
      <c r="D597" s="127"/>
      <c r="E597" s="127"/>
      <c r="F597" s="127"/>
      <c r="G597" s="127"/>
      <c r="H597" s="127"/>
      <c r="I597" s="127"/>
      <c r="J597" s="127"/>
      <c r="K597" s="127"/>
      <c r="L597" s="127"/>
      <c r="M597" s="127"/>
      <c r="N597" s="127"/>
      <c r="O597" s="127"/>
      <c r="P597" s="127"/>
      <c r="Q597" s="127"/>
      <c r="R597" s="127"/>
      <c r="S597" s="127"/>
      <c r="T597" s="127"/>
      <c r="U597" s="127"/>
      <c r="V597" s="127"/>
      <c r="W597" s="127"/>
      <c r="X597" s="127"/>
      <c r="Y597" s="127"/>
      <c r="Z597" s="127"/>
    </row>
    <row r="598" customFormat="false" ht="15.75" hidden="false" customHeight="false" outlineLevel="0" collapsed="false">
      <c r="A598" s="127"/>
      <c r="B598" s="127"/>
      <c r="C598" s="127"/>
      <c r="D598" s="127"/>
      <c r="E598" s="127"/>
      <c r="F598" s="127"/>
      <c r="G598" s="127"/>
      <c r="H598" s="127"/>
      <c r="I598" s="127"/>
      <c r="J598" s="127"/>
      <c r="K598" s="127"/>
      <c r="L598" s="127"/>
      <c r="M598" s="127"/>
      <c r="N598" s="127"/>
      <c r="O598" s="127"/>
      <c r="P598" s="127"/>
      <c r="Q598" s="127"/>
      <c r="R598" s="127"/>
      <c r="S598" s="127"/>
      <c r="T598" s="127"/>
      <c r="U598" s="127"/>
      <c r="V598" s="127"/>
      <c r="W598" s="127"/>
      <c r="X598" s="127"/>
      <c r="Y598" s="127"/>
      <c r="Z598" s="127"/>
    </row>
    <row r="599" customFormat="false" ht="15.75" hidden="false" customHeight="false" outlineLevel="0" collapsed="false">
      <c r="A599" s="127"/>
      <c r="B599" s="127"/>
      <c r="C599" s="127"/>
      <c r="D599" s="127"/>
      <c r="E599" s="127"/>
      <c r="F599" s="127"/>
      <c r="G599" s="127"/>
      <c r="H599" s="127"/>
      <c r="I599" s="127"/>
      <c r="J599" s="127"/>
      <c r="K599" s="127"/>
      <c r="L599" s="127"/>
      <c r="M599" s="127"/>
      <c r="N599" s="127"/>
      <c r="O599" s="127"/>
      <c r="P599" s="127"/>
      <c r="Q599" s="127"/>
      <c r="R599" s="127"/>
      <c r="S599" s="127"/>
      <c r="T599" s="127"/>
      <c r="U599" s="127"/>
      <c r="V599" s="127"/>
      <c r="W599" s="127"/>
      <c r="X599" s="127"/>
      <c r="Y599" s="127"/>
      <c r="Z599" s="127"/>
    </row>
    <row r="600" customFormat="false" ht="15.75" hidden="false" customHeight="false" outlineLevel="0" collapsed="false">
      <c r="A600" s="127"/>
      <c r="B600" s="127"/>
      <c r="C600" s="127"/>
      <c r="D600" s="127"/>
      <c r="E600" s="127"/>
      <c r="F600" s="127"/>
      <c r="G600" s="127"/>
      <c r="H600" s="127"/>
      <c r="I600" s="127"/>
      <c r="J600" s="127"/>
      <c r="K600" s="127"/>
      <c r="L600" s="127"/>
      <c r="M600" s="127"/>
      <c r="N600" s="127"/>
      <c r="O600" s="127"/>
      <c r="P600" s="127"/>
      <c r="Q600" s="127"/>
      <c r="R600" s="127"/>
      <c r="S600" s="127"/>
      <c r="T600" s="127"/>
      <c r="U600" s="127"/>
      <c r="V600" s="127"/>
      <c r="W600" s="127"/>
      <c r="X600" s="127"/>
      <c r="Y600" s="127"/>
      <c r="Z600" s="127"/>
    </row>
    <row r="601" customFormat="false" ht="15.75" hidden="false" customHeight="false" outlineLevel="0" collapsed="false">
      <c r="A601" s="127"/>
      <c r="B601" s="127"/>
      <c r="C601" s="127"/>
      <c r="D601" s="127"/>
      <c r="E601" s="127"/>
      <c r="F601" s="127"/>
      <c r="G601" s="127"/>
      <c r="H601" s="127"/>
      <c r="I601" s="127"/>
      <c r="J601" s="127"/>
      <c r="K601" s="127"/>
      <c r="L601" s="127"/>
      <c r="M601" s="127"/>
      <c r="N601" s="127"/>
      <c r="O601" s="127"/>
      <c r="P601" s="127"/>
      <c r="Q601" s="127"/>
      <c r="R601" s="127"/>
      <c r="S601" s="127"/>
      <c r="T601" s="127"/>
      <c r="U601" s="127"/>
      <c r="V601" s="127"/>
      <c r="W601" s="127"/>
      <c r="X601" s="127"/>
      <c r="Y601" s="127"/>
      <c r="Z601" s="127"/>
    </row>
    <row r="602" customFormat="false" ht="15.75" hidden="false" customHeight="false" outlineLevel="0" collapsed="false">
      <c r="A602" s="127"/>
      <c r="B602" s="127"/>
      <c r="C602" s="127"/>
      <c r="D602" s="127"/>
      <c r="E602" s="127"/>
      <c r="F602" s="127"/>
      <c r="G602" s="127"/>
      <c r="H602" s="127"/>
      <c r="I602" s="127"/>
      <c r="J602" s="127"/>
      <c r="K602" s="127"/>
      <c r="L602" s="127"/>
      <c r="M602" s="127"/>
      <c r="N602" s="127"/>
      <c r="O602" s="127"/>
      <c r="P602" s="127"/>
      <c r="Q602" s="127"/>
      <c r="R602" s="127"/>
      <c r="S602" s="127"/>
      <c r="T602" s="127"/>
      <c r="U602" s="127"/>
      <c r="V602" s="127"/>
      <c r="W602" s="127"/>
      <c r="X602" s="127"/>
      <c r="Y602" s="127"/>
      <c r="Z602" s="127"/>
    </row>
    <row r="603" customFormat="false" ht="15.75" hidden="false" customHeight="false" outlineLevel="0" collapsed="false">
      <c r="A603" s="127"/>
      <c r="B603" s="127"/>
      <c r="C603" s="127"/>
      <c r="D603" s="127"/>
      <c r="E603" s="127"/>
      <c r="F603" s="127"/>
      <c r="G603" s="127"/>
      <c r="H603" s="127"/>
      <c r="I603" s="127"/>
      <c r="J603" s="127"/>
      <c r="K603" s="127"/>
      <c r="L603" s="127"/>
      <c r="M603" s="127"/>
      <c r="N603" s="127"/>
      <c r="O603" s="127"/>
      <c r="P603" s="127"/>
      <c r="Q603" s="127"/>
      <c r="R603" s="127"/>
      <c r="S603" s="127"/>
      <c r="T603" s="127"/>
      <c r="U603" s="127"/>
      <c r="V603" s="127"/>
      <c r="W603" s="127"/>
      <c r="X603" s="127"/>
      <c r="Y603" s="127"/>
      <c r="Z603" s="127"/>
    </row>
    <row r="604" customFormat="false" ht="15.75" hidden="false" customHeight="false" outlineLevel="0" collapsed="false">
      <c r="A604" s="127"/>
      <c r="B604" s="127"/>
      <c r="C604" s="127"/>
      <c r="D604" s="127"/>
      <c r="E604" s="127"/>
      <c r="F604" s="127"/>
      <c r="G604" s="127"/>
      <c r="H604" s="127"/>
      <c r="I604" s="127"/>
      <c r="J604" s="127"/>
      <c r="K604" s="127"/>
      <c r="L604" s="127"/>
      <c r="M604" s="127"/>
      <c r="N604" s="127"/>
      <c r="O604" s="127"/>
      <c r="P604" s="127"/>
      <c r="Q604" s="127"/>
      <c r="R604" s="127"/>
      <c r="S604" s="127"/>
      <c r="T604" s="127"/>
      <c r="U604" s="127"/>
      <c r="V604" s="127"/>
      <c r="W604" s="127"/>
      <c r="X604" s="127"/>
      <c r="Y604" s="127"/>
      <c r="Z604" s="127"/>
    </row>
    <row r="605" customFormat="false" ht="15.75" hidden="false" customHeight="false" outlineLevel="0" collapsed="false">
      <c r="A605" s="127"/>
      <c r="B605" s="127"/>
      <c r="C605" s="127"/>
      <c r="D605" s="127"/>
      <c r="E605" s="127"/>
      <c r="F605" s="127"/>
      <c r="G605" s="127"/>
      <c r="H605" s="127"/>
      <c r="I605" s="127"/>
      <c r="J605" s="127"/>
      <c r="K605" s="127"/>
      <c r="L605" s="127"/>
      <c r="M605" s="127"/>
      <c r="N605" s="127"/>
      <c r="O605" s="127"/>
      <c r="P605" s="127"/>
      <c r="Q605" s="127"/>
      <c r="R605" s="127"/>
      <c r="S605" s="127"/>
      <c r="T605" s="127"/>
      <c r="U605" s="127"/>
      <c r="V605" s="127"/>
      <c r="W605" s="127"/>
      <c r="X605" s="127"/>
      <c r="Y605" s="127"/>
      <c r="Z605" s="127"/>
    </row>
    <row r="606" customFormat="false" ht="15.75" hidden="false" customHeight="false" outlineLevel="0" collapsed="false">
      <c r="A606" s="127"/>
      <c r="B606" s="127"/>
      <c r="C606" s="127"/>
      <c r="D606" s="127"/>
      <c r="E606" s="127"/>
      <c r="F606" s="127"/>
      <c r="G606" s="127"/>
      <c r="H606" s="127"/>
      <c r="I606" s="127"/>
      <c r="J606" s="127"/>
      <c r="K606" s="127"/>
      <c r="L606" s="127"/>
      <c r="M606" s="127"/>
      <c r="N606" s="127"/>
      <c r="O606" s="127"/>
      <c r="P606" s="127"/>
      <c r="Q606" s="127"/>
      <c r="R606" s="127"/>
      <c r="S606" s="127"/>
      <c r="T606" s="127"/>
      <c r="U606" s="127"/>
      <c r="V606" s="127"/>
      <c r="W606" s="127"/>
      <c r="X606" s="127"/>
      <c r="Y606" s="127"/>
      <c r="Z606" s="127"/>
    </row>
    <row r="607" customFormat="false" ht="15.75" hidden="false" customHeight="false" outlineLevel="0" collapsed="false">
      <c r="A607" s="127"/>
      <c r="B607" s="127"/>
      <c r="C607" s="127"/>
      <c r="D607" s="127"/>
      <c r="E607" s="127"/>
      <c r="F607" s="127"/>
      <c r="G607" s="127"/>
      <c r="H607" s="127"/>
      <c r="I607" s="127"/>
      <c r="J607" s="127"/>
      <c r="K607" s="127"/>
      <c r="L607" s="127"/>
      <c r="M607" s="127"/>
      <c r="N607" s="127"/>
      <c r="O607" s="127"/>
      <c r="P607" s="127"/>
      <c r="Q607" s="127"/>
      <c r="R607" s="127"/>
      <c r="S607" s="127"/>
      <c r="T607" s="127"/>
      <c r="U607" s="127"/>
      <c r="V607" s="127"/>
      <c r="W607" s="127"/>
      <c r="X607" s="127"/>
      <c r="Y607" s="127"/>
      <c r="Z607" s="127"/>
    </row>
    <row r="608" customFormat="false" ht="15.75" hidden="false" customHeight="false" outlineLevel="0" collapsed="false">
      <c r="A608" s="127"/>
      <c r="B608" s="127"/>
      <c r="C608" s="127"/>
      <c r="D608" s="127"/>
      <c r="E608" s="127"/>
      <c r="F608" s="127"/>
      <c r="G608" s="127"/>
      <c r="H608" s="127"/>
      <c r="I608" s="127"/>
      <c r="J608" s="127"/>
      <c r="K608" s="127"/>
      <c r="L608" s="127"/>
      <c r="M608" s="127"/>
      <c r="N608" s="127"/>
      <c r="O608" s="127"/>
      <c r="P608" s="127"/>
      <c r="Q608" s="127"/>
      <c r="R608" s="127"/>
      <c r="S608" s="127"/>
      <c r="T608" s="127"/>
      <c r="U608" s="127"/>
      <c r="V608" s="127"/>
      <c r="W608" s="127"/>
      <c r="X608" s="127"/>
      <c r="Y608" s="127"/>
      <c r="Z608" s="127"/>
    </row>
    <row r="609" customFormat="false" ht="15.75" hidden="false" customHeight="false" outlineLevel="0" collapsed="false">
      <c r="A609" s="127"/>
      <c r="B609" s="127"/>
      <c r="C609" s="127"/>
      <c r="D609" s="127"/>
      <c r="E609" s="127"/>
      <c r="F609" s="127"/>
      <c r="G609" s="127"/>
      <c r="H609" s="127"/>
      <c r="I609" s="127"/>
      <c r="J609" s="127"/>
      <c r="K609" s="127"/>
      <c r="L609" s="127"/>
      <c r="M609" s="127"/>
      <c r="N609" s="127"/>
      <c r="O609" s="127"/>
      <c r="P609" s="127"/>
      <c r="Q609" s="127"/>
      <c r="R609" s="127"/>
      <c r="S609" s="127"/>
      <c r="T609" s="127"/>
      <c r="U609" s="127"/>
      <c r="V609" s="127"/>
      <c r="W609" s="127"/>
      <c r="X609" s="127"/>
      <c r="Y609" s="127"/>
      <c r="Z609" s="127"/>
    </row>
    <row r="610" customFormat="false" ht="15.75" hidden="false" customHeight="false" outlineLevel="0" collapsed="false">
      <c r="A610" s="127"/>
      <c r="B610" s="127"/>
      <c r="C610" s="127"/>
      <c r="D610" s="127"/>
      <c r="E610" s="127"/>
      <c r="F610" s="127"/>
      <c r="G610" s="127"/>
      <c r="H610" s="127"/>
      <c r="I610" s="127"/>
      <c r="J610" s="127"/>
      <c r="K610" s="127"/>
      <c r="L610" s="127"/>
      <c r="M610" s="127"/>
      <c r="N610" s="127"/>
      <c r="O610" s="127"/>
      <c r="P610" s="127"/>
      <c r="Q610" s="127"/>
      <c r="R610" s="127"/>
      <c r="S610" s="127"/>
      <c r="T610" s="127"/>
      <c r="U610" s="127"/>
      <c r="V610" s="127"/>
      <c r="W610" s="127"/>
      <c r="X610" s="127"/>
      <c r="Y610" s="127"/>
      <c r="Z610" s="127"/>
    </row>
    <row r="611" customFormat="false" ht="15.75" hidden="false" customHeight="false" outlineLevel="0" collapsed="false">
      <c r="A611" s="127"/>
      <c r="B611" s="127"/>
      <c r="C611" s="127"/>
      <c r="D611" s="127"/>
      <c r="E611" s="127"/>
      <c r="F611" s="127"/>
      <c r="G611" s="127"/>
      <c r="H611" s="127"/>
      <c r="I611" s="127"/>
      <c r="J611" s="127"/>
      <c r="K611" s="127"/>
      <c r="L611" s="127"/>
      <c r="M611" s="127"/>
      <c r="N611" s="127"/>
      <c r="O611" s="127"/>
      <c r="P611" s="127"/>
      <c r="Q611" s="127"/>
      <c r="R611" s="127"/>
      <c r="S611" s="127"/>
      <c r="T611" s="127"/>
      <c r="U611" s="127"/>
      <c r="V611" s="127"/>
      <c r="W611" s="127"/>
      <c r="X611" s="127"/>
      <c r="Y611" s="127"/>
      <c r="Z611" s="127"/>
    </row>
    <row r="612" customFormat="false" ht="15.75" hidden="false" customHeight="false" outlineLevel="0" collapsed="false">
      <c r="A612" s="127"/>
      <c r="B612" s="127"/>
      <c r="C612" s="127"/>
      <c r="D612" s="127"/>
      <c r="E612" s="127"/>
      <c r="F612" s="127"/>
      <c r="G612" s="127"/>
      <c r="H612" s="127"/>
      <c r="I612" s="127"/>
      <c r="J612" s="127"/>
      <c r="K612" s="127"/>
      <c r="L612" s="127"/>
      <c r="M612" s="127"/>
      <c r="N612" s="127"/>
      <c r="O612" s="127"/>
      <c r="P612" s="127"/>
      <c r="Q612" s="127"/>
      <c r="R612" s="127"/>
      <c r="S612" s="127"/>
      <c r="T612" s="127"/>
      <c r="U612" s="127"/>
      <c r="V612" s="127"/>
      <c r="W612" s="127"/>
      <c r="X612" s="127"/>
      <c r="Y612" s="127"/>
      <c r="Z612" s="127"/>
    </row>
    <row r="613" customFormat="false" ht="15.75" hidden="false" customHeight="false" outlineLevel="0" collapsed="false">
      <c r="A613" s="127"/>
      <c r="B613" s="127"/>
      <c r="C613" s="127"/>
      <c r="D613" s="127"/>
      <c r="E613" s="127"/>
      <c r="F613" s="127"/>
      <c r="G613" s="127"/>
      <c r="H613" s="127"/>
      <c r="I613" s="127"/>
      <c r="J613" s="127"/>
      <c r="K613" s="127"/>
      <c r="L613" s="127"/>
      <c r="M613" s="127"/>
      <c r="N613" s="127"/>
      <c r="O613" s="127"/>
      <c r="P613" s="127"/>
      <c r="Q613" s="127"/>
      <c r="R613" s="127"/>
      <c r="S613" s="127"/>
      <c r="T613" s="127"/>
      <c r="U613" s="127"/>
      <c r="V613" s="127"/>
      <c r="W613" s="127"/>
      <c r="X613" s="127"/>
      <c r="Y613" s="127"/>
      <c r="Z613" s="127"/>
    </row>
    <row r="614" customFormat="false" ht="15.75" hidden="false" customHeight="false" outlineLevel="0" collapsed="false">
      <c r="A614" s="127"/>
      <c r="B614" s="127"/>
      <c r="C614" s="127"/>
      <c r="D614" s="127"/>
      <c r="E614" s="127"/>
      <c r="F614" s="127"/>
      <c r="G614" s="127"/>
      <c r="H614" s="127"/>
      <c r="I614" s="127"/>
      <c r="J614" s="127"/>
      <c r="K614" s="127"/>
      <c r="L614" s="127"/>
      <c r="M614" s="127"/>
      <c r="N614" s="127"/>
      <c r="O614" s="127"/>
      <c r="P614" s="127"/>
      <c r="Q614" s="127"/>
      <c r="R614" s="127"/>
      <c r="S614" s="127"/>
      <c r="T614" s="127"/>
      <c r="U614" s="127"/>
      <c r="V614" s="127"/>
      <c r="W614" s="127"/>
      <c r="X614" s="127"/>
      <c r="Y614" s="127"/>
      <c r="Z614" s="127"/>
    </row>
    <row r="615" customFormat="false" ht="15.75" hidden="false" customHeight="false" outlineLevel="0" collapsed="false">
      <c r="A615" s="127"/>
      <c r="B615" s="127"/>
      <c r="C615" s="127"/>
      <c r="D615" s="127"/>
      <c r="E615" s="127"/>
      <c r="F615" s="127"/>
      <c r="G615" s="127"/>
      <c r="H615" s="127"/>
      <c r="I615" s="127"/>
      <c r="J615" s="127"/>
      <c r="K615" s="127"/>
      <c r="L615" s="127"/>
      <c r="M615" s="127"/>
      <c r="N615" s="127"/>
      <c r="O615" s="127"/>
      <c r="P615" s="127"/>
      <c r="Q615" s="127"/>
      <c r="R615" s="127"/>
      <c r="S615" s="127"/>
      <c r="T615" s="127"/>
      <c r="U615" s="127"/>
      <c r="V615" s="127"/>
      <c r="W615" s="127"/>
      <c r="X615" s="127"/>
      <c r="Y615" s="127"/>
      <c r="Z615" s="127"/>
    </row>
    <row r="616" customFormat="false" ht="15.75" hidden="false" customHeight="false" outlineLevel="0" collapsed="false">
      <c r="A616" s="127"/>
      <c r="B616" s="127"/>
      <c r="C616" s="127"/>
      <c r="D616" s="127"/>
      <c r="E616" s="127"/>
      <c r="F616" s="127"/>
      <c r="G616" s="127"/>
      <c r="H616" s="127"/>
      <c r="I616" s="127"/>
      <c r="J616" s="127"/>
      <c r="K616" s="127"/>
      <c r="L616" s="127"/>
      <c r="M616" s="127"/>
      <c r="N616" s="127"/>
      <c r="O616" s="127"/>
      <c r="P616" s="127"/>
      <c r="Q616" s="127"/>
      <c r="R616" s="127"/>
      <c r="S616" s="127"/>
      <c r="T616" s="127"/>
      <c r="U616" s="127"/>
      <c r="V616" s="127"/>
      <c r="W616" s="127"/>
      <c r="X616" s="127"/>
      <c r="Y616" s="127"/>
      <c r="Z616" s="127"/>
    </row>
    <row r="617" customFormat="false" ht="15.75" hidden="false" customHeight="false" outlineLevel="0" collapsed="false">
      <c r="A617" s="127"/>
      <c r="B617" s="127"/>
      <c r="C617" s="127"/>
      <c r="D617" s="127"/>
      <c r="E617" s="127"/>
      <c r="F617" s="127"/>
      <c r="G617" s="127"/>
      <c r="H617" s="127"/>
      <c r="I617" s="127"/>
      <c r="J617" s="127"/>
      <c r="K617" s="127"/>
      <c r="L617" s="127"/>
      <c r="M617" s="127"/>
      <c r="N617" s="127"/>
      <c r="O617" s="127"/>
      <c r="P617" s="127"/>
      <c r="Q617" s="127"/>
      <c r="R617" s="127"/>
      <c r="S617" s="127"/>
      <c r="T617" s="127"/>
      <c r="U617" s="127"/>
      <c r="V617" s="127"/>
      <c r="W617" s="127"/>
      <c r="X617" s="127"/>
      <c r="Y617" s="127"/>
      <c r="Z617" s="127"/>
    </row>
    <row r="618" customFormat="false" ht="15.75" hidden="false" customHeight="false" outlineLevel="0" collapsed="false">
      <c r="A618" s="127"/>
      <c r="B618" s="127"/>
      <c r="C618" s="127"/>
      <c r="D618" s="127"/>
      <c r="E618" s="127"/>
      <c r="F618" s="127"/>
      <c r="G618" s="127"/>
      <c r="H618" s="127"/>
      <c r="I618" s="127"/>
      <c r="J618" s="127"/>
      <c r="K618" s="127"/>
      <c r="L618" s="127"/>
      <c r="M618" s="127"/>
      <c r="N618" s="127"/>
      <c r="O618" s="127"/>
      <c r="P618" s="127"/>
      <c r="Q618" s="127"/>
      <c r="R618" s="127"/>
      <c r="S618" s="127"/>
      <c r="T618" s="127"/>
      <c r="U618" s="127"/>
      <c r="V618" s="127"/>
      <c r="W618" s="127"/>
      <c r="X618" s="127"/>
      <c r="Y618" s="127"/>
      <c r="Z618" s="127"/>
    </row>
    <row r="619" customFormat="false" ht="15.75" hidden="false" customHeight="false" outlineLevel="0" collapsed="false">
      <c r="A619" s="127"/>
      <c r="B619" s="127"/>
      <c r="C619" s="127"/>
      <c r="D619" s="127"/>
      <c r="E619" s="127"/>
      <c r="F619" s="127"/>
      <c r="G619" s="127"/>
      <c r="H619" s="127"/>
      <c r="I619" s="127"/>
      <c r="J619" s="127"/>
      <c r="K619" s="127"/>
      <c r="L619" s="127"/>
      <c r="M619" s="127"/>
      <c r="N619" s="127"/>
      <c r="O619" s="127"/>
      <c r="P619" s="127"/>
      <c r="Q619" s="127"/>
      <c r="R619" s="127"/>
      <c r="S619" s="127"/>
      <c r="T619" s="127"/>
      <c r="U619" s="127"/>
      <c r="V619" s="127"/>
      <c r="W619" s="127"/>
      <c r="X619" s="127"/>
      <c r="Y619" s="127"/>
      <c r="Z619" s="127"/>
    </row>
    <row r="620" customFormat="false" ht="15.75" hidden="false" customHeight="false" outlineLevel="0" collapsed="false">
      <c r="A620" s="127"/>
      <c r="B620" s="127"/>
      <c r="C620" s="127"/>
      <c r="D620" s="127"/>
      <c r="E620" s="127"/>
      <c r="F620" s="127"/>
      <c r="G620" s="127"/>
      <c r="H620" s="127"/>
      <c r="I620" s="127"/>
      <c r="J620" s="127"/>
      <c r="K620" s="127"/>
      <c r="L620" s="127"/>
      <c r="M620" s="127"/>
      <c r="N620" s="127"/>
      <c r="O620" s="127"/>
      <c r="P620" s="127"/>
      <c r="Q620" s="127"/>
      <c r="R620" s="127"/>
      <c r="S620" s="127"/>
      <c r="T620" s="127"/>
      <c r="U620" s="127"/>
      <c r="V620" s="127"/>
      <c r="W620" s="127"/>
      <c r="X620" s="127"/>
      <c r="Y620" s="127"/>
      <c r="Z620" s="127"/>
    </row>
    <row r="621" customFormat="false" ht="15.75" hidden="false" customHeight="false" outlineLevel="0" collapsed="false">
      <c r="A621" s="127"/>
      <c r="B621" s="127"/>
      <c r="C621" s="127"/>
      <c r="D621" s="127"/>
      <c r="E621" s="127"/>
      <c r="F621" s="127"/>
      <c r="G621" s="127"/>
      <c r="H621" s="127"/>
      <c r="I621" s="127"/>
      <c r="J621" s="127"/>
      <c r="K621" s="127"/>
      <c r="L621" s="127"/>
      <c r="M621" s="127"/>
      <c r="N621" s="127"/>
      <c r="O621" s="127"/>
      <c r="P621" s="127"/>
      <c r="Q621" s="127"/>
      <c r="R621" s="127"/>
      <c r="S621" s="127"/>
      <c r="T621" s="127"/>
      <c r="U621" s="127"/>
      <c r="V621" s="127"/>
      <c r="W621" s="127"/>
      <c r="X621" s="127"/>
      <c r="Y621" s="127"/>
      <c r="Z621" s="127"/>
    </row>
    <row r="622" customFormat="false" ht="15.75" hidden="false" customHeight="false" outlineLevel="0" collapsed="false">
      <c r="A622" s="127"/>
      <c r="B622" s="127"/>
      <c r="C622" s="127"/>
      <c r="D622" s="127"/>
      <c r="E622" s="127"/>
      <c r="F622" s="127"/>
      <c r="G622" s="127"/>
      <c r="H622" s="127"/>
      <c r="I622" s="127"/>
      <c r="J622" s="127"/>
      <c r="K622" s="127"/>
      <c r="L622" s="127"/>
      <c r="M622" s="127"/>
      <c r="N622" s="127"/>
      <c r="O622" s="127"/>
      <c r="P622" s="127"/>
      <c r="Q622" s="127"/>
      <c r="R622" s="127"/>
      <c r="S622" s="127"/>
      <c r="T622" s="127"/>
      <c r="U622" s="127"/>
      <c r="V622" s="127"/>
      <c r="W622" s="127"/>
      <c r="X622" s="127"/>
      <c r="Y622" s="127"/>
      <c r="Z622" s="127"/>
    </row>
    <row r="623" customFormat="false" ht="15.75" hidden="false" customHeight="false" outlineLevel="0" collapsed="false">
      <c r="A623" s="127"/>
      <c r="B623" s="127"/>
      <c r="C623" s="127"/>
      <c r="D623" s="127"/>
      <c r="E623" s="127"/>
      <c r="F623" s="127"/>
      <c r="G623" s="127"/>
      <c r="H623" s="127"/>
      <c r="I623" s="127"/>
      <c r="J623" s="127"/>
      <c r="K623" s="127"/>
      <c r="L623" s="127"/>
      <c r="M623" s="127"/>
      <c r="N623" s="127"/>
      <c r="O623" s="127"/>
      <c r="P623" s="127"/>
      <c r="Q623" s="127"/>
      <c r="R623" s="127"/>
      <c r="S623" s="127"/>
      <c r="T623" s="127"/>
      <c r="U623" s="127"/>
      <c r="V623" s="127"/>
      <c r="W623" s="127"/>
      <c r="X623" s="127"/>
      <c r="Y623" s="127"/>
      <c r="Z623" s="127"/>
    </row>
    <row r="624" customFormat="false" ht="15.75" hidden="false" customHeight="false" outlineLevel="0" collapsed="false">
      <c r="A624" s="127"/>
      <c r="B624" s="127"/>
      <c r="C624" s="127"/>
      <c r="D624" s="127"/>
      <c r="E624" s="127"/>
      <c r="F624" s="127"/>
      <c r="G624" s="127"/>
      <c r="H624" s="127"/>
      <c r="I624" s="127"/>
      <c r="J624" s="127"/>
      <c r="K624" s="127"/>
      <c r="L624" s="127"/>
      <c r="M624" s="127"/>
      <c r="N624" s="127"/>
      <c r="O624" s="127"/>
      <c r="P624" s="127"/>
      <c r="Q624" s="127"/>
      <c r="R624" s="127"/>
      <c r="S624" s="127"/>
      <c r="T624" s="127"/>
      <c r="U624" s="127"/>
      <c r="V624" s="127"/>
      <c r="W624" s="127"/>
      <c r="X624" s="127"/>
      <c r="Y624" s="127"/>
      <c r="Z624" s="127"/>
    </row>
    <row r="625" customFormat="false" ht="15.75" hidden="false" customHeight="false" outlineLevel="0" collapsed="false">
      <c r="A625" s="127"/>
      <c r="B625" s="127"/>
      <c r="C625" s="127"/>
      <c r="D625" s="127"/>
      <c r="E625" s="127"/>
      <c r="F625" s="127"/>
      <c r="G625" s="127"/>
      <c r="H625" s="127"/>
      <c r="I625" s="127"/>
      <c r="J625" s="127"/>
      <c r="K625" s="127"/>
      <c r="L625" s="127"/>
      <c r="M625" s="127"/>
      <c r="N625" s="127"/>
      <c r="O625" s="127"/>
      <c r="P625" s="127"/>
      <c r="Q625" s="127"/>
      <c r="R625" s="127"/>
      <c r="S625" s="127"/>
      <c r="T625" s="127"/>
      <c r="U625" s="127"/>
      <c r="V625" s="127"/>
      <c r="W625" s="127"/>
      <c r="X625" s="127"/>
      <c r="Y625" s="127"/>
      <c r="Z625" s="127"/>
    </row>
    <row r="626" customFormat="false" ht="15.75" hidden="false" customHeight="false" outlineLevel="0" collapsed="false">
      <c r="A626" s="127"/>
      <c r="B626" s="127"/>
      <c r="C626" s="127"/>
      <c r="D626" s="127"/>
      <c r="E626" s="127"/>
      <c r="F626" s="127"/>
      <c r="G626" s="127"/>
      <c r="H626" s="127"/>
      <c r="I626" s="127"/>
      <c r="J626" s="127"/>
      <c r="K626" s="127"/>
      <c r="L626" s="127"/>
      <c r="M626" s="127"/>
      <c r="N626" s="127"/>
      <c r="O626" s="127"/>
      <c r="P626" s="127"/>
      <c r="Q626" s="127"/>
      <c r="R626" s="127"/>
      <c r="S626" s="127"/>
      <c r="T626" s="127"/>
      <c r="U626" s="127"/>
      <c r="V626" s="127"/>
      <c r="W626" s="127"/>
      <c r="X626" s="127"/>
      <c r="Y626" s="127"/>
      <c r="Z626" s="127"/>
    </row>
    <row r="627" customFormat="false" ht="15.75" hidden="false" customHeight="false" outlineLevel="0" collapsed="false">
      <c r="A627" s="127"/>
      <c r="B627" s="127"/>
      <c r="C627" s="127"/>
      <c r="D627" s="127"/>
      <c r="E627" s="127"/>
      <c r="F627" s="127"/>
      <c r="G627" s="127"/>
      <c r="H627" s="127"/>
      <c r="I627" s="127"/>
      <c r="J627" s="127"/>
      <c r="K627" s="127"/>
      <c r="L627" s="127"/>
      <c r="M627" s="127"/>
      <c r="N627" s="127"/>
      <c r="O627" s="127"/>
      <c r="P627" s="127"/>
      <c r="Q627" s="127"/>
      <c r="R627" s="127"/>
      <c r="S627" s="127"/>
      <c r="T627" s="127"/>
      <c r="U627" s="127"/>
      <c r="V627" s="127"/>
      <c r="W627" s="127"/>
      <c r="X627" s="127"/>
      <c r="Y627" s="127"/>
      <c r="Z627" s="127"/>
    </row>
    <row r="628" customFormat="false" ht="15.75" hidden="false" customHeight="false" outlineLevel="0" collapsed="false">
      <c r="A628" s="127"/>
      <c r="B628" s="127"/>
      <c r="C628" s="127"/>
      <c r="D628" s="127"/>
      <c r="E628" s="127"/>
      <c r="F628" s="127"/>
      <c r="G628" s="127"/>
      <c r="H628" s="127"/>
      <c r="I628" s="127"/>
      <c r="J628" s="127"/>
      <c r="K628" s="127"/>
      <c r="L628" s="127"/>
      <c r="M628" s="127"/>
      <c r="N628" s="127"/>
      <c r="O628" s="127"/>
      <c r="P628" s="127"/>
      <c r="Q628" s="127"/>
      <c r="R628" s="127"/>
      <c r="S628" s="127"/>
      <c r="T628" s="127"/>
      <c r="U628" s="127"/>
      <c r="V628" s="127"/>
      <c r="W628" s="127"/>
      <c r="X628" s="127"/>
      <c r="Y628" s="127"/>
      <c r="Z628" s="127"/>
    </row>
    <row r="629" customFormat="false" ht="15.75" hidden="false" customHeight="false" outlineLevel="0" collapsed="false">
      <c r="A629" s="127"/>
      <c r="B629" s="127"/>
      <c r="C629" s="127"/>
      <c r="D629" s="127"/>
      <c r="E629" s="127"/>
      <c r="F629" s="127"/>
      <c r="G629" s="127"/>
      <c r="H629" s="127"/>
      <c r="I629" s="127"/>
      <c r="J629" s="127"/>
      <c r="K629" s="127"/>
      <c r="L629" s="127"/>
      <c r="M629" s="127"/>
      <c r="N629" s="127"/>
      <c r="O629" s="127"/>
      <c r="P629" s="127"/>
      <c r="Q629" s="127"/>
      <c r="R629" s="127"/>
      <c r="S629" s="127"/>
      <c r="T629" s="127"/>
      <c r="U629" s="127"/>
      <c r="V629" s="127"/>
      <c r="W629" s="127"/>
      <c r="X629" s="127"/>
      <c r="Y629" s="127"/>
      <c r="Z629" s="127"/>
    </row>
    <row r="630" customFormat="false" ht="15.75" hidden="false" customHeight="false" outlineLevel="0" collapsed="false">
      <c r="A630" s="127"/>
      <c r="B630" s="127"/>
      <c r="C630" s="127"/>
      <c r="D630" s="127"/>
      <c r="E630" s="127"/>
      <c r="F630" s="127"/>
      <c r="G630" s="127"/>
      <c r="H630" s="127"/>
      <c r="I630" s="127"/>
      <c r="J630" s="127"/>
      <c r="K630" s="127"/>
      <c r="L630" s="127"/>
      <c r="M630" s="127"/>
      <c r="N630" s="127"/>
      <c r="O630" s="127"/>
      <c r="P630" s="127"/>
      <c r="Q630" s="127"/>
      <c r="R630" s="127"/>
      <c r="S630" s="127"/>
      <c r="T630" s="127"/>
      <c r="U630" s="127"/>
      <c r="V630" s="127"/>
      <c r="W630" s="127"/>
      <c r="X630" s="127"/>
      <c r="Y630" s="127"/>
      <c r="Z630" s="127"/>
    </row>
    <row r="631" customFormat="false" ht="15.75" hidden="false" customHeight="false" outlineLevel="0" collapsed="false">
      <c r="A631" s="127"/>
      <c r="B631" s="127"/>
      <c r="C631" s="127"/>
      <c r="D631" s="127"/>
      <c r="E631" s="127"/>
      <c r="F631" s="127"/>
      <c r="G631" s="127"/>
      <c r="H631" s="127"/>
      <c r="I631" s="127"/>
      <c r="J631" s="127"/>
      <c r="K631" s="127"/>
      <c r="L631" s="127"/>
      <c r="M631" s="127"/>
      <c r="N631" s="127"/>
      <c r="O631" s="127"/>
      <c r="P631" s="127"/>
      <c r="Q631" s="127"/>
      <c r="R631" s="127"/>
      <c r="S631" s="127"/>
      <c r="T631" s="127"/>
      <c r="U631" s="127"/>
      <c r="V631" s="127"/>
      <c r="W631" s="127"/>
      <c r="X631" s="127"/>
      <c r="Y631" s="127"/>
      <c r="Z631" s="127"/>
    </row>
    <row r="632" customFormat="false" ht="15.75" hidden="false" customHeight="false" outlineLevel="0" collapsed="false">
      <c r="A632" s="127"/>
      <c r="B632" s="127"/>
      <c r="C632" s="127"/>
      <c r="D632" s="127"/>
      <c r="E632" s="127"/>
      <c r="F632" s="127"/>
      <c r="G632" s="127"/>
      <c r="H632" s="127"/>
      <c r="I632" s="127"/>
      <c r="J632" s="127"/>
      <c r="K632" s="127"/>
      <c r="L632" s="127"/>
      <c r="M632" s="127"/>
      <c r="N632" s="127"/>
      <c r="O632" s="127"/>
      <c r="P632" s="127"/>
      <c r="Q632" s="127"/>
      <c r="R632" s="127"/>
      <c r="S632" s="127"/>
      <c r="T632" s="127"/>
      <c r="U632" s="127"/>
      <c r="V632" s="127"/>
      <c r="W632" s="127"/>
      <c r="X632" s="127"/>
      <c r="Y632" s="127"/>
      <c r="Z632" s="127"/>
    </row>
    <row r="633" customFormat="false" ht="15.75" hidden="false" customHeight="false" outlineLevel="0" collapsed="false">
      <c r="A633" s="127"/>
      <c r="B633" s="127"/>
      <c r="C633" s="127"/>
      <c r="D633" s="127"/>
      <c r="E633" s="127"/>
      <c r="F633" s="127"/>
      <c r="G633" s="127"/>
      <c r="H633" s="127"/>
      <c r="I633" s="127"/>
      <c r="J633" s="127"/>
      <c r="K633" s="127"/>
      <c r="L633" s="127"/>
      <c r="M633" s="127"/>
      <c r="N633" s="127"/>
      <c r="O633" s="127"/>
      <c r="P633" s="127"/>
      <c r="Q633" s="127"/>
      <c r="R633" s="127"/>
      <c r="S633" s="127"/>
      <c r="T633" s="127"/>
      <c r="U633" s="127"/>
      <c r="V633" s="127"/>
      <c r="W633" s="127"/>
      <c r="X633" s="127"/>
      <c r="Y633" s="127"/>
      <c r="Z633" s="127"/>
    </row>
    <row r="634" customFormat="false" ht="15.75" hidden="false" customHeight="false" outlineLevel="0" collapsed="false">
      <c r="A634" s="127"/>
      <c r="B634" s="127"/>
      <c r="C634" s="127"/>
      <c r="D634" s="127"/>
      <c r="E634" s="127"/>
      <c r="F634" s="127"/>
      <c r="G634" s="127"/>
      <c r="H634" s="127"/>
      <c r="I634" s="127"/>
      <c r="J634" s="127"/>
      <c r="K634" s="127"/>
      <c r="L634" s="127"/>
      <c r="M634" s="127"/>
      <c r="N634" s="127"/>
      <c r="O634" s="127"/>
      <c r="P634" s="127"/>
      <c r="Q634" s="127"/>
      <c r="R634" s="127"/>
      <c r="S634" s="127"/>
      <c r="T634" s="127"/>
      <c r="U634" s="127"/>
      <c r="V634" s="127"/>
      <c r="W634" s="127"/>
      <c r="X634" s="127"/>
      <c r="Y634" s="127"/>
      <c r="Z634" s="127"/>
    </row>
    <row r="635" customFormat="false" ht="15.75" hidden="false" customHeight="false" outlineLevel="0" collapsed="false">
      <c r="A635" s="127"/>
      <c r="B635" s="127"/>
      <c r="C635" s="127"/>
      <c r="D635" s="127"/>
      <c r="E635" s="127"/>
      <c r="F635" s="127"/>
      <c r="G635" s="127"/>
      <c r="H635" s="127"/>
      <c r="I635" s="127"/>
      <c r="J635" s="127"/>
      <c r="K635" s="127"/>
      <c r="L635" s="127"/>
      <c r="M635" s="127"/>
      <c r="N635" s="127"/>
      <c r="O635" s="127"/>
      <c r="P635" s="127"/>
      <c r="Q635" s="127"/>
      <c r="R635" s="127"/>
      <c r="S635" s="127"/>
      <c r="T635" s="127"/>
      <c r="U635" s="127"/>
      <c r="V635" s="127"/>
      <c r="W635" s="127"/>
      <c r="X635" s="127"/>
      <c r="Y635" s="127"/>
      <c r="Z635" s="127"/>
    </row>
    <row r="636" customFormat="false" ht="15.75" hidden="false" customHeight="false" outlineLevel="0" collapsed="false">
      <c r="A636" s="127"/>
      <c r="B636" s="127"/>
      <c r="C636" s="127"/>
      <c r="D636" s="127"/>
      <c r="E636" s="127"/>
      <c r="F636" s="127"/>
      <c r="G636" s="127"/>
      <c r="H636" s="127"/>
      <c r="I636" s="127"/>
      <c r="J636" s="127"/>
      <c r="K636" s="127"/>
      <c r="L636" s="127"/>
      <c r="M636" s="127"/>
      <c r="N636" s="127"/>
      <c r="O636" s="127"/>
      <c r="P636" s="127"/>
      <c r="Q636" s="127"/>
      <c r="R636" s="127"/>
      <c r="S636" s="127"/>
      <c r="T636" s="127"/>
      <c r="U636" s="127"/>
      <c r="V636" s="127"/>
      <c r="W636" s="127"/>
      <c r="X636" s="127"/>
      <c r="Y636" s="127"/>
      <c r="Z636" s="127"/>
    </row>
    <row r="637" customFormat="false" ht="15.75" hidden="false" customHeight="false" outlineLevel="0" collapsed="false">
      <c r="A637" s="127"/>
      <c r="B637" s="127"/>
      <c r="C637" s="127"/>
      <c r="D637" s="127"/>
      <c r="E637" s="127"/>
      <c r="F637" s="127"/>
      <c r="G637" s="127"/>
      <c r="H637" s="127"/>
      <c r="I637" s="127"/>
      <c r="J637" s="127"/>
      <c r="K637" s="127"/>
      <c r="L637" s="127"/>
      <c r="M637" s="127"/>
      <c r="N637" s="127"/>
      <c r="O637" s="127"/>
      <c r="P637" s="127"/>
      <c r="Q637" s="127"/>
      <c r="R637" s="127"/>
      <c r="S637" s="127"/>
      <c r="T637" s="127"/>
      <c r="U637" s="127"/>
      <c r="V637" s="127"/>
      <c r="W637" s="127"/>
      <c r="X637" s="127"/>
      <c r="Y637" s="127"/>
      <c r="Z637" s="127"/>
    </row>
    <row r="638" customFormat="false" ht="15.75" hidden="false" customHeight="false" outlineLevel="0" collapsed="false">
      <c r="A638" s="127"/>
      <c r="B638" s="127"/>
      <c r="C638" s="127"/>
      <c r="D638" s="127"/>
      <c r="E638" s="127"/>
      <c r="F638" s="127"/>
      <c r="G638" s="127"/>
      <c r="H638" s="127"/>
      <c r="I638" s="127"/>
      <c r="J638" s="127"/>
      <c r="K638" s="127"/>
      <c r="L638" s="127"/>
      <c r="M638" s="127"/>
      <c r="N638" s="127"/>
      <c r="O638" s="127"/>
      <c r="P638" s="127"/>
      <c r="Q638" s="127"/>
      <c r="R638" s="127"/>
      <c r="S638" s="127"/>
      <c r="T638" s="127"/>
      <c r="U638" s="127"/>
      <c r="V638" s="127"/>
      <c r="W638" s="127"/>
      <c r="X638" s="127"/>
      <c r="Y638" s="127"/>
      <c r="Z638" s="127"/>
    </row>
    <row r="639" customFormat="false" ht="15.75" hidden="false" customHeight="false" outlineLevel="0" collapsed="false">
      <c r="A639" s="127"/>
      <c r="B639" s="127"/>
      <c r="C639" s="127"/>
      <c r="D639" s="127"/>
      <c r="E639" s="127"/>
      <c r="F639" s="127"/>
      <c r="G639" s="127"/>
      <c r="H639" s="127"/>
      <c r="I639" s="127"/>
      <c r="J639" s="127"/>
      <c r="K639" s="127"/>
      <c r="L639" s="127"/>
      <c r="M639" s="127"/>
      <c r="N639" s="127"/>
      <c r="O639" s="127"/>
      <c r="P639" s="127"/>
      <c r="Q639" s="127"/>
      <c r="R639" s="127"/>
      <c r="S639" s="127"/>
      <c r="T639" s="127"/>
      <c r="U639" s="127"/>
      <c r="V639" s="127"/>
      <c r="W639" s="127"/>
      <c r="X639" s="127"/>
      <c r="Y639" s="127"/>
      <c r="Z639" s="127"/>
    </row>
    <row r="640" customFormat="false" ht="15.75" hidden="false" customHeight="false" outlineLevel="0" collapsed="false">
      <c r="A640" s="127"/>
      <c r="B640" s="127"/>
      <c r="C640" s="127"/>
      <c r="D640" s="127"/>
      <c r="E640" s="127"/>
      <c r="F640" s="127"/>
      <c r="G640" s="127"/>
      <c r="H640" s="127"/>
      <c r="I640" s="127"/>
      <c r="J640" s="127"/>
      <c r="K640" s="127"/>
      <c r="L640" s="127"/>
      <c r="M640" s="127"/>
      <c r="N640" s="127"/>
      <c r="O640" s="127"/>
      <c r="P640" s="127"/>
      <c r="Q640" s="127"/>
      <c r="R640" s="127"/>
      <c r="S640" s="127"/>
      <c r="T640" s="127"/>
      <c r="U640" s="127"/>
      <c r="V640" s="127"/>
      <c r="W640" s="127"/>
      <c r="X640" s="127"/>
      <c r="Y640" s="127"/>
      <c r="Z640" s="127"/>
    </row>
    <row r="641" customFormat="false" ht="15.75" hidden="false" customHeight="false" outlineLevel="0" collapsed="false">
      <c r="A641" s="127"/>
      <c r="B641" s="127"/>
      <c r="C641" s="127"/>
      <c r="D641" s="127"/>
      <c r="E641" s="127"/>
      <c r="F641" s="127"/>
      <c r="G641" s="127"/>
      <c r="H641" s="127"/>
      <c r="I641" s="127"/>
      <c r="J641" s="127"/>
      <c r="K641" s="127"/>
      <c r="L641" s="127"/>
      <c r="M641" s="127"/>
      <c r="N641" s="127"/>
      <c r="O641" s="127"/>
      <c r="P641" s="127"/>
      <c r="Q641" s="127"/>
      <c r="R641" s="127"/>
      <c r="S641" s="127"/>
      <c r="T641" s="127"/>
      <c r="U641" s="127"/>
      <c r="V641" s="127"/>
      <c r="W641" s="127"/>
      <c r="X641" s="127"/>
      <c r="Y641" s="127"/>
      <c r="Z641" s="127"/>
    </row>
    <row r="642" customFormat="false" ht="15.75" hidden="false" customHeight="false" outlineLevel="0" collapsed="false">
      <c r="A642" s="127"/>
      <c r="B642" s="127"/>
      <c r="C642" s="127"/>
      <c r="D642" s="127"/>
      <c r="E642" s="127"/>
      <c r="F642" s="127"/>
      <c r="G642" s="127"/>
      <c r="H642" s="127"/>
      <c r="I642" s="127"/>
      <c r="J642" s="127"/>
      <c r="K642" s="127"/>
      <c r="L642" s="127"/>
      <c r="M642" s="127"/>
      <c r="N642" s="127"/>
      <c r="O642" s="127"/>
      <c r="P642" s="127"/>
      <c r="Q642" s="127"/>
      <c r="R642" s="127"/>
      <c r="S642" s="127"/>
      <c r="T642" s="127"/>
      <c r="U642" s="127"/>
      <c r="V642" s="127"/>
      <c r="W642" s="127"/>
      <c r="X642" s="127"/>
      <c r="Y642" s="127"/>
      <c r="Z642" s="127"/>
    </row>
    <row r="643" customFormat="false" ht="15.75" hidden="false" customHeight="false" outlineLevel="0" collapsed="false">
      <c r="A643" s="127"/>
      <c r="B643" s="127"/>
      <c r="C643" s="127"/>
      <c r="D643" s="127"/>
      <c r="E643" s="127"/>
      <c r="F643" s="127"/>
      <c r="G643" s="127"/>
      <c r="H643" s="127"/>
      <c r="I643" s="127"/>
      <c r="J643" s="127"/>
      <c r="K643" s="127"/>
      <c r="L643" s="127"/>
      <c r="M643" s="127"/>
      <c r="N643" s="127"/>
      <c r="O643" s="127"/>
      <c r="P643" s="127"/>
      <c r="Q643" s="127"/>
      <c r="R643" s="127"/>
      <c r="S643" s="127"/>
      <c r="T643" s="127"/>
      <c r="U643" s="127"/>
      <c r="V643" s="127"/>
      <c r="W643" s="127"/>
      <c r="X643" s="127"/>
      <c r="Y643" s="127"/>
      <c r="Z643" s="127"/>
    </row>
    <row r="644" customFormat="false" ht="15.75" hidden="false" customHeight="false" outlineLevel="0" collapsed="false">
      <c r="A644" s="127"/>
      <c r="B644" s="127"/>
      <c r="C644" s="127"/>
      <c r="D644" s="127"/>
      <c r="E644" s="127"/>
      <c r="F644" s="127"/>
      <c r="G644" s="127"/>
      <c r="H644" s="127"/>
      <c r="I644" s="127"/>
      <c r="J644" s="127"/>
      <c r="K644" s="127"/>
      <c r="L644" s="127"/>
      <c r="M644" s="127"/>
      <c r="N644" s="127"/>
      <c r="O644" s="127"/>
      <c r="P644" s="127"/>
      <c r="Q644" s="127"/>
      <c r="R644" s="127"/>
      <c r="S644" s="127"/>
      <c r="T644" s="127"/>
      <c r="U644" s="127"/>
      <c r="V644" s="127"/>
      <c r="W644" s="127"/>
      <c r="X644" s="127"/>
      <c r="Y644" s="127"/>
      <c r="Z644" s="127"/>
    </row>
    <row r="645" customFormat="false" ht="15.75" hidden="false" customHeight="false" outlineLevel="0" collapsed="false">
      <c r="A645" s="127"/>
      <c r="B645" s="127"/>
      <c r="C645" s="127"/>
      <c r="D645" s="127"/>
      <c r="E645" s="127"/>
      <c r="F645" s="127"/>
      <c r="G645" s="127"/>
      <c r="H645" s="127"/>
      <c r="I645" s="127"/>
      <c r="J645" s="127"/>
      <c r="K645" s="127"/>
      <c r="L645" s="127"/>
      <c r="M645" s="127"/>
      <c r="N645" s="127"/>
      <c r="O645" s="127"/>
      <c r="P645" s="127"/>
      <c r="Q645" s="127"/>
      <c r="R645" s="127"/>
      <c r="S645" s="127"/>
      <c r="T645" s="127"/>
      <c r="U645" s="127"/>
      <c r="V645" s="127"/>
      <c r="W645" s="127"/>
      <c r="X645" s="127"/>
      <c r="Y645" s="127"/>
      <c r="Z645" s="127"/>
    </row>
    <row r="646" customFormat="false" ht="15.75" hidden="false" customHeight="false" outlineLevel="0" collapsed="false">
      <c r="A646" s="127"/>
      <c r="B646" s="127"/>
      <c r="C646" s="127"/>
      <c r="D646" s="127"/>
      <c r="E646" s="127"/>
      <c r="F646" s="127"/>
      <c r="G646" s="127"/>
      <c r="H646" s="127"/>
      <c r="I646" s="127"/>
      <c r="J646" s="127"/>
      <c r="K646" s="127"/>
      <c r="L646" s="127"/>
      <c r="M646" s="127"/>
      <c r="N646" s="127"/>
      <c r="O646" s="127"/>
      <c r="P646" s="127"/>
      <c r="Q646" s="127"/>
      <c r="R646" s="127"/>
      <c r="S646" s="127"/>
      <c r="T646" s="127"/>
      <c r="U646" s="127"/>
      <c r="V646" s="127"/>
      <c r="W646" s="127"/>
      <c r="X646" s="127"/>
      <c r="Y646" s="127"/>
      <c r="Z646" s="127"/>
    </row>
    <row r="647" customFormat="false" ht="15.75" hidden="false" customHeight="false" outlineLevel="0" collapsed="false">
      <c r="A647" s="127"/>
      <c r="B647" s="127"/>
      <c r="C647" s="127"/>
      <c r="D647" s="127"/>
      <c r="E647" s="127"/>
      <c r="F647" s="127"/>
      <c r="G647" s="127"/>
      <c r="H647" s="127"/>
      <c r="I647" s="127"/>
      <c r="J647" s="127"/>
      <c r="K647" s="127"/>
      <c r="L647" s="127"/>
      <c r="M647" s="127"/>
      <c r="N647" s="127"/>
      <c r="O647" s="127"/>
      <c r="P647" s="127"/>
      <c r="Q647" s="127"/>
      <c r="R647" s="127"/>
      <c r="S647" s="127"/>
      <c r="T647" s="127"/>
      <c r="U647" s="127"/>
      <c r="V647" s="127"/>
      <c r="W647" s="127"/>
      <c r="X647" s="127"/>
      <c r="Y647" s="127"/>
      <c r="Z647" s="127"/>
    </row>
    <row r="648" customFormat="false" ht="15.75" hidden="false" customHeight="false" outlineLevel="0" collapsed="false">
      <c r="A648" s="127"/>
      <c r="B648" s="127"/>
      <c r="C648" s="127"/>
      <c r="D648" s="127"/>
      <c r="E648" s="127"/>
      <c r="F648" s="127"/>
      <c r="G648" s="127"/>
      <c r="H648" s="127"/>
      <c r="I648" s="127"/>
      <c r="J648" s="127"/>
      <c r="K648" s="127"/>
      <c r="L648" s="127"/>
      <c r="M648" s="127"/>
      <c r="N648" s="127"/>
      <c r="O648" s="127"/>
      <c r="P648" s="127"/>
      <c r="Q648" s="127"/>
      <c r="R648" s="127"/>
      <c r="S648" s="127"/>
      <c r="T648" s="127"/>
      <c r="U648" s="127"/>
      <c r="V648" s="127"/>
      <c r="W648" s="127"/>
      <c r="X648" s="127"/>
      <c r="Y648" s="127"/>
      <c r="Z648" s="127"/>
    </row>
    <row r="649" customFormat="false" ht="15.75" hidden="false" customHeight="false" outlineLevel="0" collapsed="false">
      <c r="A649" s="127"/>
      <c r="B649" s="127"/>
      <c r="C649" s="127"/>
      <c r="D649" s="127"/>
      <c r="E649" s="127"/>
      <c r="F649" s="127"/>
      <c r="G649" s="127"/>
      <c r="H649" s="127"/>
      <c r="I649" s="127"/>
      <c r="J649" s="127"/>
      <c r="K649" s="127"/>
      <c r="L649" s="127"/>
      <c r="M649" s="127"/>
      <c r="N649" s="127"/>
      <c r="O649" s="127"/>
      <c r="P649" s="127"/>
      <c r="Q649" s="127"/>
      <c r="R649" s="127"/>
      <c r="S649" s="127"/>
      <c r="T649" s="127"/>
      <c r="U649" s="127"/>
      <c r="V649" s="127"/>
      <c r="W649" s="127"/>
      <c r="X649" s="127"/>
      <c r="Y649" s="127"/>
      <c r="Z649" s="127"/>
    </row>
    <row r="650" customFormat="false" ht="15.75" hidden="false" customHeight="false" outlineLevel="0" collapsed="false">
      <c r="A650" s="127"/>
      <c r="B650" s="127"/>
      <c r="C650" s="127"/>
      <c r="D650" s="127"/>
      <c r="E650" s="127"/>
      <c r="F650" s="127"/>
      <c r="G650" s="127"/>
      <c r="H650" s="127"/>
      <c r="I650" s="127"/>
      <c r="J650" s="127"/>
      <c r="K650" s="127"/>
      <c r="L650" s="127"/>
      <c r="M650" s="127"/>
      <c r="N650" s="127"/>
      <c r="O650" s="127"/>
      <c r="P650" s="127"/>
      <c r="Q650" s="127"/>
      <c r="R650" s="127"/>
      <c r="S650" s="127"/>
      <c r="T650" s="127"/>
      <c r="U650" s="127"/>
      <c r="V650" s="127"/>
      <c r="W650" s="127"/>
      <c r="X650" s="127"/>
      <c r="Y650" s="127"/>
      <c r="Z650" s="127"/>
    </row>
    <row r="651" customFormat="false" ht="15.75" hidden="false" customHeight="false" outlineLevel="0" collapsed="false">
      <c r="A651" s="127"/>
      <c r="B651" s="127"/>
      <c r="C651" s="127"/>
      <c r="D651" s="127"/>
      <c r="E651" s="127"/>
      <c r="F651" s="127"/>
      <c r="G651" s="127"/>
      <c r="H651" s="127"/>
      <c r="I651" s="127"/>
      <c r="J651" s="127"/>
      <c r="K651" s="127"/>
      <c r="L651" s="127"/>
      <c r="M651" s="127"/>
      <c r="N651" s="127"/>
      <c r="O651" s="127"/>
      <c r="P651" s="127"/>
      <c r="Q651" s="127"/>
      <c r="R651" s="127"/>
      <c r="S651" s="127"/>
      <c r="T651" s="127"/>
      <c r="U651" s="127"/>
      <c r="V651" s="127"/>
      <c r="W651" s="127"/>
      <c r="X651" s="127"/>
      <c r="Y651" s="127"/>
      <c r="Z651" s="127"/>
    </row>
    <row r="652" customFormat="false" ht="15.75" hidden="false" customHeight="false" outlineLevel="0" collapsed="false">
      <c r="A652" s="127"/>
      <c r="B652" s="127"/>
      <c r="C652" s="127"/>
      <c r="D652" s="127"/>
      <c r="E652" s="127"/>
      <c r="F652" s="127"/>
      <c r="G652" s="127"/>
      <c r="H652" s="127"/>
      <c r="I652" s="127"/>
      <c r="J652" s="127"/>
      <c r="K652" s="127"/>
      <c r="L652" s="127"/>
      <c r="M652" s="127"/>
      <c r="N652" s="127"/>
      <c r="O652" s="127"/>
      <c r="P652" s="127"/>
      <c r="Q652" s="127"/>
      <c r="R652" s="127"/>
      <c r="S652" s="127"/>
      <c r="T652" s="127"/>
      <c r="U652" s="127"/>
      <c r="V652" s="127"/>
      <c r="W652" s="127"/>
      <c r="X652" s="127"/>
      <c r="Y652" s="127"/>
      <c r="Z652" s="127"/>
    </row>
    <row r="653" customFormat="false" ht="15.75" hidden="false" customHeight="false" outlineLevel="0" collapsed="false">
      <c r="A653" s="127"/>
      <c r="B653" s="127"/>
      <c r="C653" s="127"/>
      <c r="D653" s="127"/>
      <c r="E653" s="127"/>
      <c r="F653" s="127"/>
      <c r="G653" s="127"/>
      <c r="H653" s="127"/>
      <c r="I653" s="127"/>
      <c r="J653" s="127"/>
      <c r="K653" s="127"/>
      <c r="L653" s="127"/>
      <c r="M653" s="127"/>
      <c r="N653" s="127"/>
      <c r="O653" s="127"/>
      <c r="P653" s="127"/>
      <c r="Q653" s="127"/>
      <c r="R653" s="127"/>
      <c r="S653" s="127"/>
      <c r="T653" s="127"/>
      <c r="U653" s="127"/>
      <c r="V653" s="127"/>
      <c r="W653" s="127"/>
      <c r="X653" s="127"/>
      <c r="Y653" s="127"/>
      <c r="Z653" s="127"/>
    </row>
    <row r="654" customFormat="false" ht="15.75" hidden="false" customHeight="false" outlineLevel="0" collapsed="false">
      <c r="A654" s="127"/>
      <c r="B654" s="127"/>
      <c r="C654" s="127"/>
      <c r="D654" s="127"/>
      <c r="E654" s="127"/>
      <c r="F654" s="127"/>
      <c r="G654" s="127"/>
      <c r="H654" s="127"/>
      <c r="I654" s="127"/>
      <c r="J654" s="127"/>
      <c r="K654" s="127"/>
      <c r="L654" s="127"/>
      <c r="M654" s="127"/>
      <c r="N654" s="127"/>
      <c r="O654" s="127"/>
      <c r="P654" s="127"/>
      <c r="Q654" s="127"/>
      <c r="R654" s="127"/>
      <c r="S654" s="127"/>
      <c r="T654" s="127"/>
      <c r="U654" s="127"/>
      <c r="V654" s="127"/>
      <c r="W654" s="127"/>
      <c r="X654" s="127"/>
      <c r="Y654" s="127"/>
      <c r="Z654" s="127"/>
    </row>
    <row r="655" customFormat="false" ht="15.75" hidden="false" customHeight="false" outlineLevel="0" collapsed="false">
      <c r="A655" s="127"/>
      <c r="B655" s="127"/>
      <c r="C655" s="127"/>
      <c r="D655" s="127"/>
      <c r="E655" s="127"/>
      <c r="F655" s="127"/>
      <c r="G655" s="127"/>
      <c r="H655" s="127"/>
      <c r="I655" s="127"/>
      <c r="J655" s="127"/>
      <c r="K655" s="127"/>
      <c r="L655" s="127"/>
      <c r="M655" s="127"/>
      <c r="N655" s="127"/>
      <c r="O655" s="127"/>
      <c r="P655" s="127"/>
      <c r="Q655" s="127"/>
      <c r="R655" s="127"/>
      <c r="S655" s="127"/>
      <c r="T655" s="127"/>
      <c r="U655" s="127"/>
      <c r="V655" s="127"/>
      <c r="W655" s="127"/>
      <c r="X655" s="127"/>
      <c r="Y655" s="127"/>
      <c r="Z655" s="127"/>
    </row>
    <row r="656" customFormat="false" ht="15.75" hidden="false" customHeight="false" outlineLevel="0" collapsed="false">
      <c r="A656" s="127"/>
      <c r="B656" s="127"/>
      <c r="C656" s="127"/>
      <c r="D656" s="127"/>
      <c r="E656" s="127"/>
      <c r="F656" s="127"/>
      <c r="G656" s="127"/>
      <c r="H656" s="127"/>
      <c r="I656" s="127"/>
      <c r="J656" s="127"/>
      <c r="K656" s="127"/>
      <c r="L656" s="127"/>
      <c r="M656" s="127"/>
      <c r="N656" s="127"/>
      <c r="O656" s="127"/>
      <c r="P656" s="127"/>
      <c r="Q656" s="127"/>
      <c r="R656" s="127"/>
      <c r="S656" s="127"/>
      <c r="T656" s="127"/>
      <c r="U656" s="127"/>
      <c r="V656" s="127"/>
      <c r="W656" s="127"/>
      <c r="X656" s="127"/>
      <c r="Y656" s="127"/>
      <c r="Z656" s="127"/>
    </row>
    <row r="657" customFormat="false" ht="15.75" hidden="false" customHeight="false" outlineLevel="0" collapsed="false">
      <c r="A657" s="127"/>
      <c r="B657" s="127"/>
      <c r="C657" s="127"/>
      <c r="D657" s="127"/>
      <c r="E657" s="127"/>
      <c r="F657" s="127"/>
      <c r="G657" s="127"/>
      <c r="H657" s="127"/>
      <c r="I657" s="127"/>
      <c r="J657" s="127"/>
      <c r="K657" s="127"/>
      <c r="L657" s="127"/>
      <c r="M657" s="127"/>
      <c r="N657" s="127"/>
      <c r="O657" s="127"/>
      <c r="P657" s="127"/>
      <c r="Q657" s="127"/>
      <c r="R657" s="127"/>
      <c r="S657" s="127"/>
      <c r="T657" s="127"/>
      <c r="U657" s="127"/>
      <c r="V657" s="127"/>
      <c r="W657" s="127"/>
      <c r="X657" s="127"/>
      <c r="Y657" s="127"/>
      <c r="Z657" s="127"/>
    </row>
    <row r="658" customFormat="false" ht="15.75" hidden="false" customHeight="false" outlineLevel="0" collapsed="false">
      <c r="A658" s="127"/>
      <c r="B658" s="127"/>
      <c r="C658" s="127"/>
      <c r="D658" s="127"/>
      <c r="E658" s="127"/>
      <c r="F658" s="127"/>
      <c r="G658" s="127"/>
      <c r="H658" s="127"/>
      <c r="I658" s="127"/>
      <c r="J658" s="127"/>
      <c r="K658" s="127"/>
      <c r="L658" s="127"/>
      <c r="M658" s="127"/>
      <c r="N658" s="127"/>
      <c r="O658" s="127"/>
      <c r="P658" s="127"/>
      <c r="Q658" s="127"/>
      <c r="R658" s="127"/>
      <c r="S658" s="127"/>
      <c r="T658" s="127"/>
      <c r="U658" s="127"/>
      <c r="V658" s="127"/>
      <c r="W658" s="127"/>
      <c r="X658" s="127"/>
      <c r="Y658" s="127"/>
      <c r="Z658" s="127"/>
    </row>
    <row r="659" customFormat="false" ht="15.75" hidden="false" customHeight="false" outlineLevel="0" collapsed="false">
      <c r="A659" s="127"/>
      <c r="B659" s="127"/>
      <c r="C659" s="127"/>
      <c r="D659" s="127"/>
      <c r="E659" s="127"/>
      <c r="F659" s="127"/>
      <c r="G659" s="127"/>
      <c r="H659" s="127"/>
      <c r="I659" s="127"/>
      <c r="J659" s="127"/>
      <c r="K659" s="127"/>
      <c r="L659" s="127"/>
      <c r="M659" s="127"/>
      <c r="N659" s="127"/>
      <c r="O659" s="127"/>
      <c r="P659" s="127"/>
      <c r="Q659" s="127"/>
      <c r="R659" s="127"/>
      <c r="S659" s="127"/>
      <c r="T659" s="127"/>
      <c r="U659" s="127"/>
      <c r="V659" s="127"/>
      <c r="W659" s="127"/>
      <c r="X659" s="127"/>
      <c r="Y659" s="127"/>
      <c r="Z659" s="127"/>
    </row>
    <row r="660" customFormat="false" ht="15.75" hidden="false" customHeight="false" outlineLevel="0" collapsed="false">
      <c r="A660" s="127"/>
      <c r="B660" s="127"/>
      <c r="C660" s="127"/>
      <c r="D660" s="127"/>
      <c r="E660" s="127"/>
      <c r="F660" s="127"/>
      <c r="G660" s="127"/>
      <c r="H660" s="127"/>
      <c r="I660" s="127"/>
      <c r="J660" s="127"/>
      <c r="K660" s="127"/>
      <c r="L660" s="127"/>
      <c r="M660" s="127"/>
      <c r="N660" s="127"/>
      <c r="O660" s="127"/>
      <c r="P660" s="127"/>
      <c r="Q660" s="127"/>
      <c r="R660" s="127"/>
      <c r="S660" s="127"/>
      <c r="T660" s="127"/>
      <c r="U660" s="127"/>
      <c r="V660" s="127"/>
      <c r="W660" s="127"/>
      <c r="X660" s="127"/>
      <c r="Y660" s="127"/>
      <c r="Z660" s="127"/>
    </row>
    <row r="661" customFormat="false" ht="15.75" hidden="false" customHeight="false" outlineLevel="0" collapsed="false">
      <c r="A661" s="127"/>
      <c r="B661" s="127"/>
      <c r="C661" s="127"/>
      <c r="D661" s="127"/>
      <c r="E661" s="127"/>
      <c r="F661" s="127"/>
      <c r="G661" s="127"/>
      <c r="H661" s="127"/>
      <c r="I661" s="127"/>
      <c r="J661" s="127"/>
      <c r="K661" s="127"/>
      <c r="L661" s="127"/>
      <c r="M661" s="127"/>
      <c r="N661" s="127"/>
      <c r="O661" s="127"/>
      <c r="P661" s="127"/>
      <c r="Q661" s="127"/>
      <c r="R661" s="127"/>
      <c r="S661" s="127"/>
      <c r="T661" s="127"/>
      <c r="U661" s="127"/>
      <c r="V661" s="127"/>
      <c r="W661" s="127"/>
      <c r="X661" s="127"/>
      <c r="Y661" s="127"/>
      <c r="Z661" s="127"/>
    </row>
    <row r="662" customFormat="false" ht="15.75" hidden="false" customHeight="false" outlineLevel="0" collapsed="false">
      <c r="A662" s="127"/>
      <c r="B662" s="127"/>
      <c r="C662" s="127"/>
      <c r="D662" s="127"/>
      <c r="E662" s="127"/>
      <c r="F662" s="127"/>
      <c r="G662" s="127"/>
      <c r="H662" s="127"/>
      <c r="I662" s="127"/>
      <c r="J662" s="127"/>
      <c r="K662" s="127"/>
      <c r="L662" s="127"/>
      <c r="M662" s="127"/>
      <c r="N662" s="127"/>
      <c r="O662" s="127"/>
      <c r="P662" s="127"/>
      <c r="Q662" s="127"/>
      <c r="R662" s="127"/>
      <c r="S662" s="127"/>
      <c r="T662" s="127"/>
      <c r="U662" s="127"/>
      <c r="V662" s="127"/>
      <c r="W662" s="127"/>
      <c r="X662" s="127"/>
      <c r="Y662" s="127"/>
      <c r="Z662" s="127"/>
    </row>
    <row r="663" customFormat="false" ht="15.75" hidden="false" customHeight="false" outlineLevel="0" collapsed="false">
      <c r="A663" s="127"/>
      <c r="B663" s="127"/>
      <c r="C663" s="127"/>
      <c r="D663" s="127"/>
      <c r="E663" s="127"/>
      <c r="F663" s="127"/>
      <c r="G663" s="127"/>
      <c r="H663" s="127"/>
      <c r="I663" s="127"/>
      <c r="J663" s="127"/>
      <c r="K663" s="127"/>
      <c r="L663" s="127"/>
      <c r="M663" s="127"/>
      <c r="N663" s="127"/>
      <c r="O663" s="127"/>
      <c r="P663" s="127"/>
      <c r="Q663" s="127"/>
      <c r="R663" s="127"/>
      <c r="S663" s="127"/>
      <c r="T663" s="127"/>
      <c r="U663" s="127"/>
      <c r="V663" s="127"/>
      <c r="W663" s="127"/>
      <c r="X663" s="127"/>
      <c r="Y663" s="127"/>
      <c r="Z663" s="127"/>
    </row>
    <row r="664" customFormat="false" ht="15.75" hidden="false" customHeight="false" outlineLevel="0" collapsed="false">
      <c r="A664" s="127"/>
      <c r="B664" s="127"/>
      <c r="C664" s="127"/>
      <c r="D664" s="127"/>
      <c r="E664" s="127"/>
      <c r="F664" s="127"/>
      <c r="G664" s="127"/>
      <c r="H664" s="127"/>
      <c r="I664" s="127"/>
      <c r="J664" s="127"/>
      <c r="K664" s="127"/>
      <c r="L664" s="127"/>
      <c r="M664" s="127"/>
      <c r="N664" s="127"/>
      <c r="O664" s="127"/>
      <c r="P664" s="127"/>
      <c r="Q664" s="127"/>
      <c r="R664" s="127"/>
      <c r="S664" s="127"/>
      <c r="T664" s="127"/>
      <c r="U664" s="127"/>
      <c r="V664" s="127"/>
      <c r="W664" s="127"/>
      <c r="X664" s="127"/>
      <c r="Y664" s="127"/>
      <c r="Z664" s="127"/>
    </row>
    <row r="665" customFormat="false" ht="15.75" hidden="false" customHeight="false" outlineLevel="0" collapsed="false">
      <c r="A665" s="127"/>
      <c r="B665" s="127"/>
      <c r="C665" s="127"/>
      <c r="D665" s="127"/>
      <c r="E665" s="127"/>
      <c r="F665" s="127"/>
      <c r="G665" s="127"/>
      <c r="H665" s="127"/>
      <c r="I665" s="127"/>
      <c r="J665" s="127"/>
      <c r="K665" s="127"/>
      <c r="L665" s="127"/>
      <c r="M665" s="127"/>
      <c r="N665" s="127"/>
      <c r="O665" s="127"/>
      <c r="P665" s="127"/>
      <c r="Q665" s="127"/>
      <c r="R665" s="127"/>
      <c r="S665" s="127"/>
      <c r="T665" s="127"/>
      <c r="U665" s="127"/>
      <c r="V665" s="127"/>
      <c r="W665" s="127"/>
      <c r="X665" s="127"/>
      <c r="Y665" s="127"/>
      <c r="Z665" s="127"/>
    </row>
    <row r="666" customFormat="false" ht="15.75" hidden="false" customHeight="false" outlineLevel="0" collapsed="false">
      <c r="A666" s="127"/>
      <c r="B666" s="127"/>
      <c r="C666" s="127"/>
      <c r="D666" s="127"/>
      <c r="E666" s="127"/>
      <c r="F666" s="127"/>
      <c r="G666" s="127"/>
      <c r="H666" s="127"/>
      <c r="I666" s="127"/>
      <c r="J666" s="127"/>
      <c r="K666" s="127"/>
      <c r="L666" s="127"/>
      <c r="M666" s="127"/>
      <c r="N666" s="127"/>
      <c r="O666" s="127"/>
      <c r="P666" s="127"/>
      <c r="Q666" s="127"/>
      <c r="R666" s="127"/>
      <c r="S666" s="127"/>
      <c r="T666" s="127"/>
      <c r="U666" s="127"/>
      <c r="V666" s="127"/>
      <c r="W666" s="127"/>
      <c r="X666" s="127"/>
      <c r="Y666" s="127"/>
      <c r="Z666" s="127"/>
    </row>
    <row r="667" customFormat="false" ht="15.75" hidden="false" customHeight="false" outlineLevel="0" collapsed="false">
      <c r="A667" s="127"/>
      <c r="B667" s="127"/>
      <c r="C667" s="127"/>
      <c r="D667" s="127"/>
      <c r="E667" s="127"/>
      <c r="F667" s="127"/>
      <c r="G667" s="127"/>
      <c r="H667" s="127"/>
      <c r="I667" s="127"/>
      <c r="J667" s="127"/>
      <c r="K667" s="127"/>
      <c r="L667" s="127"/>
      <c r="M667" s="127"/>
      <c r="N667" s="127"/>
      <c r="O667" s="127"/>
      <c r="P667" s="127"/>
      <c r="Q667" s="127"/>
      <c r="R667" s="127"/>
      <c r="S667" s="127"/>
      <c r="T667" s="127"/>
      <c r="U667" s="127"/>
      <c r="V667" s="127"/>
      <c r="W667" s="127"/>
      <c r="X667" s="127"/>
      <c r="Y667" s="127"/>
      <c r="Z667" s="127"/>
    </row>
    <row r="668" customFormat="false" ht="15.75" hidden="false" customHeight="false" outlineLevel="0" collapsed="false">
      <c r="A668" s="127"/>
      <c r="B668" s="127"/>
      <c r="C668" s="127"/>
      <c r="D668" s="127"/>
      <c r="E668" s="127"/>
      <c r="F668" s="127"/>
      <c r="G668" s="127"/>
      <c r="H668" s="127"/>
      <c r="I668" s="127"/>
      <c r="J668" s="127"/>
      <c r="K668" s="127"/>
      <c r="L668" s="127"/>
      <c r="M668" s="127"/>
      <c r="N668" s="127"/>
      <c r="O668" s="127"/>
      <c r="P668" s="127"/>
      <c r="Q668" s="127"/>
      <c r="R668" s="127"/>
      <c r="S668" s="127"/>
      <c r="T668" s="127"/>
      <c r="U668" s="127"/>
      <c r="V668" s="127"/>
      <c r="W668" s="127"/>
      <c r="X668" s="127"/>
      <c r="Y668" s="127"/>
      <c r="Z668" s="127"/>
    </row>
    <row r="669" customFormat="false" ht="15.75" hidden="false" customHeight="false" outlineLevel="0" collapsed="false">
      <c r="A669" s="127"/>
      <c r="B669" s="127"/>
      <c r="C669" s="127"/>
      <c r="D669" s="127"/>
      <c r="E669" s="127"/>
      <c r="F669" s="127"/>
      <c r="G669" s="127"/>
      <c r="H669" s="127"/>
      <c r="I669" s="127"/>
      <c r="J669" s="127"/>
      <c r="K669" s="127"/>
      <c r="L669" s="127"/>
      <c r="M669" s="127"/>
      <c r="N669" s="127"/>
      <c r="O669" s="127"/>
      <c r="P669" s="127"/>
      <c r="Q669" s="127"/>
      <c r="R669" s="127"/>
      <c r="S669" s="127"/>
      <c r="T669" s="127"/>
      <c r="U669" s="127"/>
      <c r="V669" s="127"/>
      <c r="W669" s="127"/>
      <c r="X669" s="127"/>
      <c r="Y669" s="127"/>
      <c r="Z669" s="127"/>
    </row>
    <row r="670" customFormat="false" ht="15.75" hidden="false" customHeight="false" outlineLevel="0" collapsed="false">
      <c r="A670" s="127"/>
      <c r="B670" s="127"/>
      <c r="C670" s="127"/>
      <c r="D670" s="127"/>
      <c r="E670" s="127"/>
      <c r="F670" s="127"/>
      <c r="G670" s="127"/>
      <c r="H670" s="127"/>
      <c r="I670" s="127"/>
      <c r="J670" s="127"/>
      <c r="K670" s="127"/>
      <c r="L670" s="127"/>
      <c r="M670" s="127"/>
      <c r="N670" s="127"/>
      <c r="O670" s="127"/>
      <c r="P670" s="127"/>
      <c r="Q670" s="127"/>
      <c r="R670" s="127"/>
      <c r="S670" s="127"/>
      <c r="T670" s="127"/>
      <c r="U670" s="127"/>
      <c r="V670" s="127"/>
      <c r="W670" s="127"/>
      <c r="X670" s="127"/>
      <c r="Y670" s="127"/>
      <c r="Z670" s="127"/>
    </row>
    <row r="671" customFormat="false" ht="15.75" hidden="false" customHeight="false" outlineLevel="0" collapsed="false">
      <c r="A671" s="127"/>
      <c r="B671" s="127"/>
      <c r="C671" s="127"/>
      <c r="D671" s="127"/>
      <c r="E671" s="127"/>
      <c r="F671" s="127"/>
      <c r="G671" s="127"/>
      <c r="H671" s="127"/>
      <c r="I671" s="127"/>
      <c r="J671" s="127"/>
      <c r="K671" s="127"/>
      <c r="L671" s="127"/>
      <c r="M671" s="127"/>
      <c r="N671" s="127"/>
      <c r="O671" s="127"/>
      <c r="P671" s="127"/>
      <c r="Q671" s="127"/>
      <c r="R671" s="127"/>
      <c r="S671" s="127"/>
      <c r="T671" s="127"/>
      <c r="U671" s="127"/>
      <c r="V671" s="127"/>
      <c r="W671" s="127"/>
      <c r="X671" s="127"/>
      <c r="Y671" s="127"/>
      <c r="Z671" s="127"/>
    </row>
    <row r="672" customFormat="false" ht="15.75" hidden="false" customHeight="false" outlineLevel="0" collapsed="false">
      <c r="A672" s="127"/>
      <c r="B672" s="127"/>
      <c r="C672" s="127"/>
      <c r="D672" s="127"/>
      <c r="E672" s="127"/>
      <c r="F672" s="127"/>
      <c r="G672" s="127"/>
      <c r="H672" s="127"/>
      <c r="I672" s="127"/>
      <c r="J672" s="127"/>
      <c r="K672" s="127"/>
      <c r="L672" s="127"/>
      <c r="M672" s="127"/>
      <c r="N672" s="127"/>
      <c r="O672" s="127"/>
      <c r="P672" s="127"/>
      <c r="Q672" s="127"/>
      <c r="R672" s="127"/>
      <c r="S672" s="127"/>
      <c r="T672" s="127"/>
      <c r="U672" s="127"/>
      <c r="V672" s="127"/>
      <c r="W672" s="127"/>
      <c r="X672" s="127"/>
      <c r="Y672" s="127"/>
      <c r="Z672" s="127"/>
    </row>
    <row r="673" customFormat="false" ht="15.75" hidden="false" customHeight="false" outlineLevel="0" collapsed="false">
      <c r="A673" s="127"/>
      <c r="B673" s="127"/>
      <c r="C673" s="127"/>
      <c r="D673" s="127"/>
      <c r="E673" s="127"/>
      <c r="F673" s="127"/>
      <c r="G673" s="127"/>
      <c r="H673" s="127"/>
      <c r="I673" s="127"/>
      <c r="J673" s="127"/>
      <c r="K673" s="127"/>
      <c r="L673" s="127"/>
      <c r="M673" s="127"/>
      <c r="N673" s="127"/>
      <c r="O673" s="127"/>
      <c r="P673" s="127"/>
      <c r="Q673" s="127"/>
      <c r="R673" s="127"/>
      <c r="S673" s="127"/>
      <c r="T673" s="127"/>
      <c r="U673" s="127"/>
      <c r="V673" s="127"/>
      <c r="W673" s="127"/>
      <c r="X673" s="127"/>
      <c r="Y673" s="127"/>
      <c r="Z673" s="127"/>
    </row>
    <row r="674" customFormat="false" ht="15.75" hidden="false" customHeight="false" outlineLevel="0" collapsed="false">
      <c r="A674" s="127"/>
      <c r="B674" s="127"/>
      <c r="C674" s="127"/>
      <c r="D674" s="127"/>
      <c r="E674" s="127"/>
      <c r="F674" s="127"/>
      <c r="G674" s="127"/>
      <c r="H674" s="127"/>
      <c r="I674" s="127"/>
      <c r="J674" s="127"/>
      <c r="K674" s="127"/>
      <c r="L674" s="127"/>
      <c r="M674" s="127"/>
      <c r="N674" s="127"/>
      <c r="O674" s="127"/>
      <c r="P674" s="127"/>
      <c r="Q674" s="127"/>
      <c r="R674" s="127"/>
      <c r="S674" s="127"/>
      <c r="T674" s="127"/>
      <c r="U674" s="127"/>
      <c r="V674" s="127"/>
      <c r="W674" s="127"/>
      <c r="X674" s="127"/>
      <c r="Y674" s="127"/>
      <c r="Z674" s="127"/>
    </row>
    <row r="675" customFormat="false" ht="15.75" hidden="false" customHeight="false" outlineLevel="0" collapsed="false">
      <c r="A675" s="127"/>
      <c r="B675" s="127"/>
      <c r="C675" s="127"/>
      <c r="D675" s="127"/>
      <c r="E675" s="127"/>
      <c r="F675" s="127"/>
      <c r="G675" s="127"/>
      <c r="H675" s="127"/>
      <c r="I675" s="127"/>
      <c r="J675" s="127"/>
      <c r="K675" s="127"/>
      <c r="L675" s="127"/>
      <c r="M675" s="127"/>
      <c r="N675" s="127"/>
      <c r="O675" s="127"/>
      <c r="P675" s="127"/>
      <c r="Q675" s="127"/>
      <c r="R675" s="127"/>
      <c r="S675" s="127"/>
      <c r="T675" s="127"/>
      <c r="U675" s="127"/>
      <c r="V675" s="127"/>
      <c r="W675" s="127"/>
      <c r="X675" s="127"/>
      <c r="Y675" s="127"/>
      <c r="Z675" s="127"/>
    </row>
    <row r="676" customFormat="false" ht="15.75" hidden="false" customHeight="false" outlineLevel="0" collapsed="false">
      <c r="A676" s="127"/>
      <c r="B676" s="127"/>
      <c r="C676" s="127"/>
      <c r="D676" s="127"/>
      <c r="E676" s="127"/>
      <c r="F676" s="127"/>
      <c r="G676" s="127"/>
      <c r="H676" s="127"/>
      <c r="I676" s="127"/>
      <c r="J676" s="127"/>
      <c r="K676" s="127"/>
      <c r="L676" s="127"/>
      <c r="M676" s="127"/>
      <c r="N676" s="127"/>
      <c r="O676" s="127"/>
      <c r="P676" s="127"/>
      <c r="Q676" s="127"/>
      <c r="R676" s="127"/>
      <c r="S676" s="127"/>
      <c r="T676" s="127"/>
      <c r="U676" s="127"/>
      <c r="V676" s="127"/>
      <c r="W676" s="127"/>
      <c r="X676" s="127"/>
      <c r="Y676" s="127"/>
      <c r="Z676" s="127"/>
    </row>
    <row r="677" customFormat="false" ht="15.75" hidden="false" customHeight="false" outlineLevel="0" collapsed="false">
      <c r="A677" s="127"/>
      <c r="B677" s="127"/>
      <c r="C677" s="127"/>
      <c r="D677" s="127"/>
      <c r="E677" s="127"/>
      <c r="F677" s="127"/>
      <c r="G677" s="127"/>
      <c r="H677" s="127"/>
      <c r="I677" s="127"/>
      <c r="J677" s="127"/>
      <c r="K677" s="127"/>
      <c r="L677" s="127"/>
      <c r="M677" s="127"/>
      <c r="N677" s="127"/>
      <c r="O677" s="127"/>
      <c r="P677" s="127"/>
      <c r="Q677" s="127"/>
      <c r="R677" s="127"/>
      <c r="S677" s="127"/>
      <c r="T677" s="127"/>
      <c r="U677" s="127"/>
      <c r="V677" s="127"/>
      <c r="W677" s="127"/>
      <c r="X677" s="127"/>
      <c r="Y677" s="127"/>
      <c r="Z677" s="127"/>
    </row>
    <row r="678" customFormat="false" ht="15.75" hidden="false" customHeight="false" outlineLevel="0" collapsed="false">
      <c r="A678" s="127"/>
      <c r="B678" s="127"/>
      <c r="C678" s="127"/>
      <c r="D678" s="127"/>
      <c r="E678" s="127"/>
      <c r="F678" s="127"/>
      <c r="G678" s="127"/>
      <c r="H678" s="127"/>
      <c r="I678" s="127"/>
      <c r="J678" s="127"/>
      <c r="K678" s="127"/>
      <c r="L678" s="127"/>
      <c r="M678" s="127"/>
      <c r="N678" s="127"/>
      <c r="O678" s="127"/>
      <c r="P678" s="127"/>
      <c r="Q678" s="127"/>
      <c r="R678" s="127"/>
      <c r="S678" s="127"/>
      <c r="T678" s="127"/>
      <c r="U678" s="127"/>
      <c r="V678" s="127"/>
      <c r="W678" s="127"/>
      <c r="X678" s="127"/>
      <c r="Y678" s="127"/>
      <c r="Z678" s="127"/>
    </row>
    <row r="679" customFormat="false" ht="15.75" hidden="false" customHeight="false" outlineLevel="0" collapsed="false">
      <c r="A679" s="127"/>
      <c r="B679" s="127"/>
      <c r="C679" s="127"/>
      <c r="D679" s="127"/>
      <c r="E679" s="127"/>
      <c r="F679" s="127"/>
      <c r="G679" s="127"/>
      <c r="H679" s="127"/>
      <c r="I679" s="127"/>
      <c r="J679" s="127"/>
      <c r="K679" s="127"/>
      <c r="L679" s="127"/>
      <c r="M679" s="127"/>
      <c r="N679" s="127"/>
      <c r="O679" s="127"/>
      <c r="P679" s="127"/>
      <c r="Q679" s="127"/>
      <c r="R679" s="127"/>
      <c r="S679" s="127"/>
      <c r="T679" s="127"/>
      <c r="U679" s="127"/>
      <c r="V679" s="127"/>
      <c r="W679" s="127"/>
      <c r="X679" s="127"/>
      <c r="Y679" s="127"/>
      <c r="Z679" s="127"/>
    </row>
    <row r="680" customFormat="false" ht="15.75" hidden="false" customHeight="false" outlineLevel="0" collapsed="false">
      <c r="A680" s="127"/>
      <c r="B680" s="127"/>
      <c r="C680" s="127"/>
      <c r="D680" s="127"/>
      <c r="E680" s="127"/>
      <c r="F680" s="127"/>
      <c r="G680" s="127"/>
      <c r="H680" s="127"/>
      <c r="I680" s="127"/>
      <c r="J680" s="127"/>
      <c r="K680" s="127"/>
      <c r="L680" s="127"/>
      <c r="M680" s="127"/>
      <c r="N680" s="127"/>
      <c r="O680" s="127"/>
      <c r="P680" s="127"/>
      <c r="Q680" s="127"/>
      <c r="R680" s="127"/>
      <c r="S680" s="127"/>
      <c r="T680" s="127"/>
      <c r="U680" s="127"/>
      <c r="V680" s="127"/>
      <c r="W680" s="127"/>
      <c r="X680" s="127"/>
      <c r="Y680" s="127"/>
      <c r="Z680" s="127"/>
    </row>
    <row r="681" customFormat="false" ht="15.75" hidden="false" customHeight="false" outlineLevel="0" collapsed="false">
      <c r="A681" s="127"/>
      <c r="B681" s="127"/>
      <c r="C681" s="127"/>
      <c r="D681" s="127"/>
      <c r="E681" s="127"/>
      <c r="F681" s="127"/>
      <c r="G681" s="127"/>
      <c r="H681" s="127"/>
      <c r="I681" s="127"/>
      <c r="J681" s="127"/>
      <c r="K681" s="127"/>
      <c r="L681" s="127"/>
      <c r="M681" s="127"/>
      <c r="N681" s="127"/>
      <c r="O681" s="127"/>
      <c r="P681" s="127"/>
      <c r="Q681" s="127"/>
      <c r="R681" s="127"/>
      <c r="S681" s="127"/>
      <c r="T681" s="127"/>
      <c r="U681" s="127"/>
      <c r="V681" s="127"/>
      <c r="W681" s="127"/>
      <c r="X681" s="127"/>
      <c r="Y681" s="127"/>
      <c r="Z681" s="127"/>
    </row>
    <row r="682" customFormat="false" ht="15.75" hidden="false" customHeight="false" outlineLevel="0" collapsed="false">
      <c r="A682" s="127"/>
      <c r="B682" s="127"/>
      <c r="C682" s="127"/>
      <c r="D682" s="127"/>
      <c r="E682" s="127"/>
      <c r="F682" s="127"/>
      <c r="G682" s="127"/>
      <c r="H682" s="127"/>
      <c r="I682" s="127"/>
      <c r="J682" s="127"/>
      <c r="K682" s="127"/>
      <c r="L682" s="127"/>
      <c r="M682" s="127"/>
      <c r="N682" s="127"/>
      <c r="O682" s="127"/>
      <c r="P682" s="127"/>
      <c r="Q682" s="127"/>
      <c r="R682" s="127"/>
      <c r="S682" s="127"/>
      <c r="T682" s="127"/>
      <c r="U682" s="127"/>
      <c r="V682" s="127"/>
      <c r="W682" s="127"/>
      <c r="X682" s="127"/>
      <c r="Y682" s="127"/>
      <c r="Z682" s="127"/>
    </row>
    <row r="683" customFormat="false" ht="15.75" hidden="false" customHeight="false" outlineLevel="0" collapsed="false">
      <c r="A683" s="127"/>
      <c r="B683" s="127"/>
      <c r="C683" s="127"/>
      <c r="D683" s="127"/>
      <c r="E683" s="127"/>
      <c r="F683" s="127"/>
      <c r="G683" s="127"/>
      <c r="H683" s="127"/>
      <c r="I683" s="127"/>
      <c r="J683" s="127"/>
      <c r="K683" s="127"/>
      <c r="L683" s="127"/>
      <c r="M683" s="127"/>
      <c r="N683" s="127"/>
      <c r="O683" s="127"/>
      <c r="P683" s="127"/>
      <c r="Q683" s="127"/>
      <c r="R683" s="127"/>
      <c r="S683" s="127"/>
      <c r="T683" s="127"/>
      <c r="U683" s="127"/>
      <c r="V683" s="127"/>
      <c r="W683" s="127"/>
      <c r="X683" s="127"/>
      <c r="Y683" s="127"/>
      <c r="Z683" s="127"/>
    </row>
    <row r="684" customFormat="false" ht="15.75" hidden="false" customHeight="false" outlineLevel="0" collapsed="false">
      <c r="A684" s="127"/>
      <c r="B684" s="127"/>
      <c r="C684" s="127"/>
      <c r="D684" s="127"/>
      <c r="E684" s="127"/>
      <c r="F684" s="127"/>
      <c r="G684" s="127"/>
      <c r="H684" s="127"/>
      <c r="I684" s="127"/>
      <c r="J684" s="127"/>
      <c r="K684" s="127"/>
      <c r="L684" s="127"/>
      <c r="M684" s="127"/>
      <c r="N684" s="127"/>
      <c r="O684" s="127"/>
      <c r="P684" s="127"/>
      <c r="Q684" s="127"/>
      <c r="R684" s="127"/>
      <c r="S684" s="127"/>
      <c r="T684" s="127"/>
      <c r="U684" s="127"/>
      <c r="V684" s="127"/>
      <c r="W684" s="127"/>
      <c r="X684" s="127"/>
      <c r="Y684" s="127"/>
      <c r="Z684" s="127"/>
    </row>
    <row r="685" customFormat="false" ht="15.75" hidden="false" customHeight="false" outlineLevel="0" collapsed="false">
      <c r="A685" s="127"/>
      <c r="B685" s="127"/>
      <c r="C685" s="127"/>
      <c r="D685" s="127"/>
      <c r="E685" s="127"/>
      <c r="F685" s="127"/>
      <c r="G685" s="127"/>
      <c r="H685" s="127"/>
      <c r="I685" s="127"/>
      <c r="J685" s="127"/>
      <c r="K685" s="127"/>
      <c r="L685" s="127"/>
      <c r="M685" s="127"/>
      <c r="N685" s="127"/>
      <c r="O685" s="127"/>
      <c r="P685" s="127"/>
      <c r="Q685" s="127"/>
      <c r="R685" s="127"/>
      <c r="S685" s="127"/>
      <c r="T685" s="127"/>
      <c r="U685" s="127"/>
      <c r="V685" s="127"/>
      <c r="W685" s="127"/>
      <c r="X685" s="127"/>
      <c r="Y685" s="127"/>
      <c r="Z685" s="127"/>
    </row>
    <row r="686" customFormat="false" ht="15.75" hidden="false" customHeight="false" outlineLevel="0" collapsed="false">
      <c r="A686" s="127"/>
      <c r="B686" s="127"/>
      <c r="C686" s="127"/>
      <c r="D686" s="127"/>
      <c r="E686" s="127"/>
      <c r="F686" s="127"/>
      <c r="G686" s="127"/>
      <c r="H686" s="127"/>
      <c r="I686" s="127"/>
      <c r="J686" s="127"/>
      <c r="K686" s="127"/>
      <c r="L686" s="127"/>
      <c r="M686" s="127"/>
      <c r="N686" s="127"/>
      <c r="O686" s="127"/>
      <c r="P686" s="127"/>
      <c r="Q686" s="127"/>
      <c r="R686" s="127"/>
      <c r="S686" s="127"/>
      <c r="T686" s="127"/>
      <c r="U686" s="127"/>
      <c r="V686" s="127"/>
      <c r="W686" s="127"/>
      <c r="X686" s="127"/>
      <c r="Y686" s="127"/>
      <c r="Z686" s="127"/>
    </row>
    <row r="687" customFormat="false" ht="15.75" hidden="false" customHeight="false" outlineLevel="0" collapsed="false">
      <c r="A687" s="127"/>
      <c r="B687" s="127"/>
      <c r="C687" s="127"/>
      <c r="D687" s="127"/>
      <c r="E687" s="127"/>
      <c r="F687" s="127"/>
      <c r="G687" s="127"/>
      <c r="H687" s="127"/>
      <c r="I687" s="127"/>
      <c r="J687" s="127"/>
      <c r="K687" s="127"/>
      <c r="L687" s="127"/>
      <c r="M687" s="127"/>
      <c r="N687" s="127"/>
      <c r="O687" s="127"/>
      <c r="P687" s="127"/>
      <c r="Q687" s="127"/>
      <c r="R687" s="127"/>
      <c r="S687" s="127"/>
      <c r="T687" s="127"/>
      <c r="U687" s="127"/>
      <c r="V687" s="127"/>
      <c r="W687" s="127"/>
      <c r="X687" s="127"/>
      <c r="Y687" s="127"/>
      <c r="Z687" s="127"/>
    </row>
    <row r="688" customFormat="false" ht="15.75" hidden="false" customHeight="false" outlineLevel="0" collapsed="false">
      <c r="A688" s="127"/>
      <c r="B688" s="127"/>
      <c r="C688" s="127"/>
      <c r="D688" s="127"/>
      <c r="E688" s="127"/>
      <c r="F688" s="127"/>
      <c r="G688" s="127"/>
      <c r="H688" s="127"/>
      <c r="I688" s="127"/>
      <c r="J688" s="127"/>
      <c r="K688" s="127"/>
      <c r="L688" s="127"/>
      <c r="M688" s="127"/>
      <c r="N688" s="127"/>
      <c r="O688" s="127"/>
      <c r="P688" s="127"/>
      <c r="Q688" s="127"/>
      <c r="R688" s="127"/>
      <c r="S688" s="127"/>
      <c r="T688" s="127"/>
      <c r="U688" s="127"/>
      <c r="V688" s="127"/>
      <c r="W688" s="127"/>
      <c r="X688" s="127"/>
      <c r="Y688" s="127"/>
      <c r="Z688" s="127"/>
    </row>
    <row r="689" customFormat="false" ht="15.75" hidden="false" customHeight="false" outlineLevel="0" collapsed="false">
      <c r="A689" s="127"/>
      <c r="B689" s="127"/>
      <c r="C689" s="127"/>
      <c r="D689" s="127"/>
      <c r="E689" s="127"/>
      <c r="F689" s="127"/>
      <c r="G689" s="127"/>
      <c r="H689" s="127"/>
      <c r="I689" s="127"/>
      <c r="J689" s="127"/>
      <c r="K689" s="127"/>
      <c r="L689" s="127"/>
      <c r="M689" s="127"/>
      <c r="N689" s="127"/>
      <c r="O689" s="127"/>
      <c r="P689" s="127"/>
      <c r="Q689" s="127"/>
      <c r="R689" s="127"/>
      <c r="S689" s="127"/>
      <c r="T689" s="127"/>
      <c r="U689" s="127"/>
      <c r="V689" s="127"/>
      <c r="W689" s="127"/>
      <c r="X689" s="127"/>
      <c r="Y689" s="127"/>
      <c r="Z689" s="127"/>
    </row>
    <row r="690" customFormat="false" ht="15.75" hidden="false" customHeight="false" outlineLevel="0" collapsed="false">
      <c r="A690" s="127"/>
      <c r="B690" s="127"/>
      <c r="C690" s="127"/>
      <c r="D690" s="127"/>
      <c r="E690" s="127"/>
      <c r="F690" s="127"/>
      <c r="G690" s="127"/>
      <c r="H690" s="127"/>
      <c r="I690" s="127"/>
      <c r="J690" s="127"/>
      <c r="K690" s="127"/>
      <c r="L690" s="127"/>
      <c r="M690" s="127"/>
      <c r="N690" s="127"/>
      <c r="O690" s="127"/>
      <c r="P690" s="127"/>
      <c r="Q690" s="127"/>
      <c r="R690" s="127"/>
      <c r="S690" s="127"/>
      <c r="T690" s="127"/>
      <c r="U690" s="127"/>
      <c r="V690" s="127"/>
      <c r="W690" s="127"/>
      <c r="X690" s="127"/>
      <c r="Y690" s="127"/>
      <c r="Z690" s="127"/>
    </row>
    <row r="691" customFormat="false" ht="15.75" hidden="false" customHeight="false" outlineLevel="0" collapsed="false">
      <c r="A691" s="127"/>
      <c r="B691" s="127"/>
      <c r="C691" s="127"/>
      <c r="D691" s="127"/>
      <c r="E691" s="127"/>
      <c r="F691" s="127"/>
      <c r="G691" s="127"/>
      <c r="H691" s="127"/>
      <c r="I691" s="127"/>
      <c r="J691" s="127"/>
      <c r="K691" s="127"/>
      <c r="L691" s="127"/>
      <c r="M691" s="127"/>
      <c r="N691" s="127"/>
      <c r="O691" s="127"/>
      <c r="P691" s="127"/>
      <c r="Q691" s="127"/>
      <c r="R691" s="127"/>
      <c r="S691" s="127"/>
      <c r="T691" s="127"/>
      <c r="U691" s="127"/>
      <c r="V691" s="127"/>
      <c r="W691" s="127"/>
      <c r="X691" s="127"/>
      <c r="Y691" s="127"/>
      <c r="Z691" s="127"/>
    </row>
    <row r="692" customFormat="false" ht="15.75" hidden="false" customHeight="false" outlineLevel="0" collapsed="false">
      <c r="A692" s="127"/>
      <c r="B692" s="127"/>
      <c r="C692" s="127"/>
      <c r="D692" s="127"/>
      <c r="E692" s="127"/>
      <c r="F692" s="127"/>
      <c r="G692" s="127"/>
      <c r="H692" s="127"/>
      <c r="I692" s="127"/>
      <c r="J692" s="127"/>
      <c r="K692" s="127"/>
      <c r="L692" s="127"/>
      <c r="M692" s="127"/>
      <c r="N692" s="127"/>
      <c r="O692" s="127"/>
      <c r="P692" s="127"/>
      <c r="Q692" s="127"/>
      <c r="R692" s="127"/>
      <c r="S692" s="127"/>
      <c r="T692" s="127"/>
      <c r="U692" s="127"/>
      <c r="V692" s="127"/>
      <c r="W692" s="127"/>
      <c r="X692" s="127"/>
      <c r="Y692" s="127"/>
      <c r="Z692" s="127"/>
    </row>
    <row r="693" customFormat="false" ht="15.75" hidden="false" customHeight="false" outlineLevel="0" collapsed="false">
      <c r="A693" s="127"/>
      <c r="B693" s="127"/>
      <c r="C693" s="127"/>
      <c r="D693" s="127"/>
      <c r="E693" s="127"/>
      <c r="F693" s="127"/>
      <c r="G693" s="127"/>
      <c r="H693" s="127"/>
      <c r="I693" s="127"/>
      <c r="J693" s="127"/>
      <c r="K693" s="127"/>
      <c r="L693" s="127"/>
      <c r="M693" s="127"/>
      <c r="N693" s="127"/>
      <c r="O693" s="127"/>
      <c r="P693" s="127"/>
      <c r="Q693" s="127"/>
      <c r="R693" s="127"/>
      <c r="S693" s="127"/>
      <c r="T693" s="127"/>
      <c r="U693" s="127"/>
      <c r="V693" s="127"/>
      <c r="W693" s="127"/>
      <c r="X693" s="127"/>
      <c r="Y693" s="127"/>
      <c r="Z693" s="127"/>
    </row>
    <row r="694" customFormat="false" ht="15.75" hidden="false" customHeight="false" outlineLevel="0" collapsed="false">
      <c r="A694" s="127"/>
      <c r="B694" s="127"/>
      <c r="C694" s="127"/>
      <c r="D694" s="127"/>
      <c r="E694" s="127"/>
      <c r="F694" s="127"/>
      <c r="G694" s="127"/>
      <c r="H694" s="127"/>
      <c r="I694" s="127"/>
      <c r="J694" s="127"/>
      <c r="K694" s="127"/>
      <c r="L694" s="127"/>
      <c r="M694" s="127"/>
      <c r="N694" s="127"/>
      <c r="O694" s="127"/>
      <c r="P694" s="127"/>
      <c r="Q694" s="127"/>
      <c r="R694" s="127"/>
      <c r="S694" s="127"/>
      <c r="T694" s="127"/>
      <c r="U694" s="127"/>
      <c r="V694" s="127"/>
      <c r="W694" s="127"/>
      <c r="X694" s="127"/>
      <c r="Y694" s="127"/>
      <c r="Z694" s="127"/>
    </row>
    <row r="695" customFormat="false" ht="15.75" hidden="false" customHeight="false" outlineLevel="0" collapsed="false">
      <c r="A695" s="127"/>
      <c r="B695" s="127"/>
      <c r="C695" s="127"/>
      <c r="D695" s="127"/>
      <c r="E695" s="127"/>
      <c r="F695" s="127"/>
      <c r="G695" s="127"/>
      <c r="H695" s="127"/>
      <c r="I695" s="127"/>
      <c r="J695" s="127"/>
      <c r="K695" s="127"/>
      <c r="L695" s="127"/>
      <c r="M695" s="127"/>
      <c r="N695" s="127"/>
      <c r="O695" s="127"/>
      <c r="P695" s="127"/>
      <c r="Q695" s="127"/>
      <c r="R695" s="127"/>
      <c r="S695" s="127"/>
      <c r="T695" s="127"/>
      <c r="U695" s="127"/>
      <c r="V695" s="127"/>
      <c r="W695" s="127"/>
      <c r="X695" s="127"/>
      <c r="Y695" s="127"/>
      <c r="Z695" s="127"/>
    </row>
    <row r="696" customFormat="false" ht="15.75" hidden="false" customHeight="false" outlineLevel="0" collapsed="false">
      <c r="A696" s="127"/>
      <c r="B696" s="127"/>
      <c r="C696" s="127"/>
      <c r="D696" s="127"/>
      <c r="E696" s="127"/>
      <c r="F696" s="127"/>
      <c r="G696" s="127"/>
      <c r="H696" s="127"/>
      <c r="I696" s="127"/>
      <c r="J696" s="127"/>
      <c r="K696" s="127"/>
      <c r="L696" s="127"/>
      <c r="M696" s="127"/>
      <c r="N696" s="127"/>
      <c r="O696" s="127"/>
      <c r="P696" s="127"/>
      <c r="Q696" s="127"/>
      <c r="R696" s="127"/>
      <c r="S696" s="127"/>
      <c r="T696" s="127"/>
      <c r="U696" s="127"/>
      <c r="V696" s="127"/>
      <c r="W696" s="127"/>
      <c r="X696" s="127"/>
      <c r="Y696" s="127"/>
      <c r="Z696" s="127"/>
    </row>
    <row r="697" customFormat="false" ht="15.75" hidden="false" customHeight="false" outlineLevel="0" collapsed="false">
      <c r="A697" s="127"/>
      <c r="B697" s="127"/>
      <c r="C697" s="127"/>
      <c r="D697" s="127"/>
      <c r="E697" s="127"/>
      <c r="F697" s="127"/>
      <c r="G697" s="127"/>
      <c r="H697" s="127"/>
      <c r="I697" s="127"/>
      <c r="J697" s="127"/>
      <c r="K697" s="127"/>
      <c r="L697" s="127"/>
      <c r="M697" s="127"/>
      <c r="N697" s="127"/>
      <c r="O697" s="127"/>
      <c r="P697" s="127"/>
      <c r="Q697" s="127"/>
      <c r="R697" s="127"/>
      <c r="S697" s="127"/>
      <c r="T697" s="127"/>
      <c r="U697" s="127"/>
      <c r="V697" s="127"/>
      <c r="W697" s="127"/>
      <c r="X697" s="127"/>
      <c r="Y697" s="127"/>
      <c r="Z697" s="127"/>
    </row>
    <row r="698" customFormat="false" ht="15.75" hidden="false" customHeight="false" outlineLevel="0" collapsed="false">
      <c r="A698" s="127"/>
      <c r="B698" s="127"/>
      <c r="C698" s="127"/>
      <c r="D698" s="127"/>
      <c r="E698" s="127"/>
      <c r="F698" s="127"/>
      <c r="G698" s="127"/>
      <c r="H698" s="127"/>
      <c r="I698" s="127"/>
      <c r="J698" s="127"/>
      <c r="K698" s="127"/>
      <c r="L698" s="127"/>
      <c r="M698" s="127"/>
      <c r="N698" s="127"/>
      <c r="O698" s="127"/>
      <c r="P698" s="127"/>
      <c r="Q698" s="127"/>
      <c r="R698" s="127"/>
      <c r="S698" s="127"/>
      <c r="T698" s="127"/>
      <c r="U698" s="127"/>
      <c r="V698" s="127"/>
      <c r="W698" s="127"/>
      <c r="X698" s="127"/>
      <c r="Y698" s="127"/>
      <c r="Z698" s="127"/>
    </row>
    <row r="699" customFormat="false" ht="15.75" hidden="false" customHeight="false" outlineLevel="0" collapsed="false">
      <c r="A699" s="127"/>
      <c r="B699" s="127"/>
      <c r="C699" s="127"/>
      <c r="D699" s="127"/>
      <c r="E699" s="127"/>
      <c r="F699" s="127"/>
      <c r="G699" s="127"/>
      <c r="H699" s="127"/>
      <c r="I699" s="127"/>
      <c r="J699" s="127"/>
      <c r="K699" s="127"/>
      <c r="L699" s="127"/>
      <c r="M699" s="127"/>
      <c r="N699" s="127"/>
      <c r="O699" s="127"/>
      <c r="P699" s="127"/>
      <c r="Q699" s="127"/>
      <c r="R699" s="127"/>
      <c r="S699" s="127"/>
      <c r="T699" s="127"/>
      <c r="U699" s="127"/>
      <c r="V699" s="127"/>
      <c r="W699" s="127"/>
      <c r="X699" s="127"/>
      <c r="Y699" s="127"/>
      <c r="Z699" s="127"/>
    </row>
    <row r="700" customFormat="false" ht="15.75" hidden="false" customHeight="false" outlineLevel="0" collapsed="false">
      <c r="A700" s="127"/>
      <c r="B700" s="127"/>
      <c r="C700" s="127"/>
      <c r="D700" s="127"/>
      <c r="E700" s="127"/>
      <c r="F700" s="127"/>
      <c r="G700" s="127"/>
      <c r="H700" s="127"/>
      <c r="I700" s="127"/>
      <c r="J700" s="127"/>
      <c r="K700" s="127"/>
      <c r="L700" s="127"/>
      <c r="M700" s="127"/>
      <c r="N700" s="127"/>
      <c r="O700" s="127"/>
      <c r="P700" s="127"/>
      <c r="Q700" s="127"/>
      <c r="R700" s="127"/>
      <c r="S700" s="127"/>
      <c r="T700" s="127"/>
      <c r="U700" s="127"/>
      <c r="V700" s="127"/>
      <c r="W700" s="127"/>
      <c r="X700" s="127"/>
      <c r="Y700" s="127"/>
      <c r="Z700" s="127"/>
    </row>
    <row r="701" customFormat="false" ht="15.75" hidden="false" customHeight="false" outlineLevel="0" collapsed="false">
      <c r="A701" s="127"/>
      <c r="B701" s="127"/>
      <c r="C701" s="127"/>
      <c r="D701" s="127"/>
      <c r="E701" s="127"/>
      <c r="F701" s="127"/>
      <c r="G701" s="127"/>
      <c r="H701" s="127"/>
      <c r="I701" s="127"/>
      <c r="J701" s="127"/>
      <c r="K701" s="127"/>
      <c r="L701" s="127"/>
      <c r="M701" s="127"/>
      <c r="N701" s="127"/>
      <c r="O701" s="127"/>
      <c r="P701" s="127"/>
      <c r="Q701" s="127"/>
      <c r="R701" s="127"/>
      <c r="S701" s="127"/>
      <c r="T701" s="127"/>
      <c r="U701" s="127"/>
      <c r="V701" s="127"/>
      <c r="W701" s="127"/>
      <c r="X701" s="127"/>
      <c r="Y701" s="127"/>
      <c r="Z701" s="127"/>
    </row>
    <row r="702" customFormat="false" ht="15.75" hidden="false" customHeight="false" outlineLevel="0" collapsed="false">
      <c r="A702" s="127"/>
      <c r="B702" s="127"/>
      <c r="C702" s="127"/>
      <c r="D702" s="127"/>
      <c r="E702" s="127"/>
      <c r="F702" s="127"/>
      <c r="G702" s="127"/>
      <c r="H702" s="127"/>
      <c r="I702" s="127"/>
      <c r="J702" s="127"/>
      <c r="K702" s="127"/>
      <c r="L702" s="127"/>
      <c r="M702" s="127"/>
      <c r="N702" s="127"/>
      <c r="O702" s="127"/>
      <c r="P702" s="127"/>
      <c r="Q702" s="127"/>
      <c r="R702" s="127"/>
      <c r="S702" s="127"/>
      <c r="T702" s="127"/>
      <c r="U702" s="127"/>
      <c r="V702" s="127"/>
      <c r="W702" s="127"/>
      <c r="X702" s="127"/>
      <c r="Y702" s="127"/>
      <c r="Z702" s="127"/>
    </row>
    <row r="703" customFormat="false" ht="15.75" hidden="false" customHeight="false" outlineLevel="0" collapsed="false">
      <c r="A703" s="127"/>
      <c r="B703" s="127"/>
      <c r="C703" s="127"/>
      <c r="D703" s="127"/>
      <c r="E703" s="127"/>
      <c r="F703" s="127"/>
      <c r="G703" s="127"/>
      <c r="H703" s="127"/>
      <c r="I703" s="127"/>
      <c r="J703" s="127"/>
      <c r="K703" s="127"/>
      <c r="L703" s="127"/>
      <c r="M703" s="127"/>
      <c r="N703" s="127"/>
      <c r="O703" s="127"/>
      <c r="P703" s="127"/>
      <c r="Q703" s="127"/>
      <c r="R703" s="127"/>
      <c r="S703" s="127"/>
      <c r="T703" s="127"/>
      <c r="U703" s="127"/>
      <c r="V703" s="127"/>
      <c r="W703" s="127"/>
      <c r="X703" s="127"/>
      <c r="Y703" s="127"/>
      <c r="Z703" s="127"/>
    </row>
    <row r="704" customFormat="false" ht="15.75" hidden="false" customHeight="false" outlineLevel="0" collapsed="false">
      <c r="A704" s="127"/>
      <c r="B704" s="127"/>
      <c r="C704" s="127"/>
      <c r="D704" s="127"/>
      <c r="E704" s="127"/>
      <c r="F704" s="127"/>
      <c r="G704" s="127"/>
      <c r="H704" s="127"/>
      <c r="I704" s="127"/>
      <c r="J704" s="127"/>
      <c r="K704" s="127"/>
      <c r="L704" s="127"/>
      <c r="M704" s="127"/>
      <c r="N704" s="127"/>
      <c r="O704" s="127"/>
      <c r="P704" s="127"/>
      <c r="Q704" s="127"/>
      <c r="R704" s="127"/>
      <c r="S704" s="127"/>
      <c r="T704" s="127"/>
      <c r="U704" s="127"/>
      <c r="V704" s="127"/>
      <c r="W704" s="127"/>
      <c r="X704" s="127"/>
      <c r="Y704" s="127"/>
      <c r="Z704" s="127"/>
    </row>
    <row r="705" customFormat="false" ht="15.75" hidden="false" customHeight="false" outlineLevel="0" collapsed="false">
      <c r="A705" s="127"/>
      <c r="B705" s="127"/>
      <c r="C705" s="127"/>
      <c r="D705" s="127"/>
      <c r="E705" s="127"/>
      <c r="F705" s="127"/>
      <c r="G705" s="127"/>
      <c r="H705" s="127"/>
      <c r="I705" s="127"/>
      <c r="J705" s="127"/>
      <c r="K705" s="127"/>
      <c r="L705" s="127"/>
      <c r="M705" s="127"/>
      <c r="N705" s="127"/>
      <c r="O705" s="127"/>
      <c r="P705" s="127"/>
      <c r="Q705" s="127"/>
      <c r="R705" s="127"/>
      <c r="S705" s="127"/>
      <c r="T705" s="127"/>
      <c r="U705" s="127"/>
      <c r="V705" s="127"/>
      <c r="W705" s="127"/>
      <c r="X705" s="127"/>
      <c r="Y705" s="127"/>
      <c r="Z705" s="127"/>
    </row>
    <row r="706" customFormat="false" ht="15.75" hidden="false" customHeight="false" outlineLevel="0" collapsed="false">
      <c r="A706" s="127"/>
      <c r="B706" s="127"/>
      <c r="C706" s="127"/>
      <c r="D706" s="127"/>
      <c r="E706" s="127"/>
      <c r="F706" s="127"/>
      <c r="G706" s="127"/>
      <c r="H706" s="127"/>
      <c r="I706" s="127"/>
      <c r="J706" s="127"/>
      <c r="K706" s="127"/>
      <c r="L706" s="127"/>
      <c r="M706" s="127"/>
      <c r="N706" s="127"/>
      <c r="O706" s="127"/>
      <c r="P706" s="127"/>
      <c r="Q706" s="127"/>
      <c r="R706" s="127"/>
      <c r="S706" s="127"/>
      <c r="T706" s="127"/>
      <c r="U706" s="127"/>
      <c r="V706" s="127"/>
      <c r="W706" s="127"/>
      <c r="X706" s="127"/>
      <c r="Y706" s="127"/>
      <c r="Z706" s="127"/>
    </row>
    <row r="707" customFormat="false" ht="15.75" hidden="false" customHeight="false" outlineLevel="0" collapsed="false">
      <c r="A707" s="127"/>
      <c r="B707" s="127"/>
      <c r="C707" s="127"/>
      <c r="D707" s="127"/>
      <c r="E707" s="127"/>
      <c r="F707" s="127"/>
      <c r="G707" s="127"/>
      <c r="H707" s="127"/>
      <c r="I707" s="127"/>
      <c r="J707" s="127"/>
      <c r="K707" s="127"/>
      <c r="L707" s="127"/>
      <c r="M707" s="127"/>
      <c r="N707" s="127"/>
      <c r="O707" s="127"/>
      <c r="P707" s="127"/>
      <c r="Q707" s="127"/>
      <c r="R707" s="127"/>
      <c r="S707" s="127"/>
      <c r="T707" s="127"/>
      <c r="U707" s="127"/>
      <c r="V707" s="127"/>
      <c r="W707" s="127"/>
      <c r="X707" s="127"/>
      <c r="Y707" s="127"/>
      <c r="Z707" s="127"/>
    </row>
    <row r="708" customFormat="false" ht="15.75" hidden="false" customHeight="false" outlineLevel="0" collapsed="false">
      <c r="A708" s="127"/>
      <c r="B708" s="127"/>
      <c r="C708" s="127"/>
      <c r="D708" s="127"/>
      <c r="E708" s="127"/>
      <c r="F708" s="127"/>
      <c r="G708" s="127"/>
      <c r="H708" s="127"/>
      <c r="I708" s="127"/>
      <c r="J708" s="127"/>
      <c r="K708" s="127"/>
      <c r="L708" s="127"/>
      <c r="M708" s="127"/>
      <c r="N708" s="127"/>
      <c r="O708" s="127"/>
      <c r="P708" s="127"/>
      <c r="Q708" s="127"/>
      <c r="R708" s="127"/>
      <c r="S708" s="127"/>
      <c r="T708" s="127"/>
      <c r="U708" s="127"/>
      <c r="V708" s="127"/>
      <c r="W708" s="127"/>
      <c r="X708" s="127"/>
      <c r="Y708" s="127"/>
      <c r="Z708" s="127"/>
    </row>
    <row r="709" customFormat="false" ht="15.75" hidden="false" customHeight="false" outlineLevel="0" collapsed="false">
      <c r="A709" s="127"/>
      <c r="B709" s="127"/>
      <c r="C709" s="127"/>
      <c r="D709" s="127"/>
      <c r="E709" s="127"/>
      <c r="F709" s="127"/>
      <c r="G709" s="127"/>
      <c r="H709" s="127"/>
      <c r="I709" s="127"/>
      <c r="J709" s="127"/>
      <c r="K709" s="127"/>
      <c r="L709" s="127"/>
      <c r="M709" s="127"/>
      <c r="N709" s="127"/>
      <c r="O709" s="127"/>
      <c r="P709" s="127"/>
      <c r="Q709" s="127"/>
      <c r="R709" s="127"/>
      <c r="S709" s="127"/>
      <c r="T709" s="127"/>
      <c r="U709" s="127"/>
      <c r="V709" s="127"/>
      <c r="W709" s="127"/>
      <c r="X709" s="127"/>
      <c r="Y709" s="127"/>
      <c r="Z709" s="127"/>
    </row>
    <row r="710" customFormat="false" ht="15.75" hidden="false" customHeight="false" outlineLevel="0" collapsed="false">
      <c r="A710" s="127"/>
      <c r="B710" s="127"/>
      <c r="C710" s="127"/>
      <c r="D710" s="127"/>
      <c r="E710" s="127"/>
      <c r="F710" s="127"/>
      <c r="G710" s="127"/>
      <c r="H710" s="127"/>
      <c r="I710" s="127"/>
      <c r="J710" s="127"/>
      <c r="K710" s="127"/>
      <c r="L710" s="127"/>
      <c r="M710" s="127"/>
      <c r="N710" s="127"/>
      <c r="O710" s="127"/>
      <c r="P710" s="127"/>
      <c r="Q710" s="127"/>
      <c r="R710" s="127"/>
      <c r="S710" s="127"/>
      <c r="T710" s="127"/>
      <c r="U710" s="127"/>
      <c r="V710" s="127"/>
      <c r="W710" s="127"/>
      <c r="X710" s="127"/>
      <c r="Y710" s="127"/>
      <c r="Z710" s="127"/>
    </row>
    <row r="711" customFormat="false" ht="15.75" hidden="false" customHeight="false" outlineLevel="0" collapsed="false">
      <c r="A711" s="127"/>
      <c r="B711" s="127"/>
      <c r="C711" s="127"/>
      <c r="D711" s="127"/>
      <c r="E711" s="127"/>
      <c r="F711" s="127"/>
      <c r="G711" s="127"/>
      <c r="H711" s="127"/>
      <c r="I711" s="127"/>
      <c r="J711" s="127"/>
      <c r="K711" s="127"/>
      <c r="L711" s="127"/>
      <c r="M711" s="127"/>
      <c r="N711" s="127"/>
      <c r="O711" s="127"/>
      <c r="P711" s="127"/>
      <c r="Q711" s="127"/>
      <c r="R711" s="127"/>
      <c r="S711" s="127"/>
      <c r="T711" s="127"/>
      <c r="U711" s="127"/>
      <c r="V711" s="127"/>
      <c r="W711" s="127"/>
      <c r="X711" s="127"/>
      <c r="Y711" s="127"/>
      <c r="Z711" s="127"/>
    </row>
    <row r="712" customFormat="false" ht="15.75" hidden="false" customHeight="false" outlineLevel="0" collapsed="false">
      <c r="A712" s="127"/>
      <c r="B712" s="127"/>
      <c r="C712" s="127"/>
      <c r="D712" s="127"/>
      <c r="E712" s="127"/>
      <c r="F712" s="127"/>
      <c r="G712" s="127"/>
      <c r="H712" s="127"/>
      <c r="I712" s="127"/>
      <c r="J712" s="127"/>
      <c r="K712" s="127"/>
      <c r="L712" s="127"/>
      <c r="M712" s="127"/>
      <c r="N712" s="127"/>
      <c r="O712" s="127"/>
      <c r="P712" s="127"/>
      <c r="Q712" s="127"/>
      <c r="R712" s="127"/>
      <c r="S712" s="127"/>
      <c r="T712" s="127"/>
      <c r="U712" s="127"/>
      <c r="V712" s="127"/>
      <c r="W712" s="127"/>
      <c r="X712" s="127"/>
      <c r="Y712" s="127"/>
      <c r="Z712" s="127"/>
    </row>
    <row r="713" customFormat="false" ht="15.75" hidden="false" customHeight="false" outlineLevel="0" collapsed="false">
      <c r="A713" s="127"/>
      <c r="B713" s="127"/>
      <c r="C713" s="127"/>
      <c r="D713" s="127"/>
      <c r="E713" s="127"/>
      <c r="F713" s="127"/>
      <c r="G713" s="127"/>
      <c r="H713" s="127"/>
      <c r="I713" s="127"/>
      <c r="J713" s="127"/>
      <c r="K713" s="127"/>
      <c r="L713" s="127"/>
      <c r="M713" s="127"/>
      <c r="N713" s="127"/>
      <c r="O713" s="127"/>
      <c r="P713" s="127"/>
      <c r="Q713" s="127"/>
      <c r="R713" s="127"/>
      <c r="S713" s="127"/>
      <c r="T713" s="127"/>
      <c r="U713" s="127"/>
      <c r="V713" s="127"/>
      <c r="W713" s="127"/>
      <c r="X713" s="127"/>
      <c r="Y713" s="127"/>
      <c r="Z713" s="127"/>
    </row>
    <row r="714" customFormat="false" ht="15.75" hidden="false" customHeight="false" outlineLevel="0" collapsed="false">
      <c r="A714" s="127"/>
      <c r="B714" s="127"/>
      <c r="C714" s="127"/>
      <c r="D714" s="127"/>
      <c r="E714" s="127"/>
      <c r="F714" s="127"/>
      <c r="G714" s="127"/>
      <c r="H714" s="127"/>
      <c r="I714" s="127"/>
      <c r="J714" s="127"/>
      <c r="K714" s="127"/>
      <c r="L714" s="127"/>
      <c r="M714" s="127"/>
      <c r="N714" s="127"/>
      <c r="O714" s="127"/>
      <c r="P714" s="127"/>
      <c r="Q714" s="127"/>
      <c r="R714" s="127"/>
      <c r="S714" s="127"/>
      <c r="T714" s="127"/>
      <c r="U714" s="127"/>
      <c r="V714" s="127"/>
      <c r="W714" s="127"/>
      <c r="X714" s="127"/>
      <c r="Y714" s="127"/>
      <c r="Z714" s="127"/>
    </row>
    <row r="715" customFormat="false" ht="15.75" hidden="false" customHeight="false" outlineLevel="0" collapsed="false">
      <c r="A715" s="127"/>
      <c r="B715" s="127"/>
      <c r="C715" s="127"/>
      <c r="D715" s="127"/>
      <c r="E715" s="127"/>
      <c r="F715" s="127"/>
      <c r="G715" s="127"/>
      <c r="H715" s="127"/>
      <c r="I715" s="127"/>
      <c r="J715" s="127"/>
      <c r="K715" s="127"/>
      <c r="L715" s="127"/>
      <c r="M715" s="127"/>
      <c r="N715" s="127"/>
      <c r="O715" s="127"/>
      <c r="P715" s="127"/>
      <c r="Q715" s="127"/>
      <c r="R715" s="127"/>
      <c r="S715" s="127"/>
      <c r="T715" s="127"/>
      <c r="U715" s="127"/>
      <c r="V715" s="127"/>
      <c r="W715" s="127"/>
      <c r="X715" s="127"/>
      <c r="Y715" s="127"/>
      <c r="Z715" s="127"/>
    </row>
    <row r="716" customFormat="false" ht="15.75" hidden="false" customHeight="false" outlineLevel="0" collapsed="false">
      <c r="A716" s="127"/>
      <c r="B716" s="127"/>
      <c r="C716" s="127"/>
      <c r="D716" s="127"/>
      <c r="E716" s="127"/>
      <c r="F716" s="127"/>
      <c r="G716" s="127"/>
      <c r="H716" s="127"/>
      <c r="I716" s="127"/>
      <c r="J716" s="127"/>
      <c r="K716" s="127"/>
      <c r="L716" s="127"/>
      <c r="M716" s="127"/>
      <c r="N716" s="127"/>
      <c r="O716" s="127"/>
      <c r="P716" s="127"/>
      <c r="Q716" s="127"/>
      <c r="R716" s="127"/>
      <c r="S716" s="127"/>
      <c r="T716" s="127"/>
      <c r="U716" s="127"/>
      <c r="V716" s="127"/>
      <c r="W716" s="127"/>
      <c r="X716" s="127"/>
      <c r="Y716" s="127"/>
      <c r="Z716" s="127"/>
    </row>
    <row r="717" customFormat="false" ht="15.75" hidden="false" customHeight="false" outlineLevel="0" collapsed="false">
      <c r="A717" s="127"/>
      <c r="B717" s="127"/>
      <c r="C717" s="127"/>
      <c r="D717" s="127"/>
      <c r="E717" s="127"/>
      <c r="F717" s="127"/>
      <c r="G717" s="127"/>
      <c r="H717" s="127"/>
      <c r="I717" s="127"/>
      <c r="J717" s="127"/>
      <c r="K717" s="127"/>
      <c r="L717" s="127"/>
      <c r="M717" s="127"/>
      <c r="N717" s="127"/>
      <c r="O717" s="127"/>
      <c r="P717" s="127"/>
      <c r="Q717" s="127"/>
      <c r="R717" s="127"/>
      <c r="S717" s="127"/>
      <c r="T717" s="127"/>
      <c r="U717" s="127"/>
      <c r="V717" s="127"/>
      <c r="W717" s="127"/>
      <c r="X717" s="127"/>
      <c r="Y717" s="127"/>
      <c r="Z717" s="127"/>
    </row>
    <row r="718" customFormat="false" ht="15.75" hidden="false" customHeight="false" outlineLevel="0" collapsed="false">
      <c r="A718" s="127"/>
      <c r="B718" s="127"/>
      <c r="C718" s="127"/>
      <c r="D718" s="127"/>
      <c r="E718" s="127"/>
      <c r="F718" s="127"/>
      <c r="G718" s="127"/>
      <c r="H718" s="127"/>
      <c r="I718" s="127"/>
      <c r="J718" s="127"/>
      <c r="K718" s="127"/>
      <c r="L718" s="127"/>
      <c r="M718" s="127"/>
      <c r="N718" s="127"/>
      <c r="O718" s="127"/>
      <c r="P718" s="127"/>
      <c r="Q718" s="127"/>
      <c r="R718" s="127"/>
      <c r="S718" s="127"/>
      <c r="T718" s="127"/>
      <c r="U718" s="127"/>
      <c r="V718" s="127"/>
      <c r="W718" s="127"/>
      <c r="X718" s="127"/>
      <c r="Y718" s="127"/>
      <c r="Z718" s="127"/>
    </row>
    <row r="719" customFormat="false" ht="15.75" hidden="false" customHeight="false" outlineLevel="0" collapsed="false">
      <c r="A719" s="127"/>
      <c r="B719" s="127"/>
      <c r="C719" s="127"/>
      <c r="D719" s="127"/>
      <c r="E719" s="127"/>
      <c r="F719" s="127"/>
      <c r="G719" s="127"/>
      <c r="H719" s="127"/>
      <c r="I719" s="127"/>
      <c r="J719" s="127"/>
      <c r="K719" s="127"/>
      <c r="L719" s="127"/>
      <c r="M719" s="127"/>
      <c r="N719" s="127"/>
      <c r="O719" s="127"/>
      <c r="P719" s="127"/>
      <c r="Q719" s="127"/>
      <c r="R719" s="127"/>
      <c r="S719" s="127"/>
      <c r="T719" s="127"/>
      <c r="U719" s="127"/>
      <c r="V719" s="127"/>
      <c r="W719" s="127"/>
      <c r="X719" s="127"/>
      <c r="Y719" s="127"/>
      <c r="Z719" s="127"/>
    </row>
    <row r="720" customFormat="false" ht="15.75" hidden="false" customHeight="false" outlineLevel="0" collapsed="false">
      <c r="A720" s="127"/>
      <c r="B720" s="127"/>
      <c r="C720" s="127"/>
      <c r="D720" s="127"/>
      <c r="E720" s="127"/>
      <c r="F720" s="127"/>
      <c r="G720" s="127"/>
      <c r="H720" s="127"/>
      <c r="I720" s="127"/>
      <c r="J720" s="127"/>
      <c r="K720" s="127"/>
      <c r="L720" s="127"/>
      <c r="M720" s="127"/>
      <c r="N720" s="127"/>
      <c r="O720" s="127"/>
      <c r="P720" s="127"/>
      <c r="Q720" s="127"/>
      <c r="R720" s="127"/>
      <c r="S720" s="127"/>
      <c r="T720" s="127"/>
      <c r="U720" s="127"/>
      <c r="V720" s="127"/>
      <c r="W720" s="127"/>
      <c r="X720" s="127"/>
      <c r="Y720" s="127"/>
      <c r="Z720" s="127"/>
    </row>
    <row r="721" customFormat="false" ht="15.75" hidden="false" customHeight="false" outlineLevel="0" collapsed="false">
      <c r="A721" s="127"/>
      <c r="B721" s="127"/>
      <c r="C721" s="127"/>
      <c r="D721" s="127"/>
      <c r="E721" s="127"/>
      <c r="F721" s="127"/>
      <c r="G721" s="127"/>
      <c r="H721" s="127"/>
      <c r="I721" s="127"/>
      <c r="J721" s="127"/>
      <c r="K721" s="127"/>
      <c r="L721" s="127"/>
      <c r="M721" s="127"/>
      <c r="N721" s="127"/>
      <c r="O721" s="127"/>
      <c r="P721" s="127"/>
      <c r="Q721" s="127"/>
      <c r="R721" s="127"/>
      <c r="S721" s="127"/>
      <c r="T721" s="127"/>
      <c r="U721" s="127"/>
      <c r="V721" s="127"/>
      <c r="W721" s="127"/>
      <c r="X721" s="127"/>
      <c r="Y721" s="127"/>
      <c r="Z721" s="127"/>
    </row>
    <row r="722" customFormat="false" ht="15.75" hidden="false" customHeight="false" outlineLevel="0" collapsed="false">
      <c r="A722" s="127"/>
      <c r="B722" s="127"/>
      <c r="C722" s="127"/>
      <c r="D722" s="127"/>
      <c r="E722" s="127"/>
      <c r="F722" s="127"/>
      <c r="G722" s="127"/>
      <c r="H722" s="127"/>
      <c r="I722" s="127"/>
      <c r="J722" s="127"/>
      <c r="K722" s="127"/>
      <c r="L722" s="127"/>
      <c r="M722" s="127"/>
      <c r="N722" s="127"/>
      <c r="O722" s="127"/>
      <c r="P722" s="127"/>
      <c r="Q722" s="127"/>
      <c r="R722" s="127"/>
      <c r="S722" s="127"/>
      <c r="T722" s="127"/>
      <c r="U722" s="127"/>
      <c r="V722" s="127"/>
      <c r="W722" s="127"/>
      <c r="X722" s="127"/>
      <c r="Y722" s="127"/>
      <c r="Z722" s="127"/>
    </row>
    <row r="723" customFormat="false" ht="15.75" hidden="false" customHeight="false" outlineLevel="0" collapsed="false">
      <c r="A723" s="127"/>
      <c r="B723" s="127"/>
      <c r="C723" s="127"/>
      <c r="D723" s="127"/>
      <c r="E723" s="127"/>
      <c r="F723" s="127"/>
      <c r="G723" s="127"/>
      <c r="H723" s="127"/>
      <c r="I723" s="127"/>
      <c r="J723" s="127"/>
      <c r="K723" s="127"/>
      <c r="L723" s="127"/>
      <c r="M723" s="127"/>
      <c r="N723" s="127"/>
      <c r="O723" s="127"/>
      <c r="P723" s="127"/>
      <c r="Q723" s="127"/>
      <c r="R723" s="127"/>
      <c r="S723" s="127"/>
      <c r="T723" s="127"/>
      <c r="U723" s="127"/>
      <c r="V723" s="127"/>
      <c r="W723" s="127"/>
      <c r="X723" s="127"/>
      <c r="Y723" s="127"/>
      <c r="Z723" s="127"/>
    </row>
    <row r="724" customFormat="false" ht="15.75" hidden="false" customHeight="false" outlineLevel="0" collapsed="false">
      <c r="A724" s="127"/>
      <c r="B724" s="127"/>
      <c r="C724" s="127"/>
      <c r="D724" s="127"/>
      <c r="E724" s="127"/>
      <c r="F724" s="127"/>
      <c r="G724" s="127"/>
      <c r="H724" s="127"/>
      <c r="I724" s="127"/>
      <c r="J724" s="127"/>
      <c r="K724" s="127"/>
      <c r="L724" s="127"/>
      <c r="M724" s="127"/>
      <c r="N724" s="127"/>
      <c r="O724" s="127"/>
      <c r="P724" s="127"/>
      <c r="Q724" s="127"/>
      <c r="R724" s="127"/>
      <c r="S724" s="127"/>
      <c r="T724" s="127"/>
      <c r="U724" s="127"/>
      <c r="V724" s="127"/>
      <c r="W724" s="127"/>
      <c r="X724" s="127"/>
      <c r="Y724" s="127"/>
      <c r="Z724" s="127"/>
    </row>
    <row r="725" customFormat="false" ht="15.75" hidden="false" customHeight="false" outlineLevel="0" collapsed="false">
      <c r="A725" s="127"/>
      <c r="B725" s="127"/>
      <c r="C725" s="127"/>
      <c r="D725" s="127"/>
      <c r="E725" s="127"/>
      <c r="F725" s="127"/>
      <c r="G725" s="127"/>
      <c r="H725" s="127"/>
      <c r="I725" s="127"/>
      <c r="J725" s="127"/>
      <c r="K725" s="127"/>
      <c r="L725" s="127"/>
      <c r="M725" s="127"/>
      <c r="N725" s="127"/>
      <c r="O725" s="127"/>
      <c r="P725" s="127"/>
      <c r="Q725" s="127"/>
      <c r="R725" s="127"/>
      <c r="S725" s="127"/>
      <c r="T725" s="127"/>
      <c r="U725" s="127"/>
      <c r="V725" s="127"/>
      <c r="W725" s="127"/>
      <c r="X725" s="127"/>
      <c r="Y725" s="127"/>
      <c r="Z725" s="127"/>
    </row>
    <row r="726" customFormat="false" ht="15.75" hidden="false" customHeight="false" outlineLevel="0" collapsed="false">
      <c r="A726" s="127"/>
      <c r="B726" s="127"/>
      <c r="C726" s="127"/>
      <c r="D726" s="127"/>
      <c r="E726" s="127"/>
      <c r="F726" s="127"/>
      <c r="G726" s="127"/>
      <c r="H726" s="127"/>
      <c r="I726" s="127"/>
      <c r="J726" s="127"/>
      <c r="K726" s="127"/>
      <c r="L726" s="127"/>
      <c r="M726" s="127"/>
      <c r="N726" s="127"/>
      <c r="O726" s="127"/>
      <c r="P726" s="127"/>
      <c r="Q726" s="127"/>
      <c r="R726" s="127"/>
      <c r="S726" s="127"/>
      <c r="T726" s="127"/>
      <c r="U726" s="127"/>
      <c r="V726" s="127"/>
      <c r="W726" s="127"/>
      <c r="X726" s="127"/>
      <c r="Y726" s="127"/>
      <c r="Z726" s="127"/>
    </row>
    <row r="727" customFormat="false" ht="15.75" hidden="false" customHeight="false" outlineLevel="0" collapsed="false">
      <c r="A727" s="127"/>
      <c r="B727" s="127"/>
      <c r="C727" s="127"/>
      <c r="D727" s="127"/>
      <c r="E727" s="127"/>
      <c r="F727" s="127"/>
      <c r="G727" s="127"/>
      <c r="H727" s="127"/>
      <c r="I727" s="127"/>
      <c r="J727" s="127"/>
      <c r="K727" s="127"/>
      <c r="L727" s="127"/>
      <c r="M727" s="127"/>
      <c r="N727" s="127"/>
      <c r="O727" s="127"/>
      <c r="P727" s="127"/>
      <c r="Q727" s="127"/>
      <c r="R727" s="127"/>
      <c r="S727" s="127"/>
      <c r="T727" s="127"/>
      <c r="U727" s="127"/>
      <c r="V727" s="127"/>
      <c r="W727" s="127"/>
      <c r="X727" s="127"/>
      <c r="Y727" s="127"/>
      <c r="Z727" s="127"/>
    </row>
    <row r="728" customFormat="false" ht="15.75" hidden="false" customHeight="false" outlineLevel="0" collapsed="false">
      <c r="A728" s="127"/>
      <c r="B728" s="127"/>
      <c r="C728" s="127"/>
      <c r="D728" s="127"/>
      <c r="E728" s="127"/>
      <c r="F728" s="127"/>
      <c r="G728" s="127"/>
      <c r="H728" s="127"/>
      <c r="I728" s="127"/>
      <c r="J728" s="127"/>
      <c r="K728" s="127"/>
      <c r="L728" s="127"/>
      <c r="M728" s="127"/>
      <c r="N728" s="127"/>
      <c r="O728" s="127"/>
      <c r="P728" s="127"/>
      <c r="Q728" s="127"/>
      <c r="R728" s="127"/>
      <c r="S728" s="127"/>
      <c r="T728" s="127"/>
      <c r="U728" s="127"/>
      <c r="V728" s="127"/>
      <c r="W728" s="127"/>
      <c r="X728" s="127"/>
      <c r="Y728" s="127"/>
      <c r="Z728" s="127"/>
    </row>
    <row r="729" customFormat="false" ht="15.75" hidden="false" customHeight="false" outlineLevel="0" collapsed="false">
      <c r="A729" s="127"/>
      <c r="B729" s="127"/>
      <c r="C729" s="127"/>
      <c r="D729" s="127"/>
      <c r="E729" s="127"/>
      <c r="F729" s="127"/>
      <c r="G729" s="127"/>
      <c r="H729" s="127"/>
      <c r="I729" s="127"/>
      <c r="J729" s="127"/>
      <c r="K729" s="127"/>
      <c r="L729" s="127"/>
      <c r="M729" s="127"/>
      <c r="N729" s="127"/>
      <c r="O729" s="127"/>
      <c r="P729" s="127"/>
      <c r="Q729" s="127"/>
      <c r="R729" s="127"/>
      <c r="S729" s="127"/>
      <c r="T729" s="127"/>
      <c r="U729" s="127"/>
      <c r="V729" s="127"/>
      <c r="W729" s="127"/>
      <c r="X729" s="127"/>
      <c r="Y729" s="127"/>
      <c r="Z729" s="127"/>
    </row>
    <row r="730" customFormat="false" ht="15.75" hidden="false" customHeight="false" outlineLevel="0" collapsed="false">
      <c r="A730" s="127"/>
      <c r="B730" s="127"/>
      <c r="C730" s="127"/>
      <c r="D730" s="127"/>
      <c r="E730" s="127"/>
      <c r="F730" s="127"/>
      <c r="G730" s="127"/>
      <c r="H730" s="127"/>
      <c r="I730" s="127"/>
      <c r="J730" s="127"/>
      <c r="K730" s="127"/>
      <c r="L730" s="127"/>
      <c r="M730" s="127"/>
      <c r="N730" s="127"/>
      <c r="O730" s="127"/>
      <c r="P730" s="127"/>
      <c r="Q730" s="127"/>
      <c r="R730" s="127"/>
      <c r="S730" s="127"/>
      <c r="T730" s="127"/>
      <c r="U730" s="127"/>
      <c r="V730" s="127"/>
      <c r="W730" s="127"/>
      <c r="X730" s="127"/>
      <c r="Y730" s="127"/>
      <c r="Z730" s="127"/>
    </row>
    <row r="731" customFormat="false" ht="15.75" hidden="false" customHeight="false" outlineLevel="0" collapsed="false">
      <c r="A731" s="127"/>
      <c r="B731" s="127"/>
      <c r="C731" s="127"/>
      <c r="D731" s="127"/>
      <c r="E731" s="127"/>
      <c r="F731" s="127"/>
      <c r="G731" s="127"/>
      <c r="H731" s="127"/>
      <c r="I731" s="127"/>
      <c r="J731" s="127"/>
      <c r="K731" s="127"/>
      <c r="L731" s="127"/>
      <c r="M731" s="127"/>
      <c r="N731" s="127"/>
      <c r="O731" s="127"/>
      <c r="P731" s="127"/>
      <c r="Q731" s="127"/>
      <c r="R731" s="127"/>
      <c r="S731" s="127"/>
      <c r="T731" s="127"/>
      <c r="U731" s="127"/>
      <c r="V731" s="127"/>
      <c r="W731" s="127"/>
      <c r="X731" s="127"/>
      <c r="Y731" s="127"/>
      <c r="Z731" s="127"/>
    </row>
    <row r="732" customFormat="false" ht="15.75" hidden="false" customHeight="false" outlineLevel="0" collapsed="false">
      <c r="A732" s="127"/>
      <c r="B732" s="127"/>
      <c r="C732" s="127"/>
      <c r="D732" s="127"/>
      <c r="E732" s="127"/>
      <c r="F732" s="127"/>
      <c r="G732" s="127"/>
      <c r="H732" s="127"/>
      <c r="I732" s="127"/>
      <c r="J732" s="127"/>
      <c r="K732" s="127"/>
      <c r="L732" s="127"/>
      <c r="M732" s="127"/>
      <c r="N732" s="127"/>
      <c r="O732" s="127"/>
      <c r="P732" s="127"/>
      <c r="Q732" s="127"/>
      <c r="R732" s="127"/>
      <c r="S732" s="127"/>
      <c r="T732" s="127"/>
      <c r="U732" s="127"/>
      <c r="V732" s="127"/>
      <c r="W732" s="127"/>
      <c r="X732" s="127"/>
      <c r="Y732" s="127"/>
      <c r="Z732" s="127"/>
    </row>
    <row r="733" customFormat="false" ht="15.75" hidden="false" customHeight="false" outlineLevel="0" collapsed="false">
      <c r="A733" s="127"/>
      <c r="B733" s="127"/>
      <c r="C733" s="127"/>
      <c r="D733" s="127"/>
      <c r="E733" s="127"/>
      <c r="F733" s="127"/>
      <c r="G733" s="127"/>
      <c r="H733" s="127"/>
      <c r="I733" s="127"/>
      <c r="J733" s="127"/>
      <c r="K733" s="127"/>
      <c r="L733" s="127"/>
      <c r="M733" s="127"/>
      <c r="N733" s="127"/>
      <c r="O733" s="127"/>
      <c r="P733" s="127"/>
      <c r="Q733" s="127"/>
      <c r="R733" s="127"/>
      <c r="S733" s="127"/>
      <c r="T733" s="127"/>
      <c r="U733" s="127"/>
      <c r="V733" s="127"/>
      <c r="W733" s="127"/>
      <c r="X733" s="127"/>
      <c r="Y733" s="127"/>
      <c r="Z733" s="127"/>
    </row>
    <row r="734" customFormat="false" ht="15.75" hidden="false" customHeight="false" outlineLevel="0" collapsed="false">
      <c r="A734" s="127"/>
      <c r="B734" s="127"/>
      <c r="C734" s="127"/>
      <c r="D734" s="127"/>
      <c r="E734" s="127"/>
      <c r="F734" s="127"/>
      <c r="G734" s="127"/>
      <c r="H734" s="127"/>
      <c r="I734" s="127"/>
      <c r="J734" s="127"/>
      <c r="K734" s="127"/>
      <c r="L734" s="127"/>
      <c r="M734" s="127"/>
      <c r="N734" s="127"/>
      <c r="O734" s="127"/>
      <c r="P734" s="127"/>
      <c r="Q734" s="127"/>
      <c r="R734" s="127"/>
      <c r="S734" s="127"/>
      <c r="T734" s="127"/>
      <c r="U734" s="127"/>
      <c r="V734" s="127"/>
      <c r="W734" s="127"/>
      <c r="X734" s="127"/>
      <c r="Y734" s="127"/>
      <c r="Z734" s="127"/>
    </row>
    <row r="735" customFormat="false" ht="15.75" hidden="false" customHeight="false" outlineLevel="0" collapsed="false">
      <c r="A735" s="127"/>
      <c r="B735" s="127"/>
      <c r="C735" s="127"/>
      <c r="D735" s="127"/>
      <c r="E735" s="127"/>
      <c r="F735" s="127"/>
      <c r="G735" s="127"/>
      <c r="H735" s="127"/>
      <c r="I735" s="127"/>
      <c r="J735" s="127"/>
      <c r="K735" s="127"/>
      <c r="L735" s="127"/>
      <c r="M735" s="127"/>
      <c r="N735" s="127"/>
      <c r="O735" s="127"/>
      <c r="P735" s="127"/>
      <c r="Q735" s="127"/>
      <c r="R735" s="127"/>
      <c r="S735" s="127"/>
      <c r="T735" s="127"/>
      <c r="U735" s="127"/>
      <c r="V735" s="127"/>
      <c r="W735" s="127"/>
      <c r="X735" s="127"/>
      <c r="Y735" s="127"/>
      <c r="Z735" s="127"/>
    </row>
    <row r="736" customFormat="false" ht="15.75" hidden="false" customHeight="false" outlineLevel="0" collapsed="false">
      <c r="A736" s="127"/>
      <c r="B736" s="127"/>
      <c r="C736" s="127"/>
      <c r="D736" s="127"/>
      <c r="E736" s="127"/>
      <c r="F736" s="127"/>
      <c r="G736" s="127"/>
      <c r="H736" s="127"/>
      <c r="I736" s="127"/>
      <c r="J736" s="127"/>
      <c r="K736" s="127"/>
      <c r="L736" s="127"/>
      <c r="M736" s="127"/>
      <c r="N736" s="127"/>
      <c r="O736" s="127"/>
      <c r="P736" s="127"/>
      <c r="Q736" s="127"/>
      <c r="R736" s="127"/>
      <c r="S736" s="127"/>
      <c r="T736" s="127"/>
      <c r="U736" s="127"/>
      <c r="V736" s="127"/>
      <c r="W736" s="127"/>
      <c r="X736" s="127"/>
      <c r="Y736" s="127"/>
      <c r="Z736" s="127"/>
    </row>
    <row r="737" customFormat="false" ht="15.75" hidden="false" customHeight="false" outlineLevel="0" collapsed="false">
      <c r="A737" s="127"/>
      <c r="B737" s="127"/>
      <c r="C737" s="127"/>
      <c r="D737" s="127"/>
      <c r="E737" s="127"/>
      <c r="F737" s="127"/>
      <c r="G737" s="127"/>
      <c r="H737" s="127"/>
      <c r="I737" s="127"/>
      <c r="J737" s="127"/>
      <c r="K737" s="127"/>
      <c r="L737" s="127"/>
      <c r="M737" s="127"/>
      <c r="N737" s="127"/>
      <c r="O737" s="127"/>
      <c r="P737" s="127"/>
      <c r="Q737" s="127"/>
      <c r="R737" s="127"/>
      <c r="S737" s="127"/>
      <c r="T737" s="127"/>
      <c r="U737" s="127"/>
      <c r="V737" s="127"/>
      <c r="W737" s="127"/>
      <c r="X737" s="127"/>
      <c r="Y737" s="127"/>
      <c r="Z737" s="127"/>
    </row>
    <row r="738" customFormat="false" ht="15.75" hidden="false" customHeight="false" outlineLevel="0" collapsed="false">
      <c r="A738" s="127"/>
      <c r="B738" s="127"/>
      <c r="C738" s="127"/>
      <c r="D738" s="127"/>
      <c r="E738" s="127"/>
      <c r="F738" s="127"/>
      <c r="G738" s="127"/>
      <c r="H738" s="127"/>
      <c r="I738" s="127"/>
      <c r="J738" s="127"/>
      <c r="K738" s="127"/>
      <c r="L738" s="127"/>
      <c r="M738" s="127"/>
      <c r="N738" s="127"/>
      <c r="O738" s="127"/>
      <c r="P738" s="127"/>
      <c r="Q738" s="127"/>
      <c r="R738" s="127"/>
      <c r="S738" s="127"/>
      <c r="T738" s="127"/>
      <c r="U738" s="127"/>
      <c r="V738" s="127"/>
      <c r="W738" s="127"/>
      <c r="X738" s="127"/>
      <c r="Y738" s="127"/>
      <c r="Z738" s="127"/>
    </row>
    <row r="739" customFormat="false" ht="15.75" hidden="false" customHeight="false" outlineLevel="0" collapsed="false">
      <c r="A739" s="127"/>
      <c r="B739" s="127"/>
      <c r="C739" s="127"/>
      <c r="D739" s="127"/>
      <c r="E739" s="127"/>
      <c r="F739" s="127"/>
      <c r="G739" s="127"/>
      <c r="H739" s="127"/>
      <c r="I739" s="127"/>
      <c r="J739" s="127"/>
      <c r="K739" s="127"/>
      <c r="L739" s="127"/>
      <c r="M739" s="127"/>
      <c r="N739" s="127"/>
      <c r="O739" s="127"/>
      <c r="P739" s="127"/>
      <c r="Q739" s="127"/>
      <c r="R739" s="127"/>
      <c r="S739" s="127"/>
      <c r="T739" s="127"/>
      <c r="U739" s="127"/>
      <c r="V739" s="127"/>
      <c r="W739" s="127"/>
      <c r="X739" s="127"/>
      <c r="Y739" s="127"/>
      <c r="Z739" s="127"/>
    </row>
    <row r="740" customFormat="false" ht="15.75" hidden="false" customHeight="false" outlineLevel="0" collapsed="false">
      <c r="A740" s="127"/>
      <c r="B740" s="127"/>
      <c r="C740" s="127"/>
      <c r="D740" s="127"/>
      <c r="E740" s="127"/>
      <c r="F740" s="127"/>
      <c r="G740" s="127"/>
      <c r="H740" s="127"/>
      <c r="I740" s="127"/>
      <c r="J740" s="127"/>
      <c r="K740" s="127"/>
      <c r="L740" s="127"/>
      <c r="M740" s="127"/>
      <c r="N740" s="127"/>
      <c r="O740" s="127"/>
      <c r="P740" s="127"/>
      <c r="Q740" s="127"/>
      <c r="R740" s="127"/>
      <c r="S740" s="127"/>
      <c r="T740" s="127"/>
      <c r="U740" s="127"/>
      <c r="V740" s="127"/>
      <c r="W740" s="127"/>
      <c r="X740" s="127"/>
      <c r="Y740" s="127"/>
      <c r="Z740" s="127"/>
    </row>
    <row r="741" customFormat="false" ht="15.75" hidden="false" customHeight="false" outlineLevel="0" collapsed="false">
      <c r="A741" s="127"/>
      <c r="B741" s="127"/>
      <c r="C741" s="127"/>
      <c r="D741" s="127"/>
      <c r="E741" s="127"/>
      <c r="F741" s="127"/>
      <c r="G741" s="127"/>
      <c r="H741" s="127"/>
      <c r="I741" s="127"/>
      <c r="J741" s="127"/>
      <c r="K741" s="127"/>
      <c r="L741" s="127"/>
      <c r="M741" s="127"/>
      <c r="N741" s="127"/>
      <c r="O741" s="127"/>
      <c r="P741" s="127"/>
      <c r="Q741" s="127"/>
      <c r="R741" s="127"/>
      <c r="S741" s="127"/>
      <c r="T741" s="127"/>
      <c r="U741" s="127"/>
      <c r="V741" s="127"/>
      <c r="W741" s="127"/>
      <c r="X741" s="127"/>
      <c r="Y741" s="127"/>
      <c r="Z741" s="127"/>
    </row>
    <row r="742" customFormat="false" ht="15.75" hidden="false" customHeight="false" outlineLevel="0" collapsed="false">
      <c r="A742" s="127"/>
      <c r="B742" s="127"/>
      <c r="C742" s="127"/>
      <c r="D742" s="127"/>
      <c r="E742" s="127"/>
      <c r="F742" s="127"/>
      <c r="G742" s="127"/>
      <c r="H742" s="127"/>
      <c r="I742" s="127"/>
      <c r="J742" s="127"/>
      <c r="K742" s="127"/>
      <c r="L742" s="127"/>
      <c r="M742" s="127"/>
      <c r="N742" s="127"/>
      <c r="O742" s="127"/>
      <c r="P742" s="127"/>
      <c r="Q742" s="127"/>
      <c r="R742" s="127"/>
      <c r="S742" s="127"/>
      <c r="T742" s="127"/>
      <c r="U742" s="127"/>
      <c r="V742" s="127"/>
      <c r="W742" s="127"/>
      <c r="X742" s="127"/>
      <c r="Y742" s="127"/>
      <c r="Z742" s="127"/>
    </row>
    <row r="743" customFormat="false" ht="15.75" hidden="false" customHeight="false" outlineLevel="0" collapsed="false">
      <c r="A743" s="127"/>
      <c r="B743" s="127"/>
      <c r="C743" s="127"/>
      <c r="D743" s="127"/>
      <c r="E743" s="127"/>
      <c r="F743" s="127"/>
      <c r="G743" s="127"/>
      <c r="H743" s="127"/>
      <c r="I743" s="127"/>
      <c r="J743" s="127"/>
      <c r="K743" s="127"/>
      <c r="L743" s="127"/>
      <c r="M743" s="127"/>
      <c r="N743" s="127"/>
      <c r="O743" s="127"/>
      <c r="P743" s="127"/>
      <c r="Q743" s="127"/>
      <c r="R743" s="127"/>
      <c r="S743" s="127"/>
      <c r="T743" s="127"/>
      <c r="U743" s="127"/>
      <c r="V743" s="127"/>
      <c r="W743" s="127"/>
      <c r="X743" s="127"/>
      <c r="Y743" s="127"/>
      <c r="Z743" s="127"/>
    </row>
    <row r="744" customFormat="false" ht="15.75" hidden="false" customHeight="false" outlineLevel="0" collapsed="false">
      <c r="A744" s="127"/>
      <c r="B744" s="127"/>
      <c r="C744" s="127"/>
      <c r="D744" s="127"/>
      <c r="E744" s="127"/>
      <c r="F744" s="127"/>
      <c r="G744" s="127"/>
      <c r="H744" s="127"/>
      <c r="I744" s="127"/>
      <c r="J744" s="127"/>
      <c r="K744" s="127"/>
      <c r="L744" s="127"/>
      <c r="M744" s="127"/>
      <c r="N744" s="127"/>
      <c r="O744" s="127"/>
      <c r="P744" s="127"/>
      <c r="Q744" s="127"/>
      <c r="R744" s="127"/>
      <c r="S744" s="127"/>
      <c r="T744" s="127"/>
      <c r="U744" s="127"/>
      <c r="V744" s="127"/>
      <c r="W744" s="127"/>
      <c r="X744" s="127"/>
      <c r="Y744" s="127"/>
      <c r="Z744" s="127"/>
    </row>
    <row r="745" customFormat="false" ht="15.75" hidden="false" customHeight="false" outlineLevel="0" collapsed="false">
      <c r="A745" s="127"/>
      <c r="B745" s="127"/>
      <c r="C745" s="127"/>
      <c r="D745" s="127"/>
      <c r="E745" s="127"/>
      <c r="F745" s="127"/>
      <c r="G745" s="127"/>
      <c r="H745" s="127"/>
      <c r="I745" s="127"/>
      <c r="J745" s="127"/>
      <c r="K745" s="127"/>
      <c r="L745" s="127"/>
      <c r="M745" s="127"/>
      <c r="N745" s="127"/>
      <c r="O745" s="127"/>
      <c r="P745" s="127"/>
      <c r="Q745" s="127"/>
      <c r="R745" s="127"/>
      <c r="S745" s="127"/>
      <c r="T745" s="127"/>
      <c r="U745" s="127"/>
      <c r="V745" s="127"/>
      <c r="W745" s="127"/>
      <c r="X745" s="127"/>
      <c r="Y745" s="127"/>
      <c r="Z745" s="127"/>
    </row>
    <row r="746" customFormat="false" ht="15.75" hidden="false" customHeight="false" outlineLevel="0" collapsed="false">
      <c r="A746" s="127"/>
      <c r="B746" s="127"/>
      <c r="C746" s="127"/>
      <c r="D746" s="127"/>
      <c r="E746" s="127"/>
      <c r="F746" s="127"/>
      <c r="G746" s="127"/>
      <c r="H746" s="127"/>
      <c r="I746" s="127"/>
      <c r="J746" s="127"/>
      <c r="K746" s="127"/>
      <c r="L746" s="127"/>
      <c r="M746" s="127"/>
      <c r="N746" s="127"/>
      <c r="O746" s="127"/>
      <c r="P746" s="127"/>
      <c r="Q746" s="127"/>
      <c r="R746" s="127"/>
      <c r="S746" s="127"/>
      <c r="T746" s="127"/>
      <c r="U746" s="127"/>
      <c r="V746" s="127"/>
      <c r="W746" s="127"/>
      <c r="X746" s="127"/>
      <c r="Y746" s="127"/>
      <c r="Z746" s="127"/>
    </row>
    <row r="747" customFormat="false" ht="15.75" hidden="false" customHeight="false" outlineLevel="0" collapsed="false">
      <c r="A747" s="127"/>
      <c r="B747" s="127"/>
      <c r="C747" s="127"/>
      <c r="D747" s="127"/>
      <c r="E747" s="127"/>
      <c r="F747" s="127"/>
      <c r="G747" s="127"/>
      <c r="H747" s="127"/>
      <c r="I747" s="127"/>
      <c r="J747" s="127"/>
      <c r="K747" s="127"/>
      <c r="L747" s="127"/>
      <c r="M747" s="127"/>
      <c r="N747" s="127"/>
      <c r="O747" s="127"/>
      <c r="P747" s="127"/>
      <c r="Q747" s="127"/>
      <c r="R747" s="127"/>
      <c r="S747" s="127"/>
      <c r="T747" s="127"/>
      <c r="U747" s="127"/>
      <c r="V747" s="127"/>
      <c r="W747" s="127"/>
      <c r="X747" s="127"/>
      <c r="Y747" s="127"/>
      <c r="Z747" s="127"/>
    </row>
    <row r="748" customFormat="false" ht="15.75" hidden="false" customHeight="false" outlineLevel="0" collapsed="false">
      <c r="A748" s="127"/>
      <c r="B748" s="127"/>
      <c r="C748" s="127"/>
      <c r="D748" s="127"/>
      <c r="E748" s="127"/>
      <c r="F748" s="127"/>
      <c r="G748" s="127"/>
      <c r="H748" s="127"/>
      <c r="I748" s="127"/>
      <c r="J748" s="127"/>
      <c r="K748" s="127"/>
      <c r="L748" s="127"/>
      <c r="M748" s="127"/>
      <c r="N748" s="127"/>
      <c r="O748" s="127"/>
      <c r="P748" s="127"/>
      <c r="Q748" s="127"/>
      <c r="R748" s="127"/>
      <c r="S748" s="127"/>
      <c r="T748" s="127"/>
      <c r="U748" s="127"/>
      <c r="V748" s="127"/>
      <c r="W748" s="127"/>
      <c r="X748" s="127"/>
      <c r="Y748" s="127"/>
      <c r="Z748" s="127"/>
    </row>
    <row r="749" customFormat="false" ht="15.75" hidden="false" customHeight="false" outlineLevel="0" collapsed="false">
      <c r="A749" s="127"/>
      <c r="B749" s="127"/>
      <c r="C749" s="127"/>
      <c r="D749" s="127"/>
      <c r="E749" s="127"/>
      <c r="F749" s="127"/>
      <c r="G749" s="127"/>
      <c r="H749" s="127"/>
      <c r="I749" s="127"/>
      <c r="J749" s="127"/>
      <c r="K749" s="127"/>
      <c r="L749" s="127"/>
      <c r="M749" s="127"/>
      <c r="N749" s="127"/>
      <c r="O749" s="127"/>
      <c r="P749" s="127"/>
      <c r="Q749" s="127"/>
      <c r="R749" s="127"/>
      <c r="S749" s="127"/>
      <c r="T749" s="127"/>
      <c r="U749" s="127"/>
      <c r="V749" s="127"/>
      <c r="W749" s="127"/>
      <c r="X749" s="127"/>
      <c r="Y749" s="127"/>
      <c r="Z749" s="127"/>
    </row>
    <row r="750" customFormat="false" ht="15.75" hidden="false" customHeight="false" outlineLevel="0" collapsed="false">
      <c r="A750" s="127"/>
      <c r="B750" s="127"/>
      <c r="C750" s="127"/>
      <c r="D750" s="127"/>
      <c r="E750" s="127"/>
      <c r="F750" s="127"/>
      <c r="G750" s="127"/>
      <c r="H750" s="127"/>
      <c r="I750" s="127"/>
      <c r="J750" s="127"/>
      <c r="K750" s="127"/>
      <c r="L750" s="127"/>
      <c r="M750" s="127"/>
      <c r="N750" s="127"/>
      <c r="O750" s="127"/>
      <c r="P750" s="127"/>
      <c r="Q750" s="127"/>
      <c r="R750" s="127"/>
      <c r="S750" s="127"/>
      <c r="T750" s="127"/>
      <c r="U750" s="127"/>
      <c r="V750" s="127"/>
      <c r="W750" s="127"/>
      <c r="X750" s="127"/>
      <c r="Y750" s="127"/>
      <c r="Z750" s="127"/>
    </row>
    <row r="751" customFormat="false" ht="15.75" hidden="false" customHeight="false" outlineLevel="0" collapsed="false">
      <c r="A751" s="127"/>
      <c r="B751" s="127"/>
      <c r="C751" s="127"/>
      <c r="D751" s="127"/>
      <c r="E751" s="127"/>
      <c r="F751" s="127"/>
      <c r="G751" s="127"/>
      <c r="H751" s="127"/>
      <c r="I751" s="127"/>
      <c r="J751" s="127"/>
      <c r="K751" s="127"/>
      <c r="L751" s="127"/>
      <c r="M751" s="127"/>
      <c r="N751" s="127"/>
      <c r="O751" s="127"/>
      <c r="P751" s="127"/>
      <c r="Q751" s="127"/>
      <c r="R751" s="127"/>
      <c r="S751" s="127"/>
      <c r="T751" s="127"/>
      <c r="U751" s="127"/>
      <c r="V751" s="127"/>
      <c r="W751" s="127"/>
      <c r="X751" s="127"/>
      <c r="Y751" s="127"/>
      <c r="Z751" s="127"/>
    </row>
    <row r="752" customFormat="false" ht="15.75" hidden="false" customHeight="false" outlineLevel="0" collapsed="false">
      <c r="A752" s="127"/>
      <c r="B752" s="127"/>
      <c r="C752" s="127"/>
      <c r="D752" s="127"/>
      <c r="E752" s="127"/>
      <c r="F752" s="127"/>
      <c r="G752" s="127"/>
      <c r="H752" s="127"/>
      <c r="I752" s="127"/>
      <c r="J752" s="127"/>
      <c r="K752" s="127"/>
      <c r="L752" s="127"/>
      <c r="M752" s="127"/>
      <c r="N752" s="127"/>
      <c r="O752" s="127"/>
      <c r="P752" s="127"/>
      <c r="Q752" s="127"/>
      <c r="R752" s="127"/>
      <c r="S752" s="127"/>
      <c r="T752" s="127"/>
      <c r="U752" s="127"/>
      <c r="V752" s="127"/>
      <c r="W752" s="127"/>
      <c r="X752" s="127"/>
      <c r="Y752" s="127"/>
      <c r="Z752" s="127"/>
    </row>
    <row r="753" customFormat="false" ht="15.75" hidden="false" customHeight="false" outlineLevel="0" collapsed="false">
      <c r="A753" s="127"/>
      <c r="B753" s="127"/>
      <c r="C753" s="127"/>
      <c r="D753" s="127"/>
      <c r="E753" s="127"/>
      <c r="F753" s="127"/>
      <c r="G753" s="127"/>
      <c r="H753" s="127"/>
      <c r="I753" s="127"/>
      <c r="J753" s="127"/>
      <c r="K753" s="127"/>
      <c r="L753" s="127"/>
      <c r="M753" s="127"/>
      <c r="N753" s="127"/>
      <c r="O753" s="127"/>
      <c r="P753" s="127"/>
      <c r="Q753" s="127"/>
      <c r="R753" s="127"/>
      <c r="S753" s="127"/>
      <c r="T753" s="127"/>
      <c r="U753" s="127"/>
      <c r="V753" s="127"/>
      <c r="W753" s="127"/>
      <c r="X753" s="127"/>
      <c r="Y753" s="127"/>
      <c r="Z753" s="127"/>
    </row>
    <row r="754" customFormat="false" ht="15.75" hidden="false" customHeight="false" outlineLevel="0" collapsed="false">
      <c r="A754" s="127"/>
      <c r="B754" s="127"/>
      <c r="C754" s="127"/>
      <c r="D754" s="127"/>
      <c r="E754" s="127"/>
      <c r="F754" s="127"/>
      <c r="G754" s="127"/>
      <c r="H754" s="127"/>
      <c r="I754" s="127"/>
      <c r="J754" s="127"/>
      <c r="K754" s="127"/>
      <c r="L754" s="127"/>
      <c r="M754" s="127"/>
      <c r="N754" s="127"/>
      <c r="O754" s="127"/>
      <c r="P754" s="127"/>
      <c r="Q754" s="127"/>
      <c r="R754" s="127"/>
      <c r="S754" s="127"/>
      <c r="T754" s="127"/>
      <c r="U754" s="127"/>
      <c r="V754" s="127"/>
      <c r="W754" s="127"/>
      <c r="X754" s="127"/>
      <c r="Y754" s="127"/>
      <c r="Z754" s="127"/>
    </row>
    <row r="755" customFormat="false" ht="15.75" hidden="false" customHeight="false" outlineLevel="0" collapsed="false">
      <c r="A755" s="127"/>
      <c r="B755" s="127"/>
      <c r="C755" s="127"/>
      <c r="D755" s="127"/>
      <c r="E755" s="127"/>
      <c r="F755" s="127"/>
      <c r="G755" s="127"/>
      <c r="H755" s="127"/>
      <c r="I755" s="127"/>
      <c r="J755" s="127"/>
      <c r="K755" s="127"/>
      <c r="L755" s="127"/>
      <c r="M755" s="127"/>
      <c r="N755" s="127"/>
      <c r="O755" s="127"/>
      <c r="P755" s="127"/>
      <c r="Q755" s="127"/>
      <c r="R755" s="127"/>
      <c r="S755" s="127"/>
      <c r="T755" s="127"/>
      <c r="U755" s="127"/>
      <c r="V755" s="127"/>
      <c r="W755" s="127"/>
      <c r="X755" s="127"/>
      <c r="Y755" s="127"/>
      <c r="Z755" s="127"/>
    </row>
    <row r="756" customFormat="false" ht="15.75" hidden="false" customHeight="false" outlineLevel="0" collapsed="false">
      <c r="A756" s="127"/>
      <c r="B756" s="127"/>
      <c r="C756" s="127"/>
      <c r="D756" s="127"/>
      <c r="E756" s="127"/>
      <c r="F756" s="127"/>
      <c r="G756" s="127"/>
      <c r="H756" s="127"/>
      <c r="I756" s="127"/>
      <c r="J756" s="127"/>
      <c r="K756" s="127"/>
      <c r="L756" s="127"/>
      <c r="M756" s="127"/>
      <c r="N756" s="127"/>
      <c r="O756" s="127"/>
      <c r="P756" s="127"/>
      <c r="Q756" s="127"/>
      <c r="R756" s="127"/>
      <c r="S756" s="127"/>
      <c r="T756" s="127"/>
      <c r="U756" s="127"/>
      <c r="V756" s="127"/>
      <c r="W756" s="127"/>
      <c r="X756" s="127"/>
      <c r="Y756" s="127"/>
      <c r="Z756" s="127"/>
    </row>
    <row r="757" customFormat="false" ht="15.75" hidden="false" customHeight="false" outlineLevel="0" collapsed="false">
      <c r="A757" s="127"/>
      <c r="B757" s="127"/>
      <c r="C757" s="127"/>
      <c r="D757" s="127"/>
      <c r="E757" s="127"/>
      <c r="F757" s="127"/>
      <c r="G757" s="127"/>
      <c r="H757" s="127"/>
      <c r="I757" s="127"/>
      <c r="J757" s="127"/>
      <c r="K757" s="127"/>
      <c r="L757" s="127"/>
      <c r="M757" s="127"/>
      <c r="N757" s="127"/>
      <c r="O757" s="127"/>
      <c r="P757" s="127"/>
      <c r="Q757" s="127"/>
      <c r="R757" s="127"/>
      <c r="S757" s="127"/>
      <c r="T757" s="127"/>
      <c r="U757" s="127"/>
      <c r="V757" s="127"/>
      <c r="W757" s="127"/>
      <c r="X757" s="127"/>
      <c r="Y757" s="127"/>
      <c r="Z757" s="127"/>
    </row>
    <row r="758" customFormat="false" ht="15.75" hidden="false" customHeight="false" outlineLevel="0" collapsed="false">
      <c r="A758" s="127"/>
      <c r="B758" s="127"/>
      <c r="C758" s="127"/>
      <c r="D758" s="127"/>
      <c r="E758" s="127"/>
      <c r="F758" s="127"/>
      <c r="G758" s="127"/>
      <c r="H758" s="127"/>
      <c r="I758" s="127"/>
      <c r="J758" s="127"/>
      <c r="K758" s="127"/>
      <c r="L758" s="127"/>
      <c r="M758" s="127"/>
      <c r="N758" s="127"/>
      <c r="O758" s="127"/>
      <c r="P758" s="127"/>
      <c r="Q758" s="127"/>
      <c r="R758" s="127"/>
      <c r="S758" s="127"/>
      <c r="T758" s="127"/>
      <c r="U758" s="127"/>
      <c r="V758" s="127"/>
      <c r="W758" s="127"/>
      <c r="X758" s="127"/>
      <c r="Y758" s="127"/>
      <c r="Z758" s="127"/>
    </row>
    <row r="759" customFormat="false" ht="15.75" hidden="false" customHeight="false" outlineLevel="0" collapsed="false">
      <c r="A759" s="127"/>
      <c r="B759" s="127"/>
      <c r="C759" s="127"/>
      <c r="D759" s="127"/>
      <c r="E759" s="127"/>
      <c r="F759" s="127"/>
      <c r="G759" s="127"/>
      <c r="H759" s="127"/>
      <c r="I759" s="127"/>
      <c r="J759" s="127"/>
      <c r="K759" s="127"/>
      <c r="L759" s="127"/>
      <c r="M759" s="127"/>
      <c r="N759" s="127"/>
      <c r="O759" s="127"/>
      <c r="P759" s="127"/>
      <c r="Q759" s="127"/>
      <c r="R759" s="127"/>
      <c r="S759" s="127"/>
      <c r="T759" s="127"/>
      <c r="U759" s="127"/>
      <c r="V759" s="127"/>
      <c r="W759" s="127"/>
      <c r="X759" s="127"/>
      <c r="Y759" s="127"/>
      <c r="Z759" s="127"/>
    </row>
    <row r="760" customFormat="false" ht="15.75" hidden="false" customHeight="false" outlineLevel="0" collapsed="false">
      <c r="A760" s="127"/>
      <c r="B760" s="127"/>
      <c r="C760" s="127"/>
      <c r="D760" s="127"/>
      <c r="E760" s="127"/>
      <c r="F760" s="127"/>
      <c r="G760" s="127"/>
      <c r="H760" s="127"/>
      <c r="I760" s="127"/>
      <c r="J760" s="127"/>
      <c r="K760" s="127"/>
      <c r="L760" s="127"/>
      <c r="M760" s="127"/>
      <c r="N760" s="127"/>
      <c r="O760" s="127"/>
      <c r="P760" s="127"/>
      <c r="Q760" s="127"/>
      <c r="R760" s="127"/>
      <c r="S760" s="127"/>
      <c r="T760" s="127"/>
      <c r="U760" s="127"/>
      <c r="V760" s="127"/>
      <c r="W760" s="127"/>
      <c r="X760" s="127"/>
      <c r="Y760" s="127"/>
      <c r="Z760" s="127"/>
    </row>
    <row r="761" customFormat="false" ht="15.75" hidden="false" customHeight="false" outlineLevel="0" collapsed="false">
      <c r="A761" s="127"/>
      <c r="B761" s="127"/>
      <c r="C761" s="127"/>
      <c r="D761" s="127"/>
      <c r="E761" s="127"/>
      <c r="F761" s="127"/>
      <c r="G761" s="127"/>
      <c r="H761" s="127"/>
      <c r="I761" s="127"/>
      <c r="J761" s="127"/>
      <c r="K761" s="127"/>
      <c r="L761" s="127"/>
      <c r="M761" s="127"/>
      <c r="N761" s="127"/>
      <c r="O761" s="127"/>
      <c r="P761" s="127"/>
      <c r="Q761" s="127"/>
      <c r="R761" s="127"/>
      <c r="S761" s="127"/>
      <c r="T761" s="127"/>
      <c r="U761" s="127"/>
      <c r="V761" s="127"/>
      <c r="W761" s="127"/>
      <c r="X761" s="127"/>
      <c r="Y761" s="127"/>
      <c r="Z761" s="127"/>
    </row>
    <row r="762" customFormat="false" ht="15.75" hidden="false" customHeight="false" outlineLevel="0" collapsed="false">
      <c r="A762" s="127"/>
      <c r="B762" s="127"/>
      <c r="C762" s="127"/>
      <c r="D762" s="127"/>
      <c r="E762" s="127"/>
      <c r="F762" s="127"/>
      <c r="G762" s="127"/>
      <c r="H762" s="127"/>
      <c r="I762" s="127"/>
      <c r="J762" s="127"/>
      <c r="K762" s="127"/>
      <c r="L762" s="127"/>
      <c r="M762" s="127"/>
      <c r="N762" s="127"/>
      <c r="O762" s="127"/>
      <c r="P762" s="127"/>
      <c r="Q762" s="127"/>
      <c r="R762" s="127"/>
      <c r="S762" s="127"/>
      <c r="T762" s="127"/>
      <c r="U762" s="127"/>
      <c r="V762" s="127"/>
      <c r="W762" s="127"/>
      <c r="X762" s="127"/>
      <c r="Y762" s="127"/>
      <c r="Z762" s="127"/>
    </row>
    <row r="763" customFormat="false" ht="15.75" hidden="false" customHeight="false" outlineLevel="0" collapsed="false">
      <c r="A763" s="127"/>
      <c r="B763" s="127"/>
      <c r="C763" s="127"/>
      <c r="D763" s="127"/>
      <c r="E763" s="127"/>
      <c r="F763" s="127"/>
      <c r="G763" s="127"/>
      <c r="H763" s="127"/>
      <c r="I763" s="127"/>
      <c r="J763" s="127"/>
      <c r="K763" s="127"/>
      <c r="L763" s="127"/>
      <c r="M763" s="127"/>
      <c r="N763" s="127"/>
      <c r="O763" s="127"/>
      <c r="P763" s="127"/>
      <c r="Q763" s="127"/>
      <c r="R763" s="127"/>
      <c r="S763" s="127"/>
      <c r="T763" s="127"/>
      <c r="U763" s="127"/>
      <c r="V763" s="127"/>
      <c r="W763" s="127"/>
      <c r="X763" s="127"/>
      <c r="Y763" s="127"/>
      <c r="Z763" s="127"/>
    </row>
    <row r="764" customFormat="false" ht="15.75" hidden="false" customHeight="false" outlineLevel="0" collapsed="false">
      <c r="A764" s="127"/>
      <c r="B764" s="127"/>
      <c r="C764" s="127"/>
      <c r="D764" s="127"/>
      <c r="E764" s="127"/>
      <c r="F764" s="127"/>
      <c r="G764" s="127"/>
      <c r="H764" s="127"/>
      <c r="I764" s="127"/>
      <c r="J764" s="127"/>
      <c r="K764" s="127"/>
      <c r="L764" s="127"/>
      <c r="M764" s="127"/>
      <c r="N764" s="127"/>
      <c r="O764" s="127"/>
      <c r="P764" s="127"/>
      <c r="Q764" s="127"/>
      <c r="R764" s="127"/>
      <c r="S764" s="127"/>
      <c r="T764" s="127"/>
      <c r="U764" s="127"/>
      <c r="V764" s="127"/>
      <c r="W764" s="127"/>
      <c r="X764" s="127"/>
      <c r="Y764" s="127"/>
      <c r="Z764" s="127"/>
    </row>
    <row r="765" customFormat="false" ht="15.75" hidden="false" customHeight="false" outlineLevel="0" collapsed="false">
      <c r="A765" s="127"/>
      <c r="B765" s="127"/>
      <c r="C765" s="127"/>
      <c r="D765" s="127"/>
      <c r="E765" s="127"/>
      <c r="F765" s="127"/>
      <c r="G765" s="127"/>
      <c r="H765" s="127"/>
      <c r="I765" s="127"/>
      <c r="J765" s="127"/>
      <c r="K765" s="127"/>
      <c r="L765" s="127"/>
      <c r="M765" s="127"/>
      <c r="N765" s="127"/>
      <c r="O765" s="127"/>
      <c r="P765" s="127"/>
      <c r="Q765" s="127"/>
      <c r="R765" s="127"/>
      <c r="S765" s="127"/>
      <c r="T765" s="127"/>
      <c r="U765" s="127"/>
      <c r="V765" s="127"/>
      <c r="W765" s="127"/>
      <c r="X765" s="127"/>
      <c r="Y765" s="127"/>
      <c r="Z765" s="127"/>
    </row>
    <row r="766" customFormat="false" ht="15.75" hidden="false" customHeight="false" outlineLevel="0" collapsed="false">
      <c r="A766" s="127"/>
      <c r="B766" s="127"/>
      <c r="C766" s="127"/>
      <c r="D766" s="127"/>
      <c r="E766" s="127"/>
      <c r="F766" s="127"/>
      <c r="G766" s="127"/>
      <c r="H766" s="127"/>
      <c r="I766" s="127"/>
      <c r="J766" s="127"/>
      <c r="K766" s="127"/>
      <c r="L766" s="127"/>
      <c r="M766" s="127"/>
      <c r="N766" s="127"/>
      <c r="O766" s="127"/>
      <c r="P766" s="127"/>
      <c r="Q766" s="127"/>
      <c r="R766" s="127"/>
      <c r="S766" s="127"/>
      <c r="T766" s="127"/>
      <c r="U766" s="127"/>
      <c r="V766" s="127"/>
      <c r="W766" s="127"/>
      <c r="X766" s="127"/>
      <c r="Y766" s="127"/>
      <c r="Z766" s="127"/>
    </row>
    <row r="767" customFormat="false" ht="15.75" hidden="false" customHeight="false" outlineLevel="0" collapsed="false">
      <c r="A767" s="127"/>
      <c r="B767" s="127"/>
      <c r="C767" s="127"/>
      <c r="D767" s="127"/>
      <c r="E767" s="127"/>
      <c r="F767" s="127"/>
      <c r="G767" s="127"/>
      <c r="H767" s="127"/>
      <c r="I767" s="127"/>
      <c r="J767" s="127"/>
      <c r="K767" s="127"/>
      <c r="L767" s="127"/>
      <c r="M767" s="127"/>
      <c r="N767" s="127"/>
      <c r="O767" s="127"/>
      <c r="P767" s="127"/>
      <c r="Q767" s="127"/>
      <c r="R767" s="127"/>
      <c r="S767" s="127"/>
      <c r="T767" s="127"/>
      <c r="U767" s="127"/>
      <c r="V767" s="127"/>
      <c r="W767" s="127"/>
      <c r="X767" s="127"/>
      <c r="Y767" s="127"/>
      <c r="Z767" s="127"/>
    </row>
    <row r="768" customFormat="false" ht="15.75" hidden="false" customHeight="false" outlineLevel="0" collapsed="false">
      <c r="A768" s="127"/>
      <c r="B768" s="127"/>
      <c r="C768" s="127"/>
      <c r="D768" s="127"/>
      <c r="E768" s="127"/>
      <c r="F768" s="127"/>
      <c r="G768" s="127"/>
      <c r="H768" s="127"/>
      <c r="I768" s="127"/>
      <c r="J768" s="127"/>
      <c r="K768" s="127"/>
      <c r="L768" s="127"/>
      <c r="M768" s="127"/>
      <c r="N768" s="127"/>
      <c r="O768" s="127"/>
      <c r="P768" s="127"/>
      <c r="Q768" s="127"/>
      <c r="R768" s="127"/>
      <c r="S768" s="127"/>
      <c r="T768" s="127"/>
      <c r="U768" s="127"/>
      <c r="V768" s="127"/>
      <c r="W768" s="127"/>
      <c r="X768" s="127"/>
      <c r="Y768" s="127"/>
      <c r="Z768" s="127"/>
    </row>
    <row r="769" customFormat="false" ht="15.75" hidden="false" customHeight="false" outlineLevel="0" collapsed="false">
      <c r="A769" s="127"/>
      <c r="B769" s="127"/>
      <c r="C769" s="127"/>
      <c r="D769" s="127"/>
      <c r="E769" s="127"/>
      <c r="F769" s="127"/>
      <c r="G769" s="127"/>
      <c r="H769" s="127"/>
      <c r="I769" s="127"/>
      <c r="J769" s="127"/>
      <c r="K769" s="127"/>
      <c r="L769" s="127"/>
      <c r="M769" s="127"/>
      <c r="N769" s="127"/>
      <c r="O769" s="127"/>
      <c r="P769" s="127"/>
      <c r="Q769" s="127"/>
      <c r="R769" s="127"/>
      <c r="S769" s="127"/>
      <c r="T769" s="127"/>
      <c r="U769" s="127"/>
      <c r="V769" s="127"/>
      <c r="W769" s="127"/>
      <c r="X769" s="127"/>
      <c r="Y769" s="127"/>
      <c r="Z769" s="127"/>
    </row>
    <row r="770" customFormat="false" ht="15.75" hidden="false" customHeight="false" outlineLevel="0" collapsed="false">
      <c r="A770" s="127"/>
      <c r="B770" s="127"/>
      <c r="C770" s="127"/>
      <c r="D770" s="127"/>
      <c r="E770" s="127"/>
      <c r="F770" s="127"/>
      <c r="G770" s="127"/>
      <c r="H770" s="127"/>
      <c r="I770" s="127"/>
      <c r="J770" s="127"/>
      <c r="K770" s="127"/>
      <c r="L770" s="127"/>
      <c r="M770" s="127"/>
      <c r="N770" s="127"/>
      <c r="O770" s="127"/>
      <c r="P770" s="127"/>
      <c r="Q770" s="127"/>
      <c r="R770" s="127"/>
      <c r="S770" s="127"/>
      <c r="T770" s="127"/>
      <c r="U770" s="127"/>
      <c r="V770" s="127"/>
      <c r="W770" s="127"/>
      <c r="X770" s="127"/>
      <c r="Y770" s="127"/>
      <c r="Z770" s="127"/>
    </row>
    <row r="771" customFormat="false" ht="15.75" hidden="false" customHeight="false" outlineLevel="0" collapsed="false">
      <c r="A771" s="127"/>
      <c r="B771" s="127"/>
      <c r="C771" s="127"/>
      <c r="D771" s="127"/>
      <c r="E771" s="127"/>
      <c r="F771" s="127"/>
      <c r="G771" s="127"/>
      <c r="H771" s="127"/>
      <c r="I771" s="127"/>
      <c r="J771" s="127"/>
      <c r="K771" s="127"/>
      <c r="L771" s="127"/>
      <c r="M771" s="127"/>
      <c r="N771" s="127"/>
      <c r="O771" s="127"/>
      <c r="P771" s="127"/>
      <c r="Q771" s="127"/>
      <c r="R771" s="127"/>
      <c r="S771" s="127"/>
      <c r="T771" s="127"/>
      <c r="U771" s="127"/>
      <c r="V771" s="127"/>
      <c r="W771" s="127"/>
      <c r="X771" s="127"/>
      <c r="Y771" s="127"/>
      <c r="Z771" s="127"/>
    </row>
    <row r="772" customFormat="false" ht="15.75" hidden="false" customHeight="false" outlineLevel="0" collapsed="false">
      <c r="A772" s="127"/>
      <c r="B772" s="127"/>
      <c r="C772" s="127"/>
      <c r="D772" s="127"/>
      <c r="E772" s="127"/>
      <c r="F772" s="127"/>
      <c r="G772" s="127"/>
      <c r="H772" s="127"/>
      <c r="I772" s="127"/>
      <c r="J772" s="127"/>
      <c r="K772" s="127"/>
      <c r="L772" s="127"/>
      <c r="M772" s="127"/>
      <c r="N772" s="127"/>
      <c r="O772" s="127"/>
      <c r="P772" s="127"/>
      <c r="Q772" s="127"/>
      <c r="R772" s="127"/>
      <c r="S772" s="127"/>
      <c r="T772" s="127"/>
      <c r="U772" s="127"/>
      <c r="V772" s="127"/>
      <c r="W772" s="127"/>
      <c r="X772" s="127"/>
      <c r="Y772" s="127"/>
      <c r="Z772" s="127"/>
    </row>
    <row r="773" customFormat="false" ht="15.75" hidden="false" customHeight="false" outlineLevel="0" collapsed="false">
      <c r="A773" s="127"/>
      <c r="B773" s="127"/>
      <c r="C773" s="127"/>
      <c r="D773" s="127"/>
      <c r="E773" s="127"/>
      <c r="F773" s="127"/>
      <c r="G773" s="127"/>
      <c r="H773" s="127"/>
      <c r="I773" s="127"/>
      <c r="J773" s="127"/>
      <c r="K773" s="127"/>
      <c r="L773" s="127"/>
      <c r="M773" s="127"/>
      <c r="N773" s="127"/>
      <c r="O773" s="127"/>
      <c r="P773" s="127"/>
      <c r="Q773" s="127"/>
      <c r="R773" s="127"/>
      <c r="S773" s="127"/>
      <c r="T773" s="127"/>
      <c r="U773" s="127"/>
      <c r="V773" s="127"/>
      <c r="W773" s="127"/>
      <c r="X773" s="127"/>
      <c r="Y773" s="127"/>
      <c r="Z773" s="127"/>
    </row>
    <row r="774" customFormat="false" ht="15.75" hidden="false" customHeight="false" outlineLevel="0" collapsed="false">
      <c r="A774" s="127"/>
      <c r="B774" s="127"/>
      <c r="C774" s="127"/>
      <c r="D774" s="127"/>
      <c r="E774" s="127"/>
      <c r="F774" s="127"/>
      <c r="G774" s="127"/>
      <c r="H774" s="127"/>
      <c r="I774" s="127"/>
      <c r="J774" s="127"/>
      <c r="K774" s="127"/>
      <c r="L774" s="127"/>
      <c r="M774" s="127"/>
      <c r="N774" s="127"/>
      <c r="O774" s="127"/>
      <c r="P774" s="127"/>
      <c r="Q774" s="127"/>
      <c r="R774" s="127"/>
      <c r="S774" s="127"/>
      <c r="T774" s="127"/>
      <c r="U774" s="127"/>
      <c r="V774" s="127"/>
      <c r="W774" s="127"/>
      <c r="X774" s="127"/>
      <c r="Y774" s="127"/>
      <c r="Z774" s="127"/>
    </row>
    <row r="775" customFormat="false" ht="15.75" hidden="false" customHeight="false" outlineLevel="0" collapsed="false">
      <c r="A775" s="127"/>
      <c r="B775" s="127"/>
      <c r="C775" s="127"/>
      <c r="D775" s="127"/>
      <c r="E775" s="127"/>
      <c r="F775" s="127"/>
      <c r="G775" s="127"/>
      <c r="H775" s="127"/>
      <c r="I775" s="127"/>
      <c r="J775" s="127"/>
      <c r="K775" s="127"/>
      <c r="L775" s="127"/>
      <c r="M775" s="127"/>
      <c r="N775" s="127"/>
      <c r="O775" s="127"/>
      <c r="P775" s="127"/>
      <c r="Q775" s="127"/>
      <c r="R775" s="127"/>
      <c r="S775" s="127"/>
      <c r="T775" s="127"/>
      <c r="U775" s="127"/>
      <c r="V775" s="127"/>
      <c r="W775" s="127"/>
      <c r="X775" s="127"/>
      <c r="Y775" s="127"/>
      <c r="Z775" s="127"/>
    </row>
    <row r="776" customFormat="false" ht="15.75" hidden="false" customHeight="false" outlineLevel="0" collapsed="false">
      <c r="A776" s="127"/>
      <c r="B776" s="127"/>
      <c r="C776" s="127"/>
      <c r="D776" s="127"/>
      <c r="E776" s="127"/>
      <c r="F776" s="127"/>
      <c r="G776" s="127"/>
      <c r="H776" s="127"/>
      <c r="I776" s="127"/>
      <c r="J776" s="127"/>
      <c r="K776" s="127"/>
      <c r="L776" s="127"/>
      <c r="M776" s="127"/>
      <c r="N776" s="127"/>
      <c r="O776" s="127"/>
      <c r="P776" s="127"/>
      <c r="Q776" s="127"/>
      <c r="R776" s="127"/>
      <c r="S776" s="127"/>
      <c r="T776" s="127"/>
      <c r="U776" s="127"/>
      <c r="V776" s="127"/>
      <c r="W776" s="127"/>
      <c r="X776" s="127"/>
      <c r="Y776" s="127"/>
      <c r="Z776" s="127"/>
    </row>
    <row r="777" customFormat="false" ht="15.75" hidden="false" customHeight="false" outlineLevel="0" collapsed="false">
      <c r="A777" s="127"/>
      <c r="B777" s="127"/>
      <c r="C777" s="127"/>
      <c r="D777" s="127"/>
      <c r="E777" s="127"/>
      <c r="F777" s="127"/>
      <c r="G777" s="127"/>
      <c r="H777" s="127"/>
      <c r="I777" s="127"/>
      <c r="J777" s="127"/>
      <c r="K777" s="127"/>
      <c r="L777" s="127"/>
      <c r="M777" s="127"/>
      <c r="N777" s="127"/>
      <c r="O777" s="127"/>
      <c r="P777" s="127"/>
      <c r="Q777" s="127"/>
      <c r="R777" s="127"/>
      <c r="S777" s="127"/>
      <c r="T777" s="127"/>
      <c r="U777" s="127"/>
      <c r="V777" s="127"/>
      <c r="W777" s="127"/>
      <c r="X777" s="127"/>
      <c r="Y777" s="127"/>
      <c r="Z777" s="127"/>
    </row>
    <row r="778" customFormat="false" ht="15.75" hidden="false" customHeight="false" outlineLevel="0" collapsed="false">
      <c r="A778" s="127"/>
      <c r="B778" s="127"/>
      <c r="C778" s="127"/>
      <c r="D778" s="127"/>
      <c r="E778" s="127"/>
      <c r="F778" s="127"/>
      <c r="G778" s="127"/>
      <c r="H778" s="127"/>
      <c r="I778" s="127"/>
      <c r="J778" s="127"/>
      <c r="K778" s="127"/>
      <c r="L778" s="127"/>
      <c r="M778" s="127"/>
      <c r="N778" s="127"/>
      <c r="O778" s="127"/>
      <c r="P778" s="127"/>
      <c r="Q778" s="127"/>
      <c r="R778" s="127"/>
      <c r="S778" s="127"/>
      <c r="T778" s="127"/>
      <c r="U778" s="127"/>
      <c r="V778" s="127"/>
      <c r="W778" s="127"/>
      <c r="X778" s="127"/>
      <c r="Y778" s="127"/>
      <c r="Z778" s="127"/>
    </row>
    <row r="779" customFormat="false" ht="15.75" hidden="false" customHeight="false" outlineLevel="0" collapsed="false">
      <c r="A779" s="127"/>
      <c r="B779" s="127"/>
      <c r="C779" s="127"/>
      <c r="D779" s="127"/>
      <c r="E779" s="127"/>
      <c r="F779" s="127"/>
      <c r="G779" s="127"/>
      <c r="H779" s="127"/>
      <c r="I779" s="127"/>
      <c r="J779" s="127"/>
      <c r="K779" s="127"/>
      <c r="L779" s="127"/>
      <c r="M779" s="127"/>
      <c r="N779" s="127"/>
      <c r="O779" s="127"/>
      <c r="P779" s="127"/>
      <c r="Q779" s="127"/>
      <c r="R779" s="127"/>
      <c r="S779" s="127"/>
      <c r="T779" s="127"/>
      <c r="U779" s="127"/>
      <c r="V779" s="127"/>
      <c r="W779" s="127"/>
      <c r="X779" s="127"/>
      <c r="Y779" s="127"/>
      <c r="Z779" s="127"/>
    </row>
    <row r="780" customFormat="false" ht="15.75" hidden="false" customHeight="false" outlineLevel="0" collapsed="false">
      <c r="A780" s="127"/>
      <c r="B780" s="127"/>
      <c r="C780" s="127"/>
      <c r="D780" s="127"/>
      <c r="E780" s="127"/>
      <c r="F780" s="127"/>
      <c r="G780" s="127"/>
      <c r="H780" s="127"/>
      <c r="I780" s="127"/>
      <c r="J780" s="127"/>
      <c r="K780" s="127"/>
      <c r="L780" s="127"/>
      <c r="M780" s="127"/>
      <c r="N780" s="127"/>
      <c r="O780" s="127"/>
      <c r="P780" s="127"/>
      <c r="Q780" s="127"/>
      <c r="R780" s="127"/>
      <c r="S780" s="127"/>
      <c r="T780" s="127"/>
      <c r="U780" s="127"/>
      <c r="V780" s="127"/>
      <c r="W780" s="127"/>
      <c r="X780" s="127"/>
      <c r="Y780" s="127"/>
      <c r="Z780" s="127"/>
    </row>
    <row r="781" customFormat="false" ht="15.75" hidden="false" customHeight="false" outlineLevel="0" collapsed="false">
      <c r="A781" s="127"/>
      <c r="B781" s="127"/>
      <c r="C781" s="127"/>
      <c r="D781" s="127"/>
      <c r="E781" s="127"/>
      <c r="F781" s="127"/>
      <c r="G781" s="127"/>
      <c r="H781" s="127"/>
      <c r="I781" s="127"/>
      <c r="J781" s="127"/>
      <c r="K781" s="127"/>
      <c r="L781" s="127"/>
      <c r="M781" s="127"/>
      <c r="N781" s="127"/>
      <c r="O781" s="127"/>
      <c r="P781" s="127"/>
      <c r="Q781" s="127"/>
      <c r="R781" s="127"/>
      <c r="S781" s="127"/>
      <c r="T781" s="127"/>
      <c r="U781" s="127"/>
      <c r="V781" s="127"/>
      <c r="W781" s="127"/>
      <c r="X781" s="127"/>
      <c r="Y781" s="127"/>
      <c r="Z781" s="127"/>
    </row>
    <row r="782" customFormat="false" ht="15.75" hidden="false" customHeight="false" outlineLevel="0" collapsed="false">
      <c r="A782" s="127"/>
      <c r="B782" s="127"/>
      <c r="C782" s="127"/>
      <c r="D782" s="127"/>
      <c r="E782" s="127"/>
      <c r="F782" s="127"/>
      <c r="G782" s="127"/>
      <c r="H782" s="127"/>
      <c r="I782" s="127"/>
      <c r="J782" s="127"/>
      <c r="K782" s="127"/>
      <c r="L782" s="127"/>
      <c r="M782" s="127"/>
      <c r="N782" s="127"/>
      <c r="O782" s="127"/>
      <c r="P782" s="127"/>
      <c r="Q782" s="127"/>
      <c r="R782" s="127"/>
      <c r="S782" s="127"/>
      <c r="T782" s="127"/>
      <c r="U782" s="127"/>
      <c r="V782" s="127"/>
      <c r="W782" s="127"/>
      <c r="X782" s="127"/>
      <c r="Y782" s="127"/>
      <c r="Z782" s="127"/>
    </row>
    <row r="783" customFormat="false" ht="15.75" hidden="false" customHeight="false" outlineLevel="0" collapsed="false">
      <c r="A783" s="127"/>
      <c r="B783" s="127"/>
      <c r="C783" s="127"/>
      <c r="D783" s="127"/>
      <c r="E783" s="127"/>
      <c r="F783" s="127"/>
      <c r="G783" s="127"/>
      <c r="H783" s="127"/>
      <c r="I783" s="127"/>
      <c r="J783" s="127"/>
      <c r="K783" s="127"/>
      <c r="L783" s="127"/>
      <c r="M783" s="127"/>
      <c r="N783" s="127"/>
      <c r="O783" s="127"/>
      <c r="P783" s="127"/>
      <c r="Q783" s="127"/>
      <c r="R783" s="127"/>
      <c r="S783" s="127"/>
      <c r="T783" s="127"/>
      <c r="U783" s="127"/>
      <c r="V783" s="127"/>
      <c r="W783" s="127"/>
      <c r="X783" s="127"/>
      <c r="Y783" s="127"/>
      <c r="Z783" s="127"/>
    </row>
    <row r="784" customFormat="false" ht="15.75" hidden="false" customHeight="false" outlineLevel="0" collapsed="false">
      <c r="A784" s="127"/>
      <c r="B784" s="127"/>
      <c r="C784" s="127"/>
      <c r="D784" s="127"/>
      <c r="E784" s="127"/>
      <c r="F784" s="127"/>
      <c r="G784" s="127"/>
      <c r="H784" s="127"/>
      <c r="I784" s="127"/>
      <c r="J784" s="127"/>
      <c r="K784" s="127"/>
      <c r="L784" s="127"/>
      <c r="M784" s="127"/>
      <c r="N784" s="127"/>
      <c r="O784" s="127"/>
      <c r="P784" s="127"/>
      <c r="Q784" s="127"/>
      <c r="R784" s="127"/>
      <c r="S784" s="127"/>
      <c r="T784" s="127"/>
      <c r="U784" s="127"/>
      <c r="V784" s="127"/>
      <c r="W784" s="127"/>
      <c r="X784" s="127"/>
      <c r="Y784" s="127"/>
      <c r="Z784" s="127"/>
    </row>
    <row r="785" customFormat="false" ht="15.75" hidden="false" customHeight="false" outlineLevel="0" collapsed="false">
      <c r="A785" s="127"/>
      <c r="B785" s="127"/>
      <c r="C785" s="127"/>
      <c r="D785" s="127"/>
      <c r="E785" s="127"/>
      <c r="F785" s="127"/>
      <c r="G785" s="127"/>
      <c r="H785" s="127"/>
      <c r="I785" s="127"/>
      <c r="J785" s="127"/>
      <c r="K785" s="127"/>
      <c r="L785" s="127"/>
      <c r="M785" s="127"/>
      <c r="N785" s="127"/>
      <c r="O785" s="127"/>
      <c r="P785" s="127"/>
      <c r="Q785" s="127"/>
      <c r="R785" s="127"/>
      <c r="S785" s="127"/>
      <c r="T785" s="127"/>
      <c r="U785" s="127"/>
      <c r="V785" s="127"/>
      <c r="W785" s="127"/>
      <c r="X785" s="127"/>
      <c r="Y785" s="127"/>
      <c r="Z785" s="127"/>
    </row>
    <row r="786" customFormat="false" ht="15.75" hidden="false" customHeight="false" outlineLevel="0" collapsed="false">
      <c r="A786" s="127"/>
      <c r="B786" s="127"/>
      <c r="C786" s="127"/>
      <c r="D786" s="127"/>
      <c r="E786" s="127"/>
      <c r="F786" s="127"/>
      <c r="G786" s="127"/>
      <c r="H786" s="127"/>
      <c r="I786" s="127"/>
      <c r="J786" s="127"/>
      <c r="K786" s="127"/>
      <c r="L786" s="127"/>
      <c r="M786" s="127"/>
      <c r="N786" s="127"/>
      <c r="O786" s="127"/>
      <c r="P786" s="127"/>
      <c r="Q786" s="127"/>
      <c r="R786" s="127"/>
      <c r="S786" s="127"/>
      <c r="T786" s="127"/>
      <c r="U786" s="127"/>
      <c r="V786" s="127"/>
      <c r="W786" s="127"/>
      <c r="X786" s="127"/>
      <c r="Y786" s="127"/>
      <c r="Z786" s="127"/>
    </row>
    <row r="787" customFormat="false" ht="15.75" hidden="false" customHeight="false" outlineLevel="0" collapsed="false">
      <c r="A787" s="127"/>
      <c r="B787" s="127"/>
      <c r="C787" s="127"/>
      <c r="D787" s="127"/>
      <c r="E787" s="127"/>
      <c r="F787" s="127"/>
      <c r="G787" s="127"/>
      <c r="H787" s="127"/>
      <c r="I787" s="127"/>
      <c r="J787" s="127"/>
      <c r="K787" s="127"/>
      <c r="L787" s="127"/>
      <c r="M787" s="127"/>
      <c r="N787" s="127"/>
      <c r="O787" s="127"/>
      <c r="P787" s="127"/>
      <c r="Q787" s="127"/>
      <c r="R787" s="127"/>
      <c r="S787" s="127"/>
      <c r="T787" s="127"/>
      <c r="U787" s="127"/>
      <c r="V787" s="127"/>
      <c r="W787" s="127"/>
      <c r="X787" s="127"/>
      <c r="Y787" s="127"/>
      <c r="Z787" s="127"/>
    </row>
    <row r="788" customFormat="false" ht="15.75" hidden="false" customHeight="false" outlineLevel="0" collapsed="false">
      <c r="A788" s="127"/>
      <c r="B788" s="127"/>
      <c r="C788" s="127"/>
      <c r="D788" s="127"/>
      <c r="E788" s="127"/>
      <c r="F788" s="127"/>
      <c r="G788" s="127"/>
      <c r="H788" s="127"/>
      <c r="I788" s="127"/>
      <c r="J788" s="127"/>
      <c r="K788" s="127"/>
      <c r="L788" s="127"/>
      <c r="M788" s="127"/>
      <c r="N788" s="127"/>
      <c r="O788" s="127"/>
      <c r="P788" s="127"/>
      <c r="Q788" s="127"/>
      <c r="R788" s="127"/>
      <c r="S788" s="127"/>
      <c r="T788" s="127"/>
      <c r="U788" s="127"/>
      <c r="V788" s="127"/>
      <c r="W788" s="127"/>
      <c r="X788" s="127"/>
      <c r="Y788" s="127"/>
      <c r="Z788" s="127"/>
    </row>
    <row r="789" customFormat="false" ht="15.75" hidden="false" customHeight="false" outlineLevel="0" collapsed="false">
      <c r="A789" s="127"/>
      <c r="B789" s="127"/>
      <c r="C789" s="127"/>
      <c r="D789" s="127"/>
      <c r="E789" s="127"/>
      <c r="F789" s="127"/>
      <c r="G789" s="127"/>
      <c r="H789" s="127"/>
      <c r="I789" s="127"/>
      <c r="J789" s="127"/>
      <c r="K789" s="127"/>
      <c r="L789" s="127"/>
      <c r="M789" s="127"/>
      <c r="N789" s="127"/>
      <c r="O789" s="127"/>
      <c r="P789" s="127"/>
      <c r="Q789" s="127"/>
      <c r="R789" s="127"/>
      <c r="S789" s="127"/>
      <c r="T789" s="127"/>
      <c r="U789" s="127"/>
      <c r="V789" s="127"/>
      <c r="W789" s="127"/>
      <c r="X789" s="127"/>
      <c r="Y789" s="127"/>
      <c r="Z789" s="127"/>
    </row>
    <row r="790" customFormat="false" ht="15.75" hidden="false" customHeight="false" outlineLevel="0" collapsed="false">
      <c r="A790" s="127"/>
      <c r="B790" s="127"/>
      <c r="C790" s="127"/>
      <c r="D790" s="127"/>
      <c r="E790" s="127"/>
      <c r="F790" s="127"/>
      <c r="G790" s="127"/>
      <c r="H790" s="127"/>
      <c r="I790" s="127"/>
      <c r="J790" s="127"/>
      <c r="K790" s="127"/>
      <c r="L790" s="127"/>
      <c r="M790" s="127"/>
      <c r="N790" s="127"/>
      <c r="O790" s="127"/>
      <c r="P790" s="127"/>
      <c r="Q790" s="127"/>
      <c r="R790" s="127"/>
      <c r="S790" s="127"/>
      <c r="T790" s="127"/>
      <c r="U790" s="127"/>
      <c r="V790" s="127"/>
      <c r="W790" s="127"/>
      <c r="X790" s="127"/>
      <c r="Y790" s="127"/>
      <c r="Z790" s="127"/>
    </row>
    <row r="791" customFormat="false" ht="15.75" hidden="false" customHeight="false" outlineLevel="0" collapsed="false">
      <c r="A791" s="127"/>
      <c r="B791" s="127"/>
      <c r="C791" s="127"/>
      <c r="D791" s="127"/>
      <c r="E791" s="127"/>
      <c r="F791" s="127"/>
      <c r="G791" s="127"/>
      <c r="H791" s="127"/>
      <c r="I791" s="127"/>
      <c r="J791" s="127"/>
      <c r="K791" s="127"/>
      <c r="L791" s="127"/>
      <c r="M791" s="127"/>
      <c r="N791" s="127"/>
      <c r="O791" s="127"/>
      <c r="P791" s="127"/>
      <c r="Q791" s="127"/>
      <c r="R791" s="127"/>
      <c r="S791" s="127"/>
      <c r="T791" s="127"/>
      <c r="U791" s="127"/>
      <c r="V791" s="127"/>
      <c r="W791" s="127"/>
      <c r="X791" s="127"/>
      <c r="Y791" s="127"/>
      <c r="Z791" s="127"/>
    </row>
    <row r="792" customFormat="false" ht="15.75" hidden="false" customHeight="false" outlineLevel="0" collapsed="false">
      <c r="A792" s="127"/>
      <c r="B792" s="127"/>
      <c r="C792" s="127"/>
      <c r="D792" s="127"/>
      <c r="E792" s="127"/>
      <c r="F792" s="127"/>
      <c r="G792" s="127"/>
      <c r="H792" s="127"/>
      <c r="I792" s="127"/>
      <c r="J792" s="127"/>
      <c r="K792" s="127"/>
      <c r="L792" s="127"/>
      <c r="M792" s="127"/>
      <c r="N792" s="127"/>
      <c r="O792" s="127"/>
      <c r="P792" s="127"/>
      <c r="Q792" s="127"/>
      <c r="R792" s="127"/>
      <c r="S792" s="127"/>
      <c r="T792" s="127"/>
      <c r="U792" s="127"/>
      <c r="V792" s="127"/>
      <c r="W792" s="127"/>
      <c r="X792" s="127"/>
      <c r="Y792" s="127"/>
      <c r="Z792" s="127"/>
    </row>
    <row r="793" customFormat="false" ht="15.75" hidden="false" customHeight="false" outlineLevel="0" collapsed="false">
      <c r="A793" s="127"/>
      <c r="B793" s="127"/>
      <c r="C793" s="127"/>
      <c r="D793" s="127"/>
      <c r="E793" s="127"/>
      <c r="F793" s="127"/>
      <c r="G793" s="127"/>
      <c r="H793" s="127"/>
      <c r="I793" s="127"/>
      <c r="J793" s="127"/>
      <c r="K793" s="127"/>
      <c r="L793" s="127"/>
      <c r="M793" s="127"/>
      <c r="N793" s="127"/>
      <c r="O793" s="127"/>
      <c r="P793" s="127"/>
      <c r="Q793" s="127"/>
      <c r="R793" s="127"/>
      <c r="S793" s="127"/>
      <c r="T793" s="127"/>
      <c r="U793" s="127"/>
      <c r="V793" s="127"/>
      <c r="W793" s="127"/>
      <c r="X793" s="127"/>
      <c r="Y793" s="127"/>
      <c r="Z793" s="127"/>
    </row>
    <row r="794" customFormat="false" ht="15.75" hidden="false" customHeight="false" outlineLevel="0" collapsed="false">
      <c r="A794" s="127"/>
      <c r="B794" s="127"/>
      <c r="C794" s="127"/>
      <c r="D794" s="127"/>
      <c r="E794" s="127"/>
      <c r="F794" s="127"/>
      <c r="G794" s="127"/>
      <c r="H794" s="127"/>
      <c r="I794" s="127"/>
      <c r="J794" s="127"/>
      <c r="K794" s="127"/>
      <c r="L794" s="127"/>
      <c r="M794" s="127"/>
      <c r="N794" s="127"/>
      <c r="O794" s="127"/>
      <c r="P794" s="127"/>
      <c r="Q794" s="127"/>
      <c r="R794" s="127"/>
      <c r="S794" s="127"/>
      <c r="T794" s="127"/>
      <c r="U794" s="127"/>
      <c r="V794" s="127"/>
      <c r="W794" s="127"/>
      <c r="X794" s="127"/>
      <c r="Y794" s="127"/>
      <c r="Z794" s="127"/>
    </row>
    <row r="795" customFormat="false" ht="15.75" hidden="false" customHeight="false" outlineLevel="0" collapsed="false">
      <c r="A795" s="127"/>
      <c r="B795" s="127"/>
      <c r="C795" s="127"/>
      <c r="D795" s="127"/>
      <c r="E795" s="127"/>
      <c r="F795" s="127"/>
      <c r="G795" s="127"/>
      <c r="H795" s="127"/>
      <c r="I795" s="127"/>
      <c r="J795" s="127"/>
      <c r="K795" s="127"/>
      <c r="L795" s="127"/>
      <c r="M795" s="127"/>
      <c r="N795" s="127"/>
      <c r="O795" s="127"/>
      <c r="P795" s="127"/>
      <c r="Q795" s="127"/>
      <c r="R795" s="127"/>
      <c r="S795" s="127"/>
      <c r="T795" s="127"/>
      <c r="U795" s="127"/>
      <c r="V795" s="127"/>
      <c r="W795" s="127"/>
      <c r="X795" s="127"/>
      <c r="Y795" s="127"/>
      <c r="Z795" s="127"/>
    </row>
    <row r="796" customFormat="false" ht="15.75" hidden="false" customHeight="false" outlineLevel="0" collapsed="false">
      <c r="A796" s="127"/>
      <c r="B796" s="127"/>
      <c r="C796" s="127"/>
      <c r="D796" s="127"/>
      <c r="E796" s="127"/>
      <c r="F796" s="127"/>
      <c r="G796" s="127"/>
      <c r="H796" s="127"/>
      <c r="I796" s="127"/>
      <c r="J796" s="127"/>
      <c r="K796" s="127"/>
      <c r="L796" s="127"/>
      <c r="M796" s="127"/>
      <c r="N796" s="127"/>
      <c r="O796" s="127"/>
      <c r="P796" s="127"/>
      <c r="Q796" s="127"/>
      <c r="R796" s="127"/>
      <c r="S796" s="127"/>
      <c r="T796" s="127"/>
      <c r="U796" s="127"/>
      <c r="V796" s="127"/>
      <c r="W796" s="127"/>
      <c r="X796" s="127"/>
      <c r="Y796" s="127"/>
      <c r="Z796" s="127"/>
    </row>
    <row r="797" customFormat="false" ht="15.75" hidden="false" customHeight="false" outlineLevel="0" collapsed="false">
      <c r="A797" s="127"/>
      <c r="B797" s="127"/>
      <c r="C797" s="127"/>
      <c r="D797" s="127"/>
      <c r="E797" s="127"/>
      <c r="F797" s="127"/>
      <c r="G797" s="127"/>
      <c r="H797" s="127"/>
      <c r="I797" s="127"/>
      <c r="J797" s="127"/>
      <c r="K797" s="127"/>
      <c r="L797" s="127"/>
      <c r="M797" s="127"/>
      <c r="N797" s="127"/>
      <c r="O797" s="127"/>
      <c r="P797" s="127"/>
      <c r="Q797" s="127"/>
      <c r="R797" s="127"/>
      <c r="S797" s="127"/>
      <c r="T797" s="127"/>
      <c r="U797" s="127"/>
      <c r="V797" s="127"/>
      <c r="W797" s="127"/>
      <c r="X797" s="127"/>
      <c r="Y797" s="127"/>
      <c r="Z797" s="127"/>
    </row>
    <row r="798" customFormat="false" ht="15.75" hidden="false" customHeight="false" outlineLevel="0" collapsed="false">
      <c r="A798" s="127"/>
      <c r="B798" s="127"/>
      <c r="C798" s="127"/>
      <c r="D798" s="127"/>
      <c r="E798" s="127"/>
      <c r="F798" s="127"/>
      <c r="G798" s="127"/>
      <c r="H798" s="127"/>
      <c r="I798" s="127"/>
      <c r="J798" s="127"/>
      <c r="K798" s="127"/>
      <c r="L798" s="127"/>
      <c r="M798" s="127"/>
      <c r="N798" s="127"/>
      <c r="O798" s="127"/>
      <c r="P798" s="127"/>
      <c r="Q798" s="127"/>
      <c r="R798" s="127"/>
      <c r="S798" s="127"/>
      <c r="T798" s="127"/>
      <c r="U798" s="127"/>
      <c r="V798" s="127"/>
      <c r="W798" s="127"/>
      <c r="X798" s="127"/>
      <c r="Y798" s="127"/>
      <c r="Z798" s="127"/>
    </row>
    <row r="799" customFormat="false" ht="15.75" hidden="false" customHeight="false" outlineLevel="0" collapsed="false">
      <c r="A799" s="127"/>
      <c r="B799" s="127"/>
      <c r="C799" s="127"/>
      <c r="D799" s="127"/>
      <c r="E799" s="127"/>
      <c r="F799" s="127"/>
      <c r="G799" s="127"/>
      <c r="H799" s="127"/>
      <c r="I799" s="127"/>
      <c r="J799" s="127"/>
      <c r="K799" s="127"/>
      <c r="L799" s="127"/>
      <c r="M799" s="127"/>
      <c r="N799" s="127"/>
      <c r="O799" s="127"/>
      <c r="P799" s="127"/>
      <c r="Q799" s="127"/>
      <c r="R799" s="127"/>
      <c r="S799" s="127"/>
      <c r="T799" s="127"/>
      <c r="U799" s="127"/>
      <c r="V799" s="127"/>
      <c r="W799" s="127"/>
      <c r="X799" s="127"/>
      <c r="Y799" s="127"/>
      <c r="Z799" s="127"/>
    </row>
    <row r="800" customFormat="false" ht="15.75" hidden="false" customHeight="false" outlineLevel="0" collapsed="false">
      <c r="A800" s="127"/>
      <c r="B800" s="127"/>
      <c r="C800" s="127"/>
      <c r="D800" s="127"/>
      <c r="E800" s="127"/>
      <c r="F800" s="127"/>
      <c r="G800" s="127"/>
      <c r="H800" s="127"/>
      <c r="I800" s="127"/>
      <c r="J800" s="127"/>
      <c r="K800" s="127"/>
      <c r="L800" s="127"/>
      <c r="M800" s="127"/>
      <c r="N800" s="127"/>
      <c r="O800" s="127"/>
      <c r="P800" s="127"/>
      <c r="Q800" s="127"/>
      <c r="R800" s="127"/>
      <c r="S800" s="127"/>
      <c r="T800" s="127"/>
      <c r="U800" s="127"/>
      <c r="V800" s="127"/>
      <c r="W800" s="127"/>
      <c r="X800" s="127"/>
      <c r="Y800" s="127"/>
      <c r="Z800" s="127"/>
    </row>
    <row r="801" customFormat="false" ht="15.75" hidden="false" customHeight="false" outlineLevel="0" collapsed="false">
      <c r="A801" s="127"/>
      <c r="B801" s="127"/>
      <c r="C801" s="127"/>
      <c r="D801" s="127"/>
      <c r="E801" s="127"/>
      <c r="F801" s="127"/>
      <c r="G801" s="127"/>
      <c r="H801" s="127"/>
      <c r="I801" s="127"/>
      <c r="J801" s="127"/>
      <c r="K801" s="127"/>
      <c r="L801" s="127"/>
      <c r="M801" s="127"/>
      <c r="N801" s="127"/>
      <c r="O801" s="127"/>
      <c r="P801" s="127"/>
      <c r="Q801" s="127"/>
      <c r="R801" s="127"/>
      <c r="S801" s="127"/>
      <c r="T801" s="127"/>
      <c r="U801" s="127"/>
      <c r="V801" s="127"/>
      <c r="W801" s="127"/>
      <c r="X801" s="127"/>
      <c r="Y801" s="127"/>
      <c r="Z801" s="127"/>
    </row>
    <row r="802" customFormat="false" ht="15.75" hidden="false" customHeight="false" outlineLevel="0" collapsed="false">
      <c r="A802" s="127"/>
      <c r="B802" s="127"/>
      <c r="C802" s="127"/>
      <c r="D802" s="127"/>
      <c r="E802" s="127"/>
      <c r="F802" s="127"/>
      <c r="G802" s="127"/>
      <c r="H802" s="127"/>
      <c r="I802" s="127"/>
      <c r="J802" s="127"/>
      <c r="K802" s="127"/>
      <c r="L802" s="127"/>
      <c r="M802" s="127"/>
      <c r="N802" s="127"/>
      <c r="O802" s="127"/>
      <c r="P802" s="127"/>
      <c r="Q802" s="127"/>
      <c r="R802" s="127"/>
      <c r="S802" s="127"/>
      <c r="T802" s="127"/>
      <c r="U802" s="127"/>
      <c r="V802" s="127"/>
      <c r="W802" s="127"/>
      <c r="X802" s="127"/>
      <c r="Y802" s="127"/>
      <c r="Z802" s="127"/>
    </row>
    <row r="803" customFormat="false" ht="15.75" hidden="false" customHeight="false" outlineLevel="0" collapsed="false">
      <c r="A803" s="127"/>
      <c r="B803" s="127"/>
      <c r="C803" s="127"/>
      <c r="D803" s="127"/>
      <c r="E803" s="127"/>
      <c r="F803" s="127"/>
      <c r="G803" s="127"/>
      <c r="H803" s="127"/>
      <c r="I803" s="127"/>
      <c r="J803" s="127"/>
      <c r="K803" s="127"/>
      <c r="L803" s="127"/>
      <c r="M803" s="127"/>
      <c r="N803" s="127"/>
      <c r="O803" s="127"/>
      <c r="P803" s="127"/>
      <c r="Q803" s="127"/>
      <c r="R803" s="127"/>
      <c r="S803" s="127"/>
      <c r="T803" s="127"/>
      <c r="U803" s="127"/>
      <c r="V803" s="127"/>
      <c r="W803" s="127"/>
      <c r="X803" s="127"/>
      <c r="Y803" s="127"/>
      <c r="Z803" s="127"/>
    </row>
    <row r="804" customFormat="false" ht="15.75" hidden="false" customHeight="false" outlineLevel="0" collapsed="false">
      <c r="A804" s="127"/>
      <c r="B804" s="127"/>
      <c r="C804" s="127"/>
      <c r="D804" s="127"/>
      <c r="E804" s="127"/>
      <c r="F804" s="127"/>
      <c r="G804" s="127"/>
      <c r="H804" s="127"/>
      <c r="I804" s="127"/>
      <c r="J804" s="127"/>
      <c r="K804" s="127"/>
      <c r="L804" s="127"/>
      <c r="M804" s="127"/>
      <c r="N804" s="127"/>
      <c r="O804" s="127"/>
      <c r="P804" s="127"/>
      <c r="Q804" s="127"/>
      <c r="R804" s="127"/>
      <c r="S804" s="127"/>
      <c r="T804" s="127"/>
      <c r="U804" s="127"/>
      <c r="V804" s="127"/>
      <c r="W804" s="127"/>
      <c r="X804" s="127"/>
      <c r="Y804" s="127"/>
      <c r="Z804" s="127"/>
    </row>
    <row r="805" customFormat="false" ht="15.75" hidden="false" customHeight="false" outlineLevel="0" collapsed="false">
      <c r="A805" s="127"/>
      <c r="B805" s="127"/>
      <c r="C805" s="127"/>
      <c r="D805" s="127"/>
      <c r="E805" s="127"/>
      <c r="F805" s="127"/>
      <c r="G805" s="127"/>
      <c r="H805" s="127"/>
      <c r="I805" s="127"/>
      <c r="J805" s="127"/>
      <c r="K805" s="127"/>
      <c r="L805" s="127"/>
      <c r="M805" s="127"/>
      <c r="N805" s="127"/>
      <c r="O805" s="127"/>
      <c r="P805" s="127"/>
      <c r="Q805" s="127"/>
      <c r="R805" s="127"/>
      <c r="S805" s="127"/>
      <c r="T805" s="127"/>
      <c r="U805" s="127"/>
      <c r="V805" s="127"/>
      <c r="W805" s="127"/>
      <c r="X805" s="127"/>
      <c r="Y805" s="127"/>
      <c r="Z805" s="127"/>
    </row>
    <row r="806" customFormat="false" ht="15.75" hidden="false" customHeight="false" outlineLevel="0" collapsed="false">
      <c r="A806" s="127"/>
      <c r="B806" s="127"/>
      <c r="C806" s="127"/>
      <c r="D806" s="127"/>
      <c r="E806" s="127"/>
      <c r="F806" s="127"/>
      <c r="G806" s="127"/>
      <c r="H806" s="127"/>
      <c r="I806" s="127"/>
      <c r="J806" s="127"/>
      <c r="K806" s="127"/>
      <c r="L806" s="127"/>
      <c r="M806" s="127"/>
      <c r="N806" s="127"/>
      <c r="O806" s="127"/>
      <c r="P806" s="127"/>
      <c r="Q806" s="127"/>
      <c r="R806" s="127"/>
      <c r="S806" s="127"/>
      <c r="T806" s="127"/>
      <c r="U806" s="127"/>
      <c r="V806" s="127"/>
      <c r="W806" s="127"/>
      <c r="X806" s="127"/>
      <c r="Y806" s="127"/>
      <c r="Z806" s="127"/>
    </row>
    <row r="807" customFormat="false" ht="15.75" hidden="false" customHeight="false" outlineLevel="0" collapsed="false">
      <c r="A807" s="127"/>
      <c r="B807" s="127"/>
      <c r="C807" s="127"/>
      <c r="D807" s="127"/>
      <c r="E807" s="127"/>
      <c r="F807" s="127"/>
      <c r="G807" s="127"/>
      <c r="H807" s="127"/>
      <c r="I807" s="127"/>
      <c r="J807" s="127"/>
      <c r="K807" s="127"/>
      <c r="L807" s="127"/>
      <c r="M807" s="127"/>
      <c r="N807" s="127"/>
      <c r="O807" s="127"/>
      <c r="P807" s="127"/>
      <c r="Q807" s="127"/>
      <c r="R807" s="127"/>
      <c r="S807" s="127"/>
      <c r="T807" s="127"/>
      <c r="U807" s="127"/>
      <c r="V807" s="127"/>
      <c r="W807" s="127"/>
      <c r="X807" s="127"/>
      <c r="Y807" s="127"/>
      <c r="Z807" s="127"/>
    </row>
    <row r="808" customFormat="false" ht="15.75" hidden="false" customHeight="false" outlineLevel="0" collapsed="false">
      <c r="A808" s="127"/>
      <c r="B808" s="127"/>
      <c r="C808" s="127"/>
      <c r="D808" s="127"/>
      <c r="E808" s="127"/>
      <c r="F808" s="127"/>
      <c r="G808" s="127"/>
      <c r="H808" s="127"/>
      <c r="I808" s="127"/>
      <c r="J808" s="127"/>
      <c r="K808" s="127"/>
      <c r="L808" s="127"/>
      <c r="M808" s="127"/>
      <c r="N808" s="127"/>
      <c r="O808" s="127"/>
      <c r="P808" s="127"/>
      <c r="Q808" s="127"/>
      <c r="R808" s="127"/>
      <c r="S808" s="127"/>
      <c r="T808" s="127"/>
      <c r="U808" s="127"/>
      <c r="V808" s="127"/>
      <c r="W808" s="127"/>
      <c r="X808" s="127"/>
      <c r="Y808" s="127"/>
      <c r="Z808" s="127"/>
    </row>
    <row r="809" customFormat="false" ht="15.75" hidden="false" customHeight="false" outlineLevel="0" collapsed="false">
      <c r="A809" s="127"/>
      <c r="B809" s="127"/>
      <c r="C809" s="127"/>
      <c r="D809" s="127"/>
      <c r="E809" s="127"/>
      <c r="F809" s="127"/>
      <c r="G809" s="127"/>
      <c r="H809" s="127"/>
      <c r="I809" s="127"/>
      <c r="J809" s="127"/>
      <c r="K809" s="127"/>
      <c r="L809" s="127"/>
      <c r="M809" s="127"/>
      <c r="N809" s="127"/>
      <c r="O809" s="127"/>
      <c r="P809" s="127"/>
      <c r="Q809" s="127"/>
      <c r="R809" s="127"/>
      <c r="S809" s="127"/>
      <c r="T809" s="127"/>
      <c r="U809" s="127"/>
      <c r="V809" s="127"/>
      <c r="W809" s="127"/>
      <c r="X809" s="127"/>
      <c r="Y809" s="127"/>
      <c r="Z809" s="127"/>
    </row>
    <row r="810" customFormat="false" ht="15.75" hidden="false" customHeight="false" outlineLevel="0" collapsed="false">
      <c r="A810" s="127"/>
      <c r="B810" s="127"/>
      <c r="C810" s="127"/>
      <c r="D810" s="127"/>
      <c r="E810" s="127"/>
      <c r="F810" s="127"/>
      <c r="G810" s="127"/>
      <c r="H810" s="127"/>
      <c r="I810" s="127"/>
      <c r="J810" s="127"/>
      <c r="K810" s="127"/>
      <c r="L810" s="127"/>
      <c r="M810" s="127"/>
      <c r="N810" s="127"/>
      <c r="O810" s="127"/>
      <c r="P810" s="127"/>
      <c r="Q810" s="127"/>
      <c r="R810" s="127"/>
      <c r="S810" s="127"/>
      <c r="T810" s="127"/>
      <c r="U810" s="127"/>
      <c r="V810" s="127"/>
      <c r="W810" s="127"/>
      <c r="X810" s="127"/>
      <c r="Y810" s="127"/>
      <c r="Z810" s="127"/>
    </row>
    <row r="811" customFormat="false" ht="15.75" hidden="false" customHeight="false" outlineLevel="0" collapsed="false">
      <c r="A811" s="127"/>
      <c r="B811" s="127"/>
      <c r="C811" s="127"/>
      <c r="D811" s="127"/>
      <c r="E811" s="127"/>
      <c r="F811" s="127"/>
      <c r="G811" s="127"/>
      <c r="H811" s="127"/>
      <c r="I811" s="127"/>
      <c r="J811" s="127"/>
      <c r="K811" s="127"/>
      <c r="L811" s="127"/>
      <c r="M811" s="127"/>
      <c r="N811" s="127"/>
      <c r="O811" s="127"/>
      <c r="P811" s="127"/>
      <c r="Q811" s="127"/>
      <c r="R811" s="127"/>
      <c r="S811" s="127"/>
      <c r="T811" s="127"/>
      <c r="U811" s="127"/>
      <c r="V811" s="127"/>
      <c r="W811" s="127"/>
      <c r="X811" s="127"/>
      <c r="Y811" s="127"/>
      <c r="Z811" s="127"/>
    </row>
    <row r="812" customFormat="false" ht="15.75" hidden="false" customHeight="false" outlineLevel="0" collapsed="false">
      <c r="A812" s="127"/>
      <c r="B812" s="127"/>
      <c r="C812" s="127"/>
      <c r="D812" s="127"/>
      <c r="E812" s="127"/>
      <c r="F812" s="127"/>
      <c r="G812" s="127"/>
      <c r="H812" s="127"/>
      <c r="I812" s="127"/>
      <c r="J812" s="127"/>
      <c r="K812" s="127"/>
      <c r="L812" s="127"/>
      <c r="M812" s="127"/>
      <c r="N812" s="127"/>
      <c r="O812" s="127"/>
      <c r="P812" s="127"/>
      <c r="Q812" s="127"/>
      <c r="R812" s="127"/>
      <c r="S812" s="127"/>
      <c r="T812" s="127"/>
      <c r="U812" s="127"/>
      <c r="V812" s="127"/>
      <c r="W812" s="127"/>
      <c r="X812" s="127"/>
      <c r="Y812" s="127"/>
      <c r="Z812" s="127"/>
    </row>
    <row r="813" customFormat="false" ht="15.75" hidden="false" customHeight="false" outlineLevel="0" collapsed="false">
      <c r="A813" s="127"/>
      <c r="B813" s="127"/>
      <c r="C813" s="127"/>
      <c r="D813" s="127"/>
      <c r="E813" s="127"/>
      <c r="F813" s="127"/>
      <c r="G813" s="127"/>
      <c r="H813" s="127"/>
      <c r="I813" s="127"/>
      <c r="J813" s="127"/>
      <c r="K813" s="127"/>
      <c r="L813" s="127"/>
      <c r="M813" s="127"/>
      <c r="N813" s="127"/>
      <c r="O813" s="127"/>
      <c r="P813" s="127"/>
      <c r="Q813" s="127"/>
      <c r="R813" s="127"/>
      <c r="S813" s="127"/>
      <c r="T813" s="127"/>
      <c r="U813" s="127"/>
      <c r="V813" s="127"/>
      <c r="W813" s="127"/>
      <c r="X813" s="127"/>
      <c r="Y813" s="127"/>
      <c r="Z813" s="127"/>
    </row>
    <row r="814" customFormat="false" ht="15.75" hidden="false" customHeight="false" outlineLevel="0" collapsed="false">
      <c r="A814" s="127"/>
      <c r="B814" s="127"/>
      <c r="C814" s="127"/>
      <c r="D814" s="127"/>
      <c r="E814" s="127"/>
      <c r="F814" s="127"/>
      <c r="G814" s="127"/>
      <c r="H814" s="127"/>
      <c r="I814" s="127"/>
      <c r="J814" s="127"/>
      <c r="K814" s="127"/>
      <c r="L814" s="127"/>
      <c r="M814" s="127"/>
      <c r="N814" s="127"/>
      <c r="O814" s="127"/>
      <c r="P814" s="127"/>
      <c r="Q814" s="127"/>
      <c r="R814" s="127"/>
      <c r="S814" s="127"/>
      <c r="T814" s="127"/>
      <c r="U814" s="127"/>
      <c r="V814" s="127"/>
      <c r="W814" s="127"/>
      <c r="X814" s="127"/>
      <c r="Y814" s="127"/>
      <c r="Z814" s="127"/>
    </row>
    <row r="815" customFormat="false" ht="15.75" hidden="false" customHeight="false" outlineLevel="0" collapsed="false">
      <c r="A815" s="127"/>
      <c r="B815" s="127"/>
      <c r="C815" s="127"/>
      <c r="D815" s="127"/>
      <c r="E815" s="127"/>
      <c r="F815" s="127"/>
      <c r="G815" s="127"/>
      <c r="H815" s="127"/>
      <c r="I815" s="127"/>
      <c r="J815" s="127"/>
      <c r="K815" s="127"/>
      <c r="L815" s="127"/>
      <c r="M815" s="127"/>
      <c r="N815" s="127"/>
      <c r="O815" s="127"/>
      <c r="P815" s="127"/>
      <c r="Q815" s="127"/>
      <c r="R815" s="127"/>
      <c r="S815" s="127"/>
      <c r="T815" s="127"/>
      <c r="U815" s="127"/>
      <c r="V815" s="127"/>
      <c r="W815" s="127"/>
      <c r="X815" s="127"/>
      <c r="Y815" s="127"/>
      <c r="Z815" s="127"/>
    </row>
    <row r="816" customFormat="false" ht="15.75" hidden="false" customHeight="false" outlineLevel="0" collapsed="false">
      <c r="A816" s="127"/>
      <c r="B816" s="127"/>
      <c r="C816" s="127"/>
      <c r="D816" s="127"/>
      <c r="E816" s="127"/>
      <c r="F816" s="127"/>
      <c r="G816" s="127"/>
      <c r="H816" s="127"/>
      <c r="I816" s="127"/>
      <c r="J816" s="127"/>
      <c r="K816" s="127"/>
      <c r="L816" s="127"/>
      <c r="M816" s="127"/>
      <c r="N816" s="127"/>
      <c r="O816" s="127"/>
      <c r="P816" s="127"/>
      <c r="Q816" s="127"/>
      <c r="R816" s="127"/>
      <c r="S816" s="127"/>
      <c r="T816" s="127"/>
      <c r="U816" s="127"/>
      <c r="V816" s="127"/>
      <c r="W816" s="127"/>
      <c r="X816" s="127"/>
      <c r="Y816" s="127"/>
      <c r="Z816" s="127"/>
    </row>
    <row r="817" customFormat="false" ht="15.75" hidden="false" customHeight="false" outlineLevel="0" collapsed="false">
      <c r="A817" s="127"/>
      <c r="B817" s="127"/>
      <c r="C817" s="127"/>
      <c r="D817" s="127"/>
      <c r="E817" s="127"/>
      <c r="F817" s="127"/>
      <c r="G817" s="127"/>
      <c r="H817" s="127"/>
      <c r="I817" s="127"/>
      <c r="J817" s="127"/>
      <c r="K817" s="127"/>
      <c r="L817" s="127"/>
      <c r="M817" s="127"/>
      <c r="N817" s="127"/>
      <c r="O817" s="127"/>
      <c r="P817" s="127"/>
      <c r="Q817" s="127"/>
      <c r="R817" s="127"/>
      <c r="S817" s="127"/>
      <c r="T817" s="127"/>
      <c r="U817" s="127"/>
      <c r="V817" s="127"/>
      <c r="W817" s="127"/>
      <c r="X817" s="127"/>
      <c r="Y817" s="127"/>
      <c r="Z817" s="127"/>
    </row>
    <row r="818" customFormat="false" ht="15.75" hidden="false" customHeight="false" outlineLevel="0" collapsed="false">
      <c r="A818" s="127"/>
      <c r="B818" s="127"/>
      <c r="C818" s="127"/>
      <c r="D818" s="127"/>
      <c r="E818" s="127"/>
      <c r="F818" s="127"/>
      <c r="G818" s="127"/>
      <c r="H818" s="127"/>
      <c r="I818" s="127"/>
      <c r="J818" s="127"/>
      <c r="K818" s="127"/>
      <c r="L818" s="127"/>
      <c r="M818" s="127"/>
      <c r="N818" s="127"/>
      <c r="O818" s="127"/>
      <c r="P818" s="127"/>
      <c r="Q818" s="127"/>
      <c r="R818" s="127"/>
      <c r="S818" s="127"/>
      <c r="T818" s="127"/>
      <c r="U818" s="127"/>
      <c r="V818" s="127"/>
      <c r="W818" s="127"/>
      <c r="X818" s="127"/>
      <c r="Y818" s="127"/>
      <c r="Z818" s="127"/>
    </row>
    <row r="819" customFormat="false" ht="15.75" hidden="false" customHeight="false" outlineLevel="0" collapsed="false">
      <c r="A819" s="127"/>
      <c r="B819" s="127"/>
      <c r="C819" s="127"/>
      <c r="D819" s="127"/>
      <c r="E819" s="127"/>
      <c r="F819" s="127"/>
      <c r="G819" s="127"/>
      <c r="H819" s="127"/>
      <c r="I819" s="127"/>
      <c r="J819" s="127"/>
      <c r="K819" s="127"/>
      <c r="L819" s="127"/>
      <c r="M819" s="127"/>
      <c r="N819" s="127"/>
      <c r="O819" s="127"/>
      <c r="P819" s="127"/>
      <c r="Q819" s="127"/>
      <c r="R819" s="127"/>
      <c r="S819" s="127"/>
      <c r="T819" s="127"/>
      <c r="U819" s="127"/>
      <c r="V819" s="127"/>
      <c r="W819" s="127"/>
      <c r="X819" s="127"/>
      <c r="Y819" s="127"/>
      <c r="Z819" s="127"/>
    </row>
    <row r="820" customFormat="false" ht="15.75" hidden="false" customHeight="false" outlineLevel="0" collapsed="false">
      <c r="A820" s="127"/>
      <c r="B820" s="127"/>
      <c r="C820" s="127"/>
      <c r="D820" s="127"/>
      <c r="E820" s="127"/>
      <c r="F820" s="127"/>
      <c r="G820" s="127"/>
      <c r="H820" s="127"/>
      <c r="I820" s="127"/>
      <c r="J820" s="127"/>
      <c r="K820" s="127"/>
      <c r="L820" s="127"/>
      <c r="M820" s="127"/>
      <c r="N820" s="127"/>
      <c r="O820" s="127"/>
      <c r="P820" s="127"/>
      <c r="Q820" s="127"/>
      <c r="R820" s="127"/>
      <c r="S820" s="127"/>
      <c r="T820" s="127"/>
      <c r="U820" s="127"/>
      <c r="V820" s="127"/>
      <c r="W820" s="127"/>
      <c r="X820" s="127"/>
      <c r="Y820" s="127"/>
      <c r="Z820" s="127"/>
    </row>
    <row r="821" customFormat="false" ht="15.75" hidden="false" customHeight="false" outlineLevel="0" collapsed="false">
      <c r="A821" s="127"/>
      <c r="B821" s="127"/>
      <c r="C821" s="127"/>
      <c r="D821" s="127"/>
      <c r="E821" s="127"/>
      <c r="F821" s="127"/>
      <c r="G821" s="127"/>
      <c r="H821" s="127"/>
      <c r="I821" s="127"/>
      <c r="J821" s="127"/>
      <c r="K821" s="127"/>
      <c r="L821" s="127"/>
      <c r="M821" s="127"/>
      <c r="N821" s="127"/>
      <c r="O821" s="127"/>
      <c r="P821" s="127"/>
      <c r="Q821" s="127"/>
      <c r="R821" s="127"/>
      <c r="S821" s="127"/>
      <c r="T821" s="127"/>
      <c r="U821" s="127"/>
      <c r="V821" s="127"/>
      <c r="W821" s="127"/>
      <c r="X821" s="127"/>
      <c r="Y821" s="127"/>
      <c r="Z821" s="127"/>
    </row>
    <row r="822" customFormat="false" ht="15.75" hidden="false" customHeight="false" outlineLevel="0" collapsed="false">
      <c r="A822" s="127"/>
      <c r="B822" s="127"/>
      <c r="C822" s="127"/>
      <c r="D822" s="127"/>
      <c r="E822" s="127"/>
      <c r="F822" s="127"/>
      <c r="G822" s="127"/>
      <c r="H822" s="127"/>
      <c r="I822" s="127"/>
      <c r="J822" s="127"/>
      <c r="K822" s="127"/>
      <c r="L822" s="127"/>
      <c r="M822" s="127"/>
      <c r="N822" s="127"/>
      <c r="O822" s="127"/>
      <c r="P822" s="127"/>
      <c r="Q822" s="127"/>
      <c r="R822" s="127"/>
      <c r="S822" s="127"/>
      <c r="T822" s="127"/>
      <c r="U822" s="127"/>
      <c r="V822" s="127"/>
      <c r="W822" s="127"/>
      <c r="X822" s="127"/>
      <c r="Y822" s="127"/>
      <c r="Z822" s="127"/>
    </row>
    <row r="823" customFormat="false" ht="15.75" hidden="false" customHeight="false" outlineLevel="0" collapsed="false">
      <c r="A823" s="127"/>
      <c r="B823" s="127"/>
      <c r="C823" s="127"/>
      <c r="D823" s="127"/>
      <c r="E823" s="127"/>
      <c r="F823" s="127"/>
      <c r="G823" s="127"/>
      <c r="H823" s="127"/>
      <c r="I823" s="127"/>
      <c r="J823" s="127"/>
      <c r="K823" s="127"/>
      <c r="L823" s="127"/>
      <c r="M823" s="127"/>
      <c r="N823" s="127"/>
      <c r="O823" s="127"/>
      <c r="P823" s="127"/>
      <c r="Q823" s="127"/>
      <c r="R823" s="127"/>
      <c r="S823" s="127"/>
      <c r="T823" s="127"/>
      <c r="U823" s="127"/>
      <c r="V823" s="127"/>
      <c r="W823" s="127"/>
      <c r="X823" s="127"/>
      <c r="Y823" s="127"/>
      <c r="Z823" s="127"/>
    </row>
    <row r="824" customFormat="false" ht="15.75" hidden="false" customHeight="false" outlineLevel="0" collapsed="false">
      <c r="A824" s="127"/>
      <c r="B824" s="127"/>
      <c r="C824" s="127"/>
      <c r="D824" s="127"/>
      <c r="E824" s="127"/>
      <c r="F824" s="127"/>
      <c r="G824" s="127"/>
      <c r="H824" s="127"/>
      <c r="I824" s="127"/>
      <c r="J824" s="127"/>
      <c r="K824" s="127"/>
      <c r="L824" s="127"/>
      <c r="M824" s="127"/>
      <c r="N824" s="127"/>
      <c r="O824" s="127"/>
      <c r="P824" s="127"/>
      <c r="Q824" s="127"/>
      <c r="R824" s="127"/>
      <c r="S824" s="127"/>
      <c r="T824" s="127"/>
      <c r="U824" s="127"/>
      <c r="V824" s="127"/>
      <c r="W824" s="127"/>
      <c r="X824" s="127"/>
      <c r="Y824" s="127"/>
      <c r="Z824" s="127"/>
    </row>
    <row r="825" customFormat="false" ht="15.75" hidden="false" customHeight="false" outlineLevel="0" collapsed="false">
      <c r="A825" s="127"/>
      <c r="B825" s="127"/>
      <c r="C825" s="127"/>
      <c r="D825" s="127"/>
      <c r="E825" s="127"/>
      <c r="F825" s="127"/>
      <c r="G825" s="127"/>
      <c r="H825" s="127"/>
      <c r="I825" s="127"/>
      <c r="J825" s="127"/>
      <c r="K825" s="127"/>
      <c r="L825" s="127"/>
      <c r="M825" s="127"/>
      <c r="N825" s="127"/>
      <c r="O825" s="127"/>
      <c r="P825" s="127"/>
      <c r="Q825" s="127"/>
      <c r="R825" s="127"/>
      <c r="S825" s="127"/>
      <c r="T825" s="127"/>
      <c r="U825" s="127"/>
      <c r="V825" s="127"/>
      <c r="W825" s="127"/>
      <c r="X825" s="127"/>
      <c r="Y825" s="127"/>
      <c r="Z825" s="127"/>
    </row>
    <row r="826" customFormat="false" ht="15.75" hidden="false" customHeight="false" outlineLevel="0" collapsed="false">
      <c r="A826" s="127"/>
      <c r="B826" s="127"/>
      <c r="C826" s="127"/>
      <c r="D826" s="127"/>
      <c r="E826" s="127"/>
      <c r="F826" s="127"/>
      <c r="G826" s="127"/>
      <c r="H826" s="127"/>
      <c r="I826" s="127"/>
      <c r="J826" s="127"/>
      <c r="K826" s="127"/>
      <c r="L826" s="127"/>
      <c r="M826" s="127"/>
      <c r="N826" s="127"/>
      <c r="O826" s="127"/>
      <c r="P826" s="127"/>
      <c r="Q826" s="127"/>
      <c r="R826" s="127"/>
      <c r="S826" s="127"/>
      <c r="T826" s="127"/>
      <c r="U826" s="127"/>
      <c r="V826" s="127"/>
      <c r="W826" s="127"/>
      <c r="X826" s="127"/>
      <c r="Y826" s="127"/>
      <c r="Z826" s="127"/>
    </row>
    <row r="827" customFormat="false" ht="15.75" hidden="false" customHeight="false" outlineLevel="0" collapsed="false">
      <c r="A827" s="127"/>
      <c r="B827" s="127"/>
      <c r="C827" s="127"/>
      <c r="D827" s="127"/>
      <c r="E827" s="127"/>
      <c r="F827" s="127"/>
      <c r="G827" s="127"/>
      <c r="H827" s="127"/>
      <c r="I827" s="127"/>
      <c r="J827" s="127"/>
      <c r="K827" s="127"/>
      <c r="L827" s="127"/>
      <c r="M827" s="127"/>
      <c r="N827" s="127"/>
      <c r="O827" s="127"/>
      <c r="P827" s="127"/>
      <c r="Q827" s="127"/>
      <c r="R827" s="127"/>
      <c r="S827" s="127"/>
      <c r="T827" s="127"/>
      <c r="U827" s="127"/>
      <c r="V827" s="127"/>
      <c r="W827" s="127"/>
      <c r="X827" s="127"/>
      <c r="Y827" s="127"/>
      <c r="Z827" s="127"/>
    </row>
    <row r="828" customFormat="false" ht="15.75" hidden="false" customHeight="false" outlineLevel="0" collapsed="false">
      <c r="A828" s="127"/>
      <c r="B828" s="127"/>
      <c r="C828" s="127"/>
      <c r="D828" s="127"/>
      <c r="E828" s="127"/>
      <c r="F828" s="127"/>
      <c r="G828" s="127"/>
      <c r="H828" s="127"/>
      <c r="I828" s="127"/>
      <c r="J828" s="127"/>
      <c r="K828" s="127"/>
      <c r="L828" s="127"/>
      <c r="M828" s="127"/>
      <c r="N828" s="127"/>
      <c r="O828" s="127"/>
      <c r="P828" s="127"/>
      <c r="Q828" s="127"/>
      <c r="R828" s="127"/>
      <c r="S828" s="127"/>
      <c r="T828" s="127"/>
      <c r="U828" s="127"/>
      <c r="V828" s="127"/>
      <c r="W828" s="127"/>
      <c r="X828" s="127"/>
      <c r="Y828" s="127"/>
      <c r="Z828" s="127"/>
    </row>
    <row r="829" customFormat="false" ht="15.75" hidden="false" customHeight="false" outlineLevel="0" collapsed="false">
      <c r="A829" s="127"/>
      <c r="B829" s="127"/>
      <c r="C829" s="127"/>
      <c r="D829" s="127"/>
      <c r="E829" s="127"/>
      <c r="F829" s="127"/>
      <c r="G829" s="127"/>
      <c r="H829" s="127"/>
      <c r="I829" s="127"/>
      <c r="J829" s="127"/>
      <c r="K829" s="127"/>
      <c r="L829" s="127"/>
      <c r="M829" s="127"/>
      <c r="N829" s="127"/>
      <c r="O829" s="127"/>
      <c r="P829" s="127"/>
      <c r="Q829" s="127"/>
      <c r="R829" s="127"/>
      <c r="S829" s="127"/>
      <c r="T829" s="127"/>
      <c r="U829" s="127"/>
      <c r="V829" s="127"/>
      <c r="W829" s="127"/>
      <c r="X829" s="127"/>
      <c r="Y829" s="127"/>
      <c r="Z829" s="127"/>
    </row>
    <row r="830" customFormat="false" ht="15.75" hidden="false" customHeight="false" outlineLevel="0" collapsed="false">
      <c r="A830" s="127"/>
      <c r="B830" s="127"/>
      <c r="C830" s="127"/>
      <c r="D830" s="127"/>
      <c r="E830" s="127"/>
      <c r="F830" s="127"/>
      <c r="G830" s="127"/>
      <c r="H830" s="127"/>
      <c r="I830" s="127"/>
      <c r="J830" s="127"/>
      <c r="K830" s="127"/>
      <c r="L830" s="127"/>
      <c r="M830" s="127"/>
      <c r="N830" s="127"/>
      <c r="O830" s="127"/>
      <c r="P830" s="127"/>
      <c r="Q830" s="127"/>
      <c r="R830" s="127"/>
      <c r="S830" s="127"/>
      <c r="T830" s="127"/>
      <c r="U830" s="127"/>
      <c r="V830" s="127"/>
      <c r="W830" s="127"/>
      <c r="X830" s="127"/>
      <c r="Y830" s="127"/>
      <c r="Z830" s="127"/>
    </row>
    <row r="831" customFormat="false" ht="15.75" hidden="false" customHeight="false" outlineLevel="0" collapsed="false">
      <c r="A831" s="127"/>
      <c r="B831" s="127"/>
      <c r="C831" s="127"/>
      <c r="D831" s="127"/>
      <c r="E831" s="127"/>
      <c r="F831" s="127"/>
      <c r="G831" s="127"/>
      <c r="H831" s="127"/>
      <c r="I831" s="127"/>
      <c r="J831" s="127"/>
      <c r="K831" s="127"/>
      <c r="L831" s="127"/>
      <c r="M831" s="127"/>
      <c r="N831" s="127"/>
      <c r="O831" s="127"/>
      <c r="P831" s="127"/>
      <c r="Q831" s="127"/>
      <c r="R831" s="127"/>
      <c r="S831" s="127"/>
      <c r="T831" s="127"/>
      <c r="U831" s="127"/>
      <c r="V831" s="127"/>
      <c r="W831" s="127"/>
      <c r="X831" s="127"/>
      <c r="Y831" s="127"/>
      <c r="Z831" s="127"/>
    </row>
    <row r="832" customFormat="false" ht="15.75" hidden="false" customHeight="false" outlineLevel="0" collapsed="false">
      <c r="A832" s="127"/>
      <c r="B832" s="127"/>
      <c r="C832" s="127"/>
      <c r="D832" s="127"/>
      <c r="E832" s="127"/>
      <c r="F832" s="127"/>
      <c r="G832" s="127"/>
      <c r="H832" s="127"/>
      <c r="I832" s="127"/>
      <c r="J832" s="127"/>
      <c r="K832" s="127"/>
      <c r="L832" s="127"/>
      <c r="M832" s="127"/>
      <c r="N832" s="127"/>
      <c r="O832" s="127"/>
      <c r="P832" s="127"/>
      <c r="Q832" s="127"/>
      <c r="R832" s="127"/>
      <c r="S832" s="127"/>
      <c r="T832" s="127"/>
      <c r="U832" s="127"/>
      <c r="V832" s="127"/>
      <c r="W832" s="127"/>
      <c r="X832" s="127"/>
      <c r="Y832" s="127"/>
      <c r="Z832" s="127"/>
    </row>
    <row r="833" customFormat="false" ht="15.75" hidden="false" customHeight="false" outlineLevel="0" collapsed="false">
      <c r="A833" s="127"/>
      <c r="B833" s="127"/>
      <c r="C833" s="127"/>
      <c r="D833" s="127"/>
      <c r="E833" s="127"/>
      <c r="F833" s="127"/>
      <c r="G833" s="127"/>
      <c r="H833" s="127"/>
      <c r="I833" s="127"/>
      <c r="J833" s="127"/>
      <c r="K833" s="127"/>
      <c r="L833" s="127"/>
      <c r="M833" s="127"/>
      <c r="N833" s="127"/>
      <c r="O833" s="127"/>
      <c r="P833" s="127"/>
      <c r="Q833" s="127"/>
      <c r="R833" s="127"/>
      <c r="S833" s="127"/>
      <c r="T833" s="127"/>
      <c r="U833" s="127"/>
      <c r="V833" s="127"/>
      <c r="W833" s="127"/>
      <c r="X833" s="127"/>
      <c r="Y833" s="127"/>
      <c r="Z833" s="127"/>
    </row>
    <row r="834" customFormat="false" ht="15.75" hidden="false" customHeight="false" outlineLevel="0" collapsed="false">
      <c r="A834" s="127"/>
      <c r="B834" s="127"/>
      <c r="C834" s="127"/>
      <c r="D834" s="127"/>
      <c r="E834" s="127"/>
      <c r="F834" s="127"/>
      <c r="G834" s="127"/>
      <c r="H834" s="127"/>
      <c r="I834" s="127"/>
      <c r="J834" s="127"/>
      <c r="K834" s="127"/>
      <c r="L834" s="127"/>
      <c r="M834" s="127"/>
      <c r="N834" s="127"/>
      <c r="O834" s="127"/>
      <c r="P834" s="127"/>
      <c r="Q834" s="127"/>
      <c r="R834" s="127"/>
      <c r="S834" s="127"/>
      <c r="T834" s="127"/>
      <c r="U834" s="127"/>
      <c r="V834" s="127"/>
      <c r="W834" s="127"/>
      <c r="X834" s="127"/>
      <c r="Y834" s="127"/>
      <c r="Z834" s="127"/>
    </row>
    <row r="835" customFormat="false" ht="15.75" hidden="false" customHeight="false" outlineLevel="0" collapsed="false">
      <c r="A835" s="127"/>
      <c r="B835" s="127"/>
      <c r="C835" s="127"/>
      <c r="D835" s="127"/>
      <c r="E835" s="127"/>
      <c r="F835" s="127"/>
      <c r="G835" s="127"/>
      <c r="H835" s="127"/>
      <c r="I835" s="127"/>
      <c r="J835" s="127"/>
      <c r="K835" s="127"/>
      <c r="L835" s="127"/>
      <c r="M835" s="127"/>
      <c r="N835" s="127"/>
      <c r="O835" s="127"/>
      <c r="P835" s="127"/>
      <c r="Q835" s="127"/>
      <c r="R835" s="127"/>
      <c r="S835" s="127"/>
      <c r="T835" s="127"/>
      <c r="U835" s="127"/>
      <c r="V835" s="127"/>
      <c r="W835" s="127"/>
      <c r="X835" s="127"/>
      <c r="Y835" s="127"/>
      <c r="Z835" s="127"/>
    </row>
    <row r="836" customFormat="false" ht="15.75" hidden="false" customHeight="false" outlineLevel="0" collapsed="false">
      <c r="A836" s="127"/>
      <c r="B836" s="127"/>
      <c r="C836" s="127"/>
      <c r="D836" s="127"/>
      <c r="E836" s="127"/>
      <c r="F836" s="127"/>
      <c r="G836" s="127"/>
      <c r="H836" s="127"/>
      <c r="I836" s="127"/>
      <c r="J836" s="127"/>
      <c r="K836" s="127"/>
      <c r="L836" s="127"/>
      <c r="M836" s="127"/>
      <c r="N836" s="127"/>
      <c r="O836" s="127"/>
      <c r="P836" s="127"/>
      <c r="Q836" s="127"/>
      <c r="R836" s="127"/>
      <c r="S836" s="127"/>
      <c r="T836" s="127"/>
      <c r="U836" s="127"/>
      <c r="V836" s="127"/>
      <c r="W836" s="127"/>
      <c r="X836" s="127"/>
      <c r="Y836" s="127"/>
      <c r="Z836" s="127"/>
    </row>
    <row r="837" customFormat="false" ht="15.75" hidden="false" customHeight="false" outlineLevel="0" collapsed="false">
      <c r="A837" s="127"/>
      <c r="B837" s="127"/>
      <c r="C837" s="127"/>
      <c r="D837" s="127"/>
      <c r="E837" s="127"/>
      <c r="F837" s="127"/>
      <c r="G837" s="127"/>
      <c r="H837" s="127"/>
      <c r="I837" s="127"/>
      <c r="J837" s="127"/>
      <c r="K837" s="127"/>
      <c r="L837" s="127"/>
      <c r="M837" s="127"/>
      <c r="N837" s="127"/>
      <c r="O837" s="127"/>
      <c r="P837" s="127"/>
      <c r="Q837" s="127"/>
      <c r="R837" s="127"/>
      <c r="S837" s="127"/>
      <c r="T837" s="127"/>
      <c r="U837" s="127"/>
      <c r="V837" s="127"/>
      <c r="W837" s="127"/>
      <c r="X837" s="127"/>
      <c r="Y837" s="127"/>
      <c r="Z837" s="127"/>
    </row>
    <row r="838" customFormat="false" ht="15.75" hidden="false" customHeight="false" outlineLevel="0" collapsed="false">
      <c r="A838" s="127"/>
      <c r="B838" s="127"/>
      <c r="C838" s="127"/>
      <c r="D838" s="127"/>
      <c r="E838" s="127"/>
      <c r="F838" s="127"/>
      <c r="G838" s="127"/>
      <c r="H838" s="127"/>
      <c r="I838" s="127"/>
      <c r="J838" s="127"/>
      <c r="K838" s="127"/>
      <c r="L838" s="127"/>
      <c r="M838" s="127"/>
      <c r="N838" s="127"/>
      <c r="O838" s="127"/>
      <c r="P838" s="127"/>
      <c r="Q838" s="127"/>
      <c r="R838" s="127"/>
      <c r="S838" s="127"/>
      <c r="T838" s="127"/>
      <c r="U838" s="127"/>
      <c r="V838" s="127"/>
      <c r="W838" s="127"/>
      <c r="X838" s="127"/>
      <c r="Y838" s="127"/>
      <c r="Z838" s="127"/>
    </row>
    <row r="839" customFormat="false" ht="15.75" hidden="false" customHeight="false" outlineLevel="0" collapsed="false">
      <c r="A839" s="127"/>
      <c r="B839" s="127"/>
      <c r="C839" s="127"/>
      <c r="D839" s="127"/>
      <c r="E839" s="127"/>
      <c r="F839" s="127"/>
      <c r="G839" s="127"/>
      <c r="H839" s="127"/>
      <c r="I839" s="127"/>
      <c r="J839" s="127"/>
      <c r="K839" s="127"/>
      <c r="L839" s="127"/>
      <c r="M839" s="127"/>
      <c r="N839" s="127"/>
      <c r="O839" s="127"/>
      <c r="P839" s="127"/>
      <c r="Q839" s="127"/>
      <c r="R839" s="127"/>
      <c r="S839" s="127"/>
      <c r="T839" s="127"/>
      <c r="U839" s="127"/>
      <c r="V839" s="127"/>
      <c r="W839" s="127"/>
      <c r="X839" s="127"/>
      <c r="Y839" s="127"/>
      <c r="Z839" s="127"/>
    </row>
    <row r="840" customFormat="false" ht="15.75" hidden="false" customHeight="false" outlineLevel="0" collapsed="false">
      <c r="A840" s="127"/>
      <c r="B840" s="127"/>
      <c r="C840" s="127"/>
      <c r="D840" s="127"/>
      <c r="E840" s="127"/>
      <c r="F840" s="127"/>
      <c r="G840" s="127"/>
      <c r="H840" s="127"/>
      <c r="I840" s="127"/>
      <c r="J840" s="127"/>
      <c r="K840" s="127"/>
      <c r="L840" s="127"/>
      <c r="M840" s="127"/>
      <c r="N840" s="127"/>
      <c r="O840" s="127"/>
      <c r="P840" s="127"/>
      <c r="Q840" s="127"/>
      <c r="R840" s="127"/>
      <c r="S840" s="127"/>
      <c r="T840" s="127"/>
      <c r="U840" s="127"/>
      <c r="V840" s="127"/>
      <c r="W840" s="127"/>
      <c r="X840" s="127"/>
      <c r="Y840" s="127"/>
      <c r="Z840" s="127"/>
    </row>
    <row r="841" customFormat="false" ht="15.75" hidden="false" customHeight="false" outlineLevel="0" collapsed="false">
      <c r="A841" s="127"/>
      <c r="B841" s="127"/>
      <c r="C841" s="127"/>
      <c r="D841" s="127"/>
      <c r="E841" s="127"/>
      <c r="F841" s="127"/>
      <c r="G841" s="127"/>
      <c r="H841" s="127"/>
      <c r="I841" s="127"/>
      <c r="J841" s="127"/>
      <c r="K841" s="127"/>
      <c r="L841" s="127"/>
      <c r="M841" s="127"/>
      <c r="N841" s="127"/>
      <c r="O841" s="127"/>
      <c r="P841" s="127"/>
      <c r="Q841" s="127"/>
      <c r="R841" s="127"/>
      <c r="S841" s="127"/>
      <c r="T841" s="127"/>
      <c r="U841" s="127"/>
      <c r="V841" s="127"/>
      <c r="W841" s="127"/>
      <c r="X841" s="127"/>
      <c r="Y841" s="127"/>
      <c r="Z841" s="127"/>
    </row>
    <row r="842" customFormat="false" ht="15.75" hidden="false" customHeight="false" outlineLevel="0" collapsed="false">
      <c r="A842" s="127"/>
      <c r="B842" s="127"/>
      <c r="C842" s="127"/>
      <c r="D842" s="127"/>
      <c r="E842" s="127"/>
      <c r="F842" s="127"/>
      <c r="G842" s="127"/>
      <c r="H842" s="127"/>
      <c r="I842" s="127"/>
      <c r="J842" s="127"/>
      <c r="K842" s="127"/>
      <c r="L842" s="127"/>
      <c r="M842" s="127"/>
      <c r="N842" s="127"/>
      <c r="O842" s="127"/>
      <c r="P842" s="127"/>
      <c r="Q842" s="127"/>
      <c r="R842" s="127"/>
      <c r="S842" s="127"/>
      <c r="T842" s="127"/>
      <c r="U842" s="127"/>
      <c r="V842" s="127"/>
      <c r="W842" s="127"/>
      <c r="X842" s="127"/>
      <c r="Y842" s="127"/>
      <c r="Z842" s="127"/>
    </row>
    <row r="843" customFormat="false" ht="15.75" hidden="false" customHeight="false" outlineLevel="0" collapsed="false">
      <c r="A843" s="127"/>
      <c r="B843" s="127"/>
      <c r="C843" s="127"/>
      <c r="D843" s="127"/>
      <c r="E843" s="127"/>
      <c r="F843" s="127"/>
      <c r="G843" s="127"/>
      <c r="H843" s="127"/>
      <c r="I843" s="127"/>
      <c r="J843" s="127"/>
      <c r="K843" s="127"/>
      <c r="L843" s="127"/>
      <c r="M843" s="127"/>
      <c r="N843" s="127"/>
      <c r="O843" s="127"/>
      <c r="P843" s="127"/>
      <c r="Q843" s="127"/>
      <c r="R843" s="127"/>
      <c r="S843" s="127"/>
      <c r="T843" s="127"/>
      <c r="U843" s="127"/>
      <c r="V843" s="127"/>
      <c r="W843" s="127"/>
      <c r="X843" s="127"/>
      <c r="Y843" s="127"/>
      <c r="Z843" s="127"/>
    </row>
    <row r="844" customFormat="false" ht="15.75" hidden="false" customHeight="false" outlineLevel="0" collapsed="false">
      <c r="A844" s="127"/>
      <c r="B844" s="127"/>
      <c r="C844" s="127"/>
      <c r="D844" s="127"/>
      <c r="E844" s="127"/>
      <c r="F844" s="127"/>
      <c r="G844" s="127"/>
      <c r="H844" s="127"/>
      <c r="I844" s="127"/>
      <c r="J844" s="127"/>
      <c r="K844" s="127"/>
      <c r="L844" s="127"/>
      <c r="M844" s="127"/>
      <c r="N844" s="127"/>
      <c r="O844" s="127"/>
      <c r="P844" s="127"/>
      <c r="Q844" s="127"/>
      <c r="R844" s="127"/>
      <c r="S844" s="127"/>
      <c r="T844" s="127"/>
      <c r="U844" s="127"/>
      <c r="V844" s="127"/>
      <c r="W844" s="127"/>
      <c r="X844" s="127"/>
      <c r="Y844" s="127"/>
      <c r="Z844" s="127"/>
    </row>
    <row r="845" customFormat="false" ht="15.75" hidden="false" customHeight="false" outlineLevel="0" collapsed="false">
      <c r="A845" s="127"/>
      <c r="B845" s="127"/>
      <c r="C845" s="127"/>
      <c r="D845" s="127"/>
      <c r="E845" s="127"/>
      <c r="F845" s="127"/>
      <c r="G845" s="127"/>
      <c r="H845" s="127"/>
      <c r="I845" s="127"/>
      <c r="J845" s="127"/>
      <c r="K845" s="127"/>
      <c r="L845" s="127"/>
      <c r="M845" s="127"/>
      <c r="N845" s="127"/>
      <c r="O845" s="127"/>
      <c r="P845" s="127"/>
      <c r="Q845" s="127"/>
      <c r="R845" s="127"/>
      <c r="S845" s="127"/>
      <c r="T845" s="127"/>
      <c r="U845" s="127"/>
      <c r="V845" s="127"/>
      <c r="W845" s="127"/>
      <c r="X845" s="127"/>
      <c r="Y845" s="127"/>
      <c r="Z845" s="127"/>
    </row>
    <row r="846" customFormat="false" ht="15.75" hidden="false" customHeight="false" outlineLevel="0" collapsed="false">
      <c r="A846" s="127"/>
      <c r="B846" s="127"/>
      <c r="C846" s="127"/>
      <c r="D846" s="127"/>
      <c r="E846" s="127"/>
      <c r="F846" s="127"/>
      <c r="G846" s="127"/>
      <c r="H846" s="127"/>
      <c r="I846" s="127"/>
      <c r="J846" s="127"/>
      <c r="K846" s="127"/>
      <c r="L846" s="127"/>
      <c r="M846" s="127"/>
      <c r="N846" s="127"/>
      <c r="O846" s="127"/>
      <c r="P846" s="127"/>
      <c r="Q846" s="127"/>
      <c r="R846" s="127"/>
      <c r="S846" s="127"/>
      <c r="T846" s="127"/>
      <c r="U846" s="127"/>
      <c r="V846" s="127"/>
      <c r="W846" s="127"/>
      <c r="X846" s="127"/>
      <c r="Y846" s="127"/>
      <c r="Z846" s="127"/>
    </row>
    <row r="847" customFormat="false" ht="15.75" hidden="false" customHeight="false" outlineLevel="0" collapsed="false">
      <c r="A847" s="127"/>
      <c r="B847" s="127"/>
      <c r="C847" s="127"/>
      <c r="D847" s="127"/>
      <c r="E847" s="127"/>
      <c r="F847" s="127"/>
      <c r="G847" s="127"/>
      <c r="H847" s="127"/>
      <c r="I847" s="127"/>
      <c r="J847" s="127"/>
      <c r="K847" s="127"/>
      <c r="L847" s="127"/>
      <c r="M847" s="127"/>
      <c r="N847" s="127"/>
      <c r="O847" s="127"/>
      <c r="P847" s="127"/>
      <c r="Q847" s="127"/>
      <c r="R847" s="127"/>
      <c r="S847" s="127"/>
      <c r="T847" s="127"/>
      <c r="U847" s="127"/>
      <c r="V847" s="127"/>
      <c r="W847" s="127"/>
      <c r="X847" s="127"/>
      <c r="Y847" s="127"/>
      <c r="Z847" s="127"/>
    </row>
    <row r="848" customFormat="false" ht="15.75" hidden="false" customHeight="false" outlineLevel="0" collapsed="false">
      <c r="A848" s="127"/>
      <c r="B848" s="127"/>
      <c r="C848" s="127"/>
      <c r="D848" s="127"/>
      <c r="E848" s="127"/>
      <c r="F848" s="127"/>
      <c r="G848" s="127"/>
      <c r="H848" s="127"/>
      <c r="I848" s="127"/>
      <c r="J848" s="127"/>
      <c r="K848" s="127"/>
      <c r="L848" s="127"/>
      <c r="M848" s="127"/>
      <c r="N848" s="127"/>
      <c r="O848" s="127"/>
      <c r="P848" s="127"/>
      <c r="Q848" s="127"/>
      <c r="R848" s="127"/>
      <c r="S848" s="127"/>
      <c r="T848" s="127"/>
      <c r="U848" s="127"/>
      <c r="V848" s="127"/>
      <c r="W848" s="127"/>
      <c r="X848" s="127"/>
      <c r="Y848" s="127"/>
      <c r="Z848" s="127"/>
    </row>
    <row r="849" customFormat="false" ht="15.75" hidden="false" customHeight="false" outlineLevel="0" collapsed="false">
      <c r="A849" s="127"/>
      <c r="B849" s="127"/>
      <c r="C849" s="127"/>
      <c r="D849" s="127"/>
      <c r="E849" s="127"/>
      <c r="F849" s="127"/>
      <c r="G849" s="127"/>
      <c r="H849" s="127"/>
      <c r="I849" s="127"/>
      <c r="J849" s="127"/>
      <c r="K849" s="127"/>
      <c r="L849" s="127"/>
      <c r="M849" s="127"/>
      <c r="N849" s="127"/>
      <c r="O849" s="127"/>
      <c r="P849" s="127"/>
      <c r="Q849" s="127"/>
      <c r="R849" s="127"/>
      <c r="S849" s="127"/>
      <c r="T849" s="127"/>
      <c r="U849" s="127"/>
      <c r="V849" s="127"/>
      <c r="W849" s="127"/>
      <c r="X849" s="127"/>
      <c r="Y849" s="127"/>
      <c r="Z849" s="127"/>
    </row>
    <row r="850" customFormat="false" ht="15.75" hidden="false" customHeight="false" outlineLevel="0" collapsed="false">
      <c r="A850" s="127"/>
      <c r="B850" s="127"/>
      <c r="C850" s="127"/>
      <c r="D850" s="127"/>
      <c r="E850" s="127"/>
      <c r="F850" s="127"/>
      <c r="G850" s="127"/>
      <c r="H850" s="127"/>
      <c r="I850" s="127"/>
      <c r="J850" s="127"/>
      <c r="K850" s="127"/>
      <c r="L850" s="127"/>
      <c r="M850" s="127"/>
      <c r="N850" s="127"/>
      <c r="O850" s="127"/>
      <c r="P850" s="127"/>
      <c r="Q850" s="127"/>
      <c r="R850" s="127"/>
      <c r="S850" s="127"/>
      <c r="T850" s="127"/>
      <c r="U850" s="127"/>
      <c r="V850" s="127"/>
      <c r="W850" s="127"/>
      <c r="X850" s="127"/>
      <c r="Y850" s="127"/>
      <c r="Z850" s="127"/>
    </row>
    <row r="851" customFormat="false" ht="15.75" hidden="false" customHeight="false" outlineLevel="0" collapsed="false">
      <c r="A851" s="127"/>
      <c r="B851" s="127"/>
      <c r="C851" s="127"/>
      <c r="D851" s="127"/>
      <c r="E851" s="127"/>
      <c r="F851" s="127"/>
      <c r="G851" s="127"/>
      <c r="H851" s="127"/>
      <c r="I851" s="127"/>
      <c r="J851" s="127"/>
      <c r="K851" s="127"/>
      <c r="L851" s="127"/>
      <c r="M851" s="127"/>
      <c r="N851" s="127"/>
      <c r="O851" s="127"/>
      <c r="P851" s="127"/>
      <c r="Q851" s="127"/>
      <c r="R851" s="127"/>
      <c r="S851" s="127"/>
      <c r="T851" s="127"/>
      <c r="U851" s="127"/>
      <c r="V851" s="127"/>
      <c r="W851" s="127"/>
      <c r="X851" s="127"/>
      <c r="Y851" s="127"/>
      <c r="Z851" s="127"/>
    </row>
    <row r="852" customFormat="false" ht="15.75" hidden="false" customHeight="false" outlineLevel="0" collapsed="false">
      <c r="A852" s="127"/>
      <c r="B852" s="127"/>
      <c r="C852" s="127"/>
      <c r="D852" s="127"/>
      <c r="E852" s="127"/>
      <c r="F852" s="127"/>
      <c r="G852" s="127"/>
      <c r="H852" s="127"/>
      <c r="I852" s="127"/>
      <c r="J852" s="127"/>
      <c r="K852" s="127"/>
      <c r="L852" s="127"/>
      <c r="M852" s="127"/>
      <c r="N852" s="127"/>
      <c r="O852" s="127"/>
      <c r="P852" s="127"/>
      <c r="Q852" s="127"/>
      <c r="R852" s="127"/>
      <c r="S852" s="127"/>
      <c r="T852" s="127"/>
      <c r="U852" s="127"/>
      <c r="V852" s="127"/>
      <c r="W852" s="127"/>
      <c r="X852" s="127"/>
      <c r="Y852" s="127"/>
      <c r="Z852" s="127"/>
    </row>
    <row r="853" customFormat="false" ht="15.75" hidden="false" customHeight="false" outlineLevel="0" collapsed="false">
      <c r="A853" s="127"/>
      <c r="B853" s="127"/>
      <c r="C853" s="127"/>
      <c r="D853" s="127"/>
      <c r="E853" s="127"/>
      <c r="F853" s="127"/>
      <c r="G853" s="127"/>
      <c r="H853" s="127"/>
      <c r="I853" s="127"/>
      <c r="J853" s="127"/>
      <c r="K853" s="127"/>
      <c r="L853" s="127"/>
      <c r="M853" s="127"/>
      <c r="N853" s="127"/>
      <c r="O853" s="127"/>
      <c r="P853" s="127"/>
      <c r="Q853" s="127"/>
      <c r="R853" s="127"/>
      <c r="S853" s="127"/>
      <c r="T853" s="127"/>
      <c r="U853" s="127"/>
      <c r="V853" s="127"/>
      <c r="W853" s="127"/>
      <c r="X853" s="127"/>
      <c r="Y853" s="127"/>
      <c r="Z853" s="127"/>
    </row>
    <row r="854" customFormat="false" ht="15.75" hidden="false" customHeight="false" outlineLevel="0" collapsed="false">
      <c r="A854" s="127"/>
      <c r="B854" s="127"/>
      <c r="C854" s="127"/>
      <c r="D854" s="127"/>
      <c r="E854" s="127"/>
      <c r="F854" s="127"/>
      <c r="G854" s="127"/>
      <c r="H854" s="127"/>
      <c r="I854" s="127"/>
      <c r="J854" s="127"/>
      <c r="K854" s="127"/>
      <c r="L854" s="127"/>
      <c r="M854" s="127"/>
      <c r="N854" s="127"/>
      <c r="O854" s="127"/>
      <c r="P854" s="127"/>
      <c r="Q854" s="127"/>
      <c r="R854" s="127"/>
      <c r="S854" s="127"/>
      <c r="T854" s="127"/>
      <c r="U854" s="127"/>
      <c r="V854" s="127"/>
      <c r="W854" s="127"/>
      <c r="X854" s="127"/>
      <c r="Y854" s="127"/>
      <c r="Z854" s="127"/>
    </row>
    <row r="855" customFormat="false" ht="15.75" hidden="false" customHeight="false" outlineLevel="0" collapsed="false">
      <c r="A855" s="127"/>
      <c r="B855" s="127"/>
      <c r="C855" s="127"/>
      <c r="D855" s="127"/>
      <c r="E855" s="127"/>
      <c r="F855" s="127"/>
      <c r="G855" s="127"/>
      <c r="H855" s="127"/>
      <c r="I855" s="127"/>
      <c r="J855" s="127"/>
      <c r="K855" s="127"/>
      <c r="L855" s="127"/>
      <c r="M855" s="127"/>
      <c r="N855" s="127"/>
      <c r="O855" s="127"/>
      <c r="P855" s="127"/>
      <c r="Q855" s="127"/>
      <c r="R855" s="127"/>
      <c r="S855" s="127"/>
      <c r="T855" s="127"/>
      <c r="U855" s="127"/>
      <c r="V855" s="127"/>
      <c r="W855" s="127"/>
      <c r="X855" s="127"/>
      <c r="Y855" s="127"/>
      <c r="Z855" s="127"/>
    </row>
    <row r="856" customFormat="false" ht="15.75" hidden="false" customHeight="false" outlineLevel="0" collapsed="false">
      <c r="A856" s="127"/>
      <c r="B856" s="127"/>
      <c r="C856" s="127"/>
      <c r="D856" s="127"/>
      <c r="E856" s="127"/>
      <c r="F856" s="127"/>
      <c r="G856" s="127"/>
      <c r="H856" s="127"/>
      <c r="I856" s="127"/>
      <c r="J856" s="127"/>
      <c r="K856" s="127"/>
      <c r="L856" s="127"/>
      <c r="M856" s="127"/>
      <c r="N856" s="127"/>
      <c r="O856" s="127"/>
      <c r="P856" s="127"/>
      <c r="Q856" s="127"/>
      <c r="R856" s="127"/>
      <c r="S856" s="127"/>
      <c r="T856" s="127"/>
      <c r="U856" s="127"/>
      <c r="V856" s="127"/>
      <c r="W856" s="127"/>
      <c r="X856" s="127"/>
      <c r="Y856" s="127"/>
      <c r="Z856" s="127"/>
    </row>
    <row r="857" customFormat="false" ht="15.75" hidden="false" customHeight="false" outlineLevel="0" collapsed="false">
      <c r="A857" s="127"/>
      <c r="B857" s="127"/>
      <c r="C857" s="127"/>
      <c r="D857" s="127"/>
      <c r="E857" s="127"/>
      <c r="F857" s="127"/>
      <c r="G857" s="127"/>
      <c r="H857" s="127"/>
      <c r="I857" s="127"/>
      <c r="J857" s="127"/>
      <c r="K857" s="127"/>
      <c r="L857" s="127"/>
      <c r="M857" s="127"/>
      <c r="N857" s="127"/>
      <c r="O857" s="127"/>
      <c r="P857" s="127"/>
      <c r="Q857" s="127"/>
      <c r="R857" s="127"/>
      <c r="S857" s="127"/>
      <c r="T857" s="127"/>
      <c r="U857" s="127"/>
      <c r="V857" s="127"/>
      <c r="W857" s="127"/>
      <c r="X857" s="127"/>
      <c r="Y857" s="127"/>
      <c r="Z857" s="127"/>
    </row>
    <row r="858" customFormat="false" ht="15.75" hidden="false" customHeight="false" outlineLevel="0" collapsed="false">
      <c r="A858" s="127"/>
      <c r="B858" s="127"/>
      <c r="C858" s="127"/>
      <c r="D858" s="127"/>
      <c r="E858" s="127"/>
      <c r="F858" s="127"/>
      <c r="G858" s="127"/>
      <c r="H858" s="127"/>
      <c r="I858" s="127"/>
      <c r="J858" s="127"/>
      <c r="K858" s="127"/>
      <c r="L858" s="127"/>
      <c r="M858" s="127"/>
      <c r="N858" s="127"/>
      <c r="O858" s="127"/>
      <c r="P858" s="127"/>
      <c r="Q858" s="127"/>
      <c r="R858" s="127"/>
      <c r="S858" s="127"/>
      <c r="T858" s="127"/>
      <c r="U858" s="127"/>
      <c r="V858" s="127"/>
      <c r="W858" s="127"/>
      <c r="X858" s="127"/>
      <c r="Y858" s="127"/>
      <c r="Z858" s="127"/>
    </row>
    <row r="859" customFormat="false" ht="15.75" hidden="false" customHeight="false" outlineLevel="0" collapsed="false">
      <c r="A859" s="127"/>
      <c r="B859" s="127"/>
      <c r="C859" s="127"/>
      <c r="D859" s="127"/>
      <c r="E859" s="127"/>
      <c r="F859" s="127"/>
      <c r="G859" s="127"/>
      <c r="H859" s="127"/>
      <c r="I859" s="127"/>
      <c r="J859" s="127"/>
      <c r="K859" s="127"/>
      <c r="L859" s="127"/>
      <c r="M859" s="127"/>
      <c r="N859" s="127"/>
      <c r="O859" s="127"/>
      <c r="P859" s="127"/>
      <c r="Q859" s="127"/>
      <c r="R859" s="127"/>
      <c r="S859" s="127"/>
      <c r="T859" s="127"/>
      <c r="U859" s="127"/>
      <c r="V859" s="127"/>
      <c r="W859" s="127"/>
      <c r="X859" s="127"/>
      <c r="Y859" s="127"/>
      <c r="Z859" s="127"/>
    </row>
    <row r="860" customFormat="false" ht="15.75" hidden="false" customHeight="false" outlineLevel="0" collapsed="false">
      <c r="A860" s="127"/>
      <c r="B860" s="127"/>
      <c r="C860" s="127"/>
      <c r="D860" s="127"/>
      <c r="E860" s="127"/>
      <c r="F860" s="127"/>
      <c r="G860" s="127"/>
      <c r="H860" s="127"/>
      <c r="I860" s="127"/>
      <c r="J860" s="127"/>
      <c r="K860" s="127"/>
      <c r="L860" s="127"/>
      <c r="M860" s="127"/>
      <c r="N860" s="127"/>
      <c r="O860" s="127"/>
      <c r="P860" s="127"/>
      <c r="Q860" s="127"/>
      <c r="R860" s="127"/>
      <c r="S860" s="127"/>
      <c r="T860" s="127"/>
      <c r="U860" s="127"/>
      <c r="V860" s="127"/>
      <c r="W860" s="127"/>
      <c r="X860" s="127"/>
      <c r="Y860" s="127"/>
      <c r="Z860" s="127"/>
    </row>
    <row r="861" customFormat="false" ht="15.75" hidden="false" customHeight="false" outlineLevel="0" collapsed="false">
      <c r="A861" s="127"/>
      <c r="B861" s="127"/>
      <c r="C861" s="127"/>
      <c r="D861" s="127"/>
      <c r="E861" s="127"/>
      <c r="F861" s="127"/>
      <c r="G861" s="127"/>
      <c r="H861" s="127"/>
      <c r="I861" s="127"/>
      <c r="J861" s="127"/>
      <c r="K861" s="127"/>
      <c r="L861" s="127"/>
      <c r="M861" s="127"/>
      <c r="N861" s="127"/>
      <c r="O861" s="127"/>
      <c r="P861" s="127"/>
      <c r="Q861" s="127"/>
      <c r="R861" s="127"/>
      <c r="S861" s="127"/>
      <c r="T861" s="127"/>
      <c r="U861" s="127"/>
      <c r="V861" s="127"/>
      <c r="W861" s="127"/>
      <c r="X861" s="127"/>
      <c r="Y861" s="127"/>
      <c r="Z861" s="127"/>
    </row>
    <row r="862" customFormat="false" ht="15.75" hidden="false" customHeight="false" outlineLevel="0" collapsed="false">
      <c r="A862" s="127"/>
      <c r="B862" s="127"/>
      <c r="C862" s="127"/>
      <c r="D862" s="127"/>
      <c r="E862" s="127"/>
      <c r="F862" s="127"/>
      <c r="G862" s="127"/>
      <c r="H862" s="127"/>
      <c r="I862" s="127"/>
      <c r="J862" s="127"/>
      <c r="K862" s="127"/>
      <c r="L862" s="127"/>
      <c r="M862" s="127"/>
      <c r="N862" s="127"/>
      <c r="O862" s="127"/>
      <c r="P862" s="127"/>
      <c r="Q862" s="127"/>
      <c r="R862" s="127"/>
      <c r="S862" s="127"/>
      <c r="T862" s="127"/>
      <c r="U862" s="127"/>
      <c r="V862" s="127"/>
      <c r="W862" s="127"/>
      <c r="X862" s="127"/>
      <c r="Y862" s="127"/>
      <c r="Z862" s="127"/>
    </row>
    <row r="863" customFormat="false" ht="15.75" hidden="false" customHeight="false" outlineLevel="0" collapsed="false">
      <c r="A863" s="127"/>
      <c r="B863" s="127"/>
      <c r="C863" s="127"/>
      <c r="D863" s="127"/>
      <c r="E863" s="127"/>
      <c r="F863" s="127"/>
      <c r="G863" s="127"/>
      <c r="H863" s="127"/>
      <c r="I863" s="127"/>
      <c r="J863" s="127"/>
      <c r="K863" s="127"/>
      <c r="L863" s="127"/>
      <c r="M863" s="127"/>
      <c r="N863" s="127"/>
      <c r="O863" s="127"/>
      <c r="P863" s="127"/>
      <c r="Q863" s="127"/>
      <c r="R863" s="127"/>
      <c r="S863" s="127"/>
      <c r="T863" s="127"/>
      <c r="U863" s="127"/>
      <c r="V863" s="127"/>
      <c r="W863" s="127"/>
      <c r="X863" s="127"/>
      <c r="Y863" s="127"/>
      <c r="Z863" s="127"/>
    </row>
    <row r="864" customFormat="false" ht="15.75" hidden="false" customHeight="false" outlineLevel="0" collapsed="false">
      <c r="A864" s="127"/>
      <c r="B864" s="127"/>
      <c r="C864" s="127"/>
      <c r="D864" s="127"/>
      <c r="E864" s="127"/>
      <c r="F864" s="127"/>
      <c r="G864" s="127"/>
      <c r="H864" s="127"/>
      <c r="I864" s="127"/>
      <c r="J864" s="127"/>
      <c r="K864" s="127"/>
      <c r="L864" s="127"/>
      <c r="M864" s="127"/>
      <c r="N864" s="127"/>
      <c r="O864" s="127"/>
      <c r="P864" s="127"/>
      <c r="Q864" s="127"/>
      <c r="R864" s="127"/>
      <c r="S864" s="127"/>
      <c r="T864" s="127"/>
      <c r="U864" s="127"/>
      <c r="V864" s="127"/>
      <c r="W864" s="127"/>
      <c r="X864" s="127"/>
      <c r="Y864" s="127"/>
      <c r="Z864" s="127"/>
    </row>
    <row r="865" customFormat="false" ht="15.75" hidden="false" customHeight="false" outlineLevel="0" collapsed="false">
      <c r="A865" s="127"/>
      <c r="B865" s="127"/>
      <c r="C865" s="127"/>
      <c r="D865" s="127"/>
      <c r="E865" s="127"/>
      <c r="F865" s="127"/>
      <c r="G865" s="127"/>
      <c r="H865" s="127"/>
      <c r="I865" s="127"/>
      <c r="J865" s="127"/>
      <c r="K865" s="127"/>
      <c r="L865" s="127"/>
      <c r="M865" s="127"/>
      <c r="N865" s="127"/>
      <c r="O865" s="127"/>
      <c r="P865" s="127"/>
      <c r="Q865" s="127"/>
      <c r="R865" s="127"/>
      <c r="S865" s="127"/>
      <c r="T865" s="127"/>
      <c r="U865" s="127"/>
      <c r="V865" s="127"/>
      <c r="W865" s="127"/>
      <c r="X865" s="127"/>
      <c r="Y865" s="127"/>
      <c r="Z865" s="127"/>
    </row>
    <row r="866" customFormat="false" ht="15.75" hidden="false" customHeight="false" outlineLevel="0" collapsed="false">
      <c r="A866" s="127"/>
      <c r="B866" s="127"/>
      <c r="C866" s="127"/>
      <c r="D866" s="127"/>
      <c r="E866" s="127"/>
      <c r="F866" s="127"/>
      <c r="G866" s="127"/>
      <c r="H866" s="127"/>
      <c r="I866" s="127"/>
      <c r="J866" s="127"/>
      <c r="K866" s="127"/>
      <c r="L866" s="127"/>
      <c r="M866" s="127"/>
      <c r="N866" s="127"/>
      <c r="O866" s="127"/>
      <c r="P866" s="127"/>
      <c r="Q866" s="127"/>
      <c r="R866" s="127"/>
      <c r="S866" s="127"/>
      <c r="T866" s="127"/>
      <c r="U866" s="127"/>
      <c r="V866" s="127"/>
      <c r="W866" s="127"/>
      <c r="X866" s="127"/>
      <c r="Y866" s="127"/>
      <c r="Z866" s="127"/>
    </row>
    <row r="867" customFormat="false" ht="15.75" hidden="false" customHeight="false" outlineLevel="0" collapsed="false">
      <c r="A867" s="127"/>
      <c r="B867" s="127"/>
      <c r="C867" s="127"/>
      <c r="D867" s="127"/>
      <c r="E867" s="127"/>
      <c r="F867" s="127"/>
      <c r="G867" s="127"/>
      <c r="H867" s="127"/>
      <c r="I867" s="127"/>
      <c r="J867" s="127"/>
      <c r="K867" s="127"/>
      <c r="L867" s="127"/>
      <c r="M867" s="127"/>
      <c r="N867" s="127"/>
      <c r="O867" s="127"/>
      <c r="P867" s="127"/>
      <c r="Q867" s="127"/>
      <c r="R867" s="127"/>
      <c r="S867" s="127"/>
      <c r="T867" s="127"/>
      <c r="U867" s="127"/>
      <c r="V867" s="127"/>
      <c r="W867" s="127"/>
      <c r="X867" s="127"/>
      <c r="Y867" s="127"/>
      <c r="Z867" s="127"/>
    </row>
    <row r="868" customFormat="false" ht="15.75" hidden="false" customHeight="false" outlineLevel="0" collapsed="false">
      <c r="A868" s="127"/>
      <c r="B868" s="127"/>
      <c r="C868" s="127"/>
      <c r="D868" s="127"/>
      <c r="E868" s="127"/>
      <c r="F868" s="127"/>
      <c r="G868" s="127"/>
      <c r="H868" s="127"/>
      <c r="I868" s="127"/>
      <c r="J868" s="127"/>
      <c r="K868" s="127"/>
      <c r="L868" s="127"/>
      <c r="M868" s="127"/>
      <c r="N868" s="127"/>
      <c r="O868" s="127"/>
      <c r="P868" s="127"/>
      <c r="Q868" s="127"/>
      <c r="R868" s="127"/>
      <c r="S868" s="127"/>
      <c r="T868" s="127"/>
      <c r="U868" s="127"/>
      <c r="V868" s="127"/>
      <c r="W868" s="127"/>
      <c r="X868" s="127"/>
      <c r="Y868" s="127"/>
      <c r="Z868" s="127"/>
    </row>
    <row r="869" customFormat="false" ht="15.75" hidden="false" customHeight="false" outlineLevel="0" collapsed="false">
      <c r="A869" s="127"/>
      <c r="B869" s="127"/>
      <c r="C869" s="127"/>
      <c r="D869" s="127"/>
      <c r="E869" s="127"/>
      <c r="F869" s="127"/>
      <c r="G869" s="127"/>
      <c r="H869" s="127"/>
      <c r="I869" s="127"/>
      <c r="J869" s="127"/>
      <c r="K869" s="127"/>
      <c r="L869" s="127"/>
      <c r="M869" s="127"/>
      <c r="N869" s="127"/>
      <c r="O869" s="127"/>
      <c r="P869" s="127"/>
      <c r="Q869" s="127"/>
      <c r="R869" s="127"/>
      <c r="S869" s="127"/>
      <c r="T869" s="127"/>
      <c r="U869" s="127"/>
      <c r="V869" s="127"/>
      <c r="W869" s="127"/>
      <c r="X869" s="127"/>
      <c r="Y869" s="127"/>
      <c r="Z869" s="127"/>
    </row>
    <row r="870" customFormat="false" ht="15.75" hidden="false" customHeight="false" outlineLevel="0" collapsed="false">
      <c r="A870" s="127"/>
      <c r="B870" s="127"/>
      <c r="C870" s="127"/>
      <c r="D870" s="127"/>
      <c r="E870" s="127"/>
      <c r="F870" s="127"/>
      <c r="G870" s="127"/>
      <c r="H870" s="127"/>
      <c r="I870" s="127"/>
      <c r="J870" s="127"/>
      <c r="K870" s="127"/>
      <c r="L870" s="127"/>
      <c r="M870" s="127"/>
      <c r="N870" s="127"/>
      <c r="O870" s="127"/>
      <c r="P870" s="127"/>
      <c r="Q870" s="127"/>
      <c r="R870" s="127"/>
      <c r="S870" s="127"/>
      <c r="T870" s="127"/>
      <c r="U870" s="127"/>
      <c r="V870" s="127"/>
      <c r="W870" s="127"/>
      <c r="X870" s="127"/>
      <c r="Y870" s="127"/>
      <c r="Z870" s="127"/>
    </row>
    <row r="871" customFormat="false" ht="15.75" hidden="false" customHeight="false" outlineLevel="0" collapsed="false">
      <c r="A871" s="127"/>
      <c r="B871" s="127"/>
      <c r="C871" s="127"/>
      <c r="D871" s="127"/>
      <c r="E871" s="127"/>
      <c r="F871" s="127"/>
      <c r="G871" s="127"/>
      <c r="H871" s="127"/>
      <c r="I871" s="127"/>
      <c r="J871" s="127"/>
      <c r="K871" s="127"/>
      <c r="L871" s="127"/>
      <c r="M871" s="127"/>
      <c r="N871" s="127"/>
      <c r="O871" s="127"/>
      <c r="P871" s="127"/>
      <c r="Q871" s="127"/>
      <c r="R871" s="127"/>
      <c r="S871" s="127"/>
      <c r="T871" s="127"/>
      <c r="U871" s="127"/>
      <c r="V871" s="127"/>
      <c r="W871" s="127"/>
      <c r="X871" s="127"/>
      <c r="Y871" s="127"/>
      <c r="Z871" s="127"/>
    </row>
    <row r="872" customFormat="false" ht="15.75" hidden="false" customHeight="false" outlineLevel="0" collapsed="false">
      <c r="A872" s="127"/>
      <c r="B872" s="127"/>
      <c r="C872" s="127"/>
      <c r="D872" s="127"/>
      <c r="E872" s="127"/>
      <c r="F872" s="127"/>
      <c r="G872" s="127"/>
      <c r="H872" s="127"/>
      <c r="I872" s="127"/>
      <c r="J872" s="127"/>
      <c r="K872" s="127"/>
      <c r="L872" s="127"/>
      <c r="M872" s="127"/>
      <c r="N872" s="127"/>
      <c r="O872" s="127"/>
      <c r="P872" s="127"/>
      <c r="Q872" s="127"/>
      <c r="R872" s="127"/>
      <c r="S872" s="127"/>
      <c r="T872" s="127"/>
      <c r="U872" s="127"/>
      <c r="V872" s="127"/>
      <c r="W872" s="127"/>
      <c r="X872" s="127"/>
      <c r="Y872" s="127"/>
      <c r="Z872" s="127"/>
    </row>
    <row r="873" customFormat="false" ht="15.75" hidden="false" customHeight="false" outlineLevel="0" collapsed="false">
      <c r="A873" s="127"/>
      <c r="B873" s="127"/>
      <c r="C873" s="127"/>
      <c r="D873" s="127"/>
      <c r="E873" s="127"/>
      <c r="F873" s="127"/>
      <c r="G873" s="127"/>
      <c r="H873" s="127"/>
      <c r="I873" s="127"/>
      <c r="J873" s="127"/>
      <c r="K873" s="127"/>
      <c r="L873" s="127"/>
      <c r="M873" s="127"/>
      <c r="N873" s="127"/>
      <c r="O873" s="127"/>
      <c r="P873" s="127"/>
      <c r="Q873" s="127"/>
      <c r="R873" s="127"/>
      <c r="S873" s="127"/>
      <c r="T873" s="127"/>
      <c r="U873" s="127"/>
      <c r="V873" s="127"/>
      <c r="W873" s="127"/>
      <c r="X873" s="127"/>
      <c r="Y873" s="127"/>
      <c r="Z873" s="127"/>
    </row>
    <row r="874" customFormat="false" ht="15.75" hidden="false" customHeight="false" outlineLevel="0" collapsed="false">
      <c r="A874" s="127"/>
      <c r="B874" s="127"/>
      <c r="C874" s="127"/>
      <c r="D874" s="127"/>
      <c r="E874" s="127"/>
      <c r="F874" s="127"/>
      <c r="G874" s="127"/>
      <c r="H874" s="127"/>
      <c r="I874" s="127"/>
      <c r="J874" s="127"/>
      <c r="K874" s="127"/>
      <c r="L874" s="127"/>
      <c r="M874" s="127"/>
      <c r="N874" s="127"/>
      <c r="O874" s="127"/>
      <c r="P874" s="127"/>
      <c r="Q874" s="127"/>
      <c r="R874" s="127"/>
      <c r="S874" s="127"/>
      <c r="T874" s="127"/>
      <c r="U874" s="127"/>
      <c r="V874" s="127"/>
      <c r="W874" s="127"/>
      <c r="X874" s="127"/>
      <c r="Y874" s="127"/>
      <c r="Z874" s="127"/>
    </row>
    <row r="875" customFormat="false" ht="15.75" hidden="false" customHeight="false" outlineLevel="0" collapsed="false">
      <c r="A875" s="127"/>
      <c r="B875" s="127"/>
      <c r="C875" s="127"/>
      <c r="D875" s="127"/>
      <c r="E875" s="127"/>
      <c r="F875" s="127"/>
      <c r="G875" s="127"/>
      <c r="H875" s="127"/>
      <c r="I875" s="127"/>
      <c r="J875" s="127"/>
      <c r="K875" s="127"/>
      <c r="L875" s="127"/>
      <c r="M875" s="127"/>
      <c r="N875" s="127"/>
      <c r="O875" s="127"/>
      <c r="P875" s="127"/>
      <c r="Q875" s="127"/>
      <c r="R875" s="127"/>
      <c r="S875" s="127"/>
      <c r="T875" s="127"/>
      <c r="U875" s="127"/>
      <c r="V875" s="127"/>
      <c r="W875" s="127"/>
      <c r="X875" s="127"/>
      <c r="Y875" s="127"/>
      <c r="Z875" s="127"/>
    </row>
    <row r="876" customFormat="false" ht="15.75" hidden="false" customHeight="false" outlineLevel="0" collapsed="false">
      <c r="A876" s="127"/>
      <c r="B876" s="127"/>
      <c r="C876" s="127"/>
      <c r="D876" s="127"/>
      <c r="E876" s="127"/>
      <c r="F876" s="127"/>
      <c r="G876" s="127"/>
      <c r="H876" s="127"/>
      <c r="I876" s="127"/>
      <c r="J876" s="127"/>
      <c r="K876" s="127"/>
      <c r="L876" s="127"/>
      <c r="M876" s="127"/>
      <c r="N876" s="127"/>
      <c r="O876" s="127"/>
      <c r="P876" s="127"/>
      <c r="Q876" s="127"/>
      <c r="R876" s="127"/>
      <c r="S876" s="127"/>
      <c r="T876" s="127"/>
      <c r="U876" s="127"/>
      <c r="V876" s="127"/>
      <c r="W876" s="127"/>
      <c r="X876" s="127"/>
      <c r="Y876" s="127"/>
      <c r="Z876" s="127"/>
    </row>
    <row r="877" customFormat="false" ht="15.75" hidden="false" customHeight="false" outlineLevel="0" collapsed="false">
      <c r="A877" s="127"/>
      <c r="B877" s="127"/>
      <c r="C877" s="127"/>
      <c r="D877" s="127"/>
      <c r="E877" s="127"/>
      <c r="F877" s="127"/>
      <c r="G877" s="127"/>
      <c r="H877" s="127"/>
      <c r="I877" s="127"/>
      <c r="J877" s="127"/>
      <c r="K877" s="127"/>
      <c r="L877" s="127"/>
      <c r="M877" s="127"/>
      <c r="N877" s="127"/>
      <c r="O877" s="127"/>
      <c r="P877" s="127"/>
      <c r="Q877" s="127"/>
      <c r="R877" s="127"/>
      <c r="S877" s="127"/>
      <c r="T877" s="127"/>
      <c r="U877" s="127"/>
      <c r="V877" s="127"/>
      <c r="W877" s="127"/>
      <c r="X877" s="127"/>
      <c r="Y877" s="127"/>
      <c r="Z877" s="127"/>
    </row>
    <row r="878" customFormat="false" ht="15.75" hidden="false" customHeight="false" outlineLevel="0" collapsed="false">
      <c r="A878" s="127"/>
      <c r="B878" s="127"/>
      <c r="C878" s="127"/>
      <c r="D878" s="127"/>
      <c r="E878" s="127"/>
      <c r="F878" s="127"/>
      <c r="G878" s="127"/>
      <c r="H878" s="127"/>
      <c r="I878" s="127"/>
      <c r="J878" s="127"/>
      <c r="K878" s="127"/>
      <c r="L878" s="127"/>
      <c r="M878" s="127"/>
      <c r="N878" s="127"/>
      <c r="O878" s="127"/>
      <c r="P878" s="127"/>
      <c r="Q878" s="127"/>
      <c r="R878" s="127"/>
      <c r="S878" s="127"/>
      <c r="T878" s="127"/>
      <c r="U878" s="127"/>
      <c r="V878" s="127"/>
      <c r="W878" s="127"/>
      <c r="X878" s="127"/>
      <c r="Y878" s="127"/>
      <c r="Z878" s="127"/>
    </row>
    <row r="879" customFormat="false" ht="15.75" hidden="false" customHeight="false" outlineLevel="0" collapsed="false">
      <c r="A879" s="127"/>
      <c r="B879" s="127"/>
      <c r="C879" s="127"/>
      <c r="D879" s="127"/>
      <c r="E879" s="127"/>
      <c r="F879" s="127"/>
      <c r="G879" s="127"/>
      <c r="H879" s="127"/>
      <c r="I879" s="127"/>
      <c r="J879" s="127"/>
      <c r="K879" s="127"/>
      <c r="L879" s="127"/>
      <c r="M879" s="127"/>
      <c r="N879" s="127"/>
      <c r="O879" s="127"/>
      <c r="P879" s="127"/>
      <c r="Q879" s="127"/>
      <c r="R879" s="127"/>
      <c r="S879" s="127"/>
      <c r="T879" s="127"/>
      <c r="U879" s="127"/>
      <c r="V879" s="127"/>
      <c r="W879" s="127"/>
      <c r="X879" s="127"/>
      <c r="Y879" s="127"/>
      <c r="Z879" s="127"/>
    </row>
    <row r="880" customFormat="false" ht="15.75" hidden="false" customHeight="false" outlineLevel="0" collapsed="false">
      <c r="A880" s="127"/>
      <c r="B880" s="127"/>
      <c r="C880" s="127"/>
      <c r="D880" s="127"/>
      <c r="E880" s="127"/>
      <c r="F880" s="127"/>
      <c r="G880" s="127"/>
      <c r="H880" s="127"/>
      <c r="I880" s="127"/>
      <c r="J880" s="127"/>
      <c r="K880" s="127"/>
      <c r="L880" s="127"/>
      <c r="M880" s="127"/>
      <c r="N880" s="127"/>
      <c r="O880" s="127"/>
      <c r="P880" s="127"/>
      <c r="Q880" s="127"/>
      <c r="R880" s="127"/>
      <c r="S880" s="127"/>
      <c r="T880" s="127"/>
      <c r="U880" s="127"/>
      <c r="V880" s="127"/>
      <c r="W880" s="127"/>
      <c r="X880" s="127"/>
      <c r="Y880" s="127"/>
      <c r="Z880" s="127"/>
    </row>
    <row r="881" customFormat="false" ht="15.75" hidden="false" customHeight="false" outlineLevel="0" collapsed="false">
      <c r="A881" s="127"/>
      <c r="B881" s="127"/>
      <c r="C881" s="127"/>
      <c r="D881" s="127"/>
      <c r="E881" s="127"/>
      <c r="F881" s="127"/>
      <c r="G881" s="127"/>
      <c r="H881" s="127"/>
      <c r="I881" s="127"/>
      <c r="J881" s="127"/>
      <c r="K881" s="127"/>
      <c r="L881" s="127"/>
      <c r="M881" s="127"/>
      <c r="N881" s="127"/>
      <c r="O881" s="127"/>
      <c r="P881" s="127"/>
      <c r="Q881" s="127"/>
      <c r="R881" s="127"/>
      <c r="S881" s="127"/>
      <c r="T881" s="127"/>
      <c r="U881" s="127"/>
      <c r="V881" s="127"/>
      <c r="W881" s="127"/>
      <c r="X881" s="127"/>
      <c r="Y881" s="127"/>
      <c r="Z881" s="127"/>
    </row>
    <row r="882" customFormat="false" ht="15.75" hidden="false" customHeight="false" outlineLevel="0" collapsed="false">
      <c r="A882" s="127"/>
      <c r="B882" s="127"/>
      <c r="C882" s="127"/>
      <c r="D882" s="127"/>
      <c r="E882" s="127"/>
      <c r="F882" s="127"/>
      <c r="G882" s="127"/>
      <c r="H882" s="127"/>
      <c r="I882" s="127"/>
      <c r="J882" s="127"/>
      <c r="K882" s="127"/>
      <c r="L882" s="127"/>
      <c r="M882" s="127"/>
      <c r="N882" s="127"/>
      <c r="O882" s="127"/>
      <c r="P882" s="127"/>
      <c r="Q882" s="127"/>
      <c r="R882" s="127"/>
      <c r="S882" s="127"/>
      <c r="T882" s="127"/>
      <c r="U882" s="127"/>
      <c r="V882" s="127"/>
      <c r="W882" s="127"/>
      <c r="X882" s="127"/>
      <c r="Y882" s="127"/>
      <c r="Z882" s="127"/>
    </row>
    <row r="883" customFormat="false" ht="15.75" hidden="false" customHeight="false" outlineLevel="0" collapsed="false">
      <c r="A883" s="127"/>
      <c r="B883" s="127"/>
      <c r="C883" s="127"/>
      <c r="D883" s="127"/>
      <c r="E883" s="127"/>
      <c r="F883" s="127"/>
      <c r="G883" s="127"/>
      <c r="H883" s="127"/>
      <c r="I883" s="127"/>
      <c r="J883" s="127"/>
      <c r="K883" s="127"/>
      <c r="L883" s="127"/>
      <c r="M883" s="127"/>
      <c r="N883" s="127"/>
      <c r="O883" s="127"/>
      <c r="P883" s="127"/>
      <c r="Q883" s="127"/>
      <c r="R883" s="127"/>
      <c r="S883" s="127"/>
      <c r="T883" s="127"/>
      <c r="U883" s="127"/>
      <c r="V883" s="127"/>
      <c r="W883" s="127"/>
      <c r="X883" s="127"/>
      <c r="Y883" s="127"/>
      <c r="Z883" s="127"/>
    </row>
    <row r="884" customFormat="false" ht="15.75" hidden="false" customHeight="false" outlineLevel="0" collapsed="false">
      <c r="A884" s="127"/>
      <c r="B884" s="127"/>
      <c r="C884" s="127"/>
      <c r="D884" s="127"/>
      <c r="E884" s="127"/>
      <c r="F884" s="127"/>
      <c r="G884" s="127"/>
      <c r="H884" s="127"/>
      <c r="I884" s="127"/>
      <c r="J884" s="127"/>
      <c r="K884" s="127"/>
      <c r="L884" s="127"/>
      <c r="M884" s="127"/>
      <c r="N884" s="127"/>
      <c r="O884" s="127"/>
      <c r="P884" s="127"/>
      <c r="Q884" s="127"/>
      <c r="R884" s="127"/>
      <c r="S884" s="127"/>
      <c r="T884" s="127"/>
      <c r="U884" s="127"/>
      <c r="V884" s="127"/>
      <c r="W884" s="127"/>
      <c r="X884" s="127"/>
      <c r="Y884" s="127"/>
      <c r="Z884" s="127"/>
    </row>
    <row r="885" customFormat="false" ht="15.75" hidden="false" customHeight="false" outlineLevel="0" collapsed="false">
      <c r="A885" s="127"/>
      <c r="B885" s="127"/>
      <c r="C885" s="127"/>
      <c r="D885" s="127"/>
      <c r="E885" s="127"/>
      <c r="F885" s="127"/>
      <c r="G885" s="127"/>
      <c r="H885" s="127"/>
      <c r="I885" s="127"/>
      <c r="J885" s="127"/>
      <c r="K885" s="127"/>
      <c r="L885" s="127"/>
      <c r="M885" s="127"/>
      <c r="N885" s="127"/>
      <c r="O885" s="127"/>
      <c r="P885" s="127"/>
      <c r="Q885" s="127"/>
      <c r="R885" s="127"/>
      <c r="S885" s="127"/>
      <c r="T885" s="127"/>
      <c r="U885" s="127"/>
      <c r="V885" s="127"/>
      <c r="W885" s="127"/>
      <c r="X885" s="127"/>
      <c r="Y885" s="127"/>
      <c r="Z885" s="127"/>
    </row>
    <row r="886" customFormat="false" ht="15.75" hidden="false" customHeight="false" outlineLevel="0" collapsed="false">
      <c r="A886" s="127"/>
      <c r="B886" s="127"/>
      <c r="C886" s="127"/>
      <c r="D886" s="127"/>
      <c r="E886" s="127"/>
      <c r="F886" s="127"/>
      <c r="G886" s="127"/>
      <c r="H886" s="127"/>
      <c r="I886" s="127"/>
      <c r="J886" s="127"/>
      <c r="K886" s="127"/>
      <c r="L886" s="127"/>
      <c r="M886" s="127"/>
      <c r="N886" s="127"/>
      <c r="O886" s="127"/>
      <c r="P886" s="127"/>
      <c r="Q886" s="127"/>
      <c r="R886" s="127"/>
      <c r="S886" s="127"/>
      <c r="T886" s="127"/>
      <c r="U886" s="127"/>
      <c r="V886" s="127"/>
      <c r="W886" s="127"/>
      <c r="X886" s="127"/>
      <c r="Y886" s="127"/>
      <c r="Z886" s="127"/>
    </row>
    <row r="887" customFormat="false" ht="15.75" hidden="false" customHeight="false" outlineLevel="0" collapsed="false">
      <c r="A887" s="127"/>
      <c r="B887" s="127"/>
      <c r="C887" s="127"/>
      <c r="D887" s="127"/>
      <c r="E887" s="127"/>
      <c r="F887" s="127"/>
      <c r="G887" s="127"/>
      <c r="H887" s="127"/>
      <c r="I887" s="127"/>
      <c r="J887" s="127"/>
      <c r="K887" s="127"/>
      <c r="L887" s="127"/>
      <c r="M887" s="127"/>
      <c r="N887" s="127"/>
      <c r="O887" s="127"/>
      <c r="P887" s="127"/>
      <c r="Q887" s="127"/>
      <c r="R887" s="127"/>
      <c r="S887" s="127"/>
      <c r="T887" s="127"/>
      <c r="U887" s="127"/>
      <c r="V887" s="127"/>
      <c r="W887" s="127"/>
      <c r="X887" s="127"/>
      <c r="Y887" s="127"/>
      <c r="Z887" s="127"/>
    </row>
    <row r="888" customFormat="false" ht="15.75" hidden="false" customHeight="false" outlineLevel="0" collapsed="false">
      <c r="A888" s="127"/>
      <c r="B888" s="127"/>
      <c r="C888" s="127"/>
      <c r="D888" s="127"/>
      <c r="E888" s="127"/>
      <c r="F888" s="127"/>
      <c r="G888" s="127"/>
      <c r="H888" s="127"/>
      <c r="I888" s="127"/>
      <c r="J888" s="127"/>
      <c r="K888" s="127"/>
      <c r="L888" s="127"/>
      <c r="M888" s="127"/>
      <c r="N888" s="127"/>
      <c r="O888" s="127"/>
      <c r="P888" s="127"/>
      <c r="Q888" s="127"/>
      <c r="R888" s="127"/>
      <c r="S888" s="127"/>
      <c r="T888" s="127"/>
      <c r="U888" s="127"/>
      <c r="V888" s="127"/>
      <c r="W888" s="127"/>
      <c r="X888" s="127"/>
      <c r="Y888" s="127"/>
      <c r="Z888" s="127"/>
    </row>
    <row r="889" customFormat="false" ht="15.75" hidden="false" customHeight="false" outlineLevel="0" collapsed="false">
      <c r="A889" s="127"/>
      <c r="B889" s="127"/>
      <c r="C889" s="127"/>
      <c r="D889" s="127"/>
      <c r="E889" s="127"/>
      <c r="F889" s="127"/>
      <c r="G889" s="127"/>
      <c r="H889" s="127"/>
      <c r="I889" s="127"/>
      <c r="J889" s="127"/>
      <c r="K889" s="127"/>
      <c r="L889" s="127"/>
      <c r="M889" s="127"/>
      <c r="N889" s="127"/>
      <c r="O889" s="127"/>
      <c r="P889" s="127"/>
      <c r="Q889" s="127"/>
      <c r="R889" s="127"/>
      <c r="S889" s="127"/>
      <c r="T889" s="127"/>
      <c r="U889" s="127"/>
      <c r="V889" s="127"/>
      <c r="W889" s="127"/>
      <c r="X889" s="127"/>
      <c r="Y889" s="127"/>
      <c r="Z889" s="127"/>
    </row>
    <row r="890" customFormat="false" ht="15.75" hidden="false" customHeight="false" outlineLevel="0" collapsed="false">
      <c r="A890" s="127"/>
      <c r="B890" s="127"/>
      <c r="C890" s="127"/>
      <c r="D890" s="127"/>
      <c r="E890" s="127"/>
      <c r="F890" s="127"/>
      <c r="G890" s="127"/>
      <c r="H890" s="127"/>
      <c r="I890" s="127"/>
      <c r="J890" s="127"/>
      <c r="K890" s="127"/>
      <c r="L890" s="127"/>
      <c r="M890" s="127"/>
      <c r="N890" s="127"/>
      <c r="O890" s="127"/>
      <c r="P890" s="127"/>
      <c r="Q890" s="127"/>
      <c r="R890" s="127"/>
      <c r="S890" s="127"/>
      <c r="T890" s="127"/>
      <c r="U890" s="127"/>
      <c r="V890" s="127"/>
      <c r="W890" s="127"/>
      <c r="X890" s="127"/>
      <c r="Y890" s="127"/>
      <c r="Z890" s="127"/>
    </row>
    <row r="891" customFormat="false" ht="15.75" hidden="false" customHeight="false" outlineLevel="0" collapsed="false">
      <c r="A891" s="127"/>
      <c r="B891" s="127"/>
      <c r="C891" s="127"/>
      <c r="D891" s="127"/>
      <c r="E891" s="127"/>
      <c r="F891" s="127"/>
      <c r="G891" s="127"/>
      <c r="H891" s="127"/>
      <c r="I891" s="127"/>
      <c r="J891" s="127"/>
      <c r="K891" s="127"/>
      <c r="L891" s="127"/>
      <c r="M891" s="127"/>
      <c r="N891" s="127"/>
      <c r="O891" s="127"/>
      <c r="P891" s="127"/>
      <c r="Q891" s="127"/>
      <c r="R891" s="127"/>
      <c r="S891" s="127"/>
      <c r="T891" s="127"/>
      <c r="U891" s="127"/>
      <c r="V891" s="127"/>
      <c r="W891" s="127"/>
      <c r="X891" s="127"/>
      <c r="Y891" s="127"/>
      <c r="Z891" s="127"/>
    </row>
    <row r="892" customFormat="false" ht="15.75" hidden="false" customHeight="false" outlineLevel="0" collapsed="false">
      <c r="A892" s="127"/>
      <c r="B892" s="127"/>
      <c r="C892" s="127"/>
      <c r="D892" s="127"/>
      <c r="E892" s="127"/>
      <c r="F892" s="127"/>
      <c r="G892" s="127"/>
      <c r="H892" s="127"/>
      <c r="I892" s="127"/>
      <c r="J892" s="127"/>
      <c r="K892" s="127"/>
      <c r="L892" s="127"/>
      <c r="M892" s="127"/>
      <c r="N892" s="127"/>
      <c r="O892" s="127"/>
      <c r="P892" s="127"/>
      <c r="Q892" s="127"/>
      <c r="R892" s="127"/>
      <c r="S892" s="127"/>
      <c r="T892" s="127"/>
      <c r="U892" s="127"/>
      <c r="V892" s="127"/>
      <c r="W892" s="127"/>
      <c r="X892" s="127"/>
      <c r="Y892" s="127"/>
      <c r="Z892" s="127"/>
    </row>
    <row r="893" customFormat="false" ht="15.75" hidden="false" customHeight="false" outlineLevel="0" collapsed="false">
      <c r="A893" s="127"/>
      <c r="B893" s="127"/>
      <c r="C893" s="127"/>
      <c r="D893" s="127"/>
      <c r="E893" s="127"/>
      <c r="F893" s="127"/>
      <c r="G893" s="127"/>
      <c r="H893" s="127"/>
      <c r="I893" s="127"/>
      <c r="J893" s="127"/>
      <c r="K893" s="127"/>
      <c r="L893" s="127"/>
      <c r="M893" s="127"/>
      <c r="N893" s="127"/>
      <c r="O893" s="127"/>
      <c r="P893" s="127"/>
      <c r="Q893" s="127"/>
      <c r="R893" s="127"/>
      <c r="S893" s="127"/>
      <c r="T893" s="127"/>
      <c r="U893" s="127"/>
      <c r="V893" s="127"/>
      <c r="W893" s="127"/>
      <c r="X893" s="127"/>
      <c r="Y893" s="127"/>
      <c r="Z893" s="127"/>
    </row>
    <row r="894" customFormat="false" ht="15.75" hidden="false" customHeight="false" outlineLevel="0" collapsed="false">
      <c r="A894" s="127"/>
      <c r="B894" s="127"/>
      <c r="C894" s="127"/>
      <c r="D894" s="127"/>
      <c r="E894" s="127"/>
      <c r="F894" s="127"/>
      <c r="G894" s="127"/>
      <c r="H894" s="127"/>
      <c r="I894" s="127"/>
      <c r="J894" s="127"/>
      <c r="K894" s="127"/>
      <c r="L894" s="127"/>
      <c r="M894" s="127"/>
      <c r="N894" s="127"/>
      <c r="O894" s="127"/>
      <c r="P894" s="127"/>
      <c r="Q894" s="127"/>
      <c r="R894" s="127"/>
      <c r="S894" s="127"/>
      <c r="T894" s="127"/>
      <c r="U894" s="127"/>
      <c r="V894" s="127"/>
      <c r="W894" s="127"/>
      <c r="X894" s="127"/>
      <c r="Y894" s="127"/>
      <c r="Z894" s="127"/>
    </row>
    <row r="895" customFormat="false" ht="15.75" hidden="false" customHeight="false" outlineLevel="0" collapsed="false">
      <c r="A895" s="127"/>
      <c r="B895" s="127"/>
      <c r="C895" s="127"/>
      <c r="D895" s="127"/>
      <c r="E895" s="127"/>
      <c r="F895" s="127"/>
      <c r="G895" s="127"/>
      <c r="H895" s="127"/>
      <c r="I895" s="127"/>
      <c r="J895" s="127"/>
      <c r="K895" s="127"/>
      <c r="L895" s="127"/>
      <c r="M895" s="127"/>
      <c r="N895" s="127"/>
      <c r="O895" s="127"/>
      <c r="P895" s="127"/>
      <c r="Q895" s="127"/>
      <c r="R895" s="127"/>
      <c r="S895" s="127"/>
      <c r="T895" s="127"/>
      <c r="U895" s="127"/>
      <c r="V895" s="127"/>
      <c r="W895" s="127"/>
      <c r="X895" s="127"/>
      <c r="Y895" s="127"/>
      <c r="Z895" s="127"/>
    </row>
    <row r="896" customFormat="false" ht="15.75" hidden="false" customHeight="false" outlineLevel="0" collapsed="false">
      <c r="A896" s="127"/>
      <c r="B896" s="127"/>
      <c r="C896" s="127"/>
      <c r="D896" s="127"/>
      <c r="E896" s="127"/>
      <c r="F896" s="127"/>
      <c r="G896" s="127"/>
      <c r="H896" s="127"/>
      <c r="I896" s="127"/>
      <c r="J896" s="127"/>
      <c r="K896" s="127"/>
      <c r="L896" s="127"/>
      <c r="M896" s="127"/>
      <c r="N896" s="127"/>
      <c r="O896" s="127"/>
      <c r="P896" s="127"/>
      <c r="Q896" s="127"/>
      <c r="R896" s="127"/>
      <c r="S896" s="127"/>
      <c r="T896" s="127"/>
      <c r="U896" s="127"/>
      <c r="V896" s="127"/>
      <c r="W896" s="127"/>
      <c r="X896" s="127"/>
      <c r="Y896" s="127"/>
      <c r="Z896" s="127"/>
    </row>
    <row r="897" customFormat="false" ht="15.75" hidden="false" customHeight="false" outlineLevel="0" collapsed="false">
      <c r="A897" s="127"/>
      <c r="B897" s="127"/>
      <c r="C897" s="127"/>
      <c r="D897" s="127"/>
      <c r="E897" s="127"/>
      <c r="F897" s="127"/>
      <c r="G897" s="127"/>
      <c r="H897" s="127"/>
      <c r="I897" s="127"/>
      <c r="J897" s="127"/>
      <c r="K897" s="127"/>
      <c r="L897" s="127"/>
      <c r="M897" s="127"/>
      <c r="N897" s="127"/>
      <c r="O897" s="127"/>
      <c r="P897" s="127"/>
      <c r="Q897" s="127"/>
      <c r="R897" s="127"/>
      <c r="S897" s="127"/>
      <c r="T897" s="127"/>
      <c r="U897" s="127"/>
      <c r="V897" s="127"/>
      <c r="W897" s="127"/>
      <c r="X897" s="127"/>
      <c r="Y897" s="127"/>
      <c r="Z897" s="127"/>
    </row>
    <row r="898" customFormat="false" ht="15.75" hidden="false" customHeight="false" outlineLevel="0" collapsed="false">
      <c r="A898" s="127"/>
      <c r="B898" s="127"/>
      <c r="C898" s="127"/>
      <c r="D898" s="127"/>
      <c r="E898" s="127"/>
      <c r="F898" s="127"/>
      <c r="G898" s="127"/>
      <c r="H898" s="127"/>
      <c r="I898" s="127"/>
      <c r="J898" s="127"/>
      <c r="K898" s="127"/>
      <c r="L898" s="127"/>
      <c r="M898" s="127"/>
      <c r="N898" s="127"/>
      <c r="O898" s="127"/>
      <c r="P898" s="127"/>
      <c r="Q898" s="127"/>
      <c r="R898" s="127"/>
      <c r="S898" s="127"/>
      <c r="T898" s="127"/>
      <c r="U898" s="127"/>
      <c r="V898" s="127"/>
      <c r="W898" s="127"/>
      <c r="X898" s="127"/>
      <c r="Y898" s="127"/>
      <c r="Z898" s="127"/>
    </row>
    <row r="899" customFormat="false" ht="15.75" hidden="false" customHeight="false" outlineLevel="0" collapsed="false">
      <c r="A899" s="127"/>
      <c r="B899" s="127"/>
      <c r="C899" s="127"/>
      <c r="D899" s="127"/>
      <c r="E899" s="127"/>
      <c r="F899" s="127"/>
      <c r="G899" s="127"/>
      <c r="H899" s="127"/>
      <c r="I899" s="127"/>
      <c r="J899" s="127"/>
      <c r="K899" s="127"/>
      <c r="L899" s="127"/>
      <c r="M899" s="127"/>
      <c r="N899" s="127"/>
      <c r="O899" s="127"/>
      <c r="P899" s="127"/>
      <c r="Q899" s="127"/>
      <c r="R899" s="127"/>
      <c r="S899" s="127"/>
      <c r="T899" s="127"/>
      <c r="U899" s="127"/>
      <c r="V899" s="127"/>
      <c r="W899" s="127"/>
      <c r="X899" s="127"/>
      <c r="Y899" s="127"/>
      <c r="Z899" s="127"/>
    </row>
    <row r="900" customFormat="false" ht="15.75" hidden="false" customHeight="false" outlineLevel="0" collapsed="false">
      <c r="A900" s="127"/>
      <c r="B900" s="127"/>
      <c r="C900" s="127"/>
      <c r="D900" s="127"/>
      <c r="E900" s="127"/>
      <c r="F900" s="127"/>
      <c r="G900" s="127"/>
      <c r="H900" s="127"/>
      <c r="I900" s="127"/>
      <c r="J900" s="127"/>
      <c r="K900" s="127"/>
      <c r="L900" s="127"/>
      <c r="M900" s="127"/>
      <c r="N900" s="127"/>
      <c r="O900" s="127"/>
      <c r="P900" s="127"/>
      <c r="Q900" s="127"/>
      <c r="R900" s="127"/>
      <c r="S900" s="127"/>
      <c r="T900" s="127"/>
      <c r="U900" s="127"/>
      <c r="V900" s="127"/>
      <c r="W900" s="127"/>
      <c r="X900" s="127"/>
      <c r="Y900" s="127"/>
      <c r="Z900" s="127"/>
    </row>
    <row r="901" customFormat="false" ht="15.75" hidden="false" customHeight="false" outlineLevel="0" collapsed="false">
      <c r="A901" s="127"/>
      <c r="B901" s="127"/>
      <c r="C901" s="127"/>
      <c r="D901" s="127"/>
      <c r="E901" s="127"/>
      <c r="F901" s="127"/>
      <c r="G901" s="127"/>
      <c r="H901" s="127"/>
      <c r="I901" s="127"/>
      <c r="J901" s="127"/>
      <c r="K901" s="127"/>
      <c r="L901" s="127"/>
      <c r="M901" s="127"/>
      <c r="N901" s="127"/>
      <c r="O901" s="127"/>
      <c r="P901" s="127"/>
      <c r="Q901" s="127"/>
      <c r="R901" s="127"/>
      <c r="S901" s="127"/>
      <c r="T901" s="127"/>
      <c r="U901" s="127"/>
      <c r="V901" s="127"/>
      <c r="W901" s="127"/>
      <c r="X901" s="127"/>
      <c r="Y901" s="127"/>
      <c r="Z901" s="127"/>
    </row>
    <row r="902" customFormat="false" ht="15.75" hidden="false" customHeight="false" outlineLevel="0" collapsed="false">
      <c r="A902" s="127"/>
      <c r="B902" s="127"/>
      <c r="C902" s="127"/>
      <c r="D902" s="127"/>
      <c r="E902" s="127"/>
      <c r="F902" s="127"/>
      <c r="G902" s="127"/>
      <c r="H902" s="127"/>
      <c r="I902" s="127"/>
      <c r="J902" s="127"/>
      <c r="K902" s="127"/>
      <c r="L902" s="127"/>
      <c r="M902" s="127"/>
      <c r="N902" s="127"/>
      <c r="O902" s="127"/>
      <c r="P902" s="127"/>
      <c r="Q902" s="127"/>
      <c r="R902" s="127"/>
      <c r="S902" s="127"/>
      <c r="T902" s="127"/>
      <c r="U902" s="127"/>
      <c r="V902" s="127"/>
      <c r="W902" s="127"/>
      <c r="X902" s="127"/>
      <c r="Y902" s="127"/>
      <c r="Z902" s="127"/>
    </row>
    <row r="903" customFormat="false" ht="15.75" hidden="false" customHeight="false" outlineLevel="0" collapsed="false">
      <c r="A903" s="127"/>
      <c r="B903" s="127"/>
      <c r="C903" s="127"/>
      <c r="D903" s="127"/>
      <c r="E903" s="127"/>
      <c r="F903" s="127"/>
      <c r="G903" s="127"/>
      <c r="H903" s="127"/>
      <c r="I903" s="127"/>
      <c r="J903" s="127"/>
      <c r="K903" s="127"/>
      <c r="L903" s="127"/>
      <c r="M903" s="127"/>
      <c r="N903" s="127"/>
      <c r="O903" s="127"/>
      <c r="P903" s="127"/>
      <c r="Q903" s="127"/>
      <c r="R903" s="127"/>
      <c r="S903" s="127"/>
      <c r="T903" s="127"/>
      <c r="U903" s="127"/>
      <c r="V903" s="127"/>
      <c r="W903" s="127"/>
      <c r="X903" s="127"/>
      <c r="Y903" s="127"/>
      <c r="Z903" s="127"/>
    </row>
    <row r="904" customFormat="false" ht="15.75" hidden="false" customHeight="false" outlineLevel="0" collapsed="false">
      <c r="A904" s="127"/>
      <c r="B904" s="127"/>
      <c r="C904" s="127"/>
      <c r="D904" s="127"/>
      <c r="E904" s="127"/>
      <c r="F904" s="127"/>
      <c r="G904" s="127"/>
      <c r="H904" s="127"/>
      <c r="I904" s="127"/>
      <c r="J904" s="127"/>
      <c r="K904" s="127"/>
      <c r="L904" s="127"/>
      <c r="M904" s="127"/>
      <c r="N904" s="127"/>
      <c r="O904" s="127"/>
      <c r="P904" s="127"/>
      <c r="Q904" s="127"/>
      <c r="R904" s="127"/>
      <c r="S904" s="127"/>
      <c r="T904" s="127"/>
      <c r="U904" s="127"/>
      <c r="V904" s="127"/>
      <c r="W904" s="127"/>
      <c r="X904" s="127"/>
      <c r="Y904" s="127"/>
      <c r="Z904" s="127"/>
    </row>
    <row r="905" customFormat="false" ht="15.75" hidden="false" customHeight="false" outlineLevel="0" collapsed="false">
      <c r="A905" s="127"/>
      <c r="B905" s="127"/>
      <c r="C905" s="127"/>
      <c r="D905" s="127"/>
      <c r="E905" s="127"/>
      <c r="F905" s="127"/>
      <c r="G905" s="127"/>
      <c r="H905" s="127"/>
      <c r="I905" s="127"/>
      <c r="J905" s="127"/>
      <c r="K905" s="127"/>
      <c r="L905" s="127"/>
      <c r="M905" s="127"/>
      <c r="N905" s="127"/>
      <c r="O905" s="127"/>
      <c r="P905" s="127"/>
      <c r="Q905" s="127"/>
      <c r="R905" s="127"/>
      <c r="S905" s="127"/>
      <c r="T905" s="127"/>
      <c r="U905" s="127"/>
      <c r="V905" s="127"/>
      <c r="W905" s="127"/>
      <c r="X905" s="127"/>
      <c r="Y905" s="127"/>
      <c r="Z905" s="127"/>
    </row>
    <row r="906" customFormat="false" ht="15.75" hidden="false" customHeight="false" outlineLevel="0" collapsed="false">
      <c r="A906" s="127"/>
      <c r="B906" s="127"/>
      <c r="C906" s="127"/>
      <c r="D906" s="127"/>
      <c r="E906" s="127"/>
      <c r="F906" s="127"/>
      <c r="G906" s="127"/>
      <c r="H906" s="127"/>
      <c r="I906" s="127"/>
      <c r="J906" s="127"/>
      <c r="K906" s="127"/>
      <c r="L906" s="127"/>
      <c r="M906" s="127"/>
      <c r="N906" s="127"/>
      <c r="O906" s="127"/>
      <c r="P906" s="127"/>
      <c r="Q906" s="127"/>
      <c r="R906" s="127"/>
      <c r="S906" s="127"/>
      <c r="T906" s="127"/>
      <c r="U906" s="127"/>
      <c r="V906" s="127"/>
      <c r="W906" s="127"/>
      <c r="X906" s="127"/>
      <c r="Y906" s="127"/>
      <c r="Z906" s="127"/>
    </row>
    <row r="907" customFormat="false" ht="15.75" hidden="false" customHeight="false" outlineLevel="0" collapsed="false">
      <c r="A907" s="127"/>
      <c r="B907" s="127"/>
      <c r="C907" s="127"/>
      <c r="D907" s="127"/>
      <c r="E907" s="127"/>
      <c r="F907" s="127"/>
      <c r="G907" s="127"/>
      <c r="H907" s="127"/>
      <c r="I907" s="127"/>
      <c r="J907" s="127"/>
      <c r="K907" s="127"/>
      <c r="L907" s="127"/>
      <c r="M907" s="127"/>
      <c r="N907" s="127"/>
      <c r="O907" s="127"/>
      <c r="P907" s="127"/>
      <c r="Q907" s="127"/>
      <c r="R907" s="127"/>
      <c r="S907" s="127"/>
      <c r="T907" s="127"/>
      <c r="U907" s="127"/>
      <c r="V907" s="127"/>
      <c r="W907" s="127"/>
      <c r="X907" s="127"/>
      <c r="Y907" s="127"/>
      <c r="Z907" s="127"/>
    </row>
    <row r="908" customFormat="false" ht="15.75" hidden="false" customHeight="false" outlineLevel="0" collapsed="false">
      <c r="A908" s="127"/>
      <c r="B908" s="127"/>
      <c r="C908" s="127"/>
      <c r="D908" s="127"/>
      <c r="E908" s="127"/>
      <c r="F908" s="127"/>
      <c r="G908" s="127"/>
      <c r="H908" s="127"/>
      <c r="I908" s="127"/>
      <c r="J908" s="127"/>
      <c r="K908" s="127"/>
      <c r="L908" s="127"/>
      <c r="M908" s="127"/>
      <c r="N908" s="127"/>
      <c r="O908" s="127"/>
      <c r="P908" s="127"/>
      <c r="Q908" s="127"/>
      <c r="R908" s="127"/>
      <c r="S908" s="127"/>
      <c r="T908" s="127"/>
      <c r="U908" s="127"/>
      <c r="V908" s="127"/>
      <c r="W908" s="127"/>
      <c r="X908" s="127"/>
      <c r="Y908" s="127"/>
      <c r="Z908" s="127"/>
    </row>
    <row r="909" customFormat="false" ht="15.75" hidden="false" customHeight="false" outlineLevel="0" collapsed="false">
      <c r="A909" s="127"/>
      <c r="B909" s="127"/>
      <c r="C909" s="127"/>
      <c r="D909" s="127"/>
      <c r="E909" s="127"/>
      <c r="F909" s="127"/>
      <c r="G909" s="127"/>
      <c r="H909" s="127"/>
      <c r="I909" s="127"/>
      <c r="J909" s="127"/>
      <c r="K909" s="127"/>
      <c r="L909" s="127"/>
      <c r="M909" s="127"/>
      <c r="N909" s="127"/>
      <c r="O909" s="127"/>
      <c r="P909" s="127"/>
      <c r="Q909" s="127"/>
      <c r="R909" s="127"/>
      <c r="S909" s="127"/>
      <c r="T909" s="127"/>
      <c r="U909" s="127"/>
      <c r="V909" s="127"/>
      <c r="W909" s="127"/>
      <c r="X909" s="127"/>
      <c r="Y909" s="127"/>
      <c r="Z909" s="127"/>
    </row>
    <row r="910" customFormat="false" ht="15.75" hidden="false" customHeight="false" outlineLevel="0" collapsed="false">
      <c r="A910" s="127"/>
      <c r="B910" s="127"/>
      <c r="C910" s="127"/>
      <c r="D910" s="127"/>
      <c r="E910" s="127"/>
      <c r="F910" s="127"/>
      <c r="G910" s="127"/>
      <c r="H910" s="127"/>
      <c r="I910" s="127"/>
      <c r="J910" s="127"/>
      <c r="K910" s="127"/>
      <c r="L910" s="127"/>
      <c r="M910" s="127"/>
      <c r="N910" s="127"/>
      <c r="O910" s="127"/>
      <c r="P910" s="127"/>
      <c r="Q910" s="127"/>
      <c r="R910" s="127"/>
      <c r="S910" s="127"/>
      <c r="T910" s="127"/>
      <c r="U910" s="127"/>
      <c r="V910" s="127"/>
      <c r="W910" s="127"/>
      <c r="X910" s="127"/>
      <c r="Y910" s="127"/>
      <c r="Z910" s="127"/>
    </row>
    <row r="911" customFormat="false" ht="15.75" hidden="false" customHeight="false" outlineLevel="0" collapsed="false">
      <c r="A911" s="127"/>
      <c r="B911" s="127"/>
      <c r="C911" s="127"/>
      <c r="D911" s="127"/>
      <c r="E911" s="127"/>
      <c r="F911" s="127"/>
      <c r="G911" s="127"/>
      <c r="H911" s="127"/>
      <c r="I911" s="127"/>
      <c r="J911" s="127"/>
      <c r="K911" s="127"/>
      <c r="L911" s="127"/>
      <c r="M911" s="127"/>
      <c r="N911" s="127"/>
      <c r="O911" s="127"/>
      <c r="P911" s="127"/>
      <c r="Q911" s="127"/>
      <c r="R911" s="127"/>
      <c r="S911" s="127"/>
      <c r="T911" s="127"/>
      <c r="U911" s="127"/>
      <c r="V911" s="127"/>
      <c r="W911" s="127"/>
      <c r="X911" s="127"/>
      <c r="Y911" s="127"/>
      <c r="Z911" s="127"/>
    </row>
    <row r="912" customFormat="false" ht="15.75" hidden="false" customHeight="false" outlineLevel="0" collapsed="false">
      <c r="A912" s="127"/>
      <c r="B912" s="127"/>
      <c r="C912" s="127"/>
      <c r="D912" s="127"/>
      <c r="E912" s="127"/>
      <c r="F912" s="127"/>
      <c r="G912" s="127"/>
      <c r="H912" s="127"/>
      <c r="I912" s="127"/>
      <c r="J912" s="127"/>
      <c r="K912" s="127"/>
      <c r="L912" s="127"/>
      <c r="M912" s="127"/>
      <c r="N912" s="127"/>
      <c r="O912" s="127"/>
      <c r="P912" s="127"/>
      <c r="Q912" s="127"/>
      <c r="R912" s="127"/>
      <c r="S912" s="127"/>
      <c r="T912" s="127"/>
      <c r="U912" s="127"/>
      <c r="V912" s="127"/>
      <c r="W912" s="127"/>
      <c r="X912" s="127"/>
      <c r="Y912" s="127"/>
      <c r="Z912" s="127"/>
    </row>
    <row r="913" customFormat="false" ht="15.75" hidden="false" customHeight="false" outlineLevel="0" collapsed="false">
      <c r="A913" s="127"/>
      <c r="B913" s="127"/>
      <c r="C913" s="127"/>
      <c r="D913" s="127"/>
      <c r="E913" s="127"/>
      <c r="F913" s="127"/>
      <c r="G913" s="127"/>
      <c r="H913" s="127"/>
      <c r="I913" s="127"/>
      <c r="J913" s="127"/>
      <c r="K913" s="127"/>
      <c r="L913" s="127"/>
      <c r="M913" s="127"/>
      <c r="N913" s="127"/>
      <c r="O913" s="127"/>
      <c r="P913" s="127"/>
      <c r="Q913" s="127"/>
      <c r="R913" s="127"/>
      <c r="S913" s="127"/>
      <c r="T913" s="127"/>
      <c r="U913" s="127"/>
      <c r="V913" s="127"/>
      <c r="W913" s="127"/>
      <c r="X913" s="127"/>
      <c r="Y913" s="127"/>
      <c r="Z913" s="127"/>
    </row>
    <row r="914" customFormat="false" ht="15.75" hidden="false" customHeight="false" outlineLevel="0" collapsed="false">
      <c r="A914" s="127"/>
      <c r="B914" s="127"/>
      <c r="C914" s="127"/>
      <c r="D914" s="127"/>
      <c r="E914" s="127"/>
      <c r="F914" s="127"/>
      <c r="G914" s="127"/>
      <c r="H914" s="127"/>
      <c r="I914" s="127"/>
      <c r="J914" s="127"/>
      <c r="K914" s="127"/>
      <c r="L914" s="127"/>
      <c r="M914" s="127"/>
      <c r="N914" s="127"/>
      <c r="O914" s="127"/>
      <c r="P914" s="127"/>
      <c r="Q914" s="127"/>
      <c r="R914" s="127"/>
      <c r="S914" s="127"/>
      <c r="T914" s="127"/>
      <c r="U914" s="127"/>
      <c r="V914" s="127"/>
      <c r="W914" s="127"/>
      <c r="X914" s="127"/>
      <c r="Y914" s="127"/>
      <c r="Z914" s="127"/>
    </row>
    <row r="915" customFormat="false" ht="15.75" hidden="false" customHeight="false" outlineLevel="0" collapsed="false">
      <c r="A915" s="127"/>
      <c r="B915" s="127"/>
      <c r="C915" s="127"/>
      <c r="D915" s="127"/>
      <c r="E915" s="127"/>
      <c r="F915" s="127"/>
      <c r="G915" s="127"/>
      <c r="H915" s="127"/>
      <c r="I915" s="127"/>
      <c r="J915" s="127"/>
      <c r="K915" s="127"/>
      <c r="L915" s="127"/>
      <c r="M915" s="127"/>
      <c r="N915" s="127"/>
      <c r="O915" s="127"/>
      <c r="P915" s="127"/>
      <c r="Q915" s="127"/>
      <c r="R915" s="127"/>
      <c r="S915" s="127"/>
      <c r="T915" s="127"/>
      <c r="U915" s="127"/>
      <c r="V915" s="127"/>
      <c r="W915" s="127"/>
      <c r="X915" s="127"/>
      <c r="Y915" s="127"/>
      <c r="Z915" s="127"/>
    </row>
    <row r="916" customFormat="false" ht="15.75" hidden="false" customHeight="false" outlineLevel="0" collapsed="false">
      <c r="A916" s="127"/>
      <c r="B916" s="127"/>
      <c r="C916" s="127"/>
      <c r="D916" s="127"/>
      <c r="E916" s="127"/>
      <c r="F916" s="127"/>
      <c r="G916" s="127"/>
      <c r="H916" s="127"/>
      <c r="I916" s="127"/>
      <c r="J916" s="127"/>
      <c r="K916" s="127"/>
      <c r="L916" s="127"/>
      <c r="M916" s="127"/>
      <c r="N916" s="127"/>
      <c r="O916" s="127"/>
      <c r="P916" s="127"/>
      <c r="Q916" s="127"/>
      <c r="R916" s="127"/>
      <c r="S916" s="127"/>
      <c r="T916" s="127"/>
      <c r="U916" s="127"/>
      <c r="V916" s="127"/>
      <c r="W916" s="127"/>
      <c r="X916" s="127"/>
      <c r="Y916" s="127"/>
      <c r="Z916" s="127"/>
    </row>
    <row r="917" customFormat="false" ht="15.75" hidden="false" customHeight="false" outlineLevel="0" collapsed="false">
      <c r="A917" s="127"/>
      <c r="B917" s="127"/>
      <c r="C917" s="127"/>
      <c r="D917" s="127"/>
      <c r="E917" s="127"/>
      <c r="F917" s="127"/>
      <c r="G917" s="127"/>
      <c r="H917" s="127"/>
      <c r="I917" s="127"/>
      <c r="J917" s="127"/>
      <c r="K917" s="127"/>
      <c r="L917" s="127"/>
      <c r="M917" s="127"/>
      <c r="N917" s="127"/>
      <c r="O917" s="127"/>
      <c r="P917" s="127"/>
      <c r="Q917" s="127"/>
      <c r="R917" s="127"/>
      <c r="S917" s="127"/>
      <c r="T917" s="127"/>
      <c r="U917" s="127"/>
      <c r="V917" s="127"/>
      <c r="W917" s="127"/>
      <c r="X917" s="127"/>
      <c r="Y917" s="127"/>
      <c r="Z917" s="127"/>
    </row>
    <row r="918" customFormat="false" ht="15.75" hidden="false" customHeight="false" outlineLevel="0" collapsed="false">
      <c r="A918" s="127"/>
      <c r="B918" s="127"/>
      <c r="C918" s="127"/>
      <c r="D918" s="127"/>
      <c r="E918" s="127"/>
      <c r="F918" s="127"/>
      <c r="G918" s="127"/>
      <c r="H918" s="127"/>
      <c r="I918" s="127"/>
      <c r="J918" s="127"/>
      <c r="K918" s="127"/>
      <c r="L918" s="127"/>
      <c r="M918" s="127"/>
      <c r="N918" s="127"/>
      <c r="O918" s="127"/>
      <c r="P918" s="127"/>
      <c r="Q918" s="127"/>
      <c r="R918" s="127"/>
      <c r="S918" s="127"/>
      <c r="T918" s="127"/>
      <c r="U918" s="127"/>
      <c r="V918" s="127"/>
      <c r="W918" s="127"/>
      <c r="X918" s="127"/>
      <c r="Y918" s="127"/>
      <c r="Z918" s="127"/>
    </row>
    <row r="919" customFormat="false" ht="15.75" hidden="false" customHeight="false" outlineLevel="0" collapsed="false">
      <c r="A919" s="127"/>
      <c r="B919" s="127"/>
      <c r="C919" s="127"/>
      <c r="D919" s="127"/>
      <c r="E919" s="127"/>
      <c r="F919" s="127"/>
      <c r="G919" s="127"/>
      <c r="H919" s="127"/>
      <c r="I919" s="127"/>
      <c r="J919" s="127"/>
      <c r="K919" s="127"/>
      <c r="L919" s="127"/>
      <c r="M919" s="127"/>
      <c r="N919" s="127"/>
      <c r="O919" s="127"/>
      <c r="P919" s="127"/>
      <c r="Q919" s="127"/>
      <c r="R919" s="127"/>
      <c r="S919" s="127"/>
      <c r="T919" s="127"/>
      <c r="U919" s="127"/>
      <c r="V919" s="127"/>
      <c r="W919" s="127"/>
      <c r="X919" s="127"/>
      <c r="Y919" s="127"/>
      <c r="Z919" s="127"/>
    </row>
    <row r="920" customFormat="false" ht="15.75" hidden="false" customHeight="false" outlineLevel="0" collapsed="false">
      <c r="A920" s="127"/>
      <c r="B920" s="127"/>
      <c r="C920" s="127"/>
      <c r="D920" s="127"/>
      <c r="E920" s="127"/>
      <c r="F920" s="127"/>
      <c r="G920" s="127"/>
      <c r="H920" s="127"/>
      <c r="I920" s="127"/>
      <c r="J920" s="127"/>
      <c r="K920" s="127"/>
      <c r="L920" s="127"/>
      <c r="M920" s="127"/>
      <c r="N920" s="127"/>
      <c r="O920" s="127"/>
      <c r="P920" s="127"/>
      <c r="Q920" s="127"/>
      <c r="R920" s="127"/>
      <c r="S920" s="127"/>
      <c r="T920" s="127"/>
      <c r="U920" s="127"/>
      <c r="V920" s="127"/>
      <c r="W920" s="127"/>
      <c r="X920" s="127"/>
      <c r="Y920" s="127"/>
      <c r="Z920" s="127"/>
    </row>
    <row r="921" customFormat="false" ht="15.75" hidden="false" customHeight="false" outlineLevel="0" collapsed="false">
      <c r="A921" s="127"/>
      <c r="B921" s="127"/>
      <c r="C921" s="127"/>
      <c r="D921" s="127"/>
      <c r="E921" s="127"/>
      <c r="F921" s="127"/>
      <c r="G921" s="127"/>
      <c r="H921" s="127"/>
      <c r="I921" s="127"/>
      <c r="J921" s="127"/>
      <c r="K921" s="127"/>
      <c r="L921" s="127"/>
      <c r="M921" s="127"/>
      <c r="N921" s="127"/>
      <c r="O921" s="127"/>
      <c r="P921" s="127"/>
      <c r="Q921" s="127"/>
      <c r="R921" s="127"/>
      <c r="S921" s="127"/>
      <c r="T921" s="127"/>
      <c r="U921" s="127"/>
      <c r="V921" s="127"/>
      <c r="W921" s="127"/>
      <c r="X921" s="127"/>
      <c r="Y921" s="127"/>
      <c r="Z921" s="127"/>
    </row>
    <row r="922" customFormat="false" ht="15.75" hidden="false" customHeight="false" outlineLevel="0" collapsed="false">
      <c r="A922" s="127"/>
      <c r="B922" s="127"/>
      <c r="C922" s="127"/>
      <c r="D922" s="127"/>
      <c r="E922" s="127"/>
      <c r="F922" s="127"/>
      <c r="G922" s="127"/>
      <c r="H922" s="127"/>
      <c r="I922" s="127"/>
      <c r="J922" s="127"/>
      <c r="K922" s="127"/>
      <c r="L922" s="127"/>
      <c r="M922" s="127"/>
      <c r="N922" s="127"/>
      <c r="O922" s="127"/>
      <c r="P922" s="127"/>
      <c r="Q922" s="127"/>
      <c r="R922" s="127"/>
      <c r="S922" s="127"/>
      <c r="T922" s="127"/>
      <c r="U922" s="127"/>
      <c r="V922" s="127"/>
      <c r="W922" s="127"/>
      <c r="X922" s="127"/>
      <c r="Y922" s="127"/>
      <c r="Z922" s="127"/>
    </row>
    <row r="923" customFormat="false" ht="15.75" hidden="false" customHeight="false" outlineLevel="0" collapsed="false">
      <c r="A923" s="127"/>
      <c r="B923" s="127"/>
      <c r="C923" s="127"/>
      <c r="D923" s="127"/>
      <c r="E923" s="127"/>
      <c r="F923" s="127"/>
      <c r="G923" s="127"/>
      <c r="H923" s="127"/>
      <c r="I923" s="127"/>
      <c r="J923" s="127"/>
      <c r="K923" s="127"/>
      <c r="L923" s="127"/>
      <c r="M923" s="127"/>
      <c r="N923" s="127"/>
      <c r="O923" s="127"/>
      <c r="P923" s="127"/>
      <c r="Q923" s="127"/>
      <c r="R923" s="127"/>
      <c r="S923" s="127"/>
      <c r="T923" s="127"/>
      <c r="U923" s="127"/>
      <c r="V923" s="127"/>
      <c r="W923" s="127"/>
      <c r="X923" s="127"/>
      <c r="Y923" s="127"/>
      <c r="Z923" s="127"/>
    </row>
    <row r="924" customFormat="false" ht="15.75" hidden="false" customHeight="false" outlineLevel="0" collapsed="false">
      <c r="A924" s="127"/>
      <c r="B924" s="127"/>
      <c r="C924" s="127"/>
      <c r="D924" s="127"/>
      <c r="E924" s="127"/>
      <c r="F924" s="127"/>
      <c r="G924" s="127"/>
      <c r="H924" s="127"/>
      <c r="I924" s="127"/>
      <c r="J924" s="127"/>
      <c r="K924" s="127"/>
      <c r="L924" s="127"/>
      <c r="M924" s="127"/>
      <c r="N924" s="127"/>
      <c r="O924" s="127"/>
      <c r="P924" s="127"/>
      <c r="Q924" s="127"/>
      <c r="R924" s="127"/>
      <c r="S924" s="127"/>
      <c r="T924" s="127"/>
      <c r="U924" s="127"/>
      <c r="V924" s="127"/>
      <c r="W924" s="127"/>
      <c r="X924" s="127"/>
      <c r="Y924" s="127"/>
      <c r="Z924" s="127"/>
    </row>
    <row r="925" customFormat="false" ht="15.75" hidden="false" customHeight="false" outlineLevel="0" collapsed="false">
      <c r="A925" s="127"/>
      <c r="B925" s="127"/>
      <c r="C925" s="127"/>
      <c r="D925" s="127"/>
      <c r="E925" s="127"/>
      <c r="F925" s="127"/>
      <c r="G925" s="127"/>
      <c r="H925" s="127"/>
      <c r="I925" s="127"/>
      <c r="J925" s="127"/>
      <c r="K925" s="127"/>
      <c r="L925" s="127"/>
      <c r="M925" s="127"/>
      <c r="N925" s="127"/>
      <c r="O925" s="127"/>
      <c r="P925" s="127"/>
      <c r="Q925" s="127"/>
      <c r="R925" s="127"/>
      <c r="S925" s="127"/>
      <c r="T925" s="127"/>
      <c r="U925" s="127"/>
      <c r="V925" s="127"/>
      <c r="W925" s="127"/>
      <c r="X925" s="127"/>
      <c r="Y925" s="127"/>
      <c r="Z925" s="127"/>
    </row>
    <row r="926" customFormat="false" ht="15.75" hidden="false" customHeight="false" outlineLevel="0" collapsed="false">
      <c r="A926" s="127"/>
      <c r="B926" s="127"/>
      <c r="C926" s="127"/>
      <c r="D926" s="127"/>
      <c r="E926" s="127"/>
      <c r="F926" s="127"/>
      <c r="G926" s="127"/>
      <c r="H926" s="127"/>
      <c r="I926" s="127"/>
      <c r="J926" s="127"/>
      <c r="K926" s="127"/>
      <c r="L926" s="127"/>
      <c r="M926" s="127"/>
      <c r="N926" s="127"/>
      <c r="O926" s="127"/>
      <c r="P926" s="127"/>
      <c r="Q926" s="127"/>
      <c r="R926" s="127"/>
      <c r="S926" s="127"/>
      <c r="T926" s="127"/>
      <c r="U926" s="127"/>
      <c r="V926" s="127"/>
      <c r="W926" s="127"/>
      <c r="X926" s="127"/>
      <c r="Y926" s="127"/>
      <c r="Z926" s="127"/>
    </row>
    <row r="927" customFormat="false" ht="15.75" hidden="false" customHeight="false" outlineLevel="0" collapsed="false">
      <c r="A927" s="127"/>
      <c r="B927" s="127"/>
      <c r="C927" s="127"/>
      <c r="D927" s="127"/>
      <c r="E927" s="127"/>
      <c r="F927" s="127"/>
      <c r="G927" s="127"/>
      <c r="H927" s="127"/>
      <c r="I927" s="127"/>
      <c r="J927" s="127"/>
      <c r="K927" s="127"/>
      <c r="L927" s="127"/>
      <c r="M927" s="127"/>
      <c r="N927" s="127"/>
      <c r="O927" s="127"/>
      <c r="P927" s="127"/>
      <c r="Q927" s="127"/>
      <c r="R927" s="127"/>
      <c r="S927" s="127"/>
      <c r="T927" s="127"/>
      <c r="U927" s="127"/>
      <c r="V927" s="127"/>
      <c r="W927" s="127"/>
      <c r="X927" s="127"/>
      <c r="Y927" s="127"/>
      <c r="Z927" s="127"/>
    </row>
    <row r="928" customFormat="false" ht="15.75" hidden="false" customHeight="false" outlineLevel="0" collapsed="false">
      <c r="A928" s="127"/>
      <c r="B928" s="127"/>
      <c r="C928" s="127"/>
      <c r="D928" s="127"/>
      <c r="E928" s="127"/>
      <c r="F928" s="127"/>
      <c r="G928" s="127"/>
      <c r="H928" s="127"/>
      <c r="I928" s="127"/>
      <c r="J928" s="127"/>
      <c r="K928" s="127"/>
      <c r="L928" s="127"/>
      <c r="M928" s="127"/>
      <c r="N928" s="127"/>
      <c r="O928" s="127"/>
      <c r="P928" s="127"/>
      <c r="Q928" s="127"/>
      <c r="R928" s="127"/>
      <c r="S928" s="127"/>
      <c r="T928" s="127"/>
      <c r="U928" s="127"/>
      <c r="V928" s="127"/>
      <c r="W928" s="127"/>
      <c r="X928" s="127"/>
      <c r="Y928" s="127"/>
      <c r="Z928" s="127"/>
    </row>
    <row r="929" customFormat="false" ht="15.75" hidden="false" customHeight="false" outlineLevel="0" collapsed="false">
      <c r="A929" s="127"/>
      <c r="B929" s="127"/>
      <c r="C929" s="127"/>
      <c r="D929" s="127"/>
      <c r="E929" s="127"/>
      <c r="F929" s="127"/>
      <c r="G929" s="127"/>
      <c r="H929" s="127"/>
      <c r="I929" s="127"/>
      <c r="J929" s="127"/>
      <c r="K929" s="127"/>
      <c r="L929" s="127"/>
      <c r="M929" s="127"/>
      <c r="N929" s="127"/>
      <c r="O929" s="127"/>
      <c r="P929" s="127"/>
      <c r="Q929" s="127"/>
      <c r="R929" s="127"/>
      <c r="S929" s="127"/>
      <c r="T929" s="127"/>
      <c r="U929" s="127"/>
      <c r="V929" s="127"/>
      <c r="W929" s="127"/>
      <c r="X929" s="127"/>
      <c r="Y929" s="127"/>
      <c r="Z929" s="127"/>
    </row>
    <row r="930" customFormat="false" ht="15.75" hidden="false" customHeight="false" outlineLevel="0" collapsed="false">
      <c r="A930" s="127"/>
      <c r="B930" s="127"/>
      <c r="C930" s="127"/>
      <c r="D930" s="127"/>
      <c r="E930" s="127"/>
      <c r="F930" s="127"/>
      <c r="G930" s="127"/>
      <c r="H930" s="127"/>
      <c r="I930" s="127"/>
      <c r="J930" s="127"/>
      <c r="K930" s="127"/>
      <c r="L930" s="127"/>
      <c r="M930" s="127"/>
      <c r="N930" s="127"/>
      <c r="O930" s="127"/>
      <c r="P930" s="127"/>
      <c r="Q930" s="127"/>
      <c r="R930" s="127"/>
      <c r="S930" s="127"/>
      <c r="T930" s="127"/>
      <c r="U930" s="127"/>
      <c r="V930" s="127"/>
      <c r="W930" s="127"/>
      <c r="X930" s="127"/>
      <c r="Y930" s="127"/>
      <c r="Z930" s="127"/>
    </row>
    <row r="931" customFormat="false" ht="15.75" hidden="false" customHeight="false" outlineLevel="0" collapsed="false">
      <c r="A931" s="127"/>
      <c r="B931" s="127"/>
      <c r="C931" s="127"/>
      <c r="D931" s="127"/>
      <c r="E931" s="127"/>
      <c r="F931" s="127"/>
      <c r="G931" s="127"/>
      <c r="H931" s="127"/>
      <c r="I931" s="127"/>
      <c r="J931" s="127"/>
      <c r="K931" s="127"/>
      <c r="L931" s="127"/>
      <c r="M931" s="127"/>
      <c r="N931" s="127"/>
      <c r="O931" s="127"/>
      <c r="P931" s="127"/>
      <c r="Q931" s="127"/>
      <c r="R931" s="127"/>
      <c r="S931" s="127"/>
      <c r="T931" s="127"/>
      <c r="U931" s="127"/>
      <c r="V931" s="127"/>
      <c r="W931" s="127"/>
      <c r="X931" s="127"/>
      <c r="Y931" s="127"/>
      <c r="Z931" s="127"/>
    </row>
    <row r="932" customFormat="false" ht="15.75" hidden="false" customHeight="false" outlineLevel="0" collapsed="false">
      <c r="A932" s="127"/>
      <c r="B932" s="127"/>
      <c r="C932" s="127"/>
      <c r="D932" s="127"/>
      <c r="E932" s="127"/>
      <c r="F932" s="127"/>
      <c r="G932" s="127"/>
      <c r="H932" s="127"/>
      <c r="I932" s="127"/>
      <c r="J932" s="127"/>
      <c r="K932" s="127"/>
      <c r="L932" s="127"/>
      <c r="M932" s="127"/>
      <c r="N932" s="127"/>
      <c r="O932" s="127"/>
      <c r="P932" s="127"/>
      <c r="Q932" s="127"/>
      <c r="R932" s="127"/>
      <c r="S932" s="127"/>
      <c r="T932" s="127"/>
      <c r="U932" s="127"/>
      <c r="V932" s="127"/>
      <c r="W932" s="127"/>
      <c r="X932" s="127"/>
      <c r="Y932" s="127"/>
      <c r="Z932" s="127"/>
    </row>
    <row r="933" customFormat="false" ht="15.75" hidden="false" customHeight="false" outlineLevel="0" collapsed="false">
      <c r="A933" s="127"/>
      <c r="B933" s="127"/>
      <c r="C933" s="127"/>
      <c r="D933" s="127"/>
      <c r="E933" s="127"/>
      <c r="F933" s="127"/>
      <c r="G933" s="127"/>
      <c r="H933" s="127"/>
      <c r="I933" s="127"/>
      <c r="J933" s="127"/>
      <c r="K933" s="127"/>
      <c r="L933" s="127"/>
      <c r="M933" s="127"/>
      <c r="N933" s="127"/>
      <c r="O933" s="127"/>
      <c r="P933" s="127"/>
      <c r="Q933" s="127"/>
      <c r="R933" s="127"/>
      <c r="S933" s="127"/>
      <c r="T933" s="127"/>
      <c r="U933" s="127"/>
      <c r="V933" s="127"/>
      <c r="W933" s="127"/>
      <c r="X933" s="127"/>
      <c r="Y933" s="127"/>
      <c r="Z933" s="127"/>
    </row>
    <row r="934" customFormat="false" ht="15.75" hidden="false" customHeight="false" outlineLevel="0" collapsed="false">
      <c r="A934" s="127"/>
      <c r="B934" s="127"/>
      <c r="C934" s="127"/>
      <c r="D934" s="127"/>
      <c r="E934" s="127"/>
      <c r="F934" s="127"/>
      <c r="G934" s="127"/>
      <c r="H934" s="127"/>
      <c r="I934" s="127"/>
      <c r="J934" s="127"/>
      <c r="K934" s="127"/>
      <c r="L934" s="127"/>
      <c r="M934" s="127"/>
      <c r="N934" s="127"/>
      <c r="O934" s="127"/>
      <c r="P934" s="127"/>
      <c r="Q934" s="127"/>
      <c r="R934" s="127"/>
      <c r="S934" s="127"/>
      <c r="T934" s="127"/>
      <c r="U934" s="127"/>
      <c r="V934" s="127"/>
      <c r="W934" s="127"/>
      <c r="X934" s="127"/>
      <c r="Y934" s="127"/>
      <c r="Z934" s="127"/>
    </row>
    <row r="935" customFormat="false" ht="15.75" hidden="false" customHeight="false" outlineLevel="0" collapsed="false">
      <c r="A935" s="127"/>
      <c r="B935" s="127"/>
      <c r="C935" s="127"/>
      <c r="D935" s="127"/>
      <c r="E935" s="127"/>
      <c r="F935" s="127"/>
      <c r="G935" s="127"/>
      <c r="H935" s="127"/>
      <c r="I935" s="127"/>
      <c r="J935" s="127"/>
      <c r="K935" s="127"/>
      <c r="L935" s="127"/>
      <c r="M935" s="127"/>
      <c r="N935" s="127"/>
      <c r="O935" s="127"/>
      <c r="P935" s="127"/>
      <c r="Q935" s="127"/>
      <c r="R935" s="127"/>
      <c r="S935" s="127"/>
      <c r="T935" s="127"/>
      <c r="U935" s="127"/>
      <c r="V935" s="127"/>
      <c r="W935" s="127"/>
      <c r="X935" s="127"/>
      <c r="Y935" s="127"/>
      <c r="Z935" s="127"/>
    </row>
    <row r="936" customFormat="false" ht="15.75" hidden="false" customHeight="false" outlineLevel="0" collapsed="false">
      <c r="A936" s="127"/>
      <c r="B936" s="127"/>
      <c r="C936" s="127"/>
      <c r="D936" s="127"/>
      <c r="E936" s="127"/>
      <c r="F936" s="127"/>
      <c r="G936" s="127"/>
      <c r="H936" s="127"/>
      <c r="I936" s="127"/>
      <c r="J936" s="127"/>
      <c r="K936" s="127"/>
      <c r="L936" s="127"/>
      <c r="M936" s="127"/>
      <c r="N936" s="127"/>
      <c r="O936" s="127"/>
      <c r="P936" s="127"/>
      <c r="Q936" s="127"/>
      <c r="R936" s="127"/>
      <c r="S936" s="127"/>
      <c r="T936" s="127"/>
      <c r="U936" s="127"/>
      <c r="V936" s="127"/>
      <c r="W936" s="127"/>
      <c r="X936" s="127"/>
      <c r="Y936" s="127"/>
      <c r="Z936" s="127"/>
    </row>
    <row r="937" customFormat="false" ht="15.75" hidden="false" customHeight="false" outlineLevel="0" collapsed="false">
      <c r="A937" s="127"/>
      <c r="B937" s="127"/>
      <c r="C937" s="127"/>
      <c r="D937" s="127"/>
      <c r="E937" s="127"/>
      <c r="F937" s="127"/>
      <c r="G937" s="127"/>
      <c r="H937" s="127"/>
      <c r="I937" s="127"/>
      <c r="J937" s="127"/>
      <c r="K937" s="127"/>
      <c r="L937" s="127"/>
      <c r="M937" s="127"/>
      <c r="N937" s="127"/>
      <c r="O937" s="127"/>
      <c r="P937" s="127"/>
      <c r="Q937" s="127"/>
      <c r="R937" s="127"/>
      <c r="S937" s="127"/>
      <c r="T937" s="127"/>
      <c r="U937" s="127"/>
      <c r="V937" s="127"/>
      <c r="W937" s="127"/>
      <c r="X937" s="127"/>
      <c r="Y937" s="127"/>
      <c r="Z937" s="127"/>
    </row>
    <row r="938" customFormat="false" ht="15.75" hidden="false" customHeight="false" outlineLevel="0" collapsed="false">
      <c r="A938" s="127"/>
      <c r="B938" s="127"/>
      <c r="C938" s="127"/>
      <c r="D938" s="127"/>
      <c r="E938" s="127"/>
      <c r="F938" s="127"/>
      <c r="G938" s="127"/>
      <c r="H938" s="127"/>
      <c r="I938" s="127"/>
      <c r="J938" s="127"/>
      <c r="K938" s="127"/>
      <c r="L938" s="127"/>
      <c r="M938" s="127"/>
      <c r="N938" s="127"/>
      <c r="O938" s="127"/>
      <c r="P938" s="127"/>
      <c r="Q938" s="127"/>
      <c r="R938" s="127"/>
      <c r="S938" s="127"/>
      <c r="T938" s="127"/>
      <c r="U938" s="127"/>
      <c r="V938" s="127"/>
      <c r="W938" s="127"/>
      <c r="X938" s="127"/>
      <c r="Y938" s="127"/>
      <c r="Z938" s="127"/>
    </row>
    <row r="939" customFormat="false" ht="15.75" hidden="false" customHeight="false" outlineLevel="0" collapsed="false">
      <c r="A939" s="127"/>
      <c r="B939" s="127"/>
      <c r="C939" s="127"/>
      <c r="D939" s="127"/>
      <c r="E939" s="127"/>
      <c r="F939" s="127"/>
      <c r="G939" s="127"/>
      <c r="H939" s="127"/>
      <c r="I939" s="127"/>
      <c r="J939" s="127"/>
      <c r="K939" s="127"/>
      <c r="L939" s="127"/>
      <c r="M939" s="127"/>
      <c r="N939" s="127"/>
      <c r="O939" s="127"/>
      <c r="P939" s="127"/>
      <c r="Q939" s="127"/>
      <c r="R939" s="127"/>
      <c r="S939" s="127"/>
      <c r="T939" s="127"/>
      <c r="U939" s="127"/>
      <c r="V939" s="127"/>
      <c r="W939" s="127"/>
      <c r="X939" s="127"/>
      <c r="Y939" s="127"/>
      <c r="Z939" s="127"/>
    </row>
    <row r="940" customFormat="false" ht="15.75" hidden="false" customHeight="false" outlineLevel="0" collapsed="false">
      <c r="A940" s="127"/>
      <c r="B940" s="127"/>
      <c r="C940" s="127"/>
      <c r="D940" s="127"/>
      <c r="E940" s="127"/>
      <c r="F940" s="127"/>
      <c r="G940" s="127"/>
      <c r="H940" s="127"/>
      <c r="I940" s="127"/>
      <c r="J940" s="127"/>
      <c r="K940" s="127"/>
      <c r="L940" s="127"/>
      <c r="M940" s="127"/>
      <c r="N940" s="127"/>
      <c r="O940" s="127"/>
      <c r="P940" s="127"/>
      <c r="Q940" s="127"/>
      <c r="R940" s="127"/>
      <c r="S940" s="127"/>
      <c r="T940" s="127"/>
      <c r="U940" s="127"/>
      <c r="V940" s="127"/>
      <c r="W940" s="127"/>
      <c r="X940" s="127"/>
      <c r="Y940" s="127"/>
      <c r="Z940" s="127"/>
    </row>
    <row r="941" customFormat="false" ht="15.75" hidden="false" customHeight="false" outlineLevel="0" collapsed="false">
      <c r="A941" s="127"/>
      <c r="B941" s="127"/>
      <c r="C941" s="127"/>
      <c r="D941" s="127"/>
      <c r="E941" s="127"/>
      <c r="F941" s="127"/>
      <c r="G941" s="127"/>
      <c r="H941" s="127"/>
      <c r="I941" s="127"/>
      <c r="J941" s="127"/>
      <c r="K941" s="127"/>
      <c r="L941" s="127"/>
      <c r="M941" s="127"/>
      <c r="N941" s="127"/>
      <c r="O941" s="127"/>
      <c r="P941" s="127"/>
      <c r="Q941" s="127"/>
      <c r="R941" s="127"/>
      <c r="S941" s="127"/>
      <c r="T941" s="127"/>
      <c r="U941" s="127"/>
      <c r="V941" s="127"/>
      <c r="W941" s="127"/>
      <c r="X941" s="127"/>
      <c r="Y941" s="127"/>
      <c r="Z941" s="127"/>
    </row>
    <row r="942" customFormat="false" ht="15.75" hidden="false" customHeight="false" outlineLevel="0" collapsed="false">
      <c r="A942" s="127"/>
      <c r="B942" s="127"/>
      <c r="C942" s="127"/>
      <c r="D942" s="127"/>
      <c r="E942" s="127"/>
      <c r="F942" s="127"/>
      <c r="G942" s="127"/>
      <c r="H942" s="127"/>
      <c r="I942" s="127"/>
      <c r="J942" s="127"/>
      <c r="K942" s="127"/>
      <c r="L942" s="127"/>
      <c r="M942" s="127"/>
      <c r="N942" s="127"/>
      <c r="O942" s="127"/>
      <c r="P942" s="127"/>
      <c r="Q942" s="127"/>
      <c r="R942" s="127"/>
      <c r="S942" s="127"/>
      <c r="T942" s="127"/>
      <c r="U942" s="127"/>
      <c r="V942" s="127"/>
      <c r="W942" s="127"/>
      <c r="X942" s="127"/>
      <c r="Y942" s="127"/>
      <c r="Z942" s="127"/>
    </row>
    <row r="943" customFormat="false" ht="15.75" hidden="false" customHeight="false" outlineLevel="0" collapsed="false">
      <c r="A943" s="127"/>
      <c r="B943" s="127"/>
      <c r="C943" s="127"/>
      <c r="D943" s="127"/>
      <c r="E943" s="127"/>
      <c r="F943" s="127"/>
      <c r="G943" s="127"/>
      <c r="H943" s="127"/>
      <c r="I943" s="127"/>
      <c r="J943" s="127"/>
      <c r="K943" s="127"/>
      <c r="L943" s="127"/>
      <c r="M943" s="127"/>
      <c r="N943" s="127"/>
      <c r="O943" s="127"/>
      <c r="P943" s="127"/>
      <c r="Q943" s="127"/>
      <c r="R943" s="127"/>
      <c r="S943" s="127"/>
      <c r="T943" s="127"/>
      <c r="U943" s="127"/>
      <c r="V943" s="127"/>
      <c r="W943" s="127"/>
      <c r="X943" s="127"/>
      <c r="Y943" s="127"/>
      <c r="Z943" s="127"/>
    </row>
    <row r="944" customFormat="false" ht="15.75" hidden="false" customHeight="false" outlineLevel="0" collapsed="false">
      <c r="A944" s="127"/>
      <c r="B944" s="127"/>
      <c r="C944" s="127"/>
      <c r="D944" s="127"/>
      <c r="E944" s="127"/>
      <c r="F944" s="127"/>
      <c r="G944" s="127"/>
      <c r="H944" s="127"/>
      <c r="I944" s="127"/>
      <c r="J944" s="127"/>
      <c r="K944" s="127"/>
      <c r="L944" s="127"/>
      <c r="M944" s="127"/>
      <c r="N944" s="127"/>
      <c r="O944" s="127"/>
      <c r="P944" s="127"/>
      <c r="Q944" s="127"/>
      <c r="R944" s="127"/>
      <c r="S944" s="127"/>
      <c r="T944" s="127"/>
      <c r="U944" s="127"/>
      <c r="V944" s="127"/>
      <c r="W944" s="127"/>
      <c r="X944" s="127"/>
      <c r="Y944" s="127"/>
      <c r="Z944" s="127"/>
    </row>
    <row r="945" customFormat="false" ht="15.75" hidden="false" customHeight="false" outlineLevel="0" collapsed="false">
      <c r="A945" s="127"/>
      <c r="B945" s="127"/>
      <c r="C945" s="127"/>
      <c r="D945" s="127"/>
      <c r="E945" s="127"/>
      <c r="F945" s="127"/>
      <c r="G945" s="127"/>
      <c r="H945" s="127"/>
      <c r="I945" s="127"/>
      <c r="J945" s="127"/>
      <c r="K945" s="127"/>
      <c r="L945" s="127"/>
      <c r="M945" s="127"/>
      <c r="N945" s="127"/>
      <c r="O945" s="127"/>
      <c r="P945" s="127"/>
      <c r="Q945" s="127"/>
      <c r="R945" s="127"/>
      <c r="S945" s="127"/>
      <c r="T945" s="127"/>
      <c r="U945" s="127"/>
      <c r="V945" s="127"/>
      <c r="W945" s="127"/>
      <c r="X945" s="127"/>
      <c r="Y945" s="127"/>
      <c r="Z945" s="127"/>
    </row>
    <row r="946" customFormat="false" ht="15.75" hidden="false" customHeight="false" outlineLevel="0" collapsed="false">
      <c r="A946" s="127"/>
      <c r="B946" s="127"/>
      <c r="C946" s="127"/>
      <c r="D946" s="127"/>
      <c r="E946" s="127"/>
      <c r="F946" s="127"/>
      <c r="G946" s="127"/>
      <c r="H946" s="127"/>
      <c r="I946" s="127"/>
      <c r="J946" s="127"/>
      <c r="K946" s="127"/>
      <c r="L946" s="127"/>
      <c r="M946" s="127"/>
      <c r="N946" s="127"/>
      <c r="O946" s="127"/>
      <c r="P946" s="127"/>
      <c r="Q946" s="127"/>
      <c r="R946" s="127"/>
      <c r="S946" s="127"/>
      <c r="T946" s="127"/>
      <c r="U946" s="127"/>
      <c r="V946" s="127"/>
      <c r="W946" s="127"/>
      <c r="X946" s="127"/>
      <c r="Y946" s="127"/>
      <c r="Z946" s="127"/>
    </row>
    <row r="947" customFormat="false" ht="15.75" hidden="false" customHeight="false" outlineLevel="0" collapsed="false">
      <c r="A947" s="127"/>
      <c r="B947" s="127"/>
      <c r="C947" s="127"/>
      <c r="D947" s="127"/>
      <c r="E947" s="127"/>
      <c r="F947" s="127"/>
      <c r="G947" s="127"/>
      <c r="H947" s="127"/>
      <c r="I947" s="127"/>
      <c r="J947" s="127"/>
      <c r="K947" s="127"/>
      <c r="L947" s="127"/>
      <c r="M947" s="127"/>
      <c r="N947" s="127"/>
      <c r="O947" s="127"/>
      <c r="P947" s="127"/>
      <c r="Q947" s="127"/>
      <c r="R947" s="127"/>
      <c r="S947" s="127"/>
      <c r="T947" s="127"/>
      <c r="U947" s="127"/>
      <c r="V947" s="127"/>
      <c r="W947" s="127"/>
      <c r="X947" s="127"/>
      <c r="Y947" s="127"/>
      <c r="Z947" s="127"/>
    </row>
    <row r="948" customFormat="false" ht="15.75" hidden="false" customHeight="false" outlineLevel="0" collapsed="false">
      <c r="A948" s="127"/>
      <c r="B948" s="127"/>
      <c r="C948" s="127"/>
      <c r="D948" s="127"/>
      <c r="E948" s="127"/>
      <c r="F948" s="127"/>
      <c r="G948" s="127"/>
      <c r="H948" s="127"/>
      <c r="I948" s="127"/>
      <c r="J948" s="127"/>
      <c r="K948" s="127"/>
      <c r="L948" s="127"/>
      <c r="M948" s="127"/>
      <c r="N948" s="127"/>
      <c r="O948" s="127"/>
      <c r="P948" s="127"/>
      <c r="Q948" s="127"/>
      <c r="R948" s="127"/>
      <c r="S948" s="127"/>
      <c r="T948" s="127"/>
      <c r="U948" s="127"/>
      <c r="V948" s="127"/>
      <c r="W948" s="127"/>
      <c r="X948" s="127"/>
      <c r="Y948" s="127"/>
      <c r="Z948" s="127"/>
    </row>
    <row r="949" customFormat="false" ht="15.75" hidden="false" customHeight="false" outlineLevel="0" collapsed="false">
      <c r="A949" s="127"/>
      <c r="B949" s="127"/>
      <c r="C949" s="127"/>
      <c r="D949" s="127"/>
      <c r="E949" s="127"/>
      <c r="F949" s="127"/>
      <c r="G949" s="127"/>
      <c r="H949" s="127"/>
      <c r="I949" s="127"/>
      <c r="J949" s="127"/>
      <c r="K949" s="127"/>
      <c r="L949" s="127"/>
      <c r="M949" s="127"/>
      <c r="N949" s="127"/>
      <c r="O949" s="127"/>
      <c r="P949" s="127"/>
      <c r="Q949" s="127"/>
      <c r="R949" s="127"/>
      <c r="S949" s="127"/>
      <c r="T949" s="127"/>
      <c r="U949" s="127"/>
      <c r="V949" s="127"/>
      <c r="W949" s="127"/>
      <c r="X949" s="127"/>
      <c r="Y949" s="127"/>
      <c r="Z949" s="127"/>
    </row>
    <row r="950" customFormat="false" ht="15.75" hidden="false" customHeight="false" outlineLevel="0" collapsed="false">
      <c r="A950" s="127"/>
      <c r="B950" s="127"/>
      <c r="C950" s="127"/>
      <c r="D950" s="127"/>
      <c r="E950" s="127"/>
      <c r="F950" s="127"/>
      <c r="G950" s="127"/>
      <c r="H950" s="127"/>
      <c r="I950" s="127"/>
      <c r="J950" s="127"/>
      <c r="K950" s="127"/>
      <c r="L950" s="127"/>
      <c r="M950" s="127"/>
      <c r="N950" s="127"/>
      <c r="O950" s="127"/>
      <c r="P950" s="127"/>
      <c r="Q950" s="127"/>
      <c r="R950" s="127"/>
      <c r="S950" s="127"/>
      <c r="T950" s="127"/>
      <c r="U950" s="127"/>
      <c r="V950" s="127"/>
      <c r="W950" s="127"/>
      <c r="X950" s="127"/>
      <c r="Y950" s="127"/>
      <c r="Z950" s="127"/>
    </row>
    <row r="951" customFormat="false" ht="15.75" hidden="false" customHeight="false" outlineLevel="0" collapsed="false">
      <c r="A951" s="127"/>
      <c r="B951" s="127"/>
      <c r="C951" s="127"/>
      <c r="D951" s="127"/>
      <c r="E951" s="127"/>
      <c r="F951" s="127"/>
      <c r="G951" s="127"/>
      <c r="H951" s="127"/>
      <c r="I951" s="127"/>
      <c r="J951" s="127"/>
      <c r="K951" s="127"/>
      <c r="L951" s="127"/>
      <c r="M951" s="127"/>
      <c r="N951" s="127"/>
      <c r="O951" s="127"/>
      <c r="P951" s="127"/>
      <c r="Q951" s="127"/>
      <c r="R951" s="127"/>
      <c r="S951" s="127"/>
      <c r="T951" s="127"/>
      <c r="U951" s="127"/>
      <c r="V951" s="127"/>
      <c r="W951" s="127"/>
      <c r="X951" s="127"/>
      <c r="Y951" s="127"/>
      <c r="Z951" s="127"/>
    </row>
    <row r="952" customFormat="false" ht="15.75" hidden="false" customHeight="false" outlineLevel="0" collapsed="false">
      <c r="A952" s="127"/>
      <c r="B952" s="127"/>
      <c r="C952" s="127"/>
      <c r="D952" s="127"/>
      <c r="E952" s="127"/>
      <c r="F952" s="127"/>
      <c r="G952" s="127"/>
      <c r="H952" s="127"/>
      <c r="I952" s="127"/>
      <c r="J952" s="127"/>
      <c r="K952" s="127"/>
      <c r="L952" s="127"/>
      <c r="M952" s="127"/>
      <c r="N952" s="127"/>
      <c r="O952" s="127"/>
      <c r="P952" s="127"/>
      <c r="Q952" s="127"/>
      <c r="R952" s="127"/>
      <c r="S952" s="127"/>
      <c r="T952" s="127"/>
      <c r="U952" s="127"/>
      <c r="V952" s="127"/>
      <c r="W952" s="127"/>
      <c r="X952" s="127"/>
      <c r="Y952" s="127"/>
      <c r="Z952" s="127"/>
    </row>
    <row r="953" customFormat="false" ht="15.75" hidden="false" customHeight="false" outlineLevel="0" collapsed="false">
      <c r="A953" s="127"/>
      <c r="B953" s="127"/>
      <c r="C953" s="127"/>
      <c r="D953" s="127"/>
      <c r="E953" s="127"/>
      <c r="F953" s="127"/>
      <c r="G953" s="127"/>
      <c r="H953" s="127"/>
      <c r="I953" s="127"/>
      <c r="J953" s="127"/>
      <c r="K953" s="127"/>
      <c r="L953" s="127"/>
      <c r="M953" s="127"/>
      <c r="N953" s="127"/>
      <c r="O953" s="127"/>
      <c r="P953" s="127"/>
      <c r="Q953" s="127"/>
      <c r="R953" s="127"/>
      <c r="S953" s="127"/>
      <c r="T953" s="127"/>
      <c r="U953" s="127"/>
      <c r="V953" s="127"/>
      <c r="W953" s="127"/>
      <c r="X953" s="127"/>
      <c r="Y953" s="127"/>
      <c r="Z953" s="127"/>
    </row>
    <row r="954" customFormat="false" ht="15.75" hidden="false" customHeight="false" outlineLevel="0" collapsed="false">
      <c r="A954" s="127"/>
      <c r="B954" s="127"/>
      <c r="C954" s="127"/>
      <c r="D954" s="127"/>
      <c r="E954" s="127"/>
      <c r="F954" s="127"/>
      <c r="G954" s="127"/>
      <c r="H954" s="127"/>
      <c r="I954" s="127"/>
      <c r="J954" s="127"/>
      <c r="K954" s="127"/>
      <c r="L954" s="127"/>
      <c r="M954" s="127"/>
      <c r="N954" s="127"/>
      <c r="O954" s="127"/>
      <c r="P954" s="127"/>
      <c r="Q954" s="127"/>
      <c r="R954" s="127"/>
      <c r="S954" s="127"/>
      <c r="T954" s="127"/>
      <c r="U954" s="127"/>
      <c r="V954" s="127"/>
      <c r="W954" s="127"/>
      <c r="X954" s="127"/>
      <c r="Y954" s="127"/>
      <c r="Z954" s="127"/>
    </row>
    <row r="955" customFormat="false" ht="15.75" hidden="false" customHeight="false" outlineLevel="0" collapsed="false">
      <c r="A955" s="127"/>
      <c r="B955" s="127"/>
      <c r="C955" s="127"/>
      <c r="D955" s="127"/>
      <c r="E955" s="127"/>
      <c r="F955" s="127"/>
      <c r="G955" s="127"/>
      <c r="H955" s="127"/>
      <c r="I955" s="127"/>
      <c r="J955" s="127"/>
      <c r="K955" s="127"/>
      <c r="L955" s="127"/>
      <c r="M955" s="127"/>
      <c r="N955" s="127"/>
      <c r="O955" s="127"/>
      <c r="P955" s="127"/>
      <c r="Q955" s="127"/>
      <c r="R955" s="127"/>
      <c r="S955" s="127"/>
      <c r="T955" s="127"/>
      <c r="U955" s="127"/>
      <c r="V955" s="127"/>
      <c r="W955" s="127"/>
      <c r="X955" s="127"/>
      <c r="Y955" s="127"/>
      <c r="Z955" s="127"/>
    </row>
    <row r="956" customFormat="false" ht="15.75" hidden="false" customHeight="false" outlineLevel="0" collapsed="false">
      <c r="A956" s="127"/>
      <c r="B956" s="127"/>
      <c r="C956" s="127"/>
      <c r="D956" s="127"/>
      <c r="E956" s="127"/>
      <c r="F956" s="127"/>
      <c r="G956" s="127"/>
      <c r="H956" s="127"/>
      <c r="I956" s="127"/>
      <c r="J956" s="127"/>
      <c r="K956" s="127"/>
      <c r="L956" s="127"/>
      <c r="M956" s="127"/>
      <c r="N956" s="127"/>
      <c r="O956" s="127"/>
      <c r="P956" s="127"/>
      <c r="Q956" s="127"/>
      <c r="R956" s="127"/>
      <c r="S956" s="127"/>
      <c r="T956" s="127"/>
      <c r="U956" s="127"/>
      <c r="V956" s="127"/>
      <c r="W956" s="127"/>
      <c r="X956" s="127"/>
      <c r="Y956" s="127"/>
      <c r="Z956" s="127"/>
    </row>
    <row r="957" customFormat="false" ht="15.75" hidden="false" customHeight="false" outlineLevel="0" collapsed="false">
      <c r="A957" s="127"/>
      <c r="B957" s="127"/>
      <c r="C957" s="127"/>
      <c r="D957" s="127"/>
      <c r="E957" s="127"/>
      <c r="F957" s="127"/>
      <c r="G957" s="127"/>
      <c r="H957" s="127"/>
      <c r="I957" s="127"/>
      <c r="J957" s="127"/>
      <c r="K957" s="127"/>
      <c r="L957" s="127"/>
      <c r="M957" s="127"/>
      <c r="N957" s="127"/>
      <c r="O957" s="127"/>
      <c r="P957" s="127"/>
      <c r="Q957" s="127"/>
      <c r="R957" s="127"/>
      <c r="S957" s="127"/>
      <c r="T957" s="127"/>
      <c r="U957" s="127"/>
      <c r="V957" s="127"/>
      <c r="W957" s="127"/>
      <c r="X957" s="127"/>
      <c r="Y957" s="127"/>
      <c r="Z957" s="127"/>
    </row>
    <row r="958" customFormat="false" ht="15.75" hidden="false" customHeight="false" outlineLevel="0" collapsed="false">
      <c r="A958" s="127"/>
      <c r="B958" s="127"/>
      <c r="C958" s="127"/>
      <c r="D958" s="127"/>
      <c r="E958" s="127"/>
      <c r="F958" s="127"/>
      <c r="G958" s="127"/>
      <c r="H958" s="127"/>
      <c r="I958" s="127"/>
      <c r="J958" s="127"/>
      <c r="K958" s="127"/>
      <c r="L958" s="127"/>
      <c r="M958" s="127"/>
      <c r="N958" s="127"/>
      <c r="O958" s="127"/>
      <c r="P958" s="127"/>
      <c r="Q958" s="127"/>
      <c r="R958" s="127"/>
      <c r="S958" s="127"/>
      <c r="T958" s="127"/>
      <c r="U958" s="127"/>
      <c r="V958" s="127"/>
      <c r="W958" s="127"/>
      <c r="X958" s="127"/>
      <c r="Y958" s="127"/>
      <c r="Z958" s="127"/>
    </row>
    <row r="959" customFormat="false" ht="15.75" hidden="false" customHeight="false" outlineLevel="0" collapsed="false">
      <c r="A959" s="127"/>
      <c r="B959" s="127"/>
      <c r="C959" s="127"/>
      <c r="D959" s="127"/>
      <c r="E959" s="127"/>
      <c r="F959" s="127"/>
      <c r="G959" s="127"/>
      <c r="H959" s="127"/>
      <c r="I959" s="127"/>
      <c r="J959" s="127"/>
      <c r="K959" s="127"/>
      <c r="L959" s="127"/>
      <c r="M959" s="127"/>
      <c r="N959" s="127"/>
      <c r="O959" s="127"/>
      <c r="P959" s="127"/>
      <c r="Q959" s="127"/>
      <c r="R959" s="127"/>
      <c r="S959" s="127"/>
      <c r="T959" s="127"/>
      <c r="U959" s="127"/>
      <c r="V959" s="127"/>
      <c r="W959" s="127"/>
      <c r="X959" s="127"/>
      <c r="Y959" s="127"/>
      <c r="Z959" s="127"/>
    </row>
    <row r="960" customFormat="false" ht="15.75" hidden="false" customHeight="false" outlineLevel="0" collapsed="false">
      <c r="A960" s="127"/>
      <c r="B960" s="127"/>
      <c r="C960" s="127"/>
      <c r="D960" s="127"/>
      <c r="E960" s="127"/>
      <c r="F960" s="127"/>
      <c r="G960" s="127"/>
      <c r="H960" s="127"/>
      <c r="I960" s="127"/>
      <c r="J960" s="127"/>
      <c r="K960" s="127"/>
      <c r="L960" s="127"/>
      <c r="M960" s="127"/>
      <c r="N960" s="127"/>
      <c r="O960" s="127"/>
      <c r="P960" s="127"/>
      <c r="Q960" s="127"/>
      <c r="R960" s="127"/>
      <c r="S960" s="127"/>
      <c r="T960" s="127"/>
      <c r="U960" s="127"/>
      <c r="V960" s="127"/>
      <c r="W960" s="127"/>
      <c r="X960" s="127"/>
      <c r="Y960" s="127"/>
      <c r="Z960" s="127"/>
    </row>
    <row r="961" customFormat="false" ht="15.75" hidden="false" customHeight="false" outlineLevel="0" collapsed="false">
      <c r="A961" s="127"/>
      <c r="B961" s="127"/>
      <c r="C961" s="127"/>
      <c r="D961" s="127"/>
      <c r="E961" s="127"/>
      <c r="F961" s="127"/>
      <c r="G961" s="127"/>
      <c r="H961" s="127"/>
      <c r="I961" s="127"/>
      <c r="J961" s="127"/>
      <c r="K961" s="127"/>
      <c r="L961" s="127"/>
      <c r="M961" s="127"/>
      <c r="N961" s="127"/>
      <c r="O961" s="127"/>
      <c r="P961" s="127"/>
      <c r="Q961" s="127"/>
      <c r="R961" s="127"/>
      <c r="S961" s="127"/>
      <c r="T961" s="127"/>
      <c r="U961" s="127"/>
      <c r="V961" s="127"/>
      <c r="W961" s="127"/>
      <c r="X961" s="127"/>
      <c r="Y961" s="127"/>
      <c r="Z961" s="127"/>
    </row>
    <row r="962" customFormat="false" ht="15.75" hidden="false" customHeight="false" outlineLevel="0" collapsed="false">
      <c r="A962" s="127"/>
      <c r="B962" s="127"/>
      <c r="C962" s="127"/>
      <c r="D962" s="127"/>
      <c r="E962" s="127"/>
      <c r="F962" s="127"/>
      <c r="G962" s="127"/>
      <c r="H962" s="127"/>
      <c r="I962" s="127"/>
      <c r="J962" s="127"/>
      <c r="K962" s="127"/>
      <c r="L962" s="127"/>
      <c r="M962" s="127"/>
      <c r="N962" s="127"/>
      <c r="O962" s="127"/>
      <c r="P962" s="127"/>
      <c r="Q962" s="127"/>
      <c r="R962" s="127"/>
      <c r="S962" s="127"/>
      <c r="T962" s="127"/>
      <c r="U962" s="127"/>
      <c r="V962" s="127"/>
      <c r="W962" s="127"/>
      <c r="X962" s="127"/>
      <c r="Y962" s="127"/>
      <c r="Z962" s="127"/>
    </row>
    <row r="963" customFormat="false" ht="15.75" hidden="false" customHeight="false" outlineLevel="0" collapsed="false">
      <c r="A963" s="127"/>
      <c r="B963" s="127"/>
      <c r="C963" s="127"/>
      <c r="D963" s="127"/>
      <c r="E963" s="127"/>
      <c r="F963" s="127"/>
      <c r="G963" s="127"/>
      <c r="H963" s="127"/>
      <c r="I963" s="127"/>
      <c r="J963" s="127"/>
      <c r="K963" s="127"/>
      <c r="L963" s="127"/>
      <c r="M963" s="127"/>
      <c r="N963" s="127"/>
      <c r="O963" s="127"/>
      <c r="P963" s="127"/>
      <c r="Q963" s="127"/>
      <c r="R963" s="127"/>
      <c r="S963" s="127"/>
      <c r="T963" s="127"/>
      <c r="U963" s="127"/>
      <c r="V963" s="127"/>
      <c r="W963" s="127"/>
      <c r="X963" s="127"/>
      <c r="Y963" s="127"/>
      <c r="Z963" s="127"/>
    </row>
    <row r="964" customFormat="false" ht="15.75" hidden="false" customHeight="false" outlineLevel="0" collapsed="false">
      <c r="A964" s="127"/>
      <c r="B964" s="127"/>
      <c r="C964" s="127"/>
      <c r="D964" s="127"/>
      <c r="E964" s="127"/>
      <c r="F964" s="127"/>
      <c r="G964" s="127"/>
      <c r="H964" s="127"/>
      <c r="I964" s="127"/>
      <c r="J964" s="127"/>
      <c r="K964" s="127"/>
      <c r="L964" s="127"/>
      <c r="M964" s="127"/>
      <c r="N964" s="127"/>
      <c r="O964" s="127"/>
      <c r="P964" s="127"/>
      <c r="Q964" s="127"/>
      <c r="R964" s="127"/>
      <c r="S964" s="127"/>
      <c r="T964" s="127"/>
      <c r="U964" s="127"/>
      <c r="V964" s="127"/>
      <c r="W964" s="127"/>
      <c r="X964" s="127"/>
      <c r="Y964" s="127"/>
      <c r="Z964" s="127"/>
    </row>
    <row r="965" customFormat="false" ht="15.75" hidden="false" customHeight="false" outlineLevel="0" collapsed="false">
      <c r="A965" s="127"/>
      <c r="B965" s="127"/>
      <c r="C965" s="127"/>
      <c r="D965" s="127"/>
      <c r="E965" s="127"/>
      <c r="F965" s="127"/>
      <c r="G965" s="127"/>
      <c r="H965" s="127"/>
      <c r="I965" s="127"/>
      <c r="J965" s="127"/>
      <c r="K965" s="127"/>
      <c r="L965" s="127"/>
      <c r="M965" s="127"/>
      <c r="N965" s="127"/>
      <c r="O965" s="127"/>
      <c r="P965" s="127"/>
      <c r="Q965" s="127"/>
      <c r="R965" s="127"/>
      <c r="S965" s="127"/>
      <c r="T965" s="127"/>
      <c r="U965" s="127"/>
      <c r="V965" s="127"/>
      <c r="W965" s="127"/>
      <c r="X965" s="127"/>
      <c r="Y965" s="127"/>
      <c r="Z965" s="127"/>
    </row>
    <row r="966" customFormat="false" ht="15.75" hidden="false" customHeight="false" outlineLevel="0" collapsed="false">
      <c r="A966" s="127"/>
      <c r="B966" s="127"/>
      <c r="C966" s="127"/>
      <c r="D966" s="127"/>
      <c r="E966" s="127"/>
      <c r="F966" s="127"/>
      <c r="G966" s="127"/>
      <c r="H966" s="127"/>
      <c r="I966" s="127"/>
      <c r="J966" s="127"/>
      <c r="K966" s="127"/>
      <c r="L966" s="127"/>
      <c r="M966" s="127"/>
      <c r="N966" s="127"/>
      <c r="O966" s="127"/>
      <c r="P966" s="127"/>
      <c r="Q966" s="127"/>
      <c r="R966" s="127"/>
      <c r="S966" s="127"/>
      <c r="T966" s="127"/>
      <c r="U966" s="127"/>
      <c r="V966" s="127"/>
      <c r="W966" s="127"/>
      <c r="X966" s="127"/>
      <c r="Y966" s="127"/>
      <c r="Z966" s="127"/>
    </row>
    <row r="967" customFormat="false" ht="15.75" hidden="false" customHeight="false" outlineLevel="0" collapsed="false">
      <c r="A967" s="127"/>
      <c r="B967" s="127"/>
      <c r="C967" s="127"/>
      <c r="D967" s="127"/>
      <c r="E967" s="127"/>
      <c r="F967" s="127"/>
      <c r="G967" s="127"/>
      <c r="H967" s="127"/>
      <c r="I967" s="127"/>
      <c r="J967" s="127"/>
      <c r="K967" s="127"/>
      <c r="L967" s="127"/>
      <c r="M967" s="127"/>
      <c r="N967" s="127"/>
      <c r="O967" s="127"/>
      <c r="P967" s="127"/>
      <c r="Q967" s="127"/>
      <c r="R967" s="127"/>
      <c r="S967" s="127"/>
      <c r="T967" s="127"/>
      <c r="U967" s="127"/>
      <c r="V967" s="127"/>
      <c r="W967" s="127"/>
      <c r="X967" s="127"/>
      <c r="Y967" s="127"/>
      <c r="Z967" s="127"/>
    </row>
    <row r="968" customFormat="false" ht="15.75" hidden="false" customHeight="false" outlineLevel="0" collapsed="false">
      <c r="A968" s="127"/>
      <c r="B968" s="127"/>
      <c r="C968" s="127"/>
      <c r="D968" s="127"/>
      <c r="E968" s="127"/>
      <c r="F968" s="127"/>
      <c r="G968" s="127"/>
      <c r="H968" s="127"/>
      <c r="I968" s="127"/>
      <c r="J968" s="127"/>
      <c r="K968" s="127"/>
      <c r="L968" s="127"/>
      <c r="M968" s="127"/>
      <c r="N968" s="127"/>
      <c r="O968" s="127"/>
      <c r="P968" s="127"/>
      <c r="Q968" s="127"/>
      <c r="R968" s="127"/>
      <c r="S968" s="127"/>
      <c r="T968" s="127"/>
      <c r="U968" s="127"/>
      <c r="V968" s="127"/>
      <c r="W968" s="127"/>
      <c r="X968" s="127"/>
      <c r="Y968" s="127"/>
      <c r="Z968" s="127"/>
    </row>
    <row r="969" customFormat="false" ht="15.75" hidden="false" customHeight="false" outlineLevel="0" collapsed="false">
      <c r="A969" s="127"/>
      <c r="B969" s="127"/>
      <c r="C969" s="127"/>
      <c r="D969" s="127"/>
      <c r="E969" s="127"/>
      <c r="F969" s="127"/>
      <c r="G969" s="127"/>
      <c r="H969" s="127"/>
      <c r="I969" s="127"/>
      <c r="J969" s="127"/>
      <c r="K969" s="127"/>
      <c r="L969" s="127"/>
      <c r="M969" s="127"/>
      <c r="N969" s="127"/>
      <c r="O969" s="127"/>
      <c r="P969" s="127"/>
      <c r="Q969" s="127"/>
      <c r="R969" s="127"/>
      <c r="S969" s="127"/>
      <c r="T969" s="127"/>
      <c r="U969" s="127"/>
      <c r="V969" s="127"/>
      <c r="W969" s="127"/>
      <c r="X969" s="127"/>
      <c r="Y969" s="127"/>
      <c r="Z969" s="127"/>
    </row>
    <row r="970" customFormat="false" ht="15.75" hidden="false" customHeight="false" outlineLevel="0" collapsed="false">
      <c r="A970" s="127"/>
      <c r="B970" s="127"/>
      <c r="C970" s="127"/>
      <c r="D970" s="127"/>
      <c r="E970" s="127"/>
      <c r="F970" s="127"/>
      <c r="G970" s="127"/>
      <c r="H970" s="127"/>
      <c r="I970" s="127"/>
      <c r="J970" s="127"/>
      <c r="K970" s="127"/>
      <c r="L970" s="127"/>
      <c r="M970" s="127"/>
      <c r="N970" s="127"/>
      <c r="O970" s="127"/>
      <c r="P970" s="127"/>
      <c r="Q970" s="127"/>
      <c r="R970" s="127"/>
      <c r="S970" s="127"/>
      <c r="T970" s="127"/>
      <c r="U970" s="127"/>
      <c r="V970" s="127"/>
      <c r="W970" s="127"/>
      <c r="X970" s="127"/>
      <c r="Y970" s="127"/>
      <c r="Z970" s="127"/>
    </row>
    <row r="971" customFormat="false" ht="15.75" hidden="false" customHeight="false" outlineLevel="0" collapsed="false">
      <c r="A971" s="127"/>
      <c r="B971" s="127"/>
      <c r="C971" s="127"/>
      <c r="D971" s="127"/>
      <c r="E971" s="127"/>
      <c r="F971" s="127"/>
      <c r="G971" s="127"/>
      <c r="H971" s="127"/>
      <c r="I971" s="127"/>
      <c r="J971" s="127"/>
      <c r="K971" s="127"/>
      <c r="L971" s="127"/>
      <c r="M971" s="127"/>
      <c r="N971" s="127"/>
      <c r="O971" s="127"/>
      <c r="P971" s="127"/>
      <c r="Q971" s="127"/>
      <c r="R971" s="127"/>
      <c r="S971" s="127"/>
      <c r="T971" s="127"/>
      <c r="U971" s="127"/>
      <c r="V971" s="127"/>
      <c r="W971" s="127"/>
      <c r="X971" s="127"/>
      <c r="Y971" s="127"/>
      <c r="Z971" s="127"/>
    </row>
    <row r="972" customFormat="false" ht="15.75" hidden="false" customHeight="false" outlineLevel="0" collapsed="false">
      <c r="A972" s="127"/>
      <c r="B972" s="127"/>
      <c r="C972" s="127"/>
      <c r="D972" s="127"/>
      <c r="E972" s="127"/>
      <c r="F972" s="127"/>
      <c r="G972" s="127"/>
      <c r="H972" s="127"/>
      <c r="I972" s="127"/>
      <c r="J972" s="127"/>
      <c r="K972" s="127"/>
      <c r="L972" s="127"/>
      <c r="M972" s="127"/>
      <c r="N972" s="127"/>
      <c r="O972" s="127"/>
      <c r="P972" s="127"/>
      <c r="Q972" s="127"/>
      <c r="R972" s="127"/>
      <c r="S972" s="127"/>
      <c r="T972" s="127"/>
      <c r="U972" s="127"/>
      <c r="V972" s="127"/>
      <c r="W972" s="127"/>
      <c r="X972" s="127"/>
      <c r="Y972" s="127"/>
      <c r="Z972" s="127"/>
    </row>
    <row r="973" customFormat="false" ht="15.75" hidden="false" customHeight="false" outlineLevel="0" collapsed="false">
      <c r="A973" s="127"/>
      <c r="B973" s="127"/>
      <c r="C973" s="127"/>
      <c r="D973" s="127"/>
      <c r="E973" s="127"/>
      <c r="F973" s="127"/>
      <c r="G973" s="127"/>
      <c r="H973" s="127"/>
      <c r="I973" s="127"/>
      <c r="J973" s="127"/>
      <c r="K973" s="127"/>
      <c r="L973" s="127"/>
      <c r="M973" s="127"/>
      <c r="N973" s="127"/>
      <c r="O973" s="127"/>
      <c r="P973" s="127"/>
      <c r="Q973" s="127"/>
      <c r="R973" s="127"/>
      <c r="S973" s="127"/>
      <c r="T973" s="127"/>
      <c r="U973" s="127"/>
      <c r="V973" s="127"/>
      <c r="W973" s="127"/>
      <c r="X973" s="127"/>
      <c r="Y973" s="127"/>
      <c r="Z973" s="127"/>
    </row>
    <row r="974" customFormat="false" ht="15.75" hidden="false" customHeight="false" outlineLevel="0" collapsed="false">
      <c r="A974" s="127"/>
      <c r="B974" s="127"/>
      <c r="C974" s="127"/>
      <c r="D974" s="127"/>
      <c r="E974" s="127"/>
      <c r="F974" s="127"/>
      <c r="G974" s="127"/>
      <c r="H974" s="127"/>
      <c r="I974" s="127"/>
      <c r="J974" s="127"/>
      <c r="K974" s="127"/>
      <c r="L974" s="127"/>
      <c r="M974" s="127"/>
      <c r="N974" s="127"/>
      <c r="O974" s="127"/>
      <c r="P974" s="127"/>
      <c r="Q974" s="127"/>
      <c r="R974" s="127"/>
      <c r="S974" s="127"/>
      <c r="T974" s="127"/>
      <c r="U974" s="127"/>
      <c r="V974" s="127"/>
      <c r="W974" s="127"/>
      <c r="X974" s="127"/>
      <c r="Y974" s="127"/>
      <c r="Z974" s="127"/>
    </row>
    <row r="975" customFormat="false" ht="15.75" hidden="false" customHeight="false" outlineLevel="0" collapsed="false">
      <c r="A975" s="127"/>
      <c r="B975" s="127"/>
      <c r="C975" s="127"/>
      <c r="D975" s="127"/>
      <c r="E975" s="127"/>
      <c r="F975" s="127"/>
      <c r="G975" s="127"/>
      <c r="H975" s="127"/>
      <c r="I975" s="127"/>
      <c r="J975" s="127"/>
      <c r="K975" s="127"/>
      <c r="L975" s="127"/>
      <c r="M975" s="127"/>
      <c r="N975" s="127"/>
      <c r="O975" s="127"/>
      <c r="P975" s="127"/>
      <c r="Q975" s="127"/>
      <c r="R975" s="127"/>
      <c r="S975" s="127"/>
      <c r="T975" s="127"/>
      <c r="U975" s="127"/>
      <c r="V975" s="127"/>
      <c r="W975" s="127"/>
      <c r="X975" s="127"/>
      <c r="Y975" s="127"/>
      <c r="Z975" s="127"/>
    </row>
    <row r="976" customFormat="false" ht="15.75" hidden="false" customHeight="false" outlineLevel="0" collapsed="false">
      <c r="A976" s="127"/>
      <c r="B976" s="127"/>
      <c r="C976" s="127"/>
      <c r="D976" s="127"/>
      <c r="E976" s="127"/>
      <c r="F976" s="127"/>
      <c r="G976" s="127"/>
      <c r="H976" s="127"/>
      <c r="I976" s="127"/>
      <c r="J976" s="127"/>
      <c r="K976" s="127"/>
      <c r="L976" s="127"/>
      <c r="M976" s="127"/>
      <c r="N976" s="127"/>
      <c r="O976" s="127"/>
      <c r="P976" s="127"/>
      <c r="Q976" s="127"/>
      <c r="R976" s="127"/>
      <c r="S976" s="127"/>
      <c r="T976" s="127"/>
      <c r="U976" s="127"/>
      <c r="V976" s="127"/>
      <c r="W976" s="127"/>
      <c r="X976" s="127"/>
      <c r="Y976" s="127"/>
      <c r="Z976" s="127"/>
    </row>
    <row r="977" customFormat="false" ht="15.75" hidden="false" customHeight="false" outlineLevel="0" collapsed="false">
      <c r="A977" s="127"/>
      <c r="B977" s="127"/>
      <c r="C977" s="127"/>
      <c r="D977" s="127"/>
      <c r="E977" s="127"/>
      <c r="F977" s="127"/>
      <c r="G977" s="127"/>
      <c r="H977" s="127"/>
      <c r="I977" s="127"/>
      <c r="J977" s="127"/>
      <c r="K977" s="127"/>
      <c r="L977" s="127"/>
      <c r="M977" s="127"/>
      <c r="N977" s="127"/>
      <c r="O977" s="127"/>
      <c r="P977" s="127"/>
      <c r="Q977" s="127"/>
      <c r="R977" s="127"/>
      <c r="S977" s="127"/>
      <c r="T977" s="127"/>
      <c r="U977" s="127"/>
      <c r="V977" s="127"/>
      <c r="W977" s="127"/>
      <c r="X977" s="127"/>
      <c r="Y977" s="127"/>
      <c r="Z977" s="127"/>
    </row>
    <row r="978" customFormat="false" ht="15.75" hidden="false" customHeight="false" outlineLevel="0" collapsed="false">
      <c r="A978" s="127"/>
      <c r="B978" s="127"/>
      <c r="C978" s="127"/>
      <c r="D978" s="127"/>
      <c r="E978" s="127"/>
      <c r="F978" s="127"/>
      <c r="G978" s="127"/>
      <c r="H978" s="127"/>
      <c r="I978" s="127"/>
      <c r="J978" s="127"/>
      <c r="K978" s="127"/>
      <c r="L978" s="127"/>
      <c r="M978" s="127"/>
      <c r="N978" s="127"/>
      <c r="O978" s="127"/>
      <c r="P978" s="127"/>
      <c r="Q978" s="127"/>
      <c r="R978" s="127"/>
      <c r="S978" s="127"/>
      <c r="T978" s="127"/>
      <c r="U978" s="127"/>
      <c r="V978" s="127"/>
      <c r="W978" s="127"/>
      <c r="X978" s="127"/>
      <c r="Y978" s="127"/>
      <c r="Z978" s="127"/>
    </row>
    <row r="979" customFormat="false" ht="15.75" hidden="false" customHeight="false" outlineLevel="0" collapsed="false">
      <c r="A979" s="127"/>
      <c r="B979" s="127"/>
      <c r="C979" s="127"/>
      <c r="D979" s="127"/>
      <c r="E979" s="127"/>
      <c r="F979" s="127"/>
      <c r="G979" s="127"/>
      <c r="H979" s="127"/>
      <c r="I979" s="127"/>
      <c r="J979" s="127"/>
      <c r="K979" s="127"/>
      <c r="L979" s="127"/>
      <c r="M979" s="127"/>
      <c r="N979" s="127"/>
      <c r="O979" s="127"/>
      <c r="P979" s="127"/>
      <c r="Q979" s="127"/>
      <c r="R979" s="127"/>
      <c r="S979" s="127"/>
      <c r="T979" s="127"/>
      <c r="U979" s="127"/>
      <c r="V979" s="127"/>
      <c r="W979" s="127"/>
      <c r="X979" s="127"/>
      <c r="Y979" s="127"/>
      <c r="Z979" s="127"/>
    </row>
    <row r="980" customFormat="false" ht="15.75" hidden="false" customHeight="false" outlineLevel="0" collapsed="false">
      <c r="A980" s="127"/>
      <c r="B980" s="127"/>
      <c r="C980" s="127"/>
      <c r="D980" s="127"/>
      <c r="E980" s="127"/>
      <c r="F980" s="127"/>
      <c r="G980" s="127"/>
      <c r="H980" s="127"/>
      <c r="I980" s="127"/>
      <c r="J980" s="127"/>
      <c r="K980" s="127"/>
      <c r="L980" s="127"/>
      <c r="M980" s="127"/>
      <c r="N980" s="127"/>
      <c r="O980" s="127"/>
      <c r="P980" s="127"/>
      <c r="Q980" s="127"/>
      <c r="R980" s="127"/>
      <c r="S980" s="127"/>
      <c r="T980" s="127"/>
      <c r="U980" s="127"/>
      <c r="V980" s="127"/>
      <c r="W980" s="127"/>
      <c r="X980" s="127"/>
      <c r="Y980" s="127"/>
      <c r="Z980" s="127"/>
    </row>
    <row r="981" customFormat="false" ht="15.75" hidden="false" customHeight="false" outlineLevel="0" collapsed="false">
      <c r="A981" s="127"/>
      <c r="B981" s="127"/>
      <c r="C981" s="127"/>
      <c r="D981" s="127"/>
      <c r="E981" s="127"/>
      <c r="F981" s="127"/>
      <c r="G981" s="127"/>
      <c r="H981" s="127"/>
      <c r="I981" s="127"/>
      <c r="J981" s="127"/>
      <c r="K981" s="127"/>
      <c r="L981" s="127"/>
      <c r="M981" s="127"/>
      <c r="N981" s="127"/>
      <c r="O981" s="127"/>
      <c r="P981" s="127"/>
      <c r="Q981" s="127"/>
      <c r="R981" s="127"/>
      <c r="S981" s="127"/>
      <c r="T981" s="127"/>
      <c r="U981" s="127"/>
      <c r="V981" s="127"/>
      <c r="W981" s="127"/>
      <c r="X981" s="127"/>
      <c r="Y981" s="127"/>
      <c r="Z981" s="127"/>
    </row>
    <row r="982" customFormat="false" ht="15.75" hidden="false" customHeight="false" outlineLevel="0" collapsed="false">
      <c r="A982" s="127"/>
      <c r="B982" s="127"/>
      <c r="C982" s="127"/>
      <c r="D982" s="127"/>
      <c r="E982" s="127"/>
      <c r="F982" s="127"/>
      <c r="G982" s="127"/>
      <c r="H982" s="127"/>
      <c r="I982" s="127"/>
      <c r="J982" s="127"/>
      <c r="K982" s="127"/>
      <c r="L982" s="127"/>
      <c r="M982" s="127"/>
      <c r="N982" s="127"/>
      <c r="O982" s="127"/>
      <c r="P982" s="127"/>
      <c r="Q982" s="127"/>
      <c r="R982" s="127"/>
      <c r="S982" s="127"/>
      <c r="T982" s="127"/>
      <c r="U982" s="127"/>
      <c r="V982" s="127"/>
      <c r="W982" s="127"/>
      <c r="X982" s="127"/>
      <c r="Y982" s="127"/>
      <c r="Z982" s="127"/>
    </row>
    <row r="983" customFormat="false" ht="15.75" hidden="false" customHeight="false" outlineLevel="0" collapsed="false">
      <c r="A983" s="127"/>
      <c r="B983" s="127"/>
      <c r="C983" s="127"/>
      <c r="D983" s="127"/>
      <c r="E983" s="127"/>
      <c r="F983" s="127"/>
      <c r="G983" s="127"/>
      <c r="H983" s="127"/>
      <c r="I983" s="127"/>
      <c r="J983" s="127"/>
      <c r="K983" s="127"/>
      <c r="L983" s="127"/>
      <c r="M983" s="127"/>
      <c r="N983" s="127"/>
      <c r="O983" s="127"/>
      <c r="P983" s="127"/>
      <c r="Q983" s="127"/>
      <c r="R983" s="127"/>
      <c r="S983" s="127"/>
      <c r="T983" s="127"/>
      <c r="U983" s="127"/>
      <c r="V983" s="127"/>
      <c r="W983" s="127"/>
      <c r="X983" s="127"/>
      <c r="Y983" s="127"/>
      <c r="Z983" s="127"/>
    </row>
    <row r="984" customFormat="false" ht="15.75" hidden="false" customHeight="false" outlineLevel="0" collapsed="false">
      <c r="A984" s="127"/>
      <c r="B984" s="127"/>
      <c r="C984" s="127"/>
      <c r="D984" s="127"/>
      <c r="E984" s="127"/>
      <c r="F984" s="127"/>
      <c r="G984" s="127"/>
      <c r="H984" s="127"/>
      <c r="I984" s="127"/>
      <c r="J984" s="127"/>
      <c r="K984" s="127"/>
      <c r="L984" s="127"/>
      <c r="M984" s="127"/>
      <c r="N984" s="127"/>
      <c r="O984" s="127"/>
      <c r="P984" s="127"/>
      <c r="Q984" s="127"/>
      <c r="R984" s="127"/>
      <c r="S984" s="127"/>
      <c r="T984" s="127"/>
      <c r="U984" s="127"/>
      <c r="V984" s="127"/>
      <c r="W984" s="127"/>
      <c r="X984" s="127"/>
      <c r="Y984" s="127"/>
      <c r="Z984" s="127"/>
    </row>
    <row r="985" customFormat="false" ht="15.75" hidden="false" customHeight="false" outlineLevel="0" collapsed="false">
      <c r="A985" s="127"/>
      <c r="B985" s="127"/>
      <c r="C985" s="127"/>
      <c r="D985" s="127"/>
      <c r="E985" s="127"/>
      <c r="F985" s="127"/>
      <c r="G985" s="127"/>
      <c r="H985" s="127"/>
      <c r="I985" s="127"/>
      <c r="J985" s="127"/>
      <c r="K985" s="127"/>
      <c r="L985" s="127"/>
      <c r="M985" s="127"/>
      <c r="N985" s="127"/>
      <c r="O985" s="127"/>
      <c r="P985" s="127"/>
      <c r="Q985" s="127"/>
      <c r="R985" s="127"/>
      <c r="S985" s="127"/>
      <c r="T985" s="127"/>
      <c r="U985" s="127"/>
      <c r="V985" s="127"/>
      <c r="W985" s="127"/>
      <c r="X985" s="127"/>
      <c r="Y985" s="127"/>
      <c r="Z985" s="127"/>
    </row>
    <row r="986" customFormat="false" ht="15.75" hidden="false" customHeight="false" outlineLevel="0" collapsed="false">
      <c r="A986" s="127"/>
      <c r="B986" s="127"/>
      <c r="C986" s="127"/>
      <c r="D986" s="127"/>
      <c r="E986" s="127"/>
      <c r="F986" s="127"/>
      <c r="G986" s="127"/>
      <c r="H986" s="127"/>
      <c r="I986" s="127"/>
      <c r="J986" s="127"/>
      <c r="K986" s="127"/>
      <c r="L986" s="127"/>
      <c r="M986" s="127"/>
      <c r="N986" s="127"/>
      <c r="O986" s="127"/>
      <c r="P986" s="127"/>
      <c r="Q986" s="127"/>
      <c r="R986" s="127"/>
      <c r="S986" s="127"/>
      <c r="T986" s="127"/>
      <c r="U986" s="127"/>
      <c r="V986" s="127"/>
      <c r="W986" s="127"/>
      <c r="X986" s="127"/>
      <c r="Y986" s="127"/>
      <c r="Z986" s="127"/>
    </row>
    <row r="987" customFormat="false" ht="15.75" hidden="false" customHeight="false" outlineLevel="0" collapsed="false">
      <c r="A987" s="127"/>
      <c r="B987" s="127"/>
      <c r="C987" s="127"/>
      <c r="D987" s="127"/>
      <c r="E987" s="127"/>
      <c r="F987" s="127"/>
      <c r="G987" s="127"/>
      <c r="H987" s="127"/>
      <c r="I987" s="127"/>
      <c r="J987" s="127"/>
      <c r="K987" s="127"/>
      <c r="L987" s="127"/>
      <c r="M987" s="127"/>
      <c r="N987" s="127"/>
      <c r="O987" s="127"/>
      <c r="P987" s="127"/>
      <c r="Q987" s="127"/>
      <c r="R987" s="127"/>
      <c r="S987" s="127"/>
      <c r="T987" s="127"/>
      <c r="U987" s="127"/>
      <c r="V987" s="127"/>
      <c r="W987" s="127"/>
      <c r="X987" s="127"/>
      <c r="Y987" s="127"/>
      <c r="Z987" s="127"/>
    </row>
    <row r="988" customFormat="false" ht="15.75" hidden="false" customHeight="false" outlineLevel="0" collapsed="false">
      <c r="A988" s="127"/>
      <c r="B988" s="127"/>
      <c r="C988" s="127"/>
      <c r="D988" s="127"/>
      <c r="E988" s="127"/>
      <c r="F988" s="127"/>
      <c r="G988" s="127"/>
      <c r="H988" s="127"/>
      <c r="I988" s="127"/>
      <c r="J988" s="127"/>
      <c r="K988" s="127"/>
      <c r="L988" s="127"/>
      <c r="M988" s="127"/>
      <c r="N988" s="127"/>
      <c r="O988" s="127"/>
      <c r="P988" s="127"/>
      <c r="Q988" s="127"/>
      <c r="R988" s="127"/>
      <c r="S988" s="127"/>
      <c r="T988" s="127"/>
      <c r="U988" s="127"/>
      <c r="V988" s="127"/>
      <c r="W988" s="127"/>
      <c r="X988" s="127"/>
      <c r="Y988" s="127"/>
      <c r="Z988" s="127"/>
    </row>
    <row r="989" customFormat="false" ht="15.75" hidden="false" customHeight="false" outlineLevel="0" collapsed="false">
      <c r="A989" s="127"/>
      <c r="B989" s="127"/>
      <c r="C989" s="127"/>
      <c r="D989" s="127"/>
      <c r="E989" s="127"/>
      <c r="F989" s="127"/>
      <c r="G989" s="127"/>
      <c r="H989" s="127"/>
      <c r="I989" s="127"/>
      <c r="J989" s="127"/>
      <c r="K989" s="127"/>
      <c r="L989" s="127"/>
      <c r="M989" s="127"/>
      <c r="N989" s="127"/>
      <c r="O989" s="127"/>
      <c r="P989" s="127"/>
      <c r="Q989" s="127"/>
      <c r="R989" s="127"/>
      <c r="S989" s="127"/>
      <c r="T989" s="127"/>
      <c r="U989" s="127"/>
      <c r="V989" s="127"/>
      <c r="W989" s="127"/>
      <c r="X989" s="127"/>
      <c r="Y989" s="127"/>
      <c r="Z989" s="127"/>
    </row>
    <row r="990" customFormat="false" ht="15.75" hidden="false" customHeight="false" outlineLevel="0" collapsed="false">
      <c r="A990" s="127"/>
      <c r="B990" s="127"/>
      <c r="C990" s="127"/>
      <c r="D990" s="127"/>
      <c r="E990" s="127"/>
      <c r="F990" s="127"/>
      <c r="G990" s="127"/>
      <c r="H990" s="127"/>
      <c r="I990" s="127"/>
      <c r="J990" s="127"/>
      <c r="K990" s="127"/>
      <c r="L990" s="127"/>
      <c r="M990" s="127"/>
      <c r="N990" s="127"/>
      <c r="O990" s="127"/>
      <c r="P990" s="127"/>
      <c r="Q990" s="127"/>
      <c r="R990" s="127"/>
      <c r="S990" s="127"/>
      <c r="T990" s="127"/>
      <c r="U990" s="127"/>
      <c r="V990" s="127"/>
      <c r="W990" s="127"/>
      <c r="X990" s="127"/>
      <c r="Y990" s="127"/>
      <c r="Z990" s="127"/>
    </row>
    <row r="991" customFormat="false" ht="15.75" hidden="false" customHeight="false" outlineLevel="0" collapsed="false">
      <c r="A991" s="127"/>
      <c r="B991" s="127"/>
      <c r="C991" s="127"/>
      <c r="D991" s="127"/>
      <c r="E991" s="127"/>
      <c r="F991" s="127"/>
      <c r="G991" s="127"/>
      <c r="H991" s="127"/>
      <c r="I991" s="127"/>
      <c r="J991" s="127"/>
      <c r="K991" s="127"/>
      <c r="L991" s="127"/>
      <c r="M991" s="127"/>
      <c r="N991" s="127"/>
      <c r="O991" s="127"/>
      <c r="P991" s="127"/>
      <c r="Q991" s="127"/>
      <c r="R991" s="127"/>
      <c r="S991" s="127"/>
      <c r="T991" s="127"/>
      <c r="U991" s="127"/>
      <c r="V991" s="127"/>
      <c r="W991" s="127"/>
      <c r="X991" s="127"/>
      <c r="Y991" s="127"/>
      <c r="Z991" s="127"/>
    </row>
    <row r="992" customFormat="false" ht="15.75" hidden="false" customHeight="false" outlineLevel="0" collapsed="false">
      <c r="A992" s="127"/>
      <c r="B992" s="127"/>
      <c r="C992" s="127"/>
      <c r="D992" s="127"/>
      <c r="E992" s="127"/>
      <c r="F992" s="127"/>
      <c r="G992" s="127"/>
      <c r="H992" s="127"/>
      <c r="I992" s="127"/>
      <c r="J992" s="127"/>
      <c r="K992" s="127"/>
      <c r="L992" s="127"/>
      <c r="M992" s="127"/>
      <c r="N992" s="127"/>
      <c r="O992" s="127"/>
      <c r="P992" s="127"/>
      <c r="Q992" s="127"/>
      <c r="R992" s="127"/>
      <c r="S992" s="127"/>
      <c r="T992" s="127"/>
      <c r="U992" s="127"/>
      <c r="V992" s="127"/>
      <c r="W992" s="127"/>
      <c r="X992" s="127"/>
      <c r="Y992" s="127"/>
      <c r="Z992" s="127"/>
    </row>
    <row r="993" customFormat="false" ht="15.75" hidden="false" customHeight="false" outlineLevel="0" collapsed="false">
      <c r="A993" s="127"/>
      <c r="B993" s="127"/>
      <c r="C993" s="127"/>
      <c r="D993" s="127"/>
      <c r="E993" s="127"/>
      <c r="F993" s="127"/>
      <c r="G993" s="127"/>
      <c r="H993" s="127"/>
      <c r="I993" s="127"/>
      <c r="J993" s="127"/>
      <c r="K993" s="127"/>
      <c r="L993" s="127"/>
      <c r="M993" s="127"/>
      <c r="N993" s="127"/>
      <c r="O993" s="127"/>
      <c r="P993" s="127"/>
      <c r="Q993" s="127"/>
      <c r="R993" s="127"/>
      <c r="S993" s="127"/>
      <c r="T993" s="127"/>
      <c r="U993" s="127"/>
      <c r="V993" s="127"/>
      <c r="W993" s="127"/>
      <c r="X993" s="127"/>
      <c r="Y993" s="127"/>
      <c r="Z993" s="127"/>
    </row>
    <row r="994" customFormat="false" ht="15.75" hidden="false" customHeight="false" outlineLevel="0" collapsed="false">
      <c r="A994" s="127"/>
      <c r="B994" s="127"/>
      <c r="C994" s="127"/>
      <c r="D994" s="127"/>
      <c r="E994" s="127"/>
      <c r="F994" s="127"/>
      <c r="G994" s="127"/>
      <c r="H994" s="127"/>
      <c r="I994" s="127"/>
      <c r="J994" s="127"/>
      <c r="K994" s="127"/>
      <c r="L994" s="127"/>
      <c r="M994" s="127"/>
      <c r="N994" s="127"/>
      <c r="O994" s="127"/>
      <c r="P994" s="127"/>
      <c r="Q994" s="127"/>
      <c r="R994" s="127"/>
      <c r="S994" s="127"/>
      <c r="T994" s="127"/>
      <c r="U994" s="127"/>
      <c r="V994" s="127"/>
      <c r="W994" s="127"/>
      <c r="X994" s="127"/>
      <c r="Y994" s="127"/>
      <c r="Z994" s="127"/>
    </row>
    <row r="995" customFormat="false" ht="15.75" hidden="false" customHeight="false" outlineLevel="0" collapsed="false">
      <c r="A995" s="127"/>
      <c r="B995" s="127"/>
      <c r="C995" s="127"/>
      <c r="D995" s="127"/>
      <c r="E995" s="127"/>
      <c r="F995" s="127"/>
      <c r="G995" s="127"/>
      <c r="H995" s="127"/>
      <c r="I995" s="127"/>
      <c r="J995" s="127"/>
      <c r="K995" s="127"/>
      <c r="L995" s="127"/>
      <c r="M995" s="127"/>
      <c r="N995" s="127"/>
      <c r="O995" s="127"/>
      <c r="P995" s="127"/>
      <c r="Q995" s="127"/>
      <c r="R995" s="127"/>
      <c r="S995" s="127"/>
      <c r="T995" s="127"/>
      <c r="U995" s="127"/>
      <c r="V995" s="127"/>
      <c r="W995" s="127"/>
      <c r="X995" s="127"/>
      <c r="Y995" s="127"/>
      <c r="Z995" s="127"/>
    </row>
    <row r="996" customFormat="false" ht="15.75" hidden="false" customHeight="false" outlineLevel="0" collapsed="false">
      <c r="A996" s="127"/>
      <c r="B996" s="127"/>
      <c r="C996" s="127"/>
      <c r="D996" s="127"/>
      <c r="E996" s="127"/>
      <c r="F996" s="127"/>
      <c r="G996" s="127"/>
      <c r="H996" s="127"/>
      <c r="I996" s="127"/>
      <c r="J996" s="127"/>
      <c r="K996" s="127"/>
      <c r="L996" s="127"/>
      <c r="M996" s="127"/>
      <c r="N996" s="127"/>
      <c r="O996" s="127"/>
      <c r="P996" s="127"/>
      <c r="Q996" s="127"/>
      <c r="R996" s="127"/>
      <c r="S996" s="127"/>
      <c r="T996" s="127"/>
      <c r="U996" s="127"/>
      <c r="V996" s="127"/>
      <c r="W996" s="127"/>
      <c r="X996" s="127"/>
      <c r="Y996" s="127"/>
      <c r="Z996" s="127"/>
    </row>
    <row r="997" customFormat="false" ht="15.75" hidden="false" customHeight="false" outlineLevel="0" collapsed="false">
      <c r="A997" s="127"/>
      <c r="B997" s="127"/>
      <c r="C997" s="127"/>
      <c r="D997" s="127"/>
      <c r="E997" s="127"/>
      <c r="F997" s="127"/>
      <c r="G997" s="127"/>
      <c r="H997" s="127"/>
      <c r="I997" s="127"/>
      <c r="J997" s="127"/>
      <c r="K997" s="127"/>
      <c r="L997" s="127"/>
      <c r="M997" s="127"/>
      <c r="N997" s="127"/>
      <c r="O997" s="127"/>
      <c r="P997" s="127"/>
      <c r="Q997" s="127"/>
      <c r="R997" s="127"/>
      <c r="S997" s="127"/>
      <c r="T997" s="127"/>
      <c r="U997" s="127"/>
      <c r="V997" s="127"/>
      <c r="W997" s="127"/>
      <c r="X997" s="127"/>
      <c r="Y997" s="127"/>
      <c r="Z997" s="127"/>
    </row>
    <row r="998" customFormat="false" ht="15.75" hidden="false" customHeight="false" outlineLevel="0" collapsed="false">
      <c r="A998" s="127"/>
      <c r="B998" s="127"/>
      <c r="C998" s="127"/>
      <c r="D998" s="127"/>
      <c r="E998" s="127"/>
      <c r="F998" s="127"/>
      <c r="G998" s="127"/>
      <c r="H998" s="127"/>
      <c r="I998" s="127"/>
      <c r="J998" s="127"/>
      <c r="K998" s="127"/>
      <c r="L998" s="127"/>
      <c r="M998" s="127"/>
      <c r="N998" s="127"/>
      <c r="O998" s="127"/>
      <c r="P998" s="127"/>
      <c r="Q998" s="127"/>
      <c r="R998" s="127"/>
      <c r="S998" s="127"/>
      <c r="T998" s="127"/>
      <c r="U998" s="127"/>
      <c r="V998" s="127"/>
      <c r="W998" s="127"/>
      <c r="X998" s="127"/>
      <c r="Y998" s="127"/>
      <c r="Z998" s="127"/>
    </row>
    <row r="999" customFormat="false" ht="15.75" hidden="false" customHeight="false" outlineLevel="0" collapsed="false">
      <c r="A999" s="127"/>
      <c r="B999" s="127"/>
      <c r="C999" s="127"/>
      <c r="D999" s="127"/>
      <c r="E999" s="127"/>
      <c r="F999" s="127"/>
      <c r="G999" s="127"/>
      <c r="H999" s="127"/>
      <c r="I999" s="127"/>
      <c r="J999" s="127"/>
      <c r="K999" s="127"/>
      <c r="L999" s="127"/>
      <c r="M999" s="127"/>
      <c r="N999" s="127"/>
      <c r="O999" s="127"/>
      <c r="P999" s="127"/>
      <c r="Q999" s="127"/>
      <c r="R999" s="127"/>
      <c r="S999" s="127"/>
      <c r="T999" s="127"/>
      <c r="U999" s="127"/>
      <c r="V999" s="127"/>
      <c r="W999" s="127"/>
      <c r="X999" s="127"/>
      <c r="Y999" s="127"/>
      <c r="Z999" s="127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6.89"/>
  </cols>
  <sheetData>
    <row r="1" customFormat="false" ht="13.8" hidden="false" customHeight="false" outlineLevel="0" collapsed="false">
      <c r="A1" s="127"/>
      <c r="B1" s="132"/>
      <c r="C1" s="127"/>
      <c r="D1" s="127"/>
      <c r="E1" s="133"/>
      <c r="F1" s="127"/>
      <c r="G1" s="127"/>
      <c r="H1" s="127"/>
      <c r="I1" s="127"/>
      <c r="J1" s="127"/>
      <c r="K1" s="127"/>
      <c r="L1" s="127"/>
      <c r="M1" s="127"/>
      <c r="N1" s="127"/>
      <c r="O1" s="127"/>
      <c r="P1" s="127"/>
      <c r="Q1" s="127"/>
      <c r="R1" s="127"/>
      <c r="S1" s="127"/>
      <c r="T1" s="127"/>
      <c r="U1" s="127"/>
      <c r="V1" s="127"/>
      <c r="W1" s="127"/>
      <c r="X1" s="127"/>
      <c r="Y1" s="127"/>
      <c r="Z1" s="127"/>
      <c r="AA1" s="127"/>
    </row>
    <row r="2" customFormat="false" ht="13.8" hidden="false" customHeight="false" outlineLevel="0" collapsed="false">
      <c r="A2" s="127"/>
      <c r="B2" s="127"/>
      <c r="C2" s="127"/>
      <c r="D2" s="127"/>
      <c r="E2" s="133"/>
      <c r="F2" s="127"/>
      <c r="G2" s="127"/>
      <c r="H2" s="127"/>
      <c r="I2" s="127"/>
      <c r="J2" s="127"/>
      <c r="K2" s="127"/>
      <c r="L2" s="127"/>
      <c r="M2" s="127"/>
      <c r="N2" s="127"/>
      <c r="O2" s="127"/>
      <c r="P2" s="127"/>
      <c r="Q2" s="127"/>
      <c r="R2" s="127"/>
      <c r="S2" s="127"/>
      <c r="T2" s="127"/>
      <c r="U2" s="127"/>
      <c r="V2" s="127"/>
      <c r="W2" s="127"/>
      <c r="X2" s="127"/>
      <c r="Y2" s="127"/>
      <c r="Z2" s="127"/>
      <c r="AA2" s="127"/>
    </row>
    <row r="3" customFormat="false" ht="13.8" hidden="false" customHeight="false" outlineLevel="0" collapsed="false">
      <c r="A3" s="127"/>
      <c r="B3" s="127"/>
      <c r="C3" s="127"/>
      <c r="D3" s="127"/>
      <c r="E3" s="133"/>
      <c r="F3" s="127"/>
      <c r="G3" s="127"/>
      <c r="H3" s="127"/>
      <c r="I3" s="127"/>
      <c r="J3" s="127"/>
      <c r="K3" s="127"/>
      <c r="L3" s="127"/>
      <c r="M3" s="127"/>
      <c r="N3" s="127"/>
      <c r="O3" s="127"/>
      <c r="P3" s="127"/>
      <c r="Q3" s="127"/>
      <c r="R3" s="127"/>
      <c r="S3" s="127"/>
      <c r="T3" s="127"/>
      <c r="U3" s="127"/>
      <c r="V3" s="127"/>
      <c r="W3" s="127"/>
      <c r="X3" s="127"/>
      <c r="Y3" s="127"/>
      <c r="Z3" s="127"/>
      <c r="AA3" s="127"/>
    </row>
    <row r="4" customFormat="false" ht="13.8" hidden="false" customHeight="false" outlineLevel="0" collapsed="false">
      <c r="A4" s="127"/>
      <c r="B4" s="127"/>
      <c r="C4" s="127"/>
      <c r="D4" s="127"/>
      <c r="E4" s="133"/>
      <c r="F4" s="127"/>
      <c r="G4" s="127"/>
      <c r="H4" s="127"/>
      <c r="I4" s="127"/>
      <c r="J4" s="127"/>
      <c r="K4" s="127"/>
      <c r="L4" s="127"/>
      <c r="M4" s="127"/>
      <c r="N4" s="127"/>
      <c r="O4" s="127"/>
      <c r="P4" s="127"/>
      <c r="Q4" s="127"/>
      <c r="R4" s="127"/>
      <c r="S4" s="127"/>
      <c r="T4" s="127"/>
      <c r="U4" s="127"/>
      <c r="V4" s="127"/>
      <c r="W4" s="127"/>
      <c r="X4" s="127"/>
      <c r="Y4" s="127"/>
      <c r="Z4" s="127"/>
      <c r="AA4" s="127"/>
    </row>
    <row r="5" customFormat="false" ht="13.8" hidden="false" customHeight="false" outlineLevel="0" collapsed="false">
      <c r="A5" s="127"/>
      <c r="B5" s="127"/>
      <c r="C5" s="127"/>
      <c r="D5" s="127"/>
      <c r="E5" s="133"/>
      <c r="F5" s="127"/>
      <c r="G5" s="127"/>
      <c r="H5" s="127"/>
      <c r="I5" s="127"/>
      <c r="J5" s="127"/>
      <c r="K5" s="127"/>
      <c r="L5" s="127"/>
      <c r="M5" s="127"/>
      <c r="N5" s="127"/>
      <c r="O5" s="127"/>
      <c r="P5" s="127"/>
      <c r="Q5" s="127"/>
      <c r="R5" s="127"/>
      <c r="S5" s="127"/>
      <c r="T5" s="127"/>
      <c r="U5" s="127"/>
      <c r="V5" s="127"/>
      <c r="W5" s="127"/>
      <c r="X5" s="127"/>
      <c r="Y5" s="127"/>
      <c r="Z5" s="127"/>
      <c r="AA5" s="127"/>
    </row>
    <row r="6" customFormat="false" ht="13.8" hidden="false" customHeight="false" outlineLevel="0" collapsed="false">
      <c r="A6" s="127"/>
      <c r="B6" s="127"/>
      <c r="C6" s="127"/>
      <c r="D6" s="127"/>
      <c r="E6" s="133"/>
      <c r="F6" s="127"/>
      <c r="G6" s="127"/>
      <c r="H6" s="127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  <c r="AA6" s="127"/>
    </row>
    <row r="7" customFormat="false" ht="13.8" hidden="false" customHeight="false" outlineLevel="0" collapsed="false">
      <c r="A7" s="127"/>
      <c r="B7" s="127"/>
      <c r="C7" s="127"/>
      <c r="D7" s="127"/>
      <c r="E7" s="133"/>
      <c r="F7" s="127"/>
      <c r="G7" s="127"/>
      <c r="H7" s="127"/>
      <c r="I7" s="127"/>
      <c r="J7" s="127"/>
      <c r="K7" s="127"/>
      <c r="L7" s="127"/>
      <c r="M7" s="127"/>
      <c r="N7" s="127"/>
      <c r="O7" s="127"/>
      <c r="P7" s="127"/>
      <c r="Q7" s="127"/>
      <c r="R7" s="127"/>
      <c r="S7" s="127"/>
      <c r="T7" s="127"/>
      <c r="U7" s="127"/>
      <c r="V7" s="127"/>
      <c r="W7" s="127"/>
      <c r="X7" s="127"/>
      <c r="Y7" s="127"/>
      <c r="Z7" s="127"/>
      <c r="AA7" s="127"/>
    </row>
    <row r="8" customFormat="false" ht="13.8" hidden="false" customHeight="false" outlineLevel="0" collapsed="false">
      <c r="A8" s="127"/>
      <c r="B8" s="127"/>
      <c r="C8" s="127"/>
      <c r="D8" s="127"/>
      <c r="E8" s="133"/>
      <c r="F8" s="127"/>
      <c r="G8" s="127"/>
      <c r="H8" s="127"/>
      <c r="I8" s="127"/>
      <c r="J8" s="127"/>
      <c r="K8" s="127"/>
      <c r="L8" s="127"/>
      <c r="M8" s="127"/>
      <c r="N8" s="127"/>
      <c r="O8" s="127"/>
      <c r="P8" s="127"/>
      <c r="Q8" s="127"/>
      <c r="R8" s="127"/>
      <c r="S8" s="127"/>
      <c r="T8" s="127"/>
      <c r="U8" s="127"/>
      <c r="V8" s="127"/>
      <c r="W8" s="127"/>
      <c r="X8" s="127"/>
      <c r="Y8" s="127"/>
      <c r="Z8" s="127"/>
      <c r="AA8" s="127"/>
    </row>
    <row r="9" customFormat="false" ht="13.8" hidden="false" customHeight="false" outlineLevel="0" collapsed="false">
      <c r="A9" s="127"/>
      <c r="B9" s="127"/>
      <c r="C9" s="127"/>
      <c r="D9" s="127"/>
      <c r="E9" s="133"/>
      <c r="F9" s="127"/>
      <c r="G9" s="127"/>
      <c r="H9" s="127"/>
      <c r="I9" s="127"/>
      <c r="J9" s="127"/>
      <c r="K9" s="127"/>
      <c r="L9" s="127"/>
      <c r="M9" s="127"/>
      <c r="N9" s="127"/>
      <c r="O9" s="127"/>
      <c r="P9" s="127"/>
      <c r="Q9" s="127"/>
      <c r="R9" s="127"/>
      <c r="S9" s="127"/>
      <c r="T9" s="127"/>
      <c r="U9" s="127"/>
      <c r="V9" s="127"/>
      <c r="W9" s="127"/>
      <c r="X9" s="127"/>
      <c r="Y9" s="127"/>
      <c r="Z9" s="127"/>
      <c r="AA9" s="127"/>
    </row>
    <row r="10" customFormat="false" ht="13.8" hidden="false" customHeight="false" outlineLevel="0" collapsed="false">
      <c r="A10" s="127"/>
      <c r="B10" s="127"/>
      <c r="C10" s="127"/>
      <c r="D10" s="127"/>
      <c r="E10" s="133"/>
      <c r="F10" s="127"/>
      <c r="G10" s="127"/>
      <c r="H10" s="127"/>
      <c r="I10" s="127"/>
      <c r="J10" s="127"/>
      <c r="K10" s="127"/>
      <c r="L10" s="127"/>
      <c r="M10" s="127"/>
      <c r="N10" s="127"/>
      <c r="O10" s="127"/>
      <c r="P10" s="127"/>
      <c r="Q10" s="127"/>
      <c r="R10" s="127"/>
      <c r="S10" s="127"/>
      <c r="T10" s="127"/>
      <c r="U10" s="127"/>
      <c r="V10" s="127"/>
      <c r="W10" s="127"/>
      <c r="X10" s="127"/>
      <c r="Y10" s="127"/>
      <c r="Z10" s="127"/>
      <c r="AA10" s="127"/>
    </row>
    <row r="11" customFormat="false" ht="13.8" hidden="false" customHeight="false" outlineLevel="0" collapsed="false">
      <c r="A11" s="127"/>
      <c r="B11" s="127"/>
      <c r="C11" s="127"/>
      <c r="D11" s="127"/>
      <c r="E11" s="133"/>
      <c r="F11" s="127"/>
      <c r="G11" s="127"/>
      <c r="H11" s="127"/>
      <c r="I11" s="127"/>
      <c r="J11" s="127"/>
      <c r="K11" s="127"/>
      <c r="L11" s="127"/>
      <c r="M11" s="127"/>
      <c r="N11" s="127"/>
      <c r="O11" s="127"/>
      <c r="P11" s="127"/>
      <c r="Q11" s="127"/>
      <c r="R11" s="127"/>
      <c r="S11" s="127"/>
      <c r="T11" s="127"/>
      <c r="U11" s="127"/>
      <c r="V11" s="127"/>
      <c r="W11" s="127"/>
      <c r="X11" s="127"/>
      <c r="Y11" s="127"/>
      <c r="Z11" s="127"/>
      <c r="AA11" s="127"/>
    </row>
    <row r="12" customFormat="false" ht="13.8" hidden="false" customHeight="false" outlineLevel="0" collapsed="false">
      <c r="A12" s="127"/>
      <c r="B12" s="127"/>
      <c r="C12" s="127"/>
      <c r="D12" s="127"/>
      <c r="E12" s="133"/>
      <c r="F12" s="127"/>
      <c r="G12" s="127"/>
      <c r="H12" s="127"/>
      <c r="I12" s="127"/>
      <c r="J12" s="127"/>
      <c r="K12" s="127"/>
      <c r="L12" s="127"/>
      <c r="M12" s="127"/>
      <c r="N12" s="127"/>
      <c r="O12" s="127"/>
      <c r="P12" s="127"/>
      <c r="Q12" s="127"/>
      <c r="R12" s="127"/>
      <c r="S12" s="127"/>
      <c r="T12" s="127"/>
      <c r="U12" s="127"/>
      <c r="V12" s="127"/>
      <c r="W12" s="127"/>
      <c r="X12" s="127"/>
      <c r="Y12" s="127"/>
      <c r="Z12" s="127"/>
      <c r="AA12" s="127"/>
    </row>
    <row r="13" customFormat="false" ht="13.8" hidden="false" customHeight="false" outlineLevel="0" collapsed="false">
      <c r="A13" s="127"/>
      <c r="B13" s="127"/>
      <c r="C13" s="127"/>
      <c r="D13" s="127"/>
      <c r="E13" s="133"/>
      <c r="F13" s="127"/>
      <c r="G13" s="127"/>
      <c r="H13" s="127"/>
      <c r="I13" s="127"/>
      <c r="J13" s="127"/>
      <c r="K13" s="127"/>
      <c r="L13" s="127"/>
      <c r="M13" s="127"/>
      <c r="N13" s="127"/>
      <c r="O13" s="127"/>
      <c r="P13" s="127"/>
      <c r="Q13" s="127"/>
      <c r="R13" s="127"/>
      <c r="S13" s="127"/>
      <c r="T13" s="127"/>
      <c r="U13" s="127"/>
      <c r="V13" s="127"/>
      <c r="W13" s="127"/>
      <c r="X13" s="127"/>
      <c r="Y13" s="127"/>
      <c r="Z13" s="127"/>
      <c r="AA13" s="127"/>
    </row>
    <row r="14" customFormat="false" ht="13.8" hidden="false" customHeight="false" outlineLevel="0" collapsed="false">
      <c r="A14" s="127"/>
      <c r="B14" s="127"/>
      <c r="C14" s="127"/>
      <c r="D14" s="127"/>
      <c r="E14" s="133"/>
      <c r="F14" s="127"/>
      <c r="G14" s="127"/>
      <c r="H14" s="127"/>
      <c r="I14" s="12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</row>
    <row r="15" customFormat="false" ht="13.8" hidden="false" customHeight="false" outlineLevel="0" collapsed="false">
      <c r="A15" s="127"/>
      <c r="B15" s="127"/>
      <c r="C15" s="127"/>
      <c r="D15" s="127"/>
      <c r="E15" s="133"/>
      <c r="F15" s="127"/>
      <c r="G15" s="127"/>
      <c r="H15" s="127"/>
      <c r="I15" s="127"/>
      <c r="J15" s="127"/>
      <c r="K15" s="127"/>
      <c r="L15" s="127"/>
      <c r="M15" s="127"/>
      <c r="N15" s="127"/>
      <c r="O15" s="127"/>
      <c r="P15" s="127"/>
      <c r="Q15" s="127"/>
      <c r="R15" s="127"/>
      <c r="S15" s="127"/>
      <c r="T15" s="127"/>
      <c r="U15" s="127"/>
      <c r="V15" s="127"/>
      <c r="W15" s="127"/>
      <c r="X15" s="127"/>
      <c r="Y15" s="127"/>
      <c r="Z15" s="127"/>
      <c r="AA15" s="127"/>
    </row>
    <row r="16" customFormat="false" ht="13.8" hidden="false" customHeight="false" outlineLevel="0" collapsed="false">
      <c r="A16" s="127"/>
      <c r="B16" s="127"/>
      <c r="C16" s="127"/>
      <c r="D16" s="127"/>
      <c r="E16" s="133"/>
      <c r="F16" s="127"/>
      <c r="G16" s="127"/>
      <c r="H16" s="127"/>
      <c r="I16" s="127"/>
      <c r="J16" s="127"/>
      <c r="K16" s="127"/>
      <c r="L16" s="127"/>
      <c r="M16" s="127"/>
      <c r="N16" s="127"/>
      <c r="O16" s="127"/>
      <c r="P16" s="127"/>
      <c r="Q16" s="127"/>
      <c r="R16" s="127"/>
      <c r="S16" s="127"/>
      <c r="T16" s="127"/>
      <c r="U16" s="127"/>
      <c r="V16" s="127"/>
      <c r="W16" s="127"/>
      <c r="X16" s="127"/>
      <c r="Y16" s="127"/>
      <c r="Z16" s="127"/>
      <c r="AA16" s="127"/>
    </row>
    <row r="17" customFormat="false" ht="13.8" hidden="false" customHeight="false" outlineLevel="0" collapsed="false">
      <c r="A17" s="127"/>
      <c r="B17" s="127"/>
      <c r="C17" s="127"/>
      <c r="D17" s="127"/>
      <c r="E17" s="133"/>
      <c r="F17" s="127"/>
      <c r="G17" s="127"/>
      <c r="H17" s="127"/>
      <c r="I17" s="127"/>
      <c r="J17" s="127"/>
      <c r="K17" s="127"/>
      <c r="L17" s="127"/>
      <c r="M17" s="127"/>
      <c r="N17" s="127"/>
      <c r="O17" s="127"/>
      <c r="P17" s="127"/>
      <c r="Q17" s="127"/>
      <c r="R17" s="127"/>
      <c r="S17" s="127"/>
      <c r="T17" s="127"/>
      <c r="U17" s="127"/>
      <c r="V17" s="127"/>
      <c r="W17" s="127"/>
      <c r="X17" s="127"/>
      <c r="Y17" s="127"/>
      <c r="Z17" s="127"/>
      <c r="AA17" s="127"/>
    </row>
    <row r="18" customFormat="false" ht="13.8" hidden="false" customHeight="false" outlineLevel="0" collapsed="false">
      <c r="A18" s="127"/>
      <c r="B18" s="127"/>
      <c r="C18" s="127"/>
      <c r="D18" s="127"/>
      <c r="E18" s="133"/>
      <c r="F18" s="127"/>
      <c r="G18" s="127"/>
      <c r="H18" s="127"/>
      <c r="I18" s="127"/>
      <c r="J18" s="127"/>
      <c r="K18" s="127"/>
      <c r="L18" s="127"/>
      <c r="M18" s="127"/>
      <c r="N18" s="127"/>
      <c r="O18" s="127"/>
      <c r="P18" s="127"/>
      <c r="Q18" s="127"/>
      <c r="R18" s="127"/>
      <c r="S18" s="127"/>
      <c r="T18" s="127"/>
      <c r="U18" s="127"/>
      <c r="V18" s="127"/>
      <c r="W18" s="127"/>
      <c r="X18" s="127"/>
      <c r="Y18" s="127"/>
      <c r="Z18" s="127"/>
      <c r="AA18" s="127"/>
    </row>
    <row r="19" customFormat="false" ht="13.8" hidden="false" customHeight="false" outlineLevel="0" collapsed="false">
      <c r="A19" s="127"/>
      <c r="B19" s="127"/>
      <c r="C19" s="127"/>
      <c r="D19" s="127"/>
      <c r="E19" s="133"/>
      <c r="F19" s="127"/>
      <c r="G19" s="127"/>
      <c r="H19" s="127"/>
      <c r="I19" s="127"/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</row>
    <row r="20" customFormat="false" ht="13.8" hidden="false" customHeight="false" outlineLevel="0" collapsed="false">
      <c r="A20" s="127"/>
      <c r="B20" s="127"/>
      <c r="C20" s="127"/>
      <c r="D20" s="127"/>
      <c r="E20" s="133"/>
      <c r="F20" s="127"/>
      <c r="G20" s="127"/>
      <c r="H20" s="127"/>
      <c r="I20" s="127"/>
      <c r="J20" s="127"/>
      <c r="K20" s="127"/>
      <c r="L20" s="127"/>
      <c r="M20" s="127"/>
      <c r="N20" s="127"/>
      <c r="O20" s="127"/>
      <c r="P20" s="127"/>
      <c r="Q20" s="127"/>
      <c r="R20" s="127"/>
      <c r="S20" s="127"/>
      <c r="T20" s="127"/>
      <c r="U20" s="127"/>
      <c r="V20" s="127"/>
      <c r="W20" s="127"/>
      <c r="X20" s="127"/>
      <c r="Y20" s="127"/>
      <c r="Z20" s="127"/>
      <c r="AA20" s="127"/>
    </row>
    <row r="21" customFormat="false" ht="13.8" hidden="false" customHeight="false" outlineLevel="0" collapsed="false">
      <c r="A21" s="127" t="str">
        <f aca="false">IF(ISBLANK(B21),"",B21&amp;"|"&amp;C21)</f>
        <v/>
      </c>
      <c r="B21" s="127"/>
      <c r="C21" s="127"/>
      <c r="D21" s="127"/>
      <c r="E21" s="133"/>
      <c r="F21" s="127"/>
      <c r="G21" s="127"/>
      <c r="H21" s="127"/>
      <c r="I21" s="127"/>
      <c r="J21" s="127"/>
      <c r="K21" s="127"/>
      <c r="L21" s="127"/>
      <c r="M21" s="127"/>
      <c r="N21" s="127"/>
      <c r="O21" s="127"/>
      <c r="P21" s="127"/>
      <c r="Q21" s="127"/>
      <c r="R21" s="127"/>
      <c r="S21" s="127"/>
      <c r="T21" s="127"/>
      <c r="U21" s="127"/>
      <c r="V21" s="127"/>
      <c r="W21" s="127"/>
      <c r="X21" s="127"/>
      <c r="Y21" s="127"/>
      <c r="Z21" s="127"/>
      <c r="AA21" s="127"/>
    </row>
    <row r="22" customFormat="false" ht="13.8" hidden="false" customHeight="false" outlineLevel="0" collapsed="false">
      <c r="A22" s="127" t="str">
        <f aca="false">IF(ISBLANK(B22),"",B22&amp;"|"&amp;C22)</f>
        <v/>
      </c>
      <c r="B22" s="127"/>
      <c r="C22" s="127"/>
      <c r="D22" s="127"/>
      <c r="E22" s="133"/>
      <c r="F22" s="127"/>
      <c r="G22" s="127"/>
      <c r="H22" s="127"/>
      <c r="I22" s="127"/>
      <c r="J22" s="127"/>
      <c r="K22" s="127"/>
      <c r="L22" s="127"/>
      <c r="M22" s="127"/>
      <c r="N22" s="127"/>
      <c r="O22" s="127"/>
      <c r="P22" s="127"/>
      <c r="Q22" s="127"/>
      <c r="R22" s="127"/>
      <c r="S22" s="127"/>
      <c r="T22" s="127"/>
      <c r="U22" s="127"/>
      <c r="V22" s="127"/>
      <c r="W22" s="127"/>
      <c r="X22" s="127"/>
      <c r="Y22" s="127"/>
      <c r="Z22" s="127"/>
      <c r="AA22" s="127"/>
    </row>
    <row r="23" customFormat="false" ht="13.8" hidden="false" customHeight="false" outlineLevel="0" collapsed="false">
      <c r="A23" s="127" t="str">
        <f aca="false">IF(ISBLANK(B23),"",B23&amp;"|"&amp;C23)</f>
        <v/>
      </c>
      <c r="B23" s="127"/>
      <c r="C23" s="127"/>
      <c r="D23" s="127"/>
      <c r="E23" s="133"/>
      <c r="F23" s="127"/>
      <c r="G23" s="127"/>
      <c r="H23" s="127"/>
      <c r="I23" s="127"/>
      <c r="J23" s="127"/>
      <c r="K23" s="127"/>
      <c r="L23" s="127"/>
      <c r="M23" s="127"/>
      <c r="N23" s="127"/>
      <c r="O23" s="127"/>
      <c r="P23" s="127"/>
      <c r="Q23" s="127"/>
      <c r="R23" s="127"/>
      <c r="S23" s="127"/>
      <c r="T23" s="127"/>
      <c r="U23" s="127"/>
      <c r="V23" s="127"/>
      <c r="W23" s="127"/>
      <c r="X23" s="127"/>
      <c r="Y23" s="127"/>
      <c r="Z23" s="127"/>
      <c r="AA23" s="127"/>
    </row>
    <row r="24" customFormat="false" ht="13.8" hidden="false" customHeight="false" outlineLevel="0" collapsed="false">
      <c r="A24" s="127" t="str">
        <f aca="false">IF(ISBLANK(B24),"",B24&amp;"|"&amp;C24)</f>
        <v/>
      </c>
      <c r="B24" s="127"/>
      <c r="C24" s="127"/>
      <c r="D24" s="127"/>
      <c r="E24" s="133"/>
      <c r="F24" s="127"/>
      <c r="G24" s="127"/>
      <c r="H24" s="127"/>
      <c r="I24" s="127"/>
      <c r="J24" s="127"/>
      <c r="K24" s="127"/>
      <c r="L24" s="127"/>
      <c r="M24" s="127"/>
      <c r="N24" s="127"/>
      <c r="O24" s="127"/>
      <c r="P24" s="127"/>
      <c r="Q24" s="127"/>
      <c r="R24" s="127"/>
      <c r="S24" s="127"/>
      <c r="T24" s="127"/>
      <c r="U24" s="127"/>
      <c r="V24" s="127"/>
      <c r="W24" s="127"/>
      <c r="X24" s="127"/>
      <c r="Y24" s="127"/>
      <c r="Z24" s="127"/>
      <c r="AA24" s="127"/>
    </row>
    <row r="25" customFormat="false" ht="13.8" hidden="false" customHeight="false" outlineLevel="0" collapsed="false">
      <c r="A25" s="127" t="str">
        <f aca="false">IF(ISBLANK(B25),"",B25&amp;"|"&amp;C25)</f>
        <v/>
      </c>
      <c r="B25" s="127"/>
      <c r="C25" s="127"/>
      <c r="D25" s="127"/>
      <c r="E25" s="133"/>
      <c r="F25" s="127"/>
      <c r="G25" s="127"/>
      <c r="H25" s="127"/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</row>
    <row r="26" customFormat="false" ht="13.8" hidden="false" customHeight="false" outlineLevel="0" collapsed="false">
      <c r="A26" s="127" t="str">
        <f aca="false">IF(ISBLANK(B26),"",B26&amp;"|"&amp;C26)</f>
        <v/>
      </c>
      <c r="B26" s="127"/>
      <c r="C26" s="127"/>
      <c r="D26" s="127"/>
      <c r="E26" s="133"/>
      <c r="F26" s="127"/>
      <c r="G26" s="127"/>
      <c r="H26" s="127"/>
      <c r="I26" s="127"/>
      <c r="J26" s="127"/>
      <c r="K26" s="127"/>
      <c r="L26" s="127"/>
      <c r="M26" s="127"/>
      <c r="N26" s="127"/>
      <c r="O26" s="127"/>
      <c r="P26" s="127"/>
      <c r="Q26" s="127"/>
      <c r="R26" s="127"/>
      <c r="S26" s="127"/>
      <c r="T26" s="127"/>
      <c r="U26" s="127"/>
      <c r="V26" s="127"/>
      <c r="W26" s="127"/>
      <c r="X26" s="127"/>
      <c r="Y26" s="127"/>
      <c r="Z26" s="127"/>
      <c r="AA26" s="127"/>
    </row>
    <row r="27" customFormat="false" ht="13.8" hidden="false" customHeight="false" outlineLevel="0" collapsed="false">
      <c r="A27" s="127" t="str">
        <f aca="false">IF(ISBLANK(B27),"",B27&amp;"|"&amp;C27)</f>
        <v/>
      </c>
      <c r="B27" s="127"/>
      <c r="C27" s="127"/>
      <c r="D27" s="127"/>
      <c r="E27" s="133"/>
      <c r="F27" s="127"/>
      <c r="G27" s="127"/>
      <c r="H27" s="127"/>
      <c r="I27" s="127"/>
      <c r="J27" s="127"/>
      <c r="K27" s="127"/>
      <c r="L27" s="127"/>
      <c r="M27" s="127"/>
      <c r="N27" s="127"/>
      <c r="O27" s="127"/>
      <c r="P27" s="127"/>
      <c r="Q27" s="127"/>
      <c r="R27" s="127"/>
      <c r="S27" s="127"/>
      <c r="T27" s="127"/>
      <c r="U27" s="127"/>
      <c r="V27" s="127"/>
      <c r="W27" s="127"/>
      <c r="X27" s="127"/>
      <c r="Y27" s="127"/>
      <c r="Z27" s="127"/>
      <c r="AA27" s="127"/>
    </row>
    <row r="28" customFormat="false" ht="13.8" hidden="false" customHeight="false" outlineLevel="0" collapsed="false">
      <c r="A28" s="127" t="str">
        <f aca="false">IF(ISBLANK(B28),"",B28&amp;"|"&amp;C28)</f>
        <v/>
      </c>
      <c r="B28" s="127"/>
      <c r="C28" s="127"/>
      <c r="D28" s="127"/>
      <c r="E28" s="133"/>
      <c r="F28" s="127"/>
      <c r="G28" s="127"/>
      <c r="H28" s="127"/>
      <c r="I28" s="127"/>
      <c r="J28" s="127"/>
      <c r="K28" s="127"/>
      <c r="L28" s="127"/>
      <c r="M28" s="127"/>
      <c r="N28" s="127"/>
      <c r="O28" s="127"/>
      <c r="P28" s="127"/>
      <c r="Q28" s="127"/>
      <c r="R28" s="127"/>
      <c r="S28" s="127"/>
      <c r="T28" s="127"/>
      <c r="U28" s="127"/>
      <c r="V28" s="127"/>
      <c r="W28" s="127"/>
      <c r="X28" s="127"/>
      <c r="Y28" s="127"/>
      <c r="Z28" s="127"/>
      <c r="AA28" s="127"/>
    </row>
    <row r="29" customFormat="false" ht="13.8" hidden="false" customHeight="false" outlineLevel="0" collapsed="false">
      <c r="A29" s="127" t="str">
        <f aca="false">IF(ISBLANK(B29),"",B29&amp;"|"&amp;C29)</f>
        <v/>
      </c>
      <c r="B29" s="127"/>
      <c r="C29" s="127"/>
      <c r="D29" s="127"/>
      <c r="E29" s="133"/>
      <c r="F29" s="127"/>
      <c r="G29" s="127"/>
      <c r="H29" s="127"/>
      <c r="I29" s="127"/>
      <c r="J29" s="127"/>
      <c r="K29" s="127"/>
      <c r="L29" s="127"/>
      <c r="M29" s="127"/>
      <c r="N29" s="127"/>
      <c r="O29" s="127"/>
      <c r="P29" s="127"/>
      <c r="Q29" s="127"/>
      <c r="R29" s="127"/>
      <c r="S29" s="127"/>
      <c r="T29" s="127"/>
      <c r="U29" s="127"/>
      <c r="V29" s="127"/>
      <c r="W29" s="127"/>
      <c r="X29" s="127"/>
      <c r="Y29" s="127"/>
      <c r="Z29" s="127"/>
      <c r="AA29" s="127"/>
    </row>
    <row r="30" customFormat="false" ht="13.8" hidden="false" customHeight="false" outlineLevel="0" collapsed="false">
      <c r="A30" s="127" t="str">
        <f aca="false">IF(ISBLANK(B30),"",B30&amp;"|"&amp;C30)</f>
        <v/>
      </c>
      <c r="B30" s="127"/>
      <c r="C30" s="127"/>
      <c r="D30" s="127"/>
      <c r="E30" s="133"/>
      <c r="F30" s="127"/>
      <c r="G30" s="127"/>
      <c r="H30" s="127"/>
      <c r="I30" s="127"/>
      <c r="J30" s="127"/>
      <c r="K30" s="127"/>
      <c r="L30" s="127"/>
      <c r="M30" s="127"/>
      <c r="N30" s="127"/>
      <c r="O30" s="127"/>
      <c r="P30" s="127"/>
      <c r="Q30" s="127"/>
      <c r="R30" s="127"/>
      <c r="S30" s="127"/>
      <c r="T30" s="127"/>
      <c r="U30" s="127"/>
      <c r="V30" s="127"/>
      <c r="W30" s="127"/>
      <c r="X30" s="127"/>
      <c r="Y30" s="127"/>
      <c r="Z30" s="127"/>
      <c r="AA30" s="127"/>
    </row>
    <row r="31" customFormat="false" ht="13.8" hidden="false" customHeight="false" outlineLevel="0" collapsed="false">
      <c r="A31" s="127" t="str">
        <f aca="false">IF(ISBLANK(B31),"",B31&amp;"|"&amp;C31)</f>
        <v/>
      </c>
      <c r="B31" s="127"/>
      <c r="C31" s="127"/>
      <c r="D31" s="127"/>
      <c r="E31" s="133"/>
      <c r="F31" s="127"/>
      <c r="G31" s="127"/>
      <c r="H31" s="127"/>
      <c r="I31" s="127"/>
      <c r="J31" s="127"/>
      <c r="K31" s="127"/>
      <c r="L31" s="127"/>
      <c r="M31" s="127"/>
      <c r="N31" s="127"/>
      <c r="O31" s="127"/>
      <c r="P31" s="127"/>
      <c r="Q31" s="127"/>
      <c r="R31" s="127"/>
      <c r="S31" s="127"/>
      <c r="T31" s="127"/>
      <c r="U31" s="127"/>
      <c r="V31" s="127"/>
      <c r="W31" s="127"/>
      <c r="X31" s="127"/>
      <c r="Y31" s="127"/>
      <c r="Z31" s="127"/>
      <c r="AA31" s="127"/>
    </row>
    <row r="32" customFormat="false" ht="13.8" hidden="false" customHeight="false" outlineLevel="0" collapsed="false">
      <c r="A32" s="127" t="str">
        <f aca="false">IF(ISBLANK(B32),"",B32&amp;"|"&amp;C32)</f>
        <v/>
      </c>
      <c r="B32" s="127"/>
      <c r="C32" s="127"/>
      <c r="D32" s="127"/>
      <c r="E32" s="133"/>
      <c r="F32" s="127"/>
      <c r="G32" s="127"/>
      <c r="H32" s="127"/>
      <c r="I32" s="127"/>
      <c r="J32" s="127"/>
      <c r="K32" s="127"/>
      <c r="L32" s="127"/>
      <c r="M32" s="127"/>
      <c r="N32" s="127"/>
      <c r="O32" s="127"/>
      <c r="P32" s="127"/>
      <c r="Q32" s="127"/>
      <c r="R32" s="127"/>
      <c r="S32" s="127"/>
      <c r="T32" s="127"/>
      <c r="U32" s="127"/>
      <c r="V32" s="127"/>
      <c r="W32" s="127"/>
      <c r="X32" s="127"/>
      <c r="Y32" s="127"/>
      <c r="Z32" s="127"/>
      <c r="AA32" s="127"/>
    </row>
    <row r="33" customFormat="false" ht="13.8" hidden="false" customHeight="false" outlineLevel="0" collapsed="false">
      <c r="A33" s="127" t="str">
        <f aca="false">IF(ISBLANK(B33),"",B33&amp;"|"&amp;C33)</f>
        <v/>
      </c>
      <c r="B33" s="127"/>
      <c r="C33" s="127"/>
      <c r="D33" s="127"/>
      <c r="E33" s="133"/>
      <c r="F33" s="127"/>
      <c r="G33" s="127"/>
      <c r="H33" s="127"/>
      <c r="I33" s="127"/>
      <c r="J33" s="127"/>
      <c r="K33" s="127"/>
      <c r="L33" s="127"/>
      <c r="M33" s="127"/>
      <c r="N33" s="127"/>
      <c r="O33" s="127"/>
      <c r="P33" s="127"/>
      <c r="Q33" s="127"/>
      <c r="R33" s="127"/>
      <c r="S33" s="127"/>
      <c r="T33" s="127"/>
      <c r="U33" s="127"/>
      <c r="V33" s="127"/>
      <c r="W33" s="127"/>
      <c r="X33" s="127"/>
      <c r="Y33" s="127"/>
      <c r="Z33" s="127"/>
      <c r="AA33" s="127"/>
    </row>
    <row r="34" customFormat="false" ht="13.8" hidden="false" customHeight="false" outlineLevel="0" collapsed="false">
      <c r="A34" s="127" t="str">
        <f aca="false">IF(ISBLANK(B34),"",B34&amp;"|"&amp;C34)</f>
        <v/>
      </c>
      <c r="B34" s="127"/>
      <c r="C34" s="127"/>
      <c r="D34" s="127"/>
      <c r="E34" s="133"/>
      <c r="F34" s="127"/>
      <c r="G34" s="127"/>
      <c r="H34" s="127"/>
      <c r="I34" s="127"/>
      <c r="J34" s="127"/>
      <c r="K34" s="127"/>
      <c r="L34" s="127"/>
      <c r="M34" s="127"/>
      <c r="N34" s="127"/>
      <c r="O34" s="127"/>
      <c r="P34" s="127"/>
      <c r="Q34" s="127"/>
      <c r="R34" s="127"/>
      <c r="S34" s="127"/>
      <c r="T34" s="127"/>
      <c r="U34" s="127"/>
      <c r="V34" s="127"/>
      <c r="W34" s="127"/>
      <c r="X34" s="127"/>
      <c r="Y34" s="127"/>
      <c r="Z34" s="127"/>
      <c r="AA34" s="127"/>
    </row>
    <row r="35" customFormat="false" ht="13.8" hidden="false" customHeight="false" outlineLevel="0" collapsed="false">
      <c r="A35" s="127" t="str">
        <f aca="false">IF(ISBLANK(B35),"",B35&amp;"|"&amp;C35)</f>
        <v/>
      </c>
      <c r="B35" s="127"/>
      <c r="C35" s="127"/>
      <c r="D35" s="127"/>
      <c r="E35" s="133"/>
      <c r="F35" s="127"/>
      <c r="G35" s="127"/>
      <c r="H35" s="127"/>
      <c r="I35" s="127"/>
      <c r="J35" s="127"/>
      <c r="K35" s="127"/>
      <c r="L35" s="127"/>
      <c r="M35" s="127"/>
      <c r="N35" s="127"/>
      <c r="O35" s="127"/>
      <c r="P35" s="127"/>
      <c r="Q35" s="127"/>
      <c r="R35" s="127"/>
      <c r="S35" s="127"/>
      <c r="T35" s="127"/>
      <c r="U35" s="127"/>
      <c r="V35" s="127"/>
      <c r="W35" s="127"/>
      <c r="X35" s="127"/>
      <c r="Y35" s="127"/>
      <c r="Z35" s="127"/>
      <c r="AA35" s="127"/>
    </row>
    <row r="36" customFormat="false" ht="13.8" hidden="false" customHeight="false" outlineLevel="0" collapsed="false">
      <c r="A36" s="127" t="str">
        <f aca="false">IF(ISBLANK(B36),"",B36&amp;"|"&amp;C36)</f>
        <v/>
      </c>
      <c r="B36" s="127"/>
      <c r="C36" s="127"/>
      <c r="D36" s="127"/>
      <c r="E36" s="133"/>
      <c r="F36" s="127"/>
      <c r="G36" s="127"/>
      <c r="H36" s="127"/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</row>
    <row r="37" customFormat="false" ht="13.8" hidden="false" customHeight="false" outlineLevel="0" collapsed="false">
      <c r="A37" s="127" t="str">
        <f aca="false">IF(ISBLANK(B37),"",B37&amp;"|"&amp;C37)</f>
        <v/>
      </c>
      <c r="B37" s="127"/>
      <c r="C37" s="127"/>
      <c r="D37" s="127"/>
      <c r="E37" s="133"/>
      <c r="F37" s="127"/>
      <c r="G37" s="127"/>
      <c r="H37" s="127"/>
      <c r="I37" s="127"/>
      <c r="J37" s="127"/>
      <c r="K37" s="127"/>
      <c r="L37" s="127"/>
      <c r="M37" s="127"/>
      <c r="N37" s="127"/>
      <c r="O37" s="127"/>
      <c r="P37" s="127"/>
      <c r="Q37" s="127"/>
      <c r="R37" s="127"/>
      <c r="S37" s="127"/>
      <c r="T37" s="127"/>
      <c r="U37" s="127"/>
      <c r="V37" s="127"/>
      <c r="W37" s="127"/>
      <c r="X37" s="127"/>
      <c r="Y37" s="127"/>
      <c r="Z37" s="127"/>
      <c r="AA37" s="127"/>
    </row>
    <row r="38" customFormat="false" ht="13.8" hidden="false" customHeight="false" outlineLevel="0" collapsed="false">
      <c r="A38" s="127" t="str">
        <f aca="false">IF(ISBLANK(B38),"",B38&amp;"|"&amp;C38)</f>
        <v/>
      </c>
      <c r="B38" s="127"/>
      <c r="C38" s="127"/>
      <c r="D38" s="127"/>
      <c r="E38" s="133"/>
      <c r="F38" s="127"/>
      <c r="G38" s="127"/>
      <c r="H38" s="127"/>
      <c r="I38" s="127"/>
      <c r="J38" s="127"/>
      <c r="K38" s="127"/>
      <c r="L38" s="127"/>
      <c r="M38" s="127"/>
      <c r="N38" s="127"/>
      <c r="O38" s="127"/>
      <c r="P38" s="127"/>
      <c r="Q38" s="127"/>
      <c r="R38" s="127"/>
      <c r="S38" s="127"/>
      <c r="T38" s="127"/>
      <c r="U38" s="127"/>
      <c r="V38" s="127"/>
      <c r="W38" s="127"/>
      <c r="X38" s="127"/>
      <c r="Y38" s="127"/>
      <c r="Z38" s="127"/>
      <c r="AA38" s="127"/>
    </row>
    <row r="39" customFormat="false" ht="13.8" hidden="false" customHeight="false" outlineLevel="0" collapsed="false">
      <c r="A39" s="127" t="str">
        <f aca="false">IF(ISBLANK(B39),"",B39&amp;"|"&amp;C39)</f>
        <v/>
      </c>
      <c r="B39" s="127"/>
      <c r="C39" s="127"/>
      <c r="D39" s="127"/>
      <c r="E39" s="133"/>
      <c r="F39" s="127"/>
      <c r="G39" s="127"/>
      <c r="H39" s="127"/>
      <c r="I39" s="127"/>
      <c r="J39" s="127"/>
      <c r="K39" s="127"/>
      <c r="L39" s="127"/>
      <c r="M39" s="127"/>
      <c r="N39" s="127"/>
      <c r="O39" s="127"/>
      <c r="P39" s="127"/>
      <c r="Q39" s="127"/>
      <c r="R39" s="127"/>
      <c r="S39" s="127"/>
      <c r="T39" s="127"/>
      <c r="U39" s="127"/>
      <c r="V39" s="127"/>
      <c r="W39" s="127"/>
      <c r="X39" s="127"/>
      <c r="Y39" s="127"/>
      <c r="Z39" s="127"/>
      <c r="AA39" s="127"/>
    </row>
    <row r="40" customFormat="false" ht="13.8" hidden="false" customHeight="false" outlineLevel="0" collapsed="false">
      <c r="A40" s="127" t="str">
        <f aca="false">IF(ISBLANK(B40),"",B40&amp;"|"&amp;C40)</f>
        <v/>
      </c>
      <c r="B40" s="127"/>
      <c r="C40" s="127"/>
      <c r="D40" s="127"/>
      <c r="E40" s="133"/>
      <c r="F40" s="127"/>
      <c r="G40" s="127"/>
      <c r="H40" s="127"/>
      <c r="I40" s="127"/>
      <c r="J40" s="127"/>
      <c r="K40" s="127"/>
      <c r="L40" s="127"/>
      <c r="M40" s="127"/>
      <c r="N40" s="127"/>
      <c r="O40" s="127"/>
      <c r="P40" s="127"/>
      <c r="Q40" s="127"/>
      <c r="R40" s="127"/>
      <c r="S40" s="127"/>
      <c r="T40" s="127"/>
      <c r="U40" s="127"/>
      <c r="V40" s="127"/>
      <c r="W40" s="127"/>
      <c r="X40" s="127"/>
      <c r="Y40" s="127"/>
      <c r="Z40" s="127"/>
      <c r="AA40" s="127"/>
    </row>
    <row r="41" customFormat="false" ht="13.8" hidden="false" customHeight="false" outlineLevel="0" collapsed="false">
      <c r="A41" s="127" t="str">
        <f aca="false">IF(ISBLANK(B41),"",B41&amp;"|"&amp;C41)</f>
        <v/>
      </c>
      <c r="B41" s="127"/>
      <c r="C41" s="127"/>
      <c r="D41" s="127"/>
      <c r="E41" s="133"/>
      <c r="F41" s="127"/>
      <c r="G41" s="127"/>
      <c r="H41" s="127"/>
      <c r="I41" s="127"/>
      <c r="J41" s="127"/>
      <c r="K41" s="127"/>
      <c r="L41" s="127"/>
      <c r="M41" s="127"/>
      <c r="N41" s="127"/>
      <c r="O41" s="127"/>
      <c r="P41" s="127"/>
      <c r="Q41" s="127"/>
      <c r="R41" s="127"/>
      <c r="S41" s="127"/>
      <c r="T41" s="127"/>
      <c r="U41" s="127"/>
      <c r="V41" s="127"/>
      <c r="W41" s="127"/>
      <c r="X41" s="127"/>
      <c r="Y41" s="127"/>
      <c r="Z41" s="127"/>
      <c r="AA41" s="127"/>
    </row>
    <row r="42" customFormat="false" ht="13.8" hidden="false" customHeight="false" outlineLevel="0" collapsed="false">
      <c r="A42" s="127" t="str">
        <f aca="false">IF(ISBLANK(B42),"",B42&amp;"|"&amp;C42)</f>
        <v/>
      </c>
      <c r="B42" s="127"/>
      <c r="C42" s="127"/>
      <c r="D42" s="127"/>
      <c r="E42" s="133"/>
      <c r="F42" s="127"/>
      <c r="G42" s="127"/>
      <c r="H42" s="127"/>
      <c r="I42" s="127"/>
      <c r="J42" s="127"/>
      <c r="K42" s="127"/>
      <c r="L42" s="127"/>
      <c r="M42" s="127"/>
      <c r="N42" s="127"/>
      <c r="O42" s="127"/>
      <c r="P42" s="127"/>
      <c r="Q42" s="127"/>
      <c r="R42" s="127"/>
      <c r="S42" s="127"/>
      <c r="T42" s="127"/>
      <c r="U42" s="127"/>
      <c r="V42" s="127"/>
      <c r="W42" s="127"/>
      <c r="X42" s="127"/>
      <c r="Y42" s="127"/>
      <c r="Z42" s="127"/>
      <c r="AA42" s="127"/>
    </row>
    <row r="43" customFormat="false" ht="13.8" hidden="false" customHeight="false" outlineLevel="0" collapsed="false">
      <c r="A43" s="127" t="str">
        <f aca="false">IF(ISBLANK(B43),"",B43&amp;"|"&amp;C43)</f>
        <v/>
      </c>
      <c r="B43" s="127"/>
      <c r="C43" s="127"/>
      <c r="D43" s="127"/>
      <c r="E43" s="133"/>
      <c r="F43" s="127"/>
      <c r="G43" s="127"/>
      <c r="H43" s="127"/>
      <c r="I43" s="127"/>
      <c r="J43" s="127"/>
      <c r="K43" s="127"/>
      <c r="L43" s="127"/>
      <c r="M43" s="127"/>
      <c r="N43" s="127"/>
      <c r="O43" s="127"/>
      <c r="P43" s="127"/>
      <c r="Q43" s="127"/>
      <c r="R43" s="127"/>
      <c r="S43" s="127"/>
      <c r="T43" s="127"/>
      <c r="U43" s="127"/>
      <c r="V43" s="127"/>
      <c r="W43" s="127"/>
      <c r="X43" s="127"/>
      <c r="Y43" s="127"/>
      <c r="Z43" s="127"/>
      <c r="AA43" s="127"/>
    </row>
    <row r="44" customFormat="false" ht="13.8" hidden="false" customHeight="false" outlineLevel="0" collapsed="false">
      <c r="A44" s="127" t="str">
        <f aca="false">IF(ISBLANK(B44),"",B44&amp;"|"&amp;C44)</f>
        <v/>
      </c>
      <c r="B44" s="127"/>
      <c r="C44" s="127"/>
      <c r="D44" s="127"/>
      <c r="E44" s="133"/>
      <c r="F44" s="127"/>
      <c r="G44" s="127"/>
      <c r="H44" s="127"/>
      <c r="I44" s="127"/>
      <c r="J44" s="127"/>
      <c r="K44" s="127"/>
      <c r="L44" s="127"/>
      <c r="M44" s="127"/>
      <c r="N44" s="127"/>
      <c r="O44" s="127"/>
      <c r="P44" s="127"/>
      <c r="Q44" s="127"/>
      <c r="R44" s="127"/>
      <c r="S44" s="127"/>
      <c r="T44" s="127"/>
      <c r="U44" s="127"/>
      <c r="V44" s="127"/>
      <c r="W44" s="127"/>
      <c r="X44" s="127"/>
      <c r="Y44" s="127"/>
      <c r="Z44" s="127"/>
      <c r="AA44" s="127"/>
    </row>
    <row r="45" customFormat="false" ht="13.8" hidden="false" customHeight="false" outlineLevel="0" collapsed="false">
      <c r="A45" s="127" t="str">
        <f aca="false">IF(ISBLANK(B45),"",B45&amp;"|"&amp;C45)</f>
        <v/>
      </c>
      <c r="B45" s="127"/>
      <c r="C45" s="127"/>
      <c r="D45" s="127"/>
      <c r="E45" s="133"/>
      <c r="F45" s="127"/>
      <c r="G45" s="127"/>
      <c r="H45" s="127"/>
      <c r="I45" s="127"/>
      <c r="J45" s="127"/>
      <c r="K45" s="127"/>
      <c r="L45" s="127"/>
      <c r="M45" s="127"/>
      <c r="N45" s="127"/>
      <c r="O45" s="127"/>
      <c r="P45" s="127"/>
      <c r="Q45" s="127"/>
      <c r="R45" s="127"/>
      <c r="S45" s="127"/>
      <c r="T45" s="127"/>
      <c r="U45" s="127"/>
      <c r="V45" s="127"/>
      <c r="W45" s="127"/>
      <c r="X45" s="127"/>
      <c r="Y45" s="127"/>
      <c r="Z45" s="127"/>
      <c r="AA45" s="127"/>
    </row>
    <row r="46" customFormat="false" ht="13.8" hidden="false" customHeight="false" outlineLevel="0" collapsed="false">
      <c r="A46" s="127" t="str">
        <f aca="false">IF(ISBLANK(B46),"",B46&amp;"|"&amp;C46)</f>
        <v/>
      </c>
      <c r="B46" s="127"/>
      <c r="C46" s="127"/>
      <c r="D46" s="127"/>
      <c r="E46" s="133"/>
      <c r="F46" s="127"/>
      <c r="G46" s="127"/>
      <c r="H46" s="127"/>
      <c r="I46" s="127"/>
      <c r="J46" s="127"/>
      <c r="K46" s="127"/>
      <c r="L46" s="127"/>
      <c r="M46" s="127"/>
      <c r="N46" s="127"/>
      <c r="O46" s="127"/>
      <c r="P46" s="127"/>
      <c r="Q46" s="127"/>
      <c r="R46" s="127"/>
      <c r="S46" s="127"/>
      <c r="T46" s="127"/>
      <c r="U46" s="127"/>
      <c r="V46" s="127"/>
      <c r="W46" s="127"/>
      <c r="X46" s="127"/>
      <c r="Y46" s="127"/>
      <c r="Z46" s="127"/>
      <c r="AA46" s="127"/>
    </row>
    <row r="47" customFormat="false" ht="13.8" hidden="false" customHeight="false" outlineLevel="0" collapsed="false">
      <c r="A47" s="127" t="str">
        <f aca="false">IF(ISBLANK(B47),"",B47&amp;"|"&amp;C47)</f>
        <v/>
      </c>
      <c r="B47" s="127"/>
      <c r="C47" s="127"/>
      <c r="D47" s="127"/>
      <c r="E47" s="133"/>
      <c r="F47" s="127"/>
      <c r="G47" s="127"/>
      <c r="H47" s="127"/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</row>
    <row r="48" customFormat="false" ht="13.8" hidden="false" customHeight="false" outlineLevel="0" collapsed="false">
      <c r="A48" s="127" t="str">
        <f aca="false">IF(ISBLANK(B48),"",B48&amp;"|"&amp;C48)</f>
        <v/>
      </c>
      <c r="B48" s="127"/>
      <c r="C48" s="127"/>
      <c r="D48" s="127"/>
      <c r="E48" s="133"/>
      <c r="F48" s="127"/>
      <c r="G48" s="127"/>
      <c r="H48" s="127"/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</row>
    <row r="49" customFormat="false" ht="13.8" hidden="false" customHeight="false" outlineLevel="0" collapsed="false">
      <c r="A49" s="127" t="str">
        <f aca="false">IF(ISBLANK(B49),"",B49&amp;"|"&amp;C49)</f>
        <v/>
      </c>
      <c r="B49" s="127"/>
      <c r="C49" s="127"/>
      <c r="D49" s="127"/>
      <c r="E49" s="133"/>
      <c r="F49" s="127"/>
      <c r="G49" s="127"/>
      <c r="H49" s="127"/>
      <c r="I49" s="127"/>
      <c r="J49" s="127"/>
      <c r="K49" s="127"/>
      <c r="L49" s="127"/>
      <c r="M49" s="127"/>
      <c r="N49" s="127"/>
      <c r="O49" s="127"/>
      <c r="P49" s="127"/>
      <c r="Q49" s="127"/>
      <c r="R49" s="127"/>
      <c r="S49" s="127"/>
      <c r="T49" s="127"/>
      <c r="U49" s="127"/>
      <c r="V49" s="127"/>
      <c r="W49" s="127"/>
      <c r="X49" s="127"/>
      <c r="Y49" s="127"/>
      <c r="Z49" s="127"/>
      <c r="AA49" s="127"/>
    </row>
    <row r="50" customFormat="false" ht="13.8" hidden="false" customHeight="false" outlineLevel="0" collapsed="false">
      <c r="A50" s="127" t="str">
        <f aca="false">IF(ISBLANK(B50),"",B50&amp;"|"&amp;C50)</f>
        <v/>
      </c>
      <c r="B50" s="127"/>
      <c r="C50" s="127"/>
      <c r="D50" s="127"/>
      <c r="E50" s="133"/>
      <c r="F50" s="127"/>
      <c r="G50" s="127"/>
      <c r="H50" s="127"/>
      <c r="I50" s="127"/>
      <c r="J50" s="127"/>
      <c r="K50" s="127"/>
      <c r="L50" s="127"/>
      <c r="M50" s="127"/>
      <c r="N50" s="127"/>
      <c r="O50" s="127"/>
      <c r="P50" s="127"/>
      <c r="Q50" s="127"/>
      <c r="R50" s="127"/>
      <c r="S50" s="127"/>
      <c r="T50" s="127"/>
      <c r="U50" s="127"/>
      <c r="V50" s="127"/>
      <c r="W50" s="127"/>
      <c r="X50" s="127"/>
      <c r="Y50" s="127"/>
      <c r="Z50" s="127"/>
      <c r="AA50" s="127"/>
    </row>
    <row r="51" customFormat="false" ht="13.8" hidden="false" customHeight="false" outlineLevel="0" collapsed="false">
      <c r="A51" s="127" t="str">
        <f aca="false">IF(ISBLANK(B51),"",B51&amp;"|"&amp;C51)</f>
        <v/>
      </c>
      <c r="B51" s="127"/>
      <c r="C51" s="127"/>
      <c r="D51" s="127"/>
      <c r="E51" s="133"/>
      <c r="F51" s="127"/>
      <c r="G51" s="127"/>
      <c r="H51" s="127"/>
      <c r="I51" s="127"/>
      <c r="J51" s="127"/>
      <c r="K51" s="127"/>
      <c r="L51" s="127"/>
      <c r="M51" s="127"/>
      <c r="N51" s="127"/>
      <c r="O51" s="127"/>
      <c r="P51" s="127"/>
      <c r="Q51" s="127"/>
      <c r="R51" s="127"/>
      <c r="S51" s="127"/>
      <c r="T51" s="127"/>
      <c r="U51" s="127"/>
      <c r="V51" s="127"/>
      <c r="W51" s="127"/>
      <c r="X51" s="127"/>
      <c r="Y51" s="127"/>
      <c r="Z51" s="127"/>
      <c r="AA51" s="127"/>
    </row>
    <row r="52" customFormat="false" ht="13.8" hidden="false" customHeight="false" outlineLevel="0" collapsed="false">
      <c r="A52" s="127" t="str">
        <f aca="false">IF(ISBLANK(B52),"",B52&amp;"|"&amp;C52)</f>
        <v/>
      </c>
      <c r="B52" s="127"/>
      <c r="C52" s="127"/>
      <c r="D52" s="127"/>
      <c r="E52" s="133"/>
      <c r="F52" s="127"/>
      <c r="G52" s="127"/>
      <c r="H52" s="127"/>
      <c r="I52" s="127"/>
      <c r="J52" s="127"/>
      <c r="K52" s="127"/>
      <c r="L52" s="127"/>
      <c r="M52" s="127"/>
      <c r="N52" s="127"/>
      <c r="O52" s="127"/>
      <c r="P52" s="127"/>
      <c r="Q52" s="127"/>
      <c r="R52" s="127"/>
      <c r="S52" s="127"/>
      <c r="T52" s="127"/>
      <c r="U52" s="127"/>
      <c r="V52" s="127"/>
      <c r="W52" s="127"/>
      <c r="X52" s="127"/>
      <c r="Y52" s="127"/>
      <c r="Z52" s="127"/>
      <c r="AA52" s="127"/>
    </row>
    <row r="53" customFormat="false" ht="13.8" hidden="false" customHeight="false" outlineLevel="0" collapsed="false">
      <c r="A53" s="127" t="str">
        <f aca="false">IF(ISBLANK(B53),"",B53&amp;"|"&amp;C53)</f>
        <v/>
      </c>
      <c r="B53" s="127"/>
      <c r="C53" s="127"/>
      <c r="D53" s="127"/>
      <c r="E53" s="133"/>
      <c r="F53" s="127"/>
      <c r="G53" s="127"/>
      <c r="H53" s="127"/>
      <c r="I53" s="127"/>
      <c r="J53" s="127"/>
      <c r="K53" s="127"/>
      <c r="L53" s="127"/>
      <c r="M53" s="127"/>
      <c r="N53" s="127"/>
      <c r="O53" s="127"/>
      <c r="P53" s="127"/>
      <c r="Q53" s="127"/>
      <c r="R53" s="127"/>
      <c r="S53" s="127"/>
      <c r="T53" s="127"/>
      <c r="U53" s="127"/>
      <c r="V53" s="127"/>
      <c r="W53" s="127"/>
      <c r="X53" s="127"/>
      <c r="Y53" s="127"/>
      <c r="Z53" s="127"/>
      <c r="AA53" s="127"/>
    </row>
    <row r="54" customFormat="false" ht="13.8" hidden="false" customHeight="false" outlineLevel="0" collapsed="false">
      <c r="A54" s="127" t="str">
        <f aca="false">IF(ISBLANK(B54),"",B54&amp;"|"&amp;C54)</f>
        <v/>
      </c>
      <c r="B54" s="127"/>
      <c r="C54" s="127"/>
      <c r="D54" s="127"/>
      <c r="E54" s="133"/>
      <c r="F54" s="127"/>
      <c r="G54" s="127"/>
      <c r="H54" s="127"/>
      <c r="I54" s="127"/>
      <c r="J54" s="127"/>
      <c r="K54" s="127"/>
      <c r="L54" s="127"/>
      <c r="M54" s="127"/>
      <c r="N54" s="127"/>
      <c r="O54" s="127"/>
      <c r="P54" s="127"/>
      <c r="Q54" s="127"/>
      <c r="R54" s="127"/>
      <c r="S54" s="127"/>
      <c r="T54" s="127"/>
      <c r="U54" s="127"/>
      <c r="V54" s="127"/>
      <c r="W54" s="127"/>
      <c r="X54" s="127"/>
      <c r="Y54" s="127"/>
      <c r="Z54" s="127"/>
      <c r="AA54" s="127"/>
    </row>
    <row r="55" customFormat="false" ht="13.8" hidden="false" customHeight="false" outlineLevel="0" collapsed="false">
      <c r="A55" s="127" t="str">
        <f aca="false">IF(ISBLANK(B55),"",B55&amp;"|"&amp;C55)</f>
        <v/>
      </c>
      <c r="B55" s="127"/>
      <c r="C55" s="127"/>
      <c r="D55" s="127"/>
      <c r="E55" s="133"/>
      <c r="F55" s="127"/>
      <c r="G55" s="127"/>
      <c r="H55" s="127"/>
      <c r="I55" s="127"/>
      <c r="J55" s="127"/>
      <c r="K55" s="127"/>
      <c r="L55" s="127"/>
      <c r="M55" s="127"/>
      <c r="N55" s="127"/>
      <c r="O55" s="127"/>
      <c r="P55" s="127"/>
      <c r="Q55" s="127"/>
      <c r="R55" s="127"/>
      <c r="S55" s="127"/>
      <c r="T55" s="127"/>
      <c r="U55" s="127"/>
      <c r="V55" s="127"/>
      <c r="W55" s="127"/>
      <c r="X55" s="127"/>
      <c r="Y55" s="127"/>
      <c r="Z55" s="127"/>
      <c r="AA55" s="127"/>
    </row>
    <row r="56" customFormat="false" ht="13.8" hidden="false" customHeight="false" outlineLevel="0" collapsed="false">
      <c r="A56" s="127" t="str">
        <f aca="false">IF(ISBLANK(B56),"",B56&amp;"|"&amp;C56)</f>
        <v/>
      </c>
      <c r="B56" s="127"/>
      <c r="C56" s="127"/>
      <c r="D56" s="127"/>
      <c r="E56" s="133"/>
      <c r="F56" s="127"/>
      <c r="G56" s="127"/>
      <c r="H56" s="127"/>
      <c r="I56" s="127"/>
      <c r="J56" s="127"/>
      <c r="K56" s="127"/>
      <c r="L56" s="127"/>
      <c r="M56" s="127"/>
      <c r="N56" s="127"/>
      <c r="O56" s="127"/>
      <c r="P56" s="127"/>
      <c r="Q56" s="127"/>
      <c r="R56" s="127"/>
      <c r="S56" s="127"/>
      <c r="T56" s="127"/>
      <c r="U56" s="127"/>
      <c r="V56" s="127"/>
      <c r="W56" s="127"/>
      <c r="X56" s="127"/>
      <c r="Y56" s="127"/>
      <c r="Z56" s="127"/>
      <c r="AA56" s="127"/>
    </row>
    <row r="57" customFormat="false" ht="13.8" hidden="false" customHeight="false" outlineLevel="0" collapsed="false">
      <c r="A57" s="127" t="str">
        <f aca="false">IF(ISBLANK(B57),"",B57&amp;"|"&amp;C57)</f>
        <v/>
      </c>
      <c r="B57" s="127"/>
      <c r="C57" s="127"/>
      <c r="D57" s="127"/>
      <c r="E57" s="133"/>
      <c r="F57" s="127"/>
      <c r="G57" s="127"/>
      <c r="H57" s="127"/>
      <c r="I57" s="127"/>
      <c r="J57" s="127"/>
      <c r="K57" s="127"/>
      <c r="L57" s="127"/>
      <c r="M57" s="127"/>
      <c r="N57" s="127"/>
      <c r="O57" s="127"/>
      <c r="P57" s="127"/>
      <c r="Q57" s="127"/>
      <c r="R57" s="127"/>
      <c r="S57" s="127"/>
      <c r="T57" s="127"/>
      <c r="U57" s="127"/>
      <c r="V57" s="127"/>
      <c r="W57" s="127"/>
      <c r="X57" s="127"/>
      <c r="Y57" s="127"/>
      <c r="Z57" s="127"/>
      <c r="AA57" s="127"/>
    </row>
    <row r="58" customFormat="false" ht="13.8" hidden="false" customHeight="false" outlineLevel="0" collapsed="false">
      <c r="A58" s="127" t="str">
        <f aca="false">IF(ISBLANK(B58),"",B58&amp;"|"&amp;C58)</f>
        <v/>
      </c>
      <c r="B58" s="127"/>
      <c r="C58" s="127"/>
      <c r="D58" s="127"/>
      <c r="E58" s="133"/>
      <c r="F58" s="127"/>
      <c r="G58" s="127"/>
      <c r="H58" s="127"/>
      <c r="I58" s="127"/>
      <c r="J58" s="127"/>
      <c r="K58" s="127"/>
      <c r="L58" s="127"/>
      <c r="M58" s="127"/>
      <c r="N58" s="127"/>
      <c r="O58" s="127"/>
      <c r="P58" s="127"/>
      <c r="Q58" s="127"/>
      <c r="R58" s="127"/>
      <c r="S58" s="127"/>
      <c r="T58" s="127"/>
      <c r="U58" s="127"/>
      <c r="V58" s="127"/>
      <c r="W58" s="127"/>
      <c r="X58" s="127"/>
      <c r="Y58" s="127"/>
      <c r="Z58" s="127"/>
      <c r="AA58" s="127"/>
    </row>
    <row r="59" customFormat="false" ht="13.8" hidden="false" customHeight="false" outlineLevel="0" collapsed="false">
      <c r="A59" s="127" t="str">
        <f aca="false">IF(ISBLANK(B59),"",B59&amp;"|"&amp;C59)</f>
        <v/>
      </c>
      <c r="B59" s="127"/>
      <c r="C59" s="127"/>
      <c r="D59" s="127"/>
      <c r="E59" s="133"/>
      <c r="F59" s="127"/>
      <c r="G59" s="127"/>
      <c r="H59" s="127"/>
      <c r="I59" s="127"/>
      <c r="J59" s="127"/>
      <c r="K59" s="127"/>
      <c r="L59" s="127"/>
      <c r="M59" s="127"/>
      <c r="N59" s="127"/>
      <c r="O59" s="127"/>
      <c r="P59" s="127"/>
      <c r="Q59" s="127"/>
      <c r="R59" s="127"/>
      <c r="S59" s="127"/>
      <c r="T59" s="127"/>
      <c r="U59" s="127"/>
      <c r="V59" s="127"/>
      <c r="W59" s="127"/>
      <c r="X59" s="127"/>
      <c r="Y59" s="127"/>
      <c r="Z59" s="127"/>
      <c r="AA59" s="127"/>
    </row>
    <row r="60" customFormat="false" ht="13.8" hidden="false" customHeight="false" outlineLevel="0" collapsed="false">
      <c r="A60" s="127" t="str">
        <f aca="false">IF(ISBLANK(B60),"",B60&amp;"|"&amp;C60)</f>
        <v/>
      </c>
      <c r="B60" s="127"/>
      <c r="C60" s="127"/>
      <c r="D60" s="127"/>
      <c r="E60" s="133"/>
      <c r="F60" s="127"/>
      <c r="G60" s="127"/>
      <c r="H60" s="127"/>
      <c r="I60" s="127"/>
      <c r="J60" s="127"/>
      <c r="K60" s="127"/>
      <c r="L60" s="127"/>
      <c r="M60" s="127"/>
      <c r="N60" s="127"/>
      <c r="O60" s="127"/>
      <c r="P60" s="127"/>
      <c r="Q60" s="127"/>
      <c r="R60" s="127"/>
      <c r="S60" s="127"/>
      <c r="T60" s="127"/>
      <c r="U60" s="127"/>
      <c r="V60" s="127"/>
      <c r="W60" s="127"/>
      <c r="X60" s="127"/>
      <c r="Y60" s="127"/>
      <c r="Z60" s="127"/>
      <c r="AA60" s="127"/>
    </row>
    <row r="61" customFormat="false" ht="13.8" hidden="false" customHeight="false" outlineLevel="0" collapsed="false">
      <c r="A61" s="127" t="str">
        <f aca="false">IF(ISBLANK(B61),"",B61&amp;"|"&amp;C61)</f>
        <v/>
      </c>
      <c r="B61" s="127"/>
      <c r="C61" s="127"/>
      <c r="D61" s="127"/>
      <c r="E61" s="133"/>
      <c r="F61" s="127"/>
      <c r="G61" s="127"/>
      <c r="H61" s="127"/>
      <c r="I61" s="127"/>
      <c r="J61" s="127"/>
      <c r="K61" s="127"/>
      <c r="L61" s="127"/>
      <c r="M61" s="127"/>
      <c r="N61" s="127"/>
      <c r="O61" s="127"/>
      <c r="P61" s="127"/>
      <c r="Q61" s="127"/>
      <c r="R61" s="127"/>
      <c r="S61" s="127"/>
      <c r="T61" s="127"/>
      <c r="U61" s="127"/>
      <c r="V61" s="127"/>
      <c r="W61" s="127"/>
      <c r="X61" s="127"/>
      <c r="Y61" s="127"/>
      <c r="Z61" s="127"/>
      <c r="AA61" s="127"/>
    </row>
    <row r="62" customFormat="false" ht="13.8" hidden="false" customHeight="false" outlineLevel="0" collapsed="false">
      <c r="A62" s="127" t="str">
        <f aca="false">IF(ISBLANK(B62),"",B62&amp;"|"&amp;C62)</f>
        <v/>
      </c>
      <c r="B62" s="127"/>
      <c r="C62" s="127"/>
      <c r="D62" s="127"/>
      <c r="E62" s="133"/>
      <c r="F62" s="127"/>
      <c r="G62" s="127"/>
      <c r="H62" s="127"/>
      <c r="I62" s="127"/>
      <c r="J62" s="127"/>
      <c r="K62" s="127"/>
      <c r="L62" s="127"/>
      <c r="M62" s="127"/>
      <c r="N62" s="127"/>
      <c r="O62" s="127"/>
      <c r="P62" s="127"/>
      <c r="Q62" s="127"/>
      <c r="R62" s="127"/>
      <c r="S62" s="127"/>
      <c r="T62" s="127"/>
      <c r="U62" s="127"/>
      <c r="V62" s="127"/>
      <c r="W62" s="127"/>
      <c r="X62" s="127"/>
      <c r="Y62" s="127"/>
      <c r="Z62" s="127"/>
      <c r="AA62" s="127"/>
    </row>
    <row r="63" customFormat="false" ht="13.8" hidden="false" customHeight="false" outlineLevel="0" collapsed="false">
      <c r="A63" s="127" t="str">
        <f aca="false">IF(ISBLANK(B63),"",B63&amp;"|"&amp;C63)</f>
        <v/>
      </c>
      <c r="B63" s="127"/>
      <c r="C63" s="127"/>
      <c r="D63" s="127"/>
      <c r="E63" s="133"/>
      <c r="F63" s="127"/>
      <c r="G63" s="127"/>
      <c r="H63" s="127"/>
      <c r="I63" s="127"/>
      <c r="J63" s="127"/>
      <c r="K63" s="127"/>
      <c r="L63" s="127"/>
      <c r="M63" s="127"/>
      <c r="N63" s="127"/>
      <c r="O63" s="127"/>
      <c r="P63" s="127"/>
      <c r="Q63" s="127"/>
      <c r="R63" s="127"/>
      <c r="S63" s="127"/>
      <c r="T63" s="127"/>
      <c r="U63" s="127"/>
      <c r="V63" s="127"/>
      <c r="W63" s="127"/>
      <c r="X63" s="127"/>
      <c r="Y63" s="127"/>
      <c r="Z63" s="127"/>
      <c r="AA63" s="127"/>
    </row>
    <row r="64" customFormat="false" ht="13.8" hidden="false" customHeight="false" outlineLevel="0" collapsed="false">
      <c r="A64" s="127" t="str">
        <f aca="false">IF(ISBLANK(B64),"",B64&amp;"|"&amp;C64)</f>
        <v/>
      </c>
      <c r="B64" s="127"/>
      <c r="C64" s="127"/>
      <c r="D64" s="127"/>
      <c r="E64" s="133"/>
      <c r="F64" s="127"/>
      <c r="G64" s="127"/>
      <c r="H64" s="127"/>
      <c r="I64" s="127"/>
      <c r="J64" s="127"/>
      <c r="K64" s="127"/>
      <c r="L64" s="127"/>
      <c r="M64" s="127"/>
      <c r="N64" s="127"/>
      <c r="O64" s="127"/>
      <c r="P64" s="127"/>
      <c r="Q64" s="127"/>
      <c r="R64" s="127"/>
      <c r="S64" s="127"/>
      <c r="T64" s="127"/>
      <c r="U64" s="127"/>
      <c r="V64" s="127"/>
      <c r="W64" s="127"/>
      <c r="X64" s="127"/>
      <c r="Y64" s="127"/>
      <c r="Z64" s="127"/>
      <c r="AA64" s="127"/>
    </row>
    <row r="65" customFormat="false" ht="13.8" hidden="false" customHeight="false" outlineLevel="0" collapsed="false">
      <c r="A65" s="127" t="str">
        <f aca="false">IF(ISBLANK(B65),"",B65&amp;"|"&amp;C65)</f>
        <v/>
      </c>
      <c r="B65" s="127"/>
      <c r="C65" s="127"/>
      <c r="D65" s="127"/>
      <c r="E65" s="133"/>
      <c r="F65" s="127"/>
      <c r="G65" s="127"/>
      <c r="H65" s="127"/>
      <c r="I65" s="127"/>
      <c r="J65" s="127"/>
      <c r="K65" s="127"/>
      <c r="L65" s="127"/>
      <c r="M65" s="127"/>
      <c r="N65" s="127"/>
      <c r="O65" s="127"/>
      <c r="P65" s="127"/>
      <c r="Q65" s="127"/>
      <c r="R65" s="127"/>
      <c r="S65" s="127"/>
      <c r="T65" s="127"/>
      <c r="U65" s="127"/>
      <c r="V65" s="127"/>
      <c r="W65" s="127"/>
      <c r="X65" s="127"/>
      <c r="Y65" s="127"/>
      <c r="Z65" s="127"/>
      <c r="AA65" s="127"/>
    </row>
    <row r="66" customFormat="false" ht="13.8" hidden="false" customHeight="false" outlineLevel="0" collapsed="false">
      <c r="A66" s="127" t="str">
        <f aca="false">IF(ISBLANK(B66),"",B66&amp;"|"&amp;C66)</f>
        <v/>
      </c>
      <c r="B66" s="127"/>
      <c r="C66" s="127"/>
      <c r="D66" s="127"/>
      <c r="E66" s="133"/>
      <c r="F66" s="127"/>
      <c r="G66" s="127"/>
      <c r="H66" s="127"/>
      <c r="I66" s="127"/>
      <c r="J66" s="127"/>
      <c r="K66" s="127"/>
      <c r="L66" s="127"/>
      <c r="M66" s="127"/>
      <c r="N66" s="127"/>
      <c r="O66" s="127"/>
      <c r="P66" s="127"/>
      <c r="Q66" s="127"/>
      <c r="R66" s="127"/>
      <c r="S66" s="127"/>
      <c r="T66" s="127"/>
      <c r="U66" s="127"/>
      <c r="V66" s="127"/>
      <c r="W66" s="127"/>
      <c r="X66" s="127"/>
      <c r="Y66" s="127"/>
      <c r="Z66" s="127"/>
      <c r="AA66" s="127"/>
    </row>
    <row r="67" customFormat="false" ht="13.8" hidden="false" customHeight="false" outlineLevel="0" collapsed="false">
      <c r="A67" s="127" t="str">
        <f aca="false">IF(ISBLANK(B67),"",B67&amp;"|"&amp;C67)</f>
        <v/>
      </c>
      <c r="B67" s="127"/>
      <c r="C67" s="127"/>
      <c r="D67" s="127"/>
      <c r="E67" s="133"/>
      <c r="F67" s="127"/>
      <c r="G67" s="127"/>
      <c r="H67" s="127"/>
      <c r="I67" s="127"/>
      <c r="J67" s="127"/>
      <c r="K67" s="127"/>
      <c r="L67" s="127"/>
      <c r="M67" s="127"/>
      <c r="N67" s="127"/>
      <c r="O67" s="127"/>
      <c r="P67" s="127"/>
      <c r="Q67" s="127"/>
      <c r="R67" s="127"/>
      <c r="S67" s="127"/>
      <c r="T67" s="127"/>
      <c r="U67" s="127"/>
      <c r="V67" s="127"/>
      <c r="W67" s="127"/>
      <c r="X67" s="127"/>
      <c r="Y67" s="127"/>
      <c r="Z67" s="127"/>
      <c r="AA67" s="127"/>
    </row>
    <row r="68" customFormat="false" ht="13.8" hidden="false" customHeight="false" outlineLevel="0" collapsed="false">
      <c r="A68" s="127" t="str">
        <f aca="false">IF(ISBLANK(B68),"",B68&amp;"|"&amp;C68)</f>
        <v/>
      </c>
      <c r="B68" s="127"/>
      <c r="C68" s="127"/>
      <c r="D68" s="127"/>
      <c r="E68" s="133"/>
      <c r="F68" s="127"/>
      <c r="G68" s="127"/>
      <c r="H68" s="127"/>
      <c r="I68" s="127"/>
      <c r="J68" s="127"/>
      <c r="K68" s="127"/>
      <c r="L68" s="127"/>
      <c r="M68" s="127"/>
      <c r="N68" s="127"/>
      <c r="O68" s="127"/>
      <c r="P68" s="127"/>
      <c r="Q68" s="127"/>
      <c r="R68" s="127"/>
      <c r="S68" s="127"/>
      <c r="T68" s="127"/>
      <c r="U68" s="127"/>
      <c r="V68" s="127"/>
      <c r="W68" s="127"/>
      <c r="X68" s="127"/>
      <c r="Y68" s="127"/>
      <c r="Z68" s="127"/>
      <c r="AA68" s="127"/>
    </row>
    <row r="69" customFormat="false" ht="13.8" hidden="false" customHeight="false" outlineLevel="0" collapsed="false">
      <c r="A69" s="127" t="str">
        <f aca="false">IF(ISBLANK(B69),"",B69&amp;"|"&amp;C69)</f>
        <v/>
      </c>
      <c r="B69" s="127"/>
      <c r="C69" s="127"/>
      <c r="D69" s="127"/>
      <c r="E69" s="133"/>
      <c r="F69" s="127"/>
      <c r="G69" s="127"/>
      <c r="H69" s="127"/>
      <c r="I69" s="127"/>
      <c r="J69" s="127"/>
      <c r="K69" s="127"/>
      <c r="L69" s="127"/>
      <c r="M69" s="127"/>
      <c r="N69" s="127"/>
      <c r="O69" s="127"/>
      <c r="P69" s="127"/>
      <c r="Q69" s="127"/>
      <c r="R69" s="127"/>
      <c r="S69" s="127"/>
      <c r="T69" s="127"/>
      <c r="U69" s="127"/>
      <c r="V69" s="127"/>
      <c r="W69" s="127"/>
      <c r="X69" s="127"/>
      <c r="Y69" s="127"/>
      <c r="Z69" s="127"/>
      <c r="AA69" s="127"/>
    </row>
    <row r="70" customFormat="false" ht="13.8" hidden="false" customHeight="false" outlineLevel="0" collapsed="false">
      <c r="A70" s="127" t="str">
        <f aca="false">IF(ISBLANK(B70),"",B70&amp;"|"&amp;C70)</f>
        <v/>
      </c>
      <c r="B70" s="127"/>
      <c r="C70" s="127"/>
      <c r="D70" s="127"/>
      <c r="E70" s="133"/>
      <c r="F70" s="127"/>
      <c r="G70" s="127"/>
      <c r="H70" s="127"/>
      <c r="I70" s="127"/>
      <c r="J70" s="127"/>
      <c r="K70" s="127"/>
      <c r="L70" s="127"/>
      <c r="M70" s="127"/>
      <c r="N70" s="127"/>
      <c r="O70" s="127"/>
      <c r="P70" s="127"/>
      <c r="Q70" s="127"/>
      <c r="R70" s="127"/>
      <c r="S70" s="127"/>
      <c r="T70" s="127"/>
      <c r="U70" s="127"/>
      <c r="V70" s="127"/>
      <c r="W70" s="127"/>
      <c r="X70" s="127"/>
      <c r="Y70" s="127"/>
      <c r="Z70" s="127"/>
      <c r="AA70" s="127"/>
    </row>
    <row r="71" customFormat="false" ht="13.8" hidden="false" customHeight="false" outlineLevel="0" collapsed="false">
      <c r="A71" s="127" t="str">
        <f aca="false">IF(ISBLANK(B71),"",B71&amp;"|"&amp;C71)</f>
        <v/>
      </c>
      <c r="B71" s="127"/>
      <c r="C71" s="127"/>
      <c r="D71" s="127"/>
      <c r="E71" s="133"/>
      <c r="F71" s="127"/>
      <c r="G71" s="127"/>
      <c r="H71" s="127"/>
      <c r="I71" s="127"/>
      <c r="J71" s="127"/>
      <c r="K71" s="127"/>
      <c r="L71" s="127"/>
      <c r="M71" s="127"/>
      <c r="N71" s="127"/>
      <c r="O71" s="127"/>
      <c r="P71" s="127"/>
      <c r="Q71" s="127"/>
      <c r="R71" s="127"/>
      <c r="S71" s="127"/>
      <c r="T71" s="127"/>
      <c r="U71" s="127"/>
      <c r="V71" s="127"/>
      <c r="W71" s="127"/>
      <c r="X71" s="127"/>
      <c r="Y71" s="127"/>
      <c r="Z71" s="127"/>
      <c r="AA71" s="127"/>
    </row>
    <row r="72" customFormat="false" ht="13.8" hidden="false" customHeight="false" outlineLevel="0" collapsed="false">
      <c r="A72" s="127" t="str">
        <f aca="false">IF(ISBLANK(B72),"",B72&amp;"|"&amp;C72)</f>
        <v/>
      </c>
      <c r="B72" s="127"/>
      <c r="C72" s="127"/>
      <c r="D72" s="127"/>
      <c r="E72" s="133"/>
      <c r="F72" s="127"/>
      <c r="G72" s="127"/>
      <c r="H72" s="127"/>
      <c r="I72" s="127"/>
      <c r="J72" s="127"/>
      <c r="K72" s="127"/>
      <c r="L72" s="127"/>
      <c r="M72" s="127"/>
      <c r="N72" s="127"/>
      <c r="O72" s="127"/>
      <c r="P72" s="127"/>
      <c r="Q72" s="127"/>
      <c r="R72" s="127"/>
      <c r="S72" s="127"/>
      <c r="T72" s="127"/>
      <c r="U72" s="127"/>
      <c r="V72" s="127"/>
      <c r="W72" s="127"/>
      <c r="X72" s="127"/>
      <c r="Y72" s="127"/>
      <c r="Z72" s="127"/>
      <c r="AA72" s="127"/>
    </row>
    <row r="73" customFormat="false" ht="13.8" hidden="false" customHeight="false" outlineLevel="0" collapsed="false">
      <c r="A73" s="127" t="str">
        <f aca="false">IF(ISBLANK(B73),"",B73&amp;"|"&amp;C73)</f>
        <v/>
      </c>
      <c r="B73" s="127"/>
      <c r="C73" s="127"/>
      <c r="D73" s="127"/>
      <c r="E73" s="133"/>
      <c r="F73" s="127"/>
      <c r="G73" s="127"/>
      <c r="H73" s="127"/>
      <c r="I73" s="127"/>
      <c r="J73" s="127"/>
      <c r="K73" s="127"/>
      <c r="L73" s="127"/>
      <c r="M73" s="127"/>
      <c r="N73" s="127"/>
      <c r="O73" s="127"/>
      <c r="P73" s="127"/>
      <c r="Q73" s="127"/>
      <c r="R73" s="127"/>
      <c r="S73" s="127"/>
      <c r="T73" s="127"/>
      <c r="U73" s="127"/>
      <c r="V73" s="127"/>
      <c r="W73" s="127"/>
      <c r="X73" s="127"/>
      <c r="Y73" s="127"/>
      <c r="Z73" s="127"/>
      <c r="AA73" s="127"/>
    </row>
    <row r="74" customFormat="false" ht="13.8" hidden="false" customHeight="false" outlineLevel="0" collapsed="false">
      <c r="A74" s="127" t="str">
        <f aca="false">IF(ISBLANK(B74),"",B74&amp;"|"&amp;C74)</f>
        <v/>
      </c>
      <c r="B74" s="127"/>
      <c r="C74" s="127"/>
      <c r="D74" s="127"/>
      <c r="E74" s="133"/>
      <c r="F74" s="127"/>
      <c r="G74" s="127"/>
      <c r="H74" s="127"/>
      <c r="I74" s="127"/>
      <c r="J74" s="127"/>
      <c r="K74" s="127"/>
      <c r="L74" s="127"/>
      <c r="M74" s="127"/>
      <c r="N74" s="127"/>
      <c r="O74" s="127"/>
      <c r="P74" s="127"/>
      <c r="Q74" s="127"/>
      <c r="R74" s="127"/>
      <c r="S74" s="127"/>
      <c r="T74" s="127"/>
      <c r="U74" s="127"/>
      <c r="V74" s="127"/>
      <c r="W74" s="127"/>
      <c r="X74" s="127"/>
      <c r="Y74" s="127"/>
      <c r="Z74" s="127"/>
      <c r="AA74" s="127"/>
    </row>
    <row r="75" customFormat="false" ht="13.8" hidden="false" customHeight="false" outlineLevel="0" collapsed="false">
      <c r="A75" s="127" t="str">
        <f aca="false">IF(ISBLANK(B75),"",B75&amp;"|"&amp;C75)</f>
        <v/>
      </c>
      <c r="B75" s="127"/>
      <c r="C75" s="127"/>
      <c r="D75" s="127"/>
      <c r="E75" s="133"/>
      <c r="F75" s="127"/>
      <c r="G75" s="127"/>
      <c r="H75" s="127"/>
      <c r="I75" s="127"/>
      <c r="J75" s="127"/>
      <c r="K75" s="127"/>
      <c r="L75" s="127"/>
      <c r="M75" s="127"/>
      <c r="N75" s="127"/>
      <c r="O75" s="127"/>
      <c r="P75" s="127"/>
      <c r="Q75" s="127"/>
      <c r="R75" s="127"/>
      <c r="S75" s="127"/>
      <c r="T75" s="127"/>
      <c r="U75" s="127"/>
      <c r="V75" s="127"/>
      <c r="W75" s="127"/>
      <c r="X75" s="127"/>
      <c r="Y75" s="127"/>
      <c r="Z75" s="127"/>
      <c r="AA75" s="127"/>
    </row>
    <row r="76" customFormat="false" ht="13.8" hidden="false" customHeight="false" outlineLevel="0" collapsed="false">
      <c r="A76" s="127" t="str">
        <f aca="false">IF(ISBLANK(B76),"",B76&amp;"|"&amp;C76)</f>
        <v/>
      </c>
      <c r="B76" s="127"/>
      <c r="C76" s="127"/>
      <c r="D76" s="127"/>
      <c r="E76" s="133"/>
      <c r="F76" s="127"/>
      <c r="G76" s="127"/>
      <c r="H76" s="127"/>
      <c r="I76" s="127"/>
      <c r="J76" s="127"/>
      <c r="K76" s="127"/>
      <c r="L76" s="127"/>
      <c r="M76" s="127"/>
      <c r="N76" s="127"/>
      <c r="O76" s="127"/>
      <c r="P76" s="127"/>
      <c r="Q76" s="127"/>
      <c r="R76" s="127"/>
      <c r="S76" s="127"/>
      <c r="T76" s="127"/>
      <c r="U76" s="127"/>
      <c r="V76" s="127"/>
      <c r="W76" s="127"/>
      <c r="X76" s="127"/>
      <c r="Y76" s="127"/>
      <c r="Z76" s="127"/>
      <c r="AA76" s="127"/>
    </row>
    <row r="77" customFormat="false" ht="13.8" hidden="false" customHeight="false" outlineLevel="0" collapsed="false">
      <c r="A77" s="127" t="str">
        <f aca="false">IF(ISBLANK(B77),"",B77&amp;"|"&amp;C77)</f>
        <v/>
      </c>
      <c r="B77" s="127"/>
      <c r="C77" s="127"/>
      <c r="D77" s="127"/>
      <c r="E77" s="133"/>
      <c r="F77" s="127"/>
      <c r="G77" s="127"/>
      <c r="H77" s="127"/>
      <c r="I77" s="127"/>
      <c r="J77" s="127"/>
      <c r="K77" s="127"/>
      <c r="L77" s="127"/>
      <c r="M77" s="127"/>
      <c r="N77" s="127"/>
      <c r="O77" s="127"/>
      <c r="P77" s="127"/>
      <c r="Q77" s="127"/>
      <c r="R77" s="127"/>
      <c r="S77" s="127"/>
      <c r="T77" s="127"/>
      <c r="U77" s="127"/>
      <c r="V77" s="127"/>
      <c r="W77" s="127"/>
      <c r="X77" s="127"/>
      <c r="Y77" s="127"/>
      <c r="Z77" s="127"/>
      <c r="AA77" s="127"/>
    </row>
    <row r="78" customFormat="false" ht="13.8" hidden="false" customHeight="false" outlineLevel="0" collapsed="false">
      <c r="A78" s="127" t="str">
        <f aca="false">IF(ISBLANK(B78),"",B78&amp;"|"&amp;C78)</f>
        <v/>
      </c>
      <c r="B78" s="127"/>
      <c r="C78" s="127"/>
      <c r="D78" s="127"/>
      <c r="E78" s="133"/>
      <c r="F78" s="127"/>
      <c r="G78" s="127"/>
      <c r="H78" s="127"/>
      <c r="I78" s="127"/>
      <c r="J78" s="127"/>
      <c r="K78" s="127"/>
      <c r="L78" s="127"/>
      <c r="M78" s="127"/>
      <c r="N78" s="127"/>
      <c r="O78" s="127"/>
      <c r="P78" s="127"/>
      <c r="Q78" s="127"/>
      <c r="R78" s="127"/>
      <c r="S78" s="127"/>
      <c r="T78" s="127"/>
      <c r="U78" s="127"/>
      <c r="V78" s="127"/>
      <c r="W78" s="127"/>
      <c r="X78" s="127"/>
      <c r="Y78" s="127"/>
      <c r="Z78" s="127"/>
      <c r="AA78" s="127"/>
    </row>
    <row r="79" customFormat="false" ht="13.8" hidden="false" customHeight="false" outlineLevel="0" collapsed="false">
      <c r="A79" s="127" t="str">
        <f aca="false">IF(ISBLANK(B79),"",B79&amp;"|"&amp;C79)</f>
        <v/>
      </c>
      <c r="B79" s="127"/>
      <c r="C79" s="127"/>
      <c r="D79" s="127"/>
      <c r="E79" s="133"/>
      <c r="F79" s="127"/>
      <c r="G79" s="127"/>
      <c r="H79" s="127"/>
      <c r="I79" s="127"/>
      <c r="J79" s="127"/>
      <c r="K79" s="127"/>
      <c r="L79" s="127"/>
      <c r="M79" s="127"/>
      <c r="N79" s="127"/>
      <c r="O79" s="127"/>
      <c r="P79" s="127"/>
      <c r="Q79" s="127"/>
      <c r="R79" s="127"/>
      <c r="S79" s="127"/>
      <c r="T79" s="127"/>
      <c r="U79" s="127"/>
      <c r="V79" s="127"/>
      <c r="W79" s="127"/>
      <c r="X79" s="127"/>
      <c r="Y79" s="127"/>
      <c r="Z79" s="127"/>
      <c r="AA79" s="127"/>
    </row>
    <row r="80" customFormat="false" ht="13.8" hidden="false" customHeight="false" outlineLevel="0" collapsed="false">
      <c r="A80" s="127" t="str">
        <f aca="false">IF(ISBLANK(B80),"",B80&amp;"|"&amp;C80)</f>
        <v/>
      </c>
      <c r="B80" s="127"/>
      <c r="C80" s="127"/>
      <c r="D80" s="127"/>
      <c r="E80" s="133"/>
      <c r="F80" s="127"/>
      <c r="G80" s="127"/>
      <c r="H80" s="127"/>
      <c r="I80" s="127"/>
      <c r="J80" s="127"/>
      <c r="K80" s="127"/>
      <c r="L80" s="127"/>
      <c r="M80" s="127"/>
      <c r="N80" s="127"/>
      <c r="O80" s="127"/>
      <c r="P80" s="127"/>
      <c r="Q80" s="127"/>
      <c r="R80" s="127"/>
      <c r="S80" s="127"/>
      <c r="T80" s="127"/>
      <c r="U80" s="127"/>
      <c r="V80" s="127"/>
      <c r="W80" s="127"/>
      <c r="X80" s="127"/>
      <c r="Y80" s="127"/>
      <c r="Z80" s="127"/>
      <c r="AA80" s="127"/>
    </row>
    <row r="81" customFormat="false" ht="13.8" hidden="false" customHeight="false" outlineLevel="0" collapsed="false">
      <c r="A81" s="127" t="str">
        <f aca="false">IF(ISBLANK(B81),"",B81&amp;"|"&amp;C81)</f>
        <v/>
      </c>
      <c r="B81" s="127"/>
      <c r="C81" s="127"/>
      <c r="D81" s="127"/>
      <c r="E81" s="133"/>
      <c r="F81" s="127"/>
      <c r="G81" s="127"/>
      <c r="H81" s="127"/>
      <c r="I81" s="127"/>
      <c r="J81" s="127"/>
      <c r="K81" s="127"/>
      <c r="L81" s="127"/>
      <c r="M81" s="127"/>
      <c r="N81" s="127"/>
      <c r="O81" s="127"/>
      <c r="P81" s="127"/>
      <c r="Q81" s="127"/>
      <c r="R81" s="127"/>
      <c r="S81" s="127"/>
      <c r="T81" s="127"/>
      <c r="U81" s="127"/>
      <c r="V81" s="127"/>
      <c r="W81" s="127"/>
      <c r="X81" s="127"/>
      <c r="Y81" s="127"/>
      <c r="Z81" s="127"/>
      <c r="AA81" s="127"/>
    </row>
    <row r="82" customFormat="false" ht="13.8" hidden="false" customHeight="false" outlineLevel="0" collapsed="false">
      <c r="A82" s="127" t="str">
        <f aca="false">IF(ISBLANK(B82),"",B82&amp;"|"&amp;C82)</f>
        <v/>
      </c>
      <c r="B82" s="127"/>
      <c r="C82" s="127"/>
      <c r="D82" s="127"/>
      <c r="E82" s="133"/>
      <c r="F82" s="127"/>
      <c r="G82" s="127"/>
      <c r="H82" s="127"/>
      <c r="I82" s="127"/>
      <c r="J82" s="127"/>
      <c r="K82" s="127"/>
      <c r="L82" s="127"/>
      <c r="M82" s="127"/>
      <c r="N82" s="127"/>
      <c r="O82" s="127"/>
      <c r="P82" s="127"/>
      <c r="Q82" s="127"/>
      <c r="R82" s="127"/>
      <c r="S82" s="127"/>
      <c r="T82" s="127"/>
      <c r="U82" s="127"/>
      <c r="V82" s="127"/>
      <c r="W82" s="127"/>
      <c r="X82" s="127"/>
      <c r="Y82" s="127"/>
      <c r="Z82" s="127"/>
      <c r="AA82" s="127"/>
    </row>
    <row r="83" customFormat="false" ht="13.8" hidden="false" customHeight="false" outlineLevel="0" collapsed="false">
      <c r="A83" s="127" t="str">
        <f aca="false">IF(ISBLANK(B83),"",B83&amp;"|"&amp;C83)</f>
        <v/>
      </c>
      <c r="B83" s="127"/>
      <c r="C83" s="127"/>
      <c r="D83" s="127"/>
      <c r="E83" s="133"/>
      <c r="F83" s="127"/>
      <c r="G83" s="127"/>
      <c r="H83" s="127"/>
      <c r="I83" s="127"/>
      <c r="J83" s="127"/>
      <c r="K83" s="127"/>
      <c r="L83" s="127"/>
      <c r="M83" s="127"/>
      <c r="N83" s="127"/>
      <c r="O83" s="127"/>
      <c r="P83" s="127"/>
      <c r="Q83" s="127"/>
      <c r="R83" s="127"/>
      <c r="S83" s="127"/>
      <c r="T83" s="127"/>
      <c r="U83" s="127"/>
      <c r="V83" s="127"/>
      <c r="W83" s="127"/>
      <c r="X83" s="127"/>
      <c r="Y83" s="127"/>
      <c r="Z83" s="127"/>
      <c r="AA83" s="127"/>
    </row>
    <row r="84" customFormat="false" ht="13.8" hidden="false" customHeight="false" outlineLevel="0" collapsed="false">
      <c r="A84" s="127" t="str">
        <f aca="false">IF(ISBLANK(B84),"",B84&amp;"|"&amp;C84)</f>
        <v/>
      </c>
      <c r="B84" s="127"/>
      <c r="C84" s="127"/>
      <c r="D84" s="127"/>
      <c r="E84" s="133"/>
      <c r="F84" s="127"/>
      <c r="G84" s="127"/>
      <c r="H84" s="127"/>
      <c r="I84" s="127"/>
      <c r="J84" s="127"/>
      <c r="K84" s="127"/>
      <c r="L84" s="127"/>
      <c r="M84" s="127"/>
      <c r="N84" s="127"/>
      <c r="O84" s="127"/>
      <c r="P84" s="127"/>
      <c r="Q84" s="127"/>
      <c r="R84" s="127"/>
      <c r="S84" s="127"/>
      <c r="T84" s="127"/>
      <c r="U84" s="127"/>
      <c r="V84" s="127"/>
      <c r="W84" s="127"/>
      <c r="X84" s="127"/>
      <c r="Y84" s="127"/>
      <c r="Z84" s="127"/>
      <c r="AA84" s="127"/>
    </row>
    <row r="85" customFormat="false" ht="13.8" hidden="false" customHeight="false" outlineLevel="0" collapsed="false">
      <c r="A85" s="127" t="str">
        <f aca="false">IF(ISBLANK(B85),"",B85&amp;"|"&amp;C85)</f>
        <v/>
      </c>
      <c r="B85" s="127"/>
      <c r="C85" s="127"/>
      <c r="D85" s="127"/>
      <c r="E85" s="133"/>
      <c r="F85" s="127"/>
      <c r="G85" s="127"/>
      <c r="H85" s="127"/>
      <c r="I85" s="127"/>
      <c r="J85" s="127"/>
      <c r="K85" s="127"/>
      <c r="L85" s="127"/>
      <c r="M85" s="127"/>
      <c r="N85" s="127"/>
      <c r="O85" s="127"/>
      <c r="P85" s="127"/>
      <c r="Q85" s="127"/>
      <c r="R85" s="127"/>
      <c r="S85" s="127"/>
      <c r="T85" s="127"/>
      <c r="U85" s="127"/>
      <c r="V85" s="127"/>
      <c r="W85" s="127"/>
      <c r="X85" s="127"/>
      <c r="Y85" s="127"/>
      <c r="Z85" s="127"/>
      <c r="AA85" s="127"/>
    </row>
    <row r="86" customFormat="false" ht="13.8" hidden="false" customHeight="false" outlineLevel="0" collapsed="false">
      <c r="A86" s="127" t="str">
        <f aca="false">IF(ISBLANK(B86),"",B86&amp;"|"&amp;C86)</f>
        <v/>
      </c>
      <c r="B86" s="127"/>
      <c r="C86" s="127"/>
      <c r="D86" s="127"/>
      <c r="E86" s="133"/>
      <c r="F86" s="127"/>
      <c r="G86" s="127"/>
      <c r="H86" s="127"/>
      <c r="I86" s="127"/>
      <c r="J86" s="127"/>
      <c r="K86" s="127"/>
      <c r="L86" s="127"/>
      <c r="M86" s="127"/>
      <c r="N86" s="127"/>
      <c r="O86" s="127"/>
      <c r="P86" s="127"/>
      <c r="Q86" s="127"/>
      <c r="R86" s="127"/>
      <c r="S86" s="127"/>
      <c r="T86" s="127"/>
      <c r="U86" s="127"/>
      <c r="V86" s="127"/>
      <c r="W86" s="127"/>
      <c r="X86" s="127"/>
      <c r="Y86" s="127"/>
      <c r="Z86" s="127"/>
      <c r="AA86" s="127"/>
    </row>
    <row r="87" customFormat="false" ht="13.8" hidden="false" customHeight="false" outlineLevel="0" collapsed="false">
      <c r="A87" s="127" t="str">
        <f aca="false">IF(ISBLANK(B87),"",B87&amp;"|"&amp;C87)</f>
        <v/>
      </c>
      <c r="B87" s="127"/>
      <c r="C87" s="127"/>
      <c r="D87" s="127"/>
      <c r="E87" s="133"/>
      <c r="F87" s="127"/>
      <c r="G87" s="127"/>
      <c r="H87" s="127"/>
      <c r="I87" s="127"/>
      <c r="J87" s="127"/>
      <c r="K87" s="127"/>
      <c r="L87" s="127"/>
      <c r="M87" s="127"/>
      <c r="N87" s="127"/>
      <c r="O87" s="127"/>
      <c r="P87" s="127"/>
      <c r="Q87" s="127"/>
      <c r="R87" s="127"/>
      <c r="S87" s="127"/>
      <c r="T87" s="127"/>
      <c r="U87" s="127"/>
      <c r="V87" s="127"/>
      <c r="W87" s="127"/>
      <c r="X87" s="127"/>
      <c r="Y87" s="127"/>
      <c r="Z87" s="127"/>
      <c r="AA87" s="127"/>
    </row>
    <row r="88" customFormat="false" ht="13.8" hidden="false" customHeight="false" outlineLevel="0" collapsed="false">
      <c r="A88" s="127" t="str">
        <f aca="false">IF(ISBLANK(B88),"",B88&amp;"|"&amp;C88)</f>
        <v/>
      </c>
      <c r="B88" s="127"/>
      <c r="C88" s="127"/>
      <c r="D88" s="127"/>
      <c r="E88" s="133"/>
      <c r="F88" s="127"/>
      <c r="G88" s="127"/>
      <c r="H88" s="127"/>
      <c r="I88" s="127"/>
      <c r="J88" s="127"/>
      <c r="K88" s="127"/>
      <c r="L88" s="127"/>
      <c r="M88" s="127"/>
      <c r="N88" s="127"/>
      <c r="O88" s="127"/>
      <c r="P88" s="127"/>
      <c r="Q88" s="127"/>
      <c r="R88" s="127"/>
      <c r="S88" s="127"/>
      <c r="T88" s="127"/>
      <c r="U88" s="127"/>
      <c r="V88" s="127"/>
      <c r="W88" s="127"/>
      <c r="X88" s="127"/>
      <c r="Y88" s="127"/>
      <c r="Z88" s="127"/>
      <c r="AA88" s="127"/>
    </row>
    <row r="89" customFormat="false" ht="13.8" hidden="false" customHeight="false" outlineLevel="0" collapsed="false">
      <c r="A89" s="127" t="str">
        <f aca="false">IF(ISBLANK(B89),"",B89&amp;"|"&amp;C89)</f>
        <v/>
      </c>
      <c r="B89" s="127"/>
      <c r="C89" s="127"/>
      <c r="D89" s="127"/>
      <c r="E89" s="133"/>
      <c r="F89" s="127"/>
      <c r="G89" s="127"/>
      <c r="H89" s="127"/>
      <c r="I89" s="127"/>
      <c r="J89" s="127"/>
      <c r="K89" s="127"/>
      <c r="L89" s="127"/>
      <c r="M89" s="127"/>
      <c r="N89" s="127"/>
      <c r="O89" s="127"/>
      <c r="P89" s="127"/>
      <c r="Q89" s="127"/>
      <c r="R89" s="127"/>
      <c r="S89" s="127"/>
      <c r="T89" s="127"/>
      <c r="U89" s="127"/>
      <c r="V89" s="127"/>
      <c r="W89" s="127"/>
      <c r="X89" s="127"/>
      <c r="Y89" s="127"/>
      <c r="Z89" s="127"/>
      <c r="AA89" s="127"/>
    </row>
    <row r="90" customFormat="false" ht="13.8" hidden="false" customHeight="false" outlineLevel="0" collapsed="false">
      <c r="A90" s="127" t="str">
        <f aca="false">IF(ISBLANK(B90),"",B90&amp;"|"&amp;C90)</f>
        <v/>
      </c>
      <c r="B90" s="127"/>
      <c r="C90" s="127"/>
      <c r="D90" s="127"/>
      <c r="E90" s="133"/>
      <c r="F90" s="127"/>
      <c r="G90" s="127"/>
      <c r="H90" s="127"/>
      <c r="I90" s="127"/>
      <c r="J90" s="127"/>
      <c r="K90" s="127"/>
      <c r="L90" s="127"/>
      <c r="M90" s="127"/>
      <c r="N90" s="127"/>
      <c r="O90" s="127"/>
      <c r="P90" s="127"/>
      <c r="Q90" s="127"/>
      <c r="R90" s="127"/>
      <c r="S90" s="127"/>
      <c r="T90" s="127"/>
      <c r="U90" s="127"/>
      <c r="V90" s="127"/>
      <c r="W90" s="127"/>
      <c r="X90" s="127"/>
      <c r="Y90" s="127"/>
      <c r="Z90" s="127"/>
      <c r="AA90" s="127"/>
    </row>
    <row r="91" customFormat="false" ht="13.8" hidden="false" customHeight="false" outlineLevel="0" collapsed="false">
      <c r="A91" s="127" t="str">
        <f aca="false">IF(ISBLANK(B91),"",B91&amp;"|"&amp;C91)</f>
        <v/>
      </c>
      <c r="B91" s="127"/>
      <c r="C91" s="127"/>
      <c r="D91" s="127"/>
      <c r="E91" s="133"/>
      <c r="F91" s="127"/>
      <c r="G91" s="127"/>
      <c r="H91" s="127"/>
      <c r="I91" s="127"/>
      <c r="J91" s="127"/>
      <c r="K91" s="127"/>
      <c r="L91" s="127"/>
      <c r="M91" s="127"/>
      <c r="N91" s="127"/>
      <c r="O91" s="127"/>
      <c r="P91" s="127"/>
      <c r="Q91" s="127"/>
      <c r="R91" s="127"/>
      <c r="S91" s="127"/>
      <c r="T91" s="127"/>
      <c r="U91" s="127"/>
      <c r="V91" s="127"/>
      <c r="W91" s="127"/>
      <c r="X91" s="127"/>
      <c r="Y91" s="127"/>
      <c r="Z91" s="127"/>
      <c r="AA91" s="127"/>
    </row>
    <row r="92" customFormat="false" ht="13.8" hidden="false" customHeight="false" outlineLevel="0" collapsed="false">
      <c r="A92" s="127" t="str">
        <f aca="false">IF(ISBLANK(B92),"",B92&amp;"|"&amp;C92)</f>
        <v/>
      </c>
      <c r="B92" s="127"/>
      <c r="C92" s="127"/>
      <c r="D92" s="127"/>
      <c r="E92" s="133"/>
      <c r="F92" s="127"/>
      <c r="G92" s="127"/>
      <c r="H92" s="127"/>
      <c r="I92" s="127"/>
      <c r="J92" s="127"/>
      <c r="K92" s="127"/>
      <c r="L92" s="127"/>
      <c r="M92" s="127"/>
      <c r="N92" s="127"/>
      <c r="O92" s="127"/>
      <c r="P92" s="127"/>
      <c r="Q92" s="127"/>
      <c r="R92" s="127"/>
      <c r="S92" s="127"/>
      <c r="T92" s="127"/>
      <c r="U92" s="127"/>
      <c r="V92" s="127"/>
      <c r="W92" s="127"/>
      <c r="X92" s="127"/>
      <c r="Y92" s="127"/>
      <c r="Z92" s="127"/>
      <c r="AA92" s="127"/>
    </row>
    <row r="93" customFormat="false" ht="13.8" hidden="false" customHeight="false" outlineLevel="0" collapsed="false">
      <c r="A93" s="127" t="str">
        <f aca="false">IF(ISBLANK(B93),"",B93&amp;"|"&amp;C93)</f>
        <v/>
      </c>
      <c r="B93" s="127"/>
      <c r="C93" s="127"/>
      <c r="D93" s="127"/>
      <c r="E93" s="133"/>
      <c r="F93" s="127"/>
      <c r="G93" s="127"/>
      <c r="H93" s="127"/>
      <c r="I93" s="127"/>
      <c r="J93" s="127"/>
      <c r="K93" s="127"/>
      <c r="L93" s="127"/>
      <c r="M93" s="127"/>
      <c r="N93" s="127"/>
      <c r="O93" s="127"/>
      <c r="P93" s="127"/>
      <c r="Q93" s="127"/>
      <c r="R93" s="127"/>
      <c r="S93" s="127"/>
      <c r="T93" s="127"/>
      <c r="U93" s="127"/>
      <c r="V93" s="127"/>
      <c r="W93" s="127"/>
      <c r="X93" s="127"/>
      <c r="Y93" s="127"/>
      <c r="Z93" s="127"/>
      <c r="AA93" s="127"/>
    </row>
    <row r="94" customFormat="false" ht="13.8" hidden="false" customHeight="false" outlineLevel="0" collapsed="false">
      <c r="A94" s="127" t="str">
        <f aca="false">IF(ISBLANK(B94),"",B94&amp;"|"&amp;C94)</f>
        <v/>
      </c>
      <c r="B94" s="127"/>
      <c r="C94" s="127"/>
      <c r="D94" s="127"/>
      <c r="E94" s="133"/>
      <c r="F94" s="127"/>
      <c r="G94" s="127"/>
      <c r="H94" s="127"/>
      <c r="I94" s="127"/>
      <c r="J94" s="127"/>
      <c r="K94" s="127"/>
      <c r="L94" s="127"/>
      <c r="M94" s="127"/>
      <c r="N94" s="127"/>
      <c r="O94" s="127"/>
      <c r="P94" s="127"/>
      <c r="Q94" s="127"/>
      <c r="R94" s="127"/>
      <c r="S94" s="127"/>
      <c r="T94" s="127"/>
      <c r="U94" s="127"/>
      <c r="V94" s="127"/>
      <c r="W94" s="127"/>
      <c r="X94" s="127"/>
      <c r="Y94" s="127"/>
      <c r="Z94" s="127"/>
      <c r="AA94" s="127"/>
    </row>
    <row r="95" customFormat="false" ht="13.8" hidden="false" customHeight="false" outlineLevel="0" collapsed="false">
      <c r="A95" s="127" t="str">
        <f aca="false">IF(ISBLANK(B95),"",B95&amp;"|"&amp;C95)</f>
        <v/>
      </c>
      <c r="B95" s="127"/>
      <c r="C95" s="127"/>
      <c r="D95" s="127"/>
      <c r="E95" s="133"/>
      <c r="F95" s="127"/>
      <c r="G95" s="127"/>
      <c r="H95" s="127"/>
      <c r="I95" s="127"/>
      <c r="J95" s="127"/>
      <c r="K95" s="127"/>
      <c r="L95" s="127"/>
      <c r="M95" s="127"/>
      <c r="N95" s="127"/>
      <c r="O95" s="127"/>
      <c r="P95" s="127"/>
      <c r="Q95" s="127"/>
      <c r="R95" s="127"/>
      <c r="S95" s="127"/>
      <c r="T95" s="127"/>
      <c r="U95" s="127"/>
      <c r="V95" s="127"/>
      <c r="W95" s="127"/>
      <c r="X95" s="127"/>
      <c r="Y95" s="127"/>
      <c r="Z95" s="127"/>
      <c r="AA95" s="127"/>
    </row>
    <row r="96" customFormat="false" ht="13.8" hidden="false" customHeight="false" outlineLevel="0" collapsed="false">
      <c r="A96" s="127" t="str">
        <f aca="false">IF(ISBLANK(B96),"",B96&amp;"|"&amp;C96)</f>
        <v/>
      </c>
      <c r="B96" s="127"/>
      <c r="C96" s="127"/>
      <c r="D96" s="127"/>
      <c r="E96" s="133"/>
      <c r="F96" s="127"/>
      <c r="G96" s="127"/>
      <c r="H96" s="127"/>
      <c r="I96" s="127"/>
      <c r="J96" s="127"/>
      <c r="K96" s="127"/>
      <c r="L96" s="127"/>
      <c r="M96" s="127"/>
      <c r="N96" s="127"/>
      <c r="O96" s="127"/>
      <c r="P96" s="127"/>
      <c r="Q96" s="127"/>
      <c r="R96" s="127"/>
      <c r="S96" s="127"/>
      <c r="T96" s="127"/>
      <c r="U96" s="127"/>
      <c r="V96" s="127"/>
      <c r="W96" s="127"/>
      <c r="X96" s="127"/>
      <c r="Y96" s="127"/>
      <c r="Z96" s="127"/>
      <c r="AA96" s="127"/>
    </row>
    <row r="97" customFormat="false" ht="13.8" hidden="false" customHeight="false" outlineLevel="0" collapsed="false">
      <c r="A97" s="127" t="str">
        <f aca="false">IF(ISBLANK(B97),"",B97&amp;"|"&amp;C97)</f>
        <v/>
      </c>
      <c r="B97" s="127"/>
      <c r="C97" s="127"/>
      <c r="D97" s="127"/>
      <c r="E97" s="133"/>
      <c r="F97" s="127"/>
      <c r="G97" s="127"/>
      <c r="H97" s="127"/>
      <c r="I97" s="127"/>
      <c r="J97" s="127"/>
      <c r="K97" s="127"/>
      <c r="L97" s="127"/>
      <c r="M97" s="127"/>
      <c r="N97" s="127"/>
      <c r="O97" s="127"/>
      <c r="P97" s="127"/>
      <c r="Q97" s="127"/>
      <c r="R97" s="127"/>
      <c r="S97" s="127"/>
      <c r="T97" s="127"/>
      <c r="U97" s="127"/>
      <c r="V97" s="127"/>
      <c r="W97" s="127"/>
      <c r="X97" s="127"/>
      <c r="Y97" s="127"/>
      <c r="Z97" s="127"/>
      <c r="AA97" s="127"/>
    </row>
    <row r="98" customFormat="false" ht="13.8" hidden="false" customHeight="false" outlineLevel="0" collapsed="false">
      <c r="A98" s="127" t="str">
        <f aca="false">IF(ISBLANK(B98),"",B98&amp;"|"&amp;C98)</f>
        <v/>
      </c>
      <c r="B98" s="127"/>
      <c r="C98" s="127"/>
      <c r="D98" s="127"/>
      <c r="E98" s="133"/>
      <c r="F98" s="127"/>
      <c r="G98" s="127"/>
      <c r="H98" s="127"/>
      <c r="I98" s="127"/>
      <c r="J98" s="127"/>
      <c r="K98" s="127"/>
      <c r="L98" s="127"/>
      <c r="M98" s="127"/>
      <c r="N98" s="127"/>
      <c r="O98" s="127"/>
      <c r="P98" s="127"/>
      <c r="Q98" s="127"/>
      <c r="R98" s="127"/>
      <c r="S98" s="127"/>
      <c r="T98" s="127"/>
      <c r="U98" s="127"/>
      <c r="V98" s="127"/>
      <c r="W98" s="127"/>
      <c r="X98" s="127"/>
      <c r="Y98" s="127"/>
      <c r="Z98" s="127"/>
      <c r="AA98" s="127"/>
    </row>
    <row r="99" customFormat="false" ht="13.8" hidden="false" customHeight="false" outlineLevel="0" collapsed="false">
      <c r="A99" s="127" t="str">
        <f aca="false">IF(ISBLANK(B99),"",B99&amp;"|"&amp;C99)</f>
        <v/>
      </c>
      <c r="B99" s="127"/>
      <c r="C99" s="127"/>
      <c r="D99" s="127"/>
      <c r="E99" s="133"/>
      <c r="F99" s="127"/>
      <c r="G99" s="127"/>
      <c r="H99" s="127"/>
      <c r="I99" s="127"/>
      <c r="J99" s="127"/>
      <c r="K99" s="127"/>
      <c r="L99" s="127"/>
      <c r="M99" s="127"/>
      <c r="N99" s="127"/>
      <c r="O99" s="127"/>
      <c r="P99" s="127"/>
      <c r="Q99" s="127"/>
      <c r="R99" s="127"/>
      <c r="S99" s="127"/>
      <c r="T99" s="127"/>
      <c r="U99" s="127"/>
      <c r="V99" s="127"/>
      <c r="W99" s="127"/>
      <c r="X99" s="127"/>
      <c r="Y99" s="127"/>
      <c r="Z99" s="127"/>
      <c r="AA99" s="127"/>
    </row>
    <row r="100" customFormat="false" ht="13.8" hidden="false" customHeight="false" outlineLevel="0" collapsed="false">
      <c r="A100" s="127" t="str">
        <f aca="false">IF(ISBLANK(B100),"",B100&amp;"|"&amp;C100)</f>
        <v/>
      </c>
      <c r="B100" s="127"/>
      <c r="C100" s="127"/>
      <c r="D100" s="127"/>
      <c r="E100" s="133"/>
      <c r="F100" s="127"/>
      <c r="G100" s="127"/>
      <c r="H100" s="127"/>
      <c r="I100" s="127"/>
      <c r="J100" s="127"/>
      <c r="K100" s="127"/>
      <c r="L100" s="127"/>
      <c r="M100" s="127"/>
      <c r="N100" s="127"/>
      <c r="O100" s="127"/>
      <c r="P100" s="127"/>
      <c r="Q100" s="127"/>
      <c r="R100" s="127"/>
      <c r="S100" s="127"/>
      <c r="T100" s="127"/>
      <c r="U100" s="127"/>
      <c r="V100" s="127"/>
      <c r="W100" s="127"/>
      <c r="X100" s="127"/>
      <c r="Y100" s="127"/>
      <c r="Z100" s="127"/>
      <c r="AA100" s="127"/>
    </row>
    <row r="101" customFormat="false" ht="13.8" hidden="false" customHeight="false" outlineLevel="0" collapsed="false">
      <c r="A101" s="127" t="str">
        <f aca="false">IF(ISBLANK(B101),"",B101&amp;"|"&amp;C101)</f>
        <v/>
      </c>
      <c r="B101" s="127"/>
      <c r="C101" s="127"/>
      <c r="D101" s="127"/>
      <c r="E101" s="133"/>
      <c r="F101" s="127"/>
      <c r="G101" s="127"/>
      <c r="H101" s="127"/>
      <c r="I101" s="127"/>
      <c r="J101" s="127"/>
      <c r="K101" s="127"/>
      <c r="L101" s="127"/>
      <c r="M101" s="127"/>
      <c r="N101" s="127"/>
      <c r="O101" s="127"/>
      <c r="P101" s="127"/>
      <c r="Q101" s="127"/>
      <c r="R101" s="127"/>
      <c r="S101" s="127"/>
      <c r="T101" s="127"/>
      <c r="U101" s="127"/>
      <c r="V101" s="127"/>
      <c r="W101" s="127"/>
      <c r="X101" s="127"/>
      <c r="Y101" s="127"/>
      <c r="Z101" s="127"/>
      <c r="AA101" s="127"/>
    </row>
    <row r="102" customFormat="false" ht="13.8" hidden="false" customHeight="false" outlineLevel="0" collapsed="false">
      <c r="A102" s="127" t="str">
        <f aca="false">IF(ISBLANK(B102),"",B102&amp;"|"&amp;C102)</f>
        <v/>
      </c>
      <c r="B102" s="127"/>
      <c r="C102" s="127"/>
      <c r="D102" s="127"/>
      <c r="E102" s="133"/>
      <c r="F102" s="127"/>
      <c r="G102" s="127"/>
      <c r="H102" s="127"/>
      <c r="I102" s="127"/>
      <c r="J102" s="127"/>
      <c r="K102" s="127"/>
      <c r="L102" s="127"/>
      <c r="M102" s="127"/>
      <c r="N102" s="127"/>
      <c r="O102" s="127"/>
      <c r="P102" s="127"/>
      <c r="Q102" s="127"/>
      <c r="R102" s="127"/>
      <c r="S102" s="127"/>
      <c r="T102" s="127"/>
      <c r="U102" s="127"/>
      <c r="V102" s="127"/>
      <c r="W102" s="127"/>
      <c r="X102" s="127"/>
      <c r="Y102" s="127"/>
      <c r="Z102" s="127"/>
      <c r="AA102" s="127"/>
    </row>
    <row r="103" customFormat="false" ht="13.8" hidden="false" customHeight="false" outlineLevel="0" collapsed="false">
      <c r="A103" s="127" t="str">
        <f aca="false">IF(ISBLANK(B103),"",B103&amp;"|"&amp;C103)</f>
        <v/>
      </c>
      <c r="B103" s="127"/>
      <c r="C103" s="127"/>
      <c r="D103" s="127"/>
      <c r="E103" s="133"/>
      <c r="F103" s="127"/>
      <c r="G103" s="127"/>
      <c r="H103" s="127"/>
      <c r="I103" s="127"/>
      <c r="J103" s="127"/>
      <c r="K103" s="127"/>
      <c r="L103" s="127"/>
      <c r="M103" s="127"/>
      <c r="N103" s="127"/>
      <c r="O103" s="127"/>
      <c r="P103" s="127"/>
      <c r="Q103" s="127"/>
      <c r="R103" s="127"/>
      <c r="S103" s="127"/>
      <c r="T103" s="127"/>
      <c r="U103" s="127"/>
      <c r="V103" s="127"/>
      <c r="W103" s="127"/>
      <c r="X103" s="127"/>
      <c r="Y103" s="127"/>
      <c r="Z103" s="127"/>
      <c r="AA103" s="127"/>
    </row>
    <row r="104" customFormat="false" ht="13.8" hidden="false" customHeight="false" outlineLevel="0" collapsed="false">
      <c r="A104" s="127" t="str">
        <f aca="false">IF(ISBLANK(B104),"",B104&amp;"|"&amp;C104)</f>
        <v/>
      </c>
      <c r="B104" s="127"/>
      <c r="C104" s="127"/>
      <c r="D104" s="127"/>
      <c r="E104" s="133"/>
      <c r="F104" s="127"/>
      <c r="G104" s="127"/>
      <c r="H104" s="127"/>
      <c r="I104" s="127"/>
      <c r="J104" s="127"/>
      <c r="K104" s="127"/>
      <c r="L104" s="127"/>
      <c r="M104" s="127"/>
      <c r="N104" s="127"/>
      <c r="O104" s="127"/>
      <c r="P104" s="127"/>
      <c r="Q104" s="127"/>
      <c r="R104" s="127"/>
      <c r="S104" s="127"/>
      <c r="T104" s="127"/>
      <c r="U104" s="127"/>
      <c r="V104" s="127"/>
      <c r="W104" s="127"/>
      <c r="X104" s="127"/>
      <c r="Y104" s="127"/>
      <c r="Z104" s="127"/>
      <c r="AA104" s="127"/>
    </row>
    <row r="105" customFormat="false" ht="13.8" hidden="false" customHeight="false" outlineLevel="0" collapsed="false">
      <c r="A105" s="127" t="str">
        <f aca="false">IF(ISBLANK(B105),"",B105&amp;"|"&amp;C105)</f>
        <v/>
      </c>
      <c r="B105" s="127"/>
      <c r="C105" s="127"/>
      <c r="D105" s="127"/>
      <c r="E105" s="133"/>
      <c r="F105" s="127"/>
      <c r="G105" s="127"/>
      <c r="H105" s="127"/>
      <c r="I105" s="127"/>
      <c r="J105" s="127"/>
      <c r="K105" s="127"/>
      <c r="L105" s="127"/>
      <c r="M105" s="127"/>
      <c r="N105" s="127"/>
      <c r="O105" s="127"/>
      <c r="P105" s="127"/>
      <c r="Q105" s="127"/>
      <c r="R105" s="127"/>
      <c r="S105" s="127"/>
      <c r="T105" s="127"/>
      <c r="U105" s="127"/>
      <c r="V105" s="127"/>
      <c r="W105" s="127"/>
      <c r="X105" s="127"/>
      <c r="Y105" s="127"/>
      <c r="Z105" s="127"/>
      <c r="AA105" s="127"/>
    </row>
    <row r="106" customFormat="false" ht="13.8" hidden="false" customHeight="false" outlineLevel="0" collapsed="false">
      <c r="A106" s="127" t="str">
        <f aca="false">IF(ISBLANK(B106),"",B106&amp;"|"&amp;C106)</f>
        <v/>
      </c>
      <c r="B106" s="127"/>
      <c r="C106" s="127"/>
      <c r="D106" s="127"/>
      <c r="E106" s="133"/>
      <c r="F106" s="127"/>
      <c r="G106" s="127"/>
      <c r="H106" s="127"/>
      <c r="I106" s="127"/>
      <c r="J106" s="127"/>
      <c r="K106" s="127"/>
      <c r="L106" s="127"/>
      <c r="M106" s="127"/>
      <c r="N106" s="127"/>
      <c r="O106" s="127"/>
      <c r="P106" s="127"/>
      <c r="Q106" s="127"/>
      <c r="R106" s="127"/>
      <c r="S106" s="127"/>
      <c r="T106" s="127"/>
      <c r="U106" s="127"/>
      <c r="V106" s="127"/>
      <c r="W106" s="127"/>
      <c r="X106" s="127"/>
      <c r="Y106" s="127"/>
      <c r="Z106" s="127"/>
      <c r="AA106" s="127"/>
    </row>
    <row r="107" customFormat="false" ht="13.8" hidden="false" customHeight="false" outlineLevel="0" collapsed="false">
      <c r="A107" s="127" t="str">
        <f aca="false">IF(ISBLANK(B107),"",B107&amp;"|"&amp;C107)</f>
        <v/>
      </c>
      <c r="B107" s="127"/>
      <c r="C107" s="127"/>
      <c r="D107" s="127"/>
      <c r="E107" s="133"/>
      <c r="F107" s="127"/>
      <c r="G107" s="127"/>
      <c r="H107" s="127"/>
      <c r="I107" s="127"/>
      <c r="J107" s="127"/>
      <c r="K107" s="127"/>
      <c r="L107" s="127"/>
      <c r="M107" s="127"/>
      <c r="N107" s="127"/>
      <c r="O107" s="127"/>
      <c r="P107" s="127"/>
      <c r="Q107" s="127"/>
      <c r="R107" s="127"/>
      <c r="S107" s="127"/>
      <c r="T107" s="127"/>
      <c r="U107" s="127"/>
      <c r="V107" s="127"/>
      <c r="W107" s="127"/>
      <c r="X107" s="127"/>
      <c r="Y107" s="127"/>
      <c r="Z107" s="127"/>
      <c r="AA107" s="127"/>
    </row>
    <row r="108" customFormat="false" ht="13.8" hidden="false" customHeight="false" outlineLevel="0" collapsed="false">
      <c r="A108" s="127" t="str">
        <f aca="false">IF(ISBLANK(B108),"",B108&amp;"|"&amp;C108)</f>
        <v/>
      </c>
      <c r="B108" s="127"/>
      <c r="C108" s="127"/>
      <c r="D108" s="127"/>
      <c r="E108" s="133"/>
      <c r="F108" s="127"/>
      <c r="G108" s="127"/>
      <c r="H108" s="127"/>
      <c r="I108" s="127"/>
      <c r="J108" s="127"/>
      <c r="K108" s="127"/>
      <c r="L108" s="127"/>
      <c r="M108" s="127"/>
      <c r="N108" s="127"/>
      <c r="O108" s="127"/>
      <c r="P108" s="127"/>
      <c r="Q108" s="127"/>
      <c r="R108" s="127"/>
      <c r="S108" s="127"/>
      <c r="T108" s="127"/>
      <c r="U108" s="127"/>
      <c r="V108" s="127"/>
      <c r="W108" s="127"/>
      <c r="X108" s="127"/>
      <c r="Y108" s="127"/>
      <c r="Z108" s="127"/>
      <c r="AA108" s="127"/>
    </row>
    <row r="109" customFormat="false" ht="13.8" hidden="false" customHeight="false" outlineLevel="0" collapsed="false">
      <c r="A109" s="127" t="str">
        <f aca="false">IF(ISBLANK(B109),"",B109&amp;"|"&amp;C109)</f>
        <v/>
      </c>
      <c r="B109" s="127"/>
      <c r="C109" s="127"/>
      <c r="D109" s="127"/>
      <c r="E109" s="133"/>
      <c r="F109" s="127"/>
      <c r="G109" s="127"/>
      <c r="H109" s="127"/>
      <c r="I109" s="127"/>
      <c r="J109" s="127"/>
      <c r="K109" s="127"/>
      <c r="L109" s="127"/>
      <c r="M109" s="127"/>
      <c r="N109" s="127"/>
      <c r="O109" s="127"/>
      <c r="P109" s="127"/>
      <c r="Q109" s="127"/>
      <c r="R109" s="127"/>
      <c r="S109" s="127"/>
      <c r="T109" s="127"/>
      <c r="U109" s="127"/>
      <c r="V109" s="127"/>
      <c r="W109" s="127"/>
      <c r="X109" s="127"/>
      <c r="Y109" s="127"/>
      <c r="Z109" s="127"/>
      <c r="AA109" s="127"/>
    </row>
    <row r="110" customFormat="false" ht="13.8" hidden="false" customHeight="false" outlineLevel="0" collapsed="false">
      <c r="A110" s="127" t="str">
        <f aca="false">IF(ISBLANK(B110),"",B110&amp;"|"&amp;C110)</f>
        <v/>
      </c>
      <c r="B110" s="127"/>
      <c r="C110" s="127"/>
      <c r="D110" s="127"/>
      <c r="E110" s="133"/>
      <c r="F110" s="127"/>
      <c r="G110" s="127"/>
      <c r="H110" s="127"/>
      <c r="I110" s="127"/>
      <c r="J110" s="127"/>
      <c r="K110" s="127"/>
      <c r="L110" s="127"/>
      <c r="M110" s="127"/>
      <c r="N110" s="127"/>
      <c r="O110" s="127"/>
      <c r="P110" s="127"/>
      <c r="Q110" s="127"/>
      <c r="R110" s="127"/>
      <c r="S110" s="127"/>
      <c r="T110" s="127"/>
      <c r="U110" s="127"/>
      <c r="V110" s="127"/>
      <c r="W110" s="127"/>
      <c r="X110" s="127"/>
      <c r="Y110" s="127"/>
      <c r="Z110" s="127"/>
      <c r="AA110" s="127"/>
    </row>
    <row r="111" customFormat="false" ht="13.8" hidden="false" customHeight="false" outlineLevel="0" collapsed="false">
      <c r="A111" s="127" t="str">
        <f aca="false">IF(ISBLANK(B111),"",B111&amp;"|"&amp;C111)</f>
        <v/>
      </c>
      <c r="B111" s="127"/>
      <c r="C111" s="127"/>
      <c r="D111" s="127"/>
      <c r="E111" s="133"/>
      <c r="F111" s="127"/>
      <c r="G111" s="127"/>
      <c r="H111" s="127"/>
      <c r="I111" s="127"/>
      <c r="J111" s="127"/>
      <c r="K111" s="127"/>
      <c r="L111" s="127"/>
      <c r="M111" s="127"/>
      <c r="N111" s="127"/>
      <c r="O111" s="127"/>
      <c r="P111" s="127"/>
      <c r="Q111" s="127"/>
      <c r="R111" s="127"/>
      <c r="S111" s="127"/>
      <c r="T111" s="127"/>
      <c r="U111" s="127"/>
      <c r="V111" s="127"/>
      <c r="W111" s="127"/>
      <c r="X111" s="127"/>
      <c r="Y111" s="127"/>
      <c r="Z111" s="127"/>
      <c r="AA111" s="127"/>
    </row>
    <row r="112" customFormat="false" ht="13.8" hidden="false" customHeight="false" outlineLevel="0" collapsed="false">
      <c r="A112" s="127" t="str">
        <f aca="false">IF(ISBLANK(B112),"",B112&amp;"|"&amp;C112)</f>
        <v/>
      </c>
      <c r="B112" s="127"/>
      <c r="C112" s="127"/>
      <c r="D112" s="127"/>
      <c r="E112" s="133"/>
      <c r="F112" s="127"/>
      <c r="G112" s="127"/>
      <c r="H112" s="127"/>
      <c r="I112" s="127"/>
      <c r="J112" s="127"/>
      <c r="K112" s="127"/>
      <c r="L112" s="127"/>
      <c r="M112" s="127"/>
      <c r="N112" s="127"/>
      <c r="O112" s="127"/>
      <c r="P112" s="127"/>
      <c r="Q112" s="127"/>
      <c r="R112" s="127"/>
      <c r="S112" s="127"/>
      <c r="T112" s="127"/>
      <c r="U112" s="127"/>
      <c r="V112" s="127"/>
      <c r="W112" s="127"/>
      <c r="X112" s="127"/>
      <c r="Y112" s="127"/>
      <c r="Z112" s="127"/>
      <c r="AA112" s="127"/>
    </row>
    <row r="113" customFormat="false" ht="13.8" hidden="false" customHeight="false" outlineLevel="0" collapsed="false">
      <c r="A113" s="127" t="str">
        <f aca="false">IF(ISBLANK(B113),"",B113&amp;"|"&amp;C113)</f>
        <v/>
      </c>
      <c r="B113" s="127"/>
      <c r="C113" s="127"/>
      <c r="D113" s="127"/>
      <c r="E113" s="133"/>
      <c r="F113" s="127"/>
      <c r="G113" s="127"/>
      <c r="H113" s="127"/>
      <c r="I113" s="127"/>
      <c r="J113" s="127"/>
      <c r="K113" s="127"/>
      <c r="L113" s="127"/>
      <c r="M113" s="127"/>
      <c r="N113" s="127"/>
      <c r="O113" s="127"/>
      <c r="P113" s="127"/>
      <c r="Q113" s="127"/>
      <c r="R113" s="127"/>
      <c r="S113" s="127"/>
      <c r="T113" s="127"/>
      <c r="U113" s="127"/>
      <c r="V113" s="127"/>
      <c r="W113" s="127"/>
      <c r="X113" s="127"/>
      <c r="Y113" s="127"/>
      <c r="Z113" s="127"/>
      <c r="AA113" s="127"/>
    </row>
    <row r="114" customFormat="false" ht="13.8" hidden="false" customHeight="false" outlineLevel="0" collapsed="false">
      <c r="A114" s="127" t="str">
        <f aca="false">IF(ISBLANK(B114),"",B114&amp;"|"&amp;C114)</f>
        <v/>
      </c>
      <c r="B114" s="127"/>
      <c r="C114" s="127"/>
      <c r="D114" s="127"/>
      <c r="E114" s="133"/>
      <c r="F114" s="127"/>
      <c r="G114" s="127"/>
      <c r="H114" s="127"/>
      <c r="I114" s="127"/>
      <c r="J114" s="127"/>
      <c r="K114" s="127"/>
      <c r="L114" s="127"/>
      <c r="M114" s="127"/>
      <c r="N114" s="127"/>
      <c r="O114" s="127"/>
      <c r="P114" s="127"/>
      <c r="Q114" s="127"/>
      <c r="R114" s="127"/>
      <c r="S114" s="127"/>
      <c r="T114" s="127"/>
      <c r="U114" s="127"/>
      <c r="V114" s="127"/>
      <c r="W114" s="127"/>
      <c r="X114" s="127"/>
      <c r="Y114" s="127"/>
      <c r="Z114" s="127"/>
      <c r="AA114" s="127"/>
    </row>
    <row r="115" customFormat="false" ht="13.8" hidden="false" customHeight="false" outlineLevel="0" collapsed="false">
      <c r="A115" s="127" t="str">
        <f aca="false">IF(ISBLANK(B115),"",B115&amp;"|"&amp;C115)</f>
        <v/>
      </c>
      <c r="B115" s="127"/>
      <c r="C115" s="127"/>
      <c r="D115" s="127"/>
      <c r="E115" s="133"/>
      <c r="F115" s="127"/>
      <c r="G115" s="127"/>
      <c r="H115" s="127"/>
      <c r="I115" s="127"/>
      <c r="J115" s="127"/>
      <c r="K115" s="127"/>
      <c r="L115" s="127"/>
      <c r="M115" s="127"/>
      <c r="N115" s="127"/>
      <c r="O115" s="127"/>
      <c r="P115" s="127"/>
      <c r="Q115" s="127"/>
      <c r="R115" s="127"/>
      <c r="S115" s="127"/>
      <c r="T115" s="127"/>
      <c r="U115" s="127"/>
      <c r="V115" s="127"/>
      <c r="W115" s="127"/>
      <c r="X115" s="127"/>
      <c r="Y115" s="127"/>
      <c r="Z115" s="127"/>
      <c r="AA115" s="127"/>
    </row>
    <row r="116" customFormat="false" ht="13.8" hidden="false" customHeight="false" outlineLevel="0" collapsed="false">
      <c r="A116" s="127" t="str">
        <f aca="false">IF(ISBLANK(B116),"",B116&amp;"|"&amp;C116)</f>
        <v/>
      </c>
      <c r="B116" s="127"/>
      <c r="C116" s="127"/>
      <c r="D116" s="127"/>
      <c r="E116" s="133"/>
      <c r="F116" s="127"/>
      <c r="G116" s="127"/>
      <c r="H116" s="127"/>
      <c r="I116" s="127"/>
      <c r="J116" s="127"/>
      <c r="K116" s="127"/>
      <c r="L116" s="127"/>
      <c r="M116" s="127"/>
      <c r="N116" s="127"/>
      <c r="O116" s="127"/>
      <c r="P116" s="127"/>
      <c r="Q116" s="127"/>
      <c r="R116" s="127"/>
      <c r="S116" s="127"/>
      <c r="T116" s="127"/>
      <c r="U116" s="127"/>
      <c r="V116" s="127"/>
      <c r="W116" s="127"/>
      <c r="X116" s="127"/>
      <c r="Y116" s="127"/>
      <c r="Z116" s="127"/>
      <c r="AA116" s="127"/>
    </row>
    <row r="117" customFormat="false" ht="13.8" hidden="false" customHeight="false" outlineLevel="0" collapsed="false">
      <c r="A117" s="127" t="str">
        <f aca="false">IF(ISBLANK(B117),"",B117&amp;"|"&amp;C117)</f>
        <v/>
      </c>
      <c r="B117" s="127"/>
      <c r="C117" s="127"/>
      <c r="D117" s="127"/>
      <c r="E117" s="133"/>
      <c r="F117" s="127"/>
      <c r="G117" s="127"/>
      <c r="H117" s="127"/>
      <c r="I117" s="127"/>
      <c r="J117" s="127"/>
      <c r="K117" s="127"/>
      <c r="L117" s="127"/>
      <c r="M117" s="127"/>
      <c r="N117" s="127"/>
      <c r="O117" s="127"/>
      <c r="P117" s="127"/>
      <c r="Q117" s="127"/>
      <c r="R117" s="127"/>
      <c r="S117" s="127"/>
      <c r="T117" s="127"/>
      <c r="U117" s="127"/>
      <c r="V117" s="127"/>
      <c r="W117" s="127"/>
      <c r="X117" s="127"/>
      <c r="Y117" s="127"/>
      <c r="Z117" s="127"/>
      <c r="AA117" s="127"/>
    </row>
    <row r="118" customFormat="false" ht="13.8" hidden="false" customHeight="false" outlineLevel="0" collapsed="false">
      <c r="A118" s="127" t="str">
        <f aca="false">IF(ISBLANK(B118),"",B118&amp;"|"&amp;C118)</f>
        <v/>
      </c>
      <c r="B118" s="127"/>
      <c r="C118" s="127"/>
      <c r="D118" s="127"/>
      <c r="E118" s="133"/>
      <c r="F118" s="127"/>
      <c r="G118" s="127"/>
      <c r="H118" s="127"/>
      <c r="I118" s="127"/>
      <c r="J118" s="127"/>
      <c r="K118" s="127"/>
      <c r="L118" s="127"/>
      <c r="M118" s="127"/>
      <c r="N118" s="127"/>
      <c r="O118" s="127"/>
      <c r="P118" s="127"/>
      <c r="Q118" s="127"/>
      <c r="R118" s="127"/>
      <c r="S118" s="127"/>
      <c r="T118" s="127"/>
      <c r="U118" s="127"/>
      <c r="V118" s="127"/>
      <c r="W118" s="127"/>
      <c r="X118" s="127"/>
      <c r="Y118" s="127"/>
      <c r="Z118" s="127"/>
      <c r="AA118" s="127"/>
    </row>
    <row r="119" customFormat="false" ht="13.8" hidden="false" customHeight="false" outlineLevel="0" collapsed="false">
      <c r="A119" s="127" t="str">
        <f aca="false">IF(ISBLANK(B119),"",B119&amp;"|"&amp;C119)</f>
        <v/>
      </c>
      <c r="B119" s="127"/>
      <c r="C119" s="127"/>
      <c r="D119" s="127"/>
      <c r="E119" s="133"/>
      <c r="F119" s="127"/>
      <c r="G119" s="127"/>
      <c r="H119" s="127"/>
      <c r="I119" s="127"/>
      <c r="J119" s="127"/>
      <c r="K119" s="127"/>
      <c r="L119" s="127"/>
      <c r="M119" s="127"/>
      <c r="N119" s="127"/>
      <c r="O119" s="127"/>
      <c r="P119" s="127"/>
      <c r="Q119" s="127"/>
      <c r="R119" s="127"/>
      <c r="S119" s="127"/>
      <c r="T119" s="127"/>
      <c r="U119" s="127"/>
      <c r="V119" s="127"/>
      <c r="W119" s="127"/>
      <c r="X119" s="127"/>
      <c r="Y119" s="127"/>
      <c r="Z119" s="127"/>
      <c r="AA119" s="127"/>
    </row>
    <row r="120" customFormat="false" ht="13.8" hidden="false" customHeight="false" outlineLevel="0" collapsed="false">
      <c r="A120" s="127" t="str">
        <f aca="false">IF(ISBLANK(B120),"",B120&amp;"|"&amp;C120)</f>
        <v/>
      </c>
      <c r="B120" s="127"/>
      <c r="C120" s="127"/>
      <c r="D120" s="127"/>
      <c r="E120" s="133"/>
      <c r="F120" s="127"/>
      <c r="G120" s="127"/>
      <c r="H120" s="127"/>
      <c r="I120" s="127"/>
      <c r="J120" s="127"/>
      <c r="K120" s="127"/>
      <c r="L120" s="127"/>
      <c r="M120" s="127"/>
      <c r="N120" s="127"/>
      <c r="O120" s="127"/>
      <c r="P120" s="127"/>
      <c r="Q120" s="127"/>
      <c r="R120" s="127"/>
      <c r="S120" s="127"/>
      <c r="T120" s="127"/>
      <c r="U120" s="127"/>
      <c r="V120" s="127"/>
      <c r="W120" s="127"/>
      <c r="X120" s="127"/>
      <c r="Y120" s="127"/>
      <c r="Z120" s="127"/>
      <c r="AA120" s="127"/>
    </row>
    <row r="121" customFormat="false" ht="13.8" hidden="false" customHeight="false" outlineLevel="0" collapsed="false">
      <c r="A121" s="127" t="str">
        <f aca="false">IF(ISBLANK(B121),"",B121&amp;"|"&amp;C121)</f>
        <v/>
      </c>
      <c r="B121" s="127"/>
      <c r="C121" s="127"/>
      <c r="D121" s="127"/>
      <c r="E121" s="133"/>
      <c r="F121" s="127"/>
      <c r="G121" s="127"/>
      <c r="H121" s="127"/>
      <c r="I121" s="127"/>
      <c r="J121" s="127"/>
      <c r="K121" s="127"/>
      <c r="L121" s="127"/>
      <c r="M121" s="127"/>
      <c r="N121" s="127"/>
      <c r="O121" s="127"/>
      <c r="P121" s="127"/>
      <c r="Q121" s="127"/>
      <c r="R121" s="127"/>
      <c r="S121" s="127"/>
      <c r="T121" s="127"/>
      <c r="U121" s="127"/>
      <c r="V121" s="127"/>
      <c r="W121" s="127"/>
      <c r="X121" s="127"/>
      <c r="Y121" s="127"/>
      <c r="Z121" s="127"/>
      <c r="AA121" s="127"/>
    </row>
    <row r="122" customFormat="false" ht="13.8" hidden="false" customHeight="false" outlineLevel="0" collapsed="false">
      <c r="A122" s="127" t="str">
        <f aca="false">IF(ISBLANK(B122),"",B122&amp;"|"&amp;C122)</f>
        <v/>
      </c>
      <c r="B122" s="127"/>
      <c r="C122" s="127"/>
      <c r="D122" s="127"/>
      <c r="E122" s="133"/>
      <c r="F122" s="127"/>
      <c r="G122" s="127"/>
      <c r="H122" s="127"/>
      <c r="I122" s="127"/>
      <c r="J122" s="127"/>
      <c r="K122" s="127"/>
      <c r="L122" s="127"/>
      <c r="M122" s="127"/>
      <c r="N122" s="127"/>
      <c r="O122" s="127"/>
      <c r="P122" s="127"/>
      <c r="Q122" s="127"/>
      <c r="R122" s="127"/>
      <c r="S122" s="127"/>
      <c r="T122" s="127"/>
      <c r="U122" s="127"/>
      <c r="V122" s="127"/>
      <c r="W122" s="127"/>
      <c r="X122" s="127"/>
      <c r="Y122" s="127"/>
      <c r="Z122" s="127"/>
      <c r="AA122" s="127"/>
    </row>
    <row r="123" customFormat="false" ht="13.8" hidden="false" customHeight="false" outlineLevel="0" collapsed="false">
      <c r="A123" s="127" t="str">
        <f aca="false">IF(ISBLANK(B123),"",B123&amp;"|"&amp;C123)</f>
        <v/>
      </c>
      <c r="B123" s="127"/>
      <c r="C123" s="127"/>
      <c r="D123" s="127"/>
      <c r="E123" s="133"/>
      <c r="F123" s="127"/>
      <c r="G123" s="127"/>
      <c r="H123" s="127"/>
      <c r="I123" s="127"/>
      <c r="J123" s="127"/>
      <c r="K123" s="127"/>
      <c r="L123" s="127"/>
      <c r="M123" s="127"/>
      <c r="N123" s="127"/>
      <c r="O123" s="127"/>
      <c r="P123" s="127"/>
      <c r="Q123" s="127"/>
      <c r="R123" s="127"/>
      <c r="S123" s="127"/>
      <c r="T123" s="127"/>
      <c r="U123" s="127"/>
      <c r="V123" s="127"/>
      <c r="W123" s="127"/>
      <c r="X123" s="127"/>
      <c r="Y123" s="127"/>
      <c r="Z123" s="127"/>
      <c r="AA123" s="127"/>
    </row>
    <row r="124" customFormat="false" ht="13.8" hidden="false" customHeight="false" outlineLevel="0" collapsed="false">
      <c r="A124" s="127" t="str">
        <f aca="false">IF(ISBLANK(B124),"",B124&amp;"|"&amp;C124)</f>
        <v/>
      </c>
      <c r="B124" s="127"/>
      <c r="C124" s="127"/>
      <c r="D124" s="127"/>
      <c r="E124" s="133"/>
      <c r="F124" s="127"/>
      <c r="G124" s="127"/>
      <c r="H124" s="127"/>
      <c r="I124" s="127"/>
      <c r="J124" s="127"/>
      <c r="K124" s="127"/>
      <c r="L124" s="127"/>
      <c r="M124" s="127"/>
      <c r="N124" s="127"/>
      <c r="O124" s="127"/>
      <c r="P124" s="127"/>
      <c r="Q124" s="127"/>
      <c r="R124" s="127"/>
      <c r="S124" s="127"/>
      <c r="T124" s="127"/>
      <c r="U124" s="127"/>
      <c r="V124" s="127"/>
      <c r="W124" s="127"/>
      <c r="X124" s="127"/>
      <c r="Y124" s="127"/>
      <c r="Z124" s="127"/>
      <c r="AA124" s="127"/>
    </row>
    <row r="125" customFormat="false" ht="13.8" hidden="false" customHeight="false" outlineLevel="0" collapsed="false">
      <c r="A125" s="127" t="str">
        <f aca="false">IF(ISBLANK(B125),"",B125&amp;"|"&amp;C125)</f>
        <v/>
      </c>
      <c r="B125" s="127"/>
      <c r="C125" s="127"/>
      <c r="D125" s="127"/>
      <c r="E125" s="133"/>
      <c r="F125" s="127"/>
      <c r="G125" s="127"/>
      <c r="H125" s="127"/>
      <c r="I125" s="127"/>
      <c r="J125" s="127"/>
      <c r="K125" s="127"/>
      <c r="L125" s="127"/>
      <c r="M125" s="127"/>
      <c r="N125" s="127"/>
      <c r="O125" s="127"/>
      <c r="P125" s="127"/>
      <c r="Q125" s="127"/>
      <c r="R125" s="127"/>
      <c r="S125" s="127"/>
      <c r="T125" s="127"/>
      <c r="U125" s="127"/>
      <c r="V125" s="127"/>
      <c r="W125" s="127"/>
      <c r="X125" s="127"/>
      <c r="Y125" s="127"/>
      <c r="Z125" s="127"/>
      <c r="AA125" s="127"/>
    </row>
    <row r="126" customFormat="false" ht="13.8" hidden="false" customHeight="false" outlineLevel="0" collapsed="false">
      <c r="A126" s="127" t="str">
        <f aca="false">IF(ISBLANK(B126),"",B126&amp;"|"&amp;C126)</f>
        <v/>
      </c>
      <c r="B126" s="127"/>
      <c r="C126" s="127"/>
      <c r="D126" s="127"/>
      <c r="E126" s="133"/>
      <c r="F126" s="127"/>
      <c r="G126" s="127"/>
      <c r="H126" s="127"/>
      <c r="I126" s="127"/>
      <c r="J126" s="127"/>
      <c r="K126" s="127"/>
      <c r="L126" s="127"/>
      <c r="M126" s="127"/>
      <c r="N126" s="127"/>
      <c r="O126" s="127"/>
      <c r="P126" s="127"/>
      <c r="Q126" s="127"/>
      <c r="R126" s="127"/>
      <c r="S126" s="127"/>
      <c r="T126" s="127"/>
      <c r="U126" s="127"/>
      <c r="V126" s="127"/>
      <c r="W126" s="127"/>
      <c r="X126" s="127"/>
      <c r="Y126" s="127"/>
      <c r="Z126" s="127"/>
      <c r="AA126" s="127"/>
    </row>
    <row r="127" customFormat="false" ht="13.8" hidden="false" customHeight="false" outlineLevel="0" collapsed="false">
      <c r="A127" s="127" t="str">
        <f aca="false">IF(ISBLANK(B127),"",B127&amp;"|"&amp;C127)</f>
        <v/>
      </c>
      <c r="B127" s="127"/>
      <c r="C127" s="127"/>
      <c r="D127" s="127"/>
      <c r="E127" s="133"/>
      <c r="F127" s="127"/>
      <c r="G127" s="127"/>
      <c r="H127" s="127"/>
      <c r="I127" s="127"/>
      <c r="J127" s="127"/>
      <c r="K127" s="127"/>
      <c r="L127" s="127"/>
      <c r="M127" s="127"/>
      <c r="N127" s="127"/>
      <c r="O127" s="127"/>
      <c r="P127" s="127"/>
      <c r="Q127" s="127"/>
      <c r="R127" s="127"/>
      <c r="S127" s="127"/>
      <c r="T127" s="127"/>
      <c r="U127" s="127"/>
      <c r="V127" s="127"/>
      <c r="W127" s="127"/>
      <c r="X127" s="127"/>
      <c r="Y127" s="127"/>
      <c r="Z127" s="127"/>
      <c r="AA127" s="127"/>
    </row>
    <row r="128" customFormat="false" ht="13.8" hidden="false" customHeight="false" outlineLevel="0" collapsed="false">
      <c r="A128" s="127" t="str">
        <f aca="false">IF(ISBLANK(B128),"",B128&amp;"|"&amp;C128)</f>
        <v/>
      </c>
      <c r="B128" s="127"/>
      <c r="C128" s="127"/>
      <c r="D128" s="127"/>
      <c r="E128" s="133"/>
      <c r="F128" s="127"/>
      <c r="G128" s="127"/>
      <c r="H128" s="127"/>
      <c r="I128" s="127"/>
      <c r="J128" s="127"/>
      <c r="K128" s="127"/>
      <c r="L128" s="127"/>
      <c r="M128" s="127"/>
      <c r="N128" s="127"/>
      <c r="O128" s="127"/>
      <c r="P128" s="127"/>
      <c r="Q128" s="127"/>
      <c r="R128" s="127"/>
      <c r="S128" s="127"/>
      <c r="T128" s="127"/>
      <c r="U128" s="127"/>
      <c r="V128" s="127"/>
      <c r="W128" s="127"/>
      <c r="X128" s="127"/>
      <c r="Y128" s="127"/>
      <c r="Z128" s="127"/>
      <c r="AA128" s="127"/>
    </row>
    <row r="129" customFormat="false" ht="13.8" hidden="false" customHeight="false" outlineLevel="0" collapsed="false">
      <c r="A129" s="127" t="str">
        <f aca="false">IF(ISBLANK(B129),"",B129&amp;"|"&amp;C129)</f>
        <v/>
      </c>
      <c r="B129" s="127"/>
      <c r="C129" s="127"/>
      <c r="D129" s="127"/>
      <c r="E129" s="133"/>
      <c r="F129" s="127"/>
      <c r="G129" s="127"/>
      <c r="H129" s="127"/>
      <c r="I129" s="127"/>
      <c r="J129" s="127"/>
      <c r="K129" s="127"/>
      <c r="L129" s="127"/>
      <c r="M129" s="127"/>
      <c r="N129" s="127"/>
      <c r="O129" s="127"/>
      <c r="P129" s="127"/>
      <c r="Q129" s="127"/>
      <c r="R129" s="127"/>
      <c r="S129" s="127"/>
      <c r="T129" s="127"/>
      <c r="U129" s="127"/>
      <c r="V129" s="127"/>
      <c r="W129" s="127"/>
      <c r="X129" s="127"/>
      <c r="Y129" s="127"/>
      <c r="Z129" s="127"/>
      <c r="AA129" s="127"/>
    </row>
    <row r="130" customFormat="false" ht="13.8" hidden="false" customHeight="false" outlineLevel="0" collapsed="false">
      <c r="A130" s="127" t="str">
        <f aca="false">IF(ISBLANK(B130),"",B130&amp;"|"&amp;C130)</f>
        <v/>
      </c>
      <c r="B130" s="127"/>
      <c r="C130" s="127"/>
      <c r="D130" s="127"/>
      <c r="E130" s="133"/>
      <c r="F130" s="127"/>
      <c r="G130" s="127"/>
      <c r="H130" s="127"/>
      <c r="I130" s="127"/>
      <c r="J130" s="127"/>
      <c r="K130" s="127"/>
      <c r="L130" s="127"/>
      <c r="M130" s="127"/>
      <c r="N130" s="127"/>
      <c r="O130" s="127"/>
      <c r="P130" s="127"/>
      <c r="Q130" s="127"/>
      <c r="R130" s="127"/>
      <c r="S130" s="127"/>
      <c r="T130" s="127"/>
      <c r="U130" s="127"/>
      <c r="V130" s="127"/>
      <c r="W130" s="127"/>
      <c r="X130" s="127"/>
      <c r="Y130" s="127"/>
      <c r="Z130" s="127"/>
      <c r="AA130" s="127"/>
    </row>
    <row r="131" customFormat="false" ht="13.8" hidden="false" customHeight="false" outlineLevel="0" collapsed="false">
      <c r="A131" s="127" t="str">
        <f aca="false">IF(ISBLANK(B131),"",B131&amp;"|"&amp;C131)</f>
        <v/>
      </c>
      <c r="B131" s="127"/>
      <c r="C131" s="127"/>
      <c r="D131" s="127"/>
      <c r="E131" s="133"/>
      <c r="F131" s="127"/>
      <c r="G131" s="127"/>
      <c r="H131" s="127"/>
      <c r="I131" s="127"/>
      <c r="J131" s="127"/>
      <c r="K131" s="127"/>
      <c r="L131" s="127"/>
      <c r="M131" s="127"/>
      <c r="N131" s="127"/>
      <c r="O131" s="127"/>
      <c r="P131" s="127"/>
      <c r="Q131" s="127"/>
      <c r="R131" s="127"/>
      <c r="S131" s="127"/>
      <c r="T131" s="127"/>
      <c r="U131" s="127"/>
      <c r="V131" s="127"/>
      <c r="W131" s="127"/>
      <c r="X131" s="127"/>
      <c r="Y131" s="127"/>
      <c r="Z131" s="127"/>
      <c r="AA131" s="127"/>
    </row>
    <row r="132" customFormat="false" ht="13.8" hidden="false" customHeight="false" outlineLevel="0" collapsed="false">
      <c r="A132" s="127" t="str">
        <f aca="false">IF(ISBLANK(B132),"",B132&amp;"|"&amp;C132)</f>
        <v/>
      </c>
      <c r="B132" s="127"/>
      <c r="C132" s="127"/>
      <c r="D132" s="127"/>
      <c r="E132" s="133"/>
      <c r="F132" s="127"/>
      <c r="G132" s="127"/>
      <c r="H132" s="127"/>
      <c r="I132" s="127"/>
      <c r="J132" s="127"/>
      <c r="K132" s="127"/>
      <c r="L132" s="127"/>
      <c r="M132" s="127"/>
      <c r="N132" s="127"/>
      <c r="O132" s="127"/>
      <c r="P132" s="127"/>
      <c r="Q132" s="127"/>
      <c r="R132" s="127"/>
      <c r="S132" s="127"/>
      <c r="T132" s="127"/>
      <c r="U132" s="127"/>
      <c r="V132" s="127"/>
      <c r="W132" s="127"/>
      <c r="X132" s="127"/>
      <c r="Y132" s="127"/>
      <c r="Z132" s="127"/>
      <c r="AA132" s="127"/>
    </row>
    <row r="133" customFormat="false" ht="13.8" hidden="false" customHeight="false" outlineLevel="0" collapsed="false">
      <c r="A133" s="127" t="str">
        <f aca="false">IF(ISBLANK(B133),"",B133&amp;"|"&amp;C133)</f>
        <v/>
      </c>
      <c r="B133" s="127"/>
      <c r="C133" s="127"/>
      <c r="D133" s="127"/>
      <c r="E133" s="133"/>
      <c r="F133" s="127"/>
      <c r="G133" s="127"/>
      <c r="H133" s="127"/>
      <c r="I133" s="127"/>
      <c r="J133" s="127"/>
      <c r="K133" s="127"/>
      <c r="L133" s="127"/>
      <c r="M133" s="127"/>
      <c r="N133" s="127"/>
      <c r="O133" s="127"/>
      <c r="P133" s="127"/>
      <c r="Q133" s="127"/>
      <c r="R133" s="127"/>
      <c r="S133" s="127"/>
      <c r="T133" s="127"/>
      <c r="U133" s="127"/>
      <c r="V133" s="127"/>
      <c r="W133" s="127"/>
      <c r="X133" s="127"/>
      <c r="Y133" s="127"/>
      <c r="Z133" s="127"/>
      <c r="AA133" s="127"/>
    </row>
    <row r="134" customFormat="false" ht="13.8" hidden="false" customHeight="false" outlineLevel="0" collapsed="false">
      <c r="A134" s="127" t="str">
        <f aca="false">IF(ISBLANK(B134),"",B134&amp;"|"&amp;C134)</f>
        <v/>
      </c>
      <c r="B134" s="127"/>
      <c r="C134" s="127"/>
      <c r="D134" s="127"/>
      <c r="E134" s="133"/>
      <c r="F134" s="127"/>
      <c r="G134" s="127"/>
      <c r="H134" s="127"/>
      <c r="I134" s="127"/>
      <c r="J134" s="127"/>
      <c r="K134" s="127"/>
      <c r="L134" s="127"/>
      <c r="M134" s="127"/>
      <c r="N134" s="127"/>
      <c r="O134" s="127"/>
      <c r="P134" s="127"/>
      <c r="Q134" s="127"/>
      <c r="R134" s="127"/>
      <c r="S134" s="127"/>
      <c r="T134" s="127"/>
      <c r="U134" s="127"/>
      <c r="V134" s="127"/>
      <c r="W134" s="127"/>
      <c r="X134" s="127"/>
      <c r="Y134" s="127"/>
      <c r="Z134" s="127"/>
      <c r="AA134" s="127"/>
    </row>
    <row r="135" customFormat="false" ht="13.8" hidden="false" customHeight="false" outlineLevel="0" collapsed="false">
      <c r="A135" s="127" t="str">
        <f aca="false">IF(ISBLANK(B135),"",B135&amp;"|"&amp;C135)</f>
        <v/>
      </c>
      <c r="B135" s="127"/>
      <c r="C135" s="127"/>
      <c r="D135" s="127"/>
      <c r="E135" s="133"/>
      <c r="F135" s="127"/>
      <c r="G135" s="127"/>
      <c r="H135" s="127"/>
      <c r="I135" s="127"/>
      <c r="J135" s="127"/>
      <c r="K135" s="127"/>
      <c r="L135" s="127"/>
      <c r="M135" s="127"/>
      <c r="N135" s="127"/>
      <c r="O135" s="127"/>
      <c r="P135" s="127"/>
      <c r="Q135" s="127"/>
      <c r="R135" s="127"/>
      <c r="S135" s="127"/>
      <c r="T135" s="127"/>
      <c r="U135" s="127"/>
      <c r="V135" s="127"/>
      <c r="W135" s="127"/>
      <c r="X135" s="127"/>
      <c r="Y135" s="127"/>
      <c r="Z135" s="127"/>
      <c r="AA135" s="127"/>
    </row>
    <row r="136" customFormat="false" ht="13.8" hidden="false" customHeight="false" outlineLevel="0" collapsed="false">
      <c r="A136" s="127" t="str">
        <f aca="false">IF(ISBLANK(B136),"",B136&amp;"|"&amp;C136)</f>
        <v/>
      </c>
      <c r="B136" s="127"/>
      <c r="C136" s="127"/>
      <c r="D136" s="127"/>
      <c r="E136" s="133"/>
      <c r="F136" s="127"/>
      <c r="G136" s="127"/>
      <c r="H136" s="127"/>
      <c r="I136" s="127"/>
      <c r="J136" s="127"/>
      <c r="K136" s="127"/>
      <c r="L136" s="127"/>
      <c r="M136" s="127"/>
      <c r="N136" s="127"/>
      <c r="O136" s="127"/>
      <c r="P136" s="127"/>
      <c r="Q136" s="127"/>
      <c r="R136" s="127"/>
      <c r="S136" s="127"/>
      <c r="T136" s="127"/>
      <c r="U136" s="127"/>
      <c r="V136" s="127"/>
      <c r="W136" s="127"/>
      <c r="X136" s="127"/>
      <c r="Y136" s="127"/>
      <c r="Z136" s="127"/>
      <c r="AA136" s="127"/>
    </row>
    <row r="137" customFormat="false" ht="13.8" hidden="false" customHeight="false" outlineLevel="0" collapsed="false">
      <c r="A137" s="127" t="str">
        <f aca="false">IF(ISBLANK(B137),"",B137&amp;"|"&amp;C137)</f>
        <v/>
      </c>
      <c r="B137" s="127"/>
      <c r="C137" s="127"/>
      <c r="D137" s="127"/>
      <c r="E137" s="133"/>
      <c r="F137" s="127"/>
      <c r="G137" s="127"/>
      <c r="H137" s="127"/>
      <c r="I137" s="127"/>
      <c r="J137" s="127"/>
      <c r="K137" s="127"/>
      <c r="L137" s="127"/>
      <c r="M137" s="127"/>
      <c r="N137" s="127"/>
      <c r="O137" s="127"/>
      <c r="P137" s="127"/>
      <c r="Q137" s="127"/>
      <c r="R137" s="127"/>
      <c r="S137" s="127"/>
      <c r="T137" s="127"/>
      <c r="U137" s="127"/>
      <c r="V137" s="127"/>
      <c r="W137" s="127"/>
      <c r="X137" s="127"/>
      <c r="Y137" s="127"/>
      <c r="Z137" s="127"/>
      <c r="AA137" s="127"/>
    </row>
    <row r="138" customFormat="false" ht="13.8" hidden="false" customHeight="false" outlineLevel="0" collapsed="false">
      <c r="A138" s="127" t="str">
        <f aca="false">IF(ISBLANK(B138),"",B138&amp;"|"&amp;C138)</f>
        <v/>
      </c>
      <c r="B138" s="127"/>
      <c r="C138" s="127"/>
      <c r="D138" s="127"/>
      <c r="E138" s="133"/>
      <c r="F138" s="127"/>
      <c r="G138" s="127"/>
      <c r="H138" s="127"/>
      <c r="I138" s="127"/>
      <c r="J138" s="127"/>
      <c r="K138" s="127"/>
      <c r="L138" s="127"/>
      <c r="M138" s="127"/>
      <c r="N138" s="127"/>
      <c r="O138" s="127"/>
      <c r="P138" s="127"/>
      <c r="Q138" s="127"/>
      <c r="R138" s="127"/>
      <c r="S138" s="127"/>
      <c r="T138" s="127"/>
      <c r="U138" s="127"/>
      <c r="V138" s="127"/>
      <c r="W138" s="127"/>
      <c r="X138" s="127"/>
      <c r="Y138" s="127"/>
      <c r="Z138" s="127"/>
      <c r="AA138" s="127"/>
    </row>
    <row r="139" customFormat="false" ht="13.8" hidden="false" customHeight="false" outlineLevel="0" collapsed="false">
      <c r="A139" s="127" t="str">
        <f aca="false">IF(ISBLANK(B139),"",B139&amp;"|"&amp;C139)</f>
        <v/>
      </c>
      <c r="B139" s="127"/>
      <c r="C139" s="127"/>
      <c r="D139" s="127"/>
      <c r="E139" s="133"/>
      <c r="F139" s="127"/>
      <c r="G139" s="127"/>
      <c r="H139" s="127"/>
      <c r="I139" s="127"/>
      <c r="J139" s="127"/>
      <c r="K139" s="127"/>
      <c r="L139" s="127"/>
      <c r="M139" s="127"/>
      <c r="N139" s="127"/>
      <c r="O139" s="127"/>
      <c r="P139" s="127"/>
      <c r="Q139" s="127"/>
      <c r="R139" s="127"/>
      <c r="S139" s="127"/>
      <c r="T139" s="127"/>
      <c r="U139" s="127"/>
      <c r="V139" s="127"/>
      <c r="W139" s="127"/>
      <c r="X139" s="127"/>
      <c r="Y139" s="127"/>
      <c r="Z139" s="127"/>
      <c r="AA139" s="127"/>
    </row>
    <row r="140" customFormat="false" ht="13.8" hidden="false" customHeight="false" outlineLevel="0" collapsed="false">
      <c r="A140" s="127" t="str">
        <f aca="false">IF(ISBLANK(B140),"",B140&amp;"|"&amp;C140)</f>
        <v/>
      </c>
      <c r="B140" s="127"/>
      <c r="C140" s="127"/>
      <c r="D140" s="127"/>
      <c r="E140" s="133"/>
      <c r="F140" s="127"/>
      <c r="G140" s="127"/>
      <c r="H140" s="127"/>
      <c r="I140" s="127"/>
      <c r="J140" s="127"/>
      <c r="K140" s="127"/>
      <c r="L140" s="127"/>
      <c r="M140" s="127"/>
      <c r="N140" s="127"/>
      <c r="O140" s="127"/>
      <c r="P140" s="127"/>
      <c r="Q140" s="127"/>
      <c r="R140" s="127"/>
      <c r="S140" s="127"/>
      <c r="T140" s="127"/>
      <c r="U140" s="127"/>
      <c r="V140" s="127"/>
      <c r="W140" s="127"/>
      <c r="X140" s="127"/>
      <c r="Y140" s="127"/>
      <c r="Z140" s="127"/>
      <c r="AA140" s="127"/>
    </row>
    <row r="141" customFormat="false" ht="13.8" hidden="false" customHeight="false" outlineLevel="0" collapsed="false">
      <c r="A141" s="127" t="str">
        <f aca="false">IF(ISBLANK(B141),"",B141&amp;"|"&amp;C141)</f>
        <v/>
      </c>
      <c r="B141" s="127"/>
      <c r="C141" s="127"/>
      <c r="D141" s="127"/>
      <c r="E141" s="133"/>
      <c r="F141" s="127"/>
      <c r="G141" s="127"/>
      <c r="H141" s="127"/>
      <c r="I141" s="127"/>
      <c r="J141" s="127"/>
      <c r="K141" s="127"/>
      <c r="L141" s="127"/>
      <c r="M141" s="127"/>
      <c r="N141" s="127"/>
      <c r="O141" s="127"/>
      <c r="P141" s="127"/>
      <c r="Q141" s="127"/>
      <c r="R141" s="127"/>
      <c r="S141" s="127"/>
      <c r="T141" s="127"/>
      <c r="U141" s="127"/>
      <c r="V141" s="127"/>
      <c r="W141" s="127"/>
      <c r="X141" s="127"/>
      <c r="Y141" s="127"/>
      <c r="Z141" s="127"/>
      <c r="AA141" s="127"/>
    </row>
    <row r="142" customFormat="false" ht="13.8" hidden="false" customHeight="false" outlineLevel="0" collapsed="false">
      <c r="A142" s="127" t="str">
        <f aca="false">IF(ISBLANK(B142),"",B142&amp;"|"&amp;C142)</f>
        <v/>
      </c>
      <c r="B142" s="127"/>
      <c r="C142" s="127"/>
      <c r="D142" s="127"/>
      <c r="E142" s="133"/>
      <c r="F142" s="127"/>
      <c r="G142" s="127"/>
      <c r="H142" s="127"/>
      <c r="I142" s="127"/>
      <c r="J142" s="127"/>
      <c r="K142" s="127"/>
      <c r="L142" s="127"/>
      <c r="M142" s="127"/>
      <c r="N142" s="127"/>
      <c r="O142" s="127"/>
      <c r="P142" s="127"/>
      <c r="Q142" s="127"/>
      <c r="R142" s="127"/>
      <c r="S142" s="127"/>
      <c r="T142" s="127"/>
      <c r="U142" s="127"/>
      <c r="V142" s="127"/>
      <c r="W142" s="127"/>
      <c r="X142" s="127"/>
      <c r="Y142" s="127"/>
      <c r="Z142" s="127"/>
      <c r="AA142" s="127"/>
    </row>
    <row r="143" customFormat="false" ht="13.8" hidden="false" customHeight="false" outlineLevel="0" collapsed="false">
      <c r="A143" s="127" t="str">
        <f aca="false">IF(ISBLANK(B143),"",B143&amp;"|"&amp;C143)</f>
        <v/>
      </c>
      <c r="B143" s="127"/>
      <c r="C143" s="127"/>
      <c r="D143" s="127"/>
      <c r="E143" s="133"/>
      <c r="F143" s="127"/>
      <c r="G143" s="127"/>
      <c r="H143" s="127"/>
      <c r="I143" s="127"/>
      <c r="J143" s="127"/>
      <c r="K143" s="127"/>
      <c r="L143" s="127"/>
      <c r="M143" s="127"/>
      <c r="N143" s="127"/>
      <c r="O143" s="127"/>
      <c r="P143" s="127"/>
      <c r="Q143" s="127"/>
      <c r="R143" s="127"/>
      <c r="S143" s="127"/>
      <c r="T143" s="127"/>
      <c r="U143" s="127"/>
      <c r="V143" s="127"/>
      <c r="W143" s="127"/>
      <c r="X143" s="127"/>
      <c r="Y143" s="127"/>
      <c r="Z143" s="127"/>
      <c r="AA143" s="127"/>
    </row>
    <row r="144" customFormat="false" ht="13.8" hidden="false" customHeight="false" outlineLevel="0" collapsed="false">
      <c r="A144" s="127" t="str">
        <f aca="false">IF(ISBLANK(B144),"",B144&amp;"|"&amp;C144)</f>
        <v/>
      </c>
      <c r="B144" s="127"/>
      <c r="C144" s="127"/>
      <c r="D144" s="127"/>
      <c r="E144" s="133"/>
      <c r="F144" s="127"/>
      <c r="G144" s="127"/>
      <c r="H144" s="127"/>
      <c r="I144" s="127"/>
      <c r="J144" s="127"/>
      <c r="K144" s="127"/>
      <c r="L144" s="127"/>
      <c r="M144" s="127"/>
      <c r="N144" s="127"/>
      <c r="O144" s="127"/>
      <c r="P144" s="127"/>
      <c r="Q144" s="127"/>
      <c r="R144" s="127"/>
      <c r="S144" s="127"/>
      <c r="T144" s="127"/>
      <c r="U144" s="127"/>
      <c r="V144" s="127"/>
      <c r="W144" s="127"/>
      <c r="X144" s="127"/>
      <c r="Y144" s="127"/>
      <c r="Z144" s="127"/>
      <c r="AA144" s="127"/>
    </row>
    <row r="145" customFormat="false" ht="13.8" hidden="false" customHeight="false" outlineLevel="0" collapsed="false">
      <c r="A145" s="127" t="str">
        <f aca="false">IF(ISBLANK(B145),"",B145&amp;"|"&amp;C145)</f>
        <v/>
      </c>
      <c r="B145" s="127"/>
      <c r="C145" s="127"/>
      <c r="D145" s="127"/>
      <c r="E145" s="133"/>
      <c r="F145" s="127"/>
      <c r="G145" s="127"/>
      <c r="H145" s="127"/>
      <c r="I145" s="127"/>
      <c r="J145" s="127"/>
      <c r="K145" s="127"/>
      <c r="L145" s="127"/>
      <c r="M145" s="127"/>
      <c r="N145" s="127"/>
      <c r="O145" s="127"/>
      <c r="P145" s="127"/>
      <c r="Q145" s="127"/>
      <c r="R145" s="127"/>
      <c r="S145" s="127"/>
      <c r="T145" s="127"/>
      <c r="U145" s="127"/>
      <c r="V145" s="127"/>
      <c r="W145" s="127"/>
      <c r="X145" s="127"/>
      <c r="Y145" s="127"/>
      <c r="Z145" s="127"/>
      <c r="AA145" s="127"/>
    </row>
    <row r="146" customFormat="false" ht="13.8" hidden="false" customHeight="false" outlineLevel="0" collapsed="false">
      <c r="A146" s="127" t="str">
        <f aca="false">IF(ISBLANK(B146),"",B146&amp;"|"&amp;C146)</f>
        <v/>
      </c>
      <c r="B146" s="127"/>
      <c r="C146" s="127"/>
      <c r="D146" s="127"/>
      <c r="E146" s="133"/>
      <c r="F146" s="127"/>
      <c r="G146" s="127"/>
      <c r="H146" s="127"/>
      <c r="I146" s="127"/>
      <c r="J146" s="127"/>
      <c r="K146" s="127"/>
      <c r="L146" s="127"/>
      <c r="M146" s="127"/>
      <c r="N146" s="127"/>
      <c r="O146" s="127"/>
      <c r="P146" s="127"/>
      <c r="Q146" s="127"/>
      <c r="R146" s="127"/>
      <c r="S146" s="127"/>
      <c r="T146" s="127"/>
      <c r="U146" s="127"/>
      <c r="V146" s="127"/>
      <c r="W146" s="127"/>
      <c r="X146" s="127"/>
      <c r="Y146" s="127"/>
      <c r="Z146" s="127"/>
      <c r="AA146" s="127"/>
    </row>
    <row r="147" customFormat="false" ht="13.8" hidden="false" customHeight="false" outlineLevel="0" collapsed="false">
      <c r="A147" s="127" t="str">
        <f aca="false">IF(ISBLANK(B147),"",B147&amp;"|"&amp;C147)</f>
        <v/>
      </c>
      <c r="B147" s="127"/>
      <c r="C147" s="127"/>
      <c r="D147" s="127"/>
      <c r="E147" s="133"/>
      <c r="F147" s="127"/>
      <c r="G147" s="127"/>
      <c r="H147" s="127"/>
      <c r="I147" s="127"/>
      <c r="J147" s="127"/>
      <c r="K147" s="127"/>
      <c r="L147" s="127"/>
      <c r="M147" s="127"/>
      <c r="N147" s="127"/>
      <c r="O147" s="127"/>
      <c r="P147" s="127"/>
      <c r="Q147" s="127"/>
      <c r="R147" s="127"/>
      <c r="S147" s="127"/>
      <c r="T147" s="127"/>
      <c r="U147" s="127"/>
      <c r="V147" s="127"/>
      <c r="W147" s="127"/>
      <c r="X147" s="127"/>
      <c r="Y147" s="127"/>
      <c r="Z147" s="127"/>
      <c r="AA147" s="127"/>
    </row>
    <row r="148" customFormat="false" ht="13.8" hidden="false" customHeight="false" outlineLevel="0" collapsed="false">
      <c r="A148" s="127" t="str">
        <f aca="false">IF(ISBLANK(B148),"",B148&amp;"|"&amp;C148)</f>
        <v/>
      </c>
      <c r="B148" s="127"/>
      <c r="C148" s="127"/>
      <c r="D148" s="127"/>
      <c r="E148" s="133"/>
      <c r="F148" s="127"/>
      <c r="G148" s="127"/>
      <c r="H148" s="127"/>
      <c r="I148" s="127"/>
      <c r="J148" s="127"/>
      <c r="K148" s="127"/>
      <c r="L148" s="127"/>
      <c r="M148" s="127"/>
      <c r="N148" s="127"/>
      <c r="O148" s="127"/>
      <c r="P148" s="127"/>
      <c r="Q148" s="127"/>
      <c r="R148" s="127"/>
      <c r="S148" s="127"/>
      <c r="T148" s="127"/>
      <c r="U148" s="127"/>
      <c r="V148" s="127"/>
      <c r="W148" s="127"/>
      <c r="X148" s="127"/>
      <c r="Y148" s="127"/>
      <c r="Z148" s="127"/>
      <c r="AA148" s="127"/>
    </row>
    <row r="149" customFormat="false" ht="13.8" hidden="false" customHeight="false" outlineLevel="0" collapsed="false">
      <c r="A149" s="127" t="str">
        <f aca="false">IF(ISBLANK(B149),"",B149&amp;"|"&amp;C149)</f>
        <v/>
      </c>
      <c r="B149" s="127"/>
      <c r="C149" s="127"/>
      <c r="D149" s="127"/>
      <c r="E149" s="133"/>
      <c r="F149" s="127"/>
      <c r="G149" s="127"/>
      <c r="H149" s="127"/>
      <c r="I149" s="127"/>
      <c r="J149" s="127"/>
      <c r="K149" s="127"/>
      <c r="L149" s="127"/>
      <c r="M149" s="127"/>
      <c r="N149" s="127"/>
      <c r="O149" s="127"/>
      <c r="P149" s="127"/>
      <c r="Q149" s="127"/>
      <c r="R149" s="127"/>
      <c r="S149" s="127"/>
      <c r="T149" s="127"/>
      <c r="U149" s="127"/>
      <c r="V149" s="127"/>
      <c r="W149" s="127"/>
      <c r="X149" s="127"/>
      <c r="Y149" s="127"/>
      <c r="Z149" s="127"/>
      <c r="AA149" s="127"/>
    </row>
    <row r="150" customFormat="false" ht="13.8" hidden="false" customHeight="false" outlineLevel="0" collapsed="false">
      <c r="A150" s="127" t="str">
        <f aca="false">IF(ISBLANK(B150),"",B150&amp;"|"&amp;C150)</f>
        <v/>
      </c>
      <c r="B150" s="127"/>
      <c r="C150" s="127"/>
      <c r="D150" s="127"/>
      <c r="E150" s="133"/>
      <c r="F150" s="127"/>
      <c r="G150" s="127"/>
      <c r="H150" s="127"/>
      <c r="I150" s="127"/>
      <c r="J150" s="127"/>
      <c r="K150" s="127"/>
      <c r="L150" s="127"/>
      <c r="M150" s="127"/>
      <c r="N150" s="127"/>
      <c r="O150" s="127"/>
      <c r="P150" s="127"/>
      <c r="Q150" s="127"/>
      <c r="R150" s="127"/>
      <c r="S150" s="127"/>
      <c r="T150" s="127"/>
      <c r="U150" s="127"/>
      <c r="V150" s="127"/>
      <c r="W150" s="127"/>
      <c r="X150" s="127"/>
      <c r="Y150" s="127"/>
      <c r="Z150" s="127"/>
      <c r="AA150" s="127"/>
    </row>
    <row r="151" customFormat="false" ht="13.8" hidden="false" customHeight="false" outlineLevel="0" collapsed="false">
      <c r="A151" s="127" t="str">
        <f aca="false">IF(ISBLANK(B151),"",B151&amp;"|"&amp;C151)</f>
        <v/>
      </c>
      <c r="B151" s="127"/>
      <c r="C151" s="127"/>
      <c r="D151" s="127"/>
      <c r="E151" s="133"/>
      <c r="F151" s="127"/>
      <c r="G151" s="127"/>
      <c r="H151" s="127"/>
      <c r="I151" s="127"/>
      <c r="J151" s="127"/>
      <c r="K151" s="127"/>
      <c r="L151" s="127"/>
      <c r="M151" s="127"/>
      <c r="N151" s="127"/>
      <c r="O151" s="127"/>
      <c r="P151" s="127"/>
      <c r="Q151" s="127"/>
      <c r="R151" s="127"/>
      <c r="S151" s="127"/>
      <c r="T151" s="127"/>
      <c r="U151" s="127"/>
      <c r="V151" s="127"/>
      <c r="W151" s="127"/>
      <c r="X151" s="127"/>
      <c r="Y151" s="127"/>
      <c r="Z151" s="127"/>
      <c r="AA151" s="127"/>
    </row>
    <row r="152" customFormat="false" ht="13.8" hidden="false" customHeight="false" outlineLevel="0" collapsed="false">
      <c r="A152" s="127" t="str">
        <f aca="false">IF(ISBLANK(B152),"",B152&amp;"|"&amp;C152)</f>
        <v/>
      </c>
      <c r="B152" s="127"/>
      <c r="C152" s="127"/>
      <c r="D152" s="127"/>
      <c r="E152" s="133"/>
      <c r="F152" s="127"/>
      <c r="G152" s="127"/>
      <c r="H152" s="127"/>
      <c r="I152" s="127"/>
      <c r="J152" s="127"/>
      <c r="K152" s="127"/>
      <c r="L152" s="127"/>
      <c r="M152" s="127"/>
      <c r="N152" s="127"/>
      <c r="O152" s="127"/>
      <c r="P152" s="127"/>
      <c r="Q152" s="127"/>
      <c r="R152" s="127"/>
      <c r="S152" s="127"/>
      <c r="T152" s="127"/>
      <c r="U152" s="127"/>
      <c r="V152" s="127"/>
      <c r="W152" s="127"/>
      <c r="X152" s="127"/>
      <c r="Y152" s="127"/>
      <c r="Z152" s="127"/>
      <c r="AA152" s="127"/>
    </row>
    <row r="153" customFormat="false" ht="13.8" hidden="false" customHeight="false" outlineLevel="0" collapsed="false">
      <c r="A153" s="127" t="str">
        <f aca="false">IF(ISBLANK(B153),"",B153&amp;"|"&amp;C153)</f>
        <v/>
      </c>
      <c r="B153" s="127"/>
      <c r="C153" s="127"/>
      <c r="D153" s="127"/>
      <c r="E153" s="133"/>
      <c r="F153" s="127"/>
      <c r="G153" s="127"/>
      <c r="H153" s="127"/>
      <c r="I153" s="127"/>
      <c r="J153" s="127"/>
      <c r="K153" s="127"/>
      <c r="L153" s="127"/>
      <c r="M153" s="127"/>
      <c r="N153" s="127"/>
      <c r="O153" s="127"/>
      <c r="P153" s="127"/>
      <c r="Q153" s="127"/>
      <c r="R153" s="127"/>
      <c r="S153" s="127"/>
      <c r="T153" s="127"/>
      <c r="U153" s="127"/>
      <c r="V153" s="127"/>
      <c r="W153" s="127"/>
      <c r="X153" s="127"/>
      <c r="Y153" s="127"/>
      <c r="Z153" s="127"/>
      <c r="AA153" s="127"/>
    </row>
    <row r="154" customFormat="false" ht="13.8" hidden="false" customHeight="false" outlineLevel="0" collapsed="false">
      <c r="A154" s="127" t="str">
        <f aca="false">IF(ISBLANK(B154),"",B154&amp;"|"&amp;C154)</f>
        <v/>
      </c>
      <c r="B154" s="127"/>
      <c r="C154" s="127"/>
      <c r="D154" s="127"/>
      <c r="E154" s="133"/>
      <c r="F154" s="127"/>
      <c r="G154" s="127"/>
      <c r="H154" s="127"/>
      <c r="I154" s="127"/>
      <c r="J154" s="127"/>
      <c r="K154" s="127"/>
      <c r="L154" s="127"/>
      <c r="M154" s="127"/>
      <c r="N154" s="127"/>
      <c r="O154" s="127"/>
      <c r="P154" s="127"/>
      <c r="Q154" s="127"/>
      <c r="R154" s="127"/>
      <c r="S154" s="127"/>
      <c r="T154" s="127"/>
      <c r="U154" s="127"/>
      <c r="V154" s="127"/>
      <c r="W154" s="127"/>
      <c r="X154" s="127"/>
      <c r="Y154" s="127"/>
      <c r="Z154" s="127"/>
      <c r="AA154" s="127"/>
    </row>
    <row r="155" customFormat="false" ht="13.8" hidden="false" customHeight="false" outlineLevel="0" collapsed="false">
      <c r="A155" s="127" t="str">
        <f aca="false">IF(ISBLANK(B155),"",B155&amp;"|"&amp;C155)</f>
        <v/>
      </c>
      <c r="B155" s="127"/>
      <c r="C155" s="127"/>
      <c r="D155" s="127"/>
      <c r="E155" s="133"/>
      <c r="F155" s="127"/>
      <c r="G155" s="127"/>
      <c r="H155" s="127"/>
      <c r="I155" s="127"/>
      <c r="J155" s="127"/>
      <c r="K155" s="127"/>
      <c r="L155" s="127"/>
      <c r="M155" s="127"/>
      <c r="N155" s="127"/>
      <c r="O155" s="127"/>
      <c r="P155" s="127"/>
      <c r="Q155" s="127"/>
      <c r="R155" s="127"/>
      <c r="S155" s="127"/>
      <c r="T155" s="127"/>
      <c r="U155" s="127"/>
      <c r="V155" s="127"/>
      <c r="W155" s="127"/>
      <c r="X155" s="127"/>
      <c r="Y155" s="127"/>
      <c r="Z155" s="127"/>
      <c r="AA155" s="127"/>
    </row>
    <row r="156" customFormat="false" ht="13.8" hidden="false" customHeight="false" outlineLevel="0" collapsed="false">
      <c r="A156" s="127" t="str">
        <f aca="false">IF(ISBLANK(B156),"",B156&amp;"|"&amp;C156)</f>
        <v/>
      </c>
      <c r="B156" s="127"/>
      <c r="C156" s="127"/>
      <c r="D156" s="127"/>
      <c r="E156" s="133"/>
      <c r="F156" s="127"/>
      <c r="G156" s="127"/>
      <c r="H156" s="127"/>
      <c r="I156" s="127"/>
      <c r="J156" s="127"/>
      <c r="K156" s="127"/>
      <c r="L156" s="127"/>
      <c r="M156" s="127"/>
      <c r="N156" s="127"/>
      <c r="O156" s="127"/>
      <c r="P156" s="127"/>
      <c r="Q156" s="127"/>
      <c r="R156" s="127"/>
      <c r="S156" s="127"/>
      <c r="T156" s="127"/>
      <c r="U156" s="127"/>
      <c r="V156" s="127"/>
      <c r="W156" s="127"/>
      <c r="X156" s="127"/>
      <c r="Y156" s="127"/>
      <c r="Z156" s="127"/>
      <c r="AA156" s="127"/>
    </row>
    <row r="157" customFormat="false" ht="13.8" hidden="false" customHeight="false" outlineLevel="0" collapsed="false">
      <c r="A157" s="127" t="str">
        <f aca="false">IF(ISBLANK(B157),"",B157&amp;"|"&amp;C157)</f>
        <v/>
      </c>
      <c r="B157" s="127"/>
      <c r="C157" s="127"/>
      <c r="D157" s="127"/>
      <c r="E157" s="133"/>
      <c r="F157" s="127"/>
      <c r="G157" s="127"/>
      <c r="H157" s="127"/>
      <c r="I157" s="127"/>
      <c r="J157" s="127"/>
      <c r="K157" s="127"/>
      <c r="L157" s="127"/>
      <c r="M157" s="127"/>
      <c r="N157" s="127"/>
      <c r="O157" s="127"/>
      <c r="P157" s="127"/>
      <c r="Q157" s="127"/>
      <c r="R157" s="127"/>
      <c r="S157" s="127"/>
      <c r="T157" s="127"/>
      <c r="U157" s="127"/>
      <c r="V157" s="127"/>
      <c r="W157" s="127"/>
      <c r="X157" s="127"/>
      <c r="Y157" s="127"/>
      <c r="Z157" s="127"/>
      <c r="AA157" s="127"/>
    </row>
    <row r="158" customFormat="false" ht="13.8" hidden="false" customHeight="false" outlineLevel="0" collapsed="false">
      <c r="A158" s="127" t="str">
        <f aca="false">IF(ISBLANK(B158),"",B158&amp;"|"&amp;C158)</f>
        <v/>
      </c>
      <c r="B158" s="127"/>
      <c r="C158" s="127"/>
      <c r="D158" s="127"/>
      <c r="E158" s="133"/>
      <c r="F158" s="127"/>
      <c r="G158" s="127"/>
      <c r="H158" s="127"/>
      <c r="I158" s="127"/>
      <c r="J158" s="127"/>
      <c r="K158" s="127"/>
      <c r="L158" s="127"/>
      <c r="M158" s="127"/>
      <c r="N158" s="127"/>
      <c r="O158" s="127"/>
      <c r="P158" s="127"/>
      <c r="Q158" s="127"/>
      <c r="R158" s="127"/>
      <c r="S158" s="127"/>
      <c r="T158" s="127"/>
      <c r="U158" s="127"/>
      <c r="V158" s="127"/>
      <c r="W158" s="127"/>
      <c r="X158" s="127"/>
      <c r="Y158" s="127"/>
      <c r="Z158" s="127"/>
      <c r="AA158" s="127"/>
    </row>
    <row r="159" customFormat="false" ht="13.8" hidden="false" customHeight="false" outlineLevel="0" collapsed="false">
      <c r="A159" s="127" t="str">
        <f aca="false">IF(ISBLANK(B159),"",B159&amp;"|"&amp;C159)</f>
        <v/>
      </c>
      <c r="B159" s="127"/>
      <c r="C159" s="127"/>
      <c r="D159" s="127"/>
      <c r="E159" s="133"/>
      <c r="F159" s="127"/>
      <c r="G159" s="127"/>
      <c r="H159" s="127"/>
      <c r="I159" s="127"/>
      <c r="J159" s="127"/>
      <c r="K159" s="127"/>
      <c r="L159" s="127"/>
      <c r="M159" s="127"/>
      <c r="N159" s="127"/>
      <c r="O159" s="127"/>
      <c r="P159" s="127"/>
      <c r="Q159" s="127"/>
      <c r="R159" s="127"/>
      <c r="S159" s="127"/>
      <c r="T159" s="127"/>
      <c r="U159" s="127"/>
      <c r="V159" s="127"/>
      <c r="W159" s="127"/>
      <c r="X159" s="127"/>
      <c r="Y159" s="127"/>
      <c r="Z159" s="127"/>
      <c r="AA159" s="127"/>
    </row>
    <row r="160" customFormat="false" ht="13.8" hidden="false" customHeight="false" outlineLevel="0" collapsed="false">
      <c r="A160" s="127" t="str">
        <f aca="false">IF(ISBLANK(B160),"",B160&amp;"|"&amp;C160)</f>
        <v/>
      </c>
      <c r="B160" s="127"/>
      <c r="C160" s="127"/>
      <c r="D160" s="127"/>
      <c r="E160" s="133"/>
      <c r="F160" s="127"/>
      <c r="G160" s="127"/>
      <c r="H160" s="127"/>
      <c r="I160" s="127"/>
      <c r="J160" s="127"/>
      <c r="K160" s="127"/>
      <c r="L160" s="127"/>
      <c r="M160" s="127"/>
      <c r="N160" s="127"/>
      <c r="O160" s="127"/>
      <c r="P160" s="127"/>
      <c r="Q160" s="127"/>
      <c r="R160" s="127"/>
      <c r="S160" s="127"/>
      <c r="T160" s="127"/>
      <c r="U160" s="127"/>
      <c r="V160" s="127"/>
      <c r="W160" s="127"/>
      <c r="X160" s="127"/>
      <c r="Y160" s="127"/>
      <c r="Z160" s="127"/>
      <c r="AA160" s="127"/>
    </row>
    <row r="161" customFormat="false" ht="13.8" hidden="false" customHeight="false" outlineLevel="0" collapsed="false">
      <c r="A161" s="127" t="str">
        <f aca="false">IF(ISBLANK(B161),"",B161&amp;"|"&amp;C161)</f>
        <v/>
      </c>
      <c r="B161" s="127"/>
      <c r="C161" s="127"/>
      <c r="D161" s="127"/>
      <c r="E161" s="133"/>
      <c r="F161" s="127"/>
      <c r="G161" s="127"/>
      <c r="H161" s="127"/>
      <c r="I161" s="127"/>
      <c r="J161" s="127"/>
      <c r="K161" s="127"/>
      <c r="L161" s="127"/>
      <c r="M161" s="127"/>
      <c r="N161" s="127"/>
      <c r="O161" s="127"/>
      <c r="P161" s="127"/>
      <c r="Q161" s="127"/>
      <c r="R161" s="127"/>
      <c r="S161" s="127"/>
      <c r="T161" s="127"/>
      <c r="U161" s="127"/>
      <c r="V161" s="127"/>
      <c r="W161" s="127"/>
      <c r="X161" s="127"/>
      <c r="Y161" s="127"/>
      <c r="Z161" s="127"/>
      <c r="AA161" s="127"/>
    </row>
    <row r="162" customFormat="false" ht="13.8" hidden="false" customHeight="false" outlineLevel="0" collapsed="false">
      <c r="A162" s="127" t="str">
        <f aca="false">IF(ISBLANK(B162),"",B162&amp;"|"&amp;C162)</f>
        <v/>
      </c>
      <c r="B162" s="127"/>
      <c r="C162" s="127"/>
      <c r="D162" s="127"/>
      <c r="E162" s="133"/>
      <c r="F162" s="127"/>
      <c r="G162" s="127"/>
      <c r="H162" s="127"/>
      <c r="I162" s="127"/>
      <c r="J162" s="127"/>
      <c r="K162" s="127"/>
      <c r="L162" s="127"/>
      <c r="M162" s="127"/>
      <c r="N162" s="127"/>
      <c r="O162" s="127"/>
      <c r="P162" s="127"/>
      <c r="Q162" s="127"/>
      <c r="R162" s="127"/>
      <c r="S162" s="127"/>
      <c r="T162" s="127"/>
      <c r="U162" s="127"/>
      <c r="V162" s="127"/>
      <c r="W162" s="127"/>
      <c r="X162" s="127"/>
      <c r="Y162" s="127"/>
      <c r="Z162" s="127"/>
      <c r="AA162" s="127"/>
    </row>
    <row r="163" customFormat="false" ht="13.8" hidden="false" customHeight="false" outlineLevel="0" collapsed="false">
      <c r="A163" s="127" t="str">
        <f aca="false">IF(ISBLANK(B163),"",B163&amp;"|"&amp;C163)</f>
        <v/>
      </c>
      <c r="B163" s="127"/>
      <c r="C163" s="127"/>
      <c r="D163" s="127"/>
      <c r="E163" s="133"/>
      <c r="F163" s="127"/>
      <c r="G163" s="127"/>
      <c r="H163" s="127"/>
      <c r="I163" s="127"/>
      <c r="J163" s="127"/>
      <c r="K163" s="127"/>
      <c r="L163" s="127"/>
      <c r="M163" s="127"/>
      <c r="N163" s="127"/>
      <c r="O163" s="127"/>
      <c r="P163" s="127"/>
      <c r="Q163" s="127"/>
      <c r="R163" s="127"/>
      <c r="S163" s="127"/>
      <c r="T163" s="127"/>
      <c r="U163" s="127"/>
      <c r="V163" s="127"/>
      <c r="W163" s="127"/>
      <c r="X163" s="127"/>
      <c r="Y163" s="127"/>
      <c r="Z163" s="127"/>
      <c r="AA163" s="127"/>
    </row>
    <row r="164" customFormat="false" ht="13.8" hidden="false" customHeight="false" outlineLevel="0" collapsed="false">
      <c r="A164" s="127" t="str">
        <f aca="false">IF(ISBLANK(B164),"",B164&amp;"|"&amp;C164)</f>
        <v/>
      </c>
      <c r="B164" s="127"/>
      <c r="C164" s="127"/>
      <c r="D164" s="127"/>
      <c r="E164" s="133"/>
      <c r="F164" s="127"/>
      <c r="G164" s="127"/>
      <c r="H164" s="127"/>
      <c r="I164" s="127"/>
      <c r="J164" s="127"/>
      <c r="K164" s="127"/>
      <c r="L164" s="127"/>
      <c r="M164" s="127"/>
      <c r="N164" s="127"/>
      <c r="O164" s="127"/>
      <c r="P164" s="127"/>
      <c r="Q164" s="127"/>
      <c r="R164" s="127"/>
      <c r="S164" s="127"/>
      <c r="T164" s="127"/>
      <c r="U164" s="127"/>
      <c r="V164" s="127"/>
      <c r="W164" s="127"/>
      <c r="X164" s="127"/>
      <c r="Y164" s="127"/>
      <c r="Z164" s="127"/>
      <c r="AA164" s="127"/>
    </row>
    <row r="165" customFormat="false" ht="13.8" hidden="false" customHeight="false" outlineLevel="0" collapsed="false">
      <c r="A165" s="127" t="str">
        <f aca="false">IF(ISBLANK(B165),"",B165&amp;"|"&amp;C165)</f>
        <v/>
      </c>
      <c r="B165" s="127"/>
      <c r="C165" s="127"/>
      <c r="D165" s="127"/>
      <c r="E165" s="133"/>
      <c r="F165" s="127"/>
      <c r="G165" s="127"/>
      <c r="H165" s="127"/>
      <c r="I165" s="127"/>
      <c r="J165" s="127"/>
      <c r="K165" s="127"/>
      <c r="L165" s="127"/>
      <c r="M165" s="127"/>
      <c r="N165" s="127"/>
      <c r="O165" s="127"/>
      <c r="P165" s="127"/>
      <c r="Q165" s="127"/>
      <c r="R165" s="127"/>
      <c r="S165" s="127"/>
      <c r="T165" s="127"/>
      <c r="U165" s="127"/>
      <c r="V165" s="127"/>
      <c r="W165" s="127"/>
      <c r="X165" s="127"/>
      <c r="Y165" s="127"/>
      <c r="Z165" s="127"/>
      <c r="AA165" s="127"/>
    </row>
    <row r="166" customFormat="false" ht="13.8" hidden="false" customHeight="false" outlineLevel="0" collapsed="false">
      <c r="A166" s="127" t="str">
        <f aca="false">IF(ISBLANK(B166),"",B166&amp;"|"&amp;C166)</f>
        <v/>
      </c>
      <c r="B166" s="127"/>
      <c r="C166" s="127"/>
      <c r="D166" s="127"/>
      <c r="E166" s="133"/>
      <c r="F166" s="127"/>
      <c r="G166" s="127"/>
      <c r="H166" s="127"/>
      <c r="I166" s="127"/>
      <c r="J166" s="127"/>
      <c r="K166" s="127"/>
      <c r="L166" s="127"/>
      <c r="M166" s="127"/>
      <c r="N166" s="127"/>
      <c r="O166" s="127"/>
      <c r="P166" s="127"/>
      <c r="Q166" s="127"/>
      <c r="R166" s="127"/>
      <c r="S166" s="127"/>
      <c r="T166" s="127"/>
      <c r="U166" s="127"/>
      <c r="V166" s="127"/>
      <c r="W166" s="127"/>
      <c r="X166" s="127"/>
      <c r="Y166" s="127"/>
      <c r="Z166" s="127"/>
      <c r="AA166" s="127"/>
    </row>
    <row r="167" customFormat="false" ht="13.8" hidden="false" customHeight="false" outlineLevel="0" collapsed="false">
      <c r="A167" s="127" t="str">
        <f aca="false">IF(ISBLANK(B167),"",B167&amp;"|"&amp;C167)</f>
        <v/>
      </c>
      <c r="B167" s="127"/>
      <c r="C167" s="127"/>
      <c r="D167" s="127"/>
      <c r="E167" s="133"/>
      <c r="F167" s="127"/>
      <c r="G167" s="127"/>
      <c r="H167" s="127"/>
      <c r="I167" s="127"/>
      <c r="J167" s="127"/>
      <c r="K167" s="127"/>
      <c r="L167" s="127"/>
      <c r="M167" s="127"/>
      <c r="N167" s="127"/>
      <c r="O167" s="127"/>
      <c r="P167" s="127"/>
      <c r="Q167" s="127"/>
      <c r="R167" s="127"/>
      <c r="S167" s="127"/>
      <c r="T167" s="127"/>
      <c r="U167" s="127"/>
      <c r="V167" s="127"/>
      <c r="W167" s="127"/>
      <c r="X167" s="127"/>
      <c r="Y167" s="127"/>
      <c r="Z167" s="127"/>
      <c r="AA167" s="127"/>
    </row>
    <row r="168" customFormat="false" ht="13.8" hidden="false" customHeight="false" outlineLevel="0" collapsed="false">
      <c r="A168" s="127" t="str">
        <f aca="false">IF(ISBLANK(B168),"",B168&amp;"|"&amp;C168)</f>
        <v/>
      </c>
      <c r="B168" s="127"/>
      <c r="C168" s="127"/>
      <c r="D168" s="127"/>
      <c r="E168" s="133"/>
      <c r="F168" s="127"/>
      <c r="G168" s="127"/>
      <c r="H168" s="127"/>
      <c r="I168" s="127"/>
      <c r="J168" s="127"/>
      <c r="K168" s="127"/>
      <c r="L168" s="127"/>
      <c r="M168" s="127"/>
      <c r="N168" s="127"/>
      <c r="O168" s="127"/>
      <c r="P168" s="127"/>
      <c r="Q168" s="127"/>
      <c r="R168" s="127"/>
      <c r="S168" s="127"/>
      <c r="T168" s="127"/>
      <c r="U168" s="127"/>
      <c r="V168" s="127"/>
      <c r="W168" s="127"/>
      <c r="X168" s="127"/>
      <c r="Y168" s="127"/>
      <c r="Z168" s="127"/>
      <c r="AA168" s="127"/>
    </row>
    <row r="169" customFormat="false" ht="13.8" hidden="false" customHeight="false" outlineLevel="0" collapsed="false">
      <c r="A169" s="127" t="str">
        <f aca="false">IF(ISBLANK(B169),"",B169&amp;"|"&amp;C169)</f>
        <v/>
      </c>
      <c r="B169" s="127"/>
      <c r="C169" s="127"/>
      <c r="D169" s="127"/>
      <c r="E169" s="133"/>
      <c r="F169" s="127"/>
      <c r="G169" s="127"/>
      <c r="H169" s="127"/>
      <c r="I169" s="127"/>
      <c r="J169" s="127"/>
      <c r="K169" s="127"/>
      <c r="L169" s="127"/>
      <c r="M169" s="127"/>
      <c r="N169" s="127"/>
      <c r="O169" s="127"/>
      <c r="P169" s="127"/>
      <c r="Q169" s="127"/>
      <c r="R169" s="127"/>
      <c r="S169" s="127"/>
      <c r="T169" s="127"/>
      <c r="U169" s="127"/>
      <c r="V169" s="127"/>
      <c r="W169" s="127"/>
      <c r="X169" s="127"/>
      <c r="Y169" s="127"/>
      <c r="Z169" s="127"/>
      <c r="AA169" s="127"/>
    </row>
    <row r="170" customFormat="false" ht="13.8" hidden="false" customHeight="false" outlineLevel="0" collapsed="false">
      <c r="A170" s="127" t="str">
        <f aca="false">IF(ISBLANK(B170),"",B170&amp;"|"&amp;C170)</f>
        <v/>
      </c>
      <c r="B170" s="127"/>
      <c r="C170" s="127"/>
      <c r="D170" s="127"/>
      <c r="E170" s="133"/>
      <c r="F170" s="127"/>
      <c r="G170" s="127"/>
      <c r="H170" s="127"/>
      <c r="I170" s="127"/>
      <c r="J170" s="127"/>
      <c r="K170" s="127"/>
      <c r="L170" s="127"/>
      <c r="M170" s="127"/>
      <c r="N170" s="127"/>
      <c r="O170" s="127"/>
      <c r="P170" s="127"/>
      <c r="Q170" s="127"/>
      <c r="R170" s="127"/>
      <c r="S170" s="127"/>
      <c r="T170" s="127"/>
      <c r="U170" s="127"/>
      <c r="V170" s="127"/>
      <c r="W170" s="127"/>
      <c r="X170" s="127"/>
      <c r="Y170" s="127"/>
      <c r="Z170" s="127"/>
      <c r="AA170" s="127"/>
    </row>
    <row r="171" customFormat="false" ht="13.8" hidden="false" customHeight="false" outlineLevel="0" collapsed="false">
      <c r="A171" s="127" t="str">
        <f aca="false">IF(ISBLANK(B171),"",B171&amp;"|"&amp;C171)</f>
        <v/>
      </c>
      <c r="B171" s="127"/>
      <c r="C171" s="127"/>
      <c r="D171" s="127"/>
      <c r="E171" s="133"/>
      <c r="F171" s="127"/>
      <c r="G171" s="127"/>
      <c r="H171" s="127"/>
      <c r="I171" s="127"/>
      <c r="J171" s="127"/>
      <c r="K171" s="127"/>
      <c r="L171" s="127"/>
      <c r="M171" s="127"/>
      <c r="N171" s="127"/>
      <c r="O171" s="127"/>
      <c r="P171" s="127"/>
      <c r="Q171" s="127"/>
      <c r="R171" s="127"/>
      <c r="S171" s="127"/>
      <c r="T171" s="127"/>
      <c r="U171" s="127"/>
      <c r="V171" s="127"/>
      <c r="W171" s="127"/>
      <c r="X171" s="127"/>
      <c r="Y171" s="127"/>
      <c r="Z171" s="127"/>
      <c r="AA171" s="127"/>
    </row>
    <row r="172" customFormat="false" ht="13.8" hidden="false" customHeight="false" outlineLevel="0" collapsed="false">
      <c r="A172" s="127" t="str">
        <f aca="false">IF(ISBLANK(B172),"",B172&amp;"|"&amp;C172)</f>
        <v/>
      </c>
      <c r="B172" s="127"/>
      <c r="C172" s="127"/>
      <c r="D172" s="127"/>
      <c r="E172" s="133"/>
      <c r="F172" s="127"/>
      <c r="G172" s="127"/>
      <c r="H172" s="127"/>
      <c r="I172" s="127"/>
      <c r="J172" s="127"/>
      <c r="K172" s="127"/>
      <c r="L172" s="127"/>
      <c r="M172" s="127"/>
      <c r="N172" s="127"/>
      <c r="O172" s="127"/>
      <c r="P172" s="127"/>
      <c r="Q172" s="127"/>
      <c r="R172" s="127"/>
      <c r="S172" s="127"/>
      <c r="T172" s="127"/>
      <c r="U172" s="127"/>
      <c r="V172" s="127"/>
      <c r="W172" s="127"/>
      <c r="X172" s="127"/>
      <c r="Y172" s="127"/>
      <c r="Z172" s="127"/>
      <c r="AA172" s="127"/>
    </row>
    <row r="173" customFormat="false" ht="13.8" hidden="false" customHeight="false" outlineLevel="0" collapsed="false">
      <c r="A173" s="127" t="str">
        <f aca="false">IF(ISBLANK(B173),"",B173&amp;"|"&amp;C173)</f>
        <v/>
      </c>
      <c r="B173" s="127"/>
      <c r="C173" s="127"/>
      <c r="D173" s="127"/>
      <c r="E173" s="133"/>
      <c r="F173" s="127"/>
      <c r="G173" s="127"/>
      <c r="H173" s="127"/>
      <c r="I173" s="127"/>
      <c r="J173" s="127"/>
      <c r="K173" s="127"/>
      <c r="L173" s="127"/>
      <c r="M173" s="127"/>
      <c r="N173" s="127"/>
      <c r="O173" s="127"/>
      <c r="P173" s="127"/>
      <c r="Q173" s="127"/>
      <c r="R173" s="127"/>
      <c r="S173" s="127"/>
      <c r="T173" s="127"/>
      <c r="U173" s="127"/>
      <c r="V173" s="127"/>
      <c r="W173" s="127"/>
      <c r="X173" s="127"/>
      <c r="Y173" s="127"/>
      <c r="Z173" s="127"/>
      <c r="AA173" s="127"/>
    </row>
    <row r="174" customFormat="false" ht="13.8" hidden="false" customHeight="false" outlineLevel="0" collapsed="false">
      <c r="A174" s="127" t="str">
        <f aca="false">IF(ISBLANK(B174),"",B174&amp;"|"&amp;C174)</f>
        <v/>
      </c>
      <c r="B174" s="127"/>
      <c r="C174" s="127"/>
      <c r="D174" s="127"/>
      <c r="E174" s="133"/>
      <c r="F174" s="127"/>
      <c r="G174" s="127"/>
      <c r="H174" s="127"/>
      <c r="I174" s="127"/>
      <c r="J174" s="127"/>
      <c r="K174" s="127"/>
      <c r="L174" s="127"/>
      <c r="M174" s="127"/>
      <c r="N174" s="127"/>
      <c r="O174" s="127"/>
      <c r="P174" s="127"/>
      <c r="Q174" s="127"/>
      <c r="R174" s="127"/>
      <c r="S174" s="127"/>
      <c r="T174" s="127"/>
      <c r="U174" s="127"/>
      <c r="V174" s="127"/>
      <c r="W174" s="127"/>
      <c r="X174" s="127"/>
      <c r="Y174" s="127"/>
      <c r="Z174" s="127"/>
      <c r="AA174" s="127"/>
    </row>
    <row r="175" customFormat="false" ht="13.8" hidden="false" customHeight="false" outlineLevel="0" collapsed="false">
      <c r="A175" s="127" t="str">
        <f aca="false">IF(ISBLANK(B175),"",B175&amp;"|"&amp;C175)</f>
        <v/>
      </c>
      <c r="B175" s="127"/>
      <c r="C175" s="127"/>
      <c r="D175" s="127"/>
      <c r="E175" s="133"/>
      <c r="F175" s="127"/>
      <c r="G175" s="127"/>
      <c r="H175" s="127"/>
      <c r="I175" s="127"/>
      <c r="J175" s="127"/>
      <c r="K175" s="127"/>
      <c r="L175" s="127"/>
      <c r="M175" s="127"/>
      <c r="N175" s="127"/>
      <c r="O175" s="127"/>
      <c r="P175" s="127"/>
      <c r="Q175" s="127"/>
      <c r="R175" s="127"/>
      <c r="S175" s="127"/>
      <c r="T175" s="127"/>
      <c r="U175" s="127"/>
      <c r="V175" s="127"/>
      <c r="W175" s="127"/>
      <c r="X175" s="127"/>
      <c r="Y175" s="127"/>
      <c r="Z175" s="127"/>
      <c r="AA175" s="127"/>
    </row>
    <row r="176" customFormat="false" ht="13.8" hidden="false" customHeight="false" outlineLevel="0" collapsed="false">
      <c r="A176" s="127" t="str">
        <f aca="false">IF(ISBLANK(B176),"",B176&amp;"|"&amp;C176)</f>
        <v/>
      </c>
      <c r="B176" s="127"/>
      <c r="C176" s="127"/>
      <c r="D176" s="127"/>
      <c r="E176" s="133"/>
      <c r="F176" s="127"/>
      <c r="G176" s="127"/>
      <c r="H176" s="127"/>
      <c r="I176" s="127"/>
      <c r="J176" s="127"/>
      <c r="K176" s="127"/>
      <c r="L176" s="127"/>
      <c r="M176" s="127"/>
      <c r="N176" s="127"/>
      <c r="O176" s="127"/>
      <c r="P176" s="127"/>
      <c r="Q176" s="127"/>
      <c r="R176" s="127"/>
      <c r="S176" s="127"/>
      <c r="T176" s="127"/>
      <c r="U176" s="127"/>
      <c r="V176" s="127"/>
      <c r="W176" s="127"/>
      <c r="X176" s="127"/>
      <c r="Y176" s="127"/>
      <c r="Z176" s="127"/>
      <c r="AA176" s="127"/>
    </row>
    <row r="177" customFormat="false" ht="13.8" hidden="false" customHeight="false" outlineLevel="0" collapsed="false">
      <c r="A177" s="127" t="str">
        <f aca="false">IF(ISBLANK(B177),"",B177&amp;"|"&amp;C177)</f>
        <v/>
      </c>
      <c r="B177" s="127"/>
      <c r="C177" s="127"/>
      <c r="D177" s="127"/>
      <c r="E177" s="133"/>
      <c r="F177" s="127"/>
      <c r="G177" s="127"/>
      <c r="H177" s="127"/>
      <c r="I177" s="127"/>
      <c r="J177" s="127"/>
      <c r="K177" s="127"/>
      <c r="L177" s="127"/>
      <c r="M177" s="127"/>
      <c r="N177" s="127"/>
      <c r="O177" s="127"/>
      <c r="P177" s="127"/>
      <c r="Q177" s="127"/>
      <c r="R177" s="127"/>
      <c r="S177" s="127"/>
      <c r="T177" s="127"/>
      <c r="U177" s="127"/>
      <c r="V177" s="127"/>
      <c r="W177" s="127"/>
      <c r="X177" s="127"/>
      <c r="Y177" s="127"/>
      <c r="Z177" s="127"/>
      <c r="AA177" s="127"/>
    </row>
    <row r="178" customFormat="false" ht="13.8" hidden="false" customHeight="false" outlineLevel="0" collapsed="false">
      <c r="A178" s="127" t="str">
        <f aca="false">IF(ISBLANK(B178),"",B178&amp;"|"&amp;C178)</f>
        <v/>
      </c>
      <c r="B178" s="127"/>
      <c r="C178" s="127"/>
      <c r="D178" s="127"/>
      <c r="E178" s="133"/>
      <c r="F178" s="127"/>
      <c r="G178" s="127"/>
      <c r="H178" s="127"/>
      <c r="I178" s="127"/>
      <c r="J178" s="127"/>
      <c r="K178" s="127"/>
      <c r="L178" s="127"/>
      <c r="M178" s="127"/>
      <c r="N178" s="127"/>
      <c r="O178" s="127"/>
      <c r="P178" s="127"/>
      <c r="Q178" s="127"/>
      <c r="R178" s="127"/>
      <c r="S178" s="127"/>
      <c r="T178" s="127"/>
      <c r="U178" s="127"/>
      <c r="V178" s="127"/>
      <c r="W178" s="127"/>
      <c r="X178" s="127"/>
      <c r="Y178" s="127"/>
      <c r="Z178" s="127"/>
      <c r="AA178" s="127"/>
    </row>
    <row r="179" customFormat="false" ht="13.8" hidden="false" customHeight="false" outlineLevel="0" collapsed="false">
      <c r="A179" s="127" t="str">
        <f aca="false">IF(ISBLANK(B179),"",B179&amp;"|"&amp;C179)</f>
        <v/>
      </c>
      <c r="B179" s="127"/>
      <c r="C179" s="127"/>
      <c r="D179" s="127"/>
      <c r="E179" s="133"/>
      <c r="F179" s="127"/>
      <c r="G179" s="127"/>
      <c r="H179" s="127"/>
      <c r="I179" s="127"/>
      <c r="J179" s="127"/>
      <c r="K179" s="127"/>
      <c r="L179" s="127"/>
      <c r="M179" s="127"/>
      <c r="N179" s="127"/>
      <c r="O179" s="127"/>
      <c r="P179" s="127"/>
      <c r="Q179" s="127"/>
      <c r="R179" s="127"/>
      <c r="S179" s="127"/>
      <c r="T179" s="127"/>
      <c r="U179" s="127"/>
      <c r="V179" s="127"/>
      <c r="W179" s="127"/>
      <c r="X179" s="127"/>
      <c r="Y179" s="127"/>
      <c r="Z179" s="127"/>
      <c r="AA179" s="127"/>
    </row>
    <row r="180" customFormat="false" ht="13.8" hidden="false" customHeight="false" outlineLevel="0" collapsed="false">
      <c r="A180" s="127" t="str">
        <f aca="false">IF(ISBLANK(B180),"",B180&amp;"|"&amp;C180)</f>
        <v/>
      </c>
      <c r="B180" s="127"/>
      <c r="C180" s="127"/>
      <c r="D180" s="127"/>
      <c r="E180" s="133"/>
      <c r="F180" s="127"/>
      <c r="G180" s="127"/>
      <c r="H180" s="127"/>
      <c r="I180" s="127"/>
      <c r="J180" s="127"/>
      <c r="K180" s="127"/>
      <c r="L180" s="127"/>
      <c r="M180" s="127"/>
      <c r="N180" s="127"/>
      <c r="O180" s="127"/>
      <c r="P180" s="127"/>
      <c r="Q180" s="127"/>
      <c r="R180" s="127"/>
      <c r="S180" s="127"/>
      <c r="T180" s="127"/>
      <c r="U180" s="127"/>
      <c r="V180" s="127"/>
      <c r="W180" s="127"/>
      <c r="X180" s="127"/>
      <c r="Y180" s="127"/>
      <c r="Z180" s="127"/>
      <c r="AA180" s="127"/>
    </row>
    <row r="181" customFormat="false" ht="13.8" hidden="false" customHeight="false" outlineLevel="0" collapsed="false">
      <c r="A181" s="127" t="str">
        <f aca="false">IF(ISBLANK(B181),"",B181&amp;"|"&amp;C181)</f>
        <v/>
      </c>
      <c r="B181" s="127"/>
      <c r="C181" s="127"/>
      <c r="D181" s="127"/>
      <c r="E181" s="133"/>
      <c r="F181" s="127"/>
      <c r="G181" s="127"/>
      <c r="H181" s="127"/>
      <c r="I181" s="127"/>
      <c r="J181" s="127"/>
      <c r="K181" s="127"/>
      <c r="L181" s="127"/>
      <c r="M181" s="127"/>
      <c r="N181" s="127"/>
      <c r="O181" s="127"/>
      <c r="P181" s="127"/>
      <c r="Q181" s="127"/>
      <c r="R181" s="127"/>
      <c r="S181" s="127"/>
      <c r="T181" s="127"/>
      <c r="U181" s="127"/>
      <c r="V181" s="127"/>
      <c r="W181" s="127"/>
      <c r="X181" s="127"/>
      <c r="Y181" s="127"/>
      <c r="Z181" s="127"/>
      <c r="AA181" s="127"/>
    </row>
    <row r="182" customFormat="false" ht="13.8" hidden="false" customHeight="false" outlineLevel="0" collapsed="false">
      <c r="A182" s="127" t="str">
        <f aca="false">IF(ISBLANK(B182),"",B182&amp;"|"&amp;C182)</f>
        <v/>
      </c>
      <c r="B182" s="127"/>
      <c r="C182" s="127"/>
      <c r="D182" s="127"/>
      <c r="E182" s="133"/>
      <c r="F182" s="127"/>
      <c r="G182" s="127"/>
      <c r="H182" s="127"/>
      <c r="I182" s="127"/>
      <c r="J182" s="127"/>
      <c r="K182" s="127"/>
      <c r="L182" s="127"/>
      <c r="M182" s="127"/>
      <c r="N182" s="127"/>
      <c r="O182" s="127"/>
      <c r="P182" s="127"/>
      <c r="Q182" s="127"/>
      <c r="R182" s="127"/>
      <c r="S182" s="127"/>
      <c r="T182" s="127"/>
      <c r="U182" s="127"/>
      <c r="V182" s="127"/>
      <c r="W182" s="127"/>
      <c r="X182" s="127"/>
      <c r="Y182" s="127"/>
      <c r="Z182" s="127"/>
      <c r="AA182" s="127"/>
    </row>
    <row r="183" customFormat="false" ht="13.8" hidden="false" customHeight="false" outlineLevel="0" collapsed="false">
      <c r="A183" s="127" t="str">
        <f aca="false">IF(ISBLANK(B183),"",B183&amp;"|"&amp;C183)</f>
        <v/>
      </c>
      <c r="B183" s="127"/>
      <c r="C183" s="127"/>
      <c r="D183" s="127"/>
      <c r="E183" s="133"/>
      <c r="F183" s="127"/>
      <c r="G183" s="127"/>
      <c r="H183" s="127"/>
      <c r="I183" s="127"/>
      <c r="J183" s="127"/>
      <c r="K183" s="127"/>
      <c r="L183" s="127"/>
      <c r="M183" s="127"/>
      <c r="N183" s="127"/>
      <c r="O183" s="127"/>
      <c r="P183" s="127"/>
      <c r="Q183" s="127"/>
      <c r="R183" s="127"/>
      <c r="S183" s="127"/>
      <c r="T183" s="127"/>
      <c r="U183" s="127"/>
      <c r="V183" s="127"/>
      <c r="W183" s="127"/>
      <c r="X183" s="127"/>
      <c r="Y183" s="127"/>
      <c r="Z183" s="127"/>
      <c r="AA183" s="127"/>
    </row>
    <row r="184" customFormat="false" ht="13.8" hidden="false" customHeight="false" outlineLevel="0" collapsed="false">
      <c r="A184" s="127" t="str">
        <f aca="false">IF(ISBLANK(B184),"",B184&amp;"|"&amp;C184)</f>
        <v/>
      </c>
      <c r="B184" s="127"/>
      <c r="C184" s="127"/>
      <c r="D184" s="127"/>
      <c r="E184" s="133"/>
      <c r="F184" s="127"/>
      <c r="G184" s="127"/>
      <c r="H184" s="127"/>
      <c r="I184" s="127"/>
      <c r="J184" s="127"/>
      <c r="K184" s="127"/>
      <c r="L184" s="127"/>
      <c r="M184" s="127"/>
      <c r="N184" s="127"/>
      <c r="O184" s="127"/>
      <c r="P184" s="127"/>
      <c r="Q184" s="127"/>
      <c r="R184" s="127"/>
      <c r="S184" s="127"/>
      <c r="T184" s="127"/>
      <c r="U184" s="127"/>
      <c r="V184" s="127"/>
      <c r="W184" s="127"/>
      <c r="X184" s="127"/>
      <c r="Y184" s="127"/>
      <c r="Z184" s="127"/>
      <c r="AA184" s="127"/>
    </row>
    <row r="185" customFormat="false" ht="13.8" hidden="false" customHeight="false" outlineLevel="0" collapsed="false">
      <c r="A185" s="127" t="str">
        <f aca="false">IF(ISBLANK(B185),"",B185&amp;"|"&amp;C185)</f>
        <v/>
      </c>
      <c r="B185" s="127"/>
      <c r="C185" s="127"/>
      <c r="D185" s="127"/>
      <c r="E185" s="133"/>
      <c r="F185" s="127"/>
      <c r="G185" s="127"/>
      <c r="H185" s="127"/>
      <c r="I185" s="127"/>
      <c r="J185" s="127"/>
      <c r="K185" s="127"/>
      <c r="L185" s="127"/>
      <c r="M185" s="127"/>
      <c r="N185" s="127"/>
      <c r="O185" s="127"/>
      <c r="P185" s="127"/>
      <c r="Q185" s="127"/>
      <c r="R185" s="127"/>
      <c r="S185" s="127"/>
      <c r="T185" s="127"/>
      <c r="U185" s="127"/>
      <c r="V185" s="127"/>
      <c r="W185" s="127"/>
      <c r="X185" s="127"/>
      <c r="Y185" s="127"/>
      <c r="Z185" s="127"/>
      <c r="AA185" s="127"/>
    </row>
    <row r="186" customFormat="false" ht="13.8" hidden="false" customHeight="false" outlineLevel="0" collapsed="false">
      <c r="A186" s="127" t="str">
        <f aca="false">IF(ISBLANK(B186),"",B186&amp;"|"&amp;C186)</f>
        <v/>
      </c>
      <c r="B186" s="127"/>
      <c r="C186" s="127"/>
      <c r="D186" s="127"/>
      <c r="E186" s="133"/>
      <c r="F186" s="127"/>
      <c r="G186" s="127"/>
      <c r="H186" s="127"/>
      <c r="I186" s="127"/>
      <c r="J186" s="127"/>
      <c r="K186" s="127"/>
      <c r="L186" s="127"/>
      <c r="M186" s="127"/>
      <c r="N186" s="127"/>
      <c r="O186" s="127"/>
      <c r="P186" s="127"/>
      <c r="Q186" s="127"/>
      <c r="R186" s="127"/>
      <c r="S186" s="127"/>
      <c r="T186" s="127"/>
      <c r="U186" s="127"/>
      <c r="V186" s="127"/>
      <c r="W186" s="127"/>
      <c r="X186" s="127"/>
      <c r="Y186" s="127"/>
      <c r="Z186" s="127"/>
      <c r="AA186" s="127"/>
    </row>
    <row r="187" customFormat="false" ht="13.8" hidden="false" customHeight="false" outlineLevel="0" collapsed="false">
      <c r="A187" s="127" t="str">
        <f aca="false">IF(ISBLANK(B187),"",B187&amp;"|"&amp;C187)</f>
        <v/>
      </c>
      <c r="B187" s="127"/>
      <c r="C187" s="127"/>
      <c r="D187" s="127"/>
      <c r="E187" s="133"/>
      <c r="F187" s="127"/>
      <c r="G187" s="127"/>
      <c r="H187" s="127"/>
      <c r="I187" s="127"/>
      <c r="J187" s="127"/>
      <c r="K187" s="127"/>
      <c r="L187" s="127"/>
      <c r="M187" s="127"/>
      <c r="N187" s="127"/>
      <c r="O187" s="127"/>
      <c r="P187" s="127"/>
      <c r="Q187" s="127"/>
      <c r="R187" s="127"/>
      <c r="S187" s="127"/>
      <c r="T187" s="127"/>
      <c r="U187" s="127"/>
      <c r="V187" s="127"/>
      <c r="W187" s="127"/>
      <c r="X187" s="127"/>
      <c r="Y187" s="127"/>
      <c r="Z187" s="127"/>
      <c r="AA187" s="127"/>
    </row>
    <row r="188" customFormat="false" ht="13.8" hidden="false" customHeight="false" outlineLevel="0" collapsed="false">
      <c r="A188" s="127" t="str">
        <f aca="false">IF(ISBLANK(B188),"",B188&amp;"|"&amp;C188)</f>
        <v/>
      </c>
      <c r="B188" s="127"/>
      <c r="C188" s="127"/>
      <c r="D188" s="127"/>
      <c r="E188" s="133"/>
      <c r="F188" s="127"/>
      <c r="G188" s="127"/>
      <c r="H188" s="127"/>
      <c r="I188" s="127"/>
      <c r="J188" s="127"/>
      <c r="K188" s="127"/>
      <c r="L188" s="127"/>
      <c r="M188" s="127"/>
      <c r="N188" s="127"/>
      <c r="O188" s="127"/>
      <c r="P188" s="127"/>
      <c r="Q188" s="127"/>
      <c r="R188" s="127"/>
      <c r="S188" s="127"/>
      <c r="T188" s="127"/>
      <c r="U188" s="127"/>
      <c r="V188" s="127"/>
      <c r="W188" s="127"/>
      <c r="X188" s="127"/>
      <c r="Y188" s="127"/>
      <c r="Z188" s="127"/>
      <c r="AA188" s="127"/>
    </row>
    <row r="189" customFormat="false" ht="13.8" hidden="false" customHeight="false" outlineLevel="0" collapsed="false">
      <c r="A189" s="127" t="str">
        <f aca="false">IF(ISBLANK(B189),"",B189&amp;"|"&amp;C189)</f>
        <v/>
      </c>
      <c r="B189" s="127"/>
      <c r="C189" s="127"/>
      <c r="D189" s="127"/>
      <c r="E189" s="133"/>
      <c r="F189" s="127"/>
      <c r="G189" s="127"/>
      <c r="H189" s="127"/>
      <c r="I189" s="127"/>
      <c r="J189" s="127"/>
      <c r="K189" s="127"/>
      <c r="L189" s="127"/>
      <c r="M189" s="127"/>
      <c r="N189" s="127"/>
      <c r="O189" s="127"/>
      <c r="P189" s="127"/>
      <c r="Q189" s="127"/>
      <c r="R189" s="127"/>
      <c r="S189" s="127"/>
      <c r="T189" s="127"/>
      <c r="U189" s="127"/>
      <c r="V189" s="127"/>
      <c r="W189" s="127"/>
      <c r="X189" s="127"/>
      <c r="Y189" s="127"/>
      <c r="Z189" s="127"/>
      <c r="AA189" s="127"/>
    </row>
    <row r="190" customFormat="false" ht="13.8" hidden="false" customHeight="false" outlineLevel="0" collapsed="false">
      <c r="A190" s="127" t="str">
        <f aca="false">IF(ISBLANK(B190),"",B190&amp;"|"&amp;C190)</f>
        <v/>
      </c>
      <c r="B190" s="127"/>
      <c r="C190" s="127"/>
      <c r="D190" s="127"/>
      <c r="E190" s="133"/>
      <c r="F190" s="127"/>
      <c r="G190" s="127"/>
      <c r="H190" s="127"/>
      <c r="I190" s="127"/>
      <c r="J190" s="127"/>
      <c r="K190" s="127"/>
      <c r="L190" s="127"/>
      <c r="M190" s="127"/>
      <c r="N190" s="127"/>
      <c r="O190" s="127"/>
      <c r="P190" s="127"/>
      <c r="Q190" s="127"/>
      <c r="R190" s="127"/>
      <c r="S190" s="127"/>
      <c r="T190" s="127"/>
      <c r="U190" s="127"/>
      <c r="V190" s="127"/>
      <c r="W190" s="127"/>
      <c r="X190" s="127"/>
      <c r="Y190" s="127"/>
      <c r="Z190" s="127"/>
      <c r="AA190" s="127"/>
    </row>
    <row r="191" customFormat="false" ht="13.8" hidden="false" customHeight="false" outlineLevel="0" collapsed="false">
      <c r="A191" s="127" t="str">
        <f aca="false">IF(ISBLANK(B191),"",B191&amp;"|"&amp;C191)</f>
        <v/>
      </c>
      <c r="B191" s="127"/>
      <c r="C191" s="127"/>
      <c r="D191" s="127"/>
      <c r="E191" s="133"/>
      <c r="F191" s="127"/>
      <c r="G191" s="127"/>
      <c r="H191" s="127"/>
      <c r="I191" s="127"/>
      <c r="J191" s="127"/>
      <c r="K191" s="127"/>
      <c r="L191" s="127"/>
      <c r="M191" s="127"/>
      <c r="N191" s="127"/>
      <c r="O191" s="127"/>
      <c r="P191" s="127"/>
      <c r="Q191" s="127"/>
      <c r="R191" s="127"/>
      <c r="S191" s="127"/>
      <c r="T191" s="127"/>
      <c r="U191" s="127"/>
      <c r="V191" s="127"/>
      <c r="W191" s="127"/>
      <c r="X191" s="127"/>
      <c r="Y191" s="127"/>
      <c r="Z191" s="127"/>
      <c r="AA191" s="127"/>
    </row>
    <row r="192" customFormat="false" ht="13.8" hidden="false" customHeight="false" outlineLevel="0" collapsed="false">
      <c r="A192" s="127" t="str">
        <f aca="false">IF(ISBLANK(B192),"",B192&amp;"|"&amp;C192)</f>
        <v/>
      </c>
      <c r="B192" s="127"/>
      <c r="C192" s="127"/>
      <c r="D192" s="127"/>
      <c r="E192" s="133"/>
      <c r="F192" s="127"/>
      <c r="G192" s="127"/>
      <c r="H192" s="127"/>
      <c r="I192" s="127"/>
      <c r="J192" s="127"/>
      <c r="K192" s="127"/>
      <c r="L192" s="127"/>
      <c r="M192" s="127"/>
      <c r="N192" s="127"/>
      <c r="O192" s="127"/>
      <c r="P192" s="127"/>
      <c r="Q192" s="127"/>
      <c r="R192" s="127"/>
      <c r="S192" s="127"/>
      <c r="T192" s="127"/>
      <c r="U192" s="127"/>
      <c r="V192" s="127"/>
      <c r="W192" s="127"/>
      <c r="X192" s="127"/>
      <c r="Y192" s="127"/>
      <c r="Z192" s="127"/>
      <c r="AA192" s="127"/>
    </row>
    <row r="193" customFormat="false" ht="13.8" hidden="false" customHeight="false" outlineLevel="0" collapsed="false">
      <c r="A193" s="127" t="str">
        <f aca="false">IF(ISBLANK(B193),"",B193&amp;"|"&amp;C193)</f>
        <v/>
      </c>
      <c r="B193" s="127"/>
      <c r="C193" s="127"/>
      <c r="D193" s="127"/>
      <c r="E193" s="133"/>
      <c r="F193" s="127"/>
      <c r="G193" s="127"/>
      <c r="H193" s="127"/>
      <c r="I193" s="127"/>
      <c r="J193" s="127"/>
      <c r="K193" s="127"/>
      <c r="L193" s="127"/>
      <c r="M193" s="127"/>
      <c r="N193" s="127"/>
      <c r="O193" s="127"/>
      <c r="P193" s="127"/>
      <c r="Q193" s="127"/>
      <c r="R193" s="127"/>
      <c r="S193" s="127"/>
      <c r="T193" s="127"/>
      <c r="U193" s="127"/>
      <c r="V193" s="127"/>
      <c r="W193" s="127"/>
      <c r="X193" s="127"/>
      <c r="Y193" s="127"/>
      <c r="Z193" s="127"/>
      <c r="AA193" s="127"/>
    </row>
    <row r="194" customFormat="false" ht="13.8" hidden="false" customHeight="false" outlineLevel="0" collapsed="false">
      <c r="A194" s="127" t="str">
        <f aca="false">IF(ISBLANK(B194),"",B194&amp;"|"&amp;C194)</f>
        <v/>
      </c>
      <c r="B194" s="127"/>
      <c r="C194" s="127"/>
      <c r="D194" s="127"/>
      <c r="E194" s="133"/>
      <c r="F194" s="127"/>
      <c r="G194" s="127"/>
      <c r="H194" s="127"/>
      <c r="I194" s="127"/>
      <c r="J194" s="127"/>
      <c r="K194" s="127"/>
      <c r="L194" s="127"/>
      <c r="M194" s="127"/>
      <c r="N194" s="127"/>
      <c r="O194" s="127"/>
      <c r="P194" s="127"/>
      <c r="Q194" s="127"/>
      <c r="R194" s="127"/>
      <c r="S194" s="127"/>
      <c r="T194" s="127"/>
      <c r="U194" s="127"/>
      <c r="V194" s="127"/>
      <c r="W194" s="127"/>
      <c r="X194" s="127"/>
      <c r="Y194" s="127"/>
      <c r="Z194" s="127"/>
      <c r="AA194" s="127"/>
    </row>
    <row r="195" customFormat="false" ht="13.8" hidden="false" customHeight="false" outlineLevel="0" collapsed="false">
      <c r="A195" s="127" t="str">
        <f aca="false">IF(ISBLANK(B195),"",B195&amp;"|"&amp;C195)</f>
        <v/>
      </c>
      <c r="B195" s="127"/>
      <c r="C195" s="127"/>
      <c r="D195" s="127"/>
      <c r="E195" s="133"/>
      <c r="F195" s="127"/>
      <c r="G195" s="127"/>
      <c r="H195" s="127"/>
      <c r="I195" s="127"/>
      <c r="J195" s="127"/>
      <c r="K195" s="127"/>
      <c r="L195" s="127"/>
      <c r="M195" s="127"/>
      <c r="N195" s="127"/>
      <c r="O195" s="127"/>
      <c r="P195" s="127"/>
      <c r="Q195" s="127"/>
      <c r="R195" s="127"/>
      <c r="S195" s="127"/>
      <c r="T195" s="127"/>
      <c r="U195" s="127"/>
      <c r="V195" s="127"/>
      <c r="W195" s="127"/>
      <c r="X195" s="127"/>
      <c r="Y195" s="127"/>
      <c r="Z195" s="127"/>
      <c r="AA195" s="127"/>
    </row>
    <row r="196" customFormat="false" ht="13.8" hidden="false" customHeight="false" outlineLevel="0" collapsed="false">
      <c r="A196" s="127" t="str">
        <f aca="false">IF(ISBLANK(B196),"",B196&amp;"|"&amp;C196)</f>
        <v/>
      </c>
      <c r="B196" s="127"/>
      <c r="C196" s="127"/>
      <c r="D196" s="127"/>
      <c r="E196" s="133"/>
      <c r="F196" s="127"/>
      <c r="G196" s="127"/>
      <c r="H196" s="127"/>
      <c r="I196" s="127"/>
      <c r="J196" s="127"/>
      <c r="K196" s="127"/>
      <c r="L196" s="127"/>
      <c r="M196" s="127"/>
      <c r="N196" s="127"/>
      <c r="O196" s="127"/>
      <c r="P196" s="127"/>
      <c r="Q196" s="127"/>
      <c r="R196" s="127"/>
      <c r="S196" s="127"/>
      <c r="T196" s="127"/>
      <c r="U196" s="127"/>
      <c r="V196" s="127"/>
      <c r="W196" s="127"/>
      <c r="X196" s="127"/>
      <c r="Y196" s="127"/>
      <c r="Z196" s="127"/>
      <c r="AA196" s="127"/>
    </row>
    <row r="197" customFormat="false" ht="13.8" hidden="false" customHeight="false" outlineLevel="0" collapsed="false">
      <c r="A197" s="127" t="str">
        <f aca="false">IF(ISBLANK(B197),"",B197&amp;"|"&amp;C197)</f>
        <v/>
      </c>
      <c r="B197" s="127"/>
      <c r="C197" s="127"/>
      <c r="D197" s="127"/>
      <c r="E197" s="133"/>
      <c r="F197" s="127"/>
      <c r="G197" s="127"/>
      <c r="H197" s="127"/>
      <c r="I197" s="127"/>
      <c r="J197" s="127"/>
      <c r="K197" s="127"/>
      <c r="L197" s="127"/>
      <c r="M197" s="127"/>
      <c r="N197" s="127"/>
      <c r="O197" s="127"/>
      <c r="P197" s="127"/>
      <c r="Q197" s="127"/>
      <c r="R197" s="127"/>
      <c r="S197" s="127"/>
      <c r="T197" s="127"/>
      <c r="U197" s="127"/>
      <c r="V197" s="127"/>
      <c r="W197" s="127"/>
      <c r="X197" s="127"/>
      <c r="Y197" s="127"/>
      <c r="Z197" s="127"/>
      <c r="AA197" s="127"/>
    </row>
    <row r="198" customFormat="false" ht="13.8" hidden="false" customHeight="false" outlineLevel="0" collapsed="false">
      <c r="A198" s="127" t="str">
        <f aca="false">IF(ISBLANK(B198),"",B198&amp;"|"&amp;C198)</f>
        <v/>
      </c>
      <c r="B198" s="127"/>
      <c r="C198" s="127"/>
      <c r="D198" s="127"/>
      <c r="E198" s="133"/>
      <c r="F198" s="127"/>
      <c r="G198" s="127"/>
      <c r="H198" s="127"/>
      <c r="I198" s="127"/>
      <c r="J198" s="127"/>
      <c r="K198" s="127"/>
      <c r="L198" s="127"/>
      <c r="M198" s="127"/>
      <c r="N198" s="127"/>
      <c r="O198" s="127"/>
      <c r="P198" s="127"/>
      <c r="Q198" s="127"/>
      <c r="R198" s="127"/>
      <c r="S198" s="127"/>
      <c r="T198" s="127"/>
      <c r="U198" s="127"/>
      <c r="V198" s="127"/>
      <c r="W198" s="127"/>
      <c r="X198" s="127"/>
      <c r="Y198" s="127"/>
      <c r="Z198" s="127"/>
      <c r="AA198" s="127"/>
    </row>
    <row r="199" customFormat="false" ht="13.8" hidden="false" customHeight="false" outlineLevel="0" collapsed="false">
      <c r="A199" s="127" t="str">
        <f aca="false">IF(ISBLANK(B199),"",B199&amp;"|"&amp;C199)</f>
        <v/>
      </c>
      <c r="B199" s="127"/>
      <c r="C199" s="127"/>
      <c r="D199" s="127"/>
      <c r="E199" s="133"/>
      <c r="F199" s="127"/>
      <c r="G199" s="127"/>
      <c r="H199" s="127"/>
      <c r="I199" s="127"/>
      <c r="J199" s="127"/>
      <c r="K199" s="127"/>
      <c r="L199" s="127"/>
      <c r="M199" s="127"/>
      <c r="N199" s="127"/>
      <c r="O199" s="127"/>
      <c r="P199" s="127"/>
      <c r="Q199" s="127"/>
      <c r="R199" s="127"/>
      <c r="S199" s="127"/>
      <c r="T199" s="127"/>
      <c r="U199" s="127"/>
      <c r="V199" s="127"/>
      <c r="W199" s="127"/>
      <c r="X199" s="127"/>
      <c r="Y199" s="127"/>
      <c r="Z199" s="127"/>
      <c r="AA199" s="127"/>
    </row>
    <row r="200" customFormat="false" ht="13.8" hidden="false" customHeight="false" outlineLevel="0" collapsed="false">
      <c r="A200" s="127" t="str">
        <f aca="false">IF(ISBLANK(B200),"",B200&amp;"|"&amp;C200)</f>
        <v/>
      </c>
      <c r="B200" s="127"/>
      <c r="C200" s="127"/>
      <c r="D200" s="127"/>
      <c r="E200" s="133"/>
      <c r="F200" s="127"/>
      <c r="G200" s="127"/>
      <c r="H200" s="127"/>
      <c r="I200" s="127"/>
      <c r="J200" s="127"/>
      <c r="K200" s="127"/>
      <c r="L200" s="127"/>
      <c r="M200" s="127"/>
      <c r="N200" s="127"/>
      <c r="O200" s="127"/>
      <c r="P200" s="127"/>
      <c r="Q200" s="127"/>
      <c r="R200" s="127"/>
      <c r="S200" s="127"/>
      <c r="T200" s="127"/>
      <c r="U200" s="127"/>
      <c r="V200" s="127"/>
      <c r="W200" s="127"/>
      <c r="X200" s="127"/>
      <c r="Y200" s="127"/>
      <c r="Z200" s="127"/>
      <c r="AA200" s="127"/>
    </row>
    <row r="201" customFormat="false" ht="13.8" hidden="false" customHeight="false" outlineLevel="0" collapsed="false">
      <c r="A201" s="127" t="str">
        <f aca="false">IF(ISBLANK(B201),"",B201&amp;"|"&amp;C201)</f>
        <v/>
      </c>
      <c r="B201" s="127"/>
      <c r="C201" s="127"/>
      <c r="D201" s="127"/>
      <c r="E201" s="133"/>
      <c r="F201" s="127"/>
      <c r="G201" s="127"/>
      <c r="H201" s="127"/>
      <c r="I201" s="127"/>
      <c r="J201" s="127"/>
      <c r="K201" s="127"/>
      <c r="L201" s="127"/>
      <c r="M201" s="127"/>
      <c r="N201" s="127"/>
      <c r="O201" s="127"/>
      <c r="P201" s="127"/>
      <c r="Q201" s="127"/>
      <c r="R201" s="127"/>
      <c r="S201" s="127"/>
      <c r="T201" s="127"/>
      <c r="U201" s="127"/>
      <c r="V201" s="127"/>
      <c r="W201" s="127"/>
      <c r="X201" s="127"/>
      <c r="Y201" s="127"/>
      <c r="Z201" s="127"/>
      <c r="AA201" s="127"/>
    </row>
    <row r="202" customFormat="false" ht="15.75" hidden="false" customHeight="false" outlineLevel="0" collapsed="false">
      <c r="A202" s="127" t="str">
        <f aca="false">IF(ISBLANK(B202),"",B202&amp;"|"&amp;C202)</f>
        <v/>
      </c>
      <c r="B202" s="127"/>
      <c r="C202" s="127"/>
      <c r="D202" s="127"/>
      <c r="E202" s="133"/>
      <c r="F202" s="127"/>
      <c r="G202" s="127"/>
      <c r="H202" s="127"/>
      <c r="I202" s="127"/>
      <c r="J202" s="127"/>
      <c r="K202" s="127"/>
      <c r="L202" s="127"/>
      <c r="M202" s="127"/>
      <c r="N202" s="127"/>
      <c r="O202" s="127"/>
      <c r="P202" s="127"/>
      <c r="Q202" s="127"/>
      <c r="R202" s="127"/>
      <c r="S202" s="127"/>
      <c r="T202" s="127"/>
      <c r="U202" s="127"/>
      <c r="V202" s="127"/>
      <c r="W202" s="127"/>
      <c r="X202" s="127"/>
      <c r="Y202" s="127"/>
      <c r="Z202" s="127"/>
      <c r="AA202" s="127"/>
    </row>
    <row r="203" customFormat="false" ht="15.75" hidden="false" customHeight="false" outlineLevel="0" collapsed="false">
      <c r="A203" s="127" t="str">
        <f aca="false">IF(ISBLANK(B203),"",B203&amp;"|"&amp;C203)</f>
        <v/>
      </c>
      <c r="B203" s="127"/>
      <c r="C203" s="127"/>
      <c r="D203" s="127"/>
      <c r="E203" s="133"/>
      <c r="F203" s="127"/>
      <c r="G203" s="127"/>
      <c r="H203" s="127"/>
      <c r="I203" s="127"/>
      <c r="J203" s="127"/>
      <c r="K203" s="127"/>
      <c r="L203" s="127"/>
      <c r="M203" s="127"/>
      <c r="N203" s="127"/>
      <c r="O203" s="127"/>
      <c r="P203" s="127"/>
      <c r="Q203" s="127"/>
      <c r="R203" s="127"/>
      <c r="S203" s="127"/>
      <c r="T203" s="127"/>
      <c r="U203" s="127"/>
      <c r="V203" s="127"/>
      <c r="W203" s="127"/>
      <c r="X203" s="127"/>
      <c r="Y203" s="127"/>
      <c r="Z203" s="127"/>
      <c r="AA203" s="127"/>
    </row>
    <row r="204" customFormat="false" ht="15.75" hidden="false" customHeight="false" outlineLevel="0" collapsed="false">
      <c r="A204" s="127" t="str">
        <f aca="false">IF(ISBLANK(B204),"",B204&amp;"|"&amp;C204)</f>
        <v/>
      </c>
      <c r="B204" s="127"/>
      <c r="C204" s="127"/>
      <c r="D204" s="127"/>
      <c r="E204" s="133"/>
      <c r="F204" s="127"/>
      <c r="G204" s="127"/>
      <c r="H204" s="127"/>
      <c r="I204" s="127"/>
      <c r="J204" s="127"/>
      <c r="K204" s="127"/>
      <c r="L204" s="127"/>
      <c r="M204" s="127"/>
      <c r="N204" s="127"/>
      <c r="O204" s="127"/>
      <c r="P204" s="127"/>
      <c r="Q204" s="127"/>
      <c r="R204" s="127"/>
      <c r="S204" s="127"/>
      <c r="T204" s="127"/>
      <c r="U204" s="127"/>
      <c r="V204" s="127"/>
      <c r="W204" s="127"/>
      <c r="X204" s="127"/>
      <c r="Y204" s="127"/>
      <c r="Z204" s="127"/>
      <c r="AA204" s="127"/>
    </row>
    <row r="205" customFormat="false" ht="15.75" hidden="false" customHeight="false" outlineLevel="0" collapsed="false">
      <c r="A205" s="127" t="str">
        <f aca="false">IF(ISBLANK(B205),"",B205&amp;"|"&amp;C205)</f>
        <v/>
      </c>
      <c r="B205" s="127"/>
      <c r="C205" s="127"/>
      <c r="D205" s="127"/>
      <c r="E205" s="133"/>
      <c r="F205" s="127"/>
      <c r="G205" s="127"/>
      <c r="H205" s="127"/>
      <c r="I205" s="127"/>
      <c r="J205" s="127"/>
      <c r="K205" s="127"/>
      <c r="L205" s="127"/>
      <c r="M205" s="127"/>
      <c r="N205" s="127"/>
      <c r="O205" s="127"/>
      <c r="P205" s="127"/>
      <c r="Q205" s="127"/>
      <c r="R205" s="127"/>
      <c r="S205" s="127"/>
      <c r="T205" s="127"/>
      <c r="U205" s="127"/>
      <c r="V205" s="127"/>
      <c r="W205" s="127"/>
      <c r="X205" s="127"/>
      <c r="Y205" s="127"/>
      <c r="Z205" s="127"/>
      <c r="AA205" s="127"/>
    </row>
    <row r="206" customFormat="false" ht="15.75" hidden="false" customHeight="false" outlineLevel="0" collapsed="false">
      <c r="A206" s="127" t="str">
        <f aca="false">IF(ISBLANK(B206),"",B206&amp;"|"&amp;C206)</f>
        <v/>
      </c>
      <c r="B206" s="127"/>
      <c r="C206" s="127"/>
      <c r="D206" s="127"/>
      <c r="E206" s="133"/>
      <c r="F206" s="127"/>
      <c r="G206" s="127"/>
      <c r="H206" s="127"/>
      <c r="I206" s="127"/>
      <c r="J206" s="127"/>
      <c r="K206" s="127"/>
      <c r="L206" s="127"/>
      <c r="M206" s="127"/>
      <c r="N206" s="127"/>
      <c r="O206" s="127"/>
      <c r="P206" s="127"/>
      <c r="Q206" s="127"/>
      <c r="R206" s="127"/>
      <c r="S206" s="127"/>
      <c r="T206" s="127"/>
      <c r="U206" s="127"/>
      <c r="V206" s="127"/>
      <c r="W206" s="127"/>
      <c r="X206" s="127"/>
      <c r="Y206" s="127"/>
      <c r="Z206" s="127"/>
      <c r="AA206" s="127"/>
    </row>
    <row r="207" customFormat="false" ht="15.75" hidden="false" customHeight="false" outlineLevel="0" collapsed="false">
      <c r="A207" s="127" t="str">
        <f aca="false">IF(ISBLANK(B207),"",B207&amp;"|"&amp;C207)</f>
        <v/>
      </c>
      <c r="B207" s="127"/>
      <c r="C207" s="127"/>
      <c r="D207" s="127"/>
      <c r="E207" s="133"/>
      <c r="F207" s="127"/>
      <c r="G207" s="127"/>
      <c r="H207" s="127"/>
      <c r="I207" s="127"/>
      <c r="J207" s="127"/>
      <c r="K207" s="127"/>
      <c r="L207" s="127"/>
      <c r="M207" s="127"/>
      <c r="N207" s="127"/>
      <c r="O207" s="127"/>
      <c r="P207" s="127"/>
      <c r="Q207" s="127"/>
      <c r="R207" s="127"/>
      <c r="S207" s="127"/>
      <c r="T207" s="127"/>
      <c r="U207" s="127"/>
      <c r="V207" s="127"/>
      <c r="W207" s="127"/>
      <c r="X207" s="127"/>
      <c r="Y207" s="127"/>
      <c r="Z207" s="127"/>
      <c r="AA207" s="127"/>
    </row>
    <row r="208" customFormat="false" ht="15.75" hidden="false" customHeight="false" outlineLevel="0" collapsed="false">
      <c r="A208" s="127" t="str">
        <f aca="false">IF(ISBLANK(B208),"",B208&amp;"|"&amp;C208)</f>
        <v/>
      </c>
      <c r="B208" s="127"/>
      <c r="C208" s="127"/>
      <c r="D208" s="127"/>
      <c r="E208" s="133"/>
      <c r="F208" s="127"/>
      <c r="G208" s="127"/>
      <c r="H208" s="127"/>
      <c r="I208" s="127"/>
      <c r="J208" s="127"/>
      <c r="K208" s="127"/>
      <c r="L208" s="127"/>
      <c r="M208" s="127"/>
      <c r="N208" s="127"/>
      <c r="O208" s="127"/>
      <c r="P208" s="127"/>
      <c r="Q208" s="127"/>
      <c r="R208" s="127"/>
      <c r="S208" s="127"/>
      <c r="T208" s="127"/>
      <c r="U208" s="127"/>
      <c r="V208" s="127"/>
      <c r="W208" s="127"/>
      <c r="X208" s="127"/>
      <c r="Y208" s="127"/>
      <c r="Z208" s="127"/>
      <c r="AA208" s="127"/>
    </row>
    <row r="209" customFormat="false" ht="15.75" hidden="false" customHeight="false" outlineLevel="0" collapsed="false">
      <c r="A209" s="127" t="str">
        <f aca="false">IF(ISBLANK(B209),"",B209&amp;"|"&amp;C209)</f>
        <v/>
      </c>
      <c r="B209" s="127"/>
      <c r="C209" s="127"/>
      <c r="D209" s="127"/>
      <c r="E209" s="133"/>
      <c r="F209" s="127"/>
      <c r="G209" s="127"/>
      <c r="H209" s="127"/>
      <c r="I209" s="127"/>
      <c r="J209" s="127"/>
      <c r="K209" s="127"/>
      <c r="L209" s="127"/>
      <c r="M209" s="127"/>
      <c r="N209" s="127"/>
      <c r="O209" s="127"/>
      <c r="P209" s="127"/>
      <c r="Q209" s="127"/>
      <c r="R209" s="127"/>
      <c r="S209" s="127"/>
      <c r="T209" s="127"/>
      <c r="U209" s="127"/>
      <c r="V209" s="127"/>
      <c r="W209" s="127"/>
      <c r="X209" s="127"/>
      <c r="Y209" s="127"/>
      <c r="Z209" s="127"/>
      <c r="AA209" s="127"/>
    </row>
    <row r="210" customFormat="false" ht="15.75" hidden="false" customHeight="false" outlineLevel="0" collapsed="false">
      <c r="A210" s="127" t="str">
        <f aca="false">IF(ISBLANK(B210),"",B210&amp;"|"&amp;C210)</f>
        <v/>
      </c>
      <c r="B210" s="127"/>
      <c r="C210" s="127"/>
      <c r="D210" s="127"/>
      <c r="E210" s="133"/>
      <c r="F210" s="127"/>
      <c r="G210" s="127"/>
      <c r="H210" s="127"/>
      <c r="I210" s="127"/>
      <c r="J210" s="127"/>
      <c r="K210" s="127"/>
      <c r="L210" s="127"/>
      <c r="M210" s="127"/>
      <c r="N210" s="127"/>
      <c r="O210" s="127"/>
      <c r="P210" s="127"/>
      <c r="Q210" s="127"/>
      <c r="R210" s="127"/>
      <c r="S210" s="127"/>
      <c r="T210" s="127"/>
      <c r="U210" s="127"/>
      <c r="V210" s="127"/>
      <c r="W210" s="127"/>
      <c r="X210" s="127"/>
      <c r="Y210" s="127"/>
      <c r="Z210" s="127"/>
      <c r="AA210" s="127"/>
    </row>
    <row r="211" customFormat="false" ht="15.75" hidden="false" customHeight="false" outlineLevel="0" collapsed="false">
      <c r="A211" s="127" t="str">
        <f aca="false">IF(ISBLANK(B211),"",B211&amp;"|"&amp;C211)</f>
        <v/>
      </c>
      <c r="B211" s="127"/>
      <c r="C211" s="127"/>
      <c r="D211" s="127"/>
      <c r="E211" s="133"/>
      <c r="F211" s="127"/>
      <c r="G211" s="127"/>
      <c r="H211" s="127"/>
      <c r="I211" s="127"/>
      <c r="J211" s="127"/>
      <c r="K211" s="127"/>
      <c r="L211" s="127"/>
      <c r="M211" s="127"/>
      <c r="N211" s="127"/>
      <c r="O211" s="127"/>
      <c r="P211" s="127"/>
      <c r="Q211" s="127"/>
      <c r="R211" s="127"/>
      <c r="S211" s="127"/>
      <c r="T211" s="127"/>
      <c r="U211" s="127"/>
      <c r="V211" s="127"/>
      <c r="W211" s="127"/>
      <c r="X211" s="127"/>
      <c r="Y211" s="127"/>
      <c r="Z211" s="127"/>
      <c r="AA211" s="127"/>
    </row>
    <row r="212" customFormat="false" ht="15.75" hidden="false" customHeight="false" outlineLevel="0" collapsed="false">
      <c r="A212" s="127" t="str">
        <f aca="false">IF(ISBLANK(B212),"",B212&amp;"|"&amp;C212)</f>
        <v/>
      </c>
      <c r="B212" s="127"/>
      <c r="C212" s="127"/>
      <c r="D212" s="127"/>
      <c r="E212" s="133"/>
      <c r="F212" s="127"/>
      <c r="G212" s="127"/>
      <c r="H212" s="127"/>
      <c r="I212" s="127"/>
      <c r="J212" s="127"/>
      <c r="K212" s="127"/>
      <c r="L212" s="127"/>
      <c r="M212" s="127"/>
      <c r="N212" s="127"/>
      <c r="O212" s="127"/>
      <c r="P212" s="127"/>
      <c r="Q212" s="127"/>
      <c r="R212" s="127"/>
      <c r="S212" s="127"/>
      <c r="T212" s="127"/>
      <c r="U212" s="127"/>
      <c r="V212" s="127"/>
      <c r="W212" s="127"/>
      <c r="X212" s="127"/>
      <c r="Y212" s="127"/>
      <c r="Z212" s="127"/>
      <c r="AA212" s="127"/>
    </row>
    <row r="213" customFormat="false" ht="15.75" hidden="false" customHeight="false" outlineLevel="0" collapsed="false">
      <c r="A213" s="127" t="str">
        <f aca="false">IF(ISBLANK(B213),"",B213&amp;"|"&amp;C213)</f>
        <v/>
      </c>
      <c r="B213" s="127"/>
      <c r="C213" s="127"/>
      <c r="D213" s="127"/>
      <c r="E213" s="133"/>
      <c r="F213" s="127"/>
      <c r="G213" s="127"/>
      <c r="H213" s="127"/>
      <c r="I213" s="127"/>
      <c r="J213" s="127"/>
      <c r="K213" s="127"/>
      <c r="L213" s="127"/>
      <c r="M213" s="127"/>
      <c r="N213" s="127"/>
      <c r="O213" s="127"/>
      <c r="P213" s="127"/>
      <c r="Q213" s="127"/>
      <c r="R213" s="127"/>
      <c r="S213" s="127"/>
      <c r="T213" s="127"/>
      <c r="U213" s="127"/>
      <c r="V213" s="127"/>
      <c r="W213" s="127"/>
      <c r="X213" s="127"/>
      <c r="Y213" s="127"/>
      <c r="Z213" s="127"/>
      <c r="AA213" s="127"/>
    </row>
    <row r="214" customFormat="false" ht="15.75" hidden="false" customHeight="false" outlineLevel="0" collapsed="false">
      <c r="A214" s="127" t="str">
        <f aca="false">IF(ISBLANK(B214),"",B214&amp;"|"&amp;C214)</f>
        <v/>
      </c>
      <c r="B214" s="127"/>
      <c r="C214" s="127"/>
      <c r="D214" s="127"/>
      <c r="E214" s="133"/>
      <c r="F214" s="127"/>
      <c r="G214" s="127"/>
      <c r="H214" s="127"/>
      <c r="I214" s="127"/>
      <c r="J214" s="127"/>
      <c r="K214" s="127"/>
      <c r="L214" s="127"/>
      <c r="M214" s="127"/>
      <c r="N214" s="127"/>
      <c r="O214" s="127"/>
      <c r="P214" s="127"/>
      <c r="Q214" s="127"/>
      <c r="R214" s="127"/>
      <c r="S214" s="127"/>
      <c r="T214" s="127"/>
      <c r="U214" s="127"/>
      <c r="V214" s="127"/>
      <c r="W214" s="127"/>
      <c r="X214" s="127"/>
      <c r="Y214" s="127"/>
      <c r="Z214" s="127"/>
      <c r="AA214" s="127"/>
    </row>
    <row r="215" customFormat="false" ht="15.75" hidden="false" customHeight="false" outlineLevel="0" collapsed="false">
      <c r="A215" s="127" t="str">
        <f aca="false">IF(ISBLANK(B215),"",B215&amp;"|"&amp;C215)</f>
        <v/>
      </c>
      <c r="B215" s="127"/>
      <c r="C215" s="127"/>
      <c r="D215" s="127"/>
      <c r="E215" s="133"/>
      <c r="F215" s="127"/>
      <c r="G215" s="127"/>
      <c r="H215" s="127"/>
      <c r="I215" s="127"/>
      <c r="J215" s="127"/>
      <c r="K215" s="127"/>
      <c r="L215" s="127"/>
      <c r="M215" s="127"/>
      <c r="N215" s="127"/>
      <c r="O215" s="127"/>
      <c r="P215" s="127"/>
      <c r="Q215" s="127"/>
      <c r="R215" s="127"/>
      <c r="S215" s="127"/>
      <c r="T215" s="127"/>
      <c r="U215" s="127"/>
      <c r="V215" s="127"/>
      <c r="W215" s="127"/>
      <c r="X215" s="127"/>
      <c r="Y215" s="127"/>
      <c r="Z215" s="127"/>
      <c r="AA215" s="127"/>
    </row>
    <row r="216" customFormat="false" ht="15.75" hidden="false" customHeight="false" outlineLevel="0" collapsed="false">
      <c r="A216" s="127" t="str">
        <f aca="false">IF(ISBLANK(B216),"",B216&amp;"|"&amp;C216)</f>
        <v/>
      </c>
      <c r="B216" s="127"/>
      <c r="C216" s="127"/>
      <c r="D216" s="127"/>
      <c r="E216" s="133"/>
      <c r="F216" s="127"/>
      <c r="G216" s="127"/>
      <c r="H216" s="127"/>
      <c r="I216" s="127"/>
      <c r="J216" s="127"/>
      <c r="K216" s="127"/>
      <c r="L216" s="127"/>
      <c r="M216" s="127"/>
      <c r="N216" s="127"/>
      <c r="O216" s="127"/>
      <c r="P216" s="127"/>
      <c r="Q216" s="127"/>
      <c r="R216" s="127"/>
      <c r="S216" s="127"/>
      <c r="T216" s="127"/>
      <c r="U216" s="127"/>
      <c r="V216" s="127"/>
      <c r="W216" s="127"/>
      <c r="X216" s="127"/>
      <c r="Y216" s="127"/>
      <c r="Z216" s="127"/>
      <c r="AA216" s="127"/>
    </row>
    <row r="217" customFormat="false" ht="15.75" hidden="false" customHeight="false" outlineLevel="0" collapsed="false">
      <c r="A217" s="127" t="str">
        <f aca="false">IF(ISBLANK(B217),"",B217&amp;"|"&amp;C217)</f>
        <v/>
      </c>
      <c r="B217" s="127"/>
      <c r="C217" s="127"/>
      <c r="D217" s="127"/>
      <c r="E217" s="133"/>
      <c r="F217" s="127"/>
      <c r="G217" s="127"/>
      <c r="H217" s="127"/>
      <c r="I217" s="127"/>
      <c r="J217" s="127"/>
      <c r="K217" s="127"/>
      <c r="L217" s="127"/>
      <c r="M217" s="127"/>
      <c r="N217" s="127"/>
      <c r="O217" s="127"/>
      <c r="P217" s="127"/>
      <c r="Q217" s="127"/>
      <c r="R217" s="127"/>
      <c r="S217" s="127"/>
      <c r="T217" s="127"/>
      <c r="U217" s="127"/>
      <c r="V217" s="127"/>
      <c r="W217" s="127"/>
      <c r="X217" s="127"/>
      <c r="Y217" s="127"/>
      <c r="Z217" s="127"/>
      <c r="AA217" s="127"/>
    </row>
    <row r="218" customFormat="false" ht="15.75" hidden="false" customHeight="false" outlineLevel="0" collapsed="false">
      <c r="A218" s="127" t="str">
        <f aca="false">IF(ISBLANK(B218),"",B218&amp;"|"&amp;C218)</f>
        <v/>
      </c>
      <c r="B218" s="127"/>
      <c r="C218" s="127"/>
      <c r="D218" s="127"/>
      <c r="E218" s="133"/>
      <c r="F218" s="127"/>
      <c r="G218" s="127"/>
      <c r="H218" s="127"/>
      <c r="I218" s="127"/>
      <c r="J218" s="127"/>
      <c r="K218" s="127"/>
      <c r="L218" s="127"/>
      <c r="M218" s="127"/>
      <c r="N218" s="127"/>
      <c r="O218" s="127"/>
      <c r="P218" s="127"/>
      <c r="Q218" s="127"/>
      <c r="R218" s="127"/>
      <c r="S218" s="127"/>
      <c r="T218" s="127"/>
      <c r="U218" s="127"/>
      <c r="V218" s="127"/>
      <c r="W218" s="127"/>
      <c r="X218" s="127"/>
      <c r="Y218" s="127"/>
      <c r="Z218" s="127"/>
      <c r="AA218" s="127"/>
    </row>
    <row r="219" customFormat="false" ht="15.75" hidden="false" customHeight="false" outlineLevel="0" collapsed="false">
      <c r="A219" s="127" t="str">
        <f aca="false">IF(ISBLANK(B219),"",B219&amp;"|"&amp;C219)</f>
        <v/>
      </c>
      <c r="B219" s="127"/>
      <c r="C219" s="127"/>
      <c r="D219" s="127"/>
      <c r="E219" s="133"/>
      <c r="F219" s="127"/>
      <c r="G219" s="127"/>
      <c r="H219" s="127"/>
      <c r="I219" s="127"/>
      <c r="J219" s="127"/>
      <c r="K219" s="127"/>
      <c r="L219" s="127"/>
      <c r="M219" s="127"/>
      <c r="N219" s="127"/>
      <c r="O219" s="127"/>
      <c r="P219" s="127"/>
      <c r="Q219" s="127"/>
      <c r="R219" s="127"/>
      <c r="S219" s="127"/>
      <c r="T219" s="127"/>
      <c r="U219" s="127"/>
      <c r="V219" s="127"/>
      <c r="W219" s="127"/>
      <c r="X219" s="127"/>
      <c r="Y219" s="127"/>
      <c r="Z219" s="127"/>
      <c r="AA219" s="127"/>
    </row>
    <row r="220" customFormat="false" ht="15.75" hidden="false" customHeight="false" outlineLevel="0" collapsed="false">
      <c r="A220" s="127" t="str">
        <f aca="false">IF(ISBLANK(B220),"",B220&amp;"|"&amp;C220)</f>
        <v/>
      </c>
      <c r="B220" s="127"/>
      <c r="C220" s="127"/>
      <c r="D220" s="127"/>
      <c r="E220" s="133"/>
      <c r="F220" s="127"/>
      <c r="G220" s="127"/>
      <c r="H220" s="127"/>
      <c r="I220" s="127"/>
      <c r="J220" s="127"/>
      <c r="K220" s="127"/>
      <c r="L220" s="127"/>
      <c r="M220" s="127"/>
      <c r="N220" s="127"/>
      <c r="O220" s="127"/>
      <c r="P220" s="127"/>
      <c r="Q220" s="127"/>
      <c r="R220" s="127"/>
      <c r="S220" s="127"/>
      <c r="T220" s="127"/>
      <c r="U220" s="127"/>
      <c r="V220" s="127"/>
      <c r="W220" s="127"/>
      <c r="X220" s="127"/>
      <c r="Y220" s="127"/>
      <c r="Z220" s="127"/>
      <c r="AA220" s="127"/>
    </row>
    <row r="221" customFormat="false" ht="15.75" hidden="false" customHeight="false" outlineLevel="0" collapsed="false">
      <c r="A221" s="127" t="str">
        <f aca="false">IF(ISBLANK(B221),"",B221&amp;"|"&amp;C221)</f>
        <v/>
      </c>
      <c r="B221" s="127"/>
      <c r="C221" s="127"/>
      <c r="D221" s="127"/>
      <c r="E221" s="133"/>
      <c r="F221" s="127"/>
      <c r="G221" s="127"/>
      <c r="H221" s="127"/>
      <c r="I221" s="127"/>
      <c r="J221" s="127"/>
      <c r="K221" s="127"/>
      <c r="L221" s="127"/>
      <c r="M221" s="127"/>
      <c r="N221" s="127"/>
      <c r="O221" s="127"/>
      <c r="P221" s="127"/>
      <c r="Q221" s="127"/>
      <c r="R221" s="127"/>
      <c r="S221" s="127"/>
      <c r="T221" s="127"/>
      <c r="U221" s="127"/>
      <c r="V221" s="127"/>
      <c r="W221" s="127"/>
      <c r="X221" s="127"/>
      <c r="Y221" s="127"/>
      <c r="Z221" s="127"/>
      <c r="AA221" s="127"/>
    </row>
    <row r="222" customFormat="false" ht="15.75" hidden="false" customHeight="false" outlineLevel="0" collapsed="false">
      <c r="A222" s="127" t="str">
        <f aca="false">IF(ISBLANK(B222),"",B222&amp;"|"&amp;C222)</f>
        <v/>
      </c>
      <c r="B222" s="127"/>
      <c r="C222" s="127"/>
      <c r="D222" s="127"/>
      <c r="E222" s="133"/>
      <c r="F222" s="127"/>
      <c r="G222" s="127"/>
      <c r="H222" s="127"/>
      <c r="I222" s="127"/>
      <c r="J222" s="127"/>
      <c r="K222" s="127"/>
      <c r="L222" s="127"/>
      <c r="M222" s="127"/>
      <c r="N222" s="127"/>
      <c r="O222" s="127"/>
      <c r="P222" s="127"/>
      <c r="Q222" s="127"/>
      <c r="R222" s="127"/>
      <c r="S222" s="127"/>
      <c r="T222" s="127"/>
      <c r="U222" s="127"/>
      <c r="V222" s="127"/>
      <c r="W222" s="127"/>
      <c r="X222" s="127"/>
      <c r="Y222" s="127"/>
      <c r="Z222" s="127"/>
      <c r="AA222" s="127"/>
    </row>
    <row r="223" customFormat="false" ht="15.75" hidden="false" customHeight="false" outlineLevel="0" collapsed="false">
      <c r="A223" s="127" t="str">
        <f aca="false">IF(ISBLANK(B223),"",B223&amp;"|"&amp;C223)</f>
        <v/>
      </c>
      <c r="B223" s="127"/>
      <c r="C223" s="127"/>
      <c r="D223" s="127"/>
      <c r="E223" s="133"/>
      <c r="F223" s="127"/>
      <c r="G223" s="127"/>
      <c r="H223" s="127"/>
      <c r="I223" s="127"/>
      <c r="J223" s="127"/>
      <c r="K223" s="127"/>
      <c r="L223" s="127"/>
      <c r="M223" s="127"/>
      <c r="N223" s="127"/>
      <c r="O223" s="127"/>
      <c r="P223" s="127"/>
      <c r="Q223" s="127"/>
      <c r="R223" s="127"/>
      <c r="S223" s="127"/>
      <c r="T223" s="127"/>
      <c r="U223" s="127"/>
      <c r="V223" s="127"/>
      <c r="W223" s="127"/>
      <c r="X223" s="127"/>
      <c r="Y223" s="127"/>
      <c r="Z223" s="127"/>
      <c r="AA223" s="127"/>
    </row>
    <row r="224" customFormat="false" ht="15.75" hidden="false" customHeight="false" outlineLevel="0" collapsed="false">
      <c r="A224" s="127" t="str">
        <f aca="false">IF(ISBLANK(B224),"",B224&amp;"|"&amp;C224)</f>
        <v/>
      </c>
      <c r="B224" s="127"/>
      <c r="C224" s="127"/>
      <c r="D224" s="127"/>
      <c r="E224" s="133"/>
      <c r="F224" s="127"/>
      <c r="G224" s="127"/>
      <c r="H224" s="127"/>
      <c r="I224" s="127"/>
      <c r="J224" s="127"/>
      <c r="K224" s="127"/>
      <c r="L224" s="127"/>
      <c r="M224" s="127"/>
      <c r="N224" s="127"/>
      <c r="O224" s="127"/>
      <c r="P224" s="127"/>
      <c r="Q224" s="127"/>
      <c r="R224" s="127"/>
      <c r="S224" s="127"/>
      <c r="T224" s="127"/>
      <c r="U224" s="127"/>
      <c r="V224" s="127"/>
      <c r="W224" s="127"/>
      <c r="X224" s="127"/>
      <c r="Y224" s="127"/>
      <c r="Z224" s="127"/>
      <c r="AA224" s="127"/>
    </row>
    <row r="225" customFormat="false" ht="15.75" hidden="false" customHeight="false" outlineLevel="0" collapsed="false">
      <c r="A225" s="127" t="str">
        <f aca="false">IF(ISBLANK(B225),"",B225&amp;"|"&amp;C225)</f>
        <v/>
      </c>
      <c r="B225" s="127"/>
      <c r="C225" s="127"/>
      <c r="D225" s="127"/>
      <c r="E225" s="133"/>
      <c r="F225" s="127"/>
      <c r="G225" s="127"/>
      <c r="H225" s="127"/>
      <c r="I225" s="127"/>
      <c r="J225" s="127"/>
      <c r="K225" s="127"/>
      <c r="L225" s="127"/>
      <c r="M225" s="127"/>
      <c r="N225" s="127"/>
      <c r="O225" s="127"/>
      <c r="P225" s="127"/>
      <c r="Q225" s="127"/>
      <c r="R225" s="127"/>
      <c r="S225" s="127"/>
      <c r="T225" s="127"/>
      <c r="U225" s="127"/>
      <c r="V225" s="127"/>
      <c r="W225" s="127"/>
      <c r="X225" s="127"/>
      <c r="Y225" s="127"/>
      <c r="Z225" s="127"/>
      <c r="AA225" s="127"/>
    </row>
    <row r="226" customFormat="false" ht="15.75" hidden="false" customHeight="false" outlineLevel="0" collapsed="false">
      <c r="A226" s="127" t="str">
        <f aca="false">IF(ISBLANK(B226),"",B226&amp;"|"&amp;C226)</f>
        <v/>
      </c>
      <c r="B226" s="127"/>
      <c r="C226" s="127"/>
      <c r="D226" s="127"/>
      <c r="E226" s="133"/>
      <c r="F226" s="127"/>
      <c r="G226" s="127"/>
      <c r="H226" s="127"/>
      <c r="I226" s="127"/>
      <c r="J226" s="127"/>
      <c r="K226" s="127"/>
      <c r="L226" s="127"/>
      <c r="M226" s="127"/>
      <c r="N226" s="127"/>
      <c r="O226" s="127"/>
      <c r="P226" s="127"/>
      <c r="Q226" s="127"/>
      <c r="R226" s="127"/>
      <c r="S226" s="127"/>
      <c r="T226" s="127"/>
      <c r="U226" s="127"/>
      <c r="V226" s="127"/>
      <c r="W226" s="127"/>
      <c r="X226" s="127"/>
      <c r="Y226" s="127"/>
      <c r="Z226" s="127"/>
      <c r="AA226" s="127"/>
    </row>
    <row r="227" customFormat="false" ht="15.75" hidden="false" customHeight="false" outlineLevel="0" collapsed="false">
      <c r="A227" s="127" t="str">
        <f aca="false">IF(ISBLANK(B227),"",B227&amp;"|"&amp;C227)</f>
        <v/>
      </c>
      <c r="B227" s="127"/>
      <c r="C227" s="127"/>
      <c r="D227" s="127"/>
      <c r="E227" s="133"/>
      <c r="F227" s="127"/>
      <c r="G227" s="127"/>
      <c r="H227" s="127"/>
      <c r="I227" s="127"/>
      <c r="J227" s="127"/>
      <c r="K227" s="127"/>
      <c r="L227" s="127"/>
      <c r="M227" s="127"/>
      <c r="N227" s="127"/>
      <c r="O227" s="127"/>
      <c r="P227" s="127"/>
      <c r="Q227" s="127"/>
      <c r="R227" s="127"/>
      <c r="S227" s="127"/>
      <c r="T227" s="127"/>
      <c r="U227" s="127"/>
      <c r="V227" s="127"/>
      <c r="W227" s="127"/>
      <c r="X227" s="127"/>
      <c r="Y227" s="127"/>
      <c r="Z227" s="127"/>
      <c r="AA227" s="127"/>
    </row>
    <row r="228" customFormat="false" ht="15.75" hidden="false" customHeight="false" outlineLevel="0" collapsed="false">
      <c r="A228" s="127" t="str">
        <f aca="false">IF(ISBLANK(B228),"",B228&amp;"|"&amp;C228)</f>
        <v/>
      </c>
      <c r="B228" s="127"/>
      <c r="C228" s="127"/>
      <c r="D228" s="127"/>
      <c r="E228" s="133"/>
      <c r="F228" s="127"/>
      <c r="G228" s="127"/>
      <c r="H228" s="127"/>
      <c r="I228" s="127"/>
      <c r="J228" s="127"/>
      <c r="K228" s="127"/>
      <c r="L228" s="127"/>
      <c r="M228" s="127"/>
      <c r="N228" s="127"/>
      <c r="O228" s="127"/>
      <c r="P228" s="127"/>
      <c r="Q228" s="127"/>
      <c r="R228" s="127"/>
      <c r="S228" s="127"/>
      <c r="T228" s="127"/>
      <c r="U228" s="127"/>
      <c r="V228" s="127"/>
      <c r="W228" s="127"/>
      <c r="X228" s="127"/>
      <c r="Y228" s="127"/>
      <c r="Z228" s="127"/>
      <c r="AA228" s="127"/>
    </row>
    <row r="229" customFormat="false" ht="15.75" hidden="false" customHeight="false" outlineLevel="0" collapsed="false">
      <c r="A229" s="127" t="str">
        <f aca="false">IF(ISBLANK(B229),"",B229&amp;"|"&amp;C229)</f>
        <v/>
      </c>
      <c r="B229" s="127"/>
      <c r="C229" s="127"/>
      <c r="D229" s="127"/>
      <c r="E229" s="133"/>
      <c r="F229" s="127"/>
      <c r="G229" s="127"/>
      <c r="H229" s="127"/>
      <c r="I229" s="127"/>
      <c r="J229" s="127"/>
      <c r="K229" s="127"/>
      <c r="L229" s="127"/>
      <c r="M229" s="127"/>
      <c r="N229" s="127"/>
      <c r="O229" s="127"/>
      <c r="P229" s="127"/>
      <c r="Q229" s="127"/>
      <c r="R229" s="127"/>
      <c r="S229" s="127"/>
      <c r="T229" s="127"/>
      <c r="U229" s="127"/>
      <c r="V229" s="127"/>
      <c r="W229" s="127"/>
      <c r="X229" s="127"/>
      <c r="Y229" s="127"/>
      <c r="Z229" s="127"/>
      <c r="AA229" s="127"/>
    </row>
    <row r="230" customFormat="false" ht="15.75" hidden="false" customHeight="false" outlineLevel="0" collapsed="false">
      <c r="A230" s="127" t="str">
        <f aca="false">IF(ISBLANK(B230),"",B230&amp;"|"&amp;C230)</f>
        <v/>
      </c>
      <c r="B230" s="127"/>
      <c r="C230" s="127"/>
      <c r="D230" s="127"/>
      <c r="E230" s="133"/>
      <c r="F230" s="127"/>
      <c r="G230" s="127"/>
      <c r="H230" s="127"/>
      <c r="I230" s="127"/>
      <c r="J230" s="127"/>
      <c r="K230" s="127"/>
      <c r="L230" s="127"/>
      <c r="M230" s="127"/>
      <c r="N230" s="127"/>
      <c r="O230" s="127"/>
      <c r="P230" s="127"/>
      <c r="Q230" s="127"/>
      <c r="R230" s="127"/>
      <c r="S230" s="127"/>
      <c r="T230" s="127"/>
      <c r="U230" s="127"/>
      <c r="V230" s="127"/>
      <c r="W230" s="127"/>
      <c r="X230" s="127"/>
      <c r="Y230" s="127"/>
      <c r="Z230" s="127"/>
      <c r="AA230" s="127"/>
    </row>
    <row r="231" customFormat="false" ht="15.75" hidden="false" customHeight="false" outlineLevel="0" collapsed="false">
      <c r="A231" s="127" t="str">
        <f aca="false">IF(ISBLANK(B231),"",B231&amp;"|"&amp;C231)</f>
        <v/>
      </c>
      <c r="B231" s="127"/>
      <c r="C231" s="127"/>
      <c r="D231" s="127"/>
      <c r="E231" s="133"/>
      <c r="F231" s="127"/>
      <c r="G231" s="127"/>
      <c r="H231" s="127"/>
      <c r="I231" s="127"/>
      <c r="J231" s="127"/>
      <c r="K231" s="127"/>
      <c r="L231" s="127"/>
      <c r="M231" s="127"/>
      <c r="N231" s="127"/>
      <c r="O231" s="127"/>
      <c r="P231" s="127"/>
      <c r="Q231" s="127"/>
      <c r="R231" s="127"/>
      <c r="S231" s="127"/>
      <c r="T231" s="127"/>
      <c r="U231" s="127"/>
      <c r="V231" s="127"/>
      <c r="W231" s="127"/>
      <c r="X231" s="127"/>
      <c r="Y231" s="127"/>
      <c r="Z231" s="127"/>
      <c r="AA231" s="127"/>
    </row>
    <row r="232" customFormat="false" ht="15.75" hidden="false" customHeight="false" outlineLevel="0" collapsed="false">
      <c r="A232" s="127" t="str">
        <f aca="false">IF(ISBLANK(B232),"",B232&amp;"|"&amp;C232)</f>
        <v/>
      </c>
      <c r="B232" s="127"/>
      <c r="C232" s="127"/>
      <c r="D232" s="127"/>
      <c r="E232" s="133"/>
      <c r="F232" s="127"/>
      <c r="G232" s="127"/>
      <c r="H232" s="127"/>
      <c r="I232" s="127"/>
      <c r="J232" s="127"/>
      <c r="K232" s="127"/>
      <c r="L232" s="127"/>
      <c r="M232" s="127"/>
      <c r="N232" s="127"/>
      <c r="O232" s="127"/>
      <c r="P232" s="127"/>
      <c r="Q232" s="127"/>
      <c r="R232" s="127"/>
      <c r="S232" s="127"/>
      <c r="T232" s="127"/>
      <c r="U232" s="127"/>
      <c r="V232" s="127"/>
      <c r="W232" s="127"/>
      <c r="X232" s="127"/>
      <c r="Y232" s="127"/>
      <c r="Z232" s="127"/>
      <c r="AA232" s="127"/>
    </row>
    <row r="233" customFormat="false" ht="15.75" hidden="false" customHeight="false" outlineLevel="0" collapsed="false">
      <c r="A233" s="127" t="str">
        <f aca="false">IF(ISBLANK(B233),"",B233&amp;"|"&amp;C233)</f>
        <v/>
      </c>
      <c r="B233" s="127"/>
      <c r="C233" s="127"/>
      <c r="D233" s="127"/>
      <c r="E233" s="133"/>
      <c r="F233" s="127"/>
      <c r="G233" s="127"/>
      <c r="H233" s="127"/>
      <c r="I233" s="127"/>
      <c r="J233" s="127"/>
      <c r="K233" s="127"/>
      <c r="L233" s="127"/>
      <c r="M233" s="127"/>
      <c r="N233" s="127"/>
      <c r="O233" s="127"/>
      <c r="P233" s="127"/>
      <c r="Q233" s="127"/>
      <c r="R233" s="127"/>
      <c r="S233" s="127"/>
      <c r="T233" s="127"/>
      <c r="U233" s="127"/>
      <c r="V233" s="127"/>
      <c r="W233" s="127"/>
      <c r="X233" s="127"/>
      <c r="Y233" s="127"/>
      <c r="Z233" s="127"/>
      <c r="AA233" s="127"/>
    </row>
    <row r="234" customFormat="false" ht="15.75" hidden="false" customHeight="false" outlineLevel="0" collapsed="false">
      <c r="A234" s="127" t="str">
        <f aca="false">IF(ISBLANK(B234),"",B234&amp;"|"&amp;C234)</f>
        <v/>
      </c>
      <c r="B234" s="127"/>
      <c r="C234" s="127"/>
      <c r="D234" s="127"/>
      <c r="E234" s="133"/>
      <c r="F234" s="127"/>
      <c r="G234" s="127"/>
      <c r="H234" s="127"/>
      <c r="I234" s="127"/>
      <c r="J234" s="127"/>
      <c r="K234" s="127"/>
      <c r="L234" s="127"/>
      <c r="M234" s="127"/>
      <c r="N234" s="127"/>
      <c r="O234" s="127"/>
      <c r="P234" s="127"/>
      <c r="Q234" s="127"/>
      <c r="R234" s="127"/>
      <c r="S234" s="127"/>
      <c r="T234" s="127"/>
      <c r="U234" s="127"/>
      <c r="V234" s="127"/>
      <c r="W234" s="127"/>
      <c r="X234" s="127"/>
      <c r="Y234" s="127"/>
      <c r="Z234" s="127"/>
      <c r="AA234" s="127"/>
    </row>
    <row r="235" customFormat="false" ht="15.75" hidden="false" customHeight="false" outlineLevel="0" collapsed="false">
      <c r="A235" s="127" t="str">
        <f aca="false">IF(ISBLANK(B235),"",B235&amp;"|"&amp;C235)</f>
        <v/>
      </c>
      <c r="B235" s="127"/>
      <c r="C235" s="127"/>
      <c r="D235" s="127"/>
      <c r="E235" s="133"/>
      <c r="F235" s="127"/>
      <c r="G235" s="127"/>
      <c r="H235" s="127"/>
      <c r="I235" s="127"/>
      <c r="J235" s="127"/>
      <c r="K235" s="127"/>
      <c r="L235" s="127"/>
      <c r="M235" s="127"/>
      <c r="N235" s="127"/>
      <c r="O235" s="127"/>
      <c r="P235" s="127"/>
      <c r="Q235" s="127"/>
      <c r="R235" s="127"/>
      <c r="S235" s="127"/>
      <c r="T235" s="127"/>
      <c r="U235" s="127"/>
      <c r="V235" s="127"/>
      <c r="W235" s="127"/>
      <c r="X235" s="127"/>
      <c r="Y235" s="127"/>
      <c r="Z235" s="127"/>
      <c r="AA235" s="127"/>
    </row>
    <row r="236" customFormat="false" ht="15.75" hidden="false" customHeight="false" outlineLevel="0" collapsed="false">
      <c r="A236" s="127" t="str">
        <f aca="false">IF(ISBLANK(B236),"",B236&amp;"|"&amp;C236)</f>
        <v/>
      </c>
      <c r="B236" s="127"/>
      <c r="C236" s="127"/>
      <c r="D236" s="127"/>
      <c r="E236" s="133"/>
      <c r="F236" s="127"/>
      <c r="G236" s="127"/>
      <c r="H236" s="127"/>
      <c r="I236" s="127"/>
      <c r="J236" s="127"/>
      <c r="K236" s="127"/>
      <c r="L236" s="127"/>
      <c r="M236" s="127"/>
      <c r="N236" s="127"/>
      <c r="O236" s="127"/>
      <c r="P236" s="127"/>
      <c r="Q236" s="127"/>
      <c r="R236" s="127"/>
      <c r="S236" s="127"/>
      <c r="T236" s="127"/>
      <c r="U236" s="127"/>
      <c r="V236" s="127"/>
      <c r="W236" s="127"/>
      <c r="X236" s="127"/>
      <c r="Y236" s="127"/>
      <c r="Z236" s="127"/>
      <c r="AA236" s="127"/>
    </row>
    <row r="237" customFormat="false" ht="15.75" hidden="false" customHeight="false" outlineLevel="0" collapsed="false">
      <c r="A237" s="127" t="str">
        <f aca="false">IF(ISBLANK(B237),"",B237&amp;"|"&amp;C237)</f>
        <v/>
      </c>
      <c r="B237" s="127"/>
      <c r="C237" s="127"/>
      <c r="D237" s="127"/>
      <c r="E237" s="133"/>
      <c r="F237" s="127"/>
      <c r="G237" s="127"/>
      <c r="H237" s="127"/>
      <c r="I237" s="127"/>
      <c r="J237" s="127"/>
      <c r="K237" s="127"/>
      <c r="L237" s="127"/>
      <c r="M237" s="127"/>
      <c r="N237" s="127"/>
      <c r="O237" s="127"/>
      <c r="P237" s="127"/>
      <c r="Q237" s="127"/>
      <c r="R237" s="127"/>
      <c r="S237" s="127"/>
      <c r="T237" s="127"/>
      <c r="U237" s="127"/>
      <c r="V237" s="127"/>
      <c r="W237" s="127"/>
      <c r="X237" s="127"/>
      <c r="Y237" s="127"/>
      <c r="Z237" s="127"/>
      <c r="AA237" s="127"/>
    </row>
    <row r="238" customFormat="false" ht="15.75" hidden="false" customHeight="false" outlineLevel="0" collapsed="false">
      <c r="A238" s="127" t="str">
        <f aca="false">IF(ISBLANK(B238),"",B238&amp;"|"&amp;C238)</f>
        <v/>
      </c>
      <c r="B238" s="127"/>
      <c r="C238" s="127"/>
      <c r="D238" s="127"/>
      <c r="E238" s="133"/>
      <c r="F238" s="127"/>
      <c r="G238" s="127"/>
      <c r="H238" s="127"/>
      <c r="I238" s="127"/>
      <c r="J238" s="127"/>
      <c r="K238" s="127"/>
      <c r="L238" s="127"/>
      <c r="M238" s="127"/>
      <c r="N238" s="127"/>
      <c r="O238" s="127"/>
      <c r="P238" s="127"/>
      <c r="Q238" s="127"/>
      <c r="R238" s="127"/>
      <c r="S238" s="127"/>
      <c r="T238" s="127"/>
      <c r="U238" s="127"/>
      <c r="V238" s="127"/>
      <c r="W238" s="127"/>
      <c r="X238" s="127"/>
      <c r="Y238" s="127"/>
      <c r="Z238" s="127"/>
      <c r="AA238" s="127"/>
    </row>
    <row r="239" customFormat="false" ht="15.75" hidden="false" customHeight="false" outlineLevel="0" collapsed="false">
      <c r="A239" s="127" t="str">
        <f aca="false">IF(ISBLANK(B239),"",B239&amp;"|"&amp;C239)</f>
        <v/>
      </c>
      <c r="B239" s="127"/>
      <c r="C239" s="127"/>
      <c r="D239" s="127"/>
      <c r="E239" s="133"/>
      <c r="F239" s="127"/>
      <c r="G239" s="127"/>
      <c r="H239" s="127"/>
      <c r="I239" s="127"/>
      <c r="J239" s="127"/>
      <c r="K239" s="127"/>
      <c r="L239" s="127"/>
      <c r="M239" s="127"/>
      <c r="N239" s="127"/>
      <c r="O239" s="127"/>
      <c r="P239" s="127"/>
      <c r="Q239" s="127"/>
      <c r="R239" s="127"/>
      <c r="S239" s="127"/>
      <c r="T239" s="127"/>
      <c r="U239" s="127"/>
      <c r="V239" s="127"/>
      <c r="W239" s="127"/>
      <c r="X239" s="127"/>
      <c r="Y239" s="127"/>
      <c r="Z239" s="127"/>
      <c r="AA239" s="127"/>
    </row>
    <row r="240" customFormat="false" ht="15.75" hidden="false" customHeight="false" outlineLevel="0" collapsed="false">
      <c r="A240" s="127" t="str">
        <f aca="false">IF(ISBLANK(B240),"",B240&amp;"|"&amp;C240)</f>
        <v/>
      </c>
      <c r="B240" s="127"/>
      <c r="C240" s="127"/>
      <c r="D240" s="127"/>
      <c r="E240" s="133"/>
      <c r="F240" s="127"/>
      <c r="G240" s="127"/>
      <c r="H240" s="127"/>
      <c r="I240" s="127"/>
      <c r="J240" s="127"/>
      <c r="K240" s="127"/>
      <c r="L240" s="127"/>
      <c r="M240" s="127"/>
      <c r="N240" s="127"/>
      <c r="O240" s="127"/>
      <c r="P240" s="127"/>
      <c r="Q240" s="127"/>
      <c r="R240" s="127"/>
      <c r="S240" s="127"/>
      <c r="T240" s="127"/>
      <c r="U240" s="127"/>
      <c r="V240" s="127"/>
      <c r="W240" s="127"/>
      <c r="X240" s="127"/>
      <c r="Y240" s="127"/>
      <c r="Z240" s="127"/>
      <c r="AA240" s="127"/>
    </row>
    <row r="241" customFormat="false" ht="15.75" hidden="false" customHeight="false" outlineLevel="0" collapsed="false">
      <c r="A241" s="127" t="str">
        <f aca="false">IF(ISBLANK(B241),"",B241&amp;"|"&amp;C241)</f>
        <v/>
      </c>
      <c r="B241" s="127"/>
      <c r="C241" s="127"/>
      <c r="D241" s="127"/>
      <c r="E241" s="133"/>
      <c r="F241" s="127"/>
      <c r="G241" s="127"/>
      <c r="H241" s="127"/>
      <c r="I241" s="127"/>
      <c r="J241" s="127"/>
      <c r="K241" s="127"/>
      <c r="L241" s="127"/>
      <c r="M241" s="127"/>
      <c r="N241" s="127"/>
      <c r="O241" s="127"/>
      <c r="P241" s="127"/>
      <c r="Q241" s="127"/>
      <c r="R241" s="127"/>
      <c r="S241" s="127"/>
      <c r="T241" s="127"/>
      <c r="U241" s="127"/>
      <c r="V241" s="127"/>
      <c r="W241" s="127"/>
      <c r="X241" s="127"/>
      <c r="Y241" s="127"/>
      <c r="Z241" s="127"/>
      <c r="AA241" s="127"/>
    </row>
    <row r="242" customFormat="false" ht="15.75" hidden="false" customHeight="false" outlineLevel="0" collapsed="false">
      <c r="A242" s="127" t="str">
        <f aca="false">IF(ISBLANK(B242),"",B242&amp;"|"&amp;C242)</f>
        <v/>
      </c>
      <c r="B242" s="127"/>
      <c r="C242" s="127"/>
      <c r="D242" s="127"/>
      <c r="E242" s="133"/>
      <c r="F242" s="127"/>
      <c r="G242" s="127"/>
      <c r="H242" s="127"/>
      <c r="I242" s="127"/>
      <c r="J242" s="127"/>
      <c r="K242" s="127"/>
      <c r="L242" s="127"/>
      <c r="M242" s="127"/>
      <c r="N242" s="127"/>
      <c r="O242" s="127"/>
      <c r="P242" s="127"/>
      <c r="Q242" s="127"/>
      <c r="R242" s="127"/>
      <c r="S242" s="127"/>
      <c r="T242" s="127"/>
      <c r="U242" s="127"/>
      <c r="V242" s="127"/>
      <c r="W242" s="127"/>
      <c r="X242" s="127"/>
      <c r="Y242" s="127"/>
      <c r="Z242" s="127"/>
      <c r="AA242" s="127"/>
    </row>
    <row r="243" customFormat="false" ht="15.75" hidden="false" customHeight="false" outlineLevel="0" collapsed="false">
      <c r="A243" s="127" t="str">
        <f aca="false">IF(ISBLANK(B243),"",B243&amp;"|"&amp;C243)</f>
        <v/>
      </c>
      <c r="B243" s="127"/>
      <c r="C243" s="127"/>
      <c r="D243" s="127"/>
      <c r="E243" s="133"/>
      <c r="F243" s="127"/>
      <c r="G243" s="127"/>
      <c r="H243" s="127"/>
      <c r="I243" s="127"/>
      <c r="J243" s="127"/>
      <c r="K243" s="127"/>
      <c r="L243" s="127"/>
      <c r="M243" s="127"/>
      <c r="N243" s="127"/>
      <c r="O243" s="127"/>
      <c r="P243" s="127"/>
      <c r="Q243" s="127"/>
      <c r="R243" s="127"/>
      <c r="S243" s="127"/>
      <c r="T243" s="127"/>
      <c r="U243" s="127"/>
      <c r="V243" s="127"/>
      <c r="W243" s="127"/>
      <c r="X243" s="127"/>
      <c r="Y243" s="127"/>
      <c r="Z243" s="127"/>
      <c r="AA243" s="127"/>
    </row>
    <row r="244" customFormat="false" ht="15.75" hidden="false" customHeight="false" outlineLevel="0" collapsed="false">
      <c r="A244" s="127" t="str">
        <f aca="false">IF(ISBLANK(B244),"",B244&amp;"|"&amp;C244)</f>
        <v/>
      </c>
      <c r="B244" s="127"/>
      <c r="C244" s="127"/>
      <c r="D244" s="127"/>
      <c r="E244" s="133"/>
      <c r="F244" s="127"/>
      <c r="G244" s="127"/>
      <c r="H244" s="127"/>
      <c r="I244" s="127"/>
      <c r="J244" s="127"/>
      <c r="K244" s="127"/>
      <c r="L244" s="127"/>
      <c r="M244" s="127"/>
      <c r="N244" s="127"/>
      <c r="O244" s="127"/>
      <c r="P244" s="127"/>
      <c r="Q244" s="127"/>
      <c r="R244" s="127"/>
      <c r="S244" s="127"/>
      <c r="T244" s="127"/>
      <c r="U244" s="127"/>
      <c r="V244" s="127"/>
      <c r="W244" s="127"/>
      <c r="X244" s="127"/>
      <c r="Y244" s="127"/>
      <c r="Z244" s="127"/>
      <c r="AA244" s="127"/>
    </row>
    <row r="245" customFormat="false" ht="15.75" hidden="false" customHeight="false" outlineLevel="0" collapsed="false">
      <c r="A245" s="127" t="str">
        <f aca="false">IF(ISBLANK(B245),"",B245&amp;"|"&amp;C245)</f>
        <v/>
      </c>
      <c r="B245" s="127"/>
      <c r="C245" s="127"/>
      <c r="D245" s="127"/>
      <c r="E245" s="133"/>
      <c r="F245" s="127"/>
      <c r="G245" s="127"/>
      <c r="H245" s="127"/>
      <c r="I245" s="127"/>
      <c r="J245" s="127"/>
      <c r="K245" s="127"/>
      <c r="L245" s="127"/>
      <c r="M245" s="127"/>
      <c r="N245" s="127"/>
      <c r="O245" s="127"/>
      <c r="P245" s="127"/>
      <c r="Q245" s="127"/>
      <c r="R245" s="127"/>
      <c r="S245" s="127"/>
      <c r="T245" s="127"/>
      <c r="U245" s="127"/>
      <c r="V245" s="127"/>
      <c r="W245" s="127"/>
      <c r="X245" s="127"/>
      <c r="Y245" s="127"/>
      <c r="Z245" s="127"/>
      <c r="AA245" s="127"/>
    </row>
    <row r="246" customFormat="false" ht="15.75" hidden="false" customHeight="false" outlineLevel="0" collapsed="false">
      <c r="A246" s="127" t="str">
        <f aca="false">IF(ISBLANK(B246),"",B246&amp;"|"&amp;C246)</f>
        <v/>
      </c>
      <c r="B246" s="127"/>
      <c r="C246" s="127"/>
      <c r="D246" s="127"/>
      <c r="E246" s="133"/>
      <c r="F246" s="127"/>
      <c r="G246" s="127"/>
      <c r="H246" s="127"/>
      <c r="I246" s="127"/>
      <c r="J246" s="127"/>
      <c r="K246" s="127"/>
      <c r="L246" s="127"/>
      <c r="M246" s="127"/>
      <c r="N246" s="127"/>
      <c r="O246" s="127"/>
      <c r="P246" s="127"/>
      <c r="Q246" s="127"/>
      <c r="R246" s="127"/>
      <c r="S246" s="127"/>
      <c r="T246" s="127"/>
      <c r="U246" s="127"/>
      <c r="V246" s="127"/>
      <c r="W246" s="127"/>
      <c r="X246" s="127"/>
      <c r="Y246" s="127"/>
      <c r="Z246" s="127"/>
      <c r="AA246" s="127"/>
    </row>
    <row r="247" customFormat="false" ht="15.75" hidden="false" customHeight="false" outlineLevel="0" collapsed="false">
      <c r="A247" s="127" t="str">
        <f aca="false">IF(ISBLANK(B247),"",B247&amp;"|"&amp;C247)</f>
        <v/>
      </c>
      <c r="B247" s="127"/>
      <c r="C247" s="127"/>
      <c r="D247" s="127"/>
      <c r="E247" s="133"/>
      <c r="F247" s="127"/>
      <c r="G247" s="127"/>
      <c r="H247" s="127"/>
      <c r="I247" s="127"/>
      <c r="J247" s="127"/>
      <c r="K247" s="127"/>
      <c r="L247" s="127"/>
      <c r="M247" s="127"/>
      <c r="N247" s="127"/>
      <c r="O247" s="127"/>
      <c r="P247" s="127"/>
      <c r="Q247" s="127"/>
      <c r="R247" s="127"/>
      <c r="S247" s="127"/>
      <c r="T247" s="127"/>
      <c r="U247" s="127"/>
      <c r="V247" s="127"/>
      <c r="W247" s="127"/>
      <c r="X247" s="127"/>
      <c r="Y247" s="127"/>
      <c r="Z247" s="127"/>
      <c r="AA247" s="127"/>
    </row>
    <row r="248" customFormat="false" ht="15.75" hidden="false" customHeight="false" outlineLevel="0" collapsed="false">
      <c r="A248" s="127" t="str">
        <f aca="false">IF(ISBLANK(B248),"",B248&amp;"|"&amp;C248)</f>
        <v/>
      </c>
      <c r="B248" s="127"/>
      <c r="C248" s="127"/>
      <c r="D248" s="127"/>
      <c r="E248" s="133"/>
      <c r="F248" s="127"/>
      <c r="G248" s="127"/>
      <c r="H248" s="127"/>
      <c r="I248" s="127"/>
      <c r="J248" s="127"/>
      <c r="K248" s="127"/>
      <c r="L248" s="127"/>
      <c r="M248" s="127"/>
      <c r="N248" s="127"/>
      <c r="O248" s="127"/>
      <c r="P248" s="127"/>
      <c r="Q248" s="127"/>
      <c r="R248" s="127"/>
      <c r="S248" s="127"/>
      <c r="T248" s="127"/>
      <c r="U248" s="127"/>
      <c r="V248" s="127"/>
      <c r="W248" s="127"/>
      <c r="X248" s="127"/>
      <c r="Y248" s="127"/>
      <c r="Z248" s="127"/>
      <c r="AA248" s="127"/>
    </row>
    <row r="249" customFormat="false" ht="15.75" hidden="false" customHeight="false" outlineLevel="0" collapsed="false">
      <c r="A249" s="127" t="str">
        <f aca="false">IF(ISBLANK(B249),"",B249&amp;"|"&amp;C249)</f>
        <v/>
      </c>
      <c r="B249" s="127"/>
      <c r="C249" s="127"/>
      <c r="D249" s="127"/>
      <c r="E249" s="133"/>
      <c r="F249" s="127"/>
      <c r="G249" s="127"/>
      <c r="H249" s="127"/>
      <c r="I249" s="127"/>
      <c r="J249" s="127"/>
      <c r="K249" s="127"/>
      <c r="L249" s="127"/>
      <c r="M249" s="127"/>
      <c r="N249" s="127"/>
      <c r="O249" s="127"/>
      <c r="P249" s="127"/>
      <c r="Q249" s="127"/>
      <c r="R249" s="127"/>
      <c r="S249" s="127"/>
      <c r="T249" s="127"/>
      <c r="U249" s="127"/>
      <c r="V249" s="127"/>
      <c r="W249" s="127"/>
      <c r="X249" s="127"/>
      <c r="Y249" s="127"/>
      <c r="Z249" s="127"/>
      <c r="AA249" s="127"/>
    </row>
    <row r="250" customFormat="false" ht="15.75" hidden="false" customHeight="false" outlineLevel="0" collapsed="false">
      <c r="A250" s="127" t="str">
        <f aca="false">IF(ISBLANK(B250),"",B250&amp;"|"&amp;C250)</f>
        <v/>
      </c>
      <c r="B250" s="127"/>
      <c r="C250" s="127"/>
      <c r="D250" s="127"/>
      <c r="E250" s="133"/>
      <c r="F250" s="127"/>
      <c r="G250" s="127"/>
      <c r="H250" s="127"/>
      <c r="I250" s="127"/>
      <c r="J250" s="127"/>
      <c r="K250" s="127"/>
      <c r="L250" s="127"/>
      <c r="M250" s="127"/>
      <c r="N250" s="127"/>
      <c r="O250" s="127"/>
      <c r="P250" s="127"/>
      <c r="Q250" s="127"/>
      <c r="R250" s="127"/>
      <c r="S250" s="127"/>
      <c r="T250" s="127"/>
      <c r="U250" s="127"/>
      <c r="V250" s="127"/>
      <c r="W250" s="127"/>
      <c r="X250" s="127"/>
      <c r="Y250" s="127"/>
      <c r="Z250" s="127"/>
      <c r="AA250" s="127"/>
    </row>
    <row r="251" customFormat="false" ht="15.75" hidden="false" customHeight="false" outlineLevel="0" collapsed="false">
      <c r="A251" s="127" t="str">
        <f aca="false">IF(ISBLANK(B251),"",B251&amp;"|"&amp;C251)</f>
        <v/>
      </c>
      <c r="B251" s="127"/>
      <c r="C251" s="127"/>
      <c r="D251" s="127"/>
      <c r="E251" s="133"/>
      <c r="F251" s="127"/>
      <c r="G251" s="127"/>
      <c r="H251" s="127"/>
      <c r="I251" s="127"/>
      <c r="J251" s="127"/>
      <c r="K251" s="127"/>
      <c r="L251" s="127"/>
      <c r="M251" s="127"/>
      <c r="N251" s="127"/>
      <c r="O251" s="127"/>
      <c r="P251" s="127"/>
      <c r="Q251" s="127"/>
      <c r="R251" s="127"/>
      <c r="S251" s="127"/>
      <c r="T251" s="127"/>
      <c r="U251" s="127"/>
      <c r="V251" s="127"/>
      <c r="W251" s="127"/>
      <c r="X251" s="127"/>
      <c r="Y251" s="127"/>
      <c r="Z251" s="127"/>
      <c r="AA251" s="127"/>
    </row>
    <row r="252" customFormat="false" ht="15.75" hidden="false" customHeight="false" outlineLevel="0" collapsed="false">
      <c r="A252" s="127" t="str">
        <f aca="false">IF(ISBLANK(B252),"",B252&amp;"|"&amp;C252)</f>
        <v/>
      </c>
      <c r="B252" s="127"/>
      <c r="C252" s="127"/>
      <c r="D252" s="127"/>
      <c r="E252" s="133"/>
      <c r="F252" s="127"/>
      <c r="G252" s="127"/>
      <c r="H252" s="127"/>
      <c r="I252" s="127"/>
      <c r="J252" s="127"/>
      <c r="K252" s="127"/>
      <c r="L252" s="127"/>
      <c r="M252" s="127"/>
      <c r="N252" s="127"/>
      <c r="O252" s="127"/>
      <c r="P252" s="127"/>
      <c r="Q252" s="127"/>
      <c r="R252" s="127"/>
      <c r="S252" s="127"/>
      <c r="T252" s="127"/>
      <c r="U252" s="127"/>
      <c r="V252" s="127"/>
      <c r="W252" s="127"/>
      <c r="X252" s="127"/>
      <c r="Y252" s="127"/>
      <c r="Z252" s="127"/>
      <c r="AA252" s="127"/>
    </row>
    <row r="253" customFormat="false" ht="15.75" hidden="false" customHeight="false" outlineLevel="0" collapsed="false">
      <c r="A253" s="127" t="str">
        <f aca="false">IF(ISBLANK(B253),"",B253&amp;"|"&amp;C253)</f>
        <v/>
      </c>
      <c r="B253" s="127"/>
      <c r="C253" s="127"/>
      <c r="D253" s="127"/>
      <c r="E253" s="133"/>
      <c r="F253" s="127"/>
      <c r="G253" s="127"/>
      <c r="H253" s="127"/>
      <c r="I253" s="127"/>
      <c r="J253" s="127"/>
      <c r="K253" s="127"/>
      <c r="L253" s="127"/>
      <c r="M253" s="127"/>
      <c r="N253" s="127"/>
      <c r="O253" s="127"/>
      <c r="P253" s="127"/>
      <c r="Q253" s="127"/>
      <c r="R253" s="127"/>
      <c r="S253" s="127"/>
      <c r="T253" s="127"/>
      <c r="U253" s="127"/>
      <c r="V253" s="127"/>
      <c r="W253" s="127"/>
      <c r="X253" s="127"/>
      <c r="Y253" s="127"/>
      <c r="Z253" s="127"/>
      <c r="AA253" s="127"/>
    </row>
    <row r="254" customFormat="false" ht="15.75" hidden="false" customHeight="false" outlineLevel="0" collapsed="false">
      <c r="A254" s="127" t="str">
        <f aca="false">IF(ISBLANK(B254),"",B254&amp;"|"&amp;C254)</f>
        <v/>
      </c>
      <c r="B254" s="127"/>
      <c r="C254" s="127"/>
      <c r="D254" s="127"/>
      <c r="E254" s="133"/>
      <c r="F254" s="127"/>
      <c r="G254" s="127"/>
      <c r="H254" s="127"/>
      <c r="I254" s="127"/>
      <c r="J254" s="127"/>
      <c r="K254" s="127"/>
      <c r="L254" s="127"/>
      <c r="M254" s="127"/>
      <c r="N254" s="127"/>
      <c r="O254" s="127"/>
      <c r="P254" s="127"/>
      <c r="Q254" s="127"/>
      <c r="R254" s="127"/>
      <c r="S254" s="127"/>
      <c r="T254" s="127"/>
      <c r="U254" s="127"/>
      <c r="V254" s="127"/>
      <c r="W254" s="127"/>
      <c r="X254" s="127"/>
      <c r="Y254" s="127"/>
      <c r="Z254" s="127"/>
      <c r="AA254" s="127"/>
    </row>
    <row r="255" customFormat="false" ht="15.75" hidden="false" customHeight="false" outlineLevel="0" collapsed="false">
      <c r="A255" s="127" t="str">
        <f aca="false">IF(ISBLANK(B255),"",B255&amp;"|"&amp;C255)</f>
        <v/>
      </c>
      <c r="B255" s="127"/>
      <c r="C255" s="127"/>
      <c r="D255" s="127"/>
      <c r="E255" s="133"/>
      <c r="F255" s="127"/>
      <c r="G255" s="127"/>
      <c r="H255" s="127"/>
      <c r="I255" s="127"/>
      <c r="J255" s="127"/>
      <c r="K255" s="127"/>
      <c r="L255" s="127"/>
      <c r="M255" s="127"/>
      <c r="N255" s="127"/>
      <c r="O255" s="127"/>
      <c r="P255" s="127"/>
      <c r="Q255" s="127"/>
      <c r="R255" s="127"/>
      <c r="S255" s="127"/>
      <c r="T255" s="127"/>
      <c r="U255" s="127"/>
      <c r="V255" s="127"/>
      <c r="W255" s="127"/>
      <c r="X255" s="127"/>
      <c r="Y255" s="127"/>
      <c r="Z255" s="127"/>
      <c r="AA255" s="127"/>
    </row>
    <row r="256" customFormat="false" ht="15.75" hidden="false" customHeight="false" outlineLevel="0" collapsed="false">
      <c r="A256" s="127" t="str">
        <f aca="false">IF(ISBLANK(B256),"",B256&amp;"|"&amp;C256)</f>
        <v/>
      </c>
      <c r="B256" s="127"/>
      <c r="C256" s="127"/>
      <c r="D256" s="127"/>
      <c r="E256" s="133"/>
      <c r="F256" s="127"/>
      <c r="G256" s="127"/>
      <c r="H256" s="127"/>
      <c r="I256" s="127"/>
      <c r="J256" s="127"/>
      <c r="K256" s="127"/>
      <c r="L256" s="127"/>
      <c r="M256" s="127"/>
      <c r="N256" s="127"/>
      <c r="O256" s="127"/>
      <c r="P256" s="127"/>
      <c r="Q256" s="127"/>
      <c r="R256" s="127"/>
      <c r="S256" s="127"/>
      <c r="T256" s="127"/>
      <c r="U256" s="127"/>
      <c r="V256" s="127"/>
      <c r="W256" s="127"/>
      <c r="X256" s="127"/>
      <c r="Y256" s="127"/>
      <c r="Z256" s="127"/>
      <c r="AA256" s="127"/>
    </row>
    <row r="257" customFormat="false" ht="15.75" hidden="false" customHeight="false" outlineLevel="0" collapsed="false">
      <c r="A257" s="127" t="str">
        <f aca="false">IF(ISBLANK(B257),"",B257&amp;"|"&amp;C257)</f>
        <v/>
      </c>
      <c r="B257" s="127"/>
      <c r="C257" s="127"/>
      <c r="D257" s="127"/>
      <c r="E257" s="133"/>
      <c r="F257" s="127"/>
      <c r="G257" s="127"/>
      <c r="H257" s="127"/>
      <c r="I257" s="127"/>
      <c r="J257" s="127"/>
      <c r="K257" s="127"/>
      <c r="L257" s="127"/>
      <c r="M257" s="127"/>
      <c r="N257" s="127"/>
      <c r="O257" s="127"/>
      <c r="P257" s="127"/>
      <c r="Q257" s="127"/>
      <c r="R257" s="127"/>
      <c r="S257" s="127"/>
      <c r="T257" s="127"/>
      <c r="U257" s="127"/>
      <c r="V257" s="127"/>
      <c r="W257" s="127"/>
      <c r="X257" s="127"/>
      <c r="Y257" s="127"/>
      <c r="Z257" s="127"/>
      <c r="AA257" s="127"/>
    </row>
    <row r="258" customFormat="false" ht="15.75" hidden="false" customHeight="false" outlineLevel="0" collapsed="false">
      <c r="A258" s="127" t="str">
        <f aca="false">IF(ISBLANK(B258),"",B258&amp;"|"&amp;C258)</f>
        <v/>
      </c>
      <c r="B258" s="127"/>
      <c r="C258" s="127"/>
      <c r="D258" s="127"/>
      <c r="E258" s="133"/>
      <c r="F258" s="127"/>
      <c r="G258" s="127"/>
      <c r="H258" s="127"/>
      <c r="I258" s="127"/>
      <c r="J258" s="127"/>
      <c r="K258" s="127"/>
      <c r="L258" s="127"/>
      <c r="M258" s="127"/>
      <c r="N258" s="127"/>
      <c r="O258" s="127"/>
      <c r="P258" s="127"/>
      <c r="Q258" s="127"/>
      <c r="R258" s="127"/>
      <c r="S258" s="127"/>
      <c r="T258" s="127"/>
      <c r="U258" s="127"/>
      <c r="V258" s="127"/>
      <c r="W258" s="127"/>
      <c r="X258" s="127"/>
      <c r="Y258" s="127"/>
      <c r="Z258" s="127"/>
      <c r="AA258" s="127"/>
    </row>
    <row r="259" customFormat="false" ht="15.75" hidden="false" customHeight="false" outlineLevel="0" collapsed="false">
      <c r="A259" s="127" t="str">
        <f aca="false">IF(ISBLANK(B259),"",B259&amp;"|"&amp;C259)</f>
        <v/>
      </c>
      <c r="B259" s="127"/>
      <c r="C259" s="127"/>
      <c r="D259" s="127"/>
      <c r="E259" s="133"/>
      <c r="F259" s="127"/>
      <c r="G259" s="127"/>
      <c r="H259" s="127"/>
      <c r="I259" s="127"/>
      <c r="J259" s="127"/>
      <c r="K259" s="127"/>
      <c r="L259" s="127"/>
      <c r="M259" s="127"/>
      <c r="N259" s="127"/>
      <c r="O259" s="127"/>
      <c r="P259" s="127"/>
      <c r="Q259" s="127"/>
      <c r="R259" s="127"/>
      <c r="S259" s="127"/>
      <c r="T259" s="127"/>
      <c r="U259" s="127"/>
      <c r="V259" s="127"/>
      <c r="W259" s="127"/>
      <c r="X259" s="127"/>
      <c r="Y259" s="127"/>
      <c r="Z259" s="127"/>
      <c r="AA259" s="127"/>
    </row>
    <row r="260" customFormat="false" ht="15.75" hidden="false" customHeight="false" outlineLevel="0" collapsed="false">
      <c r="A260" s="127" t="str">
        <f aca="false">IF(ISBLANK(B260),"",B260&amp;"|"&amp;C260)</f>
        <v/>
      </c>
      <c r="B260" s="127"/>
      <c r="C260" s="127"/>
      <c r="D260" s="127"/>
      <c r="E260" s="133"/>
      <c r="F260" s="127"/>
      <c r="G260" s="127"/>
      <c r="H260" s="127"/>
      <c r="I260" s="127"/>
      <c r="J260" s="127"/>
      <c r="K260" s="127"/>
      <c r="L260" s="127"/>
      <c r="M260" s="127"/>
      <c r="N260" s="127"/>
      <c r="O260" s="127"/>
      <c r="P260" s="127"/>
      <c r="Q260" s="127"/>
      <c r="R260" s="127"/>
      <c r="S260" s="127"/>
      <c r="T260" s="127"/>
      <c r="U260" s="127"/>
      <c r="V260" s="127"/>
      <c r="W260" s="127"/>
      <c r="X260" s="127"/>
      <c r="Y260" s="127"/>
      <c r="Z260" s="127"/>
      <c r="AA260" s="127"/>
    </row>
    <row r="261" customFormat="false" ht="15.75" hidden="false" customHeight="false" outlineLevel="0" collapsed="false">
      <c r="A261" s="127" t="str">
        <f aca="false">IF(ISBLANK(B261),"",B261&amp;"|"&amp;C261)</f>
        <v/>
      </c>
      <c r="B261" s="127"/>
      <c r="C261" s="127"/>
      <c r="D261" s="127"/>
      <c r="E261" s="133"/>
      <c r="F261" s="127"/>
      <c r="G261" s="127"/>
      <c r="H261" s="127"/>
      <c r="I261" s="127"/>
      <c r="J261" s="127"/>
      <c r="K261" s="127"/>
      <c r="L261" s="127"/>
      <c r="M261" s="127"/>
      <c r="N261" s="127"/>
      <c r="O261" s="127"/>
      <c r="P261" s="127"/>
      <c r="Q261" s="127"/>
      <c r="R261" s="127"/>
      <c r="S261" s="127"/>
      <c r="T261" s="127"/>
      <c r="U261" s="127"/>
      <c r="V261" s="127"/>
      <c r="W261" s="127"/>
      <c r="X261" s="127"/>
      <c r="Y261" s="127"/>
      <c r="Z261" s="127"/>
      <c r="AA261" s="127"/>
    </row>
    <row r="262" customFormat="false" ht="15.75" hidden="false" customHeight="false" outlineLevel="0" collapsed="false">
      <c r="A262" s="127" t="str">
        <f aca="false">IF(ISBLANK(B262),"",B262&amp;"|"&amp;C262)</f>
        <v/>
      </c>
      <c r="B262" s="127"/>
      <c r="C262" s="127"/>
      <c r="D262" s="127"/>
      <c r="E262" s="133"/>
      <c r="F262" s="127"/>
      <c r="G262" s="127"/>
      <c r="H262" s="127"/>
      <c r="I262" s="127"/>
      <c r="J262" s="127"/>
      <c r="K262" s="127"/>
      <c r="L262" s="127"/>
      <c r="M262" s="127"/>
      <c r="N262" s="127"/>
      <c r="O262" s="127"/>
      <c r="P262" s="127"/>
      <c r="Q262" s="127"/>
      <c r="R262" s="127"/>
      <c r="S262" s="127"/>
      <c r="T262" s="127"/>
      <c r="U262" s="127"/>
      <c r="V262" s="127"/>
      <c r="W262" s="127"/>
      <c r="X262" s="127"/>
      <c r="Y262" s="127"/>
      <c r="Z262" s="127"/>
      <c r="AA262" s="127"/>
    </row>
    <row r="263" customFormat="false" ht="15.75" hidden="false" customHeight="false" outlineLevel="0" collapsed="false">
      <c r="A263" s="127" t="str">
        <f aca="false">IF(ISBLANK(B263),"",B263&amp;"|"&amp;C263)</f>
        <v/>
      </c>
      <c r="B263" s="127"/>
      <c r="C263" s="127"/>
      <c r="D263" s="127"/>
      <c r="E263" s="133"/>
      <c r="F263" s="127"/>
      <c r="G263" s="127"/>
      <c r="H263" s="127"/>
      <c r="I263" s="127"/>
      <c r="J263" s="127"/>
      <c r="K263" s="127"/>
      <c r="L263" s="127"/>
      <c r="M263" s="127"/>
      <c r="N263" s="127"/>
      <c r="O263" s="127"/>
      <c r="P263" s="127"/>
      <c r="Q263" s="127"/>
      <c r="R263" s="127"/>
      <c r="S263" s="127"/>
      <c r="T263" s="127"/>
      <c r="U263" s="127"/>
      <c r="V263" s="127"/>
      <c r="W263" s="127"/>
      <c r="X263" s="127"/>
      <c r="Y263" s="127"/>
      <c r="Z263" s="127"/>
      <c r="AA263" s="127"/>
    </row>
    <row r="264" customFormat="false" ht="15.75" hidden="false" customHeight="false" outlineLevel="0" collapsed="false">
      <c r="A264" s="127" t="str">
        <f aca="false">IF(ISBLANK(B264),"",B264&amp;"|"&amp;C264)</f>
        <v/>
      </c>
      <c r="B264" s="127"/>
      <c r="C264" s="127"/>
      <c r="D264" s="127"/>
      <c r="E264" s="133"/>
      <c r="F264" s="127"/>
      <c r="G264" s="127"/>
      <c r="H264" s="127"/>
      <c r="I264" s="127"/>
      <c r="J264" s="127"/>
      <c r="K264" s="127"/>
      <c r="L264" s="127"/>
      <c r="M264" s="127"/>
      <c r="N264" s="127"/>
      <c r="O264" s="127"/>
      <c r="P264" s="127"/>
      <c r="Q264" s="127"/>
      <c r="R264" s="127"/>
      <c r="S264" s="127"/>
      <c r="T264" s="127"/>
      <c r="U264" s="127"/>
      <c r="V264" s="127"/>
      <c r="W264" s="127"/>
      <c r="X264" s="127"/>
      <c r="Y264" s="127"/>
      <c r="Z264" s="127"/>
      <c r="AA264" s="127"/>
    </row>
    <row r="265" customFormat="false" ht="15.75" hidden="false" customHeight="false" outlineLevel="0" collapsed="false">
      <c r="A265" s="127" t="str">
        <f aca="false">IF(ISBLANK(B265),"",B265&amp;"|"&amp;C265)</f>
        <v/>
      </c>
      <c r="B265" s="127"/>
      <c r="C265" s="127"/>
      <c r="D265" s="127"/>
      <c r="E265" s="133"/>
      <c r="F265" s="127"/>
      <c r="G265" s="127"/>
      <c r="H265" s="127"/>
      <c r="I265" s="127"/>
      <c r="J265" s="127"/>
      <c r="K265" s="127"/>
      <c r="L265" s="127"/>
      <c r="M265" s="127"/>
      <c r="N265" s="127"/>
      <c r="O265" s="127"/>
      <c r="P265" s="127"/>
      <c r="Q265" s="127"/>
      <c r="R265" s="127"/>
      <c r="S265" s="127"/>
      <c r="T265" s="127"/>
      <c r="U265" s="127"/>
      <c r="V265" s="127"/>
      <c r="W265" s="127"/>
      <c r="X265" s="127"/>
      <c r="Y265" s="127"/>
      <c r="Z265" s="127"/>
      <c r="AA265" s="127"/>
    </row>
    <row r="266" customFormat="false" ht="15.75" hidden="false" customHeight="false" outlineLevel="0" collapsed="false">
      <c r="A266" s="127" t="str">
        <f aca="false">IF(ISBLANK(B266),"",B266&amp;"|"&amp;C266)</f>
        <v/>
      </c>
      <c r="B266" s="127"/>
      <c r="C266" s="127"/>
      <c r="D266" s="127"/>
      <c r="E266" s="133"/>
      <c r="F266" s="127"/>
      <c r="G266" s="127"/>
      <c r="H266" s="127"/>
      <c r="I266" s="127"/>
      <c r="J266" s="127"/>
      <c r="K266" s="127"/>
      <c r="L266" s="127"/>
      <c r="M266" s="127"/>
      <c r="N266" s="127"/>
      <c r="O266" s="127"/>
      <c r="P266" s="127"/>
      <c r="Q266" s="127"/>
      <c r="R266" s="127"/>
      <c r="S266" s="127"/>
      <c r="T266" s="127"/>
      <c r="U266" s="127"/>
      <c r="V266" s="127"/>
      <c r="W266" s="127"/>
      <c r="X266" s="127"/>
      <c r="Y266" s="127"/>
      <c r="Z266" s="127"/>
      <c r="AA266" s="127"/>
    </row>
    <row r="267" customFormat="false" ht="15.75" hidden="false" customHeight="false" outlineLevel="0" collapsed="false">
      <c r="A267" s="127" t="str">
        <f aca="false">IF(ISBLANK(B267),"",B267&amp;"|"&amp;C267)</f>
        <v/>
      </c>
      <c r="B267" s="127"/>
      <c r="C267" s="127"/>
      <c r="D267" s="127"/>
      <c r="E267" s="133"/>
      <c r="F267" s="127"/>
      <c r="G267" s="127"/>
      <c r="H267" s="127"/>
      <c r="I267" s="127"/>
      <c r="J267" s="127"/>
      <c r="K267" s="127"/>
      <c r="L267" s="127"/>
      <c r="M267" s="127"/>
      <c r="N267" s="127"/>
      <c r="O267" s="127"/>
      <c r="P267" s="127"/>
      <c r="Q267" s="127"/>
      <c r="R267" s="127"/>
      <c r="S267" s="127"/>
      <c r="T267" s="127"/>
      <c r="U267" s="127"/>
      <c r="V267" s="127"/>
      <c r="W267" s="127"/>
      <c r="X267" s="127"/>
      <c r="Y267" s="127"/>
      <c r="Z267" s="127"/>
      <c r="AA267" s="127"/>
    </row>
    <row r="268" customFormat="false" ht="15.75" hidden="false" customHeight="false" outlineLevel="0" collapsed="false">
      <c r="A268" s="127" t="str">
        <f aca="false">IF(ISBLANK(B268),"",B268&amp;"|"&amp;C268)</f>
        <v/>
      </c>
      <c r="B268" s="127"/>
      <c r="C268" s="127"/>
      <c r="D268" s="127"/>
      <c r="E268" s="133"/>
      <c r="F268" s="127"/>
      <c r="G268" s="127"/>
      <c r="H268" s="127"/>
      <c r="I268" s="127"/>
      <c r="J268" s="127"/>
      <c r="K268" s="127"/>
      <c r="L268" s="127"/>
      <c r="M268" s="127"/>
      <c r="N268" s="127"/>
      <c r="O268" s="127"/>
      <c r="P268" s="127"/>
      <c r="Q268" s="127"/>
      <c r="R268" s="127"/>
      <c r="S268" s="127"/>
      <c r="T268" s="127"/>
      <c r="U268" s="127"/>
      <c r="V268" s="127"/>
      <c r="W268" s="127"/>
      <c r="X268" s="127"/>
      <c r="Y268" s="127"/>
      <c r="Z268" s="127"/>
      <c r="AA268" s="127"/>
    </row>
    <row r="269" customFormat="false" ht="15.75" hidden="false" customHeight="false" outlineLevel="0" collapsed="false">
      <c r="A269" s="127" t="str">
        <f aca="false">IF(ISBLANK(B269),"",B269&amp;"|"&amp;C269)</f>
        <v/>
      </c>
      <c r="B269" s="127"/>
      <c r="C269" s="127"/>
      <c r="D269" s="127"/>
      <c r="E269" s="133"/>
      <c r="F269" s="127"/>
      <c r="G269" s="127"/>
      <c r="H269" s="127"/>
      <c r="I269" s="127"/>
      <c r="J269" s="127"/>
      <c r="K269" s="127"/>
      <c r="L269" s="127"/>
      <c r="M269" s="127"/>
      <c r="N269" s="127"/>
      <c r="O269" s="127"/>
      <c r="P269" s="127"/>
      <c r="Q269" s="127"/>
      <c r="R269" s="127"/>
      <c r="S269" s="127"/>
      <c r="T269" s="127"/>
      <c r="U269" s="127"/>
      <c r="V269" s="127"/>
      <c r="W269" s="127"/>
      <c r="X269" s="127"/>
      <c r="Y269" s="127"/>
      <c r="Z269" s="127"/>
      <c r="AA269" s="127"/>
    </row>
    <row r="270" customFormat="false" ht="15.75" hidden="false" customHeight="false" outlineLevel="0" collapsed="false">
      <c r="A270" s="127" t="str">
        <f aca="false">IF(ISBLANK(B270),"",B270&amp;"|"&amp;C270)</f>
        <v/>
      </c>
      <c r="B270" s="127"/>
      <c r="C270" s="127"/>
      <c r="D270" s="127"/>
      <c r="E270" s="133"/>
      <c r="F270" s="127"/>
      <c r="G270" s="127"/>
      <c r="H270" s="127"/>
      <c r="I270" s="127"/>
      <c r="J270" s="127"/>
      <c r="K270" s="127"/>
      <c r="L270" s="127"/>
      <c r="M270" s="127"/>
      <c r="N270" s="127"/>
      <c r="O270" s="127"/>
      <c r="P270" s="127"/>
      <c r="Q270" s="127"/>
      <c r="R270" s="127"/>
      <c r="S270" s="127"/>
      <c r="T270" s="127"/>
      <c r="U270" s="127"/>
      <c r="V270" s="127"/>
      <c r="W270" s="127"/>
      <c r="X270" s="127"/>
      <c r="Y270" s="127"/>
      <c r="Z270" s="127"/>
      <c r="AA270" s="127"/>
    </row>
    <row r="271" customFormat="false" ht="15.75" hidden="false" customHeight="false" outlineLevel="0" collapsed="false">
      <c r="A271" s="127" t="str">
        <f aca="false">IF(ISBLANK(B271),"",B271&amp;"|"&amp;C271)</f>
        <v/>
      </c>
      <c r="B271" s="127"/>
      <c r="C271" s="127"/>
      <c r="D271" s="127"/>
      <c r="E271" s="133"/>
      <c r="F271" s="127"/>
      <c r="G271" s="127"/>
      <c r="H271" s="127"/>
      <c r="I271" s="127"/>
      <c r="J271" s="127"/>
      <c r="K271" s="127"/>
      <c r="L271" s="127"/>
      <c r="M271" s="127"/>
      <c r="N271" s="127"/>
      <c r="O271" s="127"/>
      <c r="P271" s="127"/>
      <c r="Q271" s="127"/>
      <c r="R271" s="127"/>
      <c r="S271" s="127"/>
      <c r="T271" s="127"/>
      <c r="U271" s="127"/>
      <c r="V271" s="127"/>
      <c r="W271" s="127"/>
      <c r="X271" s="127"/>
      <c r="Y271" s="127"/>
      <c r="Z271" s="127"/>
      <c r="AA271" s="127"/>
    </row>
    <row r="272" customFormat="false" ht="15.75" hidden="false" customHeight="false" outlineLevel="0" collapsed="false">
      <c r="A272" s="127" t="str">
        <f aca="false">IF(ISBLANK(B272),"",B272&amp;"|"&amp;C272)</f>
        <v/>
      </c>
      <c r="B272" s="127"/>
      <c r="C272" s="127"/>
      <c r="D272" s="127"/>
      <c r="E272" s="133"/>
      <c r="F272" s="127"/>
      <c r="G272" s="127"/>
      <c r="H272" s="127"/>
      <c r="I272" s="127"/>
      <c r="J272" s="127"/>
      <c r="K272" s="127"/>
      <c r="L272" s="127"/>
      <c r="M272" s="127"/>
      <c r="N272" s="127"/>
      <c r="O272" s="127"/>
      <c r="P272" s="127"/>
      <c r="Q272" s="127"/>
      <c r="R272" s="127"/>
      <c r="S272" s="127"/>
      <c r="T272" s="127"/>
      <c r="U272" s="127"/>
      <c r="V272" s="127"/>
      <c r="W272" s="127"/>
      <c r="X272" s="127"/>
      <c r="Y272" s="127"/>
      <c r="Z272" s="127"/>
      <c r="AA272" s="127"/>
    </row>
    <row r="273" customFormat="false" ht="15.75" hidden="false" customHeight="false" outlineLevel="0" collapsed="false">
      <c r="A273" s="127" t="str">
        <f aca="false">IF(ISBLANK(B273),"",B273&amp;"|"&amp;C273)</f>
        <v/>
      </c>
      <c r="B273" s="127"/>
      <c r="C273" s="127"/>
      <c r="D273" s="127"/>
      <c r="E273" s="133"/>
      <c r="F273" s="127"/>
      <c r="G273" s="127"/>
      <c r="H273" s="127"/>
      <c r="I273" s="127"/>
      <c r="J273" s="127"/>
      <c r="K273" s="127"/>
      <c r="L273" s="127"/>
      <c r="M273" s="127"/>
      <c r="N273" s="127"/>
      <c r="O273" s="127"/>
      <c r="P273" s="127"/>
      <c r="Q273" s="127"/>
      <c r="R273" s="127"/>
      <c r="S273" s="127"/>
      <c r="T273" s="127"/>
      <c r="U273" s="127"/>
      <c r="V273" s="127"/>
      <c r="W273" s="127"/>
      <c r="X273" s="127"/>
      <c r="Y273" s="127"/>
      <c r="Z273" s="127"/>
      <c r="AA273" s="127"/>
    </row>
    <row r="274" customFormat="false" ht="15.75" hidden="false" customHeight="false" outlineLevel="0" collapsed="false">
      <c r="A274" s="127" t="str">
        <f aca="false">IF(ISBLANK(B274),"",B274&amp;"|"&amp;C274)</f>
        <v/>
      </c>
      <c r="B274" s="127"/>
      <c r="C274" s="127"/>
      <c r="D274" s="127"/>
      <c r="E274" s="133"/>
      <c r="F274" s="127"/>
      <c r="G274" s="127"/>
      <c r="H274" s="127"/>
      <c r="I274" s="127"/>
      <c r="J274" s="127"/>
      <c r="K274" s="127"/>
      <c r="L274" s="127"/>
      <c r="M274" s="127"/>
      <c r="N274" s="127"/>
      <c r="O274" s="127"/>
      <c r="P274" s="127"/>
      <c r="Q274" s="127"/>
      <c r="R274" s="127"/>
      <c r="S274" s="127"/>
      <c r="T274" s="127"/>
      <c r="U274" s="127"/>
      <c r="V274" s="127"/>
      <c r="W274" s="127"/>
      <c r="X274" s="127"/>
      <c r="Y274" s="127"/>
      <c r="Z274" s="127"/>
      <c r="AA274" s="127"/>
    </row>
    <row r="275" customFormat="false" ht="15.75" hidden="false" customHeight="false" outlineLevel="0" collapsed="false">
      <c r="A275" s="127" t="str">
        <f aca="false">IF(ISBLANK(B275),"",B275&amp;"|"&amp;C275)</f>
        <v/>
      </c>
      <c r="B275" s="127"/>
      <c r="C275" s="127"/>
      <c r="D275" s="127"/>
      <c r="E275" s="133"/>
      <c r="F275" s="127"/>
      <c r="G275" s="127"/>
      <c r="H275" s="127"/>
      <c r="I275" s="127"/>
      <c r="J275" s="127"/>
      <c r="K275" s="127"/>
      <c r="L275" s="127"/>
      <c r="M275" s="127"/>
      <c r="N275" s="127"/>
      <c r="O275" s="127"/>
      <c r="P275" s="127"/>
      <c r="Q275" s="127"/>
      <c r="R275" s="127"/>
      <c r="S275" s="127"/>
      <c r="T275" s="127"/>
      <c r="U275" s="127"/>
      <c r="V275" s="127"/>
      <c r="W275" s="127"/>
      <c r="X275" s="127"/>
      <c r="Y275" s="127"/>
      <c r="Z275" s="127"/>
      <c r="AA275" s="127"/>
    </row>
    <row r="276" customFormat="false" ht="15.75" hidden="false" customHeight="false" outlineLevel="0" collapsed="false">
      <c r="A276" s="127" t="str">
        <f aca="false">IF(ISBLANK(B276),"",B276&amp;"|"&amp;C276)</f>
        <v/>
      </c>
      <c r="B276" s="127"/>
      <c r="C276" s="127"/>
      <c r="D276" s="127"/>
      <c r="E276" s="133"/>
      <c r="F276" s="127"/>
      <c r="G276" s="127"/>
      <c r="H276" s="127"/>
      <c r="I276" s="127"/>
      <c r="J276" s="127"/>
      <c r="K276" s="127"/>
      <c r="L276" s="127"/>
      <c r="M276" s="127"/>
      <c r="N276" s="127"/>
      <c r="O276" s="127"/>
      <c r="P276" s="127"/>
      <c r="Q276" s="127"/>
      <c r="R276" s="127"/>
      <c r="S276" s="127"/>
      <c r="T276" s="127"/>
      <c r="U276" s="127"/>
      <c r="V276" s="127"/>
      <c r="W276" s="127"/>
      <c r="X276" s="127"/>
      <c r="Y276" s="127"/>
      <c r="Z276" s="127"/>
      <c r="AA276" s="127"/>
    </row>
    <row r="277" customFormat="false" ht="15.75" hidden="false" customHeight="false" outlineLevel="0" collapsed="false">
      <c r="A277" s="127" t="str">
        <f aca="false">IF(ISBLANK(B277),"",B277&amp;"|"&amp;C277)</f>
        <v/>
      </c>
      <c r="B277" s="127"/>
      <c r="C277" s="127"/>
      <c r="D277" s="127"/>
      <c r="E277" s="133"/>
      <c r="F277" s="127"/>
      <c r="G277" s="127"/>
      <c r="H277" s="127"/>
      <c r="I277" s="127"/>
      <c r="J277" s="127"/>
      <c r="K277" s="127"/>
      <c r="L277" s="127"/>
      <c r="M277" s="127"/>
      <c r="N277" s="127"/>
      <c r="O277" s="127"/>
      <c r="P277" s="127"/>
      <c r="Q277" s="127"/>
      <c r="R277" s="127"/>
      <c r="S277" s="127"/>
      <c r="T277" s="127"/>
      <c r="U277" s="127"/>
      <c r="V277" s="127"/>
      <c r="W277" s="127"/>
      <c r="X277" s="127"/>
      <c r="Y277" s="127"/>
      <c r="Z277" s="127"/>
      <c r="AA277" s="127"/>
    </row>
    <row r="278" customFormat="false" ht="15.75" hidden="false" customHeight="false" outlineLevel="0" collapsed="false">
      <c r="A278" s="127" t="str">
        <f aca="false">IF(ISBLANK(B278),"",B278&amp;"|"&amp;C278)</f>
        <v/>
      </c>
      <c r="B278" s="127"/>
      <c r="C278" s="127"/>
      <c r="D278" s="127"/>
      <c r="E278" s="133"/>
      <c r="F278" s="127"/>
      <c r="G278" s="127"/>
      <c r="H278" s="127"/>
      <c r="I278" s="127"/>
      <c r="J278" s="127"/>
      <c r="K278" s="127"/>
      <c r="L278" s="127"/>
      <c r="M278" s="127"/>
      <c r="N278" s="127"/>
      <c r="O278" s="127"/>
      <c r="P278" s="127"/>
      <c r="Q278" s="127"/>
      <c r="R278" s="127"/>
      <c r="S278" s="127"/>
      <c r="T278" s="127"/>
      <c r="U278" s="127"/>
      <c r="V278" s="127"/>
      <c r="W278" s="127"/>
      <c r="X278" s="127"/>
      <c r="Y278" s="127"/>
      <c r="Z278" s="127"/>
      <c r="AA278" s="127"/>
    </row>
    <row r="279" customFormat="false" ht="15.75" hidden="false" customHeight="false" outlineLevel="0" collapsed="false">
      <c r="A279" s="127" t="str">
        <f aca="false">IF(ISBLANK(B279),"",B279&amp;"|"&amp;C279)</f>
        <v/>
      </c>
      <c r="B279" s="127"/>
      <c r="C279" s="127"/>
      <c r="D279" s="127"/>
      <c r="E279" s="133"/>
      <c r="F279" s="127"/>
      <c r="G279" s="127"/>
      <c r="H279" s="127"/>
      <c r="I279" s="127"/>
      <c r="J279" s="127"/>
      <c r="K279" s="127"/>
      <c r="L279" s="127"/>
      <c r="M279" s="127"/>
      <c r="N279" s="127"/>
      <c r="O279" s="127"/>
      <c r="P279" s="127"/>
      <c r="Q279" s="127"/>
      <c r="R279" s="127"/>
      <c r="S279" s="127"/>
      <c r="T279" s="127"/>
      <c r="U279" s="127"/>
      <c r="V279" s="127"/>
      <c r="W279" s="127"/>
      <c r="X279" s="127"/>
      <c r="Y279" s="127"/>
      <c r="Z279" s="127"/>
      <c r="AA279" s="127"/>
    </row>
    <row r="280" customFormat="false" ht="15.75" hidden="false" customHeight="false" outlineLevel="0" collapsed="false">
      <c r="A280" s="127" t="str">
        <f aca="false">IF(ISBLANK(B280),"",B280&amp;"|"&amp;C280)</f>
        <v/>
      </c>
      <c r="B280" s="127"/>
      <c r="C280" s="127"/>
      <c r="D280" s="127"/>
      <c r="E280" s="133"/>
      <c r="F280" s="127"/>
      <c r="G280" s="127"/>
      <c r="H280" s="127"/>
      <c r="I280" s="127"/>
      <c r="J280" s="127"/>
      <c r="K280" s="127"/>
      <c r="L280" s="127"/>
      <c r="M280" s="127"/>
      <c r="N280" s="127"/>
      <c r="O280" s="127"/>
      <c r="P280" s="127"/>
      <c r="Q280" s="127"/>
      <c r="R280" s="127"/>
      <c r="S280" s="127"/>
      <c r="T280" s="127"/>
      <c r="U280" s="127"/>
      <c r="V280" s="127"/>
      <c r="W280" s="127"/>
      <c r="X280" s="127"/>
      <c r="Y280" s="127"/>
      <c r="Z280" s="127"/>
      <c r="AA280" s="127"/>
    </row>
    <row r="281" customFormat="false" ht="15.75" hidden="false" customHeight="false" outlineLevel="0" collapsed="false">
      <c r="A281" s="127" t="str">
        <f aca="false">IF(ISBLANK(B281),"",B281&amp;"|"&amp;C281)</f>
        <v/>
      </c>
      <c r="B281" s="127"/>
      <c r="C281" s="127"/>
      <c r="D281" s="127"/>
      <c r="E281" s="133"/>
      <c r="F281" s="127"/>
      <c r="G281" s="127"/>
      <c r="H281" s="127"/>
      <c r="I281" s="127"/>
      <c r="J281" s="127"/>
      <c r="K281" s="127"/>
      <c r="L281" s="127"/>
      <c r="M281" s="127"/>
      <c r="N281" s="127"/>
      <c r="O281" s="127"/>
      <c r="P281" s="127"/>
      <c r="Q281" s="127"/>
      <c r="R281" s="127"/>
      <c r="S281" s="127"/>
      <c r="T281" s="127"/>
      <c r="U281" s="127"/>
      <c r="V281" s="127"/>
      <c r="W281" s="127"/>
      <c r="X281" s="127"/>
      <c r="Y281" s="127"/>
      <c r="Z281" s="127"/>
      <c r="AA281" s="127"/>
    </row>
    <row r="282" customFormat="false" ht="15.75" hidden="false" customHeight="false" outlineLevel="0" collapsed="false">
      <c r="A282" s="127" t="str">
        <f aca="false">IF(ISBLANK(B282),"",B282&amp;"|"&amp;C282)</f>
        <v/>
      </c>
      <c r="B282" s="127"/>
      <c r="C282" s="127"/>
      <c r="D282" s="127"/>
      <c r="E282" s="133"/>
      <c r="F282" s="127"/>
      <c r="G282" s="127"/>
      <c r="H282" s="127"/>
      <c r="I282" s="127"/>
      <c r="J282" s="127"/>
      <c r="K282" s="127"/>
      <c r="L282" s="127"/>
      <c r="M282" s="127"/>
      <c r="N282" s="127"/>
      <c r="O282" s="127"/>
      <c r="P282" s="127"/>
      <c r="Q282" s="127"/>
      <c r="R282" s="127"/>
      <c r="S282" s="127"/>
      <c r="T282" s="127"/>
      <c r="U282" s="127"/>
      <c r="V282" s="127"/>
      <c r="W282" s="127"/>
      <c r="X282" s="127"/>
      <c r="Y282" s="127"/>
      <c r="Z282" s="127"/>
      <c r="AA282" s="127"/>
    </row>
    <row r="283" customFormat="false" ht="15.75" hidden="false" customHeight="false" outlineLevel="0" collapsed="false">
      <c r="A283" s="127" t="str">
        <f aca="false">IF(ISBLANK(B283),"",B283&amp;"|"&amp;C283)</f>
        <v/>
      </c>
      <c r="B283" s="127"/>
      <c r="C283" s="127"/>
      <c r="D283" s="127"/>
      <c r="E283" s="133"/>
      <c r="F283" s="127"/>
      <c r="G283" s="127"/>
      <c r="H283" s="127"/>
      <c r="I283" s="127"/>
      <c r="J283" s="127"/>
      <c r="K283" s="127"/>
      <c r="L283" s="127"/>
      <c r="M283" s="127"/>
      <c r="N283" s="127"/>
      <c r="O283" s="127"/>
      <c r="P283" s="127"/>
      <c r="Q283" s="127"/>
      <c r="R283" s="127"/>
      <c r="S283" s="127"/>
      <c r="T283" s="127"/>
      <c r="U283" s="127"/>
      <c r="V283" s="127"/>
      <c r="W283" s="127"/>
      <c r="X283" s="127"/>
      <c r="Y283" s="127"/>
      <c r="Z283" s="127"/>
      <c r="AA283" s="127"/>
    </row>
    <row r="284" customFormat="false" ht="15.75" hidden="false" customHeight="false" outlineLevel="0" collapsed="false">
      <c r="A284" s="127" t="str">
        <f aca="false">IF(ISBLANK(B284),"",B284&amp;"|"&amp;C284)</f>
        <v/>
      </c>
      <c r="B284" s="127"/>
      <c r="C284" s="127"/>
      <c r="D284" s="127"/>
      <c r="E284" s="133"/>
      <c r="F284" s="127"/>
      <c r="G284" s="127"/>
      <c r="H284" s="127"/>
      <c r="I284" s="127"/>
      <c r="J284" s="127"/>
      <c r="K284" s="127"/>
      <c r="L284" s="127"/>
      <c r="M284" s="127"/>
      <c r="N284" s="127"/>
      <c r="O284" s="127"/>
      <c r="P284" s="127"/>
      <c r="Q284" s="127"/>
      <c r="R284" s="127"/>
      <c r="S284" s="127"/>
      <c r="T284" s="127"/>
      <c r="U284" s="127"/>
      <c r="V284" s="127"/>
      <c r="W284" s="127"/>
      <c r="X284" s="127"/>
      <c r="Y284" s="127"/>
      <c r="Z284" s="127"/>
      <c r="AA284" s="127"/>
    </row>
    <row r="285" customFormat="false" ht="15.75" hidden="false" customHeight="false" outlineLevel="0" collapsed="false">
      <c r="A285" s="127" t="str">
        <f aca="false">IF(ISBLANK(B285),"",B285&amp;"|"&amp;C285)</f>
        <v/>
      </c>
      <c r="B285" s="127"/>
      <c r="C285" s="127"/>
      <c r="D285" s="127"/>
      <c r="E285" s="133"/>
      <c r="F285" s="127"/>
      <c r="G285" s="127"/>
      <c r="H285" s="127"/>
      <c r="I285" s="127"/>
      <c r="J285" s="127"/>
      <c r="K285" s="127"/>
      <c r="L285" s="127"/>
      <c r="M285" s="127"/>
      <c r="N285" s="127"/>
      <c r="O285" s="127"/>
      <c r="P285" s="127"/>
      <c r="Q285" s="127"/>
      <c r="R285" s="127"/>
      <c r="S285" s="127"/>
      <c r="T285" s="127"/>
      <c r="U285" s="127"/>
      <c r="V285" s="127"/>
      <c r="W285" s="127"/>
      <c r="X285" s="127"/>
      <c r="Y285" s="127"/>
      <c r="Z285" s="127"/>
      <c r="AA285" s="127"/>
    </row>
    <row r="286" customFormat="false" ht="15.75" hidden="false" customHeight="false" outlineLevel="0" collapsed="false">
      <c r="A286" s="127" t="str">
        <f aca="false">IF(ISBLANK(B286),"",B286&amp;"|"&amp;C286)</f>
        <v/>
      </c>
      <c r="B286" s="127"/>
      <c r="C286" s="127"/>
      <c r="D286" s="127"/>
      <c r="E286" s="133"/>
      <c r="F286" s="127"/>
      <c r="G286" s="127"/>
      <c r="H286" s="127"/>
      <c r="I286" s="127"/>
      <c r="J286" s="127"/>
      <c r="K286" s="127"/>
      <c r="L286" s="127"/>
      <c r="M286" s="127"/>
      <c r="N286" s="127"/>
      <c r="O286" s="127"/>
      <c r="P286" s="127"/>
      <c r="Q286" s="127"/>
      <c r="R286" s="127"/>
      <c r="S286" s="127"/>
      <c r="T286" s="127"/>
      <c r="U286" s="127"/>
      <c r="V286" s="127"/>
      <c r="W286" s="127"/>
      <c r="X286" s="127"/>
      <c r="Y286" s="127"/>
      <c r="Z286" s="127"/>
      <c r="AA286" s="127"/>
    </row>
    <row r="287" customFormat="false" ht="15.75" hidden="false" customHeight="false" outlineLevel="0" collapsed="false">
      <c r="A287" s="127" t="str">
        <f aca="false">IF(ISBLANK(B287),"",B287&amp;"|"&amp;C287)</f>
        <v/>
      </c>
      <c r="B287" s="127"/>
      <c r="C287" s="127"/>
      <c r="D287" s="127"/>
      <c r="E287" s="133"/>
      <c r="F287" s="127"/>
      <c r="G287" s="127"/>
      <c r="H287" s="127"/>
      <c r="I287" s="127"/>
      <c r="J287" s="127"/>
      <c r="K287" s="127"/>
      <c r="L287" s="127"/>
      <c r="M287" s="127"/>
      <c r="N287" s="127"/>
      <c r="O287" s="127"/>
      <c r="P287" s="127"/>
      <c r="Q287" s="127"/>
      <c r="R287" s="127"/>
      <c r="S287" s="127"/>
      <c r="T287" s="127"/>
      <c r="U287" s="127"/>
      <c r="V287" s="127"/>
      <c r="W287" s="127"/>
      <c r="X287" s="127"/>
      <c r="Y287" s="127"/>
      <c r="Z287" s="127"/>
      <c r="AA287" s="127"/>
    </row>
    <row r="288" customFormat="false" ht="15.75" hidden="false" customHeight="false" outlineLevel="0" collapsed="false">
      <c r="A288" s="127" t="str">
        <f aca="false">IF(ISBLANK(B288),"",B288&amp;"|"&amp;C288)</f>
        <v/>
      </c>
      <c r="B288" s="127"/>
      <c r="C288" s="127"/>
      <c r="D288" s="127"/>
      <c r="E288" s="133"/>
      <c r="F288" s="127"/>
      <c r="G288" s="127"/>
      <c r="H288" s="127"/>
      <c r="I288" s="127"/>
      <c r="J288" s="127"/>
      <c r="K288" s="127"/>
      <c r="L288" s="127"/>
      <c r="M288" s="127"/>
      <c r="N288" s="127"/>
      <c r="O288" s="127"/>
      <c r="P288" s="127"/>
      <c r="Q288" s="127"/>
      <c r="R288" s="127"/>
      <c r="S288" s="127"/>
      <c r="T288" s="127"/>
      <c r="U288" s="127"/>
      <c r="V288" s="127"/>
      <c r="W288" s="127"/>
      <c r="X288" s="127"/>
      <c r="Y288" s="127"/>
      <c r="Z288" s="127"/>
      <c r="AA288" s="127"/>
    </row>
    <row r="289" customFormat="false" ht="15.75" hidden="false" customHeight="false" outlineLevel="0" collapsed="false">
      <c r="A289" s="127" t="str">
        <f aca="false">IF(ISBLANK(B289),"",B289&amp;"|"&amp;C289)</f>
        <v/>
      </c>
      <c r="B289" s="127"/>
      <c r="C289" s="127"/>
      <c r="D289" s="127"/>
      <c r="E289" s="133"/>
      <c r="F289" s="127"/>
      <c r="G289" s="127"/>
      <c r="H289" s="127"/>
      <c r="I289" s="127"/>
      <c r="J289" s="127"/>
      <c r="K289" s="127"/>
      <c r="L289" s="127"/>
      <c r="M289" s="127"/>
      <c r="N289" s="127"/>
      <c r="O289" s="127"/>
      <c r="P289" s="127"/>
      <c r="Q289" s="127"/>
      <c r="R289" s="127"/>
      <c r="S289" s="127"/>
      <c r="T289" s="127"/>
      <c r="U289" s="127"/>
      <c r="V289" s="127"/>
      <c r="W289" s="127"/>
      <c r="X289" s="127"/>
      <c r="Y289" s="127"/>
      <c r="Z289" s="127"/>
      <c r="AA289" s="127"/>
    </row>
    <row r="290" customFormat="false" ht="15.75" hidden="false" customHeight="false" outlineLevel="0" collapsed="false">
      <c r="A290" s="127" t="str">
        <f aca="false">IF(ISBLANK(B290),"",B290&amp;"|"&amp;C290)</f>
        <v/>
      </c>
      <c r="B290" s="127"/>
      <c r="C290" s="127"/>
      <c r="D290" s="127"/>
      <c r="E290" s="133"/>
      <c r="F290" s="127"/>
      <c r="G290" s="127"/>
      <c r="H290" s="127"/>
      <c r="I290" s="127"/>
      <c r="J290" s="127"/>
      <c r="K290" s="127"/>
      <c r="L290" s="127"/>
      <c r="M290" s="127"/>
      <c r="N290" s="127"/>
      <c r="O290" s="127"/>
      <c r="P290" s="127"/>
      <c r="Q290" s="127"/>
      <c r="R290" s="127"/>
      <c r="S290" s="127"/>
      <c r="T290" s="127"/>
      <c r="U290" s="127"/>
      <c r="V290" s="127"/>
      <c r="W290" s="127"/>
      <c r="X290" s="127"/>
      <c r="Y290" s="127"/>
      <c r="Z290" s="127"/>
      <c r="AA290" s="127"/>
    </row>
    <row r="291" customFormat="false" ht="15.75" hidden="false" customHeight="false" outlineLevel="0" collapsed="false">
      <c r="A291" s="127" t="str">
        <f aca="false">IF(ISBLANK(B291),"",B291&amp;"|"&amp;C291)</f>
        <v/>
      </c>
      <c r="B291" s="127"/>
      <c r="C291" s="127"/>
      <c r="D291" s="127"/>
      <c r="E291" s="133"/>
      <c r="F291" s="127"/>
      <c r="G291" s="127"/>
      <c r="H291" s="127"/>
      <c r="I291" s="127"/>
      <c r="J291" s="127"/>
      <c r="K291" s="127"/>
      <c r="L291" s="127"/>
      <c r="M291" s="127"/>
      <c r="N291" s="127"/>
      <c r="O291" s="127"/>
      <c r="P291" s="127"/>
      <c r="Q291" s="127"/>
      <c r="R291" s="127"/>
      <c r="S291" s="127"/>
      <c r="T291" s="127"/>
      <c r="U291" s="127"/>
      <c r="V291" s="127"/>
      <c r="W291" s="127"/>
      <c r="X291" s="127"/>
      <c r="Y291" s="127"/>
      <c r="Z291" s="127"/>
      <c r="AA291" s="127"/>
    </row>
    <row r="292" customFormat="false" ht="15.75" hidden="false" customHeight="false" outlineLevel="0" collapsed="false">
      <c r="A292" s="127" t="str">
        <f aca="false">IF(ISBLANK(B292),"",B292&amp;"|"&amp;C292)</f>
        <v/>
      </c>
      <c r="B292" s="127"/>
      <c r="C292" s="127"/>
      <c r="D292" s="127"/>
      <c r="E292" s="133"/>
      <c r="F292" s="127"/>
      <c r="G292" s="127"/>
      <c r="H292" s="127"/>
      <c r="I292" s="127"/>
      <c r="J292" s="127"/>
      <c r="K292" s="127"/>
      <c r="L292" s="127"/>
      <c r="M292" s="127"/>
      <c r="N292" s="127"/>
      <c r="O292" s="127"/>
      <c r="P292" s="127"/>
      <c r="Q292" s="127"/>
      <c r="R292" s="127"/>
      <c r="S292" s="127"/>
      <c r="T292" s="127"/>
      <c r="U292" s="127"/>
      <c r="V292" s="127"/>
      <c r="W292" s="127"/>
      <c r="X292" s="127"/>
      <c r="Y292" s="127"/>
      <c r="Z292" s="127"/>
      <c r="AA292" s="127"/>
    </row>
    <row r="293" customFormat="false" ht="15.75" hidden="false" customHeight="false" outlineLevel="0" collapsed="false">
      <c r="A293" s="127" t="str">
        <f aca="false">IF(ISBLANK(B293),"",B293&amp;"|"&amp;C293)</f>
        <v/>
      </c>
      <c r="B293" s="127"/>
      <c r="C293" s="127"/>
      <c r="D293" s="127"/>
      <c r="E293" s="133"/>
      <c r="F293" s="127"/>
      <c r="G293" s="127"/>
      <c r="H293" s="127"/>
      <c r="I293" s="127"/>
      <c r="J293" s="127"/>
      <c r="K293" s="127"/>
      <c r="L293" s="127"/>
      <c r="M293" s="127"/>
      <c r="N293" s="127"/>
      <c r="O293" s="127"/>
      <c r="P293" s="127"/>
      <c r="Q293" s="127"/>
      <c r="R293" s="127"/>
      <c r="S293" s="127"/>
      <c r="T293" s="127"/>
      <c r="U293" s="127"/>
      <c r="V293" s="127"/>
      <c r="W293" s="127"/>
      <c r="X293" s="127"/>
      <c r="Y293" s="127"/>
      <c r="Z293" s="127"/>
      <c r="AA293" s="127"/>
    </row>
    <row r="294" customFormat="false" ht="15.75" hidden="false" customHeight="false" outlineLevel="0" collapsed="false">
      <c r="A294" s="127" t="str">
        <f aca="false">IF(ISBLANK(B294),"",B294&amp;"|"&amp;C294)</f>
        <v/>
      </c>
      <c r="B294" s="127"/>
      <c r="C294" s="127"/>
      <c r="D294" s="127"/>
      <c r="E294" s="133"/>
      <c r="F294" s="127"/>
      <c r="G294" s="127"/>
      <c r="H294" s="127"/>
      <c r="I294" s="127"/>
      <c r="J294" s="127"/>
      <c r="K294" s="127"/>
      <c r="L294" s="127"/>
      <c r="M294" s="127"/>
      <c r="N294" s="127"/>
      <c r="O294" s="127"/>
      <c r="P294" s="127"/>
      <c r="Q294" s="127"/>
      <c r="R294" s="127"/>
      <c r="S294" s="127"/>
      <c r="T294" s="127"/>
      <c r="U294" s="127"/>
      <c r="V294" s="127"/>
      <c r="W294" s="127"/>
      <c r="X294" s="127"/>
      <c r="Y294" s="127"/>
      <c r="Z294" s="127"/>
      <c r="AA294" s="127"/>
    </row>
    <row r="295" customFormat="false" ht="15.75" hidden="false" customHeight="false" outlineLevel="0" collapsed="false">
      <c r="A295" s="127" t="str">
        <f aca="false">IF(ISBLANK(B295),"",B295&amp;"|"&amp;C295)</f>
        <v/>
      </c>
      <c r="B295" s="127"/>
      <c r="C295" s="127"/>
      <c r="D295" s="127"/>
      <c r="E295" s="133"/>
      <c r="F295" s="127"/>
      <c r="G295" s="127"/>
      <c r="H295" s="127"/>
      <c r="I295" s="127"/>
      <c r="J295" s="127"/>
      <c r="K295" s="127"/>
      <c r="L295" s="127"/>
      <c r="M295" s="127"/>
      <c r="N295" s="127"/>
      <c r="O295" s="127"/>
      <c r="P295" s="127"/>
      <c r="Q295" s="127"/>
      <c r="R295" s="127"/>
      <c r="S295" s="127"/>
      <c r="T295" s="127"/>
      <c r="U295" s="127"/>
      <c r="V295" s="127"/>
      <c r="W295" s="127"/>
      <c r="X295" s="127"/>
      <c r="Y295" s="127"/>
      <c r="Z295" s="127"/>
      <c r="AA295" s="127"/>
    </row>
    <row r="296" customFormat="false" ht="15.75" hidden="false" customHeight="false" outlineLevel="0" collapsed="false">
      <c r="A296" s="127" t="str">
        <f aca="false">IF(ISBLANK(B296),"",B296&amp;"|"&amp;C296)</f>
        <v/>
      </c>
      <c r="B296" s="127"/>
      <c r="C296" s="127"/>
      <c r="D296" s="127"/>
      <c r="E296" s="133"/>
      <c r="F296" s="127"/>
      <c r="G296" s="127"/>
      <c r="H296" s="127"/>
      <c r="I296" s="127"/>
      <c r="J296" s="127"/>
      <c r="K296" s="127"/>
      <c r="L296" s="127"/>
      <c r="M296" s="127"/>
      <c r="N296" s="127"/>
      <c r="O296" s="127"/>
      <c r="P296" s="127"/>
      <c r="Q296" s="127"/>
      <c r="R296" s="127"/>
      <c r="S296" s="127"/>
      <c r="T296" s="127"/>
      <c r="U296" s="127"/>
      <c r="V296" s="127"/>
      <c r="W296" s="127"/>
      <c r="X296" s="127"/>
      <c r="Y296" s="127"/>
      <c r="Z296" s="127"/>
      <c r="AA296" s="127"/>
    </row>
    <row r="297" customFormat="false" ht="15.75" hidden="false" customHeight="false" outlineLevel="0" collapsed="false">
      <c r="A297" s="127" t="str">
        <f aca="false">IF(ISBLANK(B297),"",B297&amp;"|"&amp;C297)</f>
        <v/>
      </c>
      <c r="B297" s="127"/>
      <c r="C297" s="127"/>
      <c r="D297" s="127"/>
      <c r="E297" s="133"/>
      <c r="F297" s="127"/>
      <c r="G297" s="127"/>
      <c r="H297" s="127"/>
      <c r="I297" s="127"/>
      <c r="J297" s="127"/>
      <c r="K297" s="127"/>
      <c r="L297" s="127"/>
      <c r="M297" s="127"/>
      <c r="N297" s="127"/>
      <c r="O297" s="127"/>
      <c r="P297" s="127"/>
      <c r="Q297" s="127"/>
      <c r="R297" s="127"/>
      <c r="S297" s="127"/>
      <c r="T297" s="127"/>
      <c r="U297" s="127"/>
      <c r="V297" s="127"/>
      <c r="W297" s="127"/>
      <c r="X297" s="127"/>
      <c r="Y297" s="127"/>
      <c r="Z297" s="127"/>
      <c r="AA297" s="127"/>
    </row>
    <row r="298" customFormat="false" ht="15.75" hidden="false" customHeight="false" outlineLevel="0" collapsed="false">
      <c r="A298" s="127" t="str">
        <f aca="false">IF(ISBLANK(B298),"",B298&amp;"|"&amp;C298)</f>
        <v/>
      </c>
      <c r="B298" s="127"/>
      <c r="C298" s="127"/>
      <c r="D298" s="127"/>
      <c r="E298" s="133"/>
      <c r="F298" s="127"/>
      <c r="G298" s="127"/>
      <c r="H298" s="127"/>
      <c r="I298" s="127"/>
      <c r="J298" s="127"/>
      <c r="K298" s="127"/>
      <c r="L298" s="127"/>
      <c r="M298" s="127"/>
      <c r="N298" s="127"/>
      <c r="O298" s="127"/>
      <c r="P298" s="127"/>
      <c r="Q298" s="127"/>
      <c r="R298" s="127"/>
      <c r="S298" s="127"/>
      <c r="T298" s="127"/>
      <c r="U298" s="127"/>
      <c r="V298" s="127"/>
      <c r="W298" s="127"/>
      <c r="X298" s="127"/>
      <c r="Y298" s="127"/>
      <c r="Z298" s="127"/>
      <c r="AA298" s="127"/>
    </row>
    <row r="299" customFormat="false" ht="15.75" hidden="false" customHeight="false" outlineLevel="0" collapsed="false">
      <c r="A299" s="127" t="str">
        <f aca="false">IF(ISBLANK(B299),"",B299&amp;"|"&amp;C299)</f>
        <v/>
      </c>
      <c r="B299" s="127"/>
      <c r="C299" s="127"/>
      <c r="D299" s="127"/>
      <c r="E299" s="133"/>
      <c r="F299" s="127"/>
      <c r="G299" s="127"/>
      <c r="H299" s="127"/>
      <c r="I299" s="127"/>
      <c r="J299" s="127"/>
      <c r="K299" s="127"/>
      <c r="L299" s="127"/>
      <c r="M299" s="127"/>
      <c r="N299" s="127"/>
      <c r="O299" s="127"/>
      <c r="P299" s="127"/>
      <c r="Q299" s="127"/>
      <c r="R299" s="127"/>
      <c r="S299" s="127"/>
      <c r="T299" s="127"/>
      <c r="U299" s="127"/>
      <c r="V299" s="127"/>
      <c r="W299" s="127"/>
      <c r="X299" s="127"/>
      <c r="Y299" s="127"/>
      <c r="Z299" s="127"/>
      <c r="AA299" s="127"/>
    </row>
    <row r="300" customFormat="false" ht="15.75" hidden="false" customHeight="false" outlineLevel="0" collapsed="false">
      <c r="A300" s="127" t="str">
        <f aca="false">IF(ISBLANK(B300),"",B300&amp;"|"&amp;C300)</f>
        <v/>
      </c>
      <c r="B300" s="127"/>
      <c r="C300" s="127"/>
      <c r="D300" s="127"/>
      <c r="E300" s="133"/>
      <c r="F300" s="127"/>
      <c r="G300" s="127"/>
      <c r="H300" s="127"/>
      <c r="I300" s="127"/>
      <c r="J300" s="127"/>
      <c r="K300" s="127"/>
      <c r="L300" s="127"/>
      <c r="M300" s="127"/>
      <c r="N300" s="127"/>
      <c r="O300" s="127"/>
      <c r="P300" s="127"/>
      <c r="Q300" s="127"/>
      <c r="R300" s="127"/>
      <c r="S300" s="127"/>
      <c r="T300" s="127"/>
      <c r="U300" s="127"/>
      <c r="V300" s="127"/>
      <c r="W300" s="127"/>
      <c r="X300" s="127"/>
      <c r="Y300" s="127"/>
      <c r="Z300" s="127"/>
      <c r="AA300" s="127"/>
    </row>
    <row r="301" customFormat="false" ht="15.75" hidden="false" customHeight="false" outlineLevel="0" collapsed="false">
      <c r="A301" s="127" t="str">
        <f aca="false">IF(ISBLANK(B301),"",B301&amp;"|"&amp;C301)</f>
        <v/>
      </c>
      <c r="B301" s="127"/>
      <c r="C301" s="127"/>
      <c r="D301" s="127"/>
      <c r="E301" s="133"/>
      <c r="F301" s="127"/>
      <c r="G301" s="127"/>
      <c r="H301" s="127"/>
      <c r="I301" s="127"/>
      <c r="J301" s="127"/>
      <c r="K301" s="127"/>
      <c r="L301" s="127"/>
      <c r="M301" s="127"/>
      <c r="N301" s="127"/>
      <c r="O301" s="127"/>
      <c r="P301" s="127"/>
      <c r="Q301" s="127"/>
      <c r="R301" s="127"/>
      <c r="S301" s="127"/>
      <c r="T301" s="127"/>
      <c r="U301" s="127"/>
      <c r="V301" s="127"/>
      <c r="W301" s="127"/>
      <c r="X301" s="127"/>
      <c r="Y301" s="127"/>
      <c r="Z301" s="127"/>
      <c r="AA301" s="127"/>
    </row>
    <row r="302" customFormat="false" ht="15.75" hidden="false" customHeight="false" outlineLevel="0" collapsed="false">
      <c r="A302" s="127" t="str">
        <f aca="false">IF(ISBLANK(B302),"",B302&amp;"|"&amp;C302)</f>
        <v/>
      </c>
      <c r="B302" s="127"/>
      <c r="C302" s="127"/>
      <c r="D302" s="127"/>
      <c r="E302" s="133"/>
      <c r="F302" s="127"/>
      <c r="G302" s="127"/>
      <c r="H302" s="127"/>
      <c r="I302" s="127"/>
      <c r="J302" s="127"/>
      <c r="K302" s="127"/>
      <c r="L302" s="127"/>
      <c r="M302" s="127"/>
      <c r="N302" s="127"/>
      <c r="O302" s="127"/>
      <c r="P302" s="127"/>
      <c r="Q302" s="127"/>
      <c r="R302" s="127"/>
      <c r="S302" s="127"/>
      <c r="T302" s="127"/>
      <c r="U302" s="127"/>
      <c r="V302" s="127"/>
      <c r="W302" s="127"/>
      <c r="X302" s="127"/>
      <c r="Y302" s="127"/>
      <c r="Z302" s="127"/>
      <c r="AA302" s="127"/>
    </row>
    <row r="303" customFormat="false" ht="15.75" hidden="false" customHeight="false" outlineLevel="0" collapsed="false">
      <c r="A303" s="127" t="str">
        <f aca="false">IF(ISBLANK(B303),"",B303&amp;"|"&amp;C303)</f>
        <v/>
      </c>
      <c r="B303" s="127"/>
      <c r="C303" s="127"/>
      <c r="D303" s="127"/>
      <c r="E303" s="133"/>
      <c r="F303" s="127"/>
      <c r="G303" s="127"/>
      <c r="H303" s="127"/>
      <c r="I303" s="127"/>
      <c r="J303" s="127"/>
      <c r="K303" s="127"/>
      <c r="L303" s="127"/>
      <c r="M303" s="127"/>
      <c r="N303" s="127"/>
      <c r="O303" s="127"/>
      <c r="P303" s="127"/>
      <c r="Q303" s="127"/>
      <c r="R303" s="127"/>
      <c r="S303" s="127"/>
      <c r="T303" s="127"/>
      <c r="U303" s="127"/>
      <c r="V303" s="127"/>
      <c r="W303" s="127"/>
      <c r="X303" s="127"/>
      <c r="Y303" s="127"/>
      <c r="Z303" s="127"/>
      <c r="AA303" s="127"/>
    </row>
    <row r="304" customFormat="false" ht="15.75" hidden="false" customHeight="false" outlineLevel="0" collapsed="false">
      <c r="A304" s="127" t="str">
        <f aca="false">IF(ISBLANK(B304),"",B304&amp;"|"&amp;C304)</f>
        <v/>
      </c>
      <c r="B304" s="127"/>
      <c r="C304" s="127"/>
      <c r="D304" s="127"/>
      <c r="E304" s="133"/>
      <c r="F304" s="127"/>
      <c r="G304" s="127"/>
      <c r="H304" s="127"/>
      <c r="I304" s="127"/>
      <c r="J304" s="127"/>
      <c r="K304" s="127"/>
      <c r="L304" s="127"/>
      <c r="M304" s="127"/>
      <c r="N304" s="127"/>
      <c r="O304" s="127"/>
      <c r="P304" s="127"/>
      <c r="Q304" s="127"/>
      <c r="R304" s="127"/>
      <c r="S304" s="127"/>
      <c r="T304" s="127"/>
      <c r="U304" s="127"/>
      <c r="V304" s="127"/>
      <c r="W304" s="127"/>
      <c r="X304" s="127"/>
      <c r="Y304" s="127"/>
      <c r="Z304" s="127"/>
      <c r="AA304" s="127"/>
    </row>
    <row r="305" customFormat="false" ht="15.75" hidden="false" customHeight="false" outlineLevel="0" collapsed="false">
      <c r="A305" s="127" t="str">
        <f aca="false">IF(ISBLANK(B305),"",B305&amp;"|"&amp;C305)</f>
        <v/>
      </c>
      <c r="B305" s="127"/>
      <c r="C305" s="127"/>
      <c r="D305" s="127"/>
      <c r="E305" s="133"/>
      <c r="F305" s="127"/>
      <c r="G305" s="127"/>
      <c r="H305" s="127"/>
      <c r="I305" s="127"/>
      <c r="J305" s="127"/>
      <c r="K305" s="127"/>
      <c r="L305" s="127"/>
      <c r="M305" s="127"/>
      <c r="N305" s="127"/>
      <c r="O305" s="127"/>
      <c r="P305" s="127"/>
      <c r="Q305" s="127"/>
      <c r="R305" s="127"/>
      <c r="S305" s="127"/>
      <c r="T305" s="127"/>
      <c r="U305" s="127"/>
      <c r="V305" s="127"/>
      <c r="W305" s="127"/>
      <c r="X305" s="127"/>
      <c r="Y305" s="127"/>
      <c r="Z305" s="127"/>
      <c r="AA305" s="127"/>
    </row>
    <row r="306" customFormat="false" ht="15.75" hidden="false" customHeight="false" outlineLevel="0" collapsed="false">
      <c r="A306" s="127" t="str">
        <f aca="false">IF(ISBLANK(B306),"",B306&amp;"|"&amp;C306)</f>
        <v/>
      </c>
      <c r="B306" s="127"/>
      <c r="C306" s="127"/>
      <c r="D306" s="127"/>
      <c r="E306" s="133"/>
      <c r="F306" s="127"/>
      <c r="G306" s="127"/>
      <c r="H306" s="127"/>
      <c r="I306" s="127"/>
      <c r="J306" s="127"/>
      <c r="K306" s="127"/>
      <c r="L306" s="127"/>
      <c r="M306" s="127"/>
      <c r="N306" s="127"/>
      <c r="O306" s="127"/>
      <c r="P306" s="127"/>
      <c r="Q306" s="127"/>
      <c r="R306" s="127"/>
      <c r="S306" s="127"/>
      <c r="T306" s="127"/>
      <c r="U306" s="127"/>
      <c r="V306" s="127"/>
      <c r="W306" s="127"/>
      <c r="X306" s="127"/>
      <c r="Y306" s="127"/>
      <c r="Z306" s="127"/>
      <c r="AA306" s="127"/>
    </row>
    <row r="307" customFormat="false" ht="15.75" hidden="false" customHeight="false" outlineLevel="0" collapsed="false">
      <c r="A307" s="127" t="str">
        <f aca="false">IF(ISBLANK(B307),"",B307&amp;"|"&amp;C307)</f>
        <v/>
      </c>
      <c r="B307" s="127"/>
      <c r="C307" s="127"/>
      <c r="D307" s="127"/>
      <c r="E307" s="133"/>
      <c r="F307" s="127"/>
      <c r="G307" s="127"/>
      <c r="H307" s="127"/>
      <c r="I307" s="127"/>
      <c r="J307" s="127"/>
      <c r="K307" s="127"/>
      <c r="L307" s="127"/>
      <c r="M307" s="127"/>
      <c r="N307" s="127"/>
      <c r="O307" s="127"/>
      <c r="P307" s="127"/>
      <c r="Q307" s="127"/>
      <c r="R307" s="127"/>
      <c r="S307" s="127"/>
      <c r="T307" s="127"/>
      <c r="U307" s="127"/>
      <c r="V307" s="127"/>
      <c r="W307" s="127"/>
      <c r="X307" s="127"/>
      <c r="Y307" s="127"/>
      <c r="Z307" s="127"/>
      <c r="AA307" s="127"/>
    </row>
    <row r="308" customFormat="false" ht="15.75" hidden="false" customHeight="false" outlineLevel="0" collapsed="false">
      <c r="A308" s="127" t="str">
        <f aca="false">IF(ISBLANK(B308),"",B308&amp;"|"&amp;C308)</f>
        <v/>
      </c>
      <c r="B308" s="127"/>
      <c r="C308" s="127"/>
      <c r="D308" s="127"/>
      <c r="E308" s="133"/>
      <c r="F308" s="127"/>
      <c r="G308" s="127"/>
      <c r="H308" s="127"/>
      <c r="I308" s="127"/>
      <c r="J308" s="127"/>
      <c r="K308" s="127"/>
      <c r="L308" s="127"/>
      <c r="M308" s="127"/>
      <c r="N308" s="127"/>
      <c r="O308" s="127"/>
      <c r="P308" s="127"/>
      <c r="Q308" s="127"/>
      <c r="R308" s="127"/>
      <c r="S308" s="127"/>
      <c r="T308" s="127"/>
      <c r="U308" s="127"/>
      <c r="V308" s="127"/>
      <c r="W308" s="127"/>
      <c r="X308" s="127"/>
      <c r="Y308" s="127"/>
      <c r="Z308" s="127"/>
      <c r="AA308" s="127"/>
    </row>
    <row r="309" customFormat="false" ht="15.75" hidden="false" customHeight="false" outlineLevel="0" collapsed="false">
      <c r="A309" s="127" t="str">
        <f aca="false">IF(ISBLANK(B309),"",B309&amp;"|"&amp;C309)</f>
        <v/>
      </c>
      <c r="B309" s="127"/>
      <c r="C309" s="127"/>
      <c r="D309" s="127"/>
      <c r="E309" s="133"/>
      <c r="F309" s="127"/>
      <c r="G309" s="127"/>
      <c r="H309" s="127"/>
      <c r="I309" s="127"/>
      <c r="J309" s="127"/>
      <c r="K309" s="127"/>
      <c r="L309" s="127"/>
      <c r="M309" s="127"/>
      <c r="N309" s="127"/>
      <c r="O309" s="127"/>
      <c r="P309" s="127"/>
      <c r="Q309" s="127"/>
      <c r="R309" s="127"/>
      <c r="S309" s="127"/>
      <c r="T309" s="127"/>
      <c r="U309" s="127"/>
      <c r="V309" s="127"/>
      <c r="W309" s="127"/>
      <c r="X309" s="127"/>
      <c r="Y309" s="127"/>
      <c r="Z309" s="127"/>
      <c r="AA309" s="127"/>
    </row>
    <row r="310" customFormat="false" ht="15.75" hidden="false" customHeight="false" outlineLevel="0" collapsed="false">
      <c r="A310" s="127" t="str">
        <f aca="false">IF(ISBLANK(B310),"",B310&amp;"|"&amp;C310)</f>
        <v/>
      </c>
      <c r="B310" s="127"/>
      <c r="C310" s="127"/>
      <c r="D310" s="127"/>
      <c r="E310" s="133"/>
      <c r="F310" s="127"/>
      <c r="G310" s="127"/>
      <c r="H310" s="127"/>
      <c r="I310" s="127"/>
      <c r="J310" s="127"/>
      <c r="K310" s="127"/>
      <c r="L310" s="127"/>
      <c r="M310" s="127"/>
      <c r="N310" s="127"/>
      <c r="O310" s="127"/>
      <c r="P310" s="127"/>
      <c r="Q310" s="127"/>
      <c r="R310" s="127"/>
      <c r="S310" s="127"/>
      <c r="T310" s="127"/>
      <c r="U310" s="127"/>
      <c r="V310" s="127"/>
      <c r="W310" s="127"/>
      <c r="X310" s="127"/>
      <c r="Y310" s="127"/>
      <c r="Z310" s="127"/>
      <c r="AA310" s="127"/>
    </row>
    <row r="311" customFormat="false" ht="15.75" hidden="false" customHeight="false" outlineLevel="0" collapsed="false">
      <c r="A311" s="127" t="str">
        <f aca="false">IF(ISBLANK(B311),"",B311&amp;"|"&amp;C311)</f>
        <v/>
      </c>
      <c r="B311" s="127"/>
      <c r="C311" s="127"/>
      <c r="D311" s="127"/>
      <c r="E311" s="133"/>
      <c r="F311" s="127"/>
      <c r="G311" s="127"/>
      <c r="H311" s="127"/>
      <c r="I311" s="127"/>
      <c r="J311" s="127"/>
      <c r="K311" s="127"/>
      <c r="L311" s="127"/>
      <c r="M311" s="127"/>
      <c r="N311" s="127"/>
      <c r="O311" s="127"/>
      <c r="P311" s="127"/>
      <c r="Q311" s="127"/>
      <c r="R311" s="127"/>
      <c r="S311" s="127"/>
      <c r="T311" s="127"/>
      <c r="U311" s="127"/>
      <c r="V311" s="127"/>
      <c r="W311" s="127"/>
      <c r="X311" s="127"/>
      <c r="Y311" s="127"/>
      <c r="Z311" s="127"/>
      <c r="AA311" s="127"/>
    </row>
    <row r="312" customFormat="false" ht="15.75" hidden="false" customHeight="false" outlineLevel="0" collapsed="false">
      <c r="A312" s="127" t="str">
        <f aca="false">IF(ISBLANK(B312),"",B312&amp;"|"&amp;C312)</f>
        <v/>
      </c>
      <c r="B312" s="127"/>
      <c r="C312" s="127"/>
      <c r="D312" s="127"/>
      <c r="E312" s="133"/>
      <c r="F312" s="127"/>
      <c r="G312" s="127"/>
      <c r="H312" s="127"/>
      <c r="I312" s="127"/>
      <c r="J312" s="127"/>
      <c r="K312" s="127"/>
      <c r="L312" s="127"/>
      <c r="M312" s="127"/>
      <c r="N312" s="127"/>
      <c r="O312" s="127"/>
      <c r="P312" s="127"/>
      <c r="Q312" s="127"/>
      <c r="R312" s="127"/>
      <c r="S312" s="127"/>
      <c r="T312" s="127"/>
      <c r="U312" s="127"/>
      <c r="V312" s="127"/>
      <c r="W312" s="127"/>
      <c r="X312" s="127"/>
      <c r="Y312" s="127"/>
      <c r="Z312" s="127"/>
      <c r="AA312" s="127"/>
    </row>
    <row r="313" customFormat="false" ht="15.75" hidden="false" customHeight="false" outlineLevel="0" collapsed="false">
      <c r="A313" s="127" t="str">
        <f aca="false">IF(ISBLANK(B313),"",B313&amp;"|"&amp;C313)</f>
        <v/>
      </c>
      <c r="B313" s="127"/>
      <c r="C313" s="127"/>
      <c r="D313" s="127"/>
      <c r="E313" s="133"/>
      <c r="F313" s="127"/>
      <c r="G313" s="127"/>
      <c r="H313" s="127"/>
      <c r="I313" s="127"/>
      <c r="J313" s="127"/>
      <c r="K313" s="127"/>
      <c r="L313" s="127"/>
      <c r="M313" s="127"/>
      <c r="N313" s="127"/>
      <c r="O313" s="127"/>
      <c r="P313" s="127"/>
      <c r="Q313" s="127"/>
      <c r="R313" s="127"/>
      <c r="S313" s="127"/>
      <c r="T313" s="127"/>
      <c r="U313" s="127"/>
      <c r="V313" s="127"/>
      <c r="W313" s="127"/>
      <c r="X313" s="127"/>
      <c r="Y313" s="127"/>
      <c r="Z313" s="127"/>
      <c r="AA313" s="127"/>
    </row>
    <row r="314" customFormat="false" ht="15.75" hidden="false" customHeight="false" outlineLevel="0" collapsed="false">
      <c r="A314" s="127" t="str">
        <f aca="false">IF(ISBLANK(B314),"",B314&amp;"|"&amp;C314)</f>
        <v/>
      </c>
      <c r="B314" s="127"/>
      <c r="C314" s="127"/>
      <c r="D314" s="127"/>
      <c r="E314" s="133"/>
      <c r="F314" s="127"/>
      <c r="G314" s="127"/>
      <c r="H314" s="127"/>
      <c r="I314" s="127"/>
      <c r="J314" s="127"/>
      <c r="K314" s="127"/>
      <c r="L314" s="127"/>
      <c r="M314" s="127"/>
      <c r="N314" s="127"/>
      <c r="O314" s="127"/>
      <c r="P314" s="127"/>
      <c r="Q314" s="127"/>
      <c r="R314" s="127"/>
      <c r="S314" s="127"/>
      <c r="T314" s="127"/>
      <c r="U314" s="127"/>
      <c r="V314" s="127"/>
      <c r="W314" s="127"/>
      <c r="X314" s="127"/>
      <c r="Y314" s="127"/>
      <c r="Z314" s="127"/>
      <c r="AA314" s="127"/>
    </row>
    <row r="315" customFormat="false" ht="15.75" hidden="false" customHeight="false" outlineLevel="0" collapsed="false">
      <c r="A315" s="127" t="str">
        <f aca="false">IF(ISBLANK(B315),"",B315&amp;"|"&amp;C315)</f>
        <v/>
      </c>
      <c r="B315" s="127"/>
      <c r="C315" s="127"/>
      <c r="D315" s="127"/>
      <c r="E315" s="133"/>
      <c r="F315" s="127"/>
      <c r="G315" s="127"/>
      <c r="H315" s="127"/>
      <c r="I315" s="127"/>
      <c r="J315" s="127"/>
      <c r="K315" s="127"/>
      <c r="L315" s="127"/>
      <c r="M315" s="127"/>
      <c r="N315" s="127"/>
      <c r="O315" s="127"/>
      <c r="P315" s="127"/>
      <c r="Q315" s="127"/>
      <c r="R315" s="127"/>
      <c r="S315" s="127"/>
      <c r="T315" s="127"/>
      <c r="U315" s="127"/>
      <c r="V315" s="127"/>
      <c r="W315" s="127"/>
      <c r="X315" s="127"/>
      <c r="Y315" s="127"/>
      <c r="Z315" s="127"/>
      <c r="AA315" s="127"/>
    </row>
    <row r="316" customFormat="false" ht="15.75" hidden="false" customHeight="false" outlineLevel="0" collapsed="false">
      <c r="A316" s="127" t="str">
        <f aca="false">IF(ISBLANK(B316),"",B316&amp;"|"&amp;C316)</f>
        <v/>
      </c>
      <c r="B316" s="127"/>
      <c r="C316" s="127"/>
      <c r="D316" s="127"/>
      <c r="E316" s="133"/>
      <c r="F316" s="127"/>
      <c r="G316" s="127"/>
      <c r="H316" s="127"/>
      <c r="I316" s="127"/>
      <c r="J316" s="127"/>
      <c r="K316" s="127"/>
      <c r="L316" s="127"/>
      <c r="M316" s="127"/>
      <c r="N316" s="127"/>
      <c r="O316" s="127"/>
      <c r="P316" s="127"/>
      <c r="Q316" s="127"/>
      <c r="R316" s="127"/>
      <c r="S316" s="127"/>
      <c r="T316" s="127"/>
      <c r="U316" s="127"/>
      <c r="V316" s="127"/>
      <c r="W316" s="127"/>
      <c r="X316" s="127"/>
      <c r="Y316" s="127"/>
      <c r="Z316" s="127"/>
      <c r="AA316" s="127"/>
    </row>
    <row r="317" customFormat="false" ht="15.75" hidden="false" customHeight="false" outlineLevel="0" collapsed="false">
      <c r="A317" s="127" t="str">
        <f aca="false">IF(ISBLANK(B317),"",B317&amp;"|"&amp;C317)</f>
        <v/>
      </c>
      <c r="B317" s="127"/>
      <c r="C317" s="127"/>
      <c r="D317" s="127"/>
      <c r="E317" s="133"/>
      <c r="F317" s="127"/>
      <c r="G317" s="127"/>
      <c r="H317" s="127"/>
      <c r="I317" s="127"/>
      <c r="J317" s="127"/>
      <c r="K317" s="127"/>
      <c r="L317" s="127"/>
      <c r="M317" s="127"/>
      <c r="N317" s="127"/>
      <c r="O317" s="127"/>
      <c r="P317" s="127"/>
      <c r="Q317" s="127"/>
      <c r="R317" s="127"/>
      <c r="S317" s="127"/>
      <c r="T317" s="127"/>
      <c r="U317" s="127"/>
      <c r="V317" s="127"/>
      <c r="W317" s="127"/>
      <c r="X317" s="127"/>
      <c r="Y317" s="127"/>
      <c r="Z317" s="127"/>
      <c r="AA317" s="127"/>
    </row>
    <row r="318" customFormat="false" ht="15.75" hidden="false" customHeight="false" outlineLevel="0" collapsed="false">
      <c r="A318" s="127" t="str">
        <f aca="false">IF(ISBLANK(B318),"",B318&amp;"|"&amp;C318)</f>
        <v/>
      </c>
      <c r="B318" s="127"/>
      <c r="C318" s="127"/>
      <c r="D318" s="127"/>
      <c r="E318" s="133"/>
      <c r="F318" s="127"/>
      <c r="G318" s="127"/>
      <c r="H318" s="127"/>
      <c r="I318" s="127"/>
      <c r="J318" s="127"/>
      <c r="K318" s="127"/>
      <c r="L318" s="127"/>
      <c r="M318" s="127"/>
      <c r="N318" s="127"/>
      <c r="O318" s="127"/>
      <c r="P318" s="127"/>
      <c r="Q318" s="127"/>
      <c r="R318" s="127"/>
      <c r="S318" s="127"/>
      <c r="T318" s="127"/>
      <c r="U318" s="127"/>
      <c r="V318" s="127"/>
      <c r="W318" s="127"/>
      <c r="X318" s="127"/>
      <c r="Y318" s="127"/>
      <c r="Z318" s="127"/>
      <c r="AA318" s="127"/>
    </row>
    <row r="319" customFormat="false" ht="15.75" hidden="false" customHeight="false" outlineLevel="0" collapsed="false">
      <c r="A319" s="127" t="str">
        <f aca="false">IF(ISBLANK(B319),"",B319&amp;"|"&amp;C319)</f>
        <v/>
      </c>
      <c r="B319" s="127"/>
      <c r="C319" s="127"/>
      <c r="D319" s="127"/>
      <c r="E319" s="133"/>
      <c r="F319" s="127"/>
      <c r="G319" s="127"/>
      <c r="H319" s="127"/>
      <c r="I319" s="127"/>
      <c r="J319" s="127"/>
      <c r="K319" s="127"/>
      <c r="L319" s="127"/>
      <c r="M319" s="127"/>
      <c r="N319" s="127"/>
      <c r="O319" s="127"/>
      <c r="P319" s="127"/>
      <c r="Q319" s="127"/>
      <c r="R319" s="127"/>
      <c r="S319" s="127"/>
      <c r="T319" s="127"/>
      <c r="U319" s="127"/>
      <c r="V319" s="127"/>
      <c r="W319" s="127"/>
      <c r="X319" s="127"/>
      <c r="Y319" s="127"/>
      <c r="Z319" s="127"/>
      <c r="AA319" s="127"/>
    </row>
    <row r="320" customFormat="false" ht="15.75" hidden="false" customHeight="false" outlineLevel="0" collapsed="false">
      <c r="A320" s="127" t="str">
        <f aca="false">IF(ISBLANK(B320),"",B320&amp;"|"&amp;C320)</f>
        <v/>
      </c>
      <c r="B320" s="127"/>
      <c r="C320" s="127"/>
      <c r="D320" s="127"/>
      <c r="E320" s="133"/>
      <c r="F320" s="127"/>
      <c r="G320" s="127"/>
      <c r="H320" s="127"/>
      <c r="I320" s="127"/>
      <c r="J320" s="127"/>
      <c r="K320" s="127"/>
      <c r="L320" s="127"/>
      <c r="M320" s="127"/>
      <c r="N320" s="127"/>
      <c r="O320" s="127"/>
      <c r="P320" s="127"/>
      <c r="Q320" s="127"/>
      <c r="R320" s="127"/>
      <c r="S320" s="127"/>
      <c r="T320" s="127"/>
      <c r="U320" s="127"/>
      <c r="V320" s="127"/>
      <c r="W320" s="127"/>
      <c r="X320" s="127"/>
      <c r="Y320" s="127"/>
      <c r="Z320" s="127"/>
      <c r="AA320" s="127"/>
    </row>
    <row r="321" customFormat="false" ht="15.75" hidden="false" customHeight="false" outlineLevel="0" collapsed="false">
      <c r="A321" s="127" t="str">
        <f aca="false">IF(ISBLANK(B321),"",B321&amp;"|"&amp;C321)</f>
        <v/>
      </c>
      <c r="B321" s="127"/>
      <c r="C321" s="127"/>
      <c r="D321" s="127"/>
      <c r="E321" s="133"/>
      <c r="F321" s="127"/>
      <c r="G321" s="127"/>
      <c r="H321" s="127"/>
      <c r="I321" s="127"/>
      <c r="J321" s="127"/>
      <c r="K321" s="127"/>
      <c r="L321" s="127"/>
      <c r="M321" s="127"/>
      <c r="N321" s="127"/>
      <c r="O321" s="127"/>
      <c r="P321" s="127"/>
      <c r="Q321" s="127"/>
      <c r="R321" s="127"/>
      <c r="S321" s="127"/>
      <c r="T321" s="127"/>
      <c r="U321" s="127"/>
      <c r="V321" s="127"/>
      <c r="W321" s="127"/>
      <c r="X321" s="127"/>
      <c r="Y321" s="127"/>
      <c r="Z321" s="127"/>
      <c r="AA321" s="127"/>
    </row>
    <row r="322" customFormat="false" ht="15.75" hidden="false" customHeight="false" outlineLevel="0" collapsed="false">
      <c r="A322" s="127" t="str">
        <f aca="false">IF(ISBLANK(B322),"",B322&amp;"|"&amp;C322)</f>
        <v/>
      </c>
      <c r="B322" s="127"/>
      <c r="C322" s="127"/>
      <c r="D322" s="127"/>
      <c r="E322" s="133"/>
      <c r="F322" s="127"/>
      <c r="G322" s="127"/>
      <c r="H322" s="127"/>
      <c r="I322" s="127"/>
      <c r="J322" s="127"/>
      <c r="K322" s="127"/>
      <c r="L322" s="127"/>
      <c r="M322" s="127"/>
      <c r="N322" s="127"/>
      <c r="O322" s="127"/>
      <c r="P322" s="127"/>
      <c r="Q322" s="127"/>
      <c r="R322" s="127"/>
      <c r="S322" s="127"/>
      <c r="T322" s="127"/>
      <c r="U322" s="127"/>
      <c r="V322" s="127"/>
      <c r="W322" s="127"/>
      <c r="X322" s="127"/>
      <c r="Y322" s="127"/>
      <c r="Z322" s="127"/>
      <c r="AA322" s="127"/>
    </row>
    <row r="323" customFormat="false" ht="15.75" hidden="false" customHeight="false" outlineLevel="0" collapsed="false">
      <c r="A323" s="127" t="str">
        <f aca="false">IF(ISBLANK(B323),"",B323&amp;"|"&amp;C323)</f>
        <v/>
      </c>
      <c r="B323" s="127"/>
      <c r="C323" s="127"/>
      <c r="D323" s="127"/>
      <c r="E323" s="133"/>
      <c r="F323" s="127"/>
      <c r="G323" s="127"/>
      <c r="H323" s="127"/>
      <c r="I323" s="127"/>
      <c r="J323" s="127"/>
      <c r="K323" s="127"/>
      <c r="L323" s="127"/>
      <c r="M323" s="127"/>
      <c r="N323" s="127"/>
      <c r="O323" s="127"/>
      <c r="P323" s="127"/>
      <c r="Q323" s="127"/>
      <c r="R323" s="127"/>
      <c r="S323" s="127"/>
      <c r="T323" s="127"/>
      <c r="U323" s="127"/>
      <c r="V323" s="127"/>
      <c r="W323" s="127"/>
      <c r="X323" s="127"/>
      <c r="Y323" s="127"/>
      <c r="Z323" s="127"/>
      <c r="AA323" s="127"/>
    </row>
    <row r="324" customFormat="false" ht="15.75" hidden="false" customHeight="false" outlineLevel="0" collapsed="false">
      <c r="A324" s="127" t="str">
        <f aca="false">IF(ISBLANK(B324),"",B324&amp;"|"&amp;C324)</f>
        <v/>
      </c>
      <c r="B324" s="127"/>
      <c r="C324" s="127"/>
      <c r="D324" s="127"/>
      <c r="E324" s="133"/>
      <c r="F324" s="127"/>
      <c r="G324" s="127"/>
      <c r="H324" s="127"/>
      <c r="I324" s="127"/>
      <c r="J324" s="127"/>
      <c r="K324" s="127"/>
      <c r="L324" s="127"/>
      <c r="M324" s="127"/>
      <c r="N324" s="127"/>
      <c r="O324" s="127"/>
      <c r="P324" s="127"/>
      <c r="Q324" s="127"/>
      <c r="R324" s="127"/>
      <c r="S324" s="127"/>
      <c r="T324" s="127"/>
      <c r="U324" s="127"/>
      <c r="V324" s="127"/>
      <c r="W324" s="127"/>
      <c r="X324" s="127"/>
      <c r="Y324" s="127"/>
      <c r="Z324" s="127"/>
      <c r="AA324" s="127"/>
    </row>
    <row r="325" customFormat="false" ht="15.75" hidden="false" customHeight="false" outlineLevel="0" collapsed="false">
      <c r="A325" s="127" t="str">
        <f aca="false">IF(ISBLANK(B325),"",B325&amp;"|"&amp;C325)</f>
        <v/>
      </c>
      <c r="B325" s="127"/>
      <c r="C325" s="127"/>
      <c r="D325" s="127"/>
      <c r="E325" s="133"/>
      <c r="F325" s="127"/>
      <c r="G325" s="127"/>
      <c r="H325" s="127"/>
      <c r="I325" s="127"/>
      <c r="J325" s="127"/>
      <c r="K325" s="127"/>
      <c r="L325" s="127"/>
      <c r="M325" s="127"/>
      <c r="N325" s="127"/>
      <c r="O325" s="127"/>
      <c r="P325" s="127"/>
      <c r="Q325" s="127"/>
      <c r="R325" s="127"/>
      <c r="S325" s="127"/>
      <c r="T325" s="127"/>
      <c r="U325" s="127"/>
      <c r="V325" s="127"/>
      <c r="W325" s="127"/>
      <c r="X325" s="127"/>
      <c r="Y325" s="127"/>
      <c r="Z325" s="127"/>
      <c r="AA325" s="127"/>
    </row>
    <row r="326" customFormat="false" ht="15.75" hidden="false" customHeight="false" outlineLevel="0" collapsed="false">
      <c r="A326" s="127" t="str">
        <f aca="false">IF(ISBLANK(B326),"",B326&amp;"|"&amp;C326)</f>
        <v/>
      </c>
      <c r="B326" s="127"/>
      <c r="C326" s="127"/>
      <c r="D326" s="127"/>
      <c r="E326" s="133"/>
      <c r="F326" s="127"/>
      <c r="G326" s="127"/>
      <c r="H326" s="127"/>
      <c r="I326" s="127"/>
      <c r="J326" s="127"/>
      <c r="K326" s="127"/>
      <c r="L326" s="127"/>
      <c r="M326" s="127"/>
      <c r="N326" s="127"/>
      <c r="O326" s="127"/>
      <c r="P326" s="127"/>
      <c r="Q326" s="127"/>
      <c r="R326" s="127"/>
      <c r="S326" s="127"/>
      <c r="T326" s="127"/>
      <c r="U326" s="127"/>
      <c r="V326" s="127"/>
      <c r="W326" s="127"/>
      <c r="X326" s="127"/>
      <c r="Y326" s="127"/>
      <c r="Z326" s="127"/>
      <c r="AA326" s="127"/>
    </row>
    <row r="327" customFormat="false" ht="15.75" hidden="false" customHeight="false" outlineLevel="0" collapsed="false">
      <c r="A327" s="127" t="str">
        <f aca="false">IF(ISBLANK(B327),"",B327&amp;"|"&amp;C327)</f>
        <v/>
      </c>
      <c r="B327" s="127"/>
      <c r="C327" s="127"/>
      <c r="D327" s="127"/>
      <c r="E327" s="133"/>
      <c r="F327" s="127"/>
      <c r="G327" s="127"/>
      <c r="H327" s="127"/>
      <c r="I327" s="127"/>
      <c r="J327" s="127"/>
      <c r="K327" s="127"/>
      <c r="L327" s="127"/>
      <c r="M327" s="127"/>
      <c r="N327" s="127"/>
      <c r="O327" s="127"/>
      <c r="P327" s="127"/>
      <c r="Q327" s="127"/>
      <c r="R327" s="127"/>
      <c r="S327" s="127"/>
      <c r="T327" s="127"/>
      <c r="U327" s="127"/>
      <c r="V327" s="127"/>
      <c r="W327" s="127"/>
      <c r="X327" s="127"/>
      <c r="Y327" s="127"/>
      <c r="Z327" s="127"/>
      <c r="AA327" s="127"/>
    </row>
    <row r="328" customFormat="false" ht="15.75" hidden="false" customHeight="false" outlineLevel="0" collapsed="false">
      <c r="A328" s="127" t="str">
        <f aca="false">IF(ISBLANK(B328),"",B328&amp;"|"&amp;C328)</f>
        <v/>
      </c>
      <c r="B328" s="127"/>
      <c r="C328" s="127"/>
      <c r="D328" s="127"/>
      <c r="E328" s="133"/>
      <c r="F328" s="127"/>
      <c r="G328" s="127"/>
      <c r="H328" s="127"/>
      <c r="I328" s="127"/>
      <c r="J328" s="127"/>
      <c r="K328" s="127"/>
      <c r="L328" s="127"/>
      <c r="M328" s="127"/>
      <c r="N328" s="127"/>
      <c r="O328" s="127"/>
      <c r="P328" s="127"/>
      <c r="Q328" s="127"/>
      <c r="R328" s="127"/>
      <c r="S328" s="127"/>
      <c r="T328" s="127"/>
      <c r="U328" s="127"/>
      <c r="V328" s="127"/>
      <c r="W328" s="127"/>
      <c r="X328" s="127"/>
      <c r="Y328" s="127"/>
      <c r="Z328" s="127"/>
      <c r="AA328" s="127"/>
    </row>
    <row r="329" customFormat="false" ht="15.75" hidden="false" customHeight="false" outlineLevel="0" collapsed="false">
      <c r="A329" s="127" t="str">
        <f aca="false">IF(ISBLANK(B329),"",B329&amp;"|"&amp;C329)</f>
        <v/>
      </c>
      <c r="B329" s="127"/>
      <c r="C329" s="127"/>
      <c r="D329" s="127"/>
      <c r="E329" s="133"/>
      <c r="F329" s="127"/>
      <c r="G329" s="127"/>
      <c r="H329" s="127"/>
      <c r="I329" s="127"/>
      <c r="J329" s="127"/>
      <c r="K329" s="127"/>
      <c r="L329" s="127"/>
      <c r="M329" s="127"/>
      <c r="N329" s="127"/>
      <c r="O329" s="127"/>
      <c r="P329" s="127"/>
      <c r="Q329" s="127"/>
      <c r="R329" s="127"/>
      <c r="S329" s="127"/>
      <c r="T329" s="127"/>
      <c r="U329" s="127"/>
      <c r="V329" s="127"/>
      <c r="W329" s="127"/>
      <c r="X329" s="127"/>
      <c r="Y329" s="127"/>
      <c r="Z329" s="127"/>
      <c r="AA329" s="127"/>
    </row>
    <row r="330" customFormat="false" ht="15.75" hidden="false" customHeight="false" outlineLevel="0" collapsed="false">
      <c r="A330" s="127" t="str">
        <f aca="false">IF(ISBLANK(B330),"",B330&amp;"|"&amp;C330)</f>
        <v/>
      </c>
      <c r="B330" s="127"/>
      <c r="C330" s="127"/>
      <c r="D330" s="127"/>
      <c r="E330" s="133"/>
      <c r="F330" s="127"/>
      <c r="G330" s="127"/>
      <c r="H330" s="127"/>
      <c r="I330" s="127"/>
      <c r="J330" s="127"/>
      <c r="K330" s="127"/>
      <c r="L330" s="127"/>
      <c r="M330" s="127"/>
      <c r="N330" s="127"/>
      <c r="O330" s="127"/>
      <c r="P330" s="127"/>
      <c r="Q330" s="127"/>
      <c r="R330" s="127"/>
      <c r="S330" s="127"/>
      <c r="T330" s="127"/>
      <c r="U330" s="127"/>
      <c r="V330" s="127"/>
      <c r="W330" s="127"/>
      <c r="X330" s="127"/>
      <c r="Y330" s="127"/>
      <c r="Z330" s="127"/>
      <c r="AA330" s="127"/>
    </row>
    <row r="331" customFormat="false" ht="15.75" hidden="false" customHeight="false" outlineLevel="0" collapsed="false">
      <c r="A331" s="127" t="str">
        <f aca="false">IF(ISBLANK(B331),"",B331&amp;"|"&amp;C331)</f>
        <v/>
      </c>
      <c r="B331" s="127"/>
      <c r="C331" s="127"/>
      <c r="D331" s="127"/>
      <c r="E331" s="133"/>
      <c r="F331" s="127"/>
      <c r="G331" s="127"/>
      <c r="H331" s="127"/>
      <c r="I331" s="127"/>
      <c r="J331" s="127"/>
      <c r="K331" s="127"/>
      <c r="L331" s="127"/>
      <c r="M331" s="127"/>
      <c r="N331" s="127"/>
      <c r="O331" s="127"/>
      <c r="P331" s="127"/>
      <c r="Q331" s="127"/>
      <c r="R331" s="127"/>
      <c r="S331" s="127"/>
      <c r="T331" s="127"/>
      <c r="U331" s="127"/>
      <c r="V331" s="127"/>
      <c r="W331" s="127"/>
      <c r="X331" s="127"/>
      <c r="Y331" s="127"/>
      <c r="Z331" s="127"/>
      <c r="AA331" s="127"/>
    </row>
    <row r="332" customFormat="false" ht="15.75" hidden="false" customHeight="false" outlineLevel="0" collapsed="false">
      <c r="A332" s="127" t="str">
        <f aca="false">IF(ISBLANK(B332),"",B332&amp;"|"&amp;C332)</f>
        <v/>
      </c>
      <c r="B332" s="127"/>
      <c r="C332" s="127"/>
      <c r="D332" s="127"/>
      <c r="E332" s="133"/>
      <c r="F332" s="127"/>
      <c r="G332" s="127"/>
      <c r="H332" s="127"/>
      <c r="I332" s="127"/>
      <c r="J332" s="127"/>
      <c r="K332" s="127"/>
      <c r="L332" s="127"/>
      <c r="M332" s="127"/>
      <c r="N332" s="127"/>
      <c r="O332" s="127"/>
      <c r="P332" s="127"/>
      <c r="Q332" s="127"/>
      <c r="R332" s="127"/>
      <c r="S332" s="127"/>
      <c r="T332" s="127"/>
      <c r="U332" s="127"/>
      <c r="V332" s="127"/>
      <c r="W332" s="127"/>
      <c r="X332" s="127"/>
      <c r="Y332" s="127"/>
      <c r="Z332" s="127"/>
      <c r="AA332" s="127"/>
    </row>
    <row r="333" customFormat="false" ht="15.75" hidden="false" customHeight="false" outlineLevel="0" collapsed="false">
      <c r="A333" s="127" t="str">
        <f aca="false">IF(ISBLANK(B333),"",B333&amp;"|"&amp;C333)</f>
        <v/>
      </c>
      <c r="B333" s="127"/>
      <c r="C333" s="127"/>
      <c r="D333" s="127"/>
      <c r="E333" s="133"/>
      <c r="F333" s="127"/>
      <c r="G333" s="127"/>
      <c r="H333" s="127"/>
      <c r="I333" s="127"/>
      <c r="J333" s="127"/>
      <c r="K333" s="127"/>
      <c r="L333" s="127"/>
      <c r="M333" s="127"/>
      <c r="N333" s="127"/>
      <c r="O333" s="127"/>
      <c r="P333" s="127"/>
      <c r="Q333" s="127"/>
      <c r="R333" s="127"/>
      <c r="S333" s="127"/>
      <c r="T333" s="127"/>
      <c r="U333" s="127"/>
      <c r="V333" s="127"/>
      <c r="W333" s="127"/>
      <c r="X333" s="127"/>
      <c r="Y333" s="127"/>
      <c r="Z333" s="127"/>
      <c r="AA333" s="127"/>
    </row>
    <row r="334" customFormat="false" ht="15.75" hidden="false" customHeight="false" outlineLevel="0" collapsed="false">
      <c r="A334" s="127" t="str">
        <f aca="false">IF(ISBLANK(B334),"",B334&amp;"|"&amp;C334)</f>
        <v/>
      </c>
      <c r="B334" s="127"/>
      <c r="C334" s="127"/>
      <c r="D334" s="127"/>
      <c r="E334" s="133"/>
      <c r="F334" s="127"/>
      <c r="G334" s="127"/>
      <c r="H334" s="127"/>
      <c r="I334" s="127"/>
      <c r="J334" s="127"/>
      <c r="K334" s="127"/>
      <c r="L334" s="127"/>
      <c r="M334" s="127"/>
      <c r="N334" s="127"/>
      <c r="O334" s="127"/>
      <c r="P334" s="127"/>
      <c r="Q334" s="127"/>
      <c r="R334" s="127"/>
      <c r="S334" s="127"/>
      <c r="T334" s="127"/>
      <c r="U334" s="127"/>
      <c r="V334" s="127"/>
      <c r="W334" s="127"/>
      <c r="X334" s="127"/>
      <c r="Y334" s="127"/>
      <c r="Z334" s="127"/>
      <c r="AA334" s="127"/>
    </row>
    <row r="335" customFormat="false" ht="15.75" hidden="false" customHeight="false" outlineLevel="0" collapsed="false">
      <c r="A335" s="127" t="str">
        <f aca="false">IF(ISBLANK(B335),"",B335&amp;"|"&amp;C335)</f>
        <v/>
      </c>
      <c r="B335" s="127"/>
      <c r="C335" s="127"/>
      <c r="D335" s="127"/>
      <c r="E335" s="133"/>
      <c r="F335" s="127"/>
      <c r="G335" s="127"/>
      <c r="H335" s="127"/>
      <c r="I335" s="127"/>
      <c r="J335" s="127"/>
      <c r="K335" s="127"/>
      <c r="L335" s="127"/>
      <c r="M335" s="127"/>
      <c r="N335" s="127"/>
      <c r="O335" s="127"/>
      <c r="P335" s="127"/>
      <c r="Q335" s="127"/>
      <c r="R335" s="127"/>
      <c r="S335" s="127"/>
      <c r="T335" s="127"/>
      <c r="U335" s="127"/>
      <c r="V335" s="127"/>
      <c r="W335" s="127"/>
      <c r="X335" s="127"/>
      <c r="Y335" s="127"/>
      <c r="Z335" s="127"/>
      <c r="AA335" s="127"/>
    </row>
    <row r="336" customFormat="false" ht="15.75" hidden="false" customHeight="false" outlineLevel="0" collapsed="false">
      <c r="A336" s="127" t="str">
        <f aca="false">IF(ISBLANK(B336),"",B336&amp;"|"&amp;C336)</f>
        <v/>
      </c>
      <c r="B336" s="127"/>
      <c r="C336" s="127"/>
      <c r="D336" s="127"/>
      <c r="E336" s="133"/>
      <c r="F336" s="127"/>
      <c r="G336" s="127"/>
      <c r="H336" s="127"/>
      <c r="I336" s="127"/>
      <c r="J336" s="127"/>
      <c r="K336" s="127"/>
      <c r="L336" s="127"/>
      <c r="M336" s="127"/>
      <c r="N336" s="127"/>
      <c r="O336" s="127"/>
      <c r="P336" s="127"/>
      <c r="Q336" s="127"/>
      <c r="R336" s="127"/>
      <c r="S336" s="127"/>
      <c r="T336" s="127"/>
      <c r="U336" s="127"/>
      <c r="V336" s="127"/>
      <c r="W336" s="127"/>
      <c r="X336" s="127"/>
      <c r="Y336" s="127"/>
      <c r="Z336" s="127"/>
      <c r="AA336" s="127"/>
    </row>
    <row r="337" customFormat="false" ht="15.75" hidden="false" customHeight="false" outlineLevel="0" collapsed="false">
      <c r="A337" s="127" t="str">
        <f aca="false">IF(ISBLANK(B337),"",B337&amp;"|"&amp;C337)</f>
        <v/>
      </c>
      <c r="B337" s="127"/>
      <c r="C337" s="127"/>
      <c r="D337" s="127"/>
      <c r="E337" s="133"/>
      <c r="F337" s="127"/>
      <c r="G337" s="127"/>
      <c r="H337" s="127"/>
      <c r="I337" s="127"/>
      <c r="J337" s="127"/>
      <c r="K337" s="127"/>
      <c r="L337" s="127"/>
      <c r="M337" s="127"/>
      <c r="N337" s="127"/>
      <c r="O337" s="127"/>
      <c r="P337" s="127"/>
      <c r="Q337" s="127"/>
      <c r="R337" s="127"/>
      <c r="S337" s="127"/>
      <c r="T337" s="127"/>
      <c r="U337" s="127"/>
      <c r="V337" s="127"/>
      <c r="W337" s="127"/>
      <c r="X337" s="127"/>
      <c r="Y337" s="127"/>
      <c r="Z337" s="127"/>
      <c r="AA337" s="127"/>
    </row>
    <row r="338" customFormat="false" ht="15.75" hidden="false" customHeight="false" outlineLevel="0" collapsed="false">
      <c r="A338" s="127" t="str">
        <f aca="false">IF(ISBLANK(B338),"",B338&amp;"|"&amp;C338)</f>
        <v/>
      </c>
      <c r="B338" s="127"/>
      <c r="C338" s="127"/>
      <c r="D338" s="127"/>
      <c r="E338" s="133"/>
      <c r="F338" s="127"/>
      <c r="G338" s="127"/>
      <c r="H338" s="127"/>
      <c r="I338" s="127"/>
      <c r="J338" s="127"/>
      <c r="K338" s="127"/>
      <c r="L338" s="127"/>
      <c r="M338" s="127"/>
      <c r="N338" s="127"/>
      <c r="O338" s="127"/>
      <c r="P338" s="127"/>
      <c r="Q338" s="127"/>
      <c r="R338" s="127"/>
      <c r="S338" s="127"/>
      <c r="T338" s="127"/>
      <c r="U338" s="127"/>
      <c r="V338" s="127"/>
      <c r="W338" s="127"/>
      <c r="X338" s="127"/>
      <c r="Y338" s="127"/>
      <c r="Z338" s="127"/>
      <c r="AA338" s="127"/>
    </row>
    <row r="339" customFormat="false" ht="15.75" hidden="false" customHeight="false" outlineLevel="0" collapsed="false">
      <c r="A339" s="127" t="str">
        <f aca="false">IF(ISBLANK(B339),"",B339&amp;"|"&amp;C339)</f>
        <v/>
      </c>
      <c r="B339" s="127"/>
      <c r="C339" s="127"/>
      <c r="D339" s="127"/>
      <c r="E339" s="133"/>
      <c r="F339" s="127"/>
      <c r="G339" s="127"/>
      <c r="H339" s="127"/>
      <c r="I339" s="127"/>
      <c r="J339" s="127"/>
      <c r="K339" s="127"/>
      <c r="L339" s="127"/>
      <c r="M339" s="127"/>
      <c r="N339" s="127"/>
      <c r="O339" s="127"/>
      <c r="P339" s="127"/>
      <c r="Q339" s="127"/>
      <c r="R339" s="127"/>
      <c r="S339" s="127"/>
      <c r="T339" s="127"/>
      <c r="U339" s="127"/>
      <c r="V339" s="127"/>
      <c r="W339" s="127"/>
      <c r="X339" s="127"/>
      <c r="Y339" s="127"/>
      <c r="Z339" s="127"/>
      <c r="AA339" s="127"/>
    </row>
    <row r="340" customFormat="false" ht="15.75" hidden="false" customHeight="false" outlineLevel="0" collapsed="false">
      <c r="A340" s="127" t="str">
        <f aca="false">IF(ISBLANK(B340),"",B340&amp;"|"&amp;C340)</f>
        <v/>
      </c>
      <c r="B340" s="127"/>
      <c r="C340" s="127"/>
      <c r="D340" s="127"/>
      <c r="E340" s="133"/>
      <c r="F340" s="127"/>
      <c r="G340" s="127"/>
      <c r="H340" s="127"/>
      <c r="I340" s="127"/>
      <c r="J340" s="127"/>
      <c r="K340" s="127"/>
      <c r="L340" s="127"/>
      <c r="M340" s="127"/>
      <c r="N340" s="127"/>
      <c r="O340" s="127"/>
      <c r="P340" s="127"/>
      <c r="Q340" s="127"/>
      <c r="R340" s="127"/>
      <c r="S340" s="127"/>
      <c r="T340" s="127"/>
      <c r="U340" s="127"/>
      <c r="V340" s="127"/>
      <c r="W340" s="127"/>
      <c r="X340" s="127"/>
      <c r="Y340" s="127"/>
      <c r="Z340" s="127"/>
      <c r="AA340" s="127"/>
    </row>
    <row r="341" customFormat="false" ht="15.75" hidden="false" customHeight="false" outlineLevel="0" collapsed="false">
      <c r="A341" s="127" t="str">
        <f aca="false">IF(ISBLANK(B341),"",B341&amp;"|"&amp;C341)</f>
        <v/>
      </c>
      <c r="B341" s="127"/>
      <c r="C341" s="127"/>
      <c r="D341" s="127"/>
      <c r="E341" s="133"/>
      <c r="F341" s="127"/>
      <c r="G341" s="127"/>
      <c r="H341" s="127"/>
      <c r="I341" s="127"/>
      <c r="J341" s="127"/>
      <c r="K341" s="127"/>
      <c r="L341" s="127"/>
      <c r="M341" s="127"/>
      <c r="N341" s="127"/>
      <c r="O341" s="127"/>
      <c r="P341" s="127"/>
      <c r="Q341" s="127"/>
      <c r="R341" s="127"/>
      <c r="S341" s="127"/>
      <c r="T341" s="127"/>
      <c r="U341" s="127"/>
      <c r="V341" s="127"/>
      <c r="W341" s="127"/>
      <c r="X341" s="127"/>
      <c r="Y341" s="127"/>
      <c r="Z341" s="127"/>
      <c r="AA341" s="127"/>
    </row>
    <row r="342" customFormat="false" ht="15.75" hidden="false" customHeight="false" outlineLevel="0" collapsed="false">
      <c r="A342" s="127" t="str">
        <f aca="false">IF(ISBLANK(B342),"",B342&amp;"|"&amp;C342)</f>
        <v/>
      </c>
      <c r="B342" s="127"/>
      <c r="C342" s="127"/>
      <c r="D342" s="127"/>
      <c r="E342" s="133"/>
      <c r="F342" s="127"/>
      <c r="G342" s="127"/>
      <c r="H342" s="127"/>
      <c r="I342" s="127"/>
      <c r="J342" s="127"/>
      <c r="K342" s="127"/>
      <c r="L342" s="127"/>
      <c r="M342" s="127"/>
      <c r="N342" s="127"/>
      <c r="O342" s="127"/>
      <c r="P342" s="127"/>
      <c r="Q342" s="127"/>
      <c r="R342" s="127"/>
      <c r="S342" s="127"/>
      <c r="T342" s="127"/>
      <c r="U342" s="127"/>
      <c r="V342" s="127"/>
      <c r="W342" s="127"/>
      <c r="X342" s="127"/>
      <c r="Y342" s="127"/>
      <c r="Z342" s="127"/>
      <c r="AA342" s="127"/>
    </row>
    <row r="343" customFormat="false" ht="15.75" hidden="false" customHeight="false" outlineLevel="0" collapsed="false">
      <c r="A343" s="127" t="str">
        <f aca="false">IF(ISBLANK(B343),"",B343&amp;"|"&amp;C343)</f>
        <v/>
      </c>
      <c r="B343" s="127"/>
      <c r="C343" s="127"/>
      <c r="D343" s="127"/>
      <c r="E343" s="133"/>
      <c r="F343" s="127"/>
      <c r="G343" s="127"/>
      <c r="H343" s="127"/>
      <c r="I343" s="127"/>
      <c r="J343" s="127"/>
      <c r="K343" s="127"/>
      <c r="L343" s="127"/>
      <c r="M343" s="127"/>
      <c r="N343" s="127"/>
      <c r="O343" s="127"/>
      <c r="P343" s="127"/>
      <c r="Q343" s="127"/>
      <c r="R343" s="127"/>
      <c r="S343" s="127"/>
      <c r="T343" s="127"/>
      <c r="U343" s="127"/>
      <c r="V343" s="127"/>
      <c r="W343" s="127"/>
      <c r="X343" s="127"/>
      <c r="Y343" s="127"/>
      <c r="Z343" s="127"/>
      <c r="AA343" s="127"/>
    </row>
    <row r="344" customFormat="false" ht="15.75" hidden="false" customHeight="false" outlineLevel="0" collapsed="false">
      <c r="A344" s="127" t="str">
        <f aca="false">IF(ISBLANK(B344),"",B344&amp;"|"&amp;C344)</f>
        <v/>
      </c>
      <c r="B344" s="127"/>
      <c r="C344" s="127"/>
      <c r="D344" s="127"/>
      <c r="E344" s="133"/>
      <c r="F344" s="127"/>
      <c r="G344" s="127"/>
      <c r="H344" s="127"/>
      <c r="I344" s="127"/>
      <c r="J344" s="127"/>
      <c r="K344" s="127"/>
      <c r="L344" s="127"/>
      <c r="M344" s="127"/>
      <c r="N344" s="127"/>
      <c r="O344" s="127"/>
      <c r="P344" s="127"/>
      <c r="Q344" s="127"/>
      <c r="R344" s="127"/>
      <c r="S344" s="127"/>
      <c r="T344" s="127"/>
      <c r="U344" s="127"/>
      <c r="V344" s="127"/>
      <c r="W344" s="127"/>
      <c r="X344" s="127"/>
      <c r="Y344" s="127"/>
      <c r="Z344" s="127"/>
      <c r="AA344" s="127"/>
    </row>
    <row r="345" customFormat="false" ht="15.75" hidden="false" customHeight="false" outlineLevel="0" collapsed="false">
      <c r="A345" s="127" t="str">
        <f aca="false">IF(ISBLANK(B345),"",B345&amp;"|"&amp;C345)</f>
        <v/>
      </c>
      <c r="B345" s="127"/>
      <c r="C345" s="127"/>
      <c r="D345" s="127"/>
      <c r="E345" s="133"/>
      <c r="F345" s="127"/>
      <c r="G345" s="127"/>
      <c r="H345" s="127"/>
      <c r="I345" s="127"/>
      <c r="J345" s="127"/>
      <c r="K345" s="127"/>
      <c r="L345" s="127"/>
      <c r="M345" s="127"/>
      <c r="N345" s="127"/>
      <c r="O345" s="127"/>
      <c r="P345" s="127"/>
      <c r="Q345" s="127"/>
      <c r="R345" s="127"/>
      <c r="S345" s="127"/>
      <c r="T345" s="127"/>
      <c r="U345" s="127"/>
      <c r="V345" s="127"/>
      <c r="W345" s="127"/>
      <c r="X345" s="127"/>
      <c r="Y345" s="127"/>
      <c r="Z345" s="127"/>
      <c r="AA345" s="127"/>
    </row>
    <row r="346" customFormat="false" ht="15.75" hidden="false" customHeight="false" outlineLevel="0" collapsed="false">
      <c r="A346" s="127" t="str">
        <f aca="false">IF(ISBLANK(B346),"",B346&amp;"|"&amp;C346)</f>
        <v/>
      </c>
      <c r="B346" s="127"/>
      <c r="C346" s="127"/>
      <c r="D346" s="127"/>
      <c r="E346" s="133"/>
      <c r="F346" s="127"/>
      <c r="G346" s="127"/>
      <c r="H346" s="127"/>
      <c r="I346" s="127"/>
      <c r="J346" s="127"/>
      <c r="K346" s="127"/>
      <c r="L346" s="127"/>
      <c r="M346" s="127"/>
      <c r="N346" s="127"/>
      <c r="O346" s="127"/>
      <c r="P346" s="127"/>
      <c r="Q346" s="127"/>
      <c r="R346" s="127"/>
      <c r="S346" s="127"/>
      <c r="T346" s="127"/>
      <c r="U346" s="127"/>
      <c r="V346" s="127"/>
      <c r="W346" s="127"/>
      <c r="X346" s="127"/>
      <c r="Y346" s="127"/>
      <c r="Z346" s="127"/>
      <c r="AA346" s="127"/>
    </row>
    <row r="347" customFormat="false" ht="15.75" hidden="false" customHeight="false" outlineLevel="0" collapsed="false">
      <c r="A347" s="127" t="str">
        <f aca="false">IF(ISBLANK(B347),"",B347&amp;"|"&amp;C347)</f>
        <v/>
      </c>
      <c r="B347" s="127"/>
      <c r="C347" s="127"/>
      <c r="D347" s="127"/>
      <c r="E347" s="133"/>
      <c r="F347" s="127"/>
      <c r="G347" s="127"/>
      <c r="H347" s="127"/>
      <c r="I347" s="127"/>
      <c r="J347" s="127"/>
      <c r="K347" s="127"/>
      <c r="L347" s="127"/>
      <c r="M347" s="127"/>
      <c r="N347" s="127"/>
      <c r="O347" s="127"/>
      <c r="P347" s="127"/>
      <c r="Q347" s="127"/>
      <c r="R347" s="127"/>
      <c r="S347" s="127"/>
      <c r="T347" s="127"/>
      <c r="U347" s="127"/>
      <c r="V347" s="127"/>
      <c r="W347" s="127"/>
      <c r="X347" s="127"/>
      <c r="Y347" s="127"/>
      <c r="Z347" s="127"/>
      <c r="AA347" s="127"/>
    </row>
    <row r="348" customFormat="false" ht="15.75" hidden="false" customHeight="false" outlineLevel="0" collapsed="false">
      <c r="A348" s="127" t="str">
        <f aca="false">IF(ISBLANK(B348),"",B348&amp;"|"&amp;C348)</f>
        <v/>
      </c>
      <c r="B348" s="127"/>
      <c r="C348" s="127"/>
      <c r="D348" s="127"/>
      <c r="E348" s="133"/>
      <c r="F348" s="127"/>
      <c r="G348" s="127"/>
      <c r="H348" s="127"/>
      <c r="I348" s="127"/>
      <c r="J348" s="127"/>
      <c r="K348" s="127"/>
      <c r="L348" s="127"/>
      <c r="M348" s="127"/>
      <c r="N348" s="127"/>
      <c r="O348" s="127"/>
      <c r="P348" s="127"/>
      <c r="Q348" s="127"/>
      <c r="R348" s="127"/>
      <c r="S348" s="127"/>
      <c r="T348" s="127"/>
      <c r="U348" s="127"/>
      <c r="V348" s="127"/>
      <c r="W348" s="127"/>
      <c r="X348" s="127"/>
      <c r="Y348" s="127"/>
      <c r="Z348" s="127"/>
      <c r="AA348" s="127"/>
    </row>
    <row r="349" customFormat="false" ht="15.75" hidden="false" customHeight="false" outlineLevel="0" collapsed="false">
      <c r="A349" s="127" t="str">
        <f aca="false">IF(ISBLANK(B349),"",B349&amp;"|"&amp;C349)</f>
        <v/>
      </c>
      <c r="B349" s="127"/>
      <c r="C349" s="127"/>
      <c r="D349" s="127"/>
      <c r="E349" s="133"/>
      <c r="F349" s="127"/>
      <c r="G349" s="127"/>
      <c r="H349" s="127"/>
      <c r="I349" s="127"/>
      <c r="J349" s="127"/>
      <c r="K349" s="127"/>
      <c r="L349" s="127"/>
      <c r="M349" s="127"/>
      <c r="N349" s="127"/>
      <c r="O349" s="127"/>
      <c r="P349" s="127"/>
      <c r="Q349" s="127"/>
      <c r="R349" s="127"/>
      <c r="S349" s="127"/>
      <c r="T349" s="127"/>
      <c r="U349" s="127"/>
      <c r="V349" s="127"/>
      <c r="W349" s="127"/>
      <c r="X349" s="127"/>
      <c r="Y349" s="127"/>
      <c r="Z349" s="127"/>
      <c r="AA349" s="127"/>
    </row>
    <row r="350" customFormat="false" ht="15.75" hidden="false" customHeight="false" outlineLevel="0" collapsed="false">
      <c r="A350" s="127" t="str">
        <f aca="false">IF(ISBLANK(B350),"",B350&amp;"|"&amp;C350)</f>
        <v/>
      </c>
      <c r="B350" s="127"/>
      <c r="C350" s="127"/>
      <c r="D350" s="127"/>
      <c r="E350" s="133"/>
      <c r="F350" s="127"/>
      <c r="G350" s="127"/>
      <c r="H350" s="127"/>
      <c r="I350" s="127"/>
      <c r="J350" s="127"/>
      <c r="K350" s="127"/>
      <c r="L350" s="127"/>
      <c r="M350" s="127"/>
      <c r="N350" s="127"/>
      <c r="O350" s="127"/>
      <c r="P350" s="127"/>
      <c r="Q350" s="127"/>
      <c r="R350" s="127"/>
      <c r="S350" s="127"/>
      <c r="T350" s="127"/>
      <c r="U350" s="127"/>
      <c r="V350" s="127"/>
      <c r="W350" s="127"/>
      <c r="X350" s="127"/>
      <c r="Y350" s="127"/>
      <c r="Z350" s="127"/>
      <c r="AA350" s="127"/>
    </row>
    <row r="351" customFormat="false" ht="15.75" hidden="false" customHeight="false" outlineLevel="0" collapsed="false">
      <c r="A351" s="127" t="str">
        <f aca="false">IF(ISBLANK(B351),"",B351&amp;"|"&amp;C351)</f>
        <v/>
      </c>
      <c r="B351" s="127"/>
      <c r="C351" s="127"/>
      <c r="D351" s="127"/>
      <c r="E351" s="133"/>
      <c r="F351" s="127"/>
      <c r="G351" s="127"/>
      <c r="H351" s="127"/>
      <c r="I351" s="127"/>
      <c r="J351" s="127"/>
      <c r="K351" s="127"/>
      <c r="L351" s="127"/>
      <c r="M351" s="127"/>
      <c r="N351" s="127"/>
      <c r="O351" s="127"/>
      <c r="P351" s="127"/>
      <c r="Q351" s="127"/>
      <c r="R351" s="127"/>
      <c r="S351" s="127"/>
      <c r="T351" s="127"/>
      <c r="U351" s="127"/>
      <c r="V351" s="127"/>
      <c r="W351" s="127"/>
      <c r="X351" s="127"/>
      <c r="Y351" s="127"/>
      <c r="Z351" s="127"/>
      <c r="AA351" s="127"/>
    </row>
    <row r="352" customFormat="false" ht="15.75" hidden="false" customHeight="false" outlineLevel="0" collapsed="false">
      <c r="A352" s="127" t="str">
        <f aca="false">IF(ISBLANK(B352),"",B352&amp;"|"&amp;C352)</f>
        <v/>
      </c>
      <c r="B352" s="127"/>
      <c r="C352" s="127"/>
      <c r="D352" s="127"/>
      <c r="E352" s="133"/>
      <c r="F352" s="127"/>
      <c r="G352" s="127"/>
      <c r="H352" s="127"/>
      <c r="I352" s="127"/>
      <c r="J352" s="127"/>
      <c r="K352" s="127"/>
      <c r="L352" s="127"/>
      <c r="M352" s="127"/>
      <c r="N352" s="127"/>
      <c r="O352" s="127"/>
      <c r="P352" s="127"/>
      <c r="Q352" s="127"/>
      <c r="R352" s="127"/>
      <c r="S352" s="127"/>
      <c r="T352" s="127"/>
      <c r="U352" s="127"/>
      <c r="V352" s="127"/>
      <c r="W352" s="127"/>
      <c r="X352" s="127"/>
      <c r="Y352" s="127"/>
      <c r="Z352" s="127"/>
      <c r="AA352" s="127"/>
    </row>
    <row r="353" customFormat="false" ht="15.75" hidden="false" customHeight="false" outlineLevel="0" collapsed="false">
      <c r="A353" s="127" t="str">
        <f aca="false">IF(ISBLANK(B353),"",B353&amp;"|"&amp;C353)</f>
        <v/>
      </c>
      <c r="B353" s="127"/>
      <c r="C353" s="127"/>
      <c r="D353" s="127"/>
      <c r="E353" s="133"/>
      <c r="F353" s="127"/>
      <c r="G353" s="127"/>
      <c r="H353" s="127"/>
      <c r="I353" s="127"/>
      <c r="J353" s="127"/>
      <c r="K353" s="127"/>
      <c r="L353" s="127"/>
      <c r="M353" s="127"/>
      <c r="N353" s="127"/>
      <c r="O353" s="127"/>
      <c r="P353" s="127"/>
      <c r="Q353" s="127"/>
      <c r="R353" s="127"/>
      <c r="S353" s="127"/>
      <c r="T353" s="127"/>
      <c r="U353" s="127"/>
      <c r="V353" s="127"/>
      <c r="W353" s="127"/>
      <c r="X353" s="127"/>
      <c r="Y353" s="127"/>
      <c r="Z353" s="127"/>
      <c r="AA353" s="127"/>
    </row>
    <row r="354" customFormat="false" ht="15.75" hidden="false" customHeight="false" outlineLevel="0" collapsed="false">
      <c r="A354" s="127" t="str">
        <f aca="false">IF(ISBLANK(B354),"",B354&amp;"|"&amp;C354)</f>
        <v/>
      </c>
      <c r="B354" s="127"/>
      <c r="C354" s="127"/>
      <c r="D354" s="127"/>
      <c r="E354" s="133"/>
      <c r="F354" s="127"/>
      <c r="G354" s="127"/>
      <c r="H354" s="127"/>
      <c r="I354" s="127"/>
      <c r="J354" s="127"/>
      <c r="K354" s="127"/>
      <c r="L354" s="127"/>
      <c r="M354" s="127"/>
      <c r="N354" s="127"/>
      <c r="O354" s="127"/>
      <c r="P354" s="127"/>
      <c r="Q354" s="127"/>
      <c r="R354" s="127"/>
      <c r="S354" s="127"/>
      <c r="T354" s="127"/>
      <c r="U354" s="127"/>
      <c r="V354" s="127"/>
      <c r="W354" s="127"/>
      <c r="X354" s="127"/>
      <c r="Y354" s="127"/>
      <c r="Z354" s="127"/>
      <c r="AA354" s="127"/>
    </row>
    <row r="355" customFormat="false" ht="15.75" hidden="false" customHeight="false" outlineLevel="0" collapsed="false">
      <c r="A355" s="127" t="str">
        <f aca="false">IF(ISBLANK(B355),"",B355&amp;"|"&amp;C355)</f>
        <v/>
      </c>
      <c r="B355" s="127"/>
      <c r="C355" s="127"/>
      <c r="D355" s="127"/>
      <c r="E355" s="133"/>
      <c r="F355" s="127"/>
      <c r="G355" s="127"/>
      <c r="H355" s="127"/>
      <c r="I355" s="127"/>
      <c r="J355" s="127"/>
      <c r="K355" s="127"/>
      <c r="L355" s="127"/>
      <c r="M355" s="127"/>
      <c r="N355" s="127"/>
      <c r="O355" s="127"/>
      <c r="P355" s="127"/>
      <c r="Q355" s="127"/>
      <c r="R355" s="127"/>
      <c r="S355" s="127"/>
      <c r="T355" s="127"/>
      <c r="U355" s="127"/>
      <c r="V355" s="127"/>
      <c r="W355" s="127"/>
      <c r="X355" s="127"/>
      <c r="Y355" s="127"/>
      <c r="Z355" s="127"/>
      <c r="AA355" s="127"/>
    </row>
    <row r="356" customFormat="false" ht="15.75" hidden="false" customHeight="false" outlineLevel="0" collapsed="false">
      <c r="A356" s="127" t="str">
        <f aca="false">IF(ISBLANK(B356),"",B356&amp;"|"&amp;C356)</f>
        <v/>
      </c>
      <c r="B356" s="127"/>
      <c r="C356" s="127"/>
      <c r="D356" s="127"/>
      <c r="E356" s="133"/>
      <c r="F356" s="127"/>
      <c r="G356" s="127"/>
      <c r="H356" s="127"/>
      <c r="I356" s="127"/>
      <c r="J356" s="127"/>
      <c r="K356" s="127"/>
      <c r="L356" s="127"/>
      <c r="M356" s="127"/>
      <c r="N356" s="127"/>
      <c r="O356" s="127"/>
      <c r="P356" s="127"/>
      <c r="Q356" s="127"/>
      <c r="R356" s="127"/>
      <c r="S356" s="127"/>
      <c r="T356" s="127"/>
      <c r="U356" s="127"/>
      <c r="V356" s="127"/>
      <c r="W356" s="127"/>
      <c r="X356" s="127"/>
      <c r="Y356" s="127"/>
      <c r="Z356" s="127"/>
      <c r="AA356" s="127"/>
    </row>
    <row r="357" customFormat="false" ht="15.75" hidden="false" customHeight="false" outlineLevel="0" collapsed="false">
      <c r="A357" s="127" t="str">
        <f aca="false">IF(ISBLANK(B357),"",B357&amp;"|"&amp;C357)</f>
        <v/>
      </c>
      <c r="B357" s="127"/>
      <c r="C357" s="127"/>
      <c r="D357" s="127"/>
      <c r="E357" s="133"/>
      <c r="F357" s="127"/>
      <c r="G357" s="127"/>
      <c r="H357" s="127"/>
      <c r="I357" s="127"/>
      <c r="J357" s="127"/>
      <c r="K357" s="127"/>
      <c r="L357" s="127"/>
      <c r="M357" s="127"/>
      <c r="N357" s="127"/>
      <c r="O357" s="127"/>
      <c r="P357" s="127"/>
      <c r="Q357" s="127"/>
      <c r="R357" s="127"/>
      <c r="S357" s="127"/>
      <c r="T357" s="127"/>
      <c r="U357" s="127"/>
      <c r="V357" s="127"/>
      <c r="W357" s="127"/>
      <c r="X357" s="127"/>
      <c r="Y357" s="127"/>
      <c r="Z357" s="127"/>
      <c r="AA357" s="127"/>
    </row>
    <row r="358" customFormat="false" ht="15.75" hidden="false" customHeight="false" outlineLevel="0" collapsed="false">
      <c r="A358" s="127" t="str">
        <f aca="false">IF(ISBLANK(B358),"",B358&amp;"|"&amp;C358)</f>
        <v/>
      </c>
      <c r="B358" s="127"/>
      <c r="C358" s="127"/>
      <c r="D358" s="127"/>
      <c r="E358" s="133"/>
      <c r="F358" s="127"/>
      <c r="G358" s="127"/>
      <c r="H358" s="127"/>
      <c r="I358" s="127"/>
      <c r="J358" s="127"/>
      <c r="K358" s="127"/>
      <c r="L358" s="127"/>
      <c r="M358" s="127"/>
      <c r="N358" s="127"/>
      <c r="O358" s="127"/>
      <c r="P358" s="127"/>
      <c r="Q358" s="127"/>
      <c r="R358" s="127"/>
      <c r="S358" s="127"/>
      <c r="T358" s="127"/>
      <c r="U358" s="127"/>
      <c r="V358" s="127"/>
      <c r="W358" s="127"/>
      <c r="X358" s="127"/>
      <c r="Y358" s="127"/>
      <c r="Z358" s="127"/>
      <c r="AA358" s="127"/>
    </row>
    <row r="359" customFormat="false" ht="15.75" hidden="false" customHeight="false" outlineLevel="0" collapsed="false">
      <c r="A359" s="127" t="str">
        <f aca="false">IF(ISBLANK(B359),"",B359&amp;"|"&amp;C359)</f>
        <v/>
      </c>
      <c r="B359" s="127"/>
      <c r="C359" s="127"/>
      <c r="D359" s="127"/>
      <c r="E359" s="133"/>
      <c r="F359" s="127"/>
      <c r="G359" s="127"/>
      <c r="H359" s="127"/>
      <c r="I359" s="127"/>
      <c r="J359" s="127"/>
      <c r="K359" s="127"/>
      <c r="L359" s="127"/>
      <c r="M359" s="127"/>
      <c r="N359" s="127"/>
      <c r="O359" s="127"/>
      <c r="P359" s="127"/>
      <c r="Q359" s="127"/>
      <c r="R359" s="127"/>
      <c r="S359" s="127"/>
      <c r="T359" s="127"/>
      <c r="U359" s="127"/>
      <c r="V359" s="127"/>
      <c r="W359" s="127"/>
      <c r="X359" s="127"/>
      <c r="Y359" s="127"/>
      <c r="Z359" s="127"/>
      <c r="AA359" s="127"/>
    </row>
    <row r="360" customFormat="false" ht="15.75" hidden="false" customHeight="false" outlineLevel="0" collapsed="false">
      <c r="A360" s="127" t="str">
        <f aca="false">IF(ISBLANK(B360),"",B360&amp;"|"&amp;C360)</f>
        <v/>
      </c>
      <c r="B360" s="127"/>
      <c r="C360" s="127"/>
      <c r="D360" s="127"/>
      <c r="E360" s="133"/>
      <c r="F360" s="127"/>
      <c r="G360" s="127"/>
      <c r="H360" s="127"/>
      <c r="I360" s="127"/>
      <c r="J360" s="127"/>
      <c r="K360" s="127"/>
      <c r="L360" s="127"/>
      <c r="M360" s="127"/>
      <c r="N360" s="127"/>
      <c r="O360" s="127"/>
      <c r="P360" s="127"/>
      <c r="Q360" s="127"/>
      <c r="R360" s="127"/>
      <c r="S360" s="127"/>
      <c r="T360" s="127"/>
      <c r="U360" s="127"/>
      <c r="V360" s="127"/>
      <c r="W360" s="127"/>
      <c r="X360" s="127"/>
      <c r="Y360" s="127"/>
      <c r="Z360" s="127"/>
      <c r="AA360" s="127"/>
    </row>
    <row r="361" customFormat="false" ht="15.75" hidden="false" customHeight="false" outlineLevel="0" collapsed="false">
      <c r="A361" s="127" t="str">
        <f aca="false">IF(ISBLANK(B361),"",B361&amp;"|"&amp;C361)</f>
        <v/>
      </c>
      <c r="B361" s="127"/>
      <c r="C361" s="127"/>
      <c r="D361" s="127"/>
      <c r="E361" s="133"/>
      <c r="F361" s="127"/>
      <c r="G361" s="127"/>
      <c r="H361" s="127"/>
      <c r="I361" s="127"/>
      <c r="J361" s="127"/>
      <c r="K361" s="127"/>
      <c r="L361" s="127"/>
      <c r="M361" s="127"/>
      <c r="N361" s="127"/>
      <c r="O361" s="127"/>
      <c r="P361" s="127"/>
      <c r="Q361" s="127"/>
      <c r="R361" s="127"/>
      <c r="S361" s="127"/>
      <c r="T361" s="127"/>
      <c r="U361" s="127"/>
      <c r="V361" s="127"/>
      <c r="W361" s="127"/>
      <c r="X361" s="127"/>
      <c r="Y361" s="127"/>
      <c r="Z361" s="127"/>
      <c r="AA361" s="127"/>
    </row>
    <row r="362" customFormat="false" ht="15.75" hidden="false" customHeight="false" outlineLevel="0" collapsed="false">
      <c r="A362" s="127" t="str">
        <f aca="false">IF(ISBLANK(B362),"",B362&amp;"|"&amp;C362)</f>
        <v/>
      </c>
      <c r="B362" s="127"/>
      <c r="C362" s="127"/>
      <c r="D362" s="127"/>
      <c r="E362" s="133"/>
      <c r="F362" s="127"/>
      <c r="G362" s="127"/>
      <c r="H362" s="127"/>
      <c r="I362" s="127"/>
      <c r="J362" s="127"/>
      <c r="K362" s="127"/>
      <c r="L362" s="127"/>
      <c r="M362" s="127"/>
      <c r="N362" s="127"/>
      <c r="O362" s="127"/>
      <c r="P362" s="127"/>
      <c r="Q362" s="127"/>
      <c r="R362" s="127"/>
      <c r="S362" s="127"/>
      <c r="T362" s="127"/>
      <c r="U362" s="127"/>
      <c r="V362" s="127"/>
      <c r="W362" s="127"/>
      <c r="X362" s="127"/>
      <c r="Y362" s="127"/>
      <c r="Z362" s="127"/>
      <c r="AA362" s="127"/>
    </row>
    <row r="363" customFormat="false" ht="15.75" hidden="false" customHeight="false" outlineLevel="0" collapsed="false">
      <c r="A363" s="127" t="str">
        <f aca="false">IF(ISBLANK(B363),"",B363&amp;"|"&amp;C363)</f>
        <v/>
      </c>
      <c r="B363" s="127"/>
      <c r="C363" s="127"/>
      <c r="D363" s="127"/>
      <c r="E363" s="133"/>
      <c r="F363" s="127"/>
      <c r="G363" s="127"/>
      <c r="H363" s="127"/>
      <c r="I363" s="127"/>
      <c r="J363" s="127"/>
      <c r="K363" s="127"/>
      <c r="L363" s="127"/>
      <c r="M363" s="127"/>
      <c r="N363" s="127"/>
      <c r="O363" s="127"/>
      <c r="P363" s="127"/>
      <c r="Q363" s="127"/>
      <c r="R363" s="127"/>
      <c r="S363" s="127"/>
      <c r="T363" s="127"/>
      <c r="U363" s="127"/>
      <c r="V363" s="127"/>
      <c r="W363" s="127"/>
      <c r="X363" s="127"/>
      <c r="Y363" s="127"/>
      <c r="Z363" s="127"/>
      <c r="AA363" s="127"/>
    </row>
    <row r="364" customFormat="false" ht="15.75" hidden="false" customHeight="false" outlineLevel="0" collapsed="false">
      <c r="A364" s="127" t="str">
        <f aca="false">IF(ISBLANK(B364),"",B364&amp;"|"&amp;C364)</f>
        <v/>
      </c>
      <c r="B364" s="127"/>
      <c r="C364" s="127"/>
      <c r="D364" s="127"/>
      <c r="E364" s="133"/>
      <c r="F364" s="127"/>
      <c r="G364" s="127"/>
      <c r="H364" s="127"/>
      <c r="I364" s="127"/>
      <c r="J364" s="127"/>
      <c r="K364" s="127"/>
      <c r="L364" s="127"/>
      <c r="M364" s="127"/>
      <c r="N364" s="127"/>
      <c r="O364" s="127"/>
      <c r="P364" s="127"/>
      <c r="Q364" s="127"/>
      <c r="R364" s="127"/>
      <c r="S364" s="127"/>
      <c r="T364" s="127"/>
      <c r="U364" s="127"/>
      <c r="V364" s="127"/>
      <c r="W364" s="127"/>
      <c r="X364" s="127"/>
      <c r="Y364" s="127"/>
      <c r="Z364" s="127"/>
      <c r="AA364" s="127"/>
    </row>
    <row r="365" customFormat="false" ht="15.75" hidden="false" customHeight="false" outlineLevel="0" collapsed="false">
      <c r="A365" s="127" t="str">
        <f aca="false">IF(ISBLANK(B365),"",B365&amp;"|"&amp;C365)</f>
        <v/>
      </c>
      <c r="B365" s="127"/>
      <c r="C365" s="127"/>
      <c r="D365" s="127"/>
      <c r="E365" s="133"/>
      <c r="F365" s="127"/>
      <c r="G365" s="127"/>
      <c r="H365" s="127"/>
      <c r="I365" s="127"/>
      <c r="J365" s="127"/>
      <c r="K365" s="127"/>
      <c r="L365" s="127"/>
      <c r="M365" s="127"/>
      <c r="N365" s="127"/>
      <c r="O365" s="127"/>
      <c r="P365" s="127"/>
      <c r="Q365" s="127"/>
      <c r="R365" s="127"/>
      <c r="S365" s="127"/>
      <c r="T365" s="127"/>
      <c r="U365" s="127"/>
      <c r="V365" s="127"/>
      <c r="W365" s="127"/>
      <c r="X365" s="127"/>
      <c r="Y365" s="127"/>
      <c r="Z365" s="127"/>
      <c r="AA365" s="127"/>
    </row>
    <row r="366" customFormat="false" ht="15.75" hidden="false" customHeight="false" outlineLevel="0" collapsed="false">
      <c r="A366" s="127" t="str">
        <f aca="false">IF(ISBLANK(B366),"",B366&amp;"|"&amp;C366)</f>
        <v/>
      </c>
      <c r="B366" s="127"/>
      <c r="C366" s="127"/>
      <c r="D366" s="127"/>
      <c r="E366" s="133"/>
      <c r="F366" s="127"/>
      <c r="G366" s="127"/>
      <c r="H366" s="127"/>
      <c r="I366" s="127"/>
      <c r="J366" s="127"/>
      <c r="K366" s="127"/>
      <c r="L366" s="127"/>
      <c r="M366" s="127"/>
      <c r="N366" s="127"/>
      <c r="O366" s="127"/>
      <c r="P366" s="127"/>
      <c r="Q366" s="127"/>
      <c r="R366" s="127"/>
      <c r="S366" s="127"/>
      <c r="T366" s="127"/>
      <c r="U366" s="127"/>
      <c r="V366" s="127"/>
      <c r="W366" s="127"/>
      <c r="X366" s="127"/>
      <c r="Y366" s="127"/>
      <c r="Z366" s="127"/>
      <c r="AA366" s="127"/>
    </row>
    <row r="367" customFormat="false" ht="15.75" hidden="false" customHeight="false" outlineLevel="0" collapsed="false">
      <c r="A367" s="127" t="str">
        <f aca="false">IF(ISBLANK(B367),"",B367&amp;"|"&amp;C367)</f>
        <v/>
      </c>
      <c r="B367" s="127"/>
      <c r="C367" s="127"/>
      <c r="D367" s="127"/>
      <c r="E367" s="133"/>
      <c r="F367" s="127"/>
      <c r="G367" s="127"/>
      <c r="H367" s="127"/>
      <c r="I367" s="127"/>
      <c r="J367" s="127"/>
      <c r="K367" s="127"/>
      <c r="L367" s="127"/>
      <c r="M367" s="127"/>
      <c r="N367" s="127"/>
      <c r="O367" s="127"/>
      <c r="P367" s="127"/>
      <c r="Q367" s="127"/>
      <c r="R367" s="127"/>
      <c r="S367" s="127"/>
      <c r="T367" s="127"/>
      <c r="U367" s="127"/>
      <c r="V367" s="127"/>
      <c r="W367" s="127"/>
      <c r="X367" s="127"/>
      <c r="Y367" s="127"/>
      <c r="Z367" s="127"/>
      <c r="AA367" s="127"/>
    </row>
    <row r="368" customFormat="false" ht="15.75" hidden="false" customHeight="false" outlineLevel="0" collapsed="false">
      <c r="A368" s="127" t="str">
        <f aca="false">IF(ISBLANK(B368),"",B368&amp;"|"&amp;C368)</f>
        <v/>
      </c>
      <c r="B368" s="127"/>
      <c r="C368" s="127"/>
      <c r="D368" s="127"/>
      <c r="E368" s="133"/>
      <c r="F368" s="127"/>
      <c r="G368" s="127"/>
      <c r="H368" s="127"/>
      <c r="I368" s="127"/>
      <c r="J368" s="127"/>
      <c r="K368" s="127"/>
      <c r="L368" s="127"/>
      <c r="M368" s="127"/>
      <c r="N368" s="127"/>
      <c r="O368" s="127"/>
      <c r="P368" s="127"/>
      <c r="Q368" s="127"/>
      <c r="R368" s="127"/>
      <c r="S368" s="127"/>
      <c r="T368" s="127"/>
      <c r="U368" s="127"/>
      <c r="V368" s="127"/>
      <c r="W368" s="127"/>
      <c r="X368" s="127"/>
      <c r="Y368" s="127"/>
      <c r="Z368" s="127"/>
      <c r="AA368" s="127"/>
    </row>
    <row r="369" customFormat="false" ht="15.75" hidden="false" customHeight="false" outlineLevel="0" collapsed="false">
      <c r="A369" s="127" t="str">
        <f aca="false">IF(ISBLANK(B369),"",B369&amp;"|"&amp;C369)</f>
        <v/>
      </c>
      <c r="B369" s="127"/>
      <c r="C369" s="127"/>
      <c r="D369" s="127"/>
      <c r="E369" s="133"/>
      <c r="F369" s="127"/>
      <c r="G369" s="127"/>
      <c r="H369" s="127"/>
      <c r="I369" s="127"/>
      <c r="J369" s="127"/>
      <c r="K369" s="127"/>
      <c r="L369" s="127"/>
      <c r="M369" s="127"/>
      <c r="N369" s="127"/>
      <c r="O369" s="127"/>
      <c r="P369" s="127"/>
      <c r="Q369" s="127"/>
      <c r="R369" s="127"/>
      <c r="S369" s="127"/>
      <c r="T369" s="127"/>
      <c r="U369" s="127"/>
      <c r="V369" s="127"/>
      <c r="W369" s="127"/>
      <c r="X369" s="127"/>
      <c r="Y369" s="127"/>
      <c r="Z369" s="127"/>
      <c r="AA369" s="127"/>
    </row>
    <row r="370" customFormat="false" ht="15.75" hidden="false" customHeight="false" outlineLevel="0" collapsed="false">
      <c r="A370" s="127" t="str">
        <f aca="false">IF(ISBLANK(B370),"",B370&amp;"|"&amp;C370)</f>
        <v/>
      </c>
      <c r="B370" s="127"/>
      <c r="C370" s="127"/>
      <c r="D370" s="127"/>
      <c r="E370" s="133"/>
      <c r="F370" s="127"/>
      <c r="G370" s="127"/>
      <c r="H370" s="127"/>
      <c r="I370" s="127"/>
      <c r="J370" s="127"/>
      <c r="K370" s="127"/>
      <c r="L370" s="127"/>
      <c r="M370" s="127"/>
      <c r="N370" s="127"/>
      <c r="O370" s="127"/>
      <c r="P370" s="127"/>
      <c r="Q370" s="127"/>
      <c r="R370" s="127"/>
      <c r="S370" s="127"/>
      <c r="T370" s="127"/>
      <c r="U370" s="127"/>
      <c r="V370" s="127"/>
      <c r="W370" s="127"/>
      <c r="X370" s="127"/>
      <c r="Y370" s="127"/>
      <c r="Z370" s="127"/>
      <c r="AA370" s="127"/>
    </row>
    <row r="371" customFormat="false" ht="15.75" hidden="false" customHeight="false" outlineLevel="0" collapsed="false">
      <c r="A371" s="127" t="str">
        <f aca="false">IF(ISBLANK(B371),"",B371&amp;"|"&amp;C371)</f>
        <v/>
      </c>
      <c r="B371" s="127"/>
      <c r="C371" s="127"/>
      <c r="D371" s="127"/>
      <c r="E371" s="133"/>
      <c r="F371" s="127"/>
      <c r="G371" s="127"/>
      <c r="H371" s="127"/>
      <c r="I371" s="127"/>
      <c r="J371" s="127"/>
      <c r="K371" s="127"/>
      <c r="L371" s="127"/>
      <c r="M371" s="127"/>
      <c r="N371" s="127"/>
      <c r="O371" s="127"/>
      <c r="P371" s="127"/>
      <c r="Q371" s="127"/>
      <c r="R371" s="127"/>
      <c r="S371" s="127"/>
      <c r="T371" s="127"/>
      <c r="U371" s="127"/>
      <c r="V371" s="127"/>
      <c r="W371" s="127"/>
      <c r="X371" s="127"/>
      <c r="Y371" s="127"/>
      <c r="Z371" s="127"/>
      <c r="AA371" s="127"/>
    </row>
    <row r="372" customFormat="false" ht="15.75" hidden="false" customHeight="false" outlineLevel="0" collapsed="false">
      <c r="A372" s="127" t="str">
        <f aca="false">IF(ISBLANK(B372),"",B372&amp;"|"&amp;C372)</f>
        <v/>
      </c>
      <c r="B372" s="127"/>
      <c r="C372" s="127"/>
      <c r="D372" s="127"/>
      <c r="E372" s="133"/>
      <c r="F372" s="127"/>
      <c r="G372" s="127"/>
      <c r="H372" s="127"/>
      <c r="I372" s="127"/>
      <c r="J372" s="127"/>
      <c r="K372" s="127"/>
      <c r="L372" s="127"/>
      <c r="M372" s="127"/>
      <c r="N372" s="127"/>
      <c r="O372" s="127"/>
      <c r="P372" s="127"/>
      <c r="Q372" s="127"/>
      <c r="R372" s="127"/>
      <c r="S372" s="127"/>
      <c r="T372" s="127"/>
      <c r="U372" s="127"/>
      <c r="V372" s="127"/>
      <c r="W372" s="127"/>
      <c r="X372" s="127"/>
      <c r="Y372" s="127"/>
      <c r="Z372" s="127"/>
      <c r="AA372" s="127"/>
    </row>
    <row r="373" customFormat="false" ht="15.75" hidden="false" customHeight="false" outlineLevel="0" collapsed="false">
      <c r="A373" s="127" t="str">
        <f aca="false">IF(ISBLANK(B373),"",B373&amp;"|"&amp;C373)</f>
        <v/>
      </c>
      <c r="B373" s="127"/>
      <c r="C373" s="127"/>
      <c r="D373" s="127"/>
      <c r="E373" s="133"/>
      <c r="F373" s="127"/>
      <c r="G373" s="127"/>
      <c r="H373" s="127"/>
      <c r="I373" s="127"/>
      <c r="J373" s="127"/>
      <c r="K373" s="127"/>
      <c r="L373" s="127"/>
      <c r="M373" s="127"/>
      <c r="N373" s="127"/>
      <c r="O373" s="127"/>
      <c r="P373" s="127"/>
      <c r="Q373" s="127"/>
      <c r="R373" s="127"/>
      <c r="S373" s="127"/>
      <c r="T373" s="127"/>
      <c r="U373" s="127"/>
      <c r="V373" s="127"/>
      <c r="W373" s="127"/>
      <c r="X373" s="127"/>
      <c r="Y373" s="127"/>
      <c r="Z373" s="127"/>
      <c r="AA373" s="127"/>
    </row>
    <row r="374" customFormat="false" ht="15.75" hidden="false" customHeight="false" outlineLevel="0" collapsed="false">
      <c r="A374" s="127" t="str">
        <f aca="false">IF(ISBLANK(B374),"",B374&amp;"|"&amp;C374)</f>
        <v/>
      </c>
      <c r="B374" s="127"/>
      <c r="C374" s="127"/>
      <c r="D374" s="127"/>
      <c r="E374" s="133"/>
      <c r="F374" s="127"/>
      <c r="G374" s="127"/>
      <c r="H374" s="127"/>
      <c r="I374" s="127"/>
      <c r="J374" s="127"/>
      <c r="K374" s="127"/>
      <c r="L374" s="127"/>
      <c r="M374" s="127"/>
      <c r="N374" s="127"/>
      <c r="O374" s="127"/>
      <c r="P374" s="127"/>
      <c r="Q374" s="127"/>
      <c r="R374" s="127"/>
      <c r="S374" s="127"/>
      <c r="T374" s="127"/>
      <c r="U374" s="127"/>
      <c r="V374" s="127"/>
      <c r="W374" s="127"/>
      <c r="X374" s="127"/>
      <c r="Y374" s="127"/>
      <c r="Z374" s="127"/>
      <c r="AA374" s="127"/>
    </row>
    <row r="375" customFormat="false" ht="15.75" hidden="false" customHeight="false" outlineLevel="0" collapsed="false">
      <c r="A375" s="127" t="str">
        <f aca="false">IF(ISBLANK(B375),"",B375&amp;"|"&amp;C375)</f>
        <v/>
      </c>
      <c r="B375" s="127"/>
      <c r="C375" s="127"/>
      <c r="D375" s="127"/>
      <c r="E375" s="133"/>
      <c r="F375" s="127"/>
      <c r="G375" s="127"/>
      <c r="H375" s="127"/>
      <c r="I375" s="127"/>
      <c r="J375" s="127"/>
      <c r="K375" s="127"/>
      <c r="L375" s="127"/>
      <c r="M375" s="127"/>
      <c r="N375" s="127"/>
      <c r="O375" s="127"/>
      <c r="P375" s="127"/>
      <c r="Q375" s="127"/>
      <c r="R375" s="127"/>
      <c r="S375" s="127"/>
      <c r="T375" s="127"/>
      <c r="U375" s="127"/>
      <c r="V375" s="127"/>
      <c r="W375" s="127"/>
      <c r="X375" s="127"/>
      <c r="Y375" s="127"/>
      <c r="Z375" s="127"/>
      <c r="AA375" s="127"/>
    </row>
    <row r="376" customFormat="false" ht="15.75" hidden="false" customHeight="false" outlineLevel="0" collapsed="false">
      <c r="A376" s="127" t="str">
        <f aca="false">IF(ISBLANK(B376),"",B376&amp;"|"&amp;C376)</f>
        <v/>
      </c>
      <c r="B376" s="127"/>
      <c r="C376" s="127"/>
      <c r="D376" s="127"/>
      <c r="E376" s="133"/>
      <c r="F376" s="127"/>
      <c r="G376" s="127"/>
      <c r="H376" s="127"/>
      <c r="I376" s="127"/>
      <c r="J376" s="127"/>
      <c r="K376" s="127"/>
      <c r="L376" s="127"/>
      <c r="M376" s="127"/>
      <c r="N376" s="127"/>
      <c r="O376" s="127"/>
      <c r="P376" s="127"/>
      <c r="Q376" s="127"/>
      <c r="R376" s="127"/>
      <c r="S376" s="127"/>
      <c r="T376" s="127"/>
      <c r="U376" s="127"/>
      <c r="V376" s="127"/>
      <c r="W376" s="127"/>
      <c r="X376" s="127"/>
      <c r="Y376" s="127"/>
      <c r="Z376" s="127"/>
      <c r="AA376" s="127"/>
    </row>
    <row r="377" customFormat="false" ht="15.75" hidden="false" customHeight="false" outlineLevel="0" collapsed="false">
      <c r="A377" s="127" t="str">
        <f aca="false">IF(ISBLANK(B377),"",B377&amp;"|"&amp;C377)</f>
        <v/>
      </c>
      <c r="B377" s="127"/>
      <c r="C377" s="127"/>
      <c r="D377" s="127"/>
      <c r="E377" s="133"/>
      <c r="F377" s="127"/>
      <c r="G377" s="127"/>
      <c r="H377" s="127"/>
      <c r="I377" s="127"/>
      <c r="J377" s="127"/>
      <c r="K377" s="127"/>
      <c r="L377" s="127"/>
      <c r="M377" s="127"/>
      <c r="N377" s="127"/>
      <c r="O377" s="127"/>
      <c r="P377" s="127"/>
      <c r="Q377" s="127"/>
      <c r="R377" s="127"/>
      <c r="S377" s="127"/>
      <c r="T377" s="127"/>
      <c r="U377" s="127"/>
      <c r="V377" s="127"/>
      <c r="W377" s="127"/>
      <c r="X377" s="127"/>
      <c r="Y377" s="127"/>
      <c r="Z377" s="127"/>
      <c r="AA377" s="127"/>
    </row>
    <row r="378" customFormat="false" ht="15.75" hidden="false" customHeight="false" outlineLevel="0" collapsed="false">
      <c r="A378" s="127" t="str">
        <f aca="false">IF(ISBLANK(B378),"",B378&amp;"|"&amp;C378)</f>
        <v/>
      </c>
      <c r="B378" s="127"/>
      <c r="C378" s="127"/>
      <c r="D378" s="127"/>
      <c r="E378" s="133"/>
      <c r="F378" s="127"/>
      <c r="G378" s="127"/>
      <c r="H378" s="127"/>
      <c r="I378" s="127"/>
      <c r="J378" s="127"/>
      <c r="K378" s="127"/>
      <c r="L378" s="127"/>
      <c r="M378" s="127"/>
      <c r="N378" s="127"/>
      <c r="O378" s="127"/>
      <c r="P378" s="127"/>
      <c r="Q378" s="127"/>
      <c r="R378" s="127"/>
      <c r="S378" s="127"/>
      <c r="T378" s="127"/>
      <c r="U378" s="127"/>
      <c r="V378" s="127"/>
      <c r="W378" s="127"/>
      <c r="X378" s="127"/>
      <c r="Y378" s="127"/>
      <c r="Z378" s="127"/>
      <c r="AA378" s="127"/>
    </row>
    <row r="379" customFormat="false" ht="15.75" hidden="false" customHeight="false" outlineLevel="0" collapsed="false">
      <c r="A379" s="127" t="str">
        <f aca="false">IF(ISBLANK(B379),"",B379&amp;"|"&amp;C379)</f>
        <v/>
      </c>
      <c r="B379" s="127"/>
      <c r="C379" s="127"/>
      <c r="D379" s="127"/>
      <c r="E379" s="133"/>
      <c r="F379" s="127"/>
      <c r="G379" s="127"/>
      <c r="H379" s="127"/>
      <c r="I379" s="127"/>
      <c r="J379" s="127"/>
      <c r="K379" s="127"/>
      <c r="L379" s="127"/>
      <c r="M379" s="127"/>
      <c r="N379" s="127"/>
      <c r="O379" s="127"/>
      <c r="P379" s="127"/>
      <c r="Q379" s="127"/>
      <c r="R379" s="127"/>
      <c r="S379" s="127"/>
      <c r="T379" s="127"/>
      <c r="U379" s="127"/>
      <c r="V379" s="127"/>
      <c r="W379" s="127"/>
      <c r="X379" s="127"/>
      <c r="Y379" s="127"/>
      <c r="Z379" s="127"/>
      <c r="AA379" s="127"/>
    </row>
    <row r="380" customFormat="false" ht="15.75" hidden="false" customHeight="false" outlineLevel="0" collapsed="false">
      <c r="A380" s="127" t="str">
        <f aca="false">IF(ISBLANK(B380),"",B380&amp;"|"&amp;C380)</f>
        <v/>
      </c>
      <c r="B380" s="127"/>
      <c r="C380" s="127"/>
      <c r="D380" s="127"/>
      <c r="E380" s="133"/>
      <c r="F380" s="127"/>
      <c r="G380" s="127"/>
      <c r="H380" s="127"/>
      <c r="I380" s="127"/>
      <c r="J380" s="127"/>
      <c r="K380" s="127"/>
      <c r="L380" s="127"/>
      <c r="M380" s="127"/>
      <c r="N380" s="127"/>
      <c r="O380" s="127"/>
      <c r="P380" s="127"/>
      <c r="Q380" s="127"/>
      <c r="R380" s="127"/>
      <c r="S380" s="127"/>
      <c r="T380" s="127"/>
      <c r="U380" s="127"/>
      <c r="V380" s="127"/>
      <c r="W380" s="127"/>
      <c r="X380" s="127"/>
      <c r="Y380" s="127"/>
      <c r="Z380" s="127"/>
      <c r="AA380" s="127"/>
    </row>
    <row r="381" customFormat="false" ht="15.75" hidden="false" customHeight="false" outlineLevel="0" collapsed="false">
      <c r="A381" s="127" t="str">
        <f aca="false">IF(ISBLANK(B381),"",B381&amp;"|"&amp;C381)</f>
        <v/>
      </c>
      <c r="B381" s="127"/>
      <c r="C381" s="127"/>
      <c r="D381" s="127"/>
      <c r="E381" s="133"/>
      <c r="F381" s="127"/>
      <c r="G381" s="127"/>
      <c r="H381" s="127"/>
      <c r="I381" s="127"/>
      <c r="J381" s="127"/>
      <c r="K381" s="127"/>
      <c r="L381" s="127"/>
      <c r="M381" s="127"/>
      <c r="N381" s="127"/>
      <c r="O381" s="127"/>
      <c r="P381" s="127"/>
      <c r="Q381" s="127"/>
      <c r="R381" s="127"/>
      <c r="S381" s="127"/>
      <c r="T381" s="127"/>
      <c r="U381" s="127"/>
      <c r="V381" s="127"/>
      <c r="W381" s="127"/>
      <c r="X381" s="127"/>
      <c r="Y381" s="127"/>
      <c r="Z381" s="127"/>
      <c r="AA381" s="127"/>
    </row>
    <row r="382" customFormat="false" ht="15.75" hidden="false" customHeight="false" outlineLevel="0" collapsed="false">
      <c r="A382" s="127" t="str">
        <f aca="false">IF(ISBLANK(B382),"",B382&amp;"|"&amp;C382)</f>
        <v/>
      </c>
      <c r="B382" s="127"/>
      <c r="C382" s="127"/>
      <c r="D382" s="127"/>
      <c r="E382" s="133"/>
      <c r="F382" s="127"/>
      <c r="G382" s="127"/>
      <c r="H382" s="127"/>
      <c r="I382" s="127"/>
      <c r="J382" s="127"/>
      <c r="K382" s="127"/>
      <c r="L382" s="127"/>
      <c r="M382" s="127"/>
      <c r="N382" s="127"/>
      <c r="O382" s="127"/>
      <c r="P382" s="127"/>
      <c r="Q382" s="127"/>
      <c r="R382" s="127"/>
      <c r="S382" s="127"/>
      <c r="T382" s="127"/>
      <c r="U382" s="127"/>
      <c r="V382" s="127"/>
      <c r="W382" s="127"/>
      <c r="X382" s="127"/>
      <c r="Y382" s="127"/>
      <c r="Z382" s="127"/>
      <c r="AA382" s="127"/>
    </row>
    <row r="383" customFormat="false" ht="15.75" hidden="false" customHeight="false" outlineLevel="0" collapsed="false">
      <c r="A383" s="127" t="str">
        <f aca="false">IF(ISBLANK(B383),"",B383&amp;"|"&amp;C383)</f>
        <v/>
      </c>
      <c r="B383" s="127"/>
      <c r="C383" s="127"/>
      <c r="D383" s="127"/>
      <c r="E383" s="133"/>
      <c r="F383" s="127"/>
      <c r="G383" s="127"/>
      <c r="H383" s="127"/>
      <c r="I383" s="127"/>
      <c r="J383" s="127"/>
      <c r="K383" s="127"/>
      <c r="L383" s="127"/>
      <c r="M383" s="127"/>
      <c r="N383" s="127"/>
      <c r="O383" s="127"/>
      <c r="P383" s="127"/>
      <c r="Q383" s="127"/>
      <c r="R383" s="127"/>
      <c r="S383" s="127"/>
      <c r="T383" s="127"/>
      <c r="U383" s="127"/>
      <c r="V383" s="127"/>
      <c r="W383" s="127"/>
      <c r="X383" s="127"/>
      <c r="Y383" s="127"/>
      <c r="Z383" s="127"/>
      <c r="AA383" s="127"/>
    </row>
    <row r="384" customFormat="false" ht="15.75" hidden="false" customHeight="false" outlineLevel="0" collapsed="false">
      <c r="A384" s="127" t="str">
        <f aca="false">IF(ISBLANK(B384),"",B384&amp;"|"&amp;C384)</f>
        <v/>
      </c>
      <c r="B384" s="127"/>
      <c r="C384" s="127"/>
      <c r="D384" s="127"/>
      <c r="E384" s="133"/>
      <c r="F384" s="127"/>
      <c r="G384" s="127"/>
      <c r="H384" s="127"/>
      <c r="I384" s="127"/>
      <c r="J384" s="127"/>
      <c r="K384" s="127"/>
      <c r="L384" s="127"/>
      <c r="M384" s="127"/>
      <c r="N384" s="127"/>
      <c r="O384" s="127"/>
      <c r="P384" s="127"/>
      <c r="Q384" s="127"/>
      <c r="R384" s="127"/>
      <c r="S384" s="127"/>
      <c r="T384" s="127"/>
      <c r="U384" s="127"/>
      <c r="V384" s="127"/>
      <c r="W384" s="127"/>
      <c r="X384" s="127"/>
      <c r="Y384" s="127"/>
      <c r="Z384" s="127"/>
      <c r="AA384" s="127"/>
    </row>
    <row r="385" customFormat="false" ht="15.75" hidden="false" customHeight="false" outlineLevel="0" collapsed="false">
      <c r="A385" s="127" t="str">
        <f aca="false">IF(ISBLANK(B385),"",B385&amp;"|"&amp;C385)</f>
        <v/>
      </c>
      <c r="B385" s="127"/>
      <c r="C385" s="127"/>
      <c r="D385" s="127"/>
      <c r="E385" s="133"/>
      <c r="F385" s="127"/>
      <c r="G385" s="127"/>
      <c r="H385" s="127"/>
      <c r="I385" s="127"/>
      <c r="J385" s="127"/>
      <c r="K385" s="127"/>
      <c r="L385" s="127"/>
      <c r="M385" s="127"/>
      <c r="N385" s="127"/>
      <c r="O385" s="127"/>
      <c r="P385" s="127"/>
      <c r="Q385" s="127"/>
      <c r="R385" s="127"/>
      <c r="S385" s="127"/>
      <c r="T385" s="127"/>
      <c r="U385" s="127"/>
      <c r="V385" s="127"/>
      <c r="W385" s="127"/>
      <c r="X385" s="127"/>
      <c r="Y385" s="127"/>
      <c r="Z385" s="127"/>
      <c r="AA385" s="127"/>
    </row>
    <row r="386" customFormat="false" ht="15.75" hidden="false" customHeight="false" outlineLevel="0" collapsed="false">
      <c r="A386" s="127" t="str">
        <f aca="false">IF(ISBLANK(B386),"",B386&amp;"|"&amp;C386)</f>
        <v/>
      </c>
      <c r="B386" s="127"/>
      <c r="C386" s="127"/>
      <c r="D386" s="127"/>
      <c r="E386" s="133"/>
      <c r="F386" s="127"/>
      <c r="G386" s="127"/>
      <c r="H386" s="127"/>
      <c r="I386" s="127"/>
      <c r="J386" s="127"/>
      <c r="K386" s="127"/>
      <c r="L386" s="127"/>
      <c r="M386" s="127"/>
      <c r="N386" s="127"/>
      <c r="O386" s="127"/>
      <c r="P386" s="127"/>
      <c r="Q386" s="127"/>
      <c r="R386" s="127"/>
      <c r="S386" s="127"/>
      <c r="T386" s="127"/>
      <c r="U386" s="127"/>
      <c r="V386" s="127"/>
      <c r="W386" s="127"/>
      <c r="X386" s="127"/>
      <c r="Y386" s="127"/>
      <c r="Z386" s="127"/>
      <c r="AA386" s="127"/>
    </row>
    <row r="387" customFormat="false" ht="15.75" hidden="false" customHeight="false" outlineLevel="0" collapsed="false">
      <c r="A387" s="127" t="str">
        <f aca="false">IF(ISBLANK(B387),"",B387&amp;"|"&amp;C387)</f>
        <v/>
      </c>
      <c r="B387" s="127"/>
      <c r="C387" s="127"/>
      <c r="D387" s="127"/>
      <c r="E387" s="133"/>
      <c r="F387" s="127"/>
      <c r="G387" s="127"/>
      <c r="H387" s="127"/>
      <c r="I387" s="127"/>
      <c r="J387" s="127"/>
      <c r="K387" s="127"/>
      <c r="L387" s="127"/>
      <c r="M387" s="127"/>
      <c r="N387" s="127"/>
      <c r="O387" s="127"/>
      <c r="P387" s="127"/>
      <c r="Q387" s="127"/>
      <c r="R387" s="127"/>
      <c r="S387" s="127"/>
      <c r="T387" s="127"/>
      <c r="U387" s="127"/>
      <c r="V387" s="127"/>
      <c r="W387" s="127"/>
      <c r="X387" s="127"/>
      <c r="Y387" s="127"/>
      <c r="Z387" s="127"/>
      <c r="AA387" s="127"/>
    </row>
    <row r="388" customFormat="false" ht="15.75" hidden="false" customHeight="false" outlineLevel="0" collapsed="false">
      <c r="A388" s="127" t="str">
        <f aca="false">IF(ISBLANK(B388),"",B388&amp;"|"&amp;C388)</f>
        <v/>
      </c>
      <c r="B388" s="127"/>
      <c r="C388" s="127"/>
      <c r="D388" s="127"/>
      <c r="E388" s="133"/>
      <c r="F388" s="127"/>
      <c r="G388" s="127"/>
      <c r="H388" s="127"/>
      <c r="I388" s="127"/>
      <c r="J388" s="127"/>
      <c r="K388" s="127"/>
      <c r="L388" s="127"/>
      <c r="M388" s="127"/>
      <c r="N388" s="127"/>
      <c r="O388" s="127"/>
      <c r="P388" s="127"/>
      <c r="Q388" s="127"/>
      <c r="R388" s="127"/>
      <c r="S388" s="127"/>
      <c r="T388" s="127"/>
      <c r="U388" s="127"/>
      <c r="V388" s="127"/>
      <c r="W388" s="127"/>
      <c r="X388" s="127"/>
      <c r="Y388" s="127"/>
      <c r="Z388" s="127"/>
      <c r="AA388" s="127"/>
    </row>
    <row r="389" customFormat="false" ht="15.75" hidden="false" customHeight="false" outlineLevel="0" collapsed="false">
      <c r="A389" s="127" t="str">
        <f aca="false">IF(ISBLANK(B389),"",B389&amp;"|"&amp;C389)</f>
        <v/>
      </c>
      <c r="B389" s="127"/>
      <c r="C389" s="127"/>
      <c r="D389" s="127"/>
      <c r="E389" s="133"/>
      <c r="F389" s="127"/>
      <c r="G389" s="127"/>
      <c r="H389" s="127"/>
      <c r="I389" s="127"/>
      <c r="J389" s="127"/>
      <c r="K389" s="127"/>
      <c r="L389" s="127"/>
      <c r="M389" s="127"/>
      <c r="N389" s="127"/>
      <c r="O389" s="127"/>
      <c r="P389" s="127"/>
      <c r="Q389" s="127"/>
      <c r="R389" s="127"/>
      <c r="S389" s="127"/>
      <c r="T389" s="127"/>
      <c r="U389" s="127"/>
      <c r="V389" s="127"/>
      <c r="W389" s="127"/>
      <c r="X389" s="127"/>
      <c r="Y389" s="127"/>
      <c r="Z389" s="127"/>
      <c r="AA389" s="127"/>
    </row>
    <row r="390" customFormat="false" ht="15.75" hidden="false" customHeight="false" outlineLevel="0" collapsed="false">
      <c r="A390" s="127" t="str">
        <f aca="false">IF(ISBLANK(B390),"",B390&amp;"|"&amp;C390)</f>
        <v/>
      </c>
      <c r="B390" s="127"/>
      <c r="C390" s="127"/>
      <c r="D390" s="127"/>
      <c r="E390" s="133"/>
      <c r="F390" s="127"/>
      <c r="G390" s="127"/>
      <c r="H390" s="127"/>
      <c r="I390" s="127"/>
      <c r="J390" s="127"/>
      <c r="K390" s="127"/>
      <c r="L390" s="127"/>
      <c r="M390" s="127"/>
      <c r="N390" s="127"/>
      <c r="O390" s="127"/>
      <c r="P390" s="127"/>
      <c r="Q390" s="127"/>
      <c r="R390" s="127"/>
      <c r="S390" s="127"/>
      <c r="T390" s="127"/>
      <c r="U390" s="127"/>
      <c r="V390" s="127"/>
      <c r="W390" s="127"/>
      <c r="X390" s="127"/>
      <c r="Y390" s="127"/>
      <c r="Z390" s="127"/>
      <c r="AA390" s="127"/>
    </row>
    <row r="391" customFormat="false" ht="15.75" hidden="false" customHeight="false" outlineLevel="0" collapsed="false">
      <c r="A391" s="127" t="str">
        <f aca="false">IF(ISBLANK(B391),"",B391&amp;"|"&amp;C391)</f>
        <v/>
      </c>
      <c r="B391" s="127"/>
      <c r="C391" s="127"/>
      <c r="D391" s="127"/>
      <c r="E391" s="133"/>
      <c r="F391" s="127"/>
      <c r="G391" s="127"/>
      <c r="H391" s="127"/>
      <c r="I391" s="127"/>
      <c r="J391" s="127"/>
      <c r="K391" s="127"/>
      <c r="L391" s="127"/>
      <c r="M391" s="127"/>
      <c r="N391" s="127"/>
      <c r="O391" s="127"/>
      <c r="P391" s="127"/>
      <c r="Q391" s="127"/>
      <c r="R391" s="127"/>
      <c r="S391" s="127"/>
      <c r="T391" s="127"/>
      <c r="U391" s="127"/>
      <c r="V391" s="127"/>
      <c r="W391" s="127"/>
      <c r="X391" s="127"/>
      <c r="Y391" s="127"/>
      <c r="Z391" s="127"/>
      <c r="AA391" s="127"/>
    </row>
    <row r="392" customFormat="false" ht="15.75" hidden="false" customHeight="false" outlineLevel="0" collapsed="false">
      <c r="A392" s="127" t="str">
        <f aca="false">IF(ISBLANK(B392),"",B392&amp;"|"&amp;C392)</f>
        <v/>
      </c>
      <c r="B392" s="127"/>
      <c r="C392" s="127"/>
      <c r="D392" s="127"/>
      <c r="E392" s="133"/>
      <c r="F392" s="127"/>
      <c r="G392" s="127"/>
      <c r="H392" s="127"/>
      <c r="I392" s="127"/>
      <c r="J392" s="127"/>
      <c r="K392" s="127"/>
      <c r="L392" s="127"/>
      <c r="M392" s="127"/>
      <c r="N392" s="127"/>
      <c r="O392" s="127"/>
      <c r="P392" s="127"/>
      <c r="Q392" s="127"/>
      <c r="R392" s="127"/>
      <c r="S392" s="127"/>
      <c r="T392" s="127"/>
      <c r="U392" s="127"/>
      <c r="V392" s="127"/>
      <c r="W392" s="127"/>
      <c r="X392" s="127"/>
      <c r="Y392" s="127"/>
      <c r="Z392" s="127"/>
      <c r="AA392" s="127"/>
    </row>
    <row r="393" customFormat="false" ht="15.75" hidden="false" customHeight="false" outlineLevel="0" collapsed="false">
      <c r="A393" s="127" t="str">
        <f aca="false">IF(ISBLANK(B393),"",B393&amp;"|"&amp;C393)</f>
        <v/>
      </c>
      <c r="B393" s="127"/>
      <c r="C393" s="127"/>
      <c r="D393" s="127"/>
      <c r="E393" s="133"/>
      <c r="F393" s="127"/>
      <c r="G393" s="127"/>
      <c r="H393" s="127"/>
      <c r="I393" s="127"/>
      <c r="J393" s="127"/>
      <c r="K393" s="127"/>
      <c r="L393" s="127"/>
      <c r="M393" s="127"/>
      <c r="N393" s="127"/>
      <c r="O393" s="127"/>
      <c r="P393" s="127"/>
      <c r="Q393" s="127"/>
      <c r="R393" s="127"/>
      <c r="S393" s="127"/>
      <c r="T393" s="127"/>
      <c r="U393" s="127"/>
      <c r="V393" s="127"/>
      <c r="W393" s="127"/>
      <c r="X393" s="127"/>
      <c r="Y393" s="127"/>
      <c r="Z393" s="127"/>
      <c r="AA393" s="127"/>
    </row>
    <row r="394" customFormat="false" ht="15.75" hidden="false" customHeight="false" outlineLevel="0" collapsed="false">
      <c r="A394" s="127" t="str">
        <f aca="false">IF(ISBLANK(B394),"",B394&amp;"|"&amp;C394)</f>
        <v/>
      </c>
      <c r="B394" s="127"/>
      <c r="C394" s="127"/>
      <c r="D394" s="127"/>
      <c r="E394" s="133"/>
      <c r="F394" s="127"/>
      <c r="G394" s="127"/>
      <c r="H394" s="127"/>
      <c r="I394" s="127"/>
      <c r="J394" s="127"/>
      <c r="K394" s="127"/>
      <c r="L394" s="127"/>
      <c r="M394" s="127"/>
      <c r="N394" s="127"/>
      <c r="O394" s="127"/>
      <c r="P394" s="127"/>
      <c r="Q394" s="127"/>
      <c r="R394" s="127"/>
      <c r="S394" s="127"/>
      <c r="T394" s="127"/>
      <c r="U394" s="127"/>
      <c r="V394" s="127"/>
      <c r="W394" s="127"/>
      <c r="X394" s="127"/>
      <c r="Y394" s="127"/>
      <c r="Z394" s="127"/>
      <c r="AA394" s="127"/>
    </row>
    <row r="395" customFormat="false" ht="15.75" hidden="false" customHeight="false" outlineLevel="0" collapsed="false">
      <c r="A395" s="127" t="str">
        <f aca="false">IF(ISBLANK(B395),"",B395&amp;"|"&amp;C395)</f>
        <v/>
      </c>
      <c r="B395" s="127"/>
      <c r="C395" s="127"/>
      <c r="D395" s="127"/>
      <c r="E395" s="133"/>
      <c r="F395" s="127"/>
      <c r="G395" s="127"/>
      <c r="H395" s="127"/>
      <c r="I395" s="127"/>
      <c r="J395" s="127"/>
      <c r="K395" s="127"/>
      <c r="L395" s="127"/>
      <c r="M395" s="127"/>
      <c r="N395" s="127"/>
      <c r="O395" s="127"/>
      <c r="P395" s="127"/>
      <c r="Q395" s="127"/>
      <c r="R395" s="127"/>
      <c r="S395" s="127"/>
      <c r="T395" s="127"/>
      <c r="U395" s="127"/>
      <c r="V395" s="127"/>
      <c r="W395" s="127"/>
      <c r="X395" s="127"/>
      <c r="Y395" s="127"/>
      <c r="Z395" s="127"/>
      <c r="AA395" s="127"/>
    </row>
    <row r="396" customFormat="false" ht="15.75" hidden="false" customHeight="false" outlineLevel="0" collapsed="false">
      <c r="A396" s="127" t="str">
        <f aca="false">IF(ISBLANK(B396),"",B396&amp;"|"&amp;C396)</f>
        <v/>
      </c>
      <c r="B396" s="127"/>
      <c r="C396" s="127"/>
      <c r="D396" s="127"/>
      <c r="E396" s="133"/>
      <c r="F396" s="127"/>
      <c r="G396" s="127"/>
      <c r="H396" s="127"/>
      <c r="I396" s="127"/>
      <c r="J396" s="127"/>
      <c r="K396" s="127"/>
      <c r="L396" s="127"/>
      <c r="M396" s="127"/>
      <c r="N396" s="127"/>
      <c r="O396" s="127"/>
      <c r="P396" s="127"/>
      <c r="Q396" s="127"/>
      <c r="R396" s="127"/>
      <c r="S396" s="127"/>
      <c r="T396" s="127"/>
      <c r="U396" s="127"/>
      <c r="V396" s="127"/>
      <c r="W396" s="127"/>
      <c r="X396" s="127"/>
      <c r="Y396" s="127"/>
      <c r="Z396" s="127"/>
      <c r="AA396" s="127"/>
    </row>
    <row r="397" customFormat="false" ht="15.75" hidden="false" customHeight="false" outlineLevel="0" collapsed="false">
      <c r="A397" s="127" t="str">
        <f aca="false">IF(ISBLANK(B397),"",B397&amp;"|"&amp;C397)</f>
        <v/>
      </c>
      <c r="B397" s="127"/>
      <c r="C397" s="127"/>
      <c r="D397" s="127"/>
      <c r="E397" s="133"/>
      <c r="F397" s="127"/>
      <c r="G397" s="127"/>
      <c r="H397" s="127"/>
      <c r="I397" s="127"/>
      <c r="J397" s="127"/>
      <c r="K397" s="127"/>
      <c r="L397" s="127"/>
      <c r="M397" s="127"/>
      <c r="N397" s="127"/>
      <c r="O397" s="127"/>
      <c r="P397" s="127"/>
      <c r="Q397" s="127"/>
      <c r="R397" s="127"/>
      <c r="S397" s="127"/>
      <c r="T397" s="127"/>
      <c r="U397" s="127"/>
      <c r="V397" s="127"/>
      <c r="W397" s="127"/>
      <c r="X397" s="127"/>
      <c r="Y397" s="127"/>
      <c r="Z397" s="127"/>
      <c r="AA397" s="127"/>
    </row>
    <row r="398" customFormat="false" ht="15.75" hidden="false" customHeight="false" outlineLevel="0" collapsed="false">
      <c r="A398" s="127" t="str">
        <f aca="false">IF(ISBLANK(B398),"",B398&amp;"|"&amp;C398)</f>
        <v/>
      </c>
      <c r="B398" s="127"/>
      <c r="C398" s="127"/>
      <c r="D398" s="127"/>
      <c r="E398" s="133"/>
      <c r="F398" s="127"/>
      <c r="G398" s="127"/>
      <c r="H398" s="127"/>
      <c r="I398" s="127"/>
      <c r="J398" s="127"/>
      <c r="K398" s="127"/>
      <c r="L398" s="127"/>
      <c r="M398" s="127"/>
      <c r="N398" s="127"/>
      <c r="O398" s="127"/>
      <c r="P398" s="127"/>
      <c r="Q398" s="127"/>
      <c r="R398" s="127"/>
      <c r="S398" s="127"/>
      <c r="T398" s="127"/>
      <c r="U398" s="127"/>
      <c r="V398" s="127"/>
      <c r="W398" s="127"/>
      <c r="X398" s="127"/>
      <c r="Y398" s="127"/>
      <c r="Z398" s="127"/>
      <c r="AA398" s="127"/>
    </row>
    <row r="399" customFormat="false" ht="15.75" hidden="false" customHeight="false" outlineLevel="0" collapsed="false">
      <c r="A399" s="127" t="str">
        <f aca="false">IF(ISBLANK(B399),"",B399&amp;"|"&amp;C399)</f>
        <v/>
      </c>
      <c r="B399" s="127"/>
      <c r="C399" s="127"/>
      <c r="D399" s="127"/>
      <c r="E399" s="133"/>
      <c r="F399" s="127"/>
      <c r="G399" s="127"/>
      <c r="H399" s="127"/>
      <c r="I399" s="127"/>
      <c r="J399" s="127"/>
      <c r="K399" s="127"/>
      <c r="L399" s="127"/>
      <c r="M399" s="127"/>
      <c r="N399" s="127"/>
      <c r="O399" s="127"/>
      <c r="P399" s="127"/>
      <c r="Q399" s="127"/>
      <c r="R399" s="127"/>
      <c r="S399" s="127"/>
      <c r="T399" s="127"/>
      <c r="U399" s="127"/>
      <c r="V399" s="127"/>
      <c r="W399" s="127"/>
      <c r="X399" s="127"/>
      <c r="Y399" s="127"/>
      <c r="Z399" s="127"/>
      <c r="AA399" s="127"/>
    </row>
    <row r="400" customFormat="false" ht="15.75" hidden="false" customHeight="false" outlineLevel="0" collapsed="false">
      <c r="A400" s="127" t="str">
        <f aca="false">IF(ISBLANK(B400),"",B400&amp;"|"&amp;C400)</f>
        <v/>
      </c>
      <c r="B400" s="127"/>
      <c r="C400" s="127"/>
      <c r="D400" s="127"/>
      <c r="E400" s="133"/>
      <c r="F400" s="127"/>
      <c r="G400" s="127"/>
      <c r="H400" s="127"/>
      <c r="I400" s="127"/>
      <c r="J400" s="127"/>
      <c r="K400" s="127"/>
      <c r="L400" s="127"/>
      <c r="M400" s="127"/>
      <c r="N400" s="127"/>
      <c r="O400" s="127"/>
      <c r="P400" s="127"/>
      <c r="Q400" s="127"/>
      <c r="R400" s="127"/>
      <c r="S400" s="127"/>
      <c r="T400" s="127"/>
      <c r="U400" s="127"/>
      <c r="V400" s="127"/>
      <c r="W400" s="127"/>
      <c r="X400" s="127"/>
      <c r="Y400" s="127"/>
      <c r="Z400" s="127"/>
      <c r="AA400" s="127"/>
    </row>
    <row r="401" customFormat="false" ht="15.75" hidden="false" customHeight="false" outlineLevel="0" collapsed="false">
      <c r="A401" s="127" t="str">
        <f aca="false">IF(ISBLANK(B401),"",B401&amp;"|"&amp;C401)</f>
        <v/>
      </c>
      <c r="B401" s="127"/>
      <c r="C401" s="127"/>
      <c r="D401" s="127"/>
      <c r="E401" s="133"/>
      <c r="F401" s="127"/>
      <c r="G401" s="127"/>
      <c r="H401" s="127"/>
      <c r="I401" s="127"/>
      <c r="J401" s="127"/>
      <c r="K401" s="127"/>
      <c r="L401" s="127"/>
      <c r="M401" s="127"/>
      <c r="N401" s="127"/>
      <c r="O401" s="127"/>
      <c r="P401" s="127"/>
      <c r="Q401" s="127"/>
      <c r="R401" s="127"/>
      <c r="S401" s="127"/>
      <c r="T401" s="127"/>
      <c r="U401" s="127"/>
      <c r="V401" s="127"/>
      <c r="W401" s="127"/>
      <c r="X401" s="127"/>
      <c r="Y401" s="127"/>
      <c r="Z401" s="127"/>
      <c r="AA401" s="127"/>
    </row>
    <row r="402" customFormat="false" ht="15.75" hidden="false" customHeight="false" outlineLevel="0" collapsed="false">
      <c r="A402" s="127" t="str">
        <f aca="false">IF(ISBLANK(B402),"",B402&amp;"|"&amp;C402)</f>
        <v/>
      </c>
      <c r="B402" s="127"/>
      <c r="C402" s="127"/>
      <c r="D402" s="127"/>
      <c r="E402" s="133"/>
      <c r="F402" s="127"/>
      <c r="G402" s="127"/>
      <c r="H402" s="127"/>
      <c r="I402" s="127"/>
      <c r="J402" s="127"/>
      <c r="K402" s="127"/>
      <c r="L402" s="127"/>
      <c r="M402" s="127"/>
      <c r="N402" s="127"/>
      <c r="O402" s="127"/>
      <c r="P402" s="127"/>
      <c r="Q402" s="127"/>
      <c r="R402" s="127"/>
      <c r="S402" s="127"/>
      <c r="T402" s="127"/>
      <c r="U402" s="127"/>
      <c r="V402" s="127"/>
      <c r="W402" s="127"/>
      <c r="X402" s="127"/>
      <c r="Y402" s="127"/>
      <c r="Z402" s="127"/>
      <c r="AA402" s="127"/>
    </row>
    <row r="403" customFormat="false" ht="15.75" hidden="false" customHeight="false" outlineLevel="0" collapsed="false">
      <c r="A403" s="127" t="str">
        <f aca="false">IF(ISBLANK(B403),"",B403&amp;"|"&amp;C403)</f>
        <v/>
      </c>
      <c r="B403" s="127"/>
      <c r="C403" s="127"/>
      <c r="D403" s="127"/>
      <c r="E403" s="133"/>
      <c r="F403" s="127"/>
      <c r="G403" s="127"/>
      <c r="H403" s="127"/>
      <c r="I403" s="127"/>
      <c r="J403" s="127"/>
      <c r="K403" s="127"/>
      <c r="L403" s="127"/>
      <c r="M403" s="127"/>
      <c r="N403" s="127"/>
      <c r="O403" s="127"/>
      <c r="P403" s="127"/>
      <c r="Q403" s="127"/>
      <c r="R403" s="127"/>
      <c r="S403" s="127"/>
      <c r="T403" s="127"/>
      <c r="U403" s="127"/>
      <c r="V403" s="127"/>
      <c r="W403" s="127"/>
      <c r="X403" s="127"/>
      <c r="Y403" s="127"/>
      <c r="Z403" s="127"/>
      <c r="AA403" s="127"/>
    </row>
    <row r="404" customFormat="false" ht="15.75" hidden="false" customHeight="false" outlineLevel="0" collapsed="false">
      <c r="A404" s="127" t="str">
        <f aca="false">IF(ISBLANK(B404),"",B404&amp;"|"&amp;C404)</f>
        <v/>
      </c>
      <c r="B404" s="127"/>
      <c r="C404" s="127"/>
      <c r="D404" s="127"/>
      <c r="E404" s="133"/>
      <c r="F404" s="127"/>
      <c r="G404" s="127"/>
      <c r="H404" s="127"/>
      <c r="I404" s="127"/>
      <c r="J404" s="127"/>
      <c r="K404" s="127"/>
      <c r="L404" s="127"/>
      <c r="M404" s="127"/>
      <c r="N404" s="127"/>
      <c r="O404" s="127"/>
      <c r="P404" s="127"/>
      <c r="Q404" s="127"/>
      <c r="R404" s="127"/>
      <c r="S404" s="127"/>
      <c r="T404" s="127"/>
      <c r="U404" s="127"/>
      <c r="V404" s="127"/>
      <c r="W404" s="127"/>
      <c r="X404" s="127"/>
      <c r="Y404" s="127"/>
      <c r="Z404" s="127"/>
      <c r="AA404" s="127"/>
    </row>
    <row r="405" customFormat="false" ht="15.75" hidden="false" customHeight="false" outlineLevel="0" collapsed="false">
      <c r="A405" s="127" t="str">
        <f aca="false">IF(ISBLANK(B405),"",B405&amp;"|"&amp;C405)</f>
        <v/>
      </c>
      <c r="B405" s="127"/>
      <c r="C405" s="127"/>
      <c r="D405" s="127"/>
      <c r="E405" s="133"/>
      <c r="F405" s="127"/>
      <c r="G405" s="127"/>
      <c r="H405" s="127"/>
      <c r="I405" s="127"/>
      <c r="J405" s="127"/>
      <c r="K405" s="127"/>
      <c r="L405" s="127"/>
      <c r="M405" s="127"/>
      <c r="N405" s="127"/>
      <c r="O405" s="127"/>
      <c r="P405" s="127"/>
      <c r="Q405" s="127"/>
      <c r="R405" s="127"/>
      <c r="S405" s="127"/>
      <c r="T405" s="127"/>
      <c r="U405" s="127"/>
      <c r="V405" s="127"/>
      <c r="W405" s="127"/>
      <c r="X405" s="127"/>
      <c r="Y405" s="127"/>
      <c r="Z405" s="127"/>
      <c r="AA405" s="127"/>
    </row>
    <row r="406" customFormat="false" ht="15.75" hidden="false" customHeight="false" outlineLevel="0" collapsed="false">
      <c r="A406" s="127" t="str">
        <f aca="false">IF(ISBLANK(B406),"",B406&amp;"|"&amp;C406)</f>
        <v/>
      </c>
      <c r="B406" s="127"/>
      <c r="C406" s="127"/>
      <c r="D406" s="127"/>
      <c r="E406" s="133"/>
      <c r="F406" s="127"/>
      <c r="G406" s="127"/>
      <c r="H406" s="127"/>
      <c r="I406" s="127"/>
      <c r="J406" s="127"/>
      <c r="K406" s="127"/>
      <c r="L406" s="127"/>
      <c r="M406" s="127"/>
      <c r="N406" s="127"/>
      <c r="O406" s="127"/>
      <c r="P406" s="127"/>
      <c r="Q406" s="127"/>
      <c r="R406" s="127"/>
      <c r="S406" s="127"/>
      <c r="T406" s="127"/>
      <c r="U406" s="127"/>
      <c r="V406" s="127"/>
      <c r="W406" s="127"/>
      <c r="X406" s="127"/>
      <c r="Y406" s="127"/>
      <c r="Z406" s="127"/>
      <c r="AA406" s="127"/>
    </row>
    <row r="407" customFormat="false" ht="15.75" hidden="false" customHeight="false" outlineLevel="0" collapsed="false">
      <c r="A407" s="127" t="str">
        <f aca="false">IF(ISBLANK(B407),"",B407&amp;"|"&amp;C407)</f>
        <v/>
      </c>
      <c r="B407" s="127"/>
      <c r="C407" s="127"/>
      <c r="D407" s="127"/>
      <c r="E407" s="133"/>
      <c r="F407" s="127"/>
      <c r="G407" s="127"/>
      <c r="H407" s="127"/>
      <c r="I407" s="127"/>
      <c r="J407" s="127"/>
      <c r="K407" s="127"/>
      <c r="L407" s="127"/>
      <c r="M407" s="127"/>
      <c r="N407" s="127"/>
      <c r="O407" s="127"/>
      <c r="P407" s="127"/>
      <c r="Q407" s="127"/>
      <c r="R407" s="127"/>
      <c r="S407" s="127"/>
      <c r="T407" s="127"/>
      <c r="U407" s="127"/>
      <c r="V407" s="127"/>
      <c r="W407" s="127"/>
      <c r="X407" s="127"/>
      <c r="Y407" s="127"/>
      <c r="Z407" s="127"/>
      <c r="AA407" s="127"/>
    </row>
    <row r="408" customFormat="false" ht="15.75" hidden="false" customHeight="false" outlineLevel="0" collapsed="false">
      <c r="A408" s="127" t="str">
        <f aca="false">IF(ISBLANK(B408),"",B408&amp;"|"&amp;C408)</f>
        <v/>
      </c>
      <c r="B408" s="127"/>
      <c r="C408" s="127"/>
      <c r="D408" s="127"/>
      <c r="E408" s="133"/>
      <c r="F408" s="127"/>
      <c r="G408" s="127"/>
      <c r="H408" s="127"/>
      <c r="I408" s="127"/>
      <c r="J408" s="127"/>
      <c r="K408" s="127"/>
      <c r="L408" s="127"/>
      <c r="M408" s="127"/>
      <c r="N408" s="127"/>
      <c r="O408" s="127"/>
      <c r="P408" s="127"/>
      <c r="Q408" s="127"/>
      <c r="R408" s="127"/>
      <c r="S408" s="127"/>
      <c r="T408" s="127"/>
      <c r="U408" s="127"/>
      <c r="V408" s="127"/>
      <c r="W408" s="127"/>
      <c r="X408" s="127"/>
      <c r="Y408" s="127"/>
      <c r="Z408" s="127"/>
      <c r="AA408" s="127"/>
    </row>
    <row r="409" customFormat="false" ht="15.75" hidden="false" customHeight="false" outlineLevel="0" collapsed="false">
      <c r="A409" s="127" t="str">
        <f aca="false">IF(ISBLANK(B409),"",B409&amp;"|"&amp;C409)</f>
        <v/>
      </c>
      <c r="B409" s="127"/>
      <c r="C409" s="127"/>
      <c r="D409" s="127"/>
      <c r="E409" s="133"/>
      <c r="F409" s="127"/>
      <c r="G409" s="127"/>
      <c r="H409" s="127"/>
      <c r="I409" s="127"/>
      <c r="J409" s="127"/>
      <c r="K409" s="127"/>
      <c r="L409" s="127"/>
      <c r="M409" s="127"/>
      <c r="N409" s="127"/>
      <c r="O409" s="127"/>
      <c r="P409" s="127"/>
      <c r="Q409" s="127"/>
      <c r="R409" s="127"/>
      <c r="S409" s="127"/>
      <c r="T409" s="127"/>
      <c r="U409" s="127"/>
      <c r="V409" s="127"/>
      <c r="W409" s="127"/>
      <c r="X409" s="127"/>
      <c r="Y409" s="127"/>
      <c r="Z409" s="127"/>
      <c r="AA409" s="127"/>
    </row>
    <row r="410" customFormat="false" ht="15.75" hidden="false" customHeight="false" outlineLevel="0" collapsed="false">
      <c r="A410" s="127" t="str">
        <f aca="false">IF(ISBLANK(B410),"",B410&amp;"|"&amp;C410)</f>
        <v/>
      </c>
      <c r="B410" s="127"/>
      <c r="C410" s="127"/>
      <c r="D410" s="127"/>
      <c r="E410" s="133"/>
      <c r="F410" s="127"/>
      <c r="G410" s="127"/>
      <c r="H410" s="127"/>
      <c r="I410" s="127"/>
      <c r="J410" s="127"/>
      <c r="K410" s="127"/>
      <c r="L410" s="127"/>
      <c r="M410" s="127"/>
      <c r="N410" s="127"/>
      <c r="O410" s="127"/>
      <c r="P410" s="127"/>
      <c r="Q410" s="127"/>
      <c r="R410" s="127"/>
      <c r="S410" s="127"/>
      <c r="T410" s="127"/>
      <c r="U410" s="127"/>
      <c r="V410" s="127"/>
      <c r="W410" s="127"/>
      <c r="X410" s="127"/>
      <c r="Y410" s="127"/>
      <c r="Z410" s="127"/>
      <c r="AA410" s="127"/>
    </row>
    <row r="411" customFormat="false" ht="15.75" hidden="false" customHeight="false" outlineLevel="0" collapsed="false">
      <c r="A411" s="127" t="str">
        <f aca="false">IF(ISBLANK(B411),"",B411&amp;"|"&amp;C411)</f>
        <v/>
      </c>
      <c r="B411" s="127"/>
      <c r="C411" s="127"/>
      <c r="D411" s="127"/>
      <c r="E411" s="133"/>
      <c r="F411" s="127"/>
      <c r="G411" s="127"/>
      <c r="H411" s="127"/>
      <c r="I411" s="127"/>
      <c r="J411" s="127"/>
      <c r="K411" s="127"/>
      <c r="L411" s="127"/>
      <c r="M411" s="127"/>
      <c r="N411" s="127"/>
      <c r="O411" s="127"/>
      <c r="P411" s="127"/>
      <c r="Q411" s="127"/>
      <c r="R411" s="127"/>
      <c r="S411" s="127"/>
      <c r="T411" s="127"/>
      <c r="U411" s="127"/>
      <c r="V411" s="127"/>
      <c r="W411" s="127"/>
      <c r="X411" s="127"/>
      <c r="Y411" s="127"/>
      <c r="Z411" s="127"/>
      <c r="AA411" s="127"/>
    </row>
    <row r="412" customFormat="false" ht="15.75" hidden="false" customHeight="false" outlineLevel="0" collapsed="false">
      <c r="A412" s="127" t="str">
        <f aca="false">IF(ISBLANK(B412),"",B412&amp;"|"&amp;C412)</f>
        <v/>
      </c>
      <c r="B412" s="127"/>
      <c r="C412" s="127"/>
      <c r="D412" s="127"/>
      <c r="E412" s="133"/>
      <c r="F412" s="127"/>
      <c r="G412" s="127"/>
      <c r="H412" s="127"/>
      <c r="I412" s="127"/>
      <c r="J412" s="127"/>
      <c r="K412" s="127"/>
      <c r="L412" s="127"/>
      <c r="M412" s="127"/>
      <c r="N412" s="127"/>
      <c r="O412" s="127"/>
      <c r="P412" s="127"/>
      <c r="Q412" s="127"/>
      <c r="R412" s="127"/>
      <c r="S412" s="127"/>
      <c r="T412" s="127"/>
      <c r="U412" s="127"/>
      <c r="V412" s="127"/>
      <c r="W412" s="127"/>
      <c r="X412" s="127"/>
      <c r="Y412" s="127"/>
      <c r="Z412" s="127"/>
      <c r="AA412" s="127"/>
    </row>
    <row r="413" customFormat="false" ht="15.75" hidden="false" customHeight="false" outlineLevel="0" collapsed="false">
      <c r="A413" s="127" t="str">
        <f aca="false">IF(ISBLANK(B413),"",B413&amp;"|"&amp;C413)</f>
        <v/>
      </c>
      <c r="B413" s="127"/>
      <c r="C413" s="127"/>
      <c r="D413" s="127"/>
      <c r="E413" s="133"/>
      <c r="F413" s="127"/>
      <c r="G413" s="127"/>
      <c r="H413" s="127"/>
      <c r="I413" s="127"/>
      <c r="J413" s="127"/>
      <c r="K413" s="127"/>
      <c r="L413" s="127"/>
      <c r="M413" s="127"/>
      <c r="N413" s="127"/>
      <c r="O413" s="127"/>
      <c r="P413" s="127"/>
      <c r="Q413" s="127"/>
      <c r="R413" s="127"/>
      <c r="S413" s="127"/>
      <c r="T413" s="127"/>
      <c r="U413" s="127"/>
      <c r="V413" s="127"/>
      <c r="W413" s="127"/>
      <c r="X413" s="127"/>
      <c r="Y413" s="127"/>
      <c r="Z413" s="127"/>
      <c r="AA413" s="127"/>
    </row>
    <row r="414" customFormat="false" ht="15.75" hidden="false" customHeight="false" outlineLevel="0" collapsed="false">
      <c r="A414" s="127" t="str">
        <f aca="false">IF(ISBLANK(B414),"",B414&amp;"|"&amp;C414)</f>
        <v/>
      </c>
      <c r="B414" s="127"/>
      <c r="C414" s="127"/>
      <c r="D414" s="127"/>
      <c r="E414" s="133"/>
      <c r="F414" s="127"/>
      <c r="G414" s="127"/>
      <c r="H414" s="127"/>
      <c r="I414" s="127"/>
      <c r="J414" s="127"/>
      <c r="K414" s="127"/>
      <c r="L414" s="127"/>
      <c r="M414" s="127"/>
      <c r="N414" s="127"/>
      <c r="O414" s="127"/>
      <c r="P414" s="127"/>
      <c r="Q414" s="127"/>
      <c r="R414" s="127"/>
      <c r="S414" s="127"/>
      <c r="T414" s="127"/>
      <c r="U414" s="127"/>
      <c r="V414" s="127"/>
      <c r="W414" s="127"/>
      <c r="X414" s="127"/>
      <c r="Y414" s="127"/>
      <c r="Z414" s="127"/>
      <c r="AA414" s="127"/>
    </row>
    <row r="415" customFormat="false" ht="15.75" hidden="false" customHeight="false" outlineLevel="0" collapsed="false">
      <c r="A415" s="127" t="str">
        <f aca="false">IF(ISBLANK(B415),"",B415&amp;"|"&amp;C415)</f>
        <v/>
      </c>
      <c r="B415" s="127"/>
      <c r="C415" s="127"/>
      <c r="D415" s="127"/>
      <c r="E415" s="133"/>
      <c r="F415" s="127"/>
      <c r="G415" s="127"/>
      <c r="H415" s="127"/>
      <c r="I415" s="127"/>
      <c r="J415" s="127"/>
      <c r="K415" s="127"/>
      <c r="L415" s="127"/>
      <c r="M415" s="127"/>
      <c r="N415" s="127"/>
      <c r="O415" s="127"/>
      <c r="P415" s="127"/>
      <c r="Q415" s="127"/>
      <c r="R415" s="127"/>
      <c r="S415" s="127"/>
      <c r="T415" s="127"/>
      <c r="U415" s="127"/>
      <c r="V415" s="127"/>
      <c r="W415" s="127"/>
      <c r="X415" s="127"/>
      <c r="Y415" s="127"/>
      <c r="Z415" s="127"/>
      <c r="AA415" s="127"/>
    </row>
    <row r="416" customFormat="false" ht="15.75" hidden="false" customHeight="false" outlineLevel="0" collapsed="false">
      <c r="A416" s="127" t="str">
        <f aca="false">IF(ISBLANK(B416),"",B416&amp;"|"&amp;C416)</f>
        <v/>
      </c>
      <c r="B416" s="127"/>
      <c r="C416" s="127"/>
      <c r="D416" s="127"/>
      <c r="E416" s="133"/>
      <c r="F416" s="127"/>
      <c r="G416" s="127"/>
      <c r="H416" s="127"/>
      <c r="I416" s="127"/>
      <c r="J416" s="127"/>
      <c r="K416" s="127"/>
      <c r="L416" s="127"/>
      <c r="M416" s="127"/>
      <c r="N416" s="127"/>
      <c r="O416" s="127"/>
      <c r="P416" s="127"/>
      <c r="Q416" s="127"/>
      <c r="R416" s="127"/>
      <c r="S416" s="127"/>
      <c r="T416" s="127"/>
      <c r="U416" s="127"/>
      <c r="V416" s="127"/>
      <c r="W416" s="127"/>
      <c r="X416" s="127"/>
      <c r="Y416" s="127"/>
      <c r="Z416" s="127"/>
      <c r="AA416" s="127"/>
    </row>
    <row r="417" customFormat="false" ht="15.75" hidden="false" customHeight="false" outlineLevel="0" collapsed="false">
      <c r="A417" s="127" t="str">
        <f aca="false">IF(ISBLANK(B417),"",B417&amp;"|"&amp;C417)</f>
        <v/>
      </c>
      <c r="B417" s="127"/>
      <c r="C417" s="127"/>
      <c r="D417" s="127"/>
      <c r="E417" s="133"/>
      <c r="F417" s="127"/>
      <c r="G417" s="127"/>
      <c r="H417" s="127"/>
      <c r="I417" s="127"/>
      <c r="J417" s="127"/>
      <c r="K417" s="127"/>
      <c r="L417" s="127"/>
      <c r="M417" s="127"/>
      <c r="N417" s="127"/>
      <c r="O417" s="127"/>
      <c r="P417" s="127"/>
      <c r="Q417" s="127"/>
      <c r="R417" s="127"/>
      <c r="S417" s="127"/>
      <c r="T417" s="127"/>
      <c r="U417" s="127"/>
      <c r="V417" s="127"/>
      <c r="W417" s="127"/>
      <c r="X417" s="127"/>
      <c r="Y417" s="127"/>
      <c r="Z417" s="127"/>
      <c r="AA417" s="127"/>
    </row>
    <row r="418" customFormat="false" ht="15.75" hidden="false" customHeight="false" outlineLevel="0" collapsed="false">
      <c r="A418" s="127" t="str">
        <f aca="false">IF(ISBLANK(B418),"",B418&amp;"|"&amp;C418)</f>
        <v/>
      </c>
      <c r="B418" s="127"/>
      <c r="C418" s="127"/>
      <c r="D418" s="127"/>
      <c r="E418" s="133"/>
      <c r="F418" s="127"/>
      <c r="G418" s="127"/>
      <c r="H418" s="127"/>
      <c r="I418" s="127"/>
      <c r="J418" s="127"/>
      <c r="K418" s="127"/>
      <c r="L418" s="127"/>
      <c r="M418" s="127"/>
      <c r="N418" s="127"/>
      <c r="O418" s="127"/>
      <c r="P418" s="127"/>
      <c r="Q418" s="127"/>
      <c r="R418" s="127"/>
      <c r="S418" s="127"/>
      <c r="T418" s="127"/>
      <c r="U418" s="127"/>
      <c r="V418" s="127"/>
      <c r="W418" s="127"/>
      <c r="X418" s="127"/>
      <c r="Y418" s="127"/>
      <c r="Z418" s="127"/>
      <c r="AA418" s="127"/>
    </row>
    <row r="419" customFormat="false" ht="15.75" hidden="false" customHeight="false" outlineLevel="0" collapsed="false">
      <c r="A419" s="127" t="str">
        <f aca="false">IF(ISBLANK(B419),"",B419&amp;"|"&amp;C419)</f>
        <v/>
      </c>
      <c r="B419" s="127"/>
      <c r="C419" s="127"/>
      <c r="D419" s="127"/>
      <c r="E419" s="133"/>
      <c r="F419" s="127"/>
      <c r="G419" s="127"/>
      <c r="H419" s="127"/>
      <c r="I419" s="127"/>
      <c r="J419" s="127"/>
      <c r="K419" s="127"/>
      <c r="L419" s="127"/>
      <c r="M419" s="127"/>
      <c r="N419" s="127"/>
      <c r="O419" s="127"/>
      <c r="P419" s="127"/>
      <c r="Q419" s="127"/>
      <c r="R419" s="127"/>
      <c r="S419" s="127"/>
      <c r="T419" s="127"/>
      <c r="U419" s="127"/>
      <c r="V419" s="127"/>
      <c r="W419" s="127"/>
      <c r="X419" s="127"/>
      <c r="Y419" s="127"/>
      <c r="Z419" s="127"/>
      <c r="AA419" s="127"/>
    </row>
    <row r="420" customFormat="false" ht="15.75" hidden="false" customHeight="false" outlineLevel="0" collapsed="false">
      <c r="A420" s="127" t="str">
        <f aca="false">IF(ISBLANK(B420),"",B420&amp;"|"&amp;C420)</f>
        <v/>
      </c>
      <c r="B420" s="127"/>
      <c r="C420" s="127"/>
      <c r="D420" s="127"/>
      <c r="E420" s="133"/>
      <c r="F420" s="127"/>
      <c r="G420" s="127"/>
      <c r="H420" s="127"/>
      <c r="I420" s="127"/>
      <c r="J420" s="127"/>
      <c r="K420" s="127"/>
      <c r="L420" s="127"/>
      <c r="M420" s="127"/>
      <c r="N420" s="127"/>
      <c r="O420" s="127"/>
      <c r="P420" s="127"/>
      <c r="Q420" s="127"/>
      <c r="R420" s="127"/>
      <c r="S420" s="127"/>
      <c r="T420" s="127"/>
      <c r="U420" s="127"/>
      <c r="V420" s="127"/>
      <c r="W420" s="127"/>
      <c r="X420" s="127"/>
      <c r="Y420" s="127"/>
      <c r="Z420" s="127"/>
      <c r="AA420" s="127"/>
    </row>
    <row r="421" customFormat="false" ht="15.75" hidden="false" customHeight="false" outlineLevel="0" collapsed="false">
      <c r="A421" s="127" t="str">
        <f aca="false">IF(ISBLANK(B421),"",B421&amp;"|"&amp;C421)</f>
        <v/>
      </c>
      <c r="B421" s="127"/>
      <c r="C421" s="127"/>
      <c r="D421" s="127"/>
      <c r="E421" s="133"/>
      <c r="F421" s="127"/>
      <c r="G421" s="127"/>
      <c r="H421" s="127"/>
      <c r="I421" s="127"/>
      <c r="J421" s="127"/>
      <c r="K421" s="127"/>
      <c r="L421" s="127"/>
      <c r="M421" s="127"/>
      <c r="N421" s="127"/>
      <c r="O421" s="127"/>
      <c r="P421" s="127"/>
      <c r="Q421" s="127"/>
      <c r="R421" s="127"/>
      <c r="S421" s="127"/>
      <c r="T421" s="127"/>
      <c r="U421" s="127"/>
      <c r="V421" s="127"/>
      <c r="W421" s="127"/>
      <c r="X421" s="127"/>
      <c r="Y421" s="127"/>
      <c r="Z421" s="127"/>
      <c r="AA421" s="127"/>
    </row>
    <row r="422" customFormat="false" ht="15.75" hidden="false" customHeight="false" outlineLevel="0" collapsed="false">
      <c r="A422" s="127" t="str">
        <f aca="false">IF(ISBLANK(B422),"",B422&amp;"|"&amp;C422)</f>
        <v/>
      </c>
      <c r="B422" s="127"/>
      <c r="C422" s="127"/>
      <c r="D422" s="127"/>
      <c r="E422" s="133"/>
      <c r="F422" s="127"/>
      <c r="G422" s="127"/>
      <c r="H422" s="127"/>
      <c r="I422" s="127"/>
      <c r="J422" s="127"/>
      <c r="K422" s="127"/>
      <c r="L422" s="127"/>
      <c r="M422" s="127"/>
      <c r="N422" s="127"/>
      <c r="O422" s="127"/>
      <c r="P422" s="127"/>
      <c r="Q422" s="127"/>
      <c r="R422" s="127"/>
      <c r="S422" s="127"/>
      <c r="T422" s="127"/>
      <c r="U422" s="127"/>
      <c r="V422" s="127"/>
      <c r="W422" s="127"/>
      <c r="X422" s="127"/>
      <c r="Y422" s="127"/>
      <c r="Z422" s="127"/>
      <c r="AA422" s="127"/>
    </row>
    <row r="423" customFormat="false" ht="15.75" hidden="false" customHeight="false" outlineLevel="0" collapsed="false">
      <c r="A423" s="127" t="str">
        <f aca="false">IF(ISBLANK(B423),"",B423&amp;"|"&amp;C423)</f>
        <v/>
      </c>
      <c r="B423" s="127"/>
      <c r="C423" s="127"/>
      <c r="D423" s="127"/>
      <c r="E423" s="133"/>
      <c r="F423" s="127"/>
      <c r="G423" s="127"/>
      <c r="H423" s="127"/>
      <c r="I423" s="127"/>
      <c r="J423" s="127"/>
      <c r="K423" s="127"/>
      <c r="L423" s="127"/>
      <c r="M423" s="127"/>
      <c r="N423" s="127"/>
      <c r="O423" s="127"/>
      <c r="P423" s="127"/>
      <c r="Q423" s="127"/>
      <c r="R423" s="127"/>
      <c r="S423" s="127"/>
      <c r="T423" s="127"/>
      <c r="U423" s="127"/>
      <c r="V423" s="127"/>
      <c r="W423" s="127"/>
      <c r="X423" s="127"/>
      <c r="Y423" s="127"/>
      <c r="Z423" s="127"/>
      <c r="AA423" s="127"/>
    </row>
    <row r="424" customFormat="false" ht="15.75" hidden="false" customHeight="false" outlineLevel="0" collapsed="false">
      <c r="A424" s="127" t="str">
        <f aca="false">IF(ISBLANK(B424),"",B424&amp;"|"&amp;C424)</f>
        <v/>
      </c>
      <c r="B424" s="127"/>
      <c r="C424" s="127"/>
      <c r="D424" s="127"/>
      <c r="E424" s="133"/>
      <c r="F424" s="127"/>
      <c r="G424" s="127"/>
      <c r="H424" s="127"/>
      <c r="I424" s="127"/>
      <c r="J424" s="127"/>
      <c r="K424" s="127"/>
      <c r="L424" s="127"/>
      <c r="M424" s="127"/>
      <c r="N424" s="127"/>
      <c r="O424" s="127"/>
      <c r="P424" s="127"/>
      <c r="Q424" s="127"/>
      <c r="R424" s="127"/>
      <c r="S424" s="127"/>
      <c r="T424" s="127"/>
      <c r="U424" s="127"/>
      <c r="V424" s="127"/>
      <c r="W424" s="127"/>
      <c r="X424" s="127"/>
      <c r="Y424" s="127"/>
      <c r="Z424" s="127"/>
      <c r="AA424" s="127"/>
    </row>
    <row r="425" customFormat="false" ht="15.75" hidden="false" customHeight="false" outlineLevel="0" collapsed="false">
      <c r="A425" s="127" t="str">
        <f aca="false">IF(ISBLANK(B425),"",B425&amp;"|"&amp;C425)</f>
        <v/>
      </c>
      <c r="B425" s="127"/>
      <c r="C425" s="127"/>
      <c r="D425" s="127"/>
      <c r="E425" s="133"/>
      <c r="F425" s="127"/>
      <c r="G425" s="127"/>
      <c r="H425" s="127"/>
      <c r="I425" s="127"/>
      <c r="J425" s="127"/>
      <c r="K425" s="127"/>
      <c r="L425" s="127"/>
      <c r="M425" s="127"/>
      <c r="N425" s="127"/>
      <c r="O425" s="127"/>
      <c r="P425" s="127"/>
      <c r="Q425" s="127"/>
      <c r="R425" s="127"/>
      <c r="S425" s="127"/>
      <c r="T425" s="127"/>
      <c r="U425" s="127"/>
      <c r="V425" s="127"/>
      <c r="W425" s="127"/>
      <c r="X425" s="127"/>
      <c r="Y425" s="127"/>
      <c r="Z425" s="127"/>
      <c r="AA425" s="127"/>
    </row>
    <row r="426" customFormat="false" ht="15.75" hidden="false" customHeight="false" outlineLevel="0" collapsed="false">
      <c r="A426" s="127" t="str">
        <f aca="false">IF(ISBLANK(B426),"",B426&amp;"|"&amp;C426)</f>
        <v/>
      </c>
      <c r="B426" s="127"/>
      <c r="C426" s="127"/>
      <c r="D426" s="127"/>
      <c r="E426" s="133"/>
      <c r="F426" s="127"/>
      <c r="G426" s="127"/>
      <c r="H426" s="127"/>
      <c r="I426" s="127"/>
      <c r="J426" s="127"/>
      <c r="K426" s="127"/>
      <c r="L426" s="127"/>
      <c r="M426" s="127"/>
      <c r="N426" s="127"/>
      <c r="O426" s="127"/>
      <c r="P426" s="127"/>
      <c r="Q426" s="127"/>
      <c r="R426" s="127"/>
      <c r="S426" s="127"/>
      <c r="T426" s="127"/>
      <c r="U426" s="127"/>
      <c r="V426" s="127"/>
      <c r="W426" s="127"/>
      <c r="X426" s="127"/>
      <c r="Y426" s="127"/>
      <c r="Z426" s="127"/>
      <c r="AA426" s="127"/>
    </row>
    <row r="427" customFormat="false" ht="15.75" hidden="false" customHeight="false" outlineLevel="0" collapsed="false">
      <c r="A427" s="127" t="str">
        <f aca="false">IF(ISBLANK(B427),"",B427&amp;"|"&amp;C427)</f>
        <v/>
      </c>
      <c r="B427" s="127"/>
      <c r="C427" s="127"/>
      <c r="D427" s="127"/>
      <c r="E427" s="133"/>
      <c r="F427" s="127"/>
      <c r="G427" s="127"/>
      <c r="H427" s="127"/>
      <c r="I427" s="127"/>
      <c r="J427" s="127"/>
      <c r="K427" s="127"/>
      <c r="L427" s="127"/>
      <c r="M427" s="127"/>
      <c r="N427" s="127"/>
      <c r="O427" s="127"/>
      <c r="P427" s="127"/>
      <c r="Q427" s="127"/>
      <c r="R427" s="127"/>
      <c r="S427" s="127"/>
      <c r="T427" s="127"/>
      <c r="U427" s="127"/>
      <c r="V427" s="127"/>
      <c r="W427" s="127"/>
      <c r="X427" s="127"/>
      <c r="Y427" s="127"/>
      <c r="Z427" s="127"/>
      <c r="AA427" s="127"/>
    </row>
    <row r="428" customFormat="false" ht="15.75" hidden="false" customHeight="false" outlineLevel="0" collapsed="false">
      <c r="A428" s="127" t="str">
        <f aca="false">IF(ISBLANK(B428),"",B428&amp;"|"&amp;C428)</f>
        <v/>
      </c>
      <c r="B428" s="127"/>
      <c r="C428" s="127"/>
      <c r="D428" s="127"/>
      <c r="E428" s="133"/>
      <c r="F428" s="127"/>
      <c r="G428" s="127"/>
      <c r="H428" s="127"/>
      <c r="I428" s="127"/>
      <c r="J428" s="127"/>
      <c r="K428" s="127"/>
      <c r="L428" s="127"/>
      <c r="M428" s="127"/>
      <c r="N428" s="127"/>
      <c r="O428" s="127"/>
      <c r="P428" s="127"/>
      <c r="Q428" s="127"/>
      <c r="R428" s="127"/>
      <c r="S428" s="127"/>
      <c r="T428" s="127"/>
      <c r="U428" s="127"/>
      <c r="V428" s="127"/>
      <c r="W428" s="127"/>
      <c r="X428" s="127"/>
      <c r="Y428" s="127"/>
      <c r="Z428" s="127"/>
      <c r="AA428" s="127"/>
    </row>
    <row r="429" customFormat="false" ht="15.75" hidden="false" customHeight="false" outlineLevel="0" collapsed="false">
      <c r="A429" s="127" t="str">
        <f aca="false">IF(ISBLANK(B429),"",B429&amp;"|"&amp;C429)</f>
        <v/>
      </c>
      <c r="B429" s="127"/>
      <c r="C429" s="127"/>
      <c r="D429" s="127"/>
      <c r="E429" s="133"/>
      <c r="F429" s="127"/>
      <c r="G429" s="127"/>
      <c r="H429" s="127"/>
      <c r="I429" s="127"/>
      <c r="J429" s="127"/>
      <c r="K429" s="127"/>
      <c r="L429" s="127"/>
      <c r="M429" s="127"/>
      <c r="N429" s="127"/>
      <c r="O429" s="127"/>
      <c r="P429" s="127"/>
      <c r="Q429" s="127"/>
      <c r="R429" s="127"/>
      <c r="S429" s="127"/>
      <c r="T429" s="127"/>
      <c r="U429" s="127"/>
      <c r="V429" s="127"/>
      <c r="W429" s="127"/>
      <c r="X429" s="127"/>
      <c r="Y429" s="127"/>
      <c r="Z429" s="127"/>
      <c r="AA429" s="127"/>
    </row>
    <row r="430" customFormat="false" ht="15.75" hidden="false" customHeight="false" outlineLevel="0" collapsed="false">
      <c r="A430" s="127" t="str">
        <f aca="false">IF(ISBLANK(B430),"",B430&amp;"|"&amp;C430)</f>
        <v/>
      </c>
      <c r="B430" s="127"/>
      <c r="C430" s="127"/>
      <c r="D430" s="127"/>
      <c r="E430" s="133"/>
      <c r="F430" s="127"/>
      <c r="G430" s="127"/>
      <c r="H430" s="127"/>
      <c r="I430" s="127"/>
      <c r="J430" s="127"/>
      <c r="K430" s="127"/>
      <c r="L430" s="127"/>
      <c r="M430" s="127"/>
      <c r="N430" s="127"/>
      <c r="O430" s="127"/>
      <c r="P430" s="127"/>
      <c r="Q430" s="127"/>
      <c r="R430" s="127"/>
      <c r="S430" s="127"/>
      <c r="T430" s="127"/>
      <c r="U430" s="127"/>
      <c r="V430" s="127"/>
      <c r="W430" s="127"/>
      <c r="X430" s="127"/>
      <c r="Y430" s="127"/>
      <c r="Z430" s="127"/>
      <c r="AA430" s="127"/>
    </row>
    <row r="431" customFormat="false" ht="15.75" hidden="false" customHeight="false" outlineLevel="0" collapsed="false">
      <c r="A431" s="127" t="str">
        <f aca="false">IF(ISBLANK(B431),"",B431&amp;"|"&amp;C431)</f>
        <v/>
      </c>
      <c r="B431" s="127"/>
      <c r="C431" s="127"/>
      <c r="D431" s="127"/>
      <c r="E431" s="133"/>
      <c r="F431" s="127"/>
      <c r="G431" s="127"/>
      <c r="H431" s="127"/>
      <c r="I431" s="127"/>
      <c r="J431" s="127"/>
      <c r="K431" s="127"/>
      <c r="L431" s="127"/>
      <c r="M431" s="127"/>
      <c r="N431" s="127"/>
      <c r="O431" s="127"/>
      <c r="P431" s="127"/>
      <c r="Q431" s="127"/>
      <c r="R431" s="127"/>
      <c r="S431" s="127"/>
      <c r="T431" s="127"/>
      <c r="U431" s="127"/>
      <c r="V431" s="127"/>
      <c r="W431" s="127"/>
      <c r="X431" s="127"/>
      <c r="Y431" s="127"/>
      <c r="Z431" s="127"/>
      <c r="AA431" s="127"/>
    </row>
    <row r="432" customFormat="false" ht="15.75" hidden="false" customHeight="false" outlineLevel="0" collapsed="false">
      <c r="A432" s="127" t="str">
        <f aca="false">IF(ISBLANK(B432),"",B432&amp;"|"&amp;C432)</f>
        <v/>
      </c>
      <c r="B432" s="127"/>
      <c r="C432" s="127"/>
      <c r="D432" s="127"/>
      <c r="E432" s="133"/>
      <c r="F432" s="127"/>
      <c r="G432" s="127"/>
      <c r="H432" s="127"/>
      <c r="I432" s="127"/>
      <c r="J432" s="127"/>
      <c r="K432" s="127"/>
      <c r="L432" s="127"/>
      <c r="M432" s="127"/>
      <c r="N432" s="127"/>
      <c r="O432" s="127"/>
      <c r="P432" s="127"/>
      <c r="Q432" s="127"/>
      <c r="R432" s="127"/>
      <c r="S432" s="127"/>
      <c r="T432" s="127"/>
      <c r="U432" s="127"/>
      <c r="V432" s="127"/>
      <c r="W432" s="127"/>
      <c r="X432" s="127"/>
      <c r="Y432" s="127"/>
      <c r="Z432" s="127"/>
      <c r="AA432" s="127"/>
    </row>
    <row r="433" customFormat="false" ht="15.75" hidden="false" customHeight="false" outlineLevel="0" collapsed="false">
      <c r="A433" s="127" t="str">
        <f aca="false">IF(ISBLANK(B433),"",B433&amp;"|"&amp;C433)</f>
        <v/>
      </c>
      <c r="B433" s="127"/>
      <c r="C433" s="127"/>
      <c r="D433" s="127"/>
      <c r="E433" s="133"/>
      <c r="F433" s="127"/>
      <c r="G433" s="127"/>
      <c r="H433" s="127"/>
      <c r="I433" s="127"/>
      <c r="J433" s="127"/>
      <c r="K433" s="127"/>
      <c r="L433" s="127"/>
      <c r="M433" s="127"/>
      <c r="N433" s="127"/>
      <c r="O433" s="127"/>
      <c r="P433" s="127"/>
      <c r="Q433" s="127"/>
      <c r="R433" s="127"/>
      <c r="S433" s="127"/>
      <c r="T433" s="127"/>
      <c r="U433" s="127"/>
      <c r="V433" s="127"/>
      <c r="W433" s="127"/>
      <c r="X433" s="127"/>
      <c r="Y433" s="127"/>
      <c r="Z433" s="127"/>
      <c r="AA433" s="127"/>
    </row>
    <row r="434" customFormat="false" ht="15.75" hidden="false" customHeight="false" outlineLevel="0" collapsed="false">
      <c r="A434" s="127" t="str">
        <f aca="false">IF(ISBLANK(B434),"",B434&amp;"|"&amp;C434)</f>
        <v/>
      </c>
      <c r="B434" s="127"/>
      <c r="C434" s="127"/>
      <c r="D434" s="127"/>
      <c r="E434" s="133"/>
      <c r="F434" s="127"/>
      <c r="G434" s="127"/>
      <c r="H434" s="127"/>
      <c r="I434" s="127"/>
      <c r="J434" s="127"/>
      <c r="K434" s="127"/>
      <c r="L434" s="127"/>
      <c r="M434" s="127"/>
      <c r="N434" s="127"/>
      <c r="O434" s="127"/>
      <c r="P434" s="127"/>
      <c r="Q434" s="127"/>
      <c r="R434" s="127"/>
      <c r="S434" s="127"/>
      <c r="T434" s="127"/>
      <c r="U434" s="127"/>
      <c r="V434" s="127"/>
      <c r="W434" s="127"/>
      <c r="X434" s="127"/>
      <c r="Y434" s="127"/>
      <c r="Z434" s="127"/>
      <c r="AA434" s="127"/>
    </row>
    <row r="435" customFormat="false" ht="15.75" hidden="false" customHeight="false" outlineLevel="0" collapsed="false">
      <c r="A435" s="127" t="str">
        <f aca="false">IF(ISBLANK(B435),"",B435&amp;"|"&amp;C435)</f>
        <v/>
      </c>
      <c r="B435" s="127"/>
      <c r="C435" s="127"/>
      <c r="D435" s="127"/>
      <c r="E435" s="133"/>
      <c r="F435" s="127"/>
      <c r="G435" s="127"/>
      <c r="H435" s="127"/>
      <c r="I435" s="127"/>
      <c r="J435" s="127"/>
      <c r="K435" s="127"/>
      <c r="L435" s="127"/>
      <c r="M435" s="127"/>
      <c r="N435" s="127"/>
      <c r="O435" s="127"/>
      <c r="P435" s="127"/>
      <c r="Q435" s="127"/>
      <c r="R435" s="127"/>
      <c r="S435" s="127"/>
      <c r="T435" s="127"/>
      <c r="U435" s="127"/>
      <c r="V435" s="127"/>
      <c r="W435" s="127"/>
      <c r="X435" s="127"/>
      <c r="Y435" s="127"/>
      <c r="Z435" s="127"/>
      <c r="AA435" s="127"/>
    </row>
    <row r="436" customFormat="false" ht="15.75" hidden="false" customHeight="false" outlineLevel="0" collapsed="false">
      <c r="A436" s="127" t="str">
        <f aca="false">IF(ISBLANK(B436),"",B436&amp;"|"&amp;C436)</f>
        <v/>
      </c>
      <c r="B436" s="127"/>
      <c r="C436" s="127"/>
      <c r="D436" s="127"/>
      <c r="E436" s="133"/>
      <c r="F436" s="127"/>
      <c r="G436" s="127"/>
      <c r="H436" s="127"/>
      <c r="I436" s="127"/>
      <c r="J436" s="127"/>
      <c r="K436" s="127"/>
      <c r="L436" s="127"/>
      <c r="M436" s="127"/>
      <c r="N436" s="127"/>
      <c r="O436" s="127"/>
      <c r="P436" s="127"/>
      <c r="Q436" s="127"/>
      <c r="R436" s="127"/>
      <c r="S436" s="127"/>
      <c r="T436" s="127"/>
      <c r="U436" s="127"/>
      <c r="V436" s="127"/>
      <c r="W436" s="127"/>
      <c r="X436" s="127"/>
      <c r="Y436" s="127"/>
      <c r="Z436" s="127"/>
      <c r="AA436" s="127"/>
    </row>
    <row r="437" customFormat="false" ht="15.75" hidden="false" customHeight="false" outlineLevel="0" collapsed="false">
      <c r="A437" s="127" t="str">
        <f aca="false">IF(ISBLANK(B437),"",B437&amp;"|"&amp;C437)</f>
        <v/>
      </c>
      <c r="B437" s="127"/>
      <c r="C437" s="127"/>
      <c r="D437" s="127"/>
      <c r="E437" s="133"/>
      <c r="F437" s="127"/>
      <c r="G437" s="127"/>
      <c r="H437" s="127"/>
      <c r="I437" s="127"/>
      <c r="J437" s="127"/>
      <c r="K437" s="127"/>
      <c r="L437" s="127"/>
      <c r="M437" s="127"/>
      <c r="N437" s="127"/>
      <c r="O437" s="127"/>
      <c r="P437" s="127"/>
      <c r="Q437" s="127"/>
      <c r="R437" s="127"/>
      <c r="S437" s="127"/>
      <c r="T437" s="127"/>
      <c r="U437" s="127"/>
      <c r="V437" s="127"/>
      <c r="W437" s="127"/>
      <c r="X437" s="127"/>
      <c r="Y437" s="127"/>
      <c r="Z437" s="127"/>
      <c r="AA437" s="127"/>
    </row>
    <row r="438" customFormat="false" ht="15.75" hidden="false" customHeight="false" outlineLevel="0" collapsed="false">
      <c r="A438" s="127" t="str">
        <f aca="false">IF(ISBLANK(B438),"",B438&amp;"|"&amp;C438)</f>
        <v/>
      </c>
      <c r="B438" s="127"/>
      <c r="C438" s="127"/>
      <c r="D438" s="127"/>
      <c r="E438" s="133"/>
      <c r="F438" s="127"/>
      <c r="G438" s="127"/>
      <c r="H438" s="127"/>
      <c r="I438" s="127"/>
      <c r="J438" s="127"/>
      <c r="K438" s="127"/>
      <c r="L438" s="127"/>
      <c r="M438" s="127"/>
      <c r="N438" s="127"/>
      <c r="O438" s="127"/>
      <c r="P438" s="127"/>
      <c r="Q438" s="127"/>
      <c r="R438" s="127"/>
      <c r="S438" s="127"/>
      <c r="T438" s="127"/>
      <c r="U438" s="127"/>
      <c r="V438" s="127"/>
      <c r="W438" s="127"/>
      <c r="X438" s="127"/>
      <c r="Y438" s="127"/>
      <c r="Z438" s="127"/>
      <c r="AA438" s="127"/>
    </row>
    <row r="439" customFormat="false" ht="15.75" hidden="false" customHeight="false" outlineLevel="0" collapsed="false">
      <c r="A439" s="127" t="str">
        <f aca="false">IF(ISBLANK(B439),"",B439&amp;"|"&amp;C439)</f>
        <v/>
      </c>
      <c r="B439" s="127"/>
      <c r="C439" s="127"/>
      <c r="D439" s="127"/>
      <c r="E439" s="133"/>
      <c r="F439" s="127"/>
      <c r="G439" s="127"/>
      <c r="H439" s="127"/>
      <c r="I439" s="127"/>
      <c r="J439" s="127"/>
      <c r="K439" s="127"/>
      <c r="L439" s="127"/>
      <c r="M439" s="127"/>
      <c r="N439" s="127"/>
      <c r="O439" s="127"/>
      <c r="P439" s="127"/>
      <c r="Q439" s="127"/>
      <c r="R439" s="127"/>
      <c r="S439" s="127"/>
      <c r="T439" s="127"/>
      <c r="U439" s="127"/>
      <c r="V439" s="127"/>
      <c r="W439" s="127"/>
      <c r="X439" s="127"/>
      <c r="Y439" s="127"/>
      <c r="Z439" s="127"/>
      <c r="AA439" s="127"/>
    </row>
    <row r="440" customFormat="false" ht="15.75" hidden="false" customHeight="false" outlineLevel="0" collapsed="false">
      <c r="A440" s="127" t="str">
        <f aca="false">IF(ISBLANK(B440),"",B440&amp;"|"&amp;C440)</f>
        <v/>
      </c>
      <c r="B440" s="127"/>
      <c r="C440" s="127"/>
      <c r="D440" s="127"/>
      <c r="E440" s="133"/>
      <c r="F440" s="127"/>
      <c r="G440" s="127"/>
      <c r="H440" s="127"/>
      <c r="I440" s="127"/>
      <c r="J440" s="127"/>
      <c r="K440" s="127"/>
      <c r="L440" s="127"/>
      <c r="M440" s="127"/>
      <c r="N440" s="127"/>
      <c r="O440" s="127"/>
      <c r="P440" s="127"/>
      <c r="Q440" s="127"/>
      <c r="R440" s="127"/>
      <c r="S440" s="127"/>
      <c r="T440" s="127"/>
      <c r="U440" s="127"/>
      <c r="V440" s="127"/>
      <c r="W440" s="127"/>
      <c r="X440" s="127"/>
      <c r="Y440" s="127"/>
      <c r="Z440" s="127"/>
      <c r="AA440" s="127"/>
    </row>
    <row r="441" customFormat="false" ht="15.75" hidden="false" customHeight="false" outlineLevel="0" collapsed="false">
      <c r="A441" s="127" t="str">
        <f aca="false">IF(ISBLANK(B441),"",B441&amp;"|"&amp;C441)</f>
        <v/>
      </c>
      <c r="B441" s="127"/>
      <c r="C441" s="127"/>
      <c r="D441" s="127"/>
      <c r="E441" s="133"/>
      <c r="F441" s="127"/>
      <c r="G441" s="127"/>
      <c r="H441" s="127"/>
      <c r="I441" s="127"/>
      <c r="J441" s="127"/>
      <c r="K441" s="127"/>
      <c r="L441" s="127"/>
      <c r="M441" s="127"/>
      <c r="N441" s="127"/>
      <c r="O441" s="127"/>
      <c r="P441" s="127"/>
      <c r="Q441" s="127"/>
      <c r="R441" s="127"/>
      <c r="S441" s="127"/>
      <c r="T441" s="127"/>
      <c r="U441" s="127"/>
      <c r="V441" s="127"/>
      <c r="W441" s="127"/>
      <c r="X441" s="127"/>
      <c r="Y441" s="127"/>
      <c r="Z441" s="127"/>
      <c r="AA441" s="127"/>
    </row>
    <row r="442" customFormat="false" ht="15.75" hidden="false" customHeight="false" outlineLevel="0" collapsed="false">
      <c r="A442" s="127" t="str">
        <f aca="false">IF(ISBLANK(B442),"",B442&amp;"|"&amp;C442)</f>
        <v/>
      </c>
      <c r="B442" s="127"/>
      <c r="C442" s="127"/>
      <c r="D442" s="127"/>
      <c r="E442" s="133"/>
      <c r="F442" s="127"/>
      <c r="G442" s="127"/>
      <c r="H442" s="127"/>
      <c r="I442" s="127"/>
      <c r="J442" s="127"/>
      <c r="K442" s="127"/>
      <c r="L442" s="127"/>
      <c r="M442" s="127"/>
      <c r="N442" s="127"/>
      <c r="O442" s="127"/>
      <c r="P442" s="127"/>
      <c r="Q442" s="127"/>
      <c r="R442" s="127"/>
      <c r="S442" s="127"/>
      <c r="T442" s="127"/>
      <c r="U442" s="127"/>
      <c r="V442" s="127"/>
      <c r="W442" s="127"/>
      <c r="X442" s="127"/>
      <c r="Y442" s="127"/>
      <c r="Z442" s="127"/>
      <c r="AA442" s="127"/>
    </row>
    <row r="443" customFormat="false" ht="15.75" hidden="false" customHeight="false" outlineLevel="0" collapsed="false">
      <c r="A443" s="127" t="str">
        <f aca="false">IF(ISBLANK(B443),"",B443&amp;"|"&amp;C443)</f>
        <v/>
      </c>
      <c r="B443" s="127"/>
      <c r="C443" s="127"/>
      <c r="D443" s="127"/>
      <c r="E443" s="133"/>
      <c r="F443" s="127"/>
      <c r="G443" s="127"/>
      <c r="H443" s="127"/>
      <c r="I443" s="127"/>
      <c r="J443" s="127"/>
      <c r="K443" s="127"/>
      <c r="L443" s="127"/>
      <c r="M443" s="127"/>
      <c r="N443" s="127"/>
      <c r="O443" s="127"/>
      <c r="P443" s="127"/>
      <c r="Q443" s="127"/>
      <c r="R443" s="127"/>
      <c r="S443" s="127"/>
      <c r="T443" s="127"/>
      <c r="U443" s="127"/>
      <c r="V443" s="127"/>
      <c r="W443" s="127"/>
      <c r="X443" s="127"/>
      <c r="Y443" s="127"/>
      <c r="Z443" s="127"/>
      <c r="AA443" s="127"/>
    </row>
    <row r="444" customFormat="false" ht="15.75" hidden="false" customHeight="false" outlineLevel="0" collapsed="false">
      <c r="A444" s="127" t="str">
        <f aca="false">IF(ISBLANK(B444),"",B444&amp;"|"&amp;C444)</f>
        <v/>
      </c>
      <c r="B444" s="127"/>
      <c r="C444" s="127"/>
      <c r="D444" s="127"/>
      <c r="E444" s="133"/>
      <c r="F444" s="127"/>
      <c r="G444" s="127"/>
      <c r="H444" s="127"/>
      <c r="I444" s="127"/>
      <c r="J444" s="127"/>
      <c r="K444" s="127"/>
      <c r="L444" s="127"/>
      <c r="M444" s="127"/>
      <c r="N444" s="127"/>
      <c r="O444" s="127"/>
      <c r="P444" s="127"/>
      <c r="Q444" s="127"/>
      <c r="R444" s="127"/>
      <c r="S444" s="127"/>
      <c r="T444" s="127"/>
      <c r="U444" s="127"/>
      <c r="V444" s="127"/>
      <c r="W444" s="127"/>
      <c r="X444" s="127"/>
      <c r="Y444" s="127"/>
      <c r="Z444" s="127"/>
      <c r="AA444" s="127"/>
    </row>
    <row r="445" customFormat="false" ht="15.75" hidden="false" customHeight="false" outlineLevel="0" collapsed="false">
      <c r="A445" s="127" t="str">
        <f aca="false">IF(ISBLANK(B445),"",B445&amp;"|"&amp;C445)</f>
        <v/>
      </c>
      <c r="B445" s="127"/>
      <c r="C445" s="127"/>
      <c r="D445" s="127"/>
      <c r="E445" s="133"/>
      <c r="F445" s="127"/>
      <c r="G445" s="127"/>
      <c r="H445" s="127"/>
      <c r="I445" s="127"/>
      <c r="J445" s="127"/>
      <c r="K445" s="127"/>
      <c r="L445" s="127"/>
      <c r="M445" s="127"/>
      <c r="N445" s="127"/>
      <c r="O445" s="127"/>
      <c r="P445" s="127"/>
      <c r="Q445" s="127"/>
      <c r="R445" s="127"/>
      <c r="S445" s="127"/>
      <c r="T445" s="127"/>
      <c r="U445" s="127"/>
      <c r="V445" s="127"/>
      <c r="W445" s="127"/>
      <c r="X445" s="127"/>
      <c r="Y445" s="127"/>
      <c r="Z445" s="127"/>
      <c r="AA445" s="127"/>
    </row>
    <row r="446" customFormat="false" ht="15.75" hidden="false" customHeight="false" outlineLevel="0" collapsed="false">
      <c r="A446" s="127" t="str">
        <f aca="false">IF(ISBLANK(B446),"",B446&amp;"|"&amp;C446)</f>
        <v/>
      </c>
      <c r="B446" s="127"/>
      <c r="C446" s="127"/>
      <c r="D446" s="127"/>
      <c r="E446" s="133"/>
      <c r="F446" s="127"/>
      <c r="G446" s="127"/>
      <c r="H446" s="127"/>
      <c r="I446" s="127"/>
      <c r="J446" s="127"/>
      <c r="K446" s="127"/>
      <c r="L446" s="127"/>
      <c r="M446" s="127"/>
      <c r="N446" s="127"/>
      <c r="O446" s="127"/>
      <c r="P446" s="127"/>
      <c r="Q446" s="127"/>
      <c r="R446" s="127"/>
      <c r="S446" s="127"/>
      <c r="T446" s="127"/>
      <c r="U446" s="127"/>
      <c r="V446" s="127"/>
      <c r="W446" s="127"/>
      <c r="X446" s="127"/>
      <c r="Y446" s="127"/>
      <c r="Z446" s="127"/>
      <c r="AA446" s="127"/>
    </row>
    <row r="447" customFormat="false" ht="15.75" hidden="false" customHeight="false" outlineLevel="0" collapsed="false">
      <c r="A447" s="127" t="str">
        <f aca="false">IF(ISBLANK(B447),"",B447&amp;"|"&amp;C447)</f>
        <v/>
      </c>
      <c r="B447" s="127"/>
      <c r="C447" s="127"/>
      <c r="D447" s="127"/>
      <c r="E447" s="133"/>
      <c r="F447" s="127"/>
      <c r="G447" s="127"/>
      <c r="H447" s="127"/>
      <c r="I447" s="127"/>
      <c r="J447" s="127"/>
      <c r="K447" s="127"/>
      <c r="L447" s="127"/>
      <c r="M447" s="127"/>
      <c r="N447" s="127"/>
      <c r="O447" s="127"/>
      <c r="P447" s="127"/>
      <c r="Q447" s="127"/>
      <c r="R447" s="127"/>
      <c r="S447" s="127"/>
      <c r="T447" s="127"/>
      <c r="U447" s="127"/>
      <c r="V447" s="127"/>
      <c r="W447" s="127"/>
      <c r="X447" s="127"/>
      <c r="Y447" s="127"/>
      <c r="Z447" s="127"/>
      <c r="AA447" s="127"/>
    </row>
    <row r="448" customFormat="false" ht="15.75" hidden="false" customHeight="false" outlineLevel="0" collapsed="false">
      <c r="A448" s="127" t="str">
        <f aca="false">IF(ISBLANK(B448),"",B448&amp;"|"&amp;C448)</f>
        <v/>
      </c>
      <c r="B448" s="127"/>
      <c r="C448" s="127"/>
      <c r="D448" s="127"/>
      <c r="E448" s="133"/>
      <c r="F448" s="127"/>
      <c r="G448" s="127"/>
      <c r="H448" s="127"/>
      <c r="I448" s="127"/>
      <c r="J448" s="127"/>
      <c r="K448" s="127"/>
      <c r="L448" s="127"/>
      <c r="M448" s="127"/>
      <c r="N448" s="127"/>
      <c r="O448" s="127"/>
      <c r="P448" s="127"/>
      <c r="Q448" s="127"/>
      <c r="R448" s="127"/>
      <c r="S448" s="127"/>
      <c r="T448" s="127"/>
      <c r="U448" s="127"/>
      <c r="V448" s="127"/>
      <c r="W448" s="127"/>
      <c r="X448" s="127"/>
      <c r="Y448" s="127"/>
      <c r="Z448" s="127"/>
      <c r="AA448" s="127"/>
    </row>
    <row r="449" customFormat="false" ht="15.75" hidden="false" customHeight="false" outlineLevel="0" collapsed="false">
      <c r="A449" s="127" t="str">
        <f aca="false">IF(ISBLANK(B449),"",B449&amp;"|"&amp;C449)</f>
        <v/>
      </c>
      <c r="B449" s="127"/>
      <c r="C449" s="127"/>
      <c r="D449" s="127"/>
      <c r="E449" s="133"/>
      <c r="F449" s="127"/>
      <c r="G449" s="127"/>
      <c r="H449" s="127"/>
      <c r="I449" s="127"/>
      <c r="J449" s="127"/>
      <c r="K449" s="127"/>
      <c r="L449" s="127"/>
      <c r="M449" s="127"/>
      <c r="N449" s="127"/>
      <c r="O449" s="127"/>
      <c r="P449" s="127"/>
      <c r="Q449" s="127"/>
      <c r="R449" s="127"/>
      <c r="S449" s="127"/>
      <c r="T449" s="127"/>
      <c r="U449" s="127"/>
      <c r="V449" s="127"/>
      <c r="W449" s="127"/>
      <c r="X449" s="127"/>
      <c r="Y449" s="127"/>
      <c r="Z449" s="127"/>
      <c r="AA449" s="127"/>
    </row>
    <row r="450" customFormat="false" ht="15.75" hidden="false" customHeight="false" outlineLevel="0" collapsed="false">
      <c r="A450" s="127" t="str">
        <f aca="false">IF(ISBLANK(B450),"",B450&amp;"|"&amp;C450)</f>
        <v/>
      </c>
      <c r="B450" s="127"/>
      <c r="C450" s="127"/>
      <c r="D450" s="127"/>
      <c r="E450" s="133"/>
      <c r="F450" s="127"/>
      <c r="G450" s="127"/>
      <c r="H450" s="127"/>
      <c r="I450" s="127"/>
      <c r="J450" s="127"/>
      <c r="K450" s="127"/>
      <c r="L450" s="127"/>
      <c r="M450" s="127"/>
      <c r="N450" s="127"/>
      <c r="O450" s="127"/>
      <c r="P450" s="127"/>
      <c r="Q450" s="127"/>
      <c r="R450" s="127"/>
      <c r="S450" s="127"/>
      <c r="T450" s="127"/>
      <c r="U450" s="127"/>
      <c r="V450" s="127"/>
      <c r="W450" s="127"/>
      <c r="X450" s="127"/>
      <c r="Y450" s="127"/>
      <c r="Z450" s="127"/>
      <c r="AA450" s="127"/>
    </row>
    <row r="451" customFormat="false" ht="15.75" hidden="false" customHeight="false" outlineLevel="0" collapsed="false">
      <c r="A451" s="127" t="str">
        <f aca="false">IF(ISBLANK(B451),"",B451&amp;"|"&amp;C451)</f>
        <v/>
      </c>
      <c r="B451" s="127"/>
      <c r="C451" s="127"/>
      <c r="D451" s="127"/>
      <c r="E451" s="133"/>
      <c r="F451" s="127"/>
      <c r="G451" s="127"/>
      <c r="H451" s="127"/>
      <c r="I451" s="127"/>
      <c r="J451" s="127"/>
      <c r="K451" s="127"/>
      <c r="L451" s="127"/>
      <c r="M451" s="127"/>
      <c r="N451" s="127"/>
      <c r="O451" s="127"/>
      <c r="P451" s="127"/>
      <c r="Q451" s="127"/>
      <c r="R451" s="127"/>
      <c r="S451" s="127"/>
      <c r="T451" s="127"/>
      <c r="U451" s="127"/>
      <c r="V451" s="127"/>
      <c r="W451" s="127"/>
      <c r="X451" s="127"/>
      <c r="Y451" s="127"/>
      <c r="Z451" s="127"/>
      <c r="AA451" s="127"/>
    </row>
    <row r="452" customFormat="false" ht="15.75" hidden="false" customHeight="false" outlineLevel="0" collapsed="false">
      <c r="A452" s="127" t="str">
        <f aca="false">IF(ISBLANK(B452),"",B452&amp;"|"&amp;C452)</f>
        <v/>
      </c>
      <c r="B452" s="127"/>
      <c r="C452" s="127"/>
      <c r="D452" s="127"/>
      <c r="E452" s="133"/>
      <c r="F452" s="127"/>
      <c r="G452" s="127"/>
      <c r="H452" s="127"/>
      <c r="I452" s="127"/>
      <c r="J452" s="127"/>
      <c r="K452" s="127"/>
      <c r="L452" s="127"/>
      <c r="M452" s="127"/>
      <c r="N452" s="127"/>
      <c r="O452" s="127"/>
      <c r="P452" s="127"/>
      <c r="Q452" s="127"/>
      <c r="R452" s="127"/>
      <c r="S452" s="127"/>
      <c r="T452" s="127"/>
      <c r="U452" s="127"/>
      <c r="V452" s="127"/>
      <c r="W452" s="127"/>
      <c r="X452" s="127"/>
      <c r="Y452" s="127"/>
      <c r="Z452" s="127"/>
      <c r="AA452" s="127"/>
    </row>
    <row r="453" customFormat="false" ht="15.75" hidden="false" customHeight="false" outlineLevel="0" collapsed="false">
      <c r="A453" s="127" t="str">
        <f aca="false">IF(ISBLANK(B453),"",B453&amp;"|"&amp;C453)</f>
        <v/>
      </c>
      <c r="B453" s="127"/>
      <c r="C453" s="127"/>
      <c r="D453" s="127"/>
      <c r="E453" s="133"/>
      <c r="F453" s="127"/>
      <c r="G453" s="127"/>
      <c r="H453" s="127"/>
      <c r="I453" s="127"/>
      <c r="J453" s="127"/>
      <c r="K453" s="127"/>
      <c r="L453" s="127"/>
      <c r="M453" s="127"/>
      <c r="N453" s="127"/>
      <c r="O453" s="127"/>
      <c r="P453" s="127"/>
      <c r="Q453" s="127"/>
      <c r="R453" s="127"/>
      <c r="S453" s="127"/>
      <c r="T453" s="127"/>
      <c r="U453" s="127"/>
      <c r="V453" s="127"/>
      <c r="W453" s="127"/>
      <c r="X453" s="127"/>
      <c r="Y453" s="127"/>
      <c r="Z453" s="127"/>
      <c r="AA453" s="127"/>
    </row>
    <row r="454" customFormat="false" ht="15.75" hidden="false" customHeight="false" outlineLevel="0" collapsed="false">
      <c r="A454" s="127" t="str">
        <f aca="false">IF(ISBLANK(B454),"",B454&amp;"|"&amp;C454)</f>
        <v/>
      </c>
      <c r="B454" s="127"/>
      <c r="C454" s="127"/>
      <c r="D454" s="127"/>
      <c r="E454" s="133"/>
      <c r="F454" s="127"/>
      <c r="G454" s="127"/>
      <c r="H454" s="127"/>
      <c r="I454" s="127"/>
      <c r="J454" s="127"/>
      <c r="K454" s="127"/>
      <c r="L454" s="127"/>
      <c r="M454" s="127"/>
      <c r="N454" s="127"/>
      <c r="O454" s="127"/>
      <c r="P454" s="127"/>
      <c r="Q454" s="127"/>
      <c r="R454" s="127"/>
      <c r="S454" s="127"/>
      <c r="T454" s="127"/>
      <c r="U454" s="127"/>
      <c r="V454" s="127"/>
      <c r="W454" s="127"/>
      <c r="X454" s="127"/>
      <c r="Y454" s="127"/>
      <c r="Z454" s="127"/>
      <c r="AA454" s="127"/>
    </row>
    <row r="455" customFormat="false" ht="15.75" hidden="false" customHeight="false" outlineLevel="0" collapsed="false">
      <c r="A455" s="127" t="str">
        <f aca="false">IF(ISBLANK(B455),"",B455&amp;"|"&amp;C455)</f>
        <v/>
      </c>
      <c r="B455" s="127"/>
      <c r="C455" s="127"/>
      <c r="D455" s="127"/>
      <c r="E455" s="133"/>
      <c r="F455" s="127"/>
      <c r="G455" s="127"/>
      <c r="H455" s="127"/>
      <c r="I455" s="127"/>
      <c r="J455" s="127"/>
      <c r="K455" s="127"/>
      <c r="L455" s="127"/>
      <c r="M455" s="127"/>
      <c r="N455" s="127"/>
      <c r="O455" s="127"/>
      <c r="P455" s="127"/>
      <c r="Q455" s="127"/>
      <c r="R455" s="127"/>
      <c r="S455" s="127"/>
      <c r="T455" s="127"/>
      <c r="U455" s="127"/>
      <c r="V455" s="127"/>
      <c r="W455" s="127"/>
      <c r="X455" s="127"/>
      <c r="Y455" s="127"/>
      <c r="Z455" s="127"/>
      <c r="AA455" s="127"/>
    </row>
    <row r="456" customFormat="false" ht="15.75" hidden="false" customHeight="false" outlineLevel="0" collapsed="false">
      <c r="A456" s="127" t="str">
        <f aca="false">IF(ISBLANK(B456),"",B456&amp;"|"&amp;C456)</f>
        <v/>
      </c>
      <c r="B456" s="127"/>
      <c r="C456" s="127"/>
      <c r="D456" s="127"/>
      <c r="E456" s="133"/>
      <c r="F456" s="127"/>
      <c r="G456" s="127"/>
      <c r="H456" s="127"/>
      <c r="I456" s="127"/>
      <c r="J456" s="127"/>
      <c r="K456" s="127"/>
      <c r="L456" s="127"/>
      <c r="M456" s="127"/>
      <c r="N456" s="127"/>
      <c r="O456" s="127"/>
      <c r="P456" s="127"/>
      <c r="Q456" s="127"/>
      <c r="R456" s="127"/>
      <c r="S456" s="127"/>
      <c r="T456" s="127"/>
      <c r="U456" s="127"/>
      <c r="V456" s="127"/>
      <c r="W456" s="127"/>
      <c r="X456" s="127"/>
      <c r="Y456" s="127"/>
      <c r="Z456" s="127"/>
      <c r="AA456" s="127"/>
    </row>
    <row r="457" customFormat="false" ht="15.75" hidden="false" customHeight="false" outlineLevel="0" collapsed="false">
      <c r="A457" s="127" t="str">
        <f aca="false">IF(ISBLANK(B457),"",B457&amp;"|"&amp;C457)</f>
        <v/>
      </c>
      <c r="B457" s="127"/>
      <c r="C457" s="127"/>
      <c r="D457" s="127"/>
      <c r="E457" s="133"/>
      <c r="F457" s="127"/>
      <c r="G457" s="127"/>
      <c r="H457" s="127"/>
      <c r="I457" s="127"/>
      <c r="J457" s="127"/>
      <c r="K457" s="127"/>
      <c r="L457" s="127"/>
      <c r="M457" s="127"/>
      <c r="N457" s="127"/>
      <c r="O457" s="127"/>
      <c r="P457" s="127"/>
      <c r="Q457" s="127"/>
      <c r="R457" s="127"/>
      <c r="S457" s="127"/>
      <c r="T457" s="127"/>
      <c r="U457" s="127"/>
      <c r="V457" s="127"/>
      <c r="W457" s="127"/>
      <c r="X457" s="127"/>
      <c r="Y457" s="127"/>
      <c r="Z457" s="127"/>
      <c r="AA457" s="127"/>
    </row>
    <row r="458" customFormat="false" ht="15.75" hidden="false" customHeight="false" outlineLevel="0" collapsed="false">
      <c r="A458" s="127" t="str">
        <f aca="false">IF(ISBLANK(B458),"",B458&amp;"|"&amp;C458)</f>
        <v/>
      </c>
      <c r="B458" s="127"/>
      <c r="C458" s="127"/>
      <c r="D458" s="127"/>
      <c r="E458" s="133"/>
      <c r="F458" s="127"/>
      <c r="G458" s="127"/>
      <c r="H458" s="127"/>
      <c r="I458" s="127"/>
      <c r="J458" s="127"/>
      <c r="K458" s="127"/>
      <c r="L458" s="127"/>
      <c r="M458" s="127"/>
      <c r="N458" s="127"/>
      <c r="O458" s="127"/>
      <c r="P458" s="127"/>
      <c r="Q458" s="127"/>
      <c r="R458" s="127"/>
      <c r="S458" s="127"/>
      <c r="T458" s="127"/>
      <c r="U458" s="127"/>
      <c r="V458" s="127"/>
      <c r="W458" s="127"/>
      <c r="X458" s="127"/>
      <c r="Y458" s="127"/>
      <c r="Z458" s="127"/>
      <c r="AA458" s="127"/>
    </row>
    <row r="459" customFormat="false" ht="15.75" hidden="false" customHeight="false" outlineLevel="0" collapsed="false">
      <c r="A459" s="127" t="str">
        <f aca="false">IF(ISBLANK(B459),"",B459&amp;"|"&amp;C459)</f>
        <v/>
      </c>
      <c r="B459" s="127"/>
      <c r="C459" s="127"/>
      <c r="D459" s="127"/>
      <c r="E459" s="133"/>
      <c r="F459" s="127"/>
      <c r="G459" s="127"/>
      <c r="H459" s="127"/>
      <c r="I459" s="127"/>
      <c r="J459" s="127"/>
      <c r="K459" s="127"/>
      <c r="L459" s="127"/>
      <c r="M459" s="127"/>
      <c r="N459" s="127"/>
      <c r="O459" s="127"/>
      <c r="P459" s="127"/>
      <c r="Q459" s="127"/>
      <c r="R459" s="127"/>
      <c r="S459" s="127"/>
      <c r="T459" s="127"/>
      <c r="U459" s="127"/>
      <c r="V459" s="127"/>
      <c r="W459" s="127"/>
      <c r="X459" s="127"/>
      <c r="Y459" s="127"/>
      <c r="Z459" s="127"/>
      <c r="AA459" s="127"/>
    </row>
    <row r="460" customFormat="false" ht="15.75" hidden="false" customHeight="false" outlineLevel="0" collapsed="false">
      <c r="A460" s="127" t="str">
        <f aca="false">IF(ISBLANK(B460),"",B460&amp;"|"&amp;C460)</f>
        <v/>
      </c>
      <c r="B460" s="127"/>
      <c r="C460" s="127"/>
      <c r="D460" s="127"/>
      <c r="E460" s="133"/>
      <c r="F460" s="127"/>
      <c r="G460" s="127"/>
      <c r="H460" s="127"/>
      <c r="I460" s="127"/>
      <c r="J460" s="127"/>
      <c r="K460" s="127"/>
      <c r="L460" s="127"/>
      <c r="M460" s="127"/>
      <c r="N460" s="127"/>
      <c r="O460" s="127"/>
      <c r="P460" s="127"/>
      <c r="Q460" s="127"/>
      <c r="R460" s="127"/>
      <c r="S460" s="127"/>
      <c r="T460" s="127"/>
      <c r="U460" s="127"/>
      <c r="V460" s="127"/>
      <c r="W460" s="127"/>
      <c r="X460" s="127"/>
      <c r="Y460" s="127"/>
      <c r="Z460" s="127"/>
      <c r="AA460" s="127"/>
    </row>
    <row r="461" customFormat="false" ht="15.75" hidden="false" customHeight="false" outlineLevel="0" collapsed="false">
      <c r="A461" s="127" t="str">
        <f aca="false">IF(ISBLANK(B461),"",B461&amp;"|"&amp;C461)</f>
        <v/>
      </c>
      <c r="B461" s="127"/>
      <c r="C461" s="127"/>
      <c r="D461" s="127"/>
      <c r="E461" s="133"/>
      <c r="F461" s="127"/>
      <c r="G461" s="127"/>
      <c r="H461" s="127"/>
      <c r="I461" s="127"/>
      <c r="J461" s="127"/>
      <c r="K461" s="127"/>
      <c r="L461" s="127"/>
      <c r="M461" s="127"/>
      <c r="N461" s="127"/>
      <c r="O461" s="127"/>
      <c r="P461" s="127"/>
      <c r="Q461" s="127"/>
      <c r="R461" s="127"/>
      <c r="S461" s="127"/>
      <c r="T461" s="127"/>
      <c r="U461" s="127"/>
      <c r="V461" s="127"/>
      <c r="W461" s="127"/>
      <c r="X461" s="127"/>
      <c r="Y461" s="127"/>
      <c r="Z461" s="127"/>
      <c r="AA461" s="127"/>
    </row>
    <row r="462" customFormat="false" ht="15.75" hidden="false" customHeight="false" outlineLevel="0" collapsed="false">
      <c r="A462" s="127" t="str">
        <f aca="false">IF(ISBLANK(B462),"",B462&amp;"|"&amp;C462)</f>
        <v/>
      </c>
      <c r="B462" s="127"/>
      <c r="C462" s="127"/>
      <c r="D462" s="127"/>
      <c r="E462" s="133"/>
      <c r="F462" s="127"/>
      <c r="G462" s="127"/>
      <c r="H462" s="127"/>
      <c r="I462" s="127"/>
      <c r="J462" s="127"/>
      <c r="K462" s="127"/>
      <c r="L462" s="127"/>
      <c r="M462" s="127"/>
      <c r="N462" s="127"/>
      <c r="O462" s="127"/>
      <c r="P462" s="127"/>
      <c r="Q462" s="127"/>
      <c r="R462" s="127"/>
      <c r="S462" s="127"/>
      <c r="T462" s="127"/>
      <c r="U462" s="127"/>
      <c r="V462" s="127"/>
      <c r="W462" s="127"/>
      <c r="X462" s="127"/>
      <c r="Y462" s="127"/>
      <c r="Z462" s="127"/>
      <c r="AA462" s="127"/>
    </row>
    <row r="463" customFormat="false" ht="15.75" hidden="false" customHeight="false" outlineLevel="0" collapsed="false">
      <c r="A463" s="127" t="str">
        <f aca="false">IF(ISBLANK(B463),"",B463&amp;"|"&amp;C463)</f>
        <v/>
      </c>
      <c r="B463" s="127"/>
      <c r="C463" s="127"/>
      <c r="D463" s="127"/>
      <c r="E463" s="133"/>
      <c r="F463" s="127"/>
      <c r="G463" s="127"/>
      <c r="H463" s="127"/>
      <c r="I463" s="127"/>
      <c r="J463" s="127"/>
      <c r="K463" s="127"/>
      <c r="L463" s="127"/>
      <c r="M463" s="127"/>
      <c r="N463" s="127"/>
      <c r="O463" s="127"/>
      <c r="P463" s="127"/>
      <c r="Q463" s="127"/>
      <c r="R463" s="127"/>
      <c r="S463" s="127"/>
      <c r="T463" s="127"/>
      <c r="U463" s="127"/>
      <c r="V463" s="127"/>
      <c r="W463" s="127"/>
      <c r="X463" s="127"/>
      <c r="Y463" s="127"/>
      <c r="Z463" s="127"/>
      <c r="AA463" s="127"/>
    </row>
    <row r="464" customFormat="false" ht="15.75" hidden="false" customHeight="false" outlineLevel="0" collapsed="false">
      <c r="A464" s="127" t="str">
        <f aca="false">IF(ISBLANK(B464),"",B464&amp;"|"&amp;C464)</f>
        <v/>
      </c>
      <c r="B464" s="127"/>
      <c r="C464" s="127"/>
      <c r="D464" s="127"/>
      <c r="E464" s="133"/>
      <c r="F464" s="127"/>
      <c r="G464" s="127"/>
      <c r="H464" s="127"/>
      <c r="I464" s="127"/>
      <c r="J464" s="127"/>
      <c r="K464" s="127"/>
      <c r="L464" s="127"/>
      <c r="M464" s="127"/>
      <c r="N464" s="127"/>
      <c r="O464" s="127"/>
      <c r="P464" s="127"/>
      <c r="Q464" s="127"/>
      <c r="R464" s="127"/>
      <c r="S464" s="127"/>
      <c r="T464" s="127"/>
      <c r="U464" s="127"/>
      <c r="V464" s="127"/>
      <c r="W464" s="127"/>
      <c r="X464" s="127"/>
      <c r="Y464" s="127"/>
      <c r="Z464" s="127"/>
      <c r="AA464" s="127"/>
    </row>
    <row r="465" customFormat="false" ht="15.75" hidden="false" customHeight="false" outlineLevel="0" collapsed="false">
      <c r="A465" s="127" t="str">
        <f aca="false">IF(ISBLANK(B465),"",B465&amp;"|"&amp;C465)</f>
        <v/>
      </c>
      <c r="B465" s="127"/>
      <c r="C465" s="127"/>
      <c r="D465" s="127"/>
      <c r="E465" s="133"/>
      <c r="F465" s="127"/>
      <c r="G465" s="127"/>
      <c r="H465" s="127"/>
      <c r="I465" s="127"/>
      <c r="J465" s="127"/>
      <c r="K465" s="127"/>
      <c r="L465" s="127"/>
      <c r="M465" s="127"/>
      <c r="N465" s="127"/>
      <c r="O465" s="127"/>
      <c r="P465" s="127"/>
      <c r="Q465" s="127"/>
      <c r="R465" s="127"/>
      <c r="S465" s="127"/>
      <c r="T465" s="127"/>
      <c r="U465" s="127"/>
      <c r="V465" s="127"/>
      <c r="W465" s="127"/>
      <c r="X465" s="127"/>
      <c r="Y465" s="127"/>
      <c r="Z465" s="127"/>
      <c r="AA465" s="127"/>
    </row>
    <row r="466" customFormat="false" ht="15.75" hidden="false" customHeight="false" outlineLevel="0" collapsed="false">
      <c r="A466" s="127" t="str">
        <f aca="false">IF(ISBLANK(B466),"",B466&amp;"|"&amp;C466)</f>
        <v/>
      </c>
      <c r="B466" s="127"/>
      <c r="C466" s="127"/>
      <c r="D466" s="127"/>
      <c r="E466" s="133"/>
      <c r="F466" s="127"/>
      <c r="G466" s="127"/>
      <c r="H466" s="127"/>
      <c r="I466" s="127"/>
      <c r="J466" s="127"/>
      <c r="K466" s="127"/>
      <c r="L466" s="127"/>
      <c r="M466" s="127"/>
      <c r="N466" s="127"/>
      <c r="O466" s="127"/>
      <c r="P466" s="127"/>
      <c r="Q466" s="127"/>
      <c r="R466" s="127"/>
      <c r="S466" s="127"/>
      <c r="T466" s="127"/>
      <c r="U466" s="127"/>
      <c r="V466" s="127"/>
      <c r="W466" s="127"/>
      <c r="X466" s="127"/>
      <c r="Y466" s="127"/>
      <c r="Z466" s="127"/>
      <c r="AA466" s="127"/>
    </row>
    <row r="467" customFormat="false" ht="15.75" hidden="false" customHeight="false" outlineLevel="0" collapsed="false">
      <c r="A467" s="127" t="str">
        <f aca="false">IF(ISBLANK(B467),"",B467&amp;"|"&amp;C467)</f>
        <v/>
      </c>
      <c r="B467" s="127"/>
      <c r="C467" s="127"/>
      <c r="D467" s="127"/>
      <c r="E467" s="133"/>
      <c r="F467" s="127"/>
      <c r="G467" s="127"/>
      <c r="H467" s="127"/>
      <c r="I467" s="127"/>
      <c r="J467" s="127"/>
      <c r="K467" s="127"/>
      <c r="L467" s="127"/>
      <c r="M467" s="127"/>
      <c r="N467" s="127"/>
      <c r="O467" s="127"/>
      <c r="P467" s="127"/>
      <c r="Q467" s="127"/>
      <c r="R467" s="127"/>
      <c r="S467" s="127"/>
      <c r="T467" s="127"/>
      <c r="U467" s="127"/>
      <c r="V467" s="127"/>
      <c r="W467" s="127"/>
      <c r="X467" s="127"/>
      <c r="Y467" s="127"/>
      <c r="Z467" s="127"/>
      <c r="AA467" s="127"/>
    </row>
    <row r="468" customFormat="false" ht="15.75" hidden="false" customHeight="false" outlineLevel="0" collapsed="false">
      <c r="A468" s="127" t="str">
        <f aca="false">IF(ISBLANK(B468),"",B468&amp;"|"&amp;C468)</f>
        <v/>
      </c>
      <c r="B468" s="127"/>
      <c r="C468" s="127"/>
      <c r="D468" s="127"/>
      <c r="E468" s="133"/>
      <c r="F468" s="127"/>
      <c r="G468" s="127"/>
      <c r="H468" s="127"/>
      <c r="I468" s="127"/>
      <c r="J468" s="127"/>
      <c r="K468" s="127"/>
      <c r="L468" s="127"/>
      <c r="M468" s="127"/>
      <c r="N468" s="127"/>
      <c r="O468" s="127"/>
      <c r="P468" s="127"/>
      <c r="Q468" s="127"/>
      <c r="R468" s="127"/>
      <c r="S468" s="127"/>
      <c r="T468" s="127"/>
      <c r="U468" s="127"/>
      <c r="V468" s="127"/>
      <c r="W468" s="127"/>
      <c r="X468" s="127"/>
      <c r="Y468" s="127"/>
      <c r="Z468" s="127"/>
      <c r="AA468" s="127"/>
    </row>
    <row r="469" customFormat="false" ht="15.75" hidden="false" customHeight="false" outlineLevel="0" collapsed="false">
      <c r="A469" s="127" t="str">
        <f aca="false">IF(ISBLANK(B469),"",B469&amp;"|"&amp;C469)</f>
        <v/>
      </c>
      <c r="B469" s="127"/>
      <c r="C469" s="127"/>
      <c r="D469" s="127"/>
      <c r="E469" s="133"/>
      <c r="F469" s="127"/>
      <c r="G469" s="127"/>
      <c r="H469" s="127"/>
      <c r="I469" s="127"/>
      <c r="J469" s="127"/>
      <c r="K469" s="127"/>
      <c r="L469" s="127"/>
      <c r="M469" s="127"/>
      <c r="N469" s="127"/>
      <c r="O469" s="127"/>
      <c r="P469" s="127"/>
      <c r="Q469" s="127"/>
      <c r="R469" s="127"/>
      <c r="S469" s="127"/>
      <c r="T469" s="127"/>
      <c r="U469" s="127"/>
      <c r="V469" s="127"/>
      <c r="W469" s="127"/>
      <c r="X469" s="127"/>
      <c r="Y469" s="127"/>
      <c r="Z469" s="127"/>
      <c r="AA469" s="127"/>
    </row>
    <row r="470" customFormat="false" ht="15.75" hidden="false" customHeight="false" outlineLevel="0" collapsed="false">
      <c r="A470" s="127" t="str">
        <f aca="false">IF(ISBLANK(B470),"",B470&amp;"|"&amp;C470)</f>
        <v/>
      </c>
      <c r="B470" s="127"/>
      <c r="C470" s="127"/>
      <c r="D470" s="127"/>
      <c r="E470" s="133"/>
      <c r="F470" s="127"/>
      <c r="G470" s="127"/>
      <c r="H470" s="127"/>
      <c r="I470" s="127"/>
      <c r="J470" s="127"/>
      <c r="K470" s="127"/>
      <c r="L470" s="127"/>
      <c r="M470" s="127"/>
      <c r="N470" s="127"/>
      <c r="O470" s="127"/>
      <c r="P470" s="127"/>
      <c r="Q470" s="127"/>
      <c r="R470" s="127"/>
      <c r="S470" s="127"/>
      <c r="T470" s="127"/>
      <c r="U470" s="127"/>
      <c r="V470" s="127"/>
      <c r="W470" s="127"/>
      <c r="X470" s="127"/>
      <c r="Y470" s="127"/>
      <c r="Z470" s="127"/>
      <c r="AA470" s="127"/>
    </row>
    <row r="471" customFormat="false" ht="15.75" hidden="false" customHeight="false" outlineLevel="0" collapsed="false">
      <c r="A471" s="127" t="str">
        <f aca="false">IF(ISBLANK(B471),"",B471&amp;"|"&amp;C471)</f>
        <v/>
      </c>
      <c r="B471" s="127"/>
      <c r="C471" s="127"/>
      <c r="D471" s="127"/>
      <c r="E471" s="133"/>
      <c r="F471" s="127"/>
      <c r="G471" s="127"/>
      <c r="H471" s="127"/>
      <c r="I471" s="127"/>
      <c r="J471" s="127"/>
      <c r="K471" s="127"/>
      <c r="L471" s="127"/>
      <c r="M471" s="127"/>
      <c r="N471" s="127"/>
      <c r="O471" s="127"/>
      <c r="P471" s="127"/>
      <c r="Q471" s="127"/>
      <c r="R471" s="127"/>
      <c r="S471" s="127"/>
      <c r="T471" s="127"/>
      <c r="U471" s="127"/>
      <c r="V471" s="127"/>
      <c r="W471" s="127"/>
      <c r="X471" s="127"/>
      <c r="Y471" s="127"/>
      <c r="Z471" s="127"/>
      <c r="AA471" s="127"/>
    </row>
    <row r="472" customFormat="false" ht="15.75" hidden="false" customHeight="false" outlineLevel="0" collapsed="false">
      <c r="A472" s="127" t="str">
        <f aca="false">IF(ISBLANK(B472),"",B472&amp;"|"&amp;C472)</f>
        <v/>
      </c>
      <c r="B472" s="127"/>
      <c r="C472" s="127"/>
      <c r="D472" s="127"/>
      <c r="E472" s="133"/>
      <c r="F472" s="127"/>
      <c r="G472" s="127"/>
      <c r="H472" s="127"/>
      <c r="I472" s="127"/>
      <c r="J472" s="127"/>
      <c r="K472" s="127"/>
      <c r="L472" s="127"/>
      <c r="M472" s="127"/>
      <c r="N472" s="127"/>
      <c r="O472" s="127"/>
      <c r="P472" s="127"/>
      <c r="Q472" s="127"/>
      <c r="R472" s="127"/>
      <c r="S472" s="127"/>
      <c r="T472" s="127"/>
      <c r="U472" s="127"/>
      <c r="V472" s="127"/>
      <c r="W472" s="127"/>
      <c r="X472" s="127"/>
      <c r="Y472" s="127"/>
      <c r="Z472" s="127"/>
      <c r="AA472" s="127"/>
    </row>
    <row r="473" customFormat="false" ht="15.75" hidden="false" customHeight="false" outlineLevel="0" collapsed="false">
      <c r="A473" s="127" t="str">
        <f aca="false">IF(ISBLANK(B473),"",B473&amp;"|"&amp;C473)</f>
        <v/>
      </c>
      <c r="B473" s="127"/>
      <c r="C473" s="127"/>
      <c r="D473" s="127"/>
      <c r="E473" s="133"/>
      <c r="F473" s="127"/>
      <c r="G473" s="127"/>
      <c r="H473" s="127"/>
      <c r="I473" s="127"/>
      <c r="J473" s="127"/>
      <c r="K473" s="127"/>
      <c r="L473" s="127"/>
      <c r="M473" s="127"/>
      <c r="N473" s="127"/>
      <c r="O473" s="127"/>
      <c r="P473" s="127"/>
      <c r="Q473" s="127"/>
      <c r="R473" s="127"/>
      <c r="S473" s="127"/>
      <c r="T473" s="127"/>
      <c r="U473" s="127"/>
      <c r="V473" s="127"/>
      <c r="W473" s="127"/>
      <c r="X473" s="127"/>
      <c r="Y473" s="127"/>
      <c r="Z473" s="127"/>
      <c r="AA473" s="127"/>
    </row>
    <row r="474" customFormat="false" ht="15.75" hidden="false" customHeight="false" outlineLevel="0" collapsed="false">
      <c r="A474" s="127" t="str">
        <f aca="false">IF(ISBLANK(B474),"",B474&amp;"|"&amp;C474)</f>
        <v/>
      </c>
      <c r="B474" s="127"/>
      <c r="C474" s="127"/>
      <c r="D474" s="127"/>
      <c r="E474" s="133"/>
      <c r="F474" s="127"/>
      <c r="G474" s="127"/>
      <c r="H474" s="127"/>
      <c r="I474" s="127"/>
      <c r="J474" s="127"/>
      <c r="K474" s="127"/>
      <c r="L474" s="127"/>
      <c r="M474" s="127"/>
      <c r="N474" s="127"/>
      <c r="O474" s="127"/>
      <c r="P474" s="127"/>
      <c r="Q474" s="127"/>
      <c r="R474" s="127"/>
      <c r="S474" s="127"/>
      <c r="T474" s="127"/>
      <c r="U474" s="127"/>
      <c r="V474" s="127"/>
      <c r="W474" s="127"/>
      <c r="X474" s="127"/>
      <c r="Y474" s="127"/>
      <c r="Z474" s="127"/>
      <c r="AA474" s="127"/>
    </row>
    <row r="475" customFormat="false" ht="15.75" hidden="false" customHeight="false" outlineLevel="0" collapsed="false">
      <c r="A475" s="127" t="str">
        <f aca="false">IF(ISBLANK(B475),"",B475&amp;"|"&amp;C475)</f>
        <v/>
      </c>
      <c r="B475" s="127"/>
      <c r="C475" s="127"/>
      <c r="D475" s="127"/>
      <c r="E475" s="133"/>
      <c r="F475" s="127"/>
      <c r="G475" s="127"/>
      <c r="H475" s="127"/>
      <c r="I475" s="127"/>
      <c r="J475" s="127"/>
      <c r="K475" s="127"/>
      <c r="L475" s="127"/>
      <c r="M475" s="127"/>
      <c r="N475" s="127"/>
      <c r="O475" s="127"/>
      <c r="P475" s="127"/>
      <c r="Q475" s="127"/>
      <c r="R475" s="127"/>
      <c r="S475" s="127"/>
      <c r="T475" s="127"/>
      <c r="U475" s="127"/>
      <c r="V475" s="127"/>
      <c r="W475" s="127"/>
      <c r="X475" s="127"/>
      <c r="Y475" s="127"/>
      <c r="Z475" s="127"/>
      <c r="AA475" s="127"/>
    </row>
    <row r="476" customFormat="false" ht="15.75" hidden="false" customHeight="false" outlineLevel="0" collapsed="false">
      <c r="A476" s="127" t="str">
        <f aca="false">IF(ISBLANK(B476),"",B476&amp;"|"&amp;C476)</f>
        <v/>
      </c>
      <c r="B476" s="127"/>
      <c r="C476" s="127"/>
      <c r="D476" s="127"/>
      <c r="E476" s="133"/>
      <c r="F476" s="127"/>
      <c r="G476" s="127"/>
      <c r="H476" s="127"/>
      <c r="I476" s="127"/>
      <c r="J476" s="127"/>
      <c r="K476" s="127"/>
      <c r="L476" s="127"/>
      <c r="M476" s="127"/>
      <c r="N476" s="127"/>
      <c r="O476" s="127"/>
      <c r="P476" s="127"/>
      <c r="Q476" s="127"/>
      <c r="R476" s="127"/>
      <c r="S476" s="127"/>
      <c r="T476" s="127"/>
      <c r="U476" s="127"/>
      <c r="V476" s="127"/>
      <c r="W476" s="127"/>
      <c r="X476" s="127"/>
      <c r="Y476" s="127"/>
      <c r="Z476" s="127"/>
      <c r="AA476" s="127"/>
    </row>
    <row r="477" customFormat="false" ht="15.75" hidden="false" customHeight="false" outlineLevel="0" collapsed="false">
      <c r="A477" s="127" t="str">
        <f aca="false">IF(ISBLANK(B477),"",B477&amp;"|"&amp;C477)</f>
        <v/>
      </c>
      <c r="B477" s="127"/>
      <c r="C477" s="127"/>
      <c r="D477" s="127"/>
      <c r="E477" s="133"/>
      <c r="F477" s="127"/>
      <c r="G477" s="127"/>
      <c r="H477" s="127"/>
      <c r="I477" s="127"/>
      <c r="J477" s="127"/>
      <c r="K477" s="127"/>
      <c r="L477" s="127"/>
      <c r="M477" s="127"/>
      <c r="N477" s="127"/>
      <c r="O477" s="127"/>
      <c r="P477" s="127"/>
      <c r="Q477" s="127"/>
      <c r="R477" s="127"/>
      <c r="S477" s="127"/>
      <c r="T477" s="127"/>
      <c r="U477" s="127"/>
      <c r="V477" s="127"/>
      <c r="W477" s="127"/>
      <c r="X477" s="127"/>
      <c r="Y477" s="127"/>
      <c r="Z477" s="127"/>
      <c r="AA477" s="127"/>
    </row>
    <row r="478" customFormat="false" ht="15.75" hidden="false" customHeight="false" outlineLevel="0" collapsed="false">
      <c r="A478" s="127" t="str">
        <f aca="false">IF(ISBLANK(B478),"",B478&amp;"|"&amp;C478)</f>
        <v/>
      </c>
      <c r="B478" s="127"/>
      <c r="C478" s="127"/>
      <c r="D478" s="127"/>
      <c r="E478" s="133"/>
      <c r="F478" s="127"/>
      <c r="G478" s="127"/>
      <c r="H478" s="127"/>
      <c r="I478" s="127"/>
      <c r="J478" s="127"/>
      <c r="K478" s="127"/>
      <c r="L478" s="127"/>
      <c r="M478" s="127"/>
      <c r="N478" s="127"/>
      <c r="O478" s="127"/>
      <c r="P478" s="127"/>
      <c r="Q478" s="127"/>
      <c r="R478" s="127"/>
      <c r="S478" s="127"/>
      <c r="T478" s="127"/>
      <c r="U478" s="127"/>
      <c r="V478" s="127"/>
      <c r="W478" s="127"/>
      <c r="X478" s="127"/>
      <c r="Y478" s="127"/>
      <c r="Z478" s="127"/>
      <c r="AA478" s="127"/>
    </row>
    <row r="479" customFormat="false" ht="15.75" hidden="false" customHeight="false" outlineLevel="0" collapsed="false">
      <c r="A479" s="127" t="str">
        <f aca="false">IF(ISBLANK(B479),"",B479&amp;"|"&amp;C479)</f>
        <v/>
      </c>
      <c r="B479" s="127"/>
      <c r="C479" s="127"/>
      <c r="D479" s="127"/>
      <c r="E479" s="133"/>
      <c r="F479" s="127"/>
      <c r="G479" s="127"/>
      <c r="H479" s="127"/>
      <c r="I479" s="127"/>
      <c r="J479" s="127"/>
      <c r="K479" s="127"/>
      <c r="L479" s="127"/>
      <c r="M479" s="127"/>
      <c r="N479" s="127"/>
      <c r="O479" s="127"/>
      <c r="P479" s="127"/>
      <c r="Q479" s="127"/>
      <c r="R479" s="127"/>
      <c r="S479" s="127"/>
      <c r="T479" s="127"/>
      <c r="U479" s="127"/>
      <c r="V479" s="127"/>
      <c r="W479" s="127"/>
      <c r="X479" s="127"/>
      <c r="Y479" s="127"/>
      <c r="Z479" s="127"/>
      <c r="AA479" s="127"/>
    </row>
    <row r="480" customFormat="false" ht="15.75" hidden="false" customHeight="false" outlineLevel="0" collapsed="false">
      <c r="A480" s="127" t="str">
        <f aca="false">IF(ISBLANK(B480),"",B480&amp;"|"&amp;C480)</f>
        <v/>
      </c>
      <c r="B480" s="127"/>
      <c r="C480" s="127"/>
      <c r="D480" s="127"/>
      <c r="E480" s="133"/>
      <c r="F480" s="127"/>
      <c r="G480" s="127"/>
      <c r="H480" s="127"/>
      <c r="I480" s="127"/>
      <c r="J480" s="127"/>
      <c r="K480" s="127"/>
      <c r="L480" s="127"/>
      <c r="M480" s="127"/>
      <c r="N480" s="127"/>
      <c r="O480" s="127"/>
      <c r="P480" s="127"/>
      <c r="Q480" s="127"/>
      <c r="R480" s="127"/>
      <c r="S480" s="127"/>
      <c r="T480" s="127"/>
      <c r="U480" s="127"/>
      <c r="V480" s="127"/>
      <c r="W480" s="127"/>
      <c r="X480" s="127"/>
      <c r="Y480" s="127"/>
      <c r="Z480" s="127"/>
      <c r="AA480" s="127"/>
    </row>
    <row r="481" customFormat="false" ht="15.75" hidden="false" customHeight="false" outlineLevel="0" collapsed="false">
      <c r="A481" s="127" t="str">
        <f aca="false">IF(ISBLANK(B481),"",B481&amp;"|"&amp;C481)</f>
        <v/>
      </c>
      <c r="B481" s="127"/>
      <c r="C481" s="127"/>
      <c r="D481" s="127"/>
      <c r="E481" s="133"/>
      <c r="F481" s="127"/>
      <c r="G481" s="127"/>
      <c r="H481" s="127"/>
      <c r="I481" s="127"/>
      <c r="J481" s="127"/>
      <c r="K481" s="127"/>
      <c r="L481" s="127"/>
      <c r="M481" s="127"/>
      <c r="N481" s="127"/>
      <c r="O481" s="127"/>
      <c r="P481" s="127"/>
      <c r="Q481" s="127"/>
      <c r="R481" s="127"/>
      <c r="S481" s="127"/>
      <c r="T481" s="127"/>
      <c r="U481" s="127"/>
      <c r="V481" s="127"/>
      <c r="W481" s="127"/>
      <c r="X481" s="127"/>
      <c r="Y481" s="127"/>
      <c r="Z481" s="127"/>
      <c r="AA481" s="127"/>
    </row>
    <row r="482" customFormat="false" ht="15.75" hidden="false" customHeight="false" outlineLevel="0" collapsed="false">
      <c r="A482" s="127" t="str">
        <f aca="false">IF(ISBLANK(B482),"",B482&amp;"|"&amp;C482)</f>
        <v/>
      </c>
      <c r="B482" s="127"/>
      <c r="C482" s="127"/>
      <c r="D482" s="127"/>
      <c r="E482" s="133"/>
      <c r="F482" s="127"/>
      <c r="G482" s="127"/>
      <c r="H482" s="127"/>
      <c r="I482" s="127"/>
      <c r="J482" s="127"/>
      <c r="K482" s="127"/>
      <c r="L482" s="127"/>
      <c r="M482" s="127"/>
      <c r="N482" s="127"/>
      <c r="O482" s="127"/>
      <c r="P482" s="127"/>
      <c r="Q482" s="127"/>
      <c r="R482" s="127"/>
      <c r="S482" s="127"/>
      <c r="T482" s="127"/>
      <c r="U482" s="127"/>
      <c r="V482" s="127"/>
      <c r="W482" s="127"/>
      <c r="X482" s="127"/>
      <c r="Y482" s="127"/>
      <c r="Z482" s="127"/>
      <c r="AA482" s="127"/>
    </row>
    <row r="483" customFormat="false" ht="15.75" hidden="false" customHeight="false" outlineLevel="0" collapsed="false">
      <c r="A483" s="127" t="str">
        <f aca="false">IF(ISBLANK(B483),"",B483&amp;"|"&amp;C483)</f>
        <v/>
      </c>
      <c r="B483" s="127"/>
      <c r="C483" s="127"/>
      <c r="D483" s="127"/>
      <c r="E483" s="133"/>
      <c r="F483" s="127"/>
      <c r="G483" s="127"/>
      <c r="H483" s="127"/>
      <c r="I483" s="127"/>
      <c r="J483" s="127"/>
      <c r="K483" s="127"/>
      <c r="L483" s="127"/>
      <c r="M483" s="127"/>
      <c r="N483" s="127"/>
      <c r="O483" s="127"/>
      <c r="P483" s="127"/>
      <c r="Q483" s="127"/>
      <c r="R483" s="127"/>
      <c r="S483" s="127"/>
      <c r="T483" s="127"/>
      <c r="U483" s="127"/>
      <c r="V483" s="127"/>
      <c r="W483" s="127"/>
      <c r="X483" s="127"/>
      <c r="Y483" s="127"/>
      <c r="Z483" s="127"/>
      <c r="AA483" s="127"/>
    </row>
    <row r="484" customFormat="false" ht="15.75" hidden="false" customHeight="false" outlineLevel="0" collapsed="false">
      <c r="A484" s="127" t="str">
        <f aca="false">IF(ISBLANK(B484),"",B484&amp;"|"&amp;C484)</f>
        <v/>
      </c>
      <c r="B484" s="127"/>
      <c r="C484" s="127"/>
      <c r="D484" s="127"/>
      <c r="E484" s="133"/>
      <c r="F484" s="127"/>
      <c r="G484" s="127"/>
      <c r="H484" s="127"/>
      <c r="I484" s="127"/>
      <c r="J484" s="127"/>
      <c r="K484" s="127"/>
      <c r="L484" s="127"/>
      <c r="M484" s="127"/>
      <c r="N484" s="127"/>
      <c r="O484" s="127"/>
      <c r="P484" s="127"/>
      <c r="Q484" s="127"/>
      <c r="R484" s="127"/>
      <c r="S484" s="127"/>
      <c r="T484" s="127"/>
      <c r="U484" s="127"/>
      <c r="V484" s="127"/>
      <c r="W484" s="127"/>
      <c r="X484" s="127"/>
      <c r="Y484" s="127"/>
      <c r="Z484" s="127"/>
      <c r="AA484" s="127"/>
    </row>
    <row r="485" customFormat="false" ht="15.75" hidden="false" customHeight="false" outlineLevel="0" collapsed="false">
      <c r="A485" s="127" t="str">
        <f aca="false">IF(ISBLANK(B485),"",B485&amp;"|"&amp;C485)</f>
        <v/>
      </c>
      <c r="B485" s="127"/>
      <c r="C485" s="127"/>
      <c r="D485" s="127"/>
      <c r="E485" s="133"/>
      <c r="F485" s="127"/>
      <c r="G485" s="127"/>
      <c r="H485" s="127"/>
      <c r="I485" s="127"/>
      <c r="J485" s="127"/>
      <c r="K485" s="127"/>
      <c r="L485" s="127"/>
      <c r="M485" s="127"/>
      <c r="N485" s="127"/>
      <c r="O485" s="127"/>
      <c r="P485" s="127"/>
      <c r="Q485" s="127"/>
      <c r="R485" s="127"/>
      <c r="S485" s="127"/>
      <c r="T485" s="127"/>
      <c r="U485" s="127"/>
      <c r="V485" s="127"/>
      <c r="W485" s="127"/>
      <c r="X485" s="127"/>
      <c r="Y485" s="127"/>
      <c r="Z485" s="127"/>
      <c r="AA485" s="127"/>
    </row>
    <row r="486" customFormat="false" ht="15.75" hidden="false" customHeight="false" outlineLevel="0" collapsed="false">
      <c r="A486" s="127" t="str">
        <f aca="false">IF(ISBLANK(B486),"",B486&amp;"|"&amp;C486)</f>
        <v/>
      </c>
      <c r="B486" s="127"/>
      <c r="C486" s="127"/>
      <c r="D486" s="127"/>
      <c r="E486" s="133"/>
      <c r="F486" s="127"/>
      <c r="G486" s="127"/>
      <c r="H486" s="127"/>
      <c r="I486" s="127"/>
      <c r="J486" s="127"/>
      <c r="K486" s="127"/>
      <c r="L486" s="127"/>
      <c r="M486" s="127"/>
      <c r="N486" s="127"/>
      <c r="O486" s="127"/>
      <c r="P486" s="127"/>
      <c r="Q486" s="127"/>
      <c r="R486" s="127"/>
      <c r="S486" s="127"/>
      <c r="T486" s="127"/>
      <c r="U486" s="127"/>
      <c r="V486" s="127"/>
      <c r="W486" s="127"/>
      <c r="X486" s="127"/>
      <c r="Y486" s="127"/>
      <c r="Z486" s="127"/>
      <c r="AA486" s="127"/>
    </row>
    <row r="487" customFormat="false" ht="15.75" hidden="false" customHeight="false" outlineLevel="0" collapsed="false">
      <c r="A487" s="127" t="str">
        <f aca="false">IF(ISBLANK(B487),"",B487&amp;"|"&amp;C487)</f>
        <v/>
      </c>
      <c r="B487" s="127"/>
      <c r="C487" s="127"/>
      <c r="D487" s="127"/>
      <c r="E487" s="133"/>
      <c r="F487" s="127"/>
      <c r="G487" s="127"/>
      <c r="H487" s="127"/>
      <c r="I487" s="127"/>
      <c r="J487" s="127"/>
      <c r="K487" s="127"/>
      <c r="L487" s="127"/>
      <c r="M487" s="127"/>
      <c r="N487" s="127"/>
      <c r="O487" s="127"/>
      <c r="P487" s="127"/>
      <c r="Q487" s="127"/>
      <c r="R487" s="127"/>
      <c r="S487" s="127"/>
      <c r="T487" s="127"/>
      <c r="U487" s="127"/>
      <c r="V487" s="127"/>
      <c r="W487" s="127"/>
      <c r="X487" s="127"/>
      <c r="Y487" s="127"/>
      <c r="Z487" s="127"/>
      <c r="AA487" s="127"/>
    </row>
    <row r="488" customFormat="false" ht="15.75" hidden="false" customHeight="false" outlineLevel="0" collapsed="false">
      <c r="A488" s="127" t="str">
        <f aca="false">IF(ISBLANK(B488),"",B488&amp;"|"&amp;C488)</f>
        <v/>
      </c>
      <c r="B488" s="127"/>
      <c r="C488" s="127"/>
      <c r="D488" s="127"/>
      <c r="E488" s="133"/>
      <c r="F488" s="127"/>
      <c r="G488" s="127"/>
      <c r="H488" s="127"/>
      <c r="I488" s="127"/>
      <c r="J488" s="127"/>
      <c r="K488" s="127"/>
      <c r="L488" s="127"/>
      <c r="M488" s="127"/>
      <c r="N488" s="127"/>
      <c r="O488" s="127"/>
      <c r="P488" s="127"/>
      <c r="Q488" s="127"/>
      <c r="R488" s="127"/>
      <c r="S488" s="127"/>
      <c r="T488" s="127"/>
      <c r="U488" s="127"/>
      <c r="V488" s="127"/>
      <c r="W488" s="127"/>
      <c r="X488" s="127"/>
      <c r="Y488" s="127"/>
      <c r="Z488" s="127"/>
      <c r="AA488" s="127"/>
    </row>
    <row r="489" customFormat="false" ht="15.75" hidden="false" customHeight="false" outlineLevel="0" collapsed="false">
      <c r="A489" s="127" t="str">
        <f aca="false">IF(ISBLANK(B489),"",B489&amp;"|"&amp;C489)</f>
        <v/>
      </c>
      <c r="B489" s="127"/>
      <c r="C489" s="127"/>
      <c r="D489" s="127"/>
      <c r="E489" s="133"/>
      <c r="F489" s="127"/>
      <c r="G489" s="127"/>
      <c r="H489" s="127"/>
      <c r="I489" s="127"/>
      <c r="J489" s="127"/>
      <c r="K489" s="127"/>
      <c r="L489" s="127"/>
      <c r="M489" s="127"/>
      <c r="N489" s="127"/>
      <c r="O489" s="127"/>
      <c r="P489" s="127"/>
      <c r="Q489" s="127"/>
      <c r="R489" s="127"/>
      <c r="S489" s="127"/>
      <c r="T489" s="127"/>
      <c r="U489" s="127"/>
      <c r="V489" s="127"/>
      <c r="W489" s="127"/>
      <c r="X489" s="127"/>
      <c r="Y489" s="127"/>
      <c r="Z489" s="127"/>
      <c r="AA489" s="127"/>
    </row>
    <row r="490" customFormat="false" ht="15.75" hidden="false" customHeight="false" outlineLevel="0" collapsed="false">
      <c r="A490" s="127" t="str">
        <f aca="false">IF(ISBLANK(B490),"",B490&amp;"|"&amp;C490)</f>
        <v/>
      </c>
      <c r="B490" s="127"/>
      <c r="C490" s="127"/>
      <c r="D490" s="127"/>
      <c r="E490" s="133"/>
      <c r="F490" s="127"/>
      <c r="G490" s="127"/>
      <c r="H490" s="127"/>
      <c r="I490" s="127"/>
      <c r="J490" s="127"/>
      <c r="K490" s="127"/>
      <c r="L490" s="127"/>
      <c r="M490" s="127"/>
      <c r="N490" s="127"/>
      <c r="O490" s="127"/>
      <c r="P490" s="127"/>
      <c r="Q490" s="127"/>
      <c r="R490" s="127"/>
      <c r="S490" s="127"/>
      <c r="T490" s="127"/>
      <c r="U490" s="127"/>
      <c r="V490" s="127"/>
      <c r="W490" s="127"/>
      <c r="X490" s="127"/>
      <c r="Y490" s="127"/>
      <c r="Z490" s="127"/>
      <c r="AA490" s="127"/>
    </row>
    <row r="491" customFormat="false" ht="15.75" hidden="false" customHeight="false" outlineLevel="0" collapsed="false">
      <c r="A491" s="127" t="str">
        <f aca="false">IF(ISBLANK(B491),"",B491&amp;"|"&amp;C491)</f>
        <v/>
      </c>
      <c r="B491" s="127"/>
      <c r="C491" s="127"/>
      <c r="D491" s="127"/>
      <c r="E491" s="133"/>
      <c r="F491" s="127"/>
      <c r="G491" s="127"/>
      <c r="H491" s="127"/>
      <c r="I491" s="127"/>
      <c r="J491" s="127"/>
      <c r="K491" s="127"/>
      <c r="L491" s="127"/>
      <c r="M491" s="127"/>
      <c r="N491" s="127"/>
      <c r="O491" s="127"/>
      <c r="P491" s="127"/>
      <c r="Q491" s="127"/>
      <c r="R491" s="127"/>
      <c r="S491" s="127"/>
      <c r="T491" s="127"/>
      <c r="U491" s="127"/>
      <c r="V491" s="127"/>
      <c r="W491" s="127"/>
      <c r="X491" s="127"/>
      <c r="Y491" s="127"/>
      <c r="Z491" s="127"/>
      <c r="AA491" s="127"/>
    </row>
    <row r="492" customFormat="false" ht="15.75" hidden="false" customHeight="false" outlineLevel="0" collapsed="false">
      <c r="A492" s="127" t="str">
        <f aca="false">IF(ISBLANK(B492),"",B492&amp;"|"&amp;C492)</f>
        <v/>
      </c>
      <c r="B492" s="127"/>
      <c r="C492" s="127"/>
      <c r="D492" s="127"/>
      <c r="E492" s="133"/>
      <c r="F492" s="127"/>
      <c r="G492" s="127"/>
      <c r="H492" s="127"/>
      <c r="I492" s="127"/>
      <c r="J492" s="127"/>
      <c r="K492" s="127"/>
      <c r="L492" s="127"/>
      <c r="M492" s="127"/>
      <c r="N492" s="127"/>
      <c r="O492" s="127"/>
      <c r="P492" s="127"/>
      <c r="Q492" s="127"/>
      <c r="R492" s="127"/>
      <c r="S492" s="127"/>
      <c r="T492" s="127"/>
      <c r="U492" s="127"/>
      <c r="V492" s="127"/>
      <c r="W492" s="127"/>
      <c r="X492" s="127"/>
      <c r="Y492" s="127"/>
      <c r="Z492" s="127"/>
      <c r="AA492" s="127"/>
    </row>
    <row r="493" customFormat="false" ht="15.75" hidden="false" customHeight="false" outlineLevel="0" collapsed="false">
      <c r="A493" s="127" t="str">
        <f aca="false">IF(ISBLANK(B493),"",B493&amp;"|"&amp;C493)</f>
        <v/>
      </c>
      <c r="B493" s="127"/>
      <c r="C493" s="127"/>
      <c r="D493" s="127"/>
      <c r="E493" s="133"/>
      <c r="F493" s="127"/>
      <c r="G493" s="127"/>
      <c r="H493" s="127"/>
      <c r="I493" s="127"/>
      <c r="J493" s="127"/>
      <c r="K493" s="127"/>
      <c r="L493" s="127"/>
      <c r="M493" s="127"/>
      <c r="N493" s="127"/>
      <c r="O493" s="127"/>
      <c r="P493" s="127"/>
      <c r="Q493" s="127"/>
      <c r="R493" s="127"/>
      <c r="S493" s="127"/>
      <c r="T493" s="127"/>
      <c r="U493" s="127"/>
      <c r="V493" s="127"/>
      <c r="W493" s="127"/>
      <c r="X493" s="127"/>
      <c r="Y493" s="127"/>
      <c r="Z493" s="127"/>
      <c r="AA493" s="127"/>
    </row>
    <row r="494" customFormat="false" ht="15.75" hidden="false" customHeight="false" outlineLevel="0" collapsed="false">
      <c r="A494" s="127" t="str">
        <f aca="false">IF(ISBLANK(B494),"",B494&amp;"|"&amp;C494)</f>
        <v/>
      </c>
      <c r="B494" s="127"/>
      <c r="C494" s="127"/>
      <c r="D494" s="127"/>
      <c r="E494" s="133"/>
      <c r="F494" s="127"/>
      <c r="G494" s="127"/>
      <c r="H494" s="127"/>
      <c r="I494" s="127"/>
      <c r="J494" s="127"/>
      <c r="K494" s="127"/>
      <c r="L494" s="127"/>
      <c r="M494" s="127"/>
      <c r="N494" s="127"/>
      <c r="O494" s="127"/>
      <c r="P494" s="127"/>
      <c r="Q494" s="127"/>
      <c r="R494" s="127"/>
      <c r="S494" s="127"/>
      <c r="T494" s="127"/>
      <c r="U494" s="127"/>
      <c r="V494" s="127"/>
      <c r="W494" s="127"/>
      <c r="X494" s="127"/>
      <c r="Y494" s="127"/>
      <c r="Z494" s="127"/>
      <c r="AA494" s="127"/>
    </row>
    <row r="495" customFormat="false" ht="15.75" hidden="false" customHeight="false" outlineLevel="0" collapsed="false">
      <c r="A495" s="127" t="str">
        <f aca="false">IF(ISBLANK(B495),"",B495&amp;"|"&amp;C495)</f>
        <v/>
      </c>
      <c r="B495" s="127"/>
      <c r="C495" s="127"/>
      <c r="D495" s="127"/>
      <c r="E495" s="133"/>
      <c r="F495" s="127"/>
      <c r="G495" s="127"/>
      <c r="H495" s="127"/>
      <c r="I495" s="127"/>
      <c r="J495" s="127"/>
      <c r="K495" s="127"/>
      <c r="L495" s="127"/>
      <c r="M495" s="127"/>
      <c r="N495" s="127"/>
      <c r="O495" s="127"/>
      <c r="P495" s="127"/>
      <c r="Q495" s="127"/>
      <c r="R495" s="127"/>
      <c r="S495" s="127"/>
      <c r="T495" s="127"/>
      <c r="U495" s="127"/>
      <c r="V495" s="127"/>
      <c r="W495" s="127"/>
      <c r="X495" s="127"/>
      <c r="Y495" s="127"/>
      <c r="Z495" s="127"/>
      <c r="AA495" s="127"/>
    </row>
    <row r="496" customFormat="false" ht="15.75" hidden="false" customHeight="false" outlineLevel="0" collapsed="false">
      <c r="A496" s="127" t="str">
        <f aca="false">IF(ISBLANK(B496),"",B496&amp;"|"&amp;C496)</f>
        <v/>
      </c>
      <c r="B496" s="127"/>
      <c r="C496" s="127"/>
      <c r="D496" s="127"/>
      <c r="E496" s="133"/>
      <c r="F496" s="127"/>
      <c r="G496" s="127"/>
      <c r="H496" s="127"/>
      <c r="I496" s="127"/>
      <c r="J496" s="127"/>
      <c r="K496" s="127"/>
      <c r="L496" s="127"/>
      <c r="M496" s="127"/>
      <c r="N496" s="127"/>
      <c r="O496" s="127"/>
      <c r="P496" s="127"/>
      <c r="Q496" s="127"/>
      <c r="R496" s="127"/>
      <c r="S496" s="127"/>
      <c r="T496" s="127"/>
      <c r="U496" s="127"/>
      <c r="V496" s="127"/>
      <c r="W496" s="127"/>
      <c r="X496" s="127"/>
      <c r="Y496" s="127"/>
      <c r="Z496" s="127"/>
      <c r="AA496" s="127"/>
    </row>
    <row r="497" customFormat="false" ht="15.75" hidden="false" customHeight="false" outlineLevel="0" collapsed="false">
      <c r="A497" s="127" t="str">
        <f aca="false">IF(ISBLANK(B497),"",B497&amp;"|"&amp;C497)</f>
        <v/>
      </c>
      <c r="B497" s="127"/>
      <c r="C497" s="127"/>
      <c r="D497" s="127"/>
      <c r="E497" s="133"/>
      <c r="F497" s="127"/>
      <c r="G497" s="127"/>
      <c r="H497" s="127"/>
      <c r="I497" s="127"/>
      <c r="J497" s="127"/>
      <c r="K497" s="127"/>
      <c r="L497" s="127"/>
      <c r="M497" s="127"/>
      <c r="N497" s="127"/>
      <c r="O497" s="127"/>
      <c r="P497" s="127"/>
      <c r="Q497" s="127"/>
      <c r="R497" s="127"/>
      <c r="S497" s="127"/>
      <c r="T497" s="127"/>
      <c r="U497" s="127"/>
      <c r="V497" s="127"/>
      <c r="W497" s="127"/>
      <c r="X497" s="127"/>
      <c r="Y497" s="127"/>
      <c r="Z497" s="127"/>
      <c r="AA497" s="127"/>
    </row>
    <row r="498" customFormat="false" ht="15.75" hidden="false" customHeight="false" outlineLevel="0" collapsed="false">
      <c r="A498" s="127" t="str">
        <f aca="false">IF(ISBLANK(B498),"",B498&amp;"|"&amp;C498)</f>
        <v/>
      </c>
      <c r="B498" s="127"/>
      <c r="C498" s="127"/>
      <c r="D498" s="127"/>
      <c r="E498" s="133"/>
      <c r="F498" s="127"/>
      <c r="G498" s="127"/>
      <c r="H498" s="127"/>
      <c r="I498" s="127"/>
      <c r="J498" s="127"/>
      <c r="K498" s="127"/>
      <c r="L498" s="127"/>
      <c r="M498" s="127"/>
      <c r="N498" s="127"/>
      <c r="O498" s="127"/>
      <c r="P498" s="127"/>
      <c r="Q498" s="127"/>
      <c r="R498" s="127"/>
      <c r="S498" s="127"/>
      <c r="T498" s="127"/>
      <c r="U498" s="127"/>
      <c r="V498" s="127"/>
      <c r="W498" s="127"/>
      <c r="X498" s="127"/>
      <c r="Y498" s="127"/>
      <c r="Z498" s="127"/>
      <c r="AA498" s="127"/>
    </row>
    <row r="499" customFormat="false" ht="15.75" hidden="false" customHeight="false" outlineLevel="0" collapsed="false">
      <c r="A499" s="127" t="str">
        <f aca="false">IF(ISBLANK(B499),"",B499&amp;"|"&amp;C499)</f>
        <v/>
      </c>
      <c r="B499" s="127"/>
      <c r="C499" s="127"/>
      <c r="D499" s="127"/>
      <c r="E499" s="133"/>
      <c r="F499" s="127"/>
      <c r="G499" s="127"/>
      <c r="H499" s="127"/>
      <c r="I499" s="127"/>
      <c r="J499" s="127"/>
      <c r="K499" s="127"/>
      <c r="L499" s="127"/>
      <c r="M499" s="127"/>
      <c r="N499" s="127"/>
      <c r="O499" s="127"/>
      <c r="P499" s="127"/>
      <c r="Q499" s="127"/>
      <c r="R499" s="127"/>
      <c r="S499" s="127"/>
      <c r="T499" s="127"/>
      <c r="U499" s="127"/>
      <c r="V499" s="127"/>
      <c r="W499" s="127"/>
      <c r="X499" s="127"/>
      <c r="Y499" s="127"/>
      <c r="Z499" s="127"/>
      <c r="AA499" s="127"/>
    </row>
    <row r="500" customFormat="false" ht="15.75" hidden="false" customHeight="false" outlineLevel="0" collapsed="false">
      <c r="A500" s="127" t="str">
        <f aca="false">IF(ISBLANK(B500),"",B500&amp;"|"&amp;C500)</f>
        <v/>
      </c>
      <c r="B500" s="127"/>
      <c r="C500" s="127"/>
      <c r="D500" s="127"/>
      <c r="E500" s="133"/>
      <c r="F500" s="127"/>
      <c r="G500" s="127"/>
      <c r="H500" s="127"/>
      <c r="I500" s="127"/>
      <c r="J500" s="127"/>
      <c r="K500" s="127"/>
      <c r="L500" s="127"/>
      <c r="M500" s="127"/>
      <c r="N500" s="127"/>
      <c r="O500" s="127"/>
      <c r="P500" s="127"/>
      <c r="Q500" s="127"/>
      <c r="R500" s="127"/>
      <c r="S500" s="127"/>
      <c r="T500" s="127"/>
      <c r="U500" s="127"/>
      <c r="V500" s="127"/>
      <c r="W500" s="127"/>
      <c r="X500" s="127"/>
      <c r="Y500" s="127"/>
      <c r="Z500" s="127"/>
      <c r="AA500" s="127"/>
    </row>
    <row r="501" customFormat="false" ht="15.75" hidden="false" customHeight="false" outlineLevel="0" collapsed="false">
      <c r="A501" s="127" t="str">
        <f aca="false">IF(ISBLANK(B501),"",B501&amp;"|"&amp;C501)</f>
        <v/>
      </c>
      <c r="B501" s="127"/>
      <c r="C501" s="127"/>
      <c r="D501" s="127"/>
      <c r="E501" s="133"/>
      <c r="F501" s="127"/>
      <c r="G501" s="127"/>
      <c r="H501" s="127"/>
      <c r="I501" s="127"/>
      <c r="J501" s="127"/>
      <c r="K501" s="127"/>
      <c r="L501" s="127"/>
      <c r="M501" s="127"/>
      <c r="N501" s="127"/>
      <c r="O501" s="127"/>
      <c r="P501" s="127"/>
      <c r="Q501" s="127"/>
      <c r="R501" s="127"/>
      <c r="S501" s="127"/>
      <c r="T501" s="127"/>
      <c r="U501" s="127"/>
      <c r="V501" s="127"/>
      <c r="W501" s="127"/>
      <c r="X501" s="127"/>
      <c r="Y501" s="127"/>
      <c r="Z501" s="127"/>
      <c r="AA501" s="127"/>
    </row>
    <row r="502" customFormat="false" ht="15.75" hidden="false" customHeight="false" outlineLevel="0" collapsed="false">
      <c r="A502" s="127" t="str">
        <f aca="false">IF(ISBLANK(B502),"",B502&amp;"|"&amp;C502)</f>
        <v/>
      </c>
      <c r="B502" s="127"/>
      <c r="C502" s="127"/>
      <c r="D502" s="127"/>
      <c r="E502" s="133"/>
      <c r="F502" s="127"/>
      <c r="G502" s="127"/>
      <c r="H502" s="127"/>
      <c r="I502" s="127"/>
      <c r="J502" s="127"/>
      <c r="K502" s="127"/>
      <c r="L502" s="127"/>
      <c r="M502" s="127"/>
      <c r="N502" s="127"/>
      <c r="O502" s="127"/>
      <c r="P502" s="127"/>
      <c r="Q502" s="127"/>
      <c r="R502" s="127"/>
      <c r="S502" s="127"/>
      <c r="T502" s="127"/>
      <c r="U502" s="127"/>
      <c r="V502" s="127"/>
      <c r="W502" s="127"/>
      <c r="X502" s="127"/>
      <c r="Y502" s="127"/>
      <c r="Z502" s="127"/>
      <c r="AA502" s="127"/>
    </row>
    <row r="503" customFormat="false" ht="15.75" hidden="false" customHeight="false" outlineLevel="0" collapsed="false">
      <c r="A503" s="127" t="str">
        <f aca="false">IF(ISBLANK(B503),"",B503&amp;"|"&amp;C503)</f>
        <v/>
      </c>
      <c r="B503" s="127"/>
      <c r="C503" s="127"/>
      <c r="D503" s="127"/>
      <c r="E503" s="133"/>
      <c r="F503" s="127"/>
      <c r="G503" s="127"/>
      <c r="H503" s="127"/>
      <c r="I503" s="127"/>
      <c r="J503" s="127"/>
      <c r="K503" s="127"/>
      <c r="L503" s="127"/>
      <c r="M503" s="127"/>
      <c r="N503" s="127"/>
      <c r="O503" s="127"/>
      <c r="P503" s="127"/>
      <c r="Q503" s="127"/>
      <c r="R503" s="127"/>
      <c r="S503" s="127"/>
      <c r="T503" s="127"/>
      <c r="U503" s="127"/>
      <c r="V503" s="127"/>
      <c r="W503" s="127"/>
      <c r="X503" s="127"/>
      <c r="Y503" s="127"/>
      <c r="Z503" s="127"/>
      <c r="AA503" s="127"/>
    </row>
    <row r="504" customFormat="false" ht="15.75" hidden="false" customHeight="false" outlineLevel="0" collapsed="false">
      <c r="A504" s="127" t="str">
        <f aca="false">IF(ISBLANK(B504),"",B504&amp;"|"&amp;C504)</f>
        <v/>
      </c>
      <c r="B504" s="127"/>
      <c r="C504" s="127"/>
      <c r="D504" s="127"/>
      <c r="E504" s="133"/>
      <c r="F504" s="127"/>
      <c r="G504" s="127"/>
      <c r="H504" s="127"/>
      <c r="I504" s="127"/>
      <c r="J504" s="127"/>
      <c r="K504" s="127"/>
      <c r="L504" s="127"/>
      <c r="M504" s="127"/>
      <c r="N504" s="127"/>
      <c r="O504" s="127"/>
      <c r="P504" s="127"/>
      <c r="Q504" s="127"/>
      <c r="R504" s="127"/>
      <c r="S504" s="127"/>
      <c r="T504" s="127"/>
      <c r="U504" s="127"/>
      <c r="V504" s="127"/>
      <c r="W504" s="127"/>
      <c r="X504" s="127"/>
      <c r="Y504" s="127"/>
      <c r="Z504" s="127"/>
      <c r="AA504" s="127"/>
    </row>
    <row r="505" customFormat="false" ht="15.75" hidden="false" customHeight="false" outlineLevel="0" collapsed="false">
      <c r="A505" s="127" t="str">
        <f aca="false">IF(ISBLANK(B505),"",B505&amp;"|"&amp;C505)</f>
        <v/>
      </c>
      <c r="B505" s="127"/>
      <c r="C505" s="127"/>
      <c r="D505" s="127"/>
      <c r="E505" s="133"/>
      <c r="F505" s="127"/>
      <c r="G505" s="127"/>
      <c r="H505" s="127"/>
      <c r="I505" s="127"/>
      <c r="J505" s="127"/>
      <c r="K505" s="127"/>
      <c r="L505" s="127"/>
      <c r="M505" s="127"/>
      <c r="N505" s="127"/>
      <c r="O505" s="127"/>
      <c r="P505" s="127"/>
      <c r="Q505" s="127"/>
      <c r="R505" s="127"/>
      <c r="S505" s="127"/>
      <c r="T505" s="127"/>
      <c r="U505" s="127"/>
      <c r="V505" s="127"/>
      <c r="W505" s="127"/>
      <c r="X505" s="127"/>
      <c r="Y505" s="127"/>
      <c r="Z505" s="127"/>
      <c r="AA505" s="127"/>
    </row>
    <row r="506" customFormat="false" ht="15.75" hidden="false" customHeight="false" outlineLevel="0" collapsed="false">
      <c r="A506" s="127" t="str">
        <f aca="false">IF(ISBLANK(B506),"",B506&amp;"|"&amp;C506)</f>
        <v/>
      </c>
      <c r="B506" s="127"/>
      <c r="C506" s="127"/>
      <c r="D506" s="127"/>
      <c r="E506" s="133"/>
      <c r="F506" s="127"/>
      <c r="G506" s="127"/>
      <c r="H506" s="127"/>
      <c r="I506" s="127"/>
      <c r="J506" s="127"/>
      <c r="K506" s="127"/>
      <c r="L506" s="127"/>
      <c r="M506" s="127"/>
      <c r="N506" s="127"/>
      <c r="O506" s="127"/>
      <c r="P506" s="127"/>
      <c r="Q506" s="127"/>
      <c r="R506" s="127"/>
      <c r="S506" s="127"/>
      <c r="T506" s="127"/>
      <c r="U506" s="127"/>
      <c r="V506" s="127"/>
      <c r="W506" s="127"/>
      <c r="X506" s="127"/>
      <c r="Y506" s="127"/>
      <c r="Z506" s="127"/>
      <c r="AA506" s="127"/>
    </row>
    <row r="507" customFormat="false" ht="15.75" hidden="false" customHeight="false" outlineLevel="0" collapsed="false">
      <c r="A507" s="127" t="str">
        <f aca="false">IF(ISBLANK(B507),"",B507&amp;"|"&amp;C507)</f>
        <v/>
      </c>
      <c r="B507" s="127"/>
      <c r="C507" s="127"/>
      <c r="D507" s="127"/>
      <c r="E507" s="133"/>
      <c r="F507" s="127"/>
      <c r="G507" s="127"/>
      <c r="H507" s="127"/>
      <c r="I507" s="127"/>
      <c r="J507" s="127"/>
      <c r="K507" s="127"/>
      <c r="L507" s="127"/>
      <c r="M507" s="127"/>
      <c r="N507" s="127"/>
      <c r="O507" s="127"/>
      <c r="P507" s="127"/>
      <c r="Q507" s="127"/>
      <c r="R507" s="127"/>
      <c r="S507" s="127"/>
      <c r="T507" s="127"/>
      <c r="U507" s="127"/>
      <c r="V507" s="127"/>
      <c r="W507" s="127"/>
      <c r="X507" s="127"/>
      <c r="Y507" s="127"/>
      <c r="Z507" s="127"/>
      <c r="AA507" s="127"/>
    </row>
    <row r="508" customFormat="false" ht="15.75" hidden="false" customHeight="false" outlineLevel="0" collapsed="false">
      <c r="A508" s="127" t="str">
        <f aca="false">IF(ISBLANK(B508),"",B508&amp;"|"&amp;C508)</f>
        <v/>
      </c>
      <c r="B508" s="127"/>
      <c r="C508" s="127"/>
      <c r="D508" s="127"/>
      <c r="E508" s="133"/>
      <c r="F508" s="127"/>
      <c r="G508" s="127"/>
      <c r="H508" s="127"/>
      <c r="I508" s="127"/>
      <c r="J508" s="127"/>
      <c r="K508" s="127"/>
      <c r="L508" s="127"/>
      <c r="M508" s="127"/>
      <c r="N508" s="127"/>
      <c r="O508" s="127"/>
      <c r="P508" s="127"/>
      <c r="Q508" s="127"/>
      <c r="R508" s="127"/>
      <c r="S508" s="127"/>
      <c r="T508" s="127"/>
      <c r="U508" s="127"/>
      <c r="V508" s="127"/>
      <c r="W508" s="127"/>
      <c r="X508" s="127"/>
      <c r="Y508" s="127"/>
      <c r="Z508" s="127"/>
      <c r="AA508" s="127"/>
    </row>
    <row r="509" customFormat="false" ht="15.75" hidden="false" customHeight="false" outlineLevel="0" collapsed="false">
      <c r="A509" s="127" t="str">
        <f aca="false">IF(ISBLANK(B509),"",B509&amp;"|"&amp;C509)</f>
        <v/>
      </c>
      <c r="B509" s="127"/>
      <c r="C509" s="127"/>
      <c r="D509" s="127"/>
      <c r="E509" s="133"/>
      <c r="F509" s="127"/>
      <c r="G509" s="127"/>
      <c r="H509" s="127"/>
      <c r="I509" s="127"/>
      <c r="J509" s="127"/>
      <c r="K509" s="127"/>
      <c r="L509" s="127"/>
      <c r="M509" s="127"/>
      <c r="N509" s="127"/>
      <c r="O509" s="127"/>
      <c r="P509" s="127"/>
      <c r="Q509" s="127"/>
      <c r="R509" s="127"/>
      <c r="S509" s="127"/>
      <c r="T509" s="127"/>
      <c r="U509" s="127"/>
      <c r="V509" s="127"/>
      <c r="W509" s="127"/>
      <c r="X509" s="127"/>
      <c r="Y509" s="127"/>
      <c r="Z509" s="127"/>
      <c r="AA509" s="127"/>
    </row>
    <row r="510" customFormat="false" ht="15.75" hidden="false" customHeight="false" outlineLevel="0" collapsed="false">
      <c r="A510" s="127" t="str">
        <f aca="false">IF(ISBLANK(B510),"",B510&amp;"|"&amp;C510)</f>
        <v/>
      </c>
      <c r="B510" s="127"/>
      <c r="C510" s="127"/>
      <c r="D510" s="127"/>
      <c r="E510" s="133"/>
      <c r="F510" s="127"/>
      <c r="G510" s="127"/>
      <c r="H510" s="127"/>
      <c r="I510" s="127"/>
      <c r="J510" s="127"/>
      <c r="K510" s="127"/>
      <c r="L510" s="127"/>
      <c r="M510" s="127"/>
      <c r="N510" s="127"/>
      <c r="O510" s="127"/>
      <c r="P510" s="127"/>
      <c r="Q510" s="127"/>
      <c r="R510" s="127"/>
      <c r="S510" s="127"/>
      <c r="T510" s="127"/>
      <c r="U510" s="127"/>
      <c r="V510" s="127"/>
      <c r="W510" s="127"/>
      <c r="X510" s="127"/>
      <c r="Y510" s="127"/>
      <c r="Z510" s="127"/>
      <c r="AA510" s="127"/>
    </row>
    <row r="511" customFormat="false" ht="15.75" hidden="false" customHeight="false" outlineLevel="0" collapsed="false">
      <c r="A511" s="127" t="str">
        <f aca="false">IF(ISBLANK(B511),"",B511&amp;"|"&amp;C511)</f>
        <v/>
      </c>
      <c r="B511" s="127"/>
      <c r="C511" s="127"/>
      <c r="D511" s="127"/>
      <c r="E511" s="133"/>
      <c r="F511" s="127"/>
      <c r="G511" s="127"/>
      <c r="H511" s="127"/>
      <c r="I511" s="127"/>
      <c r="J511" s="127"/>
      <c r="K511" s="127"/>
      <c r="L511" s="127"/>
      <c r="M511" s="127"/>
      <c r="N511" s="127"/>
      <c r="O511" s="127"/>
      <c r="P511" s="127"/>
      <c r="Q511" s="127"/>
      <c r="R511" s="127"/>
      <c r="S511" s="127"/>
      <c r="T511" s="127"/>
      <c r="U511" s="127"/>
      <c r="V511" s="127"/>
      <c r="W511" s="127"/>
      <c r="X511" s="127"/>
      <c r="Y511" s="127"/>
      <c r="Z511" s="127"/>
      <c r="AA511" s="127"/>
    </row>
    <row r="512" customFormat="false" ht="15.75" hidden="false" customHeight="false" outlineLevel="0" collapsed="false">
      <c r="A512" s="127" t="str">
        <f aca="false">IF(ISBLANK(B512),"",B512&amp;"|"&amp;C512)</f>
        <v/>
      </c>
      <c r="B512" s="127"/>
      <c r="C512" s="127"/>
      <c r="D512" s="127"/>
      <c r="E512" s="133"/>
      <c r="F512" s="127"/>
      <c r="G512" s="127"/>
      <c r="H512" s="127"/>
      <c r="I512" s="127"/>
      <c r="J512" s="127"/>
      <c r="K512" s="127"/>
      <c r="L512" s="127"/>
      <c r="M512" s="127"/>
      <c r="N512" s="127"/>
      <c r="O512" s="127"/>
      <c r="P512" s="127"/>
      <c r="Q512" s="127"/>
      <c r="R512" s="127"/>
      <c r="S512" s="127"/>
      <c r="T512" s="127"/>
      <c r="U512" s="127"/>
      <c r="V512" s="127"/>
      <c r="W512" s="127"/>
      <c r="X512" s="127"/>
      <c r="Y512" s="127"/>
      <c r="Z512" s="127"/>
      <c r="AA512" s="127"/>
    </row>
    <row r="513" customFormat="false" ht="15.75" hidden="false" customHeight="false" outlineLevel="0" collapsed="false">
      <c r="A513" s="127" t="str">
        <f aca="false">IF(ISBLANK(B513),"",B513&amp;"|"&amp;C513)</f>
        <v/>
      </c>
      <c r="B513" s="127"/>
      <c r="C513" s="127"/>
      <c r="D513" s="127"/>
      <c r="E513" s="133"/>
      <c r="F513" s="127"/>
      <c r="G513" s="127"/>
      <c r="H513" s="127"/>
      <c r="I513" s="127"/>
      <c r="J513" s="127"/>
      <c r="K513" s="127"/>
      <c r="L513" s="127"/>
      <c r="M513" s="127"/>
      <c r="N513" s="127"/>
      <c r="O513" s="127"/>
      <c r="P513" s="127"/>
      <c r="Q513" s="127"/>
      <c r="R513" s="127"/>
      <c r="S513" s="127"/>
      <c r="T513" s="127"/>
      <c r="U513" s="127"/>
      <c r="V513" s="127"/>
      <c r="W513" s="127"/>
      <c r="X513" s="127"/>
      <c r="Y513" s="127"/>
      <c r="Z513" s="127"/>
      <c r="AA513" s="127"/>
    </row>
    <row r="514" customFormat="false" ht="15.75" hidden="false" customHeight="false" outlineLevel="0" collapsed="false">
      <c r="A514" s="127" t="str">
        <f aca="false">IF(ISBLANK(B514),"",B514&amp;"|"&amp;C514)</f>
        <v/>
      </c>
      <c r="B514" s="127"/>
      <c r="C514" s="127"/>
      <c r="D514" s="127"/>
      <c r="E514" s="133"/>
      <c r="F514" s="127"/>
      <c r="G514" s="127"/>
      <c r="H514" s="127"/>
      <c r="I514" s="127"/>
      <c r="J514" s="127"/>
      <c r="K514" s="127"/>
      <c r="L514" s="127"/>
      <c r="M514" s="127"/>
      <c r="N514" s="127"/>
      <c r="O514" s="127"/>
      <c r="P514" s="127"/>
      <c r="Q514" s="127"/>
      <c r="R514" s="127"/>
      <c r="S514" s="127"/>
      <c r="T514" s="127"/>
      <c r="U514" s="127"/>
      <c r="V514" s="127"/>
      <c r="W514" s="127"/>
      <c r="X514" s="127"/>
      <c r="Y514" s="127"/>
      <c r="Z514" s="127"/>
      <c r="AA514" s="127"/>
    </row>
    <row r="515" customFormat="false" ht="15.75" hidden="false" customHeight="false" outlineLevel="0" collapsed="false">
      <c r="A515" s="127" t="str">
        <f aca="false">IF(ISBLANK(B515),"",B515&amp;"|"&amp;C515)</f>
        <v/>
      </c>
      <c r="B515" s="127"/>
      <c r="C515" s="127"/>
      <c r="D515" s="127"/>
      <c r="E515" s="133"/>
      <c r="F515" s="127"/>
      <c r="G515" s="127"/>
      <c r="H515" s="127"/>
      <c r="I515" s="127"/>
      <c r="J515" s="127"/>
      <c r="K515" s="127"/>
      <c r="L515" s="127"/>
      <c r="M515" s="127"/>
      <c r="N515" s="127"/>
      <c r="O515" s="127"/>
      <c r="P515" s="127"/>
      <c r="Q515" s="127"/>
      <c r="R515" s="127"/>
      <c r="S515" s="127"/>
      <c r="T515" s="127"/>
      <c r="U515" s="127"/>
      <c r="V515" s="127"/>
      <c r="W515" s="127"/>
      <c r="X515" s="127"/>
      <c r="Y515" s="127"/>
      <c r="Z515" s="127"/>
      <c r="AA515" s="127"/>
    </row>
    <row r="516" customFormat="false" ht="15.75" hidden="false" customHeight="false" outlineLevel="0" collapsed="false">
      <c r="A516" s="127" t="str">
        <f aca="false">IF(ISBLANK(B516),"",B516&amp;"|"&amp;C516)</f>
        <v/>
      </c>
      <c r="B516" s="127"/>
      <c r="C516" s="127"/>
      <c r="D516" s="127"/>
      <c r="E516" s="133"/>
      <c r="F516" s="127"/>
      <c r="G516" s="127"/>
      <c r="H516" s="127"/>
      <c r="I516" s="127"/>
      <c r="J516" s="127"/>
      <c r="K516" s="127"/>
      <c r="L516" s="127"/>
      <c r="M516" s="127"/>
      <c r="N516" s="127"/>
      <c r="O516" s="127"/>
      <c r="P516" s="127"/>
      <c r="Q516" s="127"/>
      <c r="R516" s="127"/>
      <c r="S516" s="127"/>
      <c r="T516" s="127"/>
      <c r="U516" s="127"/>
      <c r="V516" s="127"/>
      <c r="W516" s="127"/>
      <c r="X516" s="127"/>
      <c r="Y516" s="127"/>
      <c r="Z516" s="127"/>
      <c r="AA516" s="127"/>
    </row>
    <row r="517" customFormat="false" ht="15.75" hidden="false" customHeight="false" outlineLevel="0" collapsed="false">
      <c r="A517" s="127" t="str">
        <f aca="false">IF(ISBLANK(B517),"",B517&amp;"|"&amp;C517)</f>
        <v/>
      </c>
      <c r="B517" s="127"/>
      <c r="C517" s="127"/>
      <c r="D517" s="127"/>
      <c r="E517" s="133"/>
      <c r="F517" s="127"/>
      <c r="G517" s="127"/>
      <c r="H517" s="127"/>
      <c r="I517" s="127"/>
      <c r="J517" s="127"/>
      <c r="K517" s="127"/>
      <c r="L517" s="127"/>
      <c r="M517" s="127"/>
      <c r="N517" s="127"/>
      <c r="O517" s="127"/>
      <c r="P517" s="127"/>
      <c r="Q517" s="127"/>
      <c r="R517" s="127"/>
      <c r="S517" s="127"/>
      <c r="T517" s="127"/>
      <c r="U517" s="127"/>
      <c r="V517" s="127"/>
      <c r="W517" s="127"/>
      <c r="X517" s="127"/>
      <c r="Y517" s="127"/>
      <c r="Z517" s="127"/>
      <c r="AA517" s="127"/>
    </row>
    <row r="518" customFormat="false" ht="15.75" hidden="false" customHeight="false" outlineLevel="0" collapsed="false">
      <c r="A518" s="127" t="str">
        <f aca="false">IF(ISBLANK(B518),"",B518&amp;"|"&amp;C518)</f>
        <v/>
      </c>
      <c r="B518" s="127"/>
      <c r="C518" s="127"/>
      <c r="D518" s="127"/>
      <c r="E518" s="133"/>
      <c r="F518" s="127"/>
      <c r="G518" s="127"/>
      <c r="H518" s="127"/>
      <c r="I518" s="127"/>
      <c r="J518" s="127"/>
      <c r="K518" s="127"/>
      <c r="L518" s="127"/>
      <c r="M518" s="127"/>
      <c r="N518" s="127"/>
      <c r="O518" s="127"/>
      <c r="P518" s="127"/>
      <c r="Q518" s="127"/>
      <c r="R518" s="127"/>
      <c r="S518" s="127"/>
      <c r="T518" s="127"/>
      <c r="U518" s="127"/>
      <c r="V518" s="127"/>
      <c r="W518" s="127"/>
      <c r="X518" s="127"/>
      <c r="Y518" s="127"/>
      <c r="Z518" s="127"/>
      <c r="AA518" s="127"/>
    </row>
    <row r="519" customFormat="false" ht="15.75" hidden="false" customHeight="false" outlineLevel="0" collapsed="false">
      <c r="A519" s="127" t="str">
        <f aca="false">IF(ISBLANK(B519),"",B519&amp;"|"&amp;C519)</f>
        <v/>
      </c>
      <c r="B519" s="127"/>
      <c r="C519" s="127"/>
      <c r="D519" s="127"/>
      <c r="E519" s="133"/>
      <c r="F519" s="127"/>
      <c r="G519" s="127"/>
      <c r="H519" s="127"/>
      <c r="I519" s="127"/>
      <c r="J519" s="127"/>
      <c r="K519" s="127"/>
      <c r="L519" s="127"/>
      <c r="M519" s="127"/>
      <c r="N519" s="127"/>
      <c r="O519" s="127"/>
      <c r="P519" s="127"/>
      <c r="Q519" s="127"/>
      <c r="R519" s="127"/>
      <c r="S519" s="127"/>
      <c r="T519" s="127"/>
      <c r="U519" s="127"/>
      <c r="V519" s="127"/>
      <c r="W519" s="127"/>
      <c r="X519" s="127"/>
      <c r="Y519" s="127"/>
      <c r="Z519" s="127"/>
      <c r="AA519" s="127"/>
    </row>
    <row r="520" customFormat="false" ht="15.75" hidden="false" customHeight="false" outlineLevel="0" collapsed="false">
      <c r="A520" s="127" t="str">
        <f aca="false">IF(ISBLANK(B520),"",B520&amp;"|"&amp;C520)</f>
        <v/>
      </c>
      <c r="B520" s="127"/>
      <c r="C520" s="127"/>
      <c r="D520" s="127"/>
      <c r="E520" s="133"/>
      <c r="F520" s="127"/>
      <c r="G520" s="127"/>
      <c r="H520" s="127"/>
      <c r="I520" s="127"/>
      <c r="J520" s="127"/>
      <c r="K520" s="127"/>
      <c r="L520" s="127"/>
      <c r="M520" s="127"/>
      <c r="N520" s="127"/>
      <c r="O520" s="127"/>
      <c r="P520" s="127"/>
      <c r="Q520" s="127"/>
      <c r="R520" s="127"/>
      <c r="S520" s="127"/>
      <c r="T520" s="127"/>
      <c r="U520" s="127"/>
      <c r="V520" s="127"/>
      <c r="W520" s="127"/>
      <c r="X520" s="127"/>
      <c r="Y520" s="127"/>
      <c r="Z520" s="127"/>
      <c r="AA520" s="127"/>
    </row>
    <row r="521" customFormat="false" ht="15.75" hidden="false" customHeight="false" outlineLevel="0" collapsed="false">
      <c r="A521" s="127" t="str">
        <f aca="false">IF(ISBLANK(B521),"",B521&amp;"|"&amp;C521)</f>
        <v/>
      </c>
      <c r="B521" s="127"/>
      <c r="C521" s="127"/>
      <c r="D521" s="127"/>
      <c r="E521" s="133"/>
      <c r="F521" s="127"/>
      <c r="G521" s="127"/>
      <c r="H521" s="127"/>
      <c r="I521" s="127"/>
      <c r="J521" s="127"/>
      <c r="K521" s="127"/>
      <c r="L521" s="127"/>
      <c r="M521" s="127"/>
      <c r="N521" s="127"/>
      <c r="O521" s="127"/>
      <c r="P521" s="127"/>
      <c r="Q521" s="127"/>
      <c r="R521" s="127"/>
      <c r="S521" s="127"/>
      <c r="T521" s="127"/>
      <c r="U521" s="127"/>
      <c r="V521" s="127"/>
      <c r="W521" s="127"/>
      <c r="X521" s="127"/>
      <c r="Y521" s="127"/>
      <c r="Z521" s="127"/>
      <c r="AA521" s="127"/>
    </row>
    <row r="522" customFormat="false" ht="15.75" hidden="false" customHeight="false" outlineLevel="0" collapsed="false">
      <c r="A522" s="127" t="str">
        <f aca="false">IF(ISBLANK(B522),"",B522&amp;"|"&amp;C522)</f>
        <v/>
      </c>
      <c r="B522" s="127"/>
      <c r="C522" s="127"/>
      <c r="D522" s="127"/>
      <c r="E522" s="133"/>
      <c r="F522" s="127"/>
      <c r="G522" s="127"/>
      <c r="H522" s="127"/>
      <c r="I522" s="127"/>
      <c r="J522" s="127"/>
      <c r="K522" s="127"/>
      <c r="L522" s="127"/>
      <c r="M522" s="127"/>
      <c r="N522" s="127"/>
      <c r="O522" s="127"/>
      <c r="P522" s="127"/>
      <c r="Q522" s="127"/>
      <c r="R522" s="127"/>
      <c r="S522" s="127"/>
      <c r="T522" s="127"/>
      <c r="U522" s="127"/>
      <c r="V522" s="127"/>
      <c r="W522" s="127"/>
      <c r="X522" s="127"/>
      <c r="Y522" s="127"/>
      <c r="Z522" s="127"/>
      <c r="AA522" s="127"/>
    </row>
    <row r="523" customFormat="false" ht="15.75" hidden="false" customHeight="false" outlineLevel="0" collapsed="false">
      <c r="A523" s="127" t="str">
        <f aca="false">IF(ISBLANK(B523),"",B523&amp;"|"&amp;C523)</f>
        <v/>
      </c>
      <c r="B523" s="127"/>
      <c r="C523" s="127"/>
      <c r="D523" s="127"/>
      <c r="E523" s="133"/>
      <c r="F523" s="127"/>
      <c r="G523" s="127"/>
      <c r="H523" s="127"/>
      <c r="I523" s="127"/>
      <c r="J523" s="127"/>
      <c r="K523" s="127"/>
      <c r="L523" s="127"/>
      <c r="M523" s="127"/>
      <c r="N523" s="127"/>
      <c r="O523" s="127"/>
      <c r="P523" s="127"/>
      <c r="Q523" s="127"/>
      <c r="R523" s="127"/>
      <c r="S523" s="127"/>
      <c r="T523" s="127"/>
      <c r="U523" s="127"/>
      <c r="V523" s="127"/>
      <c r="W523" s="127"/>
      <c r="X523" s="127"/>
      <c r="Y523" s="127"/>
      <c r="Z523" s="127"/>
      <c r="AA523" s="127"/>
    </row>
    <row r="524" customFormat="false" ht="15.75" hidden="false" customHeight="false" outlineLevel="0" collapsed="false">
      <c r="A524" s="127" t="str">
        <f aca="false">IF(ISBLANK(B524),"",B524&amp;"|"&amp;C524)</f>
        <v/>
      </c>
      <c r="B524" s="127"/>
      <c r="C524" s="127"/>
      <c r="D524" s="127"/>
      <c r="E524" s="133"/>
      <c r="F524" s="127"/>
      <c r="G524" s="127"/>
      <c r="H524" s="127"/>
      <c r="I524" s="127"/>
      <c r="J524" s="127"/>
      <c r="K524" s="127"/>
      <c r="L524" s="127"/>
      <c r="M524" s="127"/>
      <c r="N524" s="127"/>
      <c r="O524" s="127"/>
      <c r="P524" s="127"/>
      <c r="Q524" s="127"/>
      <c r="R524" s="127"/>
      <c r="S524" s="127"/>
      <c r="T524" s="127"/>
      <c r="U524" s="127"/>
      <c r="V524" s="127"/>
      <c r="W524" s="127"/>
      <c r="X524" s="127"/>
      <c r="Y524" s="127"/>
      <c r="Z524" s="127"/>
      <c r="AA524" s="127"/>
    </row>
    <row r="525" customFormat="false" ht="15.75" hidden="false" customHeight="false" outlineLevel="0" collapsed="false">
      <c r="A525" s="127" t="str">
        <f aca="false">IF(ISBLANK(B525),"",B525&amp;"|"&amp;C525)</f>
        <v/>
      </c>
      <c r="B525" s="127"/>
      <c r="C525" s="127"/>
      <c r="D525" s="127"/>
      <c r="E525" s="133"/>
      <c r="F525" s="127"/>
      <c r="G525" s="127"/>
      <c r="H525" s="127"/>
      <c r="I525" s="127"/>
      <c r="J525" s="127"/>
      <c r="K525" s="127"/>
      <c r="L525" s="127"/>
      <c r="M525" s="127"/>
      <c r="N525" s="127"/>
      <c r="O525" s="127"/>
      <c r="P525" s="127"/>
      <c r="Q525" s="127"/>
      <c r="R525" s="127"/>
      <c r="S525" s="127"/>
      <c r="T525" s="127"/>
      <c r="U525" s="127"/>
      <c r="V525" s="127"/>
      <c r="W525" s="127"/>
      <c r="X525" s="127"/>
      <c r="Y525" s="127"/>
      <c r="Z525" s="127"/>
      <c r="AA525" s="127"/>
    </row>
    <row r="526" customFormat="false" ht="15.75" hidden="false" customHeight="false" outlineLevel="0" collapsed="false">
      <c r="A526" s="127" t="str">
        <f aca="false">IF(ISBLANK(B526),"",B526&amp;"|"&amp;C526)</f>
        <v/>
      </c>
      <c r="B526" s="127"/>
      <c r="C526" s="127"/>
      <c r="D526" s="127"/>
      <c r="E526" s="133"/>
      <c r="F526" s="127"/>
      <c r="G526" s="127"/>
      <c r="H526" s="127"/>
      <c r="I526" s="127"/>
      <c r="J526" s="127"/>
      <c r="K526" s="127"/>
      <c r="L526" s="127"/>
      <c r="M526" s="127"/>
      <c r="N526" s="127"/>
      <c r="O526" s="127"/>
      <c r="P526" s="127"/>
      <c r="Q526" s="127"/>
      <c r="R526" s="127"/>
      <c r="S526" s="127"/>
      <c r="T526" s="127"/>
      <c r="U526" s="127"/>
      <c r="V526" s="127"/>
      <c r="W526" s="127"/>
      <c r="X526" s="127"/>
      <c r="Y526" s="127"/>
      <c r="Z526" s="127"/>
      <c r="AA526" s="127"/>
    </row>
    <row r="527" customFormat="false" ht="15.75" hidden="false" customHeight="false" outlineLevel="0" collapsed="false">
      <c r="A527" s="127" t="str">
        <f aca="false">IF(ISBLANK(B527),"",B527&amp;"|"&amp;C527)</f>
        <v/>
      </c>
      <c r="B527" s="127"/>
      <c r="C527" s="127"/>
      <c r="D527" s="127"/>
      <c r="E527" s="133"/>
      <c r="F527" s="127"/>
      <c r="G527" s="127"/>
      <c r="H527" s="127"/>
      <c r="I527" s="127"/>
      <c r="J527" s="127"/>
      <c r="K527" s="127"/>
      <c r="L527" s="127"/>
      <c r="M527" s="127"/>
      <c r="N527" s="127"/>
      <c r="O527" s="127"/>
      <c r="P527" s="127"/>
      <c r="Q527" s="127"/>
      <c r="R527" s="127"/>
      <c r="S527" s="127"/>
      <c r="T527" s="127"/>
      <c r="U527" s="127"/>
      <c r="V527" s="127"/>
      <c r="W527" s="127"/>
      <c r="X527" s="127"/>
      <c r="Y527" s="127"/>
      <c r="Z527" s="127"/>
      <c r="AA527" s="127"/>
    </row>
    <row r="528" customFormat="false" ht="15.75" hidden="false" customHeight="false" outlineLevel="0" collapsed="false">
      <c r="A528" s="127" t="str">
        <f aca="false">IF(ISBLANK(B528),"",B528&amp;"|"&amp;C528)</f>
        <v/>
      </c>
      <c r="B528" s="127"/>
      <c r="C528" s="127"/>
      <c r="D528" s="127"/>
      <c r="E528" s="133"/>
      <c r="F528" s="127"/>
      <c r="G528" s="127"/>
      <c r="H528" s="127"/>
      <c r="I528" s="127"/>
      <c r="J528" s="127"/>
      <c r="K528" s="127"/>
      <c r="L528" s="127"/>
      <c r="M528" s="127"/>
      <c r="N528" s="127"/>
      <c r="O528" s="127"/>
      <c r="P528" s="127"/>
      <c r="Q528" s="127"/>
      <c r="R528" s="127"/>
      <c r="S528" s="127"/>
      <c r="T528" s="127"/>
      <c r="U528" s="127"/>
      <c r="V528" s="127"/>
      <c r="W528" s="127"/>
      <c r="X528" s="127"/>
      <c r="Y528" s="127"/>
      <c r="Z528" s="127"/>
      <c r="AA528" s="127"/>
    </row>
    <row r="529" customFormat="false" ht="15.75" hidden="false" customHeight="false" outlineLevel="0" collapsed="false">
      <c r="A529" s="127" t="str">
        <f aca="false">IF(ISBLANK(B529),"",B529&amp;"|"&amp;C529)</f>
        <v/>
      </c>
      <c r="B529" s="127"/>
      <c r="C529" s="127"/>
      <c r="D529" s="127"/>
      <c r="E529" s="133"/>
      <c r="F529" s="127"/>
      <c r="G529" s="127"/>
      <c r="H529" s="127"/>
      <c r="I529" s="127"/>
      <c r="J529" s="127"/>
      <c r="K529" s="127"/>
      <c r="L529" s="127"/>
      <c r="M529" s="127"/>
      <c r="N529" s="127"/>
      <c r="O529" s="127"/>
      <c r="P529" s="127"/>
      <c r="Q529" s="127"/>
      <c r="R529" s="127"/>
      <c r="S529" s="127"/>
      <c r="T529" s="127"/>
      <c r="U529" s="127"/>
      <c r="V529" s="127"/>
      <c r="W529" s="127"/>
      <c r="X529" s="127"/>
      <c r="Y529" s="127"/>
      <c r="Z529" s="127"/>
      <c r="AA529" s="127"/>
    </row>
    <row r="530" customFormat="false" ht="15.75" hidden="false" customHeight="false" outlineLevel="0" collapsed="false">
      <c r="A530" s="127" t="str">
        <f aca="false">IF(ISBLANK(B530),"",B530&amp;"|"&amp;C530)</f>
        <v/>
      </c>
      <c r="B530" s="127"/>
      <c r="C530" s="127"/>
      <c r="D530" s="127"/>
      <c r="E530" s="133"/>
      <c r="F530" s="127"/>
      <c r="G530" s="127"/>
      <c r="H530" s="127"/>
      <c r="I530" s="127"/>
      <c r="J530" s="127"/>
      <c r="K530" s="127"/>
      <c r="L530" s="127"/>
      <c r="M530" s="127"/>
      <c r="N530" s="127"/>
      <c r="O530" s="127"/>
      <c r="P530" s="127"/>
      <c r="Q530" s="127"/>
      <c r="R530" s="127"/>
      <c r="S530" s="127"/>
      <c r="T530" s="127"/>
      <c r="U530" s="127"/>
      <c r="V530" s="127"/>
      <c r="W530" s="127"/>
      <c r="X530" s="127"/>
      <c r="Y530" s="127"/>
      <c r="Z530" s="127"/>
      <c r="AA530" s="127"/>
    </row>
    <row r="531" customFormat="false" ht="15.75" hidden="false" customHeight="false" outlineLevel="0" collapsed="false">
      <c r="A531" s="127" t="str">
        <f aca="false">IF(ISBLANK(B531),"",B531&amp;"|"&amp;C531)</f>
        <v/>
      </c>
      <c r="B531" s="127"/>
      <c r="C531" s="127"/>
      <c r="D531" s="127"/>
      <c r="E531" s="133"/>
      <c r="F531" s="127"/>
      <c r="G531" s="127"/>
      <c r="H531" s="127"/>
      <c r="I531" s="127"/>
      <c r="J531" s="127"/>
      <c r="K531" s="127"/>
      <c r="L531" s="127"/>
      <c r="M531" s="127"/>
      <c r="N531" s="127"/>
      <c r="O531" s="127"/>
      <c r="P531" s="127"/>
      <c r="Q531" s="127"/>
      <c r="R531" s="127"/>
      <c r="S531" s="127"/>
      <c r="T531" s="127"/>
      <c r="U531" s="127"/>
      <c r="V531" s="127"/>
      <c r="W531" s="127"/>
      <c r="X531" s="127"/>
      <c r="Y531" s="127"/>
      <c r="Z531" s="127"/>
      <c r="AA531" s="127"/>
    </row>
    <row r="532" customFormat="false" ht="15.75" hidden="false" customHeight="false" outlineLevel="0" collapsed="false">
      <c r="A532" s="127" t="str">
        <f aca="false">IF(ISBLANK(B532),"",B532&amp;"|"&amp;C532)</f>
        <v/>
      </c>
      <c r="B532" s="127"/>
      <c r="C532" s="127"/>
      <c r="D532" s="127"/>
      <c r="E532" s="133"/>
      <c r="F532" s="127"/>
      <c r="G532" s="127"/>
      <c r="H532" s="127"/>
      <c r="I532" s="127"/>
      <c r="J532" s="127"/>
      <c r="K532" s="127"/>
      <c r="L532" s="127"/>
      <c r="M532" s="127"/>
      <c r="N532" s="127"/>
      <c r="O532" s="127"/>
      <c r="P532" s="127"/>
      <c r="Q532" s="127"/>
      <c r="R532" s="127"/>
      <c r="S532" s="127"/>
      <c r="T532" s="127"/>
      <c r="U532" s="127"/>
      <c r="V532" s="127"/>
      <c r="W532" s="127"/>
      <c r="X532" s="127"/>
      <c r="Y532" s="127"/>
      <c r="Z532" s="127"/>
      <c r="AA532" s="127"/>
    </row>
    <row r="533" customFormat="false" ht="15.75" hidden="false" customHeight="false" outlineLevel="0" collapsed="false">
      <c r="A533" s="127" t="str">
        <f aca="false">IF(ISBLANK(B533),"",B533&amp;"|"&amp;C533)</f>
        <v/>
      </c>
      <c r="B533" s="127"/>
      <c r="C533" s="127"/>
      <c r="D533" s="127"/>
      <c r="E533" s="133"/>
      <c r="F533" s="127"/>
      <c r="G533" s="127"/>
      <c r="H533" s="127"/>
      <c r="I533" s="127"/>
      <c r="J533" s="127"/>
      <c r="K533" s="127"/>
      <c r="L533" s="127"/>
      <c r="M533" s="127"/>
      <c r="N533" s="127"/>
      <c r="O533" s="127"/>
      <c r="P533" s="127"/>
      <c r="Q533" s="127"/>
      <c r="R533" s="127"/>
      <c r="S533" s="127"/>
      <c r="T533" s="127"/>
      <c r="U533" s="127"/>
      <c r="V533" s="127"/>
      <c r="W533" s="127"/>
      <c r="X533" s="127"/>
      <c r="Y533" s="127"/>
      <c r="Z533" s="127"/>
      <c r="AA533" s="127"/>
    </row>
    <row r="534" customFormat="false" ht="15.75" hidden="false" customHeight="false" outlineLevel="0" collapsed="false">
      <c r="A534" s="127" t="str">
        <f aca="false">IF(ISBLANK(B534),"",B534&amp;"|"&amp;C534)</f>
        <v/>
      </c>
      <c r="B534" s="127"/>
      <c r="C534" s="127"/>
      <c r="D534" s="127"/>
      <c r="E534" s="133"/>
      <c r="F534" s="127"/>
      <c r="G534" s="127"/>
      <c r="H534" s="127"/>
      <c r="I534" s="127"/>
      <c r="J534" s="127"/>
      <c r="K534" s="127"/>
      <c r="L534" s="127"/>
      <c r="M534" s="127"/>
      <c r="N534" s="127"/>
      <c r="O534" s="127"/>
      <c r="P534" s="127"/>
      <c r="Q534" s="127"/>
      <c r="R534" s="127"/>
      <c r="S534" s="127"/>
      <c r="T534" s="127"/>
      <c r="U534" s="127"/>
      <c r="V534" s="127"/>
      <c r="W534" s="127"/>
      <c r="X534" s="127"/>
      <c r="Y534" s="127"/>
      <c r="Z534" s="127"/>
      <c r="AA534" s="127"/>
    </row>
    <row r="535" customFormat="false" ht="15.75" hidden="false" customHeight="false" outlineLevel="0" collapsed="false">
      <c r="A535" s="127" t="str">
        <f aca="false">IF(ISBLANK(B535),"",B535&amp;"|"&amp;C535)</f>
        <v/>
      </c>
      <c r="B535" s="127"/>
      <c r="C535" s="127"/>
      <c r="D535" s="127"/>
      <c r="E535" s="133"/>
      <c r="F535" s="127"/>
      <c r="G535" s="127"/>
      <c r="H535" s="127"/>
      <c r="I535" s="127"/>
      <c r="J535" s="127"/>
      <c r="K535" s="127"/>
      <c r="L535" s="127"/>
      <c r="M535" s="127"/>
      <c r="N535" s="127"/>
      <c r="O535" s="127"/>
      <c r="P535" s="127"/>
      <c r="Q535" s="127"/>
      <c r="R535" s="127"/>
      <c r="S535" s="127"/>
      <c r="T535" s="127"/>
      <c r="U535" s="127"/>
      <c r="V535" s="127"/>
      <c r="W535" s="127"/>
      <c r="X535" s="127"/>
      <c r="Y535" s="127"/>
      <c r="Z535" s="127"/>
      <c r="AA535" s="127"/>
    </row>
    <row r="536" customFormat="false" ht="15.75" hidden="false" customHeight="false" outlineLevel="0" collapsed="false">
      <c r="A536" s="127" t="str">
        <f aca="false">IF(ISBLANK(B536),"",B536&amp;"|"&amp;C536)</f>
        <v/>
      </c>
      <c r="B536" s="127"/>
      <c r="C536" s="127"/>
      <c r="D536" s="127"/>
      <c r="E536" s="133"/>
      <c r="F536" s="127"/>
      <c r="G536" s="127"/>
      <c r="H536" s="127"/>
      <c r="I536" s="127"/>
      <c r="J536" s="127"/>
      <c r="K536" s="127"/>
      <c r="L536" s="127"/>
      <c r="M536" s="127"/>
      <c r="N536" s="127"/>
      <c r="O536" s="127"/>
      <c r="P536" s="127"/>
      <c r="Q536" s="127"/>
      <c r="R536" s="127"/>
      <c r="S536" s="127"/>
      <c r="T536" s="127"/>
      <c r="U536" s="127"/>
      <c r="V536" s="127"/>
      <c r="W536" s="127"/>
      <c r="X536" s="127"/>
      <c r="Y536" s="127"/>
      <c r="Z536" s="127"/>
      <c r="AA536" s="127"/>
    </row>
    <row r="537" customFormat="false" ht="15.75" hidden="false" customHeight="false" outlineLevel="0" collapsed="false">
      <c r="A537" s="127" t="str">
        <f aca="false">IF(ISBLANK(B537),"",B537&amp;"|"&amp;C537)</f>
        <v/>
      </c>
      <c r="B537" s="127"/>
      <c r="C537" s="127"/>
      <c r="D537" s="127"/>
      <c r="E537" s="133"/>
      <c r="F537" s="127"/>
      <c r="G537" s="127"/>
      <c r="H537" s="127"/>
      <c r="I537" s="127"/>
      <c r="J537" s="127"/>
      <c r="K537" s="127"/>
      <c r="L537" s="127"/>
      <c r="M537" s="127"/>
      <c r="N537" s="127"/>
      <c r="O537" s="127"/>
      <c r="P537" s="127"/>
      <c r="Q537" s="127"/>
      <c r="R537" s="127"/>
      <c r="S537" s="127"/>
      <c r="T537" s="127"/>
      <c r="U537" s="127"/>
      <c r="V537" s="127"/>
      <c r="W537" s="127"/>
      <c r="X537" s="127"/>
      <c r="Y537" s="127"/>
      <c r="Z537" s="127"/>
      <c r="AA537" s="127"/>
    </row>
    <row r="538" customFormat="false" ht="15.75" hidden="false" customHeight="false" outlineLevel="0" collapsed="false">
      <c r="A538" s="127" t="str">
        <f aca="false">IF(ISBLANK(B538),"",B538&amp;"|"&amp;C538)</f>
        <v/>
      </c>
      <c r="B538" s="127"/>
      <c r="C538" s="127"/>
      <c r="D538" s="127"/>
      <c r="E538" s="133"/>
      <c r="F538" s="127"/>
      <c r="G538" s="127"/>
      <c r="H538" s="127"/>
      <c r="I538" s="127"/>
      <c r="J538" s="127"/>
      <c r="K538" s="127"/>
      <c r="L538" s="127"/>
      <c r="M538" s="127"/>
      <c r="N538" s="127"/>
      <c r="O538" s="127"/>
      <c r="P538" s="127"/>
      <c r="Q538" s="127"/>
      <c r="R538" s="127"/>
      <c r="S538" s="127"/>
      <c r="T538" s="127"/>
      <c r="U538" s="127"/>
      <c r="V538" s="127"/>
      <c r="W538" s="127"/>
      <c r="X538" s="127"/>
      <c r="Y538" s="127"/>
      <c r="Z538" s="127"/>
      <c r="AA538" s="127"/>
    </row>
    <row r="539" customFormat="false" ht="15.75" hidden="false" customHeight="false" outlineLevel="0" collapsed="false">
      <c r="A539" s="127" t="str">
        <f aca="false">IF(ISBLANK(B539),"",B539&amp;"|"&amp;C539)</f>
        <v/>
      </c>
      <c r="B539" s="127"/>
      <c r="C539" s="127"/>
      <c r="D539" s="127"/>
      <c r="E539" s="133"/>
      <c r="F539" s="127"/>
      <c r="G539" s="127"/>
      <c r="H539" s="127"/>
      <c r="I539" s="127"/>
      <c r="J539" s="127"/>
      <c r="K539" s="127"/>
      <c r="L539" s="127"/>
      <c r="M539" s="127"/>
      <c r="N539" s="127"/>
      <c r="O539" s="127"/>
      <c r="P539" s="127"/>
      <c r="Q539" s="127"/>
      <c r="R539" s="127"/>
      <c r="S539" s="127"/>
      <c r="T539" s="127"/>
      <c r="U539" s="127"/>
      <c r="V539" s="127"/>
      <c r="W539" s="127"/>
      <c r="X539" s="127"/>
      <c r="Y539" s="127"/>
      <c r="Z539" s="127"/>
      <c r="AA539" s="127"/>
    </row>
    <row r="540" customFormat="false" ht="15.75" hidden="false" customHeight="false" outlineLevel="0" collapsed="false">
      <c r="A540" s="127" t="str">
        <f aca="false">IF(ISBLANK(B540),"",B540&amp;"|"&amp;C540)</f>
        <v/>
      </c>
      <c r="B540" s="127"/>
      <c r="C540" s="127"/>
      <c r="D540" s="127"/>
      <c r="E540" s="133"/>
      <c r="F540" s="127"/>
      <c r="G540" s="127"/>
      <c r="H540" s="127"/>
      <c r="I540" s="127"/>
      <c r="J540" s="127"/>
      <c r="K540" s="127"/>
      <c r="L540" s="127"/>
      <c r="M540" s="127"/>
      <c r="N540" s="127"/>
      <c r="O540" s="127"/>
      <c r="P540" s="127"/>
      <c r="Q540" s="127"/>
      <c r="R540" s="127"/>
      <c r="S540" s="127"/>
      <c r="T540" s="127"/>
      <c r="U540" s="127"/>
      <c r="V540" s="127"/>
      <c r="W540" s="127"/>
      <c r="X540" s="127"/>
      <c r="Y540" s="127"/>
      <c r="Z540" s="127"/>
      <c r="AA540" s="127"/>
    </row>
    <row r="541" customFormat="false" ht="15.75" hidden="false" customHeight="false" outlineLevel="0" collapsed="false">
      <c r="A541" s="127" t="str">
        <f aca="false">IF(ISBLANK(B541),"",B541&amp;"|"&amp;C541)</f>
        <v/>
      </c>
      <c r="B541" s="127"/>
      <c r="C541" s="127"/>
      <c r="D541" s="127"/>
      <c r="E541" s="133"/>
      <c r="F541" s="127"/>
      <c r="G541" s="127"/>
      <c r="H541" s="127"/>
      <c r="I541" s="127"/>
      <c r="J541" s="127"/>
      <c r="K541" s="127"/>
      <c r="L541" s="127"/>
      <c r="M541" s="127"/>
      <c r="N541" s="127"/>
      <c r="O541" s="127"/>
      <c r="P541" s="127"/>
      <c r="Q541" s="127"/>
      <c r="R541" s="127"/>
      <c r="S541" s="127"/>
      <c r="T541" s="127"/>
      <c r="U541" s="127"/>
      <c r="V541" s="127"/>
      <c r="W541" s="127"/>
      <c r="X541" s="127"/>
      <c r="Y541" s="127"/>
      <c r="Z541" s="127"/>
      <c r="AA541" s="127"/>
    </row>
    <row r="542" customFormat="false" ht="15.75" hidden="false" customHeight="false" outlineLevel="0" collapsed="false">
      <c r="A542" s="127" t="str">
        <f aca="false">IF(ISBLANK(B542),"",B542&amp;"|"&amp;C542)</f>
        <v/>
      </c>
      <c r="B542" s="127"/>
      <c r="C542" s="127"/>
      <c r="D542" s="127"/>
      <c r="E542" s="133"/>
      <c r="F542" s="127"/>
      <c r="G542" s="127"/>
      <c r="H542" s="127"/>
      <c r="I542" s="127"/>
      <c r="J542" s="127"/>
      <c r="K542" s="127"/>
      <c r="L542" s="127"/>
      <c r="M542" s="127"/>
      <c r="N542" s="127"/>
      <c r="O542" s="127"/>
      <c r="P542" s="127"/>
      <c r="Q542" s="127"/>
      <c r="R542" s="127"/>
      <c r="S542" s="127"/>
      <c r="T542" s="127"/>
      <c r="U542" s="127"/>
      <c r="V542" s="127"/>
      <c r="W542" s="127"/>
      <c r="X542" s="127"/>
      <c r="Y542" s="127"/>
      <c r="Z542" s="127"/>
      <c r="AA542" s="127"/>
    </row>
    <row r="543" customFormat="false" ht="15.75" hidden="false" customHeight="false" outlineLevel="0" collapsed="false">
      <c r="A543" s="127" t="str">
        <f aca="false">IF(ISBLANK(B543),"",B543&amp;"|"&amp;C543)</f>
        <v/>
      </c>
      <c r="B543" s="127"/>
      <c r="C543" s="127"/>
      <c r="D543" s="127"/>
      <c r="E543" s="133"/>
      <c r="F543" s="127"/>
      <c r="G543" s="127"/>
      <c r="H543" s="127"/>
      <c r="I543" s="127"/>
      <c r="J543" s="127"/>
      <c r="K543" s="127"/>
      <c r="L543" s="127"/>
      <c r="M543" s="127"/>
      <c r="N543" s="127"/>
      <c r="O543" s="127"/>
      <c r="P543" s="127"/>
      <c r="Q543" s="127"/>
      <c r="R543" s="127"/>
      <c r="S543" s="127"/>
      <c r="T543" s="127"/>
      <c r="U543" s="127"/>
      <c r="V543" s="127"/>
      <c r="W543" s="127"/>
      <c r="X543" s="127"/>
      <c r="Y543" s="127"/>
      <c r="Z543" s="127"/>
      <c r="AA543" s="127"/>
    </row>
    <row r="544" customFormat="false" ht="15.75" hidden="false" customHeight="false" outlineLevel="0" collapsed="false">
      <c r="A544" s="127" t="str">
        <f aca="false">IF(ISBLANK(B544),"",B544&amp;"|"&amp;C544)</f>
        <v/>
      </c>
      <c r="B544" s="127"/>
      <c r="C544" s="127"/>
      <c r="D544" s="127"/>
      <c r="E544" s="133"/>
      <c r="F544" s="127"/>
      <c r="G544" s="127"/>
      <c r="H544" s="127"/>
      <c r="I544" s="127"/>
      <c r="J544" s="127"/>
      <c r="K544" s="127"/>
      <c r="L544" s="127"/>
      <c r="M544" s="127"/>
      <c r="N544" s="127"/>
      <c r="O544" s="127"/>
      <c r="P544" s="127"/>
      <c r="Q544" s="127"/>
      <c r="R544" s="127"/>
      <c r="S544" s="127"/>
      <c r="T544" s="127"/>
      <c r="U544" s="127"/>
      <c r="V544" s="127"/>
      <c r="W544" s="127"/>
      <c r="X544" s="127"/>
      <c r="Y544" s="127"/>
      <c r="Z544" s="127"/>
      <c r="AA544" s="127"/>
    </row>
    <row r="545" customFormat="false" ht="15.75" hidden="false" customHeight="false" outlineLevel="0" collapsed="false">
      <c r="A545" s="127" t="str">
        <f aca="false">IF(ISBLANK(B545),"",B545&amp;"|"&amp;C545)</f>
        <v/>
      </c>
      <c r="B545" s="127"/>
      <c r="C545" s="127"/>
      <c r="D545" s="127"/>
      <c r="E545" s="133"/>
      <c r="F545" s="127"/>
      <c r="G545" s="127"/>
      <c r="H545" s="127"/>
      <c r="I545" s="127"/>
      <c r="J545" s="127"/>
      <c r="K545" s="127"/>
      <c r="L545" s="127"/>
      <c r="M545" s="127"/>
      <c r="N545" s="127"/>
      <c r="O545" s="127"/>
      <c r="P545" s="127"/>
      <c r="Q545" s="127"/>
      <c r="R545" s="127"/>
      <c r="S545" s="127"/>
      <c r="T545" s="127"/>
      <c r="U545" s="127"/>
      <c r="V545" s="127"/>
      <c r="W545" s="127"/>
      <c r="X545" s="127"/>
      <c r="Y545" s="127"/>
      <c r="Z545" s="127"/>
      <c r="AA545" s="127"/>
    </row>
    <row r="546" customFormat="false" ht="15.75" hidden="false" customHeight="false" outlineLevel="0" collapsed="false">
      <c r="A546" s="127" t="str">
        <f aca="false">IF(ISBLANK(B546),"",B546&amp;"|"&amp;C546)</f>
        <v/>
      </c>
      <c r="B546" s="127"/>
      <c r="C546" s="127"/>
      <c r="D546" s="127"/>
      <c r="E546" s="133"/>
      <c r="F546" s="127"/>
      <c r="G546" s="127"/>
      <c r="H546" s="127"/>
      <c r="I546" s="127"/>
      <c r="J546" s="127"/>
      <c r="K546" s="127"/>
      <c r="L546" s="127"/>
      <c r="M546" s="127"/>
      <c r="N546" s="127"/>
      <c r="O546" s="127"/>
      <c r="P546" s="127"/>
      <c r="Q546" s="127"/>
      <c r="R546" s="127"/>
      <c r="S546" s="127"/>
      <c r="T546" s="127"/>
      <c r="U546" s="127"/>
      <c r="V546" s="127"/>
      <c r="W546" s="127"/>
      <c r="X546" s="127"/>
      <c r="Y546" s="127"/>
      <c r="Z546" s="127"/>
      <c r="AA546" s="127"/>
    </row>
    <row r="547" customFormat="false" ht="15.75" hidden="false" customHeight="false" outlineLevel="0" collapsed="false">
      <c r="A547" s="127" t="str">
        <f aca="false">IF(ISBLANK(B547),"",B547&amp;"|"&amp;C547)</f>
        <v/>
      </c>
      <c r="B547" s="127"/>
      <c r="C547" s="127"/>
      <c r="D547" s="127"/>
      <c r="E547" s="133"/>
      <c r="F547" s="127"/>
      <c r="G547" s="127"/>
      <c r="H547" s="127"/>
      <c r="I547" s="127"/>
      <c r="J547" s="127"/>
      <c r="K547" s="127"/>
      <c r="L547" s="127"/>
      <c r="M547" s="127"/>
      <c r="N547" s="127"/>
      <c r="O547" s="127"/>
      <c r="P547" s="127"/>
      <c r="Q547" s="127"/>
      <c r="R547" s="127"/>
      <c r="S547" s="127"/>
      <c r="T547" s="127"/>
      <c r="U547" s="127"/>
      <c r="V547" s="127"/>
      <c r="W547" s="127"/>
      <c r="X547" s="127"/>
      <c r="Y547" s="127"/>
      <c r="Z547" s="127"/>
      <c r="AA547" s="127"/>
    </row>
    <row r="548" customFormat="false" ht="15.75" hidden="false" customHeight="false" outlineLevel="0" collapsed="false">
      <c r="A548" s="127" t="str">
        <f aca="false">IF(ISBLANK(B548),"",B548&amp;"|"&amp;C548)</f>
        <v/>
      </c>
      <c r="B548" s="127"/>
      <c r="C548" s="127"/>
      <c r="D548" s="127"/>
      <c r="E548" s="133"/>
      <c r="F548" s="127"/>
      <c r="G548" s="127"/>
      <c r="H548" s="127"/>
      <c r="I548" s="127"/>
      <c r="J548" s="127"/>
      <c r="K548" s="127"/>
      <c r="L548" s="127"/>
      <c r="M548" s="127"/>
      <c r="N548" s="127"/>
      <c r="O548" s="127"/>
      <c r="P548" s="127"/>
      <c r="Q548" s="127"/>
      <c r="R548" s="127"/>
      <c r="S548" s="127"/>
      <c r="T548" s="127"/>
      <c r="U548" s="127"/>
      <c r="V548" s="127"/>
      <c r="W548" s="127"/>
      <c r="X548" s="127"/>
      <c r="Y548" s="127"/>
      <c r="Z548" s="127"/>
      <c r="AA548" s="127"/>
    </row>
    <row r="549" customFormat="false" ht="15.75" hidden="false" customHeight="false" outlineLevel="0" collapsed="false">
      <c r="A549" s="127" t="str">
        <f aca="false">IF(ISBLANK(B549),"",B549&amp;"|"&amp;C549)</f>
        <v/>
      </c>
      <c r="B549" s="127"/>
      <c r="C549" s="127"/>
      <c r="D549" s="127"/>
      <c r="E549" s="133"/>
      <c r="F549" s="127"/>
      <c r="G549" s="127"/>
      <c r="H549" s="127"/>
      <c r="I549" s="127"/>
      <c r="J549" s="127"/>
      <c r="K549" s="127"/>
      <c r="L549" s="127"/>
      <c r="M549" s="127"/>
      <c r="N549" s="127"/>
      <c r="O549" s="127"/>
      <c r="P549" s="127"/>
      <c r="Q549" s="127"/>
      <c r="R549" s="127"/>
      <c r="S549" s="127"/>
      <c r="T549" s="127"/>
      <c r="U549" s="127"/>
      <c r="V549" s="127"/>
      <c r="W549" s="127"/>
      <c r="X549" s="127"/>
      <c r="Y549" s="127"/>
      <c r="Z549" s="127"/>
      <c r="AA549" s="127"/>
    </row>
    <row r="550" customFormat="false" ht="15.75" hidden="false" customHeight="false" outlineLevel="0" collapsed="false">
      <c r="A550" s="127" t="str">
        <f aca="false">IF(ISBLANK(B550),"",B550&amp;"|"&amp;C550)</f>
        <v/>
      </c>
      <c r="B550" s="127"/>
      <c r="C550" s="127"/>
      <c r="D550" s="127"/>
      <c r="E550" s="133"/>
      <c r="F550" s="127"/>
      <c r="G550" s="127"/>
      <c r="H550" s="127"/>
      <c r="I550" s="127"/>
      <c r="J550" s="127"/>
      <c r="K550" s="127"/>
      <c r="L550" s="127"/>
      <c r="M550" s="127"/>
      <c r="N550" s="127"/>
      <c r="O550" s="127"/>
      <c r="P550" s="127"/>
      <c r="Q550" s="127"/>
      <c r="R550" s="127"/>
      <c r="S550" s="127"/>
      <c r="T550" s="127"/>
      <c r="U550" s="127"/>
      <c r="V550" s="127"/>
      <c r="W550" s="127"/>
      <c r="X550" s="127"/>
      <c r="Y550" s="127"/>
      <c r="Z550" s="127"/>
      <c r="AA550" s="127"/>
    </row>
    <row r="551" customFormat="false" ht="15.75" hidden="false" customHeight="false" outlineLevel="0" collapsed="false">
      <c r="A551" s="127" t="str">
        <f aca="false">IF(ISBLANK(B551),"",B551&amp;"|"&amp;C551)</f>
        <v/>
      </c>
      <c r="B551" s="127"/>
      <c r="C551" s="127"/>
      <c r="D551" s="127"/>
      <c r="E551" s="133"/>
      <c r="F551" s="127"/>
      <c r="G551" s="127"/>
      <c r="H551" s="127"/>
      <c r="I551" s="127"/>
      <c r="J551" s="127"/>
      <c r="K551" s="127"/>
      <c r="L551" s="127"/>
      <c r="M551" s="127"/>
      <c r="N551" s="127"/>
      <c r="O551" s="127"/>
      <c r="P551" s="127"/>
      <c r="Q551" s="127"/>
      <c r="R551" s="127"/>
      <c r="S551" s="127"/>
      <c r="T551" s="127"/>
      <c r="U551" s="127"/>
      <c r="V551" s="127"/>
      <c r="W551" s="127"/>
      <c r="X551" s="127"/>
      <c r="Y551" s="127"/>
      <c r="Z551" s="127"/>
      <c r="AA551" s="127"/>
    </row>
    <row r="552" customFormat="false" ht="15.75" hidden="false" customHeight="false" outlineLevel="0" collapsed="false">
      <c r="A552" s="127" t="str">
        <f aca="false">IF(ISBLANK(B552),"",B552&amp;"|"&amp;C552)</f>
        <v/>
      </c>
      <c r="B552" s="127"/>
      <c r="C552" s="127"/>
      <c r="D552" s="127"/>
      <c r="E552" s="133"/>
      <c r="F552" s="127"/>
      <c r="G552" s="127"/>
      <c r="H552" s="127"/>
      <c r="I552" s="127"/>
      <c r="J552" s="127"/>
      <c r="K552" s="127"/>
      <c r="L552" s="127"/>
      <c r="M552" s="127"/>
      <c r="N552" s="127"/>
      <c r="O552" s="127"/>
      <c r="P552" s="127"/>
      <c r="Q552" s="127"/>
      <c r="R552" s="127"/>
      <c r="S552" s="127"/>
      <c r="T552" s="127"/>
      <c r="U552" s="127"/>
      <c r="V552" s="127"/>
      <c r="W552" s="127"/>
      <c r="X552" s="127"/>
      <c r="Y552" s="127"/>
      <c r="Z552" s="127"/>
      <c r="AA552" s="127"/>
    </row>
    <row r="553" customFormat="false" ht="15.75" hidden="false" customHeight="false" outlineLevel="0" collapsed="false">
      <c r="A553" s="127" t="str">
        <f aca="false">IF(ISBLANK(B553),"",B553&amp;"|"&amp;C553)</f>
        <v/>
      </c>
      <c r="B553" s="127"/>
      <c r="C553" s="127"/>
      <c r="D553" s="127"/>
      <c r="E553" s="133"/>
      <c r="F553" s="127"/>
      <c r="G553" s="127"/>
      <c r="H553" s="127"/>
      <c r="I553" s="127"/>
      <c r="J553" s="127"/>
      <c r="K553" s="127"/>
      <c r="L553" s="127"/>
      <c r="M553" s="127"/>
      <c r="N553" s="127"/>
      <c r="O553" s="127"/>
      <c r="P553" s="127"/>
      <c r="Q553" s="127"/>
      <c r="R553" s="127"/>
      <c r="S553" s="127"/>
      <c r="T553" s="127"/>
      <c r="U553" s="127"/>
      <c r="V553" s="127"/>
      <c r="W553" s="127"/>
      <c r="X553" s="127"/>
      <c r="Y553" s="127"/>
      <c r="Z553" s="127"/>
      <c r="AA553" s="127"/>
    </row>
    <row r="554" customFormat="false" ht="15.75" hidden="false" customHeight="false" outlineLevel="0" collapsed="false">
      <c r="A554" s="127" t="str">
        <f aca="false">IF(ISBLANK(B554),"",B554&amp;"|"&amp;C554)</f>
        <v/>
      </c>
      <c r="B554" s="127"/>
      <c r="C554" s="127"/>
      <c r="D554" s="127"/>
      <c r="E554" s="133"/>
      <c r="F554" s="127"/>
      <c r="G554" s="127"/>
      <c r="H554" s="127"/>
      <c r="I554" s="127"/>
      <c r="J554" s="127"/>
      <c r="K554" s="127"/>
      <c r="L554" s="127"/>
      <c r="M554" s="127"/>
      <c r="N554" s="127"/>
      <c r="O554" s="127"/>
      <c r="P554" s="127"/>
      <c r="Q554" s="127"/>
      <c r="R554" s="127"/>
      <c r="S554" s="127"/>
      <c r="T554" s="127"/>
      <c r="U554" s="127"/>
      <c r="V554" s="127"/>
      <c r="W554" s="127"/>
      <c r="X554" s="127"/>
      <c r="Y554" s="127"/>
      <c r="Z554" s="127"/>
      <c r="AA554" s="127"/>
    </row>
    <row r="555" customFormat="false" ht="15.75" hidden="false" customHeight="false" outlineLevel="0" collapsed="false">
      <c r="A555" s="127" t="str">
        <f aca="false">IF(ISBLANK(B555),"",B555&amp;"|"&amp;C555)</f>
        <v/>
      </c>
      <c r="B555" s="127"/>
      <c r="C555" s="127"/>
      <c r="D555" s="127"/>
      <c r="E555" s="133"/>
      <c r="F555" s="127"/>
      <c r="G555" s="127"/>
      <c r="H555" s="127"/>
      <c r="I555" s="127"/>
      <c r="J555" s="127"/>
      <c r="K555" s="127"/>
      <c r="L555" s="127"/>
      <c r="M555" s="127"/>
      <c r="N555" s="127"/>
      <c r="O555" s="127"/>
      <c r="P555" s="127"/>
      <c r="Q555" s="127"/>
      <c r="R555" s="127"/>
      <c r="S555" s="127"/>
      <c r="T555" s="127"/>
      <c r="U555" s="127"/>
      <c r="V555" s="127"/>
      <c r="W555" s="127"/>
      <c r="X555" s="127"/>
      <c r="Y555" s="127"/>
      <c r="Z555" s="127"/>
      <c r="AA555" s="127"/>
    </row>
    <row r="556" customFormat="false" ht="15.75" hidden="false" customHeight="false" outlineLevel="0" collapsed="false">
      <c r="A556" s="127" t="str">
        <f aca="false">IF(ISBLANK(B556),"",B556&amp;"|"&amp;C556)</f>
        <v/>
      </c>
      <c r="B556" s="127"/>
      <c r="C556" s="127"/>
      <c r="D556" s="127"/>
      <c r="E556" s="133"/>
      <c r="F556" s="127"/>
      <c r="G556" s="127"/>
      <c r="H556" s="127"/>
      <c r="I556" s="127"/>
      <c r="J556" s="127"/>
      <c r="K556" s="127"/>
      <c r="L556" s="127"/>
      <c r="M556" s="127"/>
      <c r="N556" s="127"/>
      <c r="O556" s="127"/>
      <c r="P556" s="127"/>
      <c r="Q556" s="127"/>
      <c r="R556" s="127"/>
      <c r="S556" s="127"/>
      <c r="T556" s="127"/>
      <c r="U556" s="127"/>
      <c r="V556" s="127"/>
      <c r="W556" s="127"/>
      <c r="X556" s="127"/>
      <c r="Y556" s="127"/>
      <c r="Z556" s="127"/>
      <c r="AA556" s="127"/>
    </row>
    <row r="557" customFormat="false" ht="15.75" hidden="false" customHeight="false" outlineLevel="0" collapsed="false">
      <c r="A557" s="127" t="str">
        <f aca="false">IF(ISBLANK(B557),"",B557&amp;"|"&amp;C557)</f>
        <v/>
      </c>
      <c r="B557" s="127"/>
      <c r="C557" s="127"/>
      <c r="D557" s="127"/>
      <c r="E557" s="133"/>
      <c r="F557" s="127"/>
      <c r="G557" s="127"/>
      <c r="H557" s="127"/>
      <c r="I557" s="127"/>
      <c r="J557" s="127"/>
      <c r="K557" s="127"/>
      <c r="L557" s="127"/>
      <c r="M557" s="127"/>
      <c r="N557" s="127"/>
      <c r="O557" s="127"/>
      <c r="P557" s="127"/>
      <c r="Q557" s="127"/>
      <c r="R557" s="127"/>
      <c r="S557" s="127"/>
      <c r="T557" s="127"/>
      <c r="U557" s="127"/>
      <c r="V557" s="127"/>
      <c r="W557" s="127"/>
      <c r="X557" s="127"/>
      <c r="Y557" s="127"/>
      <c r="Z557" s="127"/>
      <c r="AA557" s="127"/>
    </row>
    <row r="558" customFormat="false" ht="15.75" hidden="false" customHeight="false" outlineLevel="0" collapsed="false">
      <c r="A558" s="127" t="str">
        <f aca="false">IF(ISBLANK(B558),"",B558&amp;"|"&amp;C558)</f>
        <v/>
      </c>
      <c r="B558" s="127"/>
      <c r="C558" s="127"/>
      <c r="D558" s="127"/>
      <c r="E558" s="133"/>
      <c r="F558" s="127"/>
      <c r="G558" s="127"/>
      <c r="H558" s="127"/>
      <c r="I558" s="127"/>
      <c r="J558" s="127"/>
      <c r="K558" s="127"/>
      <c r="L558" s="127"/>
      <c r="M558" s="127"/>
      <c r="N558" s="127"/>
      <c r="O558" s="127"/>
      <c r="P558" s="127"/>
      <c r="Q558" s="127"/>
      <c r="R558" s="127"/>
      <c r="S558" s="127"/>
      <c r="T558" s="127"/>
      <c r="U558" s="127"/>
      <c r="V558" s="127"/>
      <c r="W558" s="127"/>
      <c r="X558" s="127"/>
      <c r="Y558" s="127"/>
      <c r="Z558" s="127"/>
      <c r="AA558" s="127"/>
    </row>
    <row r="559" customFormat="false" ht="15.75" hidden="false" customHeight="false" outlineLevel="0" collapsed="false">
      <c r="A559" s="127" t="str">
        <f aca="false">IF(ISBLANK(B559),"",B559&amp;"|"&amp;C559)</f>
        <v/>
      </c>
      <c r="B559" s="127"/>
      <c r="C559" s="127"/>
      <c r="D559" s="127"/>
      <c r="E559" s="133"/>
      <c r="F559" s="127"/>
      <c r="G559" s="127"/>
      <c r="H559" s="127"/>
      <c r="I559" s="127"/>
      <c r="J559" s="127"/>
      <c r="K559" s="127"/>
      <c r="L559" s="127"/>
      <c r="M559" s="127"/>
      <c r="N559" s="127"/>
      <c r="O559" s="127"/>
      <c r="P559" s="127"/>
      <c r="Q559" s="127"/>
      <c r="R559" s="127"/>
      <c r="S559" s="127"/>
      <c r="T559" s="127"/>
      <c r="U559" s="127"/>
      <c r="V559" s="127"/>
      <c r="W559" s="127"/>
      <c r="X559" s="127"/>
      <c r="Y559" s="127"/>
      <c r="Z559" s="127"/>
      <c r="AA559" s="127"/>
    </row>
    <row r="560" customFormat="false" ht="15.75" hidden="false" customHeight="false" outlineLevel="0" collapsed="false">
      <c r="A560" s="127" t="str">
        <f aca="false">IF(ISBLANK(B560),"",B560&amp;"|"&amp;C560)</f>
        <v/>
      </c>
      <c r="B560" s="127"/>
      <c r="C560" s="127"/>
      <c r="D560" s="127"/>
      <c r="E560" s="133"/>
      <c r="F560" s="127"/>
      <c r="G560" s="127"/>
      <c r="H560" s="127"/>
      <c r="I560" s="127"/>
      <c r="J560" s="127"/>
      <c r="K560" s="127"/>
      <c r="L560" s="127"/>
      <c r="M560" s="127"/>
      <c r="N560" s="127"/>
      <c r="O560" s="127"/>
      <c r="P560" s="127"/>
      <c r="Q560" s="127"/>
      <c r="R560" s="127"/>
      <c r="S560" s="127"/>
      <c r="T560" s="127"/>
      <c r="U560" s="127"/>
      <c r="V560" s="127"/>
      <c r="W560" s="127"/>
      <c r="X560" s="127"/>
      <c r="Y560" s="127"/>
      <c r="Z560" s="127"/>
      <c r="AA560" s="127"/>
    </row>
    <row r="561" customFormat="false" ht="15.75" hidden="false" customHeight="false" outlineLevel="0" collapsed="false">
      <c r="A561" s="127" t="str">
        <f aca="false">IF(ISBLANK(B561),"",B561&amp;"|"&amp;C561)</f>
        <v/>
      </c>
      <c r="B561" s="127"/>
      <c r="C561" s="127"/>
      <c r="D561" s="127"/>
      <c r="E561" s="133"/>
      <c r="F561" s="127"/>
      <c r="G561" s="127"/>
      <c r="H561" s="127"/>
      <c r="I561" s="127"/>
      <c r="J561" s="127"/>
      <c r="K561" s="127"/>
      <c r="L561" s="127"/>
      <c r="M561" s="127"/>
      <c r="N561" s="127"/>
      <c r="O561" s="127"/>
      <c r="P561" s="127"/>
      <c r="Q561" s="127"/>
      <c r="R561" s="127"/>
      <c r="S561" s="127"/>
      <c r="T561" s="127"/>
      <c r="U561" s="127"/>
      <c r="V561" s="127"/>
      <c r="W561" s="127"/>
      <c r="X561" s="127"/>
      <c r="Y561" s="127"/>
      <c r="Z561" s="127"/>
      <c r="AA561" s="127"/>
    </row>
    <row r="562" customFormat="false" ht="15.75" hidden="false" customHeight="false" outlineLevel="0" collapsed="false">
      <c r="A562" s="127" t="str">
        <f aca="false">IF(ISBLANK(B562),"",B562&amp;"|"&amp;C562)</f>
        <v/>
      </c>
      <c r="B562" s="127"/>
      <c r="C562" s="127"/>
      <c r="D562" s="127"/>
      <c r="E562" s="133"/>
      <c r="F562" s="127"/>
      <c r="G562" s="127"/>
      <c r="H562" s="127"/>
      <c r="I562" s="127"/>
      <c r="J562" s="127"/>
      <c r="K562" s="127"/>
      <c r="L562" s="127"/>
      <c r="M562" s="127"/>
      <c r="N562" s="127"/>
      <c r="O562" s="127"/>
      <c r="P562" s="127"/>
      <c r="Q562" s="127"/>
      <c r="R562" s="127"/>
      <c r="S562" s="127"/>
      <c r="T562" s="127"/>
      <c r="U562" s="127"/>
      <c r="V562" s="127"/>
      <c r="W562" s="127"/>
      <c r="X562" s="127"/>
      <c r="Y562" s="127"/>
      <c r="Z562" s="127"/>
      <c r="AA562" s="127"/>
    </row>
    <row r="563" customFormat="false" ht="15.75" hidden="false" customHeight="false" outlineLevel="0" collapsed="false">
      <c r="A563" s="127" t="str">
        <f aca="false">IF(ISBLANK(B563),"",B563&amp;"|"&amp;C563)</f>
        <v/>
      </c>
      <c r="B563" s="127"/>
      <c r="C563" s="127"/>
      <c r="D563" s="127"/>
      <c r="E563" s="133"/>
      <c r="F563" s="127"/>
      <c r="G563" s="127"/>
      <c r="H563" s="127"/>
      <c r="I563" s="127"/>
      <c r="J563" s="127"/>
      <c r="K563" s="127"/>
      <c r="L563" s="127"/>
      <c r="M563" s="127"/>
      <c r="N563" s="127"/>
      <c r="O563" s="127"/>
      <c r="P563" s="127"/>
      <c r="Q563" s="127"/>
      <c r="R563" s="127"/>
      <c r="S563" s="127"/>
      <c r="T563" s="127"/>
      <c r="U563" s="127"/>
      <c r="V563" s="127"/>
      <c r="W563" s="127"/>
      <c r="X563" s="127"/>
      <c r="Y563" s="127"/>
      <c r="Z563" s="127"/>
      <c r="AA563" s="127"/>
    </row>
    <row r="564" customFormat="false" ht="15.75" hidden="false" customHeight="false" outlineLevel="0" collapsed="false">
      <c r="A564" s="127" t="str">
        <f aca="false">IF(ISBLANK(B564),"",B564&amp;"|"&amp;C564)</f>
        <v/>
      </c>
      <c r="B564" s="127"/>
      <c r="C564" s="127"/>
      <c r="D564" s="127"/>
      <c r="E564" s="133"/>
      <c r="F564" s="127"/>
      <c r="G564" s="127"/>
      <c r="H564" s="127"/>
      <c r="I564" s="127"/>
      <c r="J564" s="127"/>
      <c r="K564" s="127"/>
      <c r="L564" s="127"/>
      <c r="M564" s="127"/>
      <c r="N564" s="127"/>
      <c r="O564" s="127"/>
      <c r="P564" s="127"/>
      <c r="Q564" s="127"/>
      <c r="R564" s="127"/>
      <c r="S564" s="127"/>
      <c r="T564" s="127"/>
      <c r="U564" s="127"/>
      <c r="V564" s="127"/>
      <c r="W564" s="127"/>
      <c r="X564" s="127"/>
      <c r="Y564" s="127"/>
      <c r="Z564" s="127"/>
      <c r="AA564" s="127"/>
    </row>
    <row r="565" customFormat="false" ht="15.75" hidden="false" customHeight="false" outlineLevel="0" collapsed="false">
      <c r="A565" s="127" t="str">
        <f aca="false">IF(ISBLANK(B565),"",B565&amp;"|"&amp;C565)</f>
        <v/>
      </c>
      <c r="B565" s="127"/>
      <c r="C565" s="127"/>
      <c r="D565" s="127"/>
      <c r="E565" s="133"/>
      <c r="F565" s="127"/>
      <c r="G565" s="127"/>
      <c r="H565" s="127"/>
      <c r="I565" s="127"/>
      <c r="J565" s="127"/>
      <c r="K565" s="127"/>
      <c r="L565" s="127"/>
      <c r="M565" s="127"/>
      <c r="N565" s="127"/>
      <c r="O565" s="127"/>
      <c r="P565" s="127"/>
      <c r="Q565" s="127"/>
      <c r="R565" s="127"/>
      <c r="S565" s="127"/>
      <c r="T565" s="127"/>
      <c r="U565" s="127"/>
      <c r="V565" s="127"/>
      <c r="W565" s="127"/>
      <c r="X565" s="127"/>
      <c r="Y565" s="127"/>
      <c r="Z565" s="127"/>
      <c r="AA565" s="127"/>
    </row>
    <row r="566" customFormat="false" ht="15.75" hidden="false" customHeight="false" outlineLevel="0" collapsed="false">
      <c r="A566" s="127" t="str">
        <f aca="false">IF(ISBLANK(B566),"",B566&amp;"|"&amp;C566)</f>
        <v/>
      </c>
      <c r="B566" s="127"/>
      <c r="C566" s="127"/>
      <c r="D566" s="127"/>
      <c r="E566" s="133"/>
      <c r="F566" s="127"/>
      <c r="G566" s="127"/>
      <c r="H566" s="127"/>
      <c r="I566" s="127"/>
      <c r="J566" s="127"/>
      <c r="K566" s="127"/>
      <c r="L566" s="127"/>
      <c r="M566" s="127"/>
      <c r="N566" s="127"/>
      <c r="O566" s="127"/>
      <c r="P566" s="127"/>
      <c r="Q566" s="127"/>
      <c r="R566" s="127"/>
      <c r="S566" s="127"/>
      <c r="T566" s="127"/>
      <c r="U566" s="127"/>
      <c r="V566" s="127"/>
      <c r="W566" s="127"/>
      <c r="X566" s="127"/>
      <c r="Y566" s="127"/>
      <c r="Z566" s="127"/>
      <c r="AA566" s="127"/>
    </row>
    <row r="567" customFormat="false" ht="15.75" hidden="false" customHeight="false" outlineLevel="0" collapsed="false">
      <c r="A567" s="127" t="str">
        <f aca="false">IF(ISBLANK(B567),"",B567&amp;"|"&amp;C567)</f>
        <v/>
      </c>
      <c r="B567" s="127"/>
      <c r="C567" s="127"/>
      <c r="D567" s="127"/>
      <c r="E567" s="133"/>
      <c r="F567" s="127"/>
      <c r="G567" s="127"/>
      <c r="H567" s="127"/>
      <c r="I567" s="127"/>
      <c r="J567" s="127"/>
      <c r="K567" s="127"/>
      <c r="L567" s="127"/>
      <c r="M567" s="127"/>
      <c r="N567" s="127"/>
      <c r="O567" s="127"/>
      <c r="P567" s="127"/>
      <c r="Q567" s="127"/>
      <c r="R567" s="127"/>
      <c r="S567" s="127"/>
      <c r="T567" s="127"/>
      <c r="U567" s="127"/>
      <c r="V567" s="127"/>
      <c r="W567" s="127"/>
      <c r="X567" s="127"/>
      <c r="Y567" s="127"/>
      <c r="Z567" s="127"/>
      <c r="AA567" s="127"/>
    </row>
    <row r="568" customFormat="false" ht="15.75" hidden="false" customHeight="false" outlineLevel="0" collapsed="false">
      <c r="A568" s="127" t="str">
        <f aca="false">IF(ISBLANK(B568),"",B568&amp;"|"&amp;C568)</f>
        <v/>
      </c>
      <c r="B568" s="127"/>
      <c r="C568" s="127"/>
      <c r="D568" s="127"/>
      <c r="E568" s="133"/>
      <c r="F568" s="127"/>
      <c r="G568" s="127"/>
      <c r="H568" s="127"/>
      <c r="I568" s="127"/>
      <c r="J568" s="127"/>
      <c r="K568" s="127"/>
      <c r="L568" s="127"/>
      <c r="M568" s="127"/>
      <c r="N568" s="127"/>
      <c r="O568" s="127"/>
      <c r="P568" s="127"/>
      <c r="Q568" s="127"/>
      <c r="R568" s="127"/>
      <c r="S568" s="127"/>
      <c r="T568" s="127"/>
      <c r="U568" s="127"/>
      <c r="V568" s="127"/>
      <c r="W568" s="127"/>
      <c r="X568" s="127"/>
      <c r="Y568" s="127"/>
      <c r="Z568" s="127"/>
      <c r="AA568" s="127"/>
    </row>
    <row r="569" customFormat="false" ht="15.75" hidden="false" customHeight="false" outlineLevel="0" collapsed="false">
      <c r="A569" s="127" t="str">
        <f aca="false">IF(ISBLANK(B569),"",B569&amp;"|"&amp;C569)</f>
        <v/>
      </c>
      <c r="B569" s="127"/>
      <c r="C569" s="127"/>
      <c r="D569" s="127"/>
      <c r="E569" s="133"/>
      <c r="F569" s="127"/>
      <c r="G569" s="127"/>
      <c r="H569" s="127"/>
      <c r="I569" s="127"/>
      <c r="J569" s="127"/>
      <c r="K569" s="127"/>
      <c r="L569" s="127"/>
      <c r="M569" s="127"/>
      <c r="N569" s="127"/>
      <c r="O569" s="127"/>
      <c r="P569" s="127"/>
      <c r="Q569" s="127"/>
      <c r="R569" s="127"/>
      <c r="S569" s="127"/>
      <c r="T569" s="127"/>
      <c r="U569" s="127"/>
      <c r="V569" s="127"/>
      <c r="W569" s="127"/>
      <c r="X569" s="127"/>
      <c r="Y569" s="127"/>
      <c r="Z569" s="127"/>
      <c r="AA569" s="127"/>
    </row>
    <row r="570" customFormat="false" ht="15.75" hidden="false" customHeight="false" outlineLevel="0" collapsed="false">
      <c r="A570" s="127" t="str">
        <f aca="false">IF(ISBLANK(B570),"",B570&amp;"|"&amp;C570)</f>
        <v/>
      </c>
      <c r="B570" s="127"/>
      <c r="C570" s="127"/>
      <c r="D570" s="127"/>
      <c r="E570" s="133"/>
      <c r="F570" s="127"/>
      <c r="G570" s="127"/>
      <c r="H570" s="127"/>
      <c r="I570" s="127"/>
      <c r="J570" s="127"/>
      <c r="K570" s="127"/>
      <c r="L570" s="127"/>
      <c r="M570" s="127"/>
      <c r="N570" s="127"/>
      <c r="O570" s="127"/>
      <c r="P570" s="127"/>
      <c r="Q570" s="127"/>
      <c r="R570" s="127"/>
      <c r="S570" s="127"/>
      <c r="T570" s="127"/>
      <c r="U570" s="127"/>
      <c r="V570" s="127"/>
      <c r="W570" s="127"/>
      <c r="X570" s="127"/>
      <c r="Y570" s="127"/>
      <c r="Z570" s="127"/>
      <c r="AA570" s="127"/>
    </row>
    <row r="571" customFormat="false" ht="15.75" hidden="false" customHeight="false" outlineLevel="0" collapsed="false">
      <c r="A571" s="127" t="str">
        <f aca="false">IF(ISBLANK(B571),"",B571&amp;"|"&amp;C571)</f>
        <v/>
      </c>
      <c r="B571" s="127"/>
      <c r="C571" s="127"/>
      <c r="D571" s="127"/>
      <c r="E571" s="133"/>
      <c r="F571" s="127"/>
      <c r="G571" s="127"/>
      <c r="H571" s="127"/>
      <c r="I571" s="127"/>
      <c r="J571" s="127"/>
      <c r="K571" s="127"/>
      <c r="L571" s="127"/>
      <c r="M571" s="127"/>
      <c r="N571" s="127"/>
      <c r="O571" s="127"/>
      <c r="P571" s="127"/>
      <c r="Q571" s="127"/>
      <c r="R571" s="127"/>
      <c r="S571" s="127"/>
      <c r="T571" s="127"/>
      <c r="U571" s="127"/>
      <c r="V571" s="127"/>
      <c r="W571" s="127"/>
      <c r="X571" s="127"/>
      <c r="Y571" s="127"/>
      <c r="Z571" s="127"/>
      <c r="AA571" s="127"/>
    </row>
    <row r="572" customFormat="false" ht="15.75" hidden="false" customHeight="false" outlineLevel="0" collapsed="false">
      <c r="A572" s="127" t="str">
        <f aca="false">IF(ISBLANK(B572),"",B572&amp;"|"&amp;C572)</f>
        <v/>
      </c>
      <c r="B572" s="127"/>
      <c r="C572" s="127"/>
      <c r="D572" s="127"/>
      <c r="E572" s="133"/>
      <c r="F572" s="127"/>
      <c r="G572" s="127"/>
      <c r="H572" s="127"/>
      <c r="I572" s="127"/>
      <c r="J572" s="127"/>
      <c r="K572" s="127"/>
      <c r="L572" s="127"/>
      <c r="M572" s="127"/>
      <c r="N572" s="127"/>
      <c r="O572" s="127"/>
      <c r="P572" s="127"/>
      <c r="Q572" s="127"/>
      <c r="R572" s="127"/>
      <c r="S572" s="127"/>
      <c r="T572" s="127"/>
      <c r="U572" s="127"/>
      <c r="V572" s="127"/>
      <c r="W572" s="127"/>
      <c r="X572" s="127"/>
      <c r="Y572" s="127"/>
      <c r="Z572" s="127"/>
      <c r="AA572" s="127"/>
    </row>
    <row r="573" customFormat="false" ht="15.75" hidden="false" customHeight="false" outlineLevel="0" collapsed="false">
      <c r="A573" s="127" t="str">
        <f aca="false">IF(ISBLANK(B573),"",B573&amp;"|"&amp;C573)</f>
        <v/>
      </c>
      <c r="B573" s="127"/>
      <c r="C573" s="127"/>
      <c r="D573" s="127"/>
      <c r="E573" s="133"/>
      <c r="F573" s="127"/>
      <c r="G573" s="127"/>
      <c r="H573" s="127"/>
      <c r="I573" s="127"/>
      <c r="J573" s="127"/>
      <c r="K573" s="127"/>
      <c r="L573" s="127"/>
      <c r="M573" s="127"/>
      <c r="N573" s="127"/>
      <c r="O573" s="127"/>
      <c r="P573" s="127"/>
      <c r="Q573" s="127"/>
      <c r="R573" s="127"/>
      <c r="S573" s="127"/>
      <c r="T573" s="127"/>
      <c r="U573" s="127"/>
      <c r="V573" s="127"/>
      <c r="W573" s="127"/>
      <c r="X573" s="127"/>
      <c r="Y573" s="127"/>
      <c r="Z573" s="127"/>
      <c r="AA573" s="127"/>
    </row>
    <row r="574" customFormat="false" ht="15.75" hidden="false" customHeight="false" outlineLevel="0" collapsed="false">
      <c r="A574" s="127" t="str">
        <f aca="false">IF(ISBLANK(B574),"",B574&amp;"|"&amp;C574)</f>
        <v/>
      </c>
      <c r="B574" s="127"/>
      <c r="C574" s="127"/>
      <c r="D574" s="127"/>
      <c r="E574" s="133"/>
      <c r="F574" s="127"/>
      <c r="G574" s="127"/>
      <c r="H574" s="127"/>
      <c r="I574" s="127"/>
      <c r="J574" s="127"/>
      <c r="K574" s="127"/>
      <c r="L574" s="127"/>
      <c r="M574" s="127"/>
      <c r="N574" s="127"/>
      <c r="O574" s="127"/>
      <c r="P574" s="127"/>
      <c r="Q574" s="127"/>
      <c r="R574" s="127"/>
      <c r="S574" s="127"/>
      <c r="T574" s="127"/>
      <c r="U574" s="127"/>
      <c r="V574" s="127"/>
      <c r="W574" s="127"/>
      <c r="X574" s="127"/>
      <c r="Y574" s="127"/>
      <c r="Z574" s="127"/>
      <c r="AA574" s="127"/>
    </row>
    <row r="575" customFormat="false" ht="15.75" hidden="false" customHeight="false" outlineLevel="0" collapsed="false">
      <c r="A575" s="127" t="str">
        <f aca="false">IF(ISBLANK(B575),"",B575&amp;"|"&amp;C575)</f>
        <v/>
      </c>
      <c r="B575" s="127"/>
      <c r="C575" s="127"/>
      <c r="D575" s="127"/>
      <c r="E575" s="133"/>
      <c r="F575" s="127"/>
      <c r="G575" s="127"/>
      <c r="H575" s="127"/>
      <c r="I575" s="127"/>
      <c r="J575" s="127"/>
      <c r="K575" s="127"/>
      <c r="L575" s="127"/>
      <c r="M575" s="127"/>
      <c r="N575" s="127"/>
      <c r="O575" s="127"/>
      <c r="P575" s="127"/>
      <c r="Q575" s="127"/>
      <c r="R575" s="127"/>
      <c r="S575" s="127"/>
      <c r="T575" s="127"/>
      <c r="U575" s="127"/>
      <c r="V575" s="127"/>
      <c r="W575" s="127"/>
      <c r="X575" s="127"/>
      <c r="Y575" s="127"/>
      <c r="Z575" s="127"/>
      <c r="AA575" s="127"/>
    </row>
    <row r="576" customFormat="false" ht="15.75" hidden="false" customHeight="false" outlineLevel="0" collapsed="false">
      <c r="A576" s="127" t="str">
        <f aca="false">IF(ISBLANK(B576),"",B576&amp;"|"&amp;C576)</f>
        <v/>
      </c>
      <c r="B576" s="127"/>
      <c r="C576" s="127"/>
      <c r="D576" s="127"/>
      <c r="E576" s="133"/>
      <c r="F576" s="127"/>
      <c r="G576" s="127"/>
      <c r="H576" s="127"/>
      <c r="I576" s="127"/>
      <c r="J576" s="127"/>
      <c r="K576" s="127"/>
      <c r="L576" s="127"/>
      <c r="M576" s="127"/>
      <c r="N576" s="127"/>
      <c r="O576" s="127"/>
      <c r="P576" s="127"/>
      <c r="Q576" s="127"/>
      <c r="R576" s="127"/>
      <c r="S576" s="127"/>
      <c r="T576" s="127"/>
      <c r="U576" s="127"/>
      <c r="V576" s="127"/>
      <c r="W576" s="127"/>
      <c r="X576" s="127"/>
      <c r="Y576" s="127"/>
      <c r="Z576" s="127"/>
      <c r="AA576" s="127"/>
    </row>
    <row r="577" customFormat="false" ht="15.75" hidden="false" customHeight="false" outlineLevel="0" collapsed="false">
      <c r="A577" s="127" t="str">
        <f aca="false">IF(ISBLANK(B577),"",B577&amp;"|"&amp;C577)</f>
        <v/>
      </c>
      <c r="B577" s="127"/>
      <c r="C577" s="127"/>
      <c r="D577" s="127"/>
      <c r="E577" s="133"/>
      <c r="F577" s="127"/>
      <c r="G577" s="127"/>
      <c r="H577" s="127"/>
      <c r="I577" s="127"/>
      <c r="J577" s="127"/>
      <c r="K577" s="127"/>
      <c r="L577" s="127"/>
      <c r="M577" s="127"/>
      <c r="N577" s="127"/>
      <c r="O577" s="127"/>
      <c r="P577" s="127"/>
      <c r="Q577" s="127"/>
      <c r="R577" s="127"/>
      <c r="S577" s="127"/>
      <c r="T577" s="127"/>
      <c r="U577" s="127"/>
      <c r="V577" s="127"/>
      <c r="W577" s="127"/>
      <c r="X577" s="127"/>
      <c r="Y577" s="127"/>
      <c r="Z577" s="127"/>
      <c r="AA577" s="127"/>
    </row>
    <row r="578" customFormat="false" ht="15.75" hidden="false" customHeight="false" outlineLevel="0" collapsed="false">
      <c r="A578" s="127" t="str">
        <f aca="false">IF(ISBLANK(B578),"",B578&amp;"|"&amp;C578)</f>
        <v/>
      </c>
      <c r="B578" s="127"/>
      <c r="C578" s="127"/>
      <c r="D578" s="127"/>
      <c r="E578" s="133"/>
      <c r="F578" s="127"/>
      <c r="G578" s="127"/>
      <c r="H578" s="127"/>
      <c r="I578" s="127"/>
      <c r="J578" s="127"/>
      <c r="K578" s="127"/>
      <c r="L578" s="127"/>
      <c r="M578" s="127"/>
      <c r="N578" s="127"/>
      <c r="O578" s="127"/>
      <c r="P578" s="127"/>
      <c r="Q578" s="127"/>
      <c r="R578" s="127"/>
      <c r="S578" s="127"/>
      <c r="T578" s="127"/>
      <c r="U578" s="127"/>
      <c r="V578" s="127"/>
      <c r="W578" s="127"/>
      <c r="X578" s="127"/>
      <c r="Y578" s="127"/>
      <c r="Z578" s="127"/>
      <c r="AA578" s="127"/>
    </row>
    <row r="579" customFormat="false" ht="15.75" hidden="false" customHeight="false" outlineLevel="0" collapsed="false">
      <c r="A579" s="127" t="str">
        <f aca="false">IF(ISBLANK(B579),"",B579&amp;"|"&amp;C579)</f>
        <v/>
      </c>
      <c r="B579" s="127"/>
      <c r="C579" s="127"/>
      <c r="D579" s="127"/>
      <c r="E579" s="133"/>
      <c r="F579" s="127"/>
      <c r="G579" s="127"/>
      <c r="H579" s="127"/>
      <c r="I579" s="127"/>
      <c r="J579" s="127"/>
      <c r="K579" s="127"/>
      <c r="L579" s="127"/>
      <c r="M579" s="127"/>
      <c r="N579" s="127"/>
      <c r="O579" s="127"/>
      <c r="P579" s="127"/>
      <c r="Q579" s="127"/>
      <c r="R579" s="127"/>
      <c r="S579" s="127"/>
      <c r="T579" s="127"/>
      <c r="U579" s="127"/>
      <c r="V579" s="127"/>
      <c r="W579" s="127"/>
      <c r="X579" s="127"/>
      <c r="Y579" s="127"/>
      <c r="Z579" s="127"/>
      <c r="AA579" s="127"/>
    </row>
    <row r="580" customFormat="false" ht="15.75" hidden="false" customHeight="false" outlineLevel="0" collapsed="false">
      <c r="A580" s="127" t="str">
        <f aca="false">IF(ISBLANK(B580),"",B580&amp;"|"&amp;C580)</f>
        <v/>
      </c>
      <c r="B580" s="127"/>
      <c r="C580" s="127"/>
      <c r="D580" s="127"/>
      <c r="E580" s="133"/>
      <c r="F580" s="127"/>
      <c r="G580" s="127"/>
      <c r="H580" s="127"/>
      <c r="I580" s="127"/>
      <c r="J580" s="127"/>
      <c r="K580" s="127"/>
      <c r="L580" s="127"/>
      <c r="M580" s="127"/>
      <c r="N580" s="127"/>
      <c r="O580" s="127"/>
      <c r="P580" s="127"/>
      <c r="Q580" s="127"/>
      <c r="R580" s="127"/>
      <c r="S580" s="127"/>
      <c r="T580" s="127"/>
      <c r="U580" s="127"/>
      <c r="V580" s="127"/>
      <c r="W580" s="127"/>
      <c r="X580" s="127"/>
      <c r="Y580" s="127"/>
      <c r="Z580" s="127"/>
      <c r="AA580" s="127"/>
    </row>
    <row r="581" customFormat="false" ht="15.75" hidden="false" customHeight="false" outlineLevel="0" collapsed="false">
      <c r="A581" s="127" t="str">
        <f aca="false">IF(ISBLANK(B581),"",B581&amp;"|"&amp;C581)</f>
        <v/>
      </c>
      <c r="B581" s="127"/>
      <c r="C581" s="127"/>
      <c r="D581" s="127"/>
      <c r="E581" s="133"/>
      <c r="F581" s="127"/>
      <c r="G581" s="127"/>
      <c r="H581" s="127"/>
      <c r="I581" s="127"/>
      <c r="J581" s="127"/>
      <c r="K581" s="127"/>
      <c r="L581" s="127"/>
      <c r="M581" s="127"/>
      <c r="N581" s="127"/>
      <c r="O581" s="127"/>
      <c r="P581" s="127"/>
      <c r="Q581" s="127"/>
      <c r="R581" s="127"/>
      <c r="S581" s="127"/>
      <c r="T581" s="127"/>
      <c r="U581" s="127"/>
      <c r="V581" s="127"/>
      <c r="W581" s="127"/>
      <c r="X581" s="127"/>
      <c r="Y581" s="127"/>
      <c r="Z581" s="127"/>
      <c r="AA581" s="127"/>
    </row>
    <row r="582" customFormat="false" ht="15.75" hidden="false" customHeight="false" outlineLevel="0" collapsed="false">
      <c r="A582" s="127" t="str">
        <f aca="false">IF(ISBLANK(B582),"",B582&amp;"|"&amp;C582)</f>
        <v/>
      </c>
      <c r="B582" s="127"/>
      <c r="C582" s="127"/>
      <c r="D582" s="127"/>
      <c r="E582" s="133"/>
      <c r="F582" s="127"/>
      <c r="G582" s="127"/>
      <c r="H582" s="127"/>
      <c r="I582" s="127"/>
      <c r="J582" s="127"/>
      <c r="K582" s="127"/>
      <c r="L582" s="127"/>
      <c r="M582" s="127"/>
      <c r="N582" s="127"/>
      <c r="O582" s="127"/>
      <c r="P582" s="127"/>
      <c r="Q582" s="127"/>
      <c r="R582" s="127"/>
      <c r="S582" s="127"/>
      <c r="T582" s="127"/>
      <c r="U582" s="127"/>
      <c r="V582" s="127"/>
      <c r="W582" s="127"/>
      <c r="X582" s="127"/>
      <c r="Y582" s="127"/>
      <c r="Z582" s="127"/>
      <c r="AA582" s="127"/>
    </row>
    <row r="583" customFormat="false" ht="15.75" hidden="false" customHeight="false" outlineLevel="0" collapsed="false">
      <c r="A583" s="127" t="str">
        <f aca="false">IF(ISBLANK(B583),"",B583&amp;"|"&amp;C583)</f>
        <v/>
      </c>
      <c r="B583" s="127"/>
      <c r="C583" s="127"/>
      <c r="D583" s="127"/>
      <c r="E583" s="133"/>
      <c r="F583" s="127"/>
      <c r="G583" s="127"/>
      <c r="H583" s="127"/>
      <c r="I583" s="127"/>
      <c r="J583" s="127"/>
      <c r="K583" s="127"/>
      <c r="L583" s="127"/>
      <c r="M583" s="127"/>
      <c r="N583" s="127"/>
      <c r="O583" s="127"/>
      <c r="P583" s="127"/>
      <c r="Q583" s="127"/>
      <c r="R583" s="127"/>
      <c r="S583" s="127"/>
      <c r="T583" s="127"/>
      <c r="U583" s="127"/>
      <c r="V583" s="127"/>
      <c r="W583" s="127"/>
      <c r="X583" s="127"/>
      <c r="Y583" s="127"/>
      <c r="Z583" s="127"/>
      <c r="AA583" s="127"/>
    </row>
    <row r="584" customFormat="false" ht="15.75" hidden="false" customHeight="false" outlineLevel="0" collapsed="false">
      <c r="A584" s="127" t="str">
        <f aca="false">IF(ISBLANK(B584),"",B584&amp;"|"&amp;C584)</f>
        <v/>
      </c>
      <c r="B584" s="127"/>
      <c r="C584" s="127"/>
      <c r="D584" s="127"/>
      <c r="E584" s="133"/>
      <c r="F584" s="127"/>
      <c r="G584" s="127"/>
      <c r="H584" s="127"/>
      <c r="I584" s="127"/>
      <c r="J584" s="127"/>
      <c r="K584" s="127"/>
      <c r="L584" s="127"/>
      <c r="M584" s="127"/>
      <c r="N584" s="127"/>
      <c r="O584" s="127"/>
      <c r="P584" s="127"/>
      <c r="Q584" s="127"/>
      <c r="R584" s="127"/>
      <c r="S584" s="127"/>
      <c r="T584" s="127"/>
      <c r="U584" s="127"/>
      <c r="V584" s="127"/>
      <c r="W584" s="127"/>
      <c r="X584" s="127"/>
      <c r="Y584" s="127"/>
      <c r="Z584" s="127"/>
      <c r="AA584" s="127"/>
    </row>
    <row r="585" customFormat="false" ht="15.75" hidden="false" customHeight="false" outlineLevel="0" collapsed="false">
      <c r="A585" s="127" t="str">
        <f aca="false">IF(ISBLANK(B585),"",B585&amp;"|"&amp;C585)</f>
        <v/>
      </c>
      <c r="B585" s="127"/>
      <c r="C585" s="127"/>
      <c r="D585" s="127"/>
      <c r="E585" s="133"/>
      <c r="F585" s="127"/>
      <c r="G585" s="127"/>
      <c r="H585" s="127"/>
      <c r="I585" s="127"/>
      <c r="J585" s="127"/>
      <c r="K585" s="127"/>
      <c r="L585" s="127"/>
      <c r="M585" s="127"/>
      <c r="N585" s="127"/>
      <c r="O585" s="127"/>
      <c r="P585" s="127"/>
      <c r="Q585" s="127"/>
      <c r="R585" s="127"/>
      <c r="S585" s="127"/>
      <c r="T585" s="127"/>
      <c r="U585" s="127"/>
      <c r="V585" s="127"/>
      <c r="W585" s="127"/>
      <c r="X585" s="127"/>
      <c r="Y585" s="127"/>
      <c r="Z585" s="127"/>
      <c r="AA585" s="127"/>
    </row>
    <row r="586" customFormat="false" ht="15.75" hidden="false" customHeight="false" outlineLevel="0" collapsed="false">
      <c r="A586" s="127" t="str">
        <f aca="false">IF(ISBLANK(B586),"",B586&amp;"|"&amp;C586)</f>
        <v/>
      </c>
      <c r="B586" s="127"/>
      <c r="C586" s="127"/>
      <c r="D586" s="127"/>
      <c r="E586" s="133"/>
      <c r="F586" s="127"/>
      <c r="G586" s="127"/>
      <c r="H586" s="127"/>
      <c r="I586" s="127"/>
      <c r="J586" s="127"/>
      <c r="K586" s="127"/>
      <c r="L586" s="127"/>
      <c r="M586" s="127"/>
      <c r="N586" s="127"/>
      <c r="O586" s="127"/>
      <c r="P586" s="127"/>
      <c r="Q586" s="127"/>
      <c r="R586" s="127"/>
      <c r="S586" s="127"/>
      <c r="T586" s="127"/>
      <c r="U586" s="127"/>
      <c r="V586" s="127"/>
      <c r="W586" s="127"/>
      <c r="X586" s="127"/>
      <c r="Y586" s="127"/>
      <c r="Z586" s="127"/>
      <c r="AA586" s="127"/>
    </row>
    <row r="587" customFormat="false" ht="15.75" hidden="false" customHeight="false" outlineLevel="0" collapsed="false">
      <c r="A587" s="127" t="str">
        <f aca="false">IF(ISBLANK(B587),"",B587&amp;"|"&amp;C587)</f>
        <v/>
      </c>
      <c r="B587" s="127"/>
      <c r="C587" s="127"/>
      <c r="D587" s="127"/>
      <c r="E587" s="133"/>
      <c r="F587" s="127"/>
      <c r="G587" s="127"/>
      <c r="H587" s="127"/>
      <c r="I587" s="127"/>
      <c r="J587" s="127"/>
      <c r="K587" s="127"/>
      <c r="L587" s="127"/>
      <c r="M587" s="127"/>
      <c r="N587" s="127"/>
      <c r="O587" s="127"/>
      <c r="P587" s="127"/>
      <c r="Q587" s="127"/>
      <c r="R587" s="127"/>
      <c r="S587" s="127"/>
      <c r="T587" s="127"/>
      <c r="U587" s="127"/>
      <c r="V587" s="127"/>
      <c r="W587" s="127"/>
      <c r="X587" s="127"/>
      <c r="Y587" s="127"/>
      <c r="Z587" s="127"/>
      <c r="AA587" s="127"/>
    </row>
    <row r="588" customFormat="false" ht="15.75" hidden="false" customHeight="false" outlineLevel="0" collapsed="false">
      <c r="A588" s="127" t="str">
        <f aca="false">IF(ISBLANK(B588),"",B588&amp;"|"&amp;C588)</f>
        <v/>
      </c>
      <c r="B588" s="127"/>
      <c r="C588" s="127"/>
      <c r="D588" s="127"/>
      <c r="E588" s="133"/>
      <c r="F588" s="127"/>
      <c r="G588" s="127"/>
      <c r="H588" s="127"/>
      <c r="I588" s="127"/>
      <c r="J588" s="127"/>
      <c r="K588" s="127"/>
      <c r="L588" s="127"/>
      <c r="M588" s="127"/>
      <c r="N588" s="127"/>
      <c r="O588" s="127"/>
      <c r="P588" s="127"/>
      <c r="Q588" s="127"/>
      <c r="R588" s="127"/>
      <c r="S588" s="127"/>
      <c r="T588" s="127"/>
      <c r="U588" s="127"/>
      <c r="V588" s="127"/>
      <c r="W588" s="127"/>
      <c r="X588" s="127"/>
      <c r="Y588" s="127"/>
      <c r="Z588" s="127"/>
      <c r="AA588" s="127"/>
    </row>
    <row r="589" customFormat="false" ht="15.75" hidden="false" customHeight="false" outlineLevel="0" collapsed="false">
      <c r="A589" s="127" t="str">
        <f aca="false">IF(ISBLANK(B589),"",B589&amp;"|"&amp;C589)</f>
        <v/>
      </c>
      <c r="B589" s="127"/>
      <c r="C589" s="127"/>
      <c r="D589" s="127"/>
      <c r="E589" s="133"/>
      <c r="F589" s="127"/>
      <c r="G589" s="127"/>
      <c r="H589" s="127"/>
      <c r="I589" s="127"/>
      <c r="J589" s="127"/>
      <c r="K589" s="127"/>
      <c r="L589" s="127"/>
      <c r="M589" s="127"/>
      <c r="N589" s="127"/>
      <c r="O589" s="127"/>
      <c r="P589" s="127"/>
      <c r="Q589" s="127"/>
      <c r="R589" s="127"/>
      <c r="S589" s="127"/>
      <c r="T589" s="127"/>
      <c r="U589" s="127"/>
      <c r="V589" s="127"/>
      <c r="W589" s="127"/>
      <c r="X589" s="127"/>
      <c r="Y589" s="127"/>
      <c r="Z589" s="127"/>
      <c r="AA589" s="127"/>
    </row>
    <row r="590" customFormat="false" ht="15.75" hidden="false" customHeight="false" outlineLevel="0" collapsed="false">
      <c r="A590" s="127" t="str">
        <f aca="false">IF(ISBLANK(B590),"",B590&amp;"|"&amp;C590)</f>
        <v/>
      </c>
      <c r="B590" s="127"/>
      <c r="C590" s="127"/>
      <c r="D590" s="127"/>
      <c r="E590" s="133"/>
      <c r="F590" s="127"/>
      <c r="G590" s="127"/>
      <c r="H590" s="127"/>
      <c r="I590" s="127"/>
      <c r="J590" s="127"/>
      <c r="K590" s="127"/>
      <c r="L590" s="127"/>
      <c r="M590" s="127"/>
      <c r="N590" s="127"/>
      <c r="O590" s="127"/>
      <c r="P590" s="127"/>
      <c r="Q590" s="127"/>
      <c r="R590" s="127"/>
      <c r="S590" s="127"/>
      <c r="T590" s="127"/>
      <c r="U590" s="127"/>
      <c r="V590" s="127"/>
      <c r="W590" s="127"/>
      <c r="X590" s="127"/>
      <c r="Y590" s="127"/>
      <c r="Z590" s="127"/>
      <c r="AA590" s="127"/>
    </row>
    <row r="591" customFormat="false" ht="15.75" hidden="false" customHeight="false" outlineLevel="0" collapsed="false">
      <c r="A591" s="127" t="str">
        <f aca="false">IF(ISBLANK(B591),"",B591&amp;"|"&amp;C591)</f>
        <v/>
      </c>
      <c r="B591" s="127"/>
      <c r="C591" s="127"/>
      <c r="D591" s="127"/>
      <c r="E591" s="133"/>
      <c r="F591" s="127"/>
      <c r="G591" s="127"/>
      <c r="H591" s="127"/>
      <c r="I591" s="127"/>
      <c r="J591" s="127"/>
      <c r="K591" s="127"/>
      <c r="L591" s="127"/>
      <c r="M591" s="127"/>
      <c r="N591" s="127"/>
      <c r="O591" s="127"/>
      <c r="P591" s="127"/>
      <c r="Q591" s="127"/>
      <c r="R591" s="127"/>
      <c r="S591" s="127"/>
      <c r="T591" s="127"/>
      <c r="U591" s="127"/>
      <c r="V591" s="127"/>
      <c r="W591" s="127"/>
      <c r="X591" s="127"/>
      <c r="Y591" s="127"/>
      <c r="Z591" s="127"/>
      <c r="AA591" s="127"/>
    </row>
    <row r="592" customFormat="false" ht="15.75" hidden="false" customHeight="false" outlineLevel="0" collapsed="false">
      <c r="A592" s="127" t="str">
        <f aca="false">IF(ISBLANK(B592),"",B592&amp;"|"&amp;C592)</f>
        <v/>
      </c>
      <c r="B592" s="127"/>
      <c r="C592" s="127"/>
      <c r="D592" s="127"/>
      <c r="E592" s="133"/>
      <c r="F592" s="127"/>
      <c r="G592" s="127"/>
      <c r="H592" s="127"/>
      <c r="I592" s="127"/>
      <c r="J592" s="127"/>
      <c r="K592" s="127"/>
      <c r="L592" s="127"/>
      <c r="M592" s="127"/>
      <c r="N592" s="127"/>
      <c r="O592" s="127"/>
      <c r="P592" s="127"/>
      <c r="Q592" s="127"/>
      <c r="R592" s="127"/>
      <c r="S592" s="127"/>
      <c r="T592" s="127"/>
      <c r="U592" s="127"/>
      <c r="V592" s="127"/>
      <c r="W592" s="127"/>
      <c r="X592" s="127"/>
      <c r="Y592" s="127"/>
      <c r="Z592" s="127"/>
      <c r="AA592" s="127"/>
    </row>
    <row r="593" customFormat="false" ht="15.75" hidden="false" customHeight="false" outlineLevel="0" collapsed="false">
      <c r="A593" s="127" t="str">
        <f aca="false">IF(ISBLANK(B593),"",B593&amp;"|"&amp;C593)</f>
        <v/>
      </c>
      <c r="B593" s="127"/>
      <c r="C593" s="127"/>
      <c r="D593" s="127"/>
      <c r="E593" s="133"/>
      <c r="F593" s="127"/>
      <c r="G593" s="127"/>
      <c r="H593" s="127"/>
      <c r="I593" s="127"/>
      <c r="J593" s="127"/>
      <c r="K593" s="127"/>
      <c r="L593" s="127"/>
      <c r="M593" s="127"/>
      <c r="N593" s="127"/>
      <c r="O593" s="127"/>
      <c r="P593" s="127"/>
      <c r="Q593" s="127"/>
      <c r="R593" s="127"/>
      <c r="S593" s="127"/>
      <c r="T593" s="127"/>
      <c r="U593" s="127"/>
      <c r="V593" s="127"/>
      <c r="W593" s="127"/>
      <c r="X593" s="127"/>
      <c r="Y593" s="127"/>
      <c r="Z593" s="127"/>
      <c r="AA593" s="127"/>
    </row>
    <row r="594" customFormat="false" ht="15.75" hidden="false" customHeight="false" outlineLevel="0" collapsed="false">
      <c r="A594" s="127" t="str">
        <f aca="false">IF(ISBLANK(B594),"",B594&amp;"|"&amp;C594)</f>
        <v/>
      </c>
      <c r="B594" s="127"/>
      <c r="C594" s="127"/>
      <c r="D594" s="127"/>
      <c r="E594" s="133"/>
      <c r="F594" s="127"/>
      <c r="G594" s="127"/>
      <c r="H594" s="127"/>
      <c r="I594" s="127"/>
      <c r="J594" s="127"/>
      <c r="K594" s="127"/>
      <c r="L594" s="127"/>
      <c r="M594" s="127"/>
      <c r="N594" s="127"/>
      <c r="O594" s="127"/>
      <c r="P594" s="127"/>
      <c r="Q594" s="127"/>
      <c r="R594" s="127"/>
      <c r="S594" s="127"/>
      <c r="T594" s="127"/>
      <c r="U594" s="127"/>
      <c r="V594" s="127"/>
      <c r="W594" s="127"/>
      <c r="X594" s="127"/>
      <c r="Y594" s="127"/>
      <c r="Z594" s="127"/>
      <c r="AA594" s="127"/>
    </row>
    <row r="595" customFormat="false" ht="15.75" hidden="false" customHeight="false" outlineLevel="0" collapsed="false">
      <c r="A595" s="127" t="str">
        <f aca="false">IF(ISBLANK(B595),"",B595&amp;"|"&amp;C595)</f>
        <v/>
      </c>
      <c r="B595" s="127"/>
      <c r="C595" s="127"/>
      <c r="D595" s="127"/>
      <c r="E595" s="133"/>
      <c r="F595" s="127"/>
      <c r="G595" s="127"/>
      <c r="H595" s="127"/>
      <c r="I595" s="127"/>
      <c r="J595" s="127"/>
      <c r="K595" s="127"/>
      <c r="L595" s="127"/>
      <c r="M595" s="127"/>
      <c r="N595" s="127"/>
      <c r="O595" s="127"/>
      <c r="P595" s="127"/>
      <c r="Q595" s="127"/>
      <c r="R595" s="127"/>
      <c r="S595" s="127"/>
      <c r="T595" s="127"/>
      <c r="U595" s="127"/>
      <c r="V595" s="127"/>
      <c r="W595" s="127"/>
      <c r="X595" s="127"/>
      <c r="Y595" s="127"/>
      <c r="Z595" s="127"/>
      <c r="AA595" s="127"/>
    </row>
    <row r="596" customFormat="false" ht="15.75" hidden="false" customHeight="false" outlineLevel="0" collapsed="false">
      <c r="A596" s="127" t="str">
        <f aca="false">IF(ISBLANK(B596),"",B596&amp;"|"&amp;C596)</f>
        <v/>
      </c>
      <c r="B596" s="127"/>
      <c r="C596" s="127"/>
      <c r="D596" s="127"/>
      <c r="E596" s="133"/>
      <c r="F596" s="127"/>
      <c r="G596" s="127"/>
      <c r="H596" s="127"/>
      <c r="I596" s="127"/>
      <c r="J596" s="127"/>
      <c r="K596" s="127"/>
      <c r="L596" s="127"/>
      <c r="M596" s="127"/>
      <c r="N596" s="127"/>
      <c r="O596" s="127"/>
      <c r="P596" s="127"/>
      <c r="Q596" s="127"/>
      <c r="R596" s="127"/>
      <c r="S596" s="127"/>
      <c r="T596" s="127"/>
      <c r="U596" s="127"/>
      <c r="V596" s="127"/>
      <c r="W596" s="127"/>
      <c r="X596" s="127"/>
      <c r="Y596" s="127"/>
      <c r="Z596" s="127"/>
      <c r="AA596" s="127"/>
    </row>
    <row r="597" customFormat="false" ht="15.75" hidden="false" customHeight="false" outlineLevel="0" collapsed="false">
      <c r="A597" s="127" t="str">
        <f aca="false">IF(ISBLANK(B597),"",B597&amp;"|"&amp;C597)</f>
        <v/>
      </c>
      <c r="B597" s="127"/>
      <c r="C597" s="127"/>
      <c r="D597" s="127"/>
      <c r="E597" s="133"/>
      <c r="F597" s="127"/>
      <c r="G597" s="127"/>
      <c r="H597" s="127"/>
      <c r="I597" s="127"/>
      <c r="J597" s="127"/>
      <c r="K597" s="127"/>
      <c r="L597" s="127"/>
      <c r="M597" s="127"/>
      <c r="N597" s="127"/>
      <c r="O597" s="127"/>
      <c r="P597" s="127"/>
      <c r="Q597" s="127"/>
      <c r="R597" s="127"/>
      <c r="S597" s="127"/>
      <c r="T597" s="127"/>
      <c r="U597" s="127"/>
      <c r="V597" s="127"/>
      <c r="W597" s="127"/>
      <c r="X597" s="127"/>
      <c r="Y597" s="127"/>
      <c r="Z597" s="127"/>
      <c r="AA597" s="127"/>
    </row>
    <row r="598" customFormat="false" ht="15.75" hidden="false" customHeight="false" outlineLevel="0" collapsed="false">
      <c r="A598" s="127" t="str">
        <f aca="false">IF(ISBLANK(B598),"",B598&amp;"|"&amp;C598)</f>
        <v/>
      </c>
      <c r="B598" s="127"/>
      <c r="C598" s="127"/>
      <c r="D598" s="127"/>
      <c r="E598" s="133"/>
      <c r="F598" s="127"/>
      <c r="G598" s="127"/>
      <c r="H598" s="127"/>
      <c r="I598" s="127"/>
      <c r="J598" s="127"/>
      <c r="K598" s="127"/>
      <c r="L598" s="127"/>
      <c r="M598" s="127"/>
      <c r="N598" s="127"/>
      <c r="O598" s="127"/>
      <c r="P598" s="127"/>
      <c r="Q598" s="127"/>
      <c r="R598" s="127"/>
      <c r="S598" s="127"/>
      <c r="T598" s="127"/>
      <c r="U598" s="127"/>
      <c r="V598" s="127"/>
      <c r="W598" s="127"/>
      <c r="X598" s="127"/>
      <c r="Y598" s="127"/>
      <c r="Z598" s="127"/>
      <c r="AA598" s="127"/>
    </row>
    <row r="599" customFormat="false" ht="15.75" hidden="false" customHeight="false" outlineLevel="0" collapsed="false">
      <c r="A599" s="127" t="str">
        <f aca="false">IF(ISBLANK(B599),"",B599&amp;"|"&amp;C599)</f>
        <v/>
      </c>
      <c r="B599" s="127"/>
      <c r="C599" s="127"/>
      <c r="D599" s="127"/>
      <c r="E599" s="133"/>
      <c r="F599" s="127"/>
      <c r="G599" s="127"/>
      <c r="H599" s="127"/>
      <c r="I599" s="127"/>
      <c r="J599" s="127"/>
      <c r="K599" s="127"/>
      <c r="L599" s="127"/>
      <c r="M599" s="127"/>
      <c r="N599" s="127"/>
      <c r="O599" s="127"/>
      <c r="P599" s="127"/>
      <c r="Q599" s="127"/>
      <c r="R599" s="127"/>
      <c r="S599" s="127"/>
      <c r="T599" s="127"/>
      <c r="U599" s="127"/>
      <c r="V599" s="127"/>
      <c r="W599" s="127"/>
      <c r="X599" s="127"/>
      <c r="Y599" s="127"/>
      <c r="Z599" s="127"/>
      <c r="AA599" s="127"/>
    </row>
    <row r="600" customFormat="false" ht="15.75" hidden="false" customHeight="false" outlineLevel="0" collapsed="false">
      <c r="A600" s="127" t="str">
        <f aca="false">IF(ISBLANK(B600),"",B600&amp;"|"&amp;C600)</f>
        <v/>
      </c>
      <c r="B600" s="127"/>
      <c r="C600" s="127"/>
      <c r="D600" s="127"/>
      <c r="E600" s="133"/>
      <c r="F600" s="127"/>
      <c r="G600" s="127"/>
      <c r="H600" s="127"/>
      <c r="I600" s="127"/>
      <c r="J600" s="127"/>
      <c r="K600" s="127"/>
      <c r="L600" s="127"/>
      <c r="M600" s="127"/>
      <c r="N600" s="127"/>
      <c r="O600" s="127"/>
      <c r="P600" s="127"/>
      <c r="Q600" s="127"/>
      <c r="R600" s="127"/>
      <c r="S600" s="127"/>
      <c r="T600" s="127"/>
      <c r="U600" s="127"/>
      <c r="V600" s="127"/>
      <c r="W600" s="127"/>
      <c r="X600" s="127"/>
      <c r="Y600" s="127"/>
      <c r="Z600" s="127"/>
      <c r="AA600" s="127"/>
    </row>
    <row r="601" customFormat="false" ht="15.75" hidden="false" customHeight="false" outlineLevel="0" collapsed="false">
      <c r="A601" s="127" t="str">
        <f aca="false">IF(ISBLANK(B601),"",B601&amp;"|"&amp;C601)</f>
        <v/>
      </c>
      <c r="B601" s="127"/>
      <c r="C601" s="127"/>
      <c r="D601" s="127"/>
      <c r="E601" s="133"/>
      <c r="F601" s="127"/>
      <c r="G601" s="127"/>
      <c r="H601" s="127"/>
      <c r="I601" s="127"/>
      <c r="J601" s="127"/>
      <c r="K601" s="127"/>
      <c r="L601" s="127"/>
      <c r="M601" s="127"/>
      <c r="N601" s="127"/>
      <c r="O601" s="127"/>
      <c r="P601" s="127"/>
      <c r="Q601" s="127"/>
      <c r="R601" s="127"/>
      <c r="S601" s="127"/>
      <c r="T601" s="127"/>
      <c r="U601" s="127"/>
      <c r="V601" s="127"/>
      <c r="W601" s="127"/>
      <c r="X601" s="127"/>
      <c r="Y601" s="127"/>
      <c r="Z601" s="127"/>
      <c r="AA601" s="127"/>
    </row>
    <row r="602" customFormat="false" ht="15.75" hidden="false" customHeight="false" outlineLevel="0" collapsed="false">
      <c r="A602" s="127" t="str">
        <f aca="false">IF(ISBLANK(B602),"",B602&amp;"|"&amp;C602)</f>
        <v/>
      </c>
      <c r="B602" s="127"/>
      <c r="C602" s="127"/>
      <c r="D602" s="127"/>
      <c r="E602" s="133"/>
      <c r="F602" s="127"/>
      <c r="G602" s="127"/>
      <c r="H602" s="127"/>
      <c r="I602" s="127"/>
      <c r="J602" s="127"/>
      <c r="K602" s="127"/>
      <c r="L602" s="127"/>
      <c r="M602" s="127"/>
      <c r="N602" s="127"/>
      <c r="O602" s="127"/>
      <c r="P602" s="127"/>
      <c r="Q602" s="127"/>
      <c r="R602" s="127"/>
      <c r="S602" s="127"/>
      <c r="T602" s="127"/>
      <c r="U602" s="127"/>
      <c r="V602" s="127"/>
      <c r="W602" s="127"/>
      <c r="X602" s="127"/>
      <c r="Y602" s="127"/>
      <c r="Z602" s="127"/>
      <c r="AA602" s="127"/>
    </row>
    <row r="603" customFormat="false" ht="15.75" hidden="false" customHeight="false" outlineLevel="0" collapsed="false">
      <c r="A603" s="127" t="str">
        <f aca="false">IF(ISBLANK(B603),"",B603&amp;"|"&amp;C603)</f>
        <v/>
      </c>
      <c r="B603" s="127"/>
      <c r="C603" s="127"/>
      <c r="D603" s="127"/>
      <c r="E603" s="133"/>
      <c r="F603" s="127"/>
      <c r="G603" s="127"/>
      <c r="H603" s="127"/>
      <c r="I603" s="127"/>
      <c r="J603" s="127"/>
      <c r="K603" s="127"/>
      <c r="L603" s="127"/>
      <c r="M603" s="127"/>
      <c r="N603" s="127"/>
      <c r="O603" s="127"/>
      <c r="P603" s="127"/>
      <c r="Q603" s="127"/>
      <c r="R603" s="127"/>
      <c r="S603" s="127"/>
      <c r="T603" s="127"/>
      <c r="U603" s="127"/>
      <c r="V603" s="127"/>
      <c r="W603" s="127"/>
      <c r="X603" s="127"/>
      <c r="Y603" s="127"/>
      <c r="Z603" s="127"/>
      <c r="AA603" s="127"/>
    </row>
    <row r="604" customFormat="false" ht="15.75" hidden="false" customHeight="false" outlineLevel="0" collapsed="false">
      <c r="A604" s="127" t="str">
        <f aca="false">IF(ISBLANK(B604),"",B604&amp;"|"&amp;C604)</f>
        <v/>
      </c>
      <c r="B604" s="127"/>
      <c r="C604" s="127"/>
      <c r="D604" s="127"/>
      <c r="E604" s="133"/>
      <c r="F604" s="127"/>
      <c r="G604" s="127"/>
      <c r="H604" s="127"/>
      <c r="I604" s="127"/>
      <c r="J604" s="127"/>
      <c r="K604" s="127"/>
      <c r="L604" s="127"/>
      <c r="M604" s="127"/>
      <c r="N604" s="127"/>
      <c r="O604" s="127"/>
      <c r="P604" s="127"/>
      <c r="Q604" s="127"/>
      <c r="R604" s="127"/>
      <c r="S604" s="127"/>
      <c r="T604" s="127"/>
      <c r="U604" s="127"/>
      <c r="V604" s="127"/>
      <c r="W604" s="127"/>
      <c r="X604" s="127"/>
      <c r="Y604" s="127"/>
      <c r="Z604" s="127"/>
      <c r="AA604" s="127"/>
    </row>
    <row r="605" customFormat="false" ht="15.75" hidden="false" customHeight="false" outlineLevel="0" collapsed="false">
      <c r="A605" s="127" t="str">
        <f aca="false">IF(ISBLANK(B605),"",B605&amp;"|"&amp;C605)</f>
        <v/>
      </c>
      <c r="B605" s="127"/>
      <c r="C605" s="127"/>
      <c r="D605" s="127"/>
      <c r="E605" s="133"/>
      <c r="F605" s="127"/>
      <c r="G605" s="127"/>
      <c r="H605" s="127"/>
      <c r="I605" s="127"/>
      <c r="J605" s="127"/>
      <c r="K605" s="127"/>
      <c r="L605" s="127"/>
      <c r="M605" s="127"/>
      <c r="N605" s="127"/>
      <c r="O605" s="127"/>
      <c r="P605" s="127"/>
      <c r="Q605" s="127"/>
      <c r="R605" s="127"/>
      <c r="S605" s="127"/>
      <c r="T605" s="127"/>
      <c r="U605" s="127"/>
      <c r="V605" s="127"/>
      <c r="W605" s="127"/>
      <c r="X605" s="127"/>
      <c r="Y605" s="127"/>
      <c r="Z605" s="127"/>
      <c r="AA605" s="127"/>
    </row>
    <row r="606" customFormat="false" ht="15.75" hidden="false" customHeight="false" outlineLevel="0" collapsed="false">
      <c r="A606" s="127" t="str">
        <f aca="false">IF(ISBLANK(B606),"",B606&amp;"|"&amp;C606)</f>
        <v/>
      </c>
      <c r="B606" s="127"/>
      <c r="C606" s="127"/>
      <c r="D606" s="127"/>
      <c r="E606" s="133"/>
      <c r="F606" s="127"/>
      <c r="G606" s="127"/>
      <c r="H606" s="127"/>
      <c r="I606" s="127"/>
      <c r="J606" s="127"/>
      <c r="K606" s="127"/>
      <c r="L606" s="127"/>
      <c r="M606" s="127"/>
      <c r="N606" s="127"/>
      <c r="O606" s="127"/>
      <c r="P606" s="127"/>
      <c r="Q606" s="127"/>
      <c r="R606" s="127"/>
      <c r="S606" s="127"/>
      <c r="T606" s="127"/>
      <c r="U606" s="127"/>
      <c r="V606" s="127"/>
      <c r="W606" s="127"/>
      <c r="X606" s="127"/>
      <c r="Y606" s="127"/>
      <c r="Z606" s="127"/>
      <c r="AA606" s="127"/>
    </row>
    <row r="607" customFormat="false" ht="15.75" hidden="false" customHeight="false" outlineLevel="0" collapsed="false">
      <c r="A607" s="127" t="str">
        <f aca="false">IF(ISBLANK(B607),"",B607&amp;"|"&amp;C607)</f>
        <v/>
      </c>
      <c r="B607" s="127"/>
      <c r="C607" s="127"/>
      <c r="D607" s="127"/>
      <c r="E607" s="133"/>
      <c r="F607" s="127"/>
      <c r="G607" s="127"/>
      <c r="H607" s="127"/>
      <c r="I607" s="127"/>
      <c r="J607" s="127"/>
      <c r="K607" s="127"/>
      <c r="L607" s="127"/>
      <c r="M607" s="127"/>
      <c r="N607" s="127"/>
      <c r="O607" s="127"/>
      <c r="P607" s="127"/>
      <c r="Q607" s="127"/>
      <c r="R607" s="127"/>
      <c r="S607" s="127"/>
      <c r="T607" s="127"/>
      <c r="U607" s="127"/>
      <c r="V607" s="127"/>
      <c r="W607" s="127"/>
      <c r="X607" s="127"/>
      <c r="Y607" s="127"/>
      <c r="Z607" s="127"/>
      <c r="AA607" s="127"/>
    </row>
    <row r="608" customFormat="false" ht="15.75" hidden="false" customHeight="false" outlineLevel="0" collapsed="false">
      <c r="A608" s="127" t="str">
        <f aca="false">IF(ISBLANK(B608),"",B608&amp;"|"&amp;C608)</f>
        <v/>
      </c>
      <c r="B608" s="127"/>
      <c r="C608" s="127"/>
      <c r="D608" s="127"/>
      <c r="E608" s="133"/>
      <c r="F608" s="127"/>
      <c r="G608" s="127"/>
      <c r="H608" s="127"/>
      <c r="I608" s="127"/>
      <c r="J608" s="127"/>
      <c r="K608" s="127"/>
      <c r="L608" s="127"/>
      <c r="M608" s="127"/>
      <c r="N608" s="127"/>
      <c r="O608" s="127"/>
      <c r="P608" s="127"/>
      <c r="Q608" s="127"/>
      <c r="R608" s="127"/>
      <c r="S608" s="127"/>
      <c r="T608" s="127"/>
      <c r="U608" s="127"/>
      <c r="V608" s="127"/>
      <c r="W608" s="127"/>
      <c r="X608" s="127"/>
      <c r="Y608" s="127"/>
      <c r="Z608" s="127"/>
      <c r="AA608" s="127"/>
    </row>
    <row r="609" customFormat="false" ht="15.75" hidden="false" customHeight="false" outlineLevel="0" collapsed="false">
      <c r="A609" s="127" t="str">
        <f aca="false">IF(ISBLANK(B609),"",B609&amp;"|"&amp;C609)</f>
        <v/>
      </c>
      <c r="B609" s="127"/>
      <c r="C609" s="127"/>
      <c r="D609" s="127"/>
      <c r="E609" s="133"/>
      <c r="F609" s="127"/>
      <c r="G609" s="127"/>
      <c r="H609" s="127"/>
      <c r="I609" s="127"/>
      <c r="J609" s="127"/>
      <c r="K609" s="127"/>
      <c r="L609" s="127"/>
      <c r="M609" s="127"/>
      <c r="N609" s="127"/>
      <c r="O609" s="127"/>
      <c r="P609" s="127"/>
      <c r="Q609" s="127"/>
      <c r="R609" s="127"/>
      <c r="S609" s="127"/>
      <c r="T609" s="127"/>
      <c r="U609" s="127"/>
      <c r="V609" s="127"/>
      <c r="W609" s="127"/>
      <c r="X609" s="127"/>
      <c r="Y609" s="127"/>
      <c r="Z609" s="127"/>
      <c r="AA609" s="127"/>
    </row>
    <row r="610" customFormat="false" ht="15.75" hidden="false" customHeight="false" outlineLevel="0" collapsed="false">
      <c r="A610" s="127" t="str">
        <f aca="false">IF(ISBLANK(B610),"",B610&amp;"|"&amp;C610)</f>
        <v/>
      </c>
      <c r="B610" s="127"/>
      <c r="C610" s="127"/>
      <c r="D610" s="127"/>
      <c r="E610" s="133"/>
      <c r="F610" s="127"/>
      <c r="G610" s="127"/>
      <c r="H610" s="127"/>
      <c r="I610" s="127"/>
      <c r="J610" s="127"/>
      <c r="K610" s="127"/>
      <c r="L610" s="127"/>
      <c r="M610" s="127"/>
      <c r="N610" s="127"/>
      <c r="O610" s="127"/>
      <c r="P610" s="127"/>
      <c r="Q610" s="127"/>
      <c r="R610" s="127"/>
      <c r="S610" s="127"/>
      <c r="T610" s="127"/>
      <c r="U610" s="127"/>
      <c r="V610" s="127"/>
      <c r="W610" s="127"/>
      <c r="X610" s="127"/>
      <c r="Y610" s="127"/>
      <c r="Z610" s="127"/>
      <c r="AA610" s="127"/>
    </row>
    <row r="611" customFormat="false" ht="15.75" hidden="false" customHeight="false" outlineLevel="0" collapsed="false">
      <c r="A611" s="127" t="str">
        <f aca="false">IF(ISBLANK(B611),"",B611&amp;"|"&amp;C611)</f>
        <v/>
      </c>
      <c r="B611" s="127"/>
      <c r="C611" s="127"/>
      <c r="D611" s="127"/>
      <c r="E611" s="133"/>
      <c r="F611" s="127"/>
      <c r="G611" s="127"/>
      <c r="H611" s="127"/>
      <c r="I611" s="127"/>
      <c r="J611" s="127"/>
      <c r="K611" s="127"/>
      <c r="L611" s="127"/>
      <c r="M611" s="127"/>
      <c r="N611" s="127"/>
      <c r="O611" s="127"/>
      <c r="P611" s="127"/>
      <c r="Q611" s="127"/>
      <c r="R611" s="127"/>
      <c r="S611" s="127"/>
      <c r="T611" s="127"/>
      <c r="U611" s="127"/>
      <c r="V611" s="127"/>
      <c r="W611" s="127"/>
      <c r="X611" s="127"/>
      <c r="Y611" s="127"/>
      <c r="Z611" s="127"/>
      <c r="AA611" s="127"/>
    </row>
    <row r="612" customFormat="false" ht="15.75" hidden="false" customHeight="false" outlineLevel="0" collapsed="false">
      <c r="A612" s="127" t="str">
        <f aca="false">IF(ISBLANK(B612),"",B612&amp;"|"&amp;C612)</f>
        <v/>
      </c>
      <c r="B612" s="127"/>
      <c r="C612" s="127"/>
      <c r="D612" s="127"/>
      <c r="E612" s="133"/>
      <c r="F612" s="127"/>
      <c r="G612" s="127"/>
      <c r="H612" s="127"/>
      <c r="I612" s="127"/>
      <c r="J612" s="127"/>
      <c r="K612" s="127"/>
      <c r="L612" s="127"/>
      <c r="M612" s="127"/>
      <c r="N612" s="127"/>
      <c r="O612" s="127"/>
      <c r="P612" s="127"/>
      <c r="Q612" s="127"/>
      <c r="R612" s="127"/>
      <c r="S612" s="127"/>
      <c r="T612" s="127"/>
      <c r="U612" s="127"/>
      <c r="V612" s="127"/>
      <c r="W612" s="127"/>
      <c r="X612" s="127"/>
      <c r="Y612" s="127"/>
      <c r="Z612" s="127"/>
      <c r="AA612" s="127"/>
    </row>
    <row r="613" customFormat="false" ht="15.75" hidden="false" customHeight="false" outlineLevel="0" collapsed="false">
      <c r="A613" s="127" t="str">
        <f aca="false">IF(ISBLANK(B613),"",B613&amp;"|"&amp;C613)</f>
        <v/>
      </c>
      <c r="B613" s="127"/>
      <c r="C613" s="127"/>
      <c r="D613" s="127"/>
      <c r="E613" s="133"/>
      <c r="F613" s="127"/>
      <c r="G613" s="127"/>
      <c r="H613" s="127"/>
      <c r="I613" s="127"/>
      <c r="J613" s="127"/>
      <c r="K613" s="127"/>
      <c r="L613" s="127"/>
      <c r="M613" s="127"/>
      <c r="N613" s="127"/>
      <c r="O613" s="127"/>
      <c r="P613" s="127"/>
      <c r="Q613" s="127"/>
      <c r="R613" s="127"/>
      <c r="S613" s="127"/>
      <c r="T613" s="127"/>
      <c r="U613" s="127"/>
      <c r="V613" s="127"/>
      <c r="W613" s="127"/>
      <c r="X613" s="127"/>
      <c r="Y613" s="127"/>
      <c r="Z613" s="127"/>
      <c r="AA613" s="127"/>
    </row>
    <row r="614" customFormat="false" ht="15.75" hidden="false" customHeight="false" outlineLevel="0" collapsed="false">
      <c r="A614" s="127" t="str">
        <f aca="false">IF(ISBLANK(B614),"",B614&amp;"|"&amp;C614)</f>
        <v/>
      </c>
      <c r="B614" s="127"/>
      <c r="C614" s="127"/>
      <c r="D614" s="127"/>
      <c r="E614" s="133"/>
      <c r="F614" s="127"/>
      <c r="G614" s="127"/>
      <c r="H614" s="127"/>
      <c r="I614" s="127"/>
      <c r="J614" s="127"/>
      <c r="K614" s="127"/>
      <c r="L614" s="127"/>
      <c r="M614" s="127"/>
      <c r="N614" s="127"/>
      <c r="O614" s="127"/>
      <c r="P614" s="127"/>
      <c r="Q614" s="127"/>
      <c r="R614" s="127"/>
      <c r="S614" s="127"/>
      <c r="T614" s="127"/>
      <c r="U614" s="127"/>
      <c r="V614" s="127"/>
      <c r="W614" s="127"/>
      <c r="X614" s="127"/>
      <c r="Y614" s="127"/>
      <c r="Z614" s="127"/>
      <c r="AA614" s="127"/>
    </row>
    <row r="615" customFormat="false" ht="15.75" hidden="false" customHeight="false" outlineLevel="0" collapsed="false">
      <c r="A615" s="127" t="str">
        <f aca="false">IF(ISBLANK(B615),"",B615&amp;"|"&amp;C615)</f>
        <v/>
      </c>
      <c r="B615" s="127"/>
      <c r="C615" s="127"/>
      <c r="D615" s="127"/>
      <c r="E615" s="133"/>
      <c r="F615" s="127"/>
      <c r="G615" s="127"/>
      <c r="H615" s="127"/>
      <c r="I615" s="127"/>
      <c r="J615" s="127"/>
      <c r="K615" s="127"/>
      <c r="L615" s="127"/>
      <c r="M615" s="127"/>
      <c r="N615" s="127"/>
      <c r="O615" s="127"/>
      <c r="P615" s="127"/>
      <c r="Q615" s="127"/>
      <c r="R615" s="127"/>
      <c r="S615" s="127"/>
      <c r="T615" s="127"/>
      <c r="U615" s="127"/>
      <c r="V615" s="127"/>
      <c r="W615" s="127"/>
      <c r="X615" s="127"/>
      <c r="Y615" s="127"/>
      <c r="Z615" s="127"/>
      <c r="AA615" s="127"/>
    </row>
    <row r="616" customFormat="false" ht="15.75" hidden="false" customHeight="false" outlineLevel="0" collapsed="false">
      <c r="A616" s="127" t="str">
        <f aca="false">IF(ISBLANK(B616),"",B616&amp;"|"&amp;C616)</f>
        <v/>
      </c>
      <c r="B616" s="127"/>
      <c r="C616" s="127"/>
      <c r="D616" s="127"/>
      <c r="E616" s="133"/>
      <c r="F616" s="127"/>
      <c r="G616" s="127"/>
      <c r="H616" s="127"/>
      <c r="I616" s="127"/>
      <c r="J616" s="127"/>
      <c r="K616" s="127"/>
      <c r="L616" s="127"/>
      <c r="M616" s="127"/>
      <c r="N616" s="127"/>
      <c r="O616" s="127"/>
      <c r="P616" s="127"/>
      <c r="Q616" s="127"/>
      <c r="R616" s="127"/>
      <c r="S616" s="127"/>
      <c r="T616" s="127"/>
      <c r="U616" s="127"/>
      <c r="V616" s="127"/>
      <c r="W616" s="127"/>
      <c r="X616" s="127"/>
      <c r="Y616" s="127"/>
      <c r="Z616" s="127"/>
      <c r="AA616" s="127"/>
    </row>
    <row r="617" customFormat="false" ht="15.75" hidden="false" customHeight="false" outlineLevel="0" collapsed="false">
      <c r="A617" s="127" t="str">
        <f aca="false">IF(ISBLANK(B617),"",B617&amp;"|"&amp;C617)</f>
        <v/>
      </c>
      <c r="B617" s="127"/>
      <c r="C617" s="127"/>
      <c r="D617" s="127"/>
      <c r="E617" s="133"/>
      <c r="F617" s="127"/>
      <c r="G617" s="127"/>
      <c r="H617" s="127"/>
      <c r="I617" s="127"/>
      <c r="J617" s="127"/>
      <c r="K617" s="127"/>
      <c r="L617" s="127"/>
      <c r="M617" s="127"/>
      <c r="N617" s="127"/>
      <c r="O617" s="127"/>
      <c r="P617" s="127"/>
      <c r="Q617" s="127"/>
      <c r="R617" s="127"/>
      <c r="S617" s="127"/>
      <c r="T617" s="127"/>
      <c r="U617" s="127"/>
      <c r="V617" s="127"/>
      <c r="W617" s="127"/>
      <c r="X617" s="127"/>
      <c r="Y617" s="127"/>
      <c r="Z617" s="127"/>
      <c r="AA617" s="127"/>
    </row>
    <row r="618" customFormat="false" ht="15.75" hidden="false" customHeight="false" outlineLevel="0" collapsed="false">
      <c r="A618" s="127" t="str">
        <f aca="false">IF(ISBLANK(B618),"",B618&amp;"|"&amp;C618)</f>
        <v/>
      </c>
      <c r="B618" s="127"/>
      <c r="C618" s="127"/>
      <c r="D618" s="127"/>
      <c r="E618" s="133"/>
      <c r="F618" s="127"/>
      <c r="G618" s="127"/>
      <c r="H618" s="127"/>
      <c r="I618" s="127"/>
      <c r="J618" s="127"/>
      <c r="K618" s="127"/>
      <c r="L618" s="127"/>
      <c r="M618" s="127"/>
      <c r="N618" s="127"/>
      <c r="O618" s="127"/>
      <c r="P618" s="127"/>
      <c r="Q618" s="127"/>
      <c r="R618" s="127"/>
      <c r="S618" s="127"/>
      <c r="T618" s="127"/>
      <c r="U618" s="127"/>
      <c r="V618" s="127"/>
      <c r="W618" s="127"/>
      <c r="X618" s="127"/>
      <c r="Y618" s="127"/>
      <c r="Z618" s="127"/>
      <c r="AA618" s="127"/>
    </row>
    <row r="619" customFormat="false" ht="15.75" hidden="false" customHeight="false" outlineLevel="0" collapsed="false">
      <c r="A619" s="127" t="str">
        <f aca="false">IF(ISBLANK(B619),"",B619&amp;"|"&amp;C619)</f>
        <v/>
      </c>
      <c r="B619" s="127"/>
      <c r="C619" s="127"/>
      <c r="D619" s="127"/>
      <c r="E619" s="133"/>
      <c r="F619" s="127"/>
      <c r="G619" s="127"/>
      <c r="H619" s="127"/>
      <c r="I619" s="127"/>
      <c r="J619" s="127"/>
      <c r="K619" s="127"/>
      <c r="L619" s="127"/>
      <c r="M619" s="127"/>
      <c r="N619" s="127"/>
      <c r="O619" s="127"/>
      <c r="P619" s="127"/>
      <c r="Q619" s="127"/>
      <c r="R619" s="127"/>
      <c r="S619" s="127"/>
      <c r="T619" s="127"/>
      <c r="U619" s="127"/>
      <c r="V619" s="127"/>
      <c r="W619" s="127"/>
      <c r="X619" s="127"/>
      <c r="Y619" s="127"/>
      <c r="Z619" s="127"/>
      <c r="AA619" s="127"/>
    </row>
    <row r="620" customFormat="false" ht="15.75" hidden="false" customHeight="false" outlineLevel="0" collapsed="false">
      <c r="A620" s="127" t="str">
        <f aca="false">IF(ISBLANK(B620),"",B620&amp;"|"&amp;C620)</f>
        <v/>
      </c>
      <c r="B620" s="127"/>
      <c r="C620" s="127"/>
      <c r="D620" s="127"/>
      <c r="E620" s="133"/>
      <c r="F620" s="127"/>
      <c r="G620" s="127"/>
      <c r="H620" s="127"/>
      <c r="I620" s="127"/>
      <c r="J620" s="127"/>
      <c r="K620" s="127"/>
      <c r="L620" s="127"/>
      <c r="M620" s="127"/>
      <c r="N620" s="127"/>
      <c r="O620" s="127"/>
      <c r="P620" s="127"/>
      <c r="Q620" s="127"/>
      <c r="R620" s="127"/>
      <c r="S620" s="127"/>
      <c r="T620" s="127"/>
      <c r="U620" s="127"/>
      <c r="V620" s="127"/>
      <c r="W620" s="127"/>
      <c r="X620" s="127"/>
      <c r="Y620" s="127"/>
      <c r="Z620" s="127"/>
      <c r="AA620" s="127"/>
    </row>
    <row r="621" customFormat="false" ht="15.75" hidden="false" customHeight="false" outlineLevel="0" collapsed="false">
      <c r="A621" s="127" t="str">
        <f aca="false">IF(ISBLANK(B621),"",B621&amp;"|"&amp;C621)</f>
        <v/>
      </c>
      <c r="B621" s="127"/>
      <c r="C621" s="127"/>
      <c r="D621" s="127"/>
      <c r="E621" s="133"/>
      <c r="F621" s="127"/>
      <c r="G621" s="127"/>
      <c r="H621" s="127"/>
      <c r="I621" s="127"/>
      <c r="J621" s="127"/>
      <c r="K621" s="127"/>
      <c r="L621" s="127"/>
      <c r="M621" s="127"/>
      <c r="N621" s="127"/>
      <c r="O621" s="127"/>
      <c r="P621" s="127"/>
      <c r="Q621" s="127"/>
      <c r="R621" s="127"/>
      <c r="S621" s="127"/>
      <c r="T621" s="127"/>
      <c r="U621" s="127"/>
      <c r="V621" s="127"/>
      <c r="W621" s="127"/>
      <c r="X621" s="127"/>
      <c r="Y621" s="127"/>
      <c r="Z621" s="127"/>
      <c r="AA621" s="127"/>
    </row>
    <row r="622" customFormat="false" ht="15.75" hidden="false" customHeight="false" outlineLevel="0" collapsed="false">
      <c r="A622" s="127" t="str">
        <f aca="false">IF(ISBLANK(B622),"",B622&amp;"|"&amp;C622)</f>
        <v/>
      </c>
      <c r="B622" s="127"/>
      <c r="C622" s="127"/>
      <c r="D622" s="127"/>
      <c r="E622" s="133"/>
      <c r="F622" s="127"/>
      <c r="G622" s="127"/>
      <c r="H622" s="127"/>
      <c r="I622" s="127"/>
      <c r="J622" s="127"/>
      <c r="K622" s="127"/>
      <c r="L622" s="127"/>
      <c r="M622" s="127"/>
      <c r="N622" s="127"/>
      <c r="O622" s="127"/>
      <c r="P622" s="127"/>
      <c r="Q622" s="127"/>
      <c r="R622" s="127"/>
      <c r="S622" s="127"/>
      <c r="T622" s="127"/>
      <c r="U622" s="127"/>
      <c r="V622" s="127"/>
      <c r="W622" s="127"/>
      <c r="X622" s="127"/>
      <c r="Y622" s="127"/>
      <c r="Z622" s="127"/>
      <c r="AA622" s="127"/>
    </row>
    <row r="623" customFormat="false" ht="15.75" hidden="false" customHeight="false" outlineLevel="0" collapsed="false">
      <c r="A623" s="127" t="str">
        <f aca="false">IF(ISBLANK(B623),"",B623&amp;"|"&amp;C623)</f>
        <v/>
      </c>
      <c r="B623" s="127"/>
      <c r="C623" s="127"/>
      <c r="D623" s="127"/>
      <c r="E623" s="133"/>
      <c r="F623" s="127"/>
      <c r="G623" s="127"/>
      <c r="H623" s="127"/>
      <c r="I623" s="127"/>
      <c r="J623" s="127"/>
      <c r="K623" s="127"/>
      <c r="L623" s="127"/>
      <c r="M623" s="127"/>
      <c r="N623" s="127"/>
      <c r="O623" s="127"/>
      <c r="P623" s="127"/>
      <c r="Q623" s="127"/>
      <c r="R623" s="127"/>
      <c r="S623" s="127"/>
      <c r="T623" s="127"/>
      <c r="U623" s="127"/>
      <c r="V623" s="127"/>
      <c r="W623" s="127"/>
      <c r="X623" s="127"/>
      <c r="Y623" s="127"/>
      <c r="Z623" s="127"/>
      <c r="AA623" s="127"/>
    </row>
    <row r="624" customFormat="false" ht="15.75" hidden="false" customHeight="false" outlineLevel="0" collapsed="false">
      <c r="A624" s="127" t="str">
        <f aca="false">IF(ISBLANK(B624),"",B624&amp;"|"&amp;C624)</f>
        <v/>
      </c>
      <c r="B624" s="127"/>
      <c r="C624" s="127"/>
      <c r="D624" s="127"/>
      <c r="E624" s="133"/>
      <c r="F624" s="127"/>
      <c r="G624" s="127"/>
      <c r="H624" s="127"/>
      <c r="I624" s="127"/>
      <c r="J624" s="127"/>
      <c r="K624" s="127"/>
      <c r="L624" s="127"/>
      <c r="M624" s="127"/>
      <c r="N624" s="127"/>
      <c r="O624" s="127"/>
      <c r="P624" s="127"/>
      <c r="Q624" s="127"/>
      <c r="R624" s="127"/>
      <c r="S624" s="127"/>
      <c r="T624" s="127"/>
      <c r="U624" s="127"/>
      <c r="V624" s="127"/>
      <c r="W624" s="127"/>
      <c r="X624" s="127"/>
      <c r="Y624" s="127"/>
      <c r="Z624" s="127"/>
      <c r="AA624" s="127"/>
    </row>
    <row r="625" customFormat="false" ht="15.75" hidden="false" customHeight="false" outlineLevel="0" collapsed="false">
      <c r="A625" s="127" t="str">
        <f aca="false">IF(ISBLANK(B625),"",B625&amp;"|"&amp;C625)</f>
        <v/>
      </c>
      <c r="B625" s="127"/>
      <c r="C625" s="127"/>
      <c r="D625" s="127"/>
      <c r="E625" s="133"/>
      <c r="F625" s="127"/>
      <c r="G625" s="127"/>
      <c r="H625" s="127"/>
      <c r="I625" s="127"/>
      <c r="J625" s="127"/>
      <c r="K625" s="127"/>
      <c r="L625" s="127"/>
      <c r="M625" s="127"/>
      <c r="N625" s="127"/>
      <c r="O625" s="127"/>
      <c r="P625" s="127"/>
      <c r="Q625" s="127"/>
      <c r="R625" s="127"/>
      <c r="S625" s="127"/>
      <c r="T625" s="127"/>
      <c r="U625" s="127"/>
      <c r="V625" s="127"/>
      <c r="W625" s="127"/>
      <c r="X625" s="127"/>
      <c r="Y625" s="127"/>
      <c r="Z625" s="127"/>
      <c r="AA625" s="127"/>
    </row>
    <row r="626" customFormat="false" ht="15.75" hidden="false" customHeight="false" outlineLevel="0" collapsed="false">
      <c r="A626" s="127" t="str">
        <f aca="false">IF(ISBLANK(B626),"",B626&amp;"|"&amp;C626)</f>
        <v/>
      </c>
      <c r="B626" s="127"/>
      <c r="C626" s="127"/>
      <c r="D626" s="127"/>
      <c r="E626" s="133"/>
      <c r="F626" s="127"/>
      <c r="G626" s="127"/>
      <c r="H626" s="127"/>
      <c r="I626" s="127"/>
      <c r="J626" s="127"/>
      <c r="K626" s="127"/>
      <c r="L626" s="127"/>
      <c r="M626" s="127"/>
      <c r="N626" s="127"/>
      <c r="O626" s="127"/>
      <c r="P626" s="127"/>
      <c r="Q626" s="127"/>
      <c r="R626" s="127"/>
      <c r="S626" s="127"/>
      <c r="T626" s="127"/>
      <c r="U626" s="127"/>
      <c r="V626" s="127"/>
      <c r="W626" s="127"/>
      <c r="X626" s="127"/>
      <c r="Y626" s="127"/>
      <c r="Z626" s="127"/>
      <c r="AA626" s="127"/>
    </row>
    <row r="627" customFormat="false" ht="15.75" hidden="false" customHeight="false" outlineLevel="0" collapsed="false">
      <c r="A627" s="127" t="str">
        <f aca="false">IF(ISBLANK(B627),"",B627&amp;"|"&amp;C627)</f>
        <v/>
      </c>
      <c r="B627" s="127"/>
      <c r="C627" s="127"/>
      <c r="D627" s="127"/>
      <c r="E627" s="133"/>
      <c r="F627" s="127"/>
      <c r="G627" s="127"/>
      <c r="H627" s="127"/>
      <c r="I627" s="127"/>
      <c r="J627" s="127"/>
      <c r="K627" s="127"/>
      <c r="L627" s="127"/>
      <c r="M627" s="127"/>
      <c r="N627" s="127"/>
      <c r="O627" s="127"/>
      <c r="P627" s="127"/>
      <c r="Q627" s="127"/>
      <c r="R627" s="127"/>
      <c r="S627" s="127"/>
      <c r="T627" s="127"/>
      <c r="U627" s="127"/>
      <c r="V627" s="127"/>
      <c r="W627" s="127"/>
      <c r="X627" s="127"/>
      <c r="Y627" s="127"/>
      <c r="Z627" s="127"/>
      <c r="AA627" s="127"/>
    </row>
    <row r="628" customFormat="false" ht="15.75" hidden="false" customHeight="false" outlineLevel="0" collapsed="false">
      <c r="A628" s="127" t="str">
        <f aca="false">IF(ISBLANK(B628),"",B628&amp;"|"&amp;C628)</f>
        <v/>
      </c>
      <c r="B628" s="127"/>
      <c r="C628" s="127"/>
      <c r="D628" s="127"/>
      <c r="E628" s="133"/>
      <c r="F628" s="127"/>
      <c r="G628" s="127"/>
      <c r="H628" s="127"/>
      <c r="I628" s="127"/>
      <c r="J628" s="127"/>
      <c r="K628" s="127"/>
      <c r="L628" s="127"/>
      <c r="M628" s="127"/>
      <c r="N628" s="127"/>
      <c r="O628" s="127"/>
      <c r="P628" s="127"/>
      <c r="Q628" s="127"/>
      <c r="R628" s="127"/>
      <c r="S628" s="127"/>
      <c r="T628" s="127"/>
      <c r="U628" s="127"/>
      <c r="V628" s="127"/>
      <c r="W628" s="127"/>
      <c r="X628" s="127"/>
      <c r="Y628" s="127"/>
      <c r="Z628" s="127"/>
      <c r="AA628" s="127"/>
    </row>
    <row r="629" customFormat="false" ht="15.75" hidden="false" customHeight="false" outlineLevel="0" collapsed="false">
      <c r="A629" s="127" t="str">
        <f aca="false">IF(ISBLANK(B629),"",B629&amp;"|"&amp;C629)</f>
        <v/>
      </c>
      <c r="B629" s="127"/>
      <c r="C629" s="127"/>
      <c r="D629" s="127"/>
      <c r="E629" s="133"/>
      <c r="F629" s="127"/>
      <c r="G629" s="127"/>
      <c r="H629" s="127"/>
      <c r="I629" s="127"/>
      <c r="J629" s="127"/>
      <c r="K629" s="127"/>
      <c r="L629" s="127"/>
      <c r="M629" s="127"/>
      <c r="N629" s="127"/>
      <c r="O629" s="127"/>
      <c r="P629" s="127"/>
      <c r="Q629" s="127"/>
      <c r="R629" s="127"/>
      <c r="S629" s="127"/>
      <c r="T629" s="127"/>
      <c r="U629" s="127"/>
      <c r="V629" s="127"/>
      <c r="W629" s="127"/>
      <c r="X629" s="127"/>
      <c r="Y629" s="127"/>
      <c r="Z629" s="127"/>
      <c r="AA629" s="127"/>
    </row>
    <row r="630" customFormat="false" ht="15.75" hidden="false" customHeight="false" outlineLevel="0" collapsed="false">
      <c r="A630" s="127" t="str">
        <f aca="false">IF(ISBLANK(B630),"",B630&amp;"|"&amp;C630)</f>
        <v/>
      </c>
      <c r="B630" s="127"/>
      <c r="C630" s="127"/>
      <c r="D630" s="127"/>
      <c r="E630" s="133"/>
      <c r="F630" s="127"/>
      <c r="G630" s="127"/>
      <c r="H630" s="127"/>
      <c r="I630" s="127"/>
      <c r="J630" s="127"/>
      <c r="K630" s="127"/>
      <c r="L630" s="127"/>
      <c r="M630" s="127"/>
      <c r="N630" s="127"/>
      <c r="O630" s="127"/>
      <c r="P630" s="127"/>
      <c r="Q630" s="127"/>
      <c r="R630" s="127"/>
      <c r="S630" s="127"/>
      <c r="T630" s="127"/>
      <c r="U630" s="127"/>
      <c r="V630" s="127"/>
      <c r="W630" s="127"/>
      <c r="X630" s="127"/>
      <c r="Y630" s="127"/>
      <c r="Z630" s="127"/>
      <c r="AA630" s="127"/>
    </row>
    <row r="631" customFormat="false" ht="15.75" hidden="false" customHeight="false" outlineLevel="0" collapsed="false">
      <c r="A631" s="127" t="str">
        <f aca="false">IF(ISBLANK(B631),"",B631&amp;"|"&amp;C631)</f>
        <v/>
      </c>
      <c r="B631" s="127"/>
      <c r="C631" s="127"/>
      <c r="D631" s="127"/>
      <c r="E631" s="133"/>
      <c r="F631" s="127"/>
      <c r="G631" s="127"/>
      <c r="H631" s="127"/>
      <c r="I631" s="127"/>
      <c r="J631" s="127"/>
      <c r="K631" s="127"/>
      <c r="L631" s="127"/>
      <c r="M631" s="127"/>
      <c r="N631" s="127"/>
      <c r="O631" s="127"/>
      <c r="P631" s="127"/>
      <c r="Q631" s="127"/>
      <c r="R631" s="127"/>
      <c r="S631" s="127"/>
      <c r="T631" s="127"/>
      <c r="U631" s="127"/>
      <c r="V631" s="127"/>
      <c r="W631" s="127"/>
      <c r="X631" s="127"/>
      <c r="Y631" s="127"/>
      <c r="Z631" s="127"/>
      <c r="AA631" s="127"/>
    </row>
    <row r="632" customFormat="false" ht="15.75" hidden="false" customHeight="false" outlineLevel="0" collapsed="false">
      <c r="A632" s="127" t="str">
        <f aca="false">IF(ISBLANK(B632),"",B632&amp;"|"&amp;C632)</f>
        <v/>
      </c>
      <c r="B632" s="127"/>
      <c r="C632" s="127"/>
      <c r="D632" s="127"/>
      <c r="E632" s="133"/>
      <c r="F632" s="127"/>
      <c r="G632" s="127"/>
      <c r="H632" s="127"/>
      <c r="I632" s="127"/>
      <c r="J632" s="127"/>
      <c r="K632" s="127"/>
      <c r="L632" s="127"/>
      <c r="M632" s="127"/>
      <c r="N632" s="127"/>
      <c r="O632" s="127"/>
      <c r="P632" s="127"/>
      <c r="Q632" s="127"/>
      <c r="R632" s="127"/>
      <c r="S632" s="127"/>
      <c r="T632" s="127"/>
      <c r="U632" s="127"/>
      <c r="V632" s="127"/>
      <c r="W632" s="127"/>
      <c r="X632" s="127"/>
      <c r="Y632" s="127"/>
      <c r="Z632" s="127"/>
      <c r="AA632" s="127"/>
    </row>
    <row r="633" customFormat="false" ht="15.75" hidden="false" customHeight="false" outlineLevel="0" collapsed="false">
      <c r="A633" s="127" t="str">
        <f aca="false">IF(ISBLANK(B633),"",B633&amp;"|"&amp;C633)</f>
        <v/>
      </c>
      <c r="B633" s="127"/>
      <c r="C633" s="127"/>
      <c r="D633" s="127"/>
      <c r="E633" s="133"/>
      <c r="F633" s="127"/>
      <c r="G633" s="127"/>
      <c r="H633" s="127"/>
      <c r="I633" s="127"/>
      <c r="J633" s="127"/>
      <c r="K633" s="127"/>
      <c r="L633" s="127"/>
      <c r="M633" s="127"/>
      <c r="N633" s="127"/>
      <c r="O633" s="127"/>
      <c r="P633" s="127"/>
      <c r="Q633" s="127"/>
      <c r="R633" s="127"/>
      <c r="S633" s="127"/>
      <c r="T633" s="127"/>
      <c r="U633" s="127"/>
      <c r="V633" s="127"/>
      <c r="W633" s="127"/>
      <c r="X633" s="127"/>
      <c r="Y633" s="127"/>
      <c r="Z633" s="127"/>
      <c r="AA633" s="127"/>
    </row>
    <row r="634" customFormat="false" ht="15.75" hidden="false" customHeight="false" outlineLevel="0" collapsed="false">
      <c r="A634" s="127" t="str">
        <f aca="false">IF(ISBLANK(B634),"",B634&amp;"|"&amp;C634)</f>
        <v/>
      </c>
      <c r="B634" s="127"/>
      <c r="C634" s="127"/>
      <c r="D634" s="127"/>
      <c r="E634" s="133"/>
      <c r="F634" s="127"/>
      <c r="G634" s="127"/>
      <c r="H634" s="127"/>
      <c r="I634" s="127"/>
      <c r="J634" s="127"/>
      <c r="K634" s="127"/>
      <c r="L634" s="127"/>
      <c r="M634" s="127"/>
      <c r="N634" s="127"/>
      <c r="O634" s="127"/>
      <c r="P634" s="127"/>
      <c r="Q634" s="127"/>
      <c r="R634" s="127"/>
      <c r="S634" s="127"/>
      <c r="T634" s="127"/>
      <c r="U634" s="127"/>
      <c r="V634" s="127"/>
      <c r="W634" s="127"/>
      <c r="X634" s="127"/>
      <c r="Y634" s="127"/>
      <c r="Z634" s="127"/>
      <c r="AA634" s="127"/>
    </row>
    <row r="635" customFormat="false" ht="15.75" hidden="false" customHeight="false" outlineLevel="0" collapsed="false">
      <c r="A635" s="127" t="str">
        <f aca="false">IF(ISBLANK(B635),"",B635&amp;"|"&amp;C635)</f>
        <v/>
      </c>
      <c r="B635" s="127"/>
      <c r="C635" s="127"/>
      <c r="D635" s="127"/>
      <c r="E635" s="133"/>
      <c r="F635" s="127"/>
      <c r="G635" s="127"/>
      <c r="H635" s="127"/>
      <c r="I635" s="127"/>
      <c r="J635" s="127"/>
      <c r="K635" s="127"/>
      <c r="L635" s="127"/>
      <c r="M635" s="127"/>
      <c r="N635" s="127"/>
      <c r="O635" s="127"/>
      <c r="P635" s="127"/>
      <c r="Q635" s="127"/>
      <c r="R635" s="127"/>
      <c r="S635" s="127"/>
      <c r="T635" s="127"/>
      <c r="U635" s="127"/>
      <c r="V635" s="127"/>
      <c r="W635" s="127"/>
      <c r="X635" s="127"/>
      <c r="Y635" s="127"/>
      <c r="Z635" s="127"/>
      <c r="AA635" s="127"/>
    </row>
    <row r="636" customFormat="false" ht="15.75" hidden="false" customHeight="false" outlineLevel="0" collapsed="false">
      <c r="A636" s="127" t="str">
        <f aca="false">IF(ISBLANK(B636),"",B636&amp;"|"&amp;C636)</f>
        <v/>
      </c>
      <c r="B636" s="127"/>
      <c r="C636" s="127"/>
      <c r="D636" s="127"/>
      <c r="E636" s="133"/>
      <c r="F636" s="127"/>
      <c r="G636" s="127"/>
      <c r="H636" s="127"/>
      <c r="I636" s="127"/>
      <c r="J636" s="127"/>
      <c r="K636" s="127"/>
      <c r="L636" s="127"/>
      <c r="M636" s="127"/>
      <c r="N636" s="127"/>
      <c r="O636" s="127"/>
      <c r="P636" s="127"/>
      <c r="Q636" s="127"/>
      <c r="R636" s="127"/>
      <c r="S636" s="127"/>
      <c r="T636" s="127"/>
      <c r="U636" s="127"/>
      <c r="V636" s="127"/>
      <c r="W636" s="127"/>
      <c r="X636" s="127"/>
      <c r="Y636" s="127"/>
      <c r="Z636" s="127"/>
      <c r="AA636" s="127"/>
    </row>
    <row r="637" customFormat="false" ht="15.75" hidden="false" customHeight="false" outlineLevel="0" collapsed="false">
      <c r="A637" s="127" t="str">
        <f aca="false">IF(ISBLANK(B637),"",B637&amp;"|"&amp;C637)</f>
        <v/>
      </c>
      <c r="B637" s="127"/>
      <c r="C637" s="127"/>
      <c r="D637" s="127"/>
      <c r="E637" s="133"/>
      <c r="F637" s="127"/>
      <c r="G637" s="127"/>
      <c r="H637" s="127"/>
      <c r="I637" s="127"/>
      <c r="J637" s="127"/>
      <c r="K637" s="127"/>
      <c r="L637" s="127"/>
      <c r="M637" s="127"/>
      <c r="N637" s="127"/>
      <c r="O637" s="127"/>
      <c r="P637" s="127"/>
      <c r="Q637" s="127"/>
      <c r="R637" s="127"/>
      <c r="S637" s="127"/>
      <c r="T637" s="127"/>
      <c r="U637" s="127"/>
      <c r="V637" s="127"/>
      <c r="W637" s="127"/>
      <c r="X637" s="127"/>
      <c r="Y637" s="127"/>
      <c r="Z637" s="127"/>
      <c r="AA637" s="127"/>
    </row>
    <row r="638" customFormat="false" ht="15.75" hidden="false" customHeight="false" outlineLevel="0" collapsed="false">
      <c r="A638" s="127" t="str">
        <f aca="false">IF(ISBLANK(B638),"",B638&amp;"|"&amp;C638)</f>
        <v/>
      </c>
      <c r="B638" s="127"/>
      <c r="C638" s="127"/>
      <c r="D638" s="127"/>
      <c r="E638" s="133"/>
      <c r="F638" s="127"/>
      <c r="G638" s="127"/>
      <c r="H638" s="127"/>
      <c r="I638" s="127"/>
      <c r="J638" s="127"/>
      <c r="K638" s="127"/>
      <c r="L638" s="127"/>
      <c r="M638" s="127"/>
      <c r="N638" s="127"/>
      <c r="O638" s="127"/>
      <c r="P638" s="127"/>
      <c r="Q638" s="127"/>
      <c r="R638" s="127"/>
      <c r="S638" s="127"/>
      <c r="T638" s="127"/>
      <c r="U638" s="127"/>
      <c r="V638" s="127"/>
      <c r="W638" s="127"/>
      <c r="X638" s="127"/>
      <c r="Y638" s="127"/>
      <c r="Z638" s="127"/>
      <c r="AA638" s="127"/>
    </row>
    <row r="639" customFormat="false" ht="15.75" hidden="false" customHeight="false" outlineLevel="0" collapsed="false">
      <c r="A639" s="127" t="str">
        <f aca="false">IF(ISBLANK(B639),"",B639&amp;"|"&amp;C639)</f>
        <v/>
      </c>
      <c r="B639" s="127"/>
      <c r="C639" s="127"/>
      <c r="D639" s="127"/>
      <c r="E639" s="133"/>
      <c r="F639" s="127"/>
      <c r="G639" s="127"/>
      <c r="H639" s="127"/>
      <c r="I639" s="127"/>
      <c r="J639" s="127"/>
      <c r="K639" s="127"/>
      <c r="L639" s="127"/>
      <c r="M639" s="127"/>
      <c r="N639" s="127"/>
      <c r="O639" s="127"/>
      <c r="P639" s="127"/>
      <c r="Q639" s="127"/>
      <c r="R639" s="127"/>
      <c r="S639" s="127"/>
      <c r="T639" s="127"/>
      <c r="U639" s="127"/>
      <c r="V639" s="127"/>
      <c r="W639" s="127"/>
      <c r="X639" s="127"/>
      <c r="Y639" s="127"/>
      <c r="Z639" s="127"/>
      <c r="AA639" s="127"/>
    </row>
    <row r="640" customFormat="false" ht="15.75" hidden="false" customHeight="false" outlineLevel="0" collapsed="false">
      <c r="A640" s="127" t="str">
        <f aca="false">IF(ISBLANK(B640),"",B640&amp;"|"&amp;C640)</f>
        <v/>
      </c>
      <c r="B640" s="127"/>
      <c r="C640" s="127"/>
      <c r="D640" s="127"/>
      <c r="E640" s="133"/>
      <c r="F640" s="127"/>
      <c r="G640" s="127"/>
      <c r="H640" s="127"/>
      <c r="I640" s="127"/>
      <c r="J640" s="127"/>
      <c r="K640" s="127"/>
      <c r="L640" s="127"/>
      <c r="M640" s="127"/>
      <c r="N640" s="127"/>
      <c r="O640" s="127"/>
      <c r="P640" s="127"/>
      <c r="Q640" s="127"/>
      <c r="R640" s="127"/>
      <c r="S640" s="127"/>
      <c r="T640" s="127"/>
      <c r="U640" s="127"/>
      <c r="V640" s="127"/>
      <c r="W640" s="127"/>
      <c r="X640" s="127"/>
      <c r="Y640" s="127"/>
      <c r="Z640" s="127"/>
      <c r="AA640" s="127"/>
    </row>
    <row r="641" customFormat="false" ht="15.75" hidden="false" customHeight="false" outlineLevel="0" collapsed="false">
      <c r="A641" s="127" t="str">
        <f aca="false">IF(ISBLANK(B641),"",B641&amp;"|"&amp;C641)</f>
        <v/>
      </c>
      <c r="B641" s="127"/>
      <c r="C641" s="127"/>
      <c r="D641" s="127"/>
      <c r="E641" s="133"/>
      <c r="F641" s="127"/>
      <c r="G641" s="127"/>
      <c r="H641" s="127"/>
      <c r="I641" s="127"/>
      <c r="J641" s="127"/>
      <c r="K641" s="127"/>
      <c r="L641" s="127"/>
      <c r="M641" s="127"/>
      <c r="N641" s="127"/>
      <c r="O641" s="127"/>
      <c r="P641" s="127"/>
      <c r="Q641" s="127"/>
      <c r="R641" s="127"/>
      <c r="S641" s="127"/>
      <c r="T641" s="127"/>
      <c r="U641" s="127"/>
      <c r="V641" s="127"/>
      <c r="W641" s="127"/>
      <c r="X641" s="127"/>
      <c r="Y641" s="127"/>
      <c r="Z641" s="127"/>
      <c r="AA641" s="127"/>
    </row>
    <row r="642" customFormat="false" ht="15.75" hidden="false" customHeight="false" outlineLevel="0" collapsed="false">
      <c r="A642" s="127" t="str">
        <f aca="false">IF(ISBLANK(B642),"",B642&amp;"|"&amp;C642)</f>
        <v/>
      </c>
      <c r="B642" s="127"/>
      <c r="C642" s="127"/>
      <c r="D642" s="127"/>
      <c r="E642" s="133"/>
      <c r="F642" s="127"/>
      <c r="G642" s="127"/>
      <c r="H642" s="127"/>
      <c r="I642" s="127"/>
      <c r="J642" s="127"/>
      <c r="K642" s="127"/>
      <c r="L642" s="127"/>
      <c r="M642" s="127"/>
      <c r="N642" s="127"/>
      <c r="O642" s="127"/>
      <c r="P642" s="127"/>
      <c r="Q642" s="127"/>
      <c r="R642" s="127"/>
      <c r="S642" s="127"/>
      <c r="T642" s="127"/>
      <c r="U642" s="127"/>
      <c r="V642" s="127"/>
      <c r="W642" s="127"/>
      <c r="X642" s="127"/>
      <c r="Y642" s="127"/>
      <c r="Z642" s="127"/>
      <c r="AA642" s="127"/>
    </row>
    <row r="643" customFormat="false" ht="15.75" hidden="false" customHeight="false" outlineLevel="0" collapsed="false">
      <c r="A643" s="127" t="str">
        <f aca="false">IF(ISBLANK(B643),"",B643&amp;"|"&amp;C643)</f>
        <v/>
      </c>
      <c r="B643" s="127"/>
      <c r="C643" s="127"/>
      <c r="D643" s="127"/>
      <c r="E643" s="133"/>
      <c r="F643" s="127"/>
      <c r="G643" s="127"/>
      <c r="H643" s="127"/>
      <c r="I643" s="127"/>
      <c r="J643" s="127"/>
      <c r="K643" s="127"/>
      <c r="L643" s="127"/>
      <c r="M643" s="127"/>
      <c r="N643" s="127"/>
      <c r="O643" s="127"/>
      <c r="P643" s="127"/>
      <c r="Q643" s="127"/>
      <c r="R643" s="127"/>
      <c r="S643" s="127"/>
      <c r="T643" s="127"/>
      <c r="U643" s="127"/>
      <c r="V643" s="127"/>
      <c r="W643" s="127"/>
      <c r="X643" s="127"/>
      <c r="Y643" s="127"/>
      <c r="Z643" s="127"/>
      <c r="AA643" s="127"/>
    </row>
    <row r="644" customFormat="false" ht="15.75" hidden="false" customHeight="false" outlineLevel="0" collapsed="false">
      <c r="A644" s="127" t="str">
        <f aca="false">IF(ISBLANK(B644),"",B644&amp;"|"&amp;C644)</f>
        <v/>
      </c>
      <c r="B644" s="127"/>
      <c r="C644" s="127"/>
      <c r="D644" s="127"/>
      <c r="E644" s="133"/>
      <c r="F644" s="127"/>
      <c r="G644" s="127"/>
      <c r="H644" s="127"/>
      <c r="I644" s="127"/>
      <c r="J644" s="127"/>
      <c r="K644" s="127"/>
      <c r="L644" s="127"/>
      <c r="M644" s="127"/>
      <c r="N644" s="127"/>
      <c r="O644" s="127"/>
      <c r="P644" s="127"/>
      <c r="Q644" s="127"/>
      <c r="R644" s="127"/>
      <c r="S644" s="127"/>
      <c r="T644" s="127"/>
      <c r="U644" s="127"/>
      <c r="V644" s="127"/>
      <c r="W644" s="127"/>
      <c r="X644" s="127"/>
      <c r="Y644" s="127"/>
      <c r="Z644" s="127"/>
      <c r="AA644" s="127"/>
    </row>
    <row r="645" customFormat="false" ht="15.75" hidden="false" customHeight="false" outlineLevel="0" collapsed="false">
      <c r="A645" s="127" t="str">
        <f aca="false">IF(ISBLANK(B645),"",B645&amp;"|"&amp;C645)</f>
        <v/>
      </c>
      <c r="B645" s="127"/>
      <c r="C645" s="127"/>
      <c r="D645" s="127"/>
      <c r="E645" s="133"/>
      <c r="F645" s="127"/>
      <c r="G645" s="127"/>
      <c r="H645" s="127"/>
      <c r="I645" s="127"/>
      <c r="J645" s="127"/>
      <c r="K645" s="127"/>
      <c r="L645" s="127"/>
      <c r="M645" s="127"/>
      <c r="N645" s="127"/>
      <c r="O645" s="127"/>
      <c r="P645" s="127"/>
      <c r="Q645" s="127"/>
      <c r="R645" s="127"/>
      <c r="S645" s="127"/>
      <c r="T645" s="127"/>
      <c r="U645" s="127"/>
      <c r="V645" s="127"/>
      <c r="W645" s="127"/>
      <c r="X645" s="127"/>
      <c r="Y645" s="127"/>
      <c r="Z645" s="127"/>
      <c r="AA645" s="127"/>
    </row>
    <row r="646" customFormat="false" ht="15.75" hidden="false" customHeight="false" outlineLevel="0" collapsed="false">
      <c r="A646" s="127" t="str">
        <f aca="false">IF(ISBLANK(B646),"",B646&amp;"|"&amp;C646)</f>
        <v/>
      </c>
      <c r="B646" s="127"/>
      <c r="C646" s="127"/>
      <c r="D646" s="127"/>
      <c r="E646" s="133"/>
      <c r="F646" s="127"/>
      <c r="G646" s="127"/>
      <c r="H646" s="127"/>
      <c r="I646" s="127"/>
      <c r="J646" s="127"/>
      <c r="K646" s="127"/>
      <c r="L646" s="127"/>
      <c r="M646" s="127"/>
      <c r="N646" s="127"/>
      <c r="O646" s="127"/>
      <c r="P646" s="127"/>
      <c r="Q646" s="127"/>
      <c r="R646" s="127"/>
      <c r="S646" s="127"/>
      <c r="T646" s="127"/>
      <c r="U646" s="127"/>
      <c r="V646" s="127"/>
      <c r="W646" s="127"/>
      <c r="X646" s="127"/>
      <c r="Y646" s="127"/>
      <c r="Z646" s="127"/>
      <c r="AA646" s="127"/>
    </row>
    <row r="647" customFormat="false" ht="15.75" hidden="false" customHeight="false" outlineLevel="0" collapsed="false">
      <c r="A647" s="127" t="str">
        <f aca="false">IF(ISBLANK(B647),"",B647&amp;"|"&amp;C647)</f>
        <v/>
      </c>
      <c r="B647" s="127"/>
      <c r="C647" s="127"/>
      <c r="D647" s="127"/>
      <c r="E647" s="133"/>
      <c r="F647" s="127"/>
      <c r="G647" s="127"/>
      <c r="H647" s="127"/>
      <c r="I647" s="127"/>
      <c r="J647" s="127"/>
      <c r="K647" s="127"/>
      <c r="L647" s="127"/>
      <c r="M647" s="127"/>
      <c r="N647" s="127"/>
      <c r="O647" s="127"/>
      <c r="P647" s="127"/>
      <c r="Q647" s="127"/>
      <c r="R647" s="127"/>
      <c r="S647" s="127"/>
      <c r="T647" s="127"/>
      <c r="U647" s="127"/>
      <c r="V647" s="127"/>
      <c r="W647" s="127"/>
      <c r="X647" s="127"/>
      <c r="Y647" s="127"/>
      <c r="Z647" s="127"/>
      <c r="AA647" s="127"/>
    </row>
    <row r="648" customFormat="false" ht="15.75" hidden="false" customHeight="false" outlineLevel="0" collapsed="false">
      <c r="A648" s="127" t="str">
        <f aca="false">IF(ISBLANK(B648),"",B648&amp;"|"&amp;C648)</f>
        <v/>
      </c>
      <c r="B648" s="127"/>
      <c r="C648" s="127"/>
      <c r="D648" s="127"/>
      <c r="E648" s="133"/>
      <c r="F648" s="127"/>
      <c r="G648" s="127"/>
      <c r="H648" s="127"/>
      <c r="I648" s="127"/>
      <c r="J648" s="127"/>
      <c r="K648" s="127"/>
      <c r="L648" s="127"/>
      <c r="M648" s="127"/>
      <c r="N648" s="127"/>
      <c r="O648" s="127"/>
      <c r="P648" s="127"/>
      <c r="Q648" s="127"/>
      <c r="R648" s="127"/>
      <c r="S648" s="127"/>
      <c r="T648" s="127"/>
      <c r="U648" s="127"/>
      <c r="V648" s="127"/>
      <c r="W648" s="127"/>
      <c r="X648" s="127"/>
      <c r="Y648" s="127"/>
      <c r="Z648" s="127"/>
      <c r="AA648" s="127"/>
    </row>
    <row r="649" customFormat="false" ht="15.75" hidden="false" customHeight="false" outlineLevel="0" collapsed="false">
      <c r="A649" s="127" t="str">
        <f aca="false">IF(ISBLANK(B649),"",B649&amp;"|"&amp;C649)</f>
        <v/>
      </c>
      <c r="B649" s="127"/>
      <c r="C649" s="127"/>
      <c r="D649" s="127"/>
      <c r="E649" s="133"/>
      <c r="F649" s="127"/>
      <c r="G649" s="127"/>
      <c r="H649" s="127"/>
      <c r="I649" s="127"/>
      <c r="J649" s="127"/>
      <c r="K649" s="127"/>
      <c r="L649" s="127"/>
      <c r="M649" s="127"/>
      <c r="N649" s="127"/>
      <c r="O649" s="127"/>
      <c r="P649" s="127"/>
      <c r="Q649" s="127"/>
      <c r="R649" s="127"/>
      <c r="S649" s="127"/>
      <c r="T649" s="127"/>
      <c r="U649" s="127"/>
      <c r="V649" s="127"/>
      <c r="W649" s="127"/>
      <c r="X649" s="127"/>
      <c r="Y649" s="127"/>
      <c r="Z649" s="127"/>
      <c r="AA649" s="127"/>
    </row>
    <row r="650" customFormat="false" ht="15.75" hidden="false" customHeight="false" outlineLevel="0" collapsed="false">
      <c r="A650" s="127" t="str">
        <f aca="false">IF(ISBLANK(B650),"",B650&amp;"|"&amp;C650)</f>
        <v/>
      </c>
      <c r="B650" s="127"/>
      <c r="C650" s="127"/>
      <c r="D650" s="127"/>
      <c r="E650" s="133"/>
      <c r="F650" s="127"/>
      <c r="G650" s="127"/>
      <c r="H650" s="127"/>
      <c r="I650" s="127"/>
      <c r="J650" s="127"/>
      <c r="K650" s="127"/>
      <c r="L650" s="127"/>
      <c r="M650" s="127"/>
      <c r="N650" s="127"/>
      <c r="O650" s="127"/>
      <c r="P650" s="127"/>
      <c r="Q650" s="127"/>
      <c r="R650" s="127"/>
      <c r="S650" s="127"/>
      <c r="T650" s="127"/>
      <c r="U650" s="127"/>
      <c r="V650" s="127"/>
      <c r="W650" s="127"/>
      <c r="X650" s="127"/>
      <c r="Y650" s="127"/>
      <c r="Z650" s="127"/>
      <c r="AA650" s="127"/>
    </row>
    <row r="651" customFormat="false" ht="15.75" hidden="false" customHeight="false" outlineLevel="0" collapsed="false">
      <c r="A651" s="127" t="str">
        <f aca="false">IF(ISBLANK(B651),"",B651&amp;"|"&amp;C651)</f>
        <v/>
      </c>
      <c r="B651" s="127"/>
      <c r="C651" s="127"/>
      <c r="D651" s="127"/>
      <c r="E651" s="133"/>
      <c r="F651" s="127"/>
      <c r="G651" s="127"/>
      <c r="H651" s="127"/>
      <c r="I651" s="127"/>
      <c r="J651" s="127"/>
      <c r="K651" s="127"/>
      <c r="L651" s="127"/>
      <c r="M651" s="127"/>
      <c r="N651" s="127"/>
      <c r="O651" s="127"/>
      <c r="P651" s="127"/>
      <c r="Q651" s="127"/>
      <c r="R651" s="127"/>
      <c r="S651" s="127"/>
      <c r="T651" s="127"/>
      <c r="U651" s="127"/>
      <c r="V651" s="127"/>
      <c r="W651" s="127"/>
      <c r="X651" s="127"/>
      <c r="Y651" s="127"/>
      <c r="Z651" s="127"/>
      <c r="AA651" s="127"/>
    </row>
    <row r="652" customFormat="false" ht="15.75" hidden="false" customHeight="false" outlineLevel="0" collapsed="false">
      <c r="A652" s="127" t="str">
        <f aca="false">IF(ISBLANK(B652),"",B652&amp;"|"&amp;C652)</f>
        <v/>
      </c>
      <c r="B652" s="127"/>
      <c r="C652" s="127"/>
      <c r="D652" s="127"/>
      <c r="E652" s="133"/>
      <c r="F652" s="127"/>
      <c r="G652" s="127"/>
      <c r="H652" s="127"/>
      <c r="I652" s="127"/>
      <c r="J652" s="127"/>
      <c r="K652" s="127"/>
      <c r="L652" s="127"/>
      <c r="M652" s="127"/>
      <c r="N652" s="127"/>
      <c r="O652" s="127"/>
      <c r="P652" s="127"/>
      <c r="Q652" s="127"/>
      <c r="R652" s="127"/>
      <c r="S652" s="127"/>
      <c r="T652" s="127"/>
      <c r="U652" s="127"/>
      <c r="V652" s="127"/>
      <c r="W652" s="127"/>
      <c r="X652" s="127"/>
      <c r="Y652" s="127"/>
      <c r="Z652" s="127"/>
      <c r="AA652" s="127"/>
    </row>
    <row r="653" customFormat="false" ht="15.75" hidden="false" customHeight="false" outlineLevel="0" collapsed="false">
      <c r="A653" s="127" t="str">
        <f aca="false">IF(ISBLANK(B653),"",B653&amp;"|"&amp;C653)</f>
        <v/>
      </c>
      <c r="B653" s="127"/>
      <c r="C653" s="127"/>
      <c r="D653" s="127"/>
      <c r="E653" s="133"/>
      <c r="F653" s="127"/>
      <c r="G653" s="127"/>
      <c r="H653" s="127"/>
      <c r="I653" s="127"/>
      <c r="J653" s="127"/>
      <c r="K653" s="127"/>
      <c r="L653" s="127"/>
      <c r="M653" s="127"/>
      <c r="N653" s="127"/>
      <c r="O653" s="127"/>
      <c r="P653" s="127"/>
      <c r="Q653" s="127"/>
      <c r="R653" s="127"/>
      <c r="S653" s="127"/>
      <c r="T653" s="127"/>
      <c r="U653" s="127"/>
      <c r="V653" s="127"/>
      <c r="W653" s="127"/>
      <c r="X653" s="127"/>
      <c r="Y653" s="127"/>
      <c r="Z653" s="127"/>
      <c r="AA653" s="127"/>
    </row>
    <row r="654" customFormat="false" ht="15.75" hidden="false" customHeight="false" outlineLevel="0" collapsed="false">
      <c r="A654" s="127" t="str">
        <f aca="false">IF(ISBLANK(B654),"",B654&amp;"|"&amp;C654)</f>
        <v/>
      </c>
      <c r="B654" s="127"/>
      <c r="C654" s="127"/>
      <c r="D654" s="127"/>
      <c r="E654" s="133"/>
      <c r="F654" s="127"/>
      <c r="G654" s="127"/>
      <c r="H654" s="127"/>
      <c r="I654" s="127"/>
      <c r="J654" s="127"/>
      <c r="K654" s="127"/>
      <c r="L654" s="127"/>
      <c r="M654" s="127"/>
      <c r="N654" s="127"/>
      <c r="O654" s="127"/>
      <c r="P654" s="127"/>
      <c r="Q654" s="127"/>
      <c r="R654" s="127"/>
      <c r="S654" s="127"/>
      <c r="T654" s="127"/>
      <c r="U654" s="127"/>
      <c r="V654" s="127"/>
      <c r="W654" s="127"/>
      <c r="X654" s="127"/>
      <c r="Y654" s="127"/>
      <c r="Z654" s="127"/>
      <c r="AA654" s="127"/>
    </row>
    <row r="655" customFormat="false" ht="15.75" hidden="false" customHeight="false" outlineLevel="0" collapsed="false">
      <c r="A655" s="127" t="str">
        <f aca="false">IF(ISBLANK(B655),"",B655&amp;"|"&amp;C655)</f>
        <v/>
      </c>
      <c r="B655" s="127"/>
      <c r="C655" s="127"/>
      <c r="D655" s="127"/>
      <c r="E655" s="133"/>
      <c r="F655" s="127"/>
      <c r="G655" s="127"/>
      <c r="H655" s="127"/>
      <c r="I655" s="127"/>
      <c r="J655" s="127"/>
      <c r="K655" s="127"/>
      <c r="L655" s="127"/>
      <c r="M655" s="127"/>
      <c r="N655" s="127"/>
      <c r="O655" s="127"/>
      <c r="P655" s="127"/>
      <c r="Q655" s="127"/>
      <c r="R655" s="127"/>
      <c r="S655" s="127"/>
      <c r="T655" s="127"/>
      <c r="U655" s="127"/>
      <c r="V655" s="127"/>
      <c r="W655" s="127"/>
      <c r="X655" s="127"/>
      <c r="Y655" s="127"/>
      <c r="Z655" s="127"/>
      <c r="AA655" s="127"/>
    </row>
    <row r="656" customFormat="false" ht="15.75" hidden="false" customHeight="false" outlineLevel="0" collapsed="false">
      <c r="A656" s="127" t="str">
        <f aca="false">IF(ISBLANK(B656),"",B656&amp;"|"&amp;C656)</f>
        <v/>
      </c>
      <c r="B656" s="127"/>
      <c r="C656" s="127"/>
      <c r="D656" s="127"/>
      <c r="E656" s="133"/>
      <c r="F656" s="127"/>
      <c r="G656" s="127"/>
      <c r="H656" s="127"/>
      <c r="I656" s="127"/>
      <c r="J656" s="127"/>
      <c r="K656" s="127"/>
      <c r="L656" s="127"/>
      <c r="M656" s="127"/>
      <c r="N656" s="127"/>
      <c r="O656" s="127"/>
      <c r="P656" s="127"/>
      <c r="Q656" s="127"/>
      <c r="R656" s="127"/>
      <c r="S656" s="127"/>
      <c r="T656" s="127"/>
      <c r="U656" s="127"/>
      <c r="V656" s="127"/>
      <c r="W656" s="127"/>
      <c r="X656" s="127"/>
      <c r="Y656" s="127"/>
      <c r="Z656" s="127"/>
      <c r="AA656" s="127"/>
    </row>
    <row r="657" customFormat="false" ht="15.75" hidden="false" customHeight="false" outlineLevel="0" collapsed="false">
      <c r="A657" s="127" t="str">
        <f aca="false">IF(ISBLANK(B657),"",B657&amp;"|"&amp;C657)</f>
        <v/>
      </c>
      <c r="B657" s="127"/>
      <c r="C657" s="127"/>
      <c r="D657" s="127"/>
      <c r="E657" s="133"/>
      <c r="F657" s="127"/>
      <c r="G657" s="127"/>
      <c r="H657" s="127"/>
      <c r="I657" s="127"/>
      <c r="J657" s="127"/>
      <c r="K657" s="127"/>
      <c r="L657" s="127"/>
      <c r="M657" s="127"/>
      <c r="N657" s="127"/>
      <c r="O657" s="127"/>
      <c r="P657" s="127"/>
      <c r="Q657" s="127"/>
      <c r="R657" s="127"/>
      <c r="S657" s="127"/>
      <c r="T657" s="127"/>
      <c r="U657" s="127"/>
      <c r="V657" s="127"/>
      <c r="W657" s="127"/>
      <c r="X657" s="127"/>
      <c r="Y657" s="127"/>
      <c r="Z657" s="127"/>
      <c r="AA657" s="127"/>
    </row>
    <row r="658" customFormat="false" ht="15.75" hidden="false" customHeight="false" outlineLevel="0" collapsed="false">
      <c r="A658" s="127" t="str">
        <f aca="false">IF(ISBLANK(B658),"",B658&amp;"|"&amp;C658)</f>
        <v/>
      </c>
      <c r="B658" s="127"/>
      <c r="C658" s="127"/>
      <c r="D658" s="127"/>
      <c r="E658" s="133"/>
      <c r="F658" s="127"/>
      <c r="G658" s="127"/>
      <c r="H658" s="127"/>
      <c r="I658" s="127"/>
      <c r="J658" s="127"/>
      <c r="K658" s="127"/>
      <c r="L658" s="127"/>
      <c r="M658" s="127"/>
      <c r="N658" s="127"/>
      <c r="O658" s="127"/>
      <c r="P658" s="127"/>
      <c r="Q658" s="127"/>
      <c r="R658" s="127"/>
      <c r="S658" s="127"/>
      <c r="T658" s="127"/>
      <c r="U658" s="127"/>
      <c r="V658" s="127"/>
      <c r="W658" s="127"/>
      <c r="X658" s="127"/>
      <c r="Y658" s="127"/>
      <c r="Z658" s="127"/>
      <c r="AA658" s="127"/>
    </row>
    <row r="659" customFormat="false" ht="15.75" hidden="false" customHeight="false" outlineLevel="0" collapsed="false">
      <c r="A659" s="127" t="str">
        <f aca="false">IF(ISBLANK(B659),"",B659&amp;"|"&amp;C659)</f>
        <v/>
      </c>
      <c r="B659" s="127"/>
      <c r="C659" s="127"/>
      <c r="D659" s="127"/>
      <c r="E659" s="133"/>
      <c r="F659" s="127"/>
      <c r="G659" s="127"/>
      <c r="H659" s="127"/>
      <c r="I659" s="127"/>
      <c r="J659" s="127"/>
      <c r="K659" s="127"/>
      <c r="L659" s="127"/>
      <c r="M659" s="127"/>
      <c r="N659" s="127"/>
      <c r="O659" s="127"/>
      <c r="P659" s="127"/>
      <c r="Q659" s="127"/>
      <c r="R659" s="127"/>
      <c r="S659" s="127"/>
      <c r="T659" s="127"/>
      <c r="U659" s="127"/>
      <c r="V659" s="127"/>
      <c r="W659" s="127"/>
      <c r="X659" s="127"/>
      <c r="Y659" s="127"/>
      <c r="Z659" s="127"/>
      <c r="AA659" s="127"/>
    </row>
    <row r="660" customFormat="false" ht="15.75" hidden="false" customHeight="false" outlineLevel="0" collapsed="false">
      <c r="A660" s="127" t="str">
        <f aca="false">IF(ISBLANK(B660),"",B660&amp;"|"&amp;C660)</f>
        <v/>
      </c>
      <c r="B660" s="127"/>
      <c r="C660" s="127"/>
      <c r="D660" s="127"/>
      <c r="E660" s="133"/>
      <c r="F660" s="127"/>
      <c r="G660" s="127"/>
      <c r="H660" s="127"/>
      <c r="I660" s="127"/>
      <c r="J660" s="127"/>
      <c r="K660" s="127"/>
      <c r="L660" s="127"/>
      <c r="M660" s="127"/>
      <c r="N660" s="127"/>
      <c r="O660" s="127"/>
      <c r="P660" s="127"/>
      <c r="Q660" s="127"/>
      <c r="R660" s="127"/>
      <c r="S660" s="127"/>
      <c r="T660" s="127"/>
      <c r="U660" s="127"/>
      <c r="V660" s="127"/>
      <c r="W660" s="127"/>
      <c r="X660" s="127"/>
      <c r="Y660" s="127"/>
      <c r="Z660" s="127"/>
      <c r="AA660" s="127"/>
    </row>
    <row r="661" customFormat="false" ht="15.75" hidden="false" customHeight="false" outlineLevel="0" collapsed="false">
      <c r="A661" s="127" t="str">
        <f aca="false">IF(ISBLANK(B661),"",B661&amp;"|"&amp;C661)</f>
        <v/>
      </c>
      <c r="B661" s="127"/>
      <c r="C661" s="127"/>
      <c r="D661" s="127"/>
      <c r="E661" s="133"/>
      <c r="F661" s="127"/>
      <c r="G661" s="127"/>
      <c r="H661" s="127"/>
      <c r="I661" s="127"/>
      <c r="J661" s="127"/>
      <c r="K661" s="127"/>
      <c r="L661" s="127"/>
      <c r="M661" s="127"/>
      <c r="N661" s="127"/>
      <c r="O661" s="127"/>
      <c r="P661" s="127"/>
      <c r="Q661" s="127"/>
      <c r="R661" s="127"/>
      <c r="S661" s="127"/>
      <c r="T661" s="127"/>
      <c r="U661" s="127"/>
      <c r="V661" s="127"/>
      <c r="W661" s="127"/>
      <c r="X661" s="127"/>
      <c r="Y661" s="127"/>
      <c r="Z661" s="127"/>
      <c r="AA661" s="127"/>
    </row>
    <row r="662" customFormat="false" ht="15.75" hidden="false" customHeight="false" outlineLevel="0" collapsed="false">
      <c r="A662" s="127" t="str">
        <f aca="false">IF(ISBLANK(B662),"",B662&amp;"|"&amp;C662)</f>
        <v/>
      </c>
      <c r="B662" s="127"/>
      <c r="C662" s="127"/>
      <c r="D662" s="127"/>
      <c r="E662" s="133"/>
      <c r="F662" s="127"/>
      <c r="G662" s="127"/>
      <c r="H662" s="127"/>
      <c r="I662" s="127"/>
      <c r="J662" s="127"/>
      <c r="K662" s="127"/>
      <c r="L662" s="127"/>
      <c r="M662" s="127"/>
      <c r="N662" s="127"/>
      <c r="O662" s="127"/>
      <c r="P662" s="127"/>
      <c r="Q662" s="127"/>
      <c r="R662" s="127"/>
      <c r="S662" s="127"/>
      <c r="T662" s="127"/>
      <c r="U662" s="127"/>
      <c r="V662" s="127"/>
      <c r="W662" s="127"/>
      <c r="X662" s="127"/>
      <c r="Y662" s="127"/>
      <c r="Z662" s="127"/>
      <c r="AA662" s="127"/>
    </row>
    <row r="663" customFormat="false" ht="15.75" hidden="false" customHeight="false" outlineLevel="0" collapsed="false">
      <c r="A663" s="127" t="str">
        <f aca="false">IF(ISBLANK(B663),"",B663&amp;"|"&amp;C663)</f>
        <v/>
      </c>
      <c r="B663" s="127"/>
      <c r="C663" s="127"/>
      <c r="D663" s="127"/>
      <c r="E663" s="133"/>
      <c r="F663" s="127"/>
      <c r="G663" s="127"/>
      <c r="H663" s="127"/>
      <c r="I663" s="127"/>
      <c r="J663" s="127"/>
      <c r="K663" s="127"/>
      <c r="L663" s="127"/>
      <c r="M663" s="127"/>
      <c r="N663" s="127"/>
      <c r="O663" s="127"/>
      <c r="P663" s="127"/>
      <c r="Q663" s="127"/>
      <c r="R663" s="127"/>
      <c r="S663" s="127"/>
      <c r="T663" s="127"/>
      <c r="U663" s="127"/>
      <c r="V663" s="127"/>
      <c r="W663" s="127"/>
      <c r="X663" s="127"/>
      <c r="Y663" s="127"/>
      <c r="Z663" s="127"/>
      <c r="AA663" s="127"/>
    </row>
    <row r="664" customFormat="false" ht="15.75" hidden="false" customHeight="false" outlineLevel="0" collapsed="false">
      <c r="A664" s="127" t="str">
        <f aca="false">IF(ISBLANK(B664),"",B664&amp;"|"&amp;C664)</f>
        <v/>
      </c>
      <c r="B664" s="127"/>
      <c r="C664" s="127"/>
      <c r="D664" s="127"/>
      <c r="E664" s="133"/>
      <c r="F664" s="127"/>
      <c r="G664" s="127"/>
      <c r="H664" s="127"/>
      <c r="I664" s="127"/>
      <c r="J664" s="127"/>
      <c r="K664" s="127"/>
      <c r="L664" s="127"/>
      <c r="M664" s="127"/>
      <c r="N664" s="127"/>
      <c r="O664" s="127"/>
      <c r="P664" s="127"/>
      <c r="Q664" s="127"/>
      <c r="R664" s="127"/>
      <c r="S664" s="127"/>
      <c r="T664" s="127"/>
      <c r="U664" s="127"/>
      <c r="V664" s="127"/>
      <c r="W664" s="127"/>
      <c r="X664" s="127"/>
      <c r="Y664" s="127"/>
      <c r="Z664" s="127"/>
      <c r="AA664" s="127"/>
    </row>
    <row r="665" customFormat="false" ht="15.75" hidden="false" customHeight="false" outlineLevel="0" collapsed="false">
      <c r="A665" s="127" t="str">
        <f aca="false">IF(ISBLANK(B665),"",B665&amp;"|"&amp;C665)</f>
        <v/>
      </c>
      <c r="B665" s="127"/>
      <c r="C665" s="127"/>
      <c r="D665" s="127"/>
      <c r="E665" s="133"/>
      <c r="F665" s="127"/>
      <c r="G665" s="127"/>
      <c r="H665" s="127"/>
      <c r="I665" s="127"/>
      <c r="J665" s="127"/>
      <c r="K665" s="127"/>
      <c r="L665" s="127"/>
      <c r="M665" s="127"/>
      <c r="N665" s="127"/>
      <c r="O665" s="127"/>
      <c r="P665" s="127"/>
      <c r="Q665" s="127"/>
      <c r="R665" s="127"/>
      <c r="S665" s="127"/>
      <c r="T665" s="127"/>
      <c r="U665" s="127"/>
      <c r="V665" s="127"/>
      <c r="W665" s="127"/>
      <c r="X665" s="127"/>
      <c r="Y665" s="127"/>
      <c r="Z665" s="127"/>
      <c r="AA665" s="127"/>
    </row>
    <row r="666" customFormat="false" ht="15.75" hidden="false" customHeight="false" outlineLevel="0" collapsed="false">
      <c r="A666" s="127" t="str">
        <f aca="false">IF(ISBLANK(B666),"",B666&amp;"|"&amp;C666)</f>
        <v/>
      </c>
      <c r="B666" s="127"/>
      <c r="C666" s="127"/>
      <c r="D666" s="127"/>
      <c r="E666" s="133"/>
      <c r="F666" s="127"/>
      <c r="G666" s="127"/>
      <c r="H666" s="127"/>
      <c r="I666" s="127"/>
      <c r="J666" s="127"/>
      <c r="K666" s="127"/>
      <c r="L666" s="127"/>
      <c r="M666" s="127"/>
      <c r="N666" s="127"/>
      <c r="O666" s="127"/>
      <c r="P666" s="127"/>
      <c r="Q666" s="127"/>
      <c r="R666" s="127"/>
      <c r="S666" s="127"/>
      <c r="T666" s="127"/>
      <c r="U666" s="127"/>
      <c r="V666" s="127"/>
      <c r="W666" s="127"/>
      <c r="X666" s="127"/>
      <c r="Y666" s="127"/>
      <c r="Z666" s="127"/>
      <c r="AA666" s="127"/>
    </row>
    <row r="667" customFormat="false" ht="15.75" hidden="false" customHeight="false" outlineLevel="0" collapsed="false">
      <c r="A667" s="127" t="str">
        <f aca="false">IF(ISBLANK(B667),"",B667&amp;"|"&amp;C667)</f>
        <v/>
      </c>
      <c r="B667" s="127"/>
      <c r="C667" s="127"/>
      <c r="D667" s="127"/>
      <c r="E667" s="133"/>
      <c r="F667" s="127"/>
      <c r="G667" s="127"/>
      <c r="H667" s="127"/>
      <c r="I667" s="127"/>
      <c r="J667" s="127"/>
      <c r="K667" s="127"/>
      <c r="L667" s="127"/>
      <c r="M667" s="127"/>
      <c r="N667" s="127"/>
      <c r="O667" s="127"/>
      <c r="P667" s="127"/>
      <c r="Q667" s="127"/>
      <c r="R667" s="127"/>
      <c r="S667" s="127"/>
      <c r="T667" s="127"/>
      <c r="U667" s="127"/>
      <c r="V667" s="127"/>
      <c r="W667" s="127"/>
      <c r="X667" s="127"/>
      <c r="Y667" s="127"/>
      <c r="Z667" s="127"/>
      <c r="AA667" s="127"/>
    </row>
    <row r="668" customFormat="false" ht="15.75" hidden="false" customHeight="false" outlineLevel="0" collapsed="false">
      <c r="A668" s="127" t="str">
        <f aca="false">IF(ISBLANK(B668),"",B668&amp;"|"&amp;C668)</f>
        <v/>
      </c>
      <c r="B668" s="127"/>
      <c r="C668" s="127"/>
      <c r="D668" s="127"/>
      <c r="E668" s="133"/>
      <c r="F668" s="127"/>
      <c r="G668" s="127"/>
      <c r="H668" s="127"/>
      <c r="I668" s="127"/>
      <c r="J668" s="127"/>
      <c r="K668" s="127"/>
      <c r="L668" s="127"/>
      <c r="M668" s="127"/>
      <c r="N668" s="127"/>
      <c r="O668" s="127"/>
      <c r="P668" s="127"/>
      <c r="Q668" s="127"/>
      <c r="R668" s="127"/>
      <c r="S668" s="127"/>
      <c r="T668" s="127"/>
      <c r="U668" s="127"/>
      <c r="V668" s="127"/>
      <c r="W668" s="127"/>
      <c r="X668" s="127"/>
      <c r="Y668" s="127"/>
      <c r="Z668" s="127"/>
      <c r="AA668" s="127"/>
    </row>
    <row r="669" customFormat="false" ht="15.75" hidden="false" customHeight="false" outlineLevel="0" collapsed="false">
      <c r="A669" s="127" t="str">
        <f aca="false">IF(ISBLANK(B669),"",B669&amp;"|"&amp;C669)</f>
        <v/>
      </c>
      <c r="B669" s="127"/>
      <c r="C669" s="127"/>
      <c r="D669" s="127"/>
      <c r="E669" s="133"/>
      <c r="F669" s="127"/>
      <c r="G669" s="127"/>
      <c r="H669" s="127"/>
      <c r="I669" s="127"/>
      <c r="J669" s="127"/>
      <c r="K669" s="127"/>
      <c r="L669" s="127"/>
      <c r="M669" s="127"/>
      <c r="N669" s="127"/>
      <c r="O669" s="127"/>
      <c r="P669" s="127"/>
      <c r="Q669" s="127"/>
      <c r="R669" s="127"/>
      <c r="S669" s="127"/>
      <c r="T669" s="127"/>
      <c r="U669" s="127"/>
      <c r="V669" s="127"/>
      <c r="W669" s="127"/>
      <c r="X669" s="127"/>
      <c r="Y669" s="127"/>
      <c r="Z669" s="127"/>
      <c r="AA669" s="127"/>
    </row>
    <row r="670" customFormat="false" ht="15.75" hidden="false" customHeight="false" outlineLevel="0" collapsed="false">
      <c r="A670" s="127" t="str">
        <f aca="false">IF(ISBLANK(B670),"",B670&amp;"|"&amp;C670)</f>
        <v/>
      </c>
      <c r="B670" s="127"/>
      <c r="C670" s="127"/>
      <c r="D670" s="127"/>
      <c r="E670" s="133"/>
      <c r="F670" s="127"/>
      <c r="G670" s="127"/>
      <c r="H670" s="127"/>
      <c r="I670" s="127"/>
      <c r="J670" s="127"/>
      <c r="K670" s="127"/>
      <c r="L670" s="127"/>
      <c r="M670" s="127"/>
      <c r="N670" s="127"/>
      <c r="O670" s="127"/>
      <c r="P670" s="127"/>
      <c r="Q670" s="127"/>
      <c r="R670" s="127"/>
      <c r="S670" s="127"/>
      <c r="T670" s="127"/>
      <c r="U670" s="127"/>
      <c r="V670" s="127"/>
      <c r="W670" s="127"/>
      <c r="X670" s="127"/>
      <c r="Y670" s="127"/>
      <c r="Z670" s="127"/>
      <c r="AA670" s="127"/>
    </row>
    <row r="671" customFormat="false" ht="15.75" hidden="false" customHeight="false" outlineLevel="0" collapsed="false">
      <c r="A671" s="127" t="str">
        <f aca="false">IF(ISBLANK(B671),"",B671&amp;"|"&amp;C671)</f>
        <v/>
      </c>
      <c r="B671" s="127"/>
      <c r="C671" s="127"/>
      <c r="D671" s="127"/>
      <c r="E671" s="133"/>
      <c r="F671" s="127"/>
      <c r="G671" s="127"/>
      <c r="H671" s="127"/>
      <c r="I671" s="127"/>
      <c r="J671" s="127"/>
      <c r="K671" s="127"/>
      <c r="L671" s="127"/>
      <c r="M671" s="127"/>
      <c r="N671" s="127"/>
      <c r="O671" s="127"/>
      <c r="P671" s="127"/>
      <c r="Q671" s="127"/>
      <c r="R671" s="127"/>
      <c r="S671" s="127"/>
      <c r="T671" s="127"/>
      <c r="U671" s="127"/>
      <c r="V671" s="127"/>
      <c r="W671" s="127"/>
      <c r="X671" s="127"/>
      <c r="Y671" s="127"/>
      <c r="Z671" s="127"/>
      <c r="AA671" s="127"/>
    </row>
    <row r="672" customFormat="false" ht="15.75" hidden="false" customHeight="false" outlineLevel="0" collapsed="false">
      <c r="A672" s="127" t="str">
        <f aca="false">IF(ISBLANK(B672),"",B672&amp;"|"&amp;C672)</f>
        <v/>
      </c>
      <c r="B672" s="127"/>
      <c r="C672" s="127"/>
      <c r="D672" s="127"/>
      <c r="E672" s="133"/>
      <c r="F672" s="127"/>
      <c r="G672" s="127"/>
      <c r="H672" s="127"/>
      <c r="I672" s="127"/>
      <c r="J672" s="127"/>
      <c r="K672" s="127"/>
      <c r="L672" s="127"/>
      <c r="M672" s="127"/>
      <c r="N672" s="127"/>
      <c r="O672" s="127"/>
      <c r="P672" s="127"/>
      <c r="Q672" s="127"/>
      <c r="R672" s="127"/>
      <c r="S672" s="127"/>
      <c r="T672" s="127"/>
      <c r="U672" s="127"/>
      <c r="V672" s="127"/>
      <c r="W672" s="127"/>
      <c r="X672" s="127"/>
      <c r="Y672" s="127"/>
      <c r="Z672" s="127"/>
      <c r="AA672" s="127"/>
    </row>
    <row r="673" customFormat="false" ht="15.75" hidden="false" customHeight="false" outlineLevel="0" collapsed="false">
      <c r="A673" s="127" t="str">
        <f aca="false">IF(ISBLANK(B673),"",B673&amp;"|"&amp;C673)</f>
        <v/>
      </c>
      <c r="B673" s="127"/>
      <c r="C673" s="127"/>
      <c r="D673" s="127"/>
      <c r="E673" s="133"/>
      <c r="F673" s="127"/>
      <c r="G673" s="127"/>
      <c r="H673" s="127"/>
      <c r="I673" s="127"/>
      <c r="J673" s="127"/>
      <c r="K673" s="127"/>
      <c r="L673" s="127"/>
      <c r="M673" s="127"/>
      <c r="N673" s="127"/>
      <c r="O673" s="127"/>
      <c r="P673" s="127"/>
      <c r="Q673" s="127"/>
      <c r="R673" s="127"/>
      <c r="S673" s="127"/>
      <c r="T673" s="127"/>
      <c r="U673" s="127"/>
      <c r="V673" s="127"/>
      <c r="W673" s="127"/>
      <c r="X673" s="127"/>
      <c r="Y673" s="127"/>
      <c r="Z673" s="127"/>
      <c r="AA673" s="127"/>
    </row>
    <row r="674" customFormat="false" ht="15.75" hidden="false" customHeight="false" outlineLevel="0" collapsed="false">
      <c r="A674" s="127" t="str">
        <f aca="false">IF(ISBLANK(B674),"",B674&amp;"|"&amp;C674)</f>
        <v/>
      </c>
      <c r="B674" s="127"/>
      <c r="C674" s="127"/>
      <c r="D674" s="127"/>
      <c r="E674" s="133"/>
      <c r="F674" s="127"/>
      <c r="G674" s="127"/>
      <c r="H674" s="127"/>
      <c r="I674" s="127"/>
      <c r="J674" s="127"/>
      <c r="K674" s="127"/>
      <c r="L674" s="127"/>
      <c r="M674" s="127"/>
      <c r="N674" s="127"/>
      <c r="O674" s="127"/>
      <c r="P674" s="127"/>
      <c r="Q674" s="127"/>
      <c r="R674" s="127"/>
      <c r="S674" s="127"/>
      <c r="T674" s="127"/>
      <c r="U674" s="127"/>
      <c r="V674" s="127"/>
      <c r="W674" s="127"/>
      <c r="X674" s="127"/>
      <c r="Y674" s="127"/>
      <c r="Z674" s="127"/>
      <c r="AA674" s="127"/>
    </row>
    <row r="675" customFormat="false" ht="15.75" hidden="false" customHeight="false" outlineLevel="0" collapsed="false">
      <c r="A675" s="127" t="str">
        <f aca="false">IF(ISBLANK(B675),"",B675&amp;"|"&amp;C675)</f>
        <v/>
      </c>
      <c r="B675" s="127"/>
      <c r="C675" s="127"/>
      <c r="D675" s="127"/>
      <c r="E675" s="133"/>
      <c r="F675" s="127"/>
      <c r="G675" s="127"/>
      <c r="H675" s="127"/>
      <c r="I675" s="127"/>
      <c r="J675" s="127"/>
      <c r="K675" s="127"/>
      <c r="L675" s="127"/>
      <c r="M675" s="127"/>
      <c r="N675" s="127"/>
      <c r="O675" s="127"/>
      <c r="P675" s="127"/>
      <c r="Q675" s="127"/>
      <c r="R675" s="127"/>
      <c r="S675" s="127"/>
      <c r="T675" s="127"/>
      <c r="U675" s="127"/>
      <c r="V675" s="127"/>
      <c r="W675" s="127"/>
      <c r="X675" s="127"/>
      <c r="Y675" s="127"/>
      <c r="Z675" s="127"/>
      <c r="AA675" s="127"/>
    </row>
    <row r="676" customFormat="false" ht="15.75" hidden="false" customHeight="false" outlineLevel="0" collapsed="false">
      <c r="A676" s="127" t="str">
        <f aca="false">IF(ISBLANK(B676),"",B676&amp;"|"&amp;C676)</f>
        <v/>
      </c>
      <c r="B676" s="127"/>
      <c r="C676" s="127"/>
      <c r="D676" s="127"/>
      <c r="E676" s="133"/>
      <c r="F676" s="127"/>
      <c r="G676" s="127"/>
      <c r="H676" s="127"/>
      <c r="I676" s="127"/>
      <c r="J676" s="127"/>
      <c r="K676" s="127"/>
      <c r="L676" s="127"/>
      <c r="M676" s="127"/>
      <c r="N676" s="127"/>
      <c r="O676" s="127"/>
      <c r="P676" s="127"/>
      <c r="Q676" s="127"/>
      <c r="R676" s="127"/>
      <c r="S676" s="127"/>
      <c r="T676" s="127"/>
      <c r="U676" s="127"/>
      <c r="V676" s="127"/>
      <c r="W676" s="127"/>
      <c r="X676" s="127"/>
      <c r="Y676" s="127"/>
      <c r="Z676" s="127"/>
      <c r="AA676" s="127"/>
    </row>
    <row r="677" customFormat="false" ht="15.75" hidden="false" customHeight="false" outlineLevel="0" collapsed="false">
      <c r="A677" s="127" t="str">
        <f aca="false">IF(ISBLANK(B677),"",B677&amp;"|"&amp;C677)</f>
        <v/>
      </c>
      <c r="B677" s="127"/>
      <c r="C677" s="127"/>
      <c r="D677" s="127"/>
      <c r="E677" s="133"/>
      <c r="F677" s="127"/>
      <c r="G677" s="127"/>
      <c r="H677" s="127"/>
      <c r="I677" s="127"/>
      <c r="J677" s="127"/>
      <c r="K677" s="127"/>
      <c r="L677" s="127"/>
      <c r="M677" s="127"/>
      <c r="N677" s="127"/>
      <c r="O677" s="127"/>
      <c r="P677" s="127"/>
      <c r="Q677" s="127"/>
      <c r="R677" s="127"/>
      <c r="S677" s="127"/>
      <c r="T677" s="127"/>
      <c r="U677" s="127"/>
      <c r="V677" s="127"/>
      <c r="W677" s="127"/>
      <c r="X677" s="127"/>
      <c r="Y677" s="127"/>
      <c r="Z677" s="127"/>
      <c r="AA677" s="127"/>
    </row>
    <row r="678" customFormat="false" ht="15.75" hidden="false" customHeight="false" outlineLevel="0" collapsed="false">
      <c r="A678" s="127" t="str">
        <f aca="false">IF(ISBLANK(B678),"",B678&amp;"|"&amp;C678)</f>
        <v/>
      </c>
      <c r="B678" s="127"/>
      <c r="C678" s="127"/>
      <c r="D678" s="127"/>
      <c r="E678" s="133"/>
      <c r="F678" s="127"/>
      <c r="G678" s="127"/>
      <c r="H678" s="127"/>
      <c r="I678" s="127"/>
      <c r="J678" s="127"/>
      <c r="K678" s="127"/>
      <c r="L678" s="127"/>
      <c r="M678" s="127"/>
      <c r="N678" s="127"/>
      <c r="O678" s="127"/>
      <c r="P678" s="127"/>
      <c r="Q678" s="127"/>
      <c r="R678" s="127"/>
      <c r="S678" s="127"/>
      <c r="T678" s="127"/>
      <c r="U678" s="127"/>
      <c r="V678" s="127"/>
      <c r="W678" s="127"/>
      <c r="X678" s="127"/>
      <c r="Y678" s="127"/>
      <c r="Z678" s="127"/>
      <c r="AA678" s="127"/>
    </row>
    <row r="679" customFormat="false" ht="15.75" hidden="false" customHeight="false" outlineLevel="0" collapsed="false">
      <c r="A679" s="127" t="str">
        <f aca="false">IF(ISBLANK(B679),"",B679&amp;"|"&amp;C679)</f>
        <v/>
      </c>
      <c r="B679" s="127"/>
      <c r="C679" s="127"/>
      <c r="D679" s="127"/>
      <c r="E679" s="133"/>
      <c r="F679" s="127"/>
      <c r="G679" s="127"/>
      <c r="H679" s="127"/>
      <c r="I679" s="127"/>
      <c r="J679" s="127"/>
      <c r="K679" s="127"/>
      <c r="L679" s="127"/>
      <c r="M679" s="127"/>
      <c r="N679" s="127"/>
      <c r="O679" s="127"/>
      <c r="P679" s="127"/>
      <c r="Q679" s="127"/>
      <c r="R679" s="127"/>
      <c r="S679" s="127"/>
      <c r="T679" s="127"/>
      <c r="U679" s="127"/>
      <c r="V679" s="127"/>
      <c r="W679" s="127"/>
      <c r="X679" s="127"/>
      <c r="Y679" s="127"/>
      <c r="Z679" s="127"/>
      <c r="AA679" s="127"/>
    </row>
    <row r="680" customFormat="false" ht="15.75" hidden="false" customHeight="false" outlineLevel="0" collapsed="false">
      <c r="A680" s="127" t="str">
        <f aca="false">IF(ISBLANK(B680),"",B680&amp;"|"&amp;C680)</f>
        <v/>
      </c>
      <c r="B680" s="127"/>
      <c r="C680" s="127"/>
      <c r="D680" s="127"/>
      <c r="E680" s="133"/>
      <c r="F680" s="127"/>
      <c r="G680" s="127"/>
      <c r="H680" s="127"/>
      <c r="I680" s="127"/>
      <c r="J680" s="127"/>
      <c r="K680" s="127"/>
      <c r="L680" s="127"/>
      <c r="M680" s="127"/>
      <c r="N680" s="127"/>
      <c r="O680" s="127"/>
      <c r="P680" s="127"/>
      <c r="Q680" s="127"/>
      <c r="R680" s="127"/>
      <c r="S680" s="127"/>
      <c r="T680" s="127"/>
      <c r="U680" s="127"/>
      <c r="V680" s="127"/>
      <c r="W680" s="127"/>
      <c r="X680" s="127"/>
      <c r="Y680" s="127"/>
      <c r="Z680" s="127"/>
      <c r="AA680" s="127"/>
    </row>
    <row r="681" customFormat="false" ht="15.75" hidden="false" customHeight="false" outlineLevel="0" collapsed="false">
      <c r="A681" s="127" t="str">
        <f aca="false">IF(ISBLANK(B681),"",B681&amp;"|"&amp;C681)</f>
        <v/>
      </c>
      <c r="B681" s="127"/>
      <c r="C681" s="127"/>
      <c r="D681" s="127"/>
      <c r="E681" s="133"/>
      <c r="F681" s="127"/>
      <c r="G681" s="127"/>
      <c r="H681" s="127"/>
      <c r="I681" s="127"/>
      <c r="J681" s="127"/>
      <c r="K681" s="127"/>
      <c r="L681" s="127"/>
      <c r="M681" s="127"/>
      <c r="N681" s="127"/>
      <c r="O681" s="127"/>
      <c r="P681" s="127"/>
      <c r="Q681" s="127"/>
      <c r="R681" s="127"/>
      <c r="S681" s="127"/>
      <c r="T681" s="127"/>
      <c r="U681" s="127"/>
      <c r="V681" s="127"/>
      <c r="W681" s="127"/>
      <c r="X681" s="127"/>
      <c r="Y681" s="127"/>
      <c r="Z681" s="127"/>
      <c r="AA681" s="127"/>
    </row>
    <row r="682" customFormat="false" ht="15.75" hidden="false" customHeight="false" outlineLevel="0" collapsed="false">
      <c r="A682" s="127" t="str">
        <f aca="false">IF(ISBLANK(B682),"",B682&amp;"|"&amp;C682)</f>
        <v/>
      </c>
      <c r="B682" s="127"/>
      <c r="C682" s="127"/>
      <c r="D682" s="127"/>
      <c r="E682" s="133"/>
      <c r="F682" s="127"/>
      <c r="G682" s="127"/>
      <c r="H682" s="127"/>
      <c r="I682" s="127"/>
      <c r="J682" s="127"/>
      <c r="K682" s="127"/>
      <c r="L682" s="127"/>
      <c r="M682" s="127"/>
      <c r="N682" s="127"/>
      <c r="O682" s="127"/>
      <c r="P682" s="127"/>
      <c r="Q682" s="127"/>
      <c r="R682" s="127"/>
      <c r="S682" s="127"/>
      <c r="T682" s="127"/>
      <c r="U682" s="127"/>
      <c r="V682" s="127"/>
      <c r="W682" s="127"/>
      <c r="X682" s="127"/>
      <c r="Y682" s="127"/>
      <c r="Z682" s="127"/>
      <c r="AA682" s="127"/>
    </row>
    <row r="683" customFormat="false" ht="15.75" hidden="false" customHeight="false" outlineLevel="0" collapsed="false">
      <c r="A683" s="127" t="str">
        <f aca="false">IF(ISBLANK(B683),"",B683&amp;"|"&amp;C683)</f>
        <v/>
      </c>
      <c r="B683" s="127"/>
      <c r="C683" s="127"/>
      <c r="D683" s="127"/>
      <c r="E683" s="133"/>
      <c r="F683" s="127"/>
      <c r="G683" s="127"/>
      <c r="H683" s="127"/>
      <c r="I683" s="127"/>
      <c r="J683" s="127"/>
      <c r="K683" s="127"/>
      <c r="L683" s="127"/>
      <c r="M683" s="127"/>
      <c r="N683" s="127"/>
      <c r="O683" s="127"/>
      <c r="P683" s="127"/>
      <c r="Q683" s="127"/>
      <c r="R683" s="127"/>
      <c r="S683" s="127"/>
      <c r="T683" s="127"/>
      <c r="U683" s="127"/>
      <c r="V683" s="127"/>
      <c r="W683" s="127"/>
      <c r="X683" s="127"/>
      <c r="Y683" s="127"/>
      <c r="Z683" s="127"/>
      <c r="AA683" s="127"/>
    </row>
    <row r="684" customFormat="false" ht="15.75" hidden="false" customHeight="false" outlineLevel="0" collapsed="false">
      <c r="A684" s="127" t="str">
        <f aca="false">IF(ISBLANK(B684),"",B684&amp;"|"&amp;C684)</f>
        <v/>
      </c>
      <c r="B684" s="127"/>
      <c r="C684" s="127"/>
      <c r="D684" s="127"/>
      <c r="E684" s="133"/>
      <c r="F684" s="127"/>
      <c r="G684" s="127"/>
      <c r="H684" s="127"/>
      <c r="I684" s="127"/>
      <c r="J684" s="127"/>
      <c r="K684" s="127"/>
      <c r="L684" s="127"/>
      <c r="M684" s="127"/>
      <c r="N684" s="127"/>
      <c r="O684" s="127"/>
      <c r="P684" s="127"/>
      <c r="Q684" s="127"/>
      <c r="R684" s="127"/>
      <c r="S684" s="127"/>
      <c r="T684" s="127"/>
      <c r="U684" s="127"/>
      <c r="V684" s="127"/>
      <c r="W684" s="127"/>
      <c r="X684" s="127"/>
      <c r="Y684" s="127"/>
      <c r="Z684" s="127"/>
      <c r="AA684" s="127"/>
    </row>
    <row r="685" customFormat="false" ht="15.75" hidden="false" customHeight="false" outlineLevel="0" collapsed="false">
      <c r="A685" s="127" t="str">
        <f aca="false">IF(ISBLANK(B685),"",B685&amp;"|"&amp;C685)</f>
        <v/>
      </c>
      <c r="B685" s="127"/>
      <c r="C685" s="127"/>
      <c r="D685" s="127"/>
      <c r="E685" s="133"/>
      <c r="F685" s="127"/>
      <c r="G685" s="127"/>
      <c r="H685" s="127"/>
      <c r="I685" s="127"/>
      <c r="J685" s="127"/>
      <c r="K685" s="127"/>
      <c r="L685" s="127"/>
      <c r="M685" s="127"/>
      <c r="N685" s="127"/>
      <c r="O685" s="127"/>
      <c r="P685" s="127"/>
      <c r="Q685" s="127"/>
      <c r="R685" s="127"/>
      <c r="S685" s="127"/>
      <c r="T685" s="127"/>
      <c r="U685" s="127"/>
      <c r="V685" s="127"/>
      <c r="W685" s="127"/>
      <c r="X685" s="127"/>
      <c r="Y685" s="127"/>
      <c r="Z685" s="127"/>
      <c r="AA685" s="127"/>
    </row>
    <row r="686" customFormat="false" ht="15.75" hidden="false" customHeight="false" outlineLevel="0" collapsed="false">
      <c r="A686" s="127" t="str">
        <f aca="false">IF(ISBLANK(B686),"",B686&amp;"|"&amp;C686)</f>
        <v/>
      </c>
      <c r="B686" s="127"/>
      <c r="C686" s="127"/>
      <c r="D686" s="127"/>
      <c r="E686" s="133"/>
      <c r="F686" s="127"/>
      <c r="G686" s="127"/>
      <c r="H686" s="127"/>
      <c r="I686" s="127"/>
      <c r="J686" s="127"/>
      <c r="K686" s="127"/>
      <c r="L686" s="127"/>
      <c r="M686" s="127"/>
      <c r="N686" s="127"/>
      <c r="O686" s="127"/>
      <c r="P686" s="127"/>
      <c r="Q686" s="127"/>
      <c r="R686" s="127"/>
      <c r="S686" s="127"/>
      <c r="T686" s="127"/>
      <c r="U686" s="127"/>
      <c r="V686" s="127"/>
      <c r="W686" s="127"/>
      <c r="X686" s="127"/>
      <c r="Y686" s="127"/>
      <c r="Z686" s="127"/>
      <c r="AA686" s="127"/>
    </row>
    <row r="687" customFormat="false" ht="15.75" hidden="false" customHeight="false" outlineLevel="0" collapsed="false">
      <c r="A687" s="127" t="str">
        <f aca="false">IF(ISBLANK(B687),"",B687&amp;"|"&amp;C687)</f>
        <v/>
      </c>
      <c r="B687" s="127"/>
      <c r="C687" s="127"/>
      <c r="D687" s="127"/>
      <c r="E687" s="133"/>
      <c r="F687" s="127"/>
      <c r="G687" s="127"/>
      <c r="H687" s="127"/>
      <c r="I687" s="127"/>
      <c r="J687" s="127"/>
      <c r="K687" s="127"/>
      <c r="L687" s="127"/>
      <c r="M687" s="127"/>
      <c r="N687" s="127"/>
      <c r="O687" s="127"/>
      <c r="P687" s="127"/>
      <c r="Q687" s="127"/>
      <c r="R687" s="127"/>
      <c r="S687" s="127"/>
      <c r="T687" s="127"/>
      <c r="U687" s="127"/>
      <c r="V687" s="127"/>
      <c r="W687" s="127"/>
      <c r="X687" s="127"/>
      <c r="Y687" s="127"/>
      <c r="Z687" s="127"/>
      <c r="AA687" s="127"/>
    </row>
    <row r="688" customFormat="false" ht="15.75" hidden="false" customHeight="false" outlineLevel="0" collapsed="false">
      <c r="A688" s="127" t="str">
        <f aca="false">IF(ISBLANK(B688),"",B688&amp;"|"&amp;C688)</f>
        <v/>
      </c>
      <c r="B688" s="127"/>
      <c r="C688" s="127"/>
      <c r="D688" s="127"/>
      <c r="E688" s="133"/>
      <c r="F688" s="127"/>
      <c r="G688" s="127"/>
      <c r="H688" s="127"/>
      <c r="I688" s="127"/>
      <c r="J688" s="127"/>
      <c r="K688" s="127"/>
      <c r="L688" s="127"/>
      <c r="M688" s="127"/>
      <c r="N688" s="127"/>
      <c r="O688" s="127"/>
      <c r="P688" s="127"/>
      <c r="Q688" s="127"/>
      <c r="R688" s="127"/>
      <c r="S688" s="127"/>
      <c r="T688" s="127"/>
      <c r="U688" s="127"/>
      <c r="V688" s="127"/>
      <c r="W688" s="127"/>
      <c r="X688" s="127"/>
      <c r="Y688" s="127"/>
      <c r="Z688" s="127"/>
      <c r="AA688" s="127"/>
    </row>
    <row r="689" customFormat="false" ht="15.75" hidden="false" customHeight="false" outlineLevel="0" collapsed="false">
      <c r="A689" s="127" t="str">
        <f aca="false">IF(ISBLANK(B689),"",B689&amp;"|"&amp;C689)</f>
        <v/>
      </c>
      <c r="B689" s="127"/>
      <c r="C689" s="127"/>
      <c r="D689" s="127"/>
      <c r="E689" s="133"/>
      <c r="F689" s="127"/>
      <c r="G689" s="127"/>
      <c r="H689" s="127"/>
      <c r="I689" s="127"/>
      <c r="J689" s="127"/>
      <c r="K689" s="127"/>
      <c r="L689" s="127"/>
      <c r="M689" s="127"/>
      <c r="N689" s="127"/>
      <c r="O689" s="127"/>
      <c r="P689" s="127"/>
      <c r="Q689" s="127"/>
      <c r="R689" s="127"/>
      <c r="S689" s="127"/>
      <c r="T689" s="127"/>
      <c r="U689" s="127"/>
      <c r="V689" s="127"/>
      <c r="W689" s="127"/>
      <c r="X689" s="127"/>
      <c r="Y689" s="127"/>
      <c r="Z689" s="127"/>
      <c r="AA689" s="127"/>
    </row>
    <row r="690" customFormat="false" ht="15.75" hidden="false" customHeight="false" outlineLevel="0" collapsed="false">
      <c r="A690" s="127" t="str">
        <f aca="false">IF(ISBLANK(B690),"",B690&amp;"|"&amp;C690)</f>
        <v/>
      </c>
      <c r="B690" s="127"/>
      <c r="C690" s="127"/>
      <c r="D690" s="127"/>
      <c r="E690" s="133"/>
      <c r="F690" s="127"/>
      <c r="G690" s="127"/>
      <c r="H690" s="127"/>
      <c r="I690" s="127"/>
      <c r="J690" s="127"/>
      <c r="K690" s="127"/>
      <c r="L690" s="127"/>
      <c r="M690" s="127"/>
      <c r="N690" s="127"/>
      <c r="O690" s="127"/>
      <c r="P690" s="127"/>
      <c r="Q690" s="127"/>
      <c r="R690" s="127"/>
      <c r="S690" s="127"/>
      <c r="T690" s="127"/>
      <c r="U690" s="127"/>
      <c r="V690" s="127"/>
      <c r="W690" s="127"/>
      <c r="X690" s="127"/>
      <c r="Y690" s="127"/>
      <c r="Z690" s="127"/>
      <c r="AA690" s="127"/>
    </row>
    <row r="691" customFormat="false" ht="15.75" hidden="false" customHeight="false" outlineLevel="0" collapsed="false">
      <c r="A691" s="127" t="str">
        <f aca="false">IF(ISBLANK(B691),"",B691&amp;"|"&amp;C691)</f>
        <v/>
      </c>
      <c r="B691" s="127"/>
      <c r="C691" s="127"/>
      <c r="D691" s="127"/>
      <c r="E691" s="133"/>
      <c r="F691" s="127"/>
      <c r="G691" s="127"/>
      <c r="H691" s="127"/>
      <c r="I691" s="127"/>
      <c r="J691" s="127"/>
      <c r="K691" s="127"/>
      <c r="L691" s="127"/>
      <c r="M691" s="127"/>
      <c r="N691" s="127"/>
      <c r="O691" s="127"/>
      <c r="P691" s="127"/>
      <c r="Q691" s="127"/>
      <c r="R691" s="127"/>
      <c r="S691" s="127"/>
      <c r="T691" s="127"/>
      <c r="U691" s="127"/>
      <c r="V691" s="127"/>
      <c r="W691" s="127"/>
      <c r="X691" s="127"/>
      <c r="Y691" s="127"/>
      <c r="Z691" s="127"/>
      <c r="AA691" s="127"/>
    </row>
    <row r="692" customFormat="false" ht="15.75" hidden="false" customHeight="false" outlineLevel="0" collapsed="false">
      <c r="A692" s="127" t="str">
        <f aca="false">IF(ISBLANK(B692),"",B692&amp;"|"&amp;C692)</f>
        <v/>
      </c>
      <c r="B692" s="127"/>
      <c r="C692" s="127"/>
      <c r="D692" s="127"/>
      <c r="E692" s="133"/>
      <c r="F692" s="127"/>
      <c r="G692" s="127"/>
      <c r="H692" s="127"/>
      <c r="I692" s="127"/>
      <c r="J692" s="127"/>
      <c r="K692" s="127"/>
      <c r="L692" s="127"/>
      <c r="M692" s="127"/>
      <c r="N692" s="127"/>
      <c r="O692" s="127"/>
      <c r="P692" s="127"/>
      <c r="Q692" s="127"/>
      <c r="R692" s="127"/>
      <c r="S692" s="127"/>
      <c r="T692" s="127"/>
      <c r="U692" s="127"/>
      <c r="V692" s="127"/>
      <c r="W692" s="127"/>
      <c r="X692" s="127"/>
      <c r="Y692" s="127"/>
      <c r="Z692" s="127"/>
      <c r="AA692" s="127"/>
    </row>
    <row r="693" customFormat="false" ht="15.75" hidden="false" customHeight="false" outlineLevel="0" collapsed="false">
      <c r="A693" s="127" t="str">
        <f aca="false">IF(ISBLANK(B693),"",B693&amp;"|"&amp;C693)</f>
        <v/>
      </c>
      <c r="B693" s="127"/>
      <c r="C693" s="127"/>
      <c r="D693" s="127"/>
      <c r="E693" s="133"/>
      <c r="F693" s="127"/>
      <c r="G693" s="127"/>
      <c r="H693" s="127"/>
      <c r="I693" s="127"/>
      <c r="J693" s="127"/>
      <c r="K693" s="127"/>
      <c r="L693" s="127"/>
      <c r="M693" s="127"/>
      <c r="N693" s="127"/>
      <c r="O693" s="127"/>
      <c r="P693" s="127"/>
      <c r="Q693" s="127"/>
      <c r="R693" s="127"/>
      <c r="S693" s="127"/>
      <c r="T693" s="127"/>
      <c r="U693" s="127"/>
      <c r="V693" s="127"/>
      <c r="W693" s="127"/>
      <c r="X693" s="127"/>
      <c r="Y693" s="127"/>
      <c r="Z693" s="127"/>
      <c r="AA693" s="127"/>
    </row>
    <row r="694" customFormat="false" ht="15.75" hidden="false" customHeight="false" outlineLevel="0" collapsed="false">
      <c r="A694" s="127" t="str">
        <f aca="false">IF(ISBLANK(B694),"",B694&amp;"|"&amp;C694)</f>
        <v/>
      </c>
      <c r="B694" s="127"/>
      <c r="C694" s="127"/>
      <c r="D694" s="127"/>
      <c r="E694" s="133"/>
      <c r="F694" s="127"/>
      <c r="G694" s="127"/>
      <c r="H694" s="127"/>
      <c r="I694" s="127"/>
      <c r="J694" s="127"/>
      <c r="K694" s="127"/>
      <c r="L694" s="127"/>
      <c r="M694" s="127"/>
      <c r="N694" s="127"/>
      <c r="O694" s="127"/>
      <c r="P694" s="127"/>
      <c r="Q694" s="127"/>
      <c r="R694" s="127"/>
      <c r="S694" s="127"/>
      <c r="T694" s="127"/>
      <c r="U694" s="127"/>
      <c r="V694" s="127"/>
      <c r="W694" s="127"/>
      <c r="X694" s="127"/>
      <c r="Y694" s="127"/>
      <c r="Z694" s="127"/>
      <c r="AA694" s="127"/>
    </row>
    <row r="695" customFormat="false" ht="15.75" hidden="false" customHeight="false" outlineLevel="0" collapsed="false">
      <c r="A695" s="127" t="str">
        <f aca="false">IF(ISBLANK(B695),"",B695&amp;"|"&amp;C695)</f>
        <v/>
      </c>
      <c r="B695" s="127"/>
      <c r="C695" s="127"/>
      <c r="D695" s="127"/>
      <c r="E695" s="133"/>
      <c r="F695" s="127"/>
      <c r="G695" s="127"/>
      <c r="H695" s="127"/>
      <c r="I695" s="127"/>
      <c r="J695" s="127"/>
      <c r="K695" s="127"/>
      <c r="L695" s="127"/>
      <c r="M695" s="127"/>
      <c r="N695" s="127"/>
      <c r="O695" s="127"/>
      <c r="P695" s="127"/>
      <c r="Q695" s="127"/>
      <c r="R695" s="127"/>
      <c r="S695" s="127"/>
      <c r="T695" s="127"/>
      <c r="U695" s="127"/>
      <c r="V695" s="127"/>
      <c r="W695" s="127"/>
      <c r="X695" s="127"/>
      <c r="Y695" s="127"/>
      <c r="Z695" s="127"/>
      <c r="AA695" s="127"/>
    </row>
    <row r="696" customFormat="false" ht="15.75" hidden="false" customHeight="false" outlineLevel="0" collapsed="false">
      <c r="A696" s="127" t="str">
        <f aca="false">IF(ISBLANK(B696),"",B696&amp;"|"&amp;C696)</f>
        <v/>
      </c>
      <c r="B696" s="127"/>
      <c r="C696" s="127"/>
      <c r="D696" s="127"/>
      <c r="E696" s="133"/>
      <c r="F696" s="127"/>
      <c r="G696" s="127"/>
      <c r="H696" s="127"/>
      <c r="I696" s="127"/>
      <c r="J696" s="127"/>
      <c r="K696" s="127"/>
      <c r="L696" s="127"/>
      <c r="M696" s="127"/>
      <c r="N696" s="127"/>
      <c r="O696" s="127"/>
      <c r="P696" s="127"/>
      <c r="Q696" s="127"/>
      <c r="R696" s="127"/>
      <c r="S696" s="127"/>
      <c r="T696" s="127"/>
      <c r="U696" s="127"/>
      <c r="V696" s="127"/>
      <c r="W696" s="127"/>
      <c r="X696" s="127"/>
      <c r="Y696" s="127"/>
      <c r="Z696" s="127"/>
      <c r="AA696" s="127"/>
    </row>
    <row r="697" customFormat="false" ht="15.75" hidden="false" customHeight="false" outlineLevel="0" collapsed="false">
      <c r="A697" s="127" t="str">
        <f aca="false">IF(ISBLANK(B697),"",B697&amp;"|"&amp;C697)</f>
        <v/>
      </c>
      <c r="B697" s="127"/>
      <c r="C697" s="127"/>
      <c r="D697" s="127"/>
      <c r="E697" s="133"/>
      <c r="F697" s="127"/>
      <c r="G697" s="127"/>
      <c r="H697" s="127"/>
      <c r="I697" s="127"/>
      <c r="J697" s="127"/>
      <c r="K697" s="127"/>
      <c r="L697" s="127"/>
      <c r="M697" s="127"/>
      <c r="N697" s="127"/>
      <c r="O697" s="127"/>
      <c r="P697" s="127"/>
      <c r="Q697" s="127"/>
      <c r="R697" s="127"/>
      <c r="S697" s="127"/>
      <c r="T697" s="127"/>
      <c r="U697" s="127"/>
      <c r="V697" s="127"/>
      <c r="W697" s="127"/>
      <c r="X697" s="127"/>
      <c r="Y697" s="127"/>
      <c r="Z697" s="127"/>
      <c r="AA697" s="127"/>
    </row>
    <row r="698" customFormat="false" ht="15.75" hidden="false" customHeight="false" outlineLevel="0" collapsed="false">
      <c r="A698" s="127" t="str">
        <f aca="false">IF(ISBLANK(B698),"",B698&amp;"|"&amp;C698)</f>
        <v/>
      </c>
      <c r="B698" s="127"/>
      <c r="C698" s="127"/>
      <c r="D698" s="127"/>
      <c r="E698" s="133"/>
      <c r="F698" s="127"/>
      <c r="G698" s="127"/>
      <c r="H698" s="127"/>
      <c r="I698" s="127"/>
      <c r="J698" s="127"/>
      <c r="K698" s="127"/>
      <c r="L698" s="127"/>
      <c r="M698" s="127"/>
      <c r="N698" s="127"/>
      <c r="O698" s="127"/>
      <c r="P698" s="127"/>
      <c r="Q698" s="127"/>
      <c r="R698" s="127"/>
      <c r="S698" s="127"/>
      <c r="T698" s="127"/>
      <c r="U698" s="127"/>
      <c r="V698" s="127"/>
      <c r="W698" s="127"/>
      <c r="X698" s="127"/>
      <c r="Y698" s="127"/>
      <c r="Z698" s="127"/>
      <c r="AA698" s="127"/>
    </row>
    <row r="699" customFormat="false" ht="15.75" hidden="false" customHeight="false" outlineLevel="0" collapsed="false">
      <c r="A699" s="127" t="str">
        <f aca="false">IF(ISBLANK(B699),"",B699&amp;"|"&amp;C699)</f>
        <v/>
      </c>
      <c r="B699" s="127"/>
      <c r="C699" s="127"/>
      <c r="D699" s="127"/>
      <c r="E699" s="133"/>
      <c r="F699" s="127"/>
      <c r="G699" s="127"/>
      <c r="H699" s="127"/>
      <c r="I699" s="127"/>
      <c r="J699" s="127"/>
      <c r="K699" s="127"/>
      <c r="L699" s="127"/>
      <c r="M699" s="127"/>
      <c r="N699" s="127"/>
      <c r="O699" s="127"/>
      <c r="P699" s="127"/>
      <c r="Q699" s="127"/>
      <c r="R699" s="127"/>
      <c r="S699" s="127"/>
      <c r="T699" s="127"/>
      <c r="U699" s="127"/>
      <c r="V699" s="127"/>
      <c r="W699" s="127"/>
      <c r="X699" s="127"/>
      <c r="Y699" s="127"/>
      <c r="Z699" s="127"/>
      <c r="AA699" s="127"/>
    </row>
    <row r="700" customFormat="false" ht="15.75" hidden="false" customHeight="false" outlineLevel="0" collapsed="false">
      <c r="A700" s="127" t="str">
        <f aca="false">IF(ISBLANK(B700),"",B700&amp;"|"&amp;C700)</f>
        <v/>
      </c>
      <c r="B700" s="127"/>
      <c r="C700" s="127"/>
      <c r="D700" s="127"/>
      <c r="E700" s="133"/>
      <c r="F700" s="127"/>
      <c r="G700" s="127"/>
      <c r="H700" s="127"/>
      <c r="I700" s="127"/>
      <c r="J700" s="127"/>
      <c r="K700" s="127"/>
      <c r="L700" s="127"/>
      <c r="M700" s="127"/>
      <c r="N700" s="127"/>
      <c r="O700" s="127"/>
      <c r="P700" s="127"/>
      <c r="Q700" s="127"/>
      <c r="R700" s="127"/>
      <c r="S700" s="127"/>
      <c r="T700" s="127"/>
      <c r="U700" s="127"/>
      <c r="V700" s="127"/>
      <c r="W700" s="127"/>
      <c r="X700" s="127"/>
      <c r="Y700" s="127"/>
      <c r="Z700" s="127"/>
      <c r="AA700" s="127"/>
    </row>
    <row r="701" customFormat="false" ht="15.75" hidden="false" customHeight="false" outlineLevel="0" collapsed="false">
      <c r="A701" s="127" t="str">
        <f aca="false">IF(ISBLANK(B701),"",B701&amp;"|"&amp;C701)</f>
        <v/>
      </c>
      <c r="B701" s="127"/>
      <c r="C701" s="127"/>
      <c r="D701" s="127"/>
      <c r="E701" s="133"/>
      <c r="F701" s="127"/>
      <c r="G701" s="127"/>
      <c r="H701" s="127"/>
      <c r="I701" s="127"/>
      <c r="J701" s="127"/>
      <c r="K701" s="127"/>
      <c r="L701" s="127"/>
      <c r="M701" s="127"/>
      <c r="N701" s="127"/>
      <c r="O701" s="127"/>
      <c r="P701" s="127"/>
      <c r="Q701" s="127"/>
      <c r="R701" s="127"/>
      <c r="S701" s="127"/>
      <c r="T701" s="127"/>
      <c r="U701" s="127"/>
      <c r="V701" s="127"/>
      <c r="W701" s="127"/>
      <c r="X701" s="127"/>
      <c r="Y701" s="127"/>
      <c r="Z701" s="127"/>
      <c r="AA701" s="127"/>
    </row>
    <row r="702" customFormat="false" ht="15.75" hidden="false" customHeight="false" outlineLevel="0" collapsed="false">
      <c r="A702" s="127" t="str">
        <f aca="false">IF(ISBLANK(B702),"",B702&amp;"|"&amp;C702)</f>
        <v/>
      </c>
      <c r="B702" s="127"/>
      <c r="C702" s="127"/>
      <c r="D702" s="127"/>
      <c r="E702" s="133"/>
      <c r="F702" s="127"/>
      <c r="G702" s="127"/>
      <c r="H702" s="127"/>
      <c r="I702" s="127"/>
      <c r="J702" s="127"/>
      <c r="K702" s="127"/>
      <c r="L702" s="127"/>
      <c r="M702" s="127"/>
      <c r="N702" s="127"/>
      <c r="O702" s="127"/>
      <c r="P702" s="127"/>
      <c r="Q702" s="127"/>
      <c r="R702" s="127"/>
      <c r="S702" s="127"/>
      <c r="T702" s="127"/>
      <c r="U702" s="127"/>
      <c r="V702" s="127"/>
      <c r="W702" s="127"/>
      <c r="X702" s="127"/>
      <c r="Y702" s="127"/>
      <c r="Z702" s="127"/>
      <c r="AA702" s="127"/>
    </row>
    <row r="703" customFormat="false" ht="15.75" hidden="false" customHeight="false" outlineLevel="0" collapsed="false">
      <c r="A703" s="127" t="str">
        <f aca="false">IF(ISBLANK(B703),"",B703&amp;"|"&amp;C703)</f>
        <v/>
      </c>
      <c r="B703" s="127"/>
      <c r="C703" s="127"/>
      <c r="D703" s="127"/>
      <c r="E703" s="133"/>
      <c r="F703" s="127"/>
      <c r="G703" s="127"/>
      <c r="H703" s="127"/>
      <c r="I703" s="127"/>
      <c r="J703" s="127"/>
      <c r="K703" s="127"/>
      <c r="L703" s="127"/>
      <c r="M703" s="127"/>
      <c r="N703" s="127"/>
      <c r="O703" s="127"/>
      <c r="P703" s="127"/>
      <c r="Q703" s="127"/>
      <c r="R703" s="127"/>
      <c r="S703" s="127"/>
      <c r="T703" s="127"/>
      <c r="U703" s="127"/>
      <c r="V703" s="127"/>
      <c r="W703" s="127"/>
      <c r="X703" s="127"/>
      <c r="Y703" s="127"/>
      <c r="Z703" s="127"/>
      <c r="AA703" s="127"/>
    </row>
    <row r="704" customFormat="false" ht="15.75" hidden="false" customHeight="false" outlineLevel="0" collapsed="false">
      <c r="A704" s="127" t="str">
        <f aca="false">IF(ISBLANK(B704),"",B704&amp;"|"&amp;C704)</f>
        <v/>
      </c>
      <c r="B704" s="127"/>
      <c r="C704" s="127"/>
      <c r="D704" s="127"/>
      <c r="E704" s="133"/>
      <c r="F704" s="127"/>
      <c r="G704" s="127"/>
      <c r="H704" s="127"/>
      <c r="I704" s="127"/>
      <c r="J704" s="127"/>
      <c r="K704" s="127"/>
      <c r="L704" s="127"/>
      <c r="M704" s="127"/>
      <c r="N704" s="127"/>
      <c r="O704" s="127"/>
      <c r="P704" s="127"/>
      <c r="Q704" s="127"/>
      <c r="R704" s="127"/>
      <c r="S704" s="127"/>
      <c r="T704" s="127"/>
      <c r="U704" s="127"/>
      <c r="V704" s="127"/>
      <c r="W704" s="127"/>
      <c r="X704" s="127"/>
      <c r="Y704" s="127"/>
      <c r="Z704" s="127"/>
      <c r="AA704" s="127"/>
    </row>
    <row r="705" customFormat="false" ht="15.75" hidden="false" customHeight="false" outlineLevel="0" collapsed="false">
      <c r="A705" s="127" t="str">
        <f aca="false">IF(ISBLANK(B705),"",B705&amp;"|"&amp;C705)</f>
        <v/>
      </c>
      <c r="B705" s="127"/>
      <c r="C705" s="127"/>
      <c r="D705" s="127"/>
      <c r="E705" s="133"/>
      <c r="F705" s="127"/>
      <c r="G705" s="127"/>
      <c r="H705" s="127"/>
      <c r="I705" s="127"/>
      <c r="J705" s="127"/>
      <c r="K705" s="127"/>
      <c r="L705" s="127"/>
      <c r="M705" s="127"/>
      <c r="N705" s="127"/>
      <c r="O705" s="127"/>
      <c r="P705" s="127"/>
      <c r="Q705" s="127"/>
      <c r="R705" s="127"/>
      <c r="S705" s="127"/>
      <c r="T705" s="127"/>
      <c r="U705" s="127"/>
      <c r="V705" s="127"/>
      <c r="W705" s="127"/>
      <c r="X705" s="127"/>
      <c r="Y705" s="127"/>
      <c r="Z705" s="127"/>
      <c r="AA705" s="127"/>
    </row>
    <row r="706" customFormat="false" ht="15.75" hidden="false" customHeight="false" outlineLevel="0" collapsed="false">
      <c r="A706" s="127" t="str">
        <f aca="false">IF(ISBLANK(B706),"",B706&amp;"|"&amp;C706)</f>
        <v/>
      </c>
      <c r="B706" s="127"/>
      <c r="C706" s="127"/>
      <c r="D706" s="127"/>
      <c r="E706" s="133"/>
      <c r="F706" s="127"/>
      <c r="G706" s="127"/>
      <c r="H706" s="127"/>
      <c r="I706" s="127"/>
      <c r="J706" s="127"/>
      <c r="K706" s="127"/>
      <c r="L706" s="127"/>
      <c r="M706" s="127"/>
      <c r="N706" s="127"/>
      <c r="O706" s="127"/>
      <c r="P706" s="127"/>
      <c r="Q706" s="127"/>
      <c r="R706" s="127"/>
      <c r="S706" s="127"/>
      <c r="T706" s="127"/>
      <c r="U706" s="127"/>
      <c r="V706" s="127"/>
      <c r="W706" s="127"/>
      <c r="X706" s="127"/>
      <c r="Y706" s="127"/>
      <c r="Z706" s="127"/>
      <c r="AA706" s="127"/>
    </row>
    <row r="707" customFormat="false" ht="15.75" hidden="false" customHeight="false" outlineLevel="0" collapsed="false">
      <c r="A707" s="127" t="str">
        <f aca="false">IF(ISBLANK(B707),"",B707&amp;"|"&amp;C707)</f>
        <v/>
      </c>
      <c r="B707" s="127"/>
      <c r="C707" s="127"/>
      <c r="D707" s="127"/>
      <c r="E707" s="133"/>
      <c r="F707" s="127"/>
      <c r="G707" s="127"/>
      <c r="H707" s="127"/>
      <c r="I707" s="127"/>
      <c r="J707" s="127"/>
      <c r="K707" s="127"/>
      <c r="L707" s="127"/>
      <c r="M707" s="127"/>
      <c r="N707" s="127"/>
      <c r="O707" s="127"/>
      <c r="P707" s="127"/>
      <c r="Q707" s="127"/>
      <c r="R707" s="127"/>
      <c r="S707" s="127"/>
      <c r="T707" s="127"/>
      <c r="U707" s="127"/>
      <c r="V707" s="127"/>
      <c r="W707" s="127"/>
      <c r="X707" s="127"/>
      <c r="Y707" s="127"/>
      <c r="Z707" s="127"/>
      <c r="AA707" s="127"/>
    </row>
    <row r="708" customFormat="false" ht="15.75" hidden="false" customHeight="false" outlineLevel="0" collapsed="false">
      <c r="A708" s="127" t="str">
        <f aca="false">IF(ISBLANK(B708),"",B708&amp;"|"&amp;C708)</f>
        <v/>
      </c>
      <c r="B708" s="127"/>
      <c r="C708" s="127"/>
      <c r="D708" s="127"/>
      <c r="E708" s="133"/>
      <c r="F708" s="127"/>
      <c r="G708" s="127"/>
      <c r="H708" s="127"/>
      <c r="I708" s="127"/>
      <c r="J708" s="127"/>
      <c r="K708" s="127"/>
      <c r="L708" s="127"/>
      <c r="M708" s="127"/>
      <c r="N708" s="127"/>
      <c r="O708" s="127"/>
      <c r="P708" s="127"/>
      <c r="Q708" s="127"/>
      <c r="R708" s="127"/>
      <c r="S708" s="127"/>
      <c r="T708" s="127"/>
      <c r="U708" s="127"/>
      <c r="V708" s="127"/>
      <c r="W708" s="127"/>
      <c r="X708" s="127"/>
      <c r="Y708" s="127"/>
      <c r="Z708" s="127"/>
      <c r="AA708" s="127"/>
    </row>
    <row r="709" customFormat="false" ht="15.75" hidden="false" customHeight="false" outlineLevel="0" collapsed="false">
      <c r="A709" s="127" t="str">
        <f aca="false">IF(ISBLANK(B709),"",B709&amp;"|"&amp;C709)</f>
        <v/>
      </c>
      <c r="B709" s="127"/>
      <c r="C709" s="127"/>
      <c r="D709" s="127"/>
      <c r="E709" s="133"/>
      <c r="F709" s="127"/>
      <c r="G709" s="127"/>
      <c r="H709" s="127"/>
      <c r="I709" s="127"/>
      <c r="J709" s="127"/>
      <c r="K709" s="127"/>
      <c r="L709" s="127"/>
      <c r="M709" s="127"/>
      <c r="N709" s="127"/>
      <c r="O709" s="127"/>
      <c r="P709" s="127"/>
      <c r="Q709" s="127"/>
      <c r="R709" s="127"/>
      <c r="S709" s="127"/>
      <c r="T709" s="127"/>
      <c r="U709" s="127"/>
      <c r="V709" s="127"/>
      <c r="W709" s="127"/>
      <c r="X709" s="127"/>
      <c r="Y709" s="127"/>
      <c r="Z709" s="127"/>
      <c r="AA709" s="127"/>
    </row>
    <row r="710" customFormat="false" ht="15.75" hidden="false" customHeight="false" outlineLevel="0" collapsed="false">
      <c r="A710" s="127" t="str">
        <f aca="false">IF(ISBLANK(B710),"",B710&amp;"|"&amp;C710)</f>
        <v/>
      </c>
      <c r="B710" s="127"/>
      <c r="C710" s="127"/>
      <c r="D710" s="127"/>
      <c r="E710" s="133"/>
      <c r="F710" s="127"/>
      <c r="G710" s="127"/>
      <c r="H710" s="127"/>
      <c r="I710" s="127"/>
      <c r="J710" s="127"/>
      <c r="K710" s="127"/>
      <c r="L710" s="127"/>
      <c r="M710" s="127"/>
      <c r="N710" s="127"/>
      <c r="O710" s="127"/>
      <c r="P710" s="127"/>
      <c r="Q710" s="127"/>
      <c r="R710" s="127"/>
      <c r="S710" s="127"/>
      <c r="T710" s="127"/>
      <c r="U710" s="127"/>
      <c r="V710" s="127"/>
      <c r="W710" s="127"/>
      <c r="X710" s="127"/>
      <c r="Y710" s="127"/>
      <c r="Z710" s="127"/>
      <c r="AA710" s="127"/>
    </row>
    <row r="711" customFormat="false" ht="15.75" hidden="false" customHeight="false" outlineLevel="0" collapsed="false">
      <c r="A711" s="127" t="str">
        <f aca="false">IF(ISBLANK(B711),"",B711&amp;"|"&amp;C711)</f>
        <v/>
      </c>
      <c r="B711" s="127"/>
      <c r="C711" s="127"/>
      <c r="D711" s="127"/>
      <c r="E711" s="133"/>
      <c r="F711" s="127"/>
      <c r="G711" s="127"/>
      <c r="H711" s="127"/>
      <c r="I711" s="127"/>
      <c r="J711" s="127"/>
      <c r="K711" s="127"/>
      <c r="L711" s="127"/>
      <c r="M711" s="127"/>
      <c r="N711" s="127"/>
      <c r="O711" s="127"/>
      <c r="P711" s="127"/>
      <c r="Q711" s="127"/>
      <c r="R711" s="127"/>
      <c r="S711" s="127"/>
      <c r="T711" s="127"/>
      <c r="U711" s="127"/>
      <c r="V711" s="127"/>
      <c r="W711" s="127"/>
      <c r="X711" s="127"/>
      <c r="Y711" s="127"/>
      <c r="Z711" s="127"/>
      <c r="AA711" s="127"/>
    </row>
    <row r="712" customFormat="false" ht="15.75" hidden="false" customHeight="false" outlineLevel="0" collapsed="false">
      <c r="A712" s="127" t="str">
        <f aca="false">IF(ISBLANK(B712),"",B712&amp;"|"&amp;C712)</f>
        <v/>
      </c>
      <c r="B712" s="127"/>
      <c r="C712" s="127"/>
      <c r="D712" s="127"/>
      <c r="E712" s="133"/>
      <c r="F712" s="127"/>
      <c r="G712" s="127"/>
      <c r="H712" s="127"/>
      <c r="I712" s="127"/>
      <c r="J712" s="127"/>
      <c r="K712" s="127"/>
      <c r="L712" s="127"/>
      <c r="M712" s="127"/>
      <c r="N712" s="127"/>
      <c r="O712" s="127"/>
      <c r="P712" s="127"/>
      <c r="Q712" s="127"/>
      <c r="R712" s="127"/>
      <c r="S712" s="127"/>
      <c r="T712" s="127"/>
      <c r="U712" s="127"/>
      <c r="V712" s="127"/>
      <c r="W712" s="127"/>
      <c r="X712" s="127"/>
      <c r="Y712" s="127"/>
      <c r="Z712" s="127"/>
      <c r="AA712" s="127"/>
    </row>
    <row r="713" customFormat="false" ht="15.75" hidden="false" customHeight="false" outlineLevel="0" collapsed="false">
      <c r="A713" s="127" t="str">
        <f aca="false">IF(ISBLANK(B713),"",B713&amp;"|"&amp;C713)</f>
        <v/>
      </c>
      <c r="B713" s="127"/>
      <c r="C713" s="127"/>
      <c r="D713" s="127"/>
      <c r="E713" s="133"/>
      <c r="F713" s="127"/>
      <c r="G713" s="127"/>
      <c r="H713" s="127"/>
      <c r="I713" s="127"/>
      <c r="J713" s="127"/>
      <c r="K713" s="127"/>
      <c r="L713" s="127"/>
      <c r="M713" s="127"/>
      <c r="N713" s="127"/>
      <c r="O713" s="127"/>
      <c r="P713" s="127"/>
      <c r="Q713" s="127"/>
      <c r="R713" s="127"/>
      <c r="S713" s="127"/>
      <c r="T713" s="127"/>
      <c r="U713" s="127"/>
      <c r="V713" s="127"/>
      <c r="W713" s="127"/>
      <c r="X713" s="127"/>
      <c r="Y713" s="127"/>
      <c r="Z713" s="127"/>
      <c r="AA713" s="127"/>
    </row>
    <row r="714" customFormat="false" ht="15.75" hidden="false" customHeight="false" outlineLevel="0" collapsed="false">
      <c r="A714" s="127" t="str">
        <f aca="false">IF(ISBLANK(B714),"",B714&amp;"|"&amp;C714)</f>
        <v/>
      </c>
      <c r="B714" s="127"/>
      <c r="C714" s="127"/>
      <c r="D714" s="127"/>
      <c r="E714" s="133"/>
      <c r="F714" s="127"/>
      <c r="G714" s="127"/>
      <c r="H714" s="127"/>
      <c r="I714" s="127"/>
      <c r="J714" s="127"/>
      <c r="K714" s="127"/>
      <c r="L714" s="127"/>
      <c r="M714" s="127"/>
      <c r="N714" s="127"/>
      <c r="O714" s="127"/>
      <c r="P714" s="127"/>
      <c r="Q714" s="127"/>
      <c r="R714" s="127"/>
      <c r="S714" s="127"/>
      <c r="T714" s="127"/>
      <c r="U714" s="127"/>
      <c r="V714" s="127"/>
      <c r="W714" s="127"/>
      <c r="X714" s="127"/>
      <c r="Y714" s="127"/>
      <c r="Z714" s="127"/>
      <c r="AA714" s="127"/>
    </row>
    <row r="715" customFormat="false" ht="15.75" hidden="false" customHeight="false" outlineLevel="0" collapsed="false">
      <c r="A715" s="127" t="str">
        <f aca="false">IF(ISBLANK(B715),"",B715&amp;"|"&amp;C715)</f>
        <v/>
      </c>
      <c r="B715" s="127"/>
      <c r="C715" s="127"/>
      <c r="D715" s="127"/>
      <c r="E715" s="133"/>
      <c r="F715" s="127"/>
      <c r="G715" s="127"/>
      <c r="H715" s="127"/>
      <c r="I715" s="127"/>
      <c r="J715" s="127"/>
      <c r="K715" s="127"/>
      <c r="L715" s="127"/>
      <c r="M715" s="127"/>
      <c r="N715" s="127"/>
      <c r="O715" s="127"/>
      <c r="P715" s="127"/>
      <c r="Q715" s="127"/>
      <c r="R715" s="127"/>
      <c r="S715" s="127"/>
      <c r="T715" s="127"/>
      <c r="U715" s="127"/>
      <c r="V715" s="127"/>
      <c r="W715" s="127"/>
      <c r="X715" s="127"/>
      <c r="Y715" s="127"/>
      <c r="Z715" s="127"/>
      <c r="AA715" s="127"/>
    </row>
    <row r="716" customFormat="false" ht="15.75" hidden="false" customHeight="false" outlineLevel="0" collapsed="false">
      <c r="A716" s="127" t="str">
        <f aca="false">IF(ISBLANK(B716),"",B716&amp;"|"&amp;C716)</f>
        <v/>
      </c>
      <c r="B716" s="127"/>
      <c r="C716" s="127"/>
      <c r="D716" s="127"/>
      <c r="E716" s="133"/>
      <c r="F716" s="127"/>
      <c r="G716" s="127"/>
      <c r="H716" s="127"/>
      <c r="I716" s="127"/>
      <c r="J716" s="127"/>
      <c r="K716" s="127"/>
      <c r="L716" s="127"/>
      <c r="M716" s="127"/>
      <c r="N716" s="127"/>
      <c r="O716" s="127"/>
      <c r="P716" s="127"/>
      <c r="Q716" s="127"/>
      <c r="R716" s="127"/>
      <c r="S716" s="127"/>
      <c r="T716" s="127"/>
      <c r="U716" s="127"/>
      <c r="V716" s="127"/>
      <c r="W716" s="127"/>
      <c r="X716" s="127"/>
      <c r="Y716" s="127"/>
      <c r="Z716" s="127"/>
      <c r="AA716" s="127"/>
    </row>
    <row r="717" customFormat="false" ht="15.75" hidden="false" customHeight="false" outlineLevel="0" collapsed="false">
      <c r="A717" s="127" t="str">
        <f aca="false">IF(ISBLANK(B717),"",B717&amp;"|"&amp;C717)</f>
        <v/>
      </c>
      <c r="B717" s="127"/>
      <c r="C717" s="127"/>
      <c r="D717" s="127"/>
      <c r="E717" s="133"/>
      <c r="F717" s="127"/>
      <c r="G717" s="127"/>
      <c r="H717" s="127"/>
      <c r="I717" s="127"/>
      <c r="J717" s="127"/>
      <c r="K717" s="127"/>
      <c r="L717" s="127"/>
      <c r="M717" s="127"/>
      <c r="N717" s="127"/>
      <c r="O717" s="127"/>
      <c r="P717" s="127"/>
      <c r="Q717" s="127"/>
      <c r="R717" s="127"/>
      <c r="S717" s="127"/>
      <c r="T717" s="127"/>
      <c r="U717" s="127"/>
      <c r="V717" s="127"/>
      <c r="W717" s="127"/>
      <c r="X717" s="127"/>
      <c r="Y717" s="127"/>
      <c r="Z717" s="127"/>
      <c r="AA717" s="127"/>
    </row>
    <row r="718" customFormat="false" ht="15.75" hidden="false" customHeight="false" outlineLevel="0" collapsed="false">
      <c r="A718" s="127" t="str">
        <f aca="false">IF(ISBLANK(B718),"",B718&amp;"|"&amp;C718)</f>
        <v/>
      </c>
      <c r="B718" s="127"/>
      <c r="C718" s="127"/>
      <c r="D718" s="127"/>
      <c r="E718" s="133"/>
      <c r="F718" s="127"/>
      <c r="G718" s="127"/>
      <c r="H718" s="127"/>
      <c r="I718" s="127"/>
      <c r="J718" s="127"/>
      <c r="K718" s="127"/>
      <c r="L718" s="127"/>
      <c r="M718" s="127"/>
      <c r="N718" s="127"/>
      <c r="O718" s="127"/>
      <c r="P718" s="127"/>
      <c r="Q718" s="127"/>
      <c r="R718" s="127"/>
      <c r="S718" s="127"/>
      <c r="T718" s="127"/>
      <c r="U718" s="127"/>
      <c r="V718" s="127"/>
      <c r="W718" s="127"/>
      <c r="X718" s="127"/>
      <c r="Y718" s="127"/>
      <c r="Z718" s="127"/>
      <c r="AA718" s="127"/>
    </row>
    <row r="719" customFormat="false" ht="15.75" hidden="false" customHeight="false" outlineLevel="0" collapsed="false">
      <c r="A719" s="127" t="str">
        <f aca="false">IF(ISBLANK(B719),"",B719&amp;"|"&amp;C719)</f>
        <v/>
      </c>
      <c r="B719" s="127"/>
      <c r="C719" s="127"/>
      <c r="D719" s="127"/>
      <c r="E719" s="133"/>
      <c r="F719" s="127"/>
      <c r="G719" s="127"/>
      <c r="H719" s="127"/>
      <c r="I719" s="127"/>
      <c r="J719" s="127"/>
      <c r="K719" s="127"/>
      <c r="L719" s="127"/>
      <c r="M719" s="127"/>
      <c r="N719" s="127"/>
      <c r="O719" s="127"/>
      <c r="P719" s="127"/>
      <c r="Q719" s="127"/>
      <c r="R719" s="127"/>
      <c r="S719" s="127"/>
      <c r="T719" s="127"/>
      <c r="U719" s="127"/>
      <c r="V719" s="127"/>
      <c r="W719" s="127"/>
      <c r="X719" s="127"/>
      <c r="Y719" s="127"/>
      <c r="Z719" s="127"/>
      <c r="AA719" s="127"/>
    </row>
    <row r="720" customFormat="false" ht="15.75" hidden="false" customHeight="false" outlineLevel="0" collapsed="false">
      <c r="A720" s="127" t="str">
        <f aca="false">IF(ISBLANK(B720),"",B720&amp;"|"&amp;C720)</f>
        <v/>
      </c>
      <c r="B720" s="127"/>
      <c r="C720" s="127"/>
      <c r="D720" s="127"/>
      <c r="E720" s="133"/>
      <c r="F720" s="127"/>
      <c r="G720" s="127"/>
      <c r="H720" s="127"/>
      <c r="I720" s="127"/>
      <c r="J720" s="127"/>
      <c r="K720" s="127"/>
      <c r="L720" s="127"/>
      <c r="M720" s="127"/>
      <c r="N720" s="127"/>
      <c r="O720" s="127"/>
      <c r="P720" s="127"/>
      <c r="Q720" s="127"/>
      <c r="R720" s="127"/>
      <c r="S720" s="127"/>
      <c r="T720" s="127"/>
      <c r="U720" s="127"/>
      <c r="V720" s="127"/>
      <c r="W720" s="127"/>
      <c r="X720" s="127"/>
      <c r="Y720" s="127"/>
      <c r="Z720" s="127"/>
      <c r="AA720" s="127"/>
    </row>
    <row r="721" customFormat="false" ht="15.75" hidden="false" customHeight="false" outlineLevel="0" collapsed="false">
      <c r="A721" s="127" t="str">
        <f aca="false">IF(ISBLANK(B721),"",B721&amp;"|"&amp;C721)</f>
        <v/>
      </c>
      <c r="B721" s="127"/>
      <c r="C721" s="127"/>
      <c r="D721" s="127"/>
      <c r="E721" s="133"/>
      <c r="F721" s="127"/>
      <c r="G721" s="127"/>
      <c r="H721" s="127"/>
      <c r="I721" s="127"/>
      <c r="J721" s="127"/>
      <c r="K721" s="127"/>
      <c r="L721" s="127"/>
      <c r="M721" s="127"/>
      <c r="N721" s="127"/>
      <c r="O721" s="127"/>
      <c r="P721" s="127"/>
      <c r="Q721" s="127"/>
      <c r="R721" s="127"/>
      <c r="S721" s="127"/>
      <c r="T721" s="127"/>
      <c r="U721" s="127"/>
      <c r="V721" s="127"/>
      <c r="W721" s="127"/>
      <c r="X721" s="127"/>
      <c r="Y721" s="127"/>
      <c r="Z721" s="127"/>
      <c r="AA721" s="127"/>
    </row>
    <row r="722" customFormat="false" ht="15.75" hidden="false" customHeight="false" outlineLevel="0" collapsed="false">
      <c r="A722" s="127" t="str">
        <f aca="false">IF(ISBLANK(B722),"",B722&amp;"|"&amp;C722)</f>
        <v/>
      </c>
      <c r="B722" s="127"/>
      <c r="C722" s="127"/>
      <c r="D722" s="127"/>
      <c r="E722" s="133"/>
      <c r="F722" s="127"/>
      <c r="G722" s="127"/>
      <c r="H722" s="127"/>
      <c r="I722" s="127"/>
      <c r="J722" s="127"/>
      <c r="K722" s="127"/>
      <c r="L722" s="127"/>
      <c r="M722" s="127"/>
      <c r="N722" s="127"/>
      <c r="O722" s="127"/>
      <c r="P722" s="127"/>
      <c r="Q722" s="127"/>
      <c r="R722" s="127"/>
      <c r="S722" s="127"/>
      <c r="T722" s="127"/>
      <c r="U722" s="127"/>
      <c r="V722" s="127"/>
      <c r="W722" s="127"/>
      <c r="X722" s="127"/>
      <c r="Y722" s="127"/>
      <c r="Z722" s="127"/>
      <c r="AA722" s="127"/>
    </row>
    <row r="723" customFormat="false" ht="15.75" hidden="false" customHeight="false" outlineLevel="0" collapsed="false">
      <c r="A723" s="127" t="str">
        <f aca="false">IF(ISBLANK(B723),"",B723&amp;"|"&amp;C723)</f>
        <v/>
      </c>
      <c r="B723" s="127"/>
      <c r="C723" s="127"/>
      <c r="D723" s="127"/>
      <c r="E723" s="133"/>
      <c r="F723" s="127"/>
      <c r="G723" s="127"/>
      <c r="H723" s="127"/>
      <c r="I723" s="127"/>
      <c r="J723" s="127"/>
      <c r="K723" s="127"/>
      <c r="L723" s="127"/>
      <c r="M723" s="127"/>
      <c r="N723" s="127"/>
      <c r="O723" s="127"/>
      <c r="P723" s="127"/>
      <c r="Q723" s="127"/>
      <c r="R723" s="127"/>
      <c r="S723" s="127"/>
      <c r="T723" s="127"/>
      <c r="U723" s="127"/>
      <c r="V723" s="127"/>
      <c r="W723" s="127"/>
      <c r="X723" s="127"/>
      <c r="Y723" s="127"/>
      <c r="Z723" s="127"/>
      <c r="AA723" s="127"/>
    </row>
    <row r="724" customFormat="false" ht="15.75" hidden="false" customHeight="false" outlineLevel="0" collapsed="false">
      <c r="A724" s="127" t="str">
        <f aca="false">IF(ISBLANK(B724),"",B724&amp;"|"&amp;C724)</f>
        <v/>
      </c>
      <c r="B724" s="127"/>
      <c r="C724" s="127"/>
      <c r="D724" s="127"/>
      <c r="E724" s="133"/>
      <c r="F724" s="127"/>
      <c r="G724" s="127"/>
      <c r="H724" s="127"/>
      <c r="I724" s="127"/>
      <c r="J724" s="127"/>
      <c r="K724" s="127"/>
      <c r="L724" s="127"/>
      <c r="M724" s="127"/>
      <c r="N724" s="127"/>
      <c r="O724" s="127"/>
      <c r="P724" s="127"/>
      <c r="Q724" s="127"/>
      <c r="R724" s="127"/>
      <c r="S724" s="127"/>
      <c r="T724" s="127"/>
      <c r="U724" s="127"/>
      <c r="V724" s="127"/>
      <c r="W724" s="127"/>
      <c r="X724" s="127"/>
      <c r="Y724" s="127"/>
      <c r="Z724" s="127"/>
      <c r="AA724" s="127"/>
    </row>
    <row r="725" customFormat="false" ht="15.75" hidden="false" customHeight="false" outlineLevel="0" collapsed="false">
      <c r="A725" s="127" t="str">
        <f aca="false">IF(ISBLANK(B725),"",B725&amp;"|"&amp;C725)</f>
        <v/>
      </c>
      <c r="B725" s="127"/>
      <c r="C725" s="127"/>
      <c r="D725" s="127"/>
      <c r="E725" s="133"/>
      <c r="F725" s="127"/>
      <c r="G725" s="127"/>
      <c r="H725" s="127"/>
      <c r="I725" s="127"/>
      <c r="J725" s="127"/>
      <c r="K725" s="127"/>
      <c r="L725" s="127"/>
      <c r="M725" s="127"/>
      <c r="N725" s="127"/>
      <c r="O725" s="127"/>
      <c r="P725" s="127"/>
      <c r="Q725" s="127"/>
      <c r="R725" s="127"/>
      <c r="S725" s="127"/>
      <c r="T725" s="127"/>
      <c r="U725" s="127"/>
      <c r="V725" s="127"/>
      <c r="W725" s="127"/>
      <c r="X725" s="127"/>
      <c r="Y725" s="127"/>
      <c r="Z725" s="127"/>
      <c r="AA725" s="127"/>
    </row>
    <row r="726" customFormat="false" ht="15.75" hidden="false" customHeight="false" outlineLevel="0" collapsed="false">
      <c r="A726" s="127" t="str">
        <f aca="false">IF(ISBLANK(B726),"",B726&amp;"|"&amp;C726)</f>
        <v/>
      </c>
      <c r="B726" s="127"/>
      <c r="C726" s="127"/>
      <c r="D726" s="127"/>
      <c r="E726" s="133"/>
      <c r="F726" s="127"/>
      <c r="G726" s="127"/>
      <c r="H726" s="127"/>
      <c r="I726" s="127"/>
      <c r="J726" s="127"/>
      <c r="K726" s="127"/>
      <c r="L726" s="127"/>
      <c r="M726" s="127"/>
      <c r="N726" s="127"/>
      <c r="O726" s="127"/>
      <c r="P726" s="127"/>
      <c r="Q726" s="127"/>
      <c r="R726" s="127"/>
      <c r="S726" s="127"/>
      <c r="T726" s="127"/>
      <c r="U726" s="127"/>
      <c r="V726" s="127"/>
      <c r="W726" s="127"/>
      <c r="X726" s="127"/>
      <c r="Y726" s="127"/>
      <c r="Z726" s="127"/>
      <c r="AA726" s="127"/>
    </row>
    <row r="727" customFormat="false" ht="15.75" hidden="false" customHeight="false" outlineLevel="0" collapsed="false">
      <c r="A727" s="127" t="str">
        <f aca="false">IF(ISBLANK(B727),"",B727&amp;"|"&amp;C727)</f>
        <v/>
      </c>
      <c r="B727" s="127"/>
      <c r="C727" s="127"/>
      <c r="D727" s="127"/>
      <c r="E727" s="133"/>
      <c r="F727" s="127"/>
      <c r="G727" s="127"/>
      <c r="H727" s="127"/>
      <c r="I727" s="127"/>
      <c r="J727" s="127"/>
      <c r="K727" s="127"/>
      <c r="L727" s="127"/>
      <c r="M727" s="127"/>
      <c r="N727" s="127"/>
      <c r="O727" s="127"/>
      <c r="P727" s="127"/>
      <c r="Q727" s="127"/>
      <c r="R727" s="127"/>
      <c r="S727" s="127"/>
      <c r="T727" s="127"/>
      <c r="U727" s="127"/>
      <c r="V727" s="127"/>
      <c r="W727" s="127"/>
      <c r="X727" s="127"/>
      <c r="Y727" s="127"/>
      <c r="Z727" s="127"/>
      <c r="AA727" s="127"/>
    </row>
    <row r="728" customFormat="false" ht="15.75" hidden="false" customHeight="false" outlineLevel="0" collapsed="false">
      <c r="A728" s="127" t="str">
        <f aca="false">IF(ISBLANK(B728),"",B728&amp;"|"&amp;C728)</f>
        <v/>
      </c>
      <c r="B728" s="127"/>
      <c r="C728" s="127"/>
      <c r="D728" s="127"/>
      <c r="E728" s="133"/>
      <c r="F728" s="127"/>
      <c r="G728" s="127"/>
      <c r="H728" s="127"/>
      <c r="I728" s="127"/>
      <c r="J728" s="127"/>
      <c r="K728" s="127"/>
      <c r="L728" s="127"/>
      <c r="M728" s="127"/>
      <c r="N728" s="127"/>
      <c r="O728" s="127"/>
      <c r="P728" s="127"/>
      <c r="Q728" s="127"/>
      <c r="R728" s="127"/>
      <c r="S728" s="127"/>
      <c r="T728" s="127"/>
      <c r="U728" s="127"/>
      <c r="V728" s="127"/>
      <c r="W728" s="127"/>
      <c r="X728" s="127"/>
      <c r="Y728" s="127"/>
      <c r="Z728" s="127"/>
      <c r="AA728" s="127"/>
    </row>
    <row r="729" customFormat="false" ht="15.75" hidden="false" customHeight="false" outlineLevel="0" collapsed="false">
      <c r="A729" s="127" t="str">
        <f aca="false">IF(ISBLANK(B729),"",B729&amp;"|"&amp;C729)</f>
        <v/>
      </c>
      <c r="B729" s="127"/>
      <c r="C729" s="127"/>
      <c r="D729" s="127"/>
      <c r="E729" s="133"/>
      <c r="F729" s="127"/>
      <c r="G729" s="127"/>
      <c r="H729" s="127"/>
      <c r="I729" s="127"/>
      <c r="J729" s="127"/>
      <c r="K729" s="127"/>
      <c r="L729" s="127"/>
      <c r="M729" s="127"/>
      <c r="N729" s="127"/>
      <c r="O729" s="127"/>
      <c r="P729" s="127"/>
      <c r="Q729" s="127"/>
      <c r="R729" s="127"/>
      <c r="S729" s="127"/>
      <c r="T729" s="127"/>
      <c r="U729" s="127"/>
      <c r="V729" s="127"/>
      <c r="W729" s="127"/>
      <c r="X729" s="127"/>
      <c r="Y729" s="127"/>
      <c r="Z729" s="127"/>
      <c r="AA729" s="127"/>
    </row>
    <row r="730" customFormat="false" ht="15.75" hidden="false" customHeight="false" outlineLevel="0" collapsed="false">
      <c r="A730" s="127" t="str">
        <f aca="false">IF(ISBLANK(B730),"",B730&amp;"|"&amp;C730)</f>
        <v/>
      </c>
      <c r="B730" s="127"/>
      <c r="C730" s="127"/>
      <c r="D730" s="127"/>
      <c r="E730" s="133"/>
      <c r="F730" s="127"/>
      <c r="G730" s="127"/>
      <c r="H730" s="127"/>
      <c r="I730" s="127"/>
      <c r="J730" s="127"/>
      <c r="K730" s="127"/>
      <c r="L730" s="127"/>
      <c r="M730" s="127"/>
      <c r="N730" s="127"/>
      <c r="O730" s="127"/>
      <c r="P730" s="127"/>
      <c r="Q730" s="127"/>
      <c r="R730" s="127"/>
      <c r="S730" s="127"/>
      <c r="T730" s="127"/>
      <c r="U730" s="127"/>
      <c r="V730" s="127"/>
      <c r="W730" s="127"/>
      <c r="X730" s="127"/>
      <c r="Y730" s="127"/>
      <c r="Z730" s="127"/>
      <c r="AA730" s="127"/>
    </row>
    <row r="731" customFormat="false" ht="15.75" hidden="false" customHeight="false" outlineLevel="0" collapsed="false">
      <c r="A731" s="127" t="str">
        <f aca="false">IF(ISBLANK(B731),"",B731&amp;"|"&amp;C731)</f>
        <v/>
      </c>
      <c r="B731" s="127"/>
      <c r="C731" s="127"/>
      <c r="D731" s="127"/>
      <c r="E731" s="133"/>
      <c r="F731" s="127"/>
      <c r="G731" s="127"/>
      <c r="H731" s="127"/>
      <c r="I731" s="127"/>
      <c r="J731" s="127"/>
      <c r="K731" s="127"/>
      <c r="L731" s="127"/>
      <c r="M731" s="127"/>
      <c r="N731" s="127"/>
      <c r="O731" s="127"/>
      <c r="P731" s="127"/>
      <c r="Q731" s="127"/>
      <c r="R731" s="127"/>
      <c r="S731" s="127"/>
      <c r="T731" s="127"/>
      <c r="U731" s="127"/>
      <c r="V731" s="127"/>
      <c r="W731" s="127"/>
      <c r="X731" s="127"/>
      <c r="Y731" s="127"/>
      <c r="Z731" s="127"/>
      <c r="AA731" s="127"/>
    </row>
    <row r="732" customFormat="false" ht="15.75" hidden="false" customHeight="false" outlineLevel="0" collapsed="false">
      <c r="A732" s="127" t="str">
        <f aca="false">IF(ISBLANK(B732),"",B732&amp;"|"&amp;C732)</f>
        <v/>
      </c>
      <c r="B732" s="127"/>
      <c r="C732" s="127"/>
      <c r="D732" s="127"/>
      <c r="E732" s="133"/>
      <c r="F732" s="127"/>
      <c r="G732" s="127"/>
      <c r="H732" s="127"/>
      <c r="I732" s="127"/>
      <c r="J732" s="127"/>
      <c r="K732" s="127"/>
      <c r="L732" s="127"/>
      <c r="M732" s="127"/>
      <c r="N732" s="127"/>
      <c r="O732" s="127"/>
      <c r="P732" s="127"/>
      <c r="Q732" s="127"/>
      <c r="R732" s="127"/>
      <c r="S732" s="127"/>
      <c r="T732" s="127"/>
      <c r="U732" s="127"/>
      <c r="V732" s="127"/>
      <c r="W732" s="127"/>
      <c r="X732" s="127"/>
      <c r="Y732" s="127"/>
      <c r="Z732" s="127"/>
      <c r="AA732" s="127"/>
    </row>
    <row r="733" customFormat="false" ht="15.75" hidden="false" customHeight="false" outlineLevel="0" collapsed="false">
      <c r="A733" s="127" t="str">
        <f aca="false">IF(ISBLANK(B733),"",B733&amp;"|"&amp;C733)</f>
        <v/>
      </c>
      <c r="B733" s="127"/>
      <c r="C733" s="127"/>
      <c r="D733" s="127"/>
      <c r="E733" s="133"/>
      <c r="F733" s="127"/>
      <c r="G733" s="127"/>
      <c r="H733" s="127"/>
      <c r="I733" s="127"/>
      <c r="J733" s="127"/>
      <c r="K733" s="127"/>
      <c r="L733" s="127"/>
      <c r="M733" s="127"/>
      <c r="N733" s="127"/>
      <c r="O733" s="127"/>
      <c r="P733" s="127"/>
      <c r="Q733" s="127"/>
      <c r="R733" s="127"/>
      <c r="S733" s="127"/>
      <c r="T733" s="127"/>
      <c r="U733" s="127"/>
      <c r="V733" s="127"/>
      <c r="W733" s="127"/>
      <c r="X733" s="127"/>
      <c r="Y733" s="127"/>
      <c r="Z733" s="127"/>
      <c r="AA733" s="127"/>
    </row>
    <row r="734" customFormat="false" ht="15.75" hidden="false" customHeight="false" outlineLevel="0" collapsed="false">
      <c r="A734" s="127" t="str">
        <f aca="false">IF(ISBLANK(B734),"",B734&amp;"|"&amp;C734)</f>
        <v/>
      </c>
      <c r="B734" s="127"/>
      <c r="C734" s="127"/>
      <c r="D734" s="127"/>
      <c r="E734" s="133"/>
      <c r="F734" s="127"/>
      <c r="G734" s="127"/>
      <c r="H734" s="127"/>
      <c r="I734" s="127"/>
      <c r="J734" s="127"/>
      <c r="K734" s="127"/>
      <c r="L734" s="127"/>
      <c r="M734" s="127"/>
      <c r="N734" s="127"/>
      <c r="O734" s="127"/>
      <c r="P734" s="127"/>
      <c r="Q734" s="127"/>
      <c r="R734" s="127"/>
      <c r="S734" s="127"/>
      <c r="T734" s="127"/>
      <c r="U734" s="127"/>
      <c r="V734" s="127"/>
      <c r="W734" s="127"/>
      <c r="X734" s="127"/>
      <c r="Y734" s="127"/>
      <c r="Z734" s="127"/>
      <c r="AA734" s="127"/>
    </row>
    <row r="735" customFormat="false" ht="15.75" hidden="false" customHeight="false" outlineLevel="0" collapsed="false">
      <c r="A735" s="127" t="str">
        <f aca="false">IF(ISBLANK(B735),"",B735&amp;"|"&amp;C735)</f>
        <v/>
      </c>
      <c r="B735" s="127"/>
      <c r="C735" s="127"/>
      <c r="D735" s="127"/>
      <c r="E735" s="133"/>
      <c r="F735" s="127"/>
      <c r="G735" s="127"/>
      <c r="H735" s="127"/>
      <c r="I735" s="127"/>
      <c r="J735" s="127"/>
      <c r="K735" s="127"/>
      <c r="L735" s="127"/>
      <c r="M735" s="127"/>
      <c r="N735" s="127"/>
      <c r="O735" s="127"/>
      <c r="P735" s="127"/>
      <c r="Q735" s="127"/>
      <c r="R735" s="127"/>
      <c r="S735" s="127"/>
      <c r="T735" s="127"/>
      <c r="U735" s="127"/>
      <c r="V735" s="127"/>
      <c r="W735" s="127"/>
      <c r="X735" s="127"/>
      <c r="Y735" s="127"/>
      <c r="Z735" s="127"/>
      <c r="AA735" s="127"/>
    </row>
    <row r="736" customFormat="false" ht="15.75" hidden="false" customHeight="false" outlineLevel="0" collapsed="false">
      <c r="A736" s="127" t="str">
        <f aca="false">IF(ISBLANK(B736),"",B736&amp;"|"&amp;C736)</f>
        <v/>
      </c>
      <c r="B736" s="127"/>
      <c r="C736" s="127"/>
      <c r="D736" s="127"/>
      <c r="E736" s="133"/>
      <c r="F736" s="127"/>
      <c r="G736" s="127"/>
      <c r="H736" s="127"/>
      <c r="I736" s="127"/>
      <c r="J736" s="127"/>
      <c r="K736" s="127"/>
      <c r="L736" s="127"/>
      <c r="M736" s="127"/>
      <c r="N736" s="127"/>
      <c r="O736" s="127"/>
      <c r="P736" s="127"/>
      <c r="Q736" s="127"/>
      <c r="R736" s="127"/>
      <c r="S736" s="127"/>
      <c r="T736" s="127"/>
      <c r="U736" s="127"/>
      <c r="V736" s="127"/>
      <c r="W736" s="127"/>
      <c r="X736" s="127"/>
      <c r="Y736" s="127"/>
      <c r="Z736" s="127"/>
      <c r="AA736" s="127"/>
    </row>
    <row r="737" customFormat="false" ht="15.75" hidden="false" customHeight="false" outlineLevel="0" collapsed="false">
      <c r="A737" s="127" t="str">
        <f aca="false">IF(ISBLANK(B737),"",B737&amp;"|"&amp;C737)</f>
        <v/>
      </c>
      <c r="B737" s="127"/>
      <c r="C737" s="127"/>
      <c r="D737" s="127"/>
      <c r="E737" s="133"/>
      <c r="F737" s="127"/>
      <c r="G737" s="127"/>
      <c r="H737" s="127"/>
      <c r="I737" s="127"/>
      <c r="J737" s="127"/>
      <c r="K737" s="127"/>
      <c r="L737" s="127"/>
      <c r="M737" s="127"/>
      <c r="N737" s="127"/>
      <c r="O737" s="127"/>
      <c r="P737" s="127"/>
      <c r="Q737" s="127"/>
      <c r="R737" s="127"/>
      <c r="S737" s="127"/>
      <c r="T737" s="127"/>
      <c r="U737" s="127"/>
      <c r="V737" s="127"/>
      <c r="W737" s="127"/>
      <c r="X737" s="127"/>
      <c r="Y737" s="127"/>
      <c r="Z737" s="127"/>
      <c r="AA737" s="127"/>
    </row>
    <row r="738" customFormat="false" ht="15.75" hidden="false" customHeight="false" outlineLevel="0" collapsed="false">
      <c r="A738" s="127" t="str">
        <f aca="false">IF(ISBLANK(B738),"",B738&amp;"|"&amp;C738)</f>
        <v/>
      </c>
      <c r="B738" s="127"/>
      <c r="C738" s="127"/>
      <c r="D738" s="127"/>
      <c r="E738" s="133"/>
      <c r="F738" s="127"/>
      <c r="G738" s="127"/>
      <c r="H738" s="127"/>
      <c r="I738" s="127"/>
      <c r="J738" s="127"/>
      <c r="K738" s="127"/>
      <c r="L738" s="127"/>
      <c r="M738" s="127"/>
      <c r="N738" s="127"/>
      <c r="O738" s="127"/>
      <c r="P738" s="127"/>
      <c r="Q738" s="127"/>
      <c r="R738" s="127"/>
      <c r="S738" s="127"/>
      <c r="T738" s="127"/>
      <c r="U738" s="127"/>
      <c r="V738" s="127"/>
      <c r="W738" s="127"/>
      <c r="X738" s="127"/>
      <c r="Y738" s="127"/>
      <c r="Z738" s="127"/>
      <c r="AA738" s="127"/>
    </row>
    <row r="739" customFormat="false" ht="15.75" hidden="false" customHeight="false" outlineLevel="0" collapsed="false">
      <c r="A739" s="127" t="str">
        <f aca="false">IF(ISBLANK(B739),"",B739&amp;"|"&amp;C739)</f>
        <v/>
      </c>
      <c r="B739" s="127"/>
      <c r="C739" s="127"/>
      <c r="D739" s="127"/>
      <c r="E739" s="133"/>
      <c r="F739" s="127"/>
      <c r="G739" s="127"/>
      <c r="H739" s="127"/>
      <c r="I739" s="127"/>
      <c r="J739" s="127"/>
      <c r="K739" s="127"/>
      <c r="L739" s="127"/>
      <c r="M739" s="127"/>
      <c r="N739" s="127"/>
      <c r="O739" s="127"/>
      <c r="P739" s="127"/>
      <c r="Q739" s="127"/>
      <c r="R739" s="127"/>
      <c r="S739" s="127"/>
      <c r="T739" s="127"/>
      <c r="U739" s="127"/>
      <c r="V739" s="127"/>
      <c r="W739" s="127"/>
      <c r="X739" s="127"/>
      <c r="Y739" s="127"/>
      <c r="Z739" s="127"/>
      <c r="AA739" s="127"/>
    </row>
    <row r="740" customFormat="false" ht="15.75" hidden="false" customHeight="false" outlineLevel="0" collapsed="false">
      <c r="A740" s="127" t="str">
        <f aca="false">IF(ISBLANK(B740),"",B740&amp;"|"&amp;C740)</f>
        <v/>
      </c>
      <c r="B740" s="127"/>
      <c r="C740" s="127"/>
      <c r="D740" s="127"/>
      <c r="E740" s="133"/>
      <c r="F740" s="127"/>
      <c r="G740" s="127"/>
      <c r="H740" s="127"/>
      <c r="I740" s="127"/>
      <c r="J740" s="127"/>
      <c r="K740" s="127"/>
      <c r="L740" s="127"/>
      <c r="M740" s="127"/>
      <c r="N740" s="127"/>
      <c r="O740" s="127"/>
      <c r="P740" s="127"/>
      <c r="Q740" s="127"/>
      <c r="R740" s="127"/>
      <c r="S740" s="127"/>
      <c r="T740" s="127"/>
      <c r="U740" s="127"/>
      <c r="V740" s="127"/>
      <c r="W740" s="127"/>
      <c r="X740" s="127"/>
      <c r="Y740" s="127"/>
      <c r="Z740" s="127"/>
      <c r="AA740" s="127"/>
    </row>
    <row r="741" customFormat="false" ht="15.75" hidden="false" customHeight="false" outlineLevel="0" collapsed="false">
      <c r="A741" s="127" t="str">
        <f aca="false">IF(ISBLANK(B741),"",B741&amp;"|"&amp;C741)</f>
        <v/>
      </c>
      <c r="B741" s="127"/>
      <c r="C741" s="127"/>
      <c r="D741" s="127"/>
      <c r="E741" s="133"/>
      <c r="F741" s="127"/>
      <c r="G741" s="127"/>
      <c r="H741" s="127"/>
      <c r="I741" s="127"/>
      <c r="J741" s="127"/>
      <c r="K741" s="127"/>
      <c r="L741" s="127"/>
      <c r="M741" s="127"/>
      <c r="N741" s="127"/>
      <c r="O741" s="127"/>
      <c r="P741" s="127"/>
      <c r="Q741" s="127"/>
      <c r="R741" s="127"/>
      <c r="S741" s="127"/>
      <c r="T741" s="127"/>
      <c r="U741" s="127"/>
      <c r="V741" s="127"/>
      <c r="W741" s="127"/>
      <c r="X741" s="127"/>
      <c r="Y741" s="127"/>
      <c r="Z741" s="127"/>
      <c r="AA741" s="127"/>
    </row>
    <row r="742" customFormat="false" ht="15.75" hidden="false" customHeight="false" outlineLevel="0" collapsed="false">
      <c r="A742" s="127" t="str">
        <f aca="false">IF(ISBLANK(B742),"",B742&amp;"|"&amp;C742)</f>
        <v/>
      </c>
      <c r="B742" s="127"/>
      <c r="C742" s="127"/>
      <c r="D742" s="127"/>
      <c r="E742" s="133"/>
      <c r="F742" s="127"/>
      <c r="G742" s="127"/>
      <c r="H742" s="127"/>
      <c r="I742" s="127"/>
      <c r="J742" s="127"/>
      <c r="K742" s="127"/>
      <c r="L742" s="127"/>
      <c r="M742" s="127"/>
      <c r="N742" s="127"/>
      <c r="O742" s="127"/>
      <c r="P742" s="127"/>
      <c r="Q742" s="127"/>
      <c r="R742" s="127"/>
      <c r="S742" s="127"/>
      <c r="T742" s="127"/>
      <c r="U742" s="127"/>
      <c r="V742" s="127"/>
      <c r="W742" s="127"/>
      <c r="X742" s="127"/>
      <c r="Y742" s="127"/>
      <c r="Z742" s="127"/>
      <c r="AA742" s="127"/>
    </row>
    <row r="743" customFormat="false" ht="15.75" hidden="false" customHeight="false" outlineLevel="0" collapsed="false">
      <c r="A743" s="127" t="str">
        <f aca="false">IF(ISBLANK(B743),"",B743&amp;"|"&amp;C743)</f>
        <v/>
      </c>
      <c r="B743" s="127"/>
      <c r="C743" s="127"/>
      <c r="D743" s="127"/>
      <c r="E743" s="133"/>
      <c r="F743" s="127"/>
      <c r="G743" s="127"/>
      <c r="H743" s="127"/>
      <c r="I743" s="127"/>
      <c r="J743" s="127"/>
      <c r="K743" s="127"/>
      <c r="L743" s="127"/>
      <c r="M743" s="127"/>
      <c r="N743" s="127"/>
      <c r="O743" s="127"/>
      <c r="P743" s="127"/>
      <c r="Q743" s="127"/>
      <c r="R743" s="127"/>
      <c r="S743" s="127"/>
      <c r="T743" s="127"/>
      <c r="U743" s="127"/>
      <c r="V743" s="127"/>
      <c r="W743" s="127"/>
      <c r="X743" s="127"/>
      <c r="Y743" s="127"/>
      <c r="Z743" s="127"/>
      <c r="AA743" s="127"/>
    </row>
    <row r="744" customFormat="false" ht="15.75" hidden="false" customHeight="false" outlineLevel="0" collapsed="false">
      <c r="A744" s="127" t="str">
        <f aca="false">IF(ISBLANK(B744),"",B744&amp;"|"&amp;C744)</f>
        <v/>
      </c>
      <c r="B744" s="127"/>
      <c r="C744" s="127"/>
      <c r="D744" s="127"/>
      <c r="E744" s="133"/>
      <c r="F744" s="127"/>
      <c r="G744" s="127"/>
      <c r="H744" s="127"/>
      <c r="I744" s="127"/>
      <c r="J744" s="127"/>
      <c r="K744" s="127"/>
      <c r="L744" s="127"/>
      <c r="M744" s="127"/>
      <c r="N744" s="127"/>
      <c r="O744" s="127"/>
      <c r="P744" s="127"/>
      <c r="Q744" s="127"/>
      <c r="R744" s="127"/>
      <c r="S744" s="127"/>
      <c r="T744" s="127"/>
      <c r="U744" s="127"/>
      <c r="V744" s="127"/>
      <c r="W744" s="127"/>
      <c r="X744" s="127"/>
      <c r="Y744" s="127"/>
      <c r="Z744" s="127"/>
      <c r="AA744" s="127"/>
    </row>
    <row r="745" customFormat="false" ht="15.75" hidden="false" customHeight="false" outlineLevel="0" collapsed="false">
      <c r="A745" s="127" t="str">
        <f aca="false">IF(ISBLANK(B745),"",B745&amp;"|"&amp;C745)</f>
        <v/>
      </c>
      <c r="B745" s="127"/>
      <c r="C745" s="127"/>
      <c r="D745" s="127"/>
      <c r="E745" s="133"/>
      <c r="F745" s="127"/>
      <c r="G745" s="127"/>
      <c r="H745" s="127"/>
      <c r="I745" s="127"/>
      <c r="J745" s="127"/>
      <c r="K745" s="127"/>
      <c r="L745" s="127"/>
      <c r="M745" s="127"/>
      <c r="N745" s="127"/>
      <c r="O745" s="127"/>
      <c r="P745" s="127"/>
      <c r="Q745" s="127"/>
      <c r="R745" s="127"/>
      <c r="S745" s="127"/>
      <c r="T745" s="127"/>
      <c r="U745" s="127"/>
      <c r="V745" s="127"/>
      <c r="W745" s="127"/>
      <c r="X745" s="127"/>
      <c r="Y745" s="127"/>
      <c r="Z745" s="127"/>
      <c r="AA745" s="127"/>
    </row>
    <row r="746" customFormat="false" ht="15.75" hidden="false" customHeight="false" outlineLevel="0" collapsed="false">
      <c r="A746" s="127" t="str">
        <f aca="false">IF(ISBLANK(B746),"",B746&amp;"|"&amp;C746)</f>
        <v/>
      </c>
      <c r="B746" s="127"/>
      <c r="C746" s="127"/>
      <c r="D746" s="127"/>
      <c r="E746" s="133"/>
      <c r="F746" s="127"/>
      <c r="G746" s="127"/>
      <c r="H746" s="127"/>
      <c r="I746" s="127"/>
      <c r="J746" s="127"/>
      <c r="K746" s="127"/>
      <c r="L746" s="127"/>
      <c r="M746" s="127"/>
      <c r="N746" s="127"/>
      <c r="O746" s="127"/>
      <c r="P746" s="127"/>
      <c r="Q746" s="127"/>
      <c r="R746" s="127"/>
      <c r="S746" s="127"/>
      <c r="T746" s="127"/>
      <c r="U746" s="127"/>
      <c r="V746" s="127"/>
      <c r="W746" s="127"/>
      <c r="X746" s="127"/>
      <c r="Y746" s="127"/>
      <c r="Z746" s="127"/>
      <c r="AA746" s="127"/>
    </row>
    <row r="747" customFormat="false" ht="15.75" hidden="false" customHeight="false" outlineLevel="0" collapsed="false">
      <c r="A747" s="127" t="str">
        <f aca="false">IF(ISBLANK(B747),"",B747&amp;"|"&amp;C747)</f>
        <v/>
      </c>
      <c r="B747" s="127"/>
      <c r="C747" s="127"/>
      <c r="D747" s="127"/>
      <c r="E747" s="133"/>
      <c r="F747" s="127"/>
      <c r="G747" s="127"/>
      <c r="H747" s="127"/>
      <c r="I747" s="127"/>
      <c r="J747" s="127"/>
      <c r="K747" s="127"/>
      <c r="L747" s="127"/>
      <c r="M747" s="127"/>
      <c r="N747" s="127"/>
      <c r="O747" s="127"/>
      <c r="P747" s="127"/>
      <c r="Q747" s="127"/>
      <c r="R747" s="127"/>
      <c r="S747" s="127"/>
      <c r="T747" s="127"/>
      <c r="U747" s="127"/>
      <c r="V747" s="127"/>
      <c r="W747" s="127"/>
      <c r="X747" s="127"/>
      <c r="Y747" s="127"/>
      <c r="Z747" s="127"/>
      <c r="AA747" s="127"/>
    </row>
    <row r="748" customFormat="false" ht="15.75" hidden="false" customHeight="false" outlineLevel="0" collapsed="false">
      <c r="A748" s="127" t="str">
        <f aca="false">IF(ISBLANK(B748),"",B748&amp;"|"&amp;C748)</f>
        <v/>
      </c>
      <c r="B748" s="127"/>
      <c r="C748" s="127"/>
      <c r="D748" s="127"/>
      <c r="E748" s="133"/>
      <c r="F748" s="127"/>
      <c r="G748" s="127"/>
      <c r="H748" s="127"/>
      <c r="I748" s="127"/>
      <c r="J748" s="127"/>
      <c r="K748" s="127"/>
      <c r="L748" s="127"/>
      <c r="M748" s="127"/>
      <c r="N748" s="127"/>
      <c r="O748" s="127"/>
      <c r="P748" s="127"/>
      <c r="Q748" s="127"/>
      <c r="R748" s="127"/>
      <c r="S748" s="127"/>
      <c r="T748" s="127"/>
      <c r="U748" s="127"/>
      <c r="V748" s="127"/>
      <c r="W748" s="127"/>
      <c r="X748" s="127"/>
      <c r="Y748" s="127"/>
      <c r="Z748" s="127"/>
      <c r="AA748" s="127"/>
    </row>
    <row r="749" customFormat="false" ht="15.75" hidden="false" customHeight="false" outlineLevel="0" collapsed="false">
      <c r="A749" s="127" t="str">
        <f aca="false">IF(ISBLANK(B749),"",B749&amp;"|"&amp;C749)</f>
        <v/>
      </c>
      <c r="B749" s="127"/>
      <c r="C749" s="127"/>
      <c r="D749" s="127"/>
      <c r="E749" s="133"/>
      <c r="F749" s="127"/>
      <c r="G749" s="127"/>
      <c r="H749" s="127"/>
      <c r="I749" s="127"/>
      <c r="J749" s="127"/>
      <c r="K749" s="127"/>
      <c r="L749" s="127"/>
      <c r="M749" s="127"/>
      <c r="N749" s="127"/>
      <c r="O749" s="127"/>
      <c r="P749" s="127"/>
      <c r="Q749" s="127"/>
      <c r="R749" s="127"/>
      <c r="S749" s="127"/>
      <c r="T749" s="127"/>
      <c r="U749" s="127"/>
      <c r="V749" s="127"/>
      <c r="W749" s="127"/>
      <c r="X749" s="127"/>
      <c r="Y749" s="127"/>
      <c r="Z749" s="127"/>
      <c r="AA749" s="127"/>
    </row>
    <row r="750" customFormat="false" ht="15.75" hidden="false" customHeight="false" outlineLevel="0" collapsed="false">
      <c r="A750" s="127" t="str">
        <f aca="false">IF(ISBLANK(B750),"",B750&amp;"|"&amp;C750)</f>
        <v/>
      </c>
      <c r="B750" s="127"/>
      <c r="C750" s="127"/>
      <c r="D750" s="127"/>
      <c r="E750" s="133"/>
      <c r="F750" s="127"/>
      <c r="G750" s="127"/>
      <c r="H750" s="127"/>
      <c r="I750" s="127"/>
      <c r="J750" s="127"/>
      <c r="K750" s="127"/>
      <c r="L750" s="127"/>
      <c r="M750" s="127"/>
      <c r="N750" s="127"/>
      <c r="O750" s="127"/>
      <c r="P750" s="127"/>
      <c r="Q750" s="127"/>
      <c r="R750" s="127"/>
      <c r="S750" s="127"/>
      <c r="T750" s="127"/>
      <c r="U750" s="127"/>
      <c r="V750" s="127"/>
      <c r="W750" s="127"/>
      <c r="X750" s="127"/>
      <c r="Y750" s="127"/>
      <c r="Z750" s="127"/>
      <c r="AA750" s="127"/>
    </row>
    <row r="751" customFormat="false" ht="15.75" hidden="false" customHeight="false" outlineLevel="0" collapsed="false">
      <c r="A751" s="127" t="str">
        <f aca="false">IF(ISBLANK(B751),"",B751&amp;"|"&amp;C751)</f>
        <v/>
      </c>
      <c r="B751" s="127"/>
      <c r="C751" s="127"/>
      <c r="D751" s="127"/>
      <c r="E751" s="133"/>
      <c r="F751" s="127"/>
      <c r="G751" s="127"/>
      <c r="H751" s="127"/>
      <c r="I751" s="127"/>
      <c r="J751" s="127"/>
      <c r="K751" s="127"/>
      <c r="L751" s="127"/>
      <c r="M751" s="127"/>
      <c r="N751" s="127"/>
      <c r="O751" s="127"/>
      <c r="P751" s="127"/>
      <c r="Q751" s="127"/>
      <c r="R751" s="127"/>
      <c r="S751" s="127"/>
      <c r="T751" s="127"/>
      <c r="U751" s="127"/>
      <c r="V751" s="127"/>
      <c r="W751" s="127"/>
      <c r="X751" s="127"/>
      <c r="Y751" s="127"/>
      <c r="Z751" s="127"/>
      <c r="AA751" s="127"/>
    </row>
    <row r="752" customFormat="false" ht="15.75" hidden="false" customHeight="false" outlineLevel="0" collapsed="false">
      <c r="A752" s="127" t="str">
        <f aca="false">IF(ISBLANK(B752),"",B752&amp;"|"&amp;C752)</f>
        <v/>
      </c>
      <c r="B752" s="127"/>
      <c r="C752" s="127"/>
      <c r="D752" s="127"/>
      <c r="E752" s="133"/>
      <c r="F752" s="127"/>
      <c r="G752" s="127"/>
      <c r="H752" s="127"/>
      <c r="I752" s="127"/>
      <c r="J752" s="127"/>
      <c r="K752" s="127"/>
      <c r="L752" s="127"/>
      <c r="M752" s="127"/>
      <c r="N752" s="127"/>
      <c r="O752" s="127"/>
      <c r="P752" s="127"/>
      <c r="Q752" s="127"/>
      <c r="R752" s="127"/>
      <c r="S752" s="127"/>
      <c r="T752" s="127"/>
      <c r="U752" s="127"/>
      <c r="V752" s="127"/>
      <c r="W752" s="127"/>
      <c r="X752" s="127"/>
      <c r="Y752" s="127"/>
      <c r="Z752" s="127"/>
      <c r="AA752" s="127"/>
    </row>
    <row r="753" customFormat="false" ht="15.75" hidden="false" customHeight="false" outlineLevel="0" collapsed="false">
      <c r="A753" s="127" t="str">
        <f aca="false">IF(ISBLANK(B753),"",B753&amp;"|"&amp;C753)</f>
        <v/>
      </c>
      <c r="B753" s="127"/>
      <c r="C753" s="127"/>
      <c r="D753" s="127"/>
      <c r="E753" s="133"/>
      <c r="F753" s="127"/>
      <c r="G753" s="127"/>
      <c r="H753" s="127"/>
      <c r="I753" s="127"/>
      <c r="J753" s="127"/>
      <c r="K753" s="127"/>
      <c r="L753" s="127"/>
      <c r="M753" s="127"/>
      <c r="N753" s="127"/>
      <c r="O753" s="127"/>
      <c r="P753" s="127"/>
      <c r="Q753" s="127"/>
      <c r="R753" s="127"/>
      <c r="S753" s="127"/>
      <c r="T753" s="127"/>
      <c r="U753" s="127"/>
      <c r="V753" s="127"/>
      <c r="W753" s="127"/>
      <c r="X753" s="127"/>
      <c r="Y753" s="127"/>
      <c r="Z753" s="127"/>
      <c r="AA753" s="127"/>
    </row>
    <row r="754" customFormat="false" ht="15.75" hidden="false" customHeight="false" outlineLevel="0" collapsed="false">
      <c r="A754" s="127" t="str">
        <f aca="false">IF(ISBLANK(B754),"",B754&amp;"|"&amp;C754)</f>
        <v/>
      </c>
      <c r="B754" s="127"/>
      <c r="C754" s="127"/>
      <c r="D754" s="127"/>
      <c r="E754" s="133"/>
      <c r="F754" s="127"/>
      <c r="G754" s="127"/>
      <c r="H754" s="127"/>
      <c r="I754" s="127"/>
      <c r="J754" s="127"/>
      <c r="K754" s="127"/>
      <c r="L754" s="127"/>
      <c r="M754" s="127"/>
      <c r="N754" s="127"/>
      <c r="O754" s="127"/>
      <c r="P754" s="127"/>
      <c r="Q754" s="127"/>
      <c r="R754" s="127"/>
      <c r="S754" s="127"/>
      <c r="T754" s="127"/>
      <c r="U754" s="127"/>
      <c r="V754" s="127"/>
      <c r="W754" s="127"/>
      <c r="X754" s="127"/>
      <c r="Y754" s="127"/>
      <c r="Z754" s="127"/>
      <c r="AA754" s="127"/>
    </row>
    <row r="755" customFormat="false" ht="15.75" hidden="false" customHeight="false" outlineLevel="0" collapsed="false">
      <c r="A755" s="127" t="str">
        <f aca="false">IF(ISBLANK(B755),"",B755&amp;"|"&amp;C755)</f>
        <v/>
      </c>
      <c r="B755" s="127"/>
      <c r="C755" s="127"/>
      <c r="D755" s="127"/>
      <c r="E755" s="133"/>
      <c r="F755" s="127"/>
      <c r="G755" s="127"/>
      <c r="H755" s="127"/>
      <c r="I755" s="127"/>
      <c r="J755" s="127"/>
      <c r="K755" s="127"/>
      <c r="L755" s="127"/>
      <c r="M755" s="127"/>
      <c r="N755" s="127"/>
      <c r="O755" s="127"/>
      <c r="P755" s="127"/>
      <c r="Q755" s="127"/>
      <c r="R755" s="127"/>
      <c r="S755" s="127"/>
      <c r="T755" s="127"/>
      <c r="U755" s="127"/>
      <c r="V755" s="127"/>
      <c r="W755" s="127"/>
      <c r="X755" s="127"/>
      <c r="Y755" s="127"/>
      <c r="Z755" s="127"/>
      <c r="AA755" s="127"/>
    </row>
    <row r="756" customFormat="false" ht="15.75" hidden="false" customHeight="false" outlineLevel="0" collapsed="false">
      <c r="A756" s="127" t="str">
        <f aca="false">IF(ISBLANK(B756),"",B756&amp;"|"&amp;C756)</f>
        <v/>
      </c>
      <c r="B756" s="127"/>
      <c r="C756" s="127"/>
      <c r="D756" s="127"/>
      <c r="E756" s="133"/>
      <c r="F756" s="127"/>
      <c r="G756" s="127"/>
      <c r="H756" s="127"/>
      <c r="I756" s="127"/>
      <c r="J756" s="127"/>
      <c r="K756" s="127"/>
      <c r="L756" s="127"/>
      <c r="M756" s="127"/>
      <c r="N756" s="127"/>
      <c r="O756" s="127"/>
      <c r="P756" s="127"/>
      <c r="Q756" s="127"/>
      <c r="R756" s="127"/>
      <c r="S756" s="127"/>
      <c r="T756" s="127"/>
      <c r="U756" s="127"/>
      <c r="V756" s="127"/>
      <c r="W756" s="127"/>
      <c r="X756" s="127"/>
      <c r="Y756" s="127"/>
      <c r="Z756" s="127"/>
      <c r="AA756" s="127"/>
    </row>
    <row r="757" customFormat="false" ht="15.75" hidden="false" customHeight="false" outlineLevel="0" collapsed="false">
      <c r="A757" s="127" t="str">
        <f aca="false">IF(ISBLANK(B757),"",B757&amp;"|"&amp;C757)</f>
        <v/>
      </c>
      <c r="B757" s="127"/>
      <c r="C757" s="127"/>
      <c r="D757" s="127"/>
      <c r="E757" s="133"/>
      <c r="F757" s="127"/>
      <c r="G757" s="127"/>
      <c r="H757" s="127"/>
      <c r="I757" s="127"/>
      <c r="J757" s="127"/>
      <c r="K757" s="127"/>
      <c r="L757" s="127"/>
      <c r="M757" s="127"/>
      <c r="N757" s="127"/>
      <c r="O757" s="127"/>
      <c r="P757" s="127"/>
      <c r="Q757" s="127"/>
      <c r="R757" s="127"/>
      <c r="S757" s="127"/>
      <c r="T757" s="127"/>
      <c r="U757" s="127"/>
      <c r="V757" s="127"/>
      <c r="W757" s="127"/>
      <c r="X757" s="127"/>
      <c r="Y757" s="127"/>
      <c r="Z757" s="127"/>
      <c r="AA757" s="127"/>
    </row>
    <row r="758" customFormat="false" ht="15.75" hidden="false" customHeight="false" outlineLevel="0" collapsed="false">
      <c r="A758" s="127" t="str">
        <f aca="false">IF(ISBLANK(B758),"",B758&amp;"|"&amp;C758)</f>
        <v/>
      </c>
      <c r="B758" s="127"/>
      <c r="C758" s="127"/>
      <c r="D758" s="127"/>
      <c r="E758" s="133"/>
      <c r="F758" s="127"/>
      <c r="G758" s="127"/>
      <c r="H758" s="127"/>
      <c r="I758" s="127"/>
      <c r="J758" s="127"/>
      <c r="K758" s="127"/>
      <c r="L758" s="127"/>
      <c r="M758" s="127"/>
      <c r="N758" s="127"/>
      <c r="O758" s="127"/>
      <c r="P758" s="127"/>
      <c r="Q758" s="127"/>
      <c r="R758" s="127"/>
      <c r="S758" s="127"/>
      <c r="T758" s="127"/>
      <c r="U758" s="127"/>
      <c r="V758" s="127"/>
      <c r="W758" s="127"/>
      <c r="X758" s="127"/>
      <c r="Y758" s="127"/>
      <c r="Z758" s="127"/>
      <c r="AA758" s="127"/>
    </row>
    <row r="759" customFormat="false" ht="15.75" hidden="false" customHeight="false" outlineLevel="0" collapsed="false">
      <c r="A759" s="127" t="str">
        <f aca="false">IF(ISBLANK(B759),"",B759&amp;"|"&amp;C759)</f>
        <v/>
      </c>
      <c r="B759" s="127"/>
      <c r="C759" s="127"/>
      <c r="D759" s="127"/>
      <c r="E759" s="133"/>
      <c r="F759" s="127"/>
      <c r="G759" s="127"/>
      <c r="H759" s="127"/>
      <c r="I759" s="127"/>
      <c r="J759" s="127"/>
      <c r="K759" s="127"/>
      <c r="L759" s="127"/>
      <c r="M759" s="127"/>
      <c r="N759" s="127"/>
      <c r="O759" s="127"/>
      <c r="P759" s="127"/>
      <c r="Q759" s="127"/>
      <c r="R759" s="127"/>
      <c r="S759" s="127"/>
      <c r="T759" s="127"/>
      <c r="U759" s="127"/>
      <c r="V759" s="127"/>
      <c r="W759" s="127"/>
      <c r="X759" s="127"/>
      <c r="Y759" s="127"/>
      <c r="Z759" s="127"/>
      <c r="AA759" s="127"/>
    </row>
    <row r="760" customFormat="false" ht="15.75" hidden="false" customHeight="false" outlineLevel="0" collapsed="false">
      <c r="A760" s="127" t="str">
        <f aca="false">IF(ISBLANK(B760),"",B760&amp;"|"&amp;C760)</f>
        <v/>
      </c>
      <c r="B760" s="127"/>
      <c r="C760" s="127"/>
      <c r="D760" s="127"/>
      <c r="E760" s="133"/>
      <c r="F760" s="127"/>
      <c r="G760" s="127"/>
      <c r="H760" s="127"/>
      <c r="I760" s="127"/>
      <c r="J760" s="127"/>
      <c r="K760" s="127"/>
      <c r="L760" s="127"/>
      <c r="M760" s="127"/>
      <c r="N760" s="127"/>
      <c r="O760" s="127"/>
      <c r="P760" s="127"/>
      <c r="Q760" s="127"/>
      <c r="R760" s="127"/>
      <c r="S760" s="127"/>
      <c r="T760" s="127"/>
      <c r="U760" s="127"/>
      <c r="V760" s="127"/>
      <c r="W760" s="127"/>
      <c r="X760" s="127"/>
      <c r="Y760" s="127"/>
      <c r="Z760" s="127"/>
      <c r="AA760" s="127"/>
    </row>
    <row r="761" customFormat="false" ht="15.75" hidden="false" customHeight="false" outlineLevel="0" collapsed="false">
      <c r="A761" s="127" t="str">
        <f aca="false">IF(ISBLANK(B761),"",B761&amp;"|"&amp;C761)</f>
        <v/>
      </c>
      <c r="B761" s="127"/>
      <c r="C761" s="127"/>
      <c r="D761" s="127"/>
      <c r="E761" s="133"/>
      <c r="F761" s="127"/>
      <c r="G761" s="127"/>
      <c r="H761" s="127"/>
      <c r="I761" s="127"/>
      <c r="J761" s="127"/>
      <c r="K761" s="127"/>
      <c r="L761" s="127"/>
      <c r="M761" s="127"/>
      <c r="N761" s="127"/>
      <c r="O761" s="127"/>
      <c r="P761" s="127"/>
      <c r="Q761" s="127"/>
      <c r="R761" s="127"/>
      <c r="S761" s="127"/>
      <c r="T761" s="127"/>
      <c r="U761" s="127"/>
      <c r="V761" s="127"/>
      <c r="W761" s="127"/>
      <c r="X761" s="127"/>
      <c r="Y761" s="127"/>
      <c r="Z761" s="127"/>
      <c r="AA761" s="127"/>
    </row>
    <row r="762" customFormat="false" ht="15.75" hidden="false" customHeight="false" outlineLevel="0" collapsed="false">
      <c r="A762" s="127" t="str">
        <f aca="false">IF(ISBLANK(B762),"",B762&amp;"|"&amp;C762)</f>
        <v/>
      </c>
      <c r="B762" s="127"/>
      <c r="C762" s="127"/>
      <c r="D762" s="127"/>
      <c r="E762" s="133"/>
      <c r="F762" s="127"/>
      <c r="G762" s="127"/>
      <c r="H762" s="127"/>
      <c r="I762" s="127"/>
      <c r="J762" s="127"/>
      <c r="K762" s="127"/>
      <c r="L762" s="127"/>
      <c r="M762" s="127"/>
      <c r="N762" s="127"/>
      <c r="O762" s="127"/>
      <c r="P762" s="127"/>
      <c r="Q762" s="127"/>
      <c r="R762" s="127"/>
      <c r="S762" s="127"/>
      <c r="T762" s="127"/>
      <c r="U762" s="127"/>
      <c r="V762" s="127"/>
      <c r="W762" s="127"/>
      <c r="X762" s="127"/>
      <c r="Y762" s="127"/>
      <c r="Z762" s="127"/>
      <c r="AA762" s="127"/>
    </row>
    <row r="763" customFormat="false" ht="15.75" hidden="false" customHeight="false" outlineLevel="0" collapsed="false">
      <c r="A763" s="127" t="str">
        <f aca="false">IF(ISBLANK(B763),"",B763&amp;"|"&amp;C763)</f>
        <v/>
      </c>
      <c r="B763" s="127"/>
      <c r="C763" s="127"/>
      <c r="D763" s="127"/>
      <c r="E763" s="133"/>
      <c r="F763" s="127"/>
      <c r="G763" s="127"/>
      <c r="H763" s="127"/>
      <c r="I763" s="127"/>
      <c r="J763" s="127"/>
      <c r="K763" s="127"/>
      <c r="L763" s="127"/>
      <c r="M763" s="127"/>
      <c r="N763" s="127"/>
      <c r="O763" s="127"/>
      <c r="P763" s="127"/>
      <c r="Q763" s="127"/>
      <c r="R763" s="127"/>
      <c r="S763" s="127"/>
      <c r="T763" s="127"/>
      <c r="U763" s="127"/>
      <c r="V763" s="127"/>
      <c r="W763" s="127"/>
      <c r="X763" s="127"/>
      <c r="Y763" s="127"/>
      <c r="Z763" s="127"/>
      <c r="AA763" s="127"/>
    </row>
    <row r="764" customFormat="false" ht="15.75" hidden="false" customHeight="false" outlineLevel="0" collapsed="false">
      <c r="A764" s="127" t="str">
        <f aca="false">IF(ISBLANK(B764),"",B764&amp;"|"&amp;C764)</f>
        <v/>
      </c>
      <c r="B764" s="127"/>
      <c r="C764" s="127"/>
      <c r="D764" s="127"/>
      <c r="E764" s="133"/>
      <c r="F764" s="127"/>
      <c r="G764" s="127"/>
      <c r="H764" s="127"/>
      <c r="I764" s="127"/>
      <c r="J764" s="127"/>
      <c r="K764" s="127"/>
      <c r="L764" s="127"/>
      <c r="M764" s="127"/>
      <c r="N764" s="127"/>
      <c r="O764" s="127"/>
      <c r="P764" s="127"/>
      <c r="Q764" s="127"/>
      <c r="R764" s="127"/>
      <c r="S764" s="127"/>
      <c r="T764" s="127"/>
      <c r="U764" s="127"/>
      <c r="V764" s="127"/>
      <c r="W764" s="127"/>
      <c r="X764" s="127"/>
      <c r="Y764" s="127"/>
      <c r="Z764" s="127"/>
      <c r="AA764" s="127"/>
    </row>
    <row r="765" customFormat="false" ht="15.75" hidden="false" customHeight="false" outlineLevel="0" collapsed="false">
      <c r="A765" s="127" t="str">
        <f aca="false">IF(ISBLANK(B765),"",B765&amp;"|"&amp;C765)</f>
        <v/>
      </c>
      <c r="B765" s="127"/>
      <c r="C765" s="127"/>
      <c r="D765" s="127"/>
      <c r="E765" s="133"/>
      <c r="F765" s="127"/>
      <c r="G765" s="127"/>
      <c r="H765" s="127"/>
      <c r="I765" s="127"/>
      <c r="J765" s="127"/>
      <c r="K765" s="127"/>
      <c r="L765" s="127"/>
      <c r="M765" s="127"/>
      <c r="N765" s="127"/>
      <c r="O765" s="127"/>
      <c r="P765" s="127"/>
      <c r="Q765" s="127"/>
      <c r="R765" s="127"/>
      <c r="S765" s="127"/>
      <c r="T765" s="127"/>
      <c r="U765" s="127"/>
      <c r="V765" s="127"/>
      <c r="W765" s="127"/>
      <c r="X765" s="127"/>
      <c r="Y765" s="127"/>
      <c r="Z765" s="127"/>
      <c r="AA765" s="127"/>
    </row>
    <row r="766" customFormat="false" ht="15.75" hidden="false" customHeight="false" outlineLevel="0" collapsed="false">
      <c r="A766" s="127" t="str">
        <f aca="false">IF(ISBLANK(B766),"",B766&amp;"|"&amp;C766)</f>
        <v/>
      </c>
      <c r="B766" s="127"/>
      <c r="C766" s="127"/>
      <c r="D766" s="127"/>
      <c r="E766" s="133"/>
      <c r="F766" s="127"/>
      <c r="G766" s="127"/>
      <c r="H766" s="127"/>
      <c r="I766" s="127"/>
      <c r="J766" s="127"/>
      <c r="K766" s="127"/>
      <c r="L766" s="127"/>
      <c r="M766" s="127"/>
      <c r="N766" s="127"/>
      <c r="O766" s="127"/>
      <c r="P766" s="127"/>
      <c r="Q766" s="127"/>
      <c r="R766" s="127"/>
      <c r="S766" s="127"/>
      <c r="T766" s="127"/>
      <c r="U766" s="127"/>
      <c r="V766" s="127"/>
      <c r="W766" s="127"/>
      <c r="X766" s="127"/>
      <c r="Y766" s="127"/>
      <c r="Z766" s="127"/>
      <c r="AA766" s="127"/>
    </row>
    <row r="767" customFormat="false" ht="15.75" hidden="false" customHeight="false" outlineLevel="0" collapsed="false">
      <c r="A767" s="127" t="str">
        <f aca="false">IF(ISBLANK(B767),"",B767&amp;"|"&amp;C767)</f>
        <v/>
      </c>
      <c r="B767" s="127"/>
      <c r="C767" s="127"/>
      <c r="D767" s="127"/>
      <c r="E767" s="133"/>
      <c r="F767" s="127"/>
      <c r="G767" s="127"/>
      <c r="H767" s="127"/>
      <c r="I767" s="127"/>
      <c r="J767" s="127"/>
      <c r="K767" s="127"/>
      <c r="L767" s="127"/>
      <c r="M767" s="127"/>
      <c r="N767" s="127"/>
      <c r="O767" s="127"/>
      <c r="P767" s="127"/>
      <c r="Q767" s="127"/>
      <c r="R767" s="127"/>
      <c r="S767" s="127"/>
      <c r="T767" s="127"/>
      <c r="U767" s="127"/>
      <c r="V767" s="127"/>
      <c r="W767" s="127"/>
      <c r="X767" s="127"/>
      <c r="Y767" s="127"/>
      <c r="Z767" s="127"/>
      <c r="AA767" s="127"/>
    </row>
    <row r="768" customFormat="false" ht="15.75" hidden="false" customHeight="false" outlineLevel="0" collapsed="false">
      <c r="A768" s="127" t="str">
        <f aca="false">IF(ISBLANK(B768),"",B768&amp;"|"&amp;C768)</f>
        <v/>
      </c>
      <c r="B768" s="127"/>
      <c r="C768" s="127"/>
      <c r="D768" s="127"/>
      <c r="E768" s="133"/>
      <c r="F768" s="127"/>
      <c r="G768" s="127"/>
      <c r="H768" s="127"/>
      <c r="I768" s="127"/>
      <c r="J768" s="127"/>
      <c r="K768" s="127"/>
      <c r="L768" s="127"/>
      <c r="M768" s="127"/>
      <c r="N768" s="127"/>
      <c r="O768" s="127"/>
      <c r="P768" s="127"/>
      <c r="Q768" s="127"/>
      <c r="R768" s="127"/>
      <c r="S768" s="127"/>
      <c r="T768" s="127"/>
      <c r="U768" s="127"/>
      <c r="V768" s="127"/>
      <c r="W768" s="127"/>
      <c r="X768" s="127"/>
      <c r="Y768" s="127"/>
      <c r="Z768" s="127"/>
      <c r="AA768" s="127"/>
    </row>
    <row r="769" customFormat="false" ht="15.75" hidden="false" customHeight="false" outlineLevel="0" collapsed="false">
      <c r="A769" s="127" t="str">
        <f aca="false">IF(ISBLANK(B769),"",B769&amp;"|"&amp;C769)</f>
        <v/>
      </c>
      <c r="B769" s="127"/>
      <c r="C769" s="127"/>
      <c r="D769" s="127"/>
      <c r="E769" s="133"/>
      <c r="F769" s="127"/>
      <c r="G769" s="127"/>
      <c r="H769" s="127"/>
      <c r="I769" s="127"/>
      <c r="J769" s="127"/>
      <c r="K769" s="127"/>
      <c r="L769" s="127"/>
      <c r="M769" s="127"/>
      <c r="N769" s="127"/>
      <c r="O769" s="127"/>
      <c r="P769" s="127"/>
      <c r="Q769" s="127"/>
      <c r="R769" s="127"/>
      <c r="S769" s="127"/>
      <c r="T769" s="127"/>
      <c r="U769" s="127"/>
      <c r="V769" s="127"/>
      <c r="W769" s="127"/>
      <c r="X769" s="127"/>
      <c r="Y769" s="127"/>
      <c r="Z769" s="127"/>
      <c r="AA769" s="127"/>
    </row>
    <row r="770" customFormat="false" ht="15.75" hidden="false" customHeight="false" outlineLevel="0" collapsed="false">
      <c r="A770" s="127" t="str">
        <f aca="false">IF(ISBLANK(B770),"",B770&amp;"|"&amp;C770)</f>
        <v/>
      </c>
      <c r="B770" s="127"/>
      <c r="C770" s="127"/>
      <c r="D770" s="127"/>
      <c r="E770" s="133"/>
      <c r="F770" s="127"/>
      <c r="G770" s="127"/>
      <c r="H770" s="127"/>
      <c r="I770" s="127"/>
      <c r="J770" s="127"/>
      <c r="K770" s="127"/>
      <c r="L770" s="127"/>
      <c r="M770" s="127"/>
      <c r="N770" s="127"/>
      <c r="O770" s="127"/>
      <c r="P770" s="127"/>
      <c r="Q770" s="127"/>
      <c r="R770" s="127"/>
      <c r="S770" s="127"/>
      <c r="T770" s="127"/>
      <c r="U770" s="127"/>
      <c r="V770" s="127"/>
      <c r="W770" s="127"/>
      <c r="X770" s="127"/>
      <c r="Y770" s="127"/>
      <c r="Z770" s="127"/>
      <c r="AA770" s="127"/>
    </row>
    <row r="771" customFormat="false" ht="15.75" hidden="false" customHeight="false" outlineLevel="0" collapsed="false">
      <c r="A771" s="127" t="str">
        <f aca="false">IF(ISBLANK(B771),"",B771&amp;"|"&amp;C771)</f>
        <v/>
      </c>
      <c r="B771" s="127"/>
      <c r="C771" s="127"/>
      <c r="D771" s="127"/>
      <c r="E771" s="133"/>
      <c r="F771" s="127"/>
      <c r="G771" s="127"/>
      <c r="H771" s="127"/>
      <c r="I771" s="127"/>
      <c r="J771" s="127"/>
      <c r="K771" s="127"/>
      <c r="L771" s="127"/>
      <c r="M771" s="127"/>
      <c r="N771" s="127"/>
      <c r="O771" s="127"/>
      <c r="P771" s="127"/>
      <c r="Q771" s="127"/>
      <c r="R771" s="127"/>
      <c r="S771" s="127"/>
      <c r="T771" s="127"/>
      <c r="U771" s="127"/>
      <c r="V771" s="127"/>
      <c r="W771" s="127"/>
      <c r="X771" s="127"/>
      <c r="Y771" s="127"/>
      <c r="Z771" s="127"/>
      <c r="AA771" s="127"/>
    </row>
    <row r="772" customFormat="false" ht="15.75" hidden="false" customHeight="false" outlineLevel="0" collapsed="false">
      <c r="A772" s="127" t="str">
        <f aca="false">IF(ISBLANK(B772),"",B772&amp;"|"&amp;C772)</f>
        <v/>
      </c>
      <c r="B772" s="127"/>
      <c r="C772" s="127"/>
      <c r="D772" s="127"/>
      <c r="E772" s="133"/>
      <c r="F772" s="127"/>
      <c r="G772" s="127"/>
      <c r="H772" s="127"/>
      <c r="I772" s="127"/>
      <c r="J772" s="127"/>
      <c r="K772" s="127"/>
      <c r="L772" s="127"/>
      <c r="M772" s="127"/>
      <c r="N772" s="127"/>
      <c r="O772" s="127"/>
      <c r="P772" s="127"/>
      <c r="Q772" s="127"/>
      <c r="R772" s="127"/>
      <c r="S772" s="127"/>
      <c r="T772" s="127"/>
      <c r="U772" s="127"/>
      <c r="V772" s="127"/>
      <c r="W772" s="127"/>
      <c r="X772" s="127"/>
      <c r="Y772" s="127"/>
      <c r="Z772" s="127"/>
      <c r="AA772" s="127"/>
    </row>
    <row r="773" customFormat="false" ht="15.75" hidden="false" customHeight="false" outlineLevel="0" collapsed="false">
      <c r="A773" s="127" t="str">
        <f aca="false">IF(ISBLANK(B773),"",B773&amp;"|"&amp;C773)</f>
        <v/>
      </c>
      <c r="B773" s="127"/>
      <c r="C773" s="127"/>
      <c r="D773" s="127"/>
      <c r="E773" s="133"/>
      <c r="F773" s="127"/>
      <c r="G773" s="127"/>
      <c r="H773" s="127"/>
      <c r="I773" s="127"/>
      <c r="J773" s="127"/>
      <c r="K773" s="127"/>
      <c r="L773" s="127"/>
      <c r="M773" s="127"/>
      <c r="N773" s="127"/>
      <c r="O773" s="127"/>
      <c r="P773" s="127"/>
      <c r="Q773" s="127"/>
      <c r="R773" s="127"/>
      <c r="S773" s="127"/>
      <c r="T773" s="127"/>
      <c r="U773" s="127"/>
      <c r="V773" s="127"/>
      <c r="W773" s="127"/>
      <c r="X773" s="127"/>
      <c r="Y773" s="127"/>
      <c r="Z773" s="127"/>
      <c r="AA773" s="127"/>
    </row>
    <row r="774" customFormat="false" ht="15.75" hidden="false" customHeight="false" outlineLevel="0" collapsed="false">
      <c r="A774" s="127" t="str">
        <f aca="false">IF(ISBLANK(B774),"",B774&amp;"|"&amp;C774)</f>
        <v/>
      </c>
      <c r="B774" s="127"/>
      <c r="C774" s="127"/>
      <c r="D774" s="127"/>
      <c r="E774" s="133"/>
      <c r="F774" s="127"/>
      <c r="G774" s="127"/>
      <c r="H774" s="127"/>
      <c r="I774" s="127"/>
      <c r="J774" s="127"/>
      <c r="K774" s="127"/>
      <c r="L774" s="127"/>
      <c r="M774" s="127"/>
      <c r="N774" s="127"/>
      <c r="O774" s="127"/>
      <c r="P774" s="127"/>
      <c r="Q774" s="127"/>
      <c r="R774" s="127"/>
      <c r="S774" s="127"/>
      <c r="T774" s="127"/>
      <c r="U774" s="127"/>
      <c r="V774" s="127"/>
      <c r="W774" s="127"/>
      <c r="X774" s="127"/>
      <c r="Y774" s="127"/>
      <c r="Z774" s="127"/>
      <c r="AA774" s="127"/>
    </row>
    <row r="775" customFormat="false" ht="15.75" hidden="false" customHeight="false" outlineLevel="0" collapsed="false">
      <c r="A775" s="127" t="str">
        <f aca="false">IF(ISBLANK(B775),"",B775&amp;"|"&amp;C775)</f>
        <v/>
      </c>
      <c r="B775" s="127"/>
      <c r="C775" s="127"/>
      <c r="D775" s="127"/>
      <c r="E775" s="133"/>
      <c r="F775" s="127"/>
      <c r="G775" s="127"/>
      <c r="H775" s="127"/>
      <c r="I775" s="127"/>
      <c r="J775" s="127"/>
      <c r="K775" s="127"/>
      <c r="L775" s="127"/>
      <c r="M775" s="127"/>
      <c r="N775" s="127"/>
      <c r="O775" s="127"/>
      <c r="P775" s="127"/>
      <c r="Q775" s="127"/>
      <c r="R775" s="127"/>
      <c r="S775" s="127"/>
      <c r="T775" s="127"/>
      <c r="U775" s="127"/>
      <c r="V775" s="127"/>
      <c r="W775" s="127"/>
      <c r="X775" s="127"/>
      <c r="Y775" s="127"/>
      <c r="Z775" s="127"/>
      <c r="AA775" s="127"/>
    </row>
    <row r="776" customFormat="false" ht="15.75" hidden="false" customHeight="false" outlineLevel="0" collapsed="false">
      <c r="A776" s="127" t="str">
        <f aca="false">IF(ISBLANK(B776),"",B776&amp;"|"&amp;C776)</f>
        <v/>
      </c>
      <c r="B776" s="127"/>
      <c r="C776" s="127"/>
      <c r="D776" s="127"/>
      <c r="E776" s="133"/>
      <c r="F776" s="127"/>
      <c r="G776" s="127"/>
      <c r="H776" s="127"/>
      <c r="I776" s="127"/>
      <c r="J776" s="127"/>
      <c r="K776" s="127"/>
      <c r="L776" s="127"/>
      <c r="M776" s="127"/>
      <c r="N776" s="127"/>
      <c r="O776" s="127"/>
      <c r="P776" s="127"/>
      <c r="Q776" s="127"/>
      <c r="R776" s="127"/>
      <c r="S776" s="127"/>
      <c r="T776" s="127"/>
      <c r="U776" s="127"/>
      <c r="V776" s="127"/>
      <c r="W776" s="127"/>
      <c r="X776" s="127"/>
      <c r="Y776" s="127"/>
      <c r="Z776" s="127"/>
      <c r="AA776" s="127"/>
    </row>
    <row r="777" customFormat="false" ht="15.75" hidden="false" customHeight="false" outlineLevel="0" collapsed="false">
      <c r="A777" s="127" t="str">
        <f aca="false">IF(ISBLANK(B777),"",B777&amp;"|"&amp;C777)</f>
        <v/>
      </c>
      <c r="B777" s="127"/>
      <c r="C777" s="127"/>
      <c r="D777" s="127"/>
      <c r="E777" s="133"/>
      <c r="F777" s="127"/>
      <c r="G777" s="127"/>
      <c r="H777" s="127"/>
      <c r="I777" s="127"/>
      <c r="J777" s="127"/>
      <c r="K777" s="127"/>
      <c r="L777" s="127"/>
      <c r="M777" s="127"/>
      <c r="N777" s="127"/>
      <c r="O777" s="127"/>
      <c r="P777" s="127"/>
      <c r="Q777" s="127"/>
      <c r="R777" s="127"/>
      <c r="S777" s="127"/>
      <c r="T777" s="127"/>
      <c r="U777" s="127"/>
      <c r="V777" s="127"/>
      <c r="W777" s="127"/>
      <c r="X777" s="127"/>
      <c r="Y777" s="127"/>
      <c r="Z777" s="127"/>
      <c r="AA777" s="127"/>
    </row>
    <row r="778" customFormat="false" ht="15.75" hidden="false" customHeight="false" outlineLevel="0" collapsed="false">
      <c r="A778" s="127" t="str">
        <f aca="false">IF(ISBLANK(B778),"",B778&amp;"|"&amp;C778)</f>
        <v/>
      </c>
      <c r="B778" s="127"/>
      <c r="C778" s="127"/>
      <c r="D778" s="127"/>
      <c r="E778" s="133"/>
      <c r="F778" s="127"/>
      <c r="G778" s="127"/>
      <c r="H778" s="127"/>
      <c r="I778" s="127"/>
      <c r="J778" s="127"/>
      <c r="K778" s="127"/>
      <c r="L778" s="127"/>
      <c r="M778" s="127"/>
      <c r="N778" s="127"/>
      <c r="O778" s="127"/>
      <c r="P778" s="127"/>
      <c r="Q778" s="127"/>
      <c r="R778" s="127"/>
      <c r="S778" s="127"/>
      <c r="T778" s="127"/>
      <c r="U778" s="127"/>
      <c r="V778" s="127"/>
      <c r="W778" s="127"/>
      <c r="X778" s="127"/>
      <c r="Y778" s="127"/>
      <c r="Z778" s="127"/>
      <c r="AA778" s="127"/>
    </row>
    <row r="779" customFormat="false" ht="15.75" hidden="false" customHeight="false" outlineLevel="0" collapsed="false">
      <c r="A779" s="127" t="str">
        <f aca="false">IF(ISBLANK(B779),"",B779&amp;"|"&amp;C779)</f>
        <v/>
      </c>
      <c r="B779" s="127"/>
      <c r="C779" s="127"/>
      <c r="D779" s="127"/>
      <c r="E779" s="133"/>
      <c r="F779" s="127"/>
      <c r="G779" s="127"/>
      <c r="H779" s="127"/>
      <c r="I779" s="127"/>
      <c r="J779" s="127"/>
      <c r="K779" s="127"/>
      <c r="L779" s="127"/>
      <c r="M779" s="127"/>
      <c r="N779" s="127"/>
      <c r="O779" s="127"/>
      <c r="P779" s="127"/>
      <c r="Q779" s="127"/>
      <c r="R779" s="127"/>
      <c r="S779" s="127"/>
      <c r="T779" s="127"/>
      <c r="U779" s="127"/>
      <c r="V779" s="127"/>
      <c r="W779" s="127"/>
      <c r="X779" s="127"/>
      <c r="Y779" s="127"/>
      <c r="Z779" s="127"/>
      <c r="AA779" s="127"/>
    </row>
    <row r="780" customFormat="false" ht="15.75" hidden="false" customHeight="false" outlineLevel="0" collapsed="false">
      <c r="A780" s="127" t="str">
        <f aca="false">IF(ISBLANK(B780),"",B780&amp;"|"&amp;C780)</f>
        <v/>
      </c>
      <c r="B780" s="127"/>
      <c r="C780" s="127"/>
      <c r="D780" s="127"/>
      <c r="E780" s="133"/>
      <c r="F780" s="127"/>
      <c r="G780" s="127"/>
      <c r="H780" s="127"/>
      <c r="I780" s="127"/>
      <c r="J780" s="127"/>
      <c r="K780" s="127"/>
      <c r="L780" s="127"/>
      <c r="M780" s="127"/>
      <c r="N780" s="127"/>
      <c r="O780" s="127"/>
      <c r="P780" s="127"/>
      <c r="Q780" s="127"/>
      <c r="R780" s="127"/>
      <c r="S780" s="127"/>
      <c r="T780" s="127"/>
      <c r="U780" s="127"/>
      <c r="V780" s="127"/>
      <c r="W780" s="127"/>
      <c r="X780" s="127"/>
      <c r="Y780" s="127"/>
      <c r="Z780" s="127"/>
      <c r="AA780" s="127"/>
    </row>
    <row r="781" customFormat="false" ht="15.75" hidden="false" customHeight="false" outlineLevel="0" collapsed="false">
      <c r="A781" s="127" t="str">
        <f aca="false">IF(ISBLANK(B781),"",B781&amp;"|"&amp;C781)</f>
        <v/>
      </c>
      <c r="B781" s="127"/>
      <c r="C781" s="127"/>
      <c r="D781" s="127"/>
      <c r="E781" s="133"/>
      <c r="F781" s="127"/>
      <c r="G781" s="127"/>
      <c r="H781" s="127"/>
      <c r="I781" s="127"/>
      <c r="J781" s="127"/>
      <c r="K781" s="127"/>
      <c r="L781" s="127"/>
      <c r="M781" s="127"/>
      <c r="N781" s="127"/>
      <c r="O781" s="127"/>
      <c r="P781" s="127"/>
      <c r="Q781" s="127"/>
      <c r="R781" s="127"/>
      <c r="S781" s="127"/>
      <c r="T781" s="127"/>
      <c r="U781" s="127"/>
      <c r="V781" s="127"/>
      <c r="W781" s="127"/>
      <c r="X781" s="127"/>
      <c r="Y781" s="127"/>
      <c r="Z781" s="127"/>
      <c r="AA781" s="127"/>
    </row>
    <row r="782" customFormat="false" ht="15.75" hidden="false" customHeight="false" outlineLevel="0" collapsed="false">
      <c r="A782" s="127" t="str">
        <f aca="false">IF(ISBLANK(B782),"",B782&amp;"|"&amp;C782)</f>
        <v/>
      </c>
      <c r="B782" s="127"/>
      <c r="C782" s="127"/>
      <c r="D782" s="127"/>
      <c r="E782" s="133"/>
      <c r="F782" s="127"/>
      <c r="G782" s="127"/>
      <c r="H782" s="127"/>
      <c r="I782" s="127"/>
      <c r="J782" s="127"/>
      <c r="K782" s="127"/>
      <c r="L782" s="127"/>
      <c r="M782" s="127"/>
      <c r="N782" s="127"/>
      <c r="O782" s="127"/>
      <c r="P782" s="127"/>
      <c r="Q782" s="127"/>
      <c r="R782" s="127"/>
      <c r="S782" s="127"/>
      <c r="T782" s="127"/>
      <c r="U782" s="127"/>
      <c r="V782" s="127"/>
      <c r="W782" s="127"/>
      <c r="X782" s="127"/>
      <c r="Y782" s="127"/>
      <c r="Z782" s="127"/>
      <c r="AA782" s="127"/>
    </row>
    <row r="783" customFormat="false" ht="15.75" hidden="false" customHeight="false" outlineLevel="0" collapsed="false">
      <c r="A783" s="127" t="str">
        <f aca="false">IF(ISBLANK(B783),"",B783&amp;"|"&amp;C783)</f>
        <v/>
      </c>
      <c r="B783" s="127"/>
      <c r="C783" s="127"/>
      <c r="D783" s="127"/>
      <c r="E783" s="133"/>
      <c r="F783" s="127"/>
      <c r="G783" s="127"/>
      <c r="H783" s="127"/>
      <c r="I783" s="127"/>
      <c r="J783" s="127"/>
      <c r="K783" s="127"/>
      <c r="L783" s="127"/>
      <c r="M783" s="127"/>
      <c r="N783" s="127"/>
      <c r="O783" s="127"/>
      <c r="P783" s="127"/>
      <c r="Q783" s="127"/>
      <c r="R783" s="127"/>
      <c r="S783" s="127"/>
      <c r="T783" s="127"/>
      <c r="U783" s="127"/>
      <c r="V783" s="127"/>
      <c r="W783" s="127"/>
      <c r="X783" s="127"/>
      <c r="Y783" s="127"/>
      <c r="Z783" s="127"/>
      <c r="AA783" s="127"/>
    </row>
    <row r="784" customFormat="false" ht="15.75" hidden="false" customHeight="false" outlineLevel="0" collapsed="false">
      <c r="A784" s="127" t="str">
        <f aca="false">IF(ISBLANK(B784),"",B784&amp;"|"&amp;C784)</f>
        <v/>
      </c>
      <c r="B784" s="127"/>
      <c r="C784" s="127"/>
      <c r="D784" s="127"/>
      <c r="E784" s="133"/>
      <c r="F784" s="127"/>
      <c r="G784" s="127"/>
      <c r="H784" s="127"/>
      <c r="I784" s="127"/>
      <c r="J784" s="127"/>
      <c r="K784" s="127"/>
      <c r="L784" s="127"/>
      <c r="M784" s="127"/>
      <c r="N784" s="127"/>
      <c r="O784" s="127"/>
      <c r="P784" s="127"/>
      <c r="Q784" s="127"/>
      <c r="R784" s="127"/>
      <c r="S784" s="127"/>
      <c r="T784" s="127"/>
      <c r="U784" s="127"/>
      <c r="V784" s="127"/>
      <c r="W784" s="127"/>
      <c r="X784" s="127"/>
      <c r="Y784" s="127"/>
      <c r="Z784" s="127"/>
      <c r="AA784" s="127"/>
    </row>
    <row r="785" customFormat="false" ht="15.75" hidden="false" customHeight="false" outlineLevel="0" collapsed="false">
      <c r="A785" s="127" t="str">
        <f aca="false">IF(ISBLANK(B785),"",B785&amp;"|"&amp;C785)</f>
        <v/>
      </c>
      <c r="B785" s="127"/>
      <c r="C785" s="127"/>
      <c r="D785" s="127"/>
      <c r="E785" s="133"/>
      <c r="F785" s="127"/>
      <c r="G785" s="127"/>
      <c r="H785" s="127"/>
      <c r="I785" s="127"/>
      <c r="J785" s="127"/>
      <c r="K785" s="127"/>
      <c r="L785" s="127"/>
      <c r="M785" s="127"/>
      <c r="N785" s="127"/>
      <c r="O785" s="127"/>
      <c r="P785" s="127"/>
      <c r="Q785" s="127"/>
      <c r="R785" s="127"/>
      <c r="S785" s="127"/>
      <c r="T785" s="127"/>
      <c r="U785" s="127"/>
      <c r="V785" s="127"/>
      <c r="W785" s="127"/>
      <c r="X785" s="127"/>
      <c r="Y785" s="127"/>
      <c r="Z785" s="127"/>
      <c r="AA785" s="127"/>
    </row>
    <row r="786" customFormat="false" ht="15.75" hidden="false" customHeight="false" outlineLevel="0" collapsed="false">
      <c r="A786" s="127" t="str">
        <f aca="false">IF(ISBLANK(B786),"",B786&amp;"|"&amp;C786)</f>
        <v/>
      </c>
      <c r="B786" s="127"/>
      <c r="C786" s="127"/>
      <c r="D786" s="127"/>
      <c r="E786" s="133"/>
      <c r="F786" s="127"/>
      <c r="G786" s="127"/>
      <c r="H786" s="127"/>
      <c r="I786" s="127"/>
      <c r="J786" s="127"/>
      <c r="K786" s="127"/>
      <c r="L786" s="127"/>
      <c r="M786" s="127"/>
      <c r="N786" s="127"/>
      <c r="O786" s="127"/>
      <c r="P786" s="127"/>
      <c r="Q786" s="127"/>
      <c r="R786" s="127"/>
      <c r="S786" s="127"/>
      <c r="T786" s="127"/>
      <c r="U786" s="127"/>
      <c r="V786" s="127"/>
      <c r="W786" s="127"/>
      <c r="X786" s="127"/>
      <c r="Y786" s="127"/>
      <c r="Z786" s="127"/>
      <c r="AA786" s="127"/>
    </row>
    <row r="787" customFormat="false" ht="15.75" hidden="false" customHeight="false" outlineLevel="0" collapsed="false">
      <c r="A787" s="127" t="str">
        <f aca="false">IF(ISBLANK(B787),"",B787&amp;"|"&amp;C787)</f>
        <v/>
      </c>
      <c r="B787" s="127"/>
      <c r="C787" s="127"/>
      <c r="D787" s="127"/>
      <c r="E787" s="133"/>
      <c r="F787" s="127"/>
      <c r="G787" s="127"/>
      <c r="H787" s="127"/>
      <c r="I787" s="127"/>
      <c r="J787" s="127"/>
      <c r="K787" s="127"/>
      <c r="L787" s="127"/>
      <c r="M787" s="127"/>
      <c r="N787" s="127"/>
      <c r="O787" s="127"/>
      <c r="P787" s="127"/>
      <c r="Q787" s="127"/>
      <c r="R787" s="127"/>
      <c r="S787" s="127"/>
      <c r="T787" s="127"/>
      <c r="U787" s="127"/>
      <c r="V787" s="127"/>
      <c r="W787" s="127"/>
      <c r="X787" s="127"/>
      <c r="Y787" s="127"/>
      <c r="Z787" s="127"/>
      <c r="AA787" s="127"/>
    </row>
    <row r="788" customFormat="false" ht="15.75" hidden="false" customHeight="false" outlineLevel="0" collapsed="false">
      <c r="A788" s="127" t="str">
        <f aca="false">IF(ISBLANK(B788),"",B788&amp;"|"&amp;C788)</f>
        <v/>
      </c>
      <c r="B788" s="127"/>
      <c r="C788" s="127"/>
      <c r="D788" s="127"/>
      <c r="E788" s="133"/>
      <c r="F788" s="127"/>
      <c r="G788" s="127"/>
      <c r="H788" s="127"/>
      <c r="I788" s="127"/>
      <c r="J788" s="127"/>
      <c r="K788" s="127"/>
      <c r="L788" s="127"/>
      <c r="M788" s="127"/>
      <c r="N788" s="127"/>
      <c r="O788" s="127"/>
      <c r="P788" s="127"/>
      <c r="Q788" s="127"/>
      <c r="R788" s="127"/>
      <c r="S788" s="127"/>
      <c r="T788" s="127"/>
      <c r="U788" s="127"/>
      <c r="V788" s="127"/>
      <c r="W788" s="127"/>
      <c r="X788" s="127"/>
      <c r="Y788" s="127"/>
      <c r="Z788" s="127"/>
      <c r="AA788" s="127"/>
    </row>
    <row r="789" customFormat="false" ht="15.75" hidden="false" customHeight="false" outlineLevel="0" collapsed="false">
      <c r="A789" s="127" t="str">
        <f aca="false">IF(ISBLANK(B789),"",B789&amp;"|"&amp;C789)</f>
        <v/>
      </c>
      <c r="B789" s="127"/>
      <c r="C789" s="127"/>
      <c r="D789" s="127"/>
      <c r="E789" s="133"/>
      <c r="F789" s="127"/>
      <c r="G789" s="127"/>
      <c r="H789" s="127"/>
      <c r="I789" s="127"/>
      <c r="J789" s="127"/>
      <c r="K789" s="127"/>
      <c r="L789" s="127"/>
      <c r="M789" s="127"/>
      <c r="N789" s="127"/>
      <c r="O789" s="127"/>
      <c r="P789" s="127"/>
      <c r="Q789" s="127"/>
      <c r="R789" s="127"/>
      <c r="S789" s="127"/>
      <c r="T789" s="127"/>
      <c r="U789" s="127"/>
      <c r="V789" s="127"/>
      <c r="W789" s="127"/>
      <c r="X789" s="127"/>
      <c r="Y789" s="127"/>
      <c r="Z789" s="127"/>
      <c r="AA789" s="127"/>
    </row>
    <row r="790" customFormat="false" ht="15.75" hidden="false" customHeight="false" outlineLevel="0" collapsed="false">
      <c r="A790" s="127" t="str">
        <f aca="false">IF(ISBLANK(B790),"",B790&amp;"|"&amp;C790)</f>
        <v/>
      </c>
      <c r="B790" s="127"/>
      <c r="C790" s="127"/>
      <c r="D790" s="127"/>
      <c r="E790" s="133"/>
      <c r="F790" s="127"/>
      <c r="G790" s="127"/>
      <c r="H790" s="127"/>
      <c r="I790" s="127"/>
      <c r="J790" s="127"/>
      <c r="K790" s="127"/>
      <c r="L790" s="127"/>
      <c r="M790" s="127"/>
      <c r="N790" s="127"/>
      <c r="O790" s="127"/>
      <c r="P790" s="127"/>
      <c r="Q790" s="127"/>
      <c r="R790" s="127"/>
      <c r="S790" s="127"/>
      <c r="T790" s="127"/>
      <c r="U790" s="127"/>
      <c r="V790" s="127"/>
      <c r="W790" s="127"/>
      <c r="X790" s="127"/>
      <c r="Y790" s="127"/>
      <c r="Z790" s="127"/>
      <c r="AA790" s="127"/>
    </row>
    <row r="791" customFormat="false" ht="15.75" hidden="false" customHeight="false" outlineLevel="0" collapsed="false">
      <c r="A791" s="127" t="str">
        <f aca="false">IF(ISBLANK(B791),"",B791&amp;"|"&amp;C791)</f>
        <v/>
      </c>
      <c r="B791" s="127"/>
      <c r="C791" s="127"/>
      <c r="D791" s="127"/>
      <c r="E791" s="133"/>
      <c r="F791" s="127"/>
      <c r="G791" s="127"/>
      <c r="H791" s="127"/>
      <c r="I791" s="127"/>
      <c r="J791" s="127"/>
      <c r="K791" s="127"/>
      <c r="L791" s="127"/>
      <c r="M791" s="127"/>
      <c r="N791" s="127"/>
      <c r="O791" s="127"/>
      <c r="P791" s="127"/>
      <c r="Q791" s="127"/>
      <c r="R791" s="127"/>
      <c r="S791" s="127"/>
      <c r="T791" s="127"/>
      <c r="U791" s="127"/>
      <c r="V791" s="127"/>
      <c r="W791" s="127"/>
      <c r="X791" s="127"/>
      <c r="Y791" s="127"/>
      <c r="Z791" s="127"/>
      <c r="AA791" s="127"/>
    </row>
    <row r="792" customFormat="false" ht="15.75" hidden="false" customHeight="false" outlineLevel="0" collapsed="false">
      <c r="A792" s="127" t="str">
        <f aca="false">IF(ISBLANK(B792),"",B792&amp;"|"&amp;C792)</f>
        <v/>
      </c>
      <c r="B792" s="127"/>
      <c r="C792" s="127"/>
      <c r="D792" s="127"/>
      <c r="E792" s="133"/>
      <c r="F792" s="127"/>
      <c r="G792" s="127"/>
      <c r="H792" s="127"/>
      <c r="I792" s="127"/>
      <c r="J792" s="127"/>
      <c r="K792" s="127"/>
      <c r="L792" s="127"/>
      <c r="M792" s="127"/>
      <c r="N792" s="127"/>
      <c r="O792" s="127"/>
      <c r="P792" s="127"/>
      <c r="Q792" s="127"/>
      <c r="R792" s="127"/>
      <c r="S792" s="127"/>
      <c r="T792" s="127"/>
      <c r="U792" s="127"/>
      <c r="V792" s="127"/>
      <c r="W792" s="127"/>
      <c r="X792" s="127"/>
      <c r="Y792" s="127"/>
      <c r="Z792" s="127"/>
      <c r="AA792" s="127"/>
    </row>
    <row r="793" customFormat="false" ht="15.75" hidden="false" customHeight="false" outlineLevel="0" collapsed="false">
      <c r="A793" s="127" t="str">
        <f aca="false">IF(ISBLANK(B793),"",B793&amp;"|"&amp;C793)</f>
        <v/>
      </c>
      <c r="B793" s="127"/>
      <c r="C793" s="127"/>
      <c r="D793" s="127"/>
      <c r="E793" s="133"/>
      <c r="F793" s="127"/>
      <c r="G793" s="127"/>
      <c r="H793" s="127"/>
      <c r="I793" s="127"/>
      <c r="J793" s="127"/>
      <c r="K793" s="127"/>
      <c r="L793" s="127"/>
      <c r="M793" s="127"/>
      <c r="N793" s="127"/>
      <c r="O793" s="127"/>
      <c r="P793" s="127"/>
      <c r="Q793" s="127"/>
      <c r="R793" s="127"/>
      <c r="S793" s="127"/>
      <c r="T793" s="127"/>
      <c r="U793" s="127"/>
      <c r="V793" s="127"/>
      <c r="W793" s="127"/>
      <c r="X793" s="127"/>
      <c r="Y793" s="127"/>
      <c r="Z793" s="127"/>
      <c r="AA793" s="127"/>
    </row>
    <row r="794" customFormat="false" ht="15.75" hidden="false" customHeight="false" outlineLevel="0" collapsed="false">
      <c r="A794" s="127" t="str">
        <f aca="false">IF(ISBLANK(B794),"",B794&amp;"|"&amp;C794)</f>
        <v/>
      </c>
      <c r="B794" s="127"/>
      <c r="C794" s="127"/>
      <c r="D794" s="127"/>
      <c r="E794" s="133"/>
      <c r="F794" s="127"/>
      <c r="G794" s="127"/>
      <c r="H794" s="127"/>
      <c r="I794" s="127"/>
      <c r="J794" s="127"/>
      <c r="K794" s="127"/>
      <c r="L794" s="127"/>
      <c r="M794" s="127"/>
      <c r="N794" s="127"/>
      <c r="O794" s="127"/>
      <c r="P794" s="127"/>
      <c r="Q794" s="127"/>
      <c r="R794" s="127"/>
      <c r="S794" s="127"/>
      <c r="T794" s="127"/>
      <c r="U794" s="127"/>
      <c r="V794" s="127"/>
      <c r="W794" s="127"/>
      <c r="X794" s="127"/>
      <c r="Y794" s="127"/>
      <c r="Z794" s="127"/>
      <c r="AA794" s="127"/>
    </row>
    <row r="795" customFormat="false" ht="15.75" hidden="false" customHeight="false" outlineLevel="0" collapsed="false">
      <c r="A795" s="127" t="str">
        <f aca="false">IF(ISBLANK(B795),"",B795&amp;"|"&amp;C795)</f>
        <v/>
      </c>
      <c r="B795" s="127"/>
      <c r="C795" s="127"/>
      <c r="D795" s="127"/>
      <c r="E795" s="133"/>
      <c r="F795" s="127"/>
      <c r="G795" s="127"/>
      <c r="H795" s="127"/>
      <c r="I795" s="127"/>
      <c r="J795" s="127"/>
      <c r="K795" s="127"/>
      <c r="L795" s="127"/>
      <c r="M795" s="127"/>
      <c r="N795" s="127"/>
      <c r="O795" s="127"/>
      <c r="P795" s="127"/>
      <c r="Q795" s="127"/>
      <c r="R795" s="127"/>
      <c r="S795" s="127"/>
      <c r="T795" s="127"/>
      <c r="U795" s="127"/>
      <c r="V795" s="127"/>
      <c r="W795" s="127"/>
      <c r="X795" s="127"/>
      <c r="Y795" s="127"/>
      <c r="Z795" s="127"/>
      <c r="AA795" s="127"/>
    </row>
    <row r="796" customFormat="false" ht="15.75" hidden="false" customHeight="false" outlineLevel="0" collapsed="false">
      <c r="A796" s="127" t="str">
        <f aca="false">IF(ISBLANK(B796),"",B796&amp;"|"&amp;C796)</f>
        <v/>
      </c>
      <c r="B796" s="127"/>
      <c r="C796" s="127"/>
      <c r="D796" s="127"/>
      <c r="E796" s="133"/>
      <c r="F796" s="127"/>
      <c r="G796" s="127"/>
      <c r="H796" s="127"/>
      <c r="I796" s="127"/>
      <c r="J796" s="127"/>
      <c r="K796" s="127"/>
      <c r="L796" s="127"/>
      <c r="M796" s="127"/>
      <c r="N796" s="127"/>
      <c r="O796" s="127"/>
      <c r="P796" s="127"/>
      <c r="Q796" s="127"/>
      <c r="R796" s="127"/>
      <c r="S796" s="127"/>
      <c r="T796" s="127"/>
      <c r="U796" s="127"/>
      <c r="V796" s="127"/>
      <c r="W796" s="127"/>
      <c r="X796" s="127"/>
      <c r="Y796" s="127"/>
      <c r="Z796" s="127"/>
      <c r="AA796" s="127"/>
    </row>
    <row r="797" customFormat="false" ht="15.75" hidden="false" customHeight="false" outlineLevel="0" collapsed="false">
      <c r="A797" s="127" t="str">
        <f aca="false">IF(ISBLANK(B797),"",B797&amp;"|"&amp;C797)</f>
        <v/>
      </c>
      <c r="B797" s="127"/>
      <c r="C797" s="127"/>
      <c r="D797" s="127"/>
      <c r="E797" s="133"/>
      <c r="F797" s="127"/>
      <c r="G797" s="127"/>
      <c r="H797" s="127"/>
      <c r="I797" s="127"/>
      <c r="J797" s="127"/>
      <c r="K797" s="127"/>
      <c r="L797" s="127"/>
      <c r="M797" s="127"/>
      <c r="N797" s="127"/>
      <c r="O797" s="127"/>
      <c r="P797" s="127"/>
      <c r="Q797" s="127"/>
      <c r="R797" s="127"/>
      <c r="S797" s="127"/>
      <c r="T797" s="127"/>
      <c r="U797" s="127"/>
      <c r="V797" s="127"/>
      <c r="W797" s="127"/>
      <c r="X797" s="127"/>
      <c r="Y797" s="127"/>
      <c r="Z797" s="127"/>
      <c r="AA797" s="127"/>
    </row>
    <row r="798" customFormat="false" ht="15.75" hidden="false" customHeight="false" outlineLevel="0" collapsed="false">
      <c r="A798" s="127" t="str">
        <f aca="false">IF(ISBLANK(B798),"",B798&amp;"|"&amp;C798)</f>
        <v/>
      </c>
      <c r="B798" s="127"/>
      <c r="C798" s="127"/>
      <c r="D798" s="127"/>
      <c r="E798" s="133"/>
      <c r="F798" s="127"/>
      <c r="G798" s="127"/>
      <c r="H798" s="127"/>
      <c r="I798" s="127"/>
      <c r="J798" s="127"/>
      <c r="K798" s="127"/>
      <c r="L798" s="127"/>
      <c r="M798" s="127"/>
      <c r="N798" s="127"/>
      <c r="O798" s="127"/>
      <c r="P798" s="127"/>
      <c r="Q798" s="127"/>
      <c r="R798" s="127"/>
      <c r="S798" s="127"/>
      <c r="T798" s="127"/>
      <c r="U798" s="127"/>
      <c r="V798" s="127"/>
      <c r="W798" s="127"/>
      <c r="X798" s="127"/>
      <c r="Y798" s="127"/>
      <c r="Z798" s="127"/>
      <c r="AA798" s="127"/>
    </row>
    <row r="799" customFormat="false" ht="15.75" hidden="false" customHeight="false" outlineLevel="0" collapsed="false">
      <c r="A799" s="127" t="str">
        <f aca="false">IF(ISBLANK(B799),"",B799&amp;"|"&amp;C799)</f>
        <v/>
      </c>
      <c r="B799" s="127"/>
      <c r="C799" s="127"/>
      <c r="D799" s="127"/>
      <c r="E799" s="133"/>
      <c r="F799" s="127"/>
      <c r="G799" s="127"/>
      <c r="H799" s="127"/>
      <c r="I799" s="127"/>
      <c r="J799" s="127"/>
      <c r="K799" s="127"/>
      <c r="L799" s="127"/>
      <c r="M799" s="127"/>
      <c r="N799" s="127"/>
      <c r="O799" s="127"/>
      <c r="P799" s="127"/>
      <c r="Q799" s="127"/>
      <c r="R799" s="127"/>
      <c r="S799" s="127"/>
      <c r="T799" s="127"/>
      <c r="U799" s="127"/>
      <c r="V799" s="127"/>
      <c r="W799" s="127"/>
      <c r="X799" s="127"/>
      <c r="Y799" s="127"/>
      <c r="Z799" s="127"/>
      <c r="AA799" s="127"/>
    </row>
    <row r="800" customFormat="false" ht="15.75" hidden="false" customHeight="false" outlineLevel="0" collapsed="false">
      <c r="A800" s="127" t="str">
        <f aca="false">IF(ISBLANK(B800),"",B800&amp;"|"&amp;C800)</f>
        <v/>
      </c>
      <c r="B800" s="127"/>
      <c r="C800" s="127"/>
      <c r="D800" s="127"/>
      <c r="E800" s="133"/>
      <c r="F800" s="127"/>
      <c r="G800" s="127"/>
      <c r="H800" s="127"/>
      <c r="I800" s="127"/>
      <c r="J800" s="127"/>
      <c r="K800" s="127"/>
      <c r="L800" s="127"/>
      <c r="M800" s="127"/>
      <c r="N800" s="127"/>
      <c r="O800" s="127"/>
      <c r="P800" s="127"/>
      <c r="Q800" s="127"/>
      <c r="R800" s="127"/>
      <c r="S800" s="127"/>
      <c r="T800" s="127"/>
      <c r="U800" s="127"/>
      <c r="V800" s="127"/>
      <c r="W800" s="127"/>
      <c r="X800" s="127"/>
      <c r="Y800" s="127"/>
      <c r="Z800" s="127"/>
      <c r="AA800" s="127"/>
    </row>
    <row r="801" customFormat="false" ht="15.75" hidden="false" customHeight="false" outlineLevel="0" collapsed="false">
      <c r="A801" s="127" t="str">
        <f aca="false">IF(ISBLANK(B801),"",B801&amp;"|"&amp;C801)</f>
        <v/>
      </c>
      <c r="B801" s="127"/>
      <c r="C801" s="127"/>
      <c r="D801" s="127"/>
      <c r="E801" s="133"/>
      <c r="F801" s="127"/>
      <c r="G801" s="127"/>
      <c r="H801" s="127"/>
      <c r="I801" s="127"/>
      <c r="J801" s="127"/>
      <c r="K801" s="127"/>
      <c r="L801" s="127"/>
      <c r="M801" s="127"/>
      <c r="N801" s="127"/>
      <c r="O801" s="127"/>
      <c r="P801" s="127"/>
      <c r="Q801" s="127"/>
      <c r="R801" s="127"/>
      <c r="S801" s="127"/>
      <c r="T801" s="127"/>
      <c r="U801" s="127"/>
      <c r="V801" s="127"/>
      <c r="W801" s="127"/>
      <c r="X801" s="127"/>
      <c r="Y801" s="127"/>
      <c r="Z801" s="127"/>
      <c r="AA801" s="127"/>
    </row>
    <row r="802" customFormat="false" ht="15.75" hidden="false" customHeight="false" outlineLevel="0" collapsed="false">
      <c r="A802" s="127" t="str">
        <f aca="false">IF(ISBLANK(B802),"",B802&amp;"|"&amp;C802)</f>
        <v/>
      </c>
      <c r="B802" s="127"/>
      <c r="C802" s="127"/>
      <c r="D802" s="127"/>
      <c r="E802" s="133"/>
      <c r="F802" s="127"/>
      <c r="G802" s="127"/>
      <c r="H802" s="127"/>
      <c r="I802" s="127"/>
      <c r="J802" s="127"/>
      <c r="K802" s="127"/>
      <c r="L802" s="127"/>
      <c r="M802" s="127"/>
      <c r="N802" s="127"/>
      <c r="O802" s="127"/>
      <c r="P802" s="127"/>
      <c r="Q802" s="127"/>
      <c r="R802" s="127"/>
      <c r="S802" s="127"/>
      <c r="T802" s="127"/>
      <c r="U802" s="127"/>
      <c r="V802" s="127"/>
      <c r="W802" s="127"/>
      <c r="X802" s="127"/>
      <c r="Y802" s="127"/>
      <c r="Z802" s="127"/>
      <c r="AA802" s="127"/>
    </row>
    <row r="803" customFormat="false" ht="15.75" hidden="false" customHeight="false" outlineLevel="0" collapsed="false">
      <c r="A803" s="127" t="str">
        <f aca="false">IF(ISBLANK(B803),"",B803&amp;"|"&amp;C803)</f>
        <v/>
      </c>
      <c r="B803" s="127"/>
      <c r="C803" s="127"/>
      <c r="D803" s="127"/>
      <c r="E803" s="133"/>
      <c r="F803" s="127"/>
      <c r="G803" s="127"/>
      <c r="H803" s="127"/>
      <c r="I803" s="127"/>
      <c r="J803" s="127"/>
      <c r="K803" s="127"/>
      <c r="L803" s="127"/>
      <c r="M803" s="127"/>
      <c r="N803" s="127"/>
      <c r="O803" s="127"/>
      <c r="P803" s="127"/>
      <c r="Q803" s="127"/>
      <c r="R803" s="127"/>
      <c r="S803" s="127"/>
      <c r="T803" s="127"/>
      <c r="U803" s="127"/>
      <c r="V803" s="127"/>
      <c r="W803" s="127"/>
      <c r="X803" s="127"/>
      <c r="Y803" s="127"/>
      <c r="Z803" s="127"/>
      <c r="AA803" s="127"/>
    </row>
    <row r="804" customFormat="false" ht="15.75" hidden="false" customHeight="false" outlineLevel="0" collapsed="false">
      <c r="A804" s="127" t="str">
        <f aca="false">IF(ISBLANK(B804),"",B804&amp;"|"&amp;C804)</f>
        <v/>
      </c>
      <c r="B804" s="127"/>
      <c r="C804" s="127"/>
      <c r="D804" s="127"/>
      <c r="E804" s="133"/>
      <c r="F804" s="127"/>
      <c r="G804" s="127"/>
      <c r="H804" s="127"/>
      <c r="I804" s="127"/>
      <c r="J804" s="127"/>
      <c r="K804" s="127"/>
      <c r="L804" s="127"/>
      <c r="M804" s="127"/>
      <c r="N804" s="127"/>
      <c r="O804" s="127"/>
      <c r="P804" s="127"/>
      <c r="Q804" s="127"/>
      <c r="R804" s="127"/>
      <c r="S804" s="127"/>
      <c r="T804" s="127"/>
      <c r="U804" s="127"/>
      <c r="V804" s="127"/>
      <c r="W804" s="127"/>
      <c r="X804" s="127"/>
      <c r="Y804" s="127"/>
      <c r="Z804" s="127"/>
      <c r="AA804" s="127"/>
    </row>
    <row r="805" customFormat="false" ht="15.75" hidden="false" customHeight="false" outlineLevel="0" collapsed="false">
      <c r="A805" s="127" t="str">
        <f aca="false">IF(ISBLANK(B805),"",B805&amp;"|"&amp;C805)</f>
        <v/>
      </c>
      <c r="B805" s="127"/>
      <c r="C805" s="127"/>
      <c r="D805" s="127"/>
      <c r="E805" s="133"/>
      <c r="F805" s="127"/>
      <c r="G805" s="127"/>
      <c r="H805" s="127"/>
      <c r="I805" s="127"/>
      <c r="J805" s="127"/>
      <c r="K805" s="127"/>
      <c r="L805" s="127"/>
      <c r="M805" s="127"/>
      <c r="N805" s="127"/>
      <c r="O805" s="127"/>
      <c r="P805" s="127"/>
      <c r="Q805" s="127"/>
      <c r="R805" s="127"/>
      <c r="S805" s="127"/>
      <c r="T805" s="127"/>
      <c r="U805" s="127"/>
      <c r="V805" s="127"/>
      <c r="W805" s="127"/>
      <c r="X805" s="127"/>
      <c r="Y805" s="127"/>
      <c r="Z805" s="127"/>
      <c r="AA805" s="127"/>
    </row>
    <row r="806" customFormat="false" ht="15.75" hidden="false" customHeight="false" outlineLevel="0" collapsed="false">
      <c r="A806" s="127" t="str">
        <f aca="false">IF(ISBLANK(B806),"",B806&amp;"|"&amp;C806)</f>
        <v/>
      </c>
      <c r="B806" s="127"/>
      <c r="C806" s="127"/>
      <c r="D806" s="127"/>
      <c r="E806" s="133"/>
      <c r="F806" s="127"/>
      <c r="G806" s="127"/>
      <c r="H806" s="127"/>
      <c r="I806" s="127"/>
      <c r="J806" s="127"/>
      <c r="K806" s="127"/>
      <c r="L806" s="127"/>
      <c r="M806" s="127"/>
      <c r="N806" s="127"/>
      <c r="O806" s="127"/>
      <c r="P806" s="127"/>
      <c r="Q806" s="127"/>
      <c r="R806" s="127"/>
      <c r="S806" s="127"/>
      <c r="T806" s="127"/>
      <c r="U806" s="127"/>
      <c r="V806" s="127"/>
      <c r="W806" s="127"/>
      <c r="X806" s="127"/>
      <c r="Y806" s="127"/>
      <c r="Z806" s="127"/>
      <c r="AA806" s="127"/>
    </row>
    <row r="807" customFormat="false" ht="15.75" hidden="false" customHeight="false" outlineLevel="0" collapsed="false">
      <c r="A807" s="127" t="str">
        <f aca="false">IF(ISBLANK(B807),"",B807&amp;"|"&amp;C807)</f>
        <v/>
      </c>
      <c r="B807" s="127"/>
      <c r="C807" s="127"/>
      <c r="D807" s="127"/>
      <c r="E807" s="133"/>
      <c r="F807" s="127"/>
      <c r="G807" s="127"/>
      <c r="H807" s="127"/>
      <c r="I807" s="127"/>
      <c r="J807" s="127"/>
      <c r="K807" s="127"/>
      <c r="L807" s="127"/>
      <c r="M807" s="127"/>
      <c r="N807" s="127"/>
      <c r="O807" s="127"/>
      <c r="P807" s="127"/>
      <c r="Q807" s="127"/>
      <c r="R807" s="127"/>
      <c r="S807" s="127"/>
      <c r="T807" s="127"/>
      <c r="U807" s="127"/>
      <c r="V807" s="127"/>
      <c r="W807" s="127"/>
      <c r="X807" s="127"/>
      <c r="Y807" s="127"/>
      <c r="Z807" s="127"/>
      <c r="AA807" s="127"/>
    </row>
    <row r="808" customFormat="false" ht="15.75" hidden="false" customHeight="false" outlineLevel="0" collapsed="false">
      <c r="A808" s="127" t="str">
        <f aca="false">IF(ISBLANK(B808),"",B808&amp;"|"&amp;C808)</f>
        <v/>
      </c>
      <c r="B808" s="127"/>
      <c r="C808" s="127"/>
      <c r="D808" s="127"/>
      <c r="E808" s="133"/>
      <c r="F808" s="127"/>
      <c r="G808" s="127"/>
      <c r="H808" s="127"/>
      <c r="I808" s="127"/>
      <c r="J808" s="127"/>
      <c r="K808" s="127"/>
      <c r="L808" s="127"/>
      <c r="M808" s="127"/>
      <c r="N808" s="127"/>
      <c r="O808" s="127"/>
      <c r="P808" s="127"/>
      <c r="Q808" s="127"/>
      <c r="R808" s="127"/>
      <c r="S808" s="127"/>
      <c r="T808" s="127"/>
      <c r="U808" s="127"/>
      <c r="V808" s="127"/>
      <c r="W808" s="127"/>
      <c r="X808" s="127"/>
      <c r="Y808" s="127"/>
      <c r="Z808" s="127"/>
      <c r="AA808" s="127"/>
    </row>
    <row r="809" customFormat="false" ht="15.75" hidden="false" customHeight="false" outlineLevel="0" collapsed="false">
      <c r="A809" s="127" t="str">
        <f aca="false">IF(ISBLANK(B809),"",B809&amp;"|"&amp;C809)</f>
        <v/>
      </c>
      <c r="B809" s="127"/>
      <c r="C809" s="127"/>
      <c r="D809" s="127"/>
      <c r="E809" s="133"/>
      <c r="F809" s="127"/>
      <c r="G809" s="127"/>
      <c r="H809" s="127"/>
      <c r="I809" s="127"/>
      <c r="J809" s="127"/>
      <c r="K809" s="127"/>
      <c r="L809" s="127"/>
      <c r="M809" s="127"/>
      <c r="N809" s="127"/>
      <c r="O809" s="127"/>
      <c r="P809" s="127"/>
      <c r="Q809" s="127"/>
      <c r="R809" s="127"/>
      <c r="S809" s="127"/>
      <c r="T809" s="127"/>
      <c r="U809" s="127"/>
      <c r="V809" s="127"/>
      <c r="W809" s="127"/>
      <c r="X809" s="127"/>
      <c r="Y809" s="127"/>
      <c r="Z809" s="127"/>
      <c r="AA809" s="127"/>
    </row>
    <row r="810" customFormat="false" ht="15.75" hidden="false" customHeight="false" outlineLevel="0" collapsed="false">
      <c r="A810" s="127" t="str">
        <f aca="false">IF(ISBLANK(B810),"",B810&amp;"|"&amp;C810)</f>
        <v/>
      </c>
      <c r="B810" s="127"/>
      <c r="C810" s="127"/>
      <c r="D810" s="127"/>
      <c r="E810" s="133"/>
      <c r="F810" s="127"/>
      <c r="G810" s="127"/>
      <c r="H810" s="127"/>
      <c r="I810" s="127"/>
      <c r="J810" s="127"/>
      <c r="K810" s="127"/>
      <c r="L810" s="127"/>
      <c r="M810" s="127"/>
      <c r="N810" s="127"/>
      <c r="O810" s="127"/>
      <c r="P810" s="127"/>
      <c r="Q810" s="127"/>
      <c r="R810" s="127"/>
      <c r="S810" s="127"/>
      <c r="T810" s="127"/>
      <c r="U810" s="127"/>
      <c r="V810" s="127"/>
      <c r="W810" s="127"/>
      <c r="X810" s="127"/>
      <c r="Y810" s="127"/>
      <c r="Z810" s="127"/>
      <c r="AA810" s="127"/>
    </row>
    <row r="811" customFormat="false" ht="15.75" hidden="false" customHeight="false" outlineLevel="0" collapsed="false">
      <c r="A811" s="127" t="str">
        <f aca="false">IF(ISBLANK(B811),"",B811&amp;"|"&amp;C811)</f>
        <v/>
      </c>
      <c r="B811" s="127"/>
      <c r="C811" s="127"/>
      <c r="D811" s="127"/>
      <c r="E811" s="133"/>
      <c r="F811" s="127"/>
      <c r="G811" s="127"/>
      <c r="H811" s="127"/>
      <c r="I811" s="127"/>
      <c r="J811" s="127"/>
      <c r="K811" s="127"/>
      <c r="L811" s="127"/>
      <c r="M811" s="127"/>
      <c r="N811" s="127"/>
      <c r="O811" s="127"/>
      <c r="P811" s="127"/>
      <c r="Q811" s="127"/>
      <c r="R811" s="127"/>
      <c r="S811" s="127"/>
      <c r="T811" s="127"/>
      <c r="U811" s="127"/>
      <c r="V811" s="127"/>
      <c r="W811" s="127"/>
      <c r="X811" s="127"/>
      <c r="Y811" s="127"/>
      <c r="Z811" s="127"/>
      <c r="AA811" s="127"/>
    </row>
    <row r="812" customFormat="false" ht="15.75" hidden="false" customHeight="false" outlineLevel="0" collapsed="false">
      <c r="A812" s="127" t="str">
        <f aca="false">IF(ISBLANK(B812),"",B812&amp;"|"&amp;C812)</f>
        <v/>
      </c>
      <c r="B812" s="127"/>
      <c r="C812" s="127"/>
      <c r="D812" s="127"/>
      <c r="E812" s="133"/>
      <c r="F812" s="127"/>
      <c r="G812" s="127"/>
      <c r="H812" s="127"/>
      <c r="I812" s="127"/>
      <c r="J812" s="127"/>
      <c r="K812" s="127"/>
      <c r="L812" s="127"/>
      <c r="M812" s="127"/>
      <c r="N812" s="127"/>
      <c r="O812" s="127"/>
      <c r="P812" s="127"/>
      <c r="Q812" s="127"/>
      <c r="R812" s="127"/>
      <c r="S812" s="127"/>
      <c r="T812" s="127"/>
      <c r="U812" s="127"/>
      <c r="V812" s="127"/>
      <c r="W812" s="127"/>
      <c r="X812" s="127"/>
      <c r="Y812" s="127"/>
      <c r="Z812" s="127"/>
      <c r="AA812" s="127"/>
    </row>
    <row r="813" customFormat="false" ht="15.75" hidden="false" customHeight="false" outlineLevel="0" collapsed="false">
      <c r="A813" s="127" t="str">
        <f aca="false">IF(ISBLANK(B813),"",B813&amp;"|"&amp;C813)</f>
        <v/>
      </c>
      <c r="B813" s="127"/>
      <c r="C813" s="127"/>
      <c r="D813" s="127"/>
      <c r="E813" s="133"/>
      <c r="F813" s="127"/>
      <c r="G813" s="127"/>
      <c r="H813" s="127"/>
      <c r="I813" s="127"/>
      <c r="J813" s="127"/>
      <c r="K813" s="127"/>
      <c r="L813" s="127"/>
      <c r="M813" s="127"/>
      <c r="N813" s="127"/>
      <c r="O813" s="127"/>
      <c r="P813" s="127"/>
      <c r="Q813" s="127"/>
      <c r="R813" s="127"/>
      <c r="S813" s="127"/>
      <c r="T813" s="127"/>
      <c r="U813" s="127"/>
      <c r="V813" s="127"/>
      <c r="W813" s="127"/>
      <c r="X813" s="127"/>
      <c r="Y813" s="127"/>
      <c r="Z813" s="127"/>
      <c r="AA813" s="127"/>
    </row>
    <row r="814" customFormat="false" ht="15.75" hidden="false" customHeight="false" outlineLevel="0" collapsed="false">
      <c r="A814" s="127" t="str">
        <f aca="false">IF(ISBLANK(B814),"",B814&amp;"|"&amp;C814)</f>
        <v/>
      </c>
      <c r="B814" s="127"/>
      <c r="C814" s="127"/>
      <c r="D814" s="127"/>
      <c r="E814" s="133"/>
      <c r="F814" s="127"/>
      <c r="G814" s="127"/>
      <c r="H814" s="127"/>
      <c r="I814" s="127"/>
      <c r="J814" s="127"/>
      <c r="K814" s="127"/>
      <c r="L814" s="127"/>
      <c r="M814" s="127"/>
      <c r="N814" s="127"/>
      <c r="O814" s="127"/>
      <c r="P814" s="127"/>
      <c r="Q814" s="127"/>
      <c r="R814" s="127"/>
      <c r="S814" s="127"/>
      <c r="T814" s="127"/>
      <c r="U814" s="127"/>
      <c r="V814" s="127"/>
      <c r="W814" s="127"/>
      <c r="X814" s="127"/>
      <c r="Y814" s="127"/>
      <c r="Z814" s="127"/>
      <c r="AA814" s="127"/>
    </row>
    <row r="815" customFormat="false" ht="15.75" hidden="false" customHeight="false" outlineLevel="0" collapsed="false">
      <c r="A815" s="127" t="str">
        <f aca="false">IF(ISBLANK(B815),"",B815&amp;"|"&amp;C815)</f>
        <v/>
      </c>
      <c r="B815" s="127"/>
      <c r="C815" s="127"/>
      <c r="D815" s="127"/>
      <c r="E815" s="133"/>
      <c r="F815" s="127"/>
      <c r="G815" s="127"/>
      <c r="H815" s="127"/>
      <c r="I815" s="127"/>
      <c r="J815" s="127"/>
      <c r="K815" s="127"/>
      <c r="L815" s="127"/>
      <c r="M815" s="127"/>
      <c r="N815" s="127"/>
      <c r="O815" s="127"/>
      <c r="P815" s="127"/>
      <c r="Q815" s="127"/>
      <c r="R815" s="127"/>
      <c r="S815" s="127"/>
      <c r="T815" s="127"/>
      <c r="U815" s="127"/>
      <c r="V815" s="127"/>
      <c r="W815" s="127"/>
      <c r="X815" s="127"/>
      <c r="Y815" s="127"/>
      <c r="Z815" s="127"/>
      <c r="AA815" s="127"/>
    </row>
    <row r="816" customFormat="false" ht="15.75" hidden="false" customHeight="false" outlineLevel="0" collapsed="false">
      <c r="A816" s="127" t="str">
        <f aca="false">IF(ISBLANK(B816),"",B816&amp;"|"&amp;C816)</f>
        <v/>
      </c>
      <c r="B816" s="127"/>
      <c r="C816" s="127"/>
      <c r="D816" s="127"/>
      <c r="E816" s="133"/>
      <c r="F816" s="127"/>
      <c r="G816" s="127"/>
      <c r="H816" s="127"/>
      <c r="I816" s="127"/>
      <c r="J816" s="127"/>
      <c r="K816" s="127"/>
      <c r="L816" s="127"/>
      <c r="M816" s="127"/>
      <c r="N816" s="127"/>
      <c r="O816" s="127"/>
      <c r="P816" s="127"/>
      <c r="Q816" s="127"/>
      <c r="R816" s="127"/>
      <c r="S816" s="127"/>
      <c r="T816" s="127"/>
      <c r="U816" s="127"/>
      <c r="V816" s="127"/>
      <c r="W816" s="127"/>
      <c r="X816" s="127"/>
      <c r="Y816" s="127"/>
      <c r="Z816" s="127"/>
      <c r="AA816" s="127"/>
    </row>
    <row r="817" customFormat="false" ht="15.75" hidden="false" customHeight="false" outlineLevel="0" collapsed="false">
      <c r="A817" s="127" t="str">
        <f aca="false">IF(ISBLANK(B817),"",B817&amp;"|"&amp;C817)</f>
        <v/>
      </c>
      <c r="B817" s="127"/>
      <c r="C817" s="127"/>
      <c r="D817" s="127"/>
      <c r="E817" s="133"/>
      <c r="F817" s="127"/>
      <c r="G817" s="127"/>
      <c r="H817" s="127"/>
      <c r="I817" s="127"/>
      <c r="J817" s="127"/>
      <c r="K817" s="127"/>
      <c r="L817" s="127"/>
      <c r="M817" s="127"/>
      <c r="N817" s="127"/>
      <c r="O817" s="127"/>
      <c r="P817" s="127"/>
      <c r="Q817" s="127"/>
      <c r="R817" s="127"/>
      <c r="S817" s="127"/>
      <c r="T817" s="127"/>
      <c r="U817" s="127"/>
      <c r="V817" s="127"/>
      <c r="W817" s="127"/>
      <c r="X817" s="127"/>
      <c r="Y817" s="127"/>
      <c r="Z817" s="127"/>
      <c r="AA817" s="127"/>
    </row>
    <row r="818" customFormat="false" ht="15.75" hidden="false" customHeight="false" outlineLevel="0" collapsed="false">
      <c r="A818" s="127" t="str">
        <f aca="false">IF(ISBLANK(B818),"",B818&amp;"|"&amp;C818)</f>
        <v/>
      </c>
      <c r="B818" s="127"/>
      <c r="C818" s="127"/>
      <c r="D818" s="127"/>
      <c r="E818" s="133"/>
      <c r="F818" s="127"/>
      <c r="G818" s="127"/>
      <c r="H818" s="127"/>
      <c r="I818" s="127"/>
      <c r="J818" s="127"/>
      <c r="K818" s="127"/>
      <c r="L818" s="127"/>
      <c r="M818" s="127"/>
      <c r="N818" s="127"/>
      <c r="O818" s="127"/>
      <c r="P818" s="127"/>
      <c r="Q818" s="127"/>
      <c r="R818" s="127"/>
      <c r="S818" s="127"/>
      <c r="T818" s="127"/>
      <c r="U818" s="127"/>
      <c r="V818" s="127"/>
      <c r="W818" s="127"/>
      <c r="X818" s="127"/>
      <c r="Y818" s="127"/>
      <c r="Z818" s="127"/>
      <c r="AA818" s="127"/>
    </row>
    <row r="819" customFormat="false" ht="15.75" hidden="false" customHeight="false" outlineLevel="0" collapsed="false">
      <c r="A819" s="127" t="str">
        <f aca="false">IF(ISBLANK(B819),"",B819&amp;"|"&amp;C819)</f>
        <v/>
      </c>
      <c r="B819" s="127"/>
      <c r="C819" s="127"/>
      <c r="D819" s="127"/>
      <c r="E819" s="133"/>
      <c r="F819" s="127"/>
      <c r="G819" s="127"/>
      <c r="H819" s="127"/>
      <c r="I819" s="127"/>
      <c r="J819" s="127"/>
      <c r="K819" s="127"/>
      <c r="L819" s="127"/>
      <c r="M819" s="127"/>
      <c r="N819" s="127"/>
      <c r="O819" s="127"/>
      <c r="P819" s="127"/>
      <c r="Q819" s="127"/>
      <c r="R819" s="127"/>
      <c r="S819" s="127"/>
      <c r="T819" s="127"/>
      <c r="U819" s="127"/>
      <c r="V819" s="127"/>
      <c r="W819" s="127"/>
      <c r="X819" s="127"/>
      <c r="Y819" s="127"/>
      <c r="Z819" s="127"/>
      <c r="AA819" s="127"/>
    </row>
    <row r="820" customFormat="false" ht="15.75" hidden="false" customHeight="false" outlineLevel="0" collapsed="false">
      <c r="A820" s="127" t="str">
        <f aca="false">IF(ISBLANK(B820),"",B820&amp;"|"&amp;C820)</f>
        <v/>
      </c>
      <c r="B820" s="127"/>
      <c r="C820" s="127"/>
      <c r="D820" s="127"/>
      <c r="E820" s="133"/>
      <c r="F820" s="127"/>
      <c r="G820" s="127"/>
      <c r="H820" s="127"/>
      <c r="I820" s="127"/>
      <c r="J820" s="127"/>
      <c r="K820" s="127"/>
      <c r="L820" s="127"/>
      <c r="M820" s="127"/>
      <c r="N820" s="127"/>
      <c r="O820" s="127"/>
      <c r="P820" s="127"/>
      <c r="Q820" s="127"/>
      <c r="R820" s="127"/>
      <c r="S820" s="127"/>
      <c r="T820" s="127"/>
      <c r="U820" s="127"/>
      <c r="V820" s="127"/>
      <c r="W820" s="127"/>
      <c r="X820" s="127"/>
      <c r="Y820" s="127"/>
      <c r="Z820" s="127"/>
      <c r="AA820" s="127"/>
    </row>
    <row r="821" customFormat="false" ht="15.75" hidden="false" customHeight="false" outlineLevel="0" collapsed="false">
      <c r="A821" s="127" t="str">
        <f aca="false">IF(ISBLANK(B821),"",B821&amp;"|"&amp;C821)</f>
        <v/>
      </c>
      <c r="B821" s="127"/>
      <c r="C821" s="127"/>
      <c r="D821" s="127"/>
      <c r="E821" s="133"/>
      <c r="F821" s="127"/>
      <c r="G821" s="127"/>
      <c r="H821" s="127"/>
      <c r="I821" s="127"/>
      <c r="J821" s="127"/>
      <c r="K821" s="127"/>
      <c r="L821" s="127"/>
      <c r="M821" s="127"/>
      <c r="N821" s="127"/>
      <c r="O821" s="127"/>
      <c r="P821" s="127"/>
      <c r="Q821" s="127"/>
      <c r="R821" s="127"/>
      <c r="S821" s="127"/>
      <c r="T821" s="127"/>
      <c r="U821" s="127"/>
      <c r="V821" s="127"/>
      <c r="W821" s="127"/>
      <c r="X821" s="127"/>
      <c r="Y821" s="127"/>
      <c r="Z821" s="127"/>
      <c r="AA821" s="127"/>
    </row>
    <row r="822" customFormat="false" ht="15.75" hidden="false" customHeight="false" outlineLevel="0" collapsed="false">
      <c r="A822" s="127" t="str">
        <f aca="false">IF(ISBLANK(B822),"",B822&amp;"|"&amp;C822)</f>
        <v/>
      </c>
      <c r="B822" s="127"/>
      <c r="C822" s="127"/>
      <c r="D822" s="127"/>
      <c r="E822" s="133"/>
      <c r="F822" s="127"/>
      <c r="G822" s="127"/>
      <c r="H822" s="127"/>
      <c r="I822" s="127"/>
      <c r="J822" s="127"/>
      <c r="K822" s="127"/>
      <c r="L822" s="127"/>
      <c r="M822" s="127"/>
      <c r="N822" s="127"/>
      <c r="O822" s="127"/>
      <c r="P822" s="127"/>
      <c r="Q822" s="127"/>
      <c r="R822" s="127"/>
      <c r="S822" s="127"/>
      <c r="T822" s="127"/>
      <c r="U822" s="127"/>
      <c r="V822" s="127"/>
      <c r="W822" s="127"/>
      <c r="X822" s="127"/>
      <c r="Y822" s="127"/>
      <c r="Z822" s="127"/>
      <c r="AA822" s="127"/>
    </row>
    <row r="823" customFormat="false" ht="15.75" hidden="false" customHeight="false" outlineLevel="0" collapsed="false">
      <c r="A823" s="127" t="str">
        <f aca="false">IF(ISBLANK(B823),"",B823&amp;"|"&amp;C823)</f>
        <v/>
      </c>
      <c r="B823" s="127"/>
      <c r="C823" s="127"/>
      <c r="D823" s="127"/>
      <c r="E823" s="133"/>
      <c r="F823" s="127"/>
      <c r="G823" s="127"/>
      <c r="H823" s="127"/>
      <c r="I823" s="127"/>
      <c r="J823" s="127"/>
      <c r="K823" s="127"/>
      <c r="L823" s="127"/>
      <c r="M823" s="127"/>
      <c r="N823" s="127"/>
      <c r="O823" s="127"/>
      <c r="P823" s="127"/>
      <c r="Q823" s="127"/>
      <c r="R823" s="127"/>
      <c r="S823" s="127"/>
      <c r="T823" s="127"/>
      <c r="U823" s="127"/>
      <c r="V823" s="127"/>
      <c r="W823" s="127"/>
      <c r="X823" s="127"/>
      <c r="Y823" s="127"/>
      <c r="Z823" s="127"/>
      <c r="AA823" s="127"/>
    </row>
    <row r="824" customFormat="false" ht="15.75" hidden="false" customHeight="false" outlineLevel="0" collapsed="false">
      <c r="A824" s="127" t="str">
        <f aca="false">IF(ISBLANK(B824),"",B824&amp;"|"&amp;C824)</f>
        <v/>
      </c>
      <c r="B824" s="127"/>
      <c r="C824" s="127"/>
      <c r="D824" s="127"/>
      <c r="E824" s="133"/>
      <c r="F824" s="127"/>
      <c r="G824" s="127"/>
      <c r="H824" s="127"/>
      <c r="I824" s="127"/>
      <c r="J824" s="127"/>
      <c r="K824" s="127"/>
      <c r="L824" s="127"/>
      <c r="M824" s="127"/>
      <c r="N824" s="127"/>
      <c r="O824" s="127"/>
      <c r="P824" s="127"/>
      <c r="Q824" s="127"/>
      <c r="R824" s="127"/>
      <c r="S824" s="127"/>
      <c r="T824" s="127"/>
      <c r="U824" s="127"/>
      <c r="V824" s="127"/>
      <c r="W824" s="127"/>
      <c r="X824" s="127"/>
      <c r="Y824" s="127"/>
      <c r="Z824" s="127"/>
      <c r="AA824" s="127"/>
    </row>
    <row r="825" customFormat="false" ht="15.75" hidden="false" customHeight="false" outlineLevel="0" collapsed="false">
      <c r="A825" s="127" t="str">
        <f aca="false">IF(ISBLANK(B825),"",B825&amp;"|"&amp;C825)</f>
        <v/>
      </c>
      <c r="B825" s="127"/>
      <c r="C825" s="127"/>
      <c r="D825" s="127"/>
      <c r="E825" s="133"/>
      <c r="F825" s="127"/>
      <c r="G825" s="127"/>
      <c r="H825" s="127"/>
      <c r="I825" s="127"/>
      <c r="J825" s="127"/>
      <c r="K825" s="127"/>
      <c r="L825" s="127"/>
      <c r="M825" s="127"/>
      <c r="N825" s="127"/>
      <c r="O825" s="127"/>
      <c r="P825" s="127"/>
      <c r="Q825" s="127"/>
      <c r="R825" s="127"/>
      <c r="S825" s="127"/>
      <c r="T825" s="127"/>
      <c r="U825" s="127"/>
      <c r="V825" s="127"/>
      <c r="W825" s="127"/>
      <c r="X825" s="127"/>
      <c r="Y825" s="127"/>
      <c r="Z825" s="127"/>
      <c r="AA825" s="127"/>
    </row>
    <row r="826" customFormat="false" ht="15.75" hidden="false" customHeight="false" outlineLevel="0" collapsed="false">
      <c r="A826" s="127" t="str">
        <f aca="false">IF(ISBLANK(B826),"",B826&amp;"|"&amp;C826)</f>
        <v/>
      </c>
      <c r="B826" s="127"/>
      <c r="C826" s="127"/>
      <c r="D826" s="127"/>
      <c r="E826" s="133"/>
      <c r="F826" s="127"/>
      <c r="G826" s="127"/>
      <c r="H826" s="127"/>
      <c r="I826" s="127"/>
      <c r="J826" s="127"/>
      <c r="K826" s="127"/>
      <c r="L826" s="127"/>
      <c r="M826" s="127"/>
      <c r="N826" s="127"/>
      <c r="O826" s="127"/>
      <c r="P826" s="127"/>
      <c r="Q826" s="127"/>
      <c r="R826" s="127"/>
      <c r="S826" s="127"/>
      <c r="T826" s="127"/>
      <c r="U826" s="127"/>
      <c r="V826" s="127"/>
      <c r="W826" s="127"/>
      <c r="X826" s="127"/>
      <c r="Y826" s="127"/>
      <c r="Z826" s="127"/>
      <c r="AA826" s="127"/>
    </row>
    <row r="827" customFormat="false" ht="15.75" hidden="false" customHeight="false" outlineLevel="0" collapsed="false">
      <c r="A827" s="127" t="str">
        <f aca="false">IF(ISBLANK(B827),"",B827&amp;"|"&amp;C827)</f>
        <v/>
      </c>
      <c r="B827" s="127"/>
      <c r="C827" s="127"/>
      <c r="D827" s="127"/>
      <c r="E827" s="133"/>
      <c r="F827" s="127"/>
      <c r="G827" s="127"/>
      <c r="H827" s="127"/>
      <c r="I827" s="127"/>
      <c r="J827" s="127"/>
      <c r="K827" s="127"/>
      <c r="L827" s="127"/>
      <c r="M827" s="127"/>
      <c r="N827" s="127"/>
      <c r="O827" s="127"/>
      <c r="P827" s="127"/>
      <c r="Q827" s="127"/>
      <c r="R827" s="127"/>
      <c r="S827" s="127"/>
      <c r="T827" s="127"/>
      <c r="U827" s="127"/>
      <c r="V827" s="127"/>
      <c r="W827" s="127"/>
      <c r="X827" s="127"/>
      <c r="Y827" s="127"/>
      <c r="Z827" s="127"/>
      <c r="AA827" s="127"/>
    </row>
    <row r="828" customFormat="false" ht="15.75" hidden="false" customHeight="false" outlineLevel="0" collapsed="false">
      <c r="A828" s="127" t="str">
        <f aca="false">IF(ISBLANK(B828),"",B828&amp;"|"&amp;C828)</f>
        <v/>
      </c>
      <c r="B828" s="127"/>
      <c r="C828" s="127"/>
      <c r="D828" s="127"/>
      <c r="E828" s="133"/>
      <c r="F828" s="127"/>
      <c r="G828" s="127"/>
      <c r="H828" s="127"/>
      <c r="I828" s="127"/>
      <c r="J828" s="127"/>
      <c r="K828" s="127"/>
      <c r="L828" s="127"/>
      <c r="M828" s="127"/>
      <c r="N828" s="127"/>
      <c r="O828" s="127"/>
      <c r="P828" s="127"/>
      <c r="Q828" s="127"/>
      <c r="R828" s="127"/>
      <c r="S828" s="127"/>
      <c r="T828" s="127"/>
      <c r="U828" s="127"/>
      <c r="V828" s="127"/>
      <c r="W828" s="127"/>
      <c r="X828" s="127"/>
      <c r="Y828" s="127"/>
      <c r="Z828" s="127"/>
      <c r="AA828" s="127"/>
    </row>
    <row r="829" customFormat="false" ht="15.75" hidden="false" customHeight="false" outlineLevel="0" collapsed="false">
      <c r="A829" s="127" t="str">
        <f aca="false">IF(ISBLANK(B829),"",B829&amp;"|"&amp;C829)</f>
        <v/>
      </c>
      <c r="B829" s="127"/>
      <c r="C829" s="127"/>
      <c r="D829" s="127"/>
      <c r="E829" s="133"/>
      <c r="F829" s="127"/>
      <c r="G829" s="127"/>
      <c r="H829" s="127"/>
      <c r="I829" s="127"/>
      <c r="J829" s="127"/>
      <c r="K829" s="127"/>
      <c r="L829" s="127"/>
      <c r="M829" s="127"/>
      <c r="N829" s="127"/>
      <c r="O829" s="127"/>
      <c r="P829" s="127"/>
      <c r="Q829" s="127"/>
      <c r="R829" s="127"/>
      <c r="S829" s="127"/>
      <c r="T829" s="127"/>
      <c r="U829" s="127"/>
      <c r="V829" s="127"/>
      <c r="W829" s="127"/>
      <c r="X829" s="127"/>
      <c r="Y829" s="127"/>
      <c r="Z829" s="127"/>
      <c r="AA829" s="127"/>
    </row>
    <row r="830" customFormat="false" ht="15.75" hidden="false" customHeight="false" outlineLevel="0" collapsed="false">
      <c r="A830" s="127" t="str">
        <f aca="false">IF(ISBLANK(B830),"",B830&amp;"|"&amp;C830)</f>
        <v/>
      </c>
      <c r="B830" s="127"/>
      <c r="C830" s="127"/>
      <c r="D830" s="127"/>
      <c r="E830" s="133"/>
      <c r="F830" s="127"/>
      <c r="G830" s="127"/>
      <c r="H830" s="127"/>
      <c r="I830" s="127"/>
      <c r="J830" s="127"/>
      <c r="K830" s="127"/>
      <c r="L830" s="127"/>
      <c r="M830" s="127"/>
      <c r="N830" s="127"/>
      <c r="O830" s="127"/>
      <c r="P830" s="127"/>
      <c r="Q830" s="127"/>
      <c r="R830" s="127"/>
      <c r="S830" s="127"/>
      <c r="T830" s="127"/>
      <c r="U830" s="127"/>
      <c r="V830" s="127"/>
      <c r="W830" s="127"/>
      <c r="X830" s="127"/>
      <c r="Y830" s="127"/>
      <c r="Z830" s="127"/>
      <c r="AA830" s="127"/>
    </row>
    <row r="831" customFormat="false" ht="15.75" hidden="false" customHeight="false" outlineLevel="0" collapsed="false">
      <c r="A831" s="127" t="str">
        <f aca="false">IF(ISBLANK(B831),"",B831&amp;"|"&amp;C831)</f>
        <v/>
      </c>
      <c r="B831" s="127"/>
      <c r="C831" s="127"/>
      <c r="D831" s="127"/>
      <c r="E831" s="133"/>
      <c r="F831" s="127"/>
      <c r="G831" s="127"/>
      <c r="H831" s="127"/>
      <c r="I831" s="127"/>
      <c r="J831" s="127"/>
      <c r="K831" s="127"/>
      <c r="L831" s="127"/>
      <c r="M831" s="127"/>
      <c r="N831" s="127"/>
      <c r="O831" s="127"/>
      <c r="P831" s="127"/>
      <c r="Q831" s="127"/>
      <c r="R831" s="127"/>
      <c r="S831" s="127"/>
      <c r="T831" s="127"/>
      <c r="U831" s="127"/>
      <c r="V831" s="127"/>
      <c r="W831" s="127"/>
      <c r="X831" s="127"/>
      <c r="Y831" s="127"/>
      <c r="Z831" s="127"/>
      <c r="AA831" s="127"/>
    </row>
    <row r="832" customFormat="false" ht="15.75" hidden="false" customHeight="false" outlineLevel="0" collapsed="false">
      <c r="A832" s="127" t="str">
        <f aca="false">IF(ISBLANK(B832),"",B832&amp;"|"&amp;C832)</f>
        <v/>
      </c>
      <c r="B832" s="127"/>
      <c r="C832" s="127"/>
      <c r="D832" s="127"/>
      <c r="E832" s="133"/>
      <c r="F832" s="127"/>
      <c r="G832" s="127"/>
      <c r="H832" s="127"/>
      <c r="I832" s="127"/>
      <c r="J832" s="127"/>
      <c r="K832" s="127"/>
      <c r="L832" s="127"/>
      <c r="M832" s="127"/>
      <c r="N832" s="127"/>
      <c r="O832" s="127"/>
      <c r="P832" s="127"/>
      <c r="Q832" s="127"/>
      <c r="R832" s="127"/>
      <c r="S832" s="127"/>
      <c r="T832" s="127"/>
      <c r="U832" s="127"/>
      <c r="V832" s="127"/>
      <c r="W832" s="127"/>
      <c r="X832" s="127"/>
      <c r="Y832" s="127"/>
      <c r="Z832" s="127"/>
      <c r="AA832" s="127"/>
    </row>
    <row r="833" customFormat="false" ht="15.75" hidden="false" customHeight="false" outlineLevel="0" collapsed="false">
      <c r="A833" s="127" t="str">
        <f aca="false">IF(ISBLANK(B833),"",B833&amp;"|"&amp;C833)</f>
        <v/>
      </c>
      <c r="B833" s="127"/>
      <c r="C833" s="127"/>
      <c r="D833" s="127"/>
      <c r="E833" s="133"/>
      <c r="F833" s="127"/>
      <c r="G833" s="127"/>
      <c r="H833" s="127"/>
      <c r="I833" s="127"/>
      <c r="J833" s="127"/>
      <c r="K833" s="127"/>
      <c r="L833" s="127"/>
      <c r="M833" s="127"/>
      <c r="N833" s="127"/>
      <c r="O833" s="127"/>
      <c r="P833" s="127"/>
      <c r="Q833" s="127"/>
      <c r="R833" s="127"/>
      <c r="S833" s="127"/>
      <c r="T833" s="127"/>
      <c r="U833" s="127"/>
      <c r="V833" s="127"/>
      <c r="W833" s="127"/>
      <c r="X833" s="127"/>
      <c r="Y833" s="127"/>
      <c r="Z833" s="127"/>
      <c r="AA833" s="127"/>
    </row>
    <row r="834" customFormat="false" ht="15.75" hidden="false" customHeight="false" outlineLevel="0" collapsed="false">
      <c r="A834" s="127" t="str">
        <f aca="false">IF(ISBLANK(B834),"",B834&amp;"|"&amp;C834)</f>
        <v/>
      </c>
      <c r="B834" s="127"/>
      <c r="C834" s="127"/>
      <c r="D834" s="127"/>
      <c r="E834" s="133"/>
      <c r="F834" s="127"/>
      <c r="G834" s="127"/>
      <c r="H834" s="127"/>
      <c r="I834" s="127"/>
      <c r="J834" s="127"/>
      <c r="K834" s="127"/>
      <c r="L834" s="127"/>
      <c r="M834" s="127"/>
      <c r="N834" s="127"/>
      <c r="O834" s="127"/>
      <c r="P834" s="127"/>
      <c r="Q834" s="127"/>
      <c r="R834" s="127"/>
      <c r="S834" s="127"/>
      <c r="T834" s="127"/>
      <c r="U834" s="127"/>
      <c r="V834" s="127"/>
      <c r="W834" s="127"/>
      <c r="X834" s="127"/>
      <c r="Y834" s="127"/>
      <c r="Z834" s="127"/>
      <c r="AA834" s="127"/>
    </row>
    <row r="835" customFormat="false" ht="15.75" hidden="false" customHeight="false" outlineLevel="0" collapsed="false">
      <c r="A835" s="127" t="str">
        <f aca="false">IF(ISBLANK(B835),"",B835&amp;"|"&amp;C835)</f>
        <v/>
      </c>
      <c r="B835" s="127"/>
      <c r="C835" s="127"/>
      <c r="D835" s="127"/>
      <c r="E835" s="133"/>
      <c r="F835" s="127"/>
      <c r="G835" s="127"/>
      <c r="H835" s="127"/>
      <c r="I835" s="127"/>
      <c r="J835" s="127"/>
      <c r="K835" s="127"/>
      <c r="L835" s="127"/>
      <c r="M835" s="127"/>
      <c r="N835" s="127"/>
      <c r="O835" s="127"/>
      <c r="P835" s="127"/>
      <c r="Q835" s="127"/>
      <c r="R835" s="127"/>
      <c r="S835" s="127"/>
      <c r="T835" s="127"/>
      <c r="U835" s="127"/>
      <c r="V835" s="127"/>
      <c r="W835" s="127"/>
      <c r="X835" s="127"/>
      <c r="Y835" s="127"/>
      <c r="Z835" s="127"/>
      <c r="AA835" s="127"/>
    </row>
    <row r="836" customFormat="false" ht="15.75" hidden="false" customHeight="false" outlineLevel="0" collapsed="false">
      <c r="A836" s="127" t="str">
        <f aca="false">IF(ISBLANK(B836),"",B836&amp;"|"&amp;C836)</f>
        <v/>
      </c>
      <c r="B836" s="127"/>
      <c r="C836" s="127"/>
      <c r="D836" s="127"/>
      <c r="E836" s="133"/>
      <c r="F836" s="127"/>
      <c r="G836" s="127"/>
      <c r="H836" s="127"/>
      <c r="I836" s="127"/>
      <c r="J836" s="127"/>
      <c r="K836" s="127"/>
      <c r="L836" s="127"/>
      <c r="M836" s="127"/>
      <c r="N836" s="127"/>
      <c r="O836" s="127"/>
      <c r="P836" s="127"/>
      <c r="Q836" s="127"/>
      <c r="R836" s="127"/>
      <c r="S836" s="127"/>
      <c r="T836" s="127"/>
      <c r="U836" s="127"/>
      <c r="V836" s="127"/>
      <c r="W836" s="127"/>
      <c r="X836" s="127"/>
      <c r="Y836" s="127"/>
      <c r="Z836" s="127"/>
      <c r="AA836" s="127"/>
    </row>
    <row r="837" customFormat="false" ht="15.75" hidden="false" customHeight="false" outlineLevel="0" collapsed="false">
      <c r="A837" s="127" t="str">
        <f aca="false">IF(ISBLANK(B837),"",B837&amp;"|"&amp;C837)</f>
        <v/>
      </c>
      <c r="B837" s="127"/>
      <c r="C837" s="127"/>
      <c r="D837" s="127"/>
      <c r="E837" s="133"/>
      <c r="F837" s="127"/>
      <c r="G837" s="127"/>
      <c r="H837" s="127"/>
      <c r="I837" s="127"/>
      <c r="J837" s="127"/>
      <c r="K837" s="127"/>
      <c r="L837" s="127"/>
      <c r="M837" s="127"/>
      <c r="N837" s="127"/>
      <c r="O837" s="127"/>
      <c r="P837" s="127"/>
      <c r="Q837" s="127"/>
      <c r="R837" s="127"/>
      <c r="S837" s="127"/>
      <c r="T837" s="127"/>
      <c r="U837" s="127"/>
      <c r="V837" s="127"/>
      <c r="W837" s="127"/>
      <c r="X837" s="127"/>
      <c r="Y837" s="127"/>
      <c r="Z837" s="127"/>
      <c r="AA837" s="127"/>
    </row>
    <row r="838" customFormat="false" ht="15.75" hidden="false" customHeight="false" outlineLevel="0" collapsed="false">
      <c r="A838" s="127" t="str">
        <f aca="false">IF(ISBLANK(B838),"",B838&amp;"|"&amp;C838)</f>
        <v/>
      </c>
      <c r="B838" s="127"/>
      <c r="C838" s="127"/>
      <c r="D838" s="127"/>
      <c r="E838" s="133"/>
      <c r="F838" s="127"/>
      <c r="G838" s="127"/>
      <c r="H838" s="127"/>
      <c r="I838" s="127"/>
      <c r="J838" s="127"/>
      <c r="K838" s="127"/>
      <c r="L838" s="127"/>
      <c r="M838" s="127"/>
      <c r="N838" s="127"/>
      <c r="O838" s="127"/>
      <c r="P838" s="127"/>
      <c r="Q838" s="127"/>
      <c r="R838" s="127"/>
      <c r="S838" s="127"/>
      <c r="T838" s="127"/>
      <c r="U838" s="127"/>
      <c r="V838" s="127"/>
      <c r="W838" s="127"/>
      <c r="X838" s="127"/>
      <c r="Y838" s="127"/>
      <c r="Z838" s="127"/>
      <c r="AA838" s="127"/>
    </row>
    <row r="839" customFormat="false" ht="15.75" hidden="false" customHeight="false" outlineLevel="0" collapsed="false">
      <c r="A839" s="127" t="str">
        <f aca="false">IF(ISBLANK(B839),"",B839&amp;"|"&amp;C839)</f>
        <v/>
      </c>
      <c r="B839" s="127"/>
      <c r="C839" s="127"/>
      <c r="D839" s="127"/>
      <c r="E839" s="133"/>
      <c r="F839" s="127"/>
      <c r="G839" s="127"/>
      <c r="H839" s="127"/>
      <c r="I839" s="127"/>
      <c r="J839" s="127"/>
      <c r="K839" s="127"/>
      <c r="L839" s="127"/>
      <c r="M839" s="127"/>
      <c r="N839" s="127"/>
      <c r="O839" s="127"/>
      <c r="P839" s="127"/>
      <c r="Q839" s="127"/>
      <c r="R839" s="127"/>
      <c r="S839" s="127"/>
      <c r="T839" s="127"/>
      <c r="U839" s="127"/>
      <c r="V839" s="127"/>
      <c r="W839" s="127"/>
      <c r="X839" s="127"/>
      <c r="Y839" s="127"/>
      <c r="Z839" s="127"/>
      <c r="AA839" s="127"/>
    </row>
    <row r="840" customFormat="false" ht="15.75" hidden="false" customHeight="false" outlineLevel="0" collapsed="false">
      <c r="A840" s="127" t="str">
        <f aca="false">IF(ISBLANK(B840),"",B840&amp;"|"&amp;C840)</f>
        <v/>
      </c>
      <c r="B840" s="127"/>
      <c r="C840" s="127"/>
      <c r="D840" s="127"/>
      <c r="E840" s="133"/>
      <c r="F840" s="127"/>
      <c r="G840" s="127"/>
      <c r="H840" s="127"/>
      <c r="I840" s="127"/>
      <c r="J840" s="127"/>
      <c r="K840" s="127"/>
      <c r="L840" s="127"/>
      <c r="M840" s="127"/>
      <c r="N840" s="127"/>
      <c r="O840" s="127"/>
      <c r="P840" s="127"/>
      <c r="Q840" s="127"/>
      <c r="R840" s="127"/>
      <c r="S840" s="127"/>
      <c r="T840" s="127"/>
      <c r="U840" s="127"/>
      <c r="V840" s="127"/>
      <c r="W840" s="127"/>
      <c r="X840" s="127"/>
      <c r="Y840" s="127"/>
      <c r="Z840" s="127"/>
      <c r="AA840" s="127"/>
    </row>
    <row r="841" customFormat="false" ht="15.75" hidden="false" customHeight="false" outlineLevel="0" collapsed="false">
      <c r="A841" s="127" t="str">
        <f aca="false">IF(ISBLANK(B841),"",B841&amp;"|"&amp;C841)</f>
        <v/>
      </c>
      <c r="B841" s="127"/>
      <c r="C841" s="127"/>
      <c r="D841" s="127"/>
      <c r="E841" s="133"/>
      <c r="F841" s="127"/>
      <c r="G841" s="127"/>
      <c r="H841" s="127"/>
      <c r="I841" s="127"/>
      <c r="J841" s="127"/>
      <c r="K841" s="127"/>
      <c r="L841" s="127"/>
      <c r="M841" s="127"/>
      <c r="N841" s="127"/>
      <c r="O841" s="127"/>
      <c r="P841" s="127"/>
      <c r="Q841" s="127"/>
      <c r="R841" s="127"/>
      <c r="S841" s="127"/>
      <c r="T841" s="127"/>
      <c r="U841" s="127"/>
      <c r="V841" s="127"/>
      <c r="W841" s="127"/>
      <c r="X841" s="127"/>
      <c r="Y841" s="127"/>
      <c r="Z841" s="127"/>
      <c r="AA841" s="127"/>
    </row>
    <row r="842" customFormat="false" ht="15.75" hidden="false" customHeight="false" outlineLevel="0" collapsed="false">
      <c r="A842" s="127" t="str">
        <f aca="false">IF(ISBLANK(B842),"",B842&amp;"|"&amp;C842)</f>
        <v/>
      </c>
      <c r="B842" s="127"/>
      <c r="C842" s="127"/>
      <c r="D842" s="127"/>
      <c r="E842" s="133"/>
      <c r="F842" s="127"/>
      <c r="G842" s="127"/>
      <c r="H842" s="127"/>
      <c r="I842" s="127"/>
      <c r="J842" s="127"/>
      <c r="K842" s="127"/>
      <c r="L842" s="127"/>
      <c r="M842" s="127"/>
      <c r="N842" s="127"/>
      <c r="O842" s="127"/>
      <c r="P842" s="127"/>
      <c r="Q842" s="127"/>
      <c r="R842" s="127"/>
      <c r="S842" s="127"/>
      <c r="T842" s="127"/>
      <c r="U842" s="127"/>
      <c r="V842" s="127"/>
      <c r="W842" s="127"/>
      <c r="X842" s="127"/>
      <c r="Y842" s="127"/>
      <c r="Z842" s="127"/>
      <c r="AA842" s="127"/>
    </row>
    <row r="843" customFormat="false" ht="15.75" hidden="false" customHeight="false" outlineLevel="0" collapsed="false">
      <c r="A843" s="127" t="str">
        <f aca="false">IF(ISBLANK(B843),"",B843&amp;"|"&amp;C843)</f>
        <v/>
      </c>
      <c r="B843" s="127"/>
      <c r="C843" s="127"/>
      <c r="D843" s="127"/>
      <c r="E843" s="133"/>
      <c r="F843" s="127"/>
      <c r="G843" s="127"/>
      <c r="H843" s="127"/>
      <c r="I843" s="127"/>
      <c r="J843" s="127"/>
      <c r="K843" s="127"/>
      <c r="L843" s="127"/>
      <c r="M843" s="127"/>
      <c r="N843" s="127"/>
      <c r="O843" s="127"/>
      <c r="P843" s="127"/>
      <c r="Q843" s="127"/>
      <c r="R843" s="127"/>
      <c r="S843" s="127"/>
      <c r="T843" s="127"/>
      <c r="U843" s="127"/>
      <c r="V843" s="127"/>
      <c r="W843" s="127"/>
      <c r="X843" s="127"/>
      <c r="Y843" s="127"/>
      <c r="Z843" s="127"/>
      <c r="AA843" s="127"/>
    </row>
    <row r="844" customFormat="false" ht="15.75" hidden="false" customHeight="false" outlineLevel="0" collapsed="false">
      <c r="A844" s="127" t="str">
        <f aca="false">IF(ISBLANK(B844),"",B844&amp;"|"&amp;C844)</f>
        <v/>
      </c>
      <c r="B844" s="127"/>
      <c r="C844" s="127"/>
      <c r="D844" s="127"/>
      <c r="E844" s="133"/>
      <c r="F844" s="127"/>
      <c r="G844" s="127"/>
      <c r="H844" s="127"/>
      <c r="I844" s="127"/>
      <c r="J844" s="127"/>
      <c r="K844" s="127"/>
      <c r="L844" s="127"/>
      <c r="M844" s="127"/>
      <c r="N844" s="127"/>
      <c r="O844" s="127"/>
      <c r="P844" s="127"/>
      <c r="Q844" s="127"/>
      <c r="R844" s="127"/>
      <c r="S844" s="127"/>
      <c r="T844" s="127"/>
      <c r="U844" s="127"/>
      <c r="V844" s="127"/>
      <c r="W844" s="127"/>
      <c r="X844" s="127"/>
      <c r="Y844" s="127"/>
      <c r="Z844" s="127"/>
      <c r="AA844" s="127"/>
    </row>
    <row r="845" customFormat="false" ht="15.75" hidden="false" customHeight="false" outlineLevel="0" collapsed="false">
      <c r="A845" s="127" t="str">
        <f aca="false">IF(ISBLANK(B845),"",B845&amp;"|"&amp;C845)</f>
        <v/>
      </c>
      <c r="B845" s="127"/>
      <c r="C845" s="127"/>
      <c r="D845" s="127"/>
      <c r="E845" s="133"/>
      <c r="F845" s="127"/>
      <c r="G845" s="127"/>
      <c r="H845" s="127"/>
      <c r="I845" s="127"/>
      <c r="J845" s="127"/>
      <c r="K845" s="127"/>
      <c r="L845" s="127"/>
      <c r="M845" s="127"/>
      <c r="N845" s="127"/>
      <c r="O845" s="127"/>
      <c r="P845" s="127"/>
      <c r="Q845" s="127"/>
      <c r="R845" s="127"/>
      <c r="S845" s="127"/>
      <c r="T845" s="127"/>
      <c r="U845" s="127"/>
      <c r="V845" s="127"/>
      <c r="W845" s="127"/>
      <c r="X845" s="127"/>
      <c r="Y845" s="127"/>
      <c r="Z845" s="127"/>
      <c r="AA845" s="127"/>
    </row>
    <row r="846" customFormat="false" ht="15.75" hidden="false" customHeight="false" outlineLevel="0" collapsed="false">
      <c r="A846" s="127" t="str">
        <f aca="false">IF(ISBLANK(B846),"",B846&amp;"|"&amp;C846)</f>
        <v/>
      </c>
      <c r="B846" s="127"/>
      <c r="C846" s="127"/>
      <c r="D846" s="127"/>
      <c r="E846" s="133"/>
      <c r="F846" s="127"/>
      <c r="G846" s="127"/>
      <c r="H846" s="127"/>
      <c r="I846" s="127"/>
      <c r="J846" s="127"/>
      <c r="K846" s="127"/>
      <c r="L846" s="127"/>
      <c r="M846" s="127"/>
      <c r="N846" s="127"/>
      <c r="O846" s="127"/>
      <c r="P846" s="127"/>
      <c r="Q846" s="127"/>
      <c r="R846" s="127"/>
      <c r="S846" s="127"/>
      <c r="T846" s="127"/>
      <c r="U846" s="127"/>
      <c r="V846" s="127"/>
      <c r="W846" s="127"/>
      <c r="X846" s="127"/>
      <c r="Y846" s="127"/>
      <c r="Z846" s="127"/>
      <c r="AA846" s="127"/>
    </row>
    <row r="847" customFormat="false" ht="15.75" hidden="false" customHeight="false" outlineLevel="0" collapsed="false">
      <c r="A847" s="127" t="str">
        <f aca="false">IF(ISBLANK(B847),"",B847&amp;"|"&amp;C847)</f>
        <v/>
      </c>
      <c r="B847" s="127"/>
      <c r="C847" s="127"/>
      <c r="D847" s="127"/>
      <c r="E847" s="133"/>
      <c r="F847" s="127"/>
      <c r="G847" s="127"/>
      <c r="H847" s="127"/>
      <c r="I847" s="127"/>
      <c r="J847" s="127"/>
      <c r="K847" s="127"/>
      <c r="L847" s="127"/>
      <c r="M847" s="127"/>
      <c r="N847" s="127"/>
      <c r="O847" s="127"/>
      <c r="P847" s="127"/>
      <c r="Q847" s="127"/>
      <c r="R847" s="127"/>
      <c r="S847" s="127"/>
      <c r="T847" s="127"/>
      <c r="U847" s="127"/>
      <c r="V847" s="127"/>
      <c r="W847" s="127"/>
      <c r="X847" s="127"/>
      <c r="Y847" s="127"/>
      <c r="Z847" s="127"/>
      <c r="AA847" s="127"/>
    </row>
    <row r="848" customFormat="false" ht="15.75" hidden="false" customHeight="false" outlineLevel="0" collapsed="false">
      <c r="A848" s="127" t="str">
        <f aca="false">IF(ISBLANK(B848),"",B848&amp;"|"&amp;C848)</f>
        <v/>
      </c>
      <c r="B848" s="127"/>
      <c r="C848" s="127"/>
      <c r="D848" s="127"/>
      <c r="E848" s="133"/>
      <c r="F848" s="127"/>
      <c r="G848" s="127"/>
      <c r="H848" s="127"/>
      <c r="I848" s="127"/>
      <c r="J848" s="127"/>
      <c r="K848" s="127"/>
      <c r="L848" s="127"/>
      <c r="M848" s="127"/>
      <c r="N848" s="127"/>
      <c r="O848" s="127"/>
      <c r="P848" s="127"/>
      <c r="Q848" s="127"/>
      <c r="R848" s="127"/>
      <c r="S848" s="127"/>
      <c r="T848" s="127"/>
      <c r="U848" s="127"/>
      <c r="V848" s="127"/>
      <c r="W848" s="127"/>
      <c r="X848" s="127"/>
      <c r="Y848" s="127"/>
      <c r="Z848" s="127"/>
      <c r="AA848" s="127"/>
    </row>
    <row r="849" customFormat="false" ht="15.75" hidden="false" customHeight="false" outlineLevel="0" collapsed="false">
      <c r="A849" s="127" t="str">
        <f aca="false">IF(ISBLANK(B849),"",B849&amp;"|"&amp;C849)</f>
        <v/>
      </c>
      <c r="B849" s="127"/>
      <c r="C849" s="127"/>
      <c r="D849" s="127"/>
      <c r="E849" s="133"/>
      <c r="F849" s="127"/>
      <c r="G849" s="127"/>
      <c r="H849" s="127"/>
      <c r="I849" s="127"/>
      <c r="J849" s="127"/>
      <c r="K849" s="127"/>
      <c r="L849" s="127"/>
      <c r="M849" s="127"/>
      <c r="N849" s="127"/>
      <c r="O849" s="127"/>
      <c r="P849" s="127"/>
      <c r="Q849" s="127"/>
      <c r="R849" s="127"/>
      <c r="S849" s="127"/>
      <c r="T849" s="127"/>
      <c r="U849" s="127"/>
      <c r="V849" s="127"/>
      <c r="W849" s="127"/>
      <c r="X849" s="127"/>
      <c r="Y849" s="127"/>
      <c r="Z849" s="127"/>
      <c r="AA849" s="127"/>
    </row>
    <row r="850" customFormat="false" ht="15.75" hidden="false" customHeight="false" outlineLevel="0" collapsed="false">
      <c r="A850" s="127" t="str">
        <f aca="false">IF(ISBLANK(B850),"",B850&amp;"|"&amp;C850)</f>
        <v/>
      </c>
      <c r="B850" s="127"/>
      <c r="C850" s="127"/>
      <c r="D850" s="127"/>
      <c r="E850" s="133"/>
      <c r="F850" s="127"/>
      <c r="G850" s="127"/>
      <c r="H850" s="127"/>
      <c r="I850" s="127"/>
      <c r="J850" s="127"/>
      <c r="K850" s="127"/>
      <c r="L850" s="127"/>
      <c r="M850" s="127"/>
      <c r="N850" s="127"/>
      <c r="O850" s="127"/>
      <c r="P850" s="127"/>
      <c r="Q850" s="127"/>
      <c r="R850" s="127"/>
      <c r="S850" s="127"/>
      <c r="T850" s="127"/>
      <c r="U850" s="127"/>
      <c r="V850" s="127"/>
      <c r="W850" s="127"/>
      <c r="X850" s="127"/>
      <c r="Y850" s="127"/>
      <c r="Z850" s="127"/>
      <c r="AA850" s="127"/>
    </row>
    <row r="851" customFormat="false" ht="15.75" hidden="false" customHeight="false" outlineLevel="0" collapsed="false">
      <c r="A851" s="127" t="str">
        <f aca="false">IF(ISBLANK(B851),"",B851&amp;"|"&amp;C851)</f>
        <v/>
      </c>
      <c r="B851" s="127"/>
      <c r="C851" s="127"/>
      <c r="D851" s="127"/>
      <c r="E851" s="133"/>
      <c r="F851" s="127"/>
      <c r="G851" s="127"/>
      <c r="H851" s="127"/>
      <c r="I851" s="127"/>
      <c r="J851" s="127"/>
      <c r="K851" s="127"/>
      <c r="L851" s="127"/>
      <c r="M851" s="127"/>
      <c r="N851" s="127"/>
      <c r="O851" s="127"/>
      <c r="P851" s="127"/>
      <c r="Q851" s="127"/>
      <c r="R851" s="127"/>
      <c r="S851" s="127"/>
      <c r="T851" s="127"/>
      <c r="U851" s="127"/>
      <c r="V851" s="127"/>
      <c r="W851" s="127"/>
      <c r="X851" s="127"/>
      <c r="Y851" s="127"/>
      <c r="Z851" s="127"/>
      <c r="AA851" s="127"/>
    </row>
    <row r="852" customFormat="false" ht="15.75" hidden="false" customHeight="false" outlineLevel="0" collapsed="false">
      <c r="A852" s="127" t="str">
        <f aca="false">IF(ISBLANK(B852),"",B852&amp;"|"&amp;C852)</f>
        <v/>
      </c>
      <c r="B852" s="127"/>
      <c r="C852" s="127"/>
      <c r="D852" s="127"/>
      <c r="E852" s="133"/>
      <c r="F852" s="127"/>
      <c r="G852" s="127"/>
      <c r="H852" s="127"/>
      <c r="I852" s="127"/>
      <c r="J852" s="127"/>
      <c r="K852" s="127"/>
      <c r="L852" s="127"/>
      <c r="M852" s="127"/>
      <c r="N852" s="127"/>
      <c r="O852" s="127"/>
      <c r="P852" s="127"/>
      <c r="Q852" s="127"/>
      <c r="R852" s="127"/>
      <c r="S852" s="127"/>
      <c r="T852" s="127"/>
      <c r="U852" s="127"/>
      <c r="V852" s="127"/>
      <c r="W852" s="127"/>
      <c r="X852" s="127"/>
      <c r="Y852" s="127"/>
      <c r="Z852" s="127"/>
      <c r="AA852" s="127"/>
    </row>
    <row r="853" customFormat="false" ht="15.75" hidden="false" customHeight="false" outlineLevel="0" collapsed="false">
      <c r="A853" s="127" t="str">
        <f aca="false">IF(ISBLANK(B853),"",B853&amp;"|"&amp;C853)</f>
        <v/>
      </c>
      <c r="B853" s="127"/>
      <c r="C853" s="127"/>
      <c r="D853" s="127"/>
      <c r="E853" s="133"/>
      <c r="F853" s="127"/>
      <c r="G853" s="127"/>
      <c r="H853" s="127"/>
      <c r="I853" s="127"/>
      <c r="J853" s="127"/>
      <c r="K853" s="127"/>
      <c r="L853" s="127"/>
      <c r="M853" s="127"/>
      <c r="N853" s="127"/>
      <c r="O853" s="127"/>
      <c r="P853" s="127"/>
      <c r="Q853" s="127"/>
      <c r="R853" s="127"/>
      <c r="S853" s="127"/>
      <c r="T853" s="127"/>
      <c r="U853" s="127"/>
      <c r="V853" s="127"/>
      <c r="W853" s="127"/>
      <c r="X853" s="127"/>
      <c r="Y853" s="127"/>
      <c r="Z853" s="127"/>
      <c r="AA853" s="127"/>
    </row>
    <row r="854" customFormat="false" ht="15.75" hidden="false" customHeight="false" outlineLevel="0" collapsed="false">
      <c r="A854" s="127" t="str">
        <f aca="false">IF(ISBLANK(B854),"",B854&amp;"|"&amp;C854)</f>
        <v/>
      </c>
      <c r="B854" s="127"/>
      <c r="C854" s="127"/>
      <c r="D854" s="127"/>
      <c r="E854" s="133"/>
      <c r="F854" s="127"/>
      <c r="G854" s="127"/>
      <c r="H854" s="127"/>
      <c r="I854" s="127"/>
      <c r="J854" s="127"/>
      <c r="K854" s="127"/>
      <c r="L854" s="127"/>
      <c r="M854" s="127"/>
      <c r="N854" s="127"/>
      <c r="O854" s="127"/>
      <c r="P854" s="127"/>
      <c r="Q854" s="127"/>
      <c r="R854" s="127"/>
      <c r="S854" s="127"/>
      <c r="T854" s="127"/>
      <c r="U854" s="127"/>
      <c r="V854" s="127"/>
      <c r="W854" s="127"/>
      <c r="X854" s="127"/>
      <c r="Y854" s="127"/>
      <c r="Z854" s="127"/>
      <c r="AA854" s="127"/>
    </row>
    <row r="855" customFormat="false" ht="15.75" hidden="false" customHeight="false" outlineLevel="0" collapsed="false">
      <c r="A855" s="127" t="str">
        <f aca="false">IF(ISBLANK(B855),"",B855&amp;"|"&amp;C855)</f>
        <v/>
      </c>
      <c r="B855" s="127"/>
      <c r="C855" s="127"/>
      <c r="D855" s="127"/>
      <c r="E855" s="133"/>
      <c r="F855" s="127"/>
      <c r="G855" s="127"/>
      <c r="H855" s="127"/>
      <c r="I855" s="127"/>
      <c r="J855" s="127"/>
      <c r="K855" s="127"/>
      <c r="L855" s="127"/>
      <c r="M855" s="127"/>
      <c r="N855" s="127"/>
      <c r="O855" s="127"/>
      <c r="P855" s="127"/>
      <c r="Q855" s="127"/>
      <c r="R855" s="127"/>
      <c r="S855" s="127"/>
      <c r="T855" s="127"/>
      <c r="U855" s="127"/>
      <c r="V855" s="127"/>
      <c r="W855" s="127"/>
      <c r="X855" s="127"/>
      <c r="Y855" s="127"/>
      <c r="Z855" s="127"/>
      <c r="AA855" s="127"/>
    </row>
    <row r="856" customFormat="false" ht="15.75" hidden="false" customHeight="false" outlineLevel="0" collapsed="false">
      <c r="A856" s="127" t="str">
        <f aca="false">IF(ISBLANK(B856),"",B856&amp;"|"&amp;C856)</f>
        <v/>
      </c>
      <c r="B856" s="127"/>
      <c r="C856" s="127"/>
      <c r="D856" s="127"/>
      <c r="E856" s="133"/>
      <c r="F856" s="127"/>
      <c r="G856" s="127"/>
      <c r="H856" s="127"/>
      <c r="I856" s="127"/>
      <c r="J856" s="127"/>
      <c r="K856" s="127"/>
      <c r="L856" s="127"/>
      <c r="M856" s="127"/>
      <c r="N856" s="127"/>
      <c r="O856" s="127"/>
      <c r="P856" s="127"/>
      <c r="Q856" s="127"/>
      <c r="R856" s="127"/>
      <c r="S856" s="127"/>
      <c r="T856" s="127"/>
      <c r="U856" s="127"/>
      <c r="V856" s="127"/>
      <c r="W856" s="127"/>
      <c r="X856" s="127"/>
      <c r="Y856" s="127"/>
      <c r="Z856" s="127"/>
      <c r="AA856" s="127"/>
    </row>
    <row r="857" customFormat="false" ht="15.75" hidden="false" customHeight="false" outlineLevel="0" collapsed="false">
      <c r="A857" s="127" t="str">
        <f aca="false">IF(ISBLANK(B857),"",B857&amp;"|"&amp;C857)</f>
        <v/>
      </c>
      <c r="B857" s="127"/>
      <c r="C857" s="127"/>
      <c r="D857" s="127"/>
      <c r="E857" s="133"/>
      <c r="F857" s="127"/>
      <c r="G857" s="127"/>
      <c r="H857" s="127"/>
      <c r="I857" s="127"/>
      <c r="J857" s="127"/>
      <c r="K857" s="127"/>
      <c r="L857" s="127"/>
      <c r="M857" s="127"/>
      <c r="N857" s="127"/>
      <c r="O857" s="127"/>
      <c r="P857" s="127"/>
      <c r="Q857" s="127"/>
      <c r="R857" s="127"/>
      <c r="S857" s="127"/>
      <c r="T857" s="127"/>
      <c r="U857" s="127"/>
      <c r="V857" s="127"/>
      <c r="W857" s="127"/>
      <c r="X857" s="127"/>
      <c r="Y857" s="127"/>
      <c r="Z857" s="127"/>
      <c r="AA857" s="127"/>
    </row>
    <row r="858" customFormat="false" ht="15.75" hidden="false" customHeight="false" outlineLevel="0" collapsed="false">
      <c r="A858" s="127" t="str">
        <f aca="false">IF(ISBLANK(B858),"",B858&amp;"|"&amp;C858)</f>
        <v/>
      </c>
      <c r="B858" s="127"/>
      <c r="C858" s="127"/>
      <c r="D858" s="127"/>
      <c r="E858" s="133"/>
      <c r="F858" s="127"/>
      <c r="G858" s="127"/>
      <c r="H858" s="127"/>
      <c r="I858" s="127"/>
      <c r="J858" s="127"/>
      <c r="K858" s="127"/>
      <c r="L858" s="127"/>
      <c r="M858" s="127"/>
      <c r="N858" s="127"/>
      <c r="O858" s="127"/>
      <c r="P858" s="127"/>
      <c r="Q858" s="127"/>
      <c r="R858" s="127"/>
      <c r="S858" s="127"/>
      <c r="T858" s="127"/>
      <c r="U858" s="127"/>
      <c r="V858" s="127"/>
      <c r="W858" s="127"/>
      <c r="X858" s="127"/>
      <c r="Y858" s="127"/>
      <c r="Z858" s="127"/>
      <c r="AA858" s="127"/>
    </row>
    <row r="859" customFormat="false" ht="15.75" hidden="false" customHeight="false" outlineLevel="0" collapsed="false">
      <c r="A859" s="127" t="str">
        <f aca="false">IF(ISBLANK(B859),"",B859&amp;"|"&amp;C859)</f>
        <v/>
      </c>
      <c r="B859" s="127"/>
      <c r="C859" s="127"/>
      <c r="D859" s="127"/>
      <c r="E859" s="133"/>
      <c r="F859" s="127"/>
      <c r="G859" s="127"/>
      <c r="H859" s="127"/>
      <c r="I859" s="127"/>
      <c r="J859" s="127"/>
      <c r="K859" s="127"/>
      <c r="L859" s="127"/>
      <c r="M859" s="127"/>
      <c r="N859" s="127"/>
      <c r="O859" s="127"/>
      <c r="P859" s="127"/>
      <c r="Q859" s="127"/>
      <c r="R859" s="127"/>
      <c r="S859" s="127"/>
      <c r="T859" s="127"/>
      <c r="U859" s="127"/>
      <c r="V859" s="127"/>
      <c r="W859" s="127"/>
      <c r="X859" s="127"/>
      <c r="Y859" s="127"/>
      <c r="Z859" s="127"/>
      <c r="AA859" s="127"/>
    </row>
    <row r="860" customFormat="false" ht="15.75" hidden="false" customHeight="false" outlineLevel="0" collapsed="false">
      <c r="A860" s="127" t="str">
        <f aca="false">IF(ISBLANK(B860),"",B860&amp;"|"&amp;C860)</f>
        <v/>
      </c>
      <c r="B860" s="127"/>
      <c r="C860" s="127"/>
      <c r="D860" s="127"/>
      <c r="E860" s="133"/>
      <c r="F860" s="127"/>
      <c r="G860" s="127"/>
      <c r="H860" s="127"/>
      <c r="I860" s="127"/>
      <c r="J860" s="127"/>
      <c r="K860" s="127"/>
      <c r="L860" s="127"/>
      <c r="M860" s="127"/>
      <c r="N860" s="127"/>
      <c r="O860" s="127"/>
      <c r="P860" s="127"/>
      <c r="Q860" s="127"/>
      <c r="R860" s="127"/>
      <c r="S860" s="127"/>
      <c r="T860" s="127"/>
      <c r="U860" s="127"/>
      <c r="V860" s="127"/>
      <c r="W860" s="127"/>
      <c r="X860" s="127"/>
      <c r="Y860" s="127"/>
      <c r="Z860" s="127"/>
      <c r="AA860" s="127"/>
    </row>
    <row r="861" customFormat="false" ht="15.75" hidden="false" customHeight="false" outlineLevel="0" collapsed="false">
      <c r="A861" s="127" t="str">
        <f aca="false">IF(ISBLANK(B861),"",B861&amp;"|"&amp;C861)</f>
        <v/>
      </c>
      <c r="B861" s="127"/>
      <c r="C861" s="127"/>
      <c r="D861" s="127"/>
      <c r="E861" s="133"/>
      <c r="F861" s="127"/>
      <c r="G861" s="127"/>
      <c r="H861" s="127"/>
      <c r="I861" s="127"/>
      <c r="J861" s="127"/>
      <c r="K861" s="127"/>
      <c r="L861" s="127"/>
      <c r="M861" s="127"/>
      <c r="N861" s="127"/>
      <c r="O861" s="127"/>
      <c r="P861" s="127"/>
      <c r="Q861" s="127"/>
      <c r="R861" s="127"/>
      <c r="S861" s="127"/>
      <c r="T861" s="127"/>
      <c r="U861" s="127"/>
      <c r="V861" s="127"/>
      <c r="W861" s="127"/>
      <c r="X861" s="127"/>
      <c r="Y861" s="127"/>
      <c r="Z861" s="127"/>
      <c r="AA861" s="127"/>
    </row>
    <row r="862" customFormat="false" ht="15.75" hidden="false" customHeight="false" outlineLevel="0" collapsed="false">
      <c r="A862" s="127" t="str">
        <f aca="false">IF(ISBLANK(B862),"",B862&amp;"|"&amp;C862)</f>
        <v/>
      </c>
      <c r="B862" s="127"/>
      <c r="C862" s="127"/>
      <c r="D862" s="127"/>
      <c r="E862" s="133"/>
      <c r="F862" s="127"/>
      <c r="G862" s="127"/>
      <c r="H862" s="127"/>
      <c r="I862" s="127"/>
      <c r="J862" s="127"/>
      <c r="K862" s="127"/>
      <c r="L862" s="127"/>
      <c r="M862" s="127"/>
      <c r="N862" s="127"/>
      <c r="O862" s="127"/>
      <c r="P862" s="127"/>
      <c r="Q862" s="127"/>
      <c r="R862" s="127"/>
      <c r="S862" s="127"/>
      <c r="T862" s="127"/>
      <c r="U862" s="127"/>
      <c r="V862" s="127"/>
      <c r="W862" s="127"/>
      <c r="X862" s="127"/>
      <c r="Y862" s="127"/>
      <c r="Z862" s="127"/>
      <c r="AA862" s="127"/>
    </row>
    <row r="863" customFormat="false" ht="15.75" hidden="false" customHeight="false" outlineLevel="0" collapsed="false">
      <c r="A863" s="127" t="str">
        <f aca="false">IF(ISBLANK(B863),"",B863&amp;"|"&amp;C863)</f>
        <v/>
      </c>
      <c r="B863" s="127"/>
      <c r="C863" s="127"/>
      <c r="D863" s="127"/>
      <c r="E863" s="133"/>
      <c r="F863" s="127"/>
      <c r="G863" s="127"/>
      <c r="H863" s="127"/>
      <c r="I863" s="127"/>
      <c r="J863" s="127"/>
      <c r="K863" s="127"/>
      <c r="L863" s="127"/>
      <c r="M863" s="127"/>
      <c r="N863" s="127"/>
      <c r="O863" s="127"/>
      <c r="P863" s="127"/>
      <c r="Q863" s="127"/>
      <c r="R863" s="127"/>
      <c r="S863" s="127"/>
      <c r="T863" s="127"/>
      <c r="U863" s="127"/>
      <c r="V863" s="127"/>
      <c r="W863" s="127"/>
      <c r="X863" s="127"/>
      <c r="Y863" s="127"/>
      <c r="Z863" s="127"/>
      <c r="AA863" s="127"/>
    </row>
    <row r="864" customFormat="false" ht="15.75" hidden="false" customHeight="false" outlineLevel="0" collapsed="false">
      <c r="A864" s="127" t="str">
        <f aca="false">IF(ISBLANK(B864),"",B864&amp;"|"&amp;C864)</f>
        <v/>
      </c>
      <c r="B864" s="127"/>
      <c r="C864" s="127"/>
      <c r="D864" s="127"/>
      <c r="E864" s="133"/>
      <c r="F864" s="127"/>
      <c r="G864" s="127"/>
      <c r="H864" s="127"/>
      <c r="I864" s="127"/>
      <c r="J864" s="127"/>
      <c r="K864" s="127"/>
      <c r="L864" s="127"/>
      <c r="M864" s="127"/>
      <c r="N864" s="127"/>
      <c r="O864" s="127"/>
      <c r="P864" s="127"/>
      <c r="Q864" s="127"/>
      <c r="R864" s="127"/>
      <c r="S864" s="127"/>
      <c r="T864" s="127"/>
      <c r="U864" s="127"/>
      <c r="V864" s="127"/>
      <c r="W864" s="127"/>
      <c r="X864" s="127"/>
      <c r="Y864" s="127"/>
      <c r="Z864" s="127"/>
      <c r="AA864" s="127"/>
    </row>
    <row r="865" customFormat="false" ht="15.75" hidden="false" customHeight="false" outlineLevel="0" collapsed="false">
      <c r="A865" s="127" t="str">
        <f aca="false">IF(ISBLANK(B865),"",B865&amp;"|"&amp;C865)</f>
        <v/>
      </c>
      <c r="B865" s="127"/>
      <c r="C865" s="127"/>
      <c r="D865" s="127"/>
      <c r="E865" s="133"/>
      <c r="F865" s="127"/>
      <c r="G865" s="127"/>
      <c r="H865" s="127"/>
      <c r="I865" s="127"/>
      <c r="J865" s="127"/>
      <c r="K865" s="127"/>
      <c r="L865" s="127"/>
      <c r="M865" s="127"/>
      <c r="N865" s="127"/>
      <c r="O865" s="127"/>
      <c r="P865" s="127"/>
      <c r="Q865" s="127"/>
      <c r="R865" s="127"/>
      <c r="S865" s="127"/>
      <c r="T865" s="127"/>
      <c r="U865" s="127"/>
      <c r="V865" s="127"/>
      <c r="W865" s="127"/>
      <c r="X865" s="127"/>
      <c r="Y865" s="127"/>
      <c r="Z865" s="127"/>
      <c r="AA865" s="127"/>
    </row>
    <row r="866" customFormat="false" ht="15.75" hidden="false" customHeight="false" outlineLevel="0" collapsed="false">
      <c r="A866" s="127" t="str">
        <f aca="false">IF(ISBLANK(B866),"",B866&amp;"|"&amp;C866)</f>
        <v/>
      </c>
      <c r="B866" s="127"/>
      <c r="C866" s="127"/>
      <c r="D866" s="127"/>
      <c r="E866" s="133"/>
      <c r="F866" s="127"/>
      <c r="G866" s="127"/>
      <c r="H866" s="127"/>
      <c r="I866" s="127"/>
      <c r="J866" s="127"/>
      <c r="K866" s="127"/>
      <c r="L866" s="127"/>
      <c r="M866" s="127"/>
      <c r="N866" s="127"/>
      <c r="O866" s="127"/>
      <c r="P866" s="127"/>
      <c r="Q866" s="127"/>
      <c r="R866" s="127"/>
      <c r="S866" s="127"/>
      <c r="T866" s="127"/>
      <c r="U866" s="127"/>
      <c r="V866" s="127"/>
      <c r="W866" s="127"/>
      <c r="X866" s="127"/>
      <c r="Y866" s="127"/>
      <c r="Z866" s="127"/>
      <c r="AA866" s="127"/>
    </row>
    <row r="867" customFormat="false" ht="15.75" hidden="false" customHeight="false" outlineLevel="0" collapsed="false">
      <c r="A867" s="127" t="str">
        <f aca="false">IF(ISBLANK(B867),"",B867&amp;"|"&amp;C867)</f>
        <v/>
      </c>
      <c r="B867" s="127"/>
      <c r="C867" s="127"/>
      <c r="D867" s="127"/>
      <c r="E867" s="133"/>
      <c r="F867" s="127"/>
      <c r="G867" s="127"/>
      <c r="H867" s="127"/>
      <c r="I867" s="127"/>
      <c r="J867" s="127"/>
      <c r="K867" s="127"/>
      <c r="L867" s="127"/>
      <c r="M867" s="127"/>
      <c r="N867" s="127"/>
      <c r="O867" s="127"/>
      <c r="P867" s="127"/>
      <c r="Q867" s="127"/>
      <c r="R867" s="127"/>
      <c r="S867" s="127"/>
      <c r="T867" s="127"/>
      <c r="U867" s="127"/>
      <c r="V867" s="127"/>
      <c r="W867" s="127"/>
      <c r="X867" s="127"/>
      <c r="Y867" s="127"/>
      <c r="Z867" s="127"/>
      <c r="AA867" s="127"/>
    </row>
    <row r="868" customFormat="false" ht="15.75" hidden="false" customHeight="false" outlineLevel="0" collapsed="false">
      <c r="A868" s="127" t="str">
        <f aca="false">IF(ISBLANK(B868),"",B868&amp;"|"&amp;C868)</f>
        <v/>
      </c>
      <c r="B868" s="127"/>
      <c r="C868" s="127"/>
      <c r="D868" s="127"/>
      <c r="E868" s="133"/>
      <c r="F868" s="127"/>
      <c r="G868" s="127"/>
      <c r="H868" s="127"/>
      <c r="I868" s="127"/>
      <c r="J868" s="127"/>
      <c r="K868" s="127"/>
      <c r="L868" s="127"/>
      <c r="M868" s="127"/>
      <c r="N868" s="127"/>
      <c r="O868" s="127"/>
      <c r="P868" s="127"/>
      <c r="Q868" s="127"/>
      <c r="R868" s="127"/>
      <c r="S868" s="127"/>
      <c r="T868" s="127"/>
      <c r="U868" s="127"/>
      <c r="V868" s="127"/>
      <c r="W868" s="127"/>
      <c r="X868" s="127"/>
      <c r="Y868" s="127"/>
      <c r="Z868" s="127"/>
      <c r="AA868" s="127"/>
    </row>
    <row r="869" customFormat="false" ht="15.75" hidden="false" customHeight="false" outlineLevel="0" collapsed="false">
      <c r="A869" s="127" t="str">
        <f aca="false">IF(ISBLANK(B869),"",B869&amp;"|"&amp;C869)</f>
        <v/>
      </c>
      <c r="B869" s="127"/>
      <c r="C869" s="127"/>
      <c r="D869" s="127"/>
      <c r="E869" s="133"/>
      <c r="F869" s="127"/>
      <c r="G869" s="127"/>
      <c r="H869" s="127"/>
      <c r="I869" s="127"/>
      <c r="J869" s="127"/>
      <c r="K869" s="127"/>
      <c r="L869" s="127"/>
      <c r="M869" s="127"/>
      <c r="N869" s="127"/>
      <c r="O869" s="127"/>
      <c r="P869" s="127"/>
      <c r="Q869" s="127"/>
      <c r="R869" s="127"/>
      <c r="S869" s="127"/>
      <c r="T869" s="127"/>
      <c r="U869" s="127"/>
      <c r="V869" s="127"/>
      <c r="W869" s="127"/>
      <c r="X869" s="127"/>
      <c r="Y869" s="127"/>
      <c r="Z869" s="127"/>
      <c r="AA869" s="127"/>
    </row>
    <row r="870" customFormat="false" ht="15.75" hidden="false" customHeight="false" outlineLevel="0" collapsed="false">
      <c r="A870" s="127" t="str">
        <f aca="false">IF(ISBLANK(B870),"",B870&amp;"|"&amp;C870)</f>
        <v/>
      </c>
      <c r="B870" s="127"/>
      <c r="C870" s="127"/>
      <c r="D870" s="127"/>
      <c r="E870" s="133"/>
      <c r="F870" s="127"/>
      <c r="G870" s="127"/>
      <c r="H870" s="127"/>
      <c r="I870" s="127"/>
      <c r="J870" s="127"/>
      <c r="K870" s="127"/>
      <c r="L870" s="127"/>
      <c r="M870" s="127"/>
      <c r="N870" s="127"/>
      <c r="O870" s="127"/>
      <c r="P870" s="127"/>
      <c r="Q870" s="127"/>
      <c r="R870" s="127"/>
      <c r="S870" s="127"/>
      <c r="T870" s="127"/>
      <c r="U870" s="127"/>
      <c r="V870" s="127"/>
      <c r="W870" s="127"/>
      <c r="X870" s="127"/>
      <c r="Y870" s="127"/>
      <c r="Z870" s="127"/>
      <c r="AA870" s="127"/>
    </row>
    <row r="871" customFormat="false" ht="15.75" hidden="false" customHeight="false" outlineLevel="0" collapsed="false">
      <c r="A871" s="127" t="str">
        <f aca="false">IF(ISBLANK(B871),"",B871&amp;"|"&amp;C871)</f>
        <v/>
      </c>
      <c r="B871" s="127"/>
      <c r="C871" s="127"/>
      <c r="D871" s="127"/>
      <c r="E871" s="133"/>
      <c r="F871" s="127"/>
      <c r="G871" s="127"/>
      <c r="H871" s="127"/>
      <c r="I871" s="127"/>
      <c r="J871" s="127"/>
      <c r="K871" s="127"/>
      <c r="L871" s="127"/>
      <c r="M871" s="127"/>
      <c r="N871" s="127"/>
      <c r="O871" s="127"/>
      <c r="P871" s="127"/>
      <c r="Q871" s="127"/>
      <c r="R871" s="127"/>
      <c r="S871" s="127"/>
      <c r="T871" s="127"/>
      <c r="U871" s="127"/>
      <c r="V871" s="127"/>
      <c r="W871" s="127"/>
      <c r="X871" s="127"/>
      <c r="Y871" s="127"/>
      <c r="Z871" s="127"/>
      <c r="AA871" s="127"/>
    </row>
    <row r="872" customFormat="false" ht="15.75" hidden="false" customHeight="false" outlineLevel="0" collapsed="false">
      <c r="A872" s="127" t="str">
        <f aca="false">IF(ISBLANK(B872),"",B872&amp;"|"&amp;C872)</f>
        <v/>
      </c>
      <c r="B872" s="127"/>
      <c r="C872" s="127"/>
      <c r="D872" s="127"/>
      <c r="E872" s="133"/>
      <c r="F872" s="127"/>
      <c r="G872" s="127"/>
      <c r="H872" s="127"/>
      <c r="I872" s="127"/>
      <c r="J872" s="127"/>
      <c r="K872" s="127"/>
      <c r="L872" s="127"/>
      <c r="M872" s="127"/>
      <c r="N872" s="127"/>
      <c r="O872" s="127"/>
      <c r="P872" s="127"/>
      <c r="Q872" s="127"/>
      <c r="R872" s="127"/>
      <c r="S872" s="127"/>
      <c r="T872" s="127"/>
      <c r="U872" s="127"/>
      <c r="V872" s="127"/>
      <c r="W872" s="127"/>
      <c r="X872" s="127"/>
      <c r="Y872" s="127"/>
      <c r="Z872" s="127"/>
      <c r="AA872" s="127"/>
    </row>
    <row r="873" customFormat="false" ht="15.75" hidden="false" customHeight="false" outlineLevel="0" collapsed="false">
      <c r="A873" s="127" t="str">
        <f aca="false">IF(ISBLANK(B873),"",B873&amp;"|"&amp;C873)</f>
        <v/>
      </c>
      <c r="B873" s="127"/>
      <c r="C873" s="127"/>
      <c r="D873" s="127"/>
      <c r="E873" s="133"/>
      <c r="F873" s="127"/>
      <c r="G873" s="127"/>
      <c r="H873" s="127"/>
      <c r="I873" s="127"/>
      <c r="J873" s="127"/>
      <c r="K873" s="127"/>
      <c r="L873" s="127"/>
      <c r="M873" s="127"/>
      <c r="N873" s="127"/>
      <c r="O873" s="127"/>
      <c r="P873" s="127"/>
      <c r="Q873" s="127"/>
      <c r="R873" s="127"/>
      <c r="S873" s="127"/>
      <c r="T873" s="127"/>
      <c r="U873" s="127"/>
      <c r="V873" s="127"/>
      <c r="W873" s="127"/>
      <c r="X873" s="127"/>
      <c r="Y873" s="127"/>
      <c r="Z873" s="127"/>
      <c r="AA873" s="127"/>
    </row>
    <row r="874" customFormat="false" ht="15.75" hidden="false" customHeight="false" outlineLevel="0" collapsed="false">
      <c r="A874" s="127" t="str">
        <f aca="false">IF(ISBLANK(B874),"",B874&amp;"|"&amp;C874)</f>
        <v/>
      </c>
      <c r="B874" s="127"/>
      <c r="C874" s="127"/>
      <c r="D874" s="127"/>
      <c r="E874" s="133"/>
      <c r="F874" s="127"/>
      <c r="G874" s="127"/>
      <c r="H874" s="127"/>
      <c r="I874" s="127"/>
      <c r="J874" s="127"/>
      <c r="K874" s="127"/>
      <c r="L874" s="127"/>
      <c r="M874" s="127"/>
      <c r="N874" s="127"/>
      <c r="O874" s="127"/>
      <c r="P874" s="127"/>
      <c r="Q874" s="127"/>
      <c r="R874" s="127"/>
      <c r="S874" s="127"/>
      <c r="T874" s="127"/>
      <c r="U874" s="127"/>
      <c r="V874" s="127"/>
      <c r="W874" s="127"/>
      <c r="X874" s="127"/>
      <c r="Y874" s="127"/>
      <c r="Z874" s="127"/>
      <c r="AA874" s="127"/>
    </row>
    <row r="875" customFormat="false" ht="15.75" hidden="false" customHeight="false" outlineLevel="0" collapsed="false">
      <c r="A875" s="127" t="str">
        <f aca="false">IF(ISBLANK(B875),"",B875&amp;"|"&amp;C875)</f>
        <v/>
      </c>
      <c r="B875" s="127"/>
      <c r="C875" s="127"/>
      <c r="D875" s="127"/>
      <c r="E875" s="133"/>
      <c r="F875" s="127"/>
      <c r="G875" s="127"/>
      <c r="H875" s="127"/>
      <c r="I875" s="127"/>
      <c r="J875" s="127"/>
      <c r="K875" s="127"/>
      <c r="L875" s="127"/>
      <c r="M875" s="127"/>
      <c r="N875" s="127"/>
      <c r="O875" s="127"/>
      <c r="P875" s="127"/>
      <c r="Q875" s="127"/>
      <c r="R875" s="127"/>
      <c r="S875" s="127"/>
      <c r="T875" s="127"/>
      <c r="U875" s="127"/>
      <c r="V875" s="127"/>
      <c r="W875" s="127"/>
      <c r="X875" s="127"/>
      <c r="Y875" s="127"/>
      <c r="Z875" s="127"/>
      <c r="AA875" s="127"/>
    </row>
    <row r="876" customFormat="false" ht="15.75" hidden="false" customHeight="false" outlineLevel="0" collapsed="false">
      <c r="A876" s="127" t="str">
        <f aca="false">IF(ISBLANK(B876),"",B876&amp;"|"&amp;C876)</f>
        <v/>
      </c>
      <c r="B876" s="127"/>
      <c r="C876" s="127"/>
      <c r="D876" s="127"/>
      <c r="E876" s="133"/>
      <c r="F876" s="127"/>
      <c r="G876" s="127"/>
      <c r="H876" s="127"/>
      <c r="I876" s="127"/>
      <c r="J876" s="127"/>
      <c r="K876" s="127"/>
      <c r="L876" s="127"/>
      <c r="M876" s="127"/>
      <c r="N876" s="127"/>
      <c r="O876" s="127"/>
      <c r="P876" s="127"/>
      <c r="Q876" s="127"/>
      <c r="R876" s="127"/>
      <c r="S876" s="127"/>
      <c r="T876" s="127"/>
      <c r="U876" s="127"/>
      <c r="V876" s="127"/>
      <c r="W876" s="127"/>
      <c r="X876" s="127"/>
      <c r="Y876" s="127"/>
      <c r="Z876" s="127"/>
      <c r="AA876" s="127"/>
    </row>
    <row r="877" customFormat="false" ht="15.75" hidden="false" customHeight="false" outlineLevel="0" collapsed="false">
      <c r="A877" s="127" t="str">
        <f aca="false">IF(ISBLANK(B877),"",B877&amp;"|"&amp;C877)</f>
        <v/>
      </c>
      <c r="B877" s="127"/>
      <c r="C877" s="127"/>
      <c r="D877" s="127"/>
      <c r="E877" s="133"/>
      <c r="F877" s="127"/>
      <c r="G877" s="127"/>
      <c r="H877" s="127"/>
      <c r="I877" s="127"/>
      <c r="J877" s="127"/>
      <c r="K877" s="127"/>
      <c r="L877" s="127"/>
      <c r="M877" s="127"/>
      <c r="N877" s="127"/>
      <c r="O877" s="127"/>
      <c r="P877" s="127"/>
      <c r="Q877" s="127"/>
      <c r="R877" s="127"/>
      <c r="S877" s="127"/>
      <c r="T877" s="127"/>
      <c r="U877" s="127"/>
      <c r="V877" s="127"/>
      <c r="W877" s="127"/>
      <c r="X877" s="127"/>
      <c r="Y877" s="127"/>
      <c r="Z877" s="127"/>
      <c r="AA877" s="127"/>
    </row>
    <row r="878" customFormat="false" ht="15.75" hidden="false" customHeight="false" outlineLevel="0" collapsed="false">
      <c r="A878" s="127" t="str">
        <f aca="false">IF(ISBLANK(B878),"",B878&amp;"|"&amp;C878)</f>
        <v/>
      </c>
      <c r="B878" s="127"/>
      <c r="C878" s="127"/>
      <c r="D878" s="127"/>
      <c r="E878" s="133"/>
      <c r="F878" s="127"/>
      <c r="G878" s="127"/>
      <c r="H878" s="127"/>
      <c r="I878" s="127"/>
      <c r="J878" s="127"/>
      <c r="K878" s="127"/>
      <c r="L878" s="127"/>
      <c r="M878" s="127"/>
      <c r="N878" s="127"/>
      <c r="O878" s="127"/>
      <c r="P878" s="127"/>
      <c r="Q878" s="127"/>
      <c r="R878" s="127"/>
      <c r="S878" s="127"/>
      <c r="T878" s="127"/>
      <c r="U878" s="127"/>
      <c r="V878" s="127"/>
      <c r="W878" s="127"/>
      <c r="X878" s="127"/>
      <c r="Y878" s="127"/>
      <c r="Z878" s="127"/>
      <c r="AA878" s="127"/>
    </row>
    <row r="879" customFormat="false" ht="15.75" hidden="false" customHeight="false" outlineLevel="0" collapsed="false">
      <c r="A879" s="127" t="str">
        <f aca="false">IF(ISBLANK(B879),"",B879&amp;"|"&amp;C879)</f>
        <v/>
      </c>
      <c r="B879" s="127"/>
      <c r="C879" s="127"/>
      <c r="D879" s="127"/>
      <c r="E879" s="133"/>
      <c r="F879" s="127"/>
      <c r="G879" s="127"/>
      <c r="H879" s="127"/>
      <c r="I879" s="127"/>
      <c r="J879" s="127"/>
      <c r="K879" s="127"/>
      <c r="L879" s="127"/>
      <c r="M879" s="127"/>
      <c r="N879" s="127"/>
      <c r="O879" s="127"/>
      <c r="P879" s="127"/>
      <c r="Q879" s="127"/>
      <c r="R879" s="127"/>
      <c r="S879" s="127"/>
      <c r="T879" s="127"/>
      <c r="U879" s="127"/>
      <c r="V879" s="127"/>
      <c r="W879" s="127"/>
      <c r="X879" s="127"/>
      <c r="Y879" s="127"/>
      <c r="Z879" s="127"/>
      <c r="AA879" s="127"/>
    </row>
    <row r="880" customFormat="false" ht="15.75" hidden="false" customHeight="false" outlineLevel="0" collapsed="false">
      <c r="A880" s="127" t="str">
        <f aca="false">IF(ISBLANK(B880),"",B880&amp;"|"&amp;C880)</f>
        <v/>
      </c>
      <c r="B880" s="127"/>
      <c r="C880" s="127"/>
      <c r="D880" s="127"/>
      <c r="E880" s="133"/>
      <c r="F880" s="127"/>
      <c r="G880" s="127"/>
      <c r="H880" s="127"/>
      <c r="I880" s="127"/>
      <c r="J880" s="127"/>
      <c r="K880" s="127"/>
      <c r="L880" s="127"/>
      <c r="M880" s="127"/>
      <c r="N880" s="127"/>
      <c r="O880" s="127"/>
      <c r="P880" s="127"/>
      <c r="Q880" s="127"/>
      <c r="R880" s="127"/>
      <c r="S880" s="127"/>
      <c r="T880" s="127"/>
      <c r="U880" s="127"/>
      <c r="V880" s="127"/>
      <c r="W880" s="127"/>
      <c r="X880" s="127"/>
      <c r="Y880" s="127"/>
      <c r="Z880" s="127"/>
      <c r="AA880" s="127"/>
    </row>
    <row r="881" customFormat="false" ht="15.75" hidden="false" customHeight="false" outlineLevel="0" collapsed="false">
      <c r="A881" s="127" t="str">
        <f aca="false">IF(ISBLANK(B881),"",B881&amp;"|"&amp;C881)</f>
        <v/>
      </c>
      <c r="B881" s="127"/>
      <c r="C881" s="127"/>
      <c r="D881" s="127"/>
      <c r="E881" s="133"/>
      <c r="F881" s="127"/>
      <c r="G881" s="127"/>
      <c r="H881" s="127"/>
      <c r="I881" s="127"/>
      <c r="J881" s="127"/>
      <c r="K881" s="127"/>
      <c r="L881" s="127"/>
      <c r="M881" s="127"/>
      <c r="N881" s="127"/>
      <c r="O881" s="127"/>
      <c r="P881" s="127"/>
      <c r="Q881" s="127"/>
      <c r="R881" s="127"/>
      <c r="S881" s="127"/>
      <c r="T881" s="127"/>
      <c r="U881" s="127"/>
      <c r="V881" s="127"/>
      <c r="W881" s="127"/>
      <c r="X881" s="127"/>
      <c r="Y881" s="127"/>
      <c r="Z881" s="127"/>
      <c r="AA881" s="127"/>
    </row>
    <row r="882" customFormat="false" ht="15.75" hidden="false" customHeight="false" outlineLevel="0" collapsed="false">
      <c r="A882" s="127" t="str">
        <f aca="false">IF(ISBLANK(B882),"",B882&amp;"|"&amp;C882)</f>
        <v/>
      </c>
      <c r="B882" s="127"/>
      <c r="C882" s="127"/>
      <c r="D882" s="127"/>
      <c r="E882" s="133"/>
      <c r="F882" s="127"/>
      <c r="G882" s="127"/>
      <c r="H882" s="127"/>
      <c r="I882" s="127"/>
      <c r="J882" s="127"/>
      <c r="K882" s="127"/>
      <c r="L882" s="127"/>
      <c r="M882" s="127"/>
      <c r="N882" s="127"/>
      <c r="O882" s="127"/>
      <c r="P882" s="127"/>
      <c r="Q882" s="127"/>
      <c r="R882" s="127"/>
      <c r="S882" s="127"/>
      <c r="T882" s="127"/>
      <c r="U882" s="127"/>
      <c r="V882" s="127"/>
      <c r="W882" s="127"/>
      <c r="X882" s="127"/>
      <c r="Y882" s="127"/>
      <c r="Z882" s="127"/>
      <c r="AA882" s="127"/>
    </row>
    <row r="883" customFormat="false" ht="15.75" hidden="false" customHeight="false" outlineLevel="0" collapsed="false">
      <c r="A883" s="127" t="str">
        <f aca="false">IF(ISBLANK(B883),"",B883&amp;"|"&amp;C883)</f>
        <v/>
      </c>
      <c r="B883" s="127"/>
      <c r="C883" s="127"/>
      <c r="D883" s="127"/>
      <c r="E883" s="133"/>
      <c r="F883" s="127"/>
      <c r="G883" s="127"/>
      <c r="H883" s="127"/>
      <c r="I883" s="127"/>
      <c r="J883" s="127"/>
      <c r="K883" s="127"/>
      <c r="L883" s="127"/>
      <c r="M883" s="127"/>
      <c r="N883" s="127"/>
      <c r="O883" s="127"/>
      <c r="P883" s="127"/>
      <c r="Q883" s="127"/>
      <c r="R883" s="127"/>
      <c r="S883" s="127"/>
      <c r="T883" s="127"/>
      <c r="U883" s="127"/>
      <c r="V883" s="127"/>
      <c r="W883" s="127"/>
      <c r="X883" s="127"/>
      <c r="Y883" s="127"/>
      <c r="Z883" s="127"/>
      <c r="AA883" s="127"/>
    </row>
    <row r="884" customFormat="false" ht="15.75" hidden="false" customHeight="false" outlineLevel="0" collapsed="false">
      <c r="A884" s="127" t="str">
        <f aca="false">IF(ISBLANK(B884),"",B884&amp;"|"&amp;C884)</f>
        <v/>
      </c>
      <c r="B884" s="127"/>
      <c r="C884" s="127"/>
      <c r="D884" s="127"/>
      <c r="E884" s="133"/>
      <c r="F884" s="127"/>
      <c r="G884" s="127"/>
      <c r="H884" s="127"/>
      <c r="I884" s="127"/>
      <c r="J884" s="127"/>
      <c r="K884" s="127"/>
      <c r="L884" s="127"/>
      <c r="M884" s="127"/>
      <c r="N884" s="127"/>
      <c r="O884" s="127"/>
      <c r="P884" s="127"/>
      <c r="Q884" s="127"/>
      <c r="R884" s="127"/>
      <c r="S884" s="127"/>
      <c r="T884" s="127"/>
      <c r="U884" s="127"/>
      <c r="V884" s="127"/>
      <c r="W884" s="127"/>
      <c r="X884" s="127"/>
      <c r="Y884" s="127"/>
      <c r="Z884" s="127"/>
      <c r="AA884" s="127"/>
    </row>
    <row r="885" customFormat="false" ht="15.75" hidden="false" customHeight="false" outlineLevel="0" collapsed="false">
      <c r="A885" s="127" t="str">
        <f aca="false">IF(ISBLANK(B885),"",B885&amp;"|"&amp;C885)</f>
        <v/>
      </c>
      <c r="B885" s="127"/>
      <c r="C885" s="127"/>
      <c r="D885" s="127"/>
      <c r="E885" s="133"/>
      <c r="F885" s="127"/>
      <c r="G885" s="127"/>
      <c r="H885" s="127"/>
      <c r="I885" s="127"/>
      <c r="J885" s="127"/>
      <c r="K885" s="127"/>
      <c r="L885" s="127"/>
      <c r="M885" s="127"/>
      <c r="N885" s="127"/>
      <c r="O885" s="127"/>
      <c r="P885" s="127"/>
      <c r="Q885" s="127"/>
      <c r="R885" s="127"/>
      <c r="S885" s="127"/>
      <c r="T885" s="127"/>
      <c r="U885" s="127"/>
      <c r="V885" s="127"/>
      <c r="W885" s="127"/>
      <c r="X885" s="127"/>
      <c r="Y885" s="127"/>
      <c r="Z885" s="127"/>
      <c r="AA885" s="127"/>
    </row>
    <row r="886" customFormat="false" ht="15.75" hidden="false" customHeight="false" outlineLevel="0" collapsed="false">
      <c r="A886" s="127" t="str">
        <f aca="false">IF(ISBLANK(B886),"",B886&amp;"|"&amp;C886)</f>
        <v/>
      </c>
      <c r="B886" s="127"/>
      <c r="C886" s="127"/>
      <c r="D886" s="127"/>
      <c r="E886" s="133"/>
      <c r="F886" s="127"/>
      <c r="G886" s="127"/>
      <c r="H886" s="127"/>
      <c r="I886" s="127"/>
      <c r="J886" s="127"/>
      <c r="K886" s="127"/>
      <c r="L886" s="127"/>
      <c r="M886" s="127"/>
      <c r="N886" s="127"/>
      <c r="O886" s="127"/>
      <c r="P886" s="127"/>
      <c r="Q886" s="127"/>
      <c r="R886" s="127"/>
      <c r="S886" s="127"/>
      <c r="T886" s="127"/>
      <c r="U886" s="127"/>
      <c r="V886" s="127"/>
      <c r="W886" s="127"/>
      <c r="X886" s="127"/>
      <c r="Y886" s="127"/>
      <c r="Z886" s="127"/>
      <c r="AA886" s="127"/>
    </row>
    <row r="887" customFormat="false" ht="15.75" hidden="false" customHeight="false" outlineLevel="0" collapsed="false">
      <c r="A887" s="127" t="str">
        <f aca="false">IF(ISBLANK(B887),"",B887&amp;"|"&amp;C887)</f>
        <v/>
      </c>
      <c r="B887" s="127"/>
      <c r="C887" s="127"/>
      <c r="D887" s="127"/>
      <c r="E887" s="133"/>
      <c r="F887" s="127"/>
      <c r="G887" s="127"/>
      <c r="H887" s="127"/>
      <c r="I887" s="127"/>
      <c r="J887" s="127"/>
      <c r="K887" s="127"/>
      <c r="L887" s="127"/>
      <c r="M887" s="127"/>
      <c r="N887" s="127"/>
      <c r="O887" s="127"/>
      <c r="P887" s="127"/>
      <c r="Q887" s="127"/>
      <c r="R887" s="127"/>
      <c r="S887" s="127"/>
      <c r="T887" s="127"/>
      <c r="U887" s="127"/>
      <c r="V887" s="127"/>
      <c r="W887" s="127"/>
      <c r="X887" s="127"/>
      <c r="Y887" s="127"/>
      <c r="Z887" s="127"/>
      <c r="AA887" s="127"/>
    </row>
    <row r="888" customFormat="false" ht="15.75" hidden="false" customHeight="false" outlineLevel="0" collapsed="false">
      <c r="A888" s="127" t="str">
        <f aca="false">IF(ISBLANK(B888),"",B888&amp;"|"&amp;C888)</f>
        <v/>
      </c>
      <c r="B888" s="127"/>
      <c r="C888" s="127"/>
      <c r="D888" s="127"/>
      <c r="E888" s="133"/>
      <c r="F888" s="127"/>
      <c r="G888" s="127"/>
      <c r="H888" s="127"/>
      <c r="I888" s="127"/>
      <c r="J888" s="127"/>
      <c r="K888" s="127"/>
      <c r="L888" s="127"/>
      <c r="M888" s="127"/>
      <c r="N888" s="127"/>
      <c r="O888" s="127"/>
      <c r="P888" s="127"/>
      <c r="Q888" s="127"/>
      <c r="R888" s="127"/>
      <c r="S888" s="127"/>
      <c r="T888" s="127"/>
      <c r="U888" s="127"/>
      <c r="V888" s="127"/>
      <c r="W888" s="127"/>
      <c r="X888" s="127"/>
      <c r="Y888" s="127"/>
      <c r="Z888" s="127"/>
      <c r="AA888" s="127"/>
    </row>
    <row r="889" customFormat="false" ht="15.75" hidden="false" customHeight="false" outlineLevel="0" collapsed="false">
      <c r="A889" s="127" t="str">
        <f aca="false">IF(ISBLANK(B889),"",B889&amp;"|"&amp;C889)</f>
        <v/>
      </c>
      <c r="B889" s="127"/>
      <c r="C889" s="127"/>
      <c r="D889" s="127"/>
      <c r="E889" s="133"/>
      <c r="F889" s="127"/>
      <c r="G889" s="127"/>
      <c r="H889" s="127"/>
      <c r="I889" s="127"/>
      <c r="J889" s="127"/>
      <c r="K889" s="127"/>
      <c r="L889" s="127"/>
      <c r="M889" s="127"/>
      <c r="N889" s="127"/>
      <c r="O889" s="127"/>
      <c r="P889" s="127"/>
      <c r="Q889" s="127"/>
      <c r="R889" s="127"/>
      <c r="S889" s="127"/>
      <c r="T889" s="127"/>
      <c r="U889" s="127"/>
      <c r="V889" s="127"/>
      <c r="W889" s="127"/>
      <c r="X889" s="127"/>
      <c r="Y889" s="127"/>
      <c r="Z889" s="127"/>
      <c r="AA889" s="127"/>
    </row>
    <row r="890" customFormat="false" ht="15.75" hidden="false" customHeight="false" outlineLevel="0" collapsed="false">
      <c r="A890" s="127" t="str">
        <f aca="false">IF(ISBLANK(B890),"",B890&amp;"|"&amp;C890)</f>
        <v/>
      </c>
      <c r="B890" s="127"/>
      <c r="C890" s="127"/>
      <c r="D890" s="127"/>
      <c r="E890" s="133"/>
      <c r="F890" s="127"/>
      <c r="G890" s="127"/>
      <c r="H890" s="127"/>
      <c r="I890" s="127"/>
      <c r="J890" s="127"/>
      <c r="K890" s="127"/>
      <c r="L890" s="127"/>
      <c r="M890" s="127"/>
      <c r="N890" s="127"/>
      <c r="O890" s="127"/>
      <c r="P890" s="127"/>
      <c r="Q890" s="127"/>
      <c r="R890" s="127"/>
      <c r="S890" s="127"/>
      <c r="T890" s="127"/>
      <c r="U890" s="127"/>
      <c r="V890" s="127"/>
      <c r="W890" s="127"/>
      <c r="X890" s="127"/>
      <c r="Y890" s="127"/>
      <c r="Z890" s="127"/>
      <c r="AA890" s="127"/>
    </row>
    <row r="891" customFormat="false" ht="15.75" hidden="false" customHeight="false" outlineLevel="0" collapsed="false">
      <c r="A891" s="127" t="str">
        <f aca="false">IF(ISBLANK(B891),"",B891&amp;"|"&amp;C891)</f>
        <v/>
      </c>
      <c r="B891" s="127"/>
      <c r="C891" s="127"/>
      <c r="D891" s="127"/>
      <c r="E891" s="133"/>
      <c r="F891" s="127"/>
      <c r="G891" s="127"/>
      <c r="H891" s="127"/>
      <c r="I891" s="127"/>
      <c r="J891" s="127"/>
      <c r="K891" s="127"/>
      <c r="L891" s="127"/>
      <c r="M891" s="127"/>
      <c r="N891" s="127"/>
      <c r="O891" s="127"/>
      <c r="P891" s="127"/>
      <c r="Q891" s="127"/>
      <c r="R891" s="127"/>
      <c r="S891" s="127"/>
      <c r="T891" s="127"/>
      <c r="U891" s="127"/>
      <c r="V891" s="127"/>
      <c r="W891" s="127"/>
      <c r="X891" s="127"/>
      <c r="Y891" s="127"/>
      <c r="Z891" s="127"/>
      <c r="AA891" s="127"/>
    </row>
    <row r="892" customFormat="false" ht="15.75" hidden="false" customHeight="false" outlineLevel="0" collapsed="false">
      <c r="A892" s="127" t="str">
        <f aca="false">IF(ISBLANK(B892),"",B892&amp;"|"&amp;C892)</f>
        <v/>
      </c>
      <c r="B892" s="127"/>
      <c r="C892" s="127"/>
      <c r="D892" s="127"/>
      <c r="E892" s="133"/>
      <c r="F892" s="127"/>
      <c r="G892" s="127"/>
      <c r="H892" s="127"/>
      <c r="I892" s="127"/>
      <c r="J892" s="127"/>
      <c r="K892" s="127"/>
      <c r="L892" s="127"/>
      <c r="M892" s="127"/>
      <c r="N892" s="127"/>
      <c r="O892" s="127"/>
      <c r="P892" s="127"/>
      <c r="Q892" s="127"/>
      <c r="R892" s="127"/>
      <c r="S892" s="127"/>
      <c r="T892" s="127"/>
      <c r="U892" s="127"/>
      <c r="V892" s="127"/>
      <c r="W892" s="127"/>
      <c r="X892" s="127"/>
      <c r="Y892" s="127"/>
      <c r="Z892" s="127"/>
      <c r="AA892" s="127"/>
    </row>
    <row r="893" customFormat="false" ht="15.75" hidden="false" customHeight="false" outlineLevel="0" collapsed="false">
      <c r="A893" s="127" t="str">
        <f aca="false">IF(ISBLANK(B893),"",B893&amp;"|"&amp;C893)</f>
        <v/>
      </c>
      <c r="B893" s="127"/>
      <c r="C893" s="127"/>
      <c r="D893" s="127"/>
      <c r="E893" s="133"/>
      <c r="F893" s="127"/>
      <c r="G893" s="127"/>
      <c r="H893" s="127"/>
      <c r="I893" s="127"/>
      <c r="J893" s="127"/>
      <c r="K893" s="127"/>
      <c r="L893" s="127"/>
      <c r="M893" s="127"/>
      <c r="N893" s="127"/>
      <c r="O893" s="127"/>
      <c r="P893" s="127"/>
      <c r="Q893" s="127"/>
      <c r="R893" s="127"/>
      <c r="S893" s="127"/>
      <c r="T893" s="127"/>
      <c r="U893" s="127"/>
      <c r="V893" s="127"/>
      <c r="W893" s="127"/>
      <c r="X893" s="127"/>
      <c r="Y893" s="127"/>
      <c r="Z893" s="127"/>
      <c r="AA893" s="127"/>
    </row>
    <row r="894" customFormat="false" ht="15.75" hidden="false" customHeight="false" outlineLevel="0" collapsed="false">
      <c r="A894" s="127" t="str">
        <f aca="false">IF(ISBLANK(B894),"",B894&amp;"|"&amp;C894)</f>
        <v/>
      </c>
      <c r="B894" s="127"/>
      <c r="C894" s="127"/>
      <c r="D894" s="127"/>
      <c r="E894" s="133"/>
      <c r="F894" s="127"/>
      <c r="G894" s="127"/>
      <c r="H894" s="127"/>
      <c r="I894" s="127"/>
      <c r="J894" s="127"/>
      <c r="K894" s="127"/>
      <c r="L894" s="127"/>
      <c r="M894" s="127"/>
      <c r="N894" s="127"/>
      <c r="O894" s="127"/>
      <c r="P894" s="127"/>
      <c r="Q894" s="127"/>
      <c r="R894" s="127"/>
      <c r="S894" s="127"/>
      <c r="T894" s="127"/>
      <c r="U894" s="127"/>
      <c r="V894" s="127"/>
      <c r="W894" s="127"/>
      <c r="X894" s="127"/>
      <c r="Y894" s="127"/>
      <c r="Z894" s="127"/>
      <c r="AA894" s="127"/>
    </row>
    <row r="895" customFormat="false" ht="15.75" hidden="false" customHeight="false" outlineLevel="0" collapsed="false">
      <c r="A895" s="127" t="str">
        <f aca="false">IF(ISBLANK(B895),"",B895&amp;"|"&amp;C895)</f>
        <v/>
      </c>
      <c r="B895" s="127"/>
      <c r="C895" s="127"/>
      <c r="D895" s="127"/>
      <c r="E895" s="133"/>
      <c r="F895" s="127"/>
      <c r="G895" s="127"/>
      <c r="H895" s="127"/>
      <c r="I895" s="127"/>
      <c r="J895" s="127"/>
      <c r="K895" s="127"/>
      <c r="L895" s="127"/>
      <c r="M895" s="127"/>
      <c r="N895" s="127"/>
      <c r="O895" s="127"/>
      <c r="P895" s="127"/>
      <c r="Q895" s="127"/>
      <c r="R895" s="127"/>
      <c r="S895" s="127"/>
      <c r="T895" s="127"/>
      <c r="U895" s="127"/>
      <c r="V895" s="127"/>
      <c r="W895" s="127"/>
      <c r="X895" s="127"/>
      <c r="Y895" s="127"/>
      <c r="Z895" s="127"/>
      <c r="AA895" s="127"/>
    </row>
    <row r="896" customFormat="false" ht="15.75" hidden="false" customHeight="false" outlineLevel="0" collapsed="false">
      <c r="A896" s="127" t="str">
        <f aca="false">IF(ISBLANK(B896),"",B896&amp;"|"&amp;C896)</f>
        <v/>
      </c>
      <c r="B896" s="127"/>
      <c r="C896" s="127"/>
      <c r="D896" s="127"/>
      <c r="E896" s="133"/>
      <c r="F896" s="127"/>
      <c r="G896" s="127"/>
      <c r="H896" s="127"/>
      <c r="I896" s="127"/>
      <c r="J896" s="127"/>
      <c r="K896" s="127"/>
      <c r="L896" s="127"/>
      <c r="M896" s="127"/>
      <c r="N896" s="127"/>
      <c r="O896" s="127"/>
      <c r="P896" s="127"/>
      <c r="Q896" s="127"/>
      <c r="R896" s="127"/>
      <c r="S896" s="127"/>
      <c r="T896" s="127"/>
      <c r="U896" s="127"/>
      <c r="V896" s="127"/>
      <c r="W896" s="127"/>
      <c r="X896" s="127"/>
      <c r="Y896" s="127"/>
      <c r="Z896" s="127"/>
      <c r="AA896" s="127"/>
    </row>
    <row r="897" customFormat="false" ht="15.75" hidden="false" customHeight="false" outlineLevel="0" collapsed="false">
      <c r="A897" s="127" t="str">
        <f aca="false">IF(ISBLANK(B897),"",B897&amp;"|"&amp;C897)</f>
        <v/>
      </c>
      <c r="B897" s="127"/>
      <c r="C897" s="127"/>
      <c r="D897" s="127"/>
      <c r="E897" s="133"/>
      <c r="F897" s="127"/>
      <c r="G897" s="127"/>
      <c r="H897" s="127"/>
      <c r="I897" s="127"/>
      <c r="J897" s="127"/>
      <c r="K897" s="127"/>
      <c r="L897" s="127"/>
      <c r="M897" s="127"/>
      <c r="N897" s="127"/>
      <c r="O897" s="127"/>
      <c r="P897" s="127"/>
      <c r="Q897" s="127"/>
      <c r="R897" s="127"/>
      <c r="S897" s="127"/>
      <c r="T897" s="127"/>
      <c r="U897" s="127"/>
      <c r="V897" s="127"/>
      <c r="W897" s="127"/>
      <c r="X897" s="127"/>
      <c r="Y897" s="127"/>
      <c r="Z897" s="127"/>
      <c r="AA897" s="127"/>
    </row>
    <row r="898" customFormat="false" ht="15.75" hidden="false" customHeight="false" outlineLevel="0" collapsed="false">
      <c r="A898" s="127" t="str">
        <f aca="false">IF(ISBLANK(B898),"",B898&amp;"|"&amp;C898)</f>
        <v/>
      </c>
      <c r="B898" s="127"/>
      <c r="C898" s="127"/>
      <c r="D898" s="127"/>
      <c r="E898" s="133"/>
      <c r="F898" s="127"/>
      <c r="G898" s="127"/>
      <c r="H898" s="127"/>
      <c r="I898" s="127"/>
      <c r="J898" s="127"/>
      <c r="K898" s="127"/>
      <c r="L898" s="127"/>
      <c r="M898" s="127"/>
      <c r="N898" s="127"/>
      <c r="O898" s="127"/>
      <c r="P898" s="127"/>
      <c r="Q898" s="127"/>
      <c r="R898" s="127"/>
      <c r="S898" s="127"/>
      <c r="T898" s="127"/>
      <c r="U898" s="127"/>
      <c r="V898" s="127"/>
      <c r="W898" s="127"/>
      <c r="X898" s="127"/>
      <c r="Y898" s="127"/>
      <c r="Z898" s="127"/>
      <c r="AA898" s="127"/>
    </row>
    <row r="899" customFormat="false" ht="15.75" hidden="false" customHeight="false" outlineLevel="0" collapsed="false">
      <c r="A899" s="127" t="str">
        <f aca="false">IF(ISBLANK(B899),"",B899&amp;"|"&amp;C899)</f>
        <v/>
      </c>
      <c r="B899" s="127"/>
      <c r="C899" s="127"/>
      <c r="D899" s="127"/>
      <c r="E899" s="133"/>
      <c r="F899" s="127"/>
      <c r="G899" s="127"/>
      <c r="H899" s="127"/>
      <c r="I899" s="127"/>
      <c r="J899" s="127"/>
      <c r="K899" s="127"/>
      <c r="L899" s="127"/>
      <c r="M899" s="127"/>
      <c r="N899" s="127"/>
      <c r="O899" s="127"/>
      <c r="P899" s="127"/>
      <c r="Q899" s="127"/>
      <c r="R899" s="127"/>
      <c r="S899" s="127"/>
      <c r="T899" s="127"/>
      <c r="U899" s="127"/>
      <c r="V899" s="127"/>
      <c r="W899" s="127"/>
      <c r="X899" s="127"/>
      <c r="Y899" s="127"/>
      <c r="Z899" s="127"/>
      <c r="AA899" s="127"/>
    </row>
    <row r="900" customFormat="false" ht="15.75" hidden="false" customHeight="false" outlineLevel="0" collapsed="false">
      <c r="A900" s="127" t="str">
        <f aca="false">IF(ISBLANK(B900),"",B900&amp;"|"&amp;C900)</f>
        <v/>
      </c>
      <c r="B900" s="127"/>
      <c r="C900" s="127"/>
      <c r="D900" s="127"/>
      <c r="E900" s="133"/>
      <c r="F900" s="127"/>
      <c r="G900" s="127"/>
      <c r="H900" s="127"/>
      <c r="I900" s="127"/>
      <c r="J900" s="127"/>
      <c r="K900" s="127"/>
      <c r="L900" s="127"/>
      <c r="M900" s="127"/>
      <c r="N900" s="127"/>
      <c r="O900" s="127"/>
      <c r="P900" s="127"/>
      <c r="Q900" s="127"/>
      <c r="R900" s="127"/>
      <c r="S900" s="127"/>
      <c r="T900" s="127"/>
      <c r="U900" s="127"/>
      <c r="V900" s="127"/>
      <c r="W900" s="127"/>
      <c r="X900" s="127"/>
      <c r="Y900" s="127"/>
      <c r="Z900" s="127"/>
      <c r="AA900" s="127"/>
    </row>
    <row r="901" customFormat="false" ht="15.75" hidden="false" customHeight="false" outlineLevel="0" collapsed="false">
      <c r="A901" s="127" t="str">
        <f aca="false">IF(ISBLANK(B901),"",B901&amp;"|"&amp;C901)</f>
        <v/>
      </c>
      <c r="B901" s="127"/>
      <c r="C901" s="127"/>
      <c r="D901" s="127"/>
      <c r="E901" s="133"/>
      <c r="F901" s="127"/>
      <c r="G901" s="127"/>
      <c r="H901" s="127"/>
      <c r="I901" s="127"/>
      <c r="J901" s="127"/>
      <c r="K901" s="127"/>
      <c r="L901" s="127"/>
      <c r="M901" s="127"/>
      <c r="N901" s="127"/>
      <c r="O901" s="127"/>
      <c r="P901" s="127"/>
      <c r="Q901" s="127"/>
      <c r="R901" s="127"/>
      <c r="S901" s="127"/>
      <c r="T901" s="127"/>
      <c r="U901" s="127"/>
      <c r="V901" s="127"/>
      <c r="W901" s="127"/>
      <c r="X901" s="127"/>
      <c r="Y901" s="127"/>
      <c r="Z901" s="127"/>
      <c r="AA901" s="127"/>
    </row>
    <row r="902" customFormat="false" ht="15.75" hidden="false" customHeight="false" outlineLevel="0" collapsed="false">
      <c r="A902" s="127" t="str">
        <f aca="false">IF(ISBLANK(B902),"",B902&amp;"|"&amp;C902)</f>
        <v/>
      </c>
      <c r="B902" s="127"/>
      <c r="C902" s="127"/>
      <c r="D902" s="127"/>
      <c r="E902" s="133"/>
      <c r="F902" s="127"/>
      <c r="G902" s="127"/>
      <c r="H902" s="127"/>
      <c r="I902" s="127"/>
      <c r="J902" s="127"/>
      <c r="K902" s="127"/>
      <c r="L902" s="127"/>
      <c r="M902" s="127"/>
      <c r="N902" s="127"/>
      <c r="O902" s="127"/>
      <c r="P902" s="127"/>
      <c r="Q902" s="127"/>
      <c r="R902" s="127"/>
      <c r="S902" s="127"/>
      <c r="T902" s="127"/>
      <c r="U902" s="127"/>
      <c r="V902" s="127"/>
      <c r="W902" s="127"/>
      <c r="X902" s="127"/>
      <c r="Y902" s="127"/>
      <c r="Z902" s="127"/>
      <c r="AA902" s="127"/>
    </row>
    <row r="903" customFormat="false" ht="15.75" hidden="false" customHeight="false" outlineLevel="0" collapsed="false">
      <c r="A903" s="127" t="str">
        <f aca="false">IF(ISBLANK(B903),"",B903&amp;"|"&amp;C903)</f>
        <v/>
      </c>
      <c r="B903" s="127"/>
      <c r="C903" s="127"/>
      <c r="D903" s="127"/>
      <c r="E903" s="133"/>
      <c r="F903" s="127"/>
      <c r="G903" s="127"/>
      <c r="H903" s="127"/>
      <c r="I903" s="127"/>
      <c r="J903" s="127"/>
      <c r="K903" s="127"/>
      <c r="L903" s="127"/>
      <c r="M903" s="127"/>
      <c r="N903" s="127"/>
      <c r="O903" s="127"/>
      <c r="P903" s="127"/>
      <c r="Q903" s="127"/>
      <c r="R903" s="127"/>
      <c r="S903" s="127"/>
      <c r="T903" s="127"/>
      <c r="U903" s="127"/>
      <c r="V903" s="127"/>
      <c r="W903" s="127"/>
      <c r="X903" s="127"/>
      <c r="Y903" s="127"/>
      <c r="Z903" s="127"/>
      <c r="AA903" s="127"/>
    </row>
    <row r="904" customFormat="false" ht="15.75" hidden="false" customHeight="false" outlineLevel="0" collapsed="false">
      <c r="A904" s="127" t="str">
        <f aca="false">IF(ISBLANK(B904),"",B904&amp;"|"&amp;C904)</f>
        <v/>
      </c>
      <c r="B904" s="127"/>
      <c r="C904" s="127"/>
      <c r="D904" s="127"/>
      <c r="E904" s="133"/>
      <c r="F904" s="127"/>
      <c r="G904" s="127"/>
      <c r="H904" s="127"/>
      <c r="I904" s="127"/>
      <c r="J904" s="127"/>
      <c r="K904" s="127"/>
      <c r="L904" s="127"/>
      <c r="M904" s="127"/>
      <c r="N904" s="127"/>
      <c r="O904" s="127"/>
      <c r="P904" s="127"/>
      <c r="Q904" s="127"/>
      <c r="R904" s="127"/>
      <c r="S904" s="127"/>
      <c r="T904" s="127"/>
      <c r="U904" s="127"/>
      <c r="V904" s="127"/>
      <c r="W904" s="127"/>
      <c r="X904" s="127"/>
      <c r="Y904" s="127"/>
      <c r="Z904" s="127"/>
      <c r="AA904" s="127"/>
    </row>
    <row r="905" customFormat="false" ht="15.75" hidden="false" customHeight="false" outlineLevel="0" collapsed="false">
      <c r="A905" s="127" t="str">
        <f aca="false">IF(ISBLANK(B905),"",B905&amp;"|"&amp;C905)</f>
        <v/>
      </c>
      <c r="B905" s="127"/>
      <c r="C905" s="127"/>
      <c r="D905" s="127"/>
      <c r="E905" s="133"/>
      <c r="F905" s="127"/>
      <c r="G905" s="127"/>
      <c r="H905" s="127"/>
      <c r="I905" s="127"/>
      <c r="J905" s="127"/>
      <c r="K905" s="127"/>
      <c r="L905" s="127"/>
      <c r="M905" s="127"/>
      <c r="N905" s="127"/>
      <c r="O905" s="127"/>
      <c r="P905" s="127"/>
      <c r="Q905" s="127"/>
      <c r="R905" s="127"/>
      <c r="S905" s="127"/>
      <c r="T905" s="127"/>
      <c r="U905" s="127"/>
      <c r="V905" s="127"/>
      <c r="W905" s="127"/>
      <c r="X905" s="127"/>
      <c r="Y905" s="127"/>
      <c r="Z905" s="127"/>
      <c r="AA905" s="127"/>
    </row>
    <row r="906" customFormat="false" ht="15.75" hidden="false" customHeight="false" outlineLevel="0" collapsed="false">
      <c r="A906" s="127" t="str">
        <f aca="false">IF(ISBLANK(B906),"",B906&amp;"|"&amp;C906)</f>
        <v/>
      </c>
      <c r="B906" s="127"/>
      <c r="C906" s="127"/>
      <c r="D906" s="127"/>
      <c r="E906" s="133"/>
      <c r="F906" s="127"/>
      <c r="G906" s="127"/>
      <c r="H906" s="127"/>
      <c r="I906" s="127"/>
      <c r="J906" s="127"/>
      <c r="K906" s="127"/>
      <c r="L906" s="127"/>
      <c r="M906" s="127"/>
      <c r="N906" s="127"/>
      <c r="O906" s="127"/>
      <c r="P906" s="127"/>
      <c r="Q906" s="127"/>
      <c r="R906" s="127"/>
      <c r="S906" s="127"/>
      <c r="T906" s="127"/>
      <c r="U906" s="127"/>
      <c r="V906" s="127"/>
      <c r="W906" s="127"/>
      <c r="X906" s="127"/>
      <c r="Y906" s="127"/>
      <c r="Z906" s="127"/>
      <c r="AA906" s="127"/>
    </row>
    <row r="907" customFormat="false" ht="15.75" hidden="false" customHeight="false" outlineLevel="0" collapsed="false">
      <c r="A907" s="127" t="str">
        <f aca="false">IF(ISBLANK(B907),"",B907&amp;"|"&amp;C907)</f>
        <v/>
      </c>
      <c r="B907" s="127"/>
      <c r="C907" s="127"/>
      <c r="D907" s="127"/>
      <c r="E907" s="133"/>
      <c r="F907" s="127"/>
      <c r="G907" s="127"/>
      <c r="H907" s="127"/>
      <c r="I907" s="127"/>
      <c r="J907" s="127"/>
      <c r="K907" s="127"/>
      <c r="L907" s="127"/>
      <c r="M907" s="127"/>
      <c r="N907" s="127"/>
      <c r="O907" s="127"/>
      <c r="P907" s="127"/>
      <c r="Q907" s="127"/>
      <c r="R907" s="127"/>
      <c r="S907" s="127"/>
      <c r="T907" s="127"/>
      <c r="U907" s="127"/>
      <c r="V907" s="127"/>
      <c r="W907" s="127"/>
      <c r="X907" s="127"/>
      <c r="Y907" s="127"/>
      <c r="Z907" s="127"/>
      <c r="AA907" s="127"/>
    </row>
    <row r="908" customFormat="false" ht="15.75" hidden="false" customHeight="false" outlineLevel="0" collapsed="false">
      <c r="A908" s="127" t="str">
        <f aca="false">IF(ISBLANK(B908),"",B908&amp;"|"&amp;C908)</f>
        <v/>
      </c>
      <c r="B908" s="127"/>
      <c r="C908" s="127"/>
      <c r="D908" s="127"/>
      <c r="E908" s="133"/>
      <c r="F908" s="127"/>
      <c r="G908" s="127"/>
      <c r="H908" s="127"/>
      <c r="I908" s="127"/>
      <c r="J908" s="127"/>
      <c r="K908" s="127"/>
      <c r="L908" s="127"/>
      <c r="M908" s="127"/>
      <c r="N908" s="127"/>
      <c r="O908" s="127"/>
      <c r="P908" s="127"/>
      <c r="Q908" s="127"/>
      <c r="R908" s="127"/>
      <c r="S908" s="127"/>
      <c r="T908" s="127"/>
      <c r="U908" s="127"/>
      <c r="V908" s="127"/>
      <c r="W908" s="127"/>
      <c r="X908" s="127"/>
      <c r="Y908" s="127"/>
      <c r="Z908" s="127"/>
      <c r="AA908" s="127"/>
    </row>
    <row r="909" customFormat="false" ht="15.75" hidden="false" customHeight="false" outlineLevel="0" collapsed="false">
      <c r="A909" s="127" t="str">
        <f aca="false">IF(ISBLANK(B909),"",B909&amp;"|"&amp;C909)</f>
        <v/>
      </c>
      <c r="B909" s="127"/>
      <c r="C909" s="127"/>
      <c r="D909" s="127"/>
      <c r="E909" s="133"/>
      <c r="F909" s="127"/>
      <c r="G909" s="127"/>
      <c r="H909" s="127"/>
      <c r="I909" s="127"/>
      <c r="J909" s="127"/>
      <c r="K909" s="127"/>
      <c r="L909" s="127"/>
      <c r="M909" s="127"/>
      <c r="N909" s="127"/>
      <c r="O909" s="127"/>
      <c r="P909" s="127"/>
      <c r="Q909" s="127"/>
      <c r="R909" s="127"/>
      <c r="S909" s="127"/>
      <c r="T909" s="127"/>
      <c r="U909" s="127"/>
      <c r="V909" s="127"/>
      <c r="W909" s="127"/>
      <c r="X909" s="127"/>
      <c r="Y909" s="127"/>
      <c r="Z909" s="127"/>
      <c r="AA909" s="127"/>
    </row>
    <row r="910" customFormat="false" ht="15.75" hidden="false" customHeight="false" outlineLevel="0" collapsed="false">
      <c r="A910" s="127" t="str">
        <f aca="false">IF(ISBLANK(B910),"",B910&amp;"|"&amp;C910)</f>
        <v/>
      </c>
      <c r="B910" s="127"/>
      <c r="C910" s="127"/>
      <c r="D910" s="127"/>
      <c r="E910" s="133"/>
      <c r="F910" s="127"/>
      <c r="G910" s="127"/>
      <c r="H910" s="127"/>
      <c r="I910" s="127"/>
      <c r="J910" s="127"/>
      <c r="K910" s="127"/>
      <c r="L910" s="127"/>
      <c r="M910" s="127"/>
      <c r="N910" s="127"/>
      <c r="O910" s="127"/>
      <c r="P910" s="127"/>
      <c r="Q910" s="127"/>
      <c r="R910" s="127"/>
      <c r="S910" s="127"/>
      <c r="T910" s="127"/>
      <c r="U910" s="127"/>
      <c r="V910" s="127"/>
      <c r="W910" s="127"/>
      <c r="X910" s="127"/>
      <c r="Y910" s="127"/>
      <c r="Z910" s="127"/>
      <c r="AA910" s="127"/>
    </row>
    <row r="911" customFormat="false" ht="15.75" hidden="false" customHeight="false" outlineLevel="0" collapsed="false">
      <c r="A911" s="127" t="str">
        <f aca="false">IF(ISBLANK(B911),"",B911&amp;"|"&amp;C911)</f>
        <v/>
      </c>
      <c r="B911" s="127"/>
      <c r="C911" s="127"/>
      <c r="D911" s="127"/>
      <c r="E911" s="133"/>
      <c r="F911" s="127"/>
      <c r="G911" s="127"/>
      <c r="H911" s="127"/>
      <c r="I911" s="127"/>
      <c r="J911" s="127"/>
      <c r="K911" s="127"/>
      <c r="L911" s="127"/>
      <c r="M911" s="127"/>
      <c r="N911" s="127"/>
      <c r="O911" s="127"/>
      <c r="P911" s="127"/>
      <c r="Q911" s="127"/>
      <c r="R911" s="127"/>
      <c r="S911" s="127"/>
      <c r="T911" s="127"/>
      <c r="U911" s="127"/>
      <c r="V911" s="127"/>
      <c r="W911" s="127"/>
      <c r="X911" s="127"/>
      <c r="Y911" s="127"/>
      <c r="Z911" s="127"/>
      <c r="AA911" s="127"/>
    </row>
    <row r="912" customFormat="false" ht="15.75" hidden="false" customHeight="false" outlineLevel="0" collapsed="false">
      <c r="A912" s="127" t="str">
        <f aca="false">IF(ISBLANK(B912),"",B912&amp;"|"&amp;C912)</f>
        <v/>
      </c>
      <c r="B912" s="127"/>
      <c r="C912" s="127"/>
      <c r="D912" s="127"/>
      <c r="E912" s="133"/>
      <c r="F912" s="127"/>
      <c r="G912" s="127"/>
      <c r="H912" s="127"/>
      <c r="I912" s="127"/>
      <c r="J912" s="127"/>
      <c r="K912" s="127"/>
      <c r="L912" s="127"/>
      <c r="M912" s="127"/>
      <c r="N912" s="127"/>
      <c r="O912" s="127"/>
      <c r="P912" s="127"/>
      <c r="Q912" s="127"/>
      <c r="R912" s="127"/>
      <c r="S912" s="127"/>
      <c r="T912" s="127"/>
      <c r="U912" s="127"/>
      <c r="V912" s="127"/>
      <c r="W912" s="127"/>
      <c r="X912" s="127"/>
      <c r="Y912" s="127"/>
      <c r="Z912" s="127"/>
      <c r="AA912" s="127"/>
    </row>
    <row r="913" customFormat="false" ht="15.75" hidden="false" customHeight="false" outlineLevel="0" collapsed="false">
      <c r="A913" s="127" t="str">
        <f aca="false">IF(ISBLANK(B913),"",B913&amp;"|"&amp;C913)</f>
        <v/>
      </c>
      <c r="B913" s="127"/>
      <c r="C913" s="127"/>
      <c r="D913" s="127"/>
      <c r="E913" s="133"/>
      <c r="F913" s="127"/>
      <c r="G913" s="127"/>
      <c r="H913" s="127"/>
      <c r="I913" s="127"/>
      <c r="J913" s="127"/>
      <c r="K913" s="127"/>
      <c r="L913" s="127"/>
      <c r="M913" s="127"/>
      <c r="N913" s="127"/>
      <c r="O913" s="127"/>
      <c r="P913" s="127"/>
      <c r="Q913" s="127"/>
      <c r="R913" s="127"/>
      <c r="S913" s="127"/>
      <c r="T913" s="127"/>
      <c r="U913" s="127"/>
      <c r="V913" s="127"/>
      <c r="W913" s="127"/>
      <c r="X913" s="127"/>
      <c r="Y913" s="127"/>
      <c r="Z913" s="127"/>
      <c r="AA913" s="127"/>
    </row>
    <row r="914" customFormat="false" ht="15.75" hidden="false" customHeight="false" outlineLevel="0" collapsed="false">
      <c r="A914" s="127" t="str">
        <f aca="false">IF(ISBLANK(B914),"",B914&amp;"|"&amp;C914)</f>
        <v/>
      </c>
      <c r="B914" s="127"/>
      <c r="C914" s="127"/>
      <c r="D914" s="127"/>
      <c r="E914" s="133"/>
      <c r="F914" s="127"/>
      <c r="G914" s="127"/>
      <c r="H914" s="127"/>
      <c r="I914" s="127"/>
      <c r="J914" s="127"/>
      <c r="K914" s="127"/>
      <c r="L914" s="127"/>
      <c r="M914" s="127"/>
      <c r="N914" s="127"/>
      <c r="O914" s="127"/>
      <c r="P914" s="127"/>
      <c r="Q914" s="127"/>
      <c r="R914" s="127"/>
      <c r="S914" s="127"/>
      <c r="T914" s="127"/>
      <c r="U914" s="127"/>
      <c r="V914" s="127"/>
      <c r="W914" s="127"/>
      <c r="X914" s="127"/>
      <c r="Y914" s="127"/>
      <c r="Z914" s="127"/>
      <c r="AA914" s="127"/>
    </row>
    <row r="915" customFormat="false" ht="15.75" hidden="false" customHeight="false" outlineLevel="0" collapsed="false">
      <c r="A915" s="127" t="str">
        <f aca="false">IF(ISBLANK(B915),"",B915&amp;"|"&amp;C915)</f>
        <v/>
      </c>
      <c r="B915" s="127"/>
      <c r="C915" s="127"/>
      <c r="D915" s="127"/>
      <c r="E915" s="133"/>
      <c r="F915" s="127"/>
      <c r="G915" s="127"/>
      <c r="H915" s="127"/>
      <c r="I915" s="127"/>
      <c r="J915" s="127"/>
      <c r="K915" s="127"/>
      <c r="L915" s="127"/>
      <c r="M915" s="127"/>
      <c r="N915" s="127"/>
      <c r="O915" s="127"/>
      <c r="P915" s="127"/>
      <c r="Q915" s="127"/>
      <c r="R915" s="127"/>
      <c r="S915" s="127"/>
      <c r="T915" s="127"/>
      <c r="U915" s="127"/>
      <c r="V915" s="127"/>
      <c r="W915" s="127"/>
      <c r="X915" s="127"/>
      <c r="Y915" s="127"/>
      <c r="Z915" s="127"/>
      <c r="AA915" s="127"/>
    </row>
    <row r="916" customFormat="false" ht="15.75" hidden="false" customHeight="false" outlineLevel="0" collapsed="false">
      <c r="A916" s="127" t="str">
        <f aca="false">IF(ISBLANK(B916),"",B916&amp;"|"&amp;C916)</f>
        <v/>
      </c>
      <c r="B916" s="127"/>
      <c r="C916" s="127"/>
      <c r="D916" s="127"/>
      <c r="E916" s="133"/>
      <c r="F916" s="127"/>
      <c r="G916" s="127"/>
      <c r="H916" s="127"/>
      <c r="I916" s="127"/>
      <c r="J916" s="127"/>
      <c r="K916" s="127"/>
      <c r="L916" s="127"/>
      <c r="M916" s="127"/>
      <c r="N916" s="127"/>
      <c r="O916" s="127"/>
      <c r="P916" s="127"/>
      <c r="Q916" s="127"/>
      <c r="R916" s="127"/>
      <c r="S916" s="127"/>
      <c r="T916" s="127"/>
      <c r="U916" s="127"/>
      <c r="V916" s="127"/>
      <c r="W916" s="127"/>
      <c r="X916" s="127"/>
      <c r="Y916" s="127"/>
      <c r="Z916" s="127"/>
      <c r="AA916" s="127"/>
    </row>
    <row r="917" customFormat="false" ht="15.75" hidden="false" customHeight="false" outlineLevel="0" collapsed="false">
      <c r="A917" s="127" t="str">
        <f aca="false">IF(ISBLANK(B917),"",B917&amp;"|"&amp;C917)</f>
        <v/>
      </c>
      <c r="B917" s="127"/>
      <c r="C917" s="127"/>
      <c r="D917" s="127"/>
      <c r="E917" s="133"/>
      <c r="F917" s="127"/>
      <c r="G917" s="127"/>
      <c r="H917" s="127"/>
      <c r="I917" s="127"/>
      <c r="J917" s="127"/>
      <c r="K917" s="127"/>
      <c r="L917" s="127"/>
      <c r="M917" s="127"/>
      <c r="N917" s="127"/>
      <c r="O917" s="127"/>
      <c r="P917" s="127"/>
      <c r="Q917" s="127"/>
      <c r="R917" s="127"/>
      <c r="S917" s="127"/>
      <c r="T917" s="127"/>
      <c r="U917" s="127"/>
      <c r="V917" s="127"/>
      <c r="W917" s="127"/>
      <c r="X917" s="127"/>
      <c r="Y917" s="127"/>
      <c r="Z917" s="127"/>
      <c r="AA917" s="127"/>
    </row>
    <row r="918" customFormat="false" ht="15.75" hidden="false" customHeight="false" outlineLevel="0" collapsed="false">
      <c r="A918" s="127" t="str">
        <f aca="false">IF(ISBLANK(B918),"",B918&amp;"|"&amp;C918)</f>
        <v/>
      </c>
      <c r="B918" s="127"/>
      <c r="C918" s="127"/>
      <c r="D918" s="127"/>
      <c r="E918" s="133"/>
      <c r="F918" s="127"/>
      <c r="G918" s="127"/>
      <c r="H918" s="127"/>
      <c r="I918" s="127"/>
      <c r="J918" s="127"/>
      <c r="K918" s="127"/>
      <c r="L918" s="127"/>
      <c r="M918" s="127"/>
      <c r="N918" s="127"/>
      <c r="O918" s="127"/>
      <c r="P918" s="127"/>
      <c r="Q918" s="127"/>
      <c r="R918" s="127"/>
      <c r="S918" s="127"/>
      <c r="T918" s="127"/>
      <c r="U918" s="127"/>
      <c r="V918" s="127"/>
      <c r="W918" s="127"/>
      <c r="X918" s="127"/>
      <c r="Y918" s="127"/>
      <c r="Z918" s="127"/>
      <c r="AA918" s="127"/>
    </row>
    <row r="919" customFormat="false" ht="15.75" hidden="false" customHeight="false" outlineLevel="0" collapsed="false">
      <c r="A919" s="127" t="str">
        <f aca="false">IF(ISBLANK(B919),"",B919&amp;"|"&amp;C919)</f>
        <v/>
      </c>
      <c r="B919" s="127"/>
      <c r="C919" s="127"/>
      <c r="D919" s="127"/>
      <c r="E919" s="133"/>
      <c r="F919" s="127"/>
      <c r="G919" s="127"/>
      <c r="H919" s="127"/>
      <c r="I919" s="127"/>
      <c r="J919" s="127"/>
      <c r="K919" s="127"/>
      <c r="L919" s="127"/>
      <c r="M919" s="127"/>
      <c r="N919" s="127"/>
      <c r="O919" s="127"/>
      <c r="P919" s="127"/>
      <c r="Q919" s="127"/>
      <c r="R919" s="127"/>
      <c r="S919" s="127"/>
      <c r="T919" s="127"/>
      <c r="U919" s="127"/>
      <c r="V919" s="127"/>
      <c r="W919" s="127"/>
      <c r="X919" s="127"/>
      <c r="Y919" s="127"/>
      <c r="Z919" s="127"/>
      <c r="AA919" s="127"/>
    </row>
    <row r="920" customFormat="false" ht="15.75" hidden="false" customHeight="false" outlineLevel="0" collapsed="false">
      <c r="A920" s="127" t="str">
        <f aca="false">IF(ISBLANK(B920),"",B920&amp;"|"&amp;C920)</f>
        <v/>
      </c>
      <c r="B920" s="127"/>
      <c r="C920" s="127"/>
      <c r="D920" s="127"/>
      <c r="E920" s="133"/>
      <c r="F920" s="127"/>
      <c r="G920" s="127"/>
      <c r="H920" s="127"/>
      <c r="I920" s="127"/>
      <c r="J920" s="127"/>
      <c r="K920" s="127"/>
      <c r="L920" s="127"/>
      <c r="M920" s="127"/>
      <c r="N920" s="127"/>
      <c r="O920" s="127"/>
      <c r="P920" s="127"/>
      <c r="Q920" s="127"/>
      <c r="R920" s="127"/>
      <c r="S920" s="127"/>
      <c r="T920" s="127"/>
      <c r="U920" s="127"/>
      <c r="V920" s="127"/>
      <c r="W920" s="127"/>
      <c r="X920" s="127"/>
      <c r="Y920" s="127"/>
      <c r="Z920" s="127"/>
      <c r="AA920" s="127"/>
    </row>
    <row r="921" customFormat="false" ht="15.75" hidden="false" customHeight="false" outlineLevel="0" collapsed="false">
      <c r="A921" s="127" t="str">
        <f aca="false">IF(ISBLANK(B921),"",B921&amp;"|"&amp;C921)</f>
        <v/>
      </c>
      <c r="B921" s="127"/>
      <c r="C921" s="127"/>
      <c r="D921" s="127"/>
      <c r="E921" s="133"/>
      <c r="F921" s="127"/>
      <c r="G921" s="127"/>
      <c r="H921" s="127"/>
      <c r="I921" s="127"/>
      <c r="J921" s="127"/>
      <c r="K921" s="127"/>
      <c r="L921" s="127"/>
      <c r="M921" s="127"/>
      <c r="N921" s="127"/>
      <c r="O921" s="127"/>
      <c r="P921" s="127"/>
      <c r="Q921" s="127"/>
      <c r="R921" s="127"/>
      <c r="S921" s="127"/>
      <c r="T921" s="127"/>
      <c r="U921" s="127"/>
      <c r="V921" s="127"/>
      <c r="W921" s="127"/>
      <c r="X921" s="127"/>
      <c r="Y921" s="127"/>
      <c r="Z921" s="127"/>
      <c r="AA921" s="127"/>
    </row>
    <row r="922" customFormat="false" ht="15.75" hidden="false" customHeight="false" outlineLevel="0" collapsed="false">
      <c r="A922" s="127" t="str">
        <f aca="false">IF(ISBLANK(B922),"",B922&amp;"|"&amp;C922)</f>
        <v/>
      </c>
      <c r="B922" s="127"/>
      <c r="C922" s="127"/>
      <c r="D922" s="127"/>
      <c r="E922" s="133"/>
      <c r="F922" s="127"/>
      <c r="G922" s="127"/>
      <c r="H922" s="127"/>
      <c r="I922" s="127"/>
      <c r="J922" s="127"/>
      <c r="K922" s="127"/>
      <c r="L922" s="127"/>
      <c r="M922" s="127"/>
      <c r="N922" s="127"/>
      <c r="O922" s="127"/>
      <c r="P922" s="127"/>
      <c r="Q922" s="127"/>
      <c r="R922" s="127"/>
      <c r="S922" s="127"/>
      <c r="T922" s="127"/>
      <c r="U922" s="127"/>
      <c r="V922" s="127"/>
      <c r="W922" s="127"/>
      <c r="X922" s="127"/>
      <c r="Y922" s="127"/>
      <c r="Z922" s="127"/>
      <c r="AA922" s="127"/>
    </row>
    <row r="923" customFormat="false" ht="15.75" hidden="false" customHeight="false" outlineLevel="0" collapsed="false">
      <c r="A923" s="127" t="str">
        <f aca="false">IF(ISBLANK(B923),"",B923&amp;"|"&amp;C923)</f>
        <v/>
      </c>
      <c r="B923" s="127"/>
      <c r="C923" s="127"/>
      <c r="D923" s="127"/>
      <c r="E923" s="133"/>
      <c r="F923" s="127"/>
      <c r="G923" s="127"/>
      <c r="H923" s="127"/>
      <c r="I923" s="127"/>
      <c r="J923" s="127"/>
      <c r="K923" s="127"/>
      <c r="L923" s="127"/>
      <c r="M923" s="127"/>
      <c r="N923" s="127"/>
      <c r="O923" s="127"/>
      <c r="P923" s="127"/>
      <c r="Q923" s="127"/>
      <c r="R923" s="127"/>
      <c r="S923" s="127"/>
      <c r="T923" s="127"/>
      <c r="U923" s="127"/>
      <c r="V923" s="127"/>
      <c r="W923" s="127"/>
      <c r="X923" s="127"/>
      <c r="Y923" s="127"/>
      <c r="Z923" s="127"/>
      <c r="AA923" s="127"/>
    </row>
    <row r="924" customFormat="false" ht="15.75" hidden="false" customHeight="false" outlineLevel="0" collapsed="false">
      <c r="A924" s="127" t="str">
        <f aca="false">IF(ISBLANK(B924),"",B924&amp;"|"&amp;C924)</f>
        <v/>
      </c>
      <c r="B924" s="127"/>
      <c r="C924" s="127"/>
      <c r="D924" s="127"/>
      <c r="E924" s="133"/>
      <c r="F924" s="127"/>
      <c r="G924" s="127"/>
      <c r="H924" s="127"/>
      <c r="I924" s="127"/>
      <c r="J924" s="127"/>
      <c r="K924" s="127"/>
      <c r="L924" s="127"/>
      <c r="M924" s="127"/>
      <c r="N924" s="127"/>
      <c r="O924" s="127"/>
      <c r="P924" s="127"/>
      <c r="Q924" s="127"/>
      <c r="R924" s="127"/>
      <c r="S924" s="127"/>
      <c r="T924" s="127"/>
      <c r="U924" s="127"/>
      <c r="V924" s="127"/>
      <c r="W924" s="127"/>
      <c r="X924" s="127"/>
      <c r="Y924" s="127"/>
      <c r="Z924" s="127"/>
      <c r="AA924" s="127"/>
    </row>
    <row r="925" customFormat="false" ht="15.75" hidden="false" customHeight="false" outlineLevel="0" collapsed="false">
      <c r="A925" s="127" t="str">
        <f aca="false">IF(ISBLANK(B925),"",B925&amp;"|"&amp;C925)</f>
        <v/>
      </c>
      <c r="B925" s="127"/>
      <c r="C925" s="127"/>
      <c r="D925" s="127"/>
      <c r="E925" s="133"/>
      <c r="F925" s="127"/>
      <c r="G925" s="127"/>
      <c r="H925" s="127"/>
      <c r="I925" s="127"/>
      <c r="J925" s="127"/>
      <c r="K925" s="127"/>
      <c r="L925" s="127"/>
      <c r="M925" s="127"/>
      <c r="N925" s="127"/>
      <c r="O925" s="127"/>
      <c r="P925" s="127"/>
      <c r="Q925" s="127"/>
      <c r="R925" s="127"/>
      <c r="S925" s="127"/>
      <c r="T925" s="127"/>
      <c r="U925" s="127"/>
      <c r="V925" s="127"/>
      <c r="W925" s="127"/>
      <c r="X925" s="127"/>
      <c r="Y925" s="127"/>
      <c r="Z925" s="127"/>
      <c r="AA925" s="127"/>
    </row>
    <row r="926" customFormat="false" ht="15.75" hidden="false" customHeight="false" outlineLevel="0" collapsed="false">
      <c r="A926" s="127" t="str">
        <f aca="false">IF(ISBLANK(B926),"",B926&amp;"|"&amp;C926)</f>
        <v/>
      </c>
      <c r="B926" s="127"/>
      <c r="C926" s="127"/>
      <c r="D926" s="127"/>
      <c r="E926" s="133"/>
      <c r="F926" s="127"/>
      <c r="G926" s="127"/>
      <c r="H926" s="127"/>
      <c r="I926" s="127"/>
      <c r="J926" s="127"/>
      <c r="K926" s="127"/>
      <c r="L926" s="127"/>
      <c r="M926" s="127"/>
      <c r="N926" s="127"/>
      <c r="O926" s="127"/>
      <c r="P926" s="127"/>
      <c r="Q926" s="127"/>
      <c r="R926" s="127"/>
      <c r="S926" s="127"/>
      <c r="T926" s="127"/>
      <c r="U926" s="127"/>
      <c r="V926" s="127"/>
      <c r="W926" s="127"/>
      <c r="X926" s="127"/>
      <c r="Y926" s="127"/>
      <c r="Z926" s="127"/>
      <c r="AA926" s="127"/>
    </row>
    <row r="927" customFormat="false" ht="15.75" hidden="false" customHeight="false" outlineLevel="0" collapsed="false">
      <c r="A927" s="127" t="str">
        <f aca="false">IF(ISBLANK(B927),"",B927&amp;"|"&amp;C927)</f>
        <v/>
      </c>
      <c r="B927" s="127"/>
      <c r="C927" s="127"/>
      <c r="D927" s="127"/>
      <c r="E927" s="133"/>
      <c r="F927" s="127"/>
      <c r="G927" s="127"/>
      <c r="H927" s="127"/>
      <c r="I927" s="127"/>
      <c r="J927" s="127"/>
      <c r="K927" s="127"/>
      <c r="L927" s="127"/>
      <c r="M927" s="127"/>
      <c r="N927" s="127"/>
      <c r="O927" s="127"/>
      <c r="P927" s="127"/>
      <c r="Q927" s="127"/>
      <c r="R927" s="127"/>
      <c r="S927" s="127"/>
      <c r="T927" s="127"/>
      <c r="U927" s="127"/>
      <c r="V927" s="127"/>
      <c r="W927" s="127"/>
      <c r="X927" s="127"/>
      <c r="Y927" s="127"/>
      <c r="Z927" s="127"/>
      <c r="AA927" s="127"/>
    </row>
    <row r="928" customFormat="false" ht="15.75" hidden="false" customHeight="false" outlineLevel="0" collapsed="false">
      <c r="A928" s="127" t="str">
        <f aca="false">IF(ISBLANK(B928),"",B928&amp;"|"&amp;C928)</f>
        <v/>
      </c>
      <c r="B928" s="127"/>
      <c r="C928" s="127"/>
      <c r="D928" s="127"/>
      <c r="E928" s="133"/>
      <c r="F928" s="127"/>
      <c r="G928" s="127"/>
      <c r="H928" s="127"/>
      <c r="I928" s="127"/>
      <c r="J928" s="127"/>
      <c r="K928" s="127"/>
      <c r="L928" s="127"/>
      <c r="M928" s="127"/>
      <c r="N928" s="127"/>
      <c r="O928" s="127"/>
      <c r="P928" s="127"/>
      <c r="Q928" s="127"/>
      <c r="R928" s="127"/>
      <c r="S928" s="127"/>
      <c r="T928" s="127"/>
      <c r="U928" s="127"/>
      <c r="V928" s="127"/>
      <c r="W928" s="127"/>
      <c r="X928" s="127"/>
      <c r="Y928" s="127"/>
      <c r="Z928" s="127"/>
      <c r="AA928" s="127"/>
    </row>
    <row r="929" customFormat="false" ht="15.75" hidden="false" customHeight="false" outlineLevel="0" collapsed="false">
      <c r="A929" s="127" t="str">
        <f aca="false">IF(ISBLANK(B929),"",B929&amp;"|"&amp;C929)</f>
        <v/>
      </c>
      <c r="B929" s="127"/>
      <c r="C929" s="127"/>
      <c r="D929" s="127"/>
      <c r="E929" s="133"/>
      <c r="F929" s="127"/>
      <c r="G929" s="127"/>
      <c r="H929" s="127"/>
      <c r="I929" s="127"/>
      <c r="J929" s="127"/>
      <c r="K929" s="127"/>
      <c r="L929" s="127"/>
      <c r="M929" s="127"/>
      <c r="N929" s="127"/>
      <c r="O929" s="127"/>
      <c r="P929" s="127"/>
      <c r="Q929" s="127"/>
      <c r="R929" s="127"/>
      <c r="S929" s="127"/>
      <c r="T929" s="127"/>
      <c r="U929" s="127"/>
      <c r="V929" s="127"/>
      <c r="W929" s="127"/>
      <c r="X929" s="127"/>
      <c r="Y929" s="127"/>
      <c r="Z929" s="127"/>
      <c r="AA929" s="127"/>
    </row>
    <row r="930" customFormat="false" ht="15.75" hidden="false" customHeight="false" outlineLevel="0" collapsed="false">
      <c r="A930" s="127" t="str">
        <f aca="false">IF(ISBLANK(B930),"",B930&amp;"|"&amp;C930)</f>
        <v/>
      </c>
      <c r="B930" s="127"/>
      <c r="C930" s="127"/>
      <c r="D930" s="127"/>
      <c r="E930" s="133"/>
      <c r="F930" s="127"/>
      <c r="G930" s="127"/>
      <c r="H930" s="127"/>
      <c r="I930" s="127"/>
      <c r="J930" s="127"/>
      <c r="K930" s="127"/>
      <c r="L930" s="127"/>
      <c r="M930" s="127"/>
      <c r="N930" s="127"/>
      <c r="O930" s="127"/>
      <c r="P930" s="127"/>
      <c r="Q930" s="127"/>
      <c r="R930" s="127"/>
      <c r="S930" s="127"/>
      <c r="T930" s="127"/>
      <c r="U930" s="127"/>
      <c r="V930" s="127"/>
      <c r="W930" s="127"/>
      <c r="X930" s="127"/>
      <c r="Y930" s="127"/>
      <c r="Z930" s="127"/>
      <c r="AA930" s="127"/>
    </row>
    <row r="931" customFormat="false" ht="15.75" hidden="false" customHeight="false" outlineLevel="0" collapsed="false">
      <c r="A931" s="127" t="str">
        <f aca="false">IF(ISBLANK(B931),"",B931&amp;"|"&amp;C931)</f>
        <v/>
      </c>
      <c r="B931" s="127"/>
      <c r="C931" s="127"/>
      <c r="D931" s="127"/>
      <c r="E931" s="133"/>
      <c r="F931" s="127"/>
      <c r="G931" s="127"/>
      <c r="H931" s="127"/>
      <c r="I931" s="127"/>
      <c r="J931" s="127"/>
      <c r="K931" s="127"/>
      <c r="L931" s="127"/>
      <c r="M931" s="127"/>
      <c r="N931" s="127"/>
      <c r="O931" s="127"/>
      <c r="P931" s="127"/>
      <c r="Q931" s="127"/>
      <c r="R931" s="127"/>
      <c r="S931" s="127"/>
      <c r="T931" s="127"/>
      <c r="U931" s="127"/>
      <c r="V931" s="127"/>
      <c r="W931" s="127"/>
      <c r="X931" s="127"/>
      <c r="Y931" s="127"/>
      <c r="Z931" s="127"/>
      <c r="AA931" s="127"/>
    </row>
    <row r="932" customFormat="false" ht="15.75" hidden="false" customHeight="false" outlineLevel="0" collapsed="false">
      <c r="A932" s="127" t="str">
        <f aca="false">IF(ISBLANK(B932),"",B932&amp;"|"&amp;C932)</f>
        <v/>
      </c>
      <c r="B932" s="127"/>
      <c r="C932" s="127"/>
      <c r="D932" s="127"/>
      <c r="E932" s="133"/>
      <c r="F932" s="127"/>
      <c r="G932" s="127"/>
      <c r="H932" s="127"/>
      <c r="I932" s="127"/>
      <c r="J932" s="127"/>
      <c r="K932" s="127"/>
      <c r="L932" s="127"/>
      <c r="M932" s="127"/>
      <c r="N932" s="127"/>
      <c r="O932" s="127"/>
      <c r="P932" s="127"/>
      <c r="Q932" s="127"/>
      <c r="R932" s="127"/>
      <c r="S932" s="127"/>
      <c r="T932" s="127"/>
      <c r="U932" s="127"/>
      <c r="V932" s="127"/>
      <c r="W932" s="127"/>
      <c r="X932" s="127"/>
      <c r="Y932" s="127"/>
      <c r="Z932" s="127"/>
      <c r="AA932" s="127"/>
    </row>
    <row r="933" customFormat="false" ht="15.75" hidden="false" customHeight="false" outlineLevel="0" collapsed="false">
      <c r="A933" s="127" t="str">
        <f aca="false">IF(ISBLANK(B933),"",B933&amp;"|"&amp;C933)</f>
        <v/>
      </c>
      <c r="B933" s="127"/>
      <c r="C933" s="127"/>
      <c r="D933" s="127"/>
      <c r="E933" s="133"/>
      <c r="F933" s="127"/>
      <c r="G933" s="127"/>
      <c r="H933" s="127"/>
      <c r="I933" s="127"/>
      <c r="J933" s="127"/>
      <c r="K933" s="127"/>
      <c r="L933" s="127"/>
      <c r="M933" s="127"/>
      <c r="N933" s="127"/>
      <c r="O933" s="127"/>
      <c r="P933" s="127"/>
      <c r="Q933" s="127"/>
      <c r="R933" s="127"/>
      <c r="S933" s="127"/>
      <c r="T933" s="127"/>
      <c r="U933" s="127"/>
      <c r="V933" s="127"/>
      <c r="W933" s="127"/>
      <c r="X933" s="127"/>
      <c r="Y933" s="127"/>
      <c r="Z933" s="127"/>
      <c r="AA933" s="127"/>
    </row>
    <row r="934" customFormat="false" ht="15.75" hidden="false" customHeight="false" outlineLevel="0" collapsed="false">
      <c r="A934" s="127" t="str">
        <f aca="false">IF(ISBLANK(B934),"",B934&amp;"|"&amp;C934)</f>
        <v/>
      </c>
      <c r="B934" s="127"/>
      <c r="C934" s="127"/>
      <c r="D934" s="127"/>
      <c r="E934" s="133"/>
      <c r="F934" s="127"/>
      <c r="G934" s="127"/>
      <c r="H934" s="127"/>
      <c r="I934" s="127"/>
      <c r="J934" s="127"/>
      <c r="K934" s="127"/>
      <c r="L934" s="127"/>
      <c r="M934" s="127"/>
      <c r="N934" s="127"/>
      <c r="O934" s="127"/>
      <c r="P934" s="127"/>
      <c r="Q934" s="127"/>
      <c r="R934" s="127"/>
      <c r="S934" s="127"/>
      <c r="T934" s="127"/>
      <c r="U934" s="127"/>
      <c r="V934" s="127"/>
      <c r="W934" s="127"/>
      <c r="X934" s="127"/>
      <c r="Y934" s="127"/>
      <c r="Z934" s="127"/>
      <c r="AA934" s="127"/>
    </row>
    <row r="935" customFormat="false" ht="15.75" hidden="false" customHeight="false" outlineLevel="0" collapsed="false">
      <c r="A935" s="127" t="str">
        <f aca="false">IF(ISBLANK(B935),"",B935&amp;"|"&amp;C935)</f>
        <v/>
      </c>
      <c r="B935" s="127"/>
      <c r="C935" s="127"/>
      <c r="D935" s="127"/>
      <c r="E935" s="133"/>
      <c r="F935" s="127"/>
      <c r="G935" s="127"/>
      <c r="H935" s="127"/>
      <c r="I935" s="127"/>
      <c r="J935" s="127"/>
      <c r="K935" s="127"/>
      <c r="L935" s="127"/>
      <c r="M935" s="127"/>
      <c r="N935" s="127"/>
      <c r="O935" s="127"/>
      <c r="P935" s="127"/>
      <c r="Q935" s="127"/>
      <c r="R935" s="127"/>
      <c r="S935" s="127"/>
      <c r="T935" s="127"/>
      <c r="U935" s="127"/>
      <c r="V935" s="127"/>
      <c r="W935" s="127"/>
      <c r="X935" s="127"/>
      <c r="Y935" s="127"/>
      <c r="Z935" s="127"/>
      <c r="AA935" s="127"/>
    </row>
    <row r="936" customFormat="false" ht="15.75" hidden="false" customHeight="false" outlineLevel="0" collapsed="false">
      <c r="A936" s="127" t="str">
        <f aca="false">IF(ISBLANK(B936),"",B936&amp;"|"&amp;C936)</f>
        <v/>
      </c>
      <c r="B936" s="127"/>
      <c r="C936" s="127"/>
      <c r="D936" s="127"/>
      <c r="E936" s="133"/>
      <c r="F936" s="127"/>
      <c r="G936" s="127"/>
      <c r="H936" s="127"/>
      <c r="I936" s="127"/>
      <c r="J936" s="127"/>
      <c r="K936" s="127"/>
      <c r="L936" s="127"/>
      <c r="M936" s="127"/>
      <c r="N936" s="127"/>
      <c r="O936" s="127"/>
      <c r="P936" s="127"/>
      <c r="Q936" s="127"/>
      <c r="R936" s="127"/>
      <c r="S936" s="127"/>
      <c r="T936" s="127"/>
      <c r="U936" s="127"/>
      <c r="V936" s="127"/>
      <c r="W936" s="127"/>
      <c r="X936" s="127"/>
      <c r="Y936" s="127"/>
      <c r="Z936" s="127"/>
      <c r="AA936" s="127"/>
    </row>
    <row r="937" customFormat="false" ht="15.75" hidden="false" customHeight="false" outlineLevel="0" collapsed="false">
      <c r="A937" s="127" t="str">
        <f aca="false">IF(ISBLANK(B937),"",B937&amp;"|"&amp;C937)</f>
        <v/>
      </c>
      <c r="B937" s="127"/>
      <c r="C937" s="127"/>
      <c r="D937" s="127"/>
      <c r="E937" s="133"/>
      <c r="F937" s="127"/>
      <c r="G937" s="127"/>
      <c r="H937" s="127"/>
      <c r="I937" s="127"/>
      <c r="J937" s="127"/>
      <c r="K937" s="127"/>
      <c r="L937" s="127"/>
      <c r="M937" s="127"/>
      <c r="N937" s="127"/>
      <c r="O937" s="127"/>
      <c r="P937" s="127"/>
      <c r="Q937" s="127"/>
      <c r="R937" s="127"/>
      <c r="S937" s="127"/>
      <c r="T937" s="127"/>
      <c r="U937" s="127"/>
      <c r="V937" s="127"/>
      <c r="W937" s="127"/>
      <c r="X937" s="127"/>
      <c r="Y937" s="127"/>
      <c r="Z937" s="127"/>
      <c r="AA937" s="127"/>
    </row>
    <row r="938" customFormat="false" ht="15.75" hidden="false" customHeight="false" outlineLevel="0" collapsed="false">
      <c r="A938" s="127" t="str">
        <f aca="false">IF(ISBLANK(B938),"",B938&amp;"|"&amp;C938)</f>
        <v/>
      </c>
      <c r="B938" s="127"/>
      <c r="C938" s="127"/>
      <c r="D938" s="127"/>
      <c r="E938" s="133"/>
      <c r="F938" s="127"/>
      <c r="G938" s="127"/>
      <c r="H938" s="127"/>
      <c r="I938" s="127"/>
      <c r="J938" s="127"/>
      <c r="K938" s="127"/>
      <c r="L938" s="127"/>
      <c r="M938" s="127"/>
      <c r="N938" s="127"/>
      <c r="O938" s="127"/>
      <c r="P938" s="127"/>
      <c r="Q938" s="127"/>
      <c r="R938" s="127"/>
      <c r="S938" s="127"/>
      <c r="T938" s="127"/>
      <c r="U938" s="127"/>
      <c r="V938" s="127"/>
      <c r="W938" s="127"/>
      <c r="X938" s="127"/>
      <c r="Y938" s="127"/>
      <c r="Z938" s="127"/>
      <c r="AA938" s="127"/>
    </row>
    <row r="939" customFormat="false" ht="15.75" hidden="false" customHeight="false" outlineLevel="0" collapsed="false">
      <c r="A939" s="127" t="str">
        <f aca="false">IF(ISBLANK(B939),"",B939&amp;"|"&amp;C939)</f>
        <v/>
      </c>
      <c r="B939" s="127"/>
      <c r="C939" s="127"/>
      <c r="D939" s="127"/>
      <c r="E939" s="133"/>
      <c r="F939" s="127"/>
      <c r="G939" s="127"/>
      <c r="H939" s="127"/>
      <c r="I939" s="127"/>
      <c r="J939" s="127"/>
      <c r="K939" s="127"/>
      <c r="L939" s="127"/>
      <c r="M939" s="127"/>
      <c r="N939" s="127"/>
      <c r="O939" s="127"/>
      <c r="P939" s="127"/>
      <c r="Q939" s="127"/>
      <c r="R939" s="127"/>
      <c r="S939" s="127"/>
      <c r="T939" s="127"/>
      <c r="U939" s="127"/>
      <c r="V939" s="127"/>
      <c r="W939" s="127"/>
      <c r="X939" s="127"/>
      <c r="Y939" s="127"/>
      <c r="Z939" s="127"/>
      <c r="AA939" s="127"/>
    </row>
    <row r="940" customFormat="false" ht="15.75" hidden="false" customHeight="false" outlineLevel="0" collapsed="false">
      <c r="A940" s="127" t="str">
        <f aca="false">IF(ISBLANK(B940),"",B940&amp;"|"&amp;C940)</f>
        <v/>
      </c>
      <c r="B940" s="127"/>
      <c r="C940" s="127"/>
      <c r="D940" s="127"/>
      <c r="E940" s="133"/>
      <c r="F940" s="127"/>
      <c r="G940" s="127"/>
      <c r="H940" s="127"/>
      <c r="I940" s="127"/>
      <c r="J940" s="127"/>
      <c r="K940" s="127"/>
      <c r="L940" s="127"/>
      <c r="M940" s="127"/>
      <c r="N940" s="127"/>
      <c r="O940" s="127"/>
      <c r="P940" s="127"/>
      <c r="Q940" s="127"/>
      <c r="R940" s="127"/>
      <c r="S940" s="127"/>
      <c r="T940" s="127"/>
      <c r="U940" s="127"/>
      <c r="V940" s="127"/>
      <c r="W940" s="127"/>
      <c r="X940" s="127"/>
      <c r="Y940" s="127"/>
      <c r="Z940" s="127"/>
      <c r="AA940" s="127"/>
    </row>
    <row r="941" customFormat="false" ht="15.75" hidden="false" customHeight="false" outlineLevel="0" collapsed="false">
      <c r="A941" s="127" t="str">
        <f aca="false">IF(ISBLANK(B941),"",B941&amp;"|"&amp;C941)</f>
        <v/>
      </c>
      <c r="B941" s="127"/>
      <c r="C941" s="127"/>
      <c r="D941" s="127"/>
      <c r="E941" s="133"/>
      <c r="F941" s="127"/>
      <c r="G941" s="127"/>
      <c r="H941" s="127"/>
      <c r="I941" s="127"/>
      <c r="J941" s="127"/>
      <c r="K941" s="127"/>
      <c r="L941" s="127"/>
      <c r="M941" s="127"/>
      <c r="N941" s="127"/>
      <c r="O941" s="127"/>
      <c r="P941" s="127"/>
      <c r="Q941" s="127"/>
      <c r="R941" s="127"/>
      <c r="S941" s="127"/>
      <c r="T941" s="127"/>
      <c r="U941" s="127"/>
      <c r="V941" s="127"/>
      <c r="W941" s="127"/>
      <c r="X941" s="127"/>
      <c r="Y941" s="127"/>
      <c r="Z941" s="127"/>
      <c r="AA941" s="127"/>
    </row>
    <row r="942" customFormat="false" ht="15.75" hidden="false" customHeight="false" outlineLevel="0" collapsed="false">
      <c r="A942" s="127" t="str">
        <f aca="false">IF(ISBLANK(B942),"",B942&amp;"|"&amp;C942)</f>
        <v/>
      </c>
      <c r="B942" s="127"/>
      <c r="C942" s="127"/>
      <c r="D942" s="127"/>
      <c r="E942" s="133"/>
      <c r="F942" s="127"/>
      <c r="G942" s="127"/>
      <c r="H942" s="127"/>
      <c r="I942" s="127"/>
      <c r="J942" s="127"/>
      <c r="K942" s="127"/>
      <c r="L942" s="127"/>
      <c r="M942" s="127"/>
      <c r="N942" s="127"/>
      <c r="O942" s="127"/>
      <c r="P942" s="127"/>
      <c r="Q942" s="127"/>
      <c r="R942" s="127"/>
      <c r="S942" s="127"/>
      <c r="T942" s="127"/>
      <c r="U942" s="127"/>
      <c r="V942" s="127"/>
      <c r="W942" s="127"/>
      <c r="X942" s="127"/>
      <c r="Y942" s="127"/>
      <c r="Z942" s="127"/>
      <c r="AA942" s="127"/>
    </row>
    <row r="943" customFormat="false" ht="15.75" hidden="false" customHeight="false" outlineLevel="0" collapsed="false">
      <c r="A943" s="127" t="str">
        <f aca="false">IF(ISBLANK(B943),"",B943&amp;"|"&amp;C943)</f>
        <v/>
      </c>
      <c r="B943" s="127"/>
      <c r="C943" s="127"/>
      <c r="D943" s="127"/>
      <c r="E943" s="133"/>
      <c r="F943" s="127"/>
      <c r="G943" s="127"/>
      <c r="H943" s="127"/>
      <c r="I943" s="127"/>
      <c r="J943" s="127"/>
      <c r="K943" s="127"/>
      <c r="L943" s="127"/>
      <c r="M943" s="127"/>
      <c r="N943" s="127"/>
      <c r="O943" s="127"/>
      <c r="P943" s="127"/>
      <c r="Q943" s="127"/>
      <c r="R943" s="127"/>
      <c r="S943" s="127"/>
      <c r="T943" s="127"/>
      <c r="U943" s="127"/>
      <c r="V943" s="127"/>
      <c r="W943" s="127"/>
      <c r="X943" s="127"/>
      <c r="Y943" s="127"/>
      <c r="Z943" s="127"/>
      <c r="AA943" s="127"/>
    </row>
    <row r="944" customFormat="false" ht="15.75" hidden="false" customHeight="false" outlineLevel="0" collapsed="false">
      <c r="A944" s="127" t="str">
        <f aca="false">IF(ISBLANK(B944),"",B944&amp;"|"&amp;C944)</f>
        <v/>
      </c>
      <c r="B944" s="127"/>
      <c r="C944" s="127"/>
      <c r="D944" s="127"/>
      <c r="E944" s="133"/>
      <c r="F944" s="127"/>
      <c r="G944" s="127"/>
      <c r="H944" s="127"/>
      <c r="I944" s="127"/>
      <c r="J944" s="127"/>
      <c r="K944" s="127"/>
      <c r="L944" s="127"/>
      <c r="M944" s="127"/>
      <c r="N944" s="127"/>
      <c r="O944" s="127"/>
      <c r="P944" s="127"/>
      <c r="Q944" s="127"/>
      <c r="R944" s="127"/>
      <c r="S944" s="127"/>
      <c r="T944" s="127"/>
      <c r="U944" s="127"/>
      <c r="V944" s="127"/>
      <c r="W944" s="127"/>
      <c r="X944" s="127"/>
      <c r="Y944" s="127"/>
      <c r="Z944" s="127"/>
      <c r="AA944" s="127"/>
    </row>
    <row r="945" customFormat="false" ht="15.75" hidden="false" customHeight="false" outlineLevel="0" collapsed="false">
      <c r="A945" s="127" t="str">
        <f aca="false">IF(ISBLANK(B945),"",B945&amp;"|"&amp;C945)</f>
        <v/>
      </c>
      <c r="B945" s="127"/>
      <c r="C945" s="127"/>
      <c r="D945" s="127"/>
      <c r="E945" s="133"/>
      <c r="F945" s="127"/>
      <c r="G945" s="127"/>
      <c r="H945" s="127"/>
      <c r="I945" s="127"/>
      <c r="J945" s="127"/>
      <c r="K945" s="127"/>
      <c r="L945" s="127"/>
      <c r="M945" s="127"/>
      <c r="N945" s="127"/>
      <c r="O945" s="127"/>
      <c r="P945" s="127"/>
      <c r="Q945" s="127"/>
      <c r="R945" s="127"/>
      <c r="S945" s="127"/>
      <c r="T945" s="127"/>
      <c r="U945" s="127"/>
      <c r="V945" s="127"/>
      <c r="W945" s="127"/>
      <c r="X945" s="127"/>
      <c r="Y945" s="127"/>
      <c r="Z945" s="127"/>
      <c r="AA945" s="127"/>
    </row>
    <row r="946" customFormat="false" ht="15.75" hidden="false" customHeight="false" outlineLevel="0" collapsed="false">
      <c r="A946" s="127" t="str">
        <f aca="false">IF(ISBLANK(B946),"",B946&amp;"|"&amp;C946)</f>
        <v/>
      </c>
      <c r="B946" s="127"/>
      <c r="C946" s="127"/>
      <c r="D946" s="127"/>
      <c r="E946" s="133"/>
      <c r="F946" s="127"/>
      <c r="G946" s="127"/>
      <c r="H946" s="127"/>
      <c r="I946" s="127"/>
      <c r="J946" s="127"/>
      <c r="K946" s="127"/>
      <c r="L946" s="127"/>
      <c r="M946" s="127"/>
      <c r="N946" s="127"/>
      <c r="O946" s="127"/>
      <c r="P946" s="127"/>
      <c r="Q946" s="127"/>
      <c r="R946" s="127"/>
      <c r="S946" s="127"/>
      <c r="T946" s="127"/>
      <c r="U946" s="127"/>
      <c r="V946" s="127"/>
      <c r="W946" s="127"/>
      <c r="X946" s="127"/>
      <c r="Y946" s="127"/>
      <c r="Z946" s="127"/>
      <c r="AA946" s="127"/>
    </row>
    <row r="947" customFormat="false" ht="15.75" hidden="false" customHeight="false" outlineLevel="0" collapsed="false">
      <c r="A947" s="127" t="str">
        <f aca="false">IF(ISBLANK(B947),"",B947&amp;"|"&amp;C947)</f>
        <v/>
      </c>
      <c r="B947" s="127"/>
      <c r="C947" s="127"/>
      <c r="D947" s="127"/>
      <c r="E947" s="133"/>
      <c r="F947" s="127"/>
      <c r="G947" s="127"/>
      <c r="H947" s="127"/>
      <c r="I947" s="127"/>
      <c r="J947" s="127"/>
      <c r="K947" s="127"/>
      <c r="L947" s="127"/>
      <c r="M947" s="127"/>
      <c r="N947" s="127"/>
      <c r="O947" s="127"/>
      <c r="P947" s="127"/>
      <c r="Q947" s="127"/>
      <c r="R947" s="127"/>
      <c r="S947" s="127"/>
      <c r="T947" s="127"/>
      <c r="U947" s="127"/>
      <c r="V947" s="127"/>
      <c r="W947" s="127"/>
      <c r="X947" s="127"/>
      <c r="Y947" s="127"/>
      <c r="Z947" s="127"/>
      <c r="AA947" s="127"/>
    </row>
    <row r="948" customFormat="false" ht="15.75" hidden="false" customHeight="false" outlineLevel="0" collapsed="false">
      <c r="A948" s="127" t="str">
        <f aca="false">IF(ISBLANK(B948),"",B948&amp;"|"&amp;C948)</f>
        <v/>
      </c>
      <c r="B948" s="127"/>
      <c r="C948" s="127"/>
      <c r="D948" s="127"/>
      <c r="E948" s="133"/>
      <c r="F948" s="127"/>
      <c r="G948" s="127"/>
      <c r="H948" s="127"/>
      <c r="I948" s="127"/>
      <c r="J948" s="127"/>
      <c r="K948" s="127"/>
      <c r="L948" s="127"/>
      <c r="M948" s="127"/>
      <c r="N948" s="127"/>
      <c r="O948" s="127"/>
      <c r="P948" s="127"/>
      <c r="Q948" s="127"/>
      <c r="R948" s="127"/>
      <c r="S948" s="127"/>
      <c r="T948" s="127"/>
      <c r="U948" s="127"/>
      <c r="V948" s="127"/>
      <c r="W948" s="127"/>
      <c r="X948" s="127"/>
      <c r="Y948" s="127"/>
      <c r="Z948" s="127"/>
      <c r="AA948" s="127"/>
    </row>
    <row r="949" customFormat="false" ht="15.75" hidden="false" customHeight="false" outlineLevel="0" collapsed="false">
      <c r="A949" s="127" t="str">
        <f aca="false">IF(ISBLANK(B949),"",B949&amp;"|"&amp;C949)</f>
        <v/>
      </c>
      <c r="B949" s="127"/>
      <c r="C949" s="127"/>
      <c r="D949" s="127"/>
      <c r="E949" s="133"/>
      <c r="F949" s="127"/>
      <c r="G949" s="127"/>
      <c r="H949" s="127"/>
      <c r="I949" s="127"/>
      <c r="J949" s="127"/>
      <c r="K949" s="127"/>
      <c r="L949" s="127"/>
      <c r="M949" s="127"/>
      <c r="N949" s="127"/>
      <c r="O949" s="127"/>
      <c r="P949" s="127"/>
      <c r="Q949" s="127"/>
      <c r="R949" s="127"/>
      <c r="S949" s="127"/>
      <c r="T949" s="127"/>
      <c r="U949" s="127"/>
      <c r="V949" s="127"/>
      <c r="W949" s="127"/>
      <c r="X949" s="127"/>
      <c r="Y949" s="127"/>
      <c r="Z949" s="127"/>
      <c r="AA949" s="127"/>
    </row>
    <row r="950" customFormat="false" ht="15.75" hidden="false" customHeight="false" outlineLevel="0" collapsed="false">
      <c r="A950" s="127" t="str">
        <f aca="false">IF(ISBLANK(B950),"",B950&amp;"|"&amp;C950)</f>
        <v/>
      </c>
      <c r="B950" s="127"/>
      <c r="C950" s="127"/>
      <c r="D950" s="127"/>
      <c r="E950" s="133"/>
      <c r="F950" s="127"/>
      <c r="G950" s="127"/>
      <c r="H950" s="127"/>
      <c r="I950" s="127"/>
      <c r="J950" s="127"/>
      <c r="K950" s="127"/>
      <c r="L950" s="127"/>
      <c r="M950" s="127"/>
      <c r="N950" s="127"/>
      <c r="O950" s="127"/>
      <c r="P950" s="127"/>
      <c r="Q950" s="127"/>
      <c r="R950" s="127"/>
      <c r="S950" s="127"/>
      <c r="T950" s="127"/>
      <c r="U950" s="127"/>
      <c r="V950" s="127"/>
      <c r="W950" s="127"/>
      <c r="X950" s="127"/>
      <c r="Y950" s="127"/>
      <c r="Z950" s="127"/>
      <c r="AA950" s="127"/>
    </row>
    <row r="951" customFormat="false" ht="15.75" hidden="false" customHeight="false" outlineLevel="0" collapsed="false">
      <c r="A951" s="127" t="str">
        <f aca="false">IF(ISBLANK(B951),"",B951&amp;"|"&amp;C951)</f>
        <v/>
      </c>
      <c r="B951" s="127"/>
      <c r="C951" s="127"/>
      <c r="D951" s="127"/>
      <c r="E951" s="133"/>
      <c r="F951" s="127"/>
      <c r="G951" s="127"/>
      <c r="H951" s="127"/>
      <c r="I951" s="127"/>
      <c r="J951" s="127"/>
      <c r="K951" s="127"/>
      <c r="L951" s="127"/>
      <c r="M951" s="127"/>
      <c r="N951" s="127"/>
      <c r="O951" s="127"/>
      <c r="P951" s="127"/>
      <c r="Q951" s="127"/>
      <c r="R951" s="127"/>
      <c r="S951" s="127"/>
      <c r="T951" s="127"/>
      <c r="U951" s="127"/>
      <c r="V951" s="127"/>
      <c r="W951" s="127"/>
      <c r="X951" s="127"/>
      <c r="Y951" s="127"/>
      <c r="Z951" s="127"/>
      <c r="AA951" s="127"/>
    </row>
    <row r="952" customFormat="false" ht="15.75" hidden="false" customHeight="false" outlineLevel="0" collapsed="false">
      <c r="A952" s="127" t="str">
        <f aca="false">IF(ISBLANK(B952),"",B952&amp;"|"&amp;C952)</f>
        <v/>
      </c>
      <c r="B952" s="127"/>
      <c r="C952" s="127"/>
      <c r="D952" s="127"/>
      <c r="E952" s="133"/>
      <c r="F952" s="127"/>
      <c r="G952" s="127"/>
      <c r="H952" s="127"/>
      <c r="I952" s="127"/>
      <c r="J952" s="127"/>
      <c r="K952" s="127"/>
      <c r="L952" s="127"/>
      <c r="M952" s="127"/>
      <c r="N952" s="127"/>
      <c r="O952" s="127"/>
      <c r="P952" s="127"/>
      <c r="Q952" s="127"/>
      <c r="R952" s="127"/>
      <c r="S952" s="127"/>
      <c r="T952" s="127"/>
      <c r="U952" s="127"/>
      <c r="V952" s="127"/>
      <c r="W952" s="127"/>
      <c r="X952" s="127"/>
      <c r="Y952" s="127"/>
      <c r="Z952" s="127"/>
      <c r="AA952" s="127"/>
    </row>
    <row r="953" customFormat="false" ht="15.75" hidden="false" customHeight="false" outlineLevel="0" collapsed="false">
      <c r="A953" s="127" t="str">
        <f aca="false">IF(ISBLANK(B953),"",B953&amp;"|"&amp;C953)</f>
        <v/>
      </c>
      <c r="B953" s="127"/>
      <c r="C953" s="127"/>
      <c r="D953" s="127"/>
      <c r="E953" s="133"/>
      <c r="F953" s="127"/>
      <c r="G953" s="127"/>
      <c r="H953" s="127"/>
      <c r="I953" s="127"/>
      <c r="J953" s="127"/>
      <c r="K953" s="127"/>
      <c r="L953" s="127"/>
      <c r="M953" s="127"/>
      <c r="N953" s="127"/>
      <c r="O953" s="127"/>
      <c r="P953" s="127"/>
      <c r="Q953" s="127"/>
      <c r="R953" s="127"/>
      <c r="S953" s="127"/>
      <c r="T953" s="127"/>
      <c r="U953" s="127"/>
      <c r="V953" s="127"/>
      <c r="W953" s="127"/>
      <c r="X953" s="127"/>
      <c r="Y953" s="127"/>
      <c r="Z953" s="127"/>
      <c r="AA953" s="127"/>
    </row>
    <row r="954" customFormat="false" ht="15.75" hidden="false" customHeight="false" outlineLevel="0" collapsed="false">
      <c r="A954" s="127" t="str">
        <f aca="false">IF(ISBLANK(B954),"",B954&amp;"|"&amp;C954)</f>
        <v/>
      </c>
      <c r="B954" s="127"/>
      <c r="C954" s="127"/>
      <c r="D954" s="127"/>
      <c r="E954" s="133"/>
      <c r="F954" s="127"/>
      <c r="G954" s="127"/>
      <c r="H954" s="127"/>
      <c r="I954" s="127"/>
      <c r="J954" s="127"/>
      <c r="K954" s="127"/>
      <c r="L954" s="127"/>
      <c r="M954" s="127"/>
      <c r="N954" s="127"/>
      <c r="O954" s="127"/>
      <c r="P954" s="127"/>
      <c r="Q954" s="127"/>
      <c r="R954" s="127"/>
      <c r="S954" s="127"/>
      <c r="T954" s="127"/>
      <c r="U954" s="127"/>
      <c r="V954" s="127"/>
      <c r="W954" s="127"/>
      <c r="X954" s="127"/>
      <c r="Y954" s="127"/>
      <c r="Z954" s="127"/>
      <c r="AA954" s="127"/>
    </row>
    <row r="955" customFormat="false" ht="15.75" hidden="false" customHeight="false" outlineLevel="0" collapsed="false">
      <c r="A955" s="127" t="str">
        <f aca="false">IF(ISBLANK(B955),"",B955&amp;"|"&amp;C955)</f>
        <v/>
      </c>
      <c r="B955" s="127"/>
      <c r="C955" s="127"/>
      <c r="D955" s="127"/>
      <c r="E955" s="133"/>
      <c r="F955" s="127"/>
      <c r="G955" s="127"/>
      <c r="H955" s="127"/>
      <c r="I955" s="127"/>
      <c r="J955" s="127"/>
      <c r="K955" s="127"/>
      <c r="L955" s="127"/>
      <c r="M955" s="127"/>
      <c r="N955" s="127"/>
      <c r="O955" s="127"/>
      <c r="P955" s="127"/>
      <c r="Q955" s="127"/>
      <c r="R955" s="127"/>
      <c r="S955" s="127"/>
      <c r="T955" s="127"/>
      <c r="U955" s="127"/>
      <c r="V955" s="127"/>
      <c r="W955" s="127"/>
      <c r="X955" s="127"/>
      <c r="Y955" s="127"/>
      <c r="Z955" s="127"/>
      <c r="AA955" s="127"/>
    </row>
    <row r="956" customFormat="false" ht="15.75" hidden="false" customHeight="false" outlineLevel="0" collapsed="false">
      <c r="A956" s="127" t="str">
        <f aca="false">IF(ISBLANK(B956),"",B956&amp;"|"&amp;C956)</f>
        <v/>
      </c>
      <c r="B956" s="127"/>
      <c r="C956" s="127"/>
      <c r="D956" s="127"/>
      <c r="E956" s="133"/>
      <c r="F956" s="127"/>
      <c r="G956" s="127"/>
      <c r="H956" s="127"/>
      <c r="I956" s="127"/>
      <c r="J956" s="127"/>
      <c r="K956" s="127"/>
      <c r="L956" s="127"/>
      <c r="M956" s="127"/>
      <c r="N956" s="127"/>
      <c r="O956" s="127"/>
      <c r="P956" s="127"/>
      <c r="Q956" s="127"/>
      <c r="R956" s="127"/>
      <c r="S956" s="127"/>
      <c r="T956" s="127"/>
      <c r="U956" s="127"/>
      <c r="V956" s="127"/>
      <c r="W956" s="127"/>
      <c r="X956" s="127"/>
      <c r="Y956" s="127"/>
      <c r="Z956" s="127"/>
      <c r="AA956" s="127"/>
    </row>
    <row r="957" customFormat="false" ht="15.75" hidden="false" customHeight="false" outlineLevel="0" collapsed="false">
      <c r="A957" s="127" t="str">
        <f aca="false">IF(ISBLANK(B957),"",B957&amp;"|"&amp;C957)</f>
        <v/>
      </c>
      <c r="B957" s="127"/>
      <c r="C957" s="127"/>
      <c r="D957" s="127"/>
      <c r="E957" s="133"/>
      <c r="F957" s="127"/>
      <c r="G957" s="127"/>
      <c r="H957" s="127"/>
      <c r="I957" s="127"/>
      <c r="J957" s="127"/>
      <c r="K957" s="127"/>
      <c r="L957" s="127"/>
      <c r="M957" s="127"/>
      <c r="N957" s="127"/>
      <c r="O957" s="127"/>
      <c r="P957" s="127"/>
      <c r="Q957" s="127"/>
      <c r="R957" s="127"/>
      <c r="S957" s="127"/>
      <c r="T957" s="127"/>
      <c r="U957" s="127"/>
      <c r="V957" s="127"/>
      <c r="W957" s="127"/>
      <c r="X957" s="127"/>
      <c r="Y957" s="127"/>
      <c r="Z957" s="127"/>
      <c r="AA957" s="127"/>
    </row>
    <row r="958" customFormat="false" ht="15.75" hidden="false" customHeight="false" outlineLevel="0" collapsed="false">
      <c r="A958" s="127" t="str">
        <f aca="false">IF(ISBLANK(B958),"",B958&amp;"|"&amp;C958)</f>
        <v/>
      </c>
      <c r="B958" s="127"/>
      <c r="C958" s="127"/>
      <c r="D958" s="127"/>
      <c r="E958" s="133"/>
      <c r="F958" s="127"/>
      <c r="G958" s="127"/>
      <c r="H958" s="127"/>
      <c r="I958" s="127"/>
      <c r="J958" s="127"/>
      <c r="K958" s="127"/>
      <c r="L958" s="127"/>
      <c r="M958" s="127"/>
      <c r="N958" s="127"/>
      <c r="O958" s="127"/>
      <c r="P958" s="127"/>
      <c r="Q958" s="127"/>
      <c r="R958" s="127"/>
      <c r="S958" s="127"/>
      <c r="T958" s="127"/>
      <c r="U958" s="127"/>
      <c r="V958" s="127"/>
      <c r="W958" s="127"/>
      <c r="X958" s="127"/>
      <c r="Y958" s="127"/>
      <c r="Z958" s="127"/>
      <c r="AA958" s="127"/>
    </row>
    <row r="959" customFormat="false" ht="15.75" hidden="false" customHeight="false" outlineLevel="0" collapsed="false">
      <c r="A959" s="127" t="str">
        <f aca="false">IF(ISBLANK(B959),"",B959&amp;"|"&amp;C959)</f>
        <v/>
      </c>
      <c r="B959" s="127"/>
      <c r="C959" s="127"/>
      <c r="D959" s="127"/>
      <c r="E959" s="133"/>
      <c r="F959" s="127"/>
      <c r="G959" s="127"/>
      <c r="H959" s="127"/>
      <c r="I959" s="127"/>
      <c r="J959" s="127"/>
      <c r="K959" s="127"/>
      <c r="L959" s="127"/>
      <c r="M959" s="127"/>
      <c r="N959" s="127"/>
      <c r="O959" s="127"/>
      <c r="P959" s="127"/>
      <c r="Q959" s="127"/>
      <c r="R959" s="127"/>
      <c r="S959" s="127"/>
      <c r="T959" s="127"/>
      <c r="U959" s="127"/>
      <c r="V959" s="127"/>
      <c r="W959" s="127"/>
      <c r="X959" s="127"/>
      <c r="Y959" s="127"/>
      <c r="Z959" s="127"/>
      <c r="AA959" s="127"/>
    </row>
    <row r="960" customFormat="false" ht="15.75" hidden="false" customHeight="false" outlineLevel="0" collapsed="false">
      <c r="A960" s="127" t="str">
        <f aca="false">IF(ISBLANK(B960),"",B960&amp;"|"&amp;C960)</f>
        <v/>
      </c>
      <c r="B960" s="127"/>
      <c r="C960" s="127"/>
      <c r="D960" s="127"/>
      <c r="E960" s="133"/>
      <c r="F960" s="127"/>
      <c r="G960" s="127"/>
      <c r="H960" s="127"/>
      <c r="I960" s="127"/>
      <c r="J960" s="127"/>
      <c r="K960" s="127"/>
      <c r="L960" s="127"/>
      <c r="M960" s="127"/>
      <c r="N960" s="127"/>
      <c r="O960" s="127"/>
      <c r="P960" s="127"/>
      <c r="Q960" s="127"/>
      <c r="R960" s="127"/>
      <c r="S960" s="127"/>
      <c r="T960" s="127"/>
      <c r="U960" s="127"/>
      <c r="V960" s="127"/>
      <c r="W960" s="127"/>
      <c r="X960" s="127"/>
      <c r="Y960" s="127"/>
      <c r="Z960" s="127"/>
      <c r="AA960" s="127"/>
    </row>
    <row r="961" customFormat="false" ht="15.75" hidden="false" customHeight="false" outlineLevel="0" collapsed="false">
      <c r="A961" s="127" t="str">
        <f aca="false">IF(ISBLANK(B961),"",B961&amp;"|"&amp;C961)</f>
        <v/>
      </c>
      <c r="B961" s="127"/>
      <c r="C961" s="127"/>
      <c r="D961" s="127"/>
      <c r="E961" s="133"/>
      <c r="F961" s="127"/>
      <c r="G961" s="127"/>
      <c r="H961" s="127"/>
      <c r="I961" s="127"/>
      <c r="J961" s="127"/>
      <c r="K961" s="127"/>
      <c r="L961" s="127"/>
      <c r="M961" s="127"/>
      <c r="N961" s="127"/>
      <c r="O961" s="127"/>
      <c r="P961" s="127"/>
      <c r="Q961" s="127"/>
      <c r="R961" s="127"/>
      <c r="S961" s="127"/>
      <c r="T961" s="127"/>
      <c r="U961" s="127"/>
      <c r="V961" s="127"/>
      <c r="W961" s="127"/>
      <c r="X961" s="127"/>
      <c r="Y961" s="127"/>
      <c r="Z961" s="127"/>
      <c r="AA961" s="127"/>
    </row>
    <row r="962" customFormat="false" ht="15.75" hidden="false" customHeight="false" outlineLevel="0" collapsed="false">
      <c r="A962" s="127" t="str">
        <f aca="false">IF(ISBLANK(B962),"",B962&amp;"|"&amp;C962)</f>
        <v/>
      </c>
      <c r="B962" s="127"/>
      <c r="C962" s="127"/>
      <c r="D962" s="127"/>
      <c r="E962" s="133"/>
      <c r="F962" s="127"/>
      <c r="G962" s="127"/>
      <c r="H962" s="127"/>
      <c r="I962" s="127"/>
      <c r="J962" s="127"/>
      <c r="K962" s="127"/>
      <c r="L962" s="127"/>
      <c r="M962" s="127"/>
      <c r="N962" s="127"/>
      <c r="O962" s="127"/>
      <c r="P962" s="127"/>
      <c r="Q962" s="127"/>
      <c r="R962" s="127"/>
      <c r="S962" s="127"/>
      <c r="T962" s="127"/>
      <c r="U962" s="127"/>
      <c r="V962" s="127"/>
      <c r="W962" s="127"/>
      <c r="X962" s="127"/>
      <c r="Y962" s="127"/>
      <c r="Z962" s="127"/>
      <c r="AA962" s="127"/>
    </row>
    <row r="963" customFormat="false" ht="15.75" hidden="false" customHeight="false" outlineLevel="0" collapsed="false">
      <c r="A963" s="127" t="str">
        <f aca="false">IF(ISBLANK(B963),"",B963&amp;"|"&amp;C963)</f>
        <v/>
      </c>
      <c r="B963" s="127"/>
      <c r="C963" s="127"/>
      <c r="D963" s="127"/>
      <c r="E963" s="133"/>
      <c r="F963" s="127"/>
      <c r="G963" s="127"/>
      <c r="H963" s="127"/>
      <c r="I963" s="127"/>
      <c r="J963" s="127"/>
      <c r="K963" s="127"/>
      <c r="L963" s="127"/>
      <c r="M963" s="127"/>
      <c r="N963" s="127"/>
      <c r="O963" s="127"/>
      <c r="P963" s="127"/>
      <c r="Q963" s="127"/>
      <c r="R963" s="127"/>
      <c r="S963" s="127"/>
      <c r="T963" s="127"/>
      <c r="U963" s="127"/>
      <c r="V963" s="127"/>
      <c r="W963" s="127"/>
      <c r="X963" s="127"/>
      <c r="Y963" s="127"/>
      <c r="Z963" s="127"/>
      <c r="AA963" s="127"/>
    </row>
    <row r="964" customFormat="false" ht="15.75" hidden="false" customHeight="false" outlineLevel="0" collapsed="false">
      <c r="A964" s="127" t="str">
        <f aca="false">IF(ISBLANK(B964),"",B964&amp;"|"&amp;C964)</f>
        <v/>
      </c>
      <c r="B964" s="127"/>
      <c r="C964" s="127"/>
      <c r="D964" s="127"/>
      <c r="E964" s="133"/>
      <c r="F964" s="127"/>
      <c r="G964" s="127"/>
      <c r="H964" s="127"/>
      <c r="I964" s="127"/>
      <c r="J964" s="127"/>
      <c r="K964" s="127"/>
      <c r="L964" s="127"/>
      <c r="M964" s="127"/>
      <c r="N964" s="127"/>
      <c r="O964" s="127"/>
      <c r="P964" s="127"/>
      <c r="Q964" s="127"/>
      <c r="R964" s="127"/>
      <c r="S964" s="127"/>
      <c r="T964" s="127"/>
      <c r="U964" s="127"/>
      <c r="V964" s="127"/>
      <c r="W964" s="127"/>
      <c r="X964" s="127"/>
      <c r="Y964" s="127"/>
      <c r="Z964" s="127"/>
      <c r="AA964" s="127"/>
    </row>
    <row r="965" customFormat="false" ht="15.75" hidden="false" customHeight="false" outlineLevel="0" collapsed="false">
      <c r="A965" s="127" t="str">
        <f aca="false">IF(ISBLANK(B965),"",B965&amp;"|"&amp;C965)</f>
        <v/>
      </c>
      <c r="B965" s="127"/>
      <c r="C965" s="127"/>
      <c r="D965" s="127"/>
      <c r="E965" s="133"/>
      <c r="F965" s="127"/>
      <c r="G965" s="127"/>
      <c r="H965" s="127"/>
      <c r="I965" s="127"/>
      <c r="J965" s="127"/>
      <c r="K965" s="127"/>
      <c r="L965" s="127"/>
      <c r="M965" s="127"/>
      <c r="N965" s="127"/>
      <c r="O965" s="127"/>
      <c r="P965" s="127"/>
      <c r="Q965" s="127"/>
      <c r="R965" s="127"/>
      <c r="S965" s="127"/>
      <c r="T965" s="127"/>
      <c r="U965" s="127"/>
      <c r="V965" s="127"/>
      <c r="W965" s="127"/>
      <c r="X965" s="127"/>
      <c r="Y965" s="127"/>
      <c r="Z965" s="127"/>
      <c r="AA965" s="127"/>
    </row>
    <row r="966" customFormat="false" ht="15.75" hidden="false" customHeight="false" outlineLevel="0" collapsed="false">
      <c r="A966" s="127" t="str">
        <f aca="false">IF(ISBLANK(B966),"",B966&amp;"|"&amp;C966)</f>
        <v/>
      </c>
      <c r="B966" s="127"/>
      <c r="C966" s="127"/>
      <c r="D966" s="127"/>
      <c r="E966" s="133"/>
      <c r="F966" s="127"/>
      <c r="G966" s="127"/>
      <c r="H966" s="127"/>
      <c r="I966" s="127"/>
      <c r="J966" s="127"/>
      <c r="K966" s="127"/>
      <c r="L966" s="127"/>
      <c r="M966" s="127"/>
      <c r="N966" s="127"/>
      <c r="O966" s="127"/>
      <c r="P966" s="127"/>
      <c r="Q966" s="127"/>
      <c r="R966" s="127"/>
      <c r="S966" s="127"/>
      <c r="T966" s="127"/>
      <c r="U966" s="127"/>
      <c r="V966" s="127"/>
      <c r="W966" s="127"/>
      <c r="X966" s="127"/>
      <c r="Y966" s="127"/>
      <c r="Z966" s="127"/>
      <c r="AA966" s="127"/>
    </row>
    <row r="967" customFormat="false" ht="15.75" hidden="false" customHeight="false" outlineLevel="0" collapsed="false">
      <c r="A967" s="127" t="str">
        <f aca="false">IF(ISBLANK(B967),"",B967&amp;"|"&amp;C967)</f>
        <v/>
      </c>
      <c r="B967" s="127"/>
      <c r="C967" s="127"/>
      <c r="D967" s="127"/>
      <c r="E967" s="133"/>
      <c r="F967" s="127"/>
      <c r="G967" s="127"/>
      <c r="H967" s="127"/>
      <c r="I967" s="127"/>
      <c r="J967" s="127"/>
      <c r="K967" s="127"/>
      <c r="L967" s="127"/>
      <c r="M967" s="127"/>
      <c r="N967" s="127"/>
      <c r="O967" s="127"/>
      <c r="P967" s="127"/>
      <c r="Q967" s="127"/>
      <c r="R967" s="127"/>
      <c r="S967" s="127"/>
      <c r="T967" s="127"/>
      <c r="U967" s="127"/>
      <c r="V967" s="127"/>
      <c r="W967" s="127"/>
      <c r="X967" s="127"/>
      <c r="Y967" s="127"/>
      <c r="Z967" s="127"/>
      <c r="AA967" s="127"/>
    </row>
    <row r="968" customFormat="false" ht="15.75" hidden="false" customHeight="false" outlineLevel="0" collapsed="false">
      <c r="A968" s="127" t="str">
        <f aca="false">IF(ISBLANK(B968),"",B968&amp;"|"&amp;C968)</f>
        <v/>
      </c>
      <c r="B968" s="127"/>
      <c r="C968" s="127"/>
      <c r="D968" s="127"/>
      <c r="E968" s="133"/>
      <c r="F968" s="127"/>
      <c r="G968" s="127"/>
      <c r="H968" s="127"/>
      <c r="I968" s="127"/>
      <c r="J968" s="127"/>
      <c r="K968" s="127"/>
      <c r="L968" s="127"/>
      <c r="M968" s="127"/>
      <c r="N968" s="127"/>
      <c r="O968" s="127"/>
      <c r="P968" s="127"/>
      <c r="Q968" s="127"/>
      <c r="R968" s="127"/>
      <c r="S968" s="127"/>
      <c r="T968" s="127"/>
      <c r="U968" s="127"/>
      <c r="V968" s="127"/>
      <c r="W968" s="127"/>
      <c r="X968" s="127"/>
      <c r="Y968" s="127"/>
      <c r="Z968" s="127"/>
      <c r="AA968" s="127"/>
    </row>
    <row r="969" customFormat="false" ht="15.75" hidden="false" customHeight="false" outlineLevel="0" collapsed="false">
      <c r="A969" s="127" t="str">
        <f aca="false">IF(ISBLANK(B969),"",B969&amp;"|"&amp;C969)</f>
        <v/>
      </c>
      <c r="B969" s="127"/>
      <c r="C969" s="127"/>
      <c r="D969" s="127"/>
      <c r="E969" s="133"/>
      <c r="F969" s="127"/>
      <c r="G969" s="127"/>
      <c r="H969" s="127"/>
      <c r="I969" s="127"/>
      <c r="J969" s="127"/>
      <c r="K969" s="127"/>
      <c r="L969" s="127"/>
      <c r="M969" s="127"/>
      <c r="N969" s="127"/>
      <c r="O969" s="127"/>
      <c r="P969" s="127"/>
      <c r="Q969" s="127"/>
      <c r="R969" s="127"/>
      <c r="S969" s="127"/>
      <c r="T969" s="127"/>
      <c r="U969" s="127"/>
      <c r="V969" s="127"/>
      <c r="W969" s="127"/>
      <c r="X969" s="127"/>
      <c r="Y969" s="127"/>
      <c r="Z969" s="127"/>
      <c r="AA969" s="127"/>
    </row>
    <row r="970" customFormat="false" ht="15.75" hidden="false" customHeight="false" outlineLevel="0" collapsed="false">
      <c r="A970" s="127" t="str">
        <f aca="false">IF(ISBLANK(B970),"",B970&amp;"|"&amp;C970)</f>
        <v/>
      </c>
      <c r="B970" s="127"/>
      <c r="C970" s="127"/>
      <c r="D970" s="127"/>
      <c r="E970" s="133"/>
      <c r="F970" s="127"/>
      <c r="G970" s="127"/>
      <c r="H970" s="127"/>
      <c r="I970" s="127"/>
      <c r="J970" s="127"/>
      <c r="K970" s="127"/>
      <c r="L970" s="127"/>
      <c r="M970" s="127"/>
      <c r="N970" s="127"/>
      <c r="O970" s="127"/>
      <c r="P970" s="127"/>
      <c r="Q970" s="127"/>
      <c r="R970" s="127"/>
      <c r="S970" s="127"/>
      <c r="T970" s="127"/>
      <c r="U970" s="127"/>
      <c r="V970" s="127"/>
      <c r="W970" s="127"/>
      <c r="X970" s="127"/>
      <c r="Y970" s="127"/>
      <c r="Z970" s="127"/>
      <c r="AA970" s="127"/>
    </row>
    <row r="971" customFormat="false" ht="15.75" hidden="false" customHeight="false" outlineLevel="0" collapsed="false">
      <c r="A971" s="127" t="str">
        <f aca="false">IF(ISBLANK(B971),"",B971&amp;"|"&amp;C971)</f>
        <v/>
      </c>
      <c r="B971" s="127"/>
      <c r="C971" s="127"/>
      <c r="D971" s="127"/>
      <c r="E971" s="133"/>
      <c r="F971" s="127"/>
      <c r="G971" s="127"/>
      <c r="H971" s="127"/>
      <c r="I971" s="127"/>
      <c r="J971" s="127"/>
      <c r="K971" s="127"/>
      <c r="L971" s="127"/>
      <c r="M971" s="127"/>
      <c r="N971" s="127"/>
      <c r="O971" s="127"/>
      <c r="P971" s="127"/>
      <c r="Q971" s="127"/>
      <c r="R971" s="127"/>
      <c r="S971" s="127"/>
      <c r="T971" s="127"/>
      <c r="U971" s="127"/>
      <c r="V971" s="127"/>
      <c r="W971" s="127"/>
      <c r="X971" s="127"/>
      <c r="Y971" s="127"/>
      <c r="Z971" s="127"/>
      <c r="AA971" s="127"/>
    </row>
    <row r="972" customFormat="false" ht="15.75" hidden="false" customHeight="false" outlineLevel="0" collapsed="false">
      <c r="A972" s="127" t="str">
        <f aca="false">IF(ISBLANK(B972),"",B972&amp;"|"&amp;C972)</f>
        <v/>
      </c>
      <c r="B972" s="127"/>
      <c r="C972" s="127"/>
      <c r="D972" s="127"/>
      <c r="E972" s="133"/>
      <c r="F972" s="127"/>
      <c r="G972" s="127"/>
      <c r="H972" s="127"/>
      <c r="I972" s="127"/>
      <c r="J972" s="127"/>
      <c r="K972" s="127"/>
      <c r="L972" s="127"/>
      <c r="M972" s="127"/>
      <c r="N972" s="127"/>
      <c r="O972" s="127"/>
      <c r="P972" s="127"/>
      <c r="Q972" s="127"/>
      <c r="R972" s="127"/>
      <c r="S972" s="127"/>
      <c r="T972" s="127"/>
      <c r="U972" s="127"/>
      <c r="V972" s="127"/>
      <c r="W972" s="127"/>
      <c r="X972" s="127"/>
      <c r="Y972" s="127"/>
      <c r="Z972" s="127"/>
      <c r="AA972" s="127"/>
    </row>
    <row r="973" customFormat="false" ht="15.75" hidden="false" customHeight="false" outlineLevel="0" collapsed="false">
      <c r="A973" s="127" t="str">
        <f aca="false">IF(ISBLANK(B973),"",B973&amp;"|"&amp;C973)</f>
        <v/>
      </c>
      <c r="B973" s="127"/>
      <c r="C973" s="127"/>
      <c r="D973" s="127"/>
      <c r="E973" s="133"/>
      <c r="F973" s="127"/>
      <c r="G973" s="127"/>
      <c r="H973" s="127"/>
      <c r="I973" s="127"/>
      <c r="J973" s="127"/>
      <c r="K973" s="127"/>
      <c r="L973" s="127"/>
      <c r="M973" s="127"/>
      <c r="N973" s="127"/>
      <c r="O973" s="127"/>
      <c r="P973" s="127"/>
      <c r="Q973" s="127"/>
      <c r="R973" s="127"/>
      <c r="S973" s="127"/>
      <c r="T973" s="127"/>
      <c r="U973" s="127"/>
      <c r="V973" s="127"/>
      <c r="W973" s="127"/>
      <c r="X973" s="127"/>
      <c r="Y973" s="127"/>
      <c r="Z973" s="127"/>
      <c r="AA973" s="127"/>
    </row>
    <row r="974" customFormat="false" ht="15.75" hidden="false" customHeight="false" outlineLevel="0" collapsed="false">
      <c r="A974" s="127" t="str">
        <f aca="false">IF(ISBLANK(B974),"",B974&amp;"|"&amp;C974)</f>
        <v/>
      </c>
      <c r="B974" s="127"/>
      <c r="C974" s="127"/>
      <c r="D974" s="127"/>
      <c r="E974" s="133"/>
      <c r="F974" s="127"/>
      <c r="G974" s="127"/>
      <c r="H974" s="127"/>
      <c r="I974" s="127"/>
      <c r="J974" s="127"/>
      <c r="K974" s="127"/>
      <c r="L974" s="127"/>
      <c r="M974" s="127"/>
      <c r="N974" s="127"/>
      <c r="O974" s="127"/>
      <c r="P974" s="127"/>
      <c r="Q974" s="127"/>
      <c r="R974" s="127"/>
      <c r="S974" s="127"/>
      <c r="T974" s="127"/>
      <c r="U974" s="127"/>
      <c r="V974" s="127"/>
      <c r="W974" s="127"/>
      <c r="X974" s="127"/>
      <c r="Y974" s="127"/>
      <c r="Z974" s="127"/>
      <c r="AA974" s="127"/>
    </row>
    <row r="975" customFormat="false" ht="15.75" hidden="false" customHeight="false" outlineLevel="0" collapsed="false">
      <c r="A975" s="127" t="str">
        <f aca="false">IF(ISBLANK(B975),"",B975&amp;"|"&amp;C975)</f>
        <v/>
      </c>
      <c r="B975" s="127"/>
      <c r="C975" s="127"/>
      <c r="D975" s="127"/>
      <c r="E975" s="133"/>
      <c r="F975" s="127"/>
      <c r="G975" s="127"/>
      <c r="H975" s="127"/>
      <c r="I975" s="127"/>
      <c r="J975" s="127"/>
      <c r="K975" s="127"/>
      <c r="L975" s="127"/>
      <c r="M975" s="127"/>
      <c r="N975" s="127"/>
      <c r="O975" s="127"/>
      <c r="P975" s="127"/>
      <c r="Q975" s="127"/>
      <c r="R975" s="127"/>
      <c r="S975" s="127"/>
      <c r="T975" s="127"/>
      <c r="U975" s="127"/>
      <c r="V975" s="127"/>
      <c r="W975" s="127"/>
      <c r="X975" s="127"/>
      <c r="Y975" s="127"/>
      <c r="Z975" s="127"/>
      <c r="AA975" s="127"/>
    </row>
    <row r="976" customFormat="false" ht="15.75" hidden="false" customHeight="false" outlineLevel="0" collapsed="false">
      <c r="A976" s="127" t="str">
        <f aca="false">IF(ISBLANK(B976),"",B976&amp;"|"&amp;C976)</f>
        <v/>
      </c>
      <c r="B976" s="127"/>
      <c r="C976" s="127"/>
      <c r="D976" s="127"/>
      <c r="E976" s="133"/>
      <c r="F976" s="127"/>
      <c r="G976" s="127"/>
      <c r="H976" s="127"/>
      <c r="I976" s="127"/>
      <c r="J976" s="127"/>
      <c r="K976" s="127"/>
      <c r="L976" s="127"/>
      <c r="M976" s="127"/>
      <c r="N976" s="127"/>
      <c r="O976" s="127"/>
      <c r="P976" s="127"/>
      <c r="Q976" s="127"/>
      <c r="R976" s="127"/>
      <c r="S976" s="127"/>
      <c r="T976" s="127"/>
      <c r="U976" s="127"/>
      <c r="V976" s="127"/>
      <c r="W976" s="127"/>
      <c r="X976" s="127"/>
      <c r="Y976" s="127"/>
      <c r="Z976" s="127"/>
      <c r="AA976" s="127"/>
    </row>
    <row r="977" customFormat="false" ht="15.75" hidden="false" customHeight="false" outlineLevel="0" collapsed="false">
      <c r="A977" s="127" t="str">
        <f aca="false">IF(ISBLANK(B977),"",B977&amp;"|"&amp;C977)</f>
        <v/>
      </c>
      <c r="B977" s="127"/>
      <c r="C977" s="127"/>
      <c r="D977" s="127"/>
      <c r="E977" s="133"/>
      <c r="F977" s="127"/>
      <c r="G977" s="127"/>
      <c r="H977" s="127"/>
      <c r="I977" s="127"/>
      <c r="J977" s="127"/>
      <c r="K977" s="127"/>
      <c r="L977" s="127"/>
      <c r="M977" s="127"/>
      <c r="N977" s="127"/>
      <c r="O977" s="127"/>
      <c r="P977" s="127"/>
      <c r="Q977" s="127"/>
      <c r="R977" s="127"/>
      <c r="S977" s="127"/>
      <c r="T977" s="127"/>
      <c r="U977" s="127"/>
      <c r="V977" s="127"/>
      <c r="W977" s="127"/>
      <c r="X977" s="127"/>
      <c r="Y977" s="127"/>
      <c r="Z977" s="127"/>
      <c r="AA977" s="127"/>
    </row>
    <row r="978" customFormat="false" ht="15.75" hidden="false" customHeight="false" outlineLevel="0" collapsed="false">
      <c r="A978" s="127" t="str">
        <f aca="false">IF(ISBLANK(B978),"",B978&amp;"|"&amp;C978)</f>
        <v/>
      </c>
      <c r="B978" s="127"/>
      <c r="C978" s="127"/>
      <c r="D978" s="127"/>
      <c r="E978" s="133"/>
      <c r="F978" s="127"/>
      <c r="G978" s="127"/>
      <c r="H978" s="127"/>
      <c r="I978" s="127"/>
      <c r="J978" s="127"/>
      <c r="K978" s="127"/>
      <c r="L978" s="127"/>
      <c r="M978" s="127"/>
      <c r="N978" s="127"/>
      <c r="O978" s="127"/>
      <c r="P978" s="127"/>
      <c r="Q978" s="127"/>
      <c r="R978" s="127"/>
      <c r="S978" s="127"/>
      <c r="T978" s="127"/>
      <c r="U978" s="127"/>
      <c r="V978" s="127"/>
      <c r="W978" s="127"/>
      <c r="X978" s="127"/>
      <c r="Y978" s="127"/>
      <c r="Z978" s="127"/>
      <c r="AA978" s="127"/>
    </row>
    <row r="979" customFormat="false" ht="15.75" hidden="false" customHeight="false" outlineLevel="0" collapsed="false">
      <c r="A979" s="127" t="str">
        <f aca="false">IF(ISBLANK(B979),"",B979&amp;"|"&amp;C979)</f>
        <v/>
      </c>
      <c r="B979" s="127"/>
      <c r="C979" s="127"/>
      <c r="D979" s="127"/>
      <c r="E979" s="133"/>
      <c r="F979" s="127"/>
      <c r="G979" s="127"/>
      <c r="H979" s="127"/>
      <c r="I979" s="127"/>
      <c r="J979" s="127"/>
      <c r="K979" s="127"/>
      <c r="L979" s="127"/>
      <c r="M979" s="127"/>
      <c r="N979" s="127"/>
      <c r="O979" s="127"/>
      <c r="P979" s="127"/>
      <c r="Q979" s="127"/>
      <c r="R979" s="127"/>
      <c r="S979" s="127"/>
      <c r="T979" s="127"/>
      <c r="U979" s="127"/>
      <c r="V979" s="127"/>
      <c r="W979" s="127"/>
      <c r="X979" s="127"/>
      <c r="Y979" s="127"/>
      <c r="Z979" s="127"/>
      <c r="AA979" s="127"/>
    </row>
    <row r="980" customFormat="false" ht="15.75" hidden="false" customHeight="false" outlineLevel="0" collapsed="false">
      <c r="A980" s="127" t="str">
        <f aca="false">IF(ISBLANK(B980),"",B980&amp;"|"&amp;C980)</f>
        <v/>
      </c>
      <c r="B980" s="127"/>
      <c r="C980" s="127"/>
      <c r="D980" s="127"/>
      <c r="E980" s="133"/>
      <c r="F980" s="127"/>
      <c r="G980" s="127"/>
      <c r="H980" s="127"/>
      <c r="I980" s="127"/>
      <c r="J980" s="127"/>
      <c r="K980" s="127"/>
      <c r="L980" s="127"/>
      <c r="M980" s="127"/>
      <c r="N980" s="127"/>
      <c r="O980" s="127"/>
      <c r="P980" s="127"/>
      <c r="Q980" s="127"/>
      <c r="R980" s="127"/>
      <c r="S980" s="127"/>
      <c r="T980" s="127"/>
      <c r="U980" s="127"/>
      <c r="V980" s="127"/>
      <c r="W980" s="127"/>
      <c r="X980" s="127"/>
      <c r="Y980" s="127"/>
      <c r="Z980" s="127"/>
      <c r="AA980" s="127"/>
    </row>
    <row r="981" customFormat="false" ht="15.75" hidden="false" customHeight="false" outlineLevel="0" collapsed="false">
      <c r="A981" s="127" t="str">
        <f aca="false">IF(ISBLANK(B981),"",B981&amp;"|"&amp;C981)</f>
        <v/>
      </c>
      <c r="B981" s="127"/>
      <c r="C981" s="127"/>
      <c r="D981" s="127"/>
      <c r="E981" s="133"/>
      <c r="F981" s="127"/>
      <c r="G981" s="127"/>
      <c r="H981" s="127"/>
      <c r="I981" s="127"/>
      <c r="J981" s="127"/>
      <c r="K981" s="127"/>
      <c r="L981" s="127"/>
      <c r="M981" s="127"/>
      <c r="N981" s="127"/>
      <c r="O981" s="127"/>
      <c r="P981" s="127"/>
      <c r="Q981" s="127"/>
      <c r="R981" s="127"/>
      <c r="S981" s="127"/>
      <c r="T981" s="127"/>
      <c r="U981" s="127"/>
      <c r="V981" s="127"/>
      <c r="W981" s="127"/>
      <c r="X981" s="127"/>
      <c r="Y981" s="127"/>
      <c r="Z981" s="127"/>
      <c r="AA981" s="127"/>
    </row>
    <row r="982" customFormat="false" ht="15.75" hidden="false" customHeight="false" outlineLevel="0" collapsed="false">
      <c r="A982" s="127" t="str">
        <f aca="false">IF(ISBLANK(B982),"",B982&amp;"|"&amp;C982)</f>
        <v/>
      </c>
      <c r="B982" s="127"/>
      <c r="C982" s="127"/>
      <c r="D982" s="127"/>
      <c r="E982" s="133"/>
      <c r="F982" s="127"/>
      <c r="G982" s="127"/>
      <c r="H982" s="127"/>
      <c r="I982" s="127"/>
      <c r="J982" s="127"/>
      <c r="K982" s="127"/>
      <c r="L982" s="127"/>
      <c r="M982" s="127"/>
      <c r="N982" s="127"/>
      <c r="O982" s="127"/>
      <c r="P982" s="127"/>
      <c r="Q982" s="127"/>
      <c r="R982" s="127"/>
      <c r="S982" s="127"/>
      <c r="T982" s="127"/>
      <c r="U982" s="127"/>
      <c r="V982" s="127"/>
      <c r="W982" s="127"/>
      <c r="X982" s="127"/>
      <c r="Y982" s="127"/>
      <c r="Z982" s="127"/>
      <c r="AA982" s="127"/>
    </row>
    <row r="983" customFormat="false" ht="15.75" hidden="false" customHeight="false" outlineLevel="0" collapsed="false">
      <c r="A983" s="127" t="str">
        <f aca="false">IF(ISBLANK(B983),"",B983&amp;"|"&amp;C983)</f>
        <v/>
      </c>
      <c r="B983" s="127"/>
      <c r="C983" s="127"/>
      <c r="D983" s="127"/>
      <c r="E983" s="133"/>
      <c r="F983" s="127"/>
      <c r="G983" s="127"/>
      <c r="H983" s="127"/>
      <c r="I983" s="127"/>
      <c r="J983" s="127"/>
      <c r="K983" s="127"/>
      <c r="L983" s="127"/>
      <c r="M983" s="127"/>
      <c r="N983" s="127"/>
      <c r="O983" s="127"/>
      <c r="P983" s="127"/>
      <c r="Q983" s="127"/>
      <c r="R983" s="127"/>
      <c r="S983" s="127"/>
      <c r="T983" s="127"/>
      <c r="U983" s="127"/>
      <c r="V983" s="127"/>
      <c r="W983" s="127"/>
      <c r="X983" s="127"/>
      <c r="Y983" s="127"/>
      <c r="Z983" s="127"/>
      <c r="AA983" s="127"/>
    </row>
    <row r="984" customFormat="false" ht="15.75" hidden="false" customHeight="false" outlineLevel="0" collapsed="false">
      <c r="A984" s="127" t="str">
        <f aca="false">IF(ISBLANK(B984),"",B984&amp;"|"&amp;C984)</f>
        <v/>
      </c>
      <c r="B984" s="127"/>
      <c r="C984" s="127"/>
      <c r="D984" s="127"/>
      <c r="E984" s="133"/>
      <c r="F984" s="127"/>
      <c r="G984" s="127"/>
      <c r="H984" s="127"/>
      <c r="I984" s="127"/>
      <c r="J984" s="127"/>
      <c r="K984" s="127"/>
      <c r="L984" s="127"/>
      <c r="M984" s="127"/>
      <c r="N984" s="127"/>
      <c r="O984" s="127"/>
      <c r="P984" s="127"/>
      <c r="Q984" s="127"/>
      <c r="R984" s="127"/>
      <c r="S984" s="127"/>
      <c r="T984" s="127"/>
      <c r="U984" s="127"/>
      <c r="V984" s="127"/>
      <c r="W984" s="127"/>
      <c r="X984" s="127"/>
      <c r="Y984" s="127"/>
      <c r="Z984" s="127"/>
      <c r="AA984" s="127"/>
    </row>
    <row r="985" customFormat="false" ht="15.75" hidden="false" customHeight="false" outlineLevel="0" collapsed="false">
      <c r="A985" s="127" t="str">
        <f aca="false">IF(ISBLANK(B985),"",B985&amp;"|"&amp;C985)</f>
        <v/>
      </c>
      <c r="B985" s="127"/>
      <c r="C985" s="127"/>
      <c r="D985" s="127"/>
      <c r="E985" s="133"/>
      <c r="F985" s="127"/>
      <c r="G985" s="127"/>
      <c r="H985" s="127"/>
      <c r="I985" s="127"/>
      <c r="J985" s="127"/>
      <c r="K985" s="127"/>
      <c r="L985" s="127"/>
      <c r="M985" s="127"/>
      <c r="N985" s="127"/>
      <c r="O985" s="127"/>
      <c r="P985" s="127"/>
      <c r="Q985" s="127"/>
      <c r="R985" s="127"/>
      <c r="S985" s="127"/>
      <c r="T985" s="127"/>
      <c r="U985" s="127"/>
      <c r="V985" s="127"/>
      <c r="W985" s="127"/>
      <c r="X985" s="127"/>
      <c r="Y985" s="127"/>
      <c r="Z985" s="127"/>
      <c r="AA985" s="127"/>
    </row>
    <row r="986" customFormat="false" ht="15.75" hidden="false" customHeight="false" outlineLevel="0" collapsed="false">
      <c r="A986" s="127" t="str">
        <f aca="false">IF(ISBLANK(B986),"",B986&amp;"|"&amp;C986)</f>
        <v/>
      </c>
      <c r="B986" s="127"/>
      <c r="C986" s="127"/>
      <c r="D986" s="127"/>
      <c r="E986" s="133"/>
      <c r="F986" s="127"/>
      <c r="G986" s="127"/>
      <c r="H986" s="127"/>
      <c r="I986" s="127"/>
      <c r="J986" s="127"/>
      <c r="K986" s="127"/>
      <c r="L986" s="127"/>
      <c r="M986" s="127"/>
      <c r="N986" s="127"/>
      <c r="O986" s="127"/>
      <c r="P986" s="127"/>
      <c r="Q986" s="127"/>
      <c r="R986" s="127"/>
      <c r="S986" s="127"/>
      <c r="T986" s="127"/>
      <c r="U986" s="127"/>
      <c r="V986" s="127"/>
      <c r="W986" s="127"/>
      <c r="X986" s="127"/>
      <c r="Y986" s="127"/>
      <c r="Z986" s="127"/>
      <c r="AA986" s="127"/>
    </row>
    <row r="987" customFormat="false" ht="15.75" hidden="false" customHeight="false" outlineLevel="0" collapsed="false">
      <c r="A987" s="127" t="str">
        <f aca="false">IF(ISBLANK(B987),"",B987&amp;"|"&amp;C987)</f>
        <v/>
      </c>
      <c r="B987" s="127"/>
      <c r="C987" s="127"/>
      <c r="D987" s="127"/>
      <c r="E987" s="133"/>
      <c r="F987" s="127"/>
      <c r="G987" s="127"/>
      <c r="H987" s="127"/>
      <c r="I987" s="127"/>
      <c r="J987" s="127"/>
      <c r="K987" s="127"/>
      <c r="L987" s="127"/>
      <c r="M987" s="127"/>
      <c r="N987" s="127"/>
      <c r="O987" s="127"/>
      <c r="P987" s="127"/>
      <c r="Q987" s="127"/>
      <c r="R987" s="127"/>
      <c r="S987" s="127"/>
      <c r="T987" s="127"/>
      <c r="U987" s="127"/>
      <c r="V987" s="127"/>
      <c r="W987" s="127"/>
      <c r="X987" s="127"/>
      <c r="Y987" s="127"/>
      <c r="Z987" s="127"/>
      <c r="AA987" s="127"/>
    </row>
    <row r="988" customFormat="false" ht="15.75" hidden="false" customHeight="false" outlineLevel="0" collapsed="false">
      <c r="A988" s="127" t="str">
        <f aca="false">IF(ISBLANK(B988),"",B988&amp;"|"&amp;C988)</f>
        <v/>
      </c>
      <c r="B988" s="127"/>
      <c r="C988" s="127"/>
      <c r="D988" s="127"/>
      <c r="E988" s="133"/>
      <c r="F988" s="127"/>
      <c r="G988" s="127"/>
      <c r="H988" s="127"/>
      <c r="I988" s="127"/>
      <c r="J988" s="127"/>
      <c r="K988" s="127"/>
      <c r="L988" s="127"/>
      <c r="M988" s="127"/>
      <c r="N988" s="127"/>
      <c r="O988" s="127"/>
      <c r="P988" s="127"/>
      <c r="Q988" s="127"/>
      <c r="R988" s="127"/>
      <c r="S988" s="127"/>
      <c r="T988" s="127"/>
      <c r="U988" s="127"/>
      <c r="V988" s="127"/>
      <c r="W988" s="127"/>
      <c r="X988" s="127"/>
      <c r="Y988" s="127"/>
      <c r="Z988" s="127"/>
      <c r="AA988" s="127"/>
    </row>
    <row r="989" customFormat="false" ht="15.75" hidden="false" customHeight="false" outlineLevel="0" collapsed="false">
      <c r="A989" s="127" t="str">
        <f aca="false">IF(ISBLANK(B989),"",B989&amp;"|"&amp;C989)</f>
        <v/>
      </c>
      <c r="B989" s="127"/>
      <c r="C989" s="127"/>
      <c r="D989" s="127"/>
      <c r="E989" s="133"/>
      <c r="F989" s="127"/>
      <c r="G989" s="127"/>
      <c r="H989" s="127"/>
      <c r="I989" s="127"/>
      <c r="J989" s="127"/>
      <c r="K989" s="127"/>
      <c r="L989" s="127"/>
      <c r="M989" s="127"/>
      <c r="N989" s="127"/>
      <c r="O989" s="127"/>
      <c r="P989" s="127"/>
      <c r="Q989" s="127"/>
      <c r="R989" s="127"/>
      <c r="S989" s="127"/>
      <c r="T989" s="127"/>
      <c r="U989" s="127"/>
      <c r="V989" s="127"/>
      <c r="W989" s="127"/>
      <c r="X989" s="127"/>
      <c r="Y989" s="127"/>
      <c r="Z989" s="127"/>
      <c r="AA989" s="127"/>
    </row>
    <row r="990" customFormat="false" ht="15.75" hidden="false" customHeight="false" outlineLevel="0" collapsed="false">
      <c r="A990" s="127" t="str">
        <f aca="false">IF(ISBLANK(B990),"",B990&amp;"|"&amp;C990)</f>
        <v/>
      </c>
      <c r="B990" s="127"/>
      <c r="C990" s="127"/>
      <c r="D990" s="127"/>
      <c r="E990" s="133"/>
      <c r="F990" s="127"/>
      <c r="G990" s="127"/>
      <c r="H990" s="127"/>
      <c r="I990" s="127"/>
      <c r="J990" s="127"/>
      <c r="K990" s="127"/>
      <c r="L990" s="127"/>
      <c r="M990" s="127"/>
      <c r="N990" s="127"/>
      <c r="O990" s="127"/>
      <c r="P990" s="127"/>
      <c r="Q990" s="127"/>
      <c r="R990" s="127"/>
      <c r="S990" s="127"/>
      <c r="T990" s="127"/>
      <c r="U990" s="127"/>
      <c r="V990" s="127"/>
      <c r="W990" s="127"/>
      <c r="X990" s="127"/>
      <c r="Y990" s="127"/>
      <c r="Z990" s="127"/>
      <c r="AA990" s="127"/>
    </row>
    <row r="991" customFormat="false" ht="15.75" hidden="false" customHeight="false" outlineLevel="0" collapsed="false">
      <c r="A991" s="127" t="str">
        <f aca="false">IF(ISBLANK(B991),"",B991&amp;"|"&amp;C991)</f>
        <v/>
      </c>
      <c r="B991" s="127"/>
      <c r="C991" s="127"/>
      <c r="D991" s="127"/>
      <c r="E991" s="133"/>
      <c r="F991" s="127"/>
      <c r="G991" s="127"/>
      <c r="H991" s="127"/>
      <c r="I991" s="127"/>
      <c r="J991" s="127"/>
      <c r="K991" s="127"/>
      <c r="L991" s="127"/>
      <c r="M991" s="127"/>
      <c r="N991" s="127"/>
      <c r="O991" s="127"/>
      <c r="P991" s="127"/>
      <c r="Q991" s="127"/>
      <c r="R991" s="127"/>
      <c r="S991" s="127"/>
      <c r="T991" s="127"/>
      <c r="U991" s="127"/>
      <c r="V991" s="127"/>
      <c r="W991" s="127"/>
      <c r="X991" s="127"/>
      <c r="Y991" s="127"/>
      <c r="Z991" s="127"/>
      <c r="AA991" s="127"/>
    </row>
    <row r="992" customFormat="false" ht="15.75" hidden="false" customHeight="false" outlineLevel="0" collapsed="false">
      <c r="A992" s="127" t="str">
        <f aca="false">IF(ISBLANK(B992),"",B992&amp;"|"&amp;C992)</f>
        <v/>
      </c>
      <c r="B992" s="127"/>
      <c r="C992" s="127"/>
      <c r="D992" s="127"/>
      <c r="E992" s="133"/>
      <c r="F992" s="127"/>
      <c r="G992" s="127"/>
      <c r="H992" s="127"/>
      <c r="I992" s="127"/>
      <c r="J992" s="127"/>
      <c r="K992" s="127"/>
      <c r="L992" s="127"/>
      <c r="M992" s="127"/>
      <c r="N992" s="127"/>
      <c r="O992" s="127"/>
      <c r="P992" s="127"/>
      <c r="Q992" s="127"/>
      <c r="R992" s="127"/>
      <c r="S992" s="127"/>
      <c r="T992" s="127"/>
      <c r="U992" s="127"/>
      <c r="V992" s="127"/>
      <c r="W992" s="127"/>
      <c r="X992" s="127"/>
      <c r="Y992" s="127"/>
      <c r="Z992" s="127"/>
      <c r="AA992" s="127"/>
    </row>
    <row r="993" customFormat="false" ht="15.75" hidden="false" customHeight="false" outlineLevel="0" collapsed="false">
      <c r="A993" s="127" t="str">
        <f aca="false">IF(ISBLANK(B993),"",B993&amp;"|"&amp;C993)</f>
        <v/>
      </c>
      <c r="B993" s="127"/>
      <c r="C993" s="127"/>
      <c r="D993" s="127"/>
      <c r="E993" s="133"/>
      <c r="F993" s="127"/>
      <c r="G993" s="127"/>
      <c r="H993" s="127"/>
      <c r="I993" s="127"/>
      <c r="J993" s="127"/>
      <c r="K993" s="127"/>
      <c r="L993" s="127"/>
      <c r="M993" s="127"/>
      <c r="N993" s="127"/>
      <c r="O993" s="127"/>
      <c r="P993" s="127"/>
      <c r="Q993" s="127"/>
      <c r="R993" s="127"/>
      <c r="S993" s="127"/>
      <c r="T993" s="127"/>
      <c r="U993" s="127"/>
      <c r="V993" s="127"/>
      <c r="W993" s="127"/>
      <c r="X993" s="127"/>
      <c r="Y993" s="127"/>
      <c r="Z993" s="127"/>
      <c r="AA993" s="127"/>
    </row>
    <row r="994" customFormat="false" ht="15.75" hidden="false" customHeight="false" outlineLevel="0" collapsed="false">
      <c r="A994" s="127" t="str">
        <f aca="false">IF(ISBLANK(B994),"",B994&amp;"|"&amp;C994)</f>
        <v/>
      </c>
      <c r="B994" s="127"/>
      <c r="C994" s="127"/>
      <c r="D994" s="127"/>
      <c r="E994" s="133"/>
      <c r="F994" s="127"/>
      <c r="G994" s="127"/>
      <c r="H994" s="127"/>
      <c r="I994" s="127"/>
      <c r="J994" s="127"/>
      <c r="K994" s="127"/>
      <c r="L994" s="127"/>
      <c r="M994" s="127"/>
      <c r="N994" s="127"/>
      <c r="O994" s="127"/>
      <c r="P994" s="127"/>
      <c r="Q994" s="127"/>
      <c r="R994" s="127"/>
      <c r="S994" s="127"/>
      <c r="T994" s="127"/>
      <c r="U994" s="127"/>
      <c r="V994" s="127"/>
      <c r="W994" s="127"/>
      <c r="X994" s="127"/>
      <c r="Y994" s="127"/>
      <c r="Z994" s="127"/>
      <c r="AA994" s="127"/>
    </row>
    <row r="995" customFormat="false" ht="15.75" hidden="false" customHeight="false" outlineLevel="0" collapsed="false">
      <c r="A995" s="127" t="str">
        <f aca="false">IF(ISBLANK(B995),"",B995&amp;"|"&amp;C995)</f>
        <v/>
      </c>
      <c r="B995" s="127"/>
      <c r="C995" s="127"/>
      <c r="D995" s="127"/>
      <c r="E995" s="133"/>
      <c r="F995" s="127"/>
      <c r="G995" s="127"/>
      <c r="H995" s="127"/>
      <c r="I995" s="127"/>
      <c r="J995" s="127"/>
      <c r="K995" s="127"/>
      <c r="L995" s="127"/>
      <c r="M995" s="127"/>
      <c r="N995" s="127"/>
      <c r="O995" s="127"/>
      <c r="P995" s="127"/>
      <c r="Q995" s="127"/>
      <c r="R995" s="127"/>
      <c r="S995" s="127"/>
      <c r="T995" s="127"/>
      <c r="U995" s="127"/>
      <c r="V995" s="127"/>
      <c r="W995" s="127"/>
      <c r="X995" s="127"/>
      <c r="Y995" s="127"/>
      <c r="Z995" s="127"/>
      <c r="AA995" s="127"/>
    </row>
    <row r="996" customFormat="false" ht="15.75" hidden="false" customHeight="false" outlineLevel="0" collapsed="false">
      <c r="A996" s="127" t="str">
        <f aca="false">IF(ISBLANK(B996),"",B996&amp;"|"&amp;C996)</f>
        <v/>
      </c>
      <c r="B996" s="127"/>
      <c r="C996" s="127"/>
      <c r="D996" s="127"/>
      <c r="E996" s="133"/>
      <c r="F996" s="127"/>
      <c r="G996" s="127"/>
      <c r="H996" s="127"/>
      <c r="I996" s="127"/>
      <c r="J996" s="127"/>
      <c r="K996" s="127"/>
      <c r="L996" s="127"/>
      <c r="M996" s="127"/>
      <c r="N996" s="127"/>
      <c r="O996" s="127"/>
      <c r="P996" s="127"/>
      <c r="Q996" s="127"/>
      <c r="R996" s="127"/>
      <c r="S996" s="127"/>
      <c r="T996" s="127"/>
      <c r="U996" s="127"/>
      <c r="V996" s="127"/>
      <c r="W996" s="127"/>
      <c r="X996" s="127"/>
      <c r="Y996" s="127"/>
      <c r="Z996" s="127"/>
      <c r="AA996" s="127"/>
    </row>
    <row r="997" customFormat="false" ht="15.75" hidden="false" customHeight="false" outlineLevel="0" collapsed="false">
      <c r="A997" s="127" t="str">
        <f aca="false">IF(ISBLANK(B997),"",B997&amp;"|"&amp;C997)</f>
        <v/>
      </c>
      <c r="B997" s="127"/>
      <c r="C997" s="127"/>
      <c r="D997" s="127"/>
      <c r="E997" s="133"/>
      <c r="F997" s="127"/>
      <c r="G997" s="127"/>
      <c r="H997" s="127"/>
      <c r="I997" s="127"/>
      <c r="J997" s="127"/>
      <c r="K997" s="127"/>
      <c r="L997" s="127"/>
      <c r="M997" s="127"/>
      <c r="N997" s="127"/>
      <c r="O997" s="127"/>
      <c r="P997" s="127"/>
      <c r="Q997" s="127"/>
      <c r="R997" s="127"/>
      <c r="S997" s="127"/>
      <c r="T997" s="127"/>
      <c r="U997" s="127"/>
      <c r="V997" s="127"/>
      <c r="W997" s="127"/>
      <c r="X997" s="127"/>
      <c r="Y997" s="127"/>
      <c r="Z997" s="127"/>
      <c r="AA997" s="127"/>
    </row>
    <row r="998" customFormat="false" ht="15.75" hidden="false" customHeight="false" outlineLevel="0" collapsed="false">
      <c r="A998" s="127" t="str">
        <f aca="false">IF(ISBLANK(B998),"",B998&amp;"|"&amp;C998)</f>
        <v/>
      </c>
      <c r="B998" s="127"/>
      <c r="C998" s="127"/>
      <c r="D998" s="127"/>
      <c r="E998" s="133"/>
      <c r="F998" s="127"/>
      <c r="G998" s="127"/>
      <c r="H998" s="127"/>
      <c r="I998" s="127"/>
      <c r="J998" s="127"/>
      <c r="K998" s="127"/>
      <c r="L998" s="127"/>
      <c r="M998" s="127"/>
      <c r="N998" s="127"/>
      <c r="O998" s="127"/>
      <c r="P998" s="127"/>
      <c r="Q998" s="127"/>
      <c r="R998" s="127"/>
      <c r="S998" s="127"/>
      <c r="T998" s="127"/>
      <c r="U998" s="127"/>
      <c r="V998" s="127"/>
      <c r="W998" s="127"/>
      <c r="X998" s="127"/>
      <c r="Y998" s="127"/>
      <c r="Z998" s="127"/>
      <c r="AA998" s="127"/>
    </row>
    <row r="999" customFormat="false" ht="15.75" hidden="false" customHeight="false" outlineLevel="0" collapsed="false">
      <c r="A999" s="127" t="str">
        <f aca="false">IF(ISBLANK(B999),"",B999&amp;"|"&amp;C999)</f>
        <v/>
      </c>
      <c r="B999" s="127"/>
      <c r="C999" s="127"/>
      <c r="D999" s="127"/>
      <c r="E999" s="133"/>
      <c r="F999" s="127"/>
      <c r="G999" s="127"/>
      <c r="H999" s="127"/>
      <c r="I999" s="127"/>
      <c r="J999" s="127"/>
      <c r="K999" s="127"/>
      <c r="L999" s="127"/>
      <c r="M999" s="127"/>
      <c r="N999" s="127"/>
      <c r="O999" s="127"/>
      <c r="P999" s="127"/>
      <c r="Q999" s="127"/>
      <c r="R999" s="127"/>
      <c r="S999" s="127"/>
      <c r="T999" s="127"/>
      <c r="U999" s="127"/>
      <c r="V999" s="127"/>
      <c r="W999" s="127"/>
      <c r="X999" s="127"/>
      <c r="Y999" s="127"/>
      <c r="Z999" s="127"/>
      <c r="AA999" s="127"/>
    </row>
    <row r="1000" customFormat="false" ht="15.75" hidden="false" customHeight="false" outlineLevel="0" collapsed="false">
      <c r="A1000" s="127" t="str">
        <f aca="false">IF(ISBLANK(B1000),"",B1000&amp;"|"&amp;C1000)</f>
        <v/>
      </c>
      <c r="B1000" s="127"/>
      <c r="C1000" s="127"/>
      <c r="D1000" s="127"/>
      <c r="E1000" s="133"/>
      <c r="F1000" s="127"/>
      <c r="G1000" s="127"/>
      <c r="H1000" s="127"/>
      <c r="I1000" s="127"/>
      <c r="J1000" s="127"/>
      <c r="K1000" s="127"/>
      <c r="L1000" s="127"/>
      <c r="M1000" s="127"/>
      <c r="N1000" s="127"/>
      <c r="O1000" s="127"/>
      <c r="P1000" s="127"/>
      <c r="Q1000" s="127"/>
      <c r="R1000" s="127"/>
      <c r="S1000" s="127"/>
      <c r="T1000" s="127"/>
      <c r="U1000" s="127"/>
      <c r="V1000" s="127"/>
      <c r="W1000" s="127"/>
      <c r="X1000" s="127"/>
      <c r="Y1000" s="127"/>
      <c r="Z1000" s="127"/>
      <c r="AA1000" s="127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9.2"/>
    <col collapsed="false" customWidth="true" hidden="false" outlineLevel="0" max="2" min="2" style="1" width="15.85"/>
    <col collapsed="false" customWidth="false" hidden="true" outlineLevel="0" max="8" min="4" style="1" width="12.63"/>
  </cols>
  <sheetData>
    <row r="1" customFormat="false" ht="13.8" hidden="false" customHeight="false" outlineLevel="0" collapsed="false">
      <c r="A1" s="127" t="s">
        <v>90</v>
      </c>
      <c r="B1" s="127" t="s">
        <v>91</v>
      </c>
      <c r="C1" s="127"/>
      <c r="D1" s="127"/>
      <c r="E1" s="127"/>
      <c r="F1" s="127"/>
      <c r="G1" s="127"/>
      <c r="H1" s="127"/>
      <c r="I1" s="127"/>
      <c r="J1" s="127"/>
      <c r="K1" s="127"/>
      <c r="L1" s="127"/>
      <c r="M1" s="127"/>
      <c r="N1" s="127"/>
      <c r="O1" s="127"/>
      <c r="P1" s="127"/>
      <c r="Q1" s="127"/>
      <c r="R1" s="127"/>
      <c r="S1" s="127"/>
      <c r="T1" s="127"/>
      <c r="U1" s="127"/>
      <c r="V1" s="127"/>
      <c r="W1" s="127"/>
      <c r="X1" s="127"/>
      <c r="Y1" s="127"/>
      <c r="Z1" s="127"/>
    </row>
    <row r="2" customFormat="false" ht="13.8" hidden="false" customHeight="false" outlineLevel="0" collapsed="false">
      <c r="A2" s="127" t="s">
        <v>92</v>
      </c>
      <c r="B2" s="134" t="n">
        <v>46296</v>
      </c>
      <c r="C2" s="127"/>
      <c r="D2" s="127" t="s">
        <v>93</v>
      </c>
      <c r="E2" s="127" t="s">
        <v>94</v>
      </c>
      <c r="F2" s="127" t="s">
        <v>95</v>
      </c>
      <c r="G2" s="127" t="s">
        <v>96</v>
      </c>
      <c r="H2" s="127" t="s">
        <v>97</v>
      </c>
      <c r="I2" s="127"/>
      <c r="J2" s="127"/>
      <c r="K2" s="127"/>
      <c r="L2" s="127"/>
      <c r="M2" s="127"/>
      <c r="N2" s="127"/>
      <c r="O2" s="127"/>
      <c r="P2" s="127"/>
      <c r="Q2" s="127"/>
      <c r="R2" s="127"/>
      <c r="S2" s="127"/>
      <c r="T2" s="127"/>
      <c r="U2" s="127"/>
      <c r="V2" s="127"/>
      <c r="W2" s="127"/>
      <c r="X2" s="127"/>
      <c r="Y2" s="127"/>
      <c r="Z2" s="127"/>
    </row>
    <row r="3" customFormat="false" ht="13.8" hidden="false" customHeight="false" outlineLevel="0" collapsed="false">
      <c r="A3" s="127" t="s">
        <v>98</v>
      </c>
      <c r="B3" s="127" t="s">
        <v>88</v>
      </c>
      <c r="C3" s="127"/>
      <c r="D3" s="127" t="n">
        <f aca="false">FIND(".",B3)</f>
        <v>2</v>
      </c>
      <c r="E3" s="127" t="n">
        <f aca="false">FIND(".",B3,D3+1)</f>
        <v>4</v>
      </c>
      <c r="F3" s="127" t="str">
        <f aca="false">LEFT(B3,D3-1)</f>
        <v>1</v>
      </c>
      <c r="G3" s="127" t="str">
        <f aca="false">MID(B3,D3+1,E3-D3-1)</f>
        <v>0</v>
      </c>
      <c r="H3" s="127" t="str">
        <f aca="false">RIGHT(B3,LEN(B3)-E3)</f>
        <v>0</v>
      </c>
      <c r="I3" s="127"/>
      <c r="J3" s="127"/>
      <c r="K3" s="127"/>
      <c r="L3" s="127"/>
      <c r="M3" s="127"/>
      <c r="N3" s="127"/>
      <c r="O3" s="127"/>
      <c r="P3" s="127"/>
      <c r="Q3" s="127"/>
      <c r="R3" s="127"/>
      <c r="S3" s="127"/>
      <c r="T3" s="127"/>
      <c r="U3" s="127"/>
      <c r="V3" s="127"/>
      <c r="W3" s="127"/>
      <c r="X3" s="127"/>
      <c r="Y3" s="127"/>
      <c r="Z3" s="127"/>
    </row>
    <row r="4" customFormat="false" ht="13.8" hidden="false" customHeight="false" outlineLevel="0" collapsed="false">
      <c r="A4" s="127" t="s">
        <v>99</v>
      </c>
      <c r="B4" s="127" t="s">
        <v>100</v>
      </c>
      <c r="C4" s="127"/>
      <c r="D4" s="127"/>
      <c r="E4" s="127"/>
      <c r="F4" s="127"/>
      <c r="G4" s="127"/>
      <c r="H4" s="127"/>
      <c r="I4" s="127"/>
      <c r="J4" s="127"/>
      <c r="K4" s="127"/>
      <c r="L4" s="127"/>
      <c r="M4" s="127"/>
      <c r="N4" s="127"/>
      <c r="O4" s="127"/>
      <c r="P4" s="127"/>
      <c r="Q4" s="127"/>
      <c r="R4" s="127"/>
      <c r="S4" s="127"/>
      <c r="T4" s="127"/>
      <c r="U4" s="127"/>
      <c r="V4" s="127"/>
      <c r="W4" s="127"/>
      <c r="X4" s="127"/>
      <c r="Y4" s="127"/>
      <c r="Z4" s="127"/>
    </row>
    <row r="5" customFormat="false" ht="13.8" hidden="false" customHeight="false" outlineLevel="0" collapsed="false">
      <c r="A5" s="127" t="s">
        <v>101</v>
      </c>
      <c r="B5" s="127" t="n">
        <v>2027</v>
      </c>
      <c r="C5" s="127"/>
      <c r="D5" s="127"/>
      <c r="E5" s="127"/>
      <c r="F5" s="127"/>
      <c r="G5" s="127"/>
      <c r="H5" s="127"/>
      <c r="I5" s="127"/>
      <c r="J5" s="127"/>
      <c r="K5" s="127"/>
      <c r="L5" s="127"/>
      <c r="M5" s="127"/>
      <c r="N5" s="127"/>
      <c r="O5" s="127"/>
      <c r="P5" s="127"/>
      <c r="Q5" s="127"/>
      <c r="R5" s="127"/>
      <c r="S5" s="127"/>
      <c r="T5" s="127"/>
      <c r="U5" s="127"/>
      <c r="V5" s="127"/>
      <c r="W5" s="127"/>
      <c r="X5" s="127"/>
      <c r="Y5" s="127"/>
      <c r="Z5" s="127"/>
    </row>
    <row r="6" customFormat="false" ht="13.8" hidden="false" customHeight="false" outlineLevel="0" collapsed="false">
      <c r="A6" s="127" t="s">
        <v>102</v>
      </c>
      <c r="B6" s="127" t="str">
        <f aca="false">B1&amp;"|"&amp;B4</f>
        <v>Ping Pong Parachute|B/C</v>
      </c>
      <c r="C6" s="127"/>
      <c r="D6" s="127"/>
      <c r="E6" s="127"/>
      <c r="F6" s="127"/>
      <c r="G6" s="127"/>
      <c r="H6" s="127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customFormat="false" ht="13.8" hidden="false" customHeight="false" outlineLevel="0" collapsed="false">
      <c r="A7" s="127" t="s">
        <v>103</v>
      </c>
      <c r="B7" s="127" t="s">
        <v>88</v>
      </c>
      <c r="C7" s="127"/>
      <c r="D7" s="127" t="n">
        <f aca="false">FIND(".",B7)</f>
        <v>2</v>
      </c>
      <c r="E7" s="127" t="n">
        <f aca="false">FIND(".",B7,D7+1)</f>
        <v>4</v>
      </c>
      <c r="F7" s="127" t="str">
        <f aca="false">LEFT(B7,D7-1)</f>
        <v>1</v>
      </c>
      <c r="G7" s="127" t="str">
        <f aca="false">MID(B7,D7+1,E7-D7-1)</f>
        <v>0</v>
      </c>
      <c r="H7" s="127" t="str">
        <f aca="false">RIGHT(B7,LEN(B7)-E7)</f>
        <v>0</v>
      </c>
      <c r="I7" s="127"/>
      <c r="J7" s="127"/>
      <c r="K7" s="127"/>
      <c r="L7" s="127"/>
      <c r="M7" s="127"/>
      <c r="N7" s="127"/>
      <c r="O7" s="127"/>
      <c r="P7" s="127"/>
      <c r="Q7" s="127"/>
      <c r="R7" s="127"/>
      <c r="S7" s="127"/>
      <c r="T7" s="127"/>
      <c r="U7" s="127"/>
      <c r="V7" s="127"/>
      <c r="W7" s="127"/>
      <c r="X7" s="127"/>
      <c r="Y7" s="127"/>
      <c r="Z7" s="127"/>
    </row>
    <row r="8" customFormat="false" ht="13.8" hidden="false" customHeight="false" outlineLevel="0" collapsed="false">
      <c r="A8" s="127" t="s">
        <v>104</v>
      </c>
      <c r="B8" s="127" t="str">
        <f aca="false">IF(CONCATENATE(F7,".",G7)=CONCATENATE(F3,".",G3),"F","T")</f>
        <v>F</v>
      </c>
      <c r="C8" s="127"/>
      <c r="D8" s="127"/>
      <c r="E8" s="127"/>
      <c r="F8" s="127"/>
      <c r="G8" s="127"/>
      <c r="H8" s="127"/>
      <c r="I8" s="127"/>
      <c r="J8" s="127"/>
      <c r="K8" s="127"/>
      <c r="L8" s="127"/>
      <c r="M8" s="127"/>
      <c r="N8" s="127"/>
      <c r="O8" s="127"/>
      <c r="P8" s="127"/>
      <c r="Q8" s="127"/>
      <c r="R8" s="127"/>
      <c r="S8" s="127"/>
      <c r="T8" s="127"/>
      <c r="U8" s="127"/>
      <c r="V8" s="127"/>
      <c r="W8" s="127"/>
      <c r="X8" s="127"/>
      <c r="Y8" s="127"/>
      <c r="Z8" s="127"/>
    </row>
    <row r="9" customFormat="false" ht="15.75" hidden="false" customHeight="false" outlineLevel="0" collapsed="false">
      <c r="A9" s="127"/>
      <c r="B9" s="127"/>
      <c r="C9" s="127"/>
      <c r="D9" s="127"/>
      <c r="E9" s="127"/>
      <c r="F9" s="127"/>
      <c r="G9" s="127"/>
      <c r="H9" s="127"/>
      <c r="I9" s="127"/>
      <c r="J9" s="127"/>
      <c r="K9" s="127"/>
      <c r="L9" s="127"/>
      <c r="M9" s="127"/>
      <c r="N9" s="127"/>
      <c r="O9" s="127"/>
      <c r="P9" s="127"/>
      <c r="Q9" s="127"/>
      <c r="R9" s="127"/>
      <c r="S9" s="127"/>
      <c r="T9" s="127"/>
      <c r="U9" s="127"/>
      <c r="V9" s="127"/>
      <c r="W9" s="127"/>
      <c r="X9" s="127"/>
      <c r="Y9" s="127"/>
      <c r="Z9" s="127"/>
    </row>
    <row r="10" customFormat="false" ht="15.75" hidden="false" customHeight="false" outlineLevel="0" collapsed="false">
      <c r="A10" s="127"/>
      <c r="B10" s="127"/>
      <c r="C10" s="127"/>
      <c r="D10" s="127"/>
      <c r="E10" s="127"/>
      <c r="F10" s="127"/>
      <c r="G10" s="127"/>
      <c r="H10" s="127"/>
      <c r="I10" s="127"/>
      <c r="J10" s="127"/>
      <c r="K10" s="127"/>
      <c r="L10" s="127"/>
      <c r="M10" s="127"/>
      <c r="N10" s="127"/>
      <c r="O10" s="127"/>
      <c r="P10" s="127"/>
      <c r="Q10" s="127"/>
      <c r="R10" s="127"/>
      <c r="S10" s="127"/>
      <c r="T10" s="127"/>
      <c r="U10" s="127"/>
      <c r="V10" s="127"/>
      <c r="W10" s="127"/>
      <c r="X10" s="127"/>
      <c r="Y10" s="127"/>
      <c r="Z10" s="127"/>
    </row>
    <row r="11" customFormat="false" ht="15.75" hidden="false" customHeight="false" outlineLevel="0" collapsed="false">
      <c r="A11" s="127"/>
      <c r="B11" s="127"/>
      <c r="C11" s="127"/>
      <c r="D11" s="127"/>
      <c r="E11" s="127"/>
      <c r="F11" s="127"/>
      <c r="G11" s="127"/>
      <c r="H11" s="127"/>
      <c r="I11" s="127"/>
      <c r="J11" s="127"/>
      <c r="K11" s="127"/>
      <c r="L11" s="127"/>
      <c r="M11" s="127"/>
      <c r="N11" s="127"/>
      <c r="O11" s="127"/>
      <c r="P11" s="127"/>
      <c r="Q11" s="127"/>
      <c r="R11" s="127"/>
      <c r="S11" s="127"/>
      <c r="T11" s="127"/>
      <c r="U11" s="127"/>
      <c r="V11" s="127"/>
      <c r="W11" s="127"/>
      <c r="X11" s="127"/>
      <c r="Y11" s="127"/>
      <c r="Z11" s="127"/>
    </row>
    <row r="12" customFormat="false" ht="15.75" hidden="false" customHeight="false" outlineLevel="0" collapsed="false">
      <c r="A12" s="127"/>
      <c r="B12" s="127"/>
      <c r="C12" s="127"/>
      <c r="D12" s="127"/>
      <c r="E12" s="127"/>
      <c r="F12" s="127"/>
      <c r="G12" s="127"/>
      <c r="H12" s="127"/>
      <c r="I12" s="127"/>
      <c r="J12" s="127"/>
      <c r="K12" s="127"/>
      <c r="L12" s="127"/>
      <c r="M12" s="127"/>
      <c r="N12" s="127"/>
      <c r="O12" s="127"/>
      <c r="P12" s="127"/>
      <c r="Q12" s="127"/>
      <c r="R12" s="127"/>
      <c r="S12" s="127"/>
      <c r="T12" s="127"/>
      <c r="U12" s="127"/>
      <c r="V12" s="127"/>
      <c r="W12" s="127"/>
      <c r="X12" s="127"/>
      <c r="Y12" s="127"/>
      <c r="Z12" s="127"/>
    </row>
    <row r="13" customFormat="false" ht="15.75" hidden="false" customHeight="false" outlineLevel="0" collapsed="false">
      <c r="A13" s="127"/>
      <c r="B13" s="127"/>
      <c r="C13" s="127"/>
      <c r="D13" s="127"/>
      <c r="E13" s="127"/>
      <c r="F13" s="127"/>
      <c r="G13" s="127"/>
      <c r="H13" s="127"/>
      <c r="I13" s="127"/>
      <c r="J13" s="127"/>
      <c r="K13" s="127"/>
      <c r="L13" s="127"/>
      <c r="M13" s="127"/>
      <c r="N13" s="127"/>
      <c r="O13" s="127"/>
      <c r="P13" s="127"/>
      <c r="Q13" s="127"/>
      <c r="R13" s="127"/>
      <c r="S13" s="127"/>
      <c r="T13" s="127"/>
      <c r="U13" s="127"/>
      <c r="V13" s="127"/>
      <c r="W13" s="127"/>
      <c r="X13" s="127"/>
      <c r="Y13" s="127"/>
      <c r="Z13" s="127"/>
    </row>
    <row r="14" customFormat="false" ht="15.75" hidden="false" customHeight="false" outlineLevel="0" collapsed="false">
      <c r="A14" s="127"/>
      <c r="B14" s="127"/>
      <c r="C14" s="127"/>
      <c r="D14" s="127"/>
      <c r="E14" s="127"/>
      <c r="F14" s="127"/>
      <c r="G14" s="127"/>
      <c r="H14" s="127"/>
      <c r="I14" s="12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</row>
    <row r="15" customFormat="false" ht="15.75" hidden="false" customHeight="false" outlineLevel="0" collapsed="false">
      <c r="A15" s="127"/>
      <c r="B15" s="127"/>
      <c r="C15" s="127"/>
      <c r="D15" s="127"/>
      <c r="E15" s="127"/>
      <c r="F15" s="127"/>
      <c r="G15" s="127"/>
      <c r="H15" s="127"/>
      <c r="I15" s="127"/>
      <c r="J15" s="127"/>
      <c r="K15" s="127"/>
      <c r="L15" s="127"/>
      <c r="M15" s="127"/>
      <c r="N15" s="127"/>
      <c r="O15" s="127"/>
      <c r="P15" s="127"/>
      <c r="Q15" s="127"/>
      <c r="R15" s="127"/>
      <c r="S15" s="127"/>
      <c r="T15" s="127"/>
      <c r="U15" s="127"/>
      <c r="V15" s="127"/>
      <c r="W15" s="127"/>
      <c r="X15" s="127"/>
      <c r="Y15" s="127"/>
      <c r="Z15" s="127"/>
    </row>
    <row r="16" customFormat="false" ht="15.75" hidden="false" customHeight="false" outlineLevel="0" collapsed="false">
      <c r="A16" s="127"/>
      <c r="B16" s="127"/>
      <c r="C16" s="127"/>
      <c r="D16" s="127"/>
      <c r="E16" s="127"/>
      <c r="F16" s="127"/>
      <c r="G16" s="127"/>
      <c r="H16" s="127"/>
      <c r="I16" s="127"/>
      <c r="J16" s="127"/>
      <c r="K16" s="127"/>
      <c r="L16" s="127"/>
      <c r="M16" s="127"/>
      <c r="N16" s="127"/>
      <c r="O16" s="127"/>
      <c r="P16" s="127"/>
      <c r="Q16" s="127"/>
      <c r="R16" s="127"/>
      <c r="S16" s="127"/>
      <c r="T16" s="127"/>
      <c r="U16" s="127"/>
      <c r="V16" s="127"/>
      <c r="W16" s="127"/>
      <c r="X16" s="127"/>
      <c r="Y16" s="127"/>
      <c r="Z16" s="127"/>
    </row>
    <row r="17" customFormat="false" ht="15.75" hidden="false" customHeight="false" outlineLevel="0" collapsed="false">
      <c r="A17" s="127"/>
      <c r="B17" s="127"/>
      <c r="C17" s="127"/>
      <c r="D17" s="127"/>
      <c r="E17" s="127"/>
      <c r="F17" s="127"/>
      <c r="G17" s="127"/>
      <c r="H17" s="127"/>
      <c r="I17" s="127"/>
      <c r="J17" s="127"/>
      <c r="K17" s="127"/>
      <c r="L17" s="127"/>
      <c r="M17" s="127"/>
      <c r="N17" s="127"/>
      <c r="O17" s="127"/>
      <c r="P17" s="127"/>
      <c r="Q17" s="127"/>
      <c r="R17" s="127"/>
      <c r="S17" s="127"/>
      <c r="T17" s="127"/>
      <c r="U17" s="127"/>
      <c r="V17" s="127"/>
      <c r="W17" s="127"/>
      <c r="X17" s="127"/>
      <c r="Y17" s="127"/>
      <c r="Z17" s="127"/>
    </row>
    <row r="18" customFormat="false" ht="15.75" hidden="false" customHeight="false" outlineLevel="0" collapsed="false">
      <c r="A18" s="127"/>
      <c r="B18" s="127"/>
      <c r="C18" s="127"/>
      <c r="D18" s="127"/>
      <c r="E18" s="127"/>
      <c r="F18" s="127"/>
      <c r="G18" s="127"/>
      <c r="H18" s="127"/>
      <c r="I18" s="127"/>
      <c r="J18" s="127"/>
      <c r="K18" s="127"/>
      <c r="L18" s="127"/>
      <c r="M18" s="127"/>
      <c r="N18" s="127"/>
      <c r="O18" s="127"/>
      <c r="P18" s="127"/>
      <c r="Q18" s="127"/>
      <c r="R18" s="127"/>
      <c r="S18" s="127"/>
      <c r="T18" s="127"/>
      <c r="U18" s="127"/>
      <c r="V18" s="127"/>
      <c r="W18" s="127"/>
      <c r="X18" s="127"/>
      <c r="Y18" s="127"/>
      <c r="Z18" s="127"/>
    </row>
    <row r="19" customFormat="false" ht="15.75" hidden="false" customHeight="false" outlineLevel="0" collapsed="false">
      <c r="A19" s="127"/>
      <c r="B19" s="127"/>
      <c r="C19" s="127"/>
      <c r="D19" s="127"/>
      <c r="E19" s="127"/>
      <c r="F19" s="127"/>
      <c r="G19" s="127"/>
      <c r="H19" s="127"/>
      <c r="I19" s="127"/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</row>
    <row r="20" customFormat="false" ht="15.75" hidden="false" customHeight="false" outlineLevel="0" collapsed="false">
      <c r="A20" s="127"/>
      <c r="B20" s="127"/>
      <c r="C20" s="127"/>
      <c r="D20" s="127"/>
      <c r="E20" s="127"/>
      <c r="F20" s="127"/>
      <c r="G20" s="127"/>
      <c r="H20" s="127"/>
      <c r="I20" s="127"/>
      <c r="J20" s="127"/>
      <c r="K20" s="127"/>
      <c r="L20" s="127"/>
      <c r="M20" s="127"/>
      <c r="N20" s="127"/>
      <c r="O20" s="127"/>
      <c r="P20" s="127"/>
      <c r="Q20" s="127"/>
      <c r="R20" s="127"/>
      <c r="S20" s="127"/>
      <c r="T20" s="127"/>
      <c r="U20" s="127"/>
      <c r="V20" s="127"/>
      <c r="W20" s="127"/>
      <c r="X20" s="127"/>
      <c r="Y20" s="127"/>
      <c r="Z20" s="127"/>
    </row>
    <row r="21" customFormat="false" ht="15.75" hidden="false" customHeight="false" outlineLevel="0" collapsed="false">
      <c r="A21" s="127"/>
      <c r="B21" s="127"/>
      <c r="C21" s="127"/>
      <c r="D21" s="127"/>
      <c r="E21" s="127"/>
      <c r="F21" s="127"/>
      <c r="G21" s="127"/>
      <c r="H21" s="127"/>
      <c r="I21" s="127"/>
      <c r="J21" s="127"/>
      <c r="K21" s="127"/>
      <c r="L21" s="127"/>
      <c r="M21" s="127"/>
      <c r="N21" s="127"/>
      <c r="O21" s="127"/>
      <c r="P21" s="127"/>
      <c r="Q21" s="127"/>
      <c r="R21" s="127"/>
      <c r="S21" s="127"/>
      <c r="T21" s="127"/>
      <c r="U21" s="127"/>
      <c r="V21" s="127"/>
      <c r="W21" s="127"/>
      <c r="X21" s="127"/>
      <c r="Y21" s="127"/>
      <c r="Z21" s="127"/>
    </row>
    <row r="22" customFormat="false" ht="15.75" hidden="false" customHeight="false" outlineLevel="0" collapsed="false">
      <c r="A22" s="127"/>
      <c r="B22" s="127"/>
      <c r="C22" s="127"/>
      <c r="D22" s="127"/>
      <c r="E22" s="127"/>
      <c r="F22" s="127"/>
      <c r="G22" s="127"/>
      <c r="H22" s="127"/>
      <c r="I22" s="127"/>
      <c r="J22" s="127"/>
      <c r="K22" s="127"/>
      <c r="L22" s="127"/>
      <c r="M22" s="127"/>
      <c r="N22" s="127"/>
      <c r="O22" s="127"/>
      <c r="P22" s="127"/>
      <c r="Q22" s="127"/>
      <c r="R22" s="127"/>
      <c r="S22" s="127"/>
      <c r="T22" s="127"/>
      <c r="U22" s="127"/>
      <c r="V22" s="127"/>
      <c r="W22" s="127"/>
      <c r="X22" s="127"/>
      <c r="Y22" s="127"/>
      <c r="Z22" s="127"/>
    </row>
    <row r="23" customFormat="false" ht="15.75" hidden="false" customHeight="false" outlineLevel="0" collapsed="false">
      <c r="A23" s="127"/>
      <c r="B23" s="127"/>
      <c r="C23" s="127"/>
      <c r="D23" s="127"/>
      <c r="E23" s="127"/>
      <c r="F23" s="127"/>
      <c r="G23" s="127"/>
      <c r="H23" s="127"/>
      <c r="I23" s="127"/>
      <c r="J23" s="127"/>
      <c r="K23" s="127"/>
      <c r="L23" s="127"/>
      <c r="M23" s="127"/>
      <c r="N23" s="127"/>
      <c r="O23" s="127"/>
      <c r="P23" s="127"/>
      <c r="Q23" s="127"/>
      <c r="R23" s="127"/>
      <c r="S23" s="127"/>
      <c r="T23" s="127"/>
      <c r="U23" s="127"/>
      <c r="V23" s="127"/>
      <c r="W23" s="127"/>
      <c r="X23" s="127"/>
      <c r="Y23" s="127"/>
      <c r="Z23" s="127"/>
    </row>
    <row r="24" customFormat="false" ht="15.75" hidden="false" customHeight="false" outlineLevel="0" collapsed="false">
      <c r="A24" s="127"/>
      <c r="B24" s="127"/>
      <c r="C24" s="127"/>
      <c r="D24" s="127"/>
      <c r="E24" s="127"/>
      <c r="F24" s="127"/>
      <c r="G24" s="127"/>
      <c r="H24" s="127"/>
      <c r="I24" s="127"/>
      <c r="J24" s="127"/>
      <c r="K24" s="127"/>
      <c r="L24" s="127"/>
      <c r="M24" s="127"/>
      <c r="N24" s="127"/>
      <c r="O24" s="127"/>
      <c r="P24" s="127"/>
      <c r="Q24" s="127"/>
      <c r="R24" s="127"/>
      <c r="S24" s="127"/>
      <c r="T24" s="127"/>
      <c r="U24" s="127"/>
      <c r="V24" s="127"/>
      <c r="W24" s="127"/>
      <c r="X24" s="127"/>
      <c r="Y24" s="127"/>
      <c r="Z24" s="127"/>
    </row>
    <row r="25" customFormat="false" ht="15.75" hidden="false" customHeight="false" outlineLevel="0" collapsed="false">
      <c r="A25" s="127"/>
      <c r="B25" s="127"/>
      <c r="C25" s="127"/>
      <c r="D25" s="127"/>
      <c r="E25" s="127"/>
      <c r="F25" s="127"/>
      <c r="G25" s="127"/>
      <c r="H25" s="127"/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</row>
    <row r="26" customFormat="false" ht="15.75" hidden="false" customHeight="false" outlineLevel="0" collapsed="false">
      <c r="A26" s="127"/>
      <c r="B26" s="127"/>
      <c r="C26" s="127"/>
      <c r="D26" s="127"/>
      <c r="E26" s="127"/>
      <c r="F26" s="127"/>
      <c r="G26" s="127"/>
      <c r="H26" s="127"/>
      <c r="I26" s="127"/>
      <c r="J26" s="127"/>
      <c r="K26" s="127"/>
      <c r="L26" s="127"/>
      <c r="M26" s="127"/>
      <c r="N26" s="127"/>
      <c r="O26" s="127"/>
      <c r="P26" s="127"/>
      <c r="Q26" s="127"/>
      <c r="R26" s="127"/>
      <c r="S26" s="127"/>
      <c r="T26" s="127"/>
      <c r="U26" s="127"/>
      <c r="V26" s="127"/>
      <c r="W26" s="127"/>
      <c r="X26" s="127"/>
      <c r="Y26" s="127"/>
      <c r="Z26" s="127"/>
    </row>
    <row r="27" customFormat="false" ht="15.75" hidden="false" customHeight="false" outlineLevel="0" collapsed="false">
      <c r="A27" s="127"/>
      <c r="B27" s="127"/>
      <c r="C27" s="127"/>
      <c r="D27" s="127"/>
      <c r="E27" s="127"/>
      <c r="F27" s="127"/>
      <c r="G27" s="127"/>
      <c r="H27" s="127"/>
      <c r="I27" s="127"/>
      <c r="J27" s="127"/>
      <c r="K27" s="127"/>
      <c r="L27" s="127"/>
      <c r="M27" s="127"/>
      <c r="N27" s="127"/>
      <c r="O27" s="127"/>
      <c r="P27" s="127"/>
      <c r="Q27" s="127"/>
      <c r="R27" s="127"/>
      <c r="S27" s="127"/>
      <c r="T27" s="127"/>
      <c r="U27" s="127"/>
      <c r="V27" s="127"/>
      <c r="W27" s="127"/>
      <c r="X27" s="127"/>
      <c r="Y27" s="127"/>
      <c r="Z27" s="127"/>
    </row>
    <row r="28" customFormat="false" ht="15.75" hidden="false" customHeight="false" outlineLevel="0" collapsed="false">
      <c r="A28" s="127"/>
      <c r="B28" s="127"/>
      <c r="C28" s="127"/>
      <c r="D28" s="127"/>
      <c r="E28" s="127"/>
      <c r="F28" s="127"/>
      <c r="G28" s="127"/>
      <c r="H28" s="127"/>
      <c r="I28" s="127"/>
      <c r="J28" s="127"/>
      <c r="K28" s="127"/>
      <c r="L28" s="127"/>
      <c r="M28" s="127"/>
      <c r="N28" s="127"/>
      <c r="O28" s="127"/>
      <c r="P28" s="127"/>
      <c r="Q28" s="127"/>
      <c r="R28" s="127"/>
      <c r="S28" s="127"/>
      <c r="T28" s="127"/>
      <c r="U28" s="127"/>
      <c r="V28" s="127"/>
      <c r="W28" s="127"/>
      <c r="X28" s="127"/>
      <c r="Y28" s="127"/>
      <c r="Z28" s="127"/>
    </row>
    <row r="29" customFormat="false" ht="15.75" hidden="false" customHeight="false" outlineLevel="0" collapsed="false">
      <c r="A29" s="127"/>
      <c r="B29" s="127"/>
      <c r="C29" s="127"/>
      <c r="D29" s="127"/>
      <c r="E29" s="127"/>
      <c r="F29" s="127"/>
      <c r="G29" s="127"/>
      <c r="H29" s="127"/>
      <c r="I29" s="127"/>
      <c r="J29" s="127"/>
      <c r="K29" s="127"/>
      <c r="L29" s="127"/>
      <c r="M29" s="127"/>
      <c r="N29" s="127"/>
      <c r="O29" s="127"/>
      <c r="P29" s="127"/>
      <c r="Q29" s="127"/>
      <c r="R29" s="127"/>
      <c r="S29" s="127"/>
      <c r="T29" s="127"/>
      <c r="U29" s="127"/>
      <c r="V29" s="127"/>
      <c r="W29" s="127"/>
      <c r="X29" s="127"/>
      <c r="Y29" s="127"/>
      <c r="Z29" s="127"/>
    </row>
    <row r="30" customFormat="false" ht="15.75" hidden="false" customHeight="false" outlineLevel="0" collapsed="false">
      <c r="A30" s="127"/>
      <c r="B30" s="127"/>
      <c r="C30" s="127"/>
      <c r="D30" s="127"/>
      <c r="E30" s="127"/>
      <c r="F30" s="127"/>
      <c r="G30" s="127"/>
      <c r="H30" s="127"/>
      <c r="I30" s="127"/>
      <c r="J30" s="127"/>
      <c r="K30" s="127"/>
      <c r="L30" s="127"/>
      <c r="M30" s="127"/>
      <c r="N30" s="127"/>
      <c r="O30" s="127"/>
      <c r="P30" s="127"/>
      <c r="Q30" s="127"/>
      <c r="R30" s="127"/>
      <c r="S30" s="127"/>
      <c r="T30" s="127"/>
      <c r="U30" s="127"/>
      <c r="V30" s="127"/>
      <c r="W30" s="127"/>
      <c r="X30" s="127"/>
      <c r="Y30" s="127"/>
      <c r="Z30" s="127"/>
    </row>
    <row r="31" customFormat="false" ht="15.75" hidden="false" customHeight="false" outlineLevel="0" collapsed="false">
      <c r="A31" s="127"/>
      <c r="B31" s="127"/>
      <c r="C31" s="127"/>
      <c r="D31" s="127"/>
      <c r="E31" s="127"/>
      <c r="F31" s="127"/>
      <c r="G31" s="127"/>
      <c r="H31" s="127"/>
      <c r="I31" s="127"/>
      <c r="J31" s="127"/>
      <c r="K31" s="127"/>
      <c r="L31" s="127"/>
      <c r="M31" s="127"/>
      <c r="N31" s="127"/>
      <c r="O31" s="127"/>
      <c r="P31" s="127"/>
      <c r="Q31" s="127"/>
      <c r="R31" s="127"/>
      <c r="S31" s="127"/>
      <c r="T31" s="127"/>
      <c r="U31" s="127"/>
      <c r="V31" s="127"/>
      <c r="W31" s="127"/>
      <c r="X31" s="127"/>
      <c r="Y31" s="127"/>
      <c r="Z31" s="127"/>
    </row>
    <row r="32" customFormat="false" ht="15.75" hidden="false" customHeight="false" outlineLevel="0" collapsed="false">
      <c r="A32" s="127"/>
      <c r="B32" s="127"/>
      <c r="C32" s="127"/>
      <c r="D32" s="127"/>
      <c r="E32" s="127"/>
      <c r="F32" s="127"/>
      <c r="G32" s="127"/>
      <c r="H32" s="127"/>
      <c r="I32" s="127"/>
      <c r="J32" s="127"/>
      <c r="K32" s="127"/>
      <c r="L32" s="127"/>
      <c r="M32" s="127"/>
      <c r="N32" s="127"/>
      <c r="O32" s="127"/>
      <c r="P32" s="127"/>
      <c r="Q32" s="127"/>
      <c r="R32" s="127"/>
      <c r="S32" s="127"/>
      <c r="T32" s="127"/>
      <c r="U32" s="127"/>
      <c r="V32" s="127"/>
      <c r="W32" s="127"/>
      <c r="X32" s="127"/>
      <c r="Y32" s="127"/>
      <c r="Z32" s="127"/>
    </row>
    <row r="33" customFormat="false" ht="15.75" hidden="false" customHeight="false" outlineLevel="0" collapsed="false">
      <c r="A33" s="127"/>
      <c r="B33" s="127"/>
      <c r="C33" s="127"/>
      <c r="D33" s="127"/>
      <c r="E33" s="127"/>
      <c r="F33" s="127"/>
      <c r="G33" s="127"/>
      <c r="H33" s="127"/>
      <c r="I33" s="127"/>
      <c r="J33" s="127"/>
      <c r="K33" s="127"/>
      <c r="L33" s="127"/>
      <c r="M33" s="127"/>
      <c r="N33" s="127"/>
      <c r="O33" s="127"/>
      <c r="P33" s="127"/>
      <c r="Q33" s="127"/>
      <c r="R33" s="127"/>
      <c r="S33" s="127"/>
      <c r="T33" s="127"/>
      <c r="U33" s="127"/>
      <c r="V33" s="127"/>
      <c r="W33" s="127"/>
      <c r="X33" s="127"/>
      <c r="Y33" s="127"/>
      <c r="Z33" s="127"/>
    </row>
    <row r="34" customFormat="false" ht="15.75" hidden="false" customHeight="false" outlineLevel="0" collapsed="false">
      <c r="A34" s="127"/>
      <c r="B34" s="127"/>
      <c r="C34" s="127"/>
      <c r="D34" s="127"/>
      <c r="E34" s="127"/>
      <c r="F34" s="127"/>
      <c r="G34" s="127"/>
      <c r="H34" s="127"/>
      <c r="I34" s="127"/>
      <c r="J34" s="127"/>
      <c r="K34" s="127"/>
      <c r="L34" s="127"/>
      <c r="M34" s="127"/>
      <c r="N34" s="127"/>
      <c r="O34" s="127"/>
      <c r="P34" s="127"/>
      <c r="Q34" s="127"/>
      <c r="R34" s="127"/>
      <c r="S34" s="127"/>
      <c r="T34" s="127"/>
      <c r="U34" s="127"/>
      <c r="V34" s="127"/>
      <c r="W34" s="127"/>
      <c r="X34" s="127"/>
      <c r="Y34" s="127"/>
      <c r="Z34" s="127"/>
    </row>
    <row r="35" customFormat="false" ht="15.75" hidden="false" customHeight="false" outlineLevel="0" collapsed="false">
      <c r="A35" s="127"/>
      <c r="B35" s="127"/>
      <c r="C35" s="127"/>
      <c r="D35" s="127"/>
      <c r="E35" s="127"/>
      <c r="F35" s="127"/>
      <c r="G35" s="127"/>
      <c r="H35" s="127"/>
      <c r="I35" s="127"/>
      <c r="J35" s="127"/>
      <c r="K35" s="127"/>
      <c r="L35" s="127"/>
      <c r="M35" s="127"/>
      <c r="N35" s="127"/>
      <c r="O35" s="127"/>
      <c r="P35" s="127"/>
      <c r="Q35" s="127"/>
      <c r="R35" s="127"/>
      <c r="S35" s="127"/>
      <c r="T35" s="127"/>
      <c r="U35" s="127"/>
      <c r="V35" s="127"/>
      <c r="W35" s="127"/>
      <c r="X35" s="127"/>
      <c r="Y35" s="127"/>
      <c r="Z35" s="127"/>
    </row>
    <row r="36" customFormat="false" ht="15.75" hidden="false" customHeight="false" outlineLevel="0" collapsed="false">
      <c r="A36" s="127"/>
      <c r="B36" s="127"/>
      <c r="C36" s="127"/>
      <c r="D36" s="127"/>
      <c r="E36" s="127"/>
      <c r="F36" s="127"/>
      <c r="G36" s="127"/>
      <c r="H36" s="127"/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</row>
    <row r="37" customFormat="false" ht="15.75" hidden="false" customHeight="false" outlineLevel="0" collapsed="false">
      <c r="A37" s="127"/>
      <c r="B37" s="127"/>
      <c r="C37" s="127"/>
      <c r="D37" s="127"/>
      <c r="E37" s="127"/>
      <c r="F37" s="127"/>
      <c r="G37" s="127"/>
      <c r="H37" s="127"/>
      <c r="I37" s="127"/>
      <c r="J37" s="127"/>
      <c r="K37" s="127"/>
      <c r="L37" s="127"/>
      <c r="M37" s="127"/>
      <c r="N37" s="127"/>
      <c r="O37" s="127"/>
      <c r="P37" s="127"/>
      <c r="Q37" s="127"/>
      <c r="R37" s="127"/>
      <c r="S37" s="127"/>
      <c r="T37" s="127"/>
      <c r="U37" s="127"/>
      <c r="V37" s="127"/>
      <c r="W37" s="127"/>
      <c r="X37" s="127"/>
      <c r="Y37" s="127"/>
      <c r="Z37" s="127"/>
    </row>
    <row r="38" customFormat="false" ht="15.75" hidden="false" customHeight="false" outlineLevel="0" collapsed="false">
      <c r="A38" s="127"/>
      <c r="B38" s="127"/>
      <c r="C38" s="127"/>
      <c r="D38" s="127"/>
      <c r="E38" s="127"/>
      <c r="F38" s="127"/>
      <c r="G38" s="127"/>
      <c r="H38" s="127"/>
      <c r="I38" s="127"/>
      <c r="J38" s="127"/>
      <c r="K38" s="127"/>
      <c r="L38" s="127"/>
      <c r="M38" s="127"/>
      <c r="N38" s="127"/>
      <c r="O38" s="127"/>
      <c r="P38" s="127"/>
      <c r="Q38" s="127"/>
      <c r="R38" s="127"/>
      <c r="S38" s="127"/>
      <c r="T38" s="127"/>
      <c r="U38" s="127"/>
      <c r="V38" s="127"/>
      <c r="W38" s="127"/>
      <c r="X38" s="127"/>
      <c r="Y38" s="127"/>
      <c r="Z38" s="127"/>
    </row>
    <row r="39" customFormat="false" ht="15.75" hidden="false" customHeight="false" outlineLevel="0" collapsed="false">
      <c r="A39" s="127"/>
      <c r="B39" s="127"/>
      <c r="C39" s="127"/>
      <c r="D39" s="127"/>
      <c r="E39" s="127"/>
      <c r="F39" s="127"/>
      <c r="G39" s="127"/>
      <c r="H39" s="127"/>
      <c r="I39" s="127"/>
      <c r="J39" s="127"/>
      <c r="K39" s="127"/>
      <c r="L39" s="127"/>
      <c r="M39" s="127"/>
      <c r="N39" s="127"/>
      <c r="O39" s="127"/>
      <c r="P39" s="127"/>
      <c r="Q39" s="127"/>
      <c r="R39" s="127"/>
      <c r="S39" s="127"/>
      <c r="T39" s="127"/>
      <c r="U39" s="127"/>
      <c r="V39" s="127"/>
      <c r="W39" s="127"/>
      <c r="X39" s="127"/>
      <c r="Y39" s="127"/>
      <c r="Z39" s="127"/>
    </row>
    <row r="40" customFormat="false" ht="15.75" hidden="false" customHeight="false" outlineLevel="0" collapsed="false">
      <c r="A40" s="127"/>
      <c r="B40" s="127"/>
      <c r="C40" s="127"/>
      <c r="D40" s="127"/>
      <c r="E40" s="127"/>
      <c r="F40" s="127"/>
      <c r="G40" s="127"/>
      <c r="H40" s="127"/>
      <c r="I40" s="127"/>
      <c r="J40" s="127"/>
      <c r="K40" s="127"/>
      <c r="L40" s="127"/>
      <c r="M40" s="127"/>
      <c r="N40" s="127"/>
      <c r="O40" s="127"/>
      <c r="P40" s="127"/>
      <c r="Q40" s="127"/>
      <c r="R40" s="127"/>
      <c r="S40" s="127"/>
      <c r="T40" s="127"/>
      <c r="U40" s="127"/>
      <c r="V40" s="127"/>
      <c r="W40" s="127"/>
      <c r="X40" s="127"/>
      <c r="Y40" s="127"/>
      <c r="Z40" s="127"/>
    </row>
    <row r="41" customFormat="false" ht="15.75" hidden="false" customHeight="false" outlineLevel="0" collapsed="false">
      <c r="A41" s="127"/>
      <c r="B41" s="127"/>
      <c r="C41" s="127"/>
      <c r="D41" s="127"/>
      <c r="E41" s="127"/>
      <c r="F41" s="127"/>
      <c r="G41" s="127"/>
      <c r="H41" s="127"/>
      <c r="I41" s="127"/>
      <c r="J41" s="127"/>
      <c r="K41" s="127"/>
      <c r="L41" s="127"/>
      <c r="M41" s="127"/>
      <c r="N41" s="127"/>
      <c r="O41" s="127"/>
      <c r="P41" s="127"/>
      <c r="Q41" s="127"/>
      <c r="R41" s="127"/>
      <c r="S41" s="127"/>
      <c r="T41" s="127"/>
      <c r="U41" s="127"/>
      <c r="V41" s="127"/>
      <c r="W41" s="127"/>
      <c r="X41" s="127"/>
      <c r="Y41" s="127"/>
      <c r="Z41" s="127"/>
    </row>
    <row r="42" customFormat="false" ht="15.75" hidden="false" customHeight="false" outlineLevel="0" collapsed="false">
      <c r="A42" s="127"/>
      <c r="B42" s="127"/>
      <c r="C42" s="127"/>
      <c r="D42" s="127"/>
      <c r="E42" s="127"/>
      <c r="F42" s="127"/>
      <c r="G42" s="127"/>
      <c r="H42" s="127"/>
      <c r="I42" s="127"/>
      <c r="J42" s="127"/>
      <c r="K42" s="127"/>
      <c r="L42" s="127"/>
      <c r="M42" s="127"/>
      <c r="N42" s="127"/>
      <c r="O42" s="127"/>
      <c r="P42" s="127"/>
      <c r="Q42" s="127"/>
      <c r="R42" s="127"/>
      <c r="S42" s="127"/>
      <c r="T42" s="127"/>
      <c r="U42" s="127"/>
      <c r="V42" s="127"/>
      <c r="W42" s="127"/>
      <c r="X42" s="127"/>
      <c r="Y42" s="127"/>
      <c r="Z42" s="127"/>
    </row>
    <row r="43" customFormat="false" ht="15.75" hidden="false" customHeight="false" outlineLevel="0" collapsed="false">
      <c r="A43" s="127"/>
      <c r="B43" s="127"/>
      <c r="C43" s="127"/>
      <c r="D43" s="127"/>
      <c r="E43" s="127"/>
      <c r="F43" s="127"/>
      <c r="G43" s="127"/>
      <c r="H43" s="127"/>
      <c r="I43" s="127"/>
      <c r="J43" s="127"/>
      <c r="K43" s="127"/>
      <c r="L43" s="127"/>
      <c r="M43" s="127"/>
      <c r="N43" s="127"/>
      <c r="O43" s="127"/>
      <c r="P43" s="127"/>
      <c r="Q43" s="127"/>
      <c r="R43" s="127"/>
      <c r="S43" s="127"/>
      <c r="T43" s="127"/>
      <c r="U43" s="127"/>
      <c r="V43" s="127"/>
      <c r="W43" s="127"/>
      <c r="X43" s="127"/>
      <c r="Y43" s="127"/>
      <c r="Z43" s="127"/>
    </row>
    <row r="44" customFormat="false" ht="15.75" hidden="false" customHeight="false" outlineLevel="0" collapsed="false">
      <c r="A44" s="127"/>
      <c r="B44" s="127"/>
      <c r="C44" s="127"/>
      <c r="D44" s="127"/>
      <c r="E44" s="127"/>
      <c r="F44" s="127"/>
      <c r="G44" s="127"/>
      <c r="H44" s="127"/>
      <c r="I44" s="127"/>
      <c r="J44" s="127"/>
      <c r="K44" s="127"/>
      <c r="L44" s="127"/>
      <c r="M44" s="127"/>
      <c r="N44" s="127"/>
      <c r="O44" s="127"/>
      <c r="P44" s="127"/>
      <c r="Q44" s="127"/>
      <c r="R44" s="127"/>
      <c r="S44" s="127"/>
      <c r="T44" s="127"/>
      <c r="U44" s="127"/>
      <c r="V44" s="127"/>
      <c r="W44" s="127"/>
      <c r="X44" s="127"/>
      <c r="Y44" s="127"/>
      <c r="Z44" s="127"/>
    </row>
    <row r="45" customFormat="false" ht="15.75" hidden="false" customHeight="false" outlineLevel="0" collapsed="false">
      <c r="A45" s="127"/>
      <c r="B45" s="127"/>
      <c r="C45" s="127"/>
      <c r="D45" s="127"/>
      <c r="E45" s="127"/>
      <c r="F45" s="127"/>
      <c r="G45" s="127"/>
      <c r="H45" s="127"/>
      <c r="I45" s="127"/>
      <c r="J45" s="127"/>
      <c r="K45" s="127"/>
      <c r="L45" s="127"/>
      <c r="M45" s="127"/>
      <c r="N45" s="127"/>
      <c r="O45" s="127"/>
      <c r="P45" s="127"/>
      <c r="Q45" s="127"/>
      <c r="R45" s="127"/>
      <c r="S45" s="127"/>
      <c r="T45" s="127"/>
      <c r="U45" s="127"/>
      <c r="V45" s="127"/>
      <c r="W45" s="127"/>
      <c r="X45" s="127"/>
      <c r="Y45" s="127"/>
      <c r="Z45" s="127"/>
    </row>
    <row r="46" customFormat="false" ht="15.75" hidden="false" customHeight="false" outlineLevel="0" collapsed="false">
      <c r="A46" s="127"/>
      <c r="B46" s="127"/>
      <c r="C46" s="127"/>
      <c r="D46" s="127"/>
      <c r="E46" s="127"/>
      <c r="F46" s="127"/>
      <c r="G46" s="127"/>
      <c r="H46" s="127"/>
      <c r="I46" s="127"/>
      <c r="J46" s="127"/>
      <c r="K46" s="127"/>
      <c r="L46" s="127"/>
      <c r="M46" s="127"/>
      <c r="N46" s="127"/>
      <c r="O46" s="127"/>
      <c r="P46" s="127"/>
      <c r="Q46" s="127"/>
      <c r="R46" s="127"/>
      <c r="S46" s="127"/>
      <c r="T46" s="127"/>
      <c r="U46" s="127"/>
      <c r="V46" s="127"/>
      <c r="W46" s="127"/>
      <c r="X46" s="127"/>
      <c r="Y46" s="127"/>
      <c r="Z46" s="127"/>
    </row>
    <row r="47" customFormat="false" ht="15.75" hidden="false" customHeight="false" outlineLevel="0" collapsed="false">
      <c r="A47" s="127"/>
      <c r="B47" s="127"/>
      <c r="C47" s="127"/>
      <c r="D47" s="127"/>
      <c r="E47" s="127"/>
      <c r="F47" s="127"/>
      <c r="G47" s="127"/>
      <c r="H47" s="127"/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</row>
    <row r="48" customFormat="false" ht="15.75" hidden="false" customHeight="false" outlineLevel="0" collapsed="false">
      <c r="A48" s="127"/>
      <c r="B48" s="127"/>
      <c r="C48" s="127"/>
      <c r="D48" s="127"/>
      <c r="E48" s="127"/>
      <c r="F48" s="127"/>
      <c r="G48" s="127"/>
      <c r="H48" s="127"/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</row>
    <row r="49" customFormat="false" ht="15.75" hidden="false" customHeight="false" outlineLevel="0" collapsed="false">
      <c r="A49" s="127"/>
      <c r="B49" s="127"/>
      <c r="C49" s="127"/>
      <c r="D49" s="127"/>
      <c r="E49" s="127"/>
      <c r="F49" s="127"/>
      <c r="G49" s="127"/>
      <c r="H49" s="127"/>
      <c r="I49" s="127"/>
      <c r="J49" s="127"/>
      <c r="K49" s="127"/>
      <c r="L49" s="127"/>
      <c r="M49" s="127"/>
      <c r="N49" s="127"/>
      <c r="O49" s="127"/>
      <c r="P49" s="127"/>
      <c r="Q49" s="127"/>
      <c r="R49" s="127"/>
      <c r="S49" s="127"/>
      <c r="T49" s="127"/>
      <c r="U49" s="127"/>
      <c r="V49" s="127"/>
      <c r="W49" s="127"/>
      <c r="X49" s="127"/>
      <c r="Y49" s="127"/>
      <c r="Z49" s="127"/>
    </row>
    <row r="50" customFormat="false" ht="15.75" hidden="false" customHeight="false" outlineLevel="0" collapsed="false">
      <c r="A50" s="127"/>
      <c r="B50" s="127"/>
      <c r="C50" s="127"/>
      <c r="D50" s="127"/>
      <c r="E50" s="127"/>
      <c r="F50" s="127"/>
      <c r="G50" s="127"/>
      <c r="H50" s="127"/>
      <c r="I50" s="127"/>
      <c r="J50" s="127"/>
      <c r="K50" s="127"/>
      <c r="L50" s="127"/>
      <c r="M50" s="127"/>
      <c r="N50" s="127"/>
      <c r="O50" s="127"/>
      <c r="P50" s="127"/>
      <c r="Q50" s="127"/>
      <c r="R50" s="127"/>
      <c r="S50" s="127"/>
      <c r="T50" s="127"/>
      <c r="U50" s="127"/>
      <c r="V50" s="127"/>
      <c r="W50" s="127"/>
      <c r="X50" s="127"/>
      <c r="Y50" s="127"/>
      <c r="Z50" s="127"/>
    </row>
    <row r="51" customFormat="false" ht="15.75" hidden="false" customHeight="false" outlineLevel="0" collapsed="false">
      <c r="A51" s="127"/>
      <c r="B51" s="127"/>
      <c r="C51" s="127"/>
      <c r="D51" s="127"/>
      <c r="E51" s="127"/>
      <c r="F51" s="127"/>
      <c r="G51" s="127"/>
      <c r="H51" s="127"/>
      <c r="I51" s="127"/>
      <c r="J51" s="127"/>
      <c r="K51" s="127"/>
      <c r="L51" s="127"/>
      <c r="M51" s="127"/>
      <c r="N51" s="127"/>
      <c r="O51" s="127"/>
      <c r="P51" s="127"/>
      <c r="Q51" s="127"/>
      <c r="R51" s="127"/>
      <c r="S51" s="127"/>
      <c r="T51" s="127"/>
      <c r="U51" s="127"/>
      <c r="V51" s="127"/>
      <c r="W51" s="127"/>
      <c r="X51" s="127"/>
      <c r="Y51" s="127"/>
      <c r="Z51" s="127"/>
    </row>
    <row r="52" customFormat="false" ht="15.75" hidden="false" customHeight="false" outlineLevel="0" collapsed="false">
      <c r="A52" s="127"/>
      <c r="B52" s="127"/>
      <c r="C52" s="127"/>
      <c r="D52" s="127"/>
      <c r="E52" s="127"/>
      <c r="F52" s="127"/>
      <c r="G52" s="127"/>
      <c r="H52" s="127"/>
      <c r="I52" s="127"/>
      <c r="J52" s="127"/>
      <c r="K52" s="127"/>
      <c r="L52" s="127"/>
      <c r="M52" s="127"/>
      <c r="N52" s="127"/>
      <c r="O52" s="127"/>
      <c r="P52" s="127"/>
      <c r="Q52" s="127"/>
      <c r="R52" s="127"/>
      <c r="S52" s="127"/>
      <c r="T52" s="127"/>
      <c r="U52" s="127"/>
      <c r="V52" s="127"/>
      <c r="W52" s="127"/>
      <c r="X52" s="127"/>
      <c r="Y52" s="127"/>
      <c r="Z52" s="127"/>
    </row>
    <row r="53" customFormat="false" ht="15.75" hidden="false" customHeight="false" outlineLevel="0" collapsed="false">
      <c r="A53" s="127"/>
      <c r="B53" s="127"/>
      <c r="C53" s="127"/>
      <c r="D53" s="127"/>
      <c r="E53" s="127"/>
      <c r="F53" s="127"/>
      <c r="G53" s="127"/>
      <c r="H53" s="127"/>
      <c r="I53" s="127"/>
      <c r="J53" s="127"/>
      <c r="K53" s="127"/>
      <c r="L53" s="127"/>
      <c r="M53" s="127"/>
      <c r="N53" s="127"/>
      <c r="O53" s="127"/>
      <c r="P53" s="127"/>
      <c r="Q53" s="127"/>
      <c r="R53" s="127"/>
      <c r="S53" s="127"/>
      <c r="T53" s="127"/>
      <c r="U53" s="127"/>
      <c r="V53" s="127"/>
      <c r="W53" s="127"/>
      <c r="X53" s="127"/>
      <c r="Y53" s="127"/>
      <c r="Z53" s="127"/>
    </row>
    <row r="54" customFormat="false" ht="15.75" hidden="false" customHeight="false" outlineLevel="0" collapsed="false">
      <c r="A54" s="127"/>
      <c r="B54" s="127"/>
      <c r="C54" s="127"/>
      <c r="D54" s="127"/>
      <c r="E54" s="127"/>
      <c r="F54" s="127"/>
      <c r="G54" s="127"/>
      <c r="H54" s="127"/>
      <c r="I54" s="127"/>
      <c r="J54" s="127"/>
      <c r="K54" s="127"/>
      <c r="L54" s="127"/>
      <c r="M54" s="127"/>
      <c r="N54" s="127"/>
      <c r="O54" s="127"/>
      <c r="P54" s="127"/>
      <c r="Q54" s="127"/>
      <c r="R54" s="127"/>
      <c r="S54" s="127"/>
      <c r="T54" s="127"/>
      <c r="U54" s="127"/>
      <c r="V54" s="127"/>
      <c r="W54" s="127"/>
      <c r="X54" s="127"/>
      <c r="Y54" s="127"/>
      <c r="Z54" s="127"/>
    </row>
    <row r="55" customFormat="false" ht="15.75" hidden="false" customHeight="false" outlineLevel="0" collapsed="false">
      <c r="A55" s="127"/>
      <c r="B55" s="127"/>
      <c r="C55" s="127"/>
      <c r="D55" s="127"/>
      <c r="E55" s="127"/>
      <c r="F55" s="127"/>
      <c r="G55" s="127"/>
      <c r="H55" s="127"/>
      <c r="I55" s="127"/>
      <c r="J55" s="127"/>
      <c r="K55" s="127"/>
      <c r="L55" s="127"/>
      <c r="M55" s="127"/>
      <c r="N55" s="127"/>
      <c r="O55" s="127"/>
      <c r="P55" s="127"/>
      <c r="Q55" s="127"/>
      <c r="R55" s="127"/>
      <c r="S55" s="127"/>
      <c r="T55" s="127"/>
      <c r="U55" s="127"/>
      <c r="V55" s="127"/>
      <c r="W55" s="127"/>
      <c r="X55" s="127"/>
      <c r="Y55" s="127"/>
      <c r="Z55" s="127"/>
    </row>
    <row r="56" customFormat="false" ht="15.75" hidden="false" customHeight="false" outlineLevel="0" collapsed="false">
      <c r="A56" s="127"/>
      <c r="B56" s="127"/>
      <c r="C56" s="127"/>
      <c r="D56" s="127"/>
      <c r="E56" s="127"/>
      <c r="F56" s="127"/>
      <c r="G56" s="127"/>
      <c r="H56" s="127"/>
      <c r="I56" s="127"/>
      <c r="J56" s="127"/>
      <c r="K56" s="127"/>
      <c r="L56" s="127"/>
      <c r="M56" s="127"/>
      <c r="N56" s="127"/>
      <c r="O56" s="127"/>
      <c r="P56" s="127"/>
      <c r="Q56" s="127"/>
      <c r="R56" s="127"/>
      <c r="S56" s="127"/>
      <c r="T56" s="127"/>
      <c r="U56" s="127"/>
      <c r="V56" s="127"/>
      <c r="W56" s="127"/>
      <c r="X56" s="127"/>
      <c r="Y56" s="127"/>
      <c r="Z56" s="127"/>
    </row>
    <row r="57" customFormat="false" ht="15.75" hidden="false" customHeight="false" outlineLevel="0" collapsed="false">
      <c r="A57" s="127"/>
      <c r="B57" s="127"/>
      <c r="C57" s="127"/>
      <c r="D57" s="127"/>
      <c r="E57" s="127"/>
      <c r="F57" s="127"/>
      <c r="G57" s="127"/>
      <c r="H57" s="127"/>
      <c r="I57" s="127"/>
      <c r="J57" s="127"/>
      <c r="K57" s="127"/>
      <c r="L57" s="127"/>
      <c r="M57" s="127"/>
      <c r="N57" s="127"/>
      <c r="O57" s="127"/>
      <c r="P57" s="127"/>
      <c r="Q57" s="127"/>
      <c r="R57" s="127"/>
      <c r="S57" s="127"/>
      <c r="T57" s="127"/>
      <c r="U57" s="127"/>
      <c r="V57" s="127"/>
      <c r="W57" s="127"/>
      <c r="X57" s="127"/>
      <c r="Y57" s="127"/>
      <c r="Z57" s="127"/>
    </row>
    <row r="58" customFormat="false" ht="15.75" hidden="false" customHeight="false" outlineLevel="0" collapsed="false">
      <c r="A58" s="127"/>
      <c r="B58" s="127"/>
      <c r="C58" s="127"/>
      <c r="D58" s="127"/>
      <c r="E58" s="127"/>
      <c r="F58" s="127"/>
      <c r="G58" s="127"/>
      <c r="H58" s="127"/>
      <c r="I58" s="127"/>
      <c r="J58" s="127"/>
      <c r="K58" s="127"/>
      <c r="L58" s="127"/>
      <c r="M58" s="127"/>
      <c r="N58" s="127"/>
      <c r="O58" s="127"/>
      <c r="P58" s="127"/>
      <c r="Q58" s="127"/>
      <c r="R58" s="127"/>
      <c r="S58" s="127"/>
      <c r="T58" s="127"/>
      <c r="U58" s="127"/>
      <c r="V58" s="127"/>
      <c r="W58" s="127"/>
      <c r="X58" s="127"/>
      <c r="Y58" s="127"/>
      <c r="Z58" s="127"/>
    </row>
    <row r="59" customFormat="false" ht="15.75" hidden="false" customHeight="false" outlineLevel="0" collapsed="false">
      <c r="A59" s="127"/>
      <c r="B59" s="127"/>
      <c r="C59" s="127"/>
      <c r="D59" s="127"/>
      <c r="E59" s="127"/>
      <c r="F59" s="127"/>
      <c r="G59" s="127"/>
      <c r="H59" s="127"/>
      <c r="I59" s="127"/>
      <c r="J59" s="127"/>
      <c r="K59" s="127"/>
      <c r="L59" s="127"/>
      <c r="M59" s="127"/>
      <c r="N59" s="127"/>
      <c r="O59" s="127"/>
      <c r="P59" s="127"/>
      <c r="Q59" s="127"/>
      <c r="R59" s="127"/>
      <c r="S59" s="127"/>
      <c r="T59" s="127"/>
      <c r="U59" s="127"/>
      <c r="V59" s="127"/>
      <c r="W59" s="127"/>
      <c r="X59" s="127"/>
      <c r="Y59" s="127"/>
      <c r="Z59" s="127"/>
    </row>
    <row r="60" customFormat="false" ht="15.75" hidden="false" customHeight="false" outlineLevel="0" collapsed="false">
      <c r="A60" s="127"/>
      <c r="B60" s="127"/>
      <c r="C60" s="127"/>
      <c r="D60" s="127"/>
      <c r="E60" s="127"/>
      <c r="F60" s="127"/>
      <c r="G60" s="127"/>
      <c r="H60" s="127"/>
      <c r="I60" s="127"/>
      <c r="J60" s="127"/>
      <c r="K60" s="127"/>
      <c r="L60" s="127"/>
      <c r="M60" s="127"/>
      <c r="N60" s="127"/>
      <c r="O60" s="127"/>
      <c r="P60" s="127"/>
      <c r="Q60" s="127"/>
      <c r="R60" s="127"/>
      <c r="S60" s="127"/>
      <c r="T60" s="127"/>
      <c r="U60" s="127"/>
      <c r="V60" s="127"/>
      <c r="W60" s="127"/>
      <c r="X60" s="127"/>
      <c r="Y60" s="127"/>
      <c r="Z60" s="127"/>
    </row>
    <row r="61" customFormat="false" ht="15.75" hidden="false" customHeight="false" outlineLevel="0" collapsed="false">
      <c r="A61" s="127"/>
      <c r="B61" s="127"/>
      <c r="C61" s="127"/>
      <c r="D61" s="127"/>
      <c r="E61" s="127"/>
      <c r="F61" s="127"/>
      <c r="G61" s="127"/>
      <c r="H61" s="127"/>
      <c r="I61" s="127"/>
      <c r="J61" s="127"/>
      <c r="K61" s="127"/>
      <c r="L61" s="127"/>
      <c r="M61" s="127"/>
      <c r="N61" s="127"/>
      <c r="O61" s="127"/>
      <c r="P61" s="127"/>
      <c r="Q61" s="127"/>
      <c r="R61" s="127"/>
      <c r="S61" s="127"/>
      <c r="T61" s="127"/>
      <c r="U61" s="127"/>
      <c r="V61" s="127"/>
      <c r="W61" s="127"/>
      <c r="X61" s="127"/>
      <c r="Y61" s="127"/>
      <c r="Z61" s="127"/>
    </row>
    <row r="62" customFormat="false" ht="15.75" hidden="false" customHeight="false" outlineLevel="0" collapsed="false">
      <c r="A62" s="127"/>
      <c r="B62" s="127"/>
      <c r="C62" s="127"/>
      <c r="D62" s="127"/>
      <c r="E62" s="127"/>
      <c r="F62" s="127"/>
      <c r="G62" s="127"/>
      <c r="H62" s="127"/>
      <c r="I62" s="127"/>
      <c r="J62" s="127"/>
      <c r="K62" s="127"/>
      <c r="L62" s="127"/>
      <c r="M62" s="127"/>
      <c r="N62" s="127"/>
      <c r="O62" s="127"/>
      <c r="P62" s="127"/>
      <c r="Q62" s="127"/>
      <c r="R62" s="127"/>
      <c r="S62" s="127"/>
      <c r="T62" s="127"/>
      <c r="U62" s="127"/>
      <c r="V62" s="127"/>
      <c r="W62" s="127"/>
      <c r="X62" s="127"/>
      <c r="Y62" s="127"/>
      <c r="Z62" s="127"/>
    </row>
    <row r="63" customFormat="false" ht="15.75" hidden="false" customHeight="false" outlineLevel="0" collapsed="false">
      <c r="A63" s="127"/>
      <c r="B63" s="127"/>
      <c r="C63" s="127"/>
      <c r="D63" s="127"/>
      <c r="E63" s="127"/>
      <c r="F63" s="127"/>
      <c r="G63" s="127"/>
      <c r="H63" s="127"/>
      <c r="I63" s="127"/>
      <c r="J63" s="127"/>
      <c r="K63" s="127"/>
      <c r="L63" s="127"/>
      <c r="M63" s="127"/>
      <c r="N63" s="127"/>
      <c r="O63" s="127"/>
      <c r="P63" s="127"/>
      <c r="Q63" s="127"/>
      <c r="R63" s="127"/>
      <c r="S63" s="127"/>
      <c r="T63" s="127"/>
      <c r="U63" s="127"/>
      <c r="V63" s="127"/>
      <c r="W63" s="127"/>
      <c r="X63" s="127"/>
      <c r="Y63" s="127"/>
      <c r="Z63" s="127"/>
    </row>
    <row r="64" customFormat="false" ht="15.75" hidden="false" customHeight="false" outlineLevel="0" collapsed="false">
      <c r="A64" s="127"/>
      <c r="B64" s="127"/>
      <c r="C64" s="127"/>
      <c r="D64" s="127"/>
      <c r="E64" s="127"/>
      <c r="F64" s="127"/>
      <c r="G64" s="127"/>
      <c r="H64" s="127"/>
      <c r="I64" s="127"/>
      <c r="J64" s="127"/>
      <c r="K64" s="127"/>
      <c r="L64" s="127"/>
      <c r="M64" s="127"/>
      <c r="N64" s="127"/>
      <c r="O64" s="127"/>
      <c r="P64" s="127"/>
      <c r="Q64" s="127"/>
      <c r="R64" s="127"/>
      <c r="S64" s="127"/>
      <c r="T64" s="127"/>
      <c r="U64" s="127"/>
      <c r="V64" s="127"/>
      <c r="W64" s="127"/>
      <c r="X64" s="127"/>
      <c r="Y64" s="127"/>
      <c r="Z64" s="127"/>
    </row>
    <row r="65" customFormat="false" ht="15.75" hidden="false" customHeight="false" outlineLevel="0" collapsed="false">
      <c r="A65" s="127"/>
      <c r="B65" s="127"/>
      <c r="C65" s="127"/>
      <c r="D65" s="127"/>
      <c r="E65" s="127"/>
      <c r="F65" s="127"/>
      <c r="G65" s="127"/>
      <c r="H65" s="127"/>
      <c r="I65" s="127"/>
      <c r="J65" s="127"/>
      <c r="K65" s="127"/>
      <c r="L65" s="127"/>
      <c r="M65" s="127"/>
      <c r="N65" s="127"/>
      <c r="O65" s="127"/>
      <c r="P65" s="127"/>
      <c r="Q65" s="127"/>
      <c r="R65" s="127"/>
      <c r="S65" s="127"/>
      <c r="T65" s="127"/>
      <c r="U65" s="127"/>
      <c r="V65" s="127"/>
      <c r="W65" s="127"/>
      <c r="X65" s="127"/>
      <c r="Y65" s="127"/>
      <c r="Z65" s="127"/>
    </row>
    <row r="66" customFormat="false" ht="15.75" hidden="false" customHeight="false" outlineLevel="0" collapsed="false">
      <c r="A66" s="127"/>
      <c r="B66" s="127"/>
      <c r="C66" s="127"/>
      <c r="D66" s="127"/>
      <c r="E66" s="127"/>
      <c r="F66" s="127"/>
      <c r="G66" s="127"/>
      <c r="H66" s="127"/>
      <c r="I66" s="127"/>
      <c r="J66" s="127"/>
      <c r="K66" s="127"/>
      <c r="L66" s="127"/>
      <c r="M66" s="127"/>
      <c r="N66" s="127"/>
      <c r="O66" s="127"/>
      <c r="P66" s="127"/>
      <c r="Q66" s="127"/>
      <c r="R66" s="127"/>
      <c r="S66" s="127"/>
      <c r="T66" s="127"/>
      <c r="U66" s="127"/>
      <c r="V66" s="127"/>
      <c r="W66" s="127"/>
      <c r="X66" s="127"/>
      <c r="Y66" s="127"/>
      <c r="Z66" s="127"/>
    </row>
    <row r="67" customFormat="false" ht="15.75" hidden="false" customHeight="false" outlineLevel="0" collapsed="false">
      <c r="A67" s="127"/>
      <c r="B67" s="127"/>
      <c r="C67" s="127"/>
      <c r="D67" s="127"/>
      <c r="E67" s="127"/>
      <c r="F67" s="127"/>
      <c r="G67" s="127"/>
      <c r="H67" s="127"/>
      <c r="I67" s="127"/>
      <c r="J67" s="127"/>
      <c r="K67" s="127"/>
      <c r="L67" s="127"/>
      <c r="M67" s="127"/>
      <c r="N67" s="127"/>
      <c r="O67" s="127"/>
      <c r="P67" s="127"/>
      <c r="Q67" s="127"/>
      <c r="R67" s="127"/>
      <c r="S67" s="127"/>
      <c r="T67" s="127"/>
      <c r="U67" s="127"/>
      <c r="V67" s="127"/>
      <c r="W67" s="127"/>
      <c r="X67" s="127"/>
      <c r="Y67" s="127"/>
      <c r="Z67" s="127"/>
    </row>
    <row r="68" customFormat="false" ht="15.75" hidden="false" customHeight="false" outlineLevel="0" collapsed="false">
      <c r="A68" s="127"/>
      <c r="B68" s="127"/>
      <c r="C68" s="127"/>
      <c r="D68" s="127"/>
      <c r="E68" s="127"/>
      <c r="F68" s="127"/>
      <c r="G68" s="127"/>
      <c r="H68" s="127"/>
      <c r="I68" s="127"/>
      <c r="J68" s="127"/>
      <c r="K68" s="127"/>
      <c r="L68" s="127"/>
      <c r="M68" s="127"/>
      <c r="N68" s="127"/>
      <c r="O68" s="127"/>
      <c r="P68" s="127"/>
      <c r="Q68" s="127"/>
      <c r="R68" s="127"/>
      <c r="S68" s="127"/>
      <c r="T68" s="127"/>
      <c r="U68" s="127"/>
      <c r="V68" s="127"/>
      <c r="W68" s="127"/>
      <c r="X68" s="127"/>
      <c r="Y68" s="127"/>
      <c r="Z68" s="127"/>
    </row>
    <row r="69" customFormat="false" ht="15.75" hidden="false" customHeight="false" outlineLevel="0" collapsed="false">
      <c r="A69" s="127"/>
      <c r="B69" s="127"/>
      <c r="C69" s="127"/>
      <c r="D69" s="127"/>
      <c r="E69" s="127"/>
      <c r="F69" s="127"/>
      <c r="G69" s="127"/>
      <c r="H69" s="127"/>
      <c r="I69" s="127"/>
      <c r="J69" s="127"/>
      <c r="K69" s="127"/>
      <c r="L69" s="127"/>
      <c r="M69" s="127"/>
      <c r="N69" s="127"/>
      <c r="O69" s="127"/>
      <c r="P69" s="127"/>
      <c r="Q69" s="127"/>
      <c r="R69" s="127"/>
      <c r="S69" s="127"/>
      <c r="T69" s="127"/>
      <c r="U69" s="127"/>
      <c r="V69" s="127"/>
      <c r="W69" s="127"/>
      <c r="X69" s="127"/>
      <c r="Y69" s="127"/>
      <c r="Z69" s="127"/>
    </row>
    <row r="70" customFormat="false" ht="15.75" hidden="false" customHeight="false" outlineLevel="0" collapsed="false">
      <c r="A70" s="127"/>
      <c r="B70" s="127"/>
      <c r="C70" s="127"/>
      <c r="D70" s="127"/>
      <c r="E70" s="127"/>
      <c r="F70" s="127"/>
      <c r="G70" s="127"/>
      <c r="H70" s="127"/>
      <c r="I70" s="127"/>
      <c r="J70" s="127"/>
      <c r="K70" s="127"/>
      <c r="L70" s="127"/>
      <c r="M70" s="127"/>
      <c r="N70" s="127"/>
      <c r="O70" s="127"/>
      <c r="P70" s="127"/>
      <c r="Q70" s="127"/>
      <c r="R70" s="127"/>
      <c r="S70" s="127"/>
      <c r="T70" s="127"/>
      <c r="U70" s="127"/>
      <c r="V70" s="127"/>
      <c r="W70" s="127"/>
      <c r="X70" s="127"/>
      <c r="Y70" s="127"/>
      <c r="Z70" s="127"/>
    </row>
    <row r="71" customFormat="false" ht="15.75" hidden="false" customHeight="false" outlineLevel="0" collapsed="false">
      <c r="A71" s="127"/>
      <c r="B71" s="127"/>
      <c r="C71" s="127"/>
      <c r="D71" s="127"/>
      <c r="E71" s="127"/>
      <c r="F71" s="127"/>
      <c r="G71" s="127"/>
      <c r="H71" s="127"/>
      <c r="I71" s="127"/>
      <c r="J71" s="127"/>
      <c r="K71" s="127"/>
      <c r="L71" s="127"/>
      <c r="M71" s="127"/>
      <c r="N71" s="127"/>
      <c r="O71" s="127"/>
      <c r="P71" s="127"/>
      <c r="Q71" s="127"/>
      <c r="R71" s="127"/>
      <c r="S71" s="127"/>
      <c r="T71" s="127"/>
      <c r="U71" s="127"/>
      <c r="V71" s="127"/>
      <c r="W71" s="127"/>
      <c r="X71" s="127"/>
      <c r="Y71" s="127"/>
      <c r="Z71" s="127"/>
    </row>
    <row r="72" customFormat="false" ht="15.75" hidden="false" customHeight="false" outlineLevel="0" collapsed="false">
      <c r="A72" s="127"/>
      <c r="B72" s="127"/>
      <c r="C72" s="127"/>
      <c r="D72" s="127"/>
      <c r="E72" s="127"/>
      <c r="F72" s="127"/>
      <c r="G72" s="127"/>
      <c r="H72" s="127"/>
      <c r="I72" s="127"/>
      <c r="J72" s="127"/>
      <c r="K72" s="127"/>
      <c r="L72" s="127"/>
      <c r="M72" s="127"/>
      <c r="N72" s="127"/>
      <c r="O72" s="127"/>
      <c r="P72" s="127"/>
      <c r="Q72" s="127"/>
      <c r="R72" s="127"/>
      <c r="S72" s="127"/>
      <c r="T72" s="127"/>
      <c r="U72" s="127"/>
      <c r="V72" s="127"/>
      <c r="W72" s="127"/>
      <c r="X72" s="127"/>
      <c r="Y72" s="127"/>
      <c r="Z72" s="127"/>
    </row>
    <row r="73" customFormat="false" ht="15.75" hidden="false" customHeight="false" outlineLevel="0" collapsed="false">
      <c r="A73" s="127"/>
      <c r="B73" s="127"/>
      <c r="C73" s="127"/>
      <c r="D73" s="127"/>
      <c r="E73" s="127"/>
      <c r="F73" s="127"/>
      <c r="G73" s="127"/>
      <c r="H73" s="127"/>
      <c r="I73" s="127"/>
      <c r="J73" s="127"/>
      <c r="K73" s="127"/>
      <c r="L73" s="127"/>
      <c r="M73" s="127"/>
      <c r="N73" s="127"/>
      <c r="O73" s="127"/>
      <c r="P73" s="127"/>
      <c r="Q73" s="127"/>
      <c r="R73" s="127"/>
      <c r="S73" s="127"/>
      <c r="T73" s="127"/>
      <c r="U73" s="127"/>
      <c r="V73" s="127"/>
      <c r="W73" s="127"/>
      <c r="X73" s="127"/>
      <c r="Y73" s="127"/>
      <c r="Z73" s="127"/>
    </row>
    <row r="74" customFormat="false" ht="15.75" hidden="false" customHeight="false" outlineLevel="0" collapsed="false">
      <c r="A74" s="127"/>
      <c r="B74" s="127"/>
      <c r="C74" s="127"/>
      <c r="D74" s="127"/>
      <c r="E74" s="127"/>
      <c r="F74" s="127"/>
      <c r="G74" s="127"/>
      <c r="H74" s="127"/>
      <c r="I74" s="127"/>
      <c r="J74" s="127"/>
      <c r="K74" s="127"/>
      <c r="L74" s="127"/>
      <c r="M74" s="127"/>
      <c r="N74" s="127"/>
      <c r="O74" s="127"/>
      <c r="P74" s="127"/>
      <c r="Q74" s="127"/>
      <c r="R74" s="127"/>
      <c r="S74" s="127"/>
      <c r="T74" s="127"/>
      <c r="U74" s="127"/>
      <c r="V74" s="127"/>
      <c r="W74" s="127"/>
      <c r="X74" s="127"/>
      <c r="Y74" s="127"/>
      <c r="Z74" s="127"/>
    </row>
    <row r="75" customFormat="false" ht="15.75" hidden="false" customHeight="false" outlineLevel="0" collapsed="false">
      <c r="A75" s="127"/>
      <c r="B75" s="127"/>
      <c r="C75" s="127"/>
      <c r="D75" s="127"/>
      <c r="E75" s="127"/>
      <c r="F75" s="127"/>
      <c r="G75" s="127"/>
      <c r="H75" s="127"/>
      <c r="I75" s="127"/>
      <c r="J75" s="127"/>
      <c r="K75" s="127"/>
      <c r="L75" s="127"/>
      <c r="M75" s="127"/>
      <c r="N75" s="127"/>
      <c r="O75" s="127"/>
      <c r="P75" s="127"/>
      <c r="Q75" s="127"/>
      <c r="R75" s="127"/>
      <c r="S75" s="127"/>
      <c r="T75" s="127"/>
      <c r="U75" s="127"/>
      <c r="V75" s="127"/>
      <c r="W75" s="127"/>
      <c r="X75" s="127"/>
      <c r="Y75" s="127"/>
      <c r="Z75" s="127"/>
    </row>
    <row r="76" customFormat="false" ht="15.75" hidden="false" customHeight="false" outlineLevel="0" collapsed="false">
      <c r="A76" s="127"/>
      <c r="B76" s="127"/>
      <c r="C76" s="127"/>
      <c r="D76" s="127"/>
      <c r="E76" s="127"/>
      <c r="F76" s="127"/>
      <c r="G76" s="127"/>
      <c r="H76" s="127"/>
      <c r="I76" s="127"/>
      <c r="J76" s="127"/>
      <c r="K76" s="127"/>
      <c r="L76" s="127"/>
      <c r="M76" s="127"/>
      <c r="N76" s="127"/>
      <c r="O76" s="127"/>
      <c r="P76" s="127"/>
      <c r="Q76" s="127"/>
      <c r="R76" s="127"/>
      <c r="S76" s="127"/>
      <c r="T76" s="127"/>
      <c r="U76" s="127"/>
      <c r="V76" s="127"/>
      <c r="W76" s="127"/>
      <c r="X76" s="127"/>
      <c r="Y76" s="127"/>
      <c r="Z76" s="127"/>
    </row>
    <row r="77" customFormat="false" ht="15.75" hidden="false" customHeight="false" outlineLevel="0" collapsed="false">
      <c r="A77" s="127"/>
      <c r="B77" s="127"/>
      <c r="C77" s="127"/>
      <c r="D77" s="127"/>
      <c r="E77" s="127"/>
      <c r="F77" s="127"/>
      <c r="G77" s="127"/>
      <c r="H77" s="127"/>
      <c r="I77" s="127"/>
      <c r="J77" s="127"/>
      <c r="K77" s="127"/>
      <c r="L77" s="127"/>
      <c r="M77" s="127"/>
      <c r="N77" s="127"/>
      <c r="O77" s="127"/>
      <c r="P77" s="127"/>
      <c r="Q77" s="127"/>
      <c r="R77" s="127"/>
      <c r="S77" s="127"/>
      <c r="T77" s="127"/>
      <c r="U77" s="127"/>
      <c r="V77" s="127"/>
      <c r="W77" s="127"/>
      <c r="X77" s="127"/>
      <c r="Y77" s="127"/>
      <c r="Z77" s="127"/>
    </row>
    <row r="78" customFormat="false" ht="15.75" hidden="false" customHeight="false" outlineLevel="0" collapsed="false">
      <c r="A78" s="127"/>
      <c r="B78" s="127"/>
      <c r="C78" s="127"/>
      <c r="D78" s="127"/>
      <c r="E78" s="127"/>
      <c r="F78" s="127"/>
      <c r="G78" s="127"/>
      <c r="H78" s="127"/>
      <c r="I78" s="127"/>
      <c r="J78" s="127"/>
      <c r="K78" s="127"/>
      <c r="L78" s="127"/>
      <c r="M78" s="127"/>
      <c r="N78" s="127"/>
      <c r="O78" s="127"/>
      <c r="P78" s="127"/>
      <c r="Q78" s="127"/>
      <c r="R78" s="127"/>
      <c r="S78" s="127"/>
      <c r="T78" s="127"/>
      <c r="U78" s="127"/>
      <c r="V78" s="127"/>
      <c r="W78" s="127"/>
      <c r="X78" s="127"/>
      <c r="Y78" s="127"/>
      <c r="Z78" s="127"/>
    </row>
    <row r="79" customFormat="false" ht="15.75" hidden="false" customHeight="false" outlineLevel="0" collapsed="false">
      <c r="A79" s="127"/>
      <c r="B79" s="127"/>
      <c r="C79" s="127"/>
      <c r="D79" s="127"/>
      <c r="E79" s="127"/>
      <c r="F79" s="127"/>
      <c r="G79" s="127"/>
      <c r="H79" s="127"/>
      <c r="I79" s="127"/>
      <c r="J79" s="127"/>
      <c r="K79" s="127"/>
      <c r="L79" s="127"/>
      <c r="M79" s="127"/>
      <c r="N79" s="127"/>
      <c r="O79" s="127"/>
      <c r="P79" s="127"/>
      <c r="Q79" s="127"/>
      <c r="R79" s="127"/>
      <c r="S79" s="127"/>
      <c r="T79" s="127"/>
      <c r="U79" s="127"/>
      <c r="V79" s="127"/>
      <c r="W79" s="127"/>
      <c r="X79" s="127"/>
      <c r="Y79" s="127"/>
      <c r="Z79" s="127"/>
    </row>
    <row r="80" customFormat="false" ht="15.75" hidden="false" customHeight="false" outlineLevel="0" collapsed="false">
      <c r="A80" s="127"/>
      <c r="B80" s="127"/>
      <c r="C80" s="127"/>
      <c r="D80" s="127"/>
      <c r="E80" s="127"/>
      <c r="F80" s="127"/>
      <c r="G80" s="127"/>
      <c r="H80" s="127"/>
      <c r="I80" s="127"/>
      <c r="J80" s="127"/>
      <c r="K80" s="127"/>
      <c r="L80" s="127"/>
      <c r="M80" s="127"/>
      <c r="N80" s="127"/>
      <c r="O80" s="127"/>
      <c r="P80" s="127"/>
      <c r="Q80" s="127"/>
      <c r="R80" s="127"/>
      <c r="S80" s="127"/>
      <c r="T80" s="127"/>
      <c r="U80" s="127"/>
      <c r="V80" s="127"/>
      <c r="W80" s="127"/>
      <c r="X80" s="127"/>
      <c r="Y80" s="127"/>
      <c r="Z80" s="127"/>
    </row>
    <row r="81" customFormat="false" ht="15.75" hidden="false" customHeight="false" outlineLevel="0" collapsed="false">
      <c r="A81" s="127"/>
      <c r="B81" s="127"/>
      <c r="C81" s="127"/>
      <c r="D81" s="127"/>
      <c r="E81" s="127"/>
      <c r="F81" s="127"/>
      <c r="G81" s="127"/>
      <c r="H81" s="127"/>
      <c r="I81" s="127"/>
      <c r="J81" s="127"/>
      <c r="K81" s="127"/>
      <c r="L81" s="127"/>
      <c r="M81" s="127"/>
      <c r="N81" s="127"/>
      <c r="O81" s="127"/>
      <c r="P81" s="127"/>
      <c r="Q81" s="127"/>
      <c r="R81" s="127"/>
      <c r="S81" s="127"/>
      <c r="T81" s="127"/>
      <c r="U81" s="127"/>
      <c r="V81" s="127"/>
      <c r="W81" s="127"/>
      <c r="X81" s="127"/>
      <c r="Y81" s="127"/>
      <c r="Z81" s="127"/>
    </row>
    <row r="82" customFormat="false" ht="15.75" hidden="false" customHeight="false" outlineLevel="0" collapsed="false">
      <c r="A82" s="127"/>
      <c r="B82" s="127"/>
      <c r="C82" s="127"/>
      <c r="D82" s="127"/>
      <c r="E82" s="127"/>
      <c r="F82" s="127"/>
      <c r="G82" s="127"/>
      <c r="H82" s="127"/>
      <c r="I82" s="127"/>
      <c r="J82" s="127"/>
      <c r="K82" s="127"/>
      <c r="L82" s="127"/>
      <c r="M82" s="127"/>
      <c r="N82" s="127"/>
      <c r="O82" s="127"/>
      <c r="P82" s="127"/>
      <c r="Q82" s="127"/>
      <c r="R82" s="127"/>
      <c r="S82" s="127"/>
      <c r="T82" s="127"/>
      <c r="U82" s="127"/>
      <c r="V82" s="127"/>
      <c r="W82" s="127"/>
      <c r="X82" s="127"/>
      <c r="Y82" s="127"/>
      <c r="Z82" s="127"/>
    </row>
    <row r="83" customFormat="false" ht="15.75" hidden="false" customHeight="false" outlineLevel="0" collapsed="false">
      <c r="A83" s="127"/>
      <c r="B83" s="127"/>
      <c r="C83" s="127"/>
      <c r="D83" s="127"/>
      <c r="E83" s="127"/>
      <c r="F83" s="127"/>
      <c r="G83" s="127"/>
      <c r="H83" s="127"/>
      <c r="I83" s="127"/>
      <c r="J83" s="127"/>
      <c r="K83" s="127"/>
      <c r="L83" s="127"/>
      <c r="M83" s="127"/>
      <c r="N83" s="127"/>
      <c r="O83" s="127"/>
      <c r="P83" s="127"/>
      <c r="Q83" s="127"/>
      <c r="R83" s="127"/>
      <c r="S83" s="127"/>
      <c r="T83" s="127"/>
      <c r="U83" s="127"/>
      <c r="V83" s="127"/>
      <c r="W83" s="127"/>
      <c r="X83" s="127"/>
      <c r="Y83" s="127"/>
      <c r="Z83" s="127"/>
    </row>
    <row r="84" customFormat="false" ht="15.75" hidden="false" customHeight="false" outlineLevel="0" collapsed="false">
      <c r="A84" s="127"/>
      <c r="B84" s="127"/>
      <c r="C84" s="127"/>
      <c r="D84" s="127"/>
      <c r="E84" s="127"/>
      <c r="F84" s="127"/>
      <c r="G84" s="127"/>
      <c r="H84" s="127"/>
      <c r="I84" s="127"/>
      <c r="J84" s="127"/>
      <c r="K84" s="127"/>
      <c r="L84" s="127"/>
      <c r="M84" s="127"/>
      <c r="N84" s="127"/>
      <c r="O84" s="127"/>
      <c r="P84" s="127"/>
      <c r="Q84" s="127"/>
      <c r="R84" s="127"/>
      <c r="S84" s="127"/>
      <c r="T84" s="127"/>
      <c r="U84" s="127"/>
      <c r="V84" s="127"/>
      <c r="W84" s="127"/>
      <c r="X84" s="127"/>
      <c r="Y84" s="127"/>
      <c r="Z84" s="127"/>
    </row>
    <row r="85" customFormat="false" ht="15.75" hidden="false" customHeight="false" outlineLevel="0" collapsed="false">
      <c r="A85" s="127"/>
      <c r="B85" s="127"/>
      <c r="C85" s="127"/>
      <c r="D85" s="127"/>
      <c r="E85" s="127"/>
      <c r="F85" s="127"/>
      <c r="G85" s="127"/>
      <c r="H85" s="127"/>
      <c r="I85" s="127"/>
      <c r="J85" s="127"/>
      <c r="K85" s="127"/>
      <c r="L85" s="127"/>
      <c r="M85" s="127"/>
      <c r="N85" s="127"/>
      <c r="O85" s="127"/>
      <c r="P85" s="127"/>
      <c r="Q85" s="127"/>
      <c r="R85" s="127"/>
      <c r="S85" s="127"/>
      <c r="T85" s="127"/>
      <c r="U85" s="127"/>
      <c r="V85" s="127"/>
      <c r="W85" s="127"/>
      <c r="X85" s="127"/>
      <c r="Y85" s="127"/>
      <c r="Z85" s="127"/>
    </row>
    <row r="86" customFormat="false" ht="15.75" hidden="false" customHeight="false" outlineLevel="0" collapsed="false">
      <c r="A86" s="127"/>
      <c r="B86" s="127"/>
      <c r="C86" s="127"/>
      <c r="D86" s="127"/>
      <c r="E86" s="127"/>
      <c r="F86" s="127"/>
      <c r="G86" s="127"/>
      <c r="H86" s="127"/>
      <c r="I86" s="127"/>
      <c r="J86" s="127"/>
      <c r="K86" s="127"/>
      <c r="L86" s="127"/>
      <c r="M86" s="127"/>
      <c r="N86" s="127"/>
      <c r="O86" s="127"/>
      <c r="P86" s="127"/>
      <c r="Q86" s="127"/>
      <c r="R86" s="127"/>
      <c r="S86" s="127"/>
      <c r="T86" s="127"/>
      <c r="U86" s="127"/>
      <c r="V86" s="127"/>
      <c r="W86" s="127"/>
      <c r="X86" s="127"/>
      <c r="Y86" s="127"/>
      <c r="Z86" s="127"/>
    </row>
    <row r="87" customFormat="false" ht="15.75" hidden="false" customHeight="false" outlineLevel="0" collapsed="false">
      <c r="A87" s="127"/>
      <c r="B87" s="127"/>
      <c r="C87" s="127"/>
      <c r="D87" s="127"/>
      <c r="E87" s="127"/>
      <c r="F87" s="127"/>
      <c r="G87" s="127"/>
      <c r="H87" s="127"/>
      <c r="I87" s="127"/>
      <c r="J87" s="127"/>
      <c r="K87" s="127"/>
      <c r="L87" s="127"/>
      <c r="M87" s="127"/>
      <c r="N87" s="127"/>
      <c r="O87" s="127"/>
      <c r="P87" s="127"/>
      <c r="Q87" s="127"/>
      <c r="R87" s="127"/>
      <c r="S87" s="127"/>
      <c r="T87" s="127"/>
      <c r="U87" s="127"/>
      <c r="V87" s="127"/>
      <c r="W87" s="127"/>
      <c r="X87" s="127"/>
      <c r="Y87" s="127"/>
      <c r="Z87" s="127"/>
    </row>
    <row r="88" customFormat="false" ht="15.75" hidden="false" customHeight="false" outlineLevel="0" collapsed="false">
      <c r="A88" s="127"/>
      <c r="B88" s="127"/>
      <c r="C88" s="127"/>
      <c r="D88" s="127"/>
      <c r="E88" s="127"/>
      <c r="F88" s="127"/>
      <c r="G88" s="127"/>
      <c r="H88" s="127"/>
      <c r="I88" s="127"/>
      <c r="J88" s="127"/>
      <c r="K88" s="127"/>
      <c r="L88" s="127"/>
      <c r="M88" s="127"/>
      <c r="N88" s="127"/>
      <c r="O88" s="127"/>
      <c r="P88" s="127"/>
      <c r="Q88" s="127"/>
      <c r="R88" s="127"/>
      <c r="S88" s="127"/>
      <c r="T88" s="127"/>
      <c r="U88" s="127"/>
      <c r="V88" s="127"/>
      <c r="W88" s="127"/>
      <c r="X88" s="127"/>
      <c r="Y88" s="127"/>
      <c r="Z88" s="127"/>
    </row>
    <row r="89" customFormat="false" ht="15.75" hidden="false" customHeight="false" outlineLevel="0" collapsed="false">
      <c r="A89" s="127"/>
      <c r="B89" s="127"/>
      <c r="C89" s="127"/>
      <c r="D89" s="127"/>
      <c r="E89" s="127"/>
      <c r="F89" s="127"/>
      <c r="G89" s="127"/>
      <c r="H89" s="127"/>
      <c r="I89" s="127"/>
      <c r="J89" s="127"/>
      <c r="K89" s="127"/>
      <c r="L89" s="127"/>
      <c r="M89" s="127"/>
      <c r="N89" s="127"/>
      <c r="O89" s="127"/>
      <c r="P89" s="127"/>
      <c r="Q89" s="127"/>
      <c r="R89" s="127"/>
      <c r="S89" s="127"/>
      <c r="T89" s="127"/>
      <c r="U89" s="127"/>
      <c r="V89" s="127"/>
      <c r="W89" s="127"/>
      <c r="X89" s="127"/>
      <c r="Y89" s="127"/>
      <c r="Z89" s="127"/>
    </row>
    <row r="90" customFormat="false" ht="15.75" hidden="false" customHeight="false" outlineLevel="0" collapsed="false">
      <c r="A90" s="127"/>
      <c r="B90" s="127"/>
      <c r="C90" s="127"/>
      <c r="D90" s="127"/>
      <c r="E90" s="127"/>
      <c r="F90" s="127"/>
      <c r="G90" s="127"/>
      <c r="H90" s="127"/>
      <c r="I90" s="127"/>
      <c r="J90" s="127"/>
      <c r="K90" s="127"/>
      <c r="L90" s="127"/>
      <c r="M90" s="127"/>
      <c r="N90" s="127"/>
      <c r="O90" s="127"/>
      <c r="P90" s="127"/>
      <c r="Q90" s="127"/>
      <c r="R90" s="127"/>
      <c r="S90" s="127"/>
      <c r="T90" s="127"/>
      <c r="U90" s="127"/>
      <c r="V90" s="127"/>
      <c r="W90" s="127"/>
      <c r="X90" s="127"/>
      <c r="Y90" s="127"/>
      <c r="Z90" s="127"/>
    </row>
    <row r="91" customFormat="false" ht="15.75" hidden="false" customHeight="false" outlineLevel="0" collapsed="false">
      <c r="A91" s="127"/>
      <c r="B91" s="127"/>
      <c r="C91" s="127"/>
      <c r="D91" s="127"/>
      <c r="E91" s="127"/>
      <c r="F91" s="127"/>
      <c r="G91" s="127"/>
      <c r="H91" s="127"/>
      <c r="I91" s="127"/>
      <c r="J91" s="127"/>
      <c r="K91" s="127"/>
      <c r="L91" s="127"/>
      <c r="M91" s="127"/>
      <c r="N91" s="127"/>
      <c r="O91" s="127"/>
      <c r="P91" s="127"/>
      <c r="Q91" s="127"/>
      <c r="R91" s="127"/>
      <c r="S91" s="127"/>
      <c r="T91" s="127"/>
      <c r="U91" s="127"/>
      <c r="V91" s="127"/>
      <c r="W91" s="127"/>
      <c r="X91" s="127"/>
      <c r="Y91" s="127"/>
      <c r="Z91" s="127"/>
    </row>
    <row r="92" customFormat="false" ht="15.75" hidden="false" customHeight="false" outlineLevel="0" collapsed="false">
      <c r="A92" s="127"/>
      <c r="B92" s="127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127"/>
      <c r="P92" s="127"/>
      <c r="Q92" s="127"/>
      <c r="R92" s="127"/>
      <c r="S92" s="127"/>
      <c r="T92" s="127"/>
      <c r="U92" s="127"/>
      <c r="V92" s="127"/>
      <c r="W92" s="127"/>
      <c r="X92" s="127"/>
      <c r="Y92" s="127"/>
      <c r="Z92" s="127"/>
    </row>
    <row r="93" customFormat="false" ht="15.75" hidden="false" customHeight="false" outlineLevel="0" collapsed="false">
      <c r="A93" s="127"/>
      <c r="B93" s="127"/>
      <c r="C93" s="127"/>
      <c r="D93" s="127"/>
      <c r="E93" s="127"/>
      <c r="F93" s="127"/>
      <c r="G93" s="127"/>
      <c r="H93" s="127"/>
      <c r="I93" s="127"/>
      <c r="J93" s="127"/>
      <c r="K93" s="127"/>
      <c r="L93" s="127"/>
      <c r="M93" s="127"/>
      <c r="N93" s="127"/>
      <c r="O93" s="127"/>
      <c r="P93" s="127"/>
      <c r="Q93" s="127"/>
      <c r="R93" s="127"/>
      <c r="S93" s="127"/>
      <c r="T93" s="127"/>
      <c r="U93" s="127"/>
      <c r="V93" s="127"/>
      <c r="W93" s="127"/>
      <c r="X93" s="127"/>
      <c r="Y93" s="127"/>
      <c r="Z93" s="127"/>
    </row>
    <row r="94" customFormat="false" ht="15.75" hidden="false" customHeight="false" outlineLevel="0" collapsed="false">
      <c r="A94" s="127"/>
      <c r="B94" s="127"/>
      <c r="C94" s="127"/>
      <c r="D94" s="127"/>
      <c r="E94" s="127"/>
      <c r="F94" s="127"/>
      <c r="G94" s="127"/>
      <c r="H94" s="127"/>
      <c r="I94" s="127"/>
      <c r="J94" s="127"/>
      <c r="K94" s="127"/>
      <c r="L94" s="127"/>
      <c r="M94" s="127"/>
      <c r="N94" s="127"/>
      <c r="O94" s="127"/>
      <c r="P94" s="127"/>
      <c r="Q94" s="127"/>
      <c r="R94" s="127"/>
      <c r="S94" s="127"/>
      <c r="T94" s="127"/>
      <c r="U94" s="127"/>
      <c r="V94" s="127"/>
      <c r="W94" s="127"/>
      <c r="X94" s="127"/>
      <c r="Y94" s="127"/>
      <c r="Z94" s="127"/>
    </row>
    <row r="95" customFormat="false" ht="15.75" hidden="false" customHeight="false" outlineLevel="0" collapsed="false">
      <c r="A95" s="127"/>
      <c r="B95" s="127"/>
      <c r="C95" s="127"/>
      <c r="D95" s="127"/>
      <c r="E95" s="127"/>
      <c r="F95" s="127"/>
      <c r="G95" s="127"/>
      <c r="H95" s="127"/>
      <c r="I95" s="127"/>
      <c r="J95" s="127"/>
      <c r="K95" s="127"/>
      <c r="L95" s="127"/>
      <c r="M95" s="127"/>
      <c r="N95" s="127"/>
      <c r="O95" s="127"/>
      <c r="P95" s="127"/>
      <c r="Q95" s="127"/>
      <c r="R95" s="127"/>
      <c r="S95" s="127"/>
      <c r="T95" s="127"/>
      <c r="U95" s="127"/>
      <c r="V95" s="127"/>
      <c r="W95" s="127"/>
      <c r="X95" s="127"/>
      <c r="Y95" s="127"/>
      <c r="Z95" s="127"/>
    </row>
    <row r="96" customFormat="false" ht="15.75" hidden="false" customHeight="false" outlineLevel="0" collapsed="false">
      <c r="A96" s="127"/>
      <c r="B96" s="127"/>
      <c r="C96" s="127"/>
      <c r="D96" s="127"/>
      <c r="E96" s="127"/>
      <c r="F96" s="127"/>
      <c r="G96" s="127"/>
      <c r="H96" s="127"/>
      <c r="I96" s="127"/>
      <c r="J96" s="127"/>
      <c r="K96" s="127"/>
      <c r="L96" s="127"/>
      <c r="M96" s="127"/>
      <c r="N96" s="127"/>
      <c r="O96" s="127"/>
      <c r="P96" s="127"/>
      <c r="Q96" s="127"/>
      <c r="R96" s="127"/>
      <c r="S96" s="127"/>
      <c r="T96" s="127"/>
      <c r="U96" s="127"/>
      <c r="V96" s="127"/>
      <c r="W96" s="127"/>
      <c r="X96" s="127"/>
      <c r="Y96" s="127"/>
      <c r="Z96" s="127"/>
    </row>
    <row r="97" customFormat="false" ht="15.75" hidden="false" customHeight="false" outlineLevel="0" collapsed="false">
      <c r="A97" s="127"/>
      <c r="B97" s="127"/>
      <c r="C97" s="127"/>
      <c r="D97" s="127"/>
      <c r="E97" s="127"/>
      <c r="F97" s="127"/>
      <c r="G97" s="127"/>
      <c r="H97" s="127"/>
      <c r="I97" s="127"/>
      <c r="J97" s="127"/>
      <c r="K97" s="127"/>
      <c r="L97" s="127"/>
      <c r="M97" s="127"/>
      <c r="N97" s="127"/>
      <c r="O97" s="127"/>
      <c r="P97" s="127"/>
      <c r="Q97" s="127"/>
      <c r="R97" s="127"/>
      <c r="S97" s="127"/>
      <c r="T97" s="127"/>
      <c r="U97" s="127"/>
      <c r="V97" s="127"/>
      <c r="W97" s="127"/>
      <c r="X97" s="127"/>
      <c r="Y97" s="127"/>
      <c r="Z97" s="127"/>
    </row>
    <row r="98" customFormat="false" ht="15.75" hidden="false" customHeight="false" outlineLevel="0" collapsed="false">
      <c r="A98" s="127"/>
      <c r="B98" s="127"/>
      <c r="C98" s="127"/>
      <c r="D98" s="127"/>
      <c r="E98" s="127"/>
      <c r="F98" s="127"/>
      <c r="G98" s="127"/>
      <c r="H98" s="127"/>
      <c r="I98" s="127"/>
      <c r="J98" s="127"/>
      <c r="K98" s="127"/>
      <c r="L98" s="127"/>
      <c r="M98" s="127"/>
      <c r="N98" s="127"/>
      <c r="O98" s="127"/>
      <c r="P98" s="127"/>
      <c r="Q98" s="127"/>
      <c r="R98" s="127"/>
      <c r="S98" s="127"/>
      <c r="T98" s="127"/>
      <c r="U98" s="127"/>
      <c r="V98" s="127"/>
      <c r="W98" s="127"/>
      <c r="X98" s="127"/>
      <c r="Y98" s="127"/>
      <c r="Z98" s="127"/>
    </row>
    <row r="99" customFormat="false" ht="15.75" hidden="false" customHeight="false" outlineLevel="0" collapsed="false">
      <c r="A99" s="127"/>
      <c r="B99" s="127"/>
      <c r="C99" s="127"/>
      <c r="D99" s="127"/>
      <c r="E99" s="127"/>
      <c r="F99" s="127"/>
      <c r="G99" s="127"/>
      <c r="H99" s="127"/>
      <c r="I99" s="127"/>
      <c r="J99" s="127"/>
      <c r="K99" s="127"/>
      <c r="L99" s="127"/>
      <c r="M99" s="127"/>
      <c r="N99" s="127"/>
      <c r="O99" s="127"/>
      <c r="P99" s="127"/>
      <c r="Q99" s="127"/>
      <c r="R99" s="127"/>
      <c r="S99" s="127"/>
      <c r="T99" s="127"/>
      <c r="U99" s="127"/>
      <c r="V99" s="127"/>
      <c r="W99" s="127"/>
      <c r="X99" s="127"/>
      <c r="Y99" s="127"/>
      <c r="Z99" s="127"/>
    </row>
    <row r="100" customFormat="false" ht="15.75" hidden="false" customHeight="false" outlineLevel="0" collapsed="false">
      <c r="A100" s="127"/>
      <c r="B100" s="127"/>
      <c r="C100" s="127"/>
      <c r="D100" s="127"/>
      <c r="E100" s="127"/>
      <c r="F100" s="127"/>
      <c r="G100" s="127"/>
      <c r="H100" s="127"/>
      <c r="I100" s="127"/>
      <c r="J100" s="127"/>
      <c r="K100" s="127"/>
      <c r="L100" s="127"/>
      <c r="M100" s="127"/>
      <c r="N100" s="127"/>
      <c r="O100" s="127"/>
      <c r="P100" s="127"/>
      <c r="Q100" s="127"/>
      <c r="R100" s="127"/>
      <c r="S100" s="127"/>
      <c r="T100" s="127"/>
      <c r="U100" s="127"/>
      <c r="V100" s="127"/>
      <c r="W100" s="127"/>
      <c r="X100" s="127"/>
      <c r="Y100" s="127"/>
      <c r="Z100" s="127"/>
    </row>
    <row r="101" customFormat="false" ht="15.75" hidden="false" customHeight="false" outlineLevel="0" collapsed="false">
      <c r="A101" s="127"/>
      <c r="B101" s="127"/>
      <c r="C101" s="127"/>
      <c r="D101" s="127"/>
      <c r="E101" s="127"/>
      <c r="F101" s="127"/>
      <c r="G101" s="127"/>
      <c r="H101" s="127"/>
      <c r="I101" s="127"/>
      <c r="J101" s="127"/>
      <c r="K101" s="127"/>
      <c r="L101" s="127"/>
      <c r="M101" s="127"/>
      <c r="N101" s="127"/>
      <c r="O101" s="127"/>
      <c r="P101" s="127"/>
      <c r="Q101" s="127"/>
      <c r="R101" s="127"/>
      <c r="S101" s="127"/>
      <c r="T101" s="127"/>
      <c r="U101" s="127"/>
      <c r="V101" s="127"/>
      <c r="W101" s="127"/>
      <c r="X101" s="127"/>
      <c r="Y101" s="127"/>
      <c r="Z101" s="127"/>
    </row>
    <row r="102" customFormat="false" ht="15.75" hidden="false" customHeight="false" outlineLevel="0" collapsed="false">
      <c r="A102" s="127"/>
      <c r="B102" s="127"/>
      <c r="C102" s="127"/>
      <c r="D102" s="127"/>
      <c r="E102" s="127"/>
      <c r="F102" s="127"/>
      <c r="G102" s="127"/>
      <c r="H102" s="127"/>
      <c r="I102" s="127"/>
      <c r="J102" s="127"/>
      <c r="K102" s="127"/>
      <c r="L102" s="127"/>
      <c r="M102" s="127"/>
      <c r="N102" s="127"/>
      <c r="O102" s="127"/>
      <c r="P102" s="127"/>
      <c r="Q102" s="127"/>
      <c r="R102" s="127"/>
      <c r="S102" s="127"/>
      <c r="T102" s="127"/>
      <c r="U102" s="127"/>
      <c r="V102" s="127"/>
      <c r="W102" s="127"/>
      <c r="X102" s="127"/>
      <c r="Y102" s="127"/>
      <c r="Z102" s="127"/>
    </row>
    <row r="103" customFormat="false" ht="15.75" hidden="false" customHeight="false" outlineLevel="0" collapsed="false">
      <c r="A103" s="127"/>
      <c r="B103" s="127"/>
      <c r="C103" s="127"/>
      <c r="D103" s="127"/>
      <c r="E103" s="127"/>
      <c r="F103" s="127"/>
      <c r="G103" s="127"/>
      <c r="H103" s="127"/>
      <c r="I103" s="127"/>
      <c r="J103" s="127"/>
      <c r="K103" s="127"/>
      <c r="L103" s="127"/>
      <c r="M103" s="127"/>
      <c r="N103" s="127"/>
      <c r="O103" s="127"/>
      <c r="P103" s="127"/>
      <c r="Q103" s="127"/>
      <c r="R103" s="127"/>
      <c r="S103" s="127"/>
      <c r="T103" s="127"/>
      <c r="U103" s="127"/>
      <c r="V103" s="127"/>
      <c r="W103" s="127"/>
      <c r="X103" s="127"/>
      <c r="Y103" s="127"/>
      <c r="Z103" s="127"/>
    </row>
    <row r="104" customFormat="false" ht="15.75" hidden="false" customHeight="false" outlineLevel="0" collapsed="false">
      <c r="A104" s="127"/>
      <c r="B104" s="127"/>
      <c r="C104" s="127"/>
      <c r="D104" s="127"/>
      <c r="E104" s="127"/>
      <c r="F104" s="127"/>
      <c r="G104" s="127"/>
      <c r="H104" s="127"/>
      <c r="I104" s="127"/>
      <c r="J104" s="127"/>
      <c r="K104" s="127"/>
      <c r="L104" s="127"/>
      <c r="M104" s="127"/>
      <c r="N104" s="127"/>
      <c r="O104" s="127"/>
      <c r="P104" s="127"/>
      <c r="Q104" s="127"/>
      <c r="R104" s="127"/>
      <c r="S104" s="127"/>
      <c r="T104" s="127"/>
      <c r="U104" s="127"/>
      <c r="V104" s="127"/>
      <c r="W104" s="127"/>
      <c r="X104" s="127"/>
      <c r="Y104" s="127"/>
      <c r="Z104" s="127"/>
    </row>
    <row r="105" customFormat="false" ht="15.75" hidden="false" customHeight="false" outlineLevel="0" collapsed="false">
      <c r="A105" s="127"/>
      <c r="B105" s="127"/>
      <c r="C105" s="127"/>
      <c r="D105" s="127"/>
      <c r="E105" s="127"/>
      <c r="F105" s="127"/>
      <c r="G105" s="127"/>
      <c r="H105" s="127"/>
      <c r="I105" s="127"/>
      <c r="J105" s="127"/>
      <c r="K105" s="127"/>
      <c r="L105" s="127"/>
      <c r="M105" s="127"/>
      <c r="N105" s="127"/>
      <c r="O105" s="127"/>
      <c r="P105" s="127"/>
      <c r="Q105" s="127"/>
      <c r="R105" s="127"/>
      <c r="S105" s="127"/>
      <c r="T105" s="127"/>
      <c r="U105" s="127"/>
      <c r="V105" s="127"/>
      <c r="W105" s="127"/>
      <c r="X105" s="127"/>
      <c r="Y105" s="127"/>
      <c r="Z105" s="127"/>
    </row>
    <row r="106" customFormat="false" ht="15.75" hidden="false" customHeight="false" outlineLevel="0" collapsed="false">
      <c r="A106" s="127"/>
      <c r="B106" s="127"/>
      <c r="C106" s="127"/>
      <c r="D106" s="127"/>
      <c r="E106" s="127"/>
      <c r="F106" s="127"/>
      <c r="G106" s="127"/>
      <c r="H106" s="127"/>
      <c r="I106" s="127"/>
      <c r="J106" s="127"/>
      <c r="K106" s="127"/>
      <c r="L106" s="127"/>
      <c r="M106" s="127"/>
      <c r="N106" s="127"/>
      <c r="O106" s="127"/>
      <c r="P106" s="127"/>
      <c r="Q106" s="127"/>
      <c r="R106" s="127"/>
      <c r="S106" s="127"/>
      <c r="T106" s="127"/>
      <c r="U106" s="127"/>
      <c r="V106" s="127"/>
      <c r="W106" s="127"/>
      <c r="X106" s="127"/>
      <c r="Y106" s="127"/>
      <c r="Z106" s="127"/>
    </row>
    <row r="107" customFormat="false" ht="15.75" hidden="false" customHeight="false" outlineLevel="0" collapsed="false">
      <c r="A107" s="127"/>
      <c r="B107" s="127"/>
      <c r="C107" s="127"/>
      <c r="D107" s="127"/>
      <c r="E107" s="127"/>
      <c r="F107" s="127"/>
      <c r="G107" s="127"/>
      <c r="H107" s="127"/>
      <c r="I107" s="127"/>
      <c r="J107" s="127"/>
      <c r="K107" s="127"/>
      <c r="L107" s="127"/>
      <c r="M107" s="127"/>
      <c r="N107" s="127"/>
      <c r="O107" s="127"/>
      <c r="P107" s="127"/>
      <c r="Q107" s="127"/>
      <c r="R107" s="127"/>
      <c r="S107" s="127"/>
      <c r="T107" s="127"/>
      <c r="U107" s="127"/>
      <c r="V107" s="127"/>
      <c r="W107" s="127"/>
      <c r="X107" s="127"/>
      <c r="Y107" s="127"/>
      <c r="Z107" s="127"/>
    </row>
    <row r="108" customFormat="false" ht="15.75" hidden="false" customHeight="false" outlineLevel="0" collapsed="false">
      <c r="A108" s="127"/>
      <c r="B108" s="127"/>
      <c r="C108" s="127"/>
      <c r="D108" s="127"/>
      <c r="E108" s="127"/>
      <c r="F108" s="127"/>
      <c r="G108" s="127"/>
      <c r="H108" s="127"/>
      <c r="I108" s="127"/>
      <c r="J108" s="127"/>
      <c r="K108" s="127"/>
      <c r="L108" s="127"/>
      <c r="M108" s="127"/>
      <c r="N108" s="127"/>
      <c r="O108" s="127"/>
      <c r="P108" s="127"/>
      <c r="Q108" s="127"/>
      <c r="R108" s="127"/>
      <c r="S108" s="127"/>
      <c r="T108" s="127"/>
      <c r="U108" s="127"/>
      <c r="V108" s="127"/>
      <c r="W108" s="127"/>
      <c r="X108" s="127"/>
      <c r="Y108" s="127"/>
      <c r="Z108" s="127"/>
    </row>
    <row r="109" customFormat="false" ht="15.75" hidden="false" customHeight="false" outlineLevel="0" collapsed="false">
      <c r="A109" s="127"/>
      <c r="B109" s="127"/>
      <c r="C109" s="127"/>
      <c r="D109" s="127"/>
      <c r="E109" s="127"/>
      <c r="F109" s="127"/>
      <c r="G109" s="127"/>
      <c r="H109" s="127"/>
      <c r="I109" s="127"/>
      <c r="J109" s="127"/>
      <c r="K109" s="127"/>
      <c r="L109" s="127"/>
      <c r="M109" s="127"/>
      <c r="N109" s="127"/>
      <c r="O109" s="127"/>
      <c r="P109" s="127"/>
      <c r="Q109" s="127"/>
      <c r="R109" s="127"/>
      <c r="S109" s="127"/>
      <c r="T109" s="127"/>
      <c r="U109" s="127"/>
      <c r="V109" s="127"/>
      <c r="W109" s="127"/>
      <c r="X109" s="127"/>
      <c r="Y109" s="127"/>
      <c r="Z109" s="127"/>
    </row>
    <row r="110" customFormat="false" ht="15.75" hidden="false" customHeight="false" outlineLevel="0" collapsed="false">
      <c r="A110" s="127"/>
      <c r="B110" s="127"/>
      <c r="C110" s="127"/>
      <c r="D110" s="127"/>
      <c r="E110" s="127"/>
      <c r="F110" s="127"/>
      <c r="G110" s="127"/>
      <c r="H110" s="127"/>
      <c r="I110" s="127"/>
      <c r="J110" s="127"/>
      <c r="K110" s="127"/>
      <c r="L110" s="127"/>
      <c r="M110" s="127"/>
      <c r="N110" s="127"/>
      <c r="O110" s="127"/>
      <c r="P110" s="127"/>
      <c r="Q110" s="127"/>
      <c r="R110" s="127"/>
      <c r="S110" s="127"/>
      <c r="T110" s="127"/>
      <c r="U110" s="127"/>
      <c r="V110" s="127"/>
      <c r="W110" s="127"/>
      <c r="X110" s="127"/>
      <c r="Y110" s="127"/>
      <c r="Z110" s="127"/>
    </row>
    <row r="111" customFormat="false" ht="15.75" hidden="false" customHeight="false" outlineLevel="0" collapsed="false">
      <c r="A111" s="127"/>
      <c r="B111" s="127"/>
      <c r="C111" s="127"/>
      <c r="D111" s="127"/>
      <c r="E111" s="127"/>
      <c r="F111" s="127"/>
      <c r="G111" s="127"/>
      <c r="H111" s="127"/>
      <c r="I111" s="127"/>
      <c r="J111" s="127"/>
      <c r="K111" s="127"/>
      <c r="L111" s="127"/>
      <c r="M111" s="127"/>
      <c r="N111" s="127"/>
      <c r="O111" s="127"/>
      <c r="P111" s="127"/>
      <c r="Q111" s="127"/>
      <c r="R111" s="127"/>
      <c r="S111" s="127"/>
      <c r="T111" s="127"/>
      <c r="U111" s="127"/>
      <c r="V111" s="127"/>
      <c r="W111" s="127"/>
      <c r="X111" s="127"/>
      <c r="Y111" s="127"/>
      <c r="Z111" s="127"/>
    </row>
    <row r="112" customFormat="false" ht="15.75" hidden="false" customHeight="false" outlineLevel="0" collapsed="false">
      <c r="A112" s="127"/>
      <c r="B112" s="127"/>
      <c r="C112" s="127"/>
      <c r="D112" s="127"/>
      <c r="E112" s="127"/>
      <c r="F112" s="127"/>
      <c r="G112" s="127"/>
      <c r="H112" s="127"/>
      <c r="I112" s="127"/>
      <c r="J112" s="127"/>
      <c r="K112" s="127"/>
      <c r="L112" s="127"/>
      <c r="M112" s="127"/>
      <c r="N112" s="127"/>
      <c r="O112" s="127"/>
      <c r="P112" s="127"/>
      <c r="Q112" s="127"/>
      <c r="R112" s="127"/>
      <c r="S112" s="127"/>
      <c r="T112" s="127"/>
      <c r="U112" s="127"/>
      <c r="V112" s="127"/>
      <c r="W112" s="127"/>
      <c r="X112" s="127"/>
      <c r="Y112" s="127"/>
      <c r="Z112" s="127"/>
    </row>
    <row r="113" customFormat="false" ht="15.75" hidden="false" customHeight="false" outlineLevel="0" collapsed="false">
      <c r="A113" s="127"/>
      <c r="B113" s="127"/>
      <c r="C113" s="127"/>
      <c r="D113" s="127"/>
      <c r="E113" s="127"/>
      <c r="F113" s="127"/>
      <c r="G113" s="127"/>
      <c r="H113" s="127"/>
      <c r="I113" s="127"/>
      <c r="J113" s="127"/>
      <c r="K113" s="127"/>
      <c r="L113" s="127"/>
      <c r="M113" s="127"/>
      <c r="N113" s="127"/>
      <c r="O113" s="127"/>
      <c r="P113" s="127"/>
      <c r="Q113" s="127"/>
      <c r="R113" s="127"/>
      <c r="S113" s="127"/>
      <c r="T113" s="127"/>
      <c r="U113" s="127"/>
      <c r="V113" s="127"/>
      <c r="W113" s="127"/>
      <c r="X113" s="127"/>
      <c r="Y113" s="127"/>
      <c r="Z113" s="127"/>
    </row>
    <row r="114" customFormat="false" ht="15.75" hidden="false" customHeight="false" outlineLevel="0" collapsed="false">
      <c r="A114" s="127"/>
      <c r="B114" s="127"/>
      <c r="C114" s="127"/>
      <c r="D114" s="127"/>
      <c r="E114" s="127"/>
      <c r="F114" s="127"/>
      <c r="G114" s="127"/>
      <c r="H114" s="127"/>
      <c r="I114" s="127"/>
      <c r="J114" s="127"/>
      <c r="K114" s="127"/>
      <c r="L114" s="127"/>
      <c r="M114" s="127"/>
      <c r="N114" s="127"/>
      <c r="O114" s="127"/>
      <c r="P114" s="127"/>
      <c r="Q114" s="127"/>
      <c r="R114" s="127"/>
      <c r="S114" s="127"/>
      <c r="T114" s="127"/>
      <c r="U114" s="127"/>
      <c r="V114" s="127"/>
      <c r="W114" s="127"/>
      <c r="X114" s="127"/>
      <c r="Y114" s="127"/>
      <c r="Z114" s="127"/>
    </row>
    <row r="115" customFormat="false" ht="15.75" hidden="false" customHeight="false" outlineLevel="0" collapsed="false">
      <c r="A115" s="127"/>
      <c r="B115" s="127"/>
      <c r="C115" s="127"/>
      <c r="D115" s="127"/>
      <c r="E115" s="127"/>
      <c r="F115" s="127"/>
      <c r="G115" s="127"/>
      <c r="H115" s="127"/>
      <c r="I115" s="127"/>
      <c r="J115" s="127"/>
      <c r="K115" s="127"/>
      <c r="L115" s="127"/>
      <c r="M115" s="127"/>
      <c r="N115" s="127"/>
      <c r="O115" s="127"/>
      <c r="P115" s="127"/>
      <c r="Q115" s="127"/>
      <c r="R115" s="127"/>
      <c r="S115" s="127"/>
      <c r="T115" s="127"/>
      <c r="U115" s="127"/>
      <c r="V115" s="127"/>
      <c r="W115" s="127"/>
      <c r="X115" s="127"/>
      <c r="Y115" s="127"/>
      <c r="Z115" s="127"/>
    </row>
    <row r="116" customFormat="false" ht="15.75" hidden="false" customHeight="false" outlineLevel="0" collapsed="false">
      <c r="A116" s="127"/>
      <c r="B116" s="127"/>
      <c r="C116" s="127"/>
      <c r="D116" s="127"/>
      <c r="E116" s="127"/>
      <c r="F116" s="127"/>
      <c r="G116" s="127"/>
      <c r="H116" s="127"/>
      <c r="I116" s="127"/>
      <c r="J116" s="127"/>
      <c r="K116" s="127"/>
      <c r="L116" s="127"/>
      <c r="M116" s="127"/>
      <c r="N116" s="127"/>
      <c r="O116" s="127"/>
      <c r="P116" s="127"/>
      <c r="Q116" s="127"/>
      <c r="R116" s="127"/>
      <c r="S116" s="127"/>
      <c r="T116" s="127"/>
      <c r="U116" s="127"/>
      <c r="V116" s="127"/>
      <c r="W116" s="127"/>
      <c r="X116" s="127"/>
      <c r="Y116" s="127"/>
      <c r="Z116" s="127"/>
    </row>
    <row r="117" customFormat="false" ht="15.75" hidden="false" customHeight="false" outlineLevel="0" collapsed="false">
      <c r="A117" s="127"/>
      <c r="B117" s="127"/>
      <c r="C117" s="127"/>
      <c r="D117" s="127"/>
      <c r="E117" s="127"/>
      <c r="F117" s="127"/>
      <c r="G117" s="127"/>
      <c r="H117" s="127"/>
      <c r="I117" s="127"/>
      <c r="J117" s="127"/>
      <c r="K117" s="127"/>
      <c r="L117" s="127"/>
      <c r="M117" s="127"/>
      <c r="N117" s="127"/>
      <c r="O117" s="127"/>
      <c r="P117" s="127"/>
      <c r="Q117" s="127"/>
      <c r="R117" s="127"/>
      <c r="S117" s="127"/>
      <c r="T117" s="127"/>
      <c r="U117" s="127"/>
      <c r="V117" s="127"/>
      <c r="W117" s="127"/>
      <c r="X117" s="127"/>
      <c r="Y117" s="127"/>
      <c r="Z117" s="127"/>
    </row>
    <row r="118" customFormat="false" ht="15.75" hidden="false" customHeight="false" outlineLevel="0" collapsed="false">
      <c r="A118" s="127"/>
      <c r="B118" s="127"/>
      <c r="C118" s="127"/>
      <c r="D118" s="127"/>
      <c r="E118" s="127"/>
      <c r="F118" s="127"/>
      <c r="G118" s="127"/>
      <c r="H118" s="127"/>
      <c r="I118" s="127"/>
      <c r="J118" s="127"/>
      <c r="K118" s="127"/>
      <c r="L118" s="127"/>
      <c r="M118" s="127"/>
      <c r="N118" s="127"/>
      <c r="O118" s="127"/>
      <c r="P118" s="127"/>
      <c r="Q118" s="127"/>
      <c r="R118" s="127"/>
      <c r="S118" s="127"/>
      <c r="T118" s="127"/>
      <c r="U118" s="127"/>
      <c r="V118" s="127"/>
      <c r="W118" s="127"/>
      <c r="X118" s="127"/>
      <c r="Y118" s="127"/>
      <c r="Z118" s="127"/>
    </row>
    <row r="119" customFormat="false" ht="15.75" hidden="false" customHeight="false" outlineLevel="0" collapsed="false">
      <c r="A119" s="127"/>
      <c r="B119" s="127"/>
      <c r="C119" s="127"/>
      <c r="D119" s="127"/>
      <c r="E119" s="127"/>
      <c r="F119" s="127"/>
      <c r="G119" s="127"/>
      <c r="H119" s="127"/>
      <c r="I119" s="127"/>
      <c r="J119" s="127"/>
      <c r="K119" s="127"/>
      <c r="L119" s="127"/>
      <c r="M119" s="127"/>
      <c r="N119" s="127"/>
      <c r="O119" s="127"/>
      <c r="P119" s="127"/>
      <c r="Q119" s="127"/>
      <c r="R119" s="127"/>
      <c r="S119" s="127"/>
      <c r="T119" s="127"/>
      <c r="U119" s="127"/>
      <c r="V119" s="127"/>
      <c r="W119" s="127"/>
      <c r="X119" s="127"/>
      <c r="Y119" s="127"/>
      <c r="Z119" s="127"/>
    </row>
    <row r="120" customFormat="false" ht="15.75" hidden="false" customHeight="false" outlineLevel="0" collapsed="false">
      <c r="A120" s="127"/>
      <c r="B120" s="127"/>
      <c r="C120" s="127"/>
      <c r="D120" s="127"/>
      <c r="E120" s="127"/>
      <c r="F120" s="127"/>
      <c r="G120" s="127"/>
      <c r="H120" s="127"/>
      <c r="I120" s="127"/>
      <c r="J120" s="127"/>
      <c r="K120" s="127"/>
      <c r="L120" s="127"/>
      <c r="M120" s="127"/>
      <c r="N120" s="127"/>
      <c r="O120" s="127"/>
      <c r="P120" s="127"/>
      <c r="Q120" s="127"/>
      <c r="R120" s="127"/>
      <c r="S120" s="127"/>
      <c r="T120" s="127"/>
      <c r="U120" s="127"/>
      <c r="V120" s="127"/>
      <c r="W120" s="127"/>
      <c r="X120" s="127"/>
      <c r="Y120" s="127"/>
      <c r="Z120" s="127"/>
    </row>
    <row r="121" customFormat="false" ht="15.75" hidden="false" customHeight="false" outlineLevel="0" collapsed="false">
      <c r="A121" s="127"/>
      <c r="B121" s="127"/>
      <c r="C121" s="127"/>
      <c r="D121" s="127"/>
      <c r="E121" s="127"/>
      <c r="F121" s="127"/>
      <c r="G121" s="127"/>
      <c r="H121" s="127"/>
      <c r="I121" s="127"/>
      <c r="J121" s="127"/>
      <c r="K121" s="127"/>
      <c r="L121" s="127"/>
      <c r="M121" s="127"/>
      <c r="N121" s="127"/>
      <c r="O121" s="127"/>
      <c r="P121" s="127"/>
      <c r="Q121" s="127"/>
      <c r="R121" s="127"/>
      <c r="S121" s="127"/>
      <c r="T121" s="127"/>
      <c r="U121" s="127"/>
      <c r="V121" s="127"/>
      <c r="W121" s="127"/>
      <c r="X121" s="127"/>
      <c r="Y121" s="127"/>
      <c r="Z121" s="127"/>
    </row>
    <row r="122" customFormat="false" ht="15.75" hidden="false" customHeight="false" outlineLevel="0" collapsed="false">
      <c r="A122" s="127"/>
      <c r="B122" s="127"/>
      <c r="C122" s="127"/>
      <c r="D122" s="127"/>
      <c r="E122" s="127"/>
      <c r="F122" s="127"/>
      <c r="G122" s="127"/>
      <c r="H122" s="127"/>
      <c r="I122" s="127"/>
      <c r="J122" s="127"/>
      <c r="K122" s="127"/>
      <c r="L122" s="127"/>
      <c r="M122" s="127"/>
      <c r="N122" s="127"/>
      <c r="O122" s="127"/>
      <c r="P122" s="127"/>
      <c r="Q122" s="127"/>
      <c r="R122" s="127"/>
      <c r="S122" s="127"/>
      <c r="T122" s="127"/>
      <c r="U122" s="127"/>
      <c r="V122" s="127"/>
      <c r="W122" s="127"/>
      <c r="X122" s="127"/>
      <c r="Y122" s="127"/>
      <c r="Z122" s="127"/>
    </row>
    <row r="123" customFormat="false" ht="15.75" hidden="false" customHeight="false" outlineLevel="0" collapsed="false">
      <c r="A123" s="127"/>
      <c r="B123" s="127"/>
      <c r="C123" s="127"/>
      <c r="D123" s="127"/>
      <c r="E123" s="127"/>
      <c r="F123" s="127"/>
      <c r="G123" s="127"/>
      <c r="H123" s="127"/>
      <c r="I123" s="127"/>
      <c r="J123" s="127"/>
      <c r="K123" s="127"/>
      <c r="L123" s="127"/>
      <c r="M123" s="127"/>
      <c r="N123" s="127"/>
      <c r="O123" s="127"/>
      <c r="P123" s="127"/>
      <c r="Q123" s="127"/>
      <c r="R123" s="127"/>
      <c r="S123" s="127"/>
      <c r="T123" s="127"/>
      <c r="U123" s="127"/>
      <c r="V123" s="127"/>
      <c r="W123" s="127"/>
      <c r="X123" s="127"/>
      <c r="Y123" s="127"/>
      <c r="Z123" s="127"/>
    </row>
    <row r="124" customFormat="false" ht="15.75" hidden="false" customHeight="false" outlineLevel="0" collapsed="false">
      <c r="A124" s="127"/>
      <c r="B124" s="127"/>
      <c r="C124" s="127"/>
      <c r="D124" s="127"/>
      <c r="E124" s="127"/>
      <c r="F124" s="127"/>
      <c r="G124" s="127"/>
      <c r="H124" s="127"/>
      <c r="I124" s="127"/>
      <c r="J124" s="127"/>
      <c r="K124" s="127"/>
      <c r="L124" s="127"/>
      <c r="M124" s="127"/>
      <c r="N124" s="127"/>
      <c r="O124" s="127"/>
      <c r="P124" s="127"/>
      <c r="Q124" s="127"/>
      <c r="R124" s="127"/>
      <c r="S124" s="127"/>
      <c r="T124" s="127"/>
      <c r="U124" s="127"/>
      <c r="V124" s="127"/>
      <c r="W124" s="127"/>
      <c r="X124" s="127"/>
      <c r="Y124" s="127"/>
      <c r="Z124" s="127"/>
    </row>
    <row r="125" customFormat="false" ht="15.75" hidden="false" customHeight="false" outlineLevel="0" collapsed="false">
      <c r="A125" s="127"/>
      <c r="B125" s="127"/>
      <c r="C125" s="127"/>
      <c r="D125" s="127"/>
      <c r="E125" s="127"/>
      <c r="F125" s="127"/>
      <c r="G125" s="127"/>
      <c r="H125" s="127"/>
      <c r="I125" s="127"/>
      <c r="J125" s="127"/>
      <c r="K125" s="127"/>
      <c r="L125" s="127"/>
      <c r="M125" s="127"/>
      <c r="N125" s="127"/>
      <c r="O125" s="127"/>
      <c r="P125" s="127"/>
      <c r="Q125" s="127"/>
      <c r="R125" s="127"/>
      <c r="S125" s="127"/>
      <c r="T125" s="127"/>
      <c r="U125" s="127"/>
      <c r="V125" s="127"/>
      <c r="W125" s="127"/>
      <c r="X125" s="127"/>
      <c r="Y125" s="127"/>
      <c r="Z125" s="127"/>
    </row>
    <row r="126" customFormat="false" ht="15.75" hidden="false" customHeight="false" outlineLevel="0" collapsed="false">
      <c r="A126" s="127"/>
      <c r="B126" s="127"/>
      <c r="C126" s="127"/>
      <c r="D126" s="127"/>
      <c r="E126" s="127"/>
      <c r="F126" s="127"/>
      <c r="G126" s="127"/>
      <c r="H126" s="127"/>
      <c r="I126" s="127"/>
      <c r="J126" s="127"/>
      <c r="K126" s="127"/>
      <c r="L126" s="127"/>
      <c r="M126" s="127"/>
      <c r="N126" s="127"/>
      <c r="O126" s="127"/>
      <c r="P126" s="127"/>
      <c r="Q126" s="127"/>
      <c r="R126" s="127"/>
      <c r="S126" s="127"/>
      <c r="T126" s="127"/>
      <c r="U126" s="127"/>
      <c r="V126" s="127"/>
      <c r="W126" s="127"/>
      <c r="X126" s="127"/>
      <c r="Y126" s="127"/>
      <c r="Z126" s="127"/>
    </row>
    <row r="127" customFormat="false" ht="15.75" hidden="false" customHeight="false" outlineLevel="0" collapsed="false">
      <c r="A127" s="127"/>
      <c r="B127" s="127"/>
      <c r="C127" s="127"/>
      <c r="D127" s="127"/>
      <c r="E127" s="127"/>
      <c r="F127" s="127"/>
      <c r="G127" s="127"/>
      <c r="H127" s="127"/>
      <c r="I127" s="127"/>
      <c r="J127" s="127"/>
      <c r="K127" s="127"/>
      <c r="L127" s="127"/>
      <c r="M127" s="127"/>
      <c r="N127" s="127"/>
      <c r="O127" s="127"/>
      <c r="P127" s="127"/>
      <c r="Q127" s="127"/>
      <c r="R127" s="127"/>
      <c r="S127" s="127"/>
      <c r="T127" s="127"/>
      <c r="U127" s="127"/>
      <c r="V127" s="127"/>
      <c r="W127" s="127"/>
      <c r="X127" s="127"/>
      <c r="Y127" s="127"/>
      <c r="Z127" s="127"/>
    </row>
    <row r="128" customFormat="false" ht="15.75" hidden="false" customHeight="false" outlineLevel="0" collapsed="false">
      <c r="A128" s="127"/>
      <c r="B128" s="127"/>
      <c r="C128" s="127"/>
      <c r="D128" s="127"/>
      <c r="E128" s="127"/>
      <c r="F128" s="127"/>
      <c r="G128" s="127"/>
      <c r="H128" s="127"/>
      <c r="I128" s="127"/>
      <c r="J128" s="127"/>
      <c r="K128" s="127"/>
      <c r="L128" s="127"/>
      <c r="M128" s="127"/>
      <c r="N128" s="127"/>
      <c r="O128" s="127"/>
      <c r="P128" s="127"/>
      <c r="Q128" s="127"/>
      <c r="R128" s="127"/>
      <c r="S128" s="127"/>
      <c r="T128" s="127"/>
      <c r="U128" s="127"/>
      <c r="V128" s="127"/>
      <c r="W128" s="127"/>
      <c r="X128" s="127"/>
      <c r="Y128" s="127"/>
      <c r="Z128" s="127"/>
    </row>
    <row r="129" customFormat="false" ht="15.75" hidden="false" customHeight="false" outlineLevel="0" collapsed="false">
      <c r="A129" s="127"/>
      <c r="B129" s="127"/>
      <c r="C129" s="127"/>
      <c r="D129" s="127"/>
      <c r="E129" s="127"/>
      <c r="F129" s="127"/>
      <c r="G129" s="127"/>
      <c r="H129" s="127"/>
      <c r="I129" s="127"/>
      <c r="J129" s="127"/>
      <c r="K129" s="127"/>
      <c r="L129" s="127"/>
      <c r="M129" s="127"/>
      <c r="N129" s="127"/>
      <c r="O129" s="127"/>
      <c r="P129" s="127"/>
      <c r="Q129" s="127"/>
      <c r="R129" s="127"/>
      <c r="S129" s="127"/>
      <c r="T129" s="127"/>
      <c r="U129" s="127"/>
      <c r="V129" s="127"/>
      <c r="W129" s="127"/>
      <c r="X129" s="127"/>
      <c r="Y129" s="127"/>
      <c r="Z129" s="127"/>
    </row>
    <row r="130" customFormat="false" ht="15.75" hidden="false" customHeight="false" outlineLevel="0" collapsed="false">
      <c r="A130" s="127"/>
      <c r="B130" s="127"/>
      <c r="C130" s="127"/>
      <c r="D130" s="127"/>
      <c r="E130" s="127"/>
      <c r="F130" s="127"/>
      <c r="G130" s="127"/>
      <c r="H130" s="127"/>
      <c r="I130" s="127"/>
      <c r="J130" s="127"/>
      <c r="K130" s="127"/>
      <c r="L130" s="127"/>
      <c r="M130" s="127"/>
      <c r="N130" s="127"/>
      <c r="O130" s="127"/>
      <c r="P130" s="127"/>
      <c r="Q130" s="127"/>
      <c r="R130" s="127"/>
      <c r="S130" s="127"/>
      <c r="T130" s="127"/>
      <c r="U130" s="127"/>
      <c r="V130" s="127"/>
      <c r="W130" s="127"/>
      <c r="X130" s="127"/>
      <c r="Y130" s="127"/>
      <c r="Z130" s="127"/>
    </row>
    <row r="131" customFormat="false" ht="15.75" hidden="false" customHeight="false" outlineLevel="0" collapsed="false">
      <c r="A131" s="127"/>
      <c r="B131" s="127"/>
      <c r="C131" s="127"/>
      <c r="D131" s="127"/>
      <c r="E131" s="127"/>
      <c r="F131" s="127"/>
      <c r="G131" s="127"/>
      <c r="H131" s="127"/>
      <c r="I131" s="127"/>
      <c r="J131" s="127"/>
      <c r="K131" s="127"/>
      <c r="L131" s="127"/>
      <c r="M131" s="127"/>
      <c r="N131" s="127"/>
      <c r="O131" s="127"/>
      <c r="P131" s="127"/>
      <c r="Q131" s="127"/>
      <c r="R131" s="127"/>
      <c r="S131" s="127"/>
      <c r="T131" s="127"/>
      <c r="U131" s="127"/>
      <c r="V131" s="127"/>
      <c r="W131" s="127"/>
      <c r="X131" s="127"/>
      <c r="Y131" s="127"/>
      <c r="Z131" s="127"/>
    </row>
    <row r="132" customFormat="false" ht="15.75" hidden="false" customHeight="false" outlineLevel="0" collapsed="false">
      <c r="A132" s="127"/>
      <c r="B132" s="127"/>
      <c r="C132" s="127"/>
      <c r="D132" s="127"/>
      <c r="E132" s="127"/>
      <c r="F132" s="127"/>
      <c r="G132" s="127"/>
      <c r="H132" s="127"/>
      <c r="I132" s="127"/>
      <c r="J132" s="127"/>
      <c r="K132" s="127"/>
      <c r="L132" s="127"/>
      <c r="M132" s="127"/>
      <c r="N132" s="127"/>
      <c r="O132" s="127"/>
      <c r="P132" s="127"/>
      <c r="Q132" s="127"/>
      <c r="R132" s="127"/>
      <c r="S132" s="127"/>
      <c r="T132" s="127"/>
      <c r="U132" s="127"/>
      <c r="V132" s="127"/>
      <c r="W132" s="127"/>
      <c r="X132" s="127"/>
      <c r="Y132" s="127"/>
      <c r="Z132" s="127"/>
    </row>
    <row r="133" customFormat="false" ht="15.75" hidden="false" customHeight="false" outlineLevel="0" collapsed="false">
      <c r="A133" s="127"/>
      <c r="B133" s="127"/>
      <c r="C133" s="127"/>
      <c r="D133" s="127"/>
      <c r="E133" s="127"/>
      <c r="F133" s="127"/>
      <c r="G133" s="127"/>
      <c r="H133" s="127"/>
      <c r="I133" s="127"/>
      <c r="J133" s="127"/>
      <c r="K133" s="127"/>
      <c r="L133" s="127"/>
      <c r="M133" s="127"/>
      <c r="N133" s="127"/>
      <c r="O133" s="127"/>
      <c r="P133" s="127"/>
      <c r="Q133" s="127"/>
      <c r="R133" s="127"/>
      <c r="S133" s="127"/>
      <c r="T133" s="127"/>
      <c r="U133" s="127"/>
      <c r="V133" s="127"/>
      <c r="W133" s="127"/>
      <c r="X133" s="127"/>
      <c r="Y133" s="127"/>
      <c r="Z133" s="127"/>
    </row>
    <row r="134" customFormat="false" ht="15.75" hidden="false" customHeight="false" outlineLevel="0" collapsed="false">
      <c r="A134" s="127"/>
      <c r="B134" s="127"/>
      <c r="C134" s="127"/>
      <c r="D134" s="127"/>
      <c r="E134" s="127"/>
      <c r="F134" s="127"/>
      <c r="G134" s="127"/>
      <c r="H134" s="127"/>
      <c r="I134" s="127"/>
      <c r="J134" s="127"/>
      <c r="K134" s="127"/>
      <c r="L134" s="127"/>
      <c r="M134" s="127"/>
      <c r="N134" s="127"/>
      <c r="O134" s="127"/>
      <c r="P134" s="127"/>
      <c r="Q134" s="127"/>
      <c r="R134" s="127"/>
      <c r="S134" s="127"/>
      <c r="T134" s="127"/>
      <c r="U134" s="127"/>
      <c r="V134" s="127"/>
      <c r="W134" s="127"/>
      <c r="X134" s="127"/>
      <c r="Y134" s="127"/>
      <c r="Z134" s="127"/>
    </row>
    <row r="135" customFormat="false" ht="15.75" hidden="false" customHeight="false" outlineLevel="0" collapsed="false">
      <c r="A135" s="127"/>
      <c r="B135" s="127"/>
      <c r="C135" s="127"/>
      <c r="D135" s="127"/>
      <c r="E135" s="127"/>
      <c r="F135" s="127"/>
      <c r="G135" s="127"/>
      <c r="H135" s="127"/>
      <c r="I135" s="127"/>
      <c r="J135" s="127"/>
      <c r="K135" s="127"/>
      <c r="L135" s="127"/>
      <c r="M135" s="127"/>
      <c r="N135" s="127"/>
      <c r="O135" s="127"/>
      <c r="P135" s="127"/>
      <c r="Q135" s="127"/>
      <c r="R135" s="127"/>
      <c r="S135" s="127"/>
      <c r="T135" s="127"/>
      <c r="U135" s="127"/>
      <c r="V135" s="127"/>
      <c r="W135" s="127"/>
      <c r="X135" s="127"/>
      <c r="Y135" s="127"/>
      <c r="Z135" s="127"/>
    </row>
    <row r="136" customFormat="false" ht="15.75" hidden="false" customHeight="false" outlineLevel="0" collapsed="false">
      <c r="A136" s="127"/>
      <c r="B136" s="127"/>
      <c r="C136" s="127"/>
      <c r="D136" s="127"/>
      <c r="E136" s="127"/>
      <c r="F136" s="127"/>
      <c r="G136" s="127"/>
      <c r="H136" s="127"/>
      <c r="I136" s="127"/>
      <c r="J136" s="127"/>
      <c r="K136" s="127"/>
      <c r="L136" s="127"/>
      <c r="M136" s="127"/>
      <c r="N136" s="127"/>
      <c r="O136" s="127"/>
      <c r="P136" s="127"/>
      <c r="Q136" s="127"/>
      <c r="R136" s="127"/>
      <c r="S136" s="127"/>
      <c r="T136" s="127"/>
      <c r="U136" s="127"/>
      <c r="V136" s="127"/>
      <c r="W136" s="127"/>
      <c r="X136" s="127"/>
      <c r="Y136" s="127"/>
      <c r="Z136" s="127"/>
    </row>
    <row r="137" customFormat="false" ht="15.75" hidden="false" customHeight="false" outlineLevel="0" collapsed="false">
      <c r="A137" s="127"/>
      <c r="B137" s="127"/>
      <c r="C137" s="127"/>
      <c r="D137" s="127"/>
      <c r="E137" s="127"/>
      <c r="F137" s="127"/>
      <c r="G137" s="127"/>
      <c r="H137" s="127"/>
      <c r="I137" s="127"/>
      <c r="J137" s="127"/>
      <c r="K137" s="127"/>
      <c r="L137" s="127"/>
      <c r="M137" s="127"/>
      <c r="N137" s="127"/>
      <c r="O137" s="127"/>
      <c r="P137" s="127"/>
      <c r="Q137" s="127"/>
      <c r="R137" s="127"/>
      <c r="S137" s="127"/>
      <c r="T137" s="127"/>
      <c r="U137" s="127"/>
      <c r="V137" s="127"/>
      <c r="W137" s="127"/>
      <c r="X137" s="127"/>
      <c r="Y137" s="127"/>
      <c r="Z137" s="127"/>
    </row>
    <row r="138" customFormat="false" ht="15.75" hidden="false" customHeight="false" outlineLevel="0" collapsed="false">
      <c r="A138" s="127"/>
      <c r="B138" s="127"/>
      <c r="C138" s="127"/>
      <c r="D138" s="127"/>
      <c r="E138" s="127"/>
      <c r="F138" s="127"/>
      <c r="G138" s="127"/>
      <c r="H138" s="127"/>
      <c r="I138" s="127"/>
      <c r="J138" s="127"/>
      <c r="K138" s="127"/>
      <c r="L138" s="127"/>
      <c r="M138" s="127"/>
      <c r="N138" s="127"/>
      <c r="O138" s="127"/>
      <c r="P138" s="127"/>
      <c r="Q138" s="127"/>
      <c r="R138" s="127"/>
      <c r="S138" s="127"/>
      <c r="T138" s="127"/>
      <c r="U138" s="127"/>
      <c r="V138" s="127"/>
      <c r="W138" s="127"/>
      <c r="X138" s="127"/>
      <c r="Y138" s="127"/>
      <c r="Z138" s="127"/>
    </row>
    <row r="139" customFormat="false" ht="15.75" hidden="false" customHeight="false" outlineLevel="0" collapsed="false">
      <c r="A139" s="127"/>
      <c r="B139" s="127"/>
      <c r="C139" s="127"/>
      <c r="D139" s="127"/>
      <c r="E139" s="127"/>
      <c r="F139" s="127"/>
      <c r="G139" s="127"/>
      <c r="H139" s="127"/>
      <c r="I139" s="127"/>
      <c r="J139" s="127"/>
      <c r="K139" s="127"/>
      <c r="L139" s="127"/>
      <c r="M139" s="127"/>
      <c r="N139" s="127"/>
      <c r="O139" s="127"/>
      <c r="P139" s="127"/>
      <c r="Q139" s="127"/>
      <c r="R139" s="127"/>
      <c r="S139" s="127"/>
      <c r="T139" s="127"/>
      <c r="U139" s="127"/>
      <c r="V139" s="127"/>
      <c r="W139" s="127"/>
      <c r="X139" s="127"/>
      <c r="Y139" s="127"/>
      <c r="Z139" s="127"/>
    </row>
    <row r="140" customFormat="false" ht="15.75" hidden="false" customHeight="false" outlineLevel="0" collapsed="false">
      <c r="A140" s="127"/>
      <c r="B140" s="127"/>
      <c r="C140" s="127"/>
      <c r="D140" s="127"/>
      <c r="E140" s="127"/>
      <c r="F140" s="127"/>
      <c r="G140" s="127"/>
      <c r="H140" s="127"/>
      <c r="I140" s="127"/>
      <c r="J140" s="127"/>
      <c r="K140" s="127"/>
      <c r="L140" s="127"/>
      <c r="M140" s="127"/>
      <c r="N140" s="127"/>
      <c r="O140" s="127"/>
      <c r="P140" s="127"/>
      <c r="Q140" s="127"/>
      <c r="R140" s="127"/>
      <c r="S140" s="127"/>
      <c r="T140" s="127"/>
      <c r="U140" s="127"/>
      <c r="V140" s="127"/>
      <c r="W140" s="127"/>
      <c r="X140" s="127"/>
      <c r="Y140" s="127"/>
      <c r="Z140" s="127"/>
    </row>
    <row r="141" customFormat="false" ht="15.75" hidden="false" customHeight="false" outlineLevel="0" collapsed="false">
      <c r="A141" s="127"/>
      <c r="B141" s="127"/>
      <c r="C141" s="127"/>
      <c r="D141" s="127"/>
      <c r="E141" s="127"/>
      <c r="F141" s="127"/>
      <c r="G141" s="127"/>
      <c r="H141" s="127"/>
      <c r="I141" s="127"/>
      <c r="J141" s="127"/>
      <c r="K141" s="127"/>
      <c r="L141" s="127"/>
      <c r="M141" s="127"/>
      <c r="N141" s="127"/>
      <c r="O141" s="127"/>
      <c r="P141" s="127"/>
      <c r="Q141" s="127"/>
      <c r="R141" s="127"/>
      <c r="S141" s="127"/>
      <c r="T141" s="127"/>
      <c r="U141" s="127"/>
      <c r="V141" s="127"/>
      <c r="W141" s="127"/>
      <c r="X141" s="127"/>
      <c r="Y141" s="127"/>
      <c r="Z141" s="127"/>
    </row>
    <row r="142" customFormat="false" ht="15.75" hidden="false" customHeight="false" outlineLevel="0" collapsed="false">
      <c r="A142" s="127"/>
      <c r="B142" s="127"/>
      <c r="C142" s="127"/>
      <c r="D142" s="127"/>
      <c r="E142" s="127"/>
      <c r="F142" s="127"/>
      <c r="G142" s="127"/>
      <c r="H142" s="127"/>
      <c r="I142" s="127"/>
      <c r="J142" s="127"/>
      <c r="K142" s="127"/>
      <c r="L142" s="127"/>
      <c r="M142" s="127"/>
      <c r="N142" s="127"/>
      <c r="O142" s="127"/>
      <c r="P142" s="127"/>
      <c r="Q142" s="127"/>
      <c r="R142" s="127"/>
      <c r="S142" s="127"/>
      <c r="T142" s="127"/>
      <c r="U142" s="127"/>
      <c r="V142" s="127"/>
      <c r="W142" s="127"/>
      <c r="X142" s="127"/>
      <c r="Y142" s="127"/>
      <c r="Z142" s="127"/>
    </row>
    <row r="143" customFormat="false" ht="15.75" hidden="false" customHeight="false" outlineLevel="0" collapsed="false">
      <c r="A143" s="127"/>
      <c r="B143" s="127"/>
      <c r="C143" s="127"/>
      <c r="D143" s="127"/>
      <c r="E143" s="127"/>
      <c r="F143" s="127"/>
      <c r="G143" s="127"/>
      <c r="H143" s="127"/>
      <c r="I143" s="127"/>
      <c r="J143" s="127"/>
      <c r="K143" s="127"/>
      <c r="L143" s="127"/>
      <c r="M143" s="127"/>
      <c r="N143" s="127"/>
      <c r="O143" s="127"/>
      <c r="P143" s="127"/>
      <c r="Q143" s="127"/>
      <c r="R143" s="127"/>
      <c r="S143" s="127"/>
      <c r="T143" s="127"/>
      <c r="U143" s="127"/>
      <c r="V143" s="127"/>
      <c r="W143" s="127"/>
      <c r="X143" s="127"/>
      <c r="Y143" s="127"/>
      <c r="Z143" s="127"/>
    </row>
    <row r="144" customFormat="false" ht="15.75" hidden="false" customHeight="false" outlineLevel="0" collapsed="false">
      <c r="A144" s="127"/>
      <c r="B144" s="127"/>
      <c r="C144" s="127"/>
      <c r="D144" s="127"/>
      <c r="E144" s="127"/>
      <c r="F144" s="127"/>
      <c r="G144" s="127"/>
      <c r="H144" s="127"/>
      <c r="I144" s="127"/>
      <c r="J144" s="127"/>
      <c r="K144" s="127"/>
      <c r="L144" s="127"/>
      <c r="M144" s="127"/>
      <c r="N144" s="127"/>
      <c r="O144" s="127"/>
      <c r="P144" s="127"/>
      <c r="Q144" s="127"/>
      <c r="R144" s="127"/>
      <c r="S144" s="127"/>
      <c r="T144" s="127"/>
      <c r="U144" s="127"/>
      <c r="V144" s="127"/>
      <c r="W144" s="127"/>
      <c r="X144" s="127"/>
      <c r="Y144" s="127"/>
      <c r="Z144" s="127"/>
    </row>
    <row r="145" customFormat="false" ht="15.75" hidden="false" customHeight="false" outlineLevel="0" collapsed="false">
      <c r="A145" s="127"/>
      <c r="B145" s="127"/>
      <c r="C145" s="127"/>
      <c r="D145" s="127"/>
      <c r="E145" s="127"/>
      <c r="F145" s="127"/>
      <c r="G145" s="127"/>
      <c r="H145" s="127"/>
      <c r="I145" s="127"/>
      <c r="J145" s="127"/>
      <c r="K145" s="127"/>
      <c r="L145" s="127"/>
      <c r="M145" s="127"/>
      <c r="N145" s="127"/>
      <c r="O145" s="127"/>
      <c r="P145" s="127"/>
      <c r="Q145" s="127"/>
      <c r="R145" s="127"/>
      <c r="S145" s="127"/>
      <c r="T145" s="127"/>
      <c r="U145" s="127"/>
      <c r="V145" s="127"/>
      <c r="W145" s="127"/>
      <c r="X145" s="127"/>
      <c r="Y145" s="127"/>
      <c r="Z145" s="127"/>
    </row>
    <row r="146" customFormat="false" ht="15.75" hidden="false" customHeight="false" outlineLevel="0" collapsed="false">
      <c r="A146" s="127"/>
      <c r="B146" s="127"/>
      <c r="C146" s="127"/>
      <c r="D146" s="127"/>
      <c r="E146" s="127"/>
      <c r="F146" s="127"/>
      <c r="G146" s="127"/>
      <c r="H146" s="127"/>
      <c r="I146" s="127"/>
      <c r="J146" s="127"/>
      <c r="K146" s="127"/>
      <c r="L146" s="127"/>
      <c r="M146" s="127"/>
      <c r="N146" s="127"/>
      <c r="O146" s="127"/>
      <c r="P146" s="127"/>
      <c r="Q146" s="127"/>
      <c r="R146" s="127"/>
      <c r="S146" s="127"/>
      <c r="T146" s="127"/>
      <c r="U146" s="127"/>
      <c r="V146" s="127"/>
      <c r="W146" s="127"/>
      <c r="X146" s="127"/>
      <c r="Y146" s="127"/>
      <c r="Z146" s="127"/>
    </row>
    <row r="147" customFormat="false" ht="15.75" hidden="false" customHeight="false" outlineLevel="0" collapsed="false">
      <c r="A147" s="127"/>
      <c r="B147" s="127"/>
      <c r="C147" s="127"/>
      <c r="D147" s="127"/>
      <c r="E147" s="127"/>
      <c r="F147" s="127"/>
      <c r="G147" s="127"/>
      <c r="H147" s="127"/>
      <c r="I147" s="127"/>
      <c r="J147" s="127"/>
      <c r="K147" s="127"/>
      <c r="L147" s="127"/>
      <c r="M147" s="127"/>
      <c r="N147" s="127"/>
      <c r="O147" s="127"/>
      <c r="P147" s="127"/>
      <c r="Q147" s="127"/>
      <c r="R147" s="127"/>
      <c r="S147" s="127"/>
      <c r="T147" s="127"/>
      <c r="U147" s="127"/>
      <c r="V147" s="127"/>
      <c r="W147" s="127"/>
      <c r="X147" s="127"/>
      <c r="Y147" s="127"/>
      <c r="Z147" s="127"/>
    </row>
    <row r="148" customFormat="false" ht="15.75" hidden="false" customHeight="false" outlineLevel="0" collapsed="false">
      <c r="A148" s="127"/>
      <c r="B148" s="127"/>
      <c r="C148" s="127"/>
      <c r="D148" s="127"/>
      <c r="E148" s="127"/>
      <c r="F148" s="127"/>
      <c r="G148" s="127"/>
      <c r="H148" s="127"/>
      <c r="I148" s="127"/>
      <c r="J148" s="127"/>
      <c r="K148" s="127"/>
      <c r="L148" s="127"/>
      <c r="M148" s="127"/>
      <c r="N148" s="127"/>
      <c r="O148" s="127"/>
      <c r="P148" s="127"/>
      <c r="Q148" s="127"/>
      <c r="R148" s="127"/>
      <c r="S148" s="127"/>
      <c r="T148" s="127"/>
      <c r="U148" s="127"/>
      <c r="V148" s="127"/>
      <c r="W148" s="127"/>
      <c r="X148" s="127"/>
      <c r="Y148" s="127"/>
      <c r="Z148" s="127"/>
    </row>
    <row r="149" customFormat="false" ht="15.75" hidden="false" customHeight="false" outlineLevel="0" collapsed="false">
      <c r="A149" s="127"/>
      <c r="B149" s="127"/>
      <c r="C149" s="127"/>
      <c r="D149" s="127"/>
      <c r="E149" s="127"/>
      <c r="F149" s="127"/>
      <c r="G149" s="127"/>
      <c r="H149" s="127"/>
      <c r="I149" s="127"/>
      <c r="J149" s="127"/>
      <c r="K149" s="127"/>
      <c r="L149" s="127"/>
      <c r="M149" s="127"/>
      <c r="N149" s="127"/>
      <c r="O149" s="127"/>
      <c r="P149" s="127"/>
      <c r="Q149" s="127"/>
      <c r="R149" s="127"/>
      <c r="S149" s="127"/>
      <c r="T149" s="127"/>
      <c r="U149" s="127"/>
      <c r="V149" s="127"/>
      <c r="W149" s="127"/>
      <c r="X149" s="127"/>
      <c r="Y149" s="127"/>
      <c r="Z149" s="127"/>
    </row>
    <row r="150" customFormat="false" ht="15.75" hidden="false" customHeight="false" outlineLevel="0" collapsed="false">
      <c r="A150" s="127"/>
      <c r="B150" s="127"/>
      <c r="C150" s="127"/>
      <c r="D150" s="127"/>
      <c r="E150" s="127"/>
      <c r="F150" s="127"/>
      <c r="G150" s="127"/>
      <c r="H150" s="127"/>
      <c r="I150" s="127"/>
      <c r="J150" s="127"/>
      <c r="K150" s="127"/>
      <c r="L150" s="127"/>
      <c r="M150" s="127"/>
      <c r="N150" s="127"/>
      <c r="O150" s="127"/>
      <c r="P150" s="127"/>
      <c r="Q150" s="127"/>
      <c r="R150" s="127"/>
      <c r="S150" s="127"/>
      <c r="T150" s="127"/>
      <c r="U150" s="127"/>
      <c r="V150" s="127"/>
      <c r="W150" s="127"/>
      <c r="X150" s="127"/>
      <c r="Y150" s="127"/>
      <c r="Z150" s="127"/>
    </row>
    <row r="151" customFormat="false" ht="15.75" hidden="false" customHeight="false" outlineLevel="0" collapsed="false">
      <c r="A151" s="127"/>
      <c r="B151" s="127"/>
      <c r="C151" s="127"/>
      <c r="D151" s="127"/>
      <c r="E151" s="127"/>
      <c r="F151" s="127"/>
      <c r="G151" s="127"/>
      <c r="H151" s="127"/>
      <c r="I151" s="127"/>
      <c r="J151" s="127"/>
      <c r="K151" s="127"/>
      <c r="L151" s="127"/>
      <c r="M151" s="127"/>
      <c r="N151" s="127"/>
      <c r="O151" s="127"/>
      <c r="P151" s="127"/>
      <c r="Q151" s="127"/>
      <c r="R151" s="127"/>
      <c r="S151" s="127"/>
      <c r="T151" s="127"/>
      <c r="U151" s="127"/>
      <c r="V151" s="127"/>
      <c r="W151" s="127"/>
      <c r="X151" s="127"/>
      <c r="Y151" s="127"/>
      <c r="Z151" s="127"/>
    </row>
    <row r="152" customFormat="false" ht="15.75" hidden="false" customHeight="false" outlineLevel="0" collapsed="false">
      <c r="A152" s="127"/>
      <c r="B152" s="127"/>
      <c r="C152" s="127"/>
      <c r="D152" s="127"/>
      <c r="E152" s="127"/>
      <c r="F152" s="127"/>
      <c r="G152" s="127"/>
      <c r="H152" s="127"/>
      <c r="I152" s="127"/>
      <c r="J152" s="127"/>
      <c r="K152" s="127"/>
      <c r="L152" s="127"/>
      <c r="M152" s="127"/>
      <c r="N152" s="127"/>
      <c r="O152" s="127"/>
      <c r="P152" s="127"/>
      <c r="Q152" s="127"/>
      <c r="R152" s="127"/>
      <c r="S152" s="127"/>
      <c r="T152" s="127"/>
      <c r="U152" s="127"/>
      <c r="V152" s="127"/>
      <c r="W152" s="127"/>
      <c r="X152" s="127"/>
      <c r="Y152" s="127"/>
      <c r="Z152" s="127"/>
    </row>
    <row r="153" customFormat="false" ht="15.75" hidden="false" customHeight="false" outlineLevel="0" collapsed="false">
      <c r="A153" s="127"/>
      <c r="B153" s="127"/>
      <c r="C153" s="127"/>
      <c r="D153" s="127"/>
      <c r="E153" s="127"/>
      <c r="F153" s="127"/>
      <c r="G153" s="127"/>
      <c r="H153" s="127"/>
      <c r="I153" s="127"/>
      <c r="J153" s="127"/>
      <c r="K153" s="127"/>
      <c r="L153" s="127"/>
      <c r="M153" s="127"/>
      <c r="N153" s="127"/>
      <c r="O153" s="127"/>
      <c r="P153" s="127"/>
      <c r="Q153" s="127"/>
      <c r="R153" s="127"/>
      <c r="S153" s="127"/>
      <c r="T153" s="127"/>
      <c r="U153" s="127"/>
      <c r="V153" s="127"/>
      <c r="W153" s="127"/>
      <c r="X153" s="127"/>
      <c r="Y153" s="127"/>
      <c r="Z153" s="127"/>
    </row>
    <row r="154" customFormat="false" ht="15.75" hidden="false" customHeight="false" outlineLevel="0" collapsed="false">
      <c r="A154" s="127"/>
      <c r="B154" s="127"/>
      <c r="C154" s="127"/>
      <c r="D154" s="127"/>
      <c r="E154" s="127"/>
      <c r="F154" s="127"/>
      <c r="G154" s="127"/>
      <c r="H154" s="127"/>
      <c r="I154" s="127"/>
      <c r="J154" s="127"/>
      <c r="K154" s="127"/>
      <c r="L154" s="127"/>
      <c r="M154" s="127"/>
      <c r="N154" s="127"/>
      <c r="O154" s="127"/>
      <c r="P154" s="127"/>
      <c r="Q154" s="127"/>
      <c r="R154" s="127"/>
      <c r="S154" s="127"/>
      <c r="T154" s="127"/>
      <c r="U154" s="127"/>
      <c r="V154" s="127"/>
      <c r="W154" s="127"/>
      <c r="X154" s="127"/>
      <c r="Y154" s="127"/>
      <c r="Z154" s="127"/>
    </row>
    <row r="155" customFormat="false" ht="15.75" hidden="false" customHeight="false" outlineLevel="0" collapsed="false">
      <c r="A155" s="127"/>
      <c r="B155" s="127"/>
      <c r="C155" s="127"/>
      <c r="D155" s="127"/>
      <c r="E155" s="127"/>
      <c r="F155" s="127"/>
      <c r="G155" s="127"/>
      <c r="H155" s="127"/>
      <c r="I155" s="127"/>
      <c r="J155" s="127"/>
      <c r="K155" s="127"/>
      <c r="L155" s="127"/>
      <c r="M155" s="127"/>
      <c r="N155" s="127"/>
      <c r="O155" s="127"/>
      <c r="P155" s="127"/>
      <c r="Q155" s="127"/>
      <c r="R155" s="127"/>
      <c r="S155" s="127"/>
      <c r="T155" s="127"/>
      <c r="U155" s="127"/>
      <c r="V155" s="127"/>
      <c r="W155" s="127"/>
      <c r="X155" s="127"/>
      <c r="Y155" s="127"/>
      <c r="Z155" s="127"/>
    </row>
    <row r="156" customFormat="false" ht="15.75" hidden="false" customHeight="false" outlineLevel="0" collapsed="false">
      <c r="A156" s="127"/>
      <c r="B156" s="127"/>
      <c r="C156" s="127"/>
      <c r="D156" s="127"/>
      <c r="E156" s="127"/>
      <c r="F156" s="127"/>
      <c r="G156" s="127"/>
      <c r="H156" s="127"/>
      <c r="I156" s="127"/>
      <c r="J156" s="127"/>
      <c r="K156" s="127"/>
      <c r="L156" s="127"/>
      <c r="M156" s="127"/>
      <c r="N156" s="127"/>
      <c r="O156" s="127"/>
      <c r="P156" s="127"/>
      <c r="Q156" s="127"/>
      <c r="R156" s="127"/>
      <c r="S156" s="127"/>
      <c r="T156" s="127"/>
      <c r="U156" s="127"/>
      <c r="V156" s="127"/>
      <c r="W156" s="127"/>
      <c r="X156" s="127"/>
      <c r="Y156" s="127"/>
      <c r="Z156" s="127"/>
    </row>
    <row r="157" customFormat="false" ht="15.75" hidden="false" customHeight="false" outlineLevel="0" collapsed="false">
      <c r="A157" s="127"/>
      <c r="B157" s="127"/>
      <c r="C157" s="127"/>
      <c r="D157" s="127"/>
      <c r="E157" s="127"/>
      <c r="F157" s="127"/>
      <c r="G157" s="127"/>
      <c r="H157" s="127"/>
      <c r="I157" s="127"/>
      <c r="J157" s="127"/>
      <c r="K157" s="127"/>
      <c r="L157" s="127"/>
      <c r="M157" s="127"/>
      <c r="N157" s="127"/>
      <c r="O157" s="127"/>
      <c r="P157" s="127"/>
      <c r="Q157" s="127"/>
      <c r="R157" s="127"/>
      <c r="S157" s="127"/>
      <c r="T157" s="127"/>
      <c r="U157" s="127"/>
      <c r="V157" s="127"/>
      <c r="W157" s="127"/>
      <c r="X157" s="127"/>
      <c r="Y157" s="127"/>
      <c r="Z157" s="127"/>
    </row>
    <row r="158" customFormat="false" ht="15.75" hidden="false" customHeight="false" outlineLevel="0" collapsed="false">
      <c r="A158" s="127"/>
      <c r="B158" s="127"/>
      <c r="C158" s="127"/>
      <c r="D158" s="127"/>
      <c r="E158" s="127"/>
      <c r="F158" s="127"/>
      <c r="G158" s="127"/>
      <c r="H158" s="127"/>
      <c r="I158" s="127"/>
      <c r="J158" s="127"/>
      <c r="K158" s="127"/>
      <c r="L158" s="127"/>
      <c r="M158" s="127"/>
      <c r="N158" s="127"/>
      <c r="O158" s="127"/>
      <c r="P158" s="127"/>
      <c r="Q158" s="127"/>
      <c r="R158" s="127"/>
      <c r="S158" s="127"/>
      <c r="T158" s="127"/>
      <c r="U158" s="127"/>
      <c r="V158" s="127"/>
      <c r="W158" s="127"/>
      <c r="X158" s="127"/>
      <c r="Y158" s="127"/>
      <c r="Z158" s="127"/>
    </row>
    <row r="159" customFormat="false" ht="15.75" hidden="false" customHeight="false" outlineLevel="0" collapsed="false">
      <c r="A159" s="127"/>
      <c r="B159" s="127"/>
      <c r="C159" s="127"/>
      <c r="D159" s="127"/>
      <c r="E159" s="127"/>
      <c r="F159" s="127"/>
      <c r="G159" s="127"/>
      <c r="H159" s="127"/>
      <c r="I159" s="127"/>
      <c r="J159" s="127"/>
      <c r="K159" s="127"/>
      <c r="L159" s="127"/>
      <c r="M159" s="127"/>
      <c r="N159" s="127"/>
      <c r="O159" s="127"/>
      <c r="P159" s="127"/>
      <c r="Q159" s="127"/>
      <c r="R159" s="127"/>
      <c r="S159" s="127"/>
      <c r="T159" s="127"/>
      <c r="U159" s="127"/>
      <c r="V159" s="127"/>
      <c r="W159" s="127"/>
      <c r="X159" s="127"/>
      <c r="Y159" s="127"/>
      <c r="Z159" s="127"/>
    </row>
    <row r="160" customFormat="false" ht="15.75" hidden="false" customHeight="false" outlineLevel="0" collapsed="false">
      <c r="A160" s="127"/>
      <c r="B160" s="127"/>
      <c r="C160" s="127"/>
      <c r="D160" s="127"/>
      <c r="E160" s="127"/>
      <c r="F160" s="127"/>
      <c r="G160" s="127"/>
      <c r="H160" s="127"/>
      <c r="I160" s="127"/>
      <c r="J160" s="127"/>
      <c r="K160" s="127"/>
      <c r="L160" s="127"/>
      <c r="M160" s="127"/>
      <c r="N160" s="127"/>
      <c r="O160" s="127"/>
      <c r="P160" s="127"/>
      <c r="Q160" s="127"/>
      <c r="R160" s="127"/>
      <c r="S160" s="127"/>
      <c r="T160" s="127"/>
      <c r="U160" s="127"/>
      <c r="V160" s="127"/>
      <c r="W160" s="127"/>
      <c r="X160" s="127"/>
      <c r="Y160" s="127"/>
      <c r="Z160" s="127"/>
    </row>
    <row r="161" customFormat="false" ht="15.75" hidden="false" customHeight="false" outlineLevel="0" collapsed="false">
      <c r="A161" s="127"/>
      <c r="B161" s="127"/>
      <c r="C161" s="127"/>
      <c r="D161" s="127"/>
      <c r="E161" s="127"/>
      <c r="F161" s="127"/>
      <c r="G161" s="127"/>
      <c r="H161" s="127"/>
      <c r="I161" s="127"/>
      <c r="J161" s="127"/>
      <c r="K161" s="127"/>
      <c r="L161" s="127"/>
      <c r="M161" s="127"/>
      <c r="N161" s="127"/>
      <c r="O161" s="127"/>
      <c r="P161" s="127"/>
      <c r="Q161" s="127"/>
      <c r="R161" s="127"/>
      <c r="S161" s="127"/>
      <c r="T161" s="127"/>
      <c r="U161" s="127"/>
      <c r="V161" s="127"/>
      <c r="W161" s="127"/>
      <c r="X161" s="127"/>
      <c r="Y161" s="127"/>
      <c r="Z161" s="127"/>
    </row>
    <row r="162" customFormat="false" ht="15.75" hidden="false" customHeight="false" outlineLevel="0" collapsed="false">
      <c r="A162" s="127"/>
      <c r="B162" s="127"/>
      <c r="C162" s="127"/>
      <c r="D162" s="127"/>
      <c r="E162" s="127"/>
      <c r="F162" s="127"/>
      <c r="G162" s="127"/>
      <c r="H162" s="127"/>
      <c r="I162" s="127"/>
      <c r="J162" s="127"/>
      <c r="K162" s="127"/>
      <c r="L162" s="127"/>
      <c r="M162" s="127"/>
      <c r="N162" s="127"/>
      <c r="O162" s="127"/>
      <c r="P162" s="127"/>
      <c r="Q162" s="127"/>
      <c r="R162" s="127"/>
      <c r="S162" s="127"/>
      <c r="T162" s="127"/>
      <c r="U162" s="127"/>
      <c r="V162" s="127"/>
      <c r="W162" s="127"/>
      <c r="X162" s="127"/>
      <c r="Y162" s="127"/>
      <c r="Z162" s="127"/>
    </row>
    <row r="163" customFormat="false" ht="15.75" hidden="false" customHeight="false" outlineLevel="0" collapsed="false">
      <c r="A163" s="127"/>
      <c r="B163" s="127"/>
      <c r="C163" s="127"/>
      <c r="D163" s="127"/>
      <c r="E163" s="127"/>
      <c r="F163" s="127"/>
      <c r="G163" s="127"/>
      <c r="H163" s="127"/>
      <c r="I163" s="127"/>
      <c r="J163" s="127"/>
      <c r="K163" s="127"/>
      <c r="L163" s="127"/>
      <c r="M163" s="127"/>
      <c r="N163" s="127"/>
      <c r="O163" s="127"/>
      <c r="P163" s="127"/>
      <c r="Q163" s="127"/>
      <c r="R163" s="127"/>
      <c r="S163" s="127"/>
      <c r="T163" s="127"/>
      <c r="U163" s="127"/>
      <c r="V163" s="127"/>
      <c r="W163" s="127"/>
      <c r="X163" s="127"/>
      <c r="Y163" s="127"/>
      <c r="Z163" s="127"/>
    </row>
    <row r="164" customFormat="false" ht="15.75" hidden="false" customHeight="false" outlineLevel="0" collapsed="false">
      <c r="A164" s="127"/>
      <c r="B164" s="127"/>
      <c r="C164" s="127"/>
      <c r="D164" s="127"/>
      <c r="E164" s="127"/>
      <c r="F164" s="127"/>
      <c r="G164" s="127"/>
      <c r="H164" s="127"/>
      <c r="I164" s="127"/>
      <c r="J164" s="127"/>
      <c r="K164" s="127"/>
      <c r="L164" s="127"/>
      <c r="M164" s="127"/>
      <c r="N164" s="127"/>
      <c r="O164" s="127"/>
      <c r="P164" s="127"/>
      <c r="Q164" s="127"/>
      <c r="R164" s="127"/>
      <c r="S164" s="127"/>
      <c r="T164" s="127"/>
      <c r="U164" s="127"/>
      <c r="V164" s="127"/>
      <c r="W164" s="127"/>
      <c r="X164" s="127"/>
      <c r="Y164" s="127"/>
      <c r="Z164" s="127"/>
    </row>
    <row r="165" customFormat="false" ht="15.75" hidden="false" customHeight="false" outlineLevel="0" collapsed="false">
      <c r="A165" s="127"/>
      <c r="B165" s="127"/>
      <c r="C165" s="127"/>
      <c r="D165" s="127"/>
      <c r="E165" s="127"/>
      <c r="F165" s="127"/>
      <c r="G165" s="127"/>
      <c r="H165" s="127"/>
      <c r="I165" s="127"/>
      <c r="J165" s="127"/>
      <c r="K165" s="127"/>
      <c r="L165" s="127"/>
      <c r="M165" s="127"/>
      <c r="N165" s="127"/>
      <c r="O165" s="127"/>
      <c r="P165" s="127"/>
      <c r="Q165" s="127"/>
      <c r="R165" s="127"/>
      <c r="S165" s="127"/>
      <c r="T165" s="127"/>
      <c r="U165" s="127"/>
      <c r="V165" s="127"/>
      <c r="W165" s="127"/>
      <c r="X165" s="127"/>
      <c r="Y165" s="127"/>
      <c r="Z165" s="127"/>
    </row>
    <row r="166" customFormat="false" ht="15.75" hidden="false" customHeight="false" outlineLevel="0" collapsed="false">
      <c r="A166" s="127"/>
      <c r="B166" s="127"/>
      <c r="C166" s="127"/>
      <c r="D166" s="127"/>
      <c r="E166" s="127"/>
      <c r="F166" s="127"/>
      <c r="G166" s="127"/>
      <c r="H166" s="127"/>
      <c r="I166" s="127"/>
      <c r="J166" s="127"/>
      <c r="K166" s="127"/>
      <c r="L166" s="127"/>
      <c r="M166" s="127"/>
      <c r="N166" s="127"/>
      <c r="O166" s="127"/>
      <c r="P166" s="127"/>
      <c r="Q166" s="127"/>
      <c r="R166" s="127"/>
      <c r="S166" s="127"/>
      <c r="T166" s="127"/>
      <c r="U166" s="127"/>
      <c r="V166" s="127"/>
      <c r="W166" s="127"/>
      <c r="X166" s="127"/>
      <c r="Y166" s="127"/>
      <c r="Z166" s="127"/>
    </row>
    <row r="167" customFormat="false" ht="15.75" hidden="false" customHeight="false" outlineLevel="0" collapsed="false">
      <c r="A167" s="127"/>
      <c r="B167" s="127"/>
      <c r="C167" s="127"/>
      <c r="D167" s="127"/>
      <c r="E167" s="127"/>
      <c r="F167" s="127"/>
      <c r="G167" s="127"/>
      <c r="H167" s="127"/>
      <c r="I167" s="127"/>
      <c r="J167" s="127"/>
      <c r="K167" s="127"/>
      <c r="L167" s="127"/>
      <c r="M167" s="127"/>
      <c r="N167" s="127"/>
      <c r="O167" s="127"/>
      <c r="P167" s="127"/>
      <c r="Q167" s="127"/>
      <c r="R167" s="127"/>
      <c r="S167" s="127"/>
      <c r="T167" s="127"/>
      <c r="U167" s="127"/>
      <c r="V167" s="127"/>
      <c r="W167" s="127"/>
      <c r="X167" s="127"/>
      <c r="Y167" s="127"/>
      <c r="Z167" s="127"/>
    </row>
    <row r="168" customFormat="false" ht="15.75" hidden="false" customHeight="false" outlineLevel="0" collapsed="false">
      <c r="A168" s="127"/>
      <c r="B168" s="127"/>
      <c r="C168" s="127"/>
      <c r="D168" s="127"/>
      <c r="E168" s="127"/>
      <c r="F168" s="127"/>
      <c r="G168" s="127"/>
      <c r="H168" s="127"/>
      <c r="I168" s="127"/>
      <c r="J168" s="127"/>
      <c r="K168" s="127"/>
      <c r="L168" s="127"/>
      <c r="M168" s="127"/>
      <c r="N168" s="127"/>
      <c r="O168" s="127"/>
      <c r="P168" s="127"/>
      <c r="Q168" s="127"/>
      <c r="R168" s="127"/>
      <c r="S168" s="127"/>
      <c r="T168" s="127"/>
      <c r="U168" s="127"/>
      <c r="V168" s="127"/>
      <c r="W168" s="127"/>
      <c r="X168" s="127"/>
      <c r="Y168" s="127"/>
      <c r="Z168" s="127"/>
    </row>
    <row r="169" customFormat="false" ht="15.75" hidden="false" customHeight="false" outlineLevel="0" collapsed="false">
      <c r="A169" s="127"/>
      <c r="B169" s="127"/>
      <c r="C169" s="127"/>
      <c r="D169" s="127"/>
      <c r="E169" s="127"/>
      <c r="F169" s="127"/>
      <c r="G169" s="127"/>
      <c r="H169" s="127"/>
      <c r="I169" s="127"/>
      <c r="J169" s="127"/>
      <c r="K169" s="127"/>
      <c r="L169" s="127"/>
      <c r="M169" s="127"/>
      <c r="N169" s="127"/>
      <c r="O169" s="127"/>
      <c r="P169" s="127"/>
      <c r="Q169" s="127"/>
      <c r="R169" s="127"/>
      <c r="S169" s="127"/>
      <c r="T169" s="127"/>
      <c r="U169" s="127"/>
      <c r="V169" s="127"/>
      <c r="W169" s="127"/>
      <c r="X169" s="127"/>
      <c r="Y169" s="127"/>
      <c r="Z169" s="127"/>
    </row>
    <row r="170" customFormat="false" ht="15.75" hidden="false" customHeight="false" outlineLevel="0" collapsed="false">
      <c r="A170" s="127"/>
      <c r="B170" s="127"/>
      <c r="C170" s="127"/>
      <c r="D170" s="127"/>
      <c r="E170" s="127"/>
      <c r="F170" s="127"/>
      <c r="G170" s="127"/>
      <c r="H170" s="127"/>
      <c r="I170" s="127"/>
      <c r="J170" s="127"/>
      <c r="K170" s="127"/>
      <c r="L170" s="127"/>
      <c r="M170" s="127"/>
      <c r="N170" s="127"/>
      <c r="O170" s="127"/>
      <c r="P170" s="127"/>
      <c r="Q170" s="127"/>
      <c r="R170" s="127"/>
      <c r="S170" s="127"/>
      <c r="T170" s="127"/>
      <c r="U170" s="127"/>
      <c r="V170" s="127"/>
      <c r="W170" s="127"/>
      <c r="X170" s="127"/>
      <c r="Y170" s="127"/>
      <c r="Z170" s="127"/>
    </row>
    <row r="171" customFormat="false" ht="15.75" hidden="false" customHeight="false" outlineLevel="0" collapsed="false">
      <c r="A171" s="127"/>
      <c r="B171" s="127"/>
      <c r="C171" s="127"/>
      <c r="D171" s="127"/>
      <c r="E171" s="127"/>
      <c r="F171" s="127"/>
      <c r="G171" s="127"/>
      <c r="H171" s="127"/>
      <c r="I171" s="127"/>
      <c r="J171" s="127"/>
      <c r="K171" s="127"/>
      <c r="L171" s="127"/>
      <c r="M171" s="127"/>
      <c r="N171" s="127"/>
      <c r="O171" s="127"/>
      <c r="P171" s="127"/>
      <c r="Q171" s="127"/>
      <c r="R171" s="127"/>
      <c r="S171" s="127"/>
      <c r="T171" s="127"/>
      <c r="U171" s="127"/>
      <c r="V171" s="127"/>
      <c r="W171" s="127"/>
      <c r="X171" s="127"/>
      <c r="Y171" s="127"/>
      <c r="Z171" s="127"/>
    </row>
    <row r="172" customFormat="false" ht="15.75" hidden="false" customHeight="false" outlineLevel="0" collapsed="false">
      <c r="A172" s="127"/>
      <c r="B172" s="127"/>
      <c r="C172" s="127"/>
      <c r="D172" s="127"/>
      <c r="E172" s="127"/>
      <c r="F172" s="127"/>
      <c r="G172" s="127"/>
      <c r="H172" s="127"/>
      <c r="I172" s="127"/>
      <c r="J172" s="127"/>
      <c r="K172" s="127"/>
      <c r="L172" s="127"/>
      <c r="M172" s="127"/>
      <c r="N172" s="127"/>
      <c r="O172" s="127"/>
      <c r="P172" s="127"/>
      <c r="Q172" s="127"/>
      <c r="R172" s="127"/>
      <c r="S172" s="127"/>
      <c r="T172" s="127"/>
      <c r="U172" s="127"/>
      <c r="V172" s="127"/>
      <c r="W172" s="127"/>
      <c r="X172" s="127"/>
      <c r="Y172" s="127"/>
      <c r="Z172" s="127"/>
    </row>
    <row r="173" customFormat="false" ht="15.75" hidden="false" customHeight="false" outlineLevel="0" collapsed="false">
      <c r="A173" s="127"/>
      <c r="B173" s="127"/>
      <c r="C173" s="127"/>
      <c r="D173" s="127"/>
      <c r="E173" s="127"/>
      <c r="F173" s="127"/>
      <c r="G173" s="127"/>
      <c r="H173" s="127"/>
      <c r="I173" s="127"/>
      <c r="J173" s="127"/>
      <c r="K173" s="127"/>
      <c r="L173" s="127"/>
      <c r="M173" s="127"/>
      <c r="N173" s="127"/>
      <c r="O173" s="127"/>
      <c r="P173" s="127"/>
      <c r="Q173" s="127"/>
      <c r="R173" s="127"/>
      <c r="S173" s="127"/>
      <c r="T173" s="127"/>
      <c r="U173" s="127"/>
      <c r="V173" s="127"/>
      <c r="W173" s="127"/>
      <c r="X173" s="127"/>
      <c r="Y173" s="127"/>
      <c r="Z173" s="127"/>
    </row>
    <row r="174" customFormat="false" ht="15.75" hidden="false" customHeight="false" outlineLevel="0" collapsed="false">
      <c r="A174" s="127"/>
      <c r="B174" s="127"/>
      <c r="C174" s="127"/>
      <c r="D174" s="127"/>
      <c r="E174" s="127"/>
      <c r="F174" s="127"/>
      <c r="G174" s="127"/>
      <c r="H174" s="127"/>
      <c r="I174" s="127"/>
      <c r="J174" s="127"/>
      <c r="K174" s="127"/>
      <c r="L174" s="127"/>
      <c r="M174" s="127"/>
      <c r="N174" s="127"/>
      <c r="O174" s="127"/>
      <c r="P174" s="127"/>
      <c r="Q174" s="127"/>
      <c r="R174" s="127"/>
      <c r="S174" s="127"/>
      <c r="T174" s="127"/>
      <c r="U174" s="127"/>
      <c r="V174" s="127"/>
      <c r="W174" s="127"/>
      <c r="X174" s="127"/>
      <c r="Y174" s="127"/>
      <c r="Z174" s="127"/>
    </row>
    <row r="175" customFormat="false" ht="15.75" hidden="false" customHeight="false" outlineLevel="0" collapsed="false">
      <c r="A175" s="127"/>
      <c r="B175" s="127"/>
      <c r="C175" s="127"/>
      <c r="D175" s="127"/>
      <c r="E175" s="127"/>
      <c r="F175" s="127"/>
      <c r="G175" s="127"/>
      <c r="H175" s="127"/>
      <c r="I175" s="127"/>
      <c r="J175" s="127"/>
      <c r="K175" s="127"/>
      <c r="L175" s="127"/>
      <c r="M175" s="127"/>
      <c r="N175" s="127"/>
      <c r="O175" s="127"/>
      <c r="P175" s="127"/>
      <c r="Q175" s="127"/>
      <c r="R175" s="127"/>
      <c r="S175" s="127"/>
      <c r="T175" s="127"/>
      <c r="U175" s="127"/>
      <c r="V175" s="127"/>
      <c r="W175" s="127"/>
      <c r="X175" s="127"/>
      <c r="Y175" s="127"/>
      <c r="Z175" s="127"/>
    </row>
    <row r="176" customFormat="false" ht="15.75" hidden="false" customHeight="false" outlineLevel="0" collapsed="false">
      <c r="A176" s="127"/>
      <c r="B176" s="127"/>
      <c r="C176" s="127"/>
      <c r="D176" s="127"/>
      <c r="E176" s="127"/>
      <c r="F176" s="127"/>
      <c r="G176" s="127"/>
      <c r="H176" s="127"/>
      <c r="I176" s="127"/>
      <c r="J176" s="127"/>
      <c r="K176" s="127"/>
      <c r="L176" s="127"/>
      <c r="M176" s="127"/>
      <c r="N176" s="127"/>
      <c r="O176" s="127"/>
      <c r="P176" s="127"/>
      <c r="Q176" s="127"/>
      <c r="R176" s="127"/>
      <c r="S176" s="127"/>
      <c r="T176" s="127"/>
      <c r="U176" s="127"/>
      <c r="V176" s="127"/>
      <c r="W176" s="127"/>
      <c r="X176" s="127"/>
      <c r="Y176" s="127"/>
      <c r="Z176" s="127"/>
    </row>
    <row r="177" customFormat="false" ht="15.75" hidden="false" customHeight="false" outlineLevel="0" collapsed="false">
      <c r="A177" s="127"/>
      <c r="B177" s="127"/>
      <c r="C177" s="127"/>
      <c r="D177" s="127"/>
      <c r="E177" s="127"/>
      <c r="F177" s="127"/>
      <c r="G177" s="127"/>
      <c r="H177" s="127"/>
      <c r="I177" s="127"/>
      <c r="J177" s="127"/>
      <c r="K177" s="127"/>
      <c r="L177" s="127"/>
      <c r="M177" s="127"/>
      <c r="N177" s="127"/>
      <c r="O177" s="127"/>
      <c r="P177" s="127"/>
      <c r="Q177" s="127"/>
      <c r="R177" s="127"/>
      <c r="S177" s="127"/>
      <c r="T177" s="127"/>
      <c r="U177" s="127"/>
      <c r="V177" s="127"/>
      <c r="W177" s="127"/>
      <c r="X177" s="127"/>
      <c r="Y177" s="127"/>
      <c r="Z177" s="127"/>
    </row>
    <row r="178" customFormat="false" ht="15.75" hidden="false" customHeight="false" outlineLevel="0" collapsed="false">
      <c r="A178" s="127"/>
      <c r="B178" s="127"/>
      <c r="C178" s="127"/>
      <c r="D178" s="127"/>
      <c r="E178" s="127"/>
      <c r="F178" s="127"/>
      <c r="G178" s="127"/>
      <c r="H178" s="127"/>
      <c r="I178" s="127"/>
      <c r="J178" s="127"/>
      <c r="K178" s="127"/>
      <c r="L178" s="127"/>
      <c r="M178" s="127"/>
      <c r="N178" s="127"/>
      <c r="O178" s="127"/>
      <c r="P178" s="127"/>
      <c r="Q178" s="127"/>
      <c r="R178" s="127"/>
      <c r="S178" s="127"/>
      <c r="T178" s="127"/>
      <c r="U178" s="127"/>
      <c r="V178" s="127"/>
      <c r="W178" s="127"/>
      <c r="X178" s="127"/>
      <c r="Y178" s="127"/>
      <c r="Z178" s="127"/>
    </row>
    <row r="179" customFormat="false" ht="15.75" hidden="false" customHeight="false" outlineLevel="0" collapsed="false">
      <c r="A179" s="127"/>
      <c r="B179" s="127"/>
      <c r="C179" s="127"/>
      <c r="D179" s="127"/>
      <c r="E179" s="127"/>
      <c r="F179" s="127"/>
      <c r="G179" s="127"/>
      <c r="H179" s="127"/>
      <c r="I179" s="127"/>
      <c r="J179" s="127"/>
      <c r="K179" s="127"/>
      <c r="L179" s="127"/>
      <c r="M179" s="127"/>
      <c r="N179" s="127"/>
      <c r="O179" s="127"/>
      <c r="P179" s="127"/>
      <c r="Q179" s="127"/>
      <c r="R179" s="127"/>
      <c r="S179" s="127"/>
      <c r="T179" s="127"/>
      <c r="U179" s="127"/>
      <c r="V179" s="127"/>
      <c r="W179" s="127"/>
      <c r="X179" s="127"/>
      <c r="Y179" s="127"/>
      <c r="Z179" s="127"/>
    </row>
    <row r="180" customFormat="false" ht="15.75" hidden="false" customHeight="false" outlineLevel="0" collapsed="false">
      <c r="A180" s="127"/>
      <c r="B180" s="127"/>
      <c r="C180" s="127"/>
      <c r="D180" s="127"/>
      <c r="E180" s="127"/>
      <c r="F180" s="127"/>
      <c r="G180" s="127"/>
      <c r="H180" s="127"/>
      <c r="I180" s="127"/>
      <c r="J180" s="127"/>
      <c r="K180" s="127"/>
      <c r="L180" s="127"/>
      <c r="M180" s="127"/>
      <c r="N180" s="127"/>
      <c r="O180" s="127"/>
      <c r="P180" s="127"/>
      <c r="Q180" s="127"/>
      <c r="R180" s="127"/>
      <c r="S180" s="127"/>
      <c r="T180" s="127"/>
      <c r="U180" s="127"/>
      <c r="V180" s="127"/>
      <c r="W180" s="127"/>
      <c r="X180" s="127"/>
      <c r="Y180" s="127"/>
      <c r="Z180" s="127"/>
    </row>
    <row r="181" customFormat="false" ht="15.75" hidden="false" customHeight="false" outlineLevel="0" collapsed="false">
      <c r="A181" s="127"/>
      <c r="B181" s="127"/>
      <c r="C181" s="127"/>
      <c r="D181" s="127"/>
      <c r="E181" s="127"/>
      <c r="F181" s="127"/>
      <c r="G181" s="127"/>
      <c r="H181" s="127"/>
      <c r="I181" s="127"/>
      <c r="J181" s="127"/>
      <c r="K181" s="127"/>
      <c r="L181" s="127"/>
      <c r="M181" s="127"/>
      <c r="N181" s="127"/>
      <c r="O181" s="127"/>
      <c r="P181" s="127"/>
      <c r="Q181" s="127"/>
      <c r="R181" s="127"/>
      <c r="S181" s="127"/>
      <c r="T181" s="127"/>
      <c r="U181" s="127"/>
      <c r="V181" s="127"/>
      <c r="W181" s="127"/>
      <c r="X181" s="127"/>
      <c r="Y181" s="127"/>
      <c r="Z181" s="127"/>
    </row>
    <row r="182" customFormat="false" ht="15.75" hidden="false" customHeight="false" outlineLevel="0" collapsed="false">
      <c r="A182" s="127"/>
      <c r="B182" s="127"/>
      <c r="C182" s="127"/>
      <c r="D182" s="127"/>
      <c r="E182" s="127"/>
      <c r="F182" s="127"/>
      <c r="G182" s="127"/>
      <c r="H182" s="127"/>
      <c r="I182" s="127"/>
      <c r="J182" s="127"/>
      <c r="K182" s="127"/>
      <c r="L182" s="127"/>
      <c r="M182" s="127"/>
      <c r="N182" s="127"/>
      <c r="O182" s="127"/>
      <c r="P182" s="127"/>
      <c r="Q182" s="127"/>
      <c r="R182" s="127"/>
      <c r="S182" s="127"/>
      <c r="T182" s="127"/>
      <c r="U182" s="127"/>
      <c r="V182" s="127"/>
      <c r="W182" s="127"/>
      <c r="X182" s="127"/>
      <c r="Y182" s="127"/>
      <c r="Z182" s="127"/>
    </row>
    <row r="183" customFormat="false" ht="15.75" hidden="false" customHeight="false" outlineLevel="0" collapsed="false">
      <c r="A183" s="127"/>
      <c r="B183" s="127"/>
      <c r="C183" s="127"/>
      <c r="D183" s="127"/>
      <c r="E183" s="127"/>
      <c r="F183" s="127"/>
      <c r="G183" s="127"/>
      <c r="H183" s="127"/>
      <c r="I183" s="127"/>
      <c r="J183" s="127"/>
      <c r="K183" s="127"/>
      <c r="L183" s="127"/>
      <c r="M183" s="127"/>
      <c r="N183" s="127"/>
      <c r="O183" s="127"/>
      <c r="P183" s="127"/>
      <c r="Q183" s="127"/>
      <c r="R183" s="127"/>
      <c r="S183" s="127"/>
      <c r="T183" s="127"/>
      <c r="U183" s="127"/>
      <c r="V183" s="127"/>
      <c r="W183" s="127"/>
      <c r="X183" s="127"/>
      <c r="Y183" s="127"/>
      <c r="Z183" s="127"/>
    </row>
    <row r="184" customFormat="false" ht="15.75" hidden="false" customHeight="false" outlineLevel="0" collapsed="false">
      <c r="A184" s="127"/>
      <c r="B184" s="127"/>
      <c r="C184" s="127"/>
      <c r="D184" s="127"/>
      <c r="E184" s="127"/>
      <c r="F184" s="127"/>
      <c r="G184" s="127"/>
      <c r="H184" s="127"/>
      <c r="I184" s="127"/>
      <c r="J184" s="127"/>
      <c r="K184" s="127"/>
      <c r="L184" s="127"/>
      <c r="M184" s="127"/>
      <c r="N184" s="127"/>
      <c r="O184" s="127"/>
      <c r="P184" s="127"/>
      <c r="Q184" s="127"/>
      <c r="R184" s="127"/>
      <c r="S184" s="127"/>
      <c r="T184" s="127"/>
      <c r="U184" s="127"/>
      <c r="V184" s="127"/>
      <c r="W184" s="127"/>
      <c r="X184" s="127"/>
      <c r="Y184" s="127"/>
      <c r="Z184" s="127"/>
    </row>
    <row r="185" customFormat="false" ht="15.75" hidden="false" customHeight="false" outlineLevel="0" collapsed="false">
      <c r="A185" s="127"/>
      <c r="B185" s="127"/>
      <c r="C185" s="127"/>
      <c r="D185" s="127"/>
      <c r="E185" s="127"/>
      <c r="F185" s="127"/>
      <c r="G185" s="127"/>
      <c r="H185" s="127"/>
      <c r="I185" s="127"/>
      <c r="J185" s="127"/>
      <c r="K185" s="127"/>
      <c r="L185" s="127"/>
      <c r="M185" s="127"/>
      <c r="N185" s="127"/>
      <c r="O185" s="127"/>
      <c r="P185" s="127"/>
      <c r="Q185" s="127"/>
      <c r="R185" s="127"/>
      <c r="S185" s="127"/>
      <c r="T185" s="127"/>
      <c r="U185" s="127"/>
      <c r="V185" s="127"/>
      <c r="W185" s="127"/>
      <c r="X185" s="127"/>
      <c r="Y185" s="127"/>
      <c r="Z185" s="127"/>
    </row>
    <row r="186" customFormat="false" ht="15.75" hidden="false" customHeight="false" outlineLevel="0" collapsed="false">
      <c r="A186" s="127"/>
      <c r="B186" s="127"/>
      <c r="C186" s="127"/>
      <c r="D186" s="127"/>
      <c r="E186" s="127"/>
      <c r="F186" s="127"/>
      <c r="G186" s="127"/>
      <c r="H186" s="127"/>
      <c r="I186" s="127"/>
      <c r="J186" s="127"/>
      <c r="K186" s="127"/>
      <c r="L186" s="127"/>
      <c r="M186" s="127"/>
      <c r="N186" s="127"/>
      <c r="O186" s="127"/>
      <c r="P186" s="127"/>
      <c r="Q186" s="127"/>
      <c r="R186" s="127"/>
      <c r="S186" s="127"/>
      <c r="T186" s="127"/>
      <c r="U186" s="127"/>
      <c r="V186" s="127"/>
      <c r="W186" s="127"/>
      <c r="X186" s="127"/>
      <c r="Y186" s="127"/>
      <c r="Z186" s="127"/>
    </row>
    <row r="187" customFormat="false" ht="15.75" hidden="false" customHeight="false" outlineLevel="0" collapsed="false">
      <c r="A187" s="127"/>
      <c r="B187" s="127"/>
      <c r="C187" s="127"/>
      <c r="D187" s="127"/>
      <c r="E187" s="127"/>
      <c r="F187" s="127"/>
      <c r="G187" s="127"/>
      <c r="H187" s="127"/>
      <c r="I187" s="127"/>
      <c r="J187" s="127"/>
      <c r="K187" s="127"/>
      <c r="L187" s="127"/>
      <c r="M187" s="127"/>
      <c r="N187" s="127"/>
      <c r="O187" s="127"/>
      <c r="P187" s="127"/>
      <c r="Q187" s="127"/>
      <c r="R187" s="127"/>
      <c r="S187" s="127"/>
      <c r="T187" s="127"/>
      <c r="U187" s="127"/>
      <c r="V187" s="127"/>
      <c r="W187" s="127"/>
      <c r="X187" s="127"/>
      <c r="Y187" s="127"/>
      <c r="Z187" s="127"/>
    </row>
    <row r="188" customFormat="false" ht="15.75" hidden="false" customHeight="false" outlineLevel="0" collapsed="false">
      <c r="A188" s="127"/>
      <c r="B188" s="127"/>
      <c r="C188" s="127"/>
      <c r="D188" s="127"/>
      <c r="E188" s="127"/>
      <c r="F188" s="127"/>
      <c r="G188" s="127"/>
      <c r="H188" s="127"/>
      <c r="I188" s="127"/>
      <c r="J188" s="127"/>
      <c r="K188" s="127"/>
      <c r="L188" s="127"/>
      <c r="M188" s="127"/>
      <c r="N188" s="127"/>
      <c r="O188" s="127"/>
      <c r="P188" s="127"/>
      <c r="Q188" s="127"/>
      <c r="R188" s="127"/>
      <c r="S188" s="127"/>
      <c r="T188" s="127"/>
      <c r="U188" s="127"/>
      <c r="V188" s="127"/>
      <c r="W188" s="127"/>
      <c r="X188" s="127"/>
      <c r="Y188" s="127"/>
      <c r="Z188" s="127"/>
    </row>
    <row r="189" customFormat="false" ht="15.75" hidden="false" customHeight="false" outlineLevel="0" collapsed="false">
      <c r="A189" s="127"/>
      <c r="B189" s="127"/>
      <c r="C189" s="127"/>
      <c r="D189" s="127"/>
      <c r="E189" s="127"/>
      <c r="F189" s="127"/>
      <c r="G189" s="127"/>
      <c r="H189" s="127"/>
      <c r="I189" s="127"/>
      <c r="J189" s="127"/>
      <c r="K189" s="127"/>
      <c r="L189" s="127"/>
      <c r="M189" s="127"/>
      <c r="N189" s="127"/>
      <c r="O189" s="127"/>
      <c r="P189" s="127"/>
      <c r="Q189" s="127"/>
      <c r="R189" s="127"/>
      <c r="S189" s="127"/>
      <c r="T189" s="127"/>
      <c r="U189" s="127"/>
      <c r="V189" s="127"/>
      <c r="W189" s="127"/>
      <c r="X189" s="127"/>
      <c r="Y189" s="127"/>
      <c r="Z189" s="127"/>
    </row>
    <row r="190" customFormat="false" ht="15.75" hidden="false" customHeight="false" outlineLevel="0" collapsed="false">
      <c r="A190" s="127"/>
      <c r="B190" s="127"/>
      <c r="C190" s="127"/>
      <c r="D190" s="127"/>
      <c r="E190" s="127"/>
      <c r="F190" s="127"/>
      <c r="G190" s="127"/>
      <c r="H190" s="127"/>
      <c r="I190" s="127"/>
      <c r="J190" s="127"/>
      <c r="K190" s="127"/>
      <c r="L190" s="127"/>
      <c r="M190" s="127"/>
      <c r="N190" s="127"/>
      <c r="O190" s="127"/>
      <c r="P190" s="127"/>
      <c r="Q190" s="127"/>
      <c r="R190" s="127"/>
      <c r="S190" s="127"/>
      <c r="T190" s="127"/>
      <c r="U190" s="127"/>
      <c r="V190" s="127"/>
      <c r="W190" s="127"/>
      <c r="X190" s="127"/>
      <c r="Y190" s="127"/>
      <c r="Z190" s="127"/>
    </row>
    <row r="191" customFormat="false" ht="15.75" hidden="false" customHeight="false" outlineLevel="0" collapsed="false">
      <c r="A191" s="127"/>
      <c r="B191" s="127"/>
      <c r="C191" s="127"/>
      <c r="D191" s="127"/>
      <c r="E191" s="127"/>
      <c r="F191" s="127"/>
      <c r="G191" s="127"/>
      <c r="H191" s="127"/>
      <c r="I191" s="127"/>
      <c r="J191" s="127"/>
      <c r="K191" s="127"/>
      <c r="L191" s="127"/>
      <c r="M191" s="127"/>
      <c r="N191" s="127"/>
      <c r="O191" s="127"/>
      <c r="P191" s="127"/>
      <c r="Q191" s="127"/>
      <c r="R191" s="127"/>
      <c r="S191" s="127"/>
      <c r="T191" s="127"/>
      <c r="U191" s="127"/>
      <c r="V191" s="127"/>
      <c r="W191" s="127"/>
      <c r="X191" s="127"/>
      <c r="Y191" s="127"/>
      <c r="Z191" s="127"/>
    </row>
    <row r="192" customFormat="false" ht="15.75" hidden="false" customHeight="false" outlineLevel="0" collapsed="false">
      <c r="A192" s="127"/>
      <c r="B192" s="127"/>
      <c r="C192" s="127"/>
      <c r="D192" s="127"/>
      <c r="E192" s="127"/>
      <c r="F192" s="127"/>
      <c r="G192" s="127"/>
      <c r="H192" s="127"/>
      <c r="I192" s="127"/>
      <c r="J192" s="127"/>
      <c r="K192" s="127"/>
      <c r="L192" s="127"/>
      <c r="M192" s="127"/>
      <c r="N192" s="127"/>
      <c r="O192" s="127"/>
      <c r="P192" s="127"/>
      <c r="Q192" s="127"/>
      <c r="R192" s="127"/>
      <c r="S192" s="127"/>
      <c r="T192" s="127"/>
      <c r="U192" s="127"/>
      <c r="V192" s="127"/>
      <c r="W192" s="127"/>
      <c r="X192" s="127"/>
      <c r="Y192" s="127"/>
      <c r="Z192" s="127"/>
    </row>
    <row r="193" customFormat="false" ht="15.75" hidden="false" customHeight="false" outlineLevel="0" collapsed="false">
      <c r="A193" s="127"/>
      <c r="B193" s="127"/>
      <c r="C193" s="127"/>
      <c r="D193" s="127"/>
      <c r="E193" s="127"/>
      <c r="F193" s="127"/>
      <c r="G193" s="127"/>
      <c r="H193" s="127"/>
      <c r="I193" s="127"/>
      <c r="J193" s="127"/>
      <c r="K193" s="127"/>
      <c r="L193" s="127"/>
      <c r="M193" s="127"/>
      <c r="N193" s="127"/>
      <c r="O193" s="127"/>
      <c r="P193" s="127"/>
      <c r="Q193" s="127"/>
      <c r="R193" s="127"/>
      <c r="S193" s="127"/>
      <c r="T193" s="127"/>
      <c r="U193" s="127"/>
      <c r="V193" s="127"/>
      <c r="W193" s="127"/>
      <c r="X193" s="127"/>
      <c r="Y193" s="127"/>
      <c r="Z193" s="127"/>
    </row>
    <row r="194" customFormat="false" ht="15.75" hidden="false" customHeight="false" outlineLevel="0" collapsed="false">
      <c r="A194" s="127"/>
      <c r="B194" s="127"/>
      <c r="C194" s="127"/>
      <c r="D194" s="127"/>
      <c r="E194" s="127"/>
      <c r="F194" s="127"/>
      <c r="G194" s="127"/>
      <c r="H194" s="127"/>
      <c r="I194" s="127"/>
      <c r="J194" s="127"/>
      <c r="K194" s="127"/>
      <c r="L194" s="127"/>
      <c r="M194" s="127"/>
      <c r="N194" s="127"/>
      <c r="O194" s="127"/>
      <c r="P194" s="127"/>
      <c r="Q194" s="127"/>
      <c r="R194" s="127"/>
      <c r="S194" s="127"/>
      <c r="T194" s="127"/>
      <c r="U194" s="127"/>
      <c r="V194" s="127"/>
      <c r="W194" s="127"/>
      <c r="X194" s="127"/>
      <c r="Y194" s="127"/>
      <c r="Z194" s="127"/>
    </row>
    <row r="195" customFormat="false" ht="15.75" hidden="false" customHeight="false" outlineLevel="0" collapsed="false">
      <c r="A195" s="127"/>
      <c r="B195" s="127"/>
      <c r="C195" s="127"/>
      <c r="D195" s="127"/>
      <c r="E195" s="127"/>
      <c r="F195" s="127"/>
      <c r="G195" s="127"/>
      <c r="H195" s="127"/>
      <c r="I195" s="127"/>
      <c r="J195" s="127"/>
      <c r="K195" s="127"/>
      <c r="L195" s="127"/>
      <c r="M195" s="127"/>
      <c r="N195" s="127"/>
      <c r="O195" s="127"/>
      <c r="P195" s="127"/>
      <c r="Q195" s="127"/>
      <c r="R195" s="127"/>
      <c r="S195" s="127"/>
      <c r="T195" s="127"/>
      <c r="U195" s="127"/>
      <c r="V195" s="127"/>
      <c r="W195" s="127"/>
      <c r="X195" s="127"/>
      <c r="Y195" s="127"/>
      <c r="Z195" s="127"/>
    </row>
    <row r="196" customFormat="false" ht="15.75" hidden="false" customHeight="false" outlineLevel="0" collapsed="false">
      <c r="A196" s="127"/>
      <c r="B196" s="127"/>
      <c r="C196" s="127"/>
      <c r="D196" s="127"/>
      <c r="E196" s="127"/>
      <c r="F196" s="127"/>
      <c r="G196" s="127"/>
      <c r="H196" s="127"/>
      <c r="I196" s="127"/>
      <c r="J196" s="127"/>
      <c r="K196" s="127"/>
      <c r="L196" s="127"/>
      <c r="M196" s="127"/>
      <c r="N196" s="127"/>
      <c r="O196" s="127"/>
      <c r="P196" s="127"/>
      <c r="Q196" s="127"/>
      <c r="R196" s="127"/>
      <c r="S196" s="127"/>
      <c r="T196" s="127"/>
      <c r="U196" s="127"/>
      <c r="V196" s="127"/>
      <c r="W196" s="127"/>
      <c r="X196" s="127"/>
      <c r="Y196" s="127"/>
      <c r="Z196" s="127"/>
    </row>
    <row r="197" customFormat="false" ht="15.75" hidden="false" customHeight="false" outlineLevel="0" collapsed="false">
      <c r="A197" s="127"/>
      <c r="B197" s="127"/>
      <c r="C197" s="127"/>
      <c r="D197" s="127"/>
      <c r="E197" s="127"/>
      <c r="F197" s="127"/>
      <c r="G197" s="127"/>
      <c r="H197" s="127"/>
      <c r="I197" s="127"/>
      <c r="J197" s="127"/>
      <c r="K197" s="127"/>
      <c r="L197" s="127"/>
      <c r="M197" s="127"/>
      <c r="N197" s="127"/>
      <c r="O197" s="127"/>
      <c r="P197" s="127"/>
      <c r="Q197" s="127"/>
      <c r="R197" s="127"/>
      <c r="S197" s="127"/>
      <c r="T197" s="127"/>
      <c r="U197" s="127"/>
      <c r="V197" s="127"/>
      <c r="W197" s="127"/>
      <c r="X197" s="127"/>
      <c r="Y197" s="127"/>
      <c r="Z197" s="127"/>
    </row>
    <row r="198" customFormat="false" ht="15.75" hidden="false" customHeight="false" outlineLevel="0" collapsed="false">
      <c r="A198" s="127"/>
      <c r="B198" s="127"/>
      <c r="C198" s="127"/>
      <c r="D198" s="127"/>
      <c r="E198" s="127"/>
      <c r="F198" s="127"/>
      <c r="G198" s="127"/>
      <c r="H198" s="127"/>
      <c r="I198" s="127"/>
      <c r="J198" s="127"/>
      <c r="K198" s="127"/>
      <c r="L198" s="127"/>
      <c r="M198" s="127"/>
      <c r="N198" s="127"/>
      <c r="O198" s="127"/>
      <c r="P198" s="127"/>
      <c r="Q198" s="127"/>
      <c r="R198" s="127"/>
      <c r="S198" s="127"/>
      <c r="T198" s="127"/>
      <c r="U198" s="127"/>
      <c r="V198" s="127"/>
      <c r="W198" s="127"/>
      <c r="X198" s="127"/>
      <c r="Y198" s="127"/>
      <c r="Z198" s="127"/>
    </row>
    <row r="199" customFormat="false" ht="15.75" hidden="false" customHeight="false" outlineLevel="0" collapsed="false">
      <c r="A199" s="127"/>
      <c r="B199" s="127"/>
      <c r="C199" s="127"/>
      <c r="D199" s="127"/>
      <c r="E199" s="127"/>
      <c r="F199" s="127"/>
      <c r="G199" s="127"/>
      <c r="H199" s="127"/>
      <c r="I199" s="127"/>
      <c r="J199" s="127"/>
      <c r="K199" s="127"/>
      <c r="L199" s="127"/>
      <c r="M199" s="127"/>
      <c r="N199" s="127"/>
      <c r="O199" s="127"/>
      <c r="P199" s="127"/>
      <c r="Q199" s="127"/>
      <c r="R199" s="127"/>
      <c r="S199" s="127"/>
      <c r="T199" s="127"/>
      <c r="U199" s="127"/>
      <c r="V199" s="127"/>
      <c r="W199" s="127"/>
      <c r="X199" s="127"/>
      <c r="Y199" s="127"/>
      <c r="Z199" s="127"/>
    </row>
    <row r="200" customFormat="false" ht="15.75" hidden="false" customHeight="false" outlineLevel="0" collapsed="false">
      <c r="A200" s="127"/>
      <c r="B200" s="127"/>
      <c r="C200" s="127"/>
      <c r="D200" s="127"/>
      <c r="E200" s="127"/>
      <c r="F200" s="127"/>
      <c r="G200" s="127"/>
      <c r="H200" s="127"/>
      <c r="I200" s="127"/>
      <c r="J200" s="127"/>
      <c r="K200" s="127"/>
      <c r="L200" s="127"/>
      <c r="M200" s="127"/>
      <c r="N200" s="127"/>
      <c r="O200" s="127"/>
      <c r="P200" s="127"/>
      <c r="Q200" s="127"/>
      <c r="R200" s="127"/>
      <c r="S200" s="127"/>
      <c r="T200" s="127"/>
      <c r="U200" s="127"/>
      <c r="V200" s="127"/>
      <c r="W200" s="127"/>
      <c r="X200" s="127"/>
      <c r="Y200" s="127"/>
      <c r="Z200" s="127"/>
    </row>
    <row r="201" customFormat="false" ht="15.75" hidden="false" customHeight="false" outlineLevel="0" collapsed="false">
      <c r="A201" s="127"/>
      <c r="B201" s="127"/>
      <c r="C201" s="127"/>
      <c r="D201" s="127"/>
      <c r="E201" s="127"/>
      <c r="F201" s="127"/>
      <c r="G201" s="127"/>
      <c r="H201" s="127"/>
      <c r="I201" s="127"/>
      <c r="J201" s="127"/>
      <c r="K201" s="127"/>
      <c r="L201" s="127"/>
      <c r="M201" s="127"/>
      <c r="N201" s="127"/>
      <c r="O201" s="127"/>
      <c r="P201" s="127"/>
      <c r="Q201" s="127"/>
      <c r="R201" s="127"/>
      <c r="S201" s="127"/>
      <c r="T201" s="127"/>
      <c r="U201" s="127"/>
      <c r="V201" s="127"/>
      <c r="W201" s="127"/>
      <c r="X201" s="127"/>
      <c r="Y201" s="127"/>
      <c r="Z201" s="127"/>
    </row>
    <row r="202" customFormat="false" ht="15.75" hidden="false" customHeight="false" outlineLevel="0" collapsed="false">
      <c r="A202" s="127"/>
      <c r="B202" s="127"/>
      <c r="C202" s="127"/>
      <c r="D202" s="127"/>
      <c r="E202" s="127"/>
      <c r="F202" s="127"/>
      <c r="G202" s="127"/>
      <c r="H202" s="127"/>
      <c r="I202" s="127"/>
      <c r="J202" s="127"/>
      <c r="K202" s="127"/>
      <c r="L202" s="127"/>
      <c r="M202" s="127"/>
      <c r="N202" s="127"/>
      <c r="O202" s="127"/>
      <c r="P202" s="127"/>
      <c r="Q202" s="127"/>
      <c r="R202" s="127"/>
      <c r="S202" s="127"/>
      <c r="T202" s="127"/>
      <c r="U202" s="127"/>
      <c r="V202" s="127"/>
      <c r="W202" s="127"/>
      <c r="X202" s="127"/>
      <c r="Y202" s="127"/>
      <c r="Z202" s="127"/>
    </row>
    <row r="203" customFormat="false" ht="15.75" hidden="false" customHeight="false" outlineLevel="0" collapsed="false">
      <c r="A203" s="127"/>
      <c r="B203" s="127"/>
      <c r="C203" s="127"/>
      <c r="D203" s="127"/>
      <c r="E203" s="127"/>
      <c r="F203" s="127"/>
      <c r="G203" s="127"/>
      <c r="H203" s="127"/>
      <c r="I203" s="127"/>
      <c r="J203" s="127"/>
      <c r="K203" s="127"/>
      <c r="L203" s="127"/>
      <c r="M203" s="127"/>
      <c r="N203" s="127"/>
      <c r="O203" s="127"/>
      <c r="P203" s="127"/>
      <c r="Q203" s="127"/>
      <c r="R203" s="127"/>
      <c r="S203" s="127"/>
      <c r="T203" s="127"/>
      <c r="U203" s="127"/>
      <c r="V203" s="127"/>
      <c r="W203" s="127"/>
      <c r="X203" s="127"/>
      <c r="Y203" s="127"/>
      <c r="Z203" s="127"/>
    </row>
    <row r="204" customFormat="false" ht="15.75" hidden="false" customHeight="false" outlineLevel="0" collapsed="false">
      <c r="A204" s="127"/>
      <c r="B204" s="127"/>
      <c r="C204" s="127"/>
      <c r="D204" s="127"/>
      <c r="E204" s="127"/>
      <c r="F204" s="127"/>
      <c r="G204" s="127"/>
      <c r="H204" s="127"/>
      <c r="I204" s="127"/>
      <c r="J204" s="127"/>
      <c r="K204" s="127"/>
      <c r="L204" s="127"/>
      <c r="M204" s="127"/>
      <c r="N204" s="127"/>
      <c r="O204" s="127"/>
      <c r="P204" s="127"/>
      <c r="Q204" s="127"/>
      <c r="R204" s="127"/>
      <c r="S204" s="127"/>
      <c r="T204" s="127"/>
      <c r="U204" s="127"/>
      <c r="V204" s="127"/>
      <c r="W204" s="127"/>
      <c r="X204" s="127"/>
      <c r="Y204" s="127"/>
      <c r="Z204" s="127"/>
    </row>
    <row r="205" customFormat="false" ht="15.75" hidden="false" customHeight="false" outlineLevel="0" collapsed="false">
      <c r="A205" s="127"/>
      <c r="B205" s="127"/>
      <c r="C205" s="127"/>
      <c r="D205" s="127"/>
      <c r="E205" s="127"/>
      <c r="F205" s="127"/>
      <c r="G205" s="127"/>
      <c r="H205" s="127"/>
      <c r="I205" s="127"/>
      <c r="J205" s="127"/>
      <c r="K205" s="127"/>
      <c r="L205" s="127"/>
      <c r="M205" s="127"/>
      <c r="N205" s="127"/>
      <c r="O205" s="127"/>
      <c r="P205" s="127"/>
      <c r="Q205" s="127"/>
      <c r="R205" s="127"/>
      <c r="S205" s="127"/>
      <c r="T205" s="127"/>
      <c r="U205" s="127"/>
      <c r="V205" s="127"/>
      <c r="W205" s="127"/>
      <c r="X205" s="127"/>
      <c r="Y205" s="127"/>
      <c r="Z205" s="127"/>
    </row>
    <row r="206" customFormat="false" ht="15.75" hidden="false" customHeight="false" outlineLevel="0" collapsed="false">
      <c r="A206" s="127"/>
      <c r="B206" s="127"/>
      <c r="C206" s="127"/>
      <c r="D206" s="127"/>
      <c r="E206" s="127"/>
      <c r="F206" s="127"/>
      <c r="G206" s="127"/>
      <c r="H206" s="127"/>
      <c r="I206" s="127"/>
      <c r="J206" s="127"/>
      <c r="K206" s="127"/>
      <c r="L206" s="127"/>
      <c r="M206" s="127"/>
      <c r="N206" s="127"/>
      <c r="O206" s="127"/>
      <c r="P206" s="127"/>
      <c r="Q206" s="127"/>
      <c r="R206" s="127"/>
      <c r="S206" s="127"/>
      <c r="T206" s="127"/>
      <c r="U206" s="127"/>
      <c r="V206" s="127"/>
      <c r="W206" s="127"/>
      <c r="X206" s="127"/>
      <c r="Y206" s="127"/>
      <c r="Z206" s="127"/>
    </row>
    <row r="207" customFormat="false" ht="15.75" hidden="false" customHeight="false" outlineLevel="0" collapsed="false">
      <c r="A207" s="127"/>
      <c r="B207" s="127"/>
      <c r="C207" s="127"/>
      <c r="D207" s="127"/>
      <c r="E207" s="127"/>
      <c r="F207" s="127"/>
      <c r="G207" s="127"/>
      <c r="H207" s="127"/>
      <c r="I207" s="127"/>
      <c r="J207" s="127"/>
      <c r="K207" s="127"/>
      <c r="L207" s="127"/>
      <c r="M207" s="127"/>
      <c r="N207" s="127"/>
      <c r="O207" s="127"/>
      <c r="P207" s="127"/>
      <c r="Q207" s="127"/>
      <c r="R207" s="127"/>
      <c r="S207" s="127"/>
      <c r="T207" s="127"/>
      <c r="U207" s="127"/>
      <c r="V207" s="127"/>
      <c r="W207" s="127"/>
      <c r="X207" s="127"/>
      <c r="Y207" s="127"/>
      <c r="Z207" s="127"/>
    </row>
    <row r="208" customFormat="false" ht="15.75" hidden="false" customHeight="false" outlineLevel="0" collapsed="false">
      <c r="A208" s="127"/>
      <c r="B208" s="127"/>
      <c r="C208" s="127"/>
      <c r="D208" s="127"/>
      <c r="E208" s="127"/>
      <c r="F208" s="127"/>
      <c r="G208" s="127"/>
      <c r="H208" s="127"/>
      <c r="I208" s="127"/>
      <c r="J208" s="127"/>
      <c r="K208" s="127"/>
      <c r="L208" s="127"/>
      <c r="M208" s="127"/>
      <c r="N208" s="127"/>
      <c r="O208" s="127"/>
      <c r="P208" s="127"/>
      <c r="Q208" s="127"/>
      <c r="R208" s="127"/>
      <c r="S208" s="127"/>
      <c r="T208" s="127"/>
      <c r="U208" s="127"/>
      <c r="V208" s="127"/>
      <c r="W208" s="127"/>
      <c r="X208" s="127"/>
      <c r="Y208" s="127"/>
      <c r="Z208" s="127"/>
    </row>
    <row r="209" customFormat="false" ht="15.75" hidden="false" customHeight="false" outlineLevel="0" collapsed="false">
      <c r="A209" s="127"/>
      <c r="B209" s="127"/>
      <c r="C209" s="127"/>
      <c r="D209" s="127"/>
      <c r="E209" s="127"/>
      <c r="F209" s="127"/>
      <c r="G209" s="127"/>
      <c r="H209" s="127"/>
      <c r="I209" s="127"/>
      <c r="J209" s="127"/>
      <c r="K209" s="127"/>
      <c r="L209" s="127"/>
      <c r="M209" s="127"/>
      <c r="N209" s="127"/>
      <c r="O209" s="127"/>
      <c r="P209" s="127"/>
      <c r="Q209" s="127"/>
      <c r="R209" s="127"/>
      <c r="S209" s="127"/>
      <c r="T209" s="127"/>
      <c r="U209" s="127"/>
      <c r="V209" s="127"/>
      <c r="W209" s="127"/>
      <c r="X209" s="127"/>
      <c r="Y209" s="127"/>
      <c r="Z209" s="127"/>
    </row>
    <row r="210" customFormat="false" ht="15.75" hidden="false" customHeight="false" outlineLevel="0" collapsed="false">
      <c r="A210" s="127"/>
      <c r="B210" s="127"/>
      <c r="C210" s="127"/>
      <c r="D210" s="127"/>
      <c r="E210" s="127"/>
      <c r="F210" s="127"/>
      <c r="G210" s="127"/>
      <c r="H210" s="127"/>
      <c r="I210" s="127"/>
      <c r="J210" s="127"/>
      <c r="K210" s="127"/>
      <c r="L210" s="127"/>
      <c r="M210" s="127"/>
      <c r="N210" s="127"/>
      <c r="O210" s="127"/>
      <c r="P210" s="127"/>
      <c r="Q210" s="127"/>
      <c r="R210" s="127"/>
      <c r="S210" s="127"/>
      <c r="T210" s="127"/>
      <c r="U210" s="127"/>
      <c r="V210" s="127"/>
      <c r="W210" s="127"/>
      <c r="X210" s="127"/>
      <c r="Y210" s="127"/>
      <c r="Z210" s="127"/>
    </row>
    <row r="211" customFormat="false" ht="15.75" hidden="false" customHeight="false" outlineLevel="0" collapsed="false">
      <c r="A211" s="127"/>
      <c r="B211" s="127"/>
      <c r="C211" s="127"/>
      <c r="D211" s="127"/>
      <c r="E211" s="127"/>
      <c r="F211" s="127"/>
      <c r="G211" s="127"/>
      <c r="H211" s="127"/>
      <c r="I211" s="127"/>
      <c r="J211" s="127"/>
      <c r="K211" s="127"/>
      <c r="L211" s="127"/>
      <c r="M211" s="127"/>
      <c r="N211" s="127"/>
      <c r="O211" s="127"/>
      <c r="P211" s="127"/>
      <c r="Q211" s="127"/>
      <c r="R211" s="127"/>
      <c r="S211" s="127"/>
      <c r="T211" s="127"/>
      <c r="U211" s="127"/>
      <c r="V211" s="127"/>
      <c r="W211" s="127"/>
      <c r="X211" s="127"/>
      <c r="Y211" s="127"/>
      <c r="Z211" s="127"/>
    </row>
    <row r="212" customFormat="false" ht="15.75" hidden="false" customHeight="false" outlineLevel="0" collapsed="false">
      <c r="A212" s="127"/>
      <c r="B212" s="127"/>
      <c r="C212" s="127"/>
      <c r="D212" s="127"/>
      <c r="E212" s="127"/>
      <c r="F212" s="127"/>
      <c r="G212" s="127"/>
      <c r="H212" s="127"/>
      <c r="I212" s="127"/>
      <c r="J212" s="127"/>
      <c r="K212" s="127"/>
      <c r="L212" s="127"/>
      <c r="M212" s="127"/>
      <c r="N212" s="127"/>
      <c r="O212" s="127"/>
      <c r="P212" s="127"/>
      <c r="Q212" s="127"/>
      <c r="R212" s="127"/>
      <c r="S212" s="127"/>
      <c r="T212" s="127"/>
      <c r="U212" s="127"/>
      <c r="V212" s="127"/>
      <c r="W212" s="127"/>
      <c r="X212" s="127"/>
      <c r="Y212" s="127"/>
      <c r="Z212" s="127"/>
    </row>
    <row r="213" customFormat="false" ht="15.75" hidden="false" customHeight="false" outlineLevel="0" collapsed="false">
      <c r="A213" s="127"/>
      <c r="B213" s="127"/>
      <c r="C213" s="127"/>
      <c r="D213" s="127"/>
      <c r="E213" s="127"/>
      <c r="F213" s="127"/>
      <c r="G213" s="127"/>
      <c r="H213" s="127"/>
      <c r="I213" s="127"/>
      <c r="J213" s="127"/>
      <c r="K213" s="127"/>
      <c r="L213" s="127"/>
      <c r="M213" s="127"/>
      <c r="N213" s="127"/>
      <c r="O213" s="127"/>
      <c r="P213" s="127"/>
      <c r="Q213" s="127"/>
      <c r="R213" s="127"/>
      <c r="S213" s="127"/>
      <c r="T213" s="127"/>
      <c r="U213" s="127"/>
      <c r="V213" s="127"/>
      <c r="W213" s="127"/>
      <c r="X213" s="127"/>
      <c r="Y213" s="127"/>
      <c r="Z213" s="127"/>
    </row>
    <row r="214" customFormat="false" ht="15.75" hidden="false" customHeight="false" outlineLevel="0" collapsed="false">
      <c r="A214" s="127"/>
      <c r="B214" s="127"/>
      <c r="C214" s="127"/>
      <c r="D214" s="127"/>
      <c r="E214" s="127"/>
      <c r="F214" s="127"/>
      <c r="G214" s="127"/>
      <c r="H214" s="127"/>
      <c r="I214" s="127"/>
      <c r="J214" s="127"/>
      <c r="K214" s="127"/>
      <c r="L214" s="127"/>
      <c r="M214" s="127"/>
      <c r="N214" s="127"/>
      <c r="O214" s="127"/>
      <c r="P214" s="127"/>
      <c r="Q214" s="127"/>
      <c r="R214" s="127"/>
      <c r="S214" s="127"/>
      <c r="T214" s="127"/>
      <c r="U214" s="127"/>
      <c r="V214" s="127"/>
      <c r="W214" s="127"/>
      <c r="X214" s="127"/>
      <c r="Y214" s="127"/>
      <c r="Z214" s="127"/>
    </row>
    <row r="215" customFormat="false" ht="15.75" hidden="false" customHeight="false" outlineLevel="0" collapsed="false">
      <c r="A215" s="127"/>
      <c r="B215" s="127"/>
      <c r="C215" s="127"/>
      <c r="D215" s="127"/>
      <c r="E215" s="127"/>
      <c r="F215" s="127"/>
      <c r="G215" s="127"/>
      <c r="H215" s="127"/>
      <c r="I215" s="127"/>
      <c r="J215" s="127"/>
      <c r="K215" s="127"/>
      <c r="L215" s="127"/>
      <c r="M215" s="127"/>
      <c r="N215" s="127"/>
      <c r="O215" s="127"/>
      <c r="P215" s="127"/>
      <c r="Q215" s="127"/>
      <c r="R215" s="127"/>
      <c r="S215" s="127"/>
      <c r="T215" s="127"/>
      <c r="U215" s="127"/>
      <c r="V215" s="127"/>
      <c r="W215" s="127"/>
      <c r="X215" s="127"/>
      <c r="Y215" s="127"/>
      <c r="Z215" s="127"/>
    </row>
    <row r="216" customFormat="false" ht="15.75" hidden="false" customHeight="false" outlineLevel="0" collapsed="false">
      <c r="A216" s="127"/>
      <c r="B216" s="127"/>
      <c r="C216" s="127"/>
      <c r="D216" s="127"/>
      <c r="E216" s="127"/>
      <c r="F216" s="127"/>
      <c r="G216" s="127"/>
      <c r="H216" s="127"/>
      <c r="I216" s="127"/>
      <c r="J216" s="127"/>
      <c r="K216" s="127"/>
      <c r="L216" s="127"/>
      <c r="M216" s="127"/>
      <c r="N216" s="127"/>
      <c r="O216" s="127"/>
      <c r="P216" s="127"/>
      <c r="Q216" s="127"/>
      <c r="R216" s="127"/>
      <c r="S216" s="127"/>
      <c r="T216" s="127"/>
      <c r="U216" s="127"/>
      <c r="V216" s="127"/>
      <c r="W216" s="127"/>
      <c r="X216" s="127"/>
      <c r="Y216" s="127"/>
      <c r="Z216" s="127"/>
    </row>
    <row r="217" customFormat="false" ht="15.75" hidden="false" customHeight="false" outlineLevel="0" collapsed="false">
      <c r="A217" s="127"/>
      <c r="B217" s="127"/>
      <c r="C217" s="127"/>
      <c r="D217" s="127"/>
      <c r="E217" s="127"/>
      <c r="F217" s="127"/>
      <c r="G217" s="127"/>
      <c r="H217" s="127"/>
      <c r="I217" s="127"/>
      <c r="J217" s="127"/>
      <c r="K217" s="127"/>
      <c r="L217" s="127"/>
      <c r="M217" s="127"/>
      <c r="N217" s="127"/>
      <c r="O217" s="127"/>
      <c r="P217" s="127"/>
      <c r="Q217" s="127"/>
      <c r="R217" s="127"/>
      <c r="S217" s="127"/>
      <c r="T217" s="127"/>
      <c r="U217" s="127"/>
      <c r="V217" s="127"/>
      <c r="W217" s="127"/>
      <c r="X217" s="127"/>
      <c r="Y217" s="127"/>
      <c r="Z217" s="127"/>
    </row>
    <row r="218" customFormat="false" ht="15.75" hidden="false" customHeight="false" outlineLevel="0" collapsed="false">
      <c r="A218" s="127"/>
      <c r="B218" s="127"/>
      <c r="C218" s="127"/>
      <c r="D218" s="127"/>
      <c r="E218" s="127"/>
      <c r="F218" s="127"/>
      <c r="G218" s="127"/>
      <c r="H218" s="127"/>
      <c r="I218" s="127"/>
      <c r="J218" s="127"/>
      <c r="K218" s="127"/>
      <c r="L218" s="127"/>
      <c r="M218" s="127"/>
      <c r="N218" s="127"/>
      <c r="O218" s="127"/>
      <c r="P218" s="127"/>
      <c r="Q218" s="127"/>
      <c r="R218" s="127"/>
      <c r="S218" s="127"/>
      <c r="T218" s="127"/>
      <c r="U218" s="127"/>
      <c r="V218" s="127"/>
      <c r="W218" s="127"/>
      <c r="X218" s="127"/>
      <c r="Y218" s="127"/>
      <c r="Z218" s="127"/>
    </row>
    <row r="219" customFormat="false" ht="15.75" hidden="false" customHeight="false" outlineLevel="0" collapsed="false">
      <c r="A219" s="127"/>
      <c r="B219" s="127"/>
      <c r="C219" s="127"/>
      <c r="D219" s="127"/>
      <c r="E219" s="127"/>
      <c r="F219" s="127"/>
      <c r="G219" s="127"/>
      <c r="H219" s="127"/>
      <c r="I219" s="127"/>
      <c r="J219" s="127"/>
      <c r="K219" s="127"/>
      <c r="L219" s="127"/>
      <c r="M219" s="127"/>
      <c r="N219" s="127"/>
      <c r="O219" s="127"/>
      <c r="P219" s="127"/>
      <c r="Q219" s="127"/>
      <c r="R219" s="127"/>
      <c r="S219" s="127"/>
      <c r="T219" s="127"/>
      <c r="U219" s="127"/>
      <c r="V219" s="127"/>
      <c r="W219" s="127"/>
      <c r="X219" s="127"/>
      <c r="Y219" s="127"/>
      <c r="Z219" s="127"/>
    </row>
    <row r="220" customFormat="false" ht="15.75" hidden="false" customHeight="false" outlineLevel="0" collapsed="false">
      <c r="A220" s="127"/>
      <c r="B220" s="127"/>
      <c r="C220" s="127"/>
      <c r="D220" s="127"/>
      <c r="E220" s="127"/>
      <c r="F220" s="127"/>
      <c r="G220" s="127"/>
      <c r="H220" s="127"/>
      <c r="I220" s="127"/>
      <c r="J220" s="127"/>
      <c r="K220" s="127"/>
      <c r="L220" s="127"/>
      <c r="M220" s="127"/>
      <c r="N220" s="127"/>
      <c r="O220" s="127"/>
      <c r="P220" s="127"/>
      <c r="Q220" s="127"/>
      <c r="R220" s="127"/>
      <c r="S220" s="127"/>
      <c r="T220" s="127"/>
      <c r="U220" s="127"/>
      <c r="V220" s="127"/>
      <c r="W220" s="127"/>
      <c r="X220" s="127"/>
      <c r="Y220" s="127"/>
      <c r="Z220" s="127"/>
    </row>
    <row r="221" customFormat="false" ht="15.75" hidden="false" customHeight="false" outlineLevel="0" collapsed="false">
      <c r="A221" s="127"/>
      <c r="B221" s="127"/>
      <c r="C221" s="127"/>
      <c r="D221" s="127"/>
      <c r="E221" s="127"/>
      <c r="F221" s="127"/>
      <c r="G221" s="127"/>
      <c r="H221" s="127"/>
      <c r="I221" s="127"/>
      <c r="J221" s="127"/>
      <c r="K221" s="127"/>
      <c r="L221" s="127"/>
      <c r="M221" s="127"/>
      <c r="N221" s="127"/>
      <c r="O221" s="127"/>
      <c r="P221" s="127"/>
      <c r="Q221" s="127"/>
      <c r="R221" s="127"/>
      <c r="S221" s="127"/>
      <c r="T221" s="127"/>
      <c r="U221" s="127"/>
      <c r="V221" s="127"/>
      <c r="W221" s="127"/>
      <c r="X221" s="127"/>
      <c r="Y221" s="127"/>
      <c r="Z221" s="127"/>
    </row>
    <row r="222" customFormat="false" ht="15.75" hidden="false" customHeight="false" outlineLevel="0" collapsed="false">
      <c r="A222" s="127"/>
      <c r="B222" s="127"/>
      <c r="C222" s="127"/>
      <c r="D222" s="127"/>
      <c r="E222" s="127"/>
      <c r="F222" s="127"/>
      <c r="G222" s="127"/>
      <c r="H222" s="127"/>
      <c r="I222" s="127"/>
      <c r="J222" s="127"/>
      <c r="K222" s="127"/>
      <c r="L222" s="127"/>
      <c r="M222" s="127"/>
      <c r="N222" s="127"/>
      <c r="O222" s="127"/>
      <c r="P222" s="127"/>
      <c r="Q222" s="127"/>
      <c r="R222" s="127"/>
      <c r="S222" s="127"/>
      <c r="T222" s="127"/>
      <c r="U222" s="127"/>
      <c r="V222" s="127"/>
      <c r="W222" s="127"/>
      <c r="X222" s="127"/>
      <c r="Y222" s="127"/>
      <c r="Z222" s="127"/>
    </row>
    <row r="223" customFormat="false" ht="15.75" hidden="false" customHeight="false" outlineLevel="0" collapsed="false">
      <c r="A223" s="127"/>
      <c r="B223" s="127"/>
      <c r="C223" s="127"/>
      <c r="D223" s="127"/>
      <c r="E223" s="127"/>
      <c r="F223" s="127"/>
      <c r="G223" s="127"/>
      <c r="H223" s="127"/>
      <c r="I223" s="127"/>
      <c r="J223" s="127"/>
      <c r="K223" s="127"/>
      <c r="L223" s="127"/>
      <c r="M223" s="127"/>
      <c r="N223" s="127"/>
      <c r="O223" s="127"/>
      <c r="P223" s="127"/>
      <c r="Q223" s="127"/>
      <c r="R223" s="127"/>
      <c r="S223" s="127"/>
      <c r="T223" s="127"/>
      <c r="U223" s="127"/>
      <c r="V223" s="127"/>
      <c r="W223" s="127"/>
      <c r="X223" s="127"/>
      <c r="Y223" s="127"/>
      <c r="Z223" s="127"/>
    </row>
    <row r="224" customFormat="false" ht="15.75" hidden="false" customHeight="false" outlineLevel="0" collapsed="false">
      <c r="A224" s="127"/>
      <c r="B224" s="127"/>
      <c r="C224" s="127"/>
      <c r="D224" s="127"/>
      <c r="E224" s="127"/>
      <c r="F224" s="127"/>
      <c r="G224" s="127"/>
      <c r="H224" s="127"/>
      <c r="I224" s="127"/>
      <c r="J224" s="127"/>
      <c r="K224" s="127"/>
      <c r="L224" s="127"/>
      <c r="M224" s="127"/>
      <c r="N224" s="127"/>
      <c r="O224" s="127"/>
      <c r="P224" s="127"/>
      <c r="Q224" s="127"/>
      <c r="R224" s="127"/>
      <c r="S224" s="127"/>
      <c r="T224" s="127"/>
      <c r="U224" s="127"/>
      <c r="V224" s="127"/>
      <c r="W224" s="127"/>
      <c r="X224" s="127"/>
      <c r="Y224" s="127"/>
      <c r="Z224" s="127"/>
    </row>
    <row r="225" customFormat="false" ht="15.75" hidden="false" customHeight="false" outlineLevel="0" collapsed="false">
      <c r="A225" s="127"/>
      <c r="B225" s="127"/>
      <c r="C225" s="127"/>
      <c r="D225" s="127"/>
      <c r="E225" s="127"/>
      <c r="F225" s="127"/>
      <c r="G225" s="127"/>
      <c r="H225" s="127"/>
      <c r="I225" s="127"/>
      <c r="J225" s="127"/>
      <c r="K225" s="127"/>
      <c r="L225" s="127"/>
      <c r="M225" s="127"/>
      <c r="N225" s="127"/>
      <c r="O225" s="127"/>
      <c r="P225" s="127"/>
      <c r="Q225" s="127"/>
      <c r="R225" s="127"/>
      <c r="S225" s="127"/>
      <c r="T225" s="127"/>
      <c r="U225" s="127"/>
      <c r="V225" s="127"/>
      <c r="W225" s="127"/>
      <c r="X225" s="127"/>
      <c r="Y225" s="127"/>
      <c r="Z225" s="127"/>
    </row>
    <row r="226" customFormat="false" ht="15.75" hidden="false" customHeight="false" outlineLevel="0" collapsed="false">
      <c r="A226" s="127"/>
      <c r="B226" s="127"/>
      <c r="C226" s="127"/>
      <c r="D226" s="127"/>
      <c r="E226" s="127"/>
      <c r="F226" s="127"/>
      <c r="G226" s="127"/>
      <c r="H226" s="127"/>
      <c r="I226" s="127"/>
      <c r="J226" s="127"/>
      <c r="K226" s="127"/>
      <c r="L226" s="127"/>
      <c r="M226" s="127"/>
      <c r="N226" s="127"/>
      <c r="O226" s="127"/>
      <c r="P226" s="127"/>
      <c r="Q226" s="127"/>
      <c r="R226" s="127"/>
      <c r="S226" s="127"/>
      <c r="T226" s="127"/>
      <c r="U226" s="127"/>
      <c r="V226" s="127"/>
      <c r="W226" s="127"/>
      <c r="X226" s="127"/>
      <c r="Y226" s="127"/>
      <c r="Z226" s="127"/>
    </row>
    <row r="227" customFormat="false" ht="15.75" hidden="false" customHeight="false" outlineLevel="0" collapsed="false">
      <c r="A227" s="127"/>
      <c r="B227" s="127"/>
      <c r="C227" s="127"/>
      <c r="D227" s="127"/>
      <c r="E227" s="127"/>
      <c r="F227" s="127"/>
      <c r="G227" s="127"/>
      <c r="H227" s="127"/>
      <c r="I227" s="127"/>
      <c r="J227" s="127"/>
      <c r="K227" s="127"/>
      <c r="L227" s="127"/>
      <c r="M227" s="127"/>
      <c r="N227" s="127"/>
      <c r="O227" s="127"/>
      <c r="P227" s="127"/>
      <c r="Q227" s="127"/>
      <c r="R227" s="127"/>
      <c r="S227" s="127"/>
      <c r="T227" s="127"/>
      <c r="U227" s="127"/>
      <c r="V227" s="127"/>
      <c r="W227" s="127"/>
      <c r="X227" s="127"/>
      <c r="Y227" s="127"/>
      <c r="Z227" s="127"/>
    </row>
    <row r="228" customFormat="false" ht="15.75" hidden="false" customHeight="false" outlineLevel="0" collapsed="false">
      <c r="A228" s="127"/>
      <c r="B228" s="127"/>
      <c r="C228" s="127"/>
      <c r="D228" s="127"/>
      <c r="E228" s="127"/>
      <c r="F228" s="127"/>
      <c r="G228" s="127"/>
      <c r="H228" s="127"/>
      <c r="I228" s="127"/>
      <c r="J228" s="127"/>
      <c r="K228" s="127"/>
      <c r="L228" s="127"/>
      <c r="M228" s="127"/>
      <c r="N228" s="127"/>
      <c r="O228" s="127"/>
      <c r="P228" s="127"/>
      <c r="Q228" s="127"/>
      <c r="R228" s="127"/>
      <c r="S228" s="127"/>
      <c r="T228" s="127"/>
      <c r="U228" s="127"/>
      <c r="V228" s="127"/>
      <c r="W228" s="127"/>
      <c r="X228" s="127"/>
      <c r="Y228" s="127"/>
      <c r="Z228" s="127"/>
    </row>
    <row r="229" customFormat="false" ht="15.75" hidden="false" customHeight="false" outlineLevel="0" collapsed="false">
      <c r="A229" s="127"/>
      <c r="B229" s="127"/>
      <c r="C229" s="127"/>
      <c r="D229" s="127"/>
      <c r="E229" s="127"/>
      <c r="F229" s="127"/>
      <c r="G229" s="127"/>
      <c r="H229" s="127"/>
      <c r="I229" s="127"/>
      <c r="J229" s="127"/>
      <c r="K229" s="127"/>
      <c r="L229" s="127"/>
      <c r="M229" s="127"/>
      <c r="N229" s="127"/>
      <c r="O229" s="127"/>
      <c r="P229" s="127"/>
      <c r="Q229" s="127"/>
      <c r="R229" s="127"/>
      <c r="S229" s="127"/>
      <c r="T229" s="127"/>
      <c r="U229" s="127"/>
      <c r="V229" s="127"/>
      <c r="W229" s="127"/>
      <c r="X229" s="127"/>
      <c r="Y229" s="127"/>
      <c r="Z229" s="127"/>
    </row>
    <row r="230" customFormat="false" ht="15.75" hidden="false" customHeight="false" outlineLevel="0" collapsed="false">
      <c r="A230" s="127"/>
      <c r="B230" s="127"/>
      <c r="C230" s="127"/>
      <c r="D230" s="127"/>
      <c r="E230" s="127"/>
      <c r="F230" s="127"/>
      <c r="G230" s="127"/>
      <c r="H230" s="127"/>
      <c r="I230" s="127"/>
      <c r="J230" s="127"/>
      <c r="K230" s="127"/>
      <c r="L230" s="127"/>
      <c r="M230" s="127"/>
      <c r="N230" s="127"/>
      <c r="O230" s="127"/>
      <c r="P230" s="127"/>
      <c r="Q230" s="127"/>
      <c r="R230" s="127"/>
      <c r="S230" s="127"/>
      <c r="T230" s="127"/>
      <c r="U230" s="127"/>
      <c r="V230" s="127"/>
      <c r="W230" s="127"/>
      <c r="X230" s="127"/>
      <c r="Y230" s="127"/>
      <c r="Z230" s="127"/>
    </row>
    <row r="231" customFormat="false" ht="15.75" hidden="false" customHeight="false" outlineLevel="0" collapsed="false">
      <c r="A231" s="127"/>
      <c r="B231" s="127"/>
      <c r="C231" s="127"/>
      <c r="D231" s="127"/>
      <c r="E231" s="127"/>
      <c r="F231" s="127"/>
      <c r="G231" s="127"/>
      <c r="H231" s="127"/>
      <c r="I231" s="127"/>
      <c r="J231" s="127"/>
      <c r="K231" s="127"/>
      <c r="L231" s="127"/>
      <c r="M231" s="127"/>
      <c r="N231" s="127"/>
      <c r="O231" s="127"/>
      <c r="P231" s="127"/>
      <c r="Q231" s="127"/>
      <c r="R231" s="127"/>
      <c r="S231" s="127"/>
      <c r="T231" s="127"/>
      <c r="U231" s="127"/>
      <c r="V231" s="127"/>
      <c r="W231" s="127"/>
      <c r="X231" s="127"/>
      <c r="Y231" s="127"/>
      <c r="Z231" s="127"/>
    </row>
    <row r="232" customFormat="false" ht="15.75" hidden="false" customHeight="false" outlineLevel="0" collapsed="false">
      <c r="A232" s="127"/>
      <c r="B232" s="127"/>
      <c r="C232" s="127"/>
      <c r="D232" s="127"/>
      <c r="E232" s="127"/>
      <c r="F232" s="127"/>
      <c r="G232" s="127"/>
      <c r="H232" s="127"/>
      <c r="I232" s="127"/>
      <c r="J232" s="127"/>
      <c r="K232" s="127"/>
      <c r="L232" s="127"/>
      <c r="M232" s="127"/>
      <c r="N232" s="127"/>
      <c r="O232" s="127"/>
      <c r="P232" s="127"/>
      <c r="Q232" s="127"/>
      <c r="R232" s="127"/>
      <c r="S232" s="127"/>
      <c r="T232" s="127"/>
      <c r="U232" s="127"/>
      <c r="V232" s="127"/>
      <c r="W232" s="127"/>
      <c r="X232" s="127"/>
      <c r="Y232" s="127"/>
      <c r="Z232" s="127"/>
    </row>
    <row r="233" customFormat="false" ht="15.75" hidden="false" customHeight="false" outlineLevel="0" collapsed="false">
      <c r="A233" s="127"/>
      <c r="B233" s="127"/>
      <c r="C233" s="127"/>
      <c r="D233" s="127"/>
      <c r="E233" s="127"/>
      <c r="F233" s="127"/>
      <c r="G233" s="127"/>
      <c r="H233" s="127"/>
      <c r="I233" s="127"/>
      <c r="J233" s="127"/>
      <c r="K233" s="127"/>
      <c r="L233" s="127"/>
      <c r="M233" s="127"/>
      <c r="N233" s="127"/>
      <c r="O233" s="127"/>
      <c r="P233" s="127"/>
      <c r="Q233" s="127"/>
      <c r="R233" s="127"/>
      <c r="S233" s="127"/>
      <c r="T233" s="127"/>
      <c r="U233" s="127"/>
      <c r="V233" s="127"/>
      <c r="W233" s="127"/>
      <c r="X233" s="127"/>
      <c r="Y233" s="127"/>
      <c r="Z233" s="127"/>
    </row>
    <row r="234" customFormat="false" ht="15.75" hidden="false" customHeight="false" outlineLevel="0" collapsed="false">
      <c r="A234" s="127"/>
      <c r="B234" s="127"/>
      <c r="C234" s="127"/>
      <c r="D234" s="127"/>
      <c r="E234" s="127"/>
      <c r="F234" s="127"/>
      <c r="G234" s="127"/>
      <c r="H234" s="127"/>
      <c r="I234" s="127"/>
      <c r="J234" s="127"/>
      <c r="K234" s="127"/>
      <c r="L234" s="127"/>
      <c r="M234" s="127"/>
      <c r="N234" s="127"/>
      <c r="O234" s="127"/>
      <c r="P234" s="127"/>
      <c r="Q234" s="127"/>
      <c r="R234" s="127"/>
      <c r="S234" s="127"/>
      <c r="T234" s="127"/>
      <c r="U234" s="127"/>
      <c r="V234" s="127"/>
      <c r="W234" s="127"/>
      <c r="X234" s="127"/>
      <c r="Y234" s="127"/>
      <c r="Z234" s="127"/>
    </row>
    <row r="235" customFormat="false" ht="15.75" hidden="false" customHeight="false" outlineLevel="0" collapsed="false">
      <c r="A235" s="127"/>
      <c r="B235" s="127"/>
      <c r="C235" s="127"/>
      <c r="D235" s="127"/>
      <c r="E235" s="127"/>
      <c r="F235" s="127"/>
      <c r="G235" s="127"/>
      <c r="H235" s="127"/>
      <c r="I235" s="127"/>
      <c r="J235" s="127"/>
      <c r="K235" s="127"/>
      <c r="L235" s="127"/>
      <c r="M235" s="127"/>
      <c r="N235" s="127"/>
      <c r="O235" s="127"/>
      <c r="P235" s="127"/>
      <c r="Q235" s="127"/>
      <c r="R235" s="127"/>
      <c r="S235" s="127"/>
      <c r="T235" s="127"/>
      <c r="U235" s="127"/>
      <c r="V235" s="127"/>
      <c r="W235" s="127"/>
      <c r="X235" s="127"/>
      <c r="Y235" s="127"/>
      <c r="Z235" s="127"/>
    </row>
    <row r="236" customFormat="false" ht="15.75" hidden="false" customHeight="false" outlineLevel="0" collapsed="false">
      <c r="A236" s="127"/>
      <c r="B236" s="127"/>
      <c r="C236" s="127"/>
      <c r="D236" s="127"/>
      <c r="E236" s="127"/>
      <c r="F236" s="127"/>
      <c r="G236" s="127"/>
      <c r="H236" s="127"/>
      <c r="I236" s="127"/>
      <c r="J236" s="127"/>
      <c r="K236" s="127"/>
      <c r="L236" s="127"/>
      <c r="M236" s="127"/>
      <c r="N236" s="127"/>
      <c r="O236" s="127"/>
      <c r="P236" s="127"/>
      <c r="Q236" s="127"/>
      <c r="R236" s="127"/>
      <c r="S236" s="127"/>
      <c r="T236" s="127"/>
      <c r="U236" s="127"/>
      <c r="V236" s="127"/>
      <c r="W236" s="127"/>
      <c r="X236" s="127"/>
      <c r="Y236" s="127"/>
      <c r="Z236" s="127"/>
    </row>
    <row r="237" customFormat="false" ht="15.75" hidden="false" customHeight="false" outlineLevel="0" collapsed="false">
      <c r="A237" s="127"/>
      <c r="B237" s="127"/>
      <c r="C237" s="127"/>
      <c r="D237" s="127"/>
      <c r="E237" s="127"/>
      <c r="F237" s="127"/>
      <c r="G237" s="127"/>
      <c r="H237" s="127"/>
      <c r="I237" s="127"/>
      <c r="J237" s="127"/>
      <c r="K237" s="127"/>
      <c r="L237" s="127"/>
      <c r="M237" s="127"/>
      <c r="N237" s="127"/>
      <c r="O237" s="127"/>
      <c r="P237" s="127"/>
      <c r="Q237" s="127"/>
      <c r="R237" s="127"/>
      <c r="S237" s="127"/>
      <c r="T237" s="127"/>
      <c r="U237" s="127"/>
      <c r="V237" s="127"/>
      <c r="W237" s="127"/>
      <c r="X237" s="127"/>
      <c r="Y237" s="127"/>
      <c r="Z237" s="127"/>
    </row>
    <row r="238" customFormat="false" ht="15.75" hidden="false" customHeight="false" outlineLevel="0" collapsed="false">
      <c r="A238" s="127"/>
      <c r="B238" s="127"/>
      <c r="C238" s="127"/>
      <c r="D238" s="127"/>
      <c r="E238" s="127"/>
      <c r="F238" s="127"/>
      <c r="G238" s="127"/>
      <c r="H238" s="127"/>
      <c r="I238" s="127"/>
      <c r="J238" s="127"/>
      <c r="K238" s="127"/>
      <c r="L238" s="127"/>
      <c r="M238" s="127"/>
      <c r="N238" s="127"/>
      <c r="O238" s="127"/>
      <c r="P238" s="127"/>
      <c r="Q238" s="127"/>
      <c r="R238" s="127"/>
      <c r="S238" s="127"/>
      <c r="T238" s="127"/>
      <c r="U238" s="127"/>
      <c r="V238" s="127"/>
      <c r="W238" s="127"/>
      <c r="X238" s="127"/>
      <c r="Y238" s="127"/>
      <c r="Z238" s="127"/>
    </row>
    <row r="239" customFormat="false" ht="15.75" hidden="false" customHeight="false" outlineLevel="0" collapsed="false">
      <c r="A239" s="127"/>
      <c r="B239" s="127"/>
      <c r="C239" s="127"/>
      <c r="D239" s="127"/>
      <c r="E239" s="127"/>
      <c r="F239" s="127"/>
      <c r="G239" s="127"/>
      <c r="H239" s="127"/>
      <c r="I239" s="127"/>
      <c r="J239" s="127"/>
      <c r="K239" s="127"/>
      <c r="L239" s="127"/>
      <c r="M239" s="127"/>
      <c r="N239" s="127"/>
      <c r="O239" s="127"/>
      <c r="P239" s="127"/>
      <c r="Q239" s="127"/>
      <c r="R239" s="127"/>
      <c r="S239" s="127"/>
      <c r="T239" s="127"/>
      <c r="U239" s="127"/>
      <c r="V239" s="127"/>
      <c r="W239" s="127"/>
      <c r="X239" s="127"/>
      <c r="Y239" s="127"/>
      <c r="Z239" s="127"/>
    </row>
    <row r="240" customFormat="false" ht="15.75" hidden="false" customHeight="false" outlineLevel="0" collapsed="false">
      <c r="A240" s="127"/>
      <c r="B240" s="127"/>
      <c r="C240" s="127"/>
      <c r="D240" s="127"/>
      <c r="E240" s="127"/>
      <c r="F240" s="127"/>
      <c r="G240" s="127"/>
      <c r="H240" s="127"/>
      <c r="I240" s="127"/>
      <c r="J240" s="127"/>
      <c r="K240" s="127"/>
      <c r="L240" s="127"/>
      <c r="M240" s="127"/>
      <c r="N240" s="127"/>
      <c r="O240" s="127"/>
      <c r="P240" s="127"/>
      <c r="Q240" s="127"/>
      <c r="R240" s="127"/>
      <c r="S240" s="127"/>
      <c r="T240" s="127"/>
      <c r="U240" s="127"/>
      <c r="V240" s="127"/>
      <c r="W240" s="127"/>
      <c r="X240" s="127"/>
      <c r="Y240" s="127"/>
      <c r="Z240" s="127"/>
    </row>
    <row r="241" customFormat="false" ht="15.75" hidden="false" customHeight="false" outlineLevel="0" collapsed="false">
      <c r="A241" s="127"/>
      <c r="B241" s="127"/>
      <c r="C241" s="127"/>
      <c r="D241" s="127"/>
      <c r="E241" s="127"/>
      <c r="F241" s="127"/>
      <c r="G241" s="127"/>
      <c r="H241" s="127"/>
      <c r="I241" s="127"/>
      <c r="J241" s="127"/>
      <c r="K241" s="127"/>
      <c r="L241" s="127"/>
      <c r="M241" s="127"/>
      <c r="N241" s="127"/>
      <c r="O241" s="127"/>
      <c r="P241" s="127"/>
      <c r="Q241" s="127"/>
      <c r="R241" s="127"/>
      <c r="S241" s="127"/>
      <c r="T241" s="127"/>
      <c r="U241" s="127"/>
      <c r="V241" s="127"/>
      <c r="W241" s="127"/>
      <c r="X241" s="127"/>
      <c r="Y241" s="127"/>
      <c r="Z241" s="127"/>
    </row>
    <row r="242" customFormat="false" ht="15.75" hidden="false" customHeight="false" outlineLevel="0" collapsed="false">
      <c r="A242" s="127"/>
      <c r="B242" s="127"/>
      <c r="C242" s="127"/>
      <c r="D242" s="127"/>
      <c r="E242" s="127"/>
      <c r="F242" s="127"/>
      <c r="G242" s="127"/>
      <c r="H242" s="127"/>
      <c r="I242" s="127"/>
      <c r="J242" s="127"/>
      <c r="K242" s="127"/>
      <c r="L242" s="127"/>
      <c r="M242" s="127"/>
      <c r="N242" s="127"/>
      <c r="O242" s="127"/>
      <c r="P242" s="127"/>
      <c r="Q242" s="127"/>
      <c r="R242" s="127"/>
      <c r="S242" s="127"/>
      <c r="T242" s="127"/>
      <c r="U242" s="127"/>
      <c r="V242" s="127"/>
      <c r="W242" s="127"/>
      <c r="X242" s="127"/>
      <c r="Y242" s="127"/>
      <c r="Z242" s="127"/>
    </row>
    <row r="243" customFormat="false" ht="15.75" hidden="false" customHeight="false" outlineLevel="0" collapsed="false">
      <c r="A243" s="127"/>
      <c r="B243" s="127"/>
      <c r="C243" s="127"/>
      <c r="D243" s="127"/>
      <c r="E243" s="127"/>
      <c r="F243" s="127"/>
      <c r="G243" s="127"/>
      <c r="H243" s="127"/>
      <c r="I243" s="127"/>
      <c r="J243" s="127"/>
      <c r="K243" s="127"/>
      <c r="L243" s="127"/>
      <c r="M243" s="127"/>
      <c r="N243" s="127"/>
      <c r="O243" s="127"/>
      <c r="P243" s="127"/>
      <c r="Q243" s="127"/>
      <c r="R243" s="127"/>
      <c r="S243" s="127"/>
      <c r="T243" s="127"/>
      <c r="U243" s="127"/>
      <c r="V243" s="127"/>
      <c r="W243" s="127"/>
      <c r="X243" s="127"/>
      <c r="Y243" s="127"/>
      <c r="Z243" s="127"/>
    </row>
    <row r="244" customFormat="false" ht="15.75" hidden="false" customHeight="false" outlineLevel="0" collapsed="false">
      <c r="A244" s="127"/>
      <c r="B244" s="127"/>
      <c r="C244" s="127"/>
      <c r="D244" s="127"/>
      <c r="E244" s="127"/>
      <c r="F244" s="127"/>
      <c r="G244" s="127"/>
      <c r="H244" s="127"/>
      <c r="I244" s="127"/>
      <c r="J244" s="127"/>
      <c r="K244" s="127"/>
      <c r="L244" s="127"/>
      <c r="M244" s="127"/>
      <c r="N244" s="127"/>
      <c r="O244" s="127"/>
      <c r="P244" s="127"/>
      <c r="Q244" s="127"/>
      <c r="R244" s="127"/>
      <c r="S244" s="127"/>
      <c r="T244" s="127"/>
      <c r="U244" s="127"/>
      <c r="V244" s="127"/>
      <c r="W244" s="127"/>
      <c r="X244" s="127"/>
      <c r="Y244" s="127"/>
      <c r="Z244" s="127"/>
    </row>
    <row r="245" customFormat="false" ht="15.75" hidden="false" customHeight="false" outlineLevel="0" collapsed="false">
      <c r="A245" s="127"/>
      <c r="B245" s="127"/>
      <c r="C245" s="127"/>
      <c r="D245" s="127"/>
      <c r="E245" s="127"/>
      <c r="F245" s="127"/>
      <c r="G245" s="127"/>
      <c r="H245" s="127"/>
      <c r="I245" s="127"/>
      <c r="J245" s="127"/>
      <c r="K245" s="127"/>
      <c r="L245" s="127"/>
      <c r="M245" s="127"/>
      <c r="N245" s="127"/>
      <c r="O245" s="127"/>
      <c r="P245" s="127"/>
      <c r="Q245" s="127"/>
      <c r="R245" s="127"/>
      <c r="S245" s="127"/>
      <c r="T245" s="127"/>
      <c r="U245" s="127"/>
      <c r="V245" s="127"/>
      <c r="W245" s="127"/>
      <c r="X245" s="127"/>
      <c r="Y245" s="127"/>
      <c r="Z245" s="127"/>
    </row>
    <row r="246" customFormat="false" ht="15.75" hidden="false" customHeight="false" outlineLevel="0" collapsed="false">
      <c r="A246" s="127"/>
      <c r="B246" s="127"/>
      <c r="C246" s="127"/>
      <c r="D246" s="127"/>
      <c r="E246" s="127"/>
      <c r="F246" s="127"/>
      <c r="G246" s="127"/>
      <c r="H246" s="127"/>
      <c r="I246" s="127"/>
      <c r="J246" s="127"/>
      <c r="K246" s="127"/>
      <c r="L246" s="127"/>
      <c r="M246" s="127"/>
      <c r="N246" s="127"/>
      <c r="O246" s="127"/>
      <c r="P246" s="127"/>
      <c r="Q246" s="127"/>
      <c r="R246" s="127"/>
      <c r="S246" s="127"/>
      <c r="T246" s="127"/>
      <c r="U246" s="127"/>
      <c r="V246" s="127"/>
      <c r="W246" s="127"/>
      <c r="X246" s="127"/>
      <c r="Y246" s="127"/>
      <c r="Z246" s="127"/>
    </row>
    <row r="247" customFormat="false" ht="15.75" hidden="false" customHeight="false" outlineLevel="0" collapsed="false">
      <c r="A247" s="127"/>
      <c r="B247" s="127"/>
      <c r="C247" s="127"/>
      <c r="D247" s="127"/>
      <c r="E247" s="127"/>
      <c r="F247" s="127"/>
      <c r="G247" s="127"/>
      <c r="H247" s="127"/>
      <c r="I247" s="127"/>
      <c r="J247" s="127"/>
      <c r="K247" s="127"/>
      <c r="L247" s="127"/>
      <c r="M247" s="127"/>
      <c r="N247" s="127"/>
      <c r="O247" s="127"/>
      <c r="P247" s="127"/>
      <c r="Q247" s="127"/>
      <c r="R247" s="127"/>
      <c r="S247" s="127"/>
      <c r="T247" s="127"/>
      <c r="U247" s="127"/>
      <c r="V247" s="127"/>
      <c r="W247" s="127"/>
      <c r="X247" s="127"/>
      <c r="Y247" s="127"/>
      <c r="Z247" s="127"/>
    </row>
    <row r="248" customFormat="false" ht="15.75" hidden="false" customHeight="false" outlineLevel="0" collapsed="false">
      <c r="A248" s="127"/>
      <c r="B248" s="127"/>
      <c r="C248" s="127"/>
      <c r="D248" s="127"/>
      <c r="E248" s="127"/>
      <c r="F248" s="127"/>
      <c r="G248" s="127"/>
      <c r="H248" s="127"/>
      <c r="I248" s="127"/>
      <c r="J248" s="127"/>
      <c r="K248" s="127"/>
      <c r="L248" s="127"/>
      <c r="M248" s="127"/>
      <c r="N248" s="127"/>
      <c r="O248" s="127"/>
      <c r="P248" s="127"/>
      <c r="Q248" s="127"/>
      <c r="R248" s="127"/>
      <c r="S248" s="127"/>
      <c r="T248" s="127"/>
      <c r="U248" s="127"/>
      <c r="V248" s="127"/>
      <c r="W248" s="127"/>
      <c r="X248" s="127"/>
      <c r="Y248" s="127"/>
      <c r="Z248" s="127"/>
    </row>
    <row r="249" customFormat="false" ht="15.75" hidden="false" customHeight="false" outlineLevel="0" collapsed="false">
      <c r="A249" s="127"/>
      <c r="B249" s="127"/>
      <c r="C249" s="127"/>
      <c r="D249" s="127"/>
      <c r="E249" s="127"/>
      <c r="F249" s="127"/>
      <c r="G249" s="127"/>
      <c r="H249" s="127"/>
      <c r="I249" s="127"/>
      <c r="J249" s="127"/>
      <c r="K249" s="127"/>
      <c r="L249" s="127"/>
      <c r="M249" s="127"/>
      <c r="N249" s="127"/>
      <c r="O249" s="127"/>
      <c r="P249" s="127"/>
      <c r="Q249" s="127"/>
      <c r="R249" s="127"/>
      <c r="S249" s="127"/>
      <c r="T249" s="127"/>
      <c r="U249" s="127"/>
      <c r="V249" s="127"/>
      <c r="W249" s="127"/>
      <c r="X249" s="127"/>
      <c r="Y249" s="127"/>
      <c r="Z249" s="127"/>
    </row>
    <row r="250" customFormat="false" ht="15.75" hidden="false" customHeight="false" outlineLevel="0" collapsed="false">
      <c r="A250" s="127"/>
      <c r="B250" s="127"/>
      <c r="C250" s="127"/>
      <c r="D250" s="127"/>
      <c r="E250" s="127"/>
      <c r="F250" s="127"/>
      <c r="G250" s="127"/>
      <c r="H250" s="127"/>
      <c r="I250" s="127"/>
      <c r="J250" s="127"/>
      <c r="K250" s="127"/>
      <c r="L250" s="127"/>
      <c r="M250" s="127"/>
      <c r="N250" s="127"/>
      <c r="O250" s="127"/>
      <c r="P250" s="127"/>
      <c r="Q250" s="127"/>
      <c r="R250" s="127"/>
      <c r="S250" s="127"/>
      <c r="T250" s="127"/>
      <c r="U250" s="127"/>
      <c r="V250" s="127"/>
      <c r="W250" s="127"/>
      <c r="X250" s="127"/>
      <c r="Y250" s="127"/>
      <c r="Z250" s="127"/>
    </row>
    <row r="251" customFormat="false" ht="15.75" hidden="false" customHeight="false" outlineLevel="0" collapsed="false">
      <c r="A251" s="127"/>
      <c r="B251" s="127"/>
      <c r="C251" s="127"/>
      <c r="D251" s="127"/>
      <c r="E251" s="127"/>
      <c r="F251" s="127"/>
      <c r="G251" s="127"/>
      <c r="H251" s="127"/>
      <c r="I251" s="127"/>
      <c r="J251" s="127"/>
      <c r="K251" s="127"/>
      <c r="L251" s="127"/>
      <c r="M251" s="127"/>
      <c r="N251" s="127"/>
      <c r="O251" s="127"/>
      <c r="P251" s="127"/>
      <c r="Q251" s="127"/>
      <c r="R251" s="127"/>
      <c r="S251" s="127"/>
      <c r="T251" s="127"/>
      <c r="U251" s="127"/>
      <c r="V251" s="127"/>
      <c r="W251" s="127"/>
      <c r="X251" s="127"/>
      <c r="Y251" s="127"/>
      <c r="Z251" s="127"/>
    </row>
    <row r="252" customFormat="false" ht="15.75" hidden="false" customHeight="false" outlineLevel="0" collapsed="false">
      <c r="A252" s="127"/>
      <c r="B252" s="127"/>
      <c r="C252" s="127"/>
      <c r="D252" s="127"/>
      <c r="E252" s="127"/>
      <c r="F252" s="127"/>
      <c r="G252" s="127"/>
      <c r="H252" s="127"/>
      <c r="I252" s="127"/>
      <c r="J252" s="127"/>
      <c r="K252" s="127"/>
      <c r="L252" s="127"/>
      <c r="M252" s="127"/>
      <c r="N252" s="127"/>
      <c r="O252" s="127"/>
      <c r="P252" s="127"/>
      <c r="Q252" s="127"/>
      <c r="R252" s="127"/>
      <c r="S252" s="127"/>
      <c r="T252" s="127"/>
      <c r="U252" s="127"/>
      <c r="V252" s="127"/>
      <c r="W252" s="127"/>
      <c r="X252" s="127"/>
      <c r="Y252" s="127"/>
      <c r="Z252" s="127"/>
    </row>
    <row r="253" customFormat="false" ht="15.75" hidden="false" customHeight="false" outlineLevel="0" collapsed="false">
      <c r="A253" s="127"/>
      <c r="B253" s="127"/>
      <c r="C253" s="127"/>
      <c r="D253" s="127"/>
      <c r="E253" s="127"/>
      <c r="F253" s="127"/>
      <c r="G253" s="127"/>
      <c r="H253" s="127"/>
      <c r="I253" s="127"/>
      <c r="J253" s="127"/>
      <c r="K253" s="127"/>
      <c r="L253" s="127"/>
      <c r="M253" s="127"/>
      <c r="N253" s="127"/>
      <c r="O253" s="127"/>
      <c r="P253" s="127"/>
      <c r="Q253" s="127"/>
      <c r="R253" s="127"/>
      <c r="S253" s="127"/>
      <c r="T253" s="127"/>
      <c r="U253" s="127"/>
      <c r="V253" s="127"/>
      <c r="W253" s="127"/>
      <c r="X253" s="127"/>
      <c r="Y253" s="127"/>
      <c r="Z253" s="127"/>
    </row>
    <row r="254" customFormat="false" ht="15.75" hidden="false" customHeight="false" outlineLevel="0" collapsed="false">
      <c r="A254" s="127"/>
      <c r="B254" s="127"/>
      <c r="C254" s="127"/>
      <c r="D254" s="127"/>
      <c r="E254" s="127"/>
      <c r="F254" s="127"/>
      <c r="G254" s="127"/>
      <c r="H254" s="127"/>
      <c r="I254" s="127"/>
      <c r="J254" s="127"/>
      <c r="K254" s="127"/>
      <c r="L254" s="127"/>
      <c r="M254" s="127"/>
      <c r="N254" s="127"/>
      <c r="O254" s="127"/>
      <c r="P254" s="127"/>
      <c r="Q254" s="127"/>
      <c r="R254" s="127"/>
      <c r="S254" s="127"/>
      <c r="T254" s="127"/>
      <c r="U254" s="127"/>
      <c r="V254" s="127"/>
      <c r="W254" s="127"/>
      <c r="X254" s="127"/>
      <c r="Y254" s="127"/>
      <c r="Z254" s="127"/>
    </row>
    <row r="255" customFormat="false" ht="15.75" hidden="false" customHeight="false" outlineLevel="0" collapsed="false">
      <c r="A255" s="127"/>
      <c r="B255" s="127"/>
      <c r="C255" s="127"/>
      <c r="D255" s="127"/>
      <c r="E255" s="127"/>
      <c r="F255" s="127"/>
      <c r="G255" s="127"/>
      <c r="H255" s="127"/>
      <c r="I255" s="127"/>
      <c r="J255" s="127"/>
      <c r="K255" s="127"/>
      <c r="L255" s="127"/>
      <c r="M255" s="127"/>
      <c r="N255" s="127"/>
      <c r="O255" s="127"/>
      <c r="P255" s="127"/>
      <c r="Q255" s="127"/>
      <c r="R255" s="127"/>
      <c r="S255" s="127"/>
      <c r="T255" s="127"/>
      <c r="U255" s="127"/>
      <c r="V255" s="127"/>
      <c r="W255" s="127"/>
      <c r="X255" s="127"/>
      <c r="Y255" s="127"/>
      <c r="Z255" s="127"/>
    </row>
    <row r="256" customFormat="false" ht="15.75" hidden="false" customHeight="false" outlineLevel="0" collapsed="false">
      <c r="A256" s="127"/>
      <c r="B256" s="127"/>
      <c r="C256" s="127"/>
      <c r="D256" s="127"/>
      <c r="E256" s="127"/>
      <c r="F256" s="127"/>
      <c r="G256" s="127"/>
      <c r="H256" s="127"/>
      <c r="I256" s="127"/>
      <c r="J256" s="127"/>
      <c r="K256" s="127"/>
      <c r="L256" s="127"/>
      <c r="M256" s="127"/>
      <c r="N256" s="127"/>
      <c r="O256" s="127"/>
      <c r="P256" s="127"/>
      <c r="Q256" s="127"/>
      <c r="R256" s="127"/>
      <c r="S256" s="127"/>
      <c r="T256" s="127"/>
      <c r="U256" s="127"/>
      <c r="V256" s="127"/>
      <c r="W256" s="127"/>
      <c r="X256" s="127"/>
      <c r="Y256" s="127"/>
      <c r="Z256" s="127"/>
    </row>
    <row r="257" customFormat="false" ht="15.75" hidden="false" customHeight="false" outlineLevel="0" collapsed="false">
      <c r="A257" s="127"/>
      <c r="B257" s="127"/>
      <c r="C257" s="127"/>
      <c r="D257" s="127"/>
      <c r="E257" s="127"/>
      <c r="F257" s="127"/>
      <c r="G257" s="127"/>
      <c r="H257" s="127"/>
      <c r="I257" s="127"/>
      <c r="J257" s="127"/>
      <c r="K257" s="127"/>
      <c r="L257" s="127"/>
      <c r="M257" s="127"/>
      <c r="N257" s="127"/>
      <c r="O257" s="127"/>
      <c r="P257" s="127"/>
      <c r="Q257" s="127"/>
      <c r="R257" s="127"/>
      <c r="S257" s="127"/>
      <c r="T257" s="127"/>
      <c r="U257" s="127"/>
      <c r="V257" s="127"/>
      <c r="W257" s="127"/>
      <c r="X257" s="127"/>
      <c r="Y257" s="127"/>
      <c r="Z257" s="127"/>
    </row>
    <row r="258" customFormat="false" ht="15.75" hidden="false" customHeight="false" outlineLevel="0" collapsed="false">
      <c r="A258" s="127"/>
      <c r="B258" s="127"/>
      <c r="C258" s="127"/>
      <c r="D258" s="127"/>
      <c r="E258" s="127"/>
      <c r="F258" s="127"/>
      <c r="G258" s="127"/>
      <c r="H258" s="127"/>
      <c r="I258" s="127"/>
      <c r="J258" s="127"/>
      <c r="K258" s="127"/>
      <c r="L258" s="127"/>
      <c r="M258" s="127"/>
      <c r="N258" s="127"/>
      <c r="O258" s="127"/>
      <c r="P258" s="127"/>
      <c r="Q258" s="127"/>
      <c r="R258" s="127"/>
      <c r="S258" s="127"/>
      <c r="T258" s="127"/>
      <c r="U258" s="127"/>
      <c r="V258" s="127"/>
      <c r="W258" s="127"/>
      <c r="X258" s="127"/>
      <c r="Y258" s="127"/>
      <c r="Z258" s="127"/>
    </row>
    <row r="259" customFormat="false" ht="15.75" hidden="false" customHeight="false" outlineLevel="0" collapsed="false">
      <c r="A259" s="127"/>
      <c r="B259" s="127"/>
      <c r="C259" s="127"/>
      <c r="D259" s="127"/>
      <c r="E259" s="127"/>
      <c r="F259" s="127"/>
      <c r="G259" s="127"/>
      <c r="H259" s="127"/>
      <c r="I259" s="127"/>
      <c r="J259" s="127"/>
      <c r="K259" s="127"/>
      <c r="L259" s="127"/>
      <c r="M259" s="127"/>
      <c r="N259" s="127"/>
      <c r="O259" s="127"/>
      <c r="P259" s="127"/>
      <c r="Q259" s="127"/>
      <c r="R259" s="127"/>
      <c r="S259" s="127"/>
      <c r="T259" s="127"/>
      <c r="U259" s="127"/>
      <c r="V259" s="127"/>
      <c r="W259" s="127"/>
      <c r="X259" s="127"/>
      <c r="Y259" s="127"/>
      <c r="Z259" s="127"/>
    </row>
    <row r="260" customFormat="false" ht="15.75" hidden="false" customHeight="false" outlineLevel="0" collapsed="false">
      <c r="A260" s="127"/>
      <c r="B260" s="127"/>
      <c r="C260" s="127"/>
      <c r="D260" s="127"/>
      <c r="E260" s="127"/>
      <c r="F260" s="127"/>
      <c r="G260" s="127"/>
      <c r="H260" s="127"/>
      <c r="I260" s="127"/>
      <c r="J260" s="127"/>
      <c r="K260" s="127"/>
      <c r="L260" s="127"/>
      <c r="M260" s="127"/>
      <c r="N260" s="127"/>
      <c r="O260" s="127"/>
      <c r="P260" s="127"/>
      <c r="Q260" s="127"/>
      <c r="R260" s="127"/>
      <c r="S260" s="127"/>
      <c r="T260" s="127"/>
      <c r="U260" s="127"/>
      <c r="V260" s="127"/>
      <c r="W260" s="127"/>
      <c r="X260" s="127"/>
      <c r="Y260" s="127"/>
      <c r="Z260" s="127"/>
    </row>
    <row r="261" customFormat="false" ht="15.75" hidden="false" customHeight="false" outlineLevel="0" collapsed="false">
      <c r="A261" s="127"/>
      <c r="B261" s="127"/>
      <c r="C261" s="127"/>
      <c r="D261" s="127"/>
      <c r="E261" s="127"/>
      <c r="F261" s="127"/>
      <c r="G261" s="127"/>
      <c r="H261" s="127"/>
      <c r="I261" s="127"/>
      <c r="J261" s="127"/>
      <c r="K261" s="127"/>
      <c r="L261" s="127"/>
      <c r="M261" s="127"/>
      <c r="N261" s="127"/>
      <c r="O261" s="127"/>
      <c r="P261" s="127"/>
      <c r="Q261" s="127"/>
      <c r="R261" s="127"/>
      <c r="S261" s="127"/>
      <c r="T261" s="127"/>
      <c r="U261" s="127"/>
      <c r="V261" s="127"/>
      <c r="W261" s="127"/>
      <c r="X261" s="127"/>
      <c r="Y261" s="127"/>
      <c r="Z261" s="127"/>
    </row>
    <row r="262" customFormat="false" ht="15.75" hidden="false" customHeight="false" outlineLevel="0" collapsed="false">
      <c r="A262" s="127"/>
      <c r="B262" s="127"/>
      <c r="C262" s="127"/>
      <c r="D262" s="127"/>
      <c r="E262" s="127"/>
      <c r="F262" s="127"/>
      <c r="G262" s="127"/>
      <c r="H262" s="127"/>
      <c r="I262" s="127"/>
      <c r="J262" s="127"/>
      <c r="K262" s="127"/>
      <c r="L262" s="127"/>
      <c r="M262" s="127"/>
      <c r="N262" s="127"/>
      <c r="O262" s="127"/>
      <c r="P262" s="127"/>
      <c r="Q262" s="127"/>
      <c r="R262" s="127"/>
      <c r="S262" s="127"/>
      <c r="T262" s="127"/>
      <c r="U262" s="127"/>
      <c r="V262" s="127"/>
      <c r="W262" s="127"/>
      <c r="X262" s="127"/>
      <c r="Y262" s="127"/>
      <c r="Z262" s="127"/>
    </row>
    <row r="263" customFormat="false" ht="15.75" hidden="false" customHeight="false" outlineLevel="0" collapsed="false">
      <c r="A263" s="127"/>
      <c r="B263" s="127"/>
      <c r="C263" s="127"/>
      <c r="D263" s="127"/>
      <c r="E263" s="127"/>
      <c r="F263" s="127"/>
      <c r="G263" s="127"/>
      <c r="H263" s="127"/>
      <c r="I263" s="127"/>
      <c r="J263" s="127"/>
      <c r="K263" s="127"/>
      <c r="L263" s="127"/>
      <c r="M263" s="127"/>
      <c r="N263" s="127"/>
      <c r="O263" s="127"/>
      <c r="P263" s="127"/>
      <c r="Q263" s="127"/>
      <c r="R263" s="127"/>
      <c r="S263" s="127"/>
      <c r="T263" s="127"/>
      <c r="U263" s="127"/>
      <c r="V263" s="127"/>
      <c r="W263" s="127"/>
      <c r="X263" s="127"/>
      <c r="Y263" s="127"/>
      <c r="Z263" s="127"/>
    </row>
    <row r="264" customFormat="false" ht="15.75" hidden="false" customHeight="false" outlineLevel="0" collapsed="false">
      <c r="A264" s="127"/>
      <c r="B264" s="127"/>
      <c r="C264" s="127"/>
      <c r="D264" s="127"/>
      <c r="E264" s="127"/>
      <c r="F264" s="127"/>
      <c r="G264" s="127"/>
      <c r="H264" s="127"/>
      <c r="I264" s="127"/>
      <c r="J264" s="127"/>
      <c r="K264" s="127"/>
      <c r="L264" s="127"/>
      <c r="M264" s="127"/>
      <c r="N264" s="127"/>
      <c r="O264" s="127"/>
      <c r="P264" s="127"/>
      <c r="Q264" s="127"/>
      <c r="R264" s="127"/>
      <c r="S264" s="127"/>
      <c r="T264" s="127"/>
      <c r="U264" s="127"/>
      <c r="V264" s="127"/>
      <c r="W264" s="127"/>
      <c r="X264" s="127"/>
      <c r="Y264" s="127"/>
      <c r="Z264" s="127"/>
    </row>
    <row r="265" customFormat="false" ht="15.75" hidden="false" customHeight="false" outlineLevel="0" collapsed="false">
      <c r="A265" s="127"/>
      <c r="B265" s="127"/>
      <c r="C265" s="127"/>
      <c r="D265" s="127"/>
      <c r="E265" s="127"/>
      <c r="F265" s="127"/>
      <c r="G265" s="127"/>
      <c r="H265" s="127"/>
      <c r="I265" s="127"/>
      <c r="J265" s="127"/>
      <c r="K265" s="127"/>
      <c r="L265" s="127"/>
      <c r="M265" s="127"/>
      <c r="N265" s="127"/>
      <c r="O265" s="127"/>
      <c r="P265" s="127"/>
      <c r="Q265" s="127"/>
      <c r="R265" s="127"/>
      <c r="S265" s="127"/>
      <c r="T265" s="127"/>
      <c r="U265" s="127"/>
      <c r="V265" s="127"/>
      <c r="W265" s="127"/>
      <c r="X265" s="127"/>
      <c r="Y265" s="127"/>
      <c r="Z265" s="127"/>
    </row>
    <row r="266" customFormat="false" ht="15.75" hidden="false" customHeight="false" outlineLevel="0" collapsed="false">
      <c r="A266" s="127"/>
      <c r="B266" s="127"/>
      <c r="C266" s="127"/>
      <c r="D266" s="127"/>
      <c r="E266" s="127"/>
      <c r="F266" s="127"/>
      <c r="G266" s="127"/>
      <c r="H266" s="127"/>
      <c r="I266" s="127"/>
      <c r="J266" s="127"/>
      <c r="K266" s="127"/>
      <c r="L266" s="127"/>
      <c r="M266" s="127"/>
      <c r="N266" s="127"/>
      <c r="O266" s="127"/>
      <c r="P266" s="127"/>
      <c r="Q266" s="127"/>
      <c r="R266" s="127"/>
      <c r="S266" s="127"/>
      <c r="T266" s="127"/>
      <c r="U266" s="127"/>
      <c r="V266" s="127"/>
      <c r="W266" s="127"/>
      <c r="X266" s="127"/>
      <c r="Y266" s="127"/>
      <c r="Z266" s="127"/>
    </row>
    <row r="267" customFormat="false" ht="15.75" hidden="false" customHeight="false" outlineLevel="0" collapsed="false">
      <c r="A267" s="127"/>
      <c r="B267" s="127"/>
      <c r="C267" s="127"/>
      <c r="D267" s="127"/>
      <c r="E267" s="127"/>
      <c r="F267" s="127"/>
      <c r="G267" s="127"/>
      <c r="H267" s="127"/>
      <c r="I267" s="127"/>
      <c r="J267" s="127"/>
      <c r="K267" s="127"/>
      <c r="L267" s="127"/>
      <c r="M267" s="127"/>
      <c r="N267" s="127"/>
      <c r="O267" s="127"/>
      <c r="P267" s="127"/>
      <c r="Q267" s="127"/>
      <c r="R267" s="127"/>
      <c r="S267" s="127"/>
      <c r="T267" s="127"/>
      <c r="U267" s="127"/>
      <c r="V267" s="127"/>
      <c r="W267" s="127"/>
      <c r="X267" s="127"/>
      <c r="Y267" s="127"/>
      <c r="Z267" s="127"/>
    </row>
    <row r="268" customFormat="false" ht="15.75" hidden="false" customHeight="false" outlineLevel="0" collapsed="false">
      <c r="A268" s="127"/>
      <c r="B268" s="127"/>
      <c r="C268" s="127"/>
      <c r="D268" s="127"/>
      <c r="E268" s="127"/>
      <c r="F268" s="127"/>
      <c r="G268" s="127"/>
      <c r="H268" s="127"/>
      <c r="I268" s="127"/>
      <c r="J268" s="127"/>
      <c r="K268" s="127"/>
      <c r="L268" s="127"/>
      <c r="M268" s="127"/>
      <c r="N268" s="127"/>
      <c r="O268" s="127"/>
      <c r="P268" s="127"/>
      <c r="Q268" s="127"/>
      <c r="R268" s="127"/>
      <c r="S268" s="127"/>
      <c r="T268" s="127"/>
      <c r="U268" s="127"/>
      <c r="V268" s="127"/>
      <c r="W268" s="127"/>
      <c r="X268" s="127"/>
      <c r="Y268" s="127"/>
      <c r="Z268" s="127"/>
    </row>
    <row r="269" customFormat="false" ht="15.75" hidden="false" customHeight="false" outlineLevel="0" collapsed="false">
      <c r="A269" s="127"/>
      <c r="B269" s="127"/>
      <c r="C269" s="127"/>
      <c r="D269" s="127"/>
      <c r="E269" s="127"/>
      <c r="F269" s="127"/>
      <c r="G269" s="127"/>
      <c r="H269" s="127"/>
      <c r="I269" s="127"/>
      <c r="J269" s="127"/>
      <c r="K269" s="127"/>
      <c r="L269" s="127"/>
      <c r="M269" s="127"/>
      <c r="N269" s="127"/>
      <c r="O269" s="127"/>
      <c r="P269" s="127"/>
      <c r="Q269" s="127"/>
      <c r="R269" s="127"/>
      <c r="S269" s="127"/>
      <c r="T269" s="127"/>
      <c r="U269" s="127"/>
      <c r="V269" s="127"/>
      <c r="W269" s="127"/>
      <c r="X269" s="127"/>
      <c r="Y269" s="127"/>
      <c r="Z269" s="127"/>
    </row>
    <row r="270" customFormat="false" ht="15.75" hidden="false" customHeight="false" outlineLevel="0" collapsed="false">
      <c r="A270" s="127"/>
      <c r="B270" s="127"/>
      <c r="C270" s="127"/>
      <c r="D270" s="127"/>
      <c r="E270" s="127"/>
      <c r="F270" s="127"/>
      <c r="G270" s="127"/>
      <c r="H270" s="127"/>
      <c r="I270" s="127"/>
      <c r="J270" s="127"/>
      <c r="K270" s="127"/>
      <c r="L270" s="127"/>
      <c r="M270" s="127"/>
      <c r="N270" s="127"/>
      <c r="O270" s="127"/>
      <c r="P270" s="127"/>
      <c r="Q270" s="127"/>
      <c r="R270" s="127"/>
      <c r="S270" s="127"/>
      <c r="T270" s="127"/>
      <c r="U270" s="127"/>
      <c r="V270" s="127"/>
      <c r="W270" s="127"/>
      <c r="X270" s="127"/>
      <c r="Y270" s="127"/>
      <c r="Z270" s="127"/>
    </row>
    <row r="271" customFormat="false" ht="15.75" hidden="false" customHeight="false" outlineLevel="0" collapsed="false">
      <c r="A271" s="127"/>
      <c r="B271" s="127"/>
      <c r="C271" s="127"/>
      <c r="D271" s="127"/>
      <c r="E271" s="127"/>
      <c r="F271" s="127"/>
      <c r="G271" s="127"/>
      <c r="H271" s="127"/>
      <c r="I271" s="127"/>
      <c r="J271" s="127"/>
      <c r="K271" s="127"/>
      <c r="L271" s="127"/>
      <c r="M271" s="127"/>
      <c r="N271" s="127"/>
      <c r="O271" s="127"/>
      <c r="P271" s="127"/>
      <c r="Q271" s="127"/>
      <c r="R271" s="127"/>
      <c r="S271" s="127"/>
      <c r="T271" s="127"/>
      <c r="U271" s="127"/>
      <c r="V271" s="127"/>
      <c r="W271" s="127"/>
      <c r="X271" s="127"/>
      <c r="Y271" s="127"/>
      <c r="Z271" s="127"/>
    </row>
    <row r="272" customFormat="false" ht="15.75" hidden="false" customHeight="false" outlineLevel="0" collapsed="false">
      <c r="A272" s="127"/>
      <c r="B272" s="127"/>
      <c r="C272" s="127"/>
      <c r="D272" s="127"/>
      <c r="E272" s="127"/>
      <c r="F272" s="127"/>
      <c r="G272" s="127"/>
      <c r="H272" s="127"/>
      <c r="I272" s="127"/>
      <c r="J272" s="127"/>
      <c r="K272" s="127"/>
      <c r="L272" s="127"/>
      <c r="M272" s="127"/>
      <c r="N272" s="127"/>
      <c r="O272" s="127"/>
      <c r="P272" s="127"/>
      <c r="Q272" s="127"/>
      <c r="R272" s="127"/>
      <c r="S272" s="127"/>
      <c r="T272" s="127"/>
      <c r="U272" s="127"/>
      <c r="V272" s="127"/>
      <c r="W272" s="127"/>
      <c r="X272" s="127"/>
      <c r="Y272" s="127"/>
      <c r="Z272" s="127"/>
    </row>
    <row r="273" customFormat="false" ht="15.75" hidden="false" customHeight="false" outlineLevel="0" collapsed="false">
      <c r="A273" s="127"/>
      <c r="B273" s="127"/>
      <c r="C273" s="127"/>
      <c r="D273" s="127"/>
      <c r="E273" s="127"/>
      <c r="F273" s="127"/>
      <c r="G273" s="127"/>
      <c r="H273" s="127"/>
      <c r="I273" s="127"/>
      <c r="J273" s="127"/>
      <c r="K273" s="127"/>
      <c r="L273" s="127"/>
      <c r="M273" s="127"/>
      <c r="N273" s="127"/>
      <c r="O273" s="127"/>
      <c r="P273" s="127"/>
      <c r="Q273" s="127"/>
      <c r="R273" s="127"/>
      <c r="S273" s="127"/>
      <c r="T273" s="127"/>
      <c r="U273" s="127"/>
      <c r="V273" s="127"/>
      <c r="W273" s="127"/>
      <c r="X273" s="127"/>
      <c r="Y273" s="127"/>
      <c r="Z273" s="127"/>
    </row>
    <row r="274" customFormat="false" ht="15.75" hidden="false" customHeight="false" outlineLevel="0" collapsed="false">
      <c r="A274" s="127"/>
      <c r="B274" s="127"/>
      <c r="C274" s="127"/>
      <c r="D274" s="127"/>
      <c r="E274" s="127"/>
      <c r="F274" s="127"/>
      <c r="G274" s="127"/>
      <c r="H274" s="127"/>
      <c r="I274" s="127"/>
      <c r="J274" s="127"/>
      <c r="K274" s="127"/>
      <c r="L274" s="127"/>
      <c r="M274" s="127"/>
      <c r="N274" s="127"/>
      <c r="O274" s="127"/>
      <c r="P274" s="127"/>
      <c r="Q274" s="127"/>
      <c r="R274" s="127"/>
      <c r="S274" s="127"/>
      <c r="T274" s="127"/>
      <c r="U274" s="127"/>
      <c r="V274" s="127"/>
      <c r="W274" s="127"/>
      <c r="X274" s="127"/>
      <c r="Y274" s="127"/>
      <c r="Z274" s="127"/>
    </row>
    <row r="275" customFormat="false" ht="15.75" hidden="false" customHeight="false" outlineLevel="0" collapsed="false">
      <c r="A275" s="127"/>
      <c r="B275" s="127"/>
      <c r="C275" s="127"/>
      <c r="D275" s="127"/>
      <c r="E275" s="127"/>
      <c r="F275" s="127"/>
      <c r="G275" s="127"/>
      <c r="H275" s="127"/>
      <c r="I275" s="127"/>
      <c r="J275" s="127"/>
      <c r="K275" s="127"/>
      <c r="L275" s="127"/>
      <c r="M275" s="127"/>
      <c r="N275" s="127"/>
      <c r="O275" s="127"/>
      <c r="P275" s="127"/>
      <c r="Q275" s="127"/>
      <c r="R275" s="127"/>
      <c r="S275" s="127"/>
      <c r="T275" s="127"/>
      <c r="U275" s="127"/>
      <c r="V275" s="127"/>
      <c r="W275" s="127"/>
      <c r="X275" s="127"/>
      <c r="Y275" s="127"/>
      <c r="Z275" s="127"/>
    </row>
    <row r="276" customFormat="false" ht="15.75" hidden="false" customHeight="false" outlineLevel="0" collapsed="false">
      <c r="A276" s="127"/>
      <c r="B276" s="127"/>
      <c r="C276" s="127"/>
      <c r="D276" s="127"/>
      <c r="E276" s="127"/>
      <c r="F276" s="127"/>
      <c r="G276" s="127"/>
      <c r="H276" s="127"/>
      <c r="I276" s="127"/>
      <c r="J276" s="127"/>
      <c r="K276" s="127"/>
      <c r="L276" s="127"/>
      <c r="M276" s="127"/>
      <c r="N276" s="127"/>
      <c r="O276" s="127"/>
      <c r="P276" s="127"/>
      <c r="Q276" s="127"/>
      <c r="R276" s="127"/>
      <c r="S276" s="127"/>
      <c r="T276" s="127"/>
      <c r="U276" s="127"/>
      <c r="V276" s="127"/>
      <c r="W276" s="127"/>
      <c r="X276" s="127"/>
      <c r="Y276" s="127"/>
      <c r="Z276" s="127"/>
    </row>
    <row r="277" customFormat="false" ht="15.75" hidden="false" customHeight="false" outlineLevel="0" collapsed="false">
      <c r="A277" s="127"/>
      <c r="B277" s="127"/>
      <c r="C277" s="127"/>
      <c r="D277" s="127"/>
      <c r="E277" s="127"/>
      <c r="F277" s="127"/>
      <c r="G277" s="127"/>
      <c r="H277" s="127"/>
      <c r="I277" s="127"/>
      <c r="J277" s="127"/>
      <c r="K277" s="127"/>
      <c r="L277" s="127"/>
      <c r="M277" s="127"/>
      <c r="N277" s="127"/>
      <c r="O277" s="127"/>
      <c r="P277" s="127"/>
      <c r="Q277" s="127"/>
      <c r="R277" s="127"/>
      <c r="S277" s="127"/>
      <c r="T277" s="127"/>
      <c r="U277" s="127"/>
      <c r="V277" s="127"/>
      <c r="W277" s="127"/>
      <c r="X277" s="127"/>
      <c r="Y277" s="127"/>
      <c r="Z277" s="127"/>
    </row>
    <row r="278" customFormat="false" ht="15.75" hidden="false" customHeight="false" outlineLevel="0" collapsed="false">
      <c r="A278" s="127"/>
      <c r="B278" s="127"/>
      <c r="C278" s="127"/>
      <c r="D278" s="127"/>
      <c r="E278" s="127"/>
      <c r="F278" s="127"/>
      <c r="G278" s="127"/>
      <c r="H278" s="127"/>
      <c r="I278" s="127"/>
      <c r="J278" s="127"/>
      <c r="K278" s="127"/>
      <c r="L278" s="127"/>
      <c r="M278" s="127"/>
      <c r="N278" s="127"/>
      <c r="O278" s="127"/>
      <c r="P278" s="127"/>
      <c r="Q278" s="127"/>
      <c r="R278" s="127"/>
      <c r="S278" s="127"/>
      <c r="T278" s="127"/>
      <c r="U278" s="127"/>
      <c r="V278" s="127"/>
      <c r="W278" s="127"/>
      <c r="X278" s="127"/>
      <c r="Y278" s="127"/>
      <c r="Z278" s="127"/>
    </row>
    <row r="279" customFormat="false" ht="15.75" hidden="false" customHeight="false" outlineLevel="0" collapsed="false">
      <c r="A279" s="127"/>
      <c r="B279" s="127"/>
      <c r="C279" s="127"/>
      <c r="D279" s="127"/>
      <c r="E279" s="127"/>
      <c r="F279" s="127"/>
      <c r="G279" s="127"/>
      <c r="H279" s="127"/>
      <c r="I279" s="127"/>
      <c r="J279" s="127"/>
      <c r="K279" s="127"/>
      <c r="L279" s="127"/>
      <c r="M279" s="127"/>
      <c r="N279" s="127"/>
      <c r="O279" s="127"/>
      <c r="P279" s="127"/>
      <c r="Q279" s="127"/>
      <c r="R279" s="127"/>
      <c r="S279" s="127"/>
      <c r="T279" s="127"/>
      <c r="U279" s="127"/>
      <c r="V279" s="127"/>
      <c r="W279" s="127"/>
      <c r="X279" s="127"/>
      <c r="Y279" s="127"/>
      <c r="Z279" s="127"/>
    </row>
    <row r="280" customFormat="false" ht="15.75" hidden="false" customHeight="false" outlineLevel="0" collapsed="false">
      <c r="A280" s="127"/>
      <c r="B280" s="127"/>
      <c r="C280" s="127"/>
      <c r="D280" s="127"/>
      <c r="E280" s="127"/>
      <c r="F280" s="127"/>
      <c r="G280" s="127"/>
      <c r="H280" s="127"/>
      <c r="I280" s="127"/>
      <c r="J280" s="127"/>
      <c r="K280" s="127"/>
      <c r="L280" s="127"/>
      <c r="M280" s="127"/>
      <c r="N280" s="127"/>
      <c r="O280" s="127"/>
      <c r="P280" s="127"/>
      <c r="Q280" s="127"/>
      <c r="R280" s="127"/>
      <c r="S280" s="127"/>
      <c r="T280" s="127"/>
      <c r="U280" s="127"/>
      <c r="V280" s="127"/>
      <c r="W280" s="127"/>
      <c r="X280" s="127"/>
      <c r="Y280" s="127"/>
      <c r="Z280" s="127"/>
    </row>
    <row r="281" customFormat="false" ht="15.75" hidden="false" customHeight="false" outlineLevel="0" collapsed="false">
      <c r="A281" s="127"/>
      <c r="B281" s="127"/>
      <c r="C281" s="127"/>
      <c r="D281" s="127"/>
      <c r="E281" s="127"/>
      <c r="F281" s="127"/>
      <c r="G281" s="127"/>
      <c r="H281" s="127"/>
      <c r="I281" s="127"/>
      <c r="J281" s="127"/>
      <c r="K281" s="127"/>
      <c r="L281" s="127"/>
      <c r="M281" s="127"/>
      <c r="N281" s="127"/>
      <c r="O281" s="127"/>
      <c r="P281" s="127"/>
      <c r="Q281" s="127"/>
      <c r="R281" s="127"/>
      <c r="S281" s="127"/>
      <c r="T281" s="127"/>
      <c r="U281" s="127"/>
      <c r="V281" s="127"/>
      <c r="W281" s="127"/>
      <c r="X281" s="127"/>
      <c r="Y281" s="127"/>
      <c r="Z281" s="127"/>
    </row>
    <row r="282" customFormat="false" ht="15.75" hidden="false" customHeight="false" outlineLevel="0" collapsed="false">
      <c r="A282" s="127"/>
      <c r="B282" s="127"/>
      <c r="C282" s="127"/>
      <c r="D282" s="127"/>
      <c r="E282" s="127"/>
      <c r="F282" s="127"/>
      <c r="G282" s="127"/>
      <c r="H282" s="127"/>
      <c r="I282" s="127"/>
      <c r="J282" s="127"/>
      <c r="K282" s="127"/>
      <c r="L282" s="127"/>
      <c r="M282" s="127"/>
      <c r="N282" s="127"/>
      <c r="O282" s="127"/>
      <c r="P282" s="127"/>
      <c r="Q282" s="127"/>
      <c r="R282" s="127"/>
      <c r="S282" s="127"/>
      <c r="T282" s="127"/>
      <c r="U282" s="127"/>
      <c r="V282" s="127"/>
      <c r="W282" s="127"/>
      <c r="X282" s="127"/>
      <c r="Y282" s="127"/>
      <c r="Z282" s="127"/>
    </row>
    <row r="283" customFormat="false" ht="15.75" hidden="false" customHeight="false" outlineLevel="0" collapsed="false">
      <c r="A283" s="127"/>
      <c r="B283" s="127"/>
      <c r="C283" s="127"/>
      <c r="D283" s="127"/>
      <c r="E283" s="127"/>
      <c r="F283" s="127"/>
      <c r="G283" s="127"/>
      <c r="H283" s="127"/>
      <c r="I283" s="127"/>
      <c r="J283" s="127"/>
      <c r="K283" s="127"/>
      <c r="L283" s="127"/>
      <c r="M283" s="127"/>
      <c r="N283" s="127"/>
      <c r="O283" s="127"/>
      <c r="P283" s="127"/>
      <c r="Q283" s="127"/>
      <c r="R283" s="127"/>
      <c r="S283" s="127"/>
      <c r="T283" s="127"/>
      <c r="U283" s="127"/>
      <c r="V283" s="127"/>
      <c r="W283" s="127"/>
      <c r="X283" s="127"/>
      <c r="Y283" s="127"/>
      <c r="Z283" s="127"/>
    </row>
    <row r="284" customFormat="false" ht="15.75" hidden="false" customHeight="false" outlineLevel="0" collapsed="false">
      <c r="A284" s="127"/>
      <c r="B284" s="127"/>
      <c r="C284" s="127"/>
      <c r="D284" s="127"/>
      <c r="E284" s="127"/>
      <c r="F284" s="127"/>
      <c r="G284" s="127"/>
      <c r="H284" s="127"/>
      <c r="I284" s="127"/>
      <c r="J284" s="127"/>
      <c r="K284" s="127"/>
      <c r="L284" s="127"/>
      <c r="M284" s="127"/>
      <c r="N284" s="127"/>
      <c r="O284" s="127"/>
      <c r="P284" s="127"/>
      <c r="Q284" s="127"/>
      <c r="R284" s="127"/>
      <c r="S284" s="127"/>
      <c r="T284" s="127"/>
      <c r="U284" s="127"/>
      <c r="V284" s="127"/>
      <c r="W284" s="127"/>
      <c r="X284" s="127"/>
      <c r="Y284" s="127"/>
      <c r="Z284" s="127"/>
    </row>
    <row r="285" customFormat="false" ht="15.75" hidden="false" customHeight="false" outlineLevel="0" collapsed="false">
      <c r="A285" s="127"/>
      <c r="B285" s="127"/>
      <c r="C285" s="127"/>
      <c r="D285" s="127"/>
      <c r="E285" s="127"/>
      <c r="F285" s="127"/>
      <c r="G285" s="127"/>
      <c r="H285" s="127"/>
      <c r="I285" s="127"/>
      <c r="J285" s="127"/>
      <c r="K285" s="127"/>
      <c r="L285" s="127"/>
      <c r="M285" s="127"/>
      <c r="N285" s="127"/>
      <c r="O285" s="127"/>
      <c r="P285" s="127"/>
      <c r="Q285" s="127"/>
      <c r="R285" s="127"/>
      <c r="S285" s="127"/>
      <c r="T285" s="127"/>
      <c r="U285" s="127"/>
      <c r="V285" s="127"/>
      <c r="W285" s="127"/>
      <c r="X285" s="127"/>
      <c r="Y285" s="127"/>
      <c r="Z285" s="127"/>
    </row>
    <row r="286" customFormat="false" ht="15.75" hidden="false" customHeight="false" outlineLevel="0" collapsed="false">
      <c r="A286" s="127"/>
      <c r="B286" s="127"/>
      <c r="C286" s="127"/>
      <c r="D286" s="127"/>
      <c r="E286" s="127"/>
      <c r="F286" s="127"/>
      <c r="G286" s="127"/>
      <c r="H286" s="127"/>
      <c r="I286" s="127"/>
      <c r="J286" s="127"/>
      <c r="K286" s="127"/>
      <c r="L286" s="127"/>
      <c r="M286" s="127"/>
      <c r="N286" s="127"/>
      <c r="O286" s="127"/>
      <c r="P286" s="127"/>
      <c r="Q286" s="127"/>
      <c r="R286" s="127"/>
      <c r="S286" s="127"/>
      <c r="T286" s="127"/>
      <c r="U286" s="127"/>
      <c r="V286" s="127"/>
      <c r="W286" s="127"/>
      <c r="X286" s="127"/>
      <c r="Y286" s="127"/>
      <c r="Z286" s="127"/>
    </row>
    <row r="287" customFormat="false" ht="15.75" hidden="false" customHeight="false" outlineLevel="0" collapsed="false">
      <c r="A287" s="127"/>
      <c r="B287" s="127"/>
      <c r="C287" s="127"/>
      <c r="D287" s="127"/>
      <c r="E287" s="127"/>
      <c r="F287" s="127"/>
      <c r="G287" s="127"/>
      <c r="H287" s="127"/>
      <c r="I287" s="127"/>
      <c r="J287" s="127"/>
      <c r="K287" s="127"/>
      <c r="L287" s="127"/>
      <c r="M287" s="127"/>
      <c r="N287" s="127"/>
      <c r="O287" s="127"/>
      <c r="P287" s="127"/>
      <c r="Q287" s="127"/>
      <c r="R287" s="127"/>
      <c r="S287" s="127"/>
      <c r="T287" s="127"/>
      <c r="U287" s="127"/>
      <c r="V287" s="127"/>
      <c r="W287" s="127"/>
      <c r="X287" s="127"/>
      <c r="Y287" s="127"/>
      <c r="Z287" s="127"/>
    </row>
    <row r="288" customFormat="false" ht="15.75" hidden="false" customHeight="false" outlineLevel="0" collapsed="false">
      <c r="A288" s="127"/>
      <c r="B288" s="127"/>
      <c r="C288" s="127"/>
      <c r="D288" s="127"/>
      <c r="E288" s="127"/>
      <c r="F288" s="127"/>
      <c r="G288" s="127"/>
      <c r="H288" s="127"/>
      <c r="I288" s="127"/>
      <c r="J288" s="127"/>
      <c r="K288" s="127"/>
      <c r="L288" s="127"/>
      <c r="M288" s="127"/>
      <c r="N288" s="127"/>
      <c r="O288" s="127"/>
      <c r="P288" s="127"/>
      <c r="Q288" s="127"/>
      <c r="R288" s="127"/>
      <c r="S288" s="127"/>
      <c r="T288" s="127"/>
      <c r="U288" s="127"/>
      <c r="V288" s="127"/>
      <c r="W288" s="127"/>
      <c r="X288" s="127"/>
      <c r="Y288" s="127"/>
      <c r="Z288" s="127"/>
    </row>
    <row r="289" customFormat="false" ht="15.75" hidden="false" customHeight="false" outlineLevel="0" collapsed="false">
      <c r="A289" s="127"/>
      <c r="B289" s="127"/>
      <c r="C289" s="127"/>
      <c r="D289" s="127"/>
      <c r="E289" s="127"/>
      <c r="F289" s="127"/>
      <c r="G289" s="127"/>
      <c r="H289" s="127"/>
      <c r="I289" s="127"/>
      <c r="J289" s="127"/>
      <c r="K289" s="127"/>
      <c r="L289" s="127"/>
      <c r="M289" s="127"/>
      <c r="N289" s="127"/>
      <c r="O289" s="127"/>
      <c r="P289" s="127"/>
      <c r="Q289" s="127"/>
      <c r="R289" s="127"/>
      <c r="S289" s="127"/>
      <c r="T289" s="127"/>
      <c r="U289" s="127"/>
      <c r="V289" s="127"/>
      <c r="W289" s="127"/>
      <c r="X289" s="127"/>
      <c r="Y289" s="127"/>
      <c r="Z289" s="127"/>
    </row>
    <row r="290" customFormat="false" ht="15.75" hidden="false" customHeight="false" outlineLevel="0" collapsed="false">
      <c r="A290" s="127"/>
      <c r="B290" s="127"/>
      <c r="C290" s="127"/>
      <c r="D290" s="127"/>
      <c r="E290" s="127"/>
      <c r="F290" s="127"/>
      <c r="G290" s="127"/>
      <c r="H290" s="127"/>
      <c r="I290" s="127"/>
      <c r="J290" s="127"/>
      <c r="K290" s="127"/>
      <c r="L290" s="127"/>
      <c r="M290" s="127"/>
      <c r="N290" s="127"/>
      <c r="O290" s="127"/>
      <c r="P290" s="127"/>
      <c r="Q290" s="127"/>
      <c r="R290" s="127"/>
      <c r="S290" s="127"/>
      <c r="T290" s="127"/>
      <c r="U290" s="127"/>
      <c r="V290" s="127"/>
      <c r="W290" s="127"/>
      <c r="X290" s="127"/>
      <c r="Y290" s="127"/>
      <c r="Z290" s="127"/>
    </row>
    <row r="291" customFormat="false" ht="15.75" hidden="false" customHeight="false" outlineLevel="0" collapsed="false">
      <c r="A291" s="127"/>
      <c r="B291" s="127"/>
      <c r="C291" s="127"/>
      <c r="D291" s="127"/>
      <c r="E291" s="127"/>
      <c r="F291" s="127"/>
      <c r="G291" s="127"/>
      <c r="H291" s="127"/>
      <c r="I291" s="127"/>
      <c r="J291" s="127"/>
      <c r="K291" s="127"/>
      <c r="L291" s="127"/>
      <c r="M291" s="127"/>
      <c r="N291" s="127"/>
      <c r="O291" s="127"/>
      <c r="P291" s="127"/>
      <c r="Q291" s="127"/>
      <c r="R291" s="127"/>
      <c r="S291" s="127"/>
      <c r="T291" s="127"/>
      <c r="U291" s="127"/>
      <c r="V291" s="127"/>
      <c r="W291" s="127"/>
      <c r="X291" s="127"/>
      <c r="Y291" s="127"/>
      <c r="Z291" s="127"/>
    </row>
    <row r="292" customFormat="false" ht="15.75" hidden="false" customHeight="false" outlineLevel="0" collapsed="false">
      <c r="A292" s="127"/>
      <c r="B292" s="127"/>
      <c r="C292" s="127"/>
      <c r="D292" s="127"/>
      <c r="E292" s="127"/>
      <c r="F292" s="127"/>
      <c r="G292" s="127"/>
      <c r="H292" s="127"/>
      <c r="I292" s="127"/>
      <c r="J292" s="127"/>
      <c r="K292" s="127"/>
      <c r="L292" s="127"/>
      <c r="M292" s="127"/>
      <c r="N292" s="127"/>
      <c r="O292" s="127"/>
      <c r="P292" s="127"/>
      <c r="Q292" s="127"/>
      <c r="R292" s="127"/>
      <c r="S292" s="127"/>
      <c r="T292" s="127"/>
      <c r="U292" s="127"/>
      <c r="V292" s="127"/>
      <c r="W292" s="127"/>
      <c r="X292" s="127"/>
      <c r="Y292" s="127"/>
      <c r="Z292" s="127"/>
    </row>
    <row r="293" customFormat="false" ht="15.75" hidden="false" customHeight="false" outlineLevel="0" collapsed="false">
      <c r="A293" s="127"/>
      <c r="B293" s="127"/>
      <c r="C293" s="127"/>
      <c r="D293" s="127"/>
      <c r="E293" s="127"/>
      <c r="F293" s="127"/>
      <c r="G293" s="127"/>
      <c r="H293" s="127"/>
      <c r="I293" s="127"/>
      <c r="J293" s="127"/>
      <c r="K293" s="127"/>
      <c r="L293" s="127"/>
      <c r="M293" s="127"/>
      <c r="N293" s="127"/>
      <c r="O293" s="127"/>
      <c r="P293" s="127"/>
      <c r="Q293" s="127"/>
      <c r="R293" s="127"/>
      <c r="S293" s="127"/>
      <c r="T293" s="127"/>
      <c r="U293" s="127"/>
      <c r="V293" s="127"/>
      <c r="W293" s="127"/>
      <c r="X293" s="127"/>
      <c r="Y293" s="127"/>
      <c r="Z293" s="127"/>
    </row>
    <row r="294" customFormat="false" ht="15.75" hidden="false" customHeight="false" outlineLevel="0" collapsed="false">
      <c r="A294" s="127"/>
      <c r="B294" s="127"/>
      <c r="C294" s="127"/>
      <c r="D294" s="127"/>
      <c r="E294" s="127"/>
      <c r="F294" s="127"/>
      <c r="G294" s="127"/>
      <c r="H294" s="127"/>
      <c r="I294" s="127"/>
      <c r="J294" s="127"/>
      <c r="K294" s="127"/>
      <c r="L294" s="127"/>
      <c r="M294" s="127"/>
      <c r="N294" s="127"/>
      <c r="O294" s="127"/>
      <c r="P294" s="127"/>
      <c r="Q294" s="127"/>
      <c r="R294" s="127"/>
      <c r="S294" s="127"/>
      <c r="T294" s="127"/>
      <c r="U294" s="127"/>
      <c r="V294" s="127"/>
      <c r="W294" s="127"/>
      <c r="X294" s="127"/>
      <c r="Y294" s="127"/>
      <c r="Z294" s="127"/>
    </row>
    <row r="295" customFormat="false" ht="15.75" hidden="false" customHeight="false" outlineLevel="0" collapsed="false">
      <c r="A295" s="127"/>
      <c r="B295" s="127"/>
      <c r="C295" s="127"/>
      <c r="D295" s="127"/>
      <c r="E295" s="127"/>
      <c r="F295" s="127"/>
      <c r="G295" s="127"/>
      <c r="H295" s="127"/>
      <c r="I295" s="127"/>
      <c r="J295" s="127"/>
      <c r="K295" s="127"/>
      <c r="L295" s="127"/>
      <c r="M295" s="127"/>
      <c r="N295" s="127"/>
      <c r="O295" s="127"/>
      <c r="P295" s="127"/>
      <c r="Q295" s="127"/>
      <c r="R295" s="127"/>
      <c r="S295" s="127"/>
      <c r="T295" s="127"/>
      <c r="U295" s="127"/>
      <c r="V295" s="127"/>
      <c r="W295" s="127"/>
      <c r="X295" s="127"/>
      <c r="Y295" s="127"/>
      <c r="Z295" s="127"/>
    </row>
    <row r="296" customFormat="false" ht="15.75" hidden="false" customHeight="false" outlineLevel="0" collapsed="false">
      <c r="A296" s="127"/>
      <c r="B296" s="127"/>
      <c r="C296" s="127"/>
      <c r="D296" s="127"/>
      <c r="E296" s="127"/>
      <c r="F296" s="127"/>
      <c r="G296" s="127"/>
      <c r="H296" s="127"/>
      <c r="I296" s="127"/>
      <c r="J296" s="127"/>
      <c r="K296" s="127"/>
      <c r="L296" s="127"/>
      <c r="M296" s="127"/>
      <c r="N296" s="127"/>
      <c r="O296" s="127"/>
      <c r="P296" s="127"/>
      <c r="Q296" s="127"/>
      <c r="R296" s="127"/>
      <c r="S296" s="127"/>
      <c r="T296" s="127"/>
      <c r="U296" s="127"/>
      <c r="V296" s="127"/>
      <c r="W296" s="127"/>
      <c r="X296" s="127"/>
      <c r="Y296" s="127"/>
      <c r="Z296" s="127"/>
    </row>
    <row r="297" customFormat="false" ht="15.75" hidden="false" customHeight="false" outlineLevel="0" collapsed="false">
      <c r="A297" s="127"/>
      <c r="B297" s="127"/>
      <c r="C297" s="127"/>
      <c r="D297" s="127"/>
      <c r="E297" s="127"/>
      <c r="F297" s="127"/>
      <c r="G297" s="127"/>
      <c r="H297" s="127"/>
      <c r="I297" s="127"/>
      <c r="J297" s="127"/>
      <c r="K297" s="127"/>
      <c r="L297" s="127"/>
      <c r="M297" s="127"/>
      <c r="N297" s="127"/>
      <c r="O297" s="127"/>
      <c r="P297" s="127"/>
      <c r="Q297" s="127"/>
      <c r="R297" s="127"/>
      <c r="S297" s="127"/>
      <c r="T297" s="127"/>
      <c r="U297" s="127"/>
      <c r="V297" s="127"/>
      <c r="W297" s="127"/>
      <c r="X297" s="127"/>
      <c r="Y297" s="127"/>
      <c r="Z297" s="127"/>
    </row>
    <row r="298" customFormat="false" ht="15.75" hidden="false" customHeight="false" outlineLevel="0" collapsed="false">
      <c r="A298" s="127"/>
      <c r="B298" s="127"/>
      <c r="C298" s="127"/>
      <c r="D298" s="127"/>
      <c r="E298" s="127"/>
      <c r="F298" s="127"/>
      <c r="G298" s="127"/>
      <c r="H298" s="127"/>
      <c r="I298" s="127"/>
      <c r="J298" s="127"/>
      <c r="K298" s="127"/>
      <c r="L298" s="127"/>
      <c r="M298" s="127"/>
      <c r="N298" s="127"/>
      <c r="O298" s="127"/>
      <c r="P298" s="127"/>
      <c r="Q298" s="127"/>
      <c r="R298" s="127"/>
      <c r="S298" s="127"/>
      <c r="T298" s="127"/>
      <c r="U298" s="127"/>
      <c r="V298" s="127"/>
      <c r="W298" s="127"/>
      <c r="X298" s="127"/>
      <c r="Y298" s="127"/>
      <c r="Z298" s="127"/>
    </row>
    <row r="299" customFormat="false" ht="15.75" hidden="false" customHeight="false" outlineLevel="0" collapsed="false">
      <c r="A299" s="127"/>
      <c r="B299" s="127"/>
      <c r="C299" s="127"/>
      <c r="D299" s="127"/>
      <c r="E299" s="127"/>
      <c r="F299" s="127"/>
      <c r="G299" s="127"/>
      <c r="H299" s="127"/>
      <c r="I299" s="127"/>
      <c r="J299" s="127"/>
      <c r="K299" s="127"/>
      <c r="L299" s="127"/>
      <c r="M299" s="127"/>
      <c r="N299" s="127"/>
      <c r="O299" s="127"/>
      <c r="P299" s="127"/>
      <c r="Q299" s="127"/>
      <c r="R299" s="127"/>
      <c r="S299" s="127"/>
      <c r="T299" s="127"/>
      <c r="U299" s="127"/>
      <c r="V299" s="127"/>
      <c r="W299" s="127"/>
      <c r="X299" s="127"/>
      <c r="Y299" s="127"/>
      <c r="Z299" s="127"/>
    </row>
    <row r="300" customFormat="false" ht="15.75" hidden="false" customHeight="false" outlineLevel="0" collapsed="false">
      <c r="A300" s="127"/>
      <c r="B300" s="127"/>
      <c r="C300" s="127"/>
      <c r="D300" s="127"/>
      <c r="E300" s="127"/>
      <c r="F300" s="127"/>
      <c r="G300" s="127"/>
      <c r="H300" s="127"/>
      <c r="I300" s="127"/>
      <c r="J300" s="127"/>
      <c r="K300" s="127"/>
      <c r="L300" s="127"/>
      <c r="M300" s="127"/>
      <c r="N300" s="127"/>
      <c r="O300" s="127"/>
      <c r="P300" s="127"/>
      <c r="Q300" s="127"/>
      <c r="R300" s="127"/>
      <c r="S300" s="127"/>
      <c r="T300" s="127"/>
      <c r="U300" s="127"/>
      <c r="V300" s="127"/>
      <c r="W300" s="127"/>
      <c r="X300" s="127"/>
      <c r="Y300" s="127"/>
      <c r="Z300" s="127"/>
    </row>
    <row r="301" customFormat="false" ht="15.75" hidden="false" customHeight="false" outlineLevel="0" collapsed="false">
      <c r="A301" s="127"/>
      <c r="B301" s="127"/>
      <c r="C301" s="127"/>
      <c r="D301" s="127"/>
      <c r="E301" s="127"/>
      <c r="F301" s="127"/>
      <c r="G301" s="127"/>
      <c r="H301" s="127"/>
      <c r="I301" s="127"/>
      <c r="J301" s="127"/>
      <c r="K301" s="127"/>
      <c r="L301" s="127"/>
      <c r="M301" s="127"/>
      <c r="N301" s="127"/>
      <c r="O301" s="127"/>
      <c r="P301" s="127"/>
      <c r="Q301" s="127"/>
      <c r="R301" s="127"/>
      <c r="S301" s="127"/>
      <c r="T301" s="127"/>
      <c r="U301" s="127"/>
      <c r="V301" s="127"/>
      <c r="W301" s="127"/>
      <c r="X301" s="127"/>
      <c r="Y301" s="127"/>
      <c r="Z301" s="127"/>
    </row>
    <row r="302" customFormat="false" ht="15.75" hidden="false" customHeight="false" outlineLevel="0" collapsed="false">
      <c r="A302" s="127"/>
      <c r="B302" s="127"/>
      <c r="C302" s="127"/>
      <c r="D302" s="127"/>
      <c r="E302" s="127"/>
      <c r="F302" s="127"/>
      <c r="G302" s="127"/>
      <c r="H302" s="127"/>
      <c r="I302" s="127"/>
      <c r="J302" s="127"/>
      <c r="K302" s="127"/>
      <c r="L302" s="127"/>
      <c r="M302" s="127"/>
      <c r="N302" s="127"/>
      <c r="O302" s="127"/>
      <c r="P302" s="127"/>
      <c r="Q302" s="127"/>
      <c r="R302" s="127"/>
      <c r="S302" s="127"/>
      <c r="T302" s="127"/>
      <c r="U302" s="127"/>
      <c r="V302" s="127"/>
      <c r="W302" s="127"/>
      <c r="X302" s="127"/>
      <c r="Y302" s="127"/>
      <c r="Z302" s="127"/>
    </row>
    <row r="303" customFormat="false" ht="15.75" hidden="false" customHeight="false" outlineLevel="0" collapsed="false">
      <c r="A303" s="127"/>
      <c r="B303" s="127"/>
      <c r="C303" s="127"/>
      <c r="D303" s="127"/>
      <c r="E303" s="127"/>
      <c r="F303" s="127"/>
      <c r="G303" s="127"/>
      <c r="H303" s="127"/>
      <c r="I303" s="127"/>
      <c r="J303" s="127"/>
      <c r="K303" s="127"/>
      <c r="L303" s="127"/>
      <c r="M303" s="127"/>
      <c r="N303" s="127"/>
      <c r="O303" s="127"/>
      <c r="P303" s="127"/>
      <c r="Q303" s="127"/>
      <c r="R303" s="127"/>
      <c r="S303" s="127"/>
      <c r="T303" s="127"/>
      <c r="U303" s="127"/>
      <c r="V303" s="127"/>
      <c r="W303" s="127"/>
      <c r="X303" s="127"/>
      <c r="Y303" s="127"/>
      <c r="Z303" s="127"/>
    </row>
    <row r="304" customFormat="false" ht="15.75" hidden="false" customHeight="false" outlineLevel="0" collapsed="false">
      <c r="A304" s="127"/>
      <c r="B304" s="127"/>
      <c r="C304" s="127"/>
      <c r="D304" s="127"/>
      <c r="E304" s="127"/>
      <c r="F304" s="127"/>
      <c r="G304" s="127"/>
      <c r="H304" s="127"/>
      <c r="I304" s="127"/>
      <c r="J304" s="127"/>
      <c r="K304" s="127"/>
      <c r="L304" s="127"/>
      <c r="M304" s="127"/>
      <c r="N304" s="127"/>
      <c r="O304" s="127"/>
      <c r="P304" s="127"/>
      <c r="Q304" s="127"/>
      <c r="R304" s="127"/>
      <c r="S304" s="127"/>
      <c r="T304" s="127"/>
      <c r="U304" s="127"/>
      <c r="V304" s="127"/>
      <c r="W304" s="127"/>
      <c r="X304" s="127"/>
      <c r="Y304" s="127"/>
      <c r="Z304" s="127"/>
    </row>
    <row r="305" customFormat="false" ht="15.75" hidden="false" customHeight="false" outlineLevel="0" collapsed="false">
      <c r="A305" s="127"/>
      <c r="B305" s="127"/>
      <c r="C305" s="127"/>
      <c r="D305" s="127"/>
      <c r="E305" s="127"/>
      <c r="F305" s="127"/>
      <c r="G305" s="127"/>
      <c r="H305" s="127"/>
      <c r="I305" s="127"/>
      <c r="J305" s="127"/>
      <c r="K305" s="127"/>
      <c r="L305" s="127"/>
      <c r="M305" s="127"/>
      <c r="N305" s="127"/>
      <c r="O305" s="127"/>
      <c r="P305" s="127"/>
      <c r="Q305" s="127"/>
      <c r="R305" s="127"/>
      <c r="S305" s="127"/>
      <c r="T305" s="127"/>
      <c r="U305" s="127"/>
      <c r="V305" s="127"/>
      <c r="W305" s="127"/>
      <c r="X305" s="127"/>
      <c r="Y305" s="127"/>
      <c r="Z305" s="127"/>
    </row>
    <row r="306" customFormat="false" ht="15.75" hidden="false" customHeight="false" outlineLevel="0" collapsed="false">
      <c r="A306" s="127"/>
      <c r="B306" s="127"/>
      <c r="C306" s="127"/>
      <c r="D306" s="127"/>
      <c r="E306" s="127"/>
      <c r="F306" s="127"/>
      <c r="G306" s="127"/>
      <c r="H306" s="127"/>
      <c r="I306" s="127"/>
      <c r="J306" s="127"/>
      <c r="K306" s="127"/>
      <c r="L306" s="127"/>
      <c r="M306" s="127"/>
      <c r="N306" s="127"/>
      <c r="O306" s="127"/>
      <c r="P306" s="127"/>
      <c r="Q306" s="127"/>
      <c r="R306" s="127"/>
      <c r="S306" s="127"/>
      <c r="T306" s="127"/>
      <c r="U306" s="127"/>
      <c r="V306" s="127"/>
      <c r="W306" s="127"/>
      <c r="X306" s="127"/>
      <c r="Y306" s="127"/>
      <c r="Z306" s="127"/>
    </row>
    <row r="307" customFormat="false" ht="15.75" hidden="false" customHeight="false" outlineLevel="0" collapsed="false">
      <c r="A307" s="127"/>
      <c r="B307" s="127"/>
      <c r="C307" s="127"/>
      <c r="D307" s="127"/>
      <c r="E307" s="127"/>
      <c r="F307" s="127"/>
      <c r="G307" s="127"/>
      <c r="H307" s="127"/>
      <c r="I307" s="127"/>
      <c r="J307" s="127"/>
      <c r="K307" s="127"/>
      <c r="L307" s="127"/>
      <c r="M307" s="127"/>
      <c r="N307" s="127"/>
      <c r="O307" s="127"/>
      <c r="P307" s="127"/>
      <c r="Q307" s="127"/>
      <c r="R307" s="127"/>
      <c r="S307" s="127"/>
      <c r="T307" s="127"/>
      <c r="U307" s="127"/>
      <c r="V307" s="127"/>
      <c r="W307" s="127"/>
      <c r="X307" s="127"/>
      <c r="Y307" s="127"/>
      <c r="Z307" s="127"/>
    </row>
    <row r="308" customFormat="false" ht="15.75" hidden="false" customHeight="false" outlineLevel="0" collapsed="false">
      <c r="A308" s="127"/>
      <c r="B308" s="127"/>
      <c r="C308" s="127"/>
      <c r="D308" s="127"/>
      <c r="E308" s="127"/>
      <c r="F308" s="127"/>
      <c r="G308" s="127"/>
      <c r="H308" s="127"/>
      <c r="I308" s="127"/>
      <c r="J308" s="127"/>
      <c r="K308" s="127"/>
      <c r="L308" s="127"/>
      <c r="M308" s="127"/>
      <c r="N308" s="127"/>
      <c r="O308" s="127"/>
      <c r="P308" s="127"/>
      <c r="Q308" s="127"/>
      <c r="R308" s="127"/>
      <c r="S308" s="127"/>
      <c r="T308" s="127"/>
      <c r="U308" s="127"/>
      <c r="V308" s="127"/>
      <c r="W308" s="127"/>
      <c r="X308" s="127"/>
      <c r="Y308" s="127"/>
      <c r="Z308" s="127"/>
    </row>
    <row r="309" customFormat="false" ht="15.75" hidden="false" customHeight="false" outlineLevel="0" collapsed="false">
      <c r="A309" s="127"/>
      <c r="B309" s="127"/>
      <c r="C309" s="127"/>
      <c r="D309" s="127"/>
      <c r="E309" s="127"/>
      <c r="F309" s="127"/>
      <c r="G309" s="127"/>
      <c r="H309" s="127"/>
      <c r="I309" s="127"/>
      <c r="J309" s="127"/>
      <c r="K309" s="127"/>
      <c r="L309" s="127"/>
      <c r="M309" s="127"/>
      <c r="N309" s="127"/>
      <c r="O309" s="127"/>
      <c r="P309" s="127"/>
      <c r="Q309" s="127"/>
      <c r="R309" s="127"/>
      <c r="S309" s="127"/>
      <c r="T309" s="127"/>
      <c r="U309" s="127"/>
      <c r="V309" s="127"/>
      <c r="W309" s="127"/>
      <c r="X309" s="127"/>
      <c r="Y309" s="127"/>
      <c r="Z309" s="127"/>
    </row>
    <row r="310" customFormat="false" ht="15.75" hidden="false" customHeight="false" outlineLevel="0" collapsed="false">
      <c r="A310" s="127"/>
      <c r="B310" s="127"/>
      <c r="C310" s="127"/>
      <c r="D310" s="127"/>
      <c r="E310" s="127"/>
      <c r="F310" s="127"/>
      <c r="G310" s="127"/>
      <c r="H310" s="127"/>
      <c r="I310" s="127"/>
      <c r="J310" s="127"/>
      <c r="K310" s="127"/>
      <c r="L310" s="127"/>
      <c r="M310" s="127"/>
      <c r="N310" s="127"/>
      <c r="O310" s="127"/>
      <c r="P310" s="127"/>
      <c r="Q310" s="127"/>
      <c r="R310" s="127"/>
      <c r="S310" s="127"/>
      <c r="T310" s="127"/>
      <c r="U310" s="127"/>
      <c r="V310" s="127"/>
      <c r="W310" s="127"/>
      <c r="X310" s="127"/>
      <c r="Y310" s="127"/>
      <c r="Z310" s="127"/>
    </row>
    <row r="311" customFormat="false" ht="15.75" hidden="false" customHeight="false" outlineLevel="0" collapsed="false">
      <c r="A311" s="127"/>
      <c r="B311" s="127"/>
      <c r="C311" s="127"/>
      <c r="D311" s="127"/>
      <c r="E311" s="127"/>
      <c r="F311" s="127"/>
      <c r="G311" s="127"/>
      <c r="H311" s="127"/>
      <c r="I311" s="127"/>
      <c r="J311" s="127"/>
      <c r="K311" s="127"/>
      <c r="L311" s="127"/>
      <c r="M311" s="127"/>
      <c r="N311" s="127"/>
      <c r="O311" s="127"/>
      <c r="P311" s="127"/>
      <c r="Q311" s="127"/>
      <c r="R311" s="127"/>
      <c r="S311" s="127"/>
      <c r="T311" s="127"/>
      <c r="U311" s="127"/>
      <c r="V311" s="127"/>
      <c r="W311" s="127"/>
      <c r="X311" s="127"/>
      <c r="Y311" s="127"/>
      <c r="Z311" s="127"/>
    </row>
    <row r="312" customFormat="false" ht="15.75" hidden="false" customHeight="false" outlineLevel="0" collapsed="false">
      <c r="A312" s="127"/>
      <c r="B312" s="127"/>
      <c r="C312" s="127"/>
      <c r="D312" s="127"/>
      <c r="E312" s="127"/>
      <c r="F312" s="127"/>
      <c r="G312" s="127"/>
      <c r="H312" s="127"/>
      <c r="I312" s="127"/>
      <c r="J312" s="127"/>
      <c r="K312" s="127"/>
      <c r="L312" s="127"/>
      <c r="M312" s="127"/>
      <c r="N312" s="127"/>
      <c r="O312" s="127"/>
      <c r="P312" s="127"/>
      <c r="Q312" s="127"/>
      <c r="R312" s="127"/>
      <c r="S312" s="127"/>
      <c r="T312" s="127"/>
      <c r="U312" s="127"/>
      <c r="V312" s="127"/>
      <c r="W312" s="127"/>
      <c r="X312" s="127"/>
      <c r="Y312" s="127"/>
      <c r="Z312" s="127"/>
    </row>
    <row r="313" customFormat="false" ht="15.75" hidden="false" customHeight="false" outlineLevel="0" collapsed="false">
      <c r="A313" s="127"/>
      <c r="B313" s="127"/>
      <c r="C313" s="127"/>
      <c r="D313" s="127"/>
      <c r="E313" s="127"/>
      <c r="F313" s="127"/>
      <c r="G313" s="127"/>
      <c r="H313" s="127"/>
      <c r="I313" s="127"/>
      <c r="J313" s="127"/>
      <c r="K313" s="127"/>
      <c r="L313" s="127"/>
      <c r="M313" s="127"/>
      <c r="N313" s="127"/>
      <c r="O313" s="127"/>
      <c r="P313" s="127"/>
      <c r="Q313" s="127"/>
      <c r="R313" s="127"/>
      <c r="S313" s="127"/>
      <c r="T313" s="127"/>
      <c r="U313" s="127"/>
      <c r="V313" s="127"/>
      <c r="W313" s="127"/>
      <c r="X313" s="127"/>
      <c r="Y313" s="127"/>
      <c r="Z313" s="127"/>
    </row>
    <row r="314" customFormat="false" ht="15.75" hidden="false" customHeight="false" outlineLevel="0" collapsed="false">
      <c r="A314" s="127"/>
      <c r="B314" s="127"/>
      <c r="C314" s="127"/>
      <c r="D314" s="127"/>
      <c r="E314" s="127"/>
      <c r="F314" s="127"/>
      <c r="G314" s="127"/>
      <c r="H314" s="127"/>
      <c r="I314" s="127"/>
      <c r="J314" s="127"/>
      <c r="K314" s="127"/>
      <c r="L314" s="127"/>
      <c r="M314" s="127"/>
      <c r="N314" s="127"/>
      <c r="O314" s="127"/>
      <c r="P314" s="127"/>
      <c r="Q314" s="127"/>
      <c r="R314" s="127"/>
      <c r="S314" s="127"/>
      <c r="T314" s="127"/>
      <c r="U314" s="127"/>
      <c r="V314" s="127"/>
      <c r="W314" s="127"/>
      <c r="X314" s="127"/>
      <c r="Y314" s="127"/>
      <c r="Z314" s="127"/>
    </row>
    <row r="315" customFormat="false" ht="15.75" hidden="false" customHeight="false" outlineLevel="0" collapsed="false">
      <c r="A315" s="127"/>
      <c r="B315" s="127"/>
      <c r="C315" s="127"/>
      <c r="D315" s="127"/>
      <c r="E315" s="127"/>
      <c r="F315" s="127"/>
      <c r="G315" s="127"/>
      <c r="H315" s="127"/>
      <c r="I315" s="127"/>
      <c r="J315" s="127"/>
      <c r="K315" s="127"/>
      <c r="L315" s="127"/>
      <c r="M315" s="127"/>
      <c r="N315" s="127"/>
      <c r="O315" s="127"/>
      <c r="P315" s="127"/>
      <c r="Q315" s="127"/>
      <c r="R315" s="127"/>
      <c r="S315" s="127"/>
      <c r="T315" s="127"/>
      <c r="U315" s="127"/>
      <c r="V315" s="127"/>
      <c r="W315" s="127"/>
      <c r="X315" s="127"/>
      <c r="Y315" s="127"/>
      <c r="Z315" s="127"/>
    </row>
    <row r="316" customFormat="false" ht="15.75" hidden="false" customHeight="false" outlineLevel="0" collapsed="false">
      <c r="A316" s="127"/>
      <c r="B316" s="127"/>
      <c r="C316" s="127"/>
      <c r="D316" s="127"/>
      <c r="E316" s="127"/>
      <c r="F316" s="127"/>
      <c r="G316" s="127"/>
      <c r="H316" s="127"/>
      <c r="I316" s="127"/>
      <c r="J316" s="127"/>
      <c r="K316" s="127"/>
      <c r="L316" s="127"/>
      <c r="M316" s="127"/>
      <c r="N316" s="127"/>
      <c r="O316" s="127"/>
      <c r="P316" s="127"/>
      <c r="Q316" s="127"/>
      <c r="R316" s="127"/>
      <c r="S316" s="127"/>
      <c r="T316" s="127"/>
      <c r="U316" s="127"/>
      <c r="V316" s="127"/>
      <c r="W316" s="127"/>
      <c r="X316" s="127"/>
      <c r="Y316" s="127"/>
      <c r="Z316" s="127"/>
    </row>
    <row r="317" customFormat="false" ht="15.75" hidden="false" customHeight="false" outlineLevel="0" collapsed="false">
      <c r="A317" s="127"/>
      <c r="B317" s="127"/>
      <c r="C317" s="127"/>
      <c r="D317" s="127"/>
      <c r="E317" s="127"/>
      <c r="F317" s="127"/>
      <c r="G317" s="127"/>
      <c r="H317" s="127"/>
      <c r="I317" s="127"/>
      <c r="J317" s="127"/>
      <c r="K317" s="127"/>
      <c r="L317" s="127"/>
      <c r="M317" s="127"/>
      <c r="N317" s="127"/>
      <c r="O317" s="127"/>
      <c r="P317" s="127"/>
      <c r="Q317" s="127"/>
      <c r="R317" s="127"/>
      <c r="S317" s="127"/>
      <c r="T317" s="127"/>
      <c r="U317" s="127"/>
      <c r="V317" s="127"/>
      <c r="W317" s="127"/>
      <c r="X317" s="127"/>
      <c r="Y317" s="127"/>
      <c r="Z317" s="127"/>
    </row>
    <row r="318" customFormat="false" ht="15.75" hidden="false" customHeight="false" outlineLevel="0" collapsed="false">
      <c r="A318" s="127"/>
      <c r="B318" s="127"/>
      <c r="C318" s="127"/>
      <c r="D318" s="127"/>
      <c r="E318" s="127"/>
      <c r="F318" s="127"/>
      <c r="G318" s="127"/>
      <c r="H318" s="127"/>
      <c r="I318" s="127"/>
      <c r="J318" s="127"/>
      <c r="K318" s="127"/>
      <c r="L318" s="127"/>
      <c r="M318" s="127"/>
      <c r="N318" s="127"/>
      <c r="O318" s="127"/>
      <c r="P318" s="127"/>
      <c r="Q318" s="127"/>
      <c r="R318" s="127"/>
      <c r="S318" s="127"/>
      <c r="T318" s="127"/>
      <c r="U318" s="127"/>
      <c r="V318" s="127"/>
      <c r="W318" s="127"/>
      <c r="X318" s="127"/>
      <c r="Y318" s="127"/>
      <c r="Z318" s="127"/>
    </row>
    <row r="319" customFormat="false" ht="15.75" hidden="false" customHeight="false" outlineLevel="0" collapsed="false">
      <c r="A319" s="127"/>
      <c r="B319" s="127"/>
      <c r="C319" s="127"/>
      <c r="D319" s="127"/>
      <c r="E319" s="127"/>
      <c r="F319" s="127"/>
      <c r="G319" s="127"/>
      <c r="H319" s="127"/>
      <c r="I319" s="127"/>
      <c r="J319" s="127"/>
      <c r="K319" s="127"/>
      <c r="L319" s="127"/>
      <c r="M319" s="127"/>
      <c r="N319" s="127"/>
      <c r="O319" s="127"/>
      <c r="P319" s="127"/>
      <c r="Q319" s="127"/>
      <c r="R319" s="127"/>
      <c r="S319" s="127"/>
      <c r="T319" s="127"/>
      <c r="U319" s="127"/>
      <c r="V319" s="127"/>
      <c r="W319" s="127"/>
      <c r="X319" s="127"/>
      <c r="Y319" s="127"/>
      <c r="Z319" s="127"/>
    </row>
    <row r="320" customFormat="false" ht="15.75" hidden="false" customHeight="false" outlineLevel="0" collapsed="false">
      <c r="A320" s="127"/>
      <c r="B320" s="127"/>
      <c r="C320" s="127"/>
      <c r="D320" s="127"/>
      <c r="E320" s="127"/>
      <c r="F320" s="127"/>
      <c r="G320" s="127"/>
      <c r="H320" s="127"/>
      <c r="I320" s="127"/>
      <c r="J320" s="127"/>
      <c r="K320" s="127"/>
      <c r="L320" s="127"/>
      <c r="M320" s="127"/>
      <c r="N320" s="127"/>
      <c r="O320" s="127"/>
      <c r="P320" s="127"/>
      <c r="Q320" s="127"/>
      <c r="R320" s="127"/>
      <c r="S320" s="127"/>
      <c r="T320" s="127"/>
      <c r="U320" s="127"/>
      <c r="V320" s="127"/>
      <c r="W320" s="127"/>
      <c r="X320" s="127"/>
      <c r="Y320" s="127"/>
      <c r="Z320" s="127"/>
    </row>
    <row r="321" customFormat="false" ht="15.75" hidden="false" customHeight="false" outlineLevel="0" collapsed="false">
      <c r="A321" s="127"/>
      <c r="B321" s="127"/>
      <c r="C321" s="127"/>
      <c r="D321" s="127"/>
      <c r="E321" s="127"/>
      <c r="F321" s="127"/>
      <c r="G321" s="127"/>
      <c r="H321" s="127"/>
      <c r="I321" s="127"/>
      <c r="J321" s="127"/>
      <c r="K321" s="127"/>
      <c r="L321" s="127"/>
      <c r="M321" s="127"/>
      <c r="N321" s="127"/>
      <c r="O321" s="127"/>
      <c r="P321" s="127"/>
      <c r="Q321" s="127"/>
      <c r="R321" s="127"/>
      <c r="S321" s="127"/>
      <c r="T321" s="127"/>
      <c r="U321" s="127"/>
      <c r="V321" s="127"/>
      <c r="W321" s="127"/>
      <c r="X321" s="127"/>
      <c r="Y321" s="127"/>
      <c r="Z321" s="127"/>
    </row>
    <row r="322" customFormat="false" ht="15.75" hidden="false" customHeight="false" outlineLevel="0" collapsed="false">
      <c r="A322" s="127"/>
      <c r="B322" s="127"/>
      <c r="C322" s="127"/>
      <c r="D322" s="127"/>
      <c r="E322" s="127"/>
      <c r="F322" s="127"/>
      <c r="G322" s="127"/>
      <c r="H322" s="127"/>
      <c r="I322" s="127"/>
      <c r="J322" s="127"/>
      <c r="K322" s="127"/>
      <c r="L322" s="127"/>
      <c r="M322" s="127"/>
      <c r="N322" s="127"/>
      <c r="O322" s="127"/>
      <c r="P322" s="127"/>
      <c r="Q322" s="127"/>
      <c r="R322" s="127"/>
      <c r="S322" s="127"/>
      <c r="T322" s="127"/>
      <c r="U322" s="127"/>
      <c r="V322" s="127"/>
      <c r="W322" s="127"/>
      <c r="X322" s="127"/>
      <c r="Y322" s="127"/>
      <c r="Z322" s="127"/>
    </row>
    <row r="323" customFormat="false" ht="15.75" hidden="false" customHeight="false" outlineLevel="0" collapsed="false">
      <c r="A323" s="127"/>
      <c r="B323" s="127"/>
      <c r="C323" s="127"/>
      <c r="D323" s="127"/>
      <c r="E323" s="127"/>
      <c r="F323" s="127"/>
      <c r="G323" s="127"/>
      <c r="H323" s="127"/>
      <c r="I323" s="127"/>
      <c r="J323" s="127"/>
      <c r="K323" s="127"/>
      <c r="L323" s="127"/>
      <c r="M323" s="127"/>
      <c r="N323" s="127"/>
      <c r="O323" s="127"/>
      <c r="P323" s="127"/>
      <c r="Q323" s="127"/>
      <c r="R323" s="127"/>
      <c r="S323" s="127"/>
      <c r="T323" s="127"/>
      <c r="U323" s="127"/>
      <c r="V323" s="127"/>
      <c r="W323" s="127"/>
      <c r="X323" s="127"/>
      <c r="Y323" s="127"/>
      <c r="Z323" s="127"/>
    </row>
    <row r="324" customFormat="false" ht="15.75" hidden="false" customHeight="false" outlineLevel="0" collapsed="false">
      <c r="A324" s="127"/>
      <c r="B324" s="127"/>
      <c r="C324" s="127"/>
      <c r="D324" s="127"/>
      <c r="E324" s="127"/>
      <c r="F324" s="127"/>
      <c r="G324" s="127"/>
      <c r="H324" s="127"/>
      <c r="I324" s="127"/>
      <c r="J324" s="127"/>
      <c r="K324" s="127"/>
      <c r="L324" s="127"/>
      <c r="M324" s="127"/>
      <c r="N324" s="127"/>
      <c r="O324" s="127"/>
      <c r="P324" s="127"/>
      <c r="Q324" s="127"/>
      <c r="R324" s="127"/>
      <c r="S324" s="127"/>
      <c r="T324" s="127"/>
      <c r="U324" s="127"/>
      <c r="V324" s="127"/>
      <c r="W324" s="127"/>
      <c r="X324" s="127"/>
      <c r="Y324" s="127"/>
      <c r="Z324" s="127"/>
    </row>
    <row r="325" customFormat="false" ht="15.75" hidden="false" customHeight="false" outlineLevel="0" collapsed="false">
      <c r="A325" s="127"/>
      <c r="B325" s="127"/>
      <c r="C325" s="127"/>
      <c r="D325" s="127"/>
      <c r="E325" s="127"/>
      <c r="F325" s="127"/>
      <c r="G325" s="127"/>
      <c r="H325" s="127"/>
      <c r="I325" s="127"/>
      <c r="J325" s="127"/>
      <c r="K325" s="127"/>
      <c r="L325" s="127"/>
      <c r="M325" s="127"/>
      <c r="N325" s="127"/>
      <c r="O325" s="127"/>
      <c r="P325" s="127"/>
      <c r="Q325" s="127"/>
      <c r="R325" s="127"/>
      <c r="S325" s="127"/>
      <c r="T325" s="127"/>
      <c r="U325" s="127"/>
      <c r="V325" s="127"/>
      <c r="W325" s="127"/>
      <c r="X325" s="127"/>
      <c r="Y325" s="127"/>
      <c r="Z325" s="127"/>
    </row>
    <row r="326" customFormat="false" ht="15.75" hidden="false" customHeight="false" outlineLevel="0" collapsed="false">
      <c r="A326" s="127"/>
      <c r="B326" s="127"/>
      <c r="C326" s="127"/>
      <c r="D326" s="127"/>
      <c r="E326" s="127"/>
      <c r="F326" s="127"/>
      <c r="G326" s="127"/>
      <c r="H326" s="127"/>
      <c r="I326" s="127"/>
      <c r="J326" s="127"/>
      <c r="K326" s="127"/>
      <c r="L326" s="127"/>
      <c r="M326" s="127"/>
      <c r="N326" s="127"/>
      <c r="O326" s="127"/>
      <c r="P326" s="127"/>
      <c r="Q326" s="127"/>
      <c r="R326" s="127"/>
      <c r="S326" s="127"/>
      <c r="T326" s="127"/>
      <c r="U326" s="127"/>
      <c r="V326" s="127"/>
      <c r="W326" s="127"/>
      <c r="X326" s="127"/>
      <c r="Y326" s="127"/>
      <c r="Z326" s="127"/>
    </row>
    <row r="327" customFormat="false" ht="15.75" hidden="false" customHeight="false" outlineLevel="0" collapsed="false">
      <c r="A327" s="127"/>
      <c r="B327" s="127"/>
      <c r="C327" s="127"/>
      <c r="D327" s="127"/>
      <c r="E327" s="127"/>
      <c r="F327" s="127"/>
      <c r="G327" s="127"/>
      <c r="H327" s="127"/>
      <c r="I327" s="127"/>
      <c r="J327" s="127"/>
      <c r="K327" s="127"/>
      <c r="L327" s="127"/>
      <c r="M327" s="127"/>
      <c r="N327" s="127"/>
      <c r="O327" s="127"/>
      <c r="P327" s="127"/>
      <c r="Q327" s="127"/>
      <c r="R327" s="127"/>
      <c r="S327" s="127"/>
      <c r="T327" s="127"/>
      <c r="U327" s="127"/>
      <c r="V327" s="127"/>
      <c r="W327" s="127"/>
      <c r="X327" s="127"/>
      <c r="Y327" s="127"/>
      <c r="Z327" s="127"/>
    </row>
    <row r="328" customFormat="false" ht="15.75" hidden="false" customHeight="false" outlineLevel="0" collapsed="false">
      <c r="A328" s="127"/>
      <c r="B328" s="127"/>
      <c r="C328" s="127"/>
      <c r="D328" s="127"/>
      <c r="E328" s="127"/>
      <c r="F328" s="127"/>
      <c r="G328" s="127"/>
      <c r="H328" s="127"/>
      <c r="I328" s="127"/>
      <c r="J328" s="127"/>
      <c r="K328" s="127"/>
      <c r="L328" s="127"/>
      <c r="M328" s="127"/>
      <c r="N328" s="127"/>
      <c r="O328" s="127"/>
      <c r="P328" s="127"/>
      <c r="Q328" s="127"/>
      <c r="R328" s="127"/>
      <c r="S328" s="127"/>
      <c r="T328" s="127"/>
      <c r="U328" s="127"/>
      <c r="V328" s="127"/>
      <c r="W328" s="127"/>
      <c r="X328" s="127"/>
      <c r="Y328" s="127"/>
      <c r="Z328" s="127"/>
    </row>
    <row r="329" customFormat="false" ht="15.75" hidden="false" customHeight="false" outlineLevel="0" collapsed="false">
      <c r="A329" s="127"/>
      <c r="B329" s="127"/>
      <c r="C329" s="127"/>
      <c r="D329" s="127"/>
      <c r="E329" s="127"/>
      <c r="F329" s="127"/>
      <c r="G329" s="127"/>
      <c r="H329" s="127"/>
      <c r="I329" s="127"/>
      <c r="J329" s="127"/>
      <c r="K329" s="127"/>
      <c r="L329" s="127"/>
      <c r="M329" s="127"/>
      <c r="N329" s="127"/>
      <c r="O329" s="127"/>
      <c r="P329" s="127"/>
      <c r="Q329" s="127"/>
      <c r="R329" s="127"/>
      <c r="S329" s="127"/>
      <c r="T329" s="127"/>
      <c r="U329" s="127"/>
      <c r="V329" s="127"/>
      <c r="W329" s="127"/>
      <c r="X329" s="127"/>
      <c r="Y329" s="127"/>
      <c r="Z329" s="127"/>
    </row>
    <row r="330" customFormat="false" ht="15.75" hidden="false" customHeight="false" outlineLevel="0" collapsed="false">
      <c r="A330" s="127"/>
      <c r="B330" s="127"/>
      <c r="C330" s="127"/>
      <c r="D330" s="127"/>
      <c r="E330" s="127"/>
      <c r="F330" s="127"/>
      <c r="G330" s="127"/>
      <c r="H330" s="127"/>
      <c r="I330" s="127"/>
      <c r="J330" s="127"/>
      <c r="K330" s="127"/>
      <c r="L330" s="127"/>
      <c r="M330" s="127"/>
      <c r="N330" s="127"/>
      <c r="O330" s="127"/>
      <c r="P330" s="127"/>
      <c r="Q330" s="127"/>
      <c r="R330" s="127"/>
      <c r="S330" s="127"/>
      <c r="T330" s="127"/>
      <c r="U330" s="127"/>
      <c r="V330" s="127"/>
      <c r="W330" s="127"/>
      <c r="X330" s="127"/>
      <c r="Y330" s="127"/>
      <c r="Z330" s="127"/>
    </row>
    <row r="331" customFormat="false" ht="15.75" hidden="false" customHeight="false" outlineLevel="0" collapsed="false">
      <c r="A331" s="127"/>
      <c r="B331" s="127"/>
      <c r="C331" s="127"/>
      <c r="D331" s="127"/>
      <c r="E331" s="127"/>
      <c r="F331" s="127"/>
      <c r="G331" s="127"/>
      <c r="H331" s="127"/>
      <c r="I331" s="127"/>
      <c r="J331" s="127"/>
      <c r="K331" s="127"/>
      <c r="L331" s="127"/>
      <c r="M331" s="127"/>
      <c r="N331" s="127"/>
      <c r="O331" s="127"/>
      <c r="P331" s="127"/>
      <c r="Q331" s="127"/>
      <c r="R331" s="127"/>
      <c r="S331" s="127"/>
      <c r="T331" s="127"/>
      <c r="U331" s="127"/>
      <c r="V331" s="127"/>
      <c r="W331" s="127"/>
      <c r="X331" s="127"/>
      <c r="Y331" s="127"/>
      <c r="Z331" s="127"/>
    </row>
    <row r="332" customFormat="false" ht="15.75" hidden="false" customHeight="false" outlineLevel="0" collapsed="false">
      <c r="A332" s="127"/>
      <c r="B332" s="127"/>
      <c r="C332" s="127"/>
      <c r="D332" s="127"/>
      <c r="E332" s="127"/>
      <c r="F332" s="127"/>
      <c r="G332" s="127"/>
      <c r="H332" s="127"/>
      <c r="I332" s="127"/>
      <c r="J332" s="127"/>
      <c r="K332" s="127"/>
      <c r="L332" s="127"/>
      <c r="M332" s="127"/>
      <c r="N332" s="127"/>
      <c r="O332" s="127"/>
      <c r="P332" s="127"/>
      <c r="Q332" s="127"/>
      <c r="R332" s="127"/>
      <c r="S332" s="127"/>
      <c r="T332" s="127"/>
      <c r="U332" s="127"/>
      <c r="V332" s="127"/>
      <c r="W332" s="127"/>
      <c r="X332" s="127"/>
      <c r="Y332" s="127"/>
      <c r="Z332" s="127"/>
    </row>
    <row r="333" customFormat="false" ht="15.75" hidden="false" customHeight="false" outlineLevel="0" collapsed="false">
      <c r="A333" s="127"/>
      <c r="B333" s="127"/>
      <c r="C333" s="127"/>
      <c r="D333" s="127"/>
      <c r="E333" s="127"/>
      <c r="F333" s="127"/>
      <c r="G333" s="127"/>
      <c r="H333" s="127"/>
      <c r="I333" s="127"/>
      <c r="J333" s="127"/>
      <c r="K333" s="127"/>
      <c r="L333" s="127"/>
      <c r="M333" s="127"/>
      <c r="N333" s="127"/>
      <c r="O333" s="127"/>
      <c r="P333" s="127"/>
      <c r="Q333" s="127"/>
      <c r="R333" s="127"/>
      <c r="S333" s="127"/>
      <c r="T333" s="127"/>
      <c r="U333" s="127"/>
      <c r="V333" s="127"/>
      <c r="W333" s="127"/>
      <c r="X333" s="127"/>
      <c r="Y333" s="127"/>
      <c r="Z333" s="127"/>
    </row>
    <row r="334" customFormat="false" ht="15.75" hidden="false" customHeight="false" outlineLevel="0" collapsed="false">
      <c r="A334" s="127"/>
      <c r="B334" s="127"/>
      <c r="C334" s="127"/>
      <c r="D334" s="127"/>
      <c r="E334" s="127"/>
      <c r="F334" s="127"/>
      <c r="G334" s="127"/>
      <c r="H334" s="127"/>
      <c r="I334" s="127"/>
      <c r="J334" s="127"/>
      <c r="K334" s="127"/>
      <c r="L334" s="127"/>
      <c r="M334" s="127"/>
      <c r="N334" s="127"/>
      <c r="O334" s="127"/>
      <c r="P334" s="127"/>
      <c r="Q334" s="127"/>
      <c r="R334" s="127"/>
      <c r="S334" s="127"/>
      <c r="T334" s="127"/>
      <c r="U334" s="127"/>
      <c r="V334" s="127"/>
      <c r="W334" s="127"/>
      <c r="X334" s="127"/>
      <c r="Y334" s="127"/>
      <c r="Z334" s="127"/>
    </row>
    <row r="335" customFormat="false" ht="15.75" hidden="false" customHeight="false" outlineLevel="0" collapsed="false">
      <c r="A335" s="127"/>
      <c r="B335" s="127"/>
      <c r="C335" s="127"/>
      <c r="D335" s="127"/>
      <c r="E335" s="127"/>
      <c r="F335" s="127"/>
      <c r="G335" s="127"/>
      <c r="H335" s="127"/>
      <c r="I335" s="127"/>
      <c r="J335" s="127"/>
      <c r="K335" s="127"/>
      <c r="L335" s="127"/>
      <c r="M335" s="127"/>
      <c r="N335" s="127"/>
      <c r="O335" s="127"/>
      <c r="P335" s="127"/>
      <c r="Q335" s="127"/>
      <c r="R335" s="127"/>
      <c r="S335" s="127"/>
      <c r="T335" s="127"/>
      <c r="U335" s="127"/>
      <c r="V335" s="127"/>
      <c r="W335" s="127"/>
      <c r="X335" s="127"/>
      <c r="Y335" s="127"/>
      <c r="Z335" s="127"/>
    </row>
    <row r="336" customFormat="false" ht="15.75" hidden="false" customHeight="false" outlineLevel="0" collapsed="false">
      <c r="A336" s="127"/>
      <c r="B336" s="127"/>
      <c r="C336" s="127"/>
      <c r="D336" s="127"/>
      <c r="E336" s="127"/>
      <c r="F336" s="127"/>
      <c r="G336" s="127"/>
      <c r="H336" s="127"/>
      <c r="I336" s="127"/>
      <c r="J336" s="127"/>
      <c r="K336" s="127"/>
      <c r="L336" s="127"/>
      <c r="M336" s="127"/>
      <c r="N336" s="127"/>
      <c r="O336" s="127"/>
      <c r="P336" s="127"/>
      <c r="Q336" s="127"/>
      <c r="R336" s="127"/>
      <c r="S336" s="127"/>
      <c r="T336" s="127"/>
      <c r="U336" s="127"/>
      <c r="V336" s="127"/>
      <c r="W336" s="127"/>
      <c r="X336" s="127"/>
      <c r="Y336" s="127"/>
      <c r="Z336" s="127"/>
    </row>
    <row r="337" customFormat="false" ht="15.75" hidden="false" customHeight="false" outlineLevel="0" collapsed="false">
      <c r="A337" s="127"/>
      <c r="B337" s="127"/>
      <c r="C337" s="127"/>
      <c r="D337" s="127"/>
      <c r="E337" s="127"/>
      <c r="F337" s="127"/>
      <c r="G337" s="127"/>
      <c r="H337" s="127"/>
      <c r="I337" s="127"/>
      <c r="J337" s="127"/>
      <c r="K337" s="127"/>
      <c r="L337" s="127"/>
      <c r="M337" s="127"/>
      <c r="N337" s="127"/>
      <c r="O337" s="127"/>
      <c r="P337" s="127"/>
      <c r="Q337" s="127"/>
      <c r="R337" s="127"/>
      <c r="S337" s="127"/>
      <c r="T337" s="127"/>
      <c r="U337" s="127"/>
      <c r="V337" s="127"/>
      <c r="W337" s="127"/>
      <c r="X337" s="127"/>
      <c r="Y337" s="127"/>
      <c r="Z337" s="127"/>
    </row>
    <row r="338" customFormat="false" ht="15.75" hidden="false" customHeight="false" outlineLevel="0" collapsed="false">
      <c r="A338" s="127"/>
      <c r="B338" s="127"/>
      <c r="C338" s="127"/>
      <c r="D338" s="127"/>
      <c r="E338" s="127"/>
      <c r="F338" s="127"/>
      <c r="G338" s="127"/>
      <c r="H338" s="127"/>
      <c r="I338" s="127"/>
      <c r="J338" s="127"/>
      <c r="K338" s="127"/>
      <c r="L338" s="127"/>
      <c r="M338" s="127"/>
      <c r="N338" s="127"/>
      <c r="O338" s="127"/>
      <c r="P338" s="127"/>
      <c r="Q338" s="127"/>
      <c r="R338" s="127"/>
      <c r="S338" s="127"/>
      <c r="T338" s="127"/>
      <c r="U338" s="127"/>
      <c r="V338" s="127"/>
      <c r="W338" s="127"/>
      <c r="X338" s="127"/>
      <c r="Y338" s="127"/>
      <c r="Z338" s="127"/>
    </row>
    <row r="339" customFormat="false" ht="15.75" hidden="false" customHeight="false" outlineLevel="0" collapsed="false">
      <c r="A339" s="127"/>
      <c r="B339" s="127"/>
      <c r="C339" s="127"/>
      <c r="D339" s="127"/>
      <c r="E339" s="127"/>
      <c r="F339" s="127"/>
      <c r="G339" s="127"/>
      <c r="H339" s="127"/>
      <c r="I339" s="127"/>
      <c r="J339" s="127"/>
      <c r="K339" s="127"/>
      <c r="L339" s="127"/>
      <c r="M339" s="127"/>
      <c r="N339" s="127"/>
      <c r="O339" s="127"/>
      <c r="P339" s="127"/>
      <c r="Q339" s="127"/>
      <c r="R339" s="127"/>
      <c r="S339" s="127"/>
      <c r="T339" s="127"/>
      <c r="U339" s="127"/>
      <c r="V339" s="127"/>
      <c r="W339" s="127"/>
      <c r="X339" s="127"/>
      <c r="Y339" s="127"/>
      <c r="Z339" s="127"/>
    </row>
    <row r="340" customFormat="false" ht="15.75" hidden="false" customHeight="false" outlineLevel="0" collapsed="false">
      <c r="A340" s="127"/>
      <c r="B340" s="127"/>
      <c r="C340" s="127"/>
      <c r="D340" s="127"/>
      <c r="E340" s="127"/>
      <c r="F340" s="127"/>
      <c r="G340" s="127"/>
      <c r="H340" s="127"/>
      <c r="I340" s="127"/>
      <c r="J340" s="127"/>
      <c r="K340" s="127"/>
      <c r="L340" s="127"/>
      <c r="M340" s="127"/>
      <c r="N340" s="127"/>
      <c r="O340" s="127"/>
      <c r="P340" s="127"/>
      <c r="Q340" s="127"/>
      <c r="R340" s="127"/>
      <c r="S340" s="127"/>
      <c r="T340" s="127"/>
      <c r="U340" s="127"/>
      <c r="V340" s="127"/>
      <c r="W340" s="127"/>
      <c r="X340" s="127"/>
      <c r="Y340" s="127"/>
      <c r="Z340" s="127"/>
    </row>
    <row r="341" customFormat="false" ht="15.75" hidden="false" customHeight="false" outlineLevel="0" collapsed="false">
      <c r="A341" s="127"/>
      <c r="B341" s="127"/>
      <c r="C341" s="127"/>
      <c r="D341" s="127"/>
      <c r="E341" s="127"/>
      <c r="F341" s="127"/>
      <c r="G341" s="127"/>
      <c r="H341" s="127"/>
      <c r="I341" s="127"/>
      <c r="J341" s="127"/>
      <c r="K341" s="127"/>
      <c r="L341" s="127"/>
      <c r="M341" s="127"/>
      <c r="N341" s="127"/>
      <c r="O341" s="127"/>
      <c r="P341" s="127"/>
      <c r="Q341" s="127"/>
      <c r="R341" s="127"/>
      <c r="S341" s="127"/>
      <c r="T341" s="127"/>
      <c r="U341" s="127"/>
      <c r="V341" s="127"/>
      <c r="W341" s="127"/>
      <c r="X341" s="127"/>
      <c r="Y341" s="127"/>
      <c r="Z341" s="127"/>
    </row>
    <row r="342" customFormat="false" ht="15.75" hidden="false" customHeight="false" outlineLevel="0" collapsed="false">
      <c r="A342" s="127"/>
      <c r="B342" s="127"/>
      <c r="C342" s="127"/>
      <c r="D342" s="127"/>
      <c r="E342" s="127"/>
      <c r="F342" s="127"/>
      <c r="G342" s="127"/>
      <c r="H342" s="127"/>
      <c r="I342" s="127"/>
      <c r="J342" s="127"/>
      <c r="K342" s="127"/>
      <c r="L342" s="127"/>
      <c r="M342" s="127"/>
      <c r="N342" s="127"/>
      <c r="O342" s="127"/>
      <c r="P342" s="127"/>
      <c r="Q342" s="127"/>
      <c r="R342" s="127"/>
      <c r="S342" s="127"/>
      <c r="T342" s="127"/>
      <c r="U342" s="127"/>
      <c r="V342" s="127"/>
      <c r="W342" s="127"/>
      <c r="X342" s="127"/>
      <c r="Y342" s="127"/>
      <c r="Z342" s="127"/>
    </row>
    <row r="343" customFormat="false" ht="15.75" hidden="false" customHeight="false" outlineLevel="0" collapsed="false">
      <c r="A343" s="127"/>
      <c r="B343" s="127"/>
      <c r="C343" s="127"/>
      <c r="D343" s="127"/>
      <c r="E343" s="127"/>
      <c r="F343" s="127"/>
      <c r="G343" s="127"/>
      <c r="H343" s="127"/>
      <c r="I343" s="127"/>
      <c r="J343" s="127"/>
      <c r="K343" s="127"/>
      <c r="L343" s="127"/>
      <c r="M343" s="127"/>
      <c r="N343" s="127"/>
      <c r="O343" s="127"/>
      <c r="P343" s="127"/>
      <c r="Q343" s="127"/>
      <c r="R343" s="127"/>
      <c r="S343" s="127"/>
      <c r="T343" s="127"/>
      <c r="U343" s="127"/>
      <c r="V343" s="127"/>
      <c r="W343" s="127"/>
      <c r="X343" s="127"/>
      <c r="Y343" s="127"/>
      <c r="Z343" s="127"/>
    </row>
    <row r="344" customFormat="false" ht="15.75" hidden="false" customHeight="false" outlineLevel="0" collapsed="false">
      <c r="A344" s="127"/>
      <c r="B344" s="127"/>
      <c r="C344" s="127"/>
      <c r="D344" s="127"/>
      <c r="E344" s="127"/>
      <c r="F344" s="127"/>
      <c r="G344" s="127"/>
      <c r="H344" s="127"/>
      <c r="I344" s="127"/>
      <c r="J344" s="127"/>
      <c r="K344" s="127"/>
      <c r="L344" s="127"/>
      <c r="M344" s="127"/>
      <c r="N344" s="127"/>
      <c r="O344" s="127"/>
      <c r="P344" s="127"/>
      <c r="Q344" s="127"/>
      <c r="R344" s="127"/>
      <c r="S344" s="127"/>
      <c r="T344" s="127"/>
      <c r="U344" s="127"/>
      <c r="V344" s="127"/>
      <c r="W344" s="127"/>
      <c r="X344" s="127"/>
      <c r="Y344" s="127"/>
      <c r="Z344" s="127"/>
    </row>
    <row r="345" customFormat="false" ht="15.75" hidden="false" customHeight="false" outlineLevel="0" collapsed="false">
      <c r="A345" s="127"/>
      <c r="B345" s="127"/>
      <c r="C345" s="127"/>
      <c r="D345" s="127"/>
      <c r="E345" s="127"/>
      <c r="F345" s="127"/>
      <c r="G345" s="127"/>
      <c r="H345" s="127"/>
      <c r="I345" s="127"/>
      <c r="J345" s="127"/>
      <c r="K345" s="127"/>
      <c r="L345" s="127"/>
      <c r="M345" s="127"/>
      <c r="N345" s="127"/>
      <c r="O345" s="127"/>
      <c r="P345" s="127"/>
      <c r="Q345" s="127"/>
      <c r="R345" s="127"/>
      <c r="S345" s="127"/>
      <c r="T345" s="127"/>
      <c r="U345" s="127"/>
      <c r="V345" s="127"/>
      <c r="W345" s="127"/>
      <c r="X345" s="127"/>
      <c r="Y345" s="127"/>
      <c r="Z345" s="127"/>
    </row>
    <row r="346" customFormat="false" ht="15.75" hidden="false" customHeight="false" outlineLevel="0" collapsed="false">
      <c r="A346" s="127"/>
      <c r="B346" s="127"/>
      <c r="C346" s="127"/>
      <c r="D346" s="127"/>
      <c r="E346" s="127"/>
      <c r="F346" s="127"/>
      <c r="G346" s="127"/>
      <c r="H346" s="127"/>
      <c r="I346" s="127"/>
      <c r="J346" s="127"/>
      <c r="K346" s="127"/>
      <c r="L346" s="127"/>
      <c r="M346" s="127"/>
      <c r="N346" s="127"/>
      <c r="O346" s="127"/>
      <c r="P346" s="127"/>
      <c r="Q346" s="127"/>
      <c r="R346" s="127"/>
      <c r="S346" s="127"/>
      <c r="T346" s="127"/>
      <c r="U346" s="127"/>
      <c r="V346" s="127"/>
      <c r="W346" s="127"/>
      <c r="X346" s="127"/>
      <c r="Y346" s="127"/>
      <c r="Z346" s="127"/>
    </row>
    <row r="347" customFormat="false" ht="15.75" hidden="false" customHeight="false" outlineLevel="0" collapsed="false">
      <c r="A347" s="127"/>
      <c r="B347" s="127"/>
      <c r="C347" s="127"/>
      <c r="D347" s="127"/>
      <c r="E347" s="127"/>
      <c r="F347" s="127"/>
      <c r="G347" s="127"/>
      <c r="H347" s="127"/>
      <c r="I347" s="127"/>
      <c r="J347" s="127"/>
      <c r="K347" s="127"/>
      <c r="L347" s="127"/>
      <c r="M347" s="127"/>
      <c r="N347" s="127"/>
      <c r="O347" s="127"/>
      <c r="P347" s="127"/>
      <c r="Q347" s="127"/>
      <c r="R347" s="127"/>
      <c r="S347" s="127"/>
      <c r="T347" s="127"/>
      <c r="U347" s="127"/>
      <c r="V347" s="127"/>
      <c r="W347" s="127"/>
      <c r="X347" s="127"/>
      <c r="Y347" s="127"/>
      <c r="Z347" s="127"/>
    </row>
    <row r="348" customFormat="false" ht="15.75" hidden="false" customHeight="false" outlineLevel="0" collapsed="false">
      <c r="A348" s="127"/>
      <c r="B348" s="127"/>
      <c r="C348" s="127"/>
      <c r="D348" s="127"/>
      <c r="E348" s="127"/>
      <c r="F348" s="127"/>
      <c r="G348" s="127"/>
      <c r="H348" s="127"/>
      <c r="I348" s="127"/>
      <c r="J348" s="127"/>
      <c r="K348" s="127"/>
      <c r="L348" s="127"/>
      <c r="M348" s="127"/>
      <c r="N348" s="127"/>
      <c r="O348" s="127"/>
      <c r="P348" s="127"/>
      <c r="Q348" s="127"/>
      <c r="R348" s="127"/>
      <c r="S348" s="127"/>
      <c r="T348" s="127"/>
      <c r="U348" s="127"/>
      <c r="V348" s="127"/>
      <c r="W348" s="127"/>
      <c r="X348" s="127"/>
      <c r="Y348" s="127"/>
      <c r="Z348" s="127"/>
    </row>
    <row r="349" customFormat="false" ht="15.75" hidden="false" customHeight="false" outlineLevel="0" collapsed="false">
      <c r="A349" s="127"/>
      <c r="B349" s="127"/>
      <c r="C349" s="127"/>
      <c r="D349" s="127"/>
      <c r="E349" s="127"/>
      <c r="F349" s="127"/>
      <c r="G349" s="127"/>
      <c r="H349" s="127"/>
      <c r="I349" s="127"/>
      <c r="J349" s="127"/>
      <c r="K349" s="127"/>
      <c r="L349" s="127"/>
      <c r="M349" s="127"/>
      <c r="N349" s="127"/>
      <c r="O349" s="127"/>
      <c r="P349" s="127"/>
      <c r="Q349" s="127"/>
      <c r="R349" s="127"/>
      <c r="S349" s="127"/>
      <c r="T349" s="127"/>
      <c r="U349" s="127"/>
      <c r="V349" s="127"/>
      <c r="W349" s="127"/>
      <c r="X349" s="127"/>
      <c r="Y349" s="127"/>
      <c r="Z349" s="127"/>
    </row>
    <row r="350" customFormat="false" ht="15.75" hidden="false" customHeight="false" outlineLevel="0" collapsed="false">
      <c r="A350" s="127"/>
      <c r="B350" s="127"/>
      <c r="C350" s="127"/>
      <c r="D350" s="127"/>
      <c r="E350" s="127"/>
      <c r="F350" s="127"/>
      <c r="G350" s="127"/>
      <c r="H350" s="127"/>
      <c r="I350" s="127"/>
      <c r="J350" s="127"/>
      <c r="K350" s="127"/>
      <c r="L350" s="127"/>
      <c r="M350" s="127"/>
      <c r="N350" s="127"/>
      <c r="O350" s="127"/>
      <c r="P350" s="127"/>
      <c r="Q350" s="127"/>
      <c r="R350" s="127"/>
      <c r="S350" s="127"/>
      <c r="T350" s="127"/>
      <c r="U350" s="127"/>
      <c r="V350" s="127"/>
      <c r="W350" s="127"/>
      <c r="X350" s="127"/>
      <c r="Y350" s="127"/>
      <c r="Z350" s="127"/>
    </row>
    <row r="351" customFormat="false" ht="15.75" hidden="false" customHeight="false" outlineLevel="0" collapsed="false">
      <c r="A351" s="127"/>
      <c r="B351" s="127"/>
      <c r="C351" s="127"/>
      <c r="D351" s="127"/>
      <c r="E351" s="127"/>
      <c r="F351" s="127"/>
      <c r="G351" s="127"/>
      <c r="H351" s="127"/>
      <c r="I351" s="127"/>
      <c r="J351" s="127"/>
      <c r="K351" s="127"/>
      <c r="L351" s="127"/>
      <c r="M351" s="127"/>
      <c r="N351" s="127"/>
      <c r="O351" s="127"/>
      <c r="P351" s="127"/>
      <c r="Q351" s="127"/>
      <c r="R351" s="127"/>
      <c r="S351" s="127"/>
      <c r="T351" s="127"/>
      <c r="U351" s="127"/>
      <c r="V351" s="127"/>
      <c r="W351" s="127"/>
      <c r="X351" s="127"/>
      <c r="Y351" s="127"/>
      <c r="Z351" s="127"/>
    </row>
    <row r="352" customFormat="false" ht="15.75" hidden="false" customHeight="false" outlineLevel="0" collapsed="false">
      <c r="A352" s="127"/>
      <c r="B352" s="127"/>
      <c r="C352" s="127"/>
      <c r="D352" s="127"/>
      <c r="E352" s="127"/>
      <c r="F352" s="127"/>
      <c r="G352" s="127"/>
      <c r="H352" s="127"/>
      <c r="I352" s="127"/>
      <c r="J352" s="127"/>
      <c r="K352" s="127"/>
      <c r="L352" s="127"/>
      <c r="M352" s="127"/>
      <c r="N352" s="127"/>
      <c r="O352" s="127"/>
      <c r="P352" s="127"/>
      <c r="Q352" s="127"/>
      <c r="R352" s="127"/>
      <c r="S352" s="127"/>
      <c r="T352" s="127"/>
      <c r="U352" s="127"/>
      <c r="V352" s="127"/>
      <c r="W352" s="127"/>
      <c r="X352" s="127"/>
      <c r="Y352" s="127"/>
      <c r="Z352" s="127"/>
    </row>
    <row r="353" customFormat="false" ht="15.75" hidden="false" customHeight="false" outlineLevel="0" collapsed="false">
      <c r="A353" s="127"/>
      <c r="B353" s="127"/>
      <c r="C353" s="127"/>
      <c r="D353" s="127"/>
      <c r="E353" s="127"/>
      <c r="F353" s="127"/>
      <c r="G353" s="127"/>
      <c r="H353" s="127"/>
      <c r="I353" s="127"/>
      <c r="J353" s="127"/>
      <c r="K353" s="127"/>
      <c r="L353" s="127"/>
      <c r="M353" s="127"/>
      <c r="N353" s="127"/>
      <c r="O353" s="127"/>
      <c r="P353" s="127"/>
      <c r="Q353" s="127"/>
      <c r="R353" s="127"/>
      <c r="S353" s="127"/>
      <c r="T353" s="127"/>
      <c r="U353" s="127"/>
      <c r="V353" s="127"/>
      <c r="W353" s="127"/>
      <c r="X353" s="127"/>
      <c r="Y353" s="127"/>
      <c r="Z353" s="127"/>
    </row>
    <row r="354" customFormat="false" ht="15.75" hidden="false" customHeight="false" outlineLevel="0" collapsed="false">
      <c r="A354" s="127"/>
      <c r="B354" s="127"/>
      <c r="C354" s="127"/>
      <c r="D354" s="127"/>
      <c r="E354" s="127"/>
      <c r="F354" s="127"/>
      <c r="G354" s="127"/>
      <c r="H354" s="127"/>
      <c r="I354" s="127"/>
      <c r="J354" s="127"/>
      <c r="K354" s="127"/>
      <c r="L354" s="127"/>
      <c r="M354" s="127"/>
      <c r="N354" s="127"/>
      <c r="O354" s="127"/>
      <c r="P354" s="127"/>
      <c r="Q354" s="127"/>
      <c r="R354" s="127"/>
      <c r="S354" s="127"/>
      <c r="T354" s="127"/>
      <c r="U354" s="127"/>
      <c r="V354" s="127"/>
      <c r="W354" s="127"/>
      <c r="X354" s="127"/>
      <c r="Y354" s="127"/>
      <c r="Z354" s="127"/>
    </row>
    <row r="355" customFormat="false" ht="15.75" hidden="false" customHeight="false" outlineLevel="0" collapsed="false">
      <c r="A355" s="127"/>
      <c r="B355" s="127"/>
      <c r="C355" s="127"/>
      <c r="D355" s="127"/>
      <c r="E355" s="127"/>
      <c r="F355" s="127"/>
      <c r="G355" s="127"/>
      <c r="H355" s="127"/>
      <c r="I355" s="127"/>
      <c r="J355" s="127"/>
      <c r="K355" s="127"/>
      <c r="L355" s="127"/>
      <c r="M355" s="127"/>
      <c r="N355" s="127"/>
      <c r="O355" s="127"/>
      <c r="P355" s="127"/>
      <c r="Q355" s="127"/>
      <c r="R355" s="127"/>
      <c r="S355" s="127"/>
      <c r="T355" s="127"/>
      <c r="U355" s="127"/>
      <c r="V355" s="127"/>
      <c r="W355" s="127"/>
      <c r="X355" s="127"/>
      <c r="Y355" s="127"/>
      <c r="Z355" s="127"/>
    </row>
    <row r="356" customFormat="false" ht="15.75" hidden="false" customHeight="false" outlineLevel="0" collapsed="false">
      <c r="A356" s="127"/>
      <c r="B356" s="127"/>
      <c r="C356" s="127"/>
      <c r="D356" s="127"/>
      <c r="E356" s="127"/>
      <c r="F356" s="127"/>
      <c r="G356" s="127"/>
      <c r="H356" s="127"/>
      <c r="I356" s="127"/>
      <c r="J356" s="127"/>
      <c r="K356" s="127"/>
      <c r="L356" s="127"/>
      <c r="M356" s="127"/>
      <c r="N356" s="127"/>
      <c r="O356" s="127"/>
      <c r="P356" s="127"/>
      <c r="Q356" s="127"/>
      <c r="R356" s="127"/>
      <c r="S356" s="127"/>
      <c r="T356" s="127"/>
      <c r="U356" s="127"/>
      <c r="V356" s="127"/>
      <c r="W356" s="127"/>
      <c r="X356" s="127"/>
      <c r="Y356" s="127"/>
      <c r="Z356" s="127"/>
    </row>
    <row r="357" customFormat="false" ht="15.75" hidden="false" customHeight="false" outlineLevel="0" collapsed="false">
      <c r="A357" s="127"/>
      <c r="B357" s="127"/>
      <c r="C357" s="127"/>
      <c r="D357" s="127"/>
      <c r="E357" s="127"/>
      <c r="F357" s="127"/>
      <c r="G357" s="127"/>
      <c r="H357" s="127"/>
      <c r="I357" s="127"/>
      <c r="J357" s="127"/>
      <c r="K357" s="127"/>
      <c r="L357" s="127"/>
      <c r="M357" s="127"/>
      <c r="N357" s="127"/>
      <c r="O357" s="127"/>
      <c r="P357" s="127"/>
      <c r="Q357" s="127"/>
      <c r="R357" s="127"/>
      <c r="S357" s="127"/>
      <c r="T357" s="127"/>
      <c r="U357" s="127"/>
      <c r="V357" s="127"/>
      <c r="W357" s="127"/>
      <c r="X357" s="127"/>
      <c r="Y357" s="127"/>
      <c r="Z357" s="127"/>
    </row>
    <row r="358" customFormat="false" ht="15.75" hidden="false" customHeight="false" outlineLevel="0" collapsed="false">
      <c r="A358" s="127"/>
      <c r="B358" s="127"/>
      <c r="C358" s="127"/>
      <c r="D358" s="127"/>
      <c r="E358" s="127"/>
      <c r="F358" s="127"/>
      <c r="G358" s="127"/>
      <c r="H358" s="127"/>
      <c r="I358" s="127"/>
      <c r="J358" s="127"/>
      <c r="K358" s="127"/>
      <c r="L358" s="127"/>
      <c r="M358" s="127"/>
      <c r="N358" s="127"/>
      <c r="O358" s="127"/>
      <c r="P358" s="127"/>
      <c r="Q358" s="127"/>
      <c r="R358" s="127"/>
      <c r="S358" s="127"/>
      <c r="T358" s="127"/>
      <c r="U358" s="127"/>
      <c r="V358" s="127"/>
      <c r="W358" s="127"/>
      <c r="X358" s="127"/>
      <c r="Y358" s="127"/>
      <c r="Z358" s="127"/>
    </row>
    <row r="359" customFormat="false" ht="15.75" hidden="false" customHeight="false" outlineLevel="0" collapsed="false">
      <c r="A359" s="127"/>
      <c r="B359" s="127"/>
      <c r="C359" s="127"/>
      <c r="D359" s="127"/>
      <c r="E359" s="127"/>
      <c r="F359" s="127"/>
      <c r="G359" s="127"/>
      <c r="H359" s="127"/>
      <c r="I359" s="127"/>
      <c r="J359" s="127"/>
      <c r="K359" s="127"/>
      <c r="L359" s="127"/>
      <c r="M359" s="127"/>
      <c r="N359" s="127"/>
      <c r="O359" s="127"/>
      <c r="P359" s="127"/>
      <c r="Q359" s="127"/>
      <c r="R359" s="127"/>
      <c r="S359" s="127"/>
      <c r="T359" s="127"/>
      <c r="U359" s="127"/>
      <c r="V359" s="127"/>
      <c r="W359" s="127"/>
      <c r="X359" s="127"/>
      <c r="Y359" s="127"/>
      <c r="Z359" s="127"/>
    </row>
    <row r="360" customFormat="false" ht="15.75" hidden="false" customHeight="false" outlineLevel="0" collapsed="false">
      <c r="A360" s="127"/>
      <c r="B360" s="127"/>
      <c r="C360" s="127"/>
      <c r="D360" s="127"/>
      <c r="E360" s="127"/>
      <c r="F360" s="127"/>
      <c r="G360" s="127"/>
      <c r="H360" s="127"/>
      <c r="I360" s="127"/>
      <c r="J360" s="127"/>
      <c r="K360" s="127"/>
      <c r="L360" s="127"/>
      <c r="M360" s="127"/>
      <c r="N360" s="127"/>
      <c r="O360" s="127"/>
      <c r="P360" s="127"/>
      <c r="Q360" s="127"/>
      <c r="R360" s="127"/>
      <c r="S360" s="127"/>
      <c r="T360" s="127"/>
      <c r="U360" s="127"/>
      <c r="V360" s="127"/>
      <c r="W360" s="127"/>
      <c r="X360" s="127"/>
      <c r="Y360" s="127"/>
      <c r="Z360" s="127"/>
    </row>
    <row r="361" customFormat="false" ht="15.75" hidden="false" customHeight="false" outlineLevel="0" collapsed="false">
      <c r="A361" s="127"/>
      <c r="B361" s="127"/>
      <c r="C361" s="127"/>
      <c r="D361" s="127"/>
      <c r="E361" s="127"/>
      <c r="F361" s="127"/>
      <c r="G361" s="127"/>
      <c r="H361" s="127"/>
      <c r="I361" s="127"/>
      <c r="J361" s="127"/>
      <c r="K361" s="127"/>
      <c r="L361" s="127"/>
      <c r="M361" s="127"/>
      <c r="N361" s="127"/>
      <c r="O361" s="127"/>
      <c r="P361" s="127"/>
      <c r="Q361" s="127"/>
      <c r="R361" s="127"/>
      <c r="S361" s="127"/>
      <c r="T361" s="127"/>
      <c r="U361" s="127"/>
      <c r="V361" s="127"/>
      <c r="W361" s="127"/>
      <c r="X361" s="127"/>
      <c r="Y361" s="127"/>
      <c r="Z361" s="127"/>
    </row>
    <row r="362" customFormat="false" ht="15.75" hidden="false" customHeight="false" outlineLevel="0" collapsed="false">
      <c r="A362" s="127"/>
      <c r="B362" s="127"/>
      <c r="C362" s="127"/>
      <c r="D362" s="127"/>
      <c r="E362" s="127"/>
      <c r="F362" s="127"/>
      <c r="G362" s="127"/>
      <c r="H362" s="127"/>
      <c r="I362" s="127"/>
      <c r="J362" s="127"/>
      <c r="K362" s="127"/>
      <c r="L362" s="127"/>
      <c r="M362" s="127"/>
      <c r="N362" s="127"/>
      <c r="O362" s="127"/>
      <c r="P362" s="127"/>
      <c r="Q362" s="127"/>
      <c r="R362" s="127"/>
      <c r="S362" s="127"/>
      <c r="T362" s="127"/>
      <c r="U362" s="127"/>
      <c r="V362" s="127"/>
      <c r="W362" s="127"/>
      <c r="X362" s="127"/>
      <c r="Y362" s="127"/>
      <c r="Z362" s="127"/>
    </row>
    <row r="363" customFormat="false" ht="15.75" hidden="false" customHeight="false" outlineLevel="0" collapsed="false">
      <c r="A363" s="127"/>
      <c r="B363" s="127"/>
      <c r="C363" s="127"/>
      <c r="D363" s="127"/>
      <c r="E363" s="127"/>
      <c r="F363" s="127"/>
      <c r="G363" s="127"/>
      <c r="H363" s="127"/>
      <c r="I363" s="127"/>
      <c r="J363" s="127"/>
      <c r="K363" s="127"/>
      <c r="L363" s="127"/>
      <c r="M363" s="127"/>
      <c r="N363" s="127"/>
      <c r="O363" s="127"/>
      <c r="P363" s="127"/>
      <c r="Q363" s="127"/>
      <c r="R363" s="127"/>
      <c r="S363" s="127"/>
      <c r="T363" s="127"/>
      <c r="U363" s="127"/>
      <c r="V363" s="127"/>
      <c r="W363" s="127"/>
      <c r="X363" s="127"/>
      <c r="Y363" s="127"/>
      <c r="Z363" s="127"/>
    </row>
    <row r="364" customFormat="false" ht="15.75" hidden="false" customHeight="false" outlineLevel="0" collapsed="false">
      <c r="A364" s="127"/>
      <c r="B364" s="127"/>
      <c r="C364" s="127"/>
      <c r="D364" s="127"/>
      <c r="E364" s="127"/>
      <c r="F364" s="127"/>
      <c r="G364" s="127"/>
      <c r="H364" s="127"/>
      <c r="I364" s="127"/>
      <c r="J364" s="127"/>
      <c r="K364" s="127"/>
      <c r="L364" s="127"/>
      <c r="M364" s="127"/>
      <c r="N364" s="127"/>
      <c r="O364" s="127"/>
      <c r="P364" s="127"/>
      <c r="Q364" s="127"/>
      <c r="R364" s="127"/>
      <c r="S364" s="127"/>
      <c r="T364" s="127"/>
      <c r="U364" s="127"/>
      <c r="V364" s="127"/>
      <c r="W364" s="127"/>
      <c r="X364" s="127"/>
      <c r="Y364" s="127"/>
      <c r="Z364" s="127"/>
    </row>
    <row r="365" customFormat="false" ht="15.75" hidden="false" customHeight="false" outlineLevel="0" collapsed="false">
      <c r="A365" s="127"/>
      <c r="B365" s="127"/>
      <c r="C365" s="127"/>
      <c r="D365" s="127"/>
      <c r="E365" s="127"/>
      <c r="F365" s="127"/>
      <c r="G365" s="127"/>
      <c r="H365" s="127"/>
      <c r="I365" s="127"/>
      <c r="J365" s="127"/>
      <c r="K365" s="127"/>
      <c r="L365" s="127"/>
      <c r="M365" s="127"/>
      <c r="N365" s="127"/>
      <c r="O365" s="127"/>
      <c r="P365" s="127"/>
      <c r="Q365" s="127"/>
      <c r="R365" s="127"/>
      <c r="S365" s="127"/>
      <c r="T365" s="127"/>
      <c r="U365" s="127"/>
      <c r="V365" s="127"/>
      <c r="W365" s="127"/>
      <c r="X365" s="127"/>
      <c r="Y365" s="127"/>
      <c r="Z365" s="127"/>
    </row>
    <row r="366" customFormat="false" ht="15.75" hidden="false" customHeight="false" outlineLevel="0" collapsed="false">
      <c r="A366" s="127"/>
      <c r="B366" s="127"/>
      <c r="C366" s="127"/>
      <c r="D366" s="127"/>
      <c r="E366" s="127"/>
      <c r="F366" s="127"/>
      <c r="G366" s="127"/>
      <c r="H366" s="127"/>
      <c r="I366" s="127"/>
      <c r="J366" s="127"/>
      <c r="K366" s="127"/>
      <c r="L366" s="127"/>
      <c r="M366" s="127"/>
      <c r="N366" s="127"/>
      <c r="O366" s="127"/>
      <c r="P366" s="127"/>
      <c r="Q366" s="127"/>
      <c r="R366" s="127"/>
      <c r="S366" s="127"/>
      <c r="T366" s="127"/>
      <c r="U366" s="127"/>
      <c r="V366" s="127"/>
      <c r="W366" s="127"/>
      <c r="X366" s="127"/>
      <c r="Y366" s="127"/>
      <c r="Z366" s="127"/>
    </row>
    <row r="367" customFormat="false" ht="15.75" hidden="false" customHeight="false" outlineLevel="0" collapsed="false">
      <c r="A367" s="127"/>
      <c r="B367" s="127"/>
      <c r="C367" s="127"/>
      <c r="D367" s="127"/>
      <c r="E367" s="127"/>
      <c r="F367" s="127"/>
      <c r="G367" s="127"/>
      <c r="H367" s="127"/>
      <c r="I367" s="127"/>
      <c r="J367" s="127"/>
      <c r="K367" s="127"/>
      <c r="L367" s="127"/>
      <c r="M367" s="127"/>
      <c r="N367" s="127"/>
      <c r="O367" s="127"/>
      <c r="P367" s="127"/>
      <c r="Q367" s="127"/>
      <c r="R367" s="127"/>
      <c r="S367" s="127"/>
      <c r="T367" s="127"/>
      <c r="U367" s="127"/>
      <c r="V367" s="127"/>
      <c r="W367" s="127"/>
      <c r="X367" s="127"/>
      <c r="Y367" s="127"/>
      <c r="Z367" s="127"/>
    </row>
    <row r="368" customFormat="false" ht="15.75" hidden="false" customHeight="false" outlineLevel="0" collapsed="false">
      <c r="A368" s="127"/>
      <c r="B368" s="127"/>
      <c r="C368" s="127"/>
      <c r="D368" s="127"/>
      <c r="E368" s="127"/>
      <c r="F368" s="127"/>
      <c r="G368" s="127"/>
      <c r="H368" s="127"/>
      <c r="I368" s="127"/>
      <c r="J368" s="127"/>
      <c r="K368" s="127"/>
      <c r="L368" s="127"/>
      <c r="M368" s="127"/>
      <c r="N368" s="127"/>
      <c r="O368" s="127"/>
      <c r="P368" s="127"/>
      <c r="Q368" s="127"/>
      <c r="R368" s="127"/>
      <c r="S368" s="127"/>
      <c r="T368" s="127"/>
      <c r="U368" s="127"/>
      <c r="V368" s="127"/>
      <c r="W368" s="127"/>
      <c r="X368" s="127"/>
      <c r="Y368" s="127"/>
      <c r="Z368" s="127"/>
    </row>
    <row r="369" customFormat="false" ht="15.75" hidden="false" customHeight="false" outlineLevel="0" collapsed="false">
      <c r="A369" s="127"/>
      <c r="B369" s="127"/>
      <c r="C369" s="127"/>
      <c r="D369" s="127"/>
      <c r="E369" s="127"/>
      <c r="F369" s="127"/>
      <c r="G369" s="127"/>
      <c r="H369" s="127"/>
      <c r="I369" s="127"/>
      <c r="J369" s="127"/>
      <c r="K369" s="127"/>
      <c r="L369" s="127"/>
      <c r="M369" s="127"/>
      <c r="N369" s="127"/>
      <c r="O369" s="127"/>
      <c r="P369" s="127"/>
      <c r="Q369" s="127"/>
      <c r="R369" s="127"/>
      <c r="S369" s="127"/>
      <c r="T369" s="127"/>
      <c r="U369" s="127"/>
      <c r="V369" s="127"/>
      <c r="W369" s="127"/>
      <c r="X369" s="127"/>
      <c r="Y369" s="127"/>
      <c r="Z369" s="127"/>
    </row>
    <row r="370" customFormat="false" ht="15.75" hidden="false" customHeight="false" outlineLevel="0" collapsed="false">
      <c r="A370" s="127"/>
      <c r="B370" s="127"/>
      <c r="C370" s="127"/>
      <c r="D370" s="127"/>
      <c r="E370" s="127"/>
      <c r="F370" s="127"/>
      <c r="G370" s="127"/>
      <c r="H370" s="127"/>
      <c r="I370" s="127"/>
      <c r="J370" s="127"/>
      <c r="K370" s="127"/>
      <c r="L370" s="127"/>
      <c r="M370" s="127"/>
      <c r="N370" s="127"/>
      <c r="O370" s="127"/>
      <c r="P370" s="127"/>
      <c r="Q370" s="127"/>
      <c r="R370" s="127"/>
      <c r="S370" s="127"/>
      <c r="T370" s="127"/>
      <c r="U370" s="127"/>
      <c r="V370" s="127"/>
      <c r="W370" s="127"/>
      <c r="X370" s="127"/>
      <c r="Y370" s="127"/>
      <c r="Z370" s="127"/>
    </row>
    <row r="371" customFormat="false" ht="15.75" hidden="false" customHeight="false" outlineLevel="0" collapsed="false">
      <c r="A371" s="127"/>
      <c r="B371" s="127"/>
      <c r="C371" s="127"/>
      <c r="D371" s="127"/>
      <c r="E371" s="127"/>
      <c r="F371" s="127"/>
      <c r="G371" s="127"/>
      <c r="H371" s="127"/>
      <c r="I371" s="127"/>
      <c r="J371" s="127"/>
      <c r="K371" s="127"/>
      <c r="L371" s="127"/>
      <c r="M371" s="127"/>
      <c r="N371" s="127"/>
      <c r="O371" s="127"/>
      <c r="P371" s="127"/>
      <c r="Q371" s="127"/>
      <c r="R371" s="127"/>
      <c r="S371" s="127"/>
      <c r="T371" s="127"/>
      <c r="U371" s="127"/>
      <c r="V371" s="127"/>
      <c r="W371" s="127"/>
      <c r="X371" s="127"/>
      <c r="Y371" s="127"/>
      <c r="Z371" s="127"/>
    </row>
    <row r="372" customFormat="false" ht="15.75" hidden="false" customHeight="false" outlineLevel="0" collapsed="false">
      <c r="A372" s="127"/>
      <c r="B372" s="127"/>
      <c r="C372" s="127"/>
      <c r="D372" s="127"/>
      <c r="E372" s="127"/>
      <c r="F372" s="127"/>
      <c r="G372" s="127"/>
      <c r="H372" s="127"/>
      <c r="I372" s="127"/>
      <c r="J372" s="127"/>
      <c r="K372" s="127"/>
      <c r="L372" s="127"/>
      <c r="M372" s="127"/>
      <c r="N372" s="127"/>
      <c r="O372" s="127"/>
      <c r="P372" s="127"/>
      <c r="Q372" s="127"/>
      <c r="R372" s="127"/>
      <c r="S372" s="127"/>
      <c r="T372" s="127"/>
      <c r="U372" s="127"/>
      <c r="V372" s="127"/>
      <c r="W372" s="127"/>
      <c r="X372" s="127"/>
      <c r="Y372" s="127"/>
      <c r="Z372" s="127"/>
    </row>
    <row r="373" customFormat="false" ht="15.75" hidden="false" customHeight="false" outlineLevel="0" collapsed="false">
      <c r="A373" s="127"/>
      <c r="B373" s="127"/>
      <c r="C373" s="127"/>
      <c r="D373" s="127"/>
      <c r="E373" s="127"/>
      <c r="F373" s="127"/>
      <c r="G373" s="127"/>
      <c r="H373" s="127"/>
      <c r="I373" s="127"/>
      <c r="J373" s="127"/>
      <c r="K373" s="127"/>
      <c r="L373" s="127"/>
      <c r="M373" s="127"/>
      <c r="N373" s="127"/>
      <c r="O373" s="127"/>
      <c r="P373" s="127"/>
      <c r="Q373" s="127"/>
      <c r="R373" s="127"/>
      <c r="S373" s="127"/>
      <c r="T373" s="127"/>
      <c r="U373" s="127"/>
      <c r="V373" s="127"/>
      <c r="W373" s="127"/>
      <c r="X373" s="127"/>
      <c r="Y373" s="127"/>
      <c r="Z373" s="127"/>
    </row>
    <row r="374" customFormat="false" ht="15.75" hidden="false" customHeight="false" outlineLevel="0" collapsed="false">
      <c r="A374" s="127"/>
      <c r="B374" s="127"/>
      <c r="C374" s="127"/>
      <c r="D374" s="127"/>
      <c r="E374" s="127"/>
      <c r="F374" s="127"/>
      <c r="G374" s="127"/>
      <c r="H374" s="127"/>
      <c r="I374" s="127"/>
      <c r="J374" s="127"/>
      <c r="K374" s="127"/>
      <c r="L374" s="127"/>
      <c r="M374" s="127"/>
      <c r="N374" s="127"/>
      <c r="O374" s="127"/>
      <c r="P374" s="127"/>
      <c r="Q374" s="127"/>
      <c r="R374" s="127"/>
      <c r="S374" s="127"/>
      <c r="T374" s="127"/>
      <c r="U374" s="127"/>
      <c r="V374" s="127"/>
      <c r="W374" s="127"/>
      <c r="X374" s="127"/>
      <c r="Y374" s="127"/>
      <c r="Z374" s="127"/>
    </row>
    <row r="375" customFormat="false" ht="15.75" hidden="false" customHeight="false" outlineLevel="0" collapsed="false">
      <c r="A375" s="127"/>
      <c r="B375" s="127"/>
      <c r="C375" s="127"/>
      <c r="D375" s="127"/>
      <c r="E375" s="127"/>
      <c r="F375" s="127"/>
      <c r="G375" s="127"/>
      <c r="H375" s="127"/>
      <c r="I375" s="127"/>
      <c r="J375" s="127"/>
      <c r="K375" s="127"/>
      <c r="L375" s="127"/>
      <c r="M375" s="127"/>
      <c r="N375" s="127"/>
      <c r="O375" s="127"/>
      <c r="P375" s="127"/>
      <c r="Q375" s="127"/>
      <c r="R375" s="127"/>
      <c r="S375" s="127"/>
      <c r="T375" s="127"/>
      <c r="U375" s="127"/>
      <c r="V375" s="127"/>
      <c r="W375" s="127"/>
      <c r="X375" s="127"/>
      <c r="Y375" s="127"/>
      <c r="Z375" s="127"/>
    </row>
    <row r="376" customFormat="false" ht="15.75" hidden="false" customHeight="false" outlineLevel="0" collapsed="false">
      <c r="A376" s="127"/>
      <c r="B376" s="127"/>
      <c r="C376" s="127"/>
      <c r="D376" s="127"/>
      <c r="E376" s="127"/>
      <c r="F376" s="127"/>
      <c r="G376" s="127"/>
      <c r="H376" s="127"/>
      <c r="I376" s="127"/>
      <c r="J376" s="127"/>
      <c r="K376" s="127"/>
      <c r="L376" s="127"/>
      <c r="M376" s="127"/>
      <c r="N376" s="127"/>
      <c r="O376" s="127"/>
      <c r="P376" s="127"/>
      <c r="Q376" s="127"/>
      <c r="R376" s="127"/>
      <c r="S376" s="127"/>
      <c r="T376" s="127"/>
      <c r="U376" s="127"/>
      <c r="V376" s="127"/>
      <c r="W376" s="127"/>
      <c r="X376" s="127"/>
      <c r="Y376" s="127"/>
      <c r="Z376" s="127"/>
    </row>
    <row r="377" customFormat="false" ht="15.75" hidden="false" customHeight="false" outlineLevel="0" collapsed="false">
      <c r="A377" s="127"/>
      <c r="B377" s="127"/>
      <c r="C377" s="127"/>
      <c r="D377" s="127"/>
      <c r="E377" s="127"/>
      <c r="F377" s="127"/>
      <c r="G377" s="127"/>
      <c r="H377" s="127"/>
      <c r="I377" s="127"/>
      <c r="J377" s="127"/>
      <c r="K377" s="127"/>
      <c r="L377" s="127"/>
      <c r="M377" s="127"/>
      <c r="N377" s="127"/>
      <c r="O377" s="127"/>
      <c r="P377" s="127"/>
      <c r="Q377" s="127"/>
      <c r="R377" s="127"/>
      <c r="S377" s="127"/>
      <c r="T377" s="127"/>
      <c r="U377" s="127"/>
      <c r="V377" s="127"/>
      <c r="W377" s="127"/>
      <c r="X377" s="127"/>
      <c r="Y377" s="127"/>
      <c r="Z377" s="127"/>
    </row>
    <row r="378" customFormat="false" ht="15.75" hidden="false" customHeight="false" outlineLevel="0" collapsed="false">
      <c r="A378" s="127"/>
      <c r="B378" s="127"/>
      <c r="C378" s="127"/>
      <c r="D378" s="127"/>
      <c r="E378" s="127"/>
      <c r="F378" s="127"/>
      <c r="G378" s="127"/>
      <c r="H378" s="127"/>
      <c r="I378" s="127"/>
      <c r="J378" s="127"/>
      <c r="K378" s="127"/>
      <c r="L378" s="127"/>
      <c r="M378" s="127"/>
      <c r="N378" s="127"/>
      <c r="O378" s="127"/>
      <c r="P378" s="127"/>
      <c r="Q378" s="127"/>
      <c r="R378" s="127"/>
      <c r="S378" s="127"/>
      <c r="T378" s="127"/>
      <c r="U378" s="127"/>
      <c r="V378" s="127"/>
      <c r="W378" s="127"/>
      <c r="X378" s="127"/>
      <c r="Y378" s="127"/>
      <c r="Z378" s="127"/>
    </row>
    <row r="379" customFormat="false" ht="15.75" hidden="false" customHeight="false" outlineLevel="0" collapsed="false">
      <c r="A379" s="127"/>
      <c r="B379" s="127"/>
      <c r="C379" s="127"/>
      <c r="D379" s="127"/>
      <c r="E379" s="127"/>
      <c r="F379" s="127"/>
      <c r="G379" s="127"/>
      <c r="H379" s="127"/>
      <c r="I379" s="127"/>
      <c r="J379" s="127"/>
      <c r="K379" s="127"/>
      <c r="L379" s="127"/>
      <c r="M379" s="127"/>
      <c r="N379" s="127"/>
      <c r="O379" s="127"/>
      <c r="P379" s="127"/>
      <c r="Q379" s="127"/>
      <c r="R379" s="127"/>
      <c r="S379" s="127"/>
      <c r="T379" s="127"/>
      <c r="U379" s="127"/>
      <c r="V379" s="127"/>
      <c r="W379" s="127"/>
      <c r="X379" s="127"/>
      <c r="Y379" s="127"/>
      <c r="Z379" s="127"/>
    </row>
    <row r="380" customFormat="false" ht="15.75" hidden="false" customHeight="false" outlineLevel="0" collapsed="false">
      <c r="A380" s="127"/>
      <c r="B380" s="127"/>
      <c r="C380" s="127"/>
      <c r="D380" s="127"/>
      <c r="E380" s="127"/>
      <c r="F380" s="127"/>
      <c r="G380" s="127"/>
      <c r="H380" s="127"/>
      <c r="I380" s="127"/>
      <c r="J380" s="127"/>
      <c r="K380" s="127"/>
      <c r="L380" s="127"/>
      <c r="M380" s="127"/>
      <c r="N380" s="127"/>
      <c r="O380" s="127"/>
      <c r="P380" s="127"/>
      <c r="Q380" s="127"/>
      <c r="R380" s="127"/>
      <c r="S380" s="127"/>
      <c r="T380" s="127"/>
      <c r="U380" s="127"/>
      <c r="V380" s="127"/>
      <c r="W380" s="127"/>
      <c r="X380" s="127"/>
      <c r="Y380" s="127"/>
      <c r="Z380" s="127"/>
    </row>
    <row r="381" customFormat="false" ht="15.75" hidden="false" customHeight="false" outlineLevel="0" collapsed="false">
      <c r="A381" s="127"/>
      <c r="B381" s="127"/>
      <c r="C381" s="127"/>
      <c r="D381" s="127"/>
      <c r="E381" s="127"/>
      <c r="F381" s="127"/>
      <c r="G381" s="127"/>
      <c r="H381" s="127"/>
      <c r="I381" s="127"/>
      <c r="J381" s="127"/>
      <c r="K381" s="127"/>
      <c r="L381" s="127"/>
      <c r="M381" s="127"/>
      <c r="N381" s="127"/>
      <c r="O381" s="127"/>
      <c r="P381" s="127"/>
      <c r="Q381" s="127"/>
      <c r="R381" s="127"/>
      <c r="S381" s="127"/>
      <c r="T381" s="127"/>
      <c r="U381" s="127"/>
      <c r="V381" s="127"/>
      <c r="W381" s="127"/>
      <c r="X381" s="127"/>
      <c r="Y381" s="127"/>
      <c r="Z381" s="127"/>
    </row>
    <row r="382" customFormat="false" ht="15.75" hidden="false" customHeight="false" outlineLevel="0" collapsed="false">
      <c r="A382" s="127"/>
      <c r="B382" s="127"/>
      <c r="C382" s="127"/>
      <c r="D382" s="127"/>
      <c r="E382" s="127"/>
      <c r="F382" s="127"/>
      <c r="G382" s="127"/>
      <c r="H382" s="127"/>
      <c r="I382" s="127"/>
      <c r="J382" s="127"/>
      <c r="K382" s="127"/>
      <c r="L382" s="127"/>
      <c r="M382" s="127"/>
      <c r="N382" s="127"/>
      <c r="O382" s="127"/>
      <c r="P382" s="127"/>
      <c r="Q382" s="127"/>
      <c r="R382" s="127"/>
      <c r="S382" s="127"/>
      <c r="T382" s="127"/>
      <c r="U382" s="127"/>
      <c r="V382" s="127"/>
      <c r="W382" s="127"/>
      <c r="X382" s="127"/>
      <c r="Y382" s="127"/>
      <c r="Z382" s="127"/>
    </row>
    <row r="383" customFormat="false" ht="15.75" hidden="false" customHeight="false" outlineLevel="0" collapsed="false">
      <c r="A383" s="127"/>
      <c r="B383" s="127"/>
      <c r="C383" s="127"/>
      <c r="D383" s="127"/>
      <c r="E383" s="127"/>
      <c r="F383" s="127"/>
      <c r="G383" s="127"/>
      <c r="H383" s="127"/>
      <c r="I383" s="127"/>
      <c r="J383" s="127"/>
      <c r="K383" s="127"/>
      <c r="L383" s="127"/>
      <c r="M383" s="127"/>
      <c r="N383" s="127"/>
      <c r="O383" s="127"/>
      <c r="P383" s="127"/>
      <c r="Q383" s="127"/>
      <c r="R383" s="127"/>
      <c r="S383" s="127"/>
      <c r="T383" s="127"/>
      <c r="U383" s="127"/>
      <c r="V383" s="127"/>
      <c r="W383" s="127"/>
      <c r="X383" s="127"/>
      <c r="Y383" s="127"/>
      <c r="Z383" s="127"/>
    </row>
    <row r="384" customFormat="false" ht="15.75" hidden="false" customHeight="false" outlineLevel="0" collapsed="false">
      <c r="A384" s="127"/>
      <c r="B384" s="127"/>
      <c r="C384" s="127"/>
      <c r="D384" s="127"/>
      <c r="E384" s="127"/>
      <c r="F384" s="127"/>
      <c r="G384" s="127"/>
      <c r="H384" s="127"/>
      <c r="I384" s="127"/>
      <c r="J384" s="127"/>
      <c r="K384" s="127"/>
      <c r="L384" s="127"/>
      <c r="M384" s="127"/>
      <c r="N384" s="127"/>
      <c r="O384" s="127"/>
      <c r="P384" s="127"/>
      <c r="Q384" s="127"/>
      <c r="R384" s="127"/>
      <c r="S384" s="127"/>
      <c r="T384" s="127"/>
      <c r="U384" s="127"/>
      <c r="V384" s="127"/>
      <c r="W384" s="127"/>
      <c r="X384" s="127"/>
      <c r="Y384" s="127"/>
      <c r="Z384" s="127"/>
    </row>
    <row r="385" customFormat="false" ht="15.75" hidden="false" customHeight="false" outlineLevel="0" collapsed="false">
      <c r="A385" s="127"/>
      <c r="B385" s="127"/>
      <c r="C385" s="127"/>
      <c r="D385" s="127"/>
      <c r="E385" s="127"/>
      <c r="F385" s="127"/>
      <c r="G385" s="127"/>
      <c r="H385" s="127"/>
      <c r="I385" s="127"/>
      <c r="J385" s="127"/>
      <c r="K385" s="127"/>
      <c r="L385" s="127"/>
      <c r="M385" s="127"/>
      <c r="N385" s="127"/>
      <c r="O385" s="127"/>
      <c r="P385" s="127"/>
      <c r="Q385" s="127"/>
      <c r="R385" s="127"/>
      <c r="S385" s="127"/>
      <c r="T385" s="127"/>
      <c r="U385" s="127"/>
      <c r="V385" s="127"/>
      <c r="W385" s="127"/>
      <c r="X385" s="127"/>
      <c r="Y385" s="127"/>
      <c r="Z385" s="127"/>
    </row>
    <row r="386" customFormat="false" ht="15.75" hidden="false" customHeight="false" outlineLevel="0" collapsed="false">
      <c r="A386" s="127"/>
      <c r="B386" s="127"/>
      <c r="C386" s="127"/>
      <c r="D386" s="127"/>
      <c r="E386" s="127"/>
      <c r="F386" s="127"/>
      <c r="G386" s="127"/>
      <c r="H386" s="127"/>
      <c r="I386" s="127"/>
      <c r="J386" s="127"/>
      <c r="K386" s="127"/>
      <c r="L386" s="127"/>
      <c r="M386" s="127"/>
      <c r="N386" s="127"/>
      <c r="O386" s="127"/>
      <c r="P386" s="127"/>
      <c r="Q386" s="127"/>
      <c r="R386" s="127"/>
      <c r="S386" s="127"/>
      <c r="T386" s="127"/>
      <c r="U386" s="127"/>
      <c r="V386" s="127"/>
      <c r="W386" s="127"/>
      <c r="X386" s="127"/>
      <c r="Y386" s="127"/>
      <c r="Z386" s="127"/>
    </row>
    <row r="387" customFormat="false" ht="15.75" hidden="false" customHeight="false" outlineLevel="0" collapsed="false">
      <c r="A387" s="127"/>
      <c r="B387" s="127"/>
      <c r="C387" s="127"/>
      <c r="D387" s="127"/>
      <c r="E387" s="127"/>
      <c r="F387" s="127"/>
      <c r="G387" s="127"/>
      <c r="H387" s="127"/>
      <c r="I387" s="127"/>
      <c r="J387" s="127"/>
      <c r="K387" s="127"/>
      <c r="L387" s="127"/>
      <c r="M387" s="127"/>
      <c r="N387" s="127"/>
      <c r="O387" s="127"/>
      <c r="P387" s="127"/>
      <c r="Q387" s="127"/>
      <c r="R387" s="127"/>
      <c r="S387" s="127"/>
      <c r="T387" s="127"/>
      <c r="U387" s="127"/>
      <c r="V387" s="127"/>
      <c r="W387" s="127"/>
      <c r="X387" s="127"/>
      <c r="Y387" s="127"/>
      <c r="Z387" s="127"/>
    </row>
    <row r="388" customFormat="false" ht="15.75" hidden="false" customHeight="false" outlineLevel="0" collapsed="false">
      <c r="A388" s="127"/>
      <c r="B388" s="127"/>
      <c r="C388" s="127"/>
      <c r="D388" s="127"/>
      <c r="E388" s="127"/>
      <c r="F388" s="127"/>
      <c r="G388" s="127"/>
      <c r="H388" s="127"/>
      <c r="I388" s="127"/>
      <c r="J388" s="127"/>
      <c r="K388" s="127"/>
      <c r="L388" s="127"/>
      <c r="M388" s="127"/>
      <c r="N388" s="127"/>
      <c r="O388" s="127"/>
      <c r="P388" s="127"/>
      <c r="Q388" s="127"/>
      <c r="R388" s="127"/>
      <c r="S388" s="127"/>
      <c r="T388" s="127"/>
      <c r="U388" s="127"/>
      <c r="V388" s="127"/>
      <c r="W388" s="127"/>
      <c r="X388" s="127"/>
      <c r="Y388" s="127"/>
      <c r="Z388" s="127"/>
    </row>
    <row r="389" customFormat="false" ht="15.75" hidden="false" customHeight="false" outlineLevel="0" collapsed="false">
      <c r="A389" s="127"/>
      <c r="B389" s="127"/>
      <c r="C389" s="127"/>
      <c r="D389" s="127"/>
      <c r="E389" s="127"/>
      <c r="F389" s="127"/>
      <c r="G389" s="127"/>
      <c r="H389" s="127"/>
      <c r="I389" s="127"/>
      <c r="J389" s="127"/>
      <c r="K389" s="127"/>
      <c r="L389" s="127"/>
      <c r="M389" s="127"/>
      <c r="N389" s="127"/>
      <c r="O389" s="127"/>
      <c r="P389" s="127"/>
      <c r="Q389" s="127"/>
      <c r="R389" s="127"/>
      <c r="S389" s="127"/>
      <c r="T389" s="127"/>
      <c r="U389" s="127"/>
      <c r="V389" s="127"/>
      <c r="W389" s="127"/>
      <c r="X389" s="127"/>
      <c r="Y389" s="127"/>
      <c r="Z389" s="127"/>
    </row>
    <row r="390" customFormat="false" ht="15.75" hidden="false" customHeight="false" outlineLevel="0" collapsed="false">
      <c r="A390" s="127"/>
      <c r="B390" s="127"/>
      <c r="C390" s="127"/>
      <c r="D390" s="127"/>
      <c r="E390" s="127"/>
      <c r="F390" s="127"/>
      <c r="G390" s="127"/>
      <c r="H390" s="127"/>
      <c r="I390" s="127"/>
      <c r="J390" s="127"/>
      <c r="K390" s="127"/>
      <c r="L390" s="127"/>
      <c r="M390" s="127"/>
      <c r="N390" s="127"/>
      <c r="O390" s="127"/>
      <c r="P390" s="127"/>
      <c r="Q390" s="127"/>
      <c r="R390" s="127"/>
      <c r="S390" s="127"/>
      <c r="T390" s="127"/>
      <c r="U390" s="127"/>
      <c r="V390" s="127"/>
      <c r="W390" s="127"/>
      <c r="X390" s="127"/>
      <c r="Y390" s="127"/>
      <c r="Z390" s="127"/>
    </row>
    <row r="391" customFormat="false" ht="15.75" hidden="false" customHeight="false" outlineLevel="0" collapsed="false">
      <c r="A391" s="127"/>
      <c r="B391" s="127"/>
      <c r="C391" s="127"/>
      <c r="D391" s="127"/>
      <c r="E391" s="127"/>
      <c r="F391" s="127"/>
      <c r="G391" s="127"/>
      <c r="H391" s="127"/>
      <c r="I391" s="127"/>
      <c r="J391" s="127"/>
      <c r="K391" s="127"/>
      <c r="L391" s="127"/>
      <c r="M391" s="127"/>
      <c r="N391" s="127"/>
      <c r="O391" s="127"/>
      <c r="P391" s="127"/>
      <c r="Q391" s="127"/>
      <c r="R391" s="127"/>
      <c r="S391" s="127"/>
      <c r="T391" s="127"/>
      <c r="U391" s="127"/>
      <c r="V391" s="127"/>
      <c r="W391" s="127"/>
      <c r="X391" s="127"/>
      <c r="Y391" s="127"/>
      <c r="Z391" s="127"/>
    </row>
    <row r="392" customFormat="false" ht="15.75" hidden="false" customHeight="false" outlineLevel="0" collapsed="false">
      <c r="A392" s="127"/>
      <c r="B392" s="127"/>
      <c r="C392" s="127"/>
      <c r="D392" s="127"/>
      <c r="E392" s="127"/>
      <c r="F392" s="127"/>
      <c r="G392" s="127"/>
      <c r="H392" s="127"/>
      <c r="I392" s="127"/>
      <c r="J392" s="127"/>
      <c r="K392" s="127"/>
      <c r="L392" s="127"/>
      <c r="M392" s="127"/>
      <c r="N392" s="127"/>
      <c r="O392" s="127"/>
      <c r="P392" s="127"/>
      <c r="Q392" s="127"/>
      <c r="R392" s="127"/>
      <c r="S392" s="127"/>
      <c r="T392" s="127"/>
      <c r="U392" s="127"/>
      <c r="V392" s="127"/>
      <c r="W392" s="127"/>
      <c r="X392" s="127"/>
      <c r="Y392" s="127"/>
      <c r="Z392" s="127"/>
    </row>
    <row r="393" customFormat="false" ht="15.75" hidden="false" customHeight="false" outlineLevel="0" collapsed="false">
      <c r="A393" s="127"/>
      <c r="B393" s="127"/>
      <c r="C393" s="127"/>
      <c r="D393" s="127"/>
      <c r="E393" s="127"/>
      <c r="F393" s="127"/>
      <c r="G393" s="127"/>
      <c r="H393" s="127"/>
      <c r="I393" s="127"/>
      <c r="J393" s="127"/>
      <c r="K393" s="127"/>
      <c r="L393" s="127"/>
      <c r="M393" s="127"/>
      <c r="N393" s="127"/>
      <c r="O393" s="127"/>
      <c r="P393" s="127"/>
      <c r="Q393" s="127"/>
      <c r="R393" s="127"/>
      <c r="S393" s="127"/>
      <c r="T393" s="127"/>
      <c r="U393" s="127"/>
      <c r="V393" s="127"/>
      <c r="W393" s="127"/>
      <c r="X393" s="127"/>
      <c r="Y393" s="127"/>
      <c r="Z393" s="127"/>
    </row>
    <row r="394" customFormat="false" ht="15.75" hidden="false" customHeight="false" outlineLevel="0" collapsed="false">
      <c r="A394" s="127"/>
      <c r="B394" s="127"/>
      <c r="C394" s="127"/>
      <c r="D394" s="127"/>
      <c r="E394" s="127"/>
      <c r="F394" s="127"/>
      <c r="G394" s="127"/>
      <c r="H394" s="127"/>
      <c r="I394" s="127"/>
      <c r="J394" s="127"/>
      <c r="K394" s="127"/>
      <c r="L394" s="127"/>
      <c r="M394" s="127"/>
      <c r="N394" s="127"/>
      <c r="O394" s="127"/>
      <c r="P394" s="127"/>
      <c r="Q394" s="127"/>
      <c r="R394" s="127"/>
      <c r="S394" s="127"/>
      <c r="T394" s="127"/>
      <c r="U394" s="127"/>
      <c r="V394" s="127"/>
      <c r="W394" s="127"/>
      <c r="X394" s="127"/>
      <c r="Y394" s="127"/>
      <c r="Z394" s="127"/>
    </row>
    <row r="395" customFormat="false" ht="15.75" hidden="false" customHeight="false" outlineLevel="0" collapsed="false">
      <c r="A395" s="127"/>
      <c r="B395" s="127"/>
      <c r="C395" s="127"/>
      <c r="D395" s="127"/>
      <c r="E395" s="127"/>
      <c r="F395" s="127"/>
      <c r="G395" s="127"/>
      <c r="H395" s="127"/>
      <c r="I395" s="127"/>
      <c r="J395" s="127"/>
      <c r="K395" s="127"/>
      <c r="L395" s="127"/>
      <c r="M395" s="127"/>
      <c r="N395" s="127"/>
      <c r="O395" s="127"/>
      <c r="P395" s="127"/>
      <c r="Q395" s="127"/>
      <c r="R395" s="127"/>
      <c r="S395" s="127"/>
      <c r="T395" s="127"/>
      <c r="U395" s="127"/>
      <c r="V395" s="127"/>
      <c r="W395" s="127"/>
      <c r="X395" s="127"/>
      <c r="Y395" s="127"/>
      <c r="Z395" s="127"/>
    </row>
    <row r="396" customFormat="false" ht="15.75" hidden="false" customHeight="false" outlineLevel="0" collapsed="false">
      <c r="A396" s="127"/>
      <c r="B396" s="127"/>
      <c r="C396" s="127"/>
      <c r="D396" s="127"/>
      <c r="E396" s="127"/>
      <c r="F396" s="127"/>
      <c r="G396" s="127"/>
      <c r="H396" s="127"/>
      <c r="I396" s="127"/>
      <c r="J396" s="127"/>
      <c r="K396" s="127"/>
      <c r="L396" s="127"/>
      <c r="M396" s="127"/>
      <c r="N396" s="127"/>
      <c r="O396" s="127"/>
      <c r="P396" s="127"/>
      <c r="Q396" s="127"/>
      <c r="R396" s="127"/>
      <c r="S396" s="127"/>
      <c r="T396" s="127"/>
      <c r="U396" s="127"/>
      <c r="V396" s="127"/>
      <c r="W396" s="127"/>
      <c r="X396" s="127"/>
      <c r="Y396" s="127"/>
      <c r="Z396" s="127"/>
    </row>
    <row r="397" customFormat="false" ht="15.75" hidden="false" customHeight="false" outlineLevel="0" collapsed="false">
      <c r="A397" s="127"/>
      <c r="B397" s="127"/>
      <c r="C397" s="127"/>
      <c r="D397" s="127"/>
      <c r="E397" s="127"/>
      <c r="F397" s="127"/>
      <c r="G397" s="127"/>
      <c r="H397" s="127"/>
      <c r="I397" s="127"/>
      <c r="J397" s="127"/>
      <c r="K397" s="127"/>
      <c r="L397" s="127"/>
      <c r="M397" s="127"/>
      <c r="N397" s="127"/>
      <c r="O397" s="127"/>
      <c r="P397" s="127"/>
      <c r="Q397" s="127"/>
      <c r="R397" s="127"/>
      <c r="S397" s="127"/>
      <c r="T397" s="127"/>
      <c r="U397" s="127"/>
      <c r="V397" s="127"/>
      <c r="W397" s="127"/>
      <c r="X397" s="127"/>
      <c r="Y397" s="127"/>
      <c r="Z397" s="127"/>
    </row>
    <row r="398" customFormat="false" ht="15.75" hidden="false" customHeight="false" outlineLevel="0" collapsed="false">
      <c r="A398" s="127"/>
      <c r="B398" s="127"/>
      <c r="C398" s="127"/>
      <c r="D398" s="127"/>
      <c r="E398" s="127"/>
      <c r="F398" s="127"/>
      <c r="G398" s="127"/>
      <c r="H398" s="127"/>
      <c r="I398" s="127"/>
      <c r="J398" s="127"/>
      <c r="K398" s="127"/>
      <c r="L398" s="127"/>
      <c r="M398" s="127"/>
      <c r="N398" s="127"/>
      <c r="O398" s="127"/>
      <c r="P398" s="127"/>
      <c r="Q398" s="127"/>
      <c r="R398" s="127"/>
      <c r="S398" s="127"/>
      <c r="T398" s="127"/>
      <c r="U398" s="127"/>
      <c r="V398" s="127"/>
      <c r="W398" s="127"/>
      <c r="X398" s="127"/>
      <c r="Y398" s="127"/>
      <c r="Z398" s="127"/>
    </row>
    <row r="399" customFormat="false" ht="15.75" hidden="false" customHeight="false" outlineLevel="0" collapsed="false">
      <c r="A399" s="127"/>
      <c r="B399" s="127"/>
      <c r="C399" s="127"/>
      <c r="D399" s="127"/>
      <c r="E399" s="127"/>
      <c r="F399" s="127"/>
      <c r="G399" s="127"/>
      <c r="H399" s="127"/>
      <c r="I399" s="127"/>
      <c r="J399" s="127"/>
      <c r="K399" s="127"/>
      <c r="L399" s="127"/>
      <c r="M399" s="127"/>
      <c r="N399" s="127"/>
      <c r="O399" s="127"/>
      <c r="P399" s="127"/>
      <c r="Q399" s="127"/>
      <c r="R399" s="127"/>
      <c r="S399" s="127"/>
      <c r="T399" s="127"/>
      <c r="U399" s="127"/>
      <c r="V399" s="127"/>
      <c r="W399" s="127"/>
      <c r="X399" s="127"/>
      <c r="Y399" s="127"/>
      <c r="Z399" s="127"/>
    </row>
    <row r="400" customFormat="false" ht="15.75" hidden="false" customHeight="false" outlineLevel="0" collapsed="false">
      <c r="A400" s="127"/>
      <c r="B400" s="127"/>
      <c r="C400" s="127"/>
      <c r="D400" s="127"/>
      <c r="E400" s="127"/>
      <c r="F400" s="127"/>
      <c r="G400" s="127"/>
      <c r="H400" s="127"/>
      <c r="I400" s="127"/>
      <c r="J400" s="127"/>
      <c r="K400" s="127"/>
      <c r="L400" s="127"/>
      <c r="M400" s="127"/>
      <c r="N400" s="127"/>
      <c r="O400" s="127"/>
      <c r="P400" s="127"/>
      <c r="Q400" s="127"/>
      <c r="R400" s="127"/>
      <c r="S400" s="127"/>
      <c r="T400" s="127"/>
      <c r="U400" s="127"/>
      <c r="V400" s="127"/>
      <c r="W400" s="127"/>
      <c r="X400" s="127"/>
      <c r="Y400" s="127"/>
      <c r="Z400" s="127"/>
    </row>
    <row r="401" customFormat="false" ht="15.75" hidden="false" customHeight="false" outlineLevel="0" collapsed="false">
      <c r="A401" s="127"/>
      <c r="B401" s="127"/>
      <c r="C401" s="127"/>
      <c r="D401" s="127"/>
      <c r="E401" s="127"/>
      <c r="F401" s="127"/>
      <c r="G401" s="127"/>
      <c r="H401" s="127"/>
      <c r="I401" s="127"/>
      <c r="J401" s="127"/>
      <c r="K401" s="127"/>
      <c r="L401" s="127"/>
      <c r="M401" s="127"/>
      <c r="N401" s="127"/>
      <c r="O401" s="127"/>
      <c r="P401" s="127"/>
      <c r="Q401" s="127"/>
      <c r="R401" s="127"/>
      <c r="S401" s="127"/>
      <c r="T401" s="127"/>
      <c r="U401" s="127"/>
      <c r="V401" s="127"/>
      <c r="W401" s="127"/>
      <c r="X401" s="127"/>
      <c r="Y401" s="127"/>
      <c r="Z401" s="127"/>
    </row>
    <row r="402" customFormat="false" ht="15.75" hidden="false" customHeight="false" outlineLevel="0" collapsed="false">
      <c r="A402" s="127"/>
      <c r="B402" s="127"/>
      <c r="C402" s="127"/>
      <c r="D402" s="127"/>
      <c r="E402" s="127"/>
      <c r="F402" s="127"/>
      <c r="G402" s="127"/>
      <c r="H402" s="127"/>
      <c r="I402" s="127"/>
      <c r="J402" s="127"/>
      <c r="K402" s="127"/>
      <c r="L402" s="127"/>
      <c r="M402" s="127"/>
      <c r="N402" s="127"/>
      <c r="O402" s="127"/>
      <c r="P402" s="127"/>
      <c r="Q402" s="127"/>
      <c r="R402" s="127"/>
      <c r="S402" s="127"/>
      <c r="T402" s="127"/>
      <c r="U402" s="127"/>
      <c r="V402" s="127"/>
      <c r="W402" s="127"/>
      <c r="X402" s="127"/>
      <c r="Y402" s="127"/>
      <c r="Z402" s="127"/>
    </row>
    <row r="403" customFormat="false" ht="15.75" hidden="false" customHeight="false" outlineLevel="0" collapsed="false">
      <c r="A403" s="127"/>
      <c r="B403" s="127"/>
      <c r="C403" s="127"/>
      <c r="D403" s="127"/>
      <c r="E403" s="127"/>
      <c r="F403" s="127"/>
      <c r="G403" s="127"/>
      <c r="H403" s="127"/>
      <c r="I403" s="127"/>
      <c r="J403" s="127"/>
      <c r="K403" s="127"/>
      <c r="L403" s="127"/>
      <c r="M403" s="127"/>
      <c r="N403" s="127"/>
      <c r="O403" s="127"/>
      <c r="P403" s="127"/>
      <c r="Q403" s="127"/>
      <c r="R403" s="127"/>
      <c r="S403" s="127"/>
      <c r="T403" s="127"/>
      <c r="U403" s="127"/>
      <c r="V403" s="127"/>
      <c r="W403" s="127"/>
      <c r="X403" s="127"/>
      <c r="Y403" s="127"/>
      <c r="Z403" s="127"/>
    </row>
    <row r="404" customFormat="false" ht="15.75" hidden="false" customHeight="false" outlineLevel="0" collapsed="false">
      <c r="A404" s="127"/>
      <c r="B404" s="127"/>
      <c r="C404" s="127"/>
      <c r="D404" s="127"/>
      <c r="E404" s="127"/>
      <c r="F404" s="127"/>
      <c r="G404" s="127"/>
      <c r="H404" s="127"/>
      <c r="I404" s="127"/>
      <c r="J404" s="127"/>
      <c r="K404" s="127"/>
      <c r="L404" s="127"/>
      <c r="M404" s="127"/>
      <c r="N404" s="127"/>
      <c r="O404" s="127"/>
      <c r="P404" s="127"/>
      <c r="Q404" s="127"/>
      <c r="R404" s="127"/>
      <c r="S404" s="127"/>
      <c r="T404" s="127"/>
      <c r="U404" s="127"/>
      <c r="V404" s="127"/>
      <c r="W404" s="127"/>
      <c r="X404" s="127"/>
      <c r="Y404" s="127"/>
      <c r="Z404" s="127"/>
    </row>
    <row r="405" customFormat="false" ht="15.75" hidden="false" customHeight="false" outlineLevel="0" collapsed="false">
      <c r="A405" s="127"/>
      <c r="B405" s="127"/>
      <c r="C405" s="127"/>
      <c r="D405" s="127"/>
      <c r="E405" s="127"/>
      <c r="F405" s="127"/>
      <c r="G405" s="127"/>
      <c r="H405" s="127"/>
      <c r="I405" s="127"/>
      <c r="J405" s="127"/>
      <c r="K405" s="127"/>
      <c r="L405" s="127"/>
      <c r="M405" s="127"/>
      <c r="N405" s="127"/>
      <c r="O405" s="127"/>
      <c r="P405" s="127"/>
      <c r="Q405" s="127"/>
      <c r="R405" s="127"/>
      <c r="S405" s="127"/>
      <c r="T405" s="127"/>
      <c r="U405" s="127"/>
      <c r="V405" s="127"/>
      <c r="W405" s="127"/>
      <c r="X405" s="127"/>
      <c r="Y405" s="127"/>
      <c r="Z405" s="127"/>
    </row>
    <row r="406" customFormat="false" ht="15.75" hidden="false" customHeight="false" outlineLevel="0" collapsed="false">
      <c r="A406" s="127"/>
      <c r="B406" s="127"/>
      <c r="C406" s="127"/>
      <c r="D406" s="127"/>
      <c r="E406" s="127"/>
      <c r="F406" s="127"/>
      <c r="G406" s="127"/>
      <c r="H406" s="127"/>
      <c r="I406" s="127"/>
      <c r="J406" s="127"/>
      <c r="K406" s="127"/>
      <c r="L406" s="127"/>
      <c r="M406" s="127"/>
      <c r="N406" s="127"/>
      <c r="O406" s="127"/>
      <c r="P406" s="127"/>
      <c r="Q406" s="127"/>
      <c r="R406" s="127"/>
      <c r="S406" s="127"/>
      <c r="T406" s="127"/>
      <c r="U406" s="127"/>
      <c r="V406" s="127"/>
      <c r="W406" s="127"/>
      <c r="X406" s="127"/>
      <c r="Y406" s="127"/>
      <c r="Z406" s="127"/>
    </row>
    <row r="407" customFormat="false" ht="15.75" hidden="false" customHeight="false" outlineLevel="0" collapsed="false">
      <c r="A407" s="127"/>
      <c r="B407" s="127"/>
      <c r="C407" s="127"/>
      <c r="D407" s="127"/>
      <c r="E407" s="127"/>
      <c r="F407" s="127"/>
      <c r="G407" s="127"/>
      <c r="H407" s="127"/>
      <c r="I407" s="127"/>
      <c r="J407" s="127"/>
      <c r="K407" s="127"/>
      <c r="L407" s="127"/>
      <c r="M407" s="127"/>
      <c r="N407" s="127"/>
      <c r="O407" s="127"/>
      <c r="P407" s="127"/>
      <c r="Q407" s="127"/>
      <c r="R407" s="127"/>
      <c r="S407" s="127"/>
      <c r="T407" s="127"/>
      <c r="U407" s="127"/>
      <c r="V407" s="127"/>
      <c r="W407" s="127"/>
      <c r="X407" s="127"/>
      <c r="Y407" s="127"/>
      <c r="Z407" s="127"/>
    </row>
    <row r="408" customFormat="false" ht="15.75" hidden="false" customHeight="false" outlineLevel="0" collapsed="false">
      <c r="A408" s="127"/>
      <c r="B408" s="127"/>
      <c r="C408" s="127"/>
      <c r="D408" s="127"/>
      <c r="E408" s="127"/>
      <c r="F408" s="127"/>
      <c r="G408" s="127"/>
      <c r="H408" s="127"/>
      <c r="I408" s="127"/>
      <c r="J408" s="127"/>
      <c r="K408" s="127"/>
      <c r="L408" s="127"/>
      <c r="M408" s="127"/>
      <c r="N408" s="127"/>
      <c r="O408" s="127"/>
      <c r="P408" s="127"/>
      <c r="Q408" s="127"/>
      <c r="R408" s="127"/>
      <c r="S408" s="127"/>
      <c r="T408" s="127"/>
      <c r="U408" s="127"/>
      <c r="V408" s="127"/>
      <c r="W408" s="127"/>
      <c r="X408" s="127"/>
      <c r="Y408" s="127"/>
      <c r="Z408" s="127"/>
    </row>
    <row r="409" customFormat="false" ht="15.75" hidden="false" customHeight="false" outlineLevel="0" collapsed="false">
      <c r="A409" s="127"/>
      <c r="B409" s="127"/>
      <c r="C409" s="127"/>
      <c r="D409" s="127"/>
      <c r="E409" s="127"/>
      <c r="F409" s="127"/>
      <c r="G409" s="127"/>
      <c r="H409" s="127"/>
      <c r="I409" s="127"/>
      <c r="J409" s="127"/>
      <c r="K409" s="127"/>
      <c r="L409" s="127"/>
      <c r="M409" s="127"/>
      <c r="N409" s="127"/>
      <c r="O409" s="127"/>
      <c r="P409" s="127"/>
      <c r="Q409" s="127"/>
      <c r="R409" s="127"/>
      <c r="S409" s="127"/>
      <c r="T409" s="127"/>
      <c r="U409" s="127"/>
      <c r="V409" s="127"/>
      <c r="W409" s="127"/>
      <c r="X409" s="127"/>
      <c r="Y409" s="127"/>
      <c r="Z409" s="127"/>
    </row>
    <row r="410" customFormat="false" ht="15.75" hidden="false" customHeight="false" outlineLevel="0" collapsed="false">
      <c r="A410" s="127"/>
      <c r="B410" s="127"/>
      <c r="C410" s="127"/>
      <c r="D410" s="127"/>
      <c r="E410" s="127"/>
      <c r="F410" s="127"/>
      <c r="G410" s="127"/>
      <c r="H410" s="127"/>
      <c r="I410" s="127"/>
      <c r="J410" s="127"/>
      <c r="K410" s="127"/>
      <c r="L410" s="127"/>
      <c r="M410" s="127"/>
      <c r="N410" s="127"/>
      <c r="O410" s="127"/>
      <c r="P410" s="127"/>
      <c r="Q410" s="127"/>
      <c r="R410" s="127"/>
      <c r="S410" s="127"/>
      <c r="T410" s="127"/>
      <c r="U410" s="127"/>
      <c r="V410" s="127"/>
      <c r="W410" s="127"/>
      <c r="X410" s="127"/>
      <c r="Y410" s="127"/>
      <c r="Z410" s="127"/>
    </row>
    <row r="411" customFormat="false" ht="15.75" hidden="false" customHeight="false" outlineLevel="0" collapsed="false">
      <c r="A411" s="127"/>
      <c r="B411" s="127"/>
      <c r="C411" s="127"/>
      <c r="D411" s="127"/>
      <c r="E411" s="127"/>
      <c r="F411" s="127"/>
      <c r="G411" s="127"/>
      <c r="H411" s="127"/>
      <c r="I411" s="127"/>
      <c r="J411" s="127"/>
      <c r="K411" s="127"/>
      <c r="L411" s="127"/>
      <c r="M411" s="127"/>
      <c r="N411" s="127"/>
      <c r="O411" s="127"/>
      <c r="P411" s="127"/>
      <c r="Q411" s="127"/>
      <c r="R411" s="127"/>
      <c r="S411" s="127"/>
      <c r="T411" s="127"/>
      <c r="U411" s="127"/>
      <c r="V411" s="127"/>
      <c r="W411" s="127"/>
      <c r="X411" s="127"/>
      <c r="Y411" s="127"/>
      <c r="Z411" s="127"/>
    </row>
    <row r="412" customFormat="false" ht="15.75" hidden="false" customHeight="false" outlineLevel="0" collapsed="false">
      <c r="A412" s="127"/>
      <c r="B412" s="127"/>
      <c r="C412" s="127"/>
      <c r="D412" s="127"/>
      <c r="E412" s="127"/>
      <c r="F412" s="127"/>
      <c r="G412" s="127"/>
      <c r="H412" s="127"/>
      <c r="I412" s="127"/>
      <c r="J412" s="127"/>
      <c r="K412" s="127"/>
      <c r="L412" s="127"/>
      <c r="M412" s="127"/>
      <c r="N412" s="127"/>
      <c r="O412" s="127"/>
      <c r="P412" s="127"/>
      <c r="Q412" s="127"/>
      <c r="R412" s="127"/>
      <c r="S412" s="127"/>
      <c r="T412" s="127"/>
      <c r="U412" s="127"/>
      <c r="V412" s="127"/>
      <c r="W412" s="127"/>
      <c r="X412" s="127"/>
      <c r="Y412" s="127"/>
      <c r="Z412" s="127"/>
    </row>
    <row r="413" customFormat="false" ht="15.75" hidden="false" customHeight="false" outlineLevel="0" collapsed="false">
      <c r="A413" s="127"/>
      <c r="B413" s="127"/>
      <c r="C413" s="127"/>
      <c r="D413" s="127"/>
      <c r="E413" s="127"/>
      <c r="F413" s="127"/>
      <c r="G413" s="127"/>
      <c r="H413" s="127"/>
      <c r="I413" s="127"/>
      <c r="J413" s="127"/>
      <c r="K413" s="127"/>
      <c r="L413" s="127"/>
      <c r="M413" s="127"/>
      <c r="N413" s="127"/>
      <c r="O413" s="127"/>
      <c r="P413" s="127"/>
      <c r="Q413" s="127"/>
      <c r="R413" s="127"/>
      <c r="S413" s="127"/>
      <c r="T413" s="127"/>
      <c r="U413" s="127"/>
      <c r="V413" s="127"/>
      <c r="W413" s="127"/>
      <c r="X413" s="127"/>
      <c r="Y413" s="127"/>
      <c r="Z413" s="127"/>
    </row>
    <row r="414" customFormat="false" ht="15.75" hidden="false" customHeight="false" outlineLevel="0" collapsed="false">
      <c r="A414" s="127"/>
      <c r="B414" s="127"/>
      <c r="C414" s="127"/>
      <c r="D414" s="127"/>
      <c r="E414" s="127"/>
      <c r="F414" s="127"/>
      <c r="G414" s="127"/>
      <c r="H414" s="127"/>
      <c r="I414" s="127"/>
      <c r="J414" s="127"/>
      <c r="K414" s="127"/>
      <c r="L414" s="127"/>
      <c r="M414" s="127"/>
      <c r="N414" s="127"/>
      <c r="O414" s="127"/>
      <c r="P414" s="127"/>
      <c r="Q414" s="127"/>
      <c r="R414" s="127"/>
      <c r="S414" s="127"/>
      <c r="T414" s="127"/>
      <c r="U414" s="127"/>
      <c r="V414" s="127"/>
      <c r="W414" s="127"/>
      <c r="X414" s="127"/>
      <c r="Y414" s="127"/>
      <c r="Z414" s="127"/>
    </row>
    <row r="415" customFormat="false" ht="15.75" hidden="false" customHeight="false" outlineLevel="0" collapsed="false">
      <c r="A415" s="127"/>
      <c r="B415" s="127"/>
      <c r="C415" s="127"/>
      <c r="D415" s="127"/>
      <c r="E415" s="127"/>
      <c r="F415" s="127"/>
      <c r="G415" s="127"/>
      <c r="H415" s="127"/>
      <c r="I415" s="127"/>
      <c r="J415" s="127"/>
      <c r="K415" s="127"/>
      <c r="L415" s="127"/>
      <c r="M415" s="127"/>
      <c r="N415" s="127"/>
      <c r="O415" s="127"/>
      <c r="P415" s="127"/>
      <c r="Q415" s="127"/>
      <c r="R415" s="127"/>
      <c r="S415" s="127"/>
      <c r="T415" s="127"/>
      <c r="U415" s="127"/>
      <c r="V415" s="127"/>
      <c r="W415" s="127"/>
      <c r="X415" s="127"/>
      <c r="Y415" s="127"/>
      <c r="Z415" s="127"/>
    </row>
    <row r="416" customFormat="false" ht="15.75" hidden="false" customHeight="false" outlineLevel="0" collapsed="false">
      <c r="A416" s="127"/>
      <c r="B416" s="127"/>
      <c r="C416" s="127"/>
      <c r="D416" s="127"/>
      <c r="E416" s="127"/>
      <c r="F416" s="127"/>
      <c r="G416" s="127"/>
      <c r="H416" s="127"/>
      <c r="I416" s="127"/>
      <c r="J416" s="127"/>
      <c r="K416" s="127"/>
      <c r="L416" s="127"/>
      <c r="M416" s="127"/>
      <c r="N416" s="127"/>
      <c r="O416" s="127"/>
      <c r="P416" s="127"/>
      <c r="Q416" s="127"/>
      <c r="R416" s="127"/>
      <c r="S416" s="127"/>
      <c r="T416" s="127"/>
      <c r="U416" s="127"/>
      <c r="V416" s="127"/>
      <c r="W416" s="127"/>
      <c r="X416" s="127"/>
      <c r="Y416" s="127"/>
      <c r="Z416" s="127"/>
    </row>
    <row r="417" customFormat="false" ht="15.75" hidden="false" customHeight="false" outlineLevel="0" collapsed="false">
      <c r="A417" s="127"/>
      <c r="B417" s="127"/>
      <c r="C417" s="127"/>
      <c r="D417" s="127"/>
      <c r="E417" s="127"/>
      <c r="F417" s="127"/>
      <c r="G417" s="127"/>
      <c r="H417" s="127"/>
      <c r="I417" s="127"/>
      <c r="J417" s="127"/>
      <c r="K417" s="127"/>
      <c r="L417" s="127"/>
      <c r="M417" s="127"/>
      <c r="N417" s="127"/>
      <c r="O417" s="127"/>
      <c r="P417" s="127"/>
      <c r="Q417" s="127"/>
      <c r="R417" s="127"/>
      <c r="S417" s="127"/>
      <c r="T417" s="127"/>
      <c r="U417" s="127"/>
      <c r="V417" s="127"/>
      <c r="W417" s="127"/>
      <c r="X417" s="127"/>
      <c r="Y417" s="127"/>
      <c r="Z417" s="127"/>
    </row>
    <row r="418" customFormat="false" ht="15.75" hidden="false" customHeight="false" outlineLevel="0" collapsed="false">
      <c r="A418" s="127"/>
      <c r="B418" s="127"/>
      <c r="C418" s="127"/>
      <c r="D418" s="127"/>
      <c r="E418" s="127"/>
      <c r="F418" s="127"/>
      <c r="G418" s="127"/>
      <c r="H418" s="127"/>
      <c r="I418" s="127"/>
      <c r="J418" s="127"/>
      <c r="K418" s="127"/>
      <c r="L418" s="127"/>
      <c r="M418" s="127"/>
      <c r="N418" s="127"/>
      <c r="O418" s="127"/>
      <c r="P418" s="127"/>
      <c r="Q418" s="127"/>
      <c r="R418" s="127"/>
      <c r="S418" s="127"/>
      <c r="T418" s="127"/>
      <c r="U418" s="127"/>
      <c r="V418" s="127"/>
      <c r="W418" s="127"/>
      <c r="X418" s="127"/>
      <c r="Y418" s="127"/>
      <c r="Z418" s="127"/>
    </row>
    <row r="419" customFormat="false" ht="15.75" hidden="false" customHeight="false" outlineLevel="0" collapsed="false">
      <c r="A419" s="127"/>
      <c r="B419" s="127"/>
      <c r="C419" s="127"/>
      <c r="D419" s="127"/>
      <c r="E419" s="127"/>
      <c r="F419" s="127"/>
      <c r="G419" s="127"/>
      <c r="H419" s="127"/>
      <c r="I419" s="127"/>
      <c r="J419" s="127"/>
      <c r="K419" s="127"/>
      <c r="L419" s="127"/>
      <c r="M419" s="127"/>
      <c r="N419" s="127"/>
      <c r="O419" s="127"/>
      <c r="P419" s="127"/>
      <c r="Q419" s="127"/>
      <c r="R419" s="127"/>
      <c r="S419" s="127"/>
      <c r="T419" s="127"/>
      <c r="U419" s="127"/>
      <c r="V419" s="127"/>
      <c r="W419" s="127"/>
      <c r="X419" s="127"/>
      <c r="Y419" s="127"/>
      <c r="Z419" s="127"/>
    </row>
    <row r="420" customFormat="false" ht="15.75" hidden="false" customHeight="false" outlineLevel="0" collapsed="false">
      <c r="A420" s="127"/>
      <c r="B420" s="127"/>
      <c r="C420" s="127"/>
      <c r="D420" s="127"/>
      <c r="E420" s="127"/>
      <c r="F420" s="127"/>
      <c r="G420" s="127"/>
      <c r="H420" s="127"/>
      <c r="I420" s="127"/>
      <c r="J420" s="127"/>
      <c r="K420" s="127"/>
      <c r="L420" s="127"/>
      <c r="M420" s="127"/>
      <c r="N420" s="127"/>
      <c r="O420" s="127"/>
      <c r="P420" s="127"/>
      <c r="Q420" s="127"/>
      <c r="R420" s="127"/>
      <c r="S420" s="127"/>
      <c r="T420" s="127"/>
      <c r="U420" s="127"/>
      <c r="V420" s="127"/>
      <c r="W420" s="127"/>
      <c r="X420" s="127"/>
      <c r="Y420" s="127"/>
      <c r="Z420" s="127"/>
    </row>
    <row r="421" customFormat="false" ht="15.75" hidden="false" customHeight="false" outlineLevel="0" collapsed="false">
      <c r="A421" s="127"/>
      <c r="B421" s="127"/>
      <c r="C421" s="127"/>
      <c r="D421" s="127"/>
      <c r="E421" s="127"/>
      <c r="F421" s="127"/>
      <c r="G421" s="127"/>
      <c r="H421" s="127"/>
      <c r="I421" s="127"/>
      <c r="J421" s="127"/>
      <c r="K421" s="127"/>
      <c r="L421" s="127"/>
      <c r="M421" s="127"/>
      <c r="N421" s="127"/>
      <c r="O421" s="127"/>
      <c r="P421" s="127"/>
      <c r="Q421" s="127"/>
      <c r="R421" s="127"/>
      <c r="S421" s="127"/>
      <c r="T421" s="127"/>
      <c r="U421" s="127"/>
      <c r="V421" s="127"/>
      <c r="W421" s="127"/>
      <c r="X421" s="127"/>
      <c r="Y421" s="127"/>
      <c r="Z421" s="127"/>
    </row>
    <row r="422" customFormat="false" ht="15.75" hidden="false" customHeight="false" outlineLevel="0" collapsed="false">
      <c r="A422" s="127"/>
      <c r="B422" s="127"/>
      <c r="C422" s="127"/>
      <c r="D422" s="127"/>
      <c r="E422" s="127"/>
      <c r="F422" s="127"/>
      <c r="G422" s="127"/>
      <c r="H422" s="127"/>
      <c r="I422" s="127"/>
      <c r="J422" s="127"/>
      <c r="K422" s="127"/>
      <c r="L422" s="127"/>
      <c r="M422" s="127"/>
      <c r="N422" s="127"/>
      <c r="O422" s="127"/>
      <c r="P422" s="127"/>
      <c r="Q422" s="127"/>
      <c r="R422" s="127"/>
      <c r="S422" s="127"/>
      <c r="T422" s="127"/>
      <c r="U422" s="127"/>
      <c r="V422" s="127"/>
      <c r="W422" s="127"/>
      <c r="X422" s="127"/>
      <c r="Y422" s="127"/>
      <c r="Z422" s="127"/>
    </row>
    <row r="423" customFormat="false" ht="15.75" hidden="false" customHeight="false" outlineLevel="0" collapsed="false">
      <c r="A423" s="127"/>
      <c r="B423" s="127"/>
      <c r="C423" s="127"/>
      <c r="D423" s="127"/>
      <c r="E423" s="127"/>
      <c r="F423" s="127"/>
      <c r="G423" s="127"/>
      <c r="H423" s="127"/>
      <c r="I423" s="127"/>
      <c r="J423" s="127"/>
      <c r="K423" s="127"/>
      <c r="L423" s="127"/>
      <c r="M423" s="127"/>
      <c r="N423" s="127"/>
      <c r="O423" s="127"/>
      <c r="P423" s="127"/>
      <c r="Q423" s="127"/>
      <c r="R423" s="127"/>
      <c r="S423" s="127"/>
      <c r="T423" s="127"/>
      <c r="U423" s="127"/>
      <c r="V423" s="127"/>
      <c r="W423" s="127"/>
      <c r="X423" s="127"/>
      <c r="Y423" s="127"/>
      <c r="Z423" s="127"/>
    </row>
    <row r="424" customFormat="false" ht="15.75" hidden="false" customHeight="false" outlineLevel="0" collapsed="false">
      <c r="A424" s="127"/>
      <c r="B424" s="127"/>
      <c r="C424" s="127"/>
      <c r="D424" s="127"/>
      <c r="E424" s="127"/>
      <c r="F424" s="127"/>
      <c r="G424" s="127"/>
      <c r="H424" s="127"/>
      <c r="I424" s="127"/>
      <c r="J424" s="127"/>
      <c r="K424" s="127"/>
      <c r="L424" s="127"/>
      <c r="M424" s="127"/>
      <c r="N424" s="127"/>
      <c r="O424" s="127"/>
      <c r="P424" s="127"/>
      <c r="Q424" s="127"/>
      <c r="R424" s="127"/>
      <c r="S424" s="127"/>
      <c r="T424" s="127"/>
      <c r="U424" s="127"/>
      <c r="V424" s="127"/>
      <c r="W424" s="127"/>
      <c r="X424" s="127"/>
      <c r="Y424" s="127"/>
      <c r="Z424" s="127"/>
    </row>
    <row r="425" customFormat="false" ht="15.75" hidden="false" customHeight="false" outlineLevel="0" collapsed="false">
      <c r="A425" s="127"/>
      <c r="B425" s="127"/>
      <c r="C425" s="127"/>
      <c r="D425" s="127"/>
      <c r="E425" s="127"/>
      <c r="F425" s="127"/>
      <c r="G425" s="127"/>
      <c r="H425" s="127"/>
      <c r="I425" s="127"/>
      <c r="J425" s="127"/>
      <c r="K425" s="127"/>
      <c r="L425" s="127"/>
      <c r="M425" s="127"/>
      <c r="N425" s="127"/>
      <c r="O425" s="127"/>
      <c r="P425" s="127"/>
      <c r="Q425" s="127"/>
      <c r="R425" s="127"/>
      <c r="S425" s="127"/>
      <c r="T425" s="127"/>
      <c r="U425" s="127"/>
      <c r="V425" s="127"/>
      <c r="W425" s="127"/>
      <c r="X425" s="127"/>
      <c r="Y425" s="127"/>
      <c r="Z425" s="127"/>
    </row>
    <row r="426" customFormat="false" ht="15.75" hidden="false" customHeight="false" outlineLevel="0" collapsed="false">
      <c r="A426" s="127"/>
      <c r="B426" s="127"/>
      <c r="C426" s="127"/>
      <c r="D426" s="127"/>
      <c r="E426" s="127"/>
      <c r="F426" s="127"/>
      <c r="G426" s="127"/>
      <c r="H426" s="127"/>
      <c r="I426" s="127"/>
      <c r="J426" s="127"/>
      <c r="K426" s="127"/>
      <c r="L426" s="127"/>
      <c r="M426" s="127"/>
      <c r="N426" s="127"/>
      <c r="O426" s="127"/>
      <c r="P426" s="127"/>
      <c r="Q426" s="127"/>
      <c r="R426" s="127"/>
      <c r="S426" s="127"/>
      <c r="T426" s="127"/>
      <c r="U426" s="127"/>
      <c r="V426" s="127"/>
      <c r="W426" s="127"/>
      <c r="X426" s="127"/>
      <c r="Y426" s="127"/>
      <c r="Z426" s="127"/>
    </row>
    <row r="427" customFormat="false" ht="15.75" hidden="false" customHeight="false" outlineLevel="0" collapsed="false">
      <c r="A427" s="127"/>
      <c r="B427" s="127"/>
      <c r="C427" s="127"/>
      <c r="D427" s="127"/>
      <c r="E427" s="127"/>
      <c r="F427" s="127"/>
      <c r="G427" s="127"/>
      <c r="H427" s="127"/>
      <c r="I427" s="127"/>
      <c r="J427" s="127"/>
      <c r="K427" s="127"/>
      <c r="L427" s="127"/>
      <c r="M427" s="127"/>
      <c r="N427" s="127"/>
      <c r="O427" s="127"/>
      <c r="P427" s="127"/>
      <c r="Q427" s="127"/>
      <c r="R427" s="127"/>
      <c r="S427" s="127"/>
      <c r="T427" s="127"/>
      <c r="U427" s="127"/>
      <c r="V427" s="127"/>
      <c r="W427" s="127"/>
      <c r="X427" s="127"/>
      <c r="Y427" s="127"/>
      <c r="Z427" s="127"/>
    </row>
    <row r="428" customFormat="false" ht="15.75" hidden="false" customHeight="false" outlineLevel="0" collapsed="false">
      <c r="A428" s="127"/>
      <c r="B428" s="127"/>
      <c r="C428" s="127"/>
      <c r="D428" s="127"/>
      <c r="E428" s="127"/>
      <c r="F428" s="127"/>
      <c r="G428" s="127"/>
      <c r="H428" s="127"/>
      <c r="I428" s="127"/>
      <c r="J428" s="127"/>
      <c r="K428" s="127"/>
      <c r="L428" s="127"/>
      <c r="M428" s="127"/>
      <c r="N428" s="127"/>
      <c r="O428" s="127"/>
      <c r="P428" s="127"/>
      <c r="Q428" s="127"/>
      <c r="R428" s="127"/>
      <c r="S428" s="127"/>
      <c r="T428" s="127"/>
      <c r="U428" s="127"/>
      <c r="V428" s="127"/>
      <c r="W428" s="127"/>
      <c r="X428" s="127"/>
      <c r="Y428" s="127"/>
      <c r="Z428" s="127"/>
    </row>
    <row r="429" customFormat="false" ht="15.75" hidden="false" customHeight="false" outlineLevel="0" collapsed="false">
      <c r="A429" s="127"/>
      <c r="B429" s="127"/>
      <c r="C429" s="127"/>
      <c r="D429" s="127"/>
      <c r="E429" s="127"/>
      <c r="F429" s="127"/>
      <c r="G429" s="127"/>
      <c r="H429" s="127"/>
      <c r="I429" s="127"/>
      <c r="J429" s="127"/>
      <c r="K429" s="127"/>
      <c r="L429" s="127"/>
      <c r="M429" s="127"/>
      <c r="N429" s="127"/>
      <c r="O429" s="127"/>
      <c r="P429" s="127"/>
      <c r="Q429" s="127"/>
      <c r="R429" s="127"/>
      <c r="S429" s="127"/>
      <c r="T429" s="127"/>
      <c r="U429" s="127"/>
      <c r="V429" s="127"/>
      <c r="W429" s="127"/>
      <c r="X429" s="127"/>
      <c r="Y429" s="127"/>
      <c r="Z429" s="127"/>
    </row>
    <row r="430" customFormat="false" ht="15.75" hidden="false" customHeight="false" outlineLevel="0" collapsed="false">
      <c r="A430" s="127"/>
      <c r="B430" s="127"/>
      <c r="C430" s="127"/>
      <c r="D430" s="127"/>
      <c r="E430" s="127"/>
      <c r="F430" s="127"/>
      <c r="G430" s="127"/>
      <c r="H430" s="127"/>
      <c r="I430" s="127"/>
      <c r="J430" s="127"/>
      <c r="K430" s="127"/>
      <c r="L430" s="127"/>
      <c r="M430" s="127"/>
      <c r="N430" s="127"/>
      <c r="O430" s="127"/>
      <c r="P430" s="127"/>
      <c r="Q430" s="127"/>
      <c r="R430" s="127"/>
      <c r="S430" s="127"/>
      <c r="T430" s="127"/>
      <c r="U430" s="127"/>
      <c r="V430" s="127"/>
      <c r="W430" s="127"/>
      <c r="X430" s="127"/>
      <c r="Y430" s="127"/>
      <c r="Z430" s="127"/>
    </row>
    <row r="431" customFormat="false" ht="15.75" hidden="false" customHeight="false" outlineLevel="0" collapsed="false">
      <c r="A431" s="127"/>
      <c r="B431" s="127"/>
      <c r="C431" s="127"/>
      <c r="D431" s="127"/>
      <c r="E431" s="127"/>
      <c r="F431" s="127"/>
      <c r="G431" s="127"/>
      <c r="H431" s="127"/>
      <c r="I431" s="127"/>
      <c r="J431" s="127"/>
      <c r="K431" s="127"/>
      <c r="L431" s="127"/>
      <c r="M431" s="127"/>
      <c r="N431" s="127"/>
      <c r="O431" s="127"/>
      <c r="P431" s="127"/>
      <c r="Q431" s="127"/>
      <c r="R431" s="127"/>
      <c r="S431" s="127"/>
      <c r="T431" s="127"/>
      <c r="U431" s="127"/>
      <c r="V431" s="127"/>
      <c r="W431" s="127"/>
      <c r="X431" s="127"/>
      <c r="Y431" s="127"/>
      <c r="Z431" s="127"/>
    </row>
    <row r="432" customFormat="false" ht="15.75" hidden="false" customHeight="false" outlineLevel="0" collapsed="false">
      <c r="A432" s="127"/>
      <c r="B432" s="127"/>
      <c r="C432" s="127"/>
      <c r="D432" s="127"/>
      <c r="E432" s="127"/>
      <c r="F432" s="127"/>
      <c r="G432" s="127"/>
      <c r="H432" s="127"/>
      <c r="I432" s="127"/>
      <c r="J432" s="127"/>
      <c r="K432" s="127"/>
      <c r="L432" s="127"/>
      <c r="M432" s="127"/>
      <c r="N432" s="127"/>
      <c r="O432" s="127"/>
      <c r="P432" s="127"/>
      <c r="Q432" s="127"/>
      <c r="R432" s="127"/>
      <c r="S432" s="127"/>
      <c r="T432" s="127"/>
      <c r="U432" s="127"/>
      <c r="V432" s="127"/>
      <c r="W432" s="127"/>
      <c r="X432" s="127"/>
      <c r="Y432" s="127"/>
      <c r="Z432" s="127"/>
    </row>
    <row r="433" customFormat="false" ht="15.75" hidden="false" customHeight="false" outlineLevel="0" collapsed="false">
      <c r="A433" s="127"/>
      <c r="B433" s="127"/>
      <c r="C433" s="127"/>
      <c r="D433" s="127"/>
      <c r="E433" s="127"/>
      <c r="F433" s="127"/>
      <c r="G433" s="127"/>
      <c r="H433" s="127"/>
      <c r="I433" s="127"/>
      <c r="J433" s="127"/>
      <c r="K433" s="127"/>
      <c r="L433" s="127"/>
      <c r="M433" s="127"/>
      <c r="N433" s="127"/>
      <c r="O433" s="127"/>
      <c r="P433" s="127"/>
      <c r="Q433" s="127"/>
      <c r="R433" s="127"/>
      <c r="S433" s="127"/>
      <c r="T433" s="127"/>
      <c r="U433" s="127"/>
      <c r="V433" s="127"/>
      <c r="W433" s="127"/>
      <c r="X433" s="127"/>
      <c r="Y433" s="127"/>
      <c r="Z433" s="127"/>
    </row>
    <row r="434" customFormat="false" ht="15.75" hidden="false" customHeight="false" outlineLevel="0" collapsed="false">
      <c r="A434" s="127"/>
      <c r="B434" s="127"/>
      <c r="C434" s="127"/>
      <c r="D434" s="127"/>
      <c r="E434" s="127"/>
      <c r="F434" s="127"/>
      <c r="G434" s="127"/>
      <c r="H434" s="127"/>
      <c r="I434" s="127"/>
      <c r="J434" s="127"/>
      <c r="K434" s="127"/>
      <c r="L434" s="127"/>
      <c r="M434" s="127"/>
      <c r="N434" s="127"/>
      <c r="O434" s="127"/>
      <c r="P434" s="127"/>
      <c r="Q434" s="127"/>
      <c r="R434" s="127"/>
      <c r="S434" s="127"/>
      <c r="T434" s="127"/>
      <c r="U434" s="127"/>
      <c r="V434" s="127"/>
      <c r="W434" s="127"/>
      <c r="X434" s="127"/>
      <c r="Y434" s="127"/>
      <c r="Z434" s="127"/>
    </row>
    <row r="435" customFormat="false" ht="15.75" hidden="false" customHeight="false" outlineLevel="0" collapsed="false">
      <c r="A435" s="127"/>
      <c r="B435" s="127"/>
      <c r="C435" s="127"/>
      <c r="D435" s="127"/>
      <c r="E435" s="127"/>
      <c r="F435" s="127"/>
      <c r="G435" s="127"/>
      <c r="H435" s="127"/>
      <c r="I435" s="127"/>
      <c r="J435" s="127"/>
      <c r="K435" s="127"/>
      <c r="L435" s="127"/>
      <c r="M435" s="127"/>
      <c r="N435" s="127"/>
      <c r="O435" s="127"/>
      <c r="P435" s="127"/>
      <c r="Q435" s="127"/>
      <c r="R435" s="127"/>
      <c r="S435" s="127"/>
      <c r="T435" s="127"/>
      <c r="U435" s="127"/>
      <c r="V435" s="127"/>
      <c r="W435" s="127"/>
      <c r="X435" s="127"/>
      <c r="Y435" s="127"/>
      <c r="Z435" s="127"/>
    </row>
    <row r="436" customFormat="false" ht="15.75" hidden="false" customHeight="false" outlineLevel="0" collapsed="false">
      <c r="A436" s="127"/>
      <c r="B436" s="127"/>
      <c r="C436" s="127"/>
      <c r="D436" s="127"/>
      <c r="E436" s="127"/>
      <c r="F436" s="127"/>
      <c r="G436" s="127"/>
      <c r="H436" s="127"/>
      <c r="I436" s="127"/>
      <c r="J436" s="127"/>
      <c r="K436" s="127"/>
      <c r="L436" s="127"/>
      <c r="M436" s="127"/>
      <c r="N436" s="127"/>
      <c r="O436" s="127"/>
      <c r="P436" s="127"/>
      <c r="Q436" s="127"/>
      <c r="R436" s="127"/>
      <c r="S436" s="127"/>
      <c r="T436" s="127"/>
      <c r="U436" s="127"/>
      <c r="V436" s="127"/>
      <c r="W436" s="127"/>
      <c r="X436" s="127"/>
      <c r="Y436" s="127"/>
      <c r="Z436" s="127"/>
    </row>
    <row r="437" customFormat="false" ht="15.75" hidden="false" customHeight="false" outlineLevel="0" collapsed="false">
      <c r="A437" s="127"/>
      <c r="B437" s="127"/>
      <c r="C437" s="127"/>
      <c r="D437" s="127"/>
      <c r="E437" s="127"/>
      <c r="F437" s="127"/>
      <c r="G437" s="127"/>
      <c r="H437" s="127"/>
      <c r="I437" s="127"/>
      <c r="J437" s="127"/>
      <c r="K437" s="127"/>
      <c r="L437" s="127"/>
      <c r="M437" s="127"/>
      <c r="N437" s="127"/>
      <c r="O437" s="127"/>
      <c r="P437" s="127"/>
      <c r="Q437" s="127"/>
      <c r="R437" s="127"/>
      <c r="S437" s="127"/>
      <c r="T437" s="127"/>
      <c r="U437" s="127"/>
      <c r="V437" s="127"/>
      <c r="W437" s="127"/>
      <c r="X437" s="127"/>
      <c r="Y437" s="127"/>
      <c r="Z437" s="127"/>
    </row>
    <row r="438" customFormat="false" ht="15.75" hidden="false" customHeight="false" outlineLevel="0" collapsed="false">
      <c r="A438" s="127"/>
      <c r="B438" s="127"/>
      <c r="C438" s="127"/>
      <c r="D438" s="127"/>
      <c r="E438" s="127"/>
      <c r="F438" s="127"/>
      <c r="G438" s="127"/>
      <c r="H438" s="127"/>
      <c r="I438" s="127"/>
      <c r="J438" s="127"/>
      <c r="K438" s="127"/>
      <c r="L438" s="127"/>
      <c r="M438" s="127"/>
      <c r="N438" s="127"/>
      <c r="O438" s="127"/>
      <c r="P438" s="127"/>
      <c r="Q438" s="127"/>
      <c r="R438" s="127"/>
      <c r="S438" s="127"/>
      <c r="T438" s="127"/>
      <c r="U438" s="127"/>
      <c r="V438" s="127"/>
      <c r="W438" s="127"/>
      <c r="X438" s="127"/>
      <c r="Y438" s="127"/>
      <c r="Z438" s="127"/>
    </row>
    <row r="439" customFormat="false" ht="15.75" hidden="false" customHeight="false" outlineLevel="0" collapsed="false">
      <c r="A439" s="127"/>
      <c r="B439" s="127"/>
      <c r="C439" s="127"/>
      <c r="D439" s="127"/>
      <c r="E439" s="127"/>
      <c r="F439" s="127"/>
      <c r="G439" s="127"/>
      <c r="H439" s="127"/>
      <c r="I439" s="127"/>
      <c r="J439" s="127"/>
      <c r="K439" s="127"/>
      <c r="L439" s="127"/>
      <c r="M439" s="127"/>
      <c r="N439" s="127"/>
      <c r="O439" s="127"/>
      <c r="P439" s="127"/>
      <c r="Q439" s="127"/>
      <c r="R439" s="127"/>
      <c r="S439" s="127"/>
      <c r="T439" s="127"/>
      <c r="U439" s="127"/>
      <c r="V439" s="127"/>
      <c r="W439" s="127"/>
      <c r="X439" s="127"/>
      <c r="Y439" s="127"/>
      <c r="Z439" s="127"/>
    </row>
    <row r="440" customFormat="false" ht="15.75" hidden="false" customHeight="false" outlineLevel="0" collapsed="false">
      <c r="A440" s="127"/>
      <c r="B440" s="127"/>
      <c r="C440" s="127"/>
      <c r="D440" s="127"/>
      <c r="E440" s="127"/>
      <c r="F440" s="127"/>
      <c r="G440" s="127"/>
      <c r="H440" s="127"/>
      <c r="I440" s="127"/>
      <c r="J440" s="127"/>
      <c r="K440" s="127"/>
      <c r="L440" s="127"/>
      <c r="M440" s="127"/>
      <c r="N440" s="127"/>
      <c r="O440" s="127"/>
      <c r="P440" s="127"/>
      <c r="Q440" s="127"/>
      <c r="R440" s="127"/>
      <c r="S440" s="127"/>
      <c r="T440" s="127"/>
      <c r="U440" s="127"/>
      <c r="V440" s="127"/>
      <c r="W440" s="127"/>
      <c r="X440" s="127"/>
      <c r="Y440" s="127"/>
      <c r="Z440" s="127"/>
    </row>
    <row r="441" customFormat="false" ht="15.75" hidden="false" customHeight="false" outlineLevel="0" collapsed="false">
      <c r="A441" s="127"/>
      <c r="B441" s="127"/>
      <c r="C441" s="127"/>
      <c r="D441" s="127"/>
      <c r="E441" s="127"/>
      <c r="F441" s="127"/>
      <c r="G441" s="127"/>
      <c r="H441" s="127"/>
      <c r="I441" s="127"/>
      <c r="J441" s="127"/>
      <c r="K441" s="127"/>
      <c r="L441" s="127"/>
      <c r="M441" s="127"/>
      <c r="N441" s="127"/>
      <c r="O441" s="127"/>
      <c r="P441" s="127"/>
      <c r="Q441" s="127"/>
      <c r="R441" s="127"/>
      <c r="S441" s="127"/>
      <c r="T441" s="127"/>
      <c r="U441" s="127"/>
      <c r="V441" s="127"/>
      <c r="W441" s="127"/>
      <c r="X441" s="127"/>
      <c r="Y441" s="127"/>
      <c r="Z441" s="127"/>
    </row>
    <row r="442" customFormat="false" ht="15.75" hidden="false" customHeight="false" outlineLevel="0" collapsed="false">
      <c r="A442" s="127"/>
      <c r="B442" s="127"/>
      <c r="C442" s="127"/>
      <c r="D442" s="127"/>
      <c r="E442" s="127"/>
      <c r="F442" s="127"/>
      <c r="G442" s="127"/>
      <c r="H442" s="127"/>
      <c r="I442" s="127"/>
      <c r="J442" s="127"/>
      <c r="K442" s="127"/>
      <c r="L442" s="127"/>
      <c r="M442" s="127"/>
      <c r="N442" s="127"/>
      <c r="O442" s="127"/>
      <c r="P442" s="127"/>
      <c r="Q442" s="127"/>
      <c r="R442" s="127"/>
      <c r="S442" s="127"/>
      <c r="T442" s="127"/>
      <c r="U442" s="127"/>
      <c r="V442" s="127"/>
      <c r="W442" s="127"/>
      <c r="X442" s="127"/>
      <c r="Y442" s="127"/>
      <c r="Z442" s="127"/>
    </row>
    <row r="443" customFormat="false" ht="15.75" hidden="false" customHeight="false" outlineLevel="0" collapsed="false">
      <c r="A443" s="127"/>
      <c r="B443" s="127"/>
      <c r="C443" s="127"/>
      <c r="D443" s="127"/>
      <c r="E443" s="127"/>
      <c r="F443" s="127"/>
      <c r="G443" s="127"/>
      <c r="H443" s="127"/>
      <c r="I443" s="127"/>
      <c r="J443" s="127"/>
      <c r="K443" s="127"/>
      <c r="L443" s="127"/>
      <c r="M443" s="127"/>
      <c r="N443" s="127"/>
      <c r="O443" s="127"/>
      <c r="P443" s="127"/>
      <c r="Q443" s="127"/>
      <c r="R443" s="127"/>
      <c r="S443" s="127"/>
      <c r="T443" s="127"/>
      <c r="U443" s="127"/>
      <c r="V443" s="127"/>
      <c r="W443" s="127"/>
      <c r="X443" s="127"/>
      <c r="Y443" s="127"/>
      <c r="Z443" s="127"/>
    </row>
    <row r="444" customFormat="false" ht="15.75" hidden="false" customHeight="false" outlineLevel="0" collapsed="false">
      <c r="A444" s="127"/>
      <c r="B444" s="127"/>
      <c r="C444" s="127"/>
      <c r="D444" s="127"/>
      <c r="E444" s="127"/>
      <c r="F444" s="127"/>
      <c r="G444" s="127"/>
      <c r="H444" s="127"/>
      <c r="I444" s="127"/>
      <c r="J444" s="127"/>
      <c r="K444" s="127"/>
      <c r="L444" s="127"/>
      <c r="M444" s="127"/>
      <c r="N444" s="127"/>
      <c r="O444" s="127"/>
      <c r="P444" s="127"/>
      <c r="Q444" s="127"/>
      <c r="R444" s="127"/>
      <c r="S444" s="127"/>
      <c r="T444" s="127"/>
      <c r="U444" s="127"/>
      <c r="V444" s="127"/>
      <c r="W444" s="127"/>
      <c r="X444" s="127"/>
      <c r="Y444" s="127"/>
      <c r="Z444" s="127"/>
    </row>
    <row r="445" customFormat="false" ht="15.75" hidden="false" customHeight="false" outlineLevel="0" collapsed="false">
      <c r="A445" s="127"/>
      <c r="B445" s="127"/>
      <c r="C445" s="127"/>
      <c r="D445" s="127"/>
      <c r="E445" s="127"/>
      <c r="F445" s="127"/>
      <c r="G445" s="127"/>
      <c r="H445" s="127"/>
      <c r="I445" s="127"/>
      <c r="J445" s="127"/>
      <c r="K445" s="127"/>
      <c r="L445" s="127"/>
      <c r="M445" s="127"/>
      <c r="N445" s="127"/>
      <c r="O445" s="127"/>
      <c r="P445" s="127"/>
      <c r="Q445" s="127"/>
      <c r="R445" s="127"/>
      <c r="S445" s="127"/>
      <c r="T445" s="127"/>
      <c r="U445" s="127"/>
      <c r="V445" s="127"/>
      <c r="W445" s="127"/>
      <c r="X445" s="127"/>
      <c r="Y445" s="127"/>
      <c r="Z445" s="127"/>
    </row>
    <row r="446" customFormat="false" ht="15.75" hidden="false" customHeight="false" outlineLevel="0" collapsed="false">
      <c r="A446" s="127"/>
      <c r="B446" s="127"/>
      <c r="C446" s="127"/>
      <c r="D446" s="127"/>
      <c r="E446" s="127"/>
      <c r="F446" s="127"/>
      <c r="G446" s="127"/>
      <c r="H446" s="127"/>
      <c r="I446" s="127"/>
      <c r="J446" s="127"/>
      <c r="K446" s="127"/>
      <c r="L446" s="127"/>
      <c r="M446" s="127"/>
      <c r="N446" s="127"/>
      <c r="O446" s="127"/>
      <c r="P446" s="127"/>
      <c r="Q446" s="127"/>
      <c r="R446" s="127"/>
      <c r="S446" s="127"/>
      <c r="T446" s="127"/>
      <c r="U446" s="127"/>
      <c r="V446" s="127"/>
      <c r="W446" s="127"/>
      <c r="X446" s="127"/>
      <c r="Y446" s="127"/>
      <c r="Z446" s="127"/>
    </row>
    <row r="447" customFormat="false" ht="15.75" hidden="false" customHeight="false" outlineLevel="0" collapsed="false">
      <c r="A447" s="127"/>
      <c r="B447" s="127"/>
      <c r="C447" s="127"/>
      <c r="D447" s="127"/>
      <c r="E447" s="127"/>
      <c r="F447" s="127"/>
      <c r="G447" s="127"/>
      <c r="H447" s="127"/>
      <c r="I447" s="127"/>
      <c r="J447" s="127"/>
      <c r="K447" s="127"/>
      <c r="L447" s="127"/>
      <c r="M447" s="127"/>
      <c r="N447" s="127"/>
      <c r="O447" s="127"/>
      <c r="P447" s="127"/>
      <c r="Q447" s="127"/>
      <c r="R447" s="127"/>
      <c r="S447" s="127"/>
      <c r="T447" s="127"/>
      <c r="U447" s="127"/>
      <c r="V447" s="127"/>
      <c r="W447" s="127"/>
      <c r="X447" s="127"/>
      <c r="Y447" s="127"/>
      <c r="Z447" s="127"/>
    </row>
    <row r="448" customFormat="false" ht="15.75" hidden="false" customHeight="false" outlineLevel="0" collapsed="false">
      <c r="A448" s="127"/>
      <c r="B448" s="127"/>
      <c r="C448" s="127"/>
      <c r="D448" s="127"/>
      <c r="E448" s="127"/>
      <c r="F448" s="127"/>
      <c r="G448" s="127"/>
      <c r="H448" s="127"/>
      <c r="I448" s="127"/>
      <c r="J448" s="127"/>
      <c r="K448" s="127"/>
      <c r="L448" s="127"/>
      <c r="M448" s="127"/>
      <c r="N448" s="127"/>
      <c r="O448" s="127"/>
      <c r="P448" s="127"/>
      <c r="Q448" s="127"/>
      <c r="R448" s="127"/>
      <c r="S448" s="127"/>
      <c r="T448" s="127"/>
      <c r="U448" s="127"/>
      <c r="V448" s="127"/>
      <c r="W448" s="127"/>
      <c r="X448" s="127"/>
      <c r="Y448" s="127"/>
      <c r="Z448" s="127"/>
    </row>
    <row r="449" customFormat="false" ht="15.75" hidden="false" customHeight="false" outlineLevel="0" collapsed="false">
      <c r="A449" s="127"/>
      <c r="B449" s="127"/>
      <c r="C449" s="127"/>
      <c r="D449" s="127"/>
      <c r="E449" s="127"/>
      <c r="F449" s="127"/>
      <c r="G449" s="127"/>
      <c r="H449" s="127"/>
      <c r="I449" s="127"/>
      <c r="J449" s="127"/>
      <c r="K449" s="127"/>
      <c r="L449" s="127"/>
      <c r="M449" s="127"/>
      <c r="N449" s="127"/>
      <c r="O449" s="127"/>
      <c r="P449" s="127"/>
      <c r="Q449" s="127"/>
      <c r="R449" s="127"/>
      <c r="S449" s="127"/>
      <c r="T449" s="127"/>
      <c r="U449" s="127"/>
      <c r="V449" s="127"/>
      <c r="W449" s="127"/>
      <c r="X449" s="127"/>
      <c r="Y449" s="127"/>
      <c r="Z449" s="127"/>
    </row>
    <row r="450" customFormat="false" ht="15.75" hidden="false" customHeight="false" outlineLevel="0" collapsed="false">
      <c r="A450" s="127"/>
      <c r="B450" s="127"/>
      <c r="C450" s="127"/>
      <c r="D450" s="127"/>
      <c r="E450" s="127"/>
      <c r="F450" s="127"/>
      <c r="G450" s="127"/>
      <c r="H450" s="127"/>
      <c r="I450" s="127"/>
      <c r="J450" s="127"/>
      <c r="K450" s="127"/>
      <c r="L450" s="127"/>
      <c r="M450" s="127"/>
      <c r="N450" s="127"/>
      <c r="O450" s="127"/>
      <c r="P450" s="127"/>
      <c r="Q450" s="127"/>
      <c r="R450" s="127"/>
      <c r="S450" s="127"/>
      <c r="T450" s="127"/>
      <c r="U450" s="127"/>
      <c r="V450" s="127"/>
      <c r="W450" s="127"/>
      <c r="X450" s="127"/>
      <c r="Y450" s="127"/>
      <c r="Z450" s="127"/>
    </row>
    <row r="451" customFormat="false" ht="15.75" hidden="false" customHeight="false" outlineLevel="0" collapsed="false">
      <c r="A451" s="127"/>
      <c r="B451" s="127"/>
      <c r="C451" s="127"/>
      <c r="D451" s="127"/>
      <c r="E451" s="127"/>
      <c r="F451" s="127"/>
      <c r="G451" s="127"/>
      <c r="H451" s="127"/>
      <c r="I451" s="127"/>
      <c r="J451" s="127"/>
      <c r="K451" s="127"/>
      <c r="L451" s="127"/>
      <c r="M451" s="127"/>
      <c r="N451" s="127"/>
      <c r="O451" s="127"/>
      <c r="P451" s="127"/>
      <c r="Q451" s="127"/>
      <c r="R451" s="127"/>
      <c r="S451" s="127"/>
      <c r="T451" s="127"/>
      <c r="U451" s="127"/>
      <c r="V451" s="127"/>
      <c r="W451" s="127"/>
      <c r="X451" s="127"/>
      <c r="Y451" s="127"/>
      <c r="Z451" s="127"/>
    </row>
    <row r="452" customFormat="false" ht="15.75" hidden="false" customHeight="false" outlineLevel="0" collapsed="false">
      <c r="A452" s="127"/>
      <c r="B452" s="127"/>
      <c r="C452" s="127"/>
      <c r="D452" s="127"/>
      <c r="E452" s="127"/>
      <c r="F452" s="127"/>
      <c r="G452" s="127"/>
      <c r="H452" s="127"/>
      <c r="I452" s="127"/>
      <c r="J452" s="127"/>
      <c r="K452" s="127"/>
      <c r="L452" s="127"/>
      <c r="M452" s="127"/>
      <c r="N452" s="127"/>
      <c r="O452" s="127"/>
      <c r="P452" s="127"/>
      <c r="Q452" s="127"/>
      <c r="R452" s="127"/>
      <c r="S452" s="127"/>
      <c r="T452" s="127"/>
      <c r="U452" s="127"/>
      <c r="V452" s="127"/>
      <c r="W452" s="127"/>
      <c r="X452" s="127"/>
      <c r="Y452" s="127"/>
      <c r="Z452" s="127"/>
    </row>
    <row r="453" customFormat="false" ht="15.75" hidden="false" customHeight="false" outlineLevel="0" collapsed="false">
      <c r="A453" s="127"/>
      <c r="B453" s="127"/>
      <c r="C453" s="127"/>
      <c r="D453" s="127"/>
      <c r="E453" s="127"/>
      <c r="F453" s="127"/>
      <c r="G453" s="127"/>
      <c r="H453" s="127"/>
      <c r="I453" s="127"/>
      <c r="J453" s="127"/>
      <c r="K453" s="127"/>
      <c r="L453" s="127"/>
      <c r="M453" s="127"/>
      <c r="N453" s="127"/>
      <c r="O453" s="127"/>
      <c r="P453" s="127"/>
      <c r="Q453" s="127"/>
      <c r="R453" s="127"/>
      <c r="S453" s="127"/>
      <c r="T453" s="127"/>
      <c r="U453" s="127"/>
      <c r="V453" s="127"/>
      <c r="W453" s="127"/>
      <c r="X453" s="127"/>
      <c r="Y453" s="127"/>
      <c r="Z453" s="127"/>
    </row>
    <row r="454" customFormat="false" ht="15.75" hidden="false" customHeight="false" outlineLevel="0" collapsed="false">
      <c r="A454" s="127"/>
      <c r="B454" s="127"/>
      <c r="C454" s="127"/>
      <c r="D454" s="127"/>
      <c r="E454" s="127"/>
      <c r="F454" s="127"/>
      <c r="G454" s="127"/>
      <c r="H454" s="127"/>
      <c r="I454" s="127"/>
      <c r="J454" s="127"/>
      <c r="K454" s="127"/>
      <c r="L454" s="127"/>
      <c r="M454" s="127"/>
      <c r="N454" s="127"/>
      <c r="O454" s="127"/>
      <c r="P454" s="127"/>
      <c r="Q454" s="127"/>
      <c r="R454" s="127"/>
      <c r="S454" s="127"/>
      <c r="T454" s="127"/>
      <c r="U454" s="127"/>
      <c r="V454" s="127"/>
      <c r="W454" s="127"/>
      <c r="X454" s="127"/>
      <c r="Y454" s="127"/>
      <c r="Z454" s="127"/>
    </row>
    <row r="455" customFormat="false" ht="15.75" hidden="false" customHeight="false" outlineLevel="0" collapsed="false">
      <c r="A455" s="127"/>
      <c r="B455" s="127"/>
      <c r="C455" s="127"/>
      <c r="D455" s="127"/>
      <c r="E455" s="127"/>
      <c r="F455" s="127"/>
      <c r="G455" s="127"/>
      <c r="H455" s="127"/>
      <c r="I455" s="127"/>
      <c r="J455" s="127"/>
      <c r="K455" s="127"/>
      <c r="L455" s="127"/>
      <c r="M455" s="127"/>
      <c r="N455" s="127"/>
      <c r="O455" s="127"/>
      <c r="P455" s="127"/>
      <c r="Q455" s="127"/>
      <c r="R455" s="127"/>
      <c r="S455" s="127"/>
      <c r="T455" s="127"/>
      <c r="U455" s="127"/>
      <c r="V455" s="127"/>
      <c r="W455" s="127"/>
      <c r="X455" s="127"/>
      <c r="Y455" s="127"/>
      <c r="Z455" s="127"/>
    </row>
    <row r="456" customFormat="false" ht="15.75" hidden="false" customHeight="false" outlineLevel="0" collapsed="false">
      <c r="A456" s="127"/>
      <c r="B456" s="127"/>
      <c r="C456" s="127"/>
      <c r="D456" s="127"/>
      <c r="E456" s="127"/>
      <c r="F456" s="127"/>
      <c r="G456" s="127"/>
      <c r="H456" s="127"/>
      <c r="I456" s="127"/>
      <c r="J456" s="127"/>
      <c r="K456" s="127"/>
      <c r="L456" s="127"/>
      <c r="M456" s="127"/>
      <c r="N456" s="127"/>
      <c r="O456" s="127"/>
      <c r="P456" s="127"/>
      <c r="Q456" s="127"/>
      <c r="R456" s="127"/>
      <c r="S456" s="127"/>
      <c r="T456" s="127"/>
      <c r="U456" s="127"/>
      <c r="V456" s="127"/>
      <c r="W456" s="127"/>
      <c r="X456" s="127"/>
      <c r="Y456" s="127"/>
      <c r="Z456" s="127"/>
    </row>
    <row r="457" customFormat="false" ht="15.75" hidden="false" customHeight="false" outlineLevel="0" collapsed="false">
      <c r="A457" s="127"/>
      <c r="B457" s="127"/>
      <c r="C457" s="127"/>
      <c r="D457" s="127"/>
      <c r="E457" s="127"/>
      <c r="F457" s="127"/>
      <c r="G457" s="127"/>
      <c r="H457" s="127"/>
      <c r="I457" s="127"/>
      <c r="J457" s="127"/>
      <c r="K457" s="127"/>
      <c r="L457" s="127"/>
      <c r="M457" s="127"/>
      <c r="N457" s="127"/>
      <c r="O457" s="127"/>
      <c r="P457" s="127"/>
      <c r="Q457" s="127"/>
      <c r="R457" s="127"/>
      <c r="S457" s="127"/>
      <c r="T457" s="127"/>
      <c r="U457" s="127"/>
      <c r="V457" s="127"/>
      <c r="W457" s="127"/>
      <c r="X457" s="127"/>
      <c r="Y457" s="127"/>
      <c r="Z457" s="127"/>
    </row>
    <row r="458" customFormat="false" ht="15.75" hidden="false" customHeight="false" outlineLevel="0" collapsed="false">
      <c r="A458" s="127"/>
      <c r="B458" s="127"/>
      <c r="C458" s="127"/>
      <c r="D458" s="127"/>
      <c r="E458" s="127"/>
      <c r="F458" s="127"/>
      <c r="G458" s="127"/>
      <c r="H458" s="127"/>
      <c r="I458" s="127"/>
      <c r="J458" s="127"/>
      <c r="K458" s="127"/>
      <c r="L458" s="127"/>
      <c r="M458" s="127"/>
      <c r="N458" s="127"/>
      <c r="O458" s="127"/>
      <c r="P458" s="127"/>
      <c r="Q458" s="127"/>
      <c r="R458" s="127"/>
      <c r="S458" s="127"/>
      <c r="T458" s="127"/>
      <c r="U458" s="127"/>
      <c r="V458" s="127"/>
      <c r="W458" s="127"/>
      <c r="X458" s="127"/>
      <c r="Y458" s="127"/>
      <c r="Z458" s="127"/>
    </row>
    <row r="459" customFormat="false" ht="15.75" hidden="false" customHeight="false" outlineLevel="0" collapsed="false">
      <c r="A459" s="127"/>
      <c r="B459" s="127"/>
      <c r="C459" s="127"/>
      <c r="D459" s="127"/>
      <c r="E459" s="127"/>
      <c r="F459" s="127"/>
      <c r="G459" s="127"/>
      <c r="H459" s="127"/>
      <c r="I459" s="127"/>
      <c r="J459" s="127"/>
      <c r="K459" s="127"/>
      <c r="L459" s="127"/>
      <c r="M459" s="127"/>
      <c r="N459" s="127"/>
      <c r="O459" s="127"/>
      <c r="P459" s="127"/>
      <c r="Q459" s="127"/>
      <c r="R459" s="127"/>
      <c r="S459" s="127"/>
      <c r="T459" s="127"/>
      <c r="U459" s="127"/>
      <c r="V459" s="127"/>
      <c r="W459" s="127"/>
      <c r="X459" s="127"/>
      <c r="Y459" s="127"/>
      <c r="Z459" s="127"/>
    </row>
    <row r="460" customFormat="false" ht="15.75" hidden="false" customHeight="false" outlineLevel="0" collapsed="false">
      <c r="A460" s="127"/>
      <c r="B460" s="127"/>
      <c r="C460" s="127"/>
      <c r="D460" s="127"/>
      <c r="E460" s="127"/>
      <c r="F460" s="127"/>
      <c r="G460" s="127"/>
      <c r="H460" s="127"/>
      <c r="I460" s="127"/>
      <c r="J460" s="127"/>
      <c r="K460" s="127"/>
      <c r="L460" s="127"/>
      <c r="M460" s="127"/>
      <c r="N460" s="127"/>
      <c r="O460" s="127"/>
      <c r="P460" s="127"/>
      <c r="Q460" s="127"/>
      <c r="R460" s="127"/>
      <c r="S460" s="127"/>
      <c r="T460" s="127"/>
      <c r="U460" s="127"/>
      <c r="V460" s="127"/>
      <c r="W460" s="127"/>
      <c r="X460" s="127"/>
      <c r="Y460" s="127"/>
      <c r="Z460" s="127"/>
    </row>
    <row r="461" customFormat="false" ht="15.75" hidden="false" customHeight="false" outlineLevel="0" collapsed="false">
      <c r="A461" s="127"/>
      <c r="B461" s="127"/>
      <c r="C461" s="127"/>
      <c r="D461" s="127"/>
      <c r="E461" s="127"/>
      <c r="F461" s="127"/>
      <c r="G461" s="127"/>
      <c r="H461" s="127"/>
      <c r="I461" s="127"/>
      <c r="J461" s="127"/>
      <c r="K461" s="127"/>
      <c r="L461" s="127"/>
      <c r="M461" s="127"/>
      <c r="N461" s="127"/>
      <c r="O461" s="127"/>
      <c r="P461" s="127"/>
      <c r="Q461" s="127"/>
      <c r="R461" s="127"/>
      <c r="S461" s="127"/>
      <c r="T461" s="127"/>
      <c r="U461" s="127"/>
      <c r="V461" s="127"/>
      <c r="W461" s="127"/>
      <c r="X461" s="127"/>
      <c r="Y461" s="127"/>
      <c r="Z461" s="127"/>
    </row>
    <row r="462" customFormat="false" ht="15.75" hidden="false" customHeight="false" outlineLevel="0" collapsed="false">
      <c r="A462" s="127"/>
      <c r="B462" s="127"/>
      <c r="C462" s="127"/>
      <c r="D462" s="127"/>
      <c r="E462" s="127"/>
      <c r="F462" s="127"/>
      <c r="G462" s="127"/>
      <c r="H462" s="127"/>
      <c r="I462" s="127"/>
      <c r="J462" s="127"/>
      <c r="K462" s="127"/>
      <c r="L462" s="127"/>
      <c r="M462" s="127"/>
      <c r="N462" s="127"/>
      <c r="O462" s="127"/>
      <c r="P462" s="127"/>
      <c r="Q462" s="127"/>
      <c r="R462" s="127"/>
      <c r="S462" s="127"/>
      <c r="T462" s="127"/>
      <c r="U462" s="127"/>
      <c r="V462" s="127"/>
      <c r="W462" s="127"/>
      <c r="X462" s="127"/>
      <c r="Y462" s="127"/>
      <c r="Z462" s="127"/>
    </row>
    <row r="463" customFormat="false" ht="15.75" hidden="false" customHeight="false" outlineLevel="0" collapsed="false">
      <c r="A463" s="127"/>
      <c r="B463" s="127"/>
      <c r="C463" s="127"/>
      <c r="D463" s="127"/>
      <c r="E463" s="127"/>
      <c r="F463" s="127"/>
      <c r="G463" s="127"/>
      <c r="H463" s="127"/>
      <c r="I463" s="127"/>
      <c r="J463" s="127"/>
      <c r="K463" s="127"/>
      <c r="L463" s="127"/>
      <c r="M463" s="127"/>
      <c r="N463" s="127"/>
      <c r="O463" s="127"/>
      <c r="P463" s="127"/>
      <c r="Q463" s="127"/>
      <c r="R463" s="127"/>
      <c r="S463" s="127"/>
      <c r="T463" s="127"/>
      <c r="U463" s="127"/>
      <c r="V463" s="127"/>
      <c r="W463" s="127"/>
      <c r="X463" s="127"/>
      <c r="Y463" s="127"/>
      <c r="Z463" s="127"/>
    </row>
    <row r="464" customFormat="false" ht="15.75" hidden="false" customHeight="false" outlineLevel="0" collapsed="false">
      <c r="A464" s="127"/>
      <c r="B464" s="127"/>
      <c r="C464" s="127"/>
      <c r="D464" s="127"/>
      <c r="E464" s="127"/>
      <c r="F464" s="127"/>
      <c r="G464" s="127"/>
      <c r="H464" s="127"/>
      <c r="I464" s="127"/>
      <c r="J464" s="127"/>
      <c r="K464" s="127"/>
      <c r="L464" s="127"/>
      <c r="M464" s="127"/>
      <c r="N464" s="127"/>
      <c r="O464" s="127"/>
      <c r="P464" s="127"/>
      <c r="Q464" s="127"/>
      <c r="R464" s="127"/>
      <c r="S464" s="127"/>
      <c r="T464" s="127"/>
      <c r="U464" s="127"/>
      <c r="V464" s="127"/>
      <c r="W464" s="127"/>
      <c r="X464" s="127"/>
      <c r="Y464" s="127"/>
      <c r="Z464" s="127"/>
    </row>
    <row r="465" customFormat="false" ht="15.75" hidden="false" customHeight="false" outlineLevel="0" collapsed="false">
      <c r="A465" s="127"/>
      <c r="B465" s="127"/>
      <c r="C465" s="127"/>
      <c r="D465" s="127"/>
      <c r="E465" s="127"/>
      <c r="F465" s="127"/>
      <c r="G465" s="127"/>
      <c r="H465" s="127"/>
      <c r="I465" s="127"/>
      <c r="J465" s="127"/>
      <c r="K465" s="127"/>
      <c r="L465" s="127"/>
      <c r="M465" s="127"/>
      <c r="N465" s="127"/>
      <c r="O465" s="127"/>
      <c r="P465" s="127"/>
      <c r="Q465" s="127"/>
      <c r="R465" s="127"/>
      <c r="S465" s="127"/>
      <c r="T465" s="127"/>
      <c r="U465" s="127"/>
      <c r="V465" s="127"/>
      <c r="W465" s="127"/>
      <c r="X465" s="127"/>
      <c r="Y465" s="127"/>
      <c r="Z465" s="127"/>
    </row>
    <row r="466" customFormat="false" ht="15.75" hidden="false" customHeight="false" outlineLevel="0" collapsed="false">
      <c r="A466" s="127"/>
      <c r="B466" s="127"/>
      <c r="C466" s="127"/>
      <c r="D466" s="127"/>
      <c r="E466" s="127"/>
      <c r="F466" s="127"/>
      <c r="G466" s="127"/>
      <c r="H466" s="127"/>
      <c r="I466" s="127"/>
      <c r="J466" s="127"/>
      <c r="K466" s="127"/>
      <c r="L466" s="127"/>
      <c r="M466" s="127"/>
      <c r="N466" s="127"/>
      <c r="O466" s="127"/>
      <c r="P466" s="127"/>
      <c r="Q466" s="127"/>
      <c r="R466" s="127"/>
      <c r="S466" s="127"/>
      <c r="T466" s="127"/>
      <c r="U466" s="127"/>
      <c r="V466" s="127"/>
      <c r="W466" s="127"/>
      <c r="X466" s="127"/>
      <c r="Y466" s="127"/>
      <c r="Z466" s="127"/>
    </row>
    <row r="467" customFormat="false" ht="15.75" hidden="false" customHeight="false" outlineLevel="0" collapsed="false">
      <c r="A467" s="127"/>
      <c r="B467" s="127"/>
      <c r="C467" s="127"/>
      <c r="D467" s="127"/>
      <c r="E467" s="127"/>
      <c r="F467" s="127"/>
      <c r="G467" s="127"/>
      <c r="H467" s="127"/>
      <c r="I467" s="127"/>
      <c r="J467" s="127"/>
      <c r="K467" s="127"/>
      <c r="L467" s="127"/>
      <c r="M467" s="127"/>
      <c r="N467" s="127"/>
      <c r="O467" s="127"/>
      <c r="P467" s="127"/>
      <c r="Q467" s="127"/>
      <c r="R467" s="127"/>
      <c r="S467" s="127"/>
      <c r="T467" s="127"/>
      <c r="U467" s="127"/>
      <c r="V467" s="127"/>
      <c r="W467" s="127"/>
      <c r="X467" s="127"/>
      <c r="Y467" s="127"/>
      <c r="Z467" s="127"/>
    </row>
    <row r="468" customFormat="false" ht="15.75" hidden="false" customHeight="false" outlineLevel="0" collapsed="false">
      <c r="A468" s="127"/>
      <c r="B468" s="127"/>
      <c r="C468" s="127"/>
      <c r="D468" s="127"/>
      <c r="E468" s="127"/>
      <c r="F468" s="127"/>
      <c r="G468" s="127"/>
      <c r="H468" s="127"/>
      <c r="I468" s="127"/>
      <c r="J468" s="127"/>
      <c r="K468" s="127"/>
      <c r="L468" s="127"/>
      <c r="M468" s="127"/>
      <c r="N468" s="127"/>
      <c r="O468" s="127"/>
      <c r="P468" s="127"/>
      <c r="Q468" s="127"/>
      <c r="R468" s="127"/>
      <c r="S468" s="127"/>
      <c r="T468" s="127"/>
      <c r="U468" s="127"/>
      <c r="V468" s="127"/>
      <c r="W468" s="127"/>
      <c r="X468" s="127"/>
      <c r="Y468" s="127"/>
      <c r="Z468" s="127"/>
    </row>
    <row r="469" customFormat="false" ht="15.75" hidden="false" customHeight="false" outlineLevel="0" collapsed="false">
      <c r="A469" s="127"/>
      <c r="B469" s="127"/>
      <c r="C469" s="127"/>
      <c r="D469" s="127"/>
      <c r="E469" s="127"/>
      <c r="F469" s="127"/>
      <c r="G469" s="127"/>
      <c r="H469" s="127"/>
      <c r="I469" s="127"/>
      <c r="J469" s="127"/>
      <c r="K469" s="127"/>
      <c r="L469" s="127"/>
      <c r="M469" s="127"/>
      <c r="N469" s="127"/>
      <c r="O469" s="127"/>
      <c r="P469" s="127"/>
      <c r="Q469" s="127"/>
      <c r="R469" s="127"/>
      <c r="S469" s="127"/>
      <c r="T469" s="127"/>
      <c r="U469" s="127"/>
      <c r="V469" s="127"/>
      <c r="W469" s="127"/>
      <c r="X469" s="127"/>
      <c r="Y469" s="127"/>
      <c r="Z469" s="127"/>
    </row>
    <row r="470" customFormat="false" ht="15.75" hidden="false" customHeight="false" outlineLevel="0" collapsed="false">
      <c r="A470" s="127"/>
      <c r="B470" s="127"/>
      <c r="C470" s="127"/>
      <c r="D470" s="127"/>
      <c r="E470" s="127"/>
      <c r="F470" s="127"/>
      <c r="G470" s="127"/>
      <c r="H470" s="127"/>
      <c r="I470" s="127"/>
      <c r="J470" s="127"/>
      <c r="K470" s="127"/>
      <c r="L470" s="127"/>
      <c r="M470" s="127"/>
      <c r="N470" s="127"/>
      <c r="O470" s="127"/>
      <c r="P470" s="127"/>
      <c r="Q470" s="127"/>
      <c r="R470" s="127"/>
      <c r="S470" s="127"/>
      <c r="T470" s="127"/>
      <c r="U470" s="127"/>
      <c r="V470" s="127"/>
      <c r="W470" s="127"/>
      <c r="X470" s="127"/>
      <c r="Y470" s="127"/>
      <c r="Z470" s="127"/>
    </row>
    <row r="471" customFormat="false" ht="15.75" hidden="false" customHeight="false" outlineLevel="0" collapsed="false">
      <c r="A471" s="127"/>
      <c r="B471" s="127"/>
      <c r="C471" s="127"/>
      <c r="D471" s="127"/>
      <c r="E471" s="127"/>
      <c r="F471" s="127"/>
      <c r="G471" s="127"/>
      <c r="H471" s="127"/>
      <c r="I471" s="127"/>
      <c r="J471" s="127"/>
      <c r="K471" s="127"/>
      <c r="L471" s="127"/>
      <c r="M471" s="127"/>
      <c r="N471" s="127"/>
      <c r="O471" s="127"/>
      <c r="P471" s="127"/>
      <c r="Q471" s="127"/>
      <c r="R471" s="127"/>
      <c r="S471" s="127"/>
      <c r="T471" s="127"/>
      <c r="U471" s="127"/>
      <c r="V471" s="127"/>
      <c r="W471" s="127"/>
      <c r="X471" s="127"/>
      <c r="Y471" s="127"/>
      <c r="Z471" s="127"/>
    </row>
    <row r="472" customFormat="false" ht="15.75" hidden="false" customHeight="false" outlineLevel="0" collapsed="false">
      <c r="A472" s="127"/>
      <c r="B472" s="127"/>
      <c r="C472" s="127"/>
      <c r="D472" s="127"/>
      <c r="E472" s="127"/>
      <c r="F472" s="127"/>
      <c r="G472" s="127"/>
      <c r="H472" s="127"/>
      <c r="I472" s="127"/>
      <c r="J472" s="127"/>
      <c r="K472" s="127"/>
      <c r="L472" s="127"/>
      <c r="M472" s="127"/>
      <c r="N472" s="127"/>
      <c r="O472" s="127"/>
      <c r="P472" s="127"/>
      <c r="Q472" s="127"/>
      <c r="R472" s="127"/>
      <c r="S472" s="127"/>
      <c r="T472" s="127"/>
      <c r="U472" s="127"/>
      <c r="V472" s="127"/>
      <c r="W472" s="127"/>
      <c r="X472" s="127"/>
      <c r="Y472" s="127"/>
      <c r="Z472" s="127"/>
    </row>
    <row r="473" customFormat="false" ht="15.75" hidden="false" customHeight="false" outlineLevel="0" collapsed="false">
      <c r="A473" s="127"/>
      <c r="B473" s="127"/>
      <c r="C473" s="127"/>
      <c r="D473" s="127"/>
      <c r="E473" s="127"/>
      <c r="F473" s="127"/>
      <c r="G473" s="127"/>
      <c r="H473" s="127"/>
      <c r="I473" s="127"/>
      <c r="J473" s="127"/>
      <c r="K473" s="127"/>
      <c r="L473" s="127"/>
      <c r="M473" s="127"/>
      <c r="N473" s="127"/>
      <c r="O473" s="127"/>
      <c r="P473" s="127"/>
      <c r="Q473" s="127"/>
      <c r="R473" s="127"/>
      <c r="S473" s="127"/>
      <c r="T473" s="127"/>
      <c r="U473" s="127"/>
      <c r="V473" s="127"/>
      <c r="W473" s="127"/>
      <c r="X473" s="127"/>
      <c r="Y473" s="127"/>
      <c r="Z473" s="127"/>
    </row>
    <row r="474" customFormat="false" ht="15.75" hidden="false" customHeight="false" outlineLevel="0" collapsed="false">
      <c r="A474" s="127"/>
      <c r="B474" s="127"/>
      <c r="C474" s="127"/>
      <c r="D474" s="127"/>
      <c r="E474" s="127"/>
      <c r="F474" s="127"/>
      <c r="G474" s="127"/>
      <c r="H474" s="127"/>
      <c r="I474" s="127"/>
      <c r="J474" s="127"/>
      <c r="K474" s="127"/>
      <c r="L474" s="127"/>
      <c r="M474" s="127"/>
      <c r="N474" s="127"/>
      <c r="O474" s="127"/>
      <c r="P474" s="127"/>
      <c r="Q474" s="127"/>
      <c r="R474" s="127"/>
      <c r="S474" s="127"/>
      <c r="T474" s="127"/>
      <c r="U474" s="127"/>
      <c r="V474" s="127"/>
      <c r="W474" s="127"/>
      <c r="X474" s="127"/>
      <c r="Y474" s="127"/>
      <c r="Z474" s="127"/>
    </row>
    <row r="475" customFormat="false" ht="15.75" hidden="false" customHeight="false" outlineLevel="0" collapsed="false">
      <c r="A475" s="127"/>
      <c r="B475" s="127"/>
      <c r="C475" s="127"/>
      <c r="D475" s="127"/>
      <c r="E475" s="127"/>
      <c r="F475" s="127"/>
      <c r="G475" s="127"/>
      <c r="H475" s="127"/>
      <c r="I475" s="127"/>
      <c r="J475" s="127"/>
      <c r="K475" s="127"/>
      <c r="L475" s="127"/>
      <c r="M475" s="127"/>
      <c r="N475" s="127"/>
      <c r="O475" s="127"/>
      <c r="P475" s="127"/>
      <c r="Q475" s="127"/>
      <c r="R475" s="127"/>
      <c r="S475" s="127"/>
      <c r="T475" s="127"/>
      <c r="U475" s="127"/>
      <c r="V475" s="127"/>
      <c r="W475" s="127"/>
      <c r="X475" s="127"/>
      <c r="Y475" s="127"/>
      <c r="Z475" s="127"/>
    </row>
    <row r="476" customFormat="false" ht="15.75" hidden="false" customHeight="false" outlineLevel="0" collapsed="false">
      <c r="A476" s="127"/>
      <c r="B476" s="127"/>
      <c r="C476" s="127"/>
      <c r="D476" s="127"/>
      <c r="E476" s="127"/>
      <c r="F476" s="127"/>
      <c r="G476" s="127"/>
      <c r="H476" s="127"/>
      <c r="I476" s="127"/>
      <c r="J476" s="127"/>
      <c r="K476" s="127"/>
      <c r="L476" s="127"/>
      <c r="M476" s="127"/>
      <c r="N476" s="127"/>
      <c r="O476" s="127"/>
      <c r="P476" s="127"/>
      <c r="Q476" s="127"/>
      <c r="R476" s="127"/>
      <c r="S476" s="127"/>
      <c r="T476" s="127"/>
      <c r="U476" s="127"/>
      <c r="V476" s="127"/>
      <c r="W476" s="127"/>
      <c r="X476" s="127"/>
      <c r="Y476" s="127"/>
      <c r="Z476" s="127"/>
    </row>
    <row r="477" customFormat="false" ht="15.75" hidden="false" customHeight="false" outlineLevel="0" collapsed="false">
      <c r="A477" s="127"/>
      <c r="B477" s="127"/>
      <c r="C477" s="127"/>
      <c r="D477" s="127"/>
      <c r="E477" s="127"/>
      <c r="F477" s="127"/>
      <c r="G477" s="127"/>
      <c r="H477" s="127"/>
      <c r="I477" s="127"/>
      <c r="J477" s="127"/>
      <c r="K477" s="127"/>
      <c r="L477" s="127"/>
      <c r="M477" s="127"/>
      <c r="N477" s="127"/>
      <c r="O477" s="127"/>
      <c r="P477" s="127"/>
      <c r="Q477" s="127"/>
      <c r="R477" s="127"/>
      <c r="S477" s="127"/>
      <c r="T477" s="127"/>
      <c r="U477" s="127"/>
      <c r="V477" s="127"/>
      <c r="W477" s="127"/>
      <c r="X477" s="127"/>
      <c r="Y477" s="127"/>
      <c r="Z477" s="127"/>
    </row>
    <row r="478" customFormat="false" ht="15.75" hidden="false" customHeight="false" outlineLevel="0" collapsed="false">
      <c r="A478" s="127"/>
      <c r="B478" s="127"/>
      <c r="C478" s="127"/>
      <c r="D478" s="127"/>
      <c r="E478" s="127"/>
      <c r="F478" s="127"/>
      <c r="G478" s="127"/>
      <c r="H478" s="127"/>
      <c r="I478" s="127"/>
      <c r="J478" s="127"/>
      <c r="K478" s="127"/>
      <c r="L478" s="127"/>
      <c r="M478" s="127"/>
      <c r="N478" s="127"/>
      <c r="O478" s="127"/>
      <c r="P478" s="127"/>
      <c r="Q478" s="127"/>
      <c r="R478" s="127"/>
      <c r="S478" s="127"/>
      <c r="T478" s="127"/>
      <c r="U478" s="127"/>
      <c r="V478" s="127"/>
      <c r="W478" s="127"/>
      <c r="X478" s="127"/>
      <c r="Y478" s="127"/>
      <c r="Z478" s="127"/>
    </row>
    <row r="479" customFormat="false" ht="15.75" hidden="false" customHeight="false" outlineLevel="0" collapsed="false">
      <c r="A479" s="127"/>
      <c r="B479" s="127"/>
      <c r="C479" s="127"/>
      <c r="D479" s="127"/>
      <c r="E479" s="127"/>
      <c r="F479" s="127"/>
      <c r="G479" s="127"/>
      <c r="H479" s="127"/>
      <c r="I479" s="127"/>
      <c r="J479" s="127"/>
      <c r="K479" s="127"/>
      <c r="L479" s="127"/>
      <c r="M479" s="127"/>
      <c r="N479" s="127"/>
      <c r="O479" s="127"/>
      <c r="P479" s="127"/>
      <c r="Q479" s="127"/>
      <c r="R479" s="127"/>
      <c r="S479" s="127"/>
      <c r="T479" s="127"/>
      <c r="U479" s="127"/>
      <c r="V479" s="127"/>
      <c r="W479" s="127"/>
      <c r="X479" s="127"/>
      <c r="Y479" s="127"/>
      <c r="Z479" s="127"/>
    </row>
    <row r="480" customFormat="false" ht="15.75" hidden="false" customHeight="false" outlineLevel="0" collapsed="false">
      <c r="A480" s="127"/>
      <c r="B480" s="127"/>
      <c r="C480" s="127"/>
      <c r="D480" s="127"/>
      <c r="E480" s="127"/>
      <c r="F480" s="127"/>
      <c r="G480" s="127"/>
      <c r="H480" s="127"/>
      <c r="I480" s="127"/>
      <c r="J480" s="127"/>
      <c r="K480" s="127"/>
      <c r="L480" s="127"/>
      <c r="M480" s="127"/>
      <c r="N480" s="127"/>
      <c r="O480" s="127"/>
      <c r="P480" s="127"/>
      <c r="Q480" s="127"/>
      <c r="R480" s="127"/>
      <c r="S480" s="127"/>
      <c r="T480" s="127"/>
      <c r="U480" s="127"/>
      <c r="V480" s="127"/>
      <c r="W480" s="127"/>
      <c r="X480" s="127"/>
      <c r="Y480" s="127"/>
      <c r="Z480" s="127"/>
    </row>
    <row r="481" customFormat="false" ht="15.75" hidden="false" customHeight="false" outlineLevel="0" collapsed="false">
      <c r="A481" s="127"/>
      <c r="B481" s="127"/>
      <c r="C481" s="127"/>
      <c r="D481" s="127"/>
      <c r="E481" s="127"/>
      <c r="F481" s="127"/>
      <c r="G481" s="127"/>
      <c r="H481" s="127"/>
      <c r="I481" s="127"/>
      <c r="J481" s="127"/>
      <c r="K481" s="127"/>
      <c r="L481" s="127"/>
      <c r="M481" s="127"/>
      <c r="N481" s="127"/>
      <c r="O481" s="127"/>
      <c r="P481" s="127"/>
      <c r="Q481" s="127"/>
      <c r="R481" s="127"/>
      <c r="S481" s="127"/>
      <c r="T481" s="127"/>
      <c r="U481" s="127"/>
      <c r="V481" s="127"/>
      <c r="W481" s="127"/>
      <c r="X481" s="127"/>
      <c r="Y481" s="127"/>
      <c r="Z481" s="127"/>
    </row>
    <row r="482" customFormat="false" ht="15.75" hidden="false" customHeight="false" outlineLevel="0" collapsed="false">
      <c r="A482" s="127"/>
      <c r="B482" s="127"/>
      <c r="C482" s="127"/>
      <c r="D482" s="127"/>
      <c r="E482" s="127"/>
      <c r="F482" s="127"/>
      <c r="G482" s="127"/>
      <c r="H482" s="127"/>
      <c r="I482" s="127"/>
      <c r="J482" s="127"/>
      <c r="K482" s="127"/>
      <c r="L482" s="127"/>
      <c r="M482" s="127"/>
      <c r="N482" s="127"/>
      <c r="O482" s="127"/>
      <c r="P482" s="127"/>
      <c r="Q482" s="127"/>
      <c r="R482" s="127"/>
      <c r="S482" s="127"/>
      <c r="T482" s="127"/>
      <c r="U482" s="127"/>
      <c r="V482" s="127"/>
      <c r="W482" s="127"/>
      <c r="X482" s="127"/>
      <c r="Y482" s="127"/>
      <c r="Z482" s="127"/>
    </row>
    <row r="483" customFormat="false" ht="15.75" hidden="false" customHeight="false" outlineLevel="0" collapsed="false">
      <c r="A483" s="127"/>
      <c r="B483" s="127"/>
      <c r="C483" s="127"/>
      <c r="D483" s="127"/>
      <c r="E483" s="127"/>
      <c r="F483" s="127"/>
      <c r="G483" s="127"/>
      <c r="H483" s="127"/>
      <c r="I483" s="127"/>
      <c r="J483" s="127"/>
      <c r="K483" s="127"/>
      <c r="L483" s="127"/>
      <c r="M483" s="127"/>
      <c r="N483" s="127"/>
      <c r="O483" s="127"/>
      <c r="P483" s="127"/>
      <c r="Q483" s="127"/>
      <c r="R483" s="127"/>
      <c r="S483" s="127"/>
      <c r="T483" s="127"/>
      <c r="U483" s="127"/>
      <c r="V483" s="127"/>
      <c r="W483" s="127"/>
      <c r="X483" s="127"/>
      <c r="Y483" s="127"/>
      <c r="Z483" s="127"/>
    </row>
    <row r="484" customFormat="false" ht="15.75" hidden="false" customHeight="false" outlineLevel="0" collapsed="false">
      <c r="A484" s="127"/>
      <c r="B484" s="127"/>
      <c r="C484" s="127"/>
      <c r="D484" s="127"/>
      <c r="E484" s="127"/>
      <c r="F484" s="127"/>
      <c r="G484" s="127"/>
      <c r="H484" s="127"/>
      <c r="I484" s="127"/>
      <c r="J484" s="127"/>
      <c r="K484" s="127"/>
      <c r="L484" s="127"/>
      <c r="M484" s="127"/>
      <c r="N484" s="127"/>
      <c r="O484" s="127"/>
      <c r="P484" s="127"/>
      <c r="Q484" s="127"/>
      <c r="R484" s="127"/>
      <c r="S484" s="127"/>
      <c r="T484" s="127"/>
      <c r="U484" s="127"/>
      <c r="V484" s="127"/>
      <c r="W484" s="127"/>
      <c r="X484" s="127"/>
      <c r="Y484" s="127"/>
      <c r="Z484" s="127"/>
    </row>
    <row r="485" customFormat="false" ht="15.75" hidden="false" customHeight="false" outlineLevel="0" collapsed="false">
      <c r="A485" s="127"/>
      <c r="B485" s="127"/>
      <c r="C485" s="127"/>
      <c r="D485" s="127"/>
      <c r="E485" s="127"/>
      <c r="F485" s="127"/>
      <c r="G485" s="127"/>
      <c r="H485" s="127"/>
      <c r="I485" s="127"/>
      <c r="J485" s="127"/>
      <c r="K485" s="127"/>
      <c r="L485" s="127"/>
      <c r="M485" s="127"/>
      <c r="N485" s="127"/>
      <c r="O485" s="127"/>
      <c r="P485" s="127"/>
      <c r="Q485" s="127"/>
      <c r="R485" s="127"/>
      <c r="S485" s="127"/>
      <c r="T485" s="127"/>
      <c r="U485" s="127"/>
      <c r="V485" s="127"/>
      <c r="W485" s="127"/>
      <c r="X485" s="127"/>
      <c r="Y485" s="127"/>
      <c r="Z485" s="127"/>
    </row>
    <row r="486" customFormat="false" ht="15.75" hidden="false" customHeight="false" outlineLevel="0" collapsed="false">
      <c r="A486" s="127"/>
      <c r="B486" s="127"/>
      <c r="C486" s="127"/>
      <c r="D486" s="127"/>
      <c r="E486" s="127"/>
      <c r="F486" s="127"/>
      <c r="G486" s="127"/>
      <c r="H486" s="127"/>
      <c r="I486" s="127"/>
      <c r="J486" s="127"/>
      <c r="K486" s="127"/>
      <c r="L486" s="127"/>
      <c r="M486" s="127"/>
      <c r="N486" s="127"/>
      <c r="O486" s="127"/>
      <c r="P486" s="127"/>
      <c r="Q486" s="127"/>
      <c r="R486" s="127"/>
      <c r="S486" s="127"/>
      <c r="T486" s="127"/>
      <c r="U486" s="127"/>
      <c r="V486" s="127"/>
      <c r="W486" s="127"/>
      <c r="X486" s="127"/>
      <c r="Y486" s="127"/>
      <c r="Z486" s="127"/>
    </row>
    <row r="487" customFormat="false" ht="15.75" hidden="false" customHeight="false" outlineLevel="0" collapsed="false">
      <c r="A487" s="127"/>
      <c r="B487" s="127"/>
      <c r="C487" s="127"/>
      <c r="D487" s="127"/>
      <c r="E487" s="127"/>
      <c r="F487" s="127"/>
      <c r="G487" s="127"/>
      <c r="H487" s="127"/>
      <c r="I487" s="127"/>
      <c r="J487" s="127"/>
      <c r="K487" s="127"/>
      <c r="L487" s="127"/>
      <c r="M487" s="127"/>
      <c r="N487" s="127"/>
      <c r="O487" s="127"/>
      <c r="P487" s="127"/>
      <c r="Q487" s="127"/>
      <c r="R487" s="127"/>
      <c r="S487" s="127"/>
      <c r="T487" s="127"/>
      <c r="U487" s="127"/>
      <c r="V487" s="127"/>
      <c r="W487" s="127"/>
      <c r="X487" s="127"/>
      <c r="Y487" s="127"/>
      <c r="Z487" s="127"/>
    </row>
    <row r="488" customFormat="false" ht="15.75" hidden="false" customHeight="false" outlineLevel="0" collapsed="false">
      <c r="A488" s="127"/>
      <c r="B488" s="127"/>
      <c r="C488" s="127"/>
      <c r="D488" s="127"/>
      <c r="E488" s="127"/>
      <c r="F488" s="127"/>
      <c r="G488" s="127"/>
      <c r="H488" s="127"/>
      <c r="I488" s="127"/>
      <c r="J488" s="127"/>
      <c r="K488" s="127"/>
      <c r="L488" s="127"/>
      <c r="M488" s="127"/>
      <c r="N488" s="127"/>
      <c r="O488" s="127"/>
      <c r="P488" s="127"/>
      <c r="Q488" s="127"/>
      <c r="R488" s="127"/>
      <c r="S488" s="127"/>
      <c r="T488" s="127"/>
      <c r="U488" s="127"/>
      <c r="V488" s="127"/>
      <c r="W488" s="127"/>
      <c r="X488" s="127"/>
      <c r="Y488" s="127"/>
      <c r="Z488" s="127"/>
    </row>
    <row r="489" customFormat="false" ht="15.75" hidden="false" customHeight="false" outlineLevel="0" collapsed="false">
      <c r="A489" s="127"/>
      <c r="B489" s="127"/>
      <c r="C489" s="127"/>
      <c r="D489" s="127"/>
      <c r="E489" s="127"/>
      <c r="F489" s="127"/>
      <c r="G489" s="127"/>
      <c r="H489" s="127"/>
      <c r="I489" s="127"/>
      <c r="J489" s="127"/>
      <c r="K489" s="127"/>
      <c r="L489" s="127"/>
      <c r="M489" s="127"/>
      <c r="N489" s="127"/>
      <c r="O489" s="127"/>
      <c r="P489" s="127"/>
      <c r="Q489" s="127"/>
      <c r="R489" s="127"/>
      <c r="S489" s="127"/>
      <c r="T489" s="127"/>
      <c r="U489" s="127"/>
      <c r="V489" s="127"/>
      <c r="W489" s="127"/>
      <c r="X489" s="127"/>
      <c r="Y489" s="127"/>
      <c r="Z489" s="127"/>
    </row>
    <row r="490" customFormat="false" ht="15.75" hidden="false" customHeight="false" outlineLevel="0" collapsed="false">
      <c r="A490" s="127"/>
      <c r="B490" s="127"/>
      <c r="C490" s="127"/>
      <c r="D490" s="127"/>
      <c r="E490" s="127"/>
      <c r="F490" s="127"/>
      <c r="G490" s="127"/>
      <c r="H490" s="127"/>
      <c r="I490" s="127"/>
      <c r="J490" s="127"/>
      <c r="K490" s="127"/>
      <c r="L490" s="127"/>
      <c r="M490" s="127"/>
      <c r="N490" s="127"/>
      <c r="O490" s="127"/>
      <c r="P490" s="127"/>
      <c r="Q490" s="127"/>
      <c r="R490" s="127"/>
      <c r="S490" s="127"/>
      <c r="T490" s="127"/>
      <c r="U490" s="127"/>
      <c r="V490" s="127"/>
      <c r="W490" s="127"/>
      <c r="X490" s="127"/>
      <c r="Y490" s="127"/>
      <c r="Z490" s="127"/>
    </row>
    <row r="491" customFormat="false" ht="15.75" hidden="false" customHeight="false" outlineLevel="0" collapsed="false">
      <c r="A491" s="127"/>
      <c r="B491" s="127"/>
      <c r="C491" s="127"/>
      <c r="D491" s="127"/>
      <c r="E491" s="127"/>
      <c r="F491" s="127"/>
      <c r="G491" s="127"/>
      <c r="H491" s="127"/>
      <c r="I491" s="127"/>
      <c r="J491" s="127"/>
      <c r="K491" s="127"/>
      <c r="L491" s="127"/>
      <c r="M491" s="127"/>
      <c r="N491" s="127"/>
      <c r="O491" s="127"/>
      <c r="P491" s="127"/>
      <c r="Q491" s="127"/>
      <c r="R491" s="127"/>
      <c r="S491" s="127"/>
      <c r="T491" s="127"/>
      <c r="U491" s="127"/>
      <c r="V491" s="127"/>
      <c r="W491" s="127"/>
      <c r="X491" s="127"/>
      <c r="Y491" s="127"/>
      <c r="Z491" s="127"/>
    </row>
    <row r="492" customFormat="false" ht="15.75" hidden="false" customHeight="false" outlineLevel="0" collapsed="false">
      <c r="A492" s="127"/>
      <c r="B492" s="127"/>
      <c r="C492" s="127"/>
      <c r="D492" s="127"/>
      <c r="E492" s="127"/>
      <c r="F492" s="127"/>
      <c r="G492" s="127"/>
      <c r="H492" s="127"/>
      <c r="I492" s="127"/>
      <c r="J492" s="127"/>
      <c r="K492" s="127"/>
      <c r="L492" s="127"/>
      <c r="M492" s="127"/>
      <c r="N492" s="127"/>
      <c r="O492" s="127"/>
      <c r="P492" s="127"/>
      <c r="Q492" s="127"/>
      <c r="R492" s="127"/>
      <c r="S492" s="127"/>
      <c r="T492" s="127"/>
      <c r="U492" s="127"/>
      <c r="V492" s="127"/>
      <c r="W492" s="127"/>
      <c r="X492" s="127"/>
      <c r="Y492" s="127"/>
      <c r="Z492" s="127"/>
    </row>
    <row r="493" customFormat="false" ht="15.75" hidden="false" customHeight="false" outlineLevel="0" collapsed="false">
      <c r="A493" s="127"/>
      <c r="B493" s="127"/>
      <c r="C493" s="127"/>
      <c r="D493" s="127"/>
      <c r="E493" s="127"/>
      <c r="F493" s="127"/>
      <c r="G493" s="127"/>
      <c r="H493" s="127"/>
      <c r="I493" s="127"/>
      <c r="J493" s="127"/>
      <c r="K493" s="127"/>
      <c r="L493" s="127"/>
      <c r="M493" s="127"/>
      <c r="N493" s="127"/>
      <c r="O493" s="127"/>
      <c r="P493" s="127"/>
      <c r="Q493" s="127"/>
      <c r="R493" s="127"/>
      <c r="S493" s="127"/>
      <c r="T493" s="127"/>
      <c r="U493" s="127"/>
      <c r="V493" s="127"/>
      <c r="W493" s="127"/>
      <c r="X493" s="127"/>
      <c r="Y493" s="127"/>
      <c r="Z493" s="127"/>
    </row>
    <row r="494" customFormat="false" ht="15.75" hidden="false" customHeight="false" outlineLevel="0" collapsed="false">
      <c r="A494" s="127"/>
      <c r="B494" s="127"/>
      <c r="C494" s="127"/>
      <c r="D494" s="127"/>
      <c r="E494" s="127"/>
      <c r="F494" s="127"/>
      <c r="G494" s="127"/>
      <c r="H494" s="127"/>
      <c r="I494" s="127"/>
      <c r="J494" s="127"/>
      <c r="K494" s="127"/>
      <c r="L494" s="127"/>
      <c r="M494" s="127"/>
      <c r="N494" s="127"/>
      <c r="O494" s="127"/>
      <c r="P494" s="127"/>
      <c r="Q494" s="127"/>
      <c r="R494" s="127"/>
      <c r="S494" s="127"/>
      <c r="T494" s="127"/>
      <c r="U494" s="127"/>
      <c r="V494" s="127"/>
      <c r="W494" s="127"/>
      <c r="X494" s="127"/>
      <c r="Y494" s="127"/>
      <c r="Z494" s="127"/>
    </row>
    <row r="495" customFormat="false" ht="15.75" hidden="false" customHeight="false" outlineLevel="0" collapsed="false">
      <c r="A495" s="127"/>
      <c r="B495" s="127"/>
      <c r="C495" s="127"/>
      <c r="D495" s="127"/>
      <c r="E495" s="127"/>
      <c r="F495" s="127"/>
      <c r="G495" s="127"/>
      <c r="H495" s="127"/>
      <c r="I495" s="127"/>
      <c r="J495" s="127"/>
      <c r="K495" s="127"/>
      <c r="L495" s="127"/>
      <c r="M495" s="127"/>
      <c r="N495" s="127"/>
      <c r="O495" s="127"/>
      <c r="P495" s="127"/>
      <c r="Q495" s="127"/>
      <c r="R495" s="127"/>
      <c r="S495" s="127"/>
      <c r="T495" s="127"/>
      <c r="U495" s="127"/>
      <c r="V495" s="127"/>
      <c r="W495" s="127"/>
      <c r="X495" s="127"/>
      <c r="Y495" s="127"/>
      <c r="Z495" s="127"/>
    </row>
    <row r="496" customFormat="false" ht="15.75" hidden="false" customHeight="false" outlineLevel="0" collapsed="false">
      <c r="A496" s="127"/>
      <c r="B496" s="127"/>
      <c r="C496" s="127"/>
      <c r="D496" s="127"/>
      <c r="E496" s="127"/>
      <c r="F496" s="127"/>
      <c r="G496" s="127"/>
      <c r="H496" s="127"/>
      <c r="I496" s="127"/>
      <c r="J496" s="127"/>
      <c r="K496" s="127"/>
      <c r="L496" s="127"/>
      <c r="M496" s="127"/>
      <c r="N496" s="127"/>
      <c r="O496" s="127"/>
      <c r="P496" s="127"/>
      <c r="Q496" s="127"/>
      <c r="R496" s="127"/>
      <c r="S496" s="127"/>
      <c r="T496" s="127"/>
      <c r="U496" s="127"/>
      <c r="V496" s="127"/>
      <c r="W496" s="127"/>
      <c r="X496" s="127"/>
      <c r="Y496" s="127"/>
      <c r="Z496" s="127"/>
    </row>
    <row r="497" customFormat="false" ht="15.75" hidden="false" customHeight="false" outlineLevel="0" collapsed="false">
      <c r="A497" s="127"/>
      <c r="B497" s="127"/>
      <c r="C497" s="127"/>
      <c r="D497" s="127"/>
      <c r="E497" s="127"/>
      <c r="F497" s="127"/>
      <c r="G497" s="127"/>
      <c r="H497" s="127"/>
      <c r="I497" s="127"/>
      <c r="J497" s="127"/>
      <c r="K497" s="127"/>
      <c r="L497" s="127"/>
      <c r="M497" s="127"/>
      <c r="N497" s="127"/>
      <c r="O497" s="127"/>
      <c r="P497" s="127"/>
      <c r="Q497" s="127"/>
      <c r="R497" s="127"/>
      <c r="S497" s="127"/>
      <c r="T497" s="127"/>
      <c r="U497" s="127"/>
      <c r="V497" s="127"/>
      <c r="W497" s="127"/>
      <c r="X497" s="127"/>
      <c r="Y497" s="127"/>
      <c r="Z497" s="127"/>
    </row>
    <row r="498" customFormat="false" ht="15.75" hidden="false" customHeight="false" outlineLevel="0" collapsed="false">
      <c r="A498" s="127"/>
      <c r="B498" s="127"/>
      <c r="C498" s="127"/>
      <c r="D498" s="127"/>
      <c r="E498" s="127"/>
      <c r="F498" s="127"/>
      <c r="G498" s="127"/>
      <c r="H498" s="127"/>
      <c r="I498" s="127"/>
      <c r="J498" s="127"/>
      <c r="K498" s="127"/>
      <c r="L498" s="127"/>
      <c r="M498" s="127"/>
      <c r="N498" s="127"/>
      <c r="O498" s="127"/>
      <c r="P498" s="127"/>
      <c r="Q498" s="127"/>
      <c r="R498" s="127"/>
      <c r="S498" s="127"/>
      <c r="T498" s="127"/>
      <c r="U498" s="127"/>
      <c r="V498" s="127"/>
      <c r="W498" s="127"/>
      <c r="X498" s="127"/>
      <c r="Y498" s="127"/>
      <c r="Z498" s="127"/>
    </row>
    <row r="499" customFormat="false" ht="15.75" hidden="false" customHeight="false" outlineLevel="0" collapsed="false">
      <c r="A499" s="127"/>
      <c r="B499" s="127"/>
      <c r="C499" s="127"/>
      <c r="D499" s="127"/>
      <c r="E499" s="127"/>
      <c r="F499" s="127"/>
      <c r="G499" s="127"/>
      <c r="H499" s="127"/>
      <c r="I499" s="127"/>
      <c r="J499" s="127"/>
      <c r="K499" s="127"/>
      <c r="L499" s="127"/>
      <c r="M499" s="127"/>
      <c r="N499" s="127"/>
      <c r="O499" s="127"/>
      <c r="P499" s="127"/>
      <c r="Q499" s="127"/>
      <c r="R499" s="127"/>
      <c r="S499" s="127"/>
      <c r="T499" s="127"/>
      <c r="U499" s="127"/>
      <c r="V499" s="127"/>
      <c r="W499" s="127"/>
      <c r="X499" s="127"/>
      <c r="Y499" s="127"/>
      <c r="Z499" s="127"/>
    </row>
    <row r="500" customFormat="false" ht="15.75" hidden="false" customHeight="false" outlineLevel="0" collapsed="false">
      <c r="A500" s="127"/>
      <c r="B500" s="127"/>
      <c r="C500" s="127"/>
      <c r="D500" s="127"/>
      <c r="E500" s="127"/>
      <c r="F500" s="127"/>
      <c r="G500" s="127"/>
      <c r="H500" s="127"/>
      <c r="I500" s="127"/>
      <c r="J500" s="127"/>
      <c r="K500" s="127"/>
      <c r="L500" s="127"/>
      <c r="M500" s="127"/>
      <c r="N500" s="127"/>
      <c r="O500" s="127"/>
      <c r="P500" s="127"/>
      <c r="Q500" s="127"/>
      <c r="R500" s="127"/>
      <c r="S500" s="127"/>
      <c r="T500" s="127"/>
      <c r="U500" s="127"/>
      <c r="V500" s="127"/>
      <c r="W500" s="127"/>
      <c r="X500" s="127"/>
      <c r="Y500" s="127"/>
      <c r="Z500" s="127"/>
    </row>
    <row r="501" customFormat="false" ht="15.75" hidden="false" customHeight="false" outlineLevel="0" collapsed="false">
      <c r="A501" s="127"/>
      <c r="B501" s="127"/>
      <c r="C501" s="127"/>
      <c r="D501" s="127"/>
      <c r="E501" s="127"/>
      <c r="F501" s="127"/>
      <c r="G501" s="127"/>
      <c r="H501" s="127"/>
      <c r="I501" s="127"/>
      <c r="J501" s="127"/>
      <c r="K501" s="127"/>
      <c r="L501" s="127"/>
      <c r="M501" s="127"/>
      <c r="N501" s="127"/>
      <c r="O501" s="127"/>
      <c r="P501" s="127"/>
      <c r="Q501" s="127"/>
      <c r="R501" s="127"/>
      <c r="S501" s="127"/>
      <c r="T501" s="127"/>
      <c r="U501" s="127"/>
      <c r="V501" s="127"/>
      <c r="W501" s="127"/>
      <c r="X501" s="127"/>
      <c r="Y501" s="127"/>
      <c r="Z501" s="127"/>
    </row>
    <row r="502" customFormat="false" ht="15.75" hidden="false" customHeight="false" outlineLevel="0" collapsed="false">
      <c r="A502" s="127"/>
      <c r="B502" s="127"/>
      <c r="C502" s="127"/>
      <c r="D502" s="127"/>
      <c r="E502" s="127"/>
      <c r="F502" s="127"/>
      <c r="G502" s="127"/>
      <c r="H502" s="127"/>
      <c r="I502" s="127"/>
      <c r="J502" s="127"/>
      <c r="K502" s="127"/>
      <c r="L502" s="127"/>
      <c r="M502" s="127"/>
      <c r="N502" s="127"/>
      <c r="O502" s="127"/>
      <c r="P502" s="127"/>
      <c r="Q502" s="127"/>
      <c r="R502" s="127"/>
      <c r="S502" s="127"/>
      <c r="T502" s="127"/>
      <c r="U502" s="127"/>
      <c r="V502" s="127"/>
      <c r="W502" s="127"/>
      <c r="X502" s="127"/>
      <c r="Y502" s="127"/>
      <c r="Z502" s="127"/>
    </row>
    <row r="503" customFormat="false" ht="15.75" hidden="false" customHeight="false" outlineLevel="0" collapsed="false">
      <c r="A503" s="127"/>
      <c r="B503" s="127"/>
      <c r="C503" s="127"/>
      <c r="D503" s="127"/>
      <c r="E503" s="127"/>
      <c r="F503" s="127"/>
      <c r="G503" s="127"/>
      <c r="H503" s="127"/>
      <c r="I503" s="127"/>
      <c r="J503" s="127"/>
      <c r="K503" s="127"/>
      <c r="L503" s="127"/>
      <c r="M503" s="127"/>
      <c r="N503" s="127"/>
      <c r="O503" s="127"/>
      <c r="P503" s="127"/>
      <c r="Q503" s="127"/>
      <c r="R503" s="127"/>
      <c r="S503" s="127"/>
      <c r="T503" s="127"/>
      <c r="U503" s="127"/>
      <c r="V503" s="127"/>
      <c r="W503" s="127"/>
      <c r="X503" s="127"/>
      <c r="Y503" s="127"/>
      <c r="Z503" s="127"/>
    </row>
    <row r="504" customFormat="false" ht="15.75" hidden="false" customHeight="false" outlineLevel="0" collapsed="false">
      <c r="A504" s="127"/>
      <c r="B504" s="127"/>
      <c r="C504" s="127"/>
      <c r="D504" s="127"/>
      <c r="E504" s="127"/>
      <c r="F504" s="127"/>
      <c r="G504" s="127"/>
      <c r="H504" s="127"/>
      <c r="I504" s="127"/>
      <c r="J504" s="127"/>
      <c r="K504" s="127"/>
      <c r="L504" s="127"/>
      <c r="M504" s="127"/>
      <c r="N504" s="127"/>
      <c r="O504" s="127"/>
      <c r="P504" s="127"/>
      <c r="Q504" s="127"/>
      <c r="R504" s="127"/>
      <c r="S504" s="127"/>
      <c r="T504" s="127"/>
      <c r="U504" s="127"/>
      <c r="V504" s="127"/>
      <c r="W504" s="127"/>
      <c r="X504" s="127"/>
      <c r="Y504" s="127"/>
      <c r="Z504" s="127"/>
    </row>
    <row r="505" customFormat="false" ht="15.75" hidden="false" customHeight="false" outlineLevel="0" collapsed="false">
      <c r="A505" s="127"/>
      <c r="B505" s="127"/>
      <c r="C505" s="127"/>
      <c r="D505" s="127"/>
      <c r="E505" s="127"/>
      <c r="F505" s="127"/>
      <c r="G505" s="127"/>
      <c r="H505" s="127"/>
      <c r="I505" s="127"/>
      <c r="J505" s="127"/>
      <c r="K505" s="127"/>
      <c r="L505" s="127"/>
      <c r="M505" s="127"/>
      <c r="N505" s="127"/>
      <c r="O505" s="127"/>
      <c r="P505" s="127"/>
      <c r="Q505" s="127"/>
      <c r="R505" s="127"/>
      <c r="S505" s="127"/>
      <c r="T505" s="127"/>
      <c r="U505" s="127"/>
      <c r="V505" s="127"/>
      <c r="W505" s="127"/>
      <c r="X505" s="127"/>
      <c r="Y505" s="127"/>
      <c r="Z505" s="127"/>
    </row>
    <row r="506" customFormat="false" ht="15.75" hidden="false" customHeight="false" outlineLevel="0" collapsed="false">
      <c r="A506" s="127"/>
      <c r="B506" s="127"/>
      <c r="C506" s="127"/>
      <c r="D506" s="127"/>
      <c r="E506" s="127"/>
      <c r="F506" s="127"/>
      <c r="G506" s="127"/>
      <c r="H506" s="127"/>
      <c r="I506" s="127"/>
      <c r="J506" s="127"/>
      <c r="K506" s="127"/>
      <c r="L506" s="127"/>
      <c r="M506" s="127"/>
      <c r="N506" s="127"/>
      <c r="O506" s="127"/>
      <c r="P506" s="127"/>
      <c r="Q506" s="127"/>
      <c r="R506" s="127"/>
      <c r="S506" s="127"/>
      <c r="T506" s="127"/>
      <c r="U506" s="127"/>
      <c r="V506" s="127"/>
      <c r="W506" s="127"/>
      <c r="X506" s="127"/>
      <c r="Y506" s="127"/>
      <c r="Z506" s="127"/>
    </row>
    <row r="507" customFormat="false" ht="15.75" hidden="false" customHeight="false" outlineLevel="0" collapsed="false">
      <c r="A507" s="127"/>
      <c r="B507" s="127"/>
      <c r="C507" s="127"/>
      <c r="D507" s="127"/>
      <c r="E507" s="127"/>
      <c r="F507" s="127"/>
      <c r="G507" s="127"/>
      <c r="H507" s="127"/>
      <c r="I507" s="127"/>
      <c r="J507" s="127"/>
      <c r="K507" s="127"/>
      <c r="L507" s="127"/>
      <c r="M507" s="127"/>
      <c r="N507" s="127"/>
      <c r="O507" s="127"/>
      <c r="P507" s="127"/>
      <c r="Q507" s="127"/>
      <c r="R507" s="127"/>
      <c r="S507" s="127"/>
      <c r="T507" s="127"/>
      <c r="U507" s="127"/>
      <c r="V507" s="127"/>
      <c r="W507" s="127"/>
      <c r="X507" s="127"/>
      <c r="Y507" s="127"/>
      <c r="Z507" s="127"/>
    </row>
    <row r="508" customFormat="false" ht="15.75" hidden="false" customHeight="false" outlineLevel="0" collapsed="false">
      <c r="A508" s="127"/>
      <c r="B508" s="127"/>
      <c r="C508" s="127"/>
      <c r="D508" s="127"/>
      <c r="E508" s="127"/>
      <c r="F508" s="127"/>
      <c r="G508" s="127"/>
      <c r="H508" s="127"/>
      <c r="I508" s="127"/>
      <c r="J508" s="127"/>
      <c r="K508" s="127"/>
      <c r="L508" s="127"/>
      <c r="M508" s="127"/>
      <c r="N508" s="127"/>
      <c r="O508" s="127"/>
      <c r="P508" s="127"/>
      <c r="Q508" s="127"/>
      <c r="R508" s="127"/>
      <c r="S508" s="127"/>
      <c r="T508" s="127"/>
      <c r="U508" s="127"/>
      <c r="V508" s="127"/>
      <c r="W508" s="127"/>
      <c r="X508" s="127"/>
      <c r="Y508" s="127"/>
      <c r="Z508" s="127"/>
    </row>
    <row r="509" customFormat="false" ht="15.75" hidden="false" customHeight="false" outlineLevel="0" collapsed="false">
      <c r="A509" s="127"/>
      <c r="B509" s="127"/>
      <c r="C509" s="127"/>
      <c r="D509" s="127"/>
      <c r="E509" s="127"/>
      <c r="F509" s="127"/>
      <c r="G509" s="127"/>
      <c r="H509" s="127"/>
      <c r="I509" s="127"/>
      <c r="J509" s="127"/>
      <c r="K509" s="127"/>
      <c r="L509" s="127"/>
      <c r="M509" s="127"/>
      <c r="N509" s="127"/>
      <c r="O509" s="127"/>
      <c r="P509" s="127"/>
      <c r="Q509" s="127"/>
      <c r="R509" s="127"/>
      <c r="S509" s="127"/>
      <c r="T509" s="127"/>
      <c r="U509" s="127"/>
      <c r="V509" s="127"/>
      <c r="W509" s="127"/>
      <c r="X509" s="127"/>
      <c r="Y509" s="127"/>
      <c r="Z509" s="127"/>
    </row>
    <row r="510" customFormat="false" ht="15.75" hidden="false" customHeight="false" outlineLevel="0" collapsed="false">
      <c r="A510" s="127"/>
      <c r="B510" s="127"/>
      <c r="C510" s="127"/>
      <c r="D510" s="127"/>
      <c r="E510" s="127"/>
      <c r="F510" s="127"/>
      <c r="G510" s="127"/>
      <c r="H510" s="127"/>
      <c r="I510" s="127"/>
      <c r="J510" s="127"/>
      <c r="K510" s="127"/>
      <c r="L510" s="127"/>
      <c r="M510" s="127"/>
      <c r="N510" s="127"/>
      <c r="O510" s="127"/>
      <c r="P510" s="127"/>
      <c r="Q510" s="127"/>
      <c r="R510" s="127"/>
      <c r="S510" s="127"/>
      <c r="T510" s="127"/>
      <c r="U510" s="127"/>
      <c r="V510" s="127"/>
      <c r="W510" s="127"/>
      <c r="X510" s="127"/>
      <c r="Y510" s="127"/>
      <c r="Z510" s="127"/>
    </row>
    <row r="511" customFormat="false" ht="15.75" hidden="false" customHeight="false" outlineLevel="0" collapsed="false">
      <c r="A511" s="127"/>
      <c r="B511" s="127"/>
      <c r="C511" s="127"/>
      <c r="D511" s="127"/>
      <c r="E511" s="127"/>
      <c r="F511" s="127"/>
      <c r="G511" s="127"/>
      <c r="H511" s="127"/>
      <c r="I511" s="127"/>
      <c r="J511" s="127"/>
      <c r="K511" s="127"/>
      <c r="L511" s="127"/>
      <c r="M511" s="127"/>
      <c r="N511" s="127"/>
      <c r="O511" s="127"/>
      <c r="P511" s="127"/>
      <c r="Q511" s="127"/>
      <c r="R511" s="127"/>
      <c r="S511" s="127"/>
      <c r="T511" s="127"/>
      <c r="U511" s="127"/>
      <c r="V511" s="127"/>
      <c r="W511" s="127"/>
      <c r="X511" s="127"/>
      <c r="Y511" s="127"/>
      <c r="Z511" s="127"/>
    </row>
    <row r="512" customFormat="false" ht="15.75" hidden="false" customHeight="false" outlineLevel="0" collapsed="false">
      <c r="A512" s="127"/>
      <c r="B512" s="127"/>
      <c r="C512" s="127"/>
      <c r="D512" s="127"/>
      <c r="E512" s="127"/>
      <c r="F512" s="127"/>
      <c r="G512" s="127"/>
      <c r="H512" s="127"/>
      <c r="I512" s="127"/>
      <c r="J512" s="127"/>
      <c r="K512" s="127"/>
      <c r="L512" s="127"/>
      <c r="M512" s="127"/>
      <c r="N512" s="127"/>
      <c r="O512" s="127"/>
      <c r="P512" s="127"/>
      <c r="Q512" s="127"/>
      <c r="R512" s="127"/>
      <c r="S512" s="127"/>
      <c r="T512" s="127"/>
      <c r="U512" s="127"/>
      <c r="V512" s="127"/>
      <c r="W512" s="127"/>
      <c r="X512" s="127"/>
      <c r="Y512" s="127"/>
      <c r="Z512" s="127"/>
    </row>
    <row r="513" customFormat="false" ht="15.75" hidden="false" customHeight="false" outlineLevel="0" collapsed="false">
      <c r="A513" s="127"/>
      <c r="B513" s="127"/>
      <c r="C513" s="127"/>
      <c r="D513" s="127"/>
      <c r="E513" s="127"/>
      <c r="F513" s="127"/>
      <c r="G513" s="127"/>
      <c r="H513" s="127"/>
      <c r="I513" s="127"/>
      <c r="J513" s="127"/>
      <c r="K513" s="127"/>
      <c r="L513" s="127"/>
      <c r="M513" s="127"/>
      <c r="N513" s="127"/>
      <c r="O513" s="127"/>
      <c r="P513" s="127"/>
      <c r="Q513" s="127"/>
      <c r="R513" s="127"/>
      <c r="S513" s="127"/>
      <c r="T513" s="127"/>
      <c r="U513" s="127"/>
      <c r="V513" s="127"/>
      <c r="W513" s="127"/>
      <c r="X513" s="127"/>
      <c r="Y513" s="127"/>
      <c r="Z513" s="127"/>
    </row>
    <row r="514" customFormat="false" ht="15.75" hidden="false" customHeight="false" outlineLevel="0" collapsed="false">
      <c r="A514" s="127"/>
      <c r="B514" s="127"/>
      <c r="C514" s="127"/>
      <c r="D514" s="127"/>
      <c r="E514" s="127"/>
      <c r="F514" s="127"/>
      <c r="G514" s="127"/>
      <c r="H514" s="127"/>
      <c r="I514" s="127"/>
      <c r="J514" s="127"/>
      <c r="K514" s="127"/>
      <c r="L514" s="127"/>
      <c r="M514" s="127"/>
      <c r="N514" s="127"/>
      <c r="O514" s="127"/>
      <c r="P514" s="127"/>
      <c r="Q514" s="127"/>
      <c r="R514" s="127"/>
      <c r="S514" s="127"/>
      <c r="T514" s="127"/>
      <c r="U514" s="127"/>
      <c r="V514" s="127"/>
      <c r="W514" s="127"/>
      <c r="X514" s="127"/>
      <c r="Y514" s="127"/>
      <c r="Z514" s="127"/>
    </row>
    <row r="515" customFormat="false" ht="15.75" hidden="false" customHeight="false" outlineLevel="0" collapsed="false">
      <c r="A515" s="127"/>
      <c r="B515" s="127"/>
      <c r="C515" s="127"/>
      <c r="D515" s="127"/>
      <c r="E515" s="127"/>
      <c r="F515" s="127"/>
      <c r="G515" s="127"/>
      <c r="H515" s="127"/>
      <c r="I515" s="127"/>
      <c r="J515" s="127"/>
      <c r="K515" s="127"/>
      <c r="L515" s="127"/>
      <c r="M515" s="127"/>
      <c r="N515" s="127"/>
      <c r="O515" s="127"/>
      <c r="P515" s="127"/>
      <c r="Q515" s="127"/>
      <c r="R515" s="127"/>
      <c r="S515" s="127"/>
      <c r="T515" s="127"/>
      <c r="U515" s="127"/>
      <c r="V515" s="127"/>
      <c r="W515" s="127"/>
      <c r="X515" s="127"/>
      <c r="Y515" s="127"/>
      <c r="Z515" s="127"/>
    </row>
    <row r="516" customFormat="false" ht="15.75" hidden="false" customHeight="false" outlineLevel="0" collapsed="false">
      <c r="A516" s="127"/>
      <c r="B516" s="127"/>
      <c r="C516" s="127"/>
      <c r="D516" s="127"/>
      <c r="E516" s="127"/>
      <c r="F516" s="127"/>
      <c r="G516" s="127"/>
      <c r="H516" s="127"/>
      <c r="I516" s="127"/>
      <c r="J516" s="127"/>
      <c r="K516" s="127"/>
      <c r="L516" s="127"/>
      <c r="M516" s="127"/>
      <c r="N516" s="127"/>
      <c r="O516" s="127"/>
      <c r="P516" s="127"/>
      <c r="Q516" s="127"/>
      <c r="R516" s="127"/>
      <c r="S516" s="127"/>
      <c r="T516" s="127"/>
      <c r="U516" s="127"/>
      <c r="V516" s="127"/>
      <c r="W516" s="127"/>
      <c r="X516" s="127"/>
      <c r="Y516" s="127"/>
      <c r="Z516" s="127"/>
    </row>
    <row r="517" customFormat="false" ht="15.75" hidden="false" customHeight="false" outlineLevel="0" collapsed="false">
      <c r="A517" s="127"/>
      <c r="B517" s="127"/>
      <c r="C517" s="127"/>
      <c r="D517" s="127"/>
      <c r="E517" s="127"/>
      <c r="F517" s="127"/>
      <c r="G517" s="127"/>
      <c r="H517" s="127"/>
      <c r="I517" s="127"/>
      <c r="J517" s="127"/>
      <c r="K517" s="127"/>
      <c r="L517" s="127"/>
      <c r="M517" s="127"/>
      <c r="N517" s="127"/>
      <c r="O517" s="127"/>
      <c r="P517" s="127"/>
      <c r="Q517" s="127"/>
      <c r="R517" s="127"/>
      <c r="S517" s="127"/>
      <c r="T517" s="127"/>
      <c r="U517" s="127"/>
      <c r="V517" s="127"/>
      <c r="W517" s="127"/>
      <c r="X517" s="127"/>
      <c r="Y517" s="127"/>
      <c r="Z517" s="127"/>
    </row>
    <row r="518" customFormat="false" ht="15.75" hidden="false" customHeight="false" outlineLevel="0" collapsed="false">
      <c r="A518" s="127"/>
      <c r="B518" s="127"/>
      <c r="C518" s="127"/>
      <c r="D518" s="127"/>
      <c r="E518" s="127"/>
      <c r="F518" s="127"/>
      <c r="G518" s="127"/>
      <c r="H518" s="127"/>
      <c r="I518" s="127"/>
      <c r="J518" s="127"/>
      <c r="K518" s="127"/>
      <c r="L518" s="127"/>
      <c r="M518" s="127"/>
      <c r="N518" s="127"/>
      <c r="O518" s="127"/>
      <c r="P518" s="127"/>
      <c r="Q518" s="127"/>
      <c r="R518" s="127"/>
      <c r="S518" s="127"/>
      <c r="T518" s="127"/>
      <c r="U518" s="127"/>
      <c r="V518" s="127"/>
      <c r="W518" s="127"/>
      <c r="X518" s="127"/>
      <c r="Y518" s="127"/>
      <c r="Z518" s="127"/>
    </row>
    <row r="519" customFormat="false" ht="15.75" hidden="false" customHeight="false" outlineLevel="0" collapsed="false">
      <c r="A519" s="127"/>
      <c r="B519" s="127"/>
      <c r="C519" s="127"/>
      <c r="D519" s="127"/>
      <c r="E519" s="127"/>
      <c r="F519" s="127"/>
      <c r="G519" s="127"/>
      <c r="H519" s="127"/>
      <c r="I519" s="127"/>
      <c r="J519" s="127"/>
      <c r="K519" s="127"/>
      <c r="L519" s="127"/>
      <c r="M519" s="127"/>
      <c r="N519" s="127"/>
      <c r="O519" s="127"/>
      <c r="P519" s="127"/>
      <c r="Q519" s="127"/>
      <c r="R519" s="127"/>
      <c r="S519" s="127"/>
      <c r="T519" s="127"/>
      <c r="U519" s="127"/>
      <c r="V519" s="127"/>
      <c r="W519" s="127"/>
      <c r="X519" s="127"/>
      <c r="Y519" s="127"/>
      <c r="Z519" s="127"/>
    </row>
    <row r="520" customFormat="false" ht="15.75" hidden="false" customHeight="false" outlineLevel="0" collapsed="false">
      <c r="A520" s="127"/>
      <c r="B520" s="127"/>
      <c r="C520" s="127"/>
      <c r="D520" s="127"/>
      <c r="E520" s="127"/>
      <c r="F520" s="127"/>
      <c r="G520" s="127"/>
      <c r="H520" s="127"/>
      <c r="I520" s="127"/>
      <c r="J520" s="127"/>
      <c r="K520" s="127"/>
      <c r="L520" s="127"/>
      <c r="M520" s="127"/>
      <c r="N520" s="127"/>
      <c r="O520" s="127"/>
      <c r="P520" s="127"/>
      <c r="Q520" s="127"/>
      <c r="R520" s="127"/>
      <c r="S520" s="127"/>
      <c r="T520" s="127"/>
      <c r="U520" s="127"/>
      <c r="V520" s="127"/>
      <c r="W520" s="127"/>
      <c r="X520" s="127"/>
      <c r="Y520" s="127"/>
      <c r="Z520" s="127"/>
    </row>
    <row r="521" customFormat="false" ht="15.75" hidden="false" customHeight="false" outlineLevel="0" collapsed="false">
      <c r="A521" s="127"/>
      <c r="B521" s="127"/>
      <c r="C521" s="127"/>
      <c r="D521" s="127"/>
      <c r="E521" s="127"/>
      <c r="F521" s="127"/>
      <c r="G521" s="127"/>
      <c r="H521" s="127"/>
      <c r="I521" s="127"/>
      <c r="J521" s="127"/>
      <c r="K521" s="127"/>
      <c r="L521" s="127"/>
      <c r="M521" s="127"/>
      <c r="N521" s="127"/>
      <c r="O521" s="127"/>
      <c r="P521" s="127"/>
      <c r="Q521" s="127"/>
      <c r="R521" s="127"/>
      <c r="S521" s="127"/>
      <c r="T521" s="127"/>
      <c r="U521" s="127"/>
      <c r="V521" s="127"/>
      <c r="W521" s="127"/>
      <c r="X521" s="127"/>
      <c r="Y521" s="127"/>
      <c r="Z521" s="127"/>
    </row>
    <row r="522" customFormat="false" ht="15.75" hidden="false" customHeight="false" outlineLevel="0" collapsed="false">
      <c r="A522" s="127"/>
      <c r="B522" s="127"/>
      <c r="C522" s="127"/>
      <c r="D522" s="127"/>
      <c r="E522" s="127"/>
      <c r="F522" s="127"/>
      <c r="G522" s="127"/>
      <c r="H522" s="127"/>
      <c r="I522" s="127"/>
      <c r="J522" s="127"/>
      <c r="K522" s="127"/>
      <c r="L522" s="127"/>
      <c r="M522" s="127"/>
      <c r="N522" s="127"/>
      <c r="O522" s="127"/>
      <c r="P522" s="127"/>
      <c r="Q522" s="127"/>
      <c r="R522" s="127"/>
      <c r="S522" s="127"/>
      <c r="T522" s="127"/>
      <c r="U522" s="127"/>
      <c r="V522" s="127"/>
      <c r="W522" s="127"/>
      <c r="X522" s="127"/>
      <c r="Y522" s="127"/>
      <c r="Z522" s="127"/>
    </row>
    <row r="523" customFormat="false" ht="15.75" hidden="false" customHeight="false" outlineLevel="0" collapsed="false">
      <c r="A523" s="127"/>
      <c r="B523" s="127"/>
      <c r="C523" s="127"/>
      <c r="D523" s="127"/>
      <c r="E523" s="127"/>
      <c r="F523" s="127"/>
      <c r="G523" s="127"/>
      <c r="H523" s="127"/>
      <c r="I523" s="127"/>
      <c r="J523" s="127"/>
      <c r="K523" s="127"/>
      <c r="L523" s="127"/>
      <c r="M523" s="127"/>
      <c r="N523" s="127"/>
      <c r="O523" s="127"/>
      <c r="P523" s="127"/>
      <c r="Q523" s="127"/>
      <c r="R523" s="127"/>
      <c r="S523" s="127"/>
      <c r="T523" s="127"/>
      <c r="U523" s="127"/>
      <c r="V523" s="127"/>
      <c r="W523" s="127"/>
      <c r="X523" s="127"/>
      <c r="Y523" s="127"/>
      <c r="Z523" s="127"/>
    </row>
    <row r="524" customFormat="false" ht="15.75" hidden="false" customHeight="false" outlineLevel="0" collapsed="false">
      <c r="A524" s="127"/>
      <c r="B524" s="127"/>
      <c r="C524" s="127"/>
      <c r="D524" s="127"/>
      <c r="E524" s="127"/>
      <c r="F524" s="127"/>
      <c r="G524" s="127"/>
      <c r="H524" s="127"/>
      <c r="I524" s="127"/>
      <c r="J524" s="127"/>
      <c r="K524" s="127"/>
      <c r="L524" s="127"/>
      <c r="M524" s="127"/>
      <c r="N524" s="127"/>
      <c r="O524" s="127"/>
      <c r="P524" s="127"/>
      <c r="Q524" s="127"/>
      <c r="R524" s="127"/>
      <c r="S524" s="127"/>
      <c r="T524" s="127"/>
      <c r="U524" s="127"/>
      <c r="V524" s="127"/>
      <c r="W524" s="127"/>
      <c r="X524" s="127"/>
      <c r="Y524" s="127"/>
      <c r="Z524" s="127"/>
    </row>
    <row r="525" customFormat="false" ht="15.75" hidden="false" customHeight="false" outlineLevel="0" collapsed="false">
      <c r="A525" s="127"/>
      <c r="B525" s="127"/>
      <c r="C525" s="127"/>
      <c r="D525" s="127"/>
      <c r="E525" s="127"/>
      <c r="F525" s="127"/>
      <c r="G525" s="127"/>
      <c r="H525" s="127"/>
      <c r="I525" s="127"/>
      <c r="J525" s="127"/>
      <c r="K525" s="127"/>
      <c r="L525" s="127"/>
      <c r="M525" s="127"/>
      <c r="N525" s="127"/>
      <c r="O525" s="127"/>
      <c r="P525" s="127"/>
      <c r="Q525" s="127"/>
      <c r="R525" s="127"/>
      <c r="S525" s="127"/>
      <c r="T525" s="127"/>
      <c r="U525" s="127"/>
      <c r="V525" s="127"/>
      <c r="W525" s="127"/>
      <c r="X525" s="127"/>
      <c r="Y525" s="127"/>
      <c r="Z525" s="127"/>
    </row>
    <row r="526" customFormat="false" ht="15.75" hidden="false" customHeight="false" outlineLevel="0" collapsed="false">
      <c r="A526" s="127"/>
      <c r="B526" s="127"/>
      <c r="C526" s="127"/>
      <c r="D526" s="127"/>
      <c r="E526" s="127"/>
      <c r="F526" s="127"/>
      <c r="G526" s="127"/>
      <c r="H526" s="127"/>
      <c r="I526" s="127"/>
      <c r="J526" s="127"/>
      <c r="K526" s="127"/>
      <c r="L526" s="127"/>
      <c r="M526" s="127"/>
      <c r="N526" s="127"/>
      <c r="O526" s="127"/>
      <c r="P526" s="127"/>
      <c r="Q526" s="127"/>
      <c r="R526" s="127"/>
      <c r="S526" s="127"/>
      <c r="T526" s="127"/>
      <c r="U526" s="127"/>
      <c r="V526" s="127"/>
      <c r="W526" s="127"/>
      <c r="X526" s="127"/>
      <c r="Y526" s="127"/>
      <c r="Z526" s="127"/>
    </row>
    <row r="527" customFormat="false" ht="15.75" hidden="false" customHeight="false" outlineLevel="0" collapsed="false">
      <c r="A527" s="127"/>
      <c r="B527" s="127"/>
      <c r="C527" s="127"/>
      <c r="D527" s="127"/>
      <c r="E527" s="127"/>
      <c r="F527" s="127"/>
      <c r="G527" s="127"/>
      <c r="H527" s="127"/>
      <c r="I527" s="127"/>
      <c r="J527" s="127"/>
      <c r="K527" s="127"/>
      <c r="L527" s="127"/>
      <c r="M527" s="127"/>
      <c r="N527" s="127"/>
      <c r="O527" s="127"/>
      <c r="P527" s="127"/>
      <c r="Q527" s="127"/>
      <c r="R527" s="127"/>
      <c r="S527" s="127"/>
      <c r="T527" s="127"/>
      <c r="U527" s="127"/>
      <c r="V527" s="127"/>
      <c r="W527" s="127"/>
      <c r="X527" s="127"/>
      <c r="Y527" s="127"/>
      <c r="Z527" s="127"/>
    </row>
    <row r="528" customFormat="false" ht="15.75" hidden="false" customHeight="false" outlineLevel="0" collapsed="false">
      <c r="A528" s="127"/>
      <c r="B528" s="127"/>
      <c r="C528" s="127"/>
      <c r="D528" s="127"/>
      <c r="E528" s="127"/>
      <c r="F528" s="127"/>
      <c r="G528" s="127"/>
      <c r="H528" s="127"/>
      <c r="I528" s="127"/>
      <c r="J528" s="127"/>
      <c r="K528" s="127"/>
      <c r="L528" s="127"/>
      <c r="M528" s="127"/>
      <c r="N528" s="127"/>
      <c r="O528" s="127"/>
      <c r="P528" s="127"/>
      <c r="Q528" s="127"/>
      <c r="R528" s="127"/>
      <c r="S528" s="127"/>
      <c r="T528" s="127"/>
      <c r="U528" s="127"/>
      <c r="V528" s="127"/>
      <c r="W528" s="127"/>
      <c r="X528" s="127"/>
      <c r="Y528" s="127"/>
      <c r="Z528" s="127"/>
    </row>
    <row r="529" customFormat="false" ht="15.75" hidden="false" customHeight="false" outlineLevel="0" collapsed="false">
      <c r="A529" s="127"/>
      <c r="B529" s="127"/>
      <c r="C529" s="127"/>
      <c r="D529" s="127"/>
      <c r="E529" s="127"/>
      <c r="F529" s="127"/>
      <c r="G529" s="127"/>
      <c r="H529" s="127"/>
      <c r="I529" s="127"/>
      <c r="J529" s="127"/>
      <c r="K529" s="127"/>
      <c r="L529" s="127"/>
      <c r="M529" s="127"/>
      <c r="N529" s="127"/>
      <c r="O529" s="127"/>
      <c r="P529" s="127"/>
      <c r="Q529" s="127"/>
      <c r="R529" s="127"/>
      <c r="S529" s="127"/>
      <c r="T529" s="127"/>
      <c r="U529" s="127"/>
      <c r="V529" s="127"/>
      <c r="W529" s="127"/>
      <c r="X529" s="127"/>
      <c r="Y529" s="127"/>
      <c r="Z529" s="127"/>
    </row>
    <row r="530" customFormat="false" ht="15.75" hidden="false" customHeight="false" outlineLevel="0" collapsed="false">
      <c r="A530" s="127"/>
      <c r="B530" s="127"/>
      <c r="C530" s="127"/>
      <c r="D530" s="127"/>
      <c r="E530" s="127"/>
      <c r="F530" s="127"/>
      <c r="G530" s="127"/>
      <c r="H530" s="127"/>
      <c r="I530" s="127"/>
      <c r="J530" s="127"/>
      <c r="K530" s="127"/>
      <c r="L530" s="127"/>
      <c r="M530" s="127"/>
      <c r="N530" s="127"/>
      <c r="O530" s="127"/>
      <c r="P530" s="127"/>
      <c r="Q530" s="127"/>
      <c r="R530" s="127"/>
      <c r="S530" s="127"/>
      <c r="T530" s="127"/>
      <c r="U530" s="127"/>
      <c r="V530" s="127"/>
      <c r="W530" s="127"/>
      <c r="X530" s="127"/>
      <c r="Y530" s="127"/>
      <c r="Z530" s="127"/>
    </row>
    <row r="531" customFormat="false" ht="15.75" hidden="false" customHeight="false" outlineLevel="0" collapsed="false">
      <c r="A531" s="127"/>
      <c r="B531" s="127"/>
      <c r="C531" s="127"/>
      <c r="D531" s="127"/>
      <c r="E531" s="127"/>
      <c r="F531" s="127"/>
      <c r="G531" s="127"/>
      <c r="H531" s="127"/>
      <c r="I531" s="127"/>
      <c r="J531" s="127"/>
      <c r="K531" s="127"/>
      <c r="L531" s="127"/>
      <c r="M531" s="127"/>
      <c r="N531" s="127"/>
      <c r="O531" s="127"/>
      <c r="P531" s="127"/>
      <c r="Q531" s="127"/>
      <c r="R531" s="127"/>
      <c r="S531" s="127"/>
      <c r="T531" s="127"/>
      <c r="U531" s="127"/>
      <c r="V531" s="127"/>
      <c r="W531" s="127"/>
      <c r="X531" s="127"/>
      <c r="Y531" s="127"/>
      <c r="Z531" s="127"/>
    </row>
    <row r="532" customFormat="false" ht="15.75" hidden="false" customHeight="false" outlineLevel="0" collapsed="false">
      <c r="A532" s="127"/>
      <c r="B532" s="127"/>
      <c r="C532" s="127"/>
      <c r="D532" s="127"/>
      <c r="E532" s="127"/>
      <c r="F532" s="127"/>
      <c r="G532" s="127"/>
      <c r="H532" s="127"/>
      <c r="I532" s="127"/>
      <c r="J532" s="127"/>
      <c r="K532" s="127"/>
      <c r="L532" s="127"/>
      <c r="M532" s="127"/>
      <c r="N532" s="127"/>
      <c r="O532" s="127"/>
      <c r="P532" s="127"/>
      <c r="Q532" s="127"/>
      <c r="R532" s="127"/>
      <c r="S532" s="127"/>
      <c r="T532" s="127"/>
      <c r="U532" s="127"/>
      <c r="V532" s="127"/>
      <c r="W532" s="127"/>
      <c r="X532" s="127"/>
      <c r="Y532" s="127"/>
      <c r="Z532" s="127"/>
    </row>
    <row r="533" customFormat="false" ht="15.75" hidden="false" customHeight="false" outlineLevel="0" collapsed="false">
      <c r="A533" s="127"/>
      <c r="B533" s="127"/>
      <c r="C533" s="127"/>
      <c r="D533" s="127"/>
      <c r="E533" s="127"/>
      <c r="F533" s="127"/>
      <c r="G533" s="127"/>
      <c r="H533" s="127"/>
      <c r="I533" s="127"/>
      <c r="J533" s="127"/>
      <c r="K533" s="127"/>
      <c r="L533" s="127"/>
      <c r="M533" s="127"/>
      <c r="N533" s="127"/>
      <c r="O533" s="127"/>
      <c r="P533" s="127"/>
      <c r="Q533" s="127"/>
      <c r="R533" s="127"/>
      <c r="S533" s="127"/>
      <c r="T533" s="127"/>
      <c r="U533" s="127"/>
      <c r="V533" s="127"/>
      <c r="W533" s="127"/>
      <c r="X533" s="127"/>
      <c r="Y533" s="127"/>
      <c r="Z533" s="127"/>
    </row>
    <row r="534" customFormat="false" ht="15.75" hidden="false" customHeight="false" outlineLevel="0" collapsed="false">
      <c r="A534" s="127"/>
      <c r="B534" s="127"/>
      <c r="C534" s="127"/>
      <c r="D534" s="127"/>
      <c r="E534" s="127"/>
      <c r="F534" s="127"/>
      <c r="G534" s="127"/>
      <c r="H534" s="127"/>
      <c r="I534" s="127"/>
      <c r="J534" s="127"/>
      <c r="K534" s="127"/>
      <c r="L534" s="127"/>
      <c r="M534" s="127"/>
      <c r="N534" s="127"/>
      <c r="O534" s="127"/>
      <c r="P534" s="127"/>
      <c r="Q534" s="127"/>
      <c r="R534" s="127"/>
      <c r="S534" s="127"/>
      <c r="T534" s="127"/>
      <c r="U534" s="127"/>
      <c r="V534" s="127"/>
      <c r="W534" s="127"/>
      <c r="X534" s="127"/>
      <c r="Y534" s="127"/>
      <c r="Z534" s="127"/>
    </row>
    <row r="535" customFormat="false" ht="15.75" hidden="false" customHeight="false" outlineLevel="0" collapsed="false">
      <c r="A535" s="127"/>
      <c r="B535" s="127"/>
      <c r="C535" s="127"/>
      <c r="D535" s="127"/>
      <c r="E535" s="127"/>
      <c r="F535" s="127"/>
      <c r="G535" s="127"/>
      <c r="H535" s="127"/>
      <c r="I535" s="127"/>
      <c r="J535" s="127"/>
      <c r="K535" s="127"/>
      <c r="L535" s="127"/>
      <c r="M535" s="127"/>
      <c r="N535" s="127"/>
      <c r="O535" s="127"/>
      <c r="P535" s="127"/>
      <c r="Q535" s="127"/>
      <c r="R535" s="127"/>
      <c r="S535" s="127"/>
      <c r="T535" s="127"/>
      <c r="U535" s="127"/>
      <c r="V535" s="127"/>
      <c r="W535" s="127"/>
      <c r="X535" s="127"/>
      <c r="Y535" s="127"/>
      <c r="Z535" s="127"/>
    </row>
    <row r="536" customFormat="false" ht="15.75" hidden="false" customHeight="false" outlineLevel="0" collapsed="false">
      <c r="A536" s="127"/>
      <c r="B536" s="127"/>
      <c r="C536" s="127"/>
      <c r="D536" s="127"/>
      <c r="E536" s="127"/>
      <c r="F536" s="127"/>
      <c r="G536" s="127"/>
      <c r="H536" s="127"/>
      <c r="I536" s="127"/>
      <c r="J536" s="127"/>
      <c r="K536" s="127"/>
      <c r="L536" s="127"/>
      <c r="M536" s="127"/>
      <c r="N536" s="127"/>
      <c r="O536" s="127"/>
      <c r="P536" s="127"/>
      <c r="Q536" s="127"/>
      <c r="R536" s="127"/>
      <c r="S536" s="127"/>
      <c r="T536" s="127"/>
      <c r="U536" s="127"/>
      <c r="V536" s="127"/>
      <c r="W536" s="127"/>
      <c r="X536" s="127"/>
      <c r="Y536" s="127"/>
      <c r="Z536" s="127"/>
    </row>
    <row r="537" customFormat="false" ht="15.75" hidden="false" customHeight="false" outlineLevel="0" collapsed="false">
      <c r="A537" s="127"/>
      <c r="B537" s="127"/>
      <c r="C537" s="127"/>
      <c r="D537" s="127"/>
      <c r="E537" s="127"/>
      <c r="F537" s="127"/>
      <c r="G537" s="127"/>
      <c r="H537" s="127"/>
      <c r="I537" s="127"/>
      <c r="J537" s="127"/>
      <c r="K537" s="127"/>
      <c r="L537" s="127"/>
      <c r="M537" s="127"/>
      <c r="N537" s="127"/>
      <c r="O537" s="127"/>
      <c r="P537" s="127"/>
      <c r="Q537" s="127"/>
      <c r="R537" s="127"/>
      <c r="S537" s="127"/>
      <c r="T537" s="127"/>
      <c r="U537" s="127"/>
      <c r="V537" s="127"/>
      <c r="W537" s="127"/>
      <c r="X537" s="127"/>
      <c r="Y537" s="127"/>
      <c r="Z537" s="127"/>
    </row>
    <row r="538" customFormat="false" ht="15.75" hidden="false" customHeight="false" outlineLevel="0" collapsed="false">
      <c r="A538" s="127"/>
      <c r="B538" s="127"/>
      <c r="C538" s="127"/>
      <c r="D538" s="127"/>
      <c r="E538" s="127"/>
      <c r="F538" s="127"/>
      <c r="G538" s="127"/>
      <c r="H538" s="127"/>
      <c r="I538" s="127"/>
      <c r="J538" s="127"/>
      <c r="K538" s="127"/>
      <c r="L538" s="127"/>
      <c r="M538" s="127"/>
      <c r="N538" s="127"/>
      <c r="O538" s="127"/>
      <c r="P538" s="127"/>
      <c r="Q538" s="127"/>
      <c r="R538" s="127"/>
      <c r="S538" s="127"/>
      <c r="T538" s="127"/>
      <c r="U538" s="127"/>
      <c r="V538" s="127"/>
      <c r="W538" s="127"/>
      <c r="X538" s="127"/>
      <c r="Y538" s="127"/>
      <c r="Z538" s="127"/>
    </row>
    <row r="539" customFormat="false" ht="15.75" hidden="false" customHeight="false" outlineLevel="0" collapsed="false">
      <c r="A539" s="127"/>
      <c r="B539" s="127"/>
      <c r="C539" s="127"/>
      <c r="D539" s="127"/>
      <c r="E539" s="127"/>
      <c r="F539" s="127"/>
      <c r="G539" s="127"/>
      <c r="H539" s="127"/>
      <c r="I539" s="127"/>
      <c r="J539" s="127"/>
      <c r="K539" s="127"/>
      <c r="L539" s="127"/>
      <c r="M539" s="127"/>
      <c r="N539" s="127"/>
      <c r="O539" s="127"/>
      <c r="P539" s="127"/>
      <c r="Q539" s="127"/>
      <c r="R539" s="127"/>
      <c r="S539" s="127"/>
      <c r="T539" s="127"/>
      <c r="U539" s="127"/>
      <c r="V539" s="127"/>
      <c r="W539" s="127"/>
      <c r="X539" s="127"/>
      <c r="Y539" s="127"/>
      <c r="Z539" s="127"/>
    </row>
    <row r="540" customFormat="false" ht="15.75" hidden="false" customHeight="false" outlineLevel="0" collapsed="false">
      <c r="A540" s="127"/>
      <c r="B540" s="127"/>
      <c r="C540" s="127"/>
      <c r="D540" s="127"/>
      <c r="E540" s="127"/>
      <c r="F540" s="127"/>
      <c r="G540" s="127"/>
      <c r="H540" s="127"/>
      <c r="I540" s="127"/>
      <c r="J540" s="127"/>
      <c r="K540" s="127"/>
      <c r="L540" s="127"/>
      <c r="M540" s="127"/>
      <c r="N540" s="127"/>
      <c r="O540" s="127"/>
      <c r="P540" s="127"/>
      <c r="Q540" s="127"/>
      <c r="R540" s="127"/>
      <c r="S540" s="127"/>
      <c r="T540" s="127"/>
      <c r="U540" s="127"/>
      <c r="V540" s="127"/>
      <c r="W540" s="127"/>
      <c r="X540" s="127"/>
      <c r="Y540" s="127"/>
      <c r="Z540" s="127"/>
    </row>
    <row r="541" customFormat="false" ht="15.75" hidden="false" customHeight="false" outlineLevel="0" collapsed="false">
      <c r="A541" s="127"/>
      <c r="B541" s="127"/>
      <c r="C541" s="127"/>
      <c r="D541" s="127"/>
      <c r="E541" s="127"/>
      <c r="F541" s="127"/>
      <c r="G541" s="127"/>
      <c r="H541" s="127"/>
      <c r="I541" s="127"/>
      <c r="J541" s="127"/>
      <c r="K541" s="127"/>
      <c r="L541" s="127"/>
      <c r="M541" s="127"/>
      <c r="N541" s="127"/>
      <c r="O541" s="127"/>
      <c r="P541" s="127"/>
      <c r="Q541" s="127"/>
      <c r="R541" s="127"/>
      <c r="S541" s="127"/>
      <c r="T541" s="127"/>
      <c r="U541" s="127"/>
      <c r="V541" s="127"/>
      <c r="W541" s="127"/>
      <c r="X541" s="127"/>
      <c r="Y541" s="127"/>
      <c r="Z541" s="127"/>
    </row>
    <row r="542" customFormat="false" ht="15.75" hidden="false" customHeight="false" outlineLevel="0" collapsed="false">
      <c r="A542" s="127"/>
      <c r="B542" s="127"/>
      <c r="C542" s="127"/>
      <c r="D542" s="127"/>
      <c r="E542" s="127"/>
      <c r="F542" s="127"/>
      <c r="G542" s="127"/>
      <c r="H542" s="127"/>
      <c r="I542" s="127"/>
      <c r="J542" s="127"/>
      <c r="K542" s="127"/>
      <c r="L542" s="127"/>
      <c r="M542" s="127"/>
      <c r="N542" s="127"/>
      <c r="O542" s="127"/>
      <c r="P542" s="127"/>
      <c r="Q542" s="127"/>
      <c r="R542" s="127"/>
      <c r="S542" s="127"/>
      <c r="T542" s="127"/>
      <c r="U542" s="127"/>
      <c r="V542" s="127"/>
      <c r="W542" s="127"/>
      <c r="X542" s="127"/>
      <c r="Y542" s="127"/>
      <c r="Z542" s="127"/>
    </row>
    <row r="543" customFormat="false" ht="15.75" hidden="false" customHeight="false" outlineLevel="0" collapsed="false">
      <c r="A543" s="127"/>
      <c r="B543" s="127"/>
      <c r="C543" s="127"/>
      <c r="D543" s="127"/>
      <c r="E543" s="127"/>
      <c r="F543" s="127"/>
      <c r="G543" s="127"/>
      <c r="H543" s="127"/>
      <c r="I543" s="127"/>
      <c r="J543" s="127"/>
      <c r="K543" s="127"/>
      <c r="L543" s="127"/>
      <c r="M543" s="127"/>
      <c r="N543" s="127"/>
      <c r="O543" s="127"/>
      <c r="P543" s="127"/>
      <c r="Q543" s="127"/>
      <c r="R543" s="127"/>
      <c r="S543" s="127"/>
      <c r="T543" s="127"/>
      <c r="U543" s="127"/>
      <c r="V543" s="127"/>
      <c r="W543" s="127"/>
      <c r="X543" s="127"/>
      <c r="Y543" s="127"/>
      <c r="Z543" s="127"/>
    </row>
    <row r="544" customFormat="false" ht="15.75" hidden="false" customHeight="false" outlineLevel="0" collapsed="false">
      <c r="A544" s="127"/>
      <c r="B544" s="127"/>
      <c r="C544" s="127"/>
      <c r="D544" s="127"/>
      <c r="E544" s="127"/>
      <c r="F544" s="127"/>
      <c r="G544" s="127"/>
      <c r="H544" s="127"/>
      <c r="I544" s="127"/>
      <c r="J544" s="127"/>
      <c r="K544" s="127"/>
      <c r="L544" s="127"/>
      <c r="M544" s="127"/>
      <c r="N544" s="127"/>
      <c r="O544" s="127"/>
      <c r="P544" s="127"/>
      <c r="Q544" s="127"/>
      <c r="R544" s="127"/>
      <c r="S544" s="127"/>
      <c r="T544" s="127"/>
      <c r="U544" s="127"/>
      <c r="V544" s="127"/>
      <c r="W544" s="127"/>
      <c r="X544" s="127"/>
      <c r="Y544" s="127"/>
      <c r="Z544" s="127"/>
    </row>
    <row r="545" customFormat="false" ht="15.75" hidden="false" customHeight="false" outlineLevel="0" collapsed="false">
      <c r="A545" s="127"/>
      <c r="B545" s="127"/>
      <c r="C545" s="127"/>
      <c r="D545" s="127"/>
      <c r="E545" s="127"/>
      <c r="F545" s="127"/>
      <c r="G545" s="127"/>
      <c r="H545" s="127"/>
      <c r="I545" s="127"/>
      <c r="J545" s="127"/>
      <c r="K545" s="127"/>
      <c r="L545" s="127"/>
      <c r="M545" s="127"/>
      <c r="N545" s="127"/>
      <c r="O545" s="127"/>
      <c r="P545" s="127"/>
      <c r="Q545" s="127"/>
      <c r="R545" s="127"/>
      <c r="S545" s="127"/>
      <c r="T545" s="127"/>
      <c r="U545" s="127"/>
      <c r="V545" s="127"/>
      <c r="W545" s="127"/>
      <c r="X545" s="127"/>
      <c r="Y545" s="127"/>
      <c r="Z545" s="127"/>
    </row>
    <row r="546" customFormat="false" ht="15.75" hidden="false" customHeight="false" outlineLevel="0" collapsed="false">
      <c r="A546" s="127"/>
      <c r="B546" s="127"/>
      <c r="C546" s="127"/>
      <c r="D546" s="127"/>
      <c r="E546" s="127"/>
      <c r="F546" s="127"/>
      <c r="G546" s="127"/>
      <c r="H546" s="127"/>
      <c r="I546" s="127"/>
      <c r="J546" s="127"/>
      <c r="K546" s="127"/>
      <c r="L546" s="127"/>
      <c r="M546" s="127"/>
      <c r="N546" s="127"/>
      <c r="O546" s="127"/>
      <c r="P546" s="127"/>
      <c r="Q546" s="127"/>
      <c r="R546" s="127"/>
      <c r="S546" s="127"/>
      <c r="T546" s="127"/>
      <c r="U546" s="127"/>
      <c r="V546" s="127"/>
      <c r="W546" s="127"/>
      <c r="X546" s="127"/>
      <c r="Y546" s="127"/>
      <c r="Z546" s="127"/>
    </row>
    <row r="547" customFormat="false" ht="15.75" hidden="false" customHeight="false" outlineLevel="0" collapsed="false">
      <c r="A547" s="127"/>
      <c r="B547" s="127"/>
      <c r="C547" s="127"/>
      <c r="D547" s="127"/>
      <c r="E547" s="127"/>
      <c r="F547" s="127"/>
      <c r="G547" s="127"/>
      <c r="H547" s="127"/>
      <c r="I547" s="127"/>
      <c r="J547" s="127"/>
      <c r="K547" s="127"/>
      <c r="L547" s="127"/>
      <c r="M547" s="127"/>
      <c r="N547" s="127"/>
      <c r="O547" s="127"/>
      <c r="P547" s="127"/>
      <c r="Q547" s="127"/>
      <c r="R547" s="127"/>
      <c r="S547" s="127"/>
      <c r="T547" s="127"/>
      <c r="U547" s="127"/>
      <c r="V547" s="127"/>
      <c r="W547" s="127"/>
      <c r="X547" s="127"/>
      <c r="Y547" s="127"/>
      <c r="Z547" s="127"/>
    </row>
    <row r="548" customFormat="false" ht="15.75" hidden="false" customHeight="false" outlineLevel="0" collapsed="false">
      <c r="A548" s="127"/>
      <c r="B548" s="127"/>
      <c r="C548" s="127"/>
      <c r="D548" s="127"/>
      <c r="E548" s="127"/>
      <c r="F548" s="127"/>
      <c r="G548" s="127"/>
      <c r="H548" s="127"/>
      <c r="I548" s="127"/>
      <c r="J548" s="127"/>
      <c r="K548" s="127"/>
      <c r="L548" s="127"/>
      <c r="M548" s="127"/>
      <c r="N548" s="127"/>
      <c r="O548" s="127"/>
      <c r="P548" s="127"/>
      <c r="Q548" s="127"/>
      <c r="R548" s="127"/>
      <c r="S548" s="127"/>
      <c r="T548" s="127"/>
      <c r="U548" s="127"/>
      <c r="V548" s="127"/>
      <c r="W548" s="127"/>
      <c r="X548" s="127"/>
      <c r="Y548" s="127"/>
      <c r="Z548" s="127"/>
    </row>
    <row r="549" customFormat="false" ht="15.75" hidden="false" customHeight="false" outlineLevel="0" collapsed="false">
      <c r="A549" s="127"/>
      <c r="B549" s="127"/>
      <c r="C549" s="127"/>
      <c r="D549" s="127"/>
      <c r="E549" s="127"/>
      <c r="F549" s="127"/>
      <c r="G549" s="127"/>
      <c r="H549" s="127"/>
      <c r="I549" s="127"/>
      <c r="J549" s="127"/>
      <c r="K549" s="127"/>
      <c r="L549" s="127"/>
      <c r="M549" s="127"/>
      <c r="N549" s="127"/>
      <c r="O549" s="127"/>
      <c r="P549" s="127"/>
      <c r="Q549" s="127"/>
      <c r="R549" s="127"/>
      <c r="S549" s="127"/>
      <c r="T549" s="127"/>
      <c r="U549" s="127"/>
      <c r="V549" s="127"/>
      <c r="W549" s="127"/>
      <c r="X549" s="127"/>
      <c r="Y549" s="127"/>
      <c r="Z549" s="127"/>
    </row>
    <row r="550" customFormat="false" ht="15.75" hidden="false" customHeight="false" outlineLevel="0" collapsed="false">
      <c r="A550" s="127"/>
      <c r="B550" s="127"/>
      <c r="C550" s="127"/>
      <c r="D550" s="127"/>
      <c r="E550" s="127"/>
      <c r="F550" s="127"/>
      <c r="G550" s="127"/>
      <c r="H550" s="127"/>
      <c r="I550" s="127"/>
      <c r="J550" s="127"/>
      <c r="K550" s="127"/>
      <c r="L550" s="127"/>
      <c r="M550" s="127"/>
      <c r="N550" s="127"/>
      <c r="O550" s="127"/>
      <c r="P550" s="127"/>
      <c r="Q550" s="127"/>
      <c r="R550" s="127"/>
      <c r="S550" s="127"/>
      <c r="T550" s="127"/>
      <c r="U550" s="127"/>
      <c r="V550" s="127"/>
      <c r="W550" s="127"/>
      <c r="X550" s="127"/>
      <c r="Y550" s="127"/>
      <c r="Z550" s="127"/>
    </row>
    <row r="551" customFormat="false" ht="15.75" hidden="false" customHeight="false" outlineLevel="0" collapsed="false">
      <c r="A551" s="127"/>
      <c r="B551" s="127"/>
      <c r="C551" s="127"/>
      <c r="D551" s="127"/>
      <c r="E551" s="127"/>
      <c r="F551" s="127"/>
      <c r="G551" s="127"/>
      <c r="H551" s="127"/>
      <c r="I551" s="127"/>
      <c r="J551" s="127"/>
      <c r="K551" s="127"/>
      <c r="L551" s="127"/>
      <c r="M551" s="127"/>
      <c r="N551" s="127"/>
      <c r="O551" s="127"/>
      <c r="P551" s="127"/>
      <c r="Q551" s="127"/>
      <c r="R551" s="127"/>
      <c r="S551" s="127"/>
      <c r="T551" s="127"/>
      <c r="U551" s="127"/>
      <c r="V551" s="127"/>
      <c r="W551" s="127"/>
      <c r="X551" s="127"/>
      <c r="Y551" s="127"/>
      <c r="Z551" s="127"/>
    </row>
    <row r="552" customFormat="false" ht="15.75" hidden="false" customHeight="false" outlineLevel="0" collapsed="false">
      <c r="A552" s="127"/>
      <c r="B552" s="127"/>
      <c r="C552" s="127"/>
      <c r="D552" s="127"/>
      <c r="E552" s="127"/>
      <c r="F552" s="127"/>
      <c r="G552" s="127"/>
      <c r="H552" s="127"/>
      <c r="I552" s="127"/>
      <c r="J552" s="127"/>
      <c r="K552" s="127"/>
      <c r="L552" s="127"/>
      <c r="M552" s="127"/>
      <c r="N552" s="127"/>
      <c r="O552" s="127"/>
      <c r="P552" s="127"/>
      <c r="Q552" s="127"/>
      <c r="R552" s="127"/>
      <c r="S552" s="127"/>
      <c r="T552" s="127"/>
      <c r="U552" s="127"/>
      <c r="V552" s="127"/>
      <c r="W552" s="127"/>
      <c r="X552" s="127"/>
      <c r="Y552" s="127"/>
      <c r="Z552" s="127"/>
    </row>
    <row r="553" customFormat="false" ht="15.75" hidden="false" customHeight="false" outlineLevel="0" collapsed="false">
      <c r="A553" s="127"/>
      <c r="B553" s="127"/>
      <c r="C553" s="127"/>
      <c r="D553" s="127"/>
      <c r="E553" s="127"/>
      <c r="F553" s="127"/>
      <c r="G553" s="127"/>
      <c r="H553" s="127"/>
      <c r="I553" s="127"/>
      <c r="J553" s="127"/>
      <c r="K553" s="127"/>
      <c r="L553" s="127"/>
      <c r="M553" s="127"/>
      <c r="N553" s="127"/>
      <c r="O553" s="127"/>
      <c r="P553" s="127"/>
      <c r="Q553" s="127"/>
      <c r="R553" s="127"/>
      <c r="S553" s="127"/>
      <c r="T553" s="127"/>
      <c r="U553" s="127"/>
      <c r="V553" s="127"/>
      <c r="W553" s="127"/>
      <c r="X553" s="127"/>
      <c r="Y553" s="127"/>
      <c r="Z553" s="127"/>
    </row>
    <row r="554" customFormat="false" ht="15.75" hidden="false" customHeight="false" outlineLevel="0" collapsed="false">
      <c r="A554" s="127"/>
      <c r="B554" s="127"/>
      <c r="C554" s="127"/>
      <c r="D554" s="127"/>
      <c r="E554" s="127"/>
      <c r="F554" s="127"/>
      <c r="G554" s="127"/>
      <c r="H554" s="127"/>
      <c r="I554" s="127"/>
      <c r="J554" s="127"/>
      <c r="K554" s="127"/>
      <c r="L554" s="127"/>
      <c r="M554" s="127"/>
      <c r="N554" s="127"/>
      <c r="O554" s="127"/>
      <c r="P554" s="127"/>
      <c r="Q554" s="127"/>
      <c r="R554" s="127"/>
      <c r="S554" s="127"/>
      <c r="T554" s="127"/>
      <c r="U554" s="127"/>
      <c r="V554" s="127"/>
      <c r="W554" s="127"/>
      <c r="X554" s="127"/>
      <c r="Y554" s="127"/>
      <c r="Z554" s="127"/>
    </row>
    <row r="555" customFormat="false" ht="15.75" hidden="false" customHeight="false" outlineLevel="0" collapsed="false">
      <c r="A555" s="127"/>
      <c r="B555" s="127"/>
      <c r="C555" s="127"/>
      <c r="D555" s="127"/>
      <c r="E555" s="127"/>
      <c r="F555" s="127"/>
      <c r="G555" s="127"/>
      <c r="H555" s="127"/>
      <c r="I555" s="127"/>
      <c r="J555" s="127"/>
      <c r="K555" s="127"/>
      <c r="L555" s="127"/>
      <c r="M555" s="127"/>
      <c r="N555" s="127"/>
      <c r="O555" s="127"/>
      <c r="P555" s="127"/>
      <c r="Q555" s="127"/>
      <c r="R555" s="127"/>
      <c r="S555" s="127"/>
      <c r="T555" s="127"/>
      <c r="U555" s="127"/>
      <c r="V555" s="127"/>
      <c r="W555" s="127"/>
      <c r="X555" s="127"/>
      <c r="Y555" s="127"/>
      <c r="Z555" s="127"/>
    </row>
    <row r="556" customFormat="false" ht="15.75" hidden="false" customHeight="false" outlineLevel="0" collapsed="false">
      <c r="A556" s="127"/>
      <c r="B556" s="127"/>
      <c r="C556" s="127"/>
      <c r="D556" s="127"/>
      <c r="E556" s="127"/>
      <c r="F556" s="127"/>
      <c r="G556" s="127"/>
      <c r="H556" s="127"/>
      <c r="I556" s="127"/>
      <c r="J556" s="127"/>
      <c r="K556" s="127"/>
      <c r="L556" s="127"/>
      <c r="M556" s="127"/>
      <c r="N556" s="127"/>
      <c r="O556" s="127"/>
      <c r="P556" s="127"/>
      <c r="Q556" s="127"/>
      <c r="R556" s="127"/>
      <c r="S556" s="127"/>
      <c r="T556" s="127"/>
      <c r="U556" s="127"/>
      <c r="V556" s="127"/>
      <c r="W556" s="127"/>
      <c r="X556" s="127"/>
      <c r="Y556" s="127"/>
      <c r="Z556" s="127"/>
    </row>
    <row r="557" customFormat="false" ht="15.75" hidden="false" customHeight="false" outlineLevel="0" collapsed="false">
      <c r="A557" s="127"/>
      <c r="B557" s="127"/>
      <c r="C557" s="127"/>
      <c r="D557" s="127"/>
      <c r="E557" s="127"/>
      <c r="F557" s="127"/>
      <c r="G557" s="127"/>
      <c r="H557" s="127"/>
      <c r="I557" s="127"/>
      <c r="J557" s="127"/>
      <c r="K557" s="127"/>
      <c r="L557" s="127"/>
      <c r="M557" s="127"/>
      <c r="N557" s="127"/>
      <c r="O557" s="127"/>
      <c r="P557" s="127"/>
      <c r="Q557" s="127"/>
      <c r="R557" s="127"/>
      <c r="S557" s="127"/>
      <c r="T557" s="127"/>
      <c r="U557" s="127"/>
      <c r="V557" s="127"/>
      <c r="W557" s="127"/>
      <c r="X557" s="127"/>
      <c r="Y557" s="127"/>
      <c r="Z557" s="127"/>
    </row>
    <row r="558" customFormat="false" ht="15.75" hidden="false" customHeight="false" outlineLevel="0" collapsed="false">
      <c r="A558" s="127"/>
      <c r="B558" s="127"/>
      <c r="C558" s="127"/>
      <c r="D558" s="127"/>
      <c r="E558" s="127"/>
      <c r="F558" s="127"/>
      <c r="G558" s="127"/>
      <c r="H558" s="127"/>
      <c r="I558" s="127"/>
      <c r="J558" s="127"/>
      <c r="K558" s="127"/>
      <c r="L558" s="127"/>
      <c r="M558" s="127"/>
      <c r="N558" s="127"/>
      <c r="O558" s="127"/>
      <c r="P558" s="127"/>
      <c r="Q558" s="127"/>
      <c r="R558" s="127"/>
      <c r="S558" s="127"/>
      <c r="T558" s="127"/>
      <c r="U558" s="127"/>
      <c r="V558" s="127"/>
      <c r="W558" s="127"/>
      <c r="X558" s="127"/>
      <c r="Y558" s="127"/>
      <c r="Z558" s="127"/>
    </row>
    <row r="559" customFormat="false" ht="15.75" hidden="false" customHeight="false" outlineLevel="0" collapsed="false">
      <c r="A559" s="127"/>
      <c r="B559" s="127"/>
      <c r="C559" s="127"/>
      <c r="D559" s="127"/>
      <c r="E559" s="127"/>
      <c r="F559" s="127"/>
      <c r="G559" s="127"/>
      <c r="H559" s="127"/>
      <c r="I559" s="127"/>
      <c r="J559" s="127"/>
      <c r="K559" s="127"/>
      <c r="L559" s="127"/>
      <c r="M559" s="127"/>
      <c r="N559" s="127"/>
      <c r="O559" s="127"/>
      <c r="P559" s="127"/>
      <c r="Q559" s="127"/>
      <c r="R559" s="127"/>
      <c r="S559" s="127"/>
      <c r="T559" s="127"/>
      <c r="U559" s="127"/>
      <c r="V559" s="127"/>
      <c r="W559" s="127"/>
      <c r="X559" s="127"/>
      <c r="Y559" s="127"/>
      <c r="Z559" s="127"/>
    </row>
    <row r="560" customFormat="false" ht="15.75" hidden="false" customHeight="false" outlineLevel="0" collapsed="false">
      <c r="A560" s="127"/>
      <c r="B560" s="127"/>
      <c r="C560" s="127"/>
      <c r="D560" s="127"/>
      <c r="E560" s="127"/>
      <c r="F560" s="127"/>
      <c r="G560" s="127"/>
      <c r="H560" s="127"/>
      <c r="I560" s="127"/>
      <c r="J560" s="127"/>
      <c r="K560" s="127"/>
      <c r="L560" s="127"/>
      <c r="M560" s="127"/>
      <c r="N560" s="127"/>
      <c r="O560" s="127"/>
      <c r="P560" s="127"/>
      <c r="Q560" s="127"/>
      <c r="R560" s="127"/>
      <c r="S560" s="127"/>
      <c r="T560" s="127"/>
      <c r="U560" s="127"/>
      <c r="V560" s="127"/>
      <c r="W560" s="127"/>
      <c r="X560" s="127"/>
      <c r="Y560" s="127"/>
      <c r="Z560" s="127"/>
    </row>
    <row r="561" customFormat="false" ht="15.75" hidden="false" customHeight="false" outlineLevel="0" collapsed="false">
      <c r="A561" s="127"/>
      <c r="B561" s="127"/>
      <c r="C561" s="127"/>
      <c r="D561" s="127"/>
      <c r="E561" s="127"/>
      <c r="F561" s="127"/>
      <c r="G561" s="127"/>
      <c r="H561" s="127"/>
      <c r="I561" s="127"/>
      <c r="J561" s="127"/>
      <c r="K561" s="127"/>
      <c r="L561" s="127"/>
      <c r="M561" s="127"/>
      <c r="N561" s="127"/>
      <c r="O561" s="127"/>
      <c r="P561" s="127"/>
      <c r="Q561" s="127"/>
      <c r="R561" s="127"/>
      <c r="S561" s="127"/>
      <c r="T561" s="127"/>
      <c r="U561" s="127"/>
      <c r="V561" s="127"/>
      <c r="W561" s="127"/>
      <c r="X561" s="127"/>
      <c r="Y561" s="127"/>
      <c r="Z561" s="127"/>
    </row>
    <row r="562" customFormat="false" ht="15.75" hidden="false" customHeight="false" outlineLevel="0" collapsed="false">
      <c r="A562" s="127"/>
      <c r="B562" s="127"/>
      <c r="C562" s="127"/>
      <c r="D562" s="127"/>
      <c r="E562" s="127"/>
      <c r="F562" s="127"/>
      <c r="G562" s="127"/>
      <c r="H562" s="127"/>
      <c r="I562" s="127"/>
      <c r="J562" s="127"/>
      <c r="K562" s="127"/>
      <c r="L562" s="127"/>
      <c r="M562" s="127"/>
      <c r="N562" s="127"/>
      <c r="O562" s="127"/>
      <c r="P562" s="127"/>
      <c r="Q562" s="127"/>
      <c r="R562" s="127"/>
      <c r="S562" s="127"/>
      <c r="T562" s="127"/>
      <c r="U562" s="127"/>
      <c r="V562" s="127"/>
      <c r="W562" s="127"/>
      <c r="X562" s="127"/>
      <c r="Y562" s="127"/>
      <c r="Z562" s="127"/>
    </row>
    <row r="563" customFormat="false" ht="15.75" hidden="false" customHeight="false" outlineLevel="0" collapsed="false">
      <c r="A563" s="127"/>
      <c r="B563" s="127"/>
      <c r="C563" s="127"/>
      <c r="D563" s="127"/>
      <c r="E563" s="127"/>
      <c r="F563" s="127"/>
      <c r="G563" s="127"/>
      <c r="H563" s="127"/>
      <c r="I563" s="127"/>
      <c r="J563" s="127"/>
      <c r="K563" s="127"/>
      <c r="L563" s="127"/>
      <c r="M563" s="127"/>
      <c r="N563" s="127"/>
      <c r="O563" s="127"/>
      <c r="P563" s="127"/>
      <c r="Q563" s="127"/>
      <c r="R563" s="127"/>
      <c r="S563" s="127"/>
      <c r="T563" s="127"/>
      <c r="U563" s="127"/>
      <c r="V563" s="127"/>
      <c r="W563" s="127"/>
      <c r="X563" s="127"/>
      <c r="Y563" s="127"/>
      <c r="Z563" s="127"/>
    </row>
    <row r="564" customFormat="false" ht="15.75" hidden="false" customHeight="false" outlineLevel="0" collapsed="false">
      <c r="A564" s="127"/>
      <c r="B564" s="127"/>
      <c r="C564" s="127"/>
      <c r="D564" s="127"/>
      <c r="E564" s="127"/>
      <c r="F564" s="127"/>
      <c r="G564" s="127"/>
      <c r="H564" s="127"/>
      <c r="I564" s="127"/>
      <c r="J564" s="127"/>
      <c r="K564" s="127"/>
      <c r="L564" s="127"/>
      <c r="M564" s="127"/>
      <c r="N564" s="127"/>
      <c r="O564" s="127"/>
      <c r="P564" s="127"/>
      <c r="Q564" s="127"/>
      <c r="R564" s="127"/>
      <c r="S564" s="127"/>
      <c r="T564" s="127"/>
      <c r="U564" s="127"/>
      <c r="V564" s="127"/>
      <c r="W564" s="127"/>
      <c r="X564" s="127"/>
      <c r="Y564" s="127"/>
      <c r="Z564" s="127"/>
    </row>
    <row r="565" customFormat="false" ht="15.75" hidden="false" customHeight="false" outlineLevel="0" collapsed="false">
      <c r="A565" s="127"/>
      <c r="B565" s="127"/>
      <c r="C565" s="127"/>
      <c r="D565" s="127"/>
      <c r="E565" s="127"/>
      <c r="F565" s="127"/>
      <c r="G565" s="127"/>
      <c r="H565" s="127"/>
      <c r="I565" s="127"/>
      <c r="J565" s="127"/>
      <c r="K565" s="127"/>
      <c r="L565" s="127"/>
      <c r="M565" s="127"/>
      <c r="N565" s="127"/>
      <c r="O565" s="127"/>
      <c r="P565" s="127"/>
      <c r="Q565" s="127"/>
      <c r="R565" s="127"/>
      <c r="S565" s="127"/>
      <c r="T565" s="127"/>
      <c r="U565" s="127"/>
      <c r="V565" s="127"/>
      <c r="W565" s="127"/>
      <c r="X565" s="127"/>
      <c r="Y565" s="127"/>
      <c r="Z565" s="127"/>
    </row>
    <row r="566" customFormat="false" ht="15.75" hidden="false" customHeight="false" outlineLevel="0" collapsed="false">
      <c r="A566" s="127"/>
      <c r="B566" s="127"/>
      <c r="C566" s="127"/>
      <c r="D566" s="127"/>
      <c r="E566" s="127"/>
      <c r="F566" s="127"/>
      <c r="G566" s="127"/>
      <c r="H566" s="127"/>
      <c r="I566" s="127"/>
      <c r="J566" s="127"/>
      <c r="K566" s="127"/>
      <c r="L566" s="127"/>
      <c r="M566" s="127"/>
      <c r="N566" s="127"/>
      <c r="O566" s="127"/>
      <c r="P566" s="127"/>
      <c r="Q566" s="127"/>
      <c r="R566" s="127"/>
      <c r="S566" s="127"/>
      <c r="T566" s="127"/>
      <c r="U566" s="127"/>
      <c r="V566" s="127"/>
      <c r="W566" s="127"/>
      <c r="X566" s="127"/>
      <c r="Y566" s="127"/>
      <c r="Z566" s="127"/>
    </row>
    <row r="567" customFormat="false" ht="15.75" hidden="false" customHeight="false" outlineLevel="0" collapsed="false">
      <c r="A567" s="127"/>
      <c r="B567" s="127"/>
      <c r="C567" s="127"/>
      <c r="D567" s="127"/>
      <c r="E567" s="127"/>
      <c r="F567" s="127"/>
      <c r="G567" s="127"/>
      <c r="H567" s="127"/>
      <c r="I567" s="127"/>
      <c r="J567" s="127"/>
      <c r="K567" s="127"/>
      <c r="L567" s="127"/>
      <c r="M567" s="127"/>
      <c r="N567" s="127"/>
      <c r="O567" s="127"/>
      <c r="P567" s="127"/>
      <c r="Q567" s="127"/>
      <c r="R567" s="127"/>
      <c r="S567" s="127"/>
      <c r="T567" s="127"/>
      <c r="U567" s="127"/>
      <c r="V567" s="127"/>
      <c r="W567" s="127"/>
      <c r="X567" s="127"/>
      <c r="Y567" s="127"/>
      <c r="Z567" s="127"/>
    </row>
    <row r="568" customFormat="false" ht="15.75" hidden="false" customHeight="false" outlineLevel="0" collapsed="false">
      <c r="A568" s="127"/>
      <c r="B568" s="127"/>
      <c r="C568" s="127"/>
      <c r="D568" s="127"/>
      <c r="E568" s="127"/>
      <c r="F568" s="127"/>
      <c r="G568" s="127"/>
      <c r="H568" s="127"/>
      <c r="I568" s="127"/>
      <c r="J568" s="127"/>
      <c r="K568" s="127"/>
      <c r="L568" s="127"/>
      <c r="M568" s="127"/>
      <c r="N568" s="127"/>
      <c r="O568" s="127"/>
      <c r="P568" s="127"/>
      <c r="Q568" s="127"/>
      <c r="R568" s="127"/>
      <c r="S568" s="127"/>
      <c r="T568" s="127"/>
      <c r="U568" s="127"/>
      <c r="V568" s="127"/>
      <c r="W568" s="127"/>
      <c r="X568" s="127"/>
      <c r="Y568" s="127"/>
      <c r="Z568" s="127"/>
    </row>
    <row r="569" customFormat="false" ht="15.75" hidden="false" customHeight="false" outlineLevel="0" collapsed="false">
      <c r="A569" s="127"/>
      <c r="B569" s="127"/>
      <c r="C569" s="127"/>
      <c r="D569" s="127"/>
      <c r="E569" s="127"/>
      <c r="F569" s="127"/>
      <c r="G569" s="127"/>
      <c r="H569" s="127"/>
      <c r="I569" s="127"/>
      <c r="J569" s="127"/>
      <c r="K569" s="127"/>
      <c r="L569" s="127"/>
      <c r="M569" s="127"/>
      <c r="N569" s="127"/>
      <c r="O569" s="127"/>
      <c r="P569" s="127"/>
      <c r="Q569" s="127"/>
      <c r="R569" s="127"/>
      <c r="S569" s="127"/>
      <c r="T569" s="127"/>
      <c r="U569" s="127"/>
      <c r="V569" s="127"/>
      <c r="W569" s="127"/>
      <c r="X569" s="127"/>
      <c r="Y569" s="127"/>
      <c r="Z569" s="127"/>
    </row>
    <row r="570" customFormat="false" ht="15.75" hidden="false" customHeight="false" outlineLevel="0" collapsed="false">
      <c r="A570" s="127"/>
      <c r="B570" s="127"/>
      <c r="C570" s="127"/>
      <c r="D570" s="127"/>
      <c r="E570" s="127"/>
      <c r="F570" s="127"/>
      <c r="G570" s="127"/>
      <c r="H570" s="127"/>
      <c r="I570" s="127"/>
      <c r="J570" s="127"/>
      <c r="K570" s="127"/>
      <c r="L570" s="127"/>
      <c r="M570" s="127"/>
      <c r="N570" s="127"/>
      <c r="O570" s="127"/>
      <c r="P570" s="127"/>
      <c r="Q570" s="127"/>
      <c r="R570" s="127"/>
      <c r="S570" s="127"/>
      <c r="T570" s="127"/>
      <c r="U570" s="127"/>
      <c r="V570" s="127"/>
      <c r="W570" s="127"/>
      <c r="X570" s="127"/>
      <c r="Y570" s="127"/>
      <c r="Z570" s="127"/>
    </row>
    <row r="571" customFormat="false" ht="15.75" hidden="false" customHeight="false" outlineLevel="0" collapsed="false">
      <c r="A571" s="127"/>
      <c r="B571" s="127"/>
      <c r="C571" s="127"/>
      <c r="D571" s="127"/>
      <c r="E571" s="127"/>
      <c r="F571" s="127"/>
      <c r="G571" s="127"/>
      <c r="H571" s="127"/>
      <c r="I571" s="127"/>
      <c r="J571" s="127"/>
      <c r="K571" s="127"/>
      <c r="L571" s="127"/>
      <c r="M571" s="127"/>
      <c r="N571" s="127"/>
      <c r="O571" s="127"/>
      <c r="P571" s="127"/>
      <c r="Q571" s="127"/>
      <c r="R571" s="127"/>
      <c r="S571" s="127"/>
      <c r="T571" s="127"/>
      <c r="U571" s="127"/>
      <c r="V571" s="127"/>
      <c r="W571" s="127"/>
      <c r="X571" s="127"/>
      <c r="Y571" s="127"/>
      <c r="Z571" s="127"/>
    </row>
    <row r="572" customFormat="false" ht="15.75" hidden="false" customHeight="false" outlineLevel="0" collapsed="false">
      <c r="A572" s="127"/>
      <c r="B572" s="127"/>
      <c r="C572" s="127"/>
      <c r="D572" s="127"/>
      <c r="E572" s="127"/>
      <c r="F572" s="127"/>
      <c r="G572" s="127"/>
      <c r="H572" s="127"/>
      <c r="I572" s="127"/>
      <c r="J572" s="127"/>
      <c r="K572" s="127"/>
      <c r="L572" s="127"/>
      <c r="M572" s="127"/>
      <c r="N572" s="127"/>
      <c r="O572" s="127"/>
      <c r="P572" s="127"/>
      <c r="Q572" s="127"/>
      <c r="R572" s="127"/>
      <c r="S572" s="127"/>
      <c r="T572" s="127"/>
      <c r="U572" s="127"/>
      <c r="V572" s="127"/>
      <c r="W572" s="127"/>
      <c r="X572" s="127"/>
      <c r="Y572" s="127"/>
      <c r="Z572" s="127"/>
    </row>
    <row r="573" customFormat="false" ht="15.75" hidden="false" customHeight="false" outlineLevel="0" collapsed="false">
      <c r="A573" s="127"/>
      <c r="B573" s="127"/>
      <c r="C573" s="127"/>
      <c r="D573" s="127"/>
      <c r="E573" s="127"/>
      <c r="F573" s="127"/>
      <c r="G573" s="127"/>
      <c r="H573" s="127"/>
      <c r="I573" s="127"/>
      <c r="J573" s="127"/>
      <c r="K573" s="127"/>
      <c r="L573" s="127"/>
      <c r="M573" s="127"/>
      <c r="N573" s="127"/>
      <c r="O573" s="127"/>
      <c r="P573" s="127"/>
      <c r="Q573" s="127"/>
      <c r="R573" s="127"/>
      <c r="S573" s="127"/>
      <c r="T573" s="127"/>
      <c r="U573" s="127"/>
      <c r="V573" s="127"/>
      <c r="W573" s="127"/>
      <c r="X573" s="127"/>
      <c r="Y573" s="127"/>
      <c r="Z573" s="127"/>
    </row>
    <row r="574" customFormat="false" ht="15.75" hidden="false" customHeight="false" outlineLevel="0" collapsed="false">
      <c r="A574" s="127"/>
      <c r="B574" s="127"/>
      <c r="C574" s="127"/>
      <c r="D574" s="127"/>
      <c r="E574" s="127"/>
      <c r="F574" s="127"/>
      <c r="G574" s="127"/>
      <c r="H574" s="127"/>
      <c r="I574" s="127"/>
      <c r="J574" s="127"/>
      <c r="K574" s="127"/>
      <c r="L574" s="127"/>
      <c r="M574" s="127"/>
      <c r="N574" s="127"/>
      <c r="O574" s="127"/>
      <c r="P574" s="127"/>
      <c r="Q574" s="127"/>
      <c r="R574" s="127"/>
      <c r="S574" s="127"/>
      <c r="T574" s="127"/>
      <c r="U574" s="127"/>
      <c r="V574" s="127"/>
      <c r="W574" s="127"/>
      <c r="X574" s="127"/>
      <c r="Y574" s="127"/>
      <c r="Z574" s="127"/>
    </row>
    <row r="575" customFormat="false" ht="15.75" hidden="false" customHeight="false" outlineLevel="0" collapsed="false">
      <c r="A575" s="127"/>
      <c r="B575" s="127"/>
      <c r="C575" s="127"/>
      <c r="D575" s="127"/>
      <c r="E575" s="127"/>
      <c r="F575" s="127"/>
      <c r="G575" s="127"/>
      <c r="H575" s="127"/>
      <c r="I575" s="127"/>
      <c r="J575" s="127"/>
      <c r="K575" s="127"/>
      <c r="L575" s="127"/>
      <c r="M575" s="127"/>
      <c r="N575" s="127"/>
      <c r="O575" s="127"/>
      <c r="P575" s="127"/>
      <c r="Q575" s="127"/>
      <c r="R575" s="127"/>
      <c r="S575" s="127"/>
      <c r="T575" s="127"/>
      <c r="U575" s="127"/>
      <c r="V575" s="127"/>
      <c r="W575" s="127"/>
      <c r="X575" s="127"/>
      <c r="Y575" s="127"/>
      <c r="Z575" s="127"/>
    </row>
    <row r="576" customFormat="false" ht="15.75" hidden="false" customHeight="false" outlineLevel="0" collapsed="false">
      <c r="A576" s="127"/>
      <c r="B576" s="127"/>
      <c r="C576" s="127"/>
      <c r="D576" s="127"/>
      <c r="E576" s="127"/>
      <c r="F576" s="127"/>
      <c r="G576" s="127"/>
      <c r="H576" s="127"/>
      <c r="I576" s="127"/>
      <c r="J576" s="127"/>
      <c r="K576" s="127"/>
      <c r="L576" s="127"/>
      <c r="M576" s="127"/>
      <c r="N576" s="127"/>
      <c r="O576" s="127"/>
      <c r="P576" s="127"/>
      <c r="Q576" s="127"/>
      <c r="R576" s="127"/>
      <c r="S576" s="127"/>
      <c r="T576" s="127"/>
      <c r="U576" s="127"/>
      <c r="V576" s="127"/>
      <c r="W576" s="127"/>
      <c r="X576" s="127"/>
      <c r="Y576" s="127"/>
      <c r="Z576" s="127"/>
    </row>
    <row r="577" customFormat="false" ht="15.75" hidden="false" customHeight="false" outlineLevel="0" collapsed="false">
      <c r="A577" s="127"/>
      <c r="B577" s="127"/>
      <c r="C577" s="127"/>
      <c r="D577" s="127"/>
      <c r="E577" s="127"/>
      <c r="F577" s="127"/>
      <c r="G577" s="127"/>
      <c r="H577" s="127"/>
      <c r="I577" s="127"/>
      <c r="J577" s="127"/>
      <c r="K577" s="127"/>
      <c r="L577" s="127"/>
      <c r="M577" s="127"/>
      <c r="N577" s="127"/>
      <c r="O577" s="127"/>
      <c r="P577" s="127"/>
      <c r="Q577" s="127"/>
      <c r="R577" s="127"/>
      <c r="S577" s="127"/>
      <c r="T577" s="127"/>
      <c r="U577" s="127"/>
      <c r="V577" s="127"/>
      <c r="W577" s="127"/>
      <c r="X577" s="127"/>
      <c r="Y577" s="127"/>
      <c r="Z577" s="127"/>
    </row>
    <row r="578" customFormat="false" ht="15.75" hidden="false" customHeight="false" outlineLevel="0" collapsed="false">
      <c r="A578" s="127"/>
      <c r="B578" s="127"/>
      <c r="C578" s="127"/>
      <c r="D578" s="127"/>
      <c r="E578" s="127"/>
      <c r="F578" s="127"/>
      <c r="G578" s="127"/>
      <c r="H578" s="127"/>
      <c r="I578" s="127"/>
      <c r="J578" s="127"/>
      <c r="K578" s="127"/>
      <c r="L578" s="127"/>
      <c r="M578" s="127"/>
      <c r="N578" s="127"/>
      <c r="O578" s="127"/>
      <c r="P578" s="127"/>
      <c r="Q578" s="127"/>
      <c r="R578" s="127"/>
      <c r="S578" s="127"/>
      <c r="T578" s="127"/>
      <c r="U578" s="127"/>
      <c r="V578" s="127"/>
      <c r="W578" s="127"/>
      <c r="X578" s="127"/>
      <c r="Y578" s="127"/>
      <c r="Z578" s="127"/>
    </row>
    <row r="579" customFormat="false" ht="15.75" hidden="false" customHeight="false" outlineLevel="0" collapsed="false">
      <c r="A579" s="127"/>
      <c r="B579" s="127"/>
      <c r="C579" s="127"/>
      <c r="D579" s="127"/>
      <c r="E579" s="127"/>
      <c r="F579" s="127"/>
      <c r="G579" s="127"/>
      <c r="H579" s="127"/>
      <c r="I579" s="127"/>
      <c r="J579" s="127"/>
      <c r="K579" s="127"/>
      <c r="L579" s="127"/>
      <c r="M579" s="127"/>
      <c r="N579" s="127"/>
      <c r="O579" s="127"/>
      <c r="P579" s="127"/>
      <c r="Q579" s="127"/>
      <c r="R579" s="127"/>
      <c r="S579" s="127"/>
      <c r="T579" s="127"/>
      <c r="U579" s="127"/>
      <c r="V579" s="127"/>
      <c r="W579" s="127"/>
      <c r="X579" s="127"/>
      <c r="Y579" s="127"/>
      <c r="Z579" s="127"/>
    </row>
    <row r="580" customFormat="false" ht="15.75" hidden="false" customHeight="false" outlineLevel="0" collapsed="false">
      <c r="A580" s="127"/>
      <c r="B580" s="127"/>
      <c r="C580" s="127"/>
      <c r="D580" s="127"/>
      <c r="E580" s="127"/>
      <c r="F580" s="127"/>
      <c r="G580" s="127"/>
      <c r="H580" s="127"/>
      <c r="I580" s="127"/>
      <c r="J580" s="127"/>
      <c r="K580" s="127"/>
      <c r="L580" s="127"/>
      <c r="M580" s="127"/>
      <c r="N580" s="127"/>
      <c r="O580" s="127"/>
      <c r="P580" s="127"/>
      <c r="Q580" s="127"/>
      <c r="R580" s="127"/>
      <c r="S580" s="127"/>
      <c r="T580" s="127"/>
      <c r="U580" s="127"/>
      <c r="V580" s="127"/>
      <c r="W580" s="127"/>
      <c r="X580" s="127"/>
      <c r="Y580" s="127"/>
      <c r="Z580" s="127"/>
    </row>
    <row r="581" customFormat="false" ht="15.75" hidden="false" customHeight="false" outlineLevel="0" collapsed="false">
      <c r="A581" s="127"/>
      <c r="B581" s="127"/>
      <c r="C581" s="127"/>
      <c r="D581" s="127"/>
      <c r="E581" s="127"/>
      <c r="F581" s="127"/>
      <c r="G581" s="127"/>
      <c r="H581" s="127"/>
      <c r="I581" s="127"/>
      <c r="J581" s="127"/>
      <c r="K581" s="127"/>
      <c r="L581" s="127"/>
      <c r="M581" s="127"/>
      <c r="N581" s="127"/>
      <c r="O581" s="127"/>
      <c r="P581" s="127"/>
      <c r="Q581" s="127"/>
      <c r="R581" s="127"/>
      <c r="S581" s="127"/>
      <c r="T581" s="127"/>
      <c r="U581" s="127"/>
      <c r="V581" s="127"/>
      <c r="W581" s="127"/>
      <c r="X581" s="127"/>
      <c r="Y581" s="127"/>
      <c r="Z581" s="127"/>
    </row>
    <row r="582" customFormat="false" ht="15.75" hidden="false" customHeight="false" outlineLevel="0" collapsed="false">
      <c r="A582" s="127"/>
      <c r="B582" s="127"/>
      <c r="C582" s="127"/>
      <c r="D582" s="127"/>
      <c r="E582" s="127"/>
      <c r="F582" s="127"/>
      <c r="G582" s="127"/>
      <c r="H582" s="127"/>
      <c r="I582" s="127"/>
      <c r="J582" s="127"/>
      <c r="K582" s="127"/>
      <c r="L582" s="127"/>
      <c r="M582" s="127"/>
      <c r="N582" s="127"/>
      <c r="O582" s="127"/>
      <c r="P582" s="127"/>
      <c r="Q582" s="127"/>
      <c r="R582" s="127"/>
      <c r="S582" s="127"/>
      <c r="T582" s="127"/>
      <c r="U582" s="127"/>
      <c r="V582" s="127"/>
      <c r="W582" s="127"/>
      <c r="X582" s="127"/>
      <c r="Y582" s="127"/>
      <c r="Z582" s="127"/>
    </row>
    <row r="583" customFormat="false" ht="15.75" hidden="false" customHeight="false" outlineLevel="0" collapsed="false">
      <c r="A583" s="127"/>
      <c r="B583" s="127"/>
      <c r="C583" s="127"/>
      <c r="D583" s="127"/>
      <c r="E583" s="127"/>
      <c r="F583" s="127"/>
      <c r="G583" s="127"/>
      <c r="H583" s="127"/>
      <c r="I583" s="127"/>
      <c r="J583" s="127"/>
      <c r="K583" s="127"/>
      <c r="L583" s="127"/>
      <c r="M583" s="127"/>
      <c r="N583" s="127"/>
      <c r="O583" s="127"/>
      <c r="P583" s="127"/>
      <c r="Q583" s="127"/>
      <c r="R583" s="127"/>
      <c r="S583" s="127"/>
      <c r="T583" s="127"/>
      <c r="U583" s="127"/>
      <c r="V583" s="127"/>
      <c r="W583" s="127"/>
      <c r="X583" s="127"/>
      <c r="Y583" s="127"/>
      <c r="Z583" s="127"/>
    </row>
    <row r="584" customFormat="false" ht="15.75" hidden="false" customHeight="false" outlineLevel="0" collapsed="false">
      <c r="A584" s="127"/>
      <c r="B584" s="127"/>
      <c r="C584" s="127"/>
      <c r="D584" s="127"/>
      <c r="E584" s="127"/>
      <c r="F584" s="127"/>
      <c r="G584" s="127"/>
      <c r="H584" s="127"/>
      <c r="I584" s="127"/>
      <c r="J584" s="127"/>
      <c r="K584" s="127"/>
      <c r="L584" s="127"/>
      <c r="M584" s="127"/>
      <c r="N584" s="127"/>
      <c r="O584" s="127"/>
      <c r="P584" s="127"/>
      <c r="Q584" s="127"/>
      <c r="R584" s="127"/>
      <c r="S584" s="127"/>
      <c r="T584" s="127"/>
      <c r="U584" s="127"/>
      <c r="V584" s="127"/>
      <c r="W584" s="127"/>
      <c r="X584" s="127"/>
      <c r="Y584" s="127"/>
      <c r="Z584" s="127"/>
    </row>
    <row r="585" customFormat="false" ht="15.75" hidden="false" customHeight="false" outlineLevel="0" collapsed="false">
      <c r="A585" s="127"/>
      <c r="B585" s="127"/>
      <c r="C585" s="127"/>
      <c r="D585" s="127"/>
      <c r="E585" s="127"/>
      <c r="F585" s="127"/>
      <c r="G585" s="127"/>
      <c r="H585" s="127"/>
      <c r="I585" s="127"/>
      <c r="J585" s="127"/>
      <c r="K585" s="127"/>
      <c r="L585" s="127"/>
      <c r="M585" s="127"/>
      <c r="N585" s="127"/>
      <c r="O585" s="127"/>
      <c r="P585" s="127"/>
      <c r="Q585" s="127"/>
      <c r="R585" s="127"/>
      <c r="S585" s="127"/>
      <c r="T585" s="127"/>
      <c r="U585" s="127"/>
      <c r="V585" s="127"/>
      <c r="W585" s="127"/>
      <c r="X585" s="127"/>
      <c r="Y585" s="127"/>
      <c r="Z585" s="127"/>
    </row>
    <row r="586" customFormat="false" ht="15.75" hidden="false" customHeight="false" outlineLevel="0" collapsed="false">
      <c r="A586" s="127"/>
      <c r="B586" s="127"/>
      <c r="C586" s="127"/>
      <c r="D586" s="127"/>
      <c r="E586" s="127"/>
      <c r="F586" s="127"/>
      <c r="G586" s="127"/>
      <c r="H586" s="127"/>
      <c r="I586" s="127"/>
      <c r="J586" s="127"/>
      <c r="K586" s="127"/>
      <c r="L586" s="127"/>
      <c r="M586" s="127"/>
      <c r="N586" s="127"/>
      <c r="O586" s="127"/>
      <c r="P586" s="127"/>
      <c r="Q586" s="127"/>
      <c r="R586" s="127"/>
      <c r="S586" s="127"/>
      <c r="T586" s="127"/>
      <c r="U586" s="127"/>
      <c r="V586" s="127"/>
      <c r="W586" s="127"/>
      <c r="X586" s="127"/>
      <c r="Y586" s="127"/>
      <c r="Z586" s="127"/>
    </row>
    <row r="587" customFormat="false" ht="15.75" hidden="false" customHeight="false" outlineLevel="0" collapsed="false">
      <c r="A587" s="127"/>
      <c r="B587" s="127"/>
      <c r="C587" s="127"/>
      <c r="D587" s="127"/>
      <c r="E587" s="127"/>
      <c r="F587" s="127"/>
      <c r="G587" s="127"/>
      <c r="H587" s="127"/>
      <c r="I587" s="127"/>
      <c r="J587" s="127"/>
      <c r="K587" s="127"/>
      <c r="L587" s="127"/>
      <c r="M587" s="127"/>
      <c r="N587" s="127"/>
      <c r="O587" s="127"/>
      <c r="P587" s="127"/>
      <c r="Q587" s="127"/>
      <c r="R587" s="127"/>
      <c r="S587" s="127"/>
      <c r="T587" s="127"/>
      <c r="U587" s="127"/>
      <c r="V587" s="127"/>
      <c r="W587" s="127"/>
      <c r="X587" s="127"/>
      <c r="Y587" s="127"/>
      <c r="Z587" s="127"/>
    </row>
    <row r="588" customFormat="false" ht="15.75" hidden="false" customHeight="false" outlineLevel="0" collapsed="false">
      <c r="A588" s="127"/>
      <c r="B588" s="127"/>
      <c r="C588" s="127"/>
      <c r="D588" s="127"/>
      <c r="E588" s="127"/>
      <c r="F588" s="127"/>
      <c r="G588" s="127"/>
      <c r="H588" s="127"/>
      <c r="I588" s="127"/>
      <c r="J588" s="127"/>
      <c r="K588" s="127"/>
      <c r="L588" s="127"/>
      <c r="M588" s="127"/>
      <c r="N588" s="127"/>
      <c r="O588" s="127"/>
      <c r="P588" s="127"/>
      <c r="Q588" s="127"/>
      <c r="R588" s="127"/>
      <c r="S588" s="127"/>
      <c r="T588" s="127"/>
      <c r="U588" s="127"/>
      <c r="V588" s="127"/>
      <c r="W588" s="127"/>
      <c r="X588" s="127"/>
      <c r="Y588" s="127"/>
      <c r="Z588" s="127"/>
    </row>
    <row r="589" customFormat="false" ht="15.75" hidden="false" customHeight="false" outlineLevel="0" collapsed="false">
      <c r="A589" s="127"/>
      <c r="B589" s="127"/>
      <c r="C589" s="127"/>
      <c r="D589" s="127"/>
      <c r="E589" s="127"/>
      <c r="F589" s="127"/>
      <c r="G589" s="127"/>
      <c r="H589" s="127"/>
      <c r="I589" s="127"/>
      <c r="J589" s="127"/>
      <c r="K589" s="127"/>
      <c r="L589" s="127"/>
      <c r="M589" s="127"/>
      <c r="N589" s="127"/>
      <c r="O589" s="127"/>
      <c r="P589" s="127"/>
      <c r="Q589" s="127"/>
      <c r="R589" s="127"/>
      <c r="S589" s="127"/>
      <c r="T589" s="127"/>
      <c r="U589" s="127"/>
      <c r="V589" s="127"/>
      <c r="W589" s="127"/>
      <c r="X589" s="127"/>
      <c r="Y589" s="127"/>
      <c r="Z589" s="127"/>
    </row>
    <row r="590" customFormat="false" ht="15.75" hidden="false" customHeight="false" outlineLevel="0" collapsed="false">
      <c r="A590" s="127"/>
      <c r="B590" s="127"/>
      <c r="C590" s="127"/>
      <c r="D590" s="127"/>
      <c r="E590" s="127"/>
      <c r="F590" s="127"/>
      <c r="G590" s="127"/>
      <c r="H590" s="127"/>
      <c r="I590" s="127"/>
      <c r="J590" s="127"/>
      <c r="K590" s="127"/>
      <c r="L590" s="127"/>
      <c r="M590" s="127"/>
      <c r="N590" s="127"/>
      <c r="O590" s="127"/>
      <c r="P590" s="127"/>
      <c r="Q590" s="127"/>
      <c r="R590" s="127"/>
      <c r="S590" s="127"/>
      <c r="T590" s="127"/>
      <c r="U590" s="127"/>
      <c r="V590" s="127"/>
      <c r="W590" s="127"/>
      <c r="X590" s="127"/>
      <c r="Y590" s="127"/>
      <c r="Z590" s="127"/>
    </row>
    <row r="591" customFormat="false" ht="15.75" hidden="false" customHeight="false" outlineLevel="0" collapsed="false">
      <c r="A591" s="127"/>
      <c r="B591" s="127"/>
      <c r="C591" s="127"/>
      <c r="D591" s="127"/>
      <c r="E591" s="127"/>
      <c r="F591" s="127"/>
      <c r="G591" s="127"/>
      <c r="H591" s="127"/>
      <c r="I591" s="127"/>
      <c r="J591" s="127"/>
      <c r="K591" s="127"/>
      <c r="L591" s="127"/>
      <c r="M591" s="127"/>
      <c r="N591" s="127"/>
      <c r="O591" s="127"/>
      <c r="P591" s="127"/>
      <c r="Q591" s="127"/>
      <c r="R591" s="127"/>
      <c r="S591" s="127"/>
      <c r="T591" s="127"/>
      <c r="U591" s="127"/>
      <c r="V591" s="127"/>
      <c r="W591" s="127"/>
      <c r="X591" s="127"/>
      <c r="Y591" s="127"/>
      <c r="Z591" s="127"/>
    </row>
    <row r="592" customFormat="false" ht="15.75" hidden="false" customHeight="false" outlineLevel="0" collapsed="false">
      <c r="A592" s="127"/>
      <c r="B592" s="127"/>
      <c r="C592" s="127"/>
      <c r="D592" s="127"/>
      <c r="E592" s="127"/>
      <c r="F592" s="127"/>
      <c r="G592" s="127"/>
      <c r="H592" s="127"/>
      <c r="I592" s="127"/>
      <c r="J592" s="127"/>
      <c r="K592" s="127"/>
      <c r="L592" s="127"/>
      <c r="M592" s="127"/>
      <c r="N592" s="127"/>
      <c r="O592" s="127"/>
      <c r="P592" s="127"/>
      <c r="Q592" s="127"/>
      <c r="R592" s="127"/>
      <c r="S592" s="127"/>
      <c r="T592" s="127"/>
      <c r="U592" s="127"/>
      <c r="V592" s="127"/>
      <c r="W592" s="127"/>
      <c r="X592" s="127"/>
      <c r="Y592" s="127"/>
      <c r="Z592" s="127"/>
    </row>
    <row r="593" customFormat="false" ht="15.75" hidden="false" customHeight="false" outlineLevel="0" collapsed="false">
      <c r="A593" s="127"/>
      <c r="B593" s="127"/>
      <c r="C593" s="127"/>
      <c r="D593" s="127"/>
      <c r="E593" s="127"/>
      <c r="F593" s="127"/>
      <c r="G593" s="127"/>
      <c r="H593" s="127"/>
      <c r="I593" s="127"/>
      <c r="J593" s="127"/>
      <c r="K593" s="127"/>
      <c r="L593" s="127"/>
      <c r="M593" s="127"/>
      <c r="N593" s="127"/>
      <c r="O593" s="127"/>
      <c r="P593" s="127"/>
      <c r="Q593" s="127"/>
      <c r="R593" s="127"/>
      <c r="S593" s="127"/>
      <c r="T593" s="127"/>
      <c r="U593" s="127"/>
      <c r="V593" s="127"/>
      <c r="W593" s="127"/>
      <c r="X593" s="127"/>
      <c r="Y593" s="127"/>
      <c r="Z593" s="127"/>
    </row>
    <row r="594" customFormat="false" ht="15.75" hidden="false" customHeight="false" outlineLevel="0" collapsed="false">
      <c r="A594" s="127"/>
      <c r="B594" s="127"/>
      <c r="C594" s="127"/>
      <c r="D594" s="127"/>
      <c r="E594" s="127"/>
      <c r="F594" s="127"/>
      <c r="G594" s="127"/>
      <c r="H594" s="127"/>
      <c r="I594" s="127"/>
      <c r="J594" s="127"/>
      <c r="K594" s="127"/>
      <c r="L594" s="127"/>
      <c r="M594" s="127"/>
      <c r="N594" s="127"/>
      <c r="O594" s="127"/>
      <c r="P594" s="127"/>
      <c r="Q594" s="127"/>
      <c r="R594" s="127"/>
      <c r="S594" s="127"/>
      <c r="T594" s="127"/>
      <c r="U594" s="127"/>
      <c r="V594" s="127"/>
      <c r="W594" s="127"/>
      <c r="X594" s="127"/>
      <c r="Y594" s="127"/>
      <c r="Z594" s="127"/>
    </row>
    <row r="595" customFormat="false" ht="15.75" hidden="false" customHeight="false" outlineLevel="0" collapsed="false">
      <c r="A595" s="127"/>
      <c r="B595" s="127"/>
      <c r="C595" s="127"/>
      <c r="D595" s="127"/>
      <c r="E595" s="127"/>
      <c r="F595" s="127"/>
      <c r="G595" s="127"/>
      <c r="H595" s="127"/>
      <c r="I595" s="127"/>
      <c r="J595" s="127"/>
      <c r="K595" s="127"/>
      <c r="L595" s="127"/>
      <c r="M595" s="127"/>
      <c r="N595" s="127"/>
      <c r="O595" s="127"/>
      <c r="P595" s="127"/>
      <c r="Q595" s="127"/>
      <c r="R595" s="127"/>
      <c r="S595" s="127"/>
      <c r="T595" s="127"/>
      <c r="U595" s="127"/>
      <c r="V595" s="127"/>
      <c r="W595" s="127"/>
      <c r="X595" s="127"/>
      <c r="Y595" s="127"/>
      <c r="Z595" s="127"/>
    </row>
    <row r="596" customFormat="false" ht="15.75" hidden="false" customHeight="false" outlineLevel="0" collapsed="false">
      <c r="A596" s="127"/>
      <c r="B596" s="127"/>
      <c r="C596" s="127"/>
      <c r="D596" s="127"/>
      <c r="E596" s="127"/>
      <c r="F596" s="127"/>
      <c r="G596" s="127"/>
      <c r="H596" s="127"/>
      <c r="I596" s="127"/>
      <c r="J596" s="127"/>
      <c r="K596" s="127"/>
      <c r="L596" s="127"/>
      <c r="M596" s="127"/>
      <c r="N596" s="127"/>
      <c r="O596" s="127"/>
      <c r="P596" s="127"/>
      <c r="Q596" s="127"/>
      <c r="R596" s="127"/>
      <c r="S596" s="127"/>
      <c r="T596" s="127"/>
      <c r="U596" s="127"/>
      <c r="V596" s="127"/>
      <c r="W596" s="127"/>
      <c r="X596" s="127"/>
      <c r="Y596" s="127"/>
      <c r="Z596" s="127"/>
    </row>
    <row r="597" customFormat="false" ht="15.75" hidden="false" customHeight="false" outlineLevel="0" collapsed="false">
      <c r="A597" s="127"/>
      <c r="B597" s="127"/>
      <c r="C597" s="127"/>
      <c r="D597" s="127"/>
      <c r="E597" s="127"/>
      <c r="F597" s="127"/>
      <c r="G597" s="127"/>
      <c r="H597" s="127"/>
      <c r="I597" s="127"/>
      <c r="J597" s="127"/>
      <c r="K597" s="127"/>
      <c r="L597" s="127"/>
      <c r="M597" s="127"/>
      <c r="N597" s="127"/>
      <c r="O597" s="127"/>
      <c r="P597" s="127"/>
      <c r="Q597" s="127"/>
      <c r="R597" s="127"/>
      <c r="S597" s="127"/>
      <c r="T597" s="127"/>
      <c r="U597" s="127"/>
      <c r="V597" s="127"/>
      <c r="W597" s="127"/>
      <c r="X597" s="127"/>
      <c r="Y597" s="127"/>
      <c r="Z597" s="127"/>
    </row>
    <row r="598" customFormat="false" ht="15.75" hidden="false" customHeight="false" outlineLevel="0" collapsed="false">
      <c r="A598" s="127"/>
      <c r="B598" s="127"/>
      <c r="C598" s="127"/>
      <c r="D598" s="127"/>
      <c r="E598" s="127"/>
      <c r="F598" s="127"/>
      <c r="G598" s="127"/>
      <c r="H598" s="127"/>
      <c r="I598" s="127"/>
      <c r="J598" s="127"/>
      <c r="K598" s="127"/>
      <c r="L598" s="127"/>
      <c r="M598" s="127"/>
      <c r="N598" s="127"/>
      <c r="O598" s="127"/>
      <c r="P598" s="127"/>
      <c r="Q598" s="127"/>
      <c r="R598" s="127"/>
      <c r="S598" s="127"/>
      <c r="T598" s="127"/>
      <c r="U598" s="127"/>
      <c r="V598" s="127"/>
      <c r="W598" s="127"/>
      <c r="X598" s="127"/>
      <c r="Y598" s="127"/>
      <c r="Z598" s="127"/>
    </row>
    <row r="599" customFormat="false" ht="15.75" hidden="false" customHeight="false" outlineLevel="0" collapsed="false">
      <c r="A599" s="127"/>
      <c r="B599" s="127"/>
      <c r="C599" s="127"/>
      <c r="D599" s="127"/>
      <c r="E599" s="127"/>
      <c r="F599" s="127"/>
      <c r="G599" s="127"/>
      <c r="H599" s="127"/>
      <c r="I599" s="127"/>
      <c r="J599" s="127"/>
      <c r="K599" s="127"/>
      <c r="L599" s="127"/>
      <c r="M599" s="127"/>
      <c r="N599" s="127"/>
      <c r="O599" s="127"/>
      <c r="P599" s="127"/>
      <c r="Q599" s="127"/>
      <c r="R599" s="127"/>
      <c r="S599" s="127"/>
      <c r="T599" s="127"/>
      <c r="U599" s="127"/>
      <c r="V599" s="127"/>
      <c r="W599" s="127"/>
      <c r="X599" s="127"/>
      <c r="Y599" s="127"/>
      <c r="Z599" s="127"/>
    </row>
    <row r="600" customFormat="false" ht="15.75" hidden="false" customHeight="false" outlineLevel="0" collapsed="false">
      <c r="A600" s="127"/>
      <c r="B600" s="127"/>
      <c r="C600" s="127"/>
      <c r="D600" s="127"/>
      <c r="E600" s="127"/>
      <c r="F600" s="127"/>
      <c r="G600" s="127"/>
      <c r="H600" s="127"/>
      <c r="I600" s="127"/>
      <c r="J600" s="127"/>
      <c r="K600" s="127"/>
      <c r="L600" s="127"/>
      <c r="M600" s="127"/>
      <c r="N600" s="127"/>
      <c r="O600" s="127"/>
      <c r="P600" s="127"/>
      <c r="Q600" s="127"/>
      <c r="R600" s="127"/>
      <c r="S600" s="127"/>
      <c r="T600" s="127"/>
      <c r="U600" s="127"/>
      <c r="V600" s="127"/>
      <c r="W600" s="127"/>
      <c r="X600" s="127"/>
      <c r="Y600" s="127"/>
      <c r="Z600" s="127"/>
    </row>
    <row r="601" customFormat="false" ht="15.75" hidden="false" customHeight="false" outlineLevel="0" collapsed="false">
      <c r="A601" s="127"/>
      <c r="B601" s="127"/>
      <c r="C601" s="127"/>
      <c r="D601" s="127"/>
      <c r="E601" s="127"/>
      <c r="F601" s="127"/>
      <c r="G601" s="127"/>
      <c r="H601" s="127"/>
      <c r="I601" s="127"/>
      <c r="J601" s="127"/>
      <c r="K601" s="127"/>
      <c r="L601" s="127"/>
      <c r="M601" s="127"/>
      <c r="N601" s="127"/>
      <c r="O601" s="127"/>
      <c r="P601" s="127"/>
      <c r="Q601" s="127"/>
      <c r="R601" s="127"/>
      <c r="S601" s="127"/>
      <c r="T601" s="127"/>
      <c r="U601" s="127"/>
      <c r="V601" s="127"/>
      <c r="W601" s="127"/>
      <c r="X601" s="127"/>
      <c r="Y601" s="127"/>
      <c r="Z601" s="127"/>
    </row>
    <row r="602" customFormat="false" ht="15.75" hidden="false" customHeight="false" outlineLevel="0" collapsed="false">
      <c r="A602" s="127"/>
      <c r="B602" s="127"/>
      <c r="C602" s="127"/>
      <c r="D602" s="127"/>
      <c r="E602" s="127"/>
      <c r="F602" s="127"/>
      <c r="G602" s="127"/>
      <c r="H602" s="127"/>
      <c r="I602" s="127"/>
      <c r="J602" s="127"/>
      <c r="K602" s="127"/>
      <c r="L602" s="127"/>
      <c r="M602" s="127"/>
      <c r="N602" s="127"/>
      <c r="O602" s="127"/>
      <c r="P602" s="127"/>
      <c r="Q602" s="127"/>
      <c r="R602" s="127"/>
      <c r="S602" s="127"/>
      <c r="T602" s="127"/>
      <c r="U602" s="127"/>
      <c r="V602" s="127"/>
      <c r="W602" s="127"/>
      <c r="X602" s="127"/>
      <c r="Y602" s="127"/>
      <c r="Z602" s="127"/>
    </row>
    <row r="603" customFormat="false" ht="15.75" hidden="false" customHeight="false" outlineLevel="0" collapsed="false">
      <c r="A603" s="127"/>
      <c r="B603" s="127"/>
      <c r="C603" s="127"/>
      <c r="D603" s="127"/>
      <c r="E603" s="127"/>
      <c r="F603" s="127"/>
      <c r="G603" s="127"/>
      <c r="H603" s="127"/>
      <c r="I603" s="127"/>
      <c r="J603" s="127"/>
      <c r="K603" s="127"/>
      <c r="L603" s="127"/>
      <c r="M603" s="127"/>
      <c r="N603" s="127"/>
      <c r="O603" s="127"/>
      <c r="P603" s="127"/>
      <c r="Q603" s="127"/>
      <c r="R603" s="127"/>
      <c r="S603" s="127"/>
      <c r="T603" s="127"/>
      <c r="U603" s="127"/>
      <c r="V603" s="127"/>
      <c r="W603" s="127"/>
      <c r="X603" s="127"/>
      <c r="Y603" s="127"/>
      <c r="Z603" s="127"/>
    </row>
    <row r="604" customFormat="false" ht="15.75" hidden="false" customHeight="false" outlineLevel="0" collapsed="false">
      <c r="A604" s="127"/>
      <c r="B604" s="127"/>
      <c r="C604" s="127"/>
      <c r="D604" s="127"/>
      <c r="E604" s="127"/>
      <c r="F604" s="127"/>
      <c r="G604" s="127"/>
      <c r="H604" s="127"/>
      <c r="I604" s="127"/>
      <c r="J604" s="127"/>
      <c r="K604" s="127"/>
      <c r="L604" s="127"/>
      <c r="M604" s="127"/>
      <c r="N604" s="127"/>
      <c r="O604" s="127"/>
      <c r="P604" s="127"/>
      <c r="Q604" s="127"/>
      <c r="R604" s="127"/>
      <c r="S604" s="127"/>
      <c r="T604" s="127"/>
      <c r="U604" s="127"/>
      <c r="V604" s="127"/>
      <c r="W604" s="127"/>
      <c r="X604" s="127"/>
      <c r="Y604" s="127"/>
      <c r="Z604" s="127"/>
    </row>
    <row r="605" customFormat="false" ht="15.75" hidden="false" customHeight="false" outlineLevel="0" collapsed="false">
      <c r="A605" s="127"/>
      <c r="B605" s="127"/>
      <c r="C605" s="127"/>
      <c r="D605" s="127"/>
      <c r="E605" s="127"/>
      <c r="F605" s="127"/>
      <c r="G605" s="127"/>
      <c r="H605" s="127"/>
      <c r="I605" s="127"/>
      <c r="J605" s="127"/>
      <c r="K605" s="127"/>
      <c r="L605" s="127"/>
      <c r="M605" s="127"/>
      <c r="N605" s="127"/>
      <c r="O605" s="127"/>
      <c r="P605" s="127"/>
      <c r="Q605" s="127"/>
      <c r="R605" s="127"/>
      <c r="S605" s="127"/>
      <c r="T605" s="127"/>
      <c r="U605" s="127"/>
      <c r="V605" s="127"/>
      <c r="W605" s="127"/>
      <c r="X605" s="127"/>
      <c r="Y605" s="127"/>
      <c r="Z605" s="127"/>
    </row>
    <row r="606" customFormat="false" ht="15.75" hidden="false" customHeight="false" outlineLevel="0" collapsed="false">
      <c r="A606" s="127"/>
      <c r="B606" s="127"/>
      <c r="C606" s="127"/>
      <c r="D606" s="127"/>
      <c r="E606" s="127"/>
      <c r="F606" s="127"/>
      <c r="G606" s="127"/>
      <c r="H606" s="127"/>
      <c r="I606" s="127"/>
      <c r="J606" s="127"/>
      <c r="K606" s="127"/>
      <c r="L606" s="127"/>
      <c r="M606" s="127"/>
      <c r="N606" s="127"/>
      <c r="O606" s="127"/>
      <c r="P606" s="127"/>
      <c r="Q606" s="127"/>
      <c r="R606" s="127"/>
      <c r="S606" s="127"/>
      <c r="T606" s="127"/>
      <c r="U606" s="127"/>
      <c r="V606" s="127"/>
      <c r="W606" s="127"/>
      <c r="X606" s="127"/>
      <c r="Y606" s="127"/>
      <c r="Z606" s="127"/>
    </row>
    <row r="607" customFormat="false" ht="15.75" hidden="false" customHeight="false" outlineLevel="0" collapsed="false">
      <c r="A607" s="127"/>
      <c r="B607" s="127"/>
      <c r="C607" s="127"/>
      <c r="D607" s="127"/>
      <c r="E607" s="127"/>
      <c r="F607" s="127"/>
      <c r="G607" s="127"/>
      <c r="H607" s="127"/>
      <c r="I607" s="127"/>
      <c r="J607" s="127"/>
      <c r="K607" s="127"/>
      <c r="L607" s="127"/>
      <c r="M607" s="127"/>
      <c r="N607" s="127"/>
      <c r="O607" s="127"/>
      <c r="P607" s="127"/>
      <c r="Q607" s="127"/>
      <c r="R607" s="127"/>
      <c r="S607" s="127"/>
      <c r="T607" s="127"/>
      <c r="U607" s="127"/>
      <c r="V607" s="127"/>
      <c r="W607" s="127"/>
      <c r="X607" s="127"/>
      <c r="Y607" s="127"/>
      <c r="Z607" s="127"/>
    </row>
    <row r="608" customFormat="false" ht="15.75" hidden="false" customHeight="false" outlineLevel="0" collapsed="false">
      <c r="A608" s="127"/>
      <c r="B608" s="127"/>
      <c r="C608" s="127"/>
      <c r="D608" s="127"/>
      <c r="E608" s="127"/>
      <c r="F608" s="127"/>
      <c r="G608" s="127"/>
      <c r="H608" s="127"/>
      <c r="I608" s="127"/>
      <c r="J608" s="127"/>
      <c r="K608" s="127"/>
      <c r="L608" s="127"/>
      <c r="M608" s="127"/>
      <c r="N608" s="127"/>
      <c r="O608" s="127"/>
      <c r="P608" s="127"/>
      <c r="Q608" s="127"/>
      <c r="R608" s="127"/>
      <c r="S608" s="127"/>
      <c r="T608" s="127"/>
      <c r="U608" s="127"/>
      <c r="V608" s="127"/>
      <c r="W608" s="127"/>
      <c r="X608" s="127"/>
      <c r="Y608" s="127"/>
      <c r="Z608" s="127"/>
    </row>
    <row r="609" customFormat="false" ht="15.75" hidden="false" customHeight="false" outlineLevel="0" collapsed="false">
      <c r="A609" s="127"/>
      <c r="B609" s="127"/>
      <c r="C609" s="127"/>
      <c r="D609" s="127"/>
      <c r="E609" s="127"/>
      <c r="F609" s="127"/>
      <c r="G609" s="127"/>
      <c r="H609" s="127"/>
      <c r="I609" s="127"/>
      <c r="J609" s="127"/>
      <c r="K609" s="127"/>
      <c r="L609" s="127"/>
      <c r="M609" s="127"/>
      <c r="N609" s="127"/>
      <c r="O609" s="127"/>
      <c r="P609" s="127"/>
      <c r="Q609" s="127"/>
      <c r="R609" s="127"/>
      <c r="S609" s="127"/>
      <c r="T609" s="127"/>
      <c r="U609" s="127"/>
      <c r="V609" s="127"/>
      <c r="W609" s="127"/>
      <c r="X609" s="127"/>
      <c r="Y609" s="127"/>
      <c r="Z609" s="127"/>
    </row>
    <row r="610" customFormat="false" ht="15.75" hidden="false" customHeight="false" outlineLevel="0" collapsed="false">
      <c r="A610" s="127"/>
      <c r="B610" s="127"/>
      <c r="C610" s="127"/>
      <c r="D610" s="127"/>
      <c r="E610" s="127"/>
      <c r="F610" s="127"/>
      <c r="G610" s="127"/>
      <c r="H610" s="127"/>
      <c r="I610" s="127"/>
      <c r="J610" s="127"/>
      <c r="K610" s="127"/>
      <c r="L610" s="127"/>
      <c r="M610" s="127"/>
      <c r="N610" s="127"/>
      <c r="O610" s="127"/>
      <c r="P610" s="127"/>
      <c r="Q610" s="127"/>
      <c r="R610" s="127"/>
      <c r="S610" s="127"/>
      <c r="T610" s="127"/>
      <c r="U610" s="127"/>
      <c r="V610" s="127"/>
      <c r="W610" s="127"/>
      <c r="X610" s="127"/>
      <c r="Y610" s="127"/>
      <c r="Z610" s="127"/>
    </row>
    <row r="611" customFormat="false" ht="15.75" hidden="false" customHeight="false" outlineLevel="0" collapsed="false">
      <c r="A611" s="127"/>
      <c r="B611" s="127"/>
      <c r="C611" s="127"/>
      <c r="D611" s="127"/>
      <c r="E611" s="127"/>
      <c r="F611" s="127"/>
      <c r="G611" s="127"/>
      <c r="H611" s="127"/>
      <c r="I611" s="127"/>
      <c r="J611" s="127"/>
      <c r="K611" s="127"/>
      <c r="L611" s="127"/>
      <c r="M611" s="127"/>
      <c r="N611" s="127"/>
      <c r="O611" s="127"/>
      <c r="P611" s="127"/>
      <c r="Q611" s="127"/>
      <c r="R611" s="127"/>
      <c r="S611" s="127"/>
      <c r="T611" s="127"/>
      <c r="U611" s="127"/>
      <c r="V611" s="127"/>
      <c r="W611" s="127"/>
      <c r="X611" s="127"/>
      <c r="Y611" s="127"/>
      <c r="Z611" s="127"/>
    </row>
    <row r="612" customFormat="false" ht="15.75" hidden="false" customHeight="false" outlineLevel="0" collapsed="false">
      <c r="A612" s="127"/>
      <c r="B612" s="127"/>
      <c r="C612" s="127"/>
      <c r="D612" s="127"/>
      <c r="E612" s="127"/>
      <c r="F612" s="127"/>
      <c r="G612" s="127"/>
      <c r="H612" s="127"/>
      <c r="I612" s="127"/>
      <c r="J612" s="127"/>
      <c r="K612" s="127"/>
      <c r="L612" s="127"/>
      <c r="M612" s="127"/>
      <c r="N612" s="127"/>
      <c r="O612" s="127"/>
      <c r="P612" s="127"/>
      <c r="Q612" s="127"/>
      <c r="R612" s="127"/>
      <c r="S612" s="127"/>
      <c r="T612" s="127"/>
      <c r="U612" s="127"/>
      <c r="V612" s="127"/>
      <c r="W612" s="127"/>
      <c r="X612" s="127"/>
      <c r="Y612" s="127"/>
      <c r="Z612" s="127"/>
    </row>
    <row r="613" customFormat="false" ht="15.75" hidden="false" customHeight="false" outlineLevel="0" collapsed="false">
      <c r="A613" s="127"/>
      <c r="B613" s="127"/>
      <c r="C613" s="127"/>
      <c r="D613" s="127"/>
      <c r="E613" s="127"/>
      <c r="F613" s="127"/>
      <c r="G613" s="127"/>
      <c r="H613" s="127"/>
      <c r="I613" s="127"/>
      <c r="J613" s="127"/>
      <c r="K613" s="127"/>
      <c r="L613" s="127"/>
      <c r="M613" s="127"/>
      <c r="N613" s="127"/>
      <c r="O613" s="127"/>
      <c r="P613" s="127"/>
      <c r="Q613" s="127"/>
      <c r="R613" s="127"/>
      <c r="S613" s="127"/>
      <c r="T613" s="127"/>
      <c r="U613" s="127"/>
      <c r="V613" s="127"/>
      <c r="W613" s="127"/>
      <c r="X613" s="127"/>
      <c r="Y613" s="127"/>
      <c r="Z613" s="127"/>
    </row>
    <row r="614" customFormat="false" ht="15.75" hidden="false" customHeight="false" outlineLevel="0" collapsed="false">
      <c r="A614" s="127"/>
      <c r="B614" s="127"/>
      <c r="C614" s="127"/>
      <c r="D614" s="127"/>
      <c r="E614" s="127"/>
      <c r="F614" s="127"/>
      <c r="G614" s="127"/>
      <c r="H614" s="127"/>
      <c r="I614" s="127"/>
      <c r="J614" s="127"/>
      <c r="K614" s="127"/>
      <c r="L614" s="127"/>
      <c r="M614" s="127"/>
      <c r="N614" s="127"/>
      <c r="O614" s="127"/>
      <c r="P614" s="127"/>
      <c r="Q614" s="127"/>
      <c r="R614" s="127"/>
      <c r="S614" s="127"/>
      <c r="T614" s="127"/>
      <c r="U614" s="127"/>
      <c r="V614" s="127"/>
      <c r="W614" s="127"/>
      <c r="X614" s="127"/>
      <c r="Y614" s="127"/>
      <c r="Z614" s="127"/>
    </row>
    <row r="615" customFormat="false" ht="15.75" hidden="false" customHeight="false" outlineLevel="0" collapsed="false">
      <c r="A615" s="127"/>
      <c r="B615" s="127"/>
      <c r="C615" s="127"/>
      <c r="D615" s="127"/>
      <c r="E615" s="127"/>
      <c r="F615" s="127"/>
      <c r="G615" s="127"/>
      <c r="H615" s="127"/>
      <c r="I615" s="127"/>
      <c r="J615" s="127"/>
      <c r="K615" s="127"/>
      <c r="L615" s="127"/>
      <c r="M615" s="127"/>
      <c r="N615" s="127"/>
      <c r="O615" s="127"/>
      <c r="P615" s="127"/>
      <c r="Q615" s="127"/>
      <c r="R615" s="127"/>
      <c r="S615" s="127"/>
      <c r="T615" s="127"/>
      <c r="U615" s="127"/>
      <c r="V615" s="127"/>
      <c r="W615" s="127"/>
      <c r="X615" s="127"/>
      <c r="Y615" s="127"/>
      <c r="Z615" s="127"/>
    </row>
    <row r="616" customFormat="false" ht="15.75" hidden="false" customHeight="false" outlineLevel="0" collapsed="false">
      <c r="A616" s="127"/>
      <c r="B616" s="127"/>
      <c r="C616" s="127"/>
      <c r="D616" s="127"/>
      <c r="E616" s="127"/>
      <c r="F616" s="127"/>
      <c r="G616" s="127"/>
      <c r="H616" s="127"/>
      <c r="I616" s="127"/>
      <c r="J616" s="127"/>
      <c r="K616" s="127"/>
      <c r="L616" s="127"/>
      <c r="M616" s="127"/>
      <c r="N616" s="127"/>
      <c r="O616" s="127"/>
      <c r="P616" s="127"/>
      <c r="Q616" s="127"/>
      <c r="R616" s="127"/>
      <c r="S616" s="127"/>
      <c r="T616" s="127"/>
      <c r="U616" s="127"/>
      <c r="V616" s="127"/>
      <c r="W616" s="127"/>
      <c r="X616" s="127"/>
      <c r="Y616" s="127"/>
      <c r="Z616" s="127"/>
    </row>
    <row r="617" customFormat="false" ht="15.75" hidden="false" customHeight="false" outlineLevel="0" collapsed="false">
      <c r="A617" s="127"/>
      <c r="B617" s="127"/>
      <c r="C617" s="127"/>
      <c r="D617" s="127"/>
      <c r="E617" s="127"/>
      <c r="F617" s="127"/>
      <c r="G617" s="127"/>
      <c r="H617" s="127"/>
      <c r="I617" s="127"/>
      <c r="J617" s="127"/>
      <c r="K617" s="127"/>
      <c r="L617" s="127"/>
      <c r="M617" s="127"/>
      <c r="N617" s="127"/>
      <c r="O617" s="127"/>
      <c r="P617" s="127"/>
      <c r="Q617" s="127"/>
      <c r="R617" s="127"/>
      <c r="S617" s="127"/>
      <c r="T617" s="127"/>
      <c r="U617" s="127"/>
      <c r="V617" s="127"/>
      <c r="W617" s="127"/>
      <c r="X617" s="127"/>
      <c r="Y617" s="127"/>
      <c r="Z617" s="127"/>
    </row>
    <row r="618" customFormat="false" ht="15.75" hidden="false" customHeight="false" outlineLevel="0" collapsed="false">
      <c r="A618" s="127"/>
      <c r="B618" s="127"/>
      <c r="C618" s="127"/>
      <c r="D618" s="127"/>
      <c r="E618" s="127"/>
      <c r="F618" s="127"/>
      <c r="G618" s="127"/>
      <c r="H618" s="127"/>
      <c r="I618" s="127"/>
      <c r="J618" s="127"/>
      <c r="K618" s="127"/>
      <c r="L618" s="127"/>
      <c r="M618" s="127"/>
      <c r="N618" s="127"/>
      <c r="O618" s="127"/>
      <c r="P618" s="127"/>
      <c r="Q618" s="127"/>
      <c r="R618" s="127"/>
      <c r="S618" s="127"/>
      <c r="T618" s="127"/>
      <c r="U618" s="127"/>
      <c r="V618" s="127"/>
      <c r="W618" s="127"/>
      <c r="X618" s="127"/>
      <c r="Y618" s="127"/>
      <c r="Z618" s="127"/>
    </row>
    <row r="619" customFormat="false" ht="15.75" hidden="false" customHeight="false" outlineLevel="0" collapsed="false">
      <c r="A619" s="127"/>
      <c r="B619" s="127"/>
      <c r="C619" s="127"/>
      <c r="D619" s="127"/>
      <c r="E619" s="127"/>
      <c r="F619" s="127"/>
      <c r="G619" s="127"/>
      <c r="H619" s="127"/>
      <c r="I619" s="127"/>
      <c r="J619" s="127"/>
      <c r="K619" s="127"/>
      <c r="L619" s="127"/>
      <c r="M619" s="127"/>
      <c r="N619" s="127"/>
      <c r="O619" s="127"/>
      <c r="P619" s="127"/>
      <c r="Q619" s="127"/>
      <c r="R619" s="127"/>
      <c r="S619" s="127"/>
      <c r="T619" s="127"/>
      <c r="U619" s="127"/>
      <c r="V619" s="127"/>
      <c r="W619" s="127"/>
      <c r="X619" s="127"/>
      <c r="Y619" s="127"/>
      <c r="Z619" s="127"/>
    </row>
    <row r="620" customFormat="false" ht="15.75" hidden="false" customHeight="false" outlineLevel="0" collapsed="false">
      <c r="A620" s="127"/>
      <c r="B620" s="127"/>
      <c r="C620" s="127"/>
      <c r="D620" s="127"/>
      <c r="E620" s="127"/>
      <c r="F620" s="127"/>
      <c r="G620" s="127"/>
      <c r="H620" s="127"/>
      <c r="I620" s="127"/>
      <c r="J620" s="127"/>
      <c r="K620" s="127"/>
      <c r="L620" s="127"/>
      <c r="M620" s="127"/>
      <c r="N620" s="127"/>
      <c r="O620" s="127"/>
      <c r="P620" s="127"/>
      <c r="Q620" s="127"/>
      <c r="R620" s="127"/>
      <c r="S620" s="127"/>
      <c r="T620" s="127"/>
      <c r="U620" s="127"/>
      <c r="V620" s="127"/>
      <c r="W620" s="127"/>
      <c r="X620" s="127"/>
      <c r="Y620" s="127"/>
      <c r="Z620" s="127"/>
    </row>
    <row r="621" customFormat="false" ht="15.75" hidden="false" customHeight="false" outlineLevel="0" collapsed="false">
      <c r="A621" s="127"/>
      <c r="B621" s="127"/>
      <c r="C621" s="127"/>
      <c r="D621" s="127"/>
      <c r="E621" s="127"/>
      <c r="F621" s="127"/>
      <c r="G621" s="127"/>
      <c r="H621" s="127"/>
      <c r="I621" s="127"/>
      <c r="J621" s="127"/>
      <c r="K621" s="127"/>
      <c r="L621" s="127"/>
      <c r="M621" s="127"/>
      <c r="N621" s="127"/>
      <c r="O621" s="127"/>
      <c r="P621" s="127"/>
      <c r="Q621" s="127"/>
      <c r="R621" s="127"/>
      <c r="S621" s="127"/>
      <c r="T621" s="127"/>
      <c r="U621" s="127"/>
      <c r="V621" s="127"/>
      <c r="W621" s="127"/>
      <c r="X621" s="127"/>
      <c r="Y621" s="127"/>
      <c r="Z621" s="127"/>
    </row>
    <row r="622" customFormat="false" ht="15.75" hidden="false" customHeight="false" outlineLevel="0" collapsed="false">
      <c r="A622" s="127"/>
      <c r="B622" s="127"/>
      <c r="C622" s="127"/>
      <c r="D622" s="127"/>
      <c r="E622" s="127"/>
      <c r="F622" s="127"/>
      <c r="G622" s="127"/>
      <c r="H622" s="127"/>
      <c r="I622" s="127"/>
      <c r="J622" s="127"/>
      <c r="K622" s="127"/>
      <c r="L622" s="127"/>
      <c r="M622" s="127"/>
      <c r="N622" s="127"/>
      <c r="O622" s="127"/>
      <c r="P622" s="127"/>
      <c r="Q622" s="127"/>
      <c r="R622" s="127"/>
      <c r="S622" s="127"/>
      <c r="T622" s="127"/>
      <c r="U622" s="127"/>
      <c r="V622" s="127"/>
      <c r="W622" s="127"/>
      <c r="X622" s="127"/>
      <c r="Y622" s="127"/>
      <c r="Z622" s="127"/>
    </row>
    <row r="623" customFormat="false" ht="15.75" hidden="false" customHeight="false" outlineLevel="0" collapsed="false">
      <c r="A623" s="127"/>
      <c r="B623" s="127"/>
      <c r="C623" s="127"/>
      <c r="D623" s="127"/>
      <c r="E623" s="127"/>
      <c r="F623" s="127"/>
      <c r="G623" s="127"/>
      <c r="H623" s="127"/>
      <c r="I623" s="127"/>
      <c r="J623" s="127"/>
      <c r="K623" s="127"/>
      <c r="L623" s="127"/>
      <c r="M623" s="127"/>
      <c r="N623" s="127"/>
      <c r="O623" s="127"/>
      <c r="P623" s="127"/>
      <c r="Q623" s="127"/>
      <c r="R623" s="127"/>
      <c r="S623" s="127"/>
      <c r="T623" s="127"/>
      <c r="U623" s="127"/>
      <c r="V623" s="127"/>
      <c r="W623" s="127"/>
      <c r="X623" s="127"/>
      <c r="Y623" s="127"/>
      <c r="Z623" s="127"/>
    </row>
    <row r="624" customFormat="false" ht="15.75" hidden="false" customHeight="false" outlineLevel="0" collapsed="false">
      <c r="A624" s="127"/>
      <c r="B624" s="127"/>
      <c r="C624" s="127"/>
      <c r="D624" s="127"/>
      <c r="E624" s="127"/>
      <c r="F624" s="127"/>
      <c r="G624" s="127"/>
      <c r="H624" s="127"/>
      <c r="I624" s="127"/>
      <c r="J624" s="127"/>
      <c r="K624" s="127"/>
      <c r="L624" s="127"/>
      <c r="M624" s="127"/>
      <c r="N624" s="127"/>
      <c r="O624" s="127"/>
      <c r="P624" s="127"/>
      <c r="Q624" s="127"/>
      <c r="R624" s="127"/>
      <c r="S624" s="127"/>
      <c r="T624" s="127"/>
      <c r="U624" s="127"/>
      <c r="V624" s="127"/>
      <c r="W624" s="127"/>
      <c r="X624" s="127"/>
      <c r="Y624" s="127"/>
      <c r="Z624" s="127"/>
    </row>
    <row r="625" customFormat="false" ht="15.75" hidden="false" customHeight="false" outlineLevel="0" collapsed="false">
      <c r="A625" s="127"/>
      <c r="B625" s="127"/>
      <c r="C625" s="127"/>
      <c r="D625" s="127"/>
      <c r="E625" s="127"/>
      <c r="F625" s="127"/>
      <c r="G625" s="127"/>
      <c r="H625" s="127"/>
      <c r="I625" s="127"/>
      <c r="J625" s="127"/>
      <c r="K625" s="127"/>
      <c r="L625" s="127"/>
      <c r="M625" s="127"/>
      <c r="N625" s="127"/>
      <c r="O625" s="127"/>
      <c r="P625" s="127"/>
      <c r="Q625" s="127"/>
      <c r="R625" s="127"/>
      <c r="S625" s="127"/>
      <c r="T625" s="127"/>
      <c r="U625" s="127"/>
      <c r="V625" s="127"/>
      <c r="W625" s="127"/>
      <c r="X625" s="127"/>
      <c r="Y625" s="127"/>
      <c r="Z625" s="127"/>
    </row>
    <row r="626" customFormat="false" ht="15.75" hidden="false" customHeight="false" outlineLevel="0" collapsed="false">
      <c r="A626" s="127"/>
      <c r="B626" s="127"/>
      <c r="C626" s="127"/>
      <c r="D626" s="127"/>
      <c r="E626" s="127"/>
      <c r="F626" s="127"/>
      <c r="G626" s="127"/>
      <c r="H626" s="127"/>
      <c r="I626" s="127"/>
      <c r="J626" s="127"/>
      <c r="K626" s="127"/>
      <c r="L626" s="127"/>
      <c r="M626" s="127"/>
      <c r="N626" s="127"/>
      <c r="O626" s="127"/>
      <c r="P626" s="127"/>
      <c r="Q626" s="127"/>
      <c r="R626" s="127"/>
      <c r="S626" s="127"/>
      <c r="T626" s="127"/>
      <c r="U626" s="127"/>
      <c r="V626" s="127"/>
      <c r="W626" s="127"/>
      <c r="X626" s="127"/>
      <c r="Y626" s="127"/>
      <c r="Z626" s="127"/>
    </row>
    <row r="627" customFormat="false" ht="15.75" hidden="false" customHeight="false" outlineLevel="0" collapsed="false">
      <c r="A627" s="127"/>
      <c r="B627" s="127"/>
      <c r="C627" s="127"/>
      <c r="D627" s="127"/>
      <c r="E627" s="127"/>
      <c r="F627" s="127"/>
      <c r="G627" s="127"/>
      <c r="H627" s="127"/>
      <c r="I627" s="127"/>
      <c r="J627" s="127"/>
      <c r="K627" s="127"/>
      <c r="L627" s="127"/>
      <c r="M627" s="127"/>
      <c r="N627" s="127"/>
      <c r="O627" s="127"/>
      <c r="P627" s="127"/>
      <c r="Q627" s="127"/>
      <c r="R627" s="127"/>
      <c r="S627" s="127"/>
      <c r="T627" s="127"/>
      <c r="U627" s="127"/>
      <c r="V627" s="127"/>
      <c r="W627" s="127"/>
      <c r="X627" s="127"/>
      <c r="Y627" s="127"/>
      <c r="Z627" s="127"/>
    </row>
    <row r="628" customFormat="false" ht="15.75" hidden="false" customHeight="false" outlineLevel="0" collapsed="false">
      <c r="A628" s="127"/>
      <c r="B628" s="127"/>
      <c r="C628" s="127"/>
      <c r="D628" s="127"/>
      <c r="E628" s="127"/>
      <c r="F628" s="127"/>
      <c r="G628" s="127"/>
      <c r="H628" s="127"/>
      <c r="I628" s="127"/>
      <c r="J628" s="127"/>
      <c r="K628" s="127"/>
      <c r="L628" s="127"/>
      <c r="M628" s="127"/>
      <c r="N628" s="127"/>
      <c r="O628" s="127"/>
      <c r="P628" s="127"/>
      <c r="Q628" s="127"/>
      <c r="R628" s="127"/>
      <c r="S628" s="127"/>
      <c r="T628" s="127"/>
      <c r="U628" s="127"/>
      <c r="V628" s="127"/>
      <c r="W628" s="127"/>
      <c r="X628" s="127"/>
      <c r="Y628" s="127"/>
      <c r="Z628" s="127"/>
    </row>
    <row r="629" customFormat="false" ht="15.75" hidden="false" customHeight="false" outlineLevel="0" collapsed="false">
      <c r="A629" s="127"/>
      <c r="B629" s="127"/>
      <c r="C629" s="127"/>
      <c r="D629" s="127"/>
      <c r="E629" s="127"/>
      <c r="F629" s="127"/>
      <c r="G629" s="127"/>
      <c r="H629" s="127"/>
      <c r="I629" s="127"/>
      <c r="J629" s="127"/>
      <c r="K629" s="127"/>
      <c r="L629" s="127"/>
      <c r="M629" s="127"/>
      <c r="N629" s="127"/>
      <c r="O629" s="127"/>
      <c r="P629" s="127"/>
      <c r="Q629" s="127"/>
      <c r="R629" s="127"/>
      <c r="S629" s="127"/>
      <c r="T629" s="127"/>
      <c r="U629" s="127"/>
      <c r="V629" s="127"/>
      <c r="W629" s="127"/>
      <c r="X629" s="127"/>
      <c r="Y629" s="127"/>
      <c r="Z629" s="127"/>
    </row>
    <row r="630" customFormat="false" ht="15.75" hidden="false" customHeight="false" outlineLevel="0" collapsed="false">
      <c r="A630" s="127"/>
      <c r="B630" s="127"/>
      <c r="C630" s="127"/>
      <c r="D630" s="127"/>
      <c r="E630" s="127"/>
      <c r="F630" s="127"/>
      <c r="G630" s="127"/>
      <c r="H630" s="127"/>
      <c r="I630" s="127"/>
      <c r="J630" s="127"/>
      <c r="K630" s="127"/>
      <c r="L630" s="127"/>
      <c r="M630" s="127"/>
      <c r="N630" s="127"/>
      <c r="O630" s="127"/>
      <c r="P630" s="127"/>
      <c r="Q630" s="127"/>
      <c r="R630" s="127"/>
      <c r="S630" s="127"/>
      <c r="T630" s="127"/>
      <c r="U630" s="127"/>
      <c r="V630" s="127"/>
      <c r="W630" s="127"/>
      <c r="X630" s="127"/>
      <c r="Y630" s="127"/>
      <c r="Z630" s="127"/>
    </row>
    <row r="631" customFormat="false" ht="15.75" hidden="false" customHeight="false" outlineLevel="0" collapsed="false">
      <c r="A631" s="127"/>
      <c r="B631" s="127"/>
      <c r="C631" s="127"/>
      <c r="D631" s="127"/>
      <c r="E631" s="127"/>
      <c r="F631" s="127"/>
      <c r="G631" s="127"/>
      <c r="H631" s="127"/>
      <c r="I631" s="127"/>
      <c r="J631" s="127"/>
      <c r="K631" s="127"/>
      <c r="L631" s="127"/>
      <c r="M631" s="127"/>
      <c r="N631" s="127"/>
      <c r="O631" s="127"/>
      <c r="P631" s="127"/>
      <c r="Q631" s="127"/>
      <c r="R631" s="127"/>
      <c r="S631" s="127"/>
      <c r="T631" s="127"/>
      <c r="U631" s="127"/>
      <c r="V631" s="127"/>
      <c r="W631" s="127"/>
      <c r="X631" s="127"/>
      <c r="Y631" s="127"/>
      <c r="Z631" s="127"/>
    </row>
    <row r="632" customFormat="false" ht="15.75" hidden="false" customHeight="false" outlineLevel="0" collapsed="false">
      <c r="A632" s="127"/>
      <c r="B632" s="127"/>
      <c r="C632" s="127"/>
      <c r="D632" s="127"/>
      <c r="E632" s="127"/>
      <c r="F632" s="127"/>
      <c r="G632" s="127"/>
      <c r="H632" s="127"/>
      <c r="I632" s="127"/>
      <c r="J632" s="127"/>
      <c r="K632" s="127"/>
      <c r="L632" s="127"/>
      <c r="M632" s="127"/>
      <c r="N632" s="127"/>
      <c r="O632" s="127"/>
      <c r="P632" s="127"/>
      <c r="Q632" s="127"/>
      <c r="R632" s="127"/>
      <c r="S632" s="127"/>
      <c r="T632" s="127"/>
      <c r="U632" s="127"/>
      <c r="V632" s="127"/>
      <c r="W632" s="127"/>
      <c r="X632" s="127"/>
      <c r="Y632" s="127"/>
      <c r="Z632" s="127"/>
    </row>
    <row r="633" customFormat="false" ht="15.75" hidden="false" customHeight="false" outlineLevel="0" collapsed="false">
      <c r="A633" s="127"/>
      <c r="B633" s="127"/>
      <c r="C633" s="127"/>
      <c r="D633" s="127"/>
      <c r="E633" s="127"/>
      <c r="F633" s="127"/>
      <c r="G633" s="127"/>
      <c r="H633" s="127"/>
      <c r="I633" s="127"/>
      <c r="J633" s="127"/>
      <c r="K633" s="127"/>
      <c r="L633" s="127"/>
      <c r="M633" s="127"/>
      <c r="N633" s="127"/>
      <c r="O633" s="127"/>
      <c r="P633" s="127"/>
      <c r="Q633" s="127"/>
      <c r="R633" s="127"/>
      <c r="S633" s="127"/>
      <c r="T633" s="127"/>
      <c r="U633" s="127"/>
      <c r="V633" s="127"/>
      <c r="W633" s="127"/>
      <c r="X633" s="127"/>
      <c r="Y633" s="127"/>
      <c r="Z633" s="127"/>
    </row>
    <row r="634" customFormat="false" ht="15.75" hidden="false" customHeight="false" outlineLevel="0" collapsed="false">
      <c r="A634" s="127"/>
      <c r="B634" s="127"/>
      <c r="C634" s="127"/>
      <c r="D634" s="127"/>
      <c r="E634" s="127"/>
      <c r="F634" s="127"/>
      <c r="G634" s="127"/>
      <c r="H634" s="127"/>
      <c r="I634" s="127"/>
      <c r="J634" s="127"/>
      <c r="K634" s="127"/>
      <c r="L634" s="127"/>
      <c r="M634" s="127"/>
      <c r="N634" s="127"/>
      <c r="O634" s="127"/>
      <c r="P634" s="127"/>
      <c r="Q634" s="127"/>
      <c r="R634" s="127"/>
      <c r="S634" s="127"/>
      <c r="T634" s="127"/>
      <c r="U634" s="127"/>
      <c r="V634" s="127"/>
      <c r="W634" s="127"/>
      <c r="X634" s="127"/>
      <c r="Y634" s="127"/>
      <c r="Z634" s="127"/>
    </row>
    <row r="635" customFormat="false" ht="15.75" hidden="false" customHeight="false" outlineLevel="0" collapsed="false">
      <c r="A635" s="127"/>
      <c r="B635" s="127"/>
      <c r="C635" s="127"/>
      <c r="D635" s="127"/>
      <c r="E635" s="127"/>
      <c r="F635" s="127"/>
      <c r="G635" s="127"/>
      <c r="H635" s="127"/>
      <c r="I635" s="127"/>
      <c r="J635" s="127"/>
      <c r="K635" s="127"/>
      <c r="L635" s="127"/>
      <c r="M635" s="127"/>
      <c r="N635" s="127"/>
      <c r="O635" s="127"/>
      <c r="P635" s="127"/>
      <c r="Q635" s="127"/>
      <c r="R635" s="127"/>
      <c r="S635" s="127"/>
      <c r="T635" s="127"/>
      <c r="U635" s="127"/>
      <c r="V635" s="127"/>
      <c r="W635" s="127"/>
      <c r="X635" s="127"/>
      <c r="Y635" s="127"/>
      <c r="Z635" s="127"/>
    </row>
    <row r="636" customFormat="false" ht="15.75" hidden="false" customHeight="false" outlineLevel="0" collapsed="false">
      <c r="A636" s="127"/>
      <c r="B636" s="127"/>
      <c r="C636" s="127"/>
      <c r="D636" s="127"/>
      <c r="E636" s="127"/>
      <c r="F636" s="127"/>
      <c r="G636" s="127"/>
      <c r="H636" s="127"/>
      <c r="I636" s="127"/>
      <c r="J636" s="127"/>
      <c r="K636" s="127"/>
      <c r="L636" s="127"/>
      <c r="M636" s="127"/>
      <c r="N636" s="127"/>
      <c r="O636" s="127"/>
      <c r="P636" s="127"/>
      <c r="Q636" s="127"/>
      <c r="R636" s="127"/>
      <c r="S636" s="127"/>
      <c r="T636" s="127"/>
      <c r="U636" s="127"/>
      <c r="V636" s="127"/>
      <c r="W636" s="127"/>
      <c r="X636" s="127"/>
      <c r="Y636" s="127"/>
      <c r="Z636" s="127"/>
    </row>
    <row r="637" customFormat="false" ht="15.75" hidden="false" customHeight="false" outlineLevel="0" collapsed="false">
      <c r="A637" s="127"/>
      <c r="B637" s="127"/>
      <c r="C637" s="127"/>
      <c r="D637" s="127"/>
      <c r="E637" s="127"/>
      <c r="F637" s="127"/>
      <c r="G637" s="127"/>
      <c r="H637" s="127"/>
      <c r="I637" s="127"/>
      <c r="J637" s="127"/>
      <c r="K637" s="127"/>
      <c r="L637" s="127"/>
      <c r="M637" s="127"/>
      <c r="N637" s="127"/>
      <c r="O637" s="127"/>
      <c r="P637" s="127"/>
      <c r="Q637" s="127"/>
      <c r="R637" s="127"/>
      <c r="S637" s="127"/>
      <c r="T637" s="127"/>
      <c r="U637" s="127"/>
      <c r="V637" s="127"/>
      <c r="W637" s="127"/>
      <c r="X637" s="127"/>
      <c r="Y637" s="127"/>
      <c r="Z637" s="127"/>
    </row>
    <row r="638" customFormat="false" ht="15.75" hidden="false" customHeight="false" outlineLevel="0" collapsed="false">
      <c r="A638" s="127"/>
      <c r="B638" s="127"/>
      <c r="C638" s="127"/>
      <c r="D638" s="127"/>
      <c r="E638" s="127"/>
      <c r="F638" s="127"/>
      <c r="G638" s="127"/>
      <c r="H638" s="127"/>
      <c r="I638" s="127"/>
      <c r="J638" s="127"/>
      <c r="K638" s="127"/>
      <c r="L638" s="127"/>
      <c r="M638" s="127"/>
      <c r="N638" s="127"/>
      <c r="O638" s="127"/>
      <c r="P638" s="127"/>
      <c r="Q638" s="127"/>
      <c r="R638" s="127"/>
      <c r="S638" s="127"/>
      <c r="T638" s="127"/>
      <c r="U638" s="127"/>
      <c r="V638" s="127"/>
      <c r="W638" s="127"/>
      <c r="X638" s="127"/>
      <c r="Y638" s="127"/>
      <c r="Z638" s="127"/>
    </row>
    <row r="639" customFormat="false" ht="15.75" hidden="false" customHeight="false" outlineLevel="0" collapsed="false">
      <c r="A639" s="127"/>
      <c r="B639" s="127"/>
      <c r="C639" s="127"/>
      <c r="D639" s="127"/>
      <c r="E639" s="127"/>
      <c r="F639" s="127"/>
      <c r="G639" s="127"/>
      <c r="H639" s="127"/>
      <c r="I639" s="127"/>
      <c r="J639" s="127"/>
      <c r="K639" s="127"/>
      <c r="L639" s="127"/>
      <c r="M639" s="127"/>
      <c r="N639" s="127"/>
      <c r="O639" s="127"/>
      <c r="P639" s="127"/>
      <c r="Q639" s="127"/>
      <c r="R639" s="127"/>
      <c r="S639" s="127"/>
      <c r="T639" s="127"/>
      <c r="U639" s="127"/>
      <c r="V639" s="127"/>
      <c r="W639" s="127"/>
      <c r="X639" s="127"/>
      <c r="Y639" s="127"/>
      <c r="Z639" s="127"/>
    </row>
    <row r="640" customFormat="false" ht="15.75" hidden="false" customHeight="false" outlineLevel="0" collapsed="false">
      <c r="A640" s="127"/>
      <c r="B640" s="127"/>
      <c r="C640" s="127"/>
      <c r="D640" s="127"/>
      <c r="E640" s="127"/>
      <c r="F640" s="127"/>
      <c r="G640" s="127"/>
      <c r="H640" s="127"/>
      <c r="I640" s="127"/>
      <c r="J640" s="127"/>
      <c r="K640" s="127"/>
      <c r="L640" s="127"/>
      <c r="M640" s="127"/>
      <c r="N640" s="127"/>
      <c r="O640" s="127"/>
      <c r="P640" s="127"/>
      <c r="Q640" s="127"/>
      <c r="R640" s="127"/>
      <c r="S640" s="127"/>
      <c r="T640" s="127"/>
      <c r="U640" s="127"/>
      <c r="V640" s="127"/>
      <c r="W640" s="127"/>
      <c r="X640" s="127"/>
      <c r="Y640" s="127"/>
      <c r="Z640" s="127"/>
    </row>
    <row r="641" customFormat="false" ht="15.75" hidden="false" customHeight="false" outlineLevel="0" collapsed="false">
      <c r="A641" s="127"/>
      <c r="B641" s="127"/>
      <c r="C641" s="127"/>
      <c r="D641" s="127"/>
      <c r="E641" s="127"/>
      <c r="F641" s="127"/>
      <c r="G641" s="127"/>
      <c r="H641" s="127"/>
      <c r="I641" s="127"/>
      <c r="J641" s="127"/>
      <c r="K641" s="127"/>
      <c r="L641" s="127"/>
      <c r="M641" s="127"/>
      <c r="N641" s="127"/>
      <c r="O641" s="127"/>
      <c r="P641" s="127"/>
      <c r="Q641" s="127"/>
      <c r="R641" s="127"/>
      <c r="S641" s="127"/>
      <c r="T641" s="127"/>
      <c r="U641" s="127"/>
      <c r="V641" s="127"/>
      <c r="W641" s="127"/>
      <c r="X641" s="127"/>
      <c r="Y641" s="127"/>
      <c r="Z641" s="127"/>
    </row>
    <row r="642" customFormat="false" ht="15.75" hidden="false" customHeight="false" outlineLevel="0" collapsed="false">
      <c r="A642" s="127"/>
      <c r="B642" s="127"/>
      <c r="C642" s="127"/>
      <c r="D642" s="127"/>
      <c r="E642" s="127"/>
      <c r="F642" s="127"/>
      <c r="G642" s="127"/>
      <c r="H642" s="127"/>
      <c r="I642" s="127"/>
      <c r="J642" s="127"/>
      <c r="K642" s="127"/>
      <c r="L642" s="127"/>
      <c r="M642" s="127"/>
      <c r="N642" s="127"/>
      <c r="O642" s="127"/>
      <c r="P642" s="127"/>
      <c r="Q642" s="127"/>
      <c r="R642" s="127"/>
      <c r="S642" s="127"/>
      <c r="T642" s="127"/>
      <c r="U642" s="127"/>
      <c r="V642" s="127"/>
      <c r="W642" s="127"/>
      <c r="X642" s="127"/>
      <c r="Y642" s="127"/>
      <c r="Z642" s="127"/>
    </row>
    <row r="643" customFormat="false" ht="15.75" hidden="false" customHeight="false" outlineLevel="0" collapsed="false">
      <c r="A643" s="127"/>
      <c r="B643" s="127"/>
      <c r="C643" s="127"/>
      <c r="D643" s="127"/>
      <c r="E643" s="127"/>
      <c r="F643" s="127"/>
      <c r="G643" s="127"/>
      <c r="H643" s="127"/>
      <c r="I643" s="127"/>
      <c r="J643" s="127"/>
      <c r="K643" s="127"/>
      <c r="L643" s="127"/>
      <c r="M643" s="127"/>
      <c r="N643" s="127"/>
      <c r="O643" s="127"/>
      <c r="P643" s="127"/>
      <c r="Q643" s="127"/>
      <c r="R643" s="127"/>
      <c r="S643" s="127"/>
      <c r="T643" s="127"/>
      <c r="U643" s="127"/>
      <c r="V643" s="127"/>
      <c r="W643" s="127"/>
      <c r="X643" s="127"/>
      <c r="Y643" s="127"/>
      <c r="Z643" s="127"/>
    </row>
    <row r="644" customFormat="false" ht="15.75" hidden="false" customHeight="false" outlineLevel="0" collapsed="false">
      <c r="A644" s="127"/>
      <c r="B644" s="127"/>
      <c r="C644" s="127"/>
      <c r="D644" s="127"/>
      <c r="E644" s="127"/>
      <c r="F644" s="127"/>
      <c r="G644" s="127"/>
      <c r="H644" s="127"/>
      <c r="I644" s="127"/>
      <c r="J644" s="127"/>
      <c r="K644" s="127"/>
      <c r="L644" s="127"/>
      <c r="M644" s="127"/>
      <c r="N644" s="127"/>
      <c r="O644" s="127"/>
      <c r="P644" s="127"/>
      <c r="Q644" s="127"/>
      <c r="R644" s="127"/>
      <c r="S644" s="127"/>
      <c r="T644" s="127"/>
      <c r="U644" s="127"/>
      <c r="V644" s="127"/>
      <c r="W644" s="127"/>
      <c r="X644" s="127"/>
      <c r="Y644" s="127"/>
      <c r="Z644" s="127"/>
    </row>
    <row r="645" customFormat="false" ht="15.75" hidden="false" customHeight="false" outlineLevel="0" collapsed="false">
      <c r="A645" s="127"/>
      <c r="B645" s="127"/>
      <c r="C645" s="127"/>
      <c r="D645" s="127"/>
      <c r="E645" s="127"/>
      <c r="F645" s="127"/>
      <c r="G645" s="127"/>
      <c r="H645" s="127"/>
      <c r="I645" s="127"/>
      <c r="J645" s="127"/>
      <c r="K645" s="127"/>
      <c r="L645" s="127"/>
      <c r="M645" s="127"/>
      <c r="N645" s="127"/>
      <c r="O645" s="127"/>
      <c r="P645" s="127"/>
      <c r="Q645" s="127"/>
      <c r="R645" s="127"/>
      <c r="S645" s="127"/>
      <c r="T645" s="127"/>
      <c r="U645" s="127"/>
      <c r="V645" s="127"/>
      <c r="W645" s="127"/>
      <c r="X645" s="127"/>
      <c r="Y645" s="127"/>
      <c r="Z645" s="127"/>
    </row>
    <row r="646" customFormat="false" ht="15.75" hidden="false" customHeight="false" outlineLevel="0" collapsed="false">
      <c r="A646" s="127"/>
      <c r="B646" s="127"/>
      <c r="C646" s="127"/>
      <c r="D646" s="127"/>
      <c r="E646" s="127"/>
      <c r="F646" s="127"/>
      <c r="G646" s="127"/>
      <c r="H646" s="127"/>
      <c r="I646" s="127"/>
      <c r="J646" s="127"/>
      <c r="K646" s="127"/>
      <c r="L646" s="127"/>
      <c r="M646" s="127"/>
      <c r="N646" s="127"/>
      <c r="O646" s="127"/>
      <c r="P646" s="127"/>
      <c r="Q646" s="127"/>
      <c r="R646" s="127"/>
      <c r="S646" s="127"/>
      <c r="T646" s="127"/>
      <c r="U646" s="127"/>
      <c r="V646" s="127"/>
      <c r="W646" s="127"/>
      <c r="X646" s="127"/>
      <c r="Y646" s="127"/>
      <c r="Z646" s="127"/>
    </row>
    <row r="647" customFormat="false" ht="15.75" hidden="false" customHeight="false" outlineLevel="0" collapsed="false">
      <c r="A647" s="127"/>
      <c r="B647" s="127"/>
      <c r="C647" s="127"/>
      <c r="D647" s="127"/>
      <c r="E647" s="127"/>
      <c r="F647" s="127"/>
      <c r="G647" s="127"/>
      <c r="H647" s="127"/>
      <c r="I647" s="127"/>
      <c r="J647" s="127"/>
      <c r="K647" s="127"/>
      <c r="L647" s="127"/>
      <c r="M647" s="127"/>
      <c r="N647" s="127"/>
      <c r="O647" s="127"/>
      <c r="P647" s="127"/>
      <c r="Q647" s="127"/>
      <c r="R647" s="127"/>
      <c r="S647" s="127"/>
      <c r="T647" s="127"/>
      <c r="U647" s="127"/>
      <c r="V647" s="127"/>
      <c r="W647" s="127"/>
      <c r="X647" s="127"/>
      <c r="Y647" s="127"/>
      <c r="Z647" s="127"/>
    </row>
    <row r="648" customFormat="false" ht="15.75" hidden="false" customHeight="false" outlineLevel="0" collapsed="false">
      <c r="A648" s="127"/>
      <c r="B648" s="127"/>
      <c r="C648" s="127"/>
      <c r="D648" s="127"/>
      <c r="E648" s="127"/>
      <c r="F648" s="127"/>
      <c r="G648" s="127"/>
      <c r="H648" s="127"/>
      <c r="I648" s="127"/>
      <c r="J648" s="127"/>
      <c r="K648" s="127"/>
      <c r="L648" s="127"/>
      <c r="M648" s="127"/>
      <c r="N648" s="127"/>
      <c r="O648" s="127"/>
      <c r="P648" s="127"/>
      <c r="Q648" s="127"/>
      <c r="R648" s="127"/>
      <c r="S648" s="127"/>
      <c r="T648" s="127"/>
      <c r="U648" s="127"/>
      <c r="V648" s="127"/>
      <c r="W648" s="127"/>
      <c r="X648" s="127"/>
      <c r="Y648" s="127"/>
      <c r="Z648" s="127"/>
    </row>
    <row r="649" customFormat="false" ht="15.75" hidden="false" customHeight="false" outlineLevel="0" collapsed="false">
      <c r="A649" s="127"/>
      <c r="B649" s="127"/>
      <c r="C649" s="127"/>
      <c r="D649" s="127"/>
      <c r="E649" s="127"/>
      <c r="F649" s="127"/>
      <c r="G649" s="127"/>
      <c r="H649" s="127"/>
      <c r="I649" s="127"/>
      <c r="J649" s="127"/>
      <c r="K649" s="127"/>
      <c r="L649" s="127"/>
      <c r="M649" s="127"/>
      <c r="N649" s="127"/>
      <c r="O649" s="127"/>
      <c r="P649" s="127"/>
      <c r="Q649" s="127"/>
      <c r="R649" s="127"/>
      <c r="S649" s="127"/>
      <c r="T649" s="127"/>
      <c r="U649" s="127"/>
      <c r="V649" s="127"/>
      <c r="W649" s="127"/>
      <c r="X649" s="127"/>
      <c r="Y649" s="127"/>
      <c r="Z649" s="127"/>
    </row>
    <row r="650" customFormat="false" ht="15.75" hidden="false" customHeight="false" outlineLevel="0" collapsed="false">
      <c r="A650" s="127"/>
      <c r="B650" s="127"/>
      <c r="C650" s="127"/>
      <c r="D650" s="127"/>
      <c r="E650" s="127"/>
      <c r="F650" s="127"/>
      <c r="G650" s="127"/>
      <c r="H650" s="127"/>
      <c r="I650" s="127"/>
      <c r="J650" s="127"/>
      <c r="K650" s="127"/>
      <c r="L650" s="127"/>
      <c r="M650" s="127"/>
      <c r="N650" s="127"/>
      <c r="O650" s="127"/>
      <c r="P650" s="127"/>
      <c r="Q650" s="127"/>
      <c r="R650" s="127"/>
      <c r="S650" s="127"/>
      <c r="T650" s="127"/>
      <c r="U650" s="127"/>
      <c r="V650" s="127"/>
      <c r="W650" s="127"/>
      <c r="X650" s="127"/>
      <c r="Y650" s="127"/>
      <c r="Z650" s="127"/>
    </row>
    <row r="651" customFormat="false" ht="15.75" hidden="false" customHeight="false" outlineLevel="0" collapsed="false">
      <c r="A651" s="127"/>
      <c r="B651" s="127"/>
      <c r="C651" s="127"/>
      <c r="D651" s="127"/>
      <c r="E651" s="127"/>
      <c r="F651" s="127"/>
      <c r="G651" s="127"/>
      <c r="H651" s="127"/>
      <c r="I651" s="127"/>
      <c r="J651" s="127"/>
      <c r="K651" s="127"/>
      <c r="L651" s="127"/>
      <c r="M651" s="127"/>
      <c r="N651" s="127"/>
      <c r="O651" s="127"/>
      <c r="P651" s="127"/>
      <c r="Q651" s="127"/>
      <c r="R651" s="127"/>
      <c r="S651" s="127"/>
      <c r="T651" s="127"/>
      <c r="U651" s="127"/>
      <c r="V651" s="127"/>
      <c r="W651" s="127"/>
      <c r="X651" s="127"/>
      <c r="Y651" s="127"/>
      <c r="Z651" s="127"/>
    </row>
    <row r="652" customFormat="false" ht="15.75" hidden="false" customHeight="false" outlineLevel="0" collapsed="false">
      <c r="A652" s="127"/>
      <c r="B652" s="127"/>
      <c r="C652" s="127"/>
      <c r="D652" s="127"/>
      <c r="E652" s="127"/>
      <c r="F652" s="127"/>
      <c r="G652" s="127"/>
      <c r="H652" s="127"/>
      <c r="I652" s="127"/>
      <c r="J652" s="127"/>
      <c r="K652" s="127"/>
      <c r="L652" s="127"/>
      <c r="M652" s="127"/>
      <c r="N652" s="127"/>
      <c r="O652" s="127"/>
      <c r="P652" s="127"/>
      <c r="Q652" s="127"/>
      <c r="R652" s="127"/>
      <c r="S652" s="127"/>
      <c r="T652" s="127"/>
      <c r="U652" s="127"/>
      <c r="V652" s="127"/>
      <c r="W652" s="127"/>
      <c r="X652" s="127"/>
      <c r="Y652" s="127"/>
      <c r="Z652" s="127"/>
    </row>
    <row r="653" customFormat="false" ht="15.75" hidden="false" customHeight="false" outlineLevel="0" collapsed="false">
      <c r="A653" s="127"/>
      <c r="B653" s="127"/>
      <c r="C653" s="127"/>
      <c r="D653" s="127"/>
      <c r="E653" s="127"/>
      <c r="F653" s="127"/>
      <c r="G653" s="127"/>
      <c r="H653" s="127"/>
      <c r="I653" s="127"/>
      <c r="J653" s="127"/>
      <c r="K653" s="127"/>
      <c r="L653" s="127"/>
      <c r="M653" s="127"/>
      <c r="N653" s="127"/>
      <c r="O653" s="127"/>
      <c r="P653" s="127"/>
      <c r="Q653" s="127"/>
      <c r="R653" s="127"/>
      <c r="S653" s="127"/>
      <c r="T653" s="127"/>
      <c r="U653" s="127"/>
      <c r="V653" s="127"/>
      <c r="W653" s="127"/>
      <c r="X653" s="127"/>
      <c r="Y653" s="127"/>
      <c r="Z653" s="127"/>
    </row>
    <row r="654" customFormat="false" ht="15.75" hidden="false" customHeight="false" outlineLevel="0" collapsed="false">
      <c r="A654" s="127"/>
      <c r="B654" s="127"/>
      <c r="C654" s="127"/>
      <c r="D654" s="127"/>
      <c r="E654" s="127"/>
      <c r="F654" s="127"/>
      <c r="G654" s="127"/>
      <c r="H654" s="127"/>
      <c r="I654" s="127"/>
      <c r="J654" s="127"/>
      <c r="K654" s="127"/>
      <c r="L654" s="127"/>
      <c r="M654" s="127"/>
      <c r="N654" s="127"/>
      <c r="O654" s="127"/>
      <c r="P654" s="127"/>
      <c r="Q654" s="127"/>
      <c r="R654" s="127"/>
      <c r="S654" s="127"/>
      <c r="T654" s="127"/>
      <c r="U654" s="127"/>
      <c r="V654" s="127"/>
      <c r="W654" s="127"/>
      <c r="X654" s="127"/>
      <c r="Y654" s="127"/>
      <c r="Z654" s="127"/>
    </row>
    <row r="655" customFormat="false" ht="15.75" hidden="false" customHeight="false" outlineLevel="0" collapsed="false">
      <c r="A655" s="127"/>
      <c r="B655" s="127"/>
      <c r="C655" s="127"/>
      <c r="D655" s="127"/>
      <c r="E655" s="127"/>
      <c r="F655" s="127"/>
      <c r="G655" s="127"/>
      <c r="H655" s="127"/>
      <c r="I655" s="127"/>
      <c r="J655" s="127"/>
      <c r="K655" s="127"/>
      <c r="L655" s="127"/>
      <c r="M655" s="127"/>
      <c r="N655" s="127"/>
      <c r="O655" s="127"/>
      <c r="P655" s="127"/>
      <c r="Q655" s="127"/>
      <c r="R655" s="127"/>
      <c r="S655" s="127"/>
      <c r="T655" s="127"/>
      <c r="U655" s="127"/>
      <c r="V655" s="127"/>
      <c r="W655" s="127"/>
      <c r="X655" s="127"/>
      <c r="Y655" s="127"/>
      <c r="Z655" s="127"/>
    </row>
    <row r="656" customFormat="false" ht="15.75" hidden="false" customHeight="false" outlineLevel="0" collapsed="false">
      <c r="A656" s="127"/>
      <c r="B656" s="127"/>
      <c r="C656" s="127"/>
      <c r="D656" s="127"/>
      <c r="E656" s="127"/>
      <c r="F656" s="127"/>
      <c r="G656" s="127"/>
      <c r="H656" s="127"/>
      <c r="I656" s="127"/>
      <c r="J656" s="127"/>
      <c r="K656" s="127"/>
      <c r="L656" s="127"/>
      <c r="M656" s="127"/>
      <c r="N656" s="127"/>
      <c r="O656" s="127"/>
      <c r="P656" s="127"/>
      <c r="Q656" s="127"/>
      <c r="R656" s="127"/>
      <c r="S656" s="127"/>
      <c r="T656" s="127"/>
      <c r="U656" s="127"/>
      <c r="V656" s="127"/>
      <c r="W656" s="127"/>
      <c r="X656" s="127"/>
      <c r="Y656" s="127"/>
      <c r="Z656" s="127"/>
    </row>
    <row r="657" customFormat="false" ht="15.75" hidden="false" customHeight="false" outlineLevel="0" collapsed="false">
      <c r="A657" s="127"/>
      <c r="B657" s="127"/>
      <c r="C657" s="127"/>
      <c r="D657" s="127"/>
      <c r="E657" s="127"/>
      <c r="F657" s="127"/>
      <c r="G657" s="127"/>
      <c r="H657" s="127"/>
      <c r="I657" s="127"/>
      <c r="J657" s="127"/>
      <c r="K657" s="127"/>
      <c r="L657" s="127"/>
      <c r="M657" s="127"/>
      <c r="N657" s="127"/>
      <c r="O657" s="127"/>
      <c r="P657" s="127"/>
      <c r="Q657" s="127"/>
      <c r="R657" s="127"/>
      <c r="S657" s="127"/>
      <c r="T657" s="127"/>
      <c r="U657" s="127"/>
      <c r="V657" s="127"/>
      <c r="W657" s="127"/>
      <c r="X657" s="127"/>
      <c r="Y657" s="127"/>
      <c r="Z657" s="127"/>
    </row>
    <row r="658" customFormat="false" ht="15.75" hidden="false" customHeight="false" outlineLevel="0" collapsed="false">
      <c r="A658" s="127"/>
      <c r="B658" s="127"/>
      <c r="C658" s="127"/>
      <c r="D658" s="127"/>
      <c r="E658" s="127"/>
      <c r="F658" s="127"/>
      <c r="G658" s="127"/>
      <c r="H658" s="127"/>
      <c r="I658" s="127"/>
      <c r="J658" s="127"/>
      <c r="K658" s="127"/>
      <c r="L658" s="127"/>
      <c r="M658" s="127"/>
      <c r="N658" s="127"/>
      <c r="O658" s="127"/>
      <c r="P658" s="127"/>
      <c r="Q658" s="127"/>
      <c r="R658" s="127"/>
      <c r="S658" s="127"/>
      <c r="T658" s="127"/>
      <c r="U658" s="127"/>
      <c r="V658" s="127"/>
      <c r="W658" s="127"/>
      <c r="X658" s="127"/>
      <c r="Y658" s="127"/>
      <c r="Z658" s="127"/>
    </row>
    <row r="659" customFormat="false" ht="15.75" hidden="false" customHeight="false" outlineLevel="0" collapsed="false">
      <c r="A659" s="127"/>
      <c r="B659" s="127"/>
      <c r="C659" s="127"/>
      <c r="D659" s="127"/>
      <c r="E659" s="127"/>
      <c r="F659" s="127"/>
      <c r="G659" s="127"/>
      <c r="H659" s="127"/>
      <c r="I659" s="127"/>
      <c r="J659" s="127"/>
      <c r="K659" s="127"/>
      <c r="L659" s="127"/>
      <c r="M659" s="127"/>
      <c r="N659" s="127"/>
      <c r="O659" s="127"/>
      <c r="P659" s="127"/>
      <c r="Q659" s="127"/>
      <c r="R659" s="127"/>
      <c r="S659" s="127"/>
      <c r="T659" s="127"/>
      <c r="U659" s="127"/>
      <c r="V659" s="127"/>
      <c r="W659" s="127"/>
      <c r="X659" s="127"/>
      <c r="Y659" s="127"/>
      <c r="Z659" s="127"/>
    </row>
    <row r="660" customFormat="false" ht="15.75" hidden="false" customHeight="false" outlineLevel="0" collapsed="false">
      <c r="A660" s="127"/>
      <c r="B660" s="127"/>
      <c r="C660" s="127"/>
      <c r="D660" s="127"/>
      <c r="E660" s="127"/>
      <c r="F660" s="127"/>
      <c r="G660" s="127"/>
      <c r="H660" s="127"/>
      <c r="I660" s="127"/>
      <c r="J660" s="127"/>
      <c r="K660" s="127"/>
      <c r="L660" s="127"/>
      <c r="M660" s="127"/>
      <c r="N660" s="127"/>
      <c r="O660" s="127"/>
      <c r="P660" s="127"/>
      <c r="Q660" s="127"/>
      <c r="R660" s="127"/>
      <c r="S660" s="127"/>
      <c r="T660" s="127"/>
      <c r="U660" s="127"/>
      <c r="V660" s="127"/>
      <c r="W660" s="127"/>
      <c r="X660" s="127"/>
      <c r="Y660" s="127"/>
      <c r="Z660" s="127"/>
    </row>
    <row r="661" customFormat="false" ht="15.75" hidden="false" customHeight="false" outlineLevel="0" collapsed="false">
      <c r="A661" s="127"/>
      <c r="B661" s="127"/>
      <c r="C661" s="127"/>
      <c r="D661" s="127"/>
      <c r="E661" s="127"/>
      <c r="F661" s="127"/>
      <c r="G661" s="127"/>
      <c r="H661" s="127"/>
      <c r="I661" s="127"/>
      <c r="J661" s="127"/>
      <c r="K661" s="127"/>
      <c r="L661" s="127"/>
      <c r="M661" s="127"/>
      <c r="N661" s="127"/>
      <c r="O661" s="127"/>
      <c r="P661" s="127"/>
      <c r="Q661" s="127"/>
      <c r="R661" s="127"/>
      <c r="S661" s="127"/>
      <c r="T661" s="127"/>
      <c r="U661" s="127"/>
      <c r="V661" s="127"/>
      <c r="W661" s="127"/>
      <c r="X661" s="127"/>
      <c r="Y661" s="127"/>
      <c r="Z661" s="127"/>
    </row>
    <row r="662" customFormat="false" ht="15.75" hidden="false" customHeight="false" outlineLevel="0" collapsed="false">
      <c r="A662" s="127"/>
      <c r="B662" s="127"/>
      <c r="C662" s="127"/>
      <c r="D662" s="127"/>
      <c r="E662" s="127"/>
      <c r="F662" s="127"/>
      <c r="G662" s="127"/>
      <c r="H662" s="127"/>
      <c r="I662" s="127"/>
      <c r="J662" s="127"/>
      <c r="K662" s="127"/>
      <c r="L662" s="127"/>
      <c r="M662" s="127"/>
      <c r="N662" s="127"/>
      <c r="O662" s="127"/>
      <c r="P662" s="127"/>
      <c r="Q662" s="127"/>
      <c r="R662" s="127"/>
      <c r="S662" s="127"/>
      <c r="T662" s="127"/>
      <c r="U662" s="127"/>
      <c r="V662" s="127"/>
      <c r="W662" s="127"/>
      <c r="X662" s="127"/>
      <c r="Y662" s="127"/>
      <c r="Z662" s="127"/>
    </row>
    <row r="663" customFormat="false" ht="15.75" hidden="false" customHeight="false" outlineLevel="0" collapsed="false">
      <c r="A663" s="127"/>
      <c r="B663" s="127"/>
      <c r="C663" s="127"/>
      <c r="D663" s="127"/>
      <c r="E663" s="127"/>
      <c r="F663" s="127"/>
      <c r="G663" s="127"/>
      <c r="H663" s="127"/>
      <c r="I663" s="127"/>
      <c r="J663" s="127"/>
      <c r="K663" s="127"/>
      <c r="L663" s="127"/>
      <c r="M663" s="127"/>
      <c r="N663" s="127"/>
      <c r="O663" s="127"/>
      <c r="P663" s="127"/>
      <c r="Q663" s="127"/>
      <c r="R663" s="127"/>
      <c r="S663" s="127"/>
      <c r="T663" s="127"/>
      <c r="U663" s="127"/>
      <c r="V663" s="127"/>
      <c r="W663" s="127"/>
      <c r="X663" s="127"/>
      <c r="Y663" s="127"/>
      <c r="Z663" s="127"/>
    </row>
    <row r="664" customFormat="false" ht="15.75" hidden="false" customHeight="false" outlineLevel="0" collapsed="false">
      <c r="A664" s="127"/>
      <c r="B664" s="127"/>
      <c r="C664" s="127"/>
      <c r="D664" s="127"/>
      <c r="E664" s="127"/>
      <c r="F664" s="127"/>
      <c r="G664" s="127"/>
      <c r="H664" s="127"/>
      <c r="I664" s="127"/>
      <c r="J664" s="127"/>
      <c r="K664" s="127"/>
      <c r="L664" s="127"/>
      <c r="M664" s="127"/>
      <c r="N664" s="127"/>
      <c r="O664" s="127"/>
      <c r="P664" s="127"/>
      <c r="Q664" s="127"/>
      <c r="R664" s="127"/>
      <c r="S664" s="127"/>
      <c r="T664" s="127"/>
      <c r="U664" s="127"/>
      <c r="V664" s="127"/>
      <c r="W664" s="127"/>
      <c r="X664" s="127"/>
      <c r="Y664" s="127"/>
      <c r="Z664" s="127"/>
    </row>
    <row r="665" customFormat="false" ht="15.75" hidden="false" customHeight="false" outlineLevel="0" collapsed="false">
      <c r="A665" s="127"/>
      <c r="B665" s="127"/>
      <c r="C665" s="127"/>
      <c r="D665" s="127"/>
      <c r="E665" s="127"/>
      <c r="F665" s="127"/>
      <c r="G665" s="127"/>
      <c r="H665" s="127"/>
      <c r="I665" s="127"/>
      <c r="J665" s="127"/>
      <c r="K665" s="127"/>
      <c r="L665" s="127"/>
      <c r="M665" s="127"/>
      <c r="N665" s="127"/>
      <c r="O665" s="127"/>
      <c r="P665" s="127"/>
      <c r="Q665" s="127"/>
      <c r="R665" s="127"/>
      <c r="S665" s="127"/>
      <c r="T665" s="127"/>
      <c r="U665" s="127"/>
      <c r="V665" s="127"/>
      <c r="W665" s="127"/>
      <c r="X665" s="127"/>
      <c r="Y665" s="127"/>
      <c r="Z665" s="127"/>
    </row>
    <row r="666" customFormat="false" ht="15.75" hidden="false" customHeight="false" outlineLevel="0" collapsed="false">
      <c r="A666" s="127"/>
      <c r="B666" s="127"/>
      <c r="C666" s="127"/>
      <c r="D666" s="127"/>
      <c r="E666" s="127"/>
      <c r="F666" s="127"/>
      <c r="G666" s="127"/>
      <c r="H666" s="127"/>
      <c r="I666" s="127"/>
      <c r="J666" s="127"/>
      <c r="K666" s="127"/>
      <c r="L666" s="127"/>
      <c r="M666" s="127"/>
      <c r="N666" s="127"/>
      <c r="O666" s="127"/>
      <c r="P666" s="127"/>
      <c r="Q666" s="127"/>
      <c r="R666" s="127"/>
      <c r="S666" s="127"/>
      <c r="T666" s="127"/>
      <c r="U666" s="127"/>
      <c r="V666" s="127"/>
      <c r="W666" s="127"/>
      <c r="X666" s="127"/>
      <c r="Y666" s="127"/>
      <c r="Z666" s="127"/>
    </row>
    <row r="667" customFormat="false" ht="15.75" hidden="false" customHeight="false" outlineLevel="0" collapsed="false">
      <c r="A667" s="127"/>
      <c r="B667" s="127"/>
      <c r="C667" s="127"/>
      <c r="D667" s="127"/>
      <c r="E667" s="127"/>
      <c r="F667" s="127"/>
      <c r="G667" s="127"/>
      <c r="H667" s="127"/>
      <c r="I667" s="127"/>
      <c r="J667" s="127"/>
      <c r="K667" s="127"/>
      <c r="L667" s="127"/>
      <c r="M667" s="127"/>
      <c r="N667" s="127"/>
      <c r="O667" s="127"/>
      <c r="P667" s="127"/>
      <c r="Q667" s="127"/>
      <c r="R667" s="127"/>
      <c r="S667" s="127"/>
      <c r="T667" s="127"/>
      <c r="U667" s="127"/>
      <c r="V667" s="127"/>
      <c r="W667" s="127"/>
      <c r="X667" s="127"/>
      <c r="Y667" s="127"/>
      <c r="Z667" s="127"/>
    </row>
    <row r="668" customFormat="false" ht="15.75" hidden="false" customHeight="false" outlineLevel="0" collapsed="false">
      <c r="A668" s="127"/>
      <c r="B668" s="127"/>
      <c r="C668" s="127"/>
      <c r="D668" s="127"/>
      <c r="E668" s="127"/>
      <c r="F668" s="127"/>
      <c r="G668" s="127"/>
      <c r="H668" s="127"/>
      <c r="I668" s="127"/>
      <c r="J668" s="127"/>
      <c r="K668" s="127"/>
      <c r="L668" s="127"/>
      <c r="M668" s="127"/>
      <c r="N668" s="127"/>
      <c r="O668" s="127"/>
      <c r="P668" s="127"/>
      <c r="Q668" s="127"/>
      <c r="R668" s="127"/>
      <c r="S668" s="127"/>
      <c r="T668" s="127"/>
      <c r="U668" s="127"/>
      <c r="V668" s="127"/>
      <c r="W668" s="127"/>
      <c r="X668" s="127"/>
      <c r="Y668" s="127"/>
      <c r="Z668" s="127"/>
    </row>
    <row r="669" customFormat="false" ht="15.75" hidden="false" customHeight="false" outlineLevel="0" collapsed="false">
      <c r="A669" s="127"/>
      <c r="B669" s="127"/>
      <c r="C669" s="127"/>
      <c r="D669" s="127"/>
      <c r="E669" s="127"/>
      <c r="F669" s="127"/>
      <c r="G669" s="127"/>
      <c r="H669" s="127"/>
      <c r="I669" s="127"/>
      <c r="J669" s="127"/>
      <c r="K669" s="127"/>
      <c r="L669" s="127"/>
      <c r="M669" s="127"/>
      <c r="N669" s="127"/>
      <c r="O669" s="127"/>
      <c r="P669" s="127"/>
      <c r="Q669" s="127"/>
      <c r="R669" s="127"/>
      <c r="S669" s="127"/>
      <c r="T669" s="127"/>
      <c r="U669" s="127"/>
      <c r="V669" s="127"/>
      <c r="W669" s="127"/>
      <c r="X669" s="127"/>
      <c r="Y669" s="127"/>
      <c r="Z669" s="127"/>
    </row>
    <row r="670" customFormat="false" ht="15.75" hidden="false" customHeight="false" outlineLevel="0" collapsed="false">
      <c r="A670" s="127"/>
      <c r="B670" s="127"/>
      <c r="C670" s="127"/>
      <c r="D670" s="127"/>
      <c r="E670" s="127"/>
      <c r="F670" s="127"/>
      <c r="G670" s="127"/>
      <c r="H670" s="127"/>
      <c r="I670" s="127"/>
      <c r="J670" s="127"/>
      <c r="K670" s="127"/>
      <c r="L670" s="127"/>
      <c r="M670" s="127"/>
      <c r="N670" s="127"/>
      <c r="O670" s="127"/>
      <c r="P670" s="127"/>
      <c r="Q670" s="127"/>
      <c r="R670" s="127"/>
      <c r="S670" s="127"/>
      <c r="T670" s="127"/>
      <c r="U670" s="127"/>
      <c r="V670" s="127"/>
      <c r="W670" s="127"/>
      <c r="X670" s="127"/>
      <c r="Y670" s="127"/>
      <c r="Z670" s="127"/>
    </row>
    <row r="671" customFormat="false" ht="15.75" hidden="false" customHeight="false" outlineLevel="0" collapsed="false">
      <c r="A671" s="127"/>
      <c r="B671" s="127"/>
      <c r="C671" s="127"/>
      <c r="D671" s="127"/>
      <c r="E671" s="127"/>
      <c r="F671" s="127"/>
      <c r="G671" s="127"/>
      <c r="H671" s="127"/>
      <c r="I671" s="127"/>
      <c r="J671" s="127"/>
      <c r="K671" s="127"/>
      <c r="L671" s="127"/>
      <c r="M671" s="127"/>
      <c r="N671" s="127"/>
      <c r="O671" s="127"/>
      <c r="P671" s="127"/>
      <c r="Q671" s="127"/>
      <c r="R671" s="127"/>
      <c r="S671" s="127"/>
      <c r="T671" s="127"/>
      <c r="U671" s="127"/>
      <c r="V671" s="127"/>
      <c r="W671" s="127"/>
      <c r="X671" s="127"/>
      <c r="Y671" s="127"/>
      <c r="Z671" s="127"/>
    </row>
    <row r="672" customFormat="false" ht="15.75" hidden="false" customHeight="false" outlineLevel="0" collapsed="false">
      <c r="A672" s="127"/>
      <c r="B672" s="127"/>
      <c r="C672" s="127"/>
      <c r="D672" s="127"/>
      <c r="E672" s="127"/>
      <c r="F672" s="127"/>
      <c r="G672" s="127"/>
      <c r="H672" s="127"/>
      <c r="I672" s="127"/>
      <c r="J672" s="127"/>
      <c r="K672" s="127"/>
      <c r="L672" s="127"/>
      <c r="M672" s="127"/>
      <c r="N672" s="127"/>
      <c r="O672" s="127"/>
      <c r="P672" s="127"/>
      <c r="Q672" s="127"/>
      <c r="R672" s="127"/>
      <c r="S672" s="127"/>
      <c r="T672" s="127"/>
      <c r="U672" s="127"/>
      <c r="V672" s="127"/>
      <c r="W672" s="127"/>
      <c r="X672" s="127"/>
      <c r="Y672" s="127"/>
      <c r="Z672" s="127"/>
    </row>
    <row r="673" customFormat="false" ht="15.75" hidden="false" customHeight="false" outlineLevel="0" collapsed="false">
      <c r="A673" s="127"/>
      <c r="B673" s="127"/>
      <c r="C673" s="127"/>
      <c r="D673" s="127"/>
      <c r="E673" s="127"/>
      <c r="F673" s="127"/>
      <c r="G673" s="127"/>
      <c r="H673" s="127"/>
      <c r="I673" s="127"/>
      <c r="J673" s="127"/>
      <c r="K673" s="127"/>
      <c r="L673" s="127"/>
      <c r="M673" s="127"/>
      <c r="N673" s="127"/>
      <c r="O673" s="127"/>
      <c r="P673" s="127"/>
      <c r="Q673" s="127"/>
      <c r="R673" s="127"/>
      <c r="S673" s="127"/>
      <c r="T673" s="127"/>
      <c r="U673" s="127"/>
      <c r="V673" s="127"/>
      <c r="W673" s="127"/>
      <c r="X673" s="127"/>
      <c r="Y673" s="127"/>
      <c r="Z673" s="127"/>
    </row>
    <row r="674" customFormat="false" ht="15.75" hidden="false" customHeight="false" outlineLevel="0" collapsed="false">
      <c r="A674" s="127"/>
      <c r="B674" s="127"/>
      <c r="C674" s="127"/>
      <c r="D674" s="127"/>
      <c r="E674" s="127"/>
      <c r="F674" s="127"/>
      <c r="G674" s="127"/>
      <c r="H674" s="127"/>
      <c r="I674" s="127"/>
      <c r="J674" s="127"/>
      <c r="K674" s="127"/>
      <c r="L674" s="127"/>
      <c r="M674" s="127"/>
      <c r="N674" s="127"/>
      <c r="O674" s="127"/>
      <c r="P674" s="127"/>
      <c r="Q674" s="127"/>
      <c r="R674" s="127"/>
      <c r="S674" s="127"/>
      <c r="T674" s="127"/>
      <c r="U674" s="127"/>
      <c r="V674" s="127"/>
      <c r="W674" s="127"/>
      <c r="X674" s="127"/>
      <c r="Y674" s="127"/>
      <c r="Z674" s="127"/>
    </row>
    <row r="675" customFormat="false" ht="15.75" hidden="false" customHeight="false" outlineLevel="0" collapsed="false">
      <c r="A675" s="127"/>
      <c r="B675" s="127"/>
      <c r="C675" s="127"/>
      <c r="D675" s="127"/>
      <c r="E675" s="127"/>
      <c r="F675" s="127"/>
      <c r="G675" s="127"/>
      <c r="H675" s="127"/>
      <c r="I675" s="127"/>
      <c r="J675" s="127"/>
      <c r="K675" s="127"/>
      <c r="L675" s="127"/>
      <c r="M675" s="127"/>
      <c r="N675" s="127"/>
      <c r="O675" s="127"/>
      <c r="P675" s="127"/>
      <c r="Q675" s="127"/>
      <c r="R675" s="127"/>
      <c r="S675" s="127"/>
      <c r="T675" s="127"/>
      <c r="U675" s="127"/>
      <c r="V675" s="127"/>
      <c r="W675" s="127"/>
      <c r="X675" s="127"/>
      <c r="Y675" s="127"/>
      <c r="Z675" s="127"/>
    </row>
    <row r="676" customFormat="false" ht="15.75" hidden="false" customHeight="false" outlineLevel="0" collapsed="false">
      <c r="A676" s="127"/>
      <c r="B676" s="127"/>
      <c r="C676" s="127"/>
      <c r="D676" s="127"/>
      <c r="E676" s="127"/>
      <c r="F676" s="127"/>
      <c r="G676" s="127"/>
      <c r="H676" s="127"/>
      <c r="I676" s="127"/>
      <c r="J676" s="127"/>
      <c r="K676" s="127"/>
      <c r="L676" s="127"/>
      <c r="M676" s="127"/>
      <c r="N676" s="127"/>
      <c r="O676" s="127"/>
      <c r="P676" s="127"/>
      <c r="Q676" s="127"/>
      <c r="R676" s="127"/>
      <c r="S676" s="127"/>
      <c r="T676" s="127"/>
      <c r="U676" s="127"/>
      <c r="V676" s="127"/>
      <c r="W676" s="127"/>
      <c r="X676" s="127"/>
      <c r="Y676" s="127"/>
      <c r="Z676" s="127"/>
    </row>
    <row r="677" customFormat="false" ht="15.75" hidden="false" customHeight="false" outlineLevel="0" collapsed="false">
      <c r="A677" s="127"/>
      <c r="B677" s="127"/>
      <c r="C677" s="127"/>
      <c r="D677" s="127"/>
      <c r="E677" s="127"/>
      <c r="F677" s="127"/>
      <c r="G677" s="127"/>
      <c r="H677" s="127"/>
      <c r="I677" s="127"/>
      <c r="J677" s="127"/>
      <c r="K677" s="127"/>
      <c r="L677" s="127"/>
      <c r="M677" s="127"/>
      <c r="N677" s="127"/>
      <c r="O677" s="127"/>
      <c r="P677" s="127"/>
      <c r="Q677" s="127"/>
      <c r="R677" s="127"/>
      <c r="S677" s="127"/>
      <c r="T677" s="127"/>
      <c r="U677" s="127"/>
      <c r="V677" s="127"/>
      <c r="W677" s="127"/>
      <c r="X677" s="127"/>
      <c r="Y677" s="127"/>
      <c r="Z677" s="127"/>
    </row>
    <row r="678" customFormat="false" ht="15.75" hidden="false" customHeight="false" outlineLevel="0" collapsed="false">
      <c r="A678" s="127"/>
      <c r="B678" s="127"/>
      <c r="C678" s="127"/>
      <c r="D678" s="127"/>
      <c r="E678" s="127"/>
      <c r="F678" s="127"/>
      <c r="G678" s="127"/>
      <c r="H678" s="127"/>
      <c r="I678" s="127"/>
      <c r="J678" s="127"/>
      <c r="K678" s="127"/>
      <c r="L678" s="127"/>
      <c r="M678" s="127"/>
      <c r="N678" s="127"/>
      <c r="O678" s="127"/>
      <c r="P678" s="127"/>
      <c r="Q678" s="127"/>
      <c r="R678" s="127"/>
      <c r="S678" s="127"/>
      <c r="T678" s="127"/>
      <c r="U678" s="127"/>
      <c r="V678" s="127"/>
      <c r="W678" s="127"/>
      <c r="X678" s="127"/>
      <c r="Y678" s="127"/>
      <c r="Z678" s="127"/>
    </row>
    <row r="679" customFormat="false" ht="15.75" hidden="false" customHeight="false" outlineLevel="0" collapsed="false">
      <c r="A679" s="127"/>
      <c r="B679" s="127"/>
      <c r="C679" s="127"/>
      <c r="D679" s="127"/>
      <c r="E679" s="127"/>
      <c r="F679" s="127"/>
      <c r="G679" s="127"/>
      <c r="H679" s="127"/>
      <c r="I679" s="127"/>
      <c r="J679" s="127"/>
      <c r="K679" s="127"/>
      <c r="L679" s="127"/>
      <c r="M679" s="127"/>
      <c r="N679" s="127"/>
      <c r="O679" s="127"/>
      <c r="P679" s="127"/>
      <c r="Q679" s="127"/>
      <c r="R679" s="127"/>
      <c r="S679" s="127"/>
      <c r="T679" s="127"/>
      <c r="U679" s="127"/>
      <c r="V679" s="127"/>
      <c r="W679" s="127"/>
      <c r="X679" s="127"/>
      <c r="Y679" s="127"/>
      <c r="Z679" s="127"/>
    </row>
    <row r="680" customFormat="false" ht="15.75" hidden="false" customHeight="false" outlineLevel="0" collapsed="false">
      <c r="A680" s="127"/>
      <c r="B680" s="127"/>
      <c r="C680" s="127"/>
      <c r="D680" s="127"/>
      <c r="E680" s="127"/>
      <c r="F680" s="127"/>
      <c r="G680" s="127"/>
      <c r="H680" s="127"/>
      <c r="I680" s="127"/>
      <c r="J680" s="127"/>
      <c r="K680" s="127"/>
      <c r="L680" s="127"/>
      <c r="M680" s="127"/>
      <c r="N680" s="127"/>
      <c r="O680" s="127"/>
      <c r="P680" s="127"/>
      <c r="Q680" s="127"/>
      <c r="R680" s="127"/>
      <c r="S680" s="127"/>
      <c r="T680" s="127"/>
      <c r="U680" s="127"/>
      <c r="V680" s="127"/>
      <c r="W680" s="127"/>
      <c r="X680" s="127"/>
      <c r="Y680" s="127"/>
      <c r="Z680" s="127"/>
    </row>
    <row r="681" customFormat="false" ht="15.75" hidden="false" customHeight="false" outlineLevel="0" collapsed="false">
      <c r="A681" s="127"/>
      <c r="B681" s="127"/>
      <c r="C681" s="127"/>
      <c r="D681" s="127"/>
      <c r="E681" s="127"/>
      <c r="F681" s="127"/>
      <c r="G681" s="127"/>
      <c r="H681" s="127"/>
      <c r="I681" s="127"/>
      <c r="J681" s="127"/>
      <c r="K681" s="127"/>
      <c r="L681" s="127"/>
      <c r="M681" s="127"/>
      <c r="N681" s="127"/>
      <c r="O681" s="127"/>
      <c r="P681" s="127"/>
      <c r="Q681" s="127"/>
      <c r="R681" s="127"/>
      <c r="S681" s="127"/>
      <c r="T681" s="127"/>
      <c r="U681" s="127"/>
      <c r="V681" s="127"/>
      <c r="W681" s="127"/>
      <c r="X681" s="127"/>
      <c r="Y681" s="127"/>
      <c r="Z681" s="127"/>
    </row>
    <row r="682" customFormat="false" ht="15.75" hidden="false" customHeight="false" outlineLevel="0" collapsed="false">
      <c r="A682" s="127"/>
      <c r="B682" s="127"/>
      <c r="C682" s="127"/>
      <c r="D682" s="127"/>
      <c r="E682" s="127"/>
      <c r="F682" s="127"/>
      <c r="G682" s="127"/>
      <c r="H682" s="127"/>
      <c r="I682" s="127"/>
      <c r="J682" s="127"/>
      <c r="K682" s="127"/>
      <c r="L682" s="127"/>
      <c r="M682" s="127"/>
      <c r="N682" s="127"/>
      <c r="O682" s="127"/>
      <c r="P682" s="127"/>
      <c r="Q682" s="127"/>
      <c r="R682" s="127"/>
      <c r="S682" s="127"/>
      <c r="T682" s="127"/>
      <c r="U682" s="127"/>
      <c r="V682" s="127"/>
      <c r="W682" s="127"/>
      <c r="X682" s="127"/>
      <c r="Y682" s="127"/>
      <c r="Z682" s="127"/>
    </row>
    <row r="683" customFormat="false" ht="15.75" hidden="false" customHeight="false" outlineLevel="0" collapsed="false">
      <c r="A683" s="127"/>
      <c r="B683" s="127"/>
      <c r="C683" s="127"/>
      <c r="D683" s="127"/>
      <c r="E683" s="127"/>
      <c r="F683" s="127"/>
      <c r="G683" s="127"/>
      <c r="H683" s="127"/>
      <c r="I683" s="127"/>
      <c r="J683" s="127"/>
      <c r="K683" s="127"/>
      <c r="L683" s="127"/>
      <c r="M683" s="127"/>
      <c r="N683" s="127"/>
      <c r="O683" s="127"/>
      <c r="P683" s="127"/>
      <c r="Q683" s="127"/>
      <c r="R683" s="127"/>
      <c r="S683" s="127"/>
      <c r="T683" s="127"/>
      <c r="U683" s="127"/>
      <c r="V683" s="127"/>
      <c r="W683" s="127"/>
      <c r="X683" s="127"/>
      <c r="Y683" s="127"/>
      <c r="Z683" s="127"/>
    </row>
    <row r="684" customFormat="false" ht="15.75" hidden="false" customHeight="false" outlineLevel="0" collapsed="false">
      <c r="A684" s="127"/>
      <c r="B684" s="127"/>
      <c r="C684" s="127"/>
      <c r="D684" s="127"/>
      <c r="E684" s="127"/>
      <c r="F684" s="127"/>
      <c r="G684" s="127"/>
      <c r="H684" s="127"/>
      <c r="I684" s="127"/>
      <c r="J684" s="127"/>
      <c r="K684" s="127"/>
      <c r="L684" s="127"/>
      <c r="M684" s="127"/>
      <c r="N684" s="127"/>
      <c r="O684" s="127"/>
      <c r="P684" s="127"/>
      <c r="Q684" s="127"/>
      <c r="R684" s="127"/>
      <c r="S684" s="127"/>
      <c r="T684" s="127"/>
      <c r="U684" s="127"/>
      <c r="V684" s="127"/>
      <c r="W684" s="127"/>
      <c r="X684" s="127"/>
      <c r="Y684" s="127"/>
      <c r="Z684" s="127"/>
    </row>
    <row r="685" customFormat="false" ht="15.75" hidden="false" customHeight="false" outlineLevel="0" collapsed="false">
      <c r="A685" s="127"/>
      <c r="B685" s="127"/>
      <c r="C685" s="127"/>
      <c r="D685" s="127"/>
      <c r="E685" s="127"/>
      <c r="F685" s="127"/>
      <c r="G685" s="127"/>
      <c r="H685" s="127"/>
      <c r="I685" s="127"/>
      <c r="J685" s="127"/>
      <c r="K685" s="127"/>
      <c r="L685" s="127"/>
      <c r="M685" s="127"/>
      <c r="N685" s="127"/>
      <c r="O685" s="127"/>
      <c r="P685" s="127"/>
      <c r="Q685" s="127"/>
      <c r="R685" s="127"/>
      <c r="S685" s="127"/>
      <c r="T685" s="127"/>
      <c r="U685" s="127"/>
      <c r="V685" s="127"/>
      <c r="W685" s="127"/>
      <c r="X685" s="127"/>
      <c r="Y685" s="127"/>
      <c r="Z685" s="127"/>
    </row>
    <row r="686" customFormat="false" ht="15.75" hidden="false" customHeight="false" outlineLevel="0" collapsed="false">
      <c r="A686" s="127"/>
      <c r="B686" s="127"/>
      <c r="C686" s="127"/>
      <c r="D686" s="127"/>
      <c r="E686" s="127"/>
      <c r="F686" s="127"/>
      <c r="G686" s="127"/>
      <c r="H686" s="127"/>
      <c r="I686" s="127"/>
      <c r="J686" s="127"/>
      <c r="K686" s="127"/>
      <c r="L686" s="127"/>
      <c r="M686" s="127"/>
      <c r="N686" s="127"/>
      <c r="O686" s="127"/>
      <c r="P686" s="127"/>
      <c r="Q686" s="127"/>
      <c r="R686" s="127"/>
      <c r="S686" s="127"/>
      <c r="T686" s="127"/>
      <c r="U686" s="127"/>
      <c r="V686" s="127"/>
      <c r="W686" s="127"/>
      <c r="X686" s="127"/>
      <c r="Y686" s="127"/>
      <c r="Z686" s="127"/>
    </row>
    <row r="687" customFormat="false" ht="15.75" hidden="false" customHeight="false" outlineLevel="0" collapsed="false">
      <c r="A687" s="127"/>
      <c r="B687" s="127"/>
      <c r="C687" s="127"/>
      <c r="D687" s="127"/>
      <c r="E687" s="127"/>
      <c r="F687" s="127"/>
      <c r="G687" s="127"/>
      <c r="H687" s="127"/>
      <c r="I687" s="127"/>
      <c r="J687" s="127"/>
      <c r="K687" s="127"/>
      <c r="L687" s="127"/>
      <c r="M687" s="127"/>
      <c r="N687" s="127"/>
      <c r="O687" s="127"/>
      <c r="P687" s="127"/>
      <c r="Q687" s="127"/>
      <c r="R687" s="127"/>
      <c r="S687" s="127"/>
      <c r="T687" s="127"/>
      <c r="U687" s="127"/>
      <c r="V687" s="127"/>
      <c r="W687" s="127"/>
      <c r="X687" s="127"/>
      <c r="Y687" s="127"/>
      <c r="Z687" s="127"/>
    </row>
    <row r="688" customFormat="false" ht="15.75" hidden="false" customHeight="false" outlineLevel="0" collapsed="false">
      <c r="A688" s="127"/>
      <c r="B688" s="127"/>
      <c r="C688" s="127"/>
      <c r="D688" s="127"/>
      <c r="E688" s="127"/>
      <c r="F688" s="127"/>
      <c r="G688" s="127"/>
      <c r="H688" s="127"/>
      <c r="I688" s="127"/>
      <c r="J688" s="127"/>
      <c r="K688" s="127"/>
      <c r="L688" s="127"/>
      <c r="M688" s="127"/>
      <c r="N688" s="127"/>
      <c r="O688" s="127"/>
      <c r="P688" s="127"/>
      <c r="Q688" s="127"/>
      <c r="R688" s="127"/>
      <c r="S688" s="127"/>
      <c r="T688" s="127"/>
      <c r="U688" s="127"/>
      <c r="V688" s="127"/>
      <c r="W688" s="127"/>
      <c r="X688" s="127"/>
      <c r="Y688" s="127"/>
      <c r="Z688" s="127"/>
    </row>
    <row r="689" customFormat="false" ht="15.75" hidden="false" customHeight="false" outlineLevel="0" collapsed="false">
      <c r="A689" s="127"/>
      <c r="B689" s="127"/>
      <c r="C689" s="127"/>
      <c r="D689" s="127"/>
      <c r="E689" s="127"/>
      <c r="F689" s="127"/>
      <c r="G689" s="127"/>
      <c r="H689" s="127"/>
      <c r="I689" s="127"/>
      <c r="J689" s="127"/>
      <c r="K689" s="127"/>
      <c r="L689" s="127"/>
      <c r="M689" s="127"/>
      <c r="N689" s="127"/>
      <c r="O689" s="127"/>
      <c r="P689" s="127"/>
      <c r="Q689" s="127"/>
      <c r="R689" s="127"/>
      <c r="S689" s="127"/>
      <c r="T689" s="127"/>
      <c r="U689" s="127"/>
      <c r="V689" s="127"/>
      <c r="W689" s="127"/>
      <c r="X689" s="127"/>
      <c r="Y689" s="127"/>
      <c r="Z689" s="127"/>
    </row>
    <row r="690" customFormat="false" ht="15.75" hidden="false" customHeight="false" outlineLevel="0" collapsed="false">
      <c r="A690" s="127"/>
      <c r="B690" s="127"/>
      <c r="C690" s="127"/>
      <c r="D690" s="127"/>
      <c r="E690" s="127"/>
      <c r="F690" s="127"/>
      <c r="G690" s="127"/>
      <c r="H690" s="127"/>
      <c r="I690" s="127"/>
      <c r="J690" s="127"/>
      <c r="K690" s="127"/>
      <c r="L690" s="127"/>
      <c r="M690" s="127"/>
      <c r="N690" s="127"/>
      <c r="O690" s="127"/>
      <c r="P690" s="127"/>
      <c r="Q690" s="127"/>
      <c r="R690" s="127"/>
      <c r="S690" s="127"/>
      <c r="T690" s="127"/>
      <c r="U690" s="127"/>
      <c r="V690" s="127"/>
      <c r="W690" s="127"/>
      <c r="X690" s="127"/>
      <c r="Y690" s="127"/>
      <c r="Z690" s="127"/>
    </row>
    <row r="691" customFormat="false" ht="15.75" hidden="false" customHeight="false" outlineLevel="0" collapsed="false">
      <c r="A691" s="127"/>
      <c r="B691" s="127"/>
      <c r="C691" s="127"/>
      <c r="D691" s="127"/>
      <c r="E691" s="127"/>
      <c r="F691" s="127"/>
      <c r="G691" s="127"/>
      <c r="H691" s="127"/>
      <c r="I691" s="127"/>
      <c r="J691" s="127"/>
      <c r="K691" s="127"/>
      <c r="L691" s="127"/>
      <c r="M691" s="127"/>
      <c r="N691" s="127"/>
      <c r="O691" s="127"/>
      <c r="P691" s="127"/>
      <c r="Q691" s="127"/>
      <c r="R691" s="127"/>
      <c r="S691" s="127"/>
      <c r="T691" s="127"/>
      <c r="U691" s="127"/>
      <c r="V691" s="127"/>
      <c r="W691" s="127"/>
      <c r="X691" s="127"/>
      <c r="Y691" s="127"/>
      <c r="Z691" s="127"/>
    </row>
    <row r="692" customFormat="false" ht="15.75" hidden="false" customHeight="false" outlineLevel="0" collapsed="false">
      <c r="A692" s="127"/>
      <c r="B692" s="127"/>
      <c r="C692" s="127"/>
      <c r="D692" s="127"/>
      <c r="E692" s="127"/>
      <c r="F692" s="127"/>
      <c r="G692" s="127"/>
      <c r="H692" s="127"/>
      <c r="I692" s="127"/>
      <c r="J692" s="127"/>
      <c r="K692" s="127"/>
      <c r="L692" s="127"/>
      <c r="M692" s="127"/>
      <c r="N692" s="127"/>
      <c r="O692" s="127"/>
      <c r="P692" s="127"/>
      <c r="Q692" s="127"/>
      <c r="R692" s="127"/>
      <c r="S692" s="127"/>
      <c r="T692" s="127"/>
      <c r="U692" s="127"/>
      <c r="V692" s="127"/>
      <c r="W692" s="127"/>
      <c r="X692" s="127"/>
      <c r="Y692" s="127"/>
      <c r="Z692" s="127"/>
    </row>
    <row r="693" customFormat="false" ht="15.75" hidden="false" customHeight="false" outlineLevel="0" collapsed="false">
      <c r="A693" s="127"/>
      <c r="B693" s="127"/>
      <c r="C693" s="127"/>
      <c r="D693" s="127"/>
      <c r="E693" s="127"/>
      <c r="F693" s="127"/>
      <c r="G693" s="127"/>
      <c r="H693" s="127"/>
      <c r="I693" s="127"/>
      <c r="J693" s="127"/>
      <c r="K693" s="127"/>
      <c r="L693" s="127"/>
      <c r="M693" s="127"/>
      <c r="N693" s="127"/>
      <c r="O693" s="127"/>
      <c r="P693" s="127"/>
      <c r="Q693" s="127"/>
      <c r="R693" s="127"/>
      <c r="S693" s="127"/>
      <c r="T693" s="127"/>
      <c r="U693" s="127"/>
      <c r="V693" s="127"/>
      <c r="W693" s="127"/>
      <c r="X693" s="127"/>
      <c r="Y693" s="127"/>
      <c r="Z693" s="127"/>
    </row>
    <row r="694" customFormat="false" ht="15.75" hidden="false" customHeight="false" outlineLevel="0" collapsed="false">
      <c r="A694" s="127"/>
      <c r="B694" s="127"/>
      <c r="C694" s="127"/>
      <c r="D694" s="127"/>
      <c r="E694" s="127"/>
      <c r="F694" s="127"/>
      <c r="G694" s="127"/>
      <c r="H694" s="127"/>
      <c r="I694" s="127"/>
      <c r="J694" s="127"/>
      <c r="K694" s="127"/>
      <c r="L694" s="127"/>
      <c r="M694" s="127"/>
      <c r="N694" s="127"/>
      <c r="O694" s="127"/>
      <c r="P694" s="127"/>
      <c r="Q694" s="127"/>
      <c r="R694" s="127"/>
      <c r="S694" s="127"/>
      <c r="T694" s="127"/>
      <c r="U694" s="127"/>
      <c r="V694" s="127"/>
      <c r="W694" s="127"/>
      <c r="X694" s="127"/>
      <c r="Y694" s="127"/>
      <c r="Z694" s="127"/>
    </row>
    <row r="695" customFormat="false" ht="15.75" hidden="false" customHeight="false" outlineLevel="0" collapsed="false">
      <c r="A695" s="127"/>
      <c r="B695" s="127"/>
      <c r="C695" s="127"/>
      <c r="D695" s="127"/>
      <c r="E695" s="127"/>
      <c r="F695" s="127"/>
      <c r="G695" s="127"/>
      <c r="H695" s="127"/>
      <c r="I695" s="127"/>
      <c r="J695" s="127"/>
      <c r="K695" s="127"/>
      <c r="L695" s="127"/>
      <c r="M695" s="127"/>
      <c r="N695" s="127"/>
      <c r="O695" s="127"/>
      <c r="P695" s="127"/>
      <c r="Q695" s="127"/>
      <c r="R695" s="127"/>
      <c r="S695" s="127"/>
      <c r="T695" s="127"/>
      <c r="U695" s="127"/>
      <c r="V695" s="127"/>
      <c r="W695" s="127"/>
      <c r="X695" s="127"/>
      <c r="Y695" s="127"/>
      <c r="Z695" s="127"/>
    </row>
    <row r="696" customFormat="false" ht="15.75" hidden="false" customHeight="false" outlineLevel="0" collapsed="false">
      <c r="A696" s="127"/>
      <c r="B696" s="127"/>
      <c r="C696" s="127"/>
      <c r="D696" s="127"/>
      <c r="E696" s="127"/>
      <c r="F696" s="127"/>
      <c r="G696" s="127"/>
      <c r="H696" s="127"/>
      <c r="I696" s="127"/>
      <c r="J696" s="127"/>
      <c r="K696" s="127"/>
      <c r="L696" s="127"/>
      <c r="M696" s="127"/>
      <c r="N696" s="127"/>
      <c r="O696" s="127"/>
      <c r="P696" s="127"/>
      <c r="Q696" s="127"/>
      <c r="R696" s="127"/>
      <c r="S696" s="127"/>
      <c r="T696" s="127"/>
      <c r="U696" s="127"/>
      <c r="V696" s="127"/>
      <c r="W696" s="127"/>
      <c r="X696" s="127"/>
      <c r="Y696" s="127"/>
      <c r="Z696" s="127"/>
    </row>
    <row r="697" customFormat="false" ht="15.75" hidden="false" customHeight="false" outlineLevel="0" collapsed="false">
      <c r="A697" s="127"/>
      <c r="B697" s="127"/>
      <c r="C697" s="127"/>
      <c r="D697" s="127"/>
      <c r="E697" s="127"/>
      <c r="F697" s="127"/>
      <c r="G697" s="127"/>
      <c r="H697" s="127"/>
      <c r="I697" s="127"/>
      <c r="J697" s="127"/>
      <c r="K697" s="127"/>
      <c r="L697" s="127"/>
      <c r="M697" s="127"/>
      <c r="N697" s="127"/>
      <c r="O697" s="127"/>
      <c r="P697" s="127"/>
      <c r="Q697" s="127"/>
      <c r="R697" s="127"/>
      <c r="S697" s="127"/>
      <c r="T697" s="127"/>
      <c r="U697" s="127"/>
      <c r="V697" s="127"/>
      <c r="W697" s="127"/>
      <c r="X697" s="127"/>
      <c r="Y697" s="127"/>
      <c r="Z697" s="127"/>
    </row>
    <row r="698" customFormat="false" ht="15.75" hidden="false" customHeight="false" outlineLevel="0" collapsed="false">
      <c r="A698" s="127"/>
      <c r="B698" s="127"/>
      <c r="C698" s="127"/>
      <c r="D698" s="127"/>
      <c r="E698" s="127"/>
      <c r="F698" s="127"/>
      <c r="G698" s="127"/>
      <c r="H698" s="127"/>
      <c r="I698" s="127"/>
      <c r="J698" s="127"/>
      <c r="K698" s="127"/>
      <c r="L698" s="127"/>
      <c r="M698" s="127"/>
      <c r="N698" s="127"/>
      <c r="O698" s="127"/>
      <c r="P698" s="127"/>
      <c r="Q698" s="127"/>
      <c r="R698" s="127"/>
      <c r="S698" s="127"/>
      <c r="T698" s="127"/>
      <c r="U698" s="127"/>
      <c r="V698" s="127"/>
      <c r="W698" s="127"/>
      <c r="X698" s="127"/>
      <c r="Y698" s="127"/>
      <c r="Z698" s="127"/>
    </row>
    <row r="699" customFormat="false" ht="15.75" hidden="false" customHeight="false" outlineLevel="0" collapsed="false">
      <c r="A699" s="127"/>
      <c r="B699" s="127"/>
      <c r="C699" s="127"/>
      <c r="D699" s="127"/>
      <c r="E699" s="127"/>
      <c r="F699" s="127"/>
      <c r="G699" s="127"/>
      <c r="H699" s="127"/>
      <c r="I699" s="127"/>
      <c r="J699" s="127"/>
      <c r="K699" s="127"/>
      <c r="L699" s="127"/>
      <c r="M699" s="127"/>
      <c r="N699" s="127"/>
      <c r="O699" s="127"/>
      <c r="P699" s="127"/>
      <c r="Q699" s="127"/>
      <c r="R699" s="127"/>
      <c r="S699" s="127"/>
      <c r="T699" s="127"/>
      <c r="U699" s="127"/>
      <c r="V699" s="127"/>
      <c r="W699" s="127"/>
      <c r="X699" s="127"/>
      <c r="Y699" s="127"/>
      <c r="Z699" s="127"/>
    </row>
    <row r="700" customFormat="false" ht="15.75" hidden="false" customHeight="false" outlineLevel="0" collapsed="false">
      <c r="A700" s="127"/>
      <c r="B700" s="127"/>
      <c r="C700" s="127"/>
      <c r="D700" s="127"/>
      <c r="E700" s="127"/>
      <c r="F700" s="127"/>
      <c r="G700" s="127"/>
      <c r="H700" s="127"/>
      <c r="I700" s="127"/>
      <c r="J700" s="127"/>
      <c r="K700" s="127"/>
      <c r="L700" s="127"/>
      <c r="M700" s="127"/>
      <c r="N700" s="127"/>
      <c r="O700" s="127"/>
      <c r="P700" s="127"/>
      <c r="Q700" s="127"/>
      <c r="R700" s="127"/>
      <c r="S700" s="127"/>
      <c r="T700" s="127"/>
      <c r="U700" s="127"/>
      <c r="V700" s="127"/>
      <c r="W700" s="127"/>
      <c r="X700" s="127"/>
      <c r="Y700" s="127"/>
      <c r="Z700" s="127"/>
    </row>
    <row r="701" customFormat="false" ht="15.75" hidden="false" customHeight="false" outlineLevel="0" collapsed="false">
      <c r="A701" s="127"/>
      <c r="B701" s="127"/>
      <c r="C701" s="127"/>
      <c r="D701" s="127"/>
      <c r="E701" s="127"/>
      <c r="F701" s="127"/>
      <c r="G701" s="127"/>
      <c r="H701" s="127"/>
      <c r="I701" s="127"/>
      <c r="J701" s="127"/>
      <c r="K701" s="127"/>
      <c r="L701" s="127"/>
      <c r="M701" s="127"/>
      <c r="N701" s="127"/>
      <c r="O701" s="127"/>
      <c r="P701" s="127"/>
      <c r="Q701" s="127"/>
      <c r="R701" s="127"/>
      <c r="S701" s="127"/>
      <c r="T701" s="127"/>
      <c r="U701" s="127"/>
      <c r="V701" s="127"/>
      <c r="W701" s="127"/>
      <c r="X701" s="127"/>
      <c r="Y701" s="127"/>
      <c r="Z701" s="127"/>
    </row>
    <row r="702" customFormat="false" ht="15.75" hidden="false" customHeight="false" outlineLevel="0" collapsed="false">
      <c r="A702" s="127"/>
      <c r="B702" s="127"/>
      <c r="C702" s="127"/>
      <c r="D702" s="127"/>
      <c r="E702" s="127"/>
      <c r="F702" s="127"/>
      <c r="G702" s="127"/>
      <c r="H702" s="127"/>
      <c r="I702" s="127"/>
      <c r="J702" s="127"/>
      <c r="K702" s="127"/>
      <c r="L702" s="127"/>
      <c r="M702" s="127"/>
      <c r="N702" s="127"/>
      <c r="O702" s="127"/>
      <c r="P702" s="127"/>
      <c r="Q702" s="127"/>
      <c r="R702" s="127"/>
      <c r="S702" s="127"/>
      <c r="T702" s="127"/>
      <c r="U702" s="127"/>
      <c r="V702" s="127"/>
      <c r="W702" s="127"/>
      <c r="X702" s="127"/>
      <c r="Y702" s="127"/>
      <c r="Z702" s="127"/>
    </row>
    <row r="703" customFormat="false" ht="15.75" hidden="false" customHeight="false" outlineLevel="0" collapsed="false">
      <c r="A703" s="127"/>
      <c r="B703" s="127"/>
      <c r="C703" s="127"/>
      <c r="D703" s="127"/>
      <c r="E703" s="127"/>
      <c r="F703" s="127"/>
      <c r="G703" s="127"/>
      <c r="H703" s="127"/>
      <c r="I703" s="127"/>
      <c r="J703" s="127"/>
      <c r="K703" s="127"/>
      <c r="L703" s="127"/>
      <c r="M703" s="127"/>
      <c r="N703" s="127"/>
      <c r="O703" s="127"/>
      <c r="P703" s="127"/>
      <c r="Q703" s="127"/>
      <c r="R703" s="127"/>
      <c r="S703" s="127"/>
      <c r="T703" s="127"/>
      <c r="U703" s="127"/>
      <c r="V703" s="127"/>
      <c r="W703" s="127"/>
      <c r="X703" s="127"/>
      <c r="Y703" s="127"/>
      <c r="Z703" s="127"/>
    </row>
    <row r="704" customFormat="false" ht="15.75" hidden="false" customHeight="false" outlineLevel="0" collapsed="false">
      <c r="A704" s="127"/>
      <c r="B704" s="127"/>
      <c r="C704" s="127"/>
      <c r="D704" s="127"/>
      <c r="E704" s="127"/>
      <c r="F704" s="127"/>
      <c r="G704" s="127"/>
      <c r="H704" s="127"/>
      <c r="I704" s="127"/>
      <c r="J704" s="127"/>
      <c r="K704" s="127"/>
      <c r="L704" s="127"/>
      <c r="M704" s="127"/>
      <c r="N704" s="127"/>
      <c r="O704" s="127"/>
      <c r="P704" s="127"/>
      <c r="Q704" s="127"/>
      <c r="R704" s="127"/>
      <c r="S704" s="127"/>
      <c r="T704" s="127"/>
      <c r="U704" s="127"/>
      <c r="V704" s="127"/>
      <c r="W704" s="127"/>
      <c r="X704" s="127"/>
      <c r="Y704" s="127"/>
      <c r="Z704" s="127"/>
    </row>
    <row r="705" customFormat="false" ht="15.75" hidden="false" customHeight="false" outlineLevel="0" collapsed="false">
      <c r="A705" s="127"/>
      <c r="B705" s="127"/>
      <c r="C705" s="127"/>
      <c r="D705" s="127"/>
      <c r="E705" s="127"/>
      <c r="F705" s="127"/>
      <c r="G705" s="127"/>
      <c r="H705" s="127"/>
      <c r="I705" s="127"/>
      <c r="J705" s="127"/>
      <c r="K705" s="127"/>
      <c r="L705" s="127"/>
      <c r="M705" s="127"/>
      <c r="N705" s="127"/>
      <c r="O705" s="127"/>
      <c r="P705" s="127"/>
      <c r="Q705" s="127"/>
      <c r="R705" s="127"/>
      <c r="S705" s="127"/>
      <c r="T705" s="127"/>
      <c r="U705" s="127"/>
      <c r="V705" s="127"/>
      <c r="W705" s="127"/>
      <c r="X705" s="127"/>
      <c r="Y705" s="127"/>
      <c r="Z705" s="127"/>
    </row>
    <row r="706" customFormat="false" ht="15.75" hidden="false" customHeight="false" outlineLevel="0" collapsed="false">
      <c r="A706" s="127"/>
      <c r="B706" s="127"/>
      <c r="C706" s="127"/>
      <c r="D706" s="127"/>
      <c r="E706" s="127"/>
      <c r="F706" s="127"/>
      <c r="G706" s="127"/>
      <c r="H706" s="127"/>
      <c r="I706" s="127"/>
      <c r="J706" s="127"/>
      <c r="K706" s="127"/>
      <c r="L706" s="127"/>
      <c r="M706" s="127"/>
      <c r="N706" s="127"/>
      <c r="O706" s="127"/>
      <c r="P706" s="127"/>
      <c r="Q706" s="127"/>
      <c r="R706" s="127"/>
      <c r="S706" s="127"/>
      <c r="T706" s="127"/>
      <c r="U706" s="127"/>
      <c r="V706" s="127"/>
      <c r="W706" s="127"/>
      <c r="X706" s="127"/>
      <c r="Y706" s="127"/>
      <c r="Z706" s="127"/>
    </row>
    <row r="707" customFormat="false" ht="15.75" hidden="false" customHeight="false" outlineLevel="0" collapsed="false">
      <c r="A707" s="127"/>
      <c r="B707" s="127"/>
      <c r="C707" s="127"/>
      <c r="D707" s="127"/>
      <c r="E707" s="127"/>
      <c r="F707" s="127"/>
      <c r="G707" s="127"/>
      <c r="H707" s="127"/>
      <c r="I707" s="127"/>
      <c r="J707" s="127"/>
      <c r="K707" s="127"/>
      <c r="L707" s="127"/>
      <c r="M707" s="127"/>
      <c r="N707" s="127"/>
      <c r="O707" s="127"/>
      <c r="P707" s="127"/>
      <c r="Q707" s="127"/>
      <c r="R707" s="127"/>
      <c r="S707" s="127"/>
      <c r="T707" s="127"/>
      <c r="U707" s="127"/>
      <c r="V707" s="127"/>
      <c r="W707" s="127"/>
      <c r="X707" s="127"/>
      <c r="Y707" s="127"/>
      <c r="Z707" s="127"/>
    </row>
    <row r="708" customFormat="false" ht="15.75" hidden="false" customHeight="false" outlineLevel="0" collapsed="false">
      <c r="A708" s="127"/>
      <c r="B708" s="127"/>
      <c r="C708" s="127"/>
      <c r="D708" s="127"/>
      <c r="E708" s="127"/>
      <c r="F708" s="127"/>
      <c r="G708" s="127"/>
      <c r="H708" s="127"/>
      <c r="I708" s="127"/>
      <c r="J708" s="127"/>
      <c r="K708" s="127"/>
      <c r="L708" s="127"/>
      <c r="M708" s="127"/>
      <c r="N708" s="127"/>
      <c r="O708" s="127"/>
      <c r="P708" s="127"/>
      <c r="Q708" s="127"/>
      <c r="R708" s="127"/>
      <c r="S708" s="127"/>
      <c r="T708" s="127"/>
      <c r="U708" s="127"/>
      <c r="V708" s="127"/>
      <c r="W708" s="127"/>
      <c r="X708" s="127"/>
      <c r="Y708" s="127"/>
      <c r="Z708" s="127"/>
    </row>
    <row r="709" customFormat="false" ht="15.75" hidden="false" customHeight="false" outlineLevel="0" collapsed="false">
      <c r="A709" s="127"/>
      <c r="B709" s="127"/>
      <c r="C709" s="127"/>
      <c r="D709" s="127"/>
      <c r="E709" s="127"/>
      <c r="F709" s="127"/>
      <c r="G709" s="127"/>
      <c r="H709" s="127"/>
      <c r="I709" s="127"/>
      <c r="J709" s="127"/>
      <c r="K709" s="127"/>
      <c r="L709" s="127"/>
      <c r="M709" s="127"/>
      <c r="N709" s="127"/>
      <c r="O709" s="127"/>
      <c r="P709" s="127"/>
      <c r="Q709" s="127"/>
      <c r="R709" s="127"/>
      <c r="S709" s="127"/>
      <c r="T709" s="127"/>
      <c r="U709" s="127"/>
      <c r="V709" s="127"/>
      <c r="W709" s="127"/>
      <c r="X709" s="127"/>
      <c r="Y709" s="127"/>
      <c r="Z709" s="127"/>
    </row>
    <row r="710" customFormat="false" ht="15.75" hidden="false" customHeight="false" outlineLevel="0" collapsed="false">
      <c r="A710" s="127"/>
      <c r="B710" s="127"/>
      <c r="C710" s="127"/>
      <c r="D710" s="127"/>
      <c r="E710" s="127"/>
      <c r="F710" s="127"/>
      <c r="G710" s="127"/>
      <c r="H710" s="127"/>
      <c r="I710" s="127"/>
      <c r="J710" s="127"/>
      <c r="K710" s="127"/>
      <c r="L710" s="127"/>
      <c r="M710" s="127"/>
      <c r="N710" s="127"/>
      <c r="O710" s="127"/>
      <c r="P710" s="127"/>
      <c r="Q710" s="127"/>
      <c r="R710" s="127"/>
      <c r="S710" s="127"/>
      <c r="T710" s="127"/>
      <c r="U710" s="127"/>
      <c r="V710" s="127"/>
      <c r="W710" s="127"/>
      <c r="X710" s="127"/>
      <c r="Y710" s="127"/>
      <c r="Z710" s="127"/>
    </row>
    <row r="711" customFormat="false" ht="15.75" hidden="false" customHeight="false" outlineLevel="0" collapsed="false">
      <c r="A711" s="127"/>
      <c r="B711" s="127"/>
      <c r="C711" s="127"/>
      <c r="D711" s="127"/>
      <c r="E711" s="127"/>
      <c r="F711" s="127"/>
      <c r="G711" s="127"/>
      <c r="H711" s="127"/>
      <c r="I711" s="127"/>
      <c r="J711" s="127"/>
      <c r="K711" s="127"/>
      <c r="L711" s="127"/>
      <c r="M711" s="127"/>
      <c r="N711" s="127"/>
      <c r="O711" s="127"/>
      <c r="P711" s="127"/>
      <c r="Q711" s="127"/>
      <c r="R711" s="127"/>
      <c r="S711" s="127"/>
      <c r="T711" s="127"/>
      <c r="U711" s="127"/>
      <c r="V711" s="127"/>
      <c r="W711" s="127"/>
      <c r="X711" s="127"/>
      <c r="Y711" s="127"/>
      <c r="Z711" s="127"/>
    </row>
    <row r="712" customFormat="false" ht="15.75" hidden="false" customHeight="false" outlineLevel="0" collapsed="false">
      <c r="A712" s="127"/>
      <c r="B712" s="127"/>
      <c r="C712" s="127"/>
      <c r="D712" s="127"/>
      <c r="E712" s="127"/>
      <c r="F712" s="127"/>
      <c r="G712" s="127"/>
      <c r="H712" s="127"/>
      <c r="I712" s="127"/>
      <c r="J712" s="127"/>
      <c r="K712" s="127"/>
      <c r="L712" s="127"/>
      <c r="M712" s="127"/>
      <c r="N712" s="127"/>
      <c r="O712" s="127"/>
      <c r="P712" s="127"/>
      <c r="Q712" s="127"/>
      <c r="R712" s="127"/>
      <c r="S712" s="127"/>
      <c r="T712" s="127"/>
      <c r="U712" s="127"/>
      <c r="V712" s="127"/>
      <c r="W712" s="127"/>
      <c r="X712" s="127"/>
      <c r="Y712" s="127"/>
      <c r="Z712" s="127"/>
    </row>
    <row r="713" customFormat="false" ht="15.75" hidden="false" customHeight="false" outlineLevel="0" collapsed="false">
      <c r="A713" s="127"/>
      <c r="B713" s="127"/>
      <c r="C713" s="127"/>
      <c r="D713" s="127"/>
      <c r="E713" s="127"/>
      <c r="F713" s="127"/>
      <c r="G713" s="127"/>
      <c r="H713" s="127"/>
      <c r="I713" s="127"/>
      <c r="J713" s="127"/>
      <c r="K713" s="127"/>
      <c r="L713" s="127"/>
      <c r="M713" s="127"/>
      <c r="N713" s="127"/>
      <c r="O713" s="127"/>
      <c r="P713" s="127"/>
      <c r="Q713" s="127"/>
      <c r="R713" s="127"/>
      <c r="S713" s="127"/>
      <c r="T713" s="127"/>
      <c r="U713" s="127"/>
      <c r="V713" s="127"/>
      <c r="W713" s="127"/>
      <c r="X713" s="127"/>
      <c r="Y713" s="127"/>
      <c r="Z713" s="127"/>
    </row>
    <row r="714" customFormat="false" ht="15.75" hidden="false" customHeight="false" outlineLevel="0" collapsed="false">
      <c r="A714" s="127"/>
      <c r="B714" s="127"/>
      <c r="C714" s="127"/>
      <c r="D714" s="127"/>
      <c r="E714" s="127"/>
      <c r="F714" s="127"/>
      <c r="G714" s="127"/>
      <c r="H714" s="127"/>
      <c r="I714" s="127"/>
      <c r="J714" s="127"/>
      <c r="K714" s="127"/>
      <c r="L714" s="127"/>
      <c r="M714" s="127"/>
      <c r="N714" s="127"/>
      <c r="O714" s="127"/>
      <c r="P714" s="127"/>
      <c r="Q714" s="127"/>
      <c r="R714" s="127"/>
      <c r="S714" s="127"/>
      <c r="T714" s="127"/>
      <c r="U714" s="127"/>
      <c r="V714" s="127"/>
      <c r="W714" s="127"/>
      <c r="X714" s="127"/>
      <c r="Y714" s="127"/>
      <c r="Z714" s="127"/>
    </row>
    <row r="715" customFormat="false" ht="15.75" hidden="false" customHeight="false" outlineLevel="0" collapsed="false">
      <c r="A715" s="127"/>
      <c r="B715" s="127"/>
      <c r="C715" s="127"/>
      <c r="D715" s="127"/>
      <c r="E715" s="127"/>
      <c r="F715" s="127"/>
      <c r="G715" s="127"/>
      <c r="H715" s="127"/>
      <c r="I715" s="127"/>
      <c r="J715" s="127"/>
      <c r="K715" s="127"/>
      <c r="L715" s="127"/>
      <c r="M715" s="127"/>
      <c r="N715" s="127"/>
      <c r="O715" s="127"/>
      <c r="P715" s="127"/>
      <c r="Q715" s="127"/>
      <c r="R715" s="127"/>
      <c r="S715" s="127"/>
      <c r="T715" s="127"/>
      <c r="U715" s="127"/>
      <c r="V715" s="127"/>
      <c r="W715" s="127"/>
      <c r="X715" s="127"/>
      <c r="Y715" s="127"/>
      <c r="Z715" s="127"/>
    </row>
    <row r="716" customFormat="false" ht="15.75" hidden="false" customHeight="false" outlineLevel="0" collapsed="false">
      <c r="A716" s="127"/>
      <c r="B716" s="127"/>
      <c r="C716" s="127"/>
      <c r="D716" s="127"/>
      <c r="E716" s="127"/>
      <c r="F716" s="127"/>
      <c r="G716" s="127"/>
      <c r="H716" s="127"/>
      <c r="I716" s="127"/>
      <c r="J716" s="127"/>
      <c r="K716" s="127"/>
      <c r="L716" s="127"/>
      <c r="M716" s="127"/>
      <c r="N716" s="127"/>
      <c r="O716" s="127"/>
      <c r="P716" s="127"/>
      <c r="Q716" s="127"/>
      <c r="R716" s="127"/>
      <c r="S716" s="127"/>
      <c r="T716" s="127"/>
      <c r="U716" s="127"/>
      <c r="V716" s="127"/>
      <c r="W716" s="127"/>
      <c r="X716" s="127"/>
      <c r="Y716" s="127"/>
      <c r="Z716" s="127"/>
    </row>
    <row r="717" customFormat="false" ht="15.75" hidden="false" customHeight="false" outlineLevel="0" collapsed="false">
      <c r="A717" s="127"/>
      <c r="B717" s="127"/>
      <c r="C717" s="127"/>
      <c r="D717" s="127"/>
      <c r="E717" s="127"/>
      <c r="F717" s="127"/>
      <c r="G717" s="127"/>
      <c r="H717" s="127"/>
      <c r="I717" s="127"/>
      <c r="J717" s="127"/>
      <c r="K717" s="127"/>
      <c r="L717" s="127"/>
      <c r="M717" s="127"/>
      <c r="N717" s="127"/>
      <c r="O717" s="127"/>
      <c r="P717" s="127"/>
      <c r="Q717" s="127"/>
      <c r="R717" s="127"/>
      <c r="S717" s="127"/>
      <c r="T717" s="127"/>
      <c r="U717" s="127"/>
      <c r="V717" s="127"/>
      <c r="W717" s="127"/>
      <c r="X717" s="127"/>
      <c r="Y717" s="127"/>
      <c r="Z717" s="127"/>
    </row>
    <row r="718" customFormat="false" ht="15.75" hidden="false" customHeight="false" outlineLevel="0" collapsed="false">
      <c r="A718" s="127"/>
      <c r="B718" s="127"/>
      <c r="C718" s="127"/>
      <c r="D718" s="127"/>
      <c r="E718" s="127"/>
      <c r="F718" s="127"/>
      <c r="G718" s="127"/>
      <c r="H718" s="127"/>
      <c r="I718" s="127"/>
      <c r="J718" s="127"/>
      <c r="K718" s="127"/>
      <c r="L718" s="127"/>
      <c r="M718" s="127"/>
      <c r="N718" s="127"/>
      <c r="O718" s="127"/>
      <c r="P718" s="127"/>
      <c r="Q718" s="127"/>
      <c r="R718" s="127"/>
      <c r="S718" s="127"/>
      <c r="T718" s="127"/>
      <c r="U718" s="127"/>
      <c r="V718" s="127"/>
      <c r="W718" s="127"/>
      <c r="X718" s="127"/>
      <c r="Y718" s="127"/>
      <c r="Z718" s="127"/>
    </row>
    <row r="719" customFormat="false" ht="15.75" hidden="false" customHeight="false" outlineLevel="0" collapsed="false">
      <c r="A719" s="127"/>
      <c r="B719" s="127"/>
      <c r="C719" s="127"/>
      <c r="D719" s="127"/>
      <c r="E719" s="127"/>
      <c r="F719" s="127"/>
      <c r="G719" s="127"/>
      <c r="H719" s="127"/>
      <c r="I719" s="127"/>
      <c r="J719" s="127"/>
      <c r="K719" s="127"/>
      <c r="L719" s="127"/>
      <c r="M719" s="127"/>
      <c r="N719" s="127"/>
      <c r="O719" s="127"/>
      <c r="P719" s="127"/>
      <c r="Q719" s="127"/>
      <c r="R719" s="127"/>
      <c r="S719" s="127"/>
      <c r="T719" s="127"/>
      <c r="U719" s="127"/>
      <c r="V719" s="127"/>
      <c r="W719" s="127"/>
      <c r="X719" s="127"/>
      <c r="Y719" s="127"/>
      <c r="Z719" s="127"/>
    </row>
    <row r="720" customFormat="false" ht="15.75" hidden="false" customHeight="false" outlineLevel="0" collapsed="false">
      <c r="A720" s="127"/>
      <c r="B720" s="127"/>
      <c r="C720" s="127"/>
      <c r="D720" s="127"/>
      <c r="E720" s="127"/>
      <c r="F720" s="127"/>
      <c r="G720" s="127"/>
      <c r="H720" s="127"/>
      <c r="I720" s="127"/>
      <c r="J720" s="127"/>
      <c r="K720" s="127"/>
      <c r="L720" s="127"/>
      <c r="M720" s="127"/>
      <c r="N720" s="127"/>
      <c r="O720" s="127"/>
      <c r="P720" s="127"/>
      <c r="Q720" s="127"/>
      <c r="R720" s="127"/>
      <c r="S720" s="127"/>
      <c r="T720" s="127"/>
      <c r="U720" s="127"/>
      <c r="V720" s="127"/>
      <c r="W720" s="127"/>
      <c r="X720" s="127"/>
      <c r="Y720" s="127"/>
      <c r="Z720" s="127"/>
    </row>
    <row r="721" customFormat="false" ht="15.75" hidden="false" customHeight="false" outlineLevel="0" collapsed="false">
      <c r="A721" s="127"/>
      <c r="B721" s="127"/>
      <c r="C721" s="127"/>
      <c r="D721" s="127"/>
      <c r="E721" s="127"/>
      <c r="F721" s="127"/>
      <c r="G721" s="127"/>
      <c r="H721" s="127"/>
      <c r="I721" s="127"/>
      <c r="J721" s="127"/>
      <c r="K721" s="127"/>
      <c r="L721" s="127"/>
      <c r="M721" s="127"/>
      <c r="N721" s="127"/>
      <c r="O721" s="127"/>
      <c r="P721" s="127"/>
      <c r="Q721" s="127"/>
      <c r="R721" s="127"/>
      <c r="S721" s="127"/>
      <c r="T721" s="127"/>
      <c r="U721" s="127"/>
      <c r="V721" s="127"/>
      <c r="W721" s="127"/>
      <c r="X721" s="127"/>
      <c r="Y721" s="127"/>
      <c r="Z721" s="127"/>
    </row>
    <row r="722" customFormat="false" ht="15.75" hidden="false" customHeight="false" outlineLevel="0" collapsed="false">
      <c r="A722" s="127"/>
      <c r="B722" s="127"/>
      <c r="C722" s="127"/>
      <c r="D722" s="127"/>
      <c r="E722" s="127"/>
      <c r="F722" s="127"/>
      <c r="G722" s="127"/>
      <c r="H722" s="127"/>
      <c r="I722" s="127"/>
      <c r="J722" s="127"/>
      <c r="K722" s="127"/>
      <c r="L722" s="127"/>
      <c r="M722" s="127"/>
      <c r="N722" s="127"/>
      <c r="O722" s="127"/>
      <c r="P722" s="127"/>
      <c r="Q722" s="127"/>
      <c r="R722" s="127"/>
      <c r="S722" s="127"/>
      <c r="T722" s="127"/>
      <c r="U722" s="127"/>
      <c r="V722" s="127"/>
      <c r="W722" s="127"/>
      <c r="X722" s="127"/>
      <c r="Y722" s="127"/>
      <c r="Z722" s="127"/>
    </row>
    <row r="723" customFormat="false" ht="15.75" hidden="false" customHeight="false" outlineLevel="0" collapsed="false">
      <c r="A723" s="127"/>
      <c r="B723" s="127"/>
      <c r="C723" s="127"/>
      <c r="D723" s="127"/>
      <c r="E723" s="127"/>
      <c r="F723" s="127"/>
      <c r="G723" s="127"/>
      <c r="H723" s="127"/>
      <c r="I723" s="127"/>
      <c r="J723" s="127"/>
      <c r="K723" s="127"/>
      <c r="L723" s="127"/>
      <c r="M723" s="127"/>
      <c r="N723" s="127"/>
      <c r="O723" s="127"/>
      <c r="P723" s="127"/>
      <c r="Q723" s="127"/>
      <c r="R723" s="127"/>
      <c r="S723" s="127"/>
      <c r="T723" s="127"/>
      <c r="U723" s="127"/>
      <c r="V723" s="127"/>
      <c r="W723" s="127"/>
      <c r="X723" s="127"/>
      <c r="Y723" s="127"/>
      <c r="Z723" s="127"/>
    </row>
    <row r="724" customFormat="false" ht="15.75" hidden="false" customHeight="false" outlineLevel="0" collapsed="false">
      <c r="A724" s="127"/>
      <c r="B724" s="127"/>
      <c r="C724" s="127"/>
      <c r="D724" s="127"/>
      <c r="E724" s="127"/>
      <c r="F724" s="127"/>
      <c r="G724" s="127"/>
      <c r="H724" s="127"/>
      <c r="I724" s="127"/>
      <c r="J724" s="127"/>
      <c r="K724" s="127"/>
      <c r="L724" s="127"/>
      <c r="M724" s="127"/>
      <c r="N724" s="127"/>
      <c r="O724" s="127"/>
      <c r="P724" s="127"/>
      <c r="Q724" s="127"/>
      <c r="R724" s="127"/>
      <c r="S724" s="127"/>
      <c r="T724" s="127"/>
      <c r="U724" s="127"/>
      <c r="V724" s="127"/>
      <c r="W724" s="127"/>
      <c r="X724" s="127"/>
      <c r="Y724" s="127"/>
      <c r="Z724" s="127"/>
    </row>
    <row r="725" customFormat="false" ht="15.75" hidden="false" customHeight="false" outlineLevel="0" collapsed="false">
      <c r="A725" s="127"/>
      <c r="B725" s="127"/>
      <c r="C725" s="127"/>
      <c r="D725" s="127"/>
      <c r="E725" s="127"/>
      <c r="F725" s="127"/>
      <c r="G725" s="127"/>
      <c r="H725" s="127"/>
      <c r="I725" s="127"/>
      <c r="J725" s="127"/>
      <c r="K725" s="127"/>
      <c r="L725" s="127"/>
      <c r="M725" s="127"/>
      <c r="N725" s="127"/>
      <c r="O725" s="127"/>
      <c r="P725" s="127"/>
      <c r="Q725" s="127"/>
      <c r="R725" s="127"/>
      <c r="S725" s="127"/>
      <c r="T725" s="127"/>
      <c r="U725" s="127"/>
      <c r="V725" s="127"/>
      <c r="W725" s="127"/>
      <c r="X725" s="127"/>
      <c r="Y725" s="127"/>
      <c r="Z725" s="127"/>
    </row>
    <row r="726" customFormat="false" ht="15.75" hidden="false" customHeight="false" outlineLevel="0" collapsed="false">
      <c r="A726" s="127"/>
      <c r="B726" s="127"/>
      <c r="C726" s="127"/>
      <c r="D726" s="127"/>
      <c r="E726" s="127"/>
      <c r="F726" s="127"/>
      <c r="G726" s="127"/>
      <c r="H726" s="127"/>
      <c r="I726" s="127"/>
      <c r="J726" s="127"/>
      <c r="K726" s="127"/>
      <c r="L726" s="127"/>
      <c r="M726" s="127"/>
      <c r="N726" s="127"/>
      <c r="O726" s="127"/>
      <c r="P726" s="127"/>
      <c r="Q726" s="127"/>
      <c r="R726" s="127"/>
      <c r="S726" s="127"/>
      <c r="T726" s="127"/>
      <c r="U726" s="127"/>
      <c r="V726" s="127"/>
      <c r="W726" s="127"/>
      <c r="X726" s="127"/>
      <c r="Y726" s="127"/>
      <c r="Z726" s="127"/>
    </row>
    <row r="727" customFormat="false" ht="15.75" hidden="false" customHeight="false" outlineLevel="0" collapsed="false">
      <c r="A727" s="127"/>
      <c r="B727" s="127"/>
      <c r="C727" s="127"/>
      <c r="D727" s="127"/>
      <c r="E727" s="127"/>
      <c r="F727" s="127"/>
      <c r="G727" s="127"/>
      <c r="H727" s="127"/>
      <c r="I727" s="127"/>
      <c r="J727" s="127"/>
      <c r="K727" s="127"/>
      <c r="L727" s="127"/>
      <c r="M727" s="127"/>
      <c r="N727" s="127"/>
      <c r="O727" s="127"/>
      <c r="P727" s="127"/>
      <c r="Q727" s="127"/>
      <c r="R727" s="127"/>
      <c r="S727" s="127"/>
      <c r="T727" s="127"/>
      <c r="U727" s="127"/>
      <c r="V727" s="127"/>
      <c r="W727" s="127"/>
      <c r="X727" s="127"/>
      <c r="Y727" s="127"/>
      <c r="Z727" s="127"/>
    </row>
    <row r="728" customFormat="false" ht="15.75" hidden="false" customHeight="false" outlineLevel="0" collapsed="false">
      <c r="A728" s="127"/>
      <c r="B728" s="127"/>
      <c r="C728" s="127"/>
      <c r="D728" s="127"/>
      <c r="E728" s="127"/>
      <c r="F728" s="127"/>
      <c r="G728" s="127"/>
      <c r="H728" s="127"/>
      <c r="I728" s="127"/>
      <c r="J728" s="127"/>
      <c r="K728" s="127"/>
      <c r="L728" s="127"/>
      <c r="M728" s="127"/>
      <c r="N728" s="127"/>
      <c r="O728" s="127"/>
      <c r="P728" s="127"/>
      <c r="Q728" s="127"/>
      <c r="R728" s="127"/>
      <c r="S728" s="127"/>
      <c r="T728" s="127"/>
      <c r="U728" s="127"/>
      <c r="V728" s="127"/>
      <c r="W728" s="127"/>
      <c r="X728" s="127"/>
      <c r="Y728" s="127"/>
      <c r="Z728" s="127"/>
    </row>
    <row r="729" customFormat="false" ht="15.75" hidden="false" customHeight="false" outlineLevel="0" collapsed="false">
      <c r="A729" s="127"/>
      <c r="B729" s="127"/>
      <c r="C729" s="127"/>
      <c r="D729" s="127"/>
      <c r="E729" s="127"/>
      <c r="F729" s="127"/>
      <c r="G729" s="127"/>
      <c r="H729" s="127"/>
      <c r="I729" s="127"/>
      <c r="J729" s="127"/>
      <c r="K729" s="127"/>
      <c r="L729" s="127"/>
      <c r="M729" s="127"/>
      <c r="N729" s="127"/>
      <c r="O729" s="127"/>
      <c r="P729" s="127"/>
      <c r="Q729" s="127"/>
      <c r="R729" s="127"/>
      <c r="S729" s="127"/>
      <c r="T729" s="127"/>
      <c r="U729" s="127"/>
      <c r="V729" s="127"/>
      <c r="W729" s="127"/>
      <c r="X729" s="127"/>
      <c r="Y729" s="127"/>
      <c r="Z729" s="127"/>
    </row>
    <row r="730" customFormat="false" ht="15.75" hidden="false" customHeight="false" outlineLevel="0" collapsed="false">
      <c r="A730" s="127"/>
      <c r="B730" s="127"/>
      <c r="C730" s="127"/>
      <c r="D730" s="127"/>
      <c r="E730" s="127"/>
      <c r="F730" s="127"/>
      <c r="G730" s="127"/>
      <c r="H730" s="127"/>
      <c r="I730" s="127"/>
      <c r="J730" s="127"/>
      <c r="K730" s="127"/>
      <c r="L730" s="127"/>
      <c r="M730" s="127"/>
      <c r="N730" s="127"/>
      <c r="O730" s="127"/>
      <c r="P730" s="127"/>
      <c r="Q730" s="127"/>
      <c r="R730" s="127"/>
      <c r="S730" s="127"/>
      <c r="T730" s="127"/>
      <c r="U730" s="127"/>
      <c r="V730" s="127"/>
      <c r="W730" s="127"/>
      <c r="X730" s="127"/>
      <c r="Y730" s="127"/>
      <c r="Z730" s="127"/>
    </row>
    <row r="731" customFormat="false" ht="15.75" hidden="false" customHeight="false" outlineLevel="0" collapsed="false">
      <c r="A731" s="127"/>
      <c r="B731" s="127"/>
      <c r="C731" s="127"/>
      <c r="D731" s="127"/>
      <c r="E731" s="127"/>
      <c r="F731" s="127"/>
      <c r="G731" s="127"/>
      <c r="H731" s="127"/>
      <c r="I731" s="127"/>
      <c r="J731" s="127"/>
      <c r="K731" s="127"/>
      <c r="L731" s="127"/>
      <c r="M731" s="127"/>
      <c r="N731" s="127"/>
      <c r="O731" s="127"/>
      <c r="P731" s="127"/>
      <c r="Q731" s="127"/>
      <c r="R731" s="127"/>
      <c r="S731" s="127"/>
      <c r="T731" s="127"/>
      <c r="U731" s="127"/>
      <c r="V731" s="127"/>
      <c r="W731" s="127"/>
      <c r="X731" s="127"/>
      <c r="Y731" s="127"/>
      <c r="Z731" s="127"/>
    </row>
    <row r="732" customFormat="false" ht="15.75" hidden="false" customHeight="false" outlineLevel="0" collapsed="false">
      <c r="A732" s="127"/>
      <c r="B732" s="127"/>
      <c r="C732" s="127"/>
      <c r="D732" s="127"/>
      <c r="E732" s="127"/>
      <c r="F732" s="127"/>
      <c r="G732" s="127"/>
      <c r="H732" s="127"/>
      <c r="I732" s="127"/>
      <c r="J732" s="127"/>
      <c r="K732" s="127"/>
      <c r="L732" s="127"/>
      <c r="M732" s="127"/>
      <c r="N732" s="127"/>
      <c r="O732" s="127"/>
      <c r="P732" s="127"/>
      <c r="Q732" s="127"/>
      <c r="R732" s="127"/>
      <c r="S732" s="127"/>
      <c r="T732" s="127"/>
      <c r="U732" s="127"/>
      <c r="V732" s="127"/>
      <c r="W732" s="127"/>
      <c r="X732" s="127"/>
      <c r="Y732" s="127"/>
      <c r="Z732" s="127"/>
    </row>
    <row r="733" customFormat="false" ht="15.75" hidden="false" customHeight="false" outlineLevel="0" collapsed="false">
      <c r="A733" s="127"/>
      <c r="B733" s="127"/>
      <c r="C733" s="127"/>
      <c r="D733" s="127"/>
      <c r="E733" s="127"/>
      <c r="F733" s="127"/>
      <c r="G733" s="127"/>
      <c r="H733" s="127"/>
      <c r="I733" s="127"/>
      <c r="J733" s="127"/>
      <c r="K733" s="127"/>
      <c r="L733" s="127"/>
      <c r="M733" s="127"/>
      <c r="N733" s="127"/>
      <c r="O733" s="127"/>
      <c r="P733" s="127"/>
      <c r="Q733" s="127"/>
      <c r="R733" s="127"/>
      <c r="S733" s="127"/>
      <c r="T733" s="127"/>
      <c r="U733" s="127"/>
      <c r="V733" s="127"/>
      <c r="W733" s="127"/>
      <c r="X733" s="127"/>
      <c r="Y733" s="127"/>
      <c r="Z733" s="127"/>
    </row>
    <row r="734" customFormat="false" ht="15.75" hidden="false" customHeight="false" outlineLevel="0" collapsed="false">
      <c r="A734" s="127"/>
      <c r="B734" s="127"/>
      <c r="C734" s="127"/>
      <c r="D734" s="127"/>
      <c r="E734" s="127"/>
      <c r="F734" s="127"/>
      <c r="G734" s="127"/>
      <c r="H734" s="127"/>
      <c r="I734" s="127"/>
      <c r="J734" s="127"/>
      <c r="K734" s="127"/>
      <c r="L734" s="127"/>
      <c r="M734" s="127"/>
      <c r="N734" s="127"/>
      <c r="O734" s="127"/>
      <c r="P734" s="127"/>
      <c r="Q734" s="127"/>
      <c r="R734" s="127"/>
      <c r="S734" s="127"/>
      <c r="T734" s="127"/>
      <c r="U734" s="127"/>
      <c r="V734" s="127"/>
      <c r="W734" s="127"/>
      <c r="X734" s="127"/>
      <c r="Y734" s="127"/>
      <c r="Z734" s="127"/>
    </row>
    <row r="735" customFormat="false" ht="15.75" hidden="false" customHeight="false" outlineLevel="0" collapsed="false">
      <c r="A735" s="127"/>
      <c r="B735" s="127"/>
      <c r="C735" s="127"/>
      <c r="D735" s="127"/>
      <c r="E735" s="127"/>
      <c r="F735" s="127"/>
      <c r="G735" s="127"/>
      <c r="H735" s="127"/>
      <c r="I735" s="127"/>
      <c r="J735" s="127"/>
      <c r="K735" s="127"/>
      <c r="L735" s="127"/>
      <c r="M735" s="127"/>
      <c r="N735" s="127"/>
      <c r="O735" s="127"/>
      <c r="P735" s="127"/>
      <c r="Q735" s="127"/>
      <c r="R735" s="127"/>
      <c r="S735" s="127"/>
      <c r="T735" s="127"/>
      <c r="U735" s="127"/>
      <c r="V735" s="127"/>
      <c r="W735" s="127"/>
      <c r="X735" s="127"/>
      <c r="Y735" s="127"/>
      <c r="Z735" s="127"/>
    </row>
    <row r="736" customFormat="false" ht="15.75" hidden="false" customHeight="false" outlineLevel="0" collapsed="false">
      <c r="A736" s="127"/>
      <c r="B736" s="127"/>
      <c r="C736" s="127"/>
      <c r="D736" s="127"/>
      <c r="E736" s="127"/>
      <c r="F736" s="127"/>
      <c r="G736" s="127"/>
      <c r="H736" s="127"/>
      <c r="I736" s="127"/>
      <c r="J736" s="127"/>
      <c r="K736" s="127"/>
      <c r="L736" s="127"/>
      <c r="M736" s="127"/>
      <c r="N736" s="127"/>
      <c r="O736" s="127"/>
      <c r="P736" s="127"/>
      <c r="Q736" s="127"/>
      <c r="R736" s="127"/>
      <c r="S736" s="127"/>
      <c r="T736" s="127"/>
      <c r="U736" s="127"/>
      <c r="V736" s="127"/>
      <c r="W736" s="127"/>
      <c r="X736" s="127"/>
      <c r="Y736" s="127"/>
      <c r="Z736" s="127"/>
    </row>
    <row r="737" customFormat="false" ht="15.75" hidden="false" customHeight="false" outlineLevel="0" collapsed="false">
      <c r="A737" s="127"/>
      <c r="B737" s="127"/>
      <c r="C737" s="127"/>
      <c r="D737" s="127"/>
      <c r="E737" s="127"/>
      <c r="F737" s="127"/>
      <c r="G737" s="127"/>
      <c r="H737" s="127"/>
      <c r="I737" s="127"/>
      <c r="J737" s="127"/>
      <c r="K737" s="127"/>
      <c r="L737" s="127"/>
      <c r="M737" s="127"/>
      <c r="N737" s="127"/>
      <c r="O737" s="127"/>
      <c r="P737" s="127"/>
      <c r="Q737" s="127"/>
      <c r="R737" s="127"/>
      <c r="S737" s="127"/>
      <c r="T737" s="127"/>
      <c r="U737" s="127"/>
      <c r="V737" s="127"/>
      <c r="W737" s="127"/>
      <c r="X737" s="127"/>
      <c r="Y737" s="127"/>
      <c r="Z737" s="127"/>
    </row>
    <row r="738" customFormat="false" ht="15.75" hidden="false" customHeight="false" outlineLevel="0" collapsed="false">
      <c r="A738" s="127"/>
      <c r="B738" s="127"/>
      <c r="C738" s="127"/>
      <c r="D738" s="127"/>
      <c r="E738" s="127"/>
      <c r="F738" s="127"/>
      <c r="G738" s="127"/>
      <c r="H738" s="127"/>
      <c r="I738" s="127"/>
      <c r="J738" s="127"/>
      <c r="K738" s="127"/>
      <c r="L738" s="127"/>
      <c r="M738" s="127"/>
      <c r="N738" s="127"/>
      <c r="O738" s="127"/>
      <c r="P738" s="127"/>
      <c r="Q738" s="127"/>
      <c r="R738" s="127"/>
      <c r="S738" s="127"/>
      <c r="T738" s="127"/>
      <c r="U738" s="127"/>
      <c r="V738" s="127"/>
      <c r="W738" s="127"/>
      <c r="X738" s="127"/>
      <c r="Y738" s="127"/>
      <c r="Z738" s="127"/>
    </row>
    <row r="739" customFormat="false" ht="15.75" hidden="false" customHeight="false" outlineLevel="0" collapsed="false">
      <c r="A739" s="127"/>
      <c r="B739" s="127"/>
      <c r="C739" s="127"/>
      <c r="D739" s="127"/>
      <c r="E739" s="127"/>
      <c r="F739" s="127"/>
      <c r="G739" s="127"/>
      <c r="H739" s="127"/>
      <c r="I739" s="127"/>
      <c r="J739" s="127"/>
      <c r="K739" s="127"/>
      <c r="L739" s="127"/>
      <c r="M739" s="127"/>
      <c r="N739" s="127"/>
      <c r="O739" s="127"/>
      <c r="P739" s="127"/>
      <c r="Q739" s="127"/>
      <c r="R739" s="127"/>
      <c r="S739" s="127"/>
      <c r="T739" s="127"/>
      <c r="U739" s="127"/>
      <c r="V739" s="127"/>
      <c r="W739" s="127"/>
      <c r="X739" s="127"/>
      <c r="Y739" s="127"/>
      <c r="Z739" s="127"/>
    </row>
    <row r="740" customFormat="false" ht="15.75" hidden="false" customHeight="false" outlineLevel="0" collapsed="false">
      <c r="A740" s="127"/>
      <c r="B740" s="127"/>
      <c r="C740" s="127"/>
      <c r="D740" s="127"/>
      <c r="E740" s="127"/>
      <c r="F740" s="127"/>
      <c r="G740" s="127"/>
      <c r="H740" s="127"/>
      <c r="I740" s="127"/>
      <c r="J740" s="127"/>
      <c r="K740" s="127"/>
      <c r="L740" s="127"/>
      <c r="M740" s="127"/>
      <c r="N740" s="127"/>
      <c r="O740" s="127"/>
      <c r="P740" s="127"/>
      <c r="Q740" s="127"/>
      <c r="R740" s="127"/>
      <c r="S740" s="127"/>
      <c r="T740" s="127"/>
      <c r="U740" s="127"/>
      <c r="V740" s="127"/>
      <c r="W740" s="127"/>
      <c r="X740" s="127"/>
      <c r="Y740" s="127"/>
      <c r="Z740" s="127"/>
    </row>
    <row r="741" customFormat="false" ht="15.75" hidden="false" customHeight="false" outlineLevel="0" collapsed="false">
      <c r="A741" s="127"/>
      <c r="B741" s="127"/>
      <c r="C741" s="127"/>
      <c r="D741" s="127"/>
      <c r="E741" s="127"/>
      <c r="F741" s="127"/>
      <c r="G741" s="127"/>
      <c r="H741" s="127"/>
      <c r="I741" s="127"/>
      <c r="J741" s="127"/>
      <c r="K741" s="127"/>
      <c r="L741" s="127"/>
      <c r="M741" s="127"/>
      <c r="N741" s="127"/>
      <c r="O741" s="127"/>
      <c r="P741" s="127"/>
      <c r="Q741" s="127"/>
      <c r="R741" s="127"/>
      <c r="S741" s="127"/>
      <c r="T741" s="127"/>
      <c r="U741" s="127"/>
      <c r="V741" s="127"/>
      <c r="W741" s="127"/>
      <c r="X741" s="127"/>
      <c r="Y741" s="127"/>
      <c r="Z741" s="127"/>
    </row>
    <row r="742" customFormat="false" ht="15.75" hidden="false" customHeight="false" outlineLevel="0" collapsed="false">
      <c r="A742" s="127"/>
      <c r="B742" s="127"/>
      <c r="C742" s="127"/>
      <c r="D742" s="127"/>
      <c r="E742" s="127"/>
      <c r="F742" s="127"/>
      <c r="G742" s="127"/>
      <c r="H742" s="127"/>
      <c r="I742" s="127"/>
      <c r="J742" s="127"/>
      <c r="K742" s="127"/>
      <c r="L742" s="127"/>
      <c r="M742" s="127"/>
      <c r="N742" s="127"/>
      <c r="O742" s="127"/>
      <c r="P742" s="127"/>
      <c r="Q742" s="127"/>
      <c r="R742" s="127"/>
      <c r="S742" s="127"/>
      <c r="T742" s="127"/>
      <c r="U742" s="127"/>
      <c r="V742" s="127"/>
      <c r="W742" s="127"/>
      <c r="X742" s="127"/>
      <c r="Y742" s="127"/>
      <c r="Z742" s="127"/>
    </row>
    <row r="743" customFormat="false" ht="15.75" hidden="false" customHeight="false" outlineLevel="0" collapsed="false">
      <c r="A743" s="127"/>
      <c r="B743" s="127"/>
      <c r="C743" s="127"/>
      <c r="D743" s="127"/>
      <c r="E743" s="127"/>
      <c r="F743" s="127"/>
      <c r="G743" s="127"/>
      <c r="H743" s="127"/>
      <c r="I743" s="127"/>
      <c r="J743" s="127"/>
      <c r="K743" s="127"/>
      <c r="L743" s="127"/>
      <c r="M743" s="127"/>
      <c r="N743" s="127"/>
      <c r="O743" s="127"/>
      <c r="P743" s="127"/>
      <c r="Q743" s="127"/>
      <c r="R743" s="127"/>
      <c r="S743" s="127"/>
      <c r="T743" s="127"/>
      <c r="U743" s="127"/>
      <c r="V743" s="127"/>
      <c r="W743" s="127"/>
      <c r="X743" s="127"/>
      <c r="Y743" s="127"/>
      <c r="Z743" s="127"/>
    </row>
    <row r="744" customFormat="false" ht="15.75" hidden="false" customHeight="false" outlineLevel="0" collapsed="false">
      <c r="A744" s="127"/>
      <c r="B744" s="127"/>
      <c r="C744" s="127"/>
      <c r="D744" s="127"/>
      <c r="E744" s="127"/>
      <c r="F744" s="127"/>
      <c r="G744" s="127"/>
      <c r="H744" s="127"/>
      <c r="I744" s="127"/>
      <c r="J744" s="127"/>
      <c r="K744" s="127"/>
      <c r="L744" s="127"/>
      <c r="M744" s="127"/>
      <c r="N744" s="127"/>
      <c r="O744" s="127"/>
      <c r="P744" s="127"/>
      <c r="Q744" s="127"/>
      <c r="R744" s="127"/>
      <c r="S744" s="127"/>
      <c r="T744" s="127"/>
      <c r="U744" s="127"/>
      <c r="V744" s="127"/>
      <c r="W744" s="127"/>
      <c r="X744" s="127"/>
      <c r="Y744" s="127"/>
      <c r="Z744" s="127"/>
    </row>
    <row r="745" customFormat="false" ht="15.75" hidden="false" customHeight="false" outlineLevel="0" collapsed="false">
      <c r="A745" s="127"/>
      <c r="B745" s="127"/>
      <c r="C745" s="127"/>
      <c r="D745" s="127"/>
      <c r="E745" s="127"/>
      <c r="F745" s="127"/>
      <c r="G745" s="127"/>
      <c r="H745" s="127"/>
      <c r="I745" s="127"/>
      <c r="J745" s="127"/>
      <c r="K745" s="127"/>
      <c r="L745" s="127"/>
      <c r="M745" s="127"/>
      <c r="N745" s="127"/>
      <c r="O745" s="127"/>
      <c r="P745" s="127"/>
      <c r="Q745" s="127"/>
      <c r="R745" s="127"/>
      <c r="S745" s="127"/>
      <c r="T745" s="127"/>
      <c r="U745" s="127"/>
      <c r="V745" s="127"/>
      <c r="W745" s="127"/>
      <c r="X745" s="127"/>
      <c r="Y745" s="127"/>
      <c r="Z745" s="127"/>
    </row>
    <row r="746" customFormat="false" ht="15.75" hidden="false" customHeight="false" outlineLevel="0" collapsed="false">
      <c r="A746" s="127"/>
      <c r="B746" s="127"/>
      <c r="C746" s="127"/>
      <c r="D746" s="127"/>
      <c r="E746" s="127"/>
      <c r="F746" s="127"/>
      <c r="G746" s="127"/>
      <c r="H746" s="127"/>
      <c r="I746" s="127"/>
      <c r="J746" s="127"/>
      <c r="K746" s="127"/>
      <c r="L746" s="127"/>
      <c r="M746" s="127"/>
      <c r="N746" s="127"/>
      <c r="O746" s="127"/>
      <c r="P746" s="127"/>
      <c r="Q746" s="127"/>
      <c r="R746" s="127"/>
      <c r="S746" s="127"/>
      <c r="T746" s="127"/>
      <c r="U746" s="127"/>
      <c r="V746" s="127"/>
      <c r="W746" s="127"/>
      <c r="X746" s="127"/>
      <c r="Y746" s="127"/>
      <c r="Z746" s="127"/>
    </row>
    <row r="747" customFormat="false" ht="15.75" hidden="false" customHeight="false" outlineLevel="0" collapsed="false">
      <c r="A747" s="127"/>
      <c r="B747" s="127"/>
      <c r="C747" s="127"/>
      <c r="D747" s="127"/>
      <c r="E747" s="127"/>
      <c r="F747" s="127"/>
      <c r="G747" s="127"/>
      <c r="H747" s="127"/>
      <c r="I747" s="127"/>
      <c r="J747" s="127"/>
      <c r="K747" s="127"/>
      <c r="L747" s="127"/>
      <c r="M747" s="127"/>
      <c r="N747" s="127"/>
      <c r="O747" s="127"/>
      <c r="P747" s="127"/>
      <c r="Q747" s="127"/>
      <c r="R747" s="127"/>
      <c r="S747" s="127"/>
      <c r="T747" s="127"/>
      <c r="U747" s="127"/>
      <c r="V747" s="127"/>
      <c r="W747" s="127"/>
      <c r="X747" s="127"/>
      <c r="Y747" s="127"/>
      <c r="Z747" s="127"/>
    </row>
    <row r="748" customFormat="false" ht="15.75" hidden="false" customHeight="false" outlineLevel="0" collapsed="false">
      <c r="A748" s="127"/>
      <c r="B748" s="127"/>
      <c r="C748" s="127"/>
      <c r="D748" s="127"/>
      <c r="E748" s="127"/>
      <c r="F748" s="127"/>
      <c r="G748" s="127"/>
      <c r="H748" s="127"/>
      <c r="I748" s="127"/>
      <c r="J748" s="127"/>
      <c r="K748" s="127"/>
      <c r="L748" s="127"/>
      <c r="M748" s="127"/>
      <c r="N748" s="127"/>
      <c r="O748" s="127"/>
      <c r="P748" s="127"/>
      <c r="Q748" s="127"/>
      <c r="R748" s="127"/>
      <c r="S748" s="127"/>
      <c r="T748" s="127"/>
      <c r="U748" s="127"/>
      <c r="V748" s="127"/>
      <c r="W748" s="127"/>
      <c r="X748" s="127"/>
      <c r="Y748" s="127"/>
      <c r="Z748" s="127"/>
    </row>
    <row r="749" customFormat="false" ht="15.75" hidden="false" customHeight="false" outlineLevel="0" collapsed="false">
      <c r="A749" s="127"/>
      <c r="B749" s="127"/>
      <c r="C749" s="127"/>
      <c r="D749" s="127"/>
      <c r="E749" s="127"/>
      <c r="F749" s="127"/>
      <c r="G749" s="127"/>
      <c r="H749" s="127"/>
      <c r="I749" s="127"/>
      <c r="J749" s="127"/>
      <c r="K749" s="127"/>
      <c r="L749" s="127"/>
      <c r="M749" s="127"/>
      <c r="N749" s="127"/>
      <c r="O749" s="127"/>
      <c r="P749" s="127"/>
      <c r="Q749" s="127"/>
      <c r="R749" s="127"/>
      <c r="S749" s="127"/>
      <c r="T749" s="127"/>
      <c r="U749" s="127"/>
      <c r="V749" s="127"/>
      <c r="W749" s="127"/>
      <c r="X749" s="127"/>
      <c r="Y749" s="127"/>
      <c r="Z749" s="127"/>
    </row>
    <row r="750" customFormat="false" ht="15.75" hidden="false" customHeight="false" outlineLevel="0" collapsed="false">
      <c r="A750" s="127"/>
      <c r="B750" s="127"/>
      <c r="C750" s="127"/>
      <c r="D750" s="127"/>
      <c r="E750" s="127"/>
      <c r="F750" s="127"/>
      <c r="G750" s="127"/>
      <c r="H750" s="127"/>
      <c r="I750" s="127"/>
      <c r="J750" s="127"/>
      <c r="K750" s="127"/>
      <c r="L750" s="127"/>
      <c r="M750" s="127"/>
      <c r="N750" s="127"/>
      <c r="O750" s="127"/>
      <c r="P750" s="127"/>
      <c r="Q750" s="127"/>
      <c r="R750" s="127"/>
      <c r="S750" s="127"/>
      <c r="T750" s="127"/>
      <c r="U750" s="127"/>
      <c r="V750" s="127"/>
      <c r="W750" s="127"/>
      <c r="X750" s="127"/>
      <c r="Y750" s="127"/>
      <c r="Z750" s="127"/>
    </row>
    <row r="751" customFormat="false" ht="15.75" hidden="false" customHeight="false" outlineLevel="0" collapsed="false">
      <c r="A751" s="127"/>
      <c r="B751" s="127"/>
      <c r="C751" s="127"/>
      <c r="D751" s="127"/>
      <c r="E751" s="127"/>
      <c r="F751" s="127"/>
      <c r="G751" s="127"/>
      <c r="H751" s="127"/>
      <c r="I751" s="127"/>
      <c r="J751" s="127"/>
      <c r="K751" s="127"/>
      <c r="L751" s="127"/>
      <c r="M751" s="127"/>
      <c r="N751" s="127"/>
      <c r="O751" s="127"/>
      <c r="P751" s="127"/>
      <c r="Q751" s="127"/>
      <c r="R751" s="127"/>
      <c r="S751" s="127"/>
      <c r="T751" s="127"/>
      <c r="U751" s="127"/>
      <c r="V751" s="127"/>
      <c r="W751" s="127"/>
      <c r="X751" s="127"/>
      <c r="Y751" s="127"/>
      <c r="Z751" s="127"/>
    </row>
    <row r="752" customFormat="false" ht="15.75" hidden="false" customHeight="false" outlineLevel="0" collapsed="false">
      <c r="A752" s="127"/>
      <c r="B752" s="127"/>
      <c r="C752" s="127"/>
      <c r="D752" s="127"/>
      <c r="E752" s="127"/>
      <c r="F752" s="127"/>
      <c r="G752" s="127"/>
      <c r="H752" s="127"/>
      <c r="I752" s="127"/>
      <c r="J752" s="127"/>
      <c r="K752" s="127"/>
      <c r="L752" s="127"/>
      <c r="M752" s="127"/>
      <c r="N752" s="127"/>
      <c r="O752" s="127"/>
      <c r="P752" s="127"/>
      <c r="Q752" s="127"/>
      <c r="R752" s="127"/>
      <c r="S752" s="127"/>
      <c r="T752" s="127"/>
      <c r="U752" s="127"/>
      <c r="V752" s="127"/>
      <c r="W752" s="127"/>
      <c r="X752" s="127"/>
      <c r="Y752" s="127"/>
      <c r="Z752" s="127"/>
    </row>
    <row r="753" customFormat="false" ht="15.75" hidden="false" customHeight="false" outlineLevel="0" collapsed="false">
      <c r="A753" s="127"/>
      <c r="B753" s="127"/>
      <c r="C753" s="127"/>
      <c r="D753" s="127"/>
      <c r="E753" s="127"/>
      <c r="F753" s="127"/>
      <c r="G753" s="127"/>
      <c r="H753" s="127"/>
      <c r="I753" s="127"/>
      <c r="J753" s="127"/>
      <c r="K753" s="127"/>
      <c r="L753" s="127"/>
      <c r="M753" s="127"/>
      <c r="N753" s="127"/>
      <c r="O753" s="127"/>
      <c r="P753" s="127"/>
      <c r="Q753" s="127"/>
      <c r="R753" s="127"/>
      <c r="S753" s="127"/>
      <c r="T753" s="127"/>
      <c r="U753" s="127"/>
      <c r="V753" s="127"/>
      <c r="W753" s="127"/>
      <c r="X753" s="127"/>
      <c r="Y753" s="127"/>
      <c r="Z753" s="127"/>
    </row>
    <row r="754" customFormat="false" ht="15.75" hidden="false" customHeight="false" outlineLevel="0" collapsed="false">
      <c r="A754" s="127"/>
      <c r="B754" s="127"/>
      <c r="C754" s="127"/>
      <c r="D754" s="127"/>
      <c r="E754" s="127"/>
      <c r="F754" s="127"/>
      <c r="G754" s="127"/>
      <c r="H754" s="127"/>
      <c r="I754" s="127"/>
      <c r="J754" s="127"/>
      <c r="K754" s="127"/>
      <c r="L754" s="127"/>
      <c r="M754" s="127"/>
      <c r="N754" s="127"/>
      <c r="O754" s="127"/>
      <c r="P754" s="127"/>
      <c r="Q754" s="127"/>
      <c r="R754" s="127"/>
      <c r="S754" s="127"/>
      <c r="T754" s="127"/>
      <c r="U754" s="127"/>
      <c r="V754" s="127"/>
      <c r="W754" s="127"/>
      <c r="X754" s="127"/>
      <c r="Y754" s="127"/>
      <c r="Z754" s="127"/>
    </row>
    <row r="755" customFormat="false" ht="15.75" hidden="false" customHeight="false" outlineLevel="0" collapsed="false">
      <c r="A755" s="127"/>
      <c r="B755" s="127"/>
      <c r="C755" s="127"/>
      <c r="D755" s="127"/>
      <c r="E755" s="127"/>
      <c r="F755" s="127"/>
      <c r="G755" s="127"/>
      <c r="H755" s="127"/>
      <c r="I755" s="127"/>
      <c r="J755" s="127"/>
      <c r="K755" s="127"/>
      <c r="L755" s="127"/>
      <c r="M755" s="127"/>
      <c r="N755" s="127"/>
      <c r="O755" s="127"/>
      <c r="P755" s="127"/>
      <c r="Q755" s="127"/>
      <c r="R755" s="127"/>
      <c r="S755" s="127"/>
      <c r="T755" s="127"/>
      <c r="U755" s="127"/>
      <c r="V755" s="127"/>
      <c r="W755" s="127"/>
      <c r="X755" s="127"/>
      <c r="Y755" s="127"/>
      <c r="Z755" s="127"/>
    </row>
    <row r="756" customFormat="false" ht="15.75" hidden="false" customHeight="false" outlineLevel="0" collapsed="false">
      <c r="A756" s="127"/>
      <c r="B756" s="127"/>
      <c r="C756" s="127"/>
      <c r="D756" s="127"/>
      <c r="E756" s="127"/>
      <c r="F756" s="127"/>
      <c r="G756" s="127"/>
      <c r="H756" s="127"/>
      <c r="I756" s="127"/>
      <c r="J756" s="127"/>
      <c r="K756" s="127"/>
      <c r="L756" s="127"/>
      <c r="M756" s="127"/>
      <c r="N756" s="127"/>
      <c r="O756" s="127"/>
      <c r="P756" s="127"/>
      <c r="Q756" s="127"/>
      <c r="R756" s="127"/>
      <c r="S756" s="127"/>
      <c r="T756" s="127"/>
      <c r="U756" s="127"/>
      <c r="V756" s="127"/>
      <c r="W756" s="127"/>
      <c r="X756" s="127"/>
      <c r="Y756" s="127"/>
      <c r="Z756" s="127"/>
    </row>
    <row r="757" customFormat="false" ht="15.75" hidden="false" customHeight="false" outlineLevel="0" collapsed="false">
      <c r="A757" s="127"/>
      <c r="B757" s="127"/>
      <c r="C757" s="127"/>
      <c r="D757" s="127"/>
      <c r="E757" s="127"/>
      <c r="F757" s="127"/>
      <c r="G757" s="127"/>
      <c r="H757" s="127"/>
      <c r="I757" s="127"/>
      <c r="J757" s="127"/>
      <c r="K757" s="127"/>
      <c r="L757" s="127"/>
      <c r="M757" s="127"/>
      <c r="N757" s="127"/>
      <c r="O757" s="127"/>
      <c r="P757" s="127"/>
      <c r="Q757" s="127"/>
      <c r="R757" s="127"/>
      <c r="S757" s="127"/>
      <c r="T757" s="127"/>
      <c r="U757" s="127"/>
      <c r="V757" s="127"/>
      <c r="W757" s="127"/>
      <c r="X757" s="127"/>
      <c r="Y757" s="127"/>
      <c r="Z757" s="127"/>
    </row>
    <row r="758" customFormat="false" ht="15.75" hidden="false" customHeight="false" outlineLevel="0" collapsed="false">
      <c r="A758" s="127"/>
      <c r="B758" s="127"/>
      <c r="C758" s="127"/>
      <c r="D758" s="127"/>
      <c r="E758" s="127"/>
      <c r="F758" s="127"/>
      <c r="G758" s="127"/>
      <c r="H758" s="127"/>
      <c r="I758" s="127"/>
      <c r="J758" s="127"/>
      <c r="K758" s="127"/>
      <c r="L758" s="127"/>
      <c r="M758" s="127"/>
      <c r="N758" s="127"/>
      <c r="O758" s="127"/>
      <c r="P758" s="127"/>
      <c r="Q758" s="127"/>
      <c r="R758" s="127"/>
      <c r="S758" s="127"/>
      <c r="T758" s="127"/>
      <c r="U758" s="127"/>
      <c r="V758" s="127"/>
      <c r="W758" s="127"/>
      <c r="X758" s="127"/>
      <c r="Y758" s="127"/>
      <c r="Z758" s="127"/>
    </row>
    <row r="759" customFormat="false" ht="15.75" hidden="false" customHeight="false" outlineLevel="0" collapsed="false">
      <c r="A759" s="127"/>
      <c r="B759" s="127"/>
      <c r="C759" s="127"/>
      <c r="D759" s="127"/>
      <c r="E759" s="127"/>
      <c r="F759" s="127"/>
      <c r="G759" s="127"/>
      <c r="H759" s="127"/>
      <c r="I759" s="127"/>
      <c r="J759" s="127"/>
      <c r="K759" s="127"/>
      <c r="L759" s="127"/>
      <c r="M759" s="127"/>
      <c r="N759" s="127"/>
      <c r="O759" s="127"/>
      <c r="P759" s="127"/>
      <c r="Q759" s="127"/>
      <c r="R759" s="127"/>
      <c r="S759" s="127"/>
      <c r="T759" s="127"/>
      <c r="U759" s="127"/>
      <c r="V759" s="127"/>
      <c r="W759" s="127"/>
      <c r="X759" s="127"/>
      <c r="Y759" s="127"/>
      <c r="Z759" s="127"/>
    </row>
    <row r="760" customFormat="false" ht="15.75" hidden="false" customHeight="false" outlineLevel="0" collapsed="false">
      <c r="A760" s="127"/>
      <c r="B760" s="127"/>
      <c r="C760" s="127"/>
      <c r="D760" s="127"/>
      <c r="E760" s="127"/>
      <c r="F760" s="127"/>
      <c r="G760" s="127"/>
      <c r="H760" s="127"/>
      <c r="I760" s="127"/>
      <c r="J760" s="127"/>
      <c r="K760" s="127"/>
      <c r="L760" s="127"/>
      <c r="M760" s="127"/>
      <c r="N760" s="127"/>
      <c r="O760" s="127"/>
      <c r="P760" s="127"/>
      <c r="Q760" s="127"/>
      <c r="R760" s="127"/>
      <c r="S760" s="127"/>
      <c r="T760" s="127"/>
      <c r="U760" s="127"/>
      <c r="V760" s="127"/>
      <c r="W760" s="127"/>
      <c r="X760" s="127"/>
      <c r="Y760" s="127"/>
      <c r="Z760" s="127"/>
    </row>
    <row r="761" customFormat="false" ht="15.75" hidden="false" customHeight="false" outlineLevel="0" collapsed="false">
      <c r="A761" s="127"/>
      <c r="B761" s="127"/>
      <c r="C761" s="127"/>
      <c r="D761" s="127"/>
      <c r="E761" s="127"/>
      <c r="F761" s="127"/>
      <c r="G761" s="127"/>
      <c r="H761" s="127"/>
      <c r="I761" s="127"/>
      <c r="J761" s="127"/>
      <c r="K761" s="127"/>
      <c r="L761" s="127"/>
      <c r="M761" s="127"/>
      <c r="N761" s="127"/>
      <c r="O761" s="127"/>
      <c r="P761" s="127"/>
      <c r="Q761" s="127"/>
      <c r="R761" s="127"/>
      <c r="S761" s="127"/>
      <c r="T761" s="127"/>
      <c r="U761" s="127"/>
      <c r="V761" s="127"/>
      <c r="W761" s="127"/>
      <c r="X761" s="127"/>
      <c r="Y761" s="127"/>
      <c r="Z761" s="127"/>
    </row>
    <row r="762" customFormat="false" ht="15.75" hidden="false" customHeight="false" outlineLevel="0" collapsed="false">
      <c r="A762" s="127"/>
      <c r="B762" s="127"/>
      <c r="C762" s="127"/>
      <c r="D762" s="127"/>
      <c r="E762" s="127"/>
      <c r="F762" s="127"/>
      <c r="G762" s="127"/>
      <c r="H762" s="127"/>
      <c r="I762" s="127"/>
      <c r="J762" s="127"/>
      <c r="K762" s="127"/>
      <c r="L762" s="127"/>
      <c r="M762" s="127"/>
      <c r="N762" s="127"/>
      <c r="O762" s="127"/>
      <c r="P762" s="127"/>
      <c r="Q762" s="127"/>
      <c r="R762" s="127"/>
      <c r="S762" s="127"/>
      <c r="T762" s="127"/>
      <c r="U762" s="127"/>
      <c r="V762" s="127"/>
      <c r="W762" s="127"/>
      <c r="X762" s="127"/>
      <c r="Y762" s="127"/>
      <c r="Z762" s="127"/>
    </row>
    <row r="763" customFormat="false" ht="15.75" hidden="false" customHeight="false" outlineLevel="0" collapsed="false">
      <c r="A763" s="127"/>
      <c r="B763" s="127"/>
      <c r="C763" s="127"/>
      <c r="D763" s="127"/>
      <c r="E763" s="127"/>
      <c r="F763" s="127"/>
      <c r="G763" s="127"/>
      <c r="H763" s="127"/>
      <c r="I763" s="127"/>
      <c r="J763" s="127"/>
      <c r="K763" s="127"/>
      <c r="L763" s="127"/>
      <c r="M763" s="127"/>
      <c r="N763" s="127"/>
      <c r="O763" s="127"/>
      <c r="P763" s="127"/>
      <c r="Q763" s="127"/>
      <c r="R763" s="127"/>
      <c r="S763" s="127"/>
      <c r="T763" s="127"/>
      <c r="U763" s="127"/>
      <c r="V763" s="127"/>
      <c r="W763" s="127"/>
      <c r="X763" s="127"/>
      <c r="Y763" s="127"/>
      <c r="Z763" s="127"/>
    </row>
    <row r="764" customFormat="false" ht="15.75" hidden="false" customHeight="false" outlineLevel="0" collapsed="false">
      <c r="A764" s="127"/>
      <c r="B764" s="127"/>
      <c r="C764" s="127"/>
      <c r="D764" s="127"/>
      <c r="E764" s="127"/>
      <c r="F764" s="127"/>
      <c r="G764" s="127"/>
      <c r="H764" s="127"/>
      <c r="I764" s="127"/>
      <c r="J764" s="127"/>
      <c r="K764" s="127"/>
      <c r="L764" s="127"/>
      <c r="M764" s="127"/>
      <c r="N764" s="127"/>
      <c r="O764" s="127"/>
      <c r="P764" s="127"/>
      <c r="Q764" s="127"/>
      <c r="R764" s="127"/>
      <c r="S764" s="127"/>
      <c r="T764" s="127"/>
      <c r="U764" s="127"/>
      <c r="V764" s="127"/>
      <c r="W764" s="127"/>
      <c r="X764" s="127"/>
      <c r="Y764" s="127"/>
      <c r="Z764" s="127"/>
    </row>
    <row r="765" customFormat="false" ht="15.75" hidden="false" customHeight="false" outlineLevel="0" collapsed="false">
      <c r="A765" s="127"/>
      <c r="B765" s="127"/>
      <c r="C765" s="127"/>
      <c r="D765" s="127"/>
      <c r="E765" s="127"/>
      <c r="F765" s="127"/>
      <c r="G765" s="127"/>
      <c r="H765" s="127"/>
      <c r="I765" s="127"/>
      <c r="J765" s="127"/>
      <c r="K765" s="127"/>
      <c r="L765" s="127"/>
      <c r="M765" s="127"/>
      <c r="N765" s="127"/>
      <c r="O765" s="127"/>
      <c r="P765" s="127"/>
      <c r="Q765" s="127"/>
      <c r="R765" s="127"/>
      <c r="S765" s="127"/>
      <c r="T765" s="127"/>
      <c r="U765" s="127"/>
      <c r="V765" s="127"/>
      <c r="W765" s="127"/>
      <c r="X765" s="127"/>
      <c r="Y765" s="127"/>
      <c r="Z765" s="127"/>
    </row>
    <row r="766" customFormat="false" ht="15.75" hidden="false" customHeight="false" outlineLevel="0" collapsed="false">
      <c r="A766" s="127"/>
      <c r="B766" s="127"/>
      <c r="C766" s="127"/>
      <c r="D766" s="127"/>
      <c r="E766" s="127"/>
      <c r="F766" s="127"/>
      <c r="G766" s="127"/>
      <c r="H766" s="127"/>
      <c r="I766" s="127"/>
      <c r="J766" s="127"/>
      <c r="K766" s="127"/>
      <c r="L766" s="127"/>
      <c r="M766" s="127"/>
      <c r="N766" s="127"/>
      <c r="O766" s="127"/>
      <c r="P766" s="127"/>
      <c r="Q766" s="127"/>
      <c r="R766" s="127"/>
      <c r="S766" s="127"/>
      <c r="T766" s="127"/>
      <c r="U766" s="127"/>
      <c r="V766" s="127"/>
      <c r="W766" s="127"/>
      <c r="X766" s="127"/>
      <c r="Y766" s="127"/>
      <c r="Z766" s="127"/>
    </row>
    <row r="767" customFormat="false" ht="15.75" hidden="false" customHeight="false" outlineLevel="0" collapsed="false">
      <c r="A767" s="127"/>
      <c r="B767" s="127"/>
      <c r="C767" s="127"/>
      <c r="D767" s="127"/>
      <c r="E767" s="127"/>
      <c r="F767" s="127"/>
      <c r="G767" s="127"/>
      <c r="H767" s="127"/>
      <c r="I767" s="127"/>
      <c r="J767" s="127"/>
      <c r="K767" s="127"/>
      <c r="L767" s="127"/>
      <c r="M767" s="127"/>
      <c r="N767" s="127"/>
      <c r="O767" s="127"/>
      <c r="P767" s="127"/>
      <c r="Q767" s="127"/>
      <c r="R767" s="127"/>
      <c r="S767" s="127"/>
      <c r="T767" s="127"/>
      <c r="U767" s="127"/>
      <c r="V767" s="127"/>
      <c r="W767" s="127"/>
      <c r="X767" s="127"/>
      <c r="Y767" s="127"/>
      <c r="Z767" s="127"/>
    </row>
    <row r="768" customFormat="false" ht="15.75" hidden="false" customHeight="false" outlineLevel="0" collapsed="false">
      <c r="A768" s="127"/>
      <c r="B768" s="127"/>
      <c r="C768" s="127"/>
      <c r="D768" s="127"/>
      <c r="E768" s="127"/>
      <c r="F768" s="127"/>
      <c r="G768" s="127"/>
      <c r="H768" s="127"/>
      <c r="I768" s="127"/>
      <c r="J768" s="127"/>
      <c r="K768" s="127"/>
      <c r="L768" s="127"/>
      <c r="M768" s="127"/>
      <c r="N768" s="127"/>
      <c r="O768" s="127"/>
      <c r="P768" s="127"/>
      <c r="Q768" s="127"/>
      <c r="R768" s="127"/>
      <c r="S768" s="127"/>
      <c r="T768" s="127"/>
      <c r="U768" s="127"/>
      <c r="V768" s="127"/>
      <c r="W768" s="127"/>
      <c r="X768" s="127"/>
      <c r="Y768" s="127"/>
      <c r="Z768" s="127"/>
    </row>
    <row r="769" customFormat="false" ht="15.75" hidden="false" customHeight="false" outlineLevel="0" collapsed="false">
      <c r="A769" s="127"/>
      <c r="B769" s="127"/>
      <c r="C769" s="127"/>
      <c r="D769" s="127"/>
      <c r="E769" s="127"/>
      <c r="F769" s="127"/>
      <c r="G769" s="127"/>
      <c r="H769" s="127"/>
      <c r="I769" s="127"/>
      <c r="J769" s="127"/>
      <c r="K769" s="127"/>
      <c r="L769" s="127"/>
      <c r="M769" s="127"/>
      <c r="N769" s="127"/>
      <c r="O769" s="127"/>
      <c r="P769" s="127"/>
      <c r="Q769" s="127"/>
      <c r="R769" s="127"/>
      <c r="S769" s="127"/>
      <c r="T769" s="127"/>
      <c r="U769" s="127"/>
      <c r="V769" s="127"/>
      <c r="W769" s="127"/>
      <c r="X769" s="127"/>
      <c r="Y769" s="127"/>
      <c r="Z769" s="127"/>
    </row>
    <row r="770" customFormat="false" ht="15.75" hidden="false" customHeight="false" outlineLevel="0" collapsed="false">
      <c r="A770" s="127"/>
      <c r="B770" s="127"/>
      <c r="C770" s="127"/>
      <c r="D770" s="127"/>
      <c r="E770" s="127"/>
      <c r="F770" s="127"/>
      <c r="G770" s="127"/>
      <c r="H770" s="127"/>
      <c r="I770" s="127"/>
      <c r="J770" s="127"/>
      <c r="K770" s="127"/>
      <c r="L770" s="127"/>
      <c r="M770" s="127"/>
      <c r="N770" s="127"/>
      <c r="O770" s="127"/>
      <c r="P770" s="127"/>
      <c r="Q770" s="127"/>
      <c r="R770" s="127"/>
      <c r="S770" s="127"/>
      <c r="T770" s="127"/>
      <c r="U770" s="127"/>
      <c r="V770" s="127"/>
      <c r="W770" s="127"/>
      <c r="X770" s="127"/>
      <c r="Y770" s="127"/>
      <c r="Z770" s="127"/>
    </row>
    <row r="771" customFormat="false" ht="15.75" hidden="false" customHeight="false" outlineLevel="0" collapsed="false">
      <c r="A771" s="127"/>
      <c r="B771" s="127"/>
      <c r="C771" s="127"/>
      <c r="D771" s="127"/>
      <c r="E771" s="127"/>
      <c r="F771" s="127"/>
      <c r="G771" s="127"/>
      <c r="H771" s="127"/>
      <c r="I771" s="127"/>
      <c r="J771" s="127"/>
      <c r="K771" s="127"/>
      <c r="L771" s="127"/>
      <c r="M771" s="127"/>
      <c r="N771" s="127"/>
      <c r="O771" s="127"/>
      <c r="P771" s="127"/>
      <c r="Q771" s="127"/>
      <c r="R771" s="127"/>
      <c r="S771" s="127"/>
      <c r="T771" s="127"/>
      <c r="U771" s="127"/>
      <c r="V771" s="127"/>
      <c r="W771" s="127"/>
      <c r="X771" s="127"/>
      <c r="Y771" s="127"/>
      <c r="Z771" s="127"/>
    </row>
    <row r="772" customFormat="false" ht="15.75" hidden="false" customHeight="false" outlineLevel="0" collapsed="false">
      <c r="A772" s="127"/>
      <c r="B772" s="127"/>
      <c r="C772" s="127"/>
      <c r="D772" s="127"/>
      <c r="E772" s="127"/>
      <c r="F772" s="127"/>
      <c r="G772" s="127"/>
      <c r="H772" s="127"/>
      <c r="I772" s="127"/>
      <c r="J772" s="127"/>
      <c r="K772" s="127"/>
      <c r="L772" s="127"/>
      <c r="M772" s="127"/>
      <c r="N772" s="127"/>
      <c r="O772" s="127"/>
      <c r="P772" s="127"/>
      <c r="Q772" s="127"/>
      <c r="R772" s="127"/>
      <c r="S772" s="127"/>
      <c r="T772" s="127"/>
      <c r="U772" s="127"/>
      <c r="V772" s="127"/>
      <c r="W772" s="127"/>
      <c r="X772" s="127"/>
      <c r="Y772" s="127"/>
      <c r="Z772" s="127"/>
    </row>
    <row r="773" customFormat="false" ht="15.75" hidden="false" customHeight="false" outlineLevel="0" collapsed="false">
      <c r="A773" s="127"/>
      <c r="B773" s="127"/>
      <c r="C773" s="127"/>
      <c r="D773" s="127"/>
      <c r="E773" s="127"/>
      <c r="F773" s="127"/>
      <c r="G773" s="127"/>
      <c r="H773" s="127"/>
      <c r="I773" s="127"/>
      <c r="J773" s="127"/>
      <c r="K773" s="127"/>
      <c r="L773" s="127"/>
      <c r="M773" s="127"/>
      <c r="N773" s="127"/>
      <c r="O773" s="127"/>
      <c r="P773" s="127"/>
      <c r="Q773" s="127"/>
      <c r="R773" s="127"/>
      <c r="S773" s="127"/>
      <c r="T773" s="127"/>
      <c r="U773" s="127"/>
      <c r="V773" s="127"/>
      <c r="W773" s="127"/>
      <c r="X773" s="127"/>
      <c r="Y773" s="127"/>
      <c r="Z773" s="127"/>
    </row>
    <row r="774" customFormat="false" ht="15.75" hidden="false" customHeight="false" outlineLevel="0" collapsed="false">
      <c r="A774" s="127"/>
      <c r="B774" s="127"/>
      <c r="C774" s="127"/>
      <c r="D774" s="127"/>
      <c r="E774" s="127"/>
      <c r="F774" s="127"/>
      <c r="G774" s="127"/>
      <c r="H774" s="127"/>
      <c r="I774" s="127"/>
      <c r="J774" s="127"/>
      <c r="K774" s="127"/>
      <c r="L774" s="127"/>
      <c r="M774" s="127"/>
      <c r="N774" s="127"/>
      <c r="O774" s="127"/>
      <c r="P774" s="127"/>
      <c r="Q774" s="127"/>
      <c r="R774" s="127"/>
      <c r="S774" s="127"/>
      <c r="T774" s="127"/>
      <c r="U774" s="127"/>
      <c r="V774" s="127"/>
      <c r="W774" s="127"/>
      <c r="X774" s="127"/>
      <c r="Y774" s="127"/>
      <c r="Z774" s="127"/>
    </row>
    <row r="775" customFormat="false" ht="15.75" hidden="false" customHeight="false" outlineLevel="0" collapsed="false">
      <c r="A775" s="127"/>
      <c r="B775" s="127"/>
      <c r="C775" s="127"/>
      <c r="D775" s="127"/>
      <c r="E775" s="127"/>
      <c r="F775" s="127"/>
      <c r="G775" s="127"/>
      <c r="H775" s="127"/>
      <c r="I775" s="127"/>
      <c r="J775" s="127"/>
      <c r="K775" s="127"/>
      <c r="L775" s="127"/>
      <c r="M775" s="127"/>
      <c r="N775" s="127"/>
      <c r="O775" s="127"/>
      <c r="P775" s="127"/>
      <c r="Q775" s="127"/>
      <c r="R775" s="127"/>
      <c r="S775" s="127"/>
      <c r="T775" s="127"/>
      <c r="U775" s="127"/>
      <c r="V775" s="127"/>
      <c r="W775" s="127"/>
      <c r="X775" s="127"/>
      <c r="Y775" s="127"/>
      <c r="Z775" s="127"/>
    </row>
    <row r="776" customFormat="false" ht="15.75" hidden="false" customHeight="false" outlineLevel="0" collapsed="false">
      <c r="A776" s="127"/>
      <c r="B776" s="127"/>
      <c r="C776" s="127"/>
      <c r="D776" s="127"/>
      <c r="E776" s="127"/>
      <c r="F776" s="127"/>
      <c r="G776" s="127"/>
      <c r="H776" s="127"/>
      <c r="I776" s="127"/>
      <c r="J776" s="127"/>
      <c r="K776" s="127"/>
      <c r="L776" s="127"/>
      <c r="M776" s="127"/>
      <c r="N776" s="127"/>
      <c r="O776" s="127"/>
      <c r="P776" s="127"/>
      <c r="Q776" s="127"/>
      <c r="R776" s="127"/>
      <c r="S776" s="127"/>
      <c r="T776" s="127"/>
      <c r="U776" s="127"/>
      <c r="V776" s="127"/>
      <c r="W776" s="127"/>
      <c r="X776" s="127"/>
      <c r="Y776" s="127"/>
      <c r="Z776" s="127"/>
    </row>
    <row r="777" customFormat="false" ht="15.75" hidden="false" customHeight="false" outlineLevel="0" collapsed="false">
      <c r="A777" s="127"/>
      <c r="B777" s="127"/>
      <c r="C777" s="127"/>
      <c r="D777" s="127"/>
      <c r="E777" s="127"/>
      <c r="F777" s="127"/>
      <c r="G777" s="127"/>
      <c r="H777" s="127"/>
      <c r="I777" s="127"/>
      <c r="J777" s="127"/>
      <c r="K777" s="127"/>
      <c r="L777" s="127"/>
      <c r="M777" s="127"/>
      <c r="N777" s="127"/>
      <c r="O777" s="127"/>
      <c r="P777" s="127"/>
      <c r="Q777" s="127"/>
      <c r="R777" s="127"/>
      <c r="S777" s="127"/>
      <c r="T777" s="127"/>
      <c r="U777" s="127"/>
      <c r="V777" s="127"/>
      <c r="W777" s="127"/>
      <c r="X777" s="127"/>
      <c r="Y777" s="127"/>
      <c r="Z777" s="127"/>
    </row>
    <row r="778" customFormat="false" ht="15.75" hidden="false" customHeight="false" outlineLevel="0" collapsed="false">
      <c r="A778" s="127"/>
      <c r="B778" s="127"/>
      <c r="C778" s="127"/>
      <c r="D778" s="127"/>
      <c r="E778" s="127"/>
      <c r="F778" s="127"/>
      <c r="G778" s="127"/>
      <c r="H778" s="127"/>
      <c r="I778" s="127"/>
      <c r="J778" s="127"/>
      <c r="K778" s="127"/>
      <c r="L778" s="127"/>
      <c r="M778" s="127"/>
      <c r="N778" s="127"/>
      <c r="O778" s="127"/>
      <c r="P778" s="127"/>
      <c r="Q778" s="127"/>
      <c r="R778" s="127"/>
      <c r="S778" s="127"/>
      <c r="T778" s="127"/>
      <c r="U778" s="127"/>
      <c r="V778" s="127"/>
      <c r="W778" s="127"/>
      <c r="X778" s="127"/>
      <c r="Y778" s="127"/>
      <c r="Z778" s="127"/>
    </row>
    <row r="779" customFormat="false" ht="15.75" hidden="false" customHeight="false" outlineLevel="0" collapsed="false">
      <c r="A779" s="127"/>
      <c r="B779" s="127"/>
      <c r="C779" s="127"/>
      <c r="D779" s="127"/>
      <c r="E779" s="127"/>
      <c r="F779" s="127"/>
      <c r="G779" s="127"/>
      <c r="H779" s="127"/>
      <c r="I779" s="127"/>
      <c r="J779" s="127"/>
      <c r="K779" s="127"/>
      <c r="L779" s="127"/>
      <c r="M779" s="127"/>
      <c r="N779" s="127"/>
      <c r="O779" s="127"/>
      <c r="P779" s="127"/>
      <c r="Q779" s="127"/>
      <c r="R779" s="127"/>
      <c r="S779" s="127"/>
      <c r="T779" s="127"/>
      <c r="U779" s="127"/>
      <c r="V779" s="127"/>
      <c r="W779" s="127"/>
      <c r="X779" s="127"/>
      <c r="Y779" s="127"/>
      <c r="Z779" s="127"/>
    </row>
    <row r="780" customFormat="false" ht="15.75" hidden="false" customHeight="false" outlineLevel="0" collapsed="false">
      <c r="A780" s="127"/>
      <c r="B780" s="127"/>
      <c r="C780" s="127"/>
      <c r="D780" s="127"/>
      <c r="E780" s="127"/>
      <c r="F780" s="127"/>
      <c r="G780" s="127"/>
      <c r="H780" s="127"/>
      <c r="I780" s="127"/>
      <c r="J780" s="127"/>
      <c r="K780" s="127"/>
      <c r="L780" s="127"/>
      <c r="M780" s="127"/>
      <c r="N780" s="127"/>
      <c r="O780" s="127"/>
      <c r="P780" s="127"/>
      <c r="Q780" s="127"/>
      <c r="R780" s="127"/>
      <c r="S780" s="127"/>
      <c r="T780" s="127"/>
      <c r="U780" s="127"/>
      <c r="V780" s="127"/>
      <c r="W780" s="127"/>
      <c r="X780" s="127"/>
      <c r="Y780" s="127"/>
      <c r="Z780" s="127"/>
    </row>
    <row r="781" customFormat="false" ht="15.75" hidden="false" customHeight="false" outlineLevel="0" collapsed="false">
      <c r="A781" s="127"/>
      <c r="B781" s="127"/>
      <c r="C781" s="127"/>
      <c r="D781" s="127"/>
      <c r="E781" s="127"/>
      <c r="F781" s="127"/>
      <c r="G781" s="127"/>
      <c r="H781" s="127"/>
      <c r="I781" s="127"/>
      <c r="J781" s="127"/>
      <c r="K781" s="127"/>
      <c r="L781" s="127"/>
      <c r="M781" s="127"/>
      <c r="N781" s="127"/>
      <c r="O781" s="127"/>
      <c r="P781" s="127"/>
      <c r="Q781" s="127"/>
      <c r="R781" s="127"/>
      <c r="S781" s="127"/>
      <c r="T781" s="127"/>
      <c r="U781" s="127"/>
      <c r="V781" s="127"/>
      <c r="W781" s="127"/>
      <c r="X781" s="127"/>
      <c r="Y781" s="127"/>
      <c r="Z781" s="127"/>
    </row>
    <row r="782" customFormat="false" ht="15.75" hidden="false" customHeight="false" outlineLevel="0" collapsed="false">
      <c r="A782" s="127"/>
      <c r="B782" s="127"/>
      <c r="C782" s="127"/>
      <c r="D782" s="127"/>
      <c r="E782" s="127"/>
      <c r="F782" s="127"/>
      <c r="G782" s="127"/>
      <c r="H782" s="127"/>
      <c r="I782" s="127"/>
      <c r="J782" s="127"/>
      <c r="K782" s="127"/>
      <c r="L782" s="127"/>
      <c r="M782" s="127"/>
      <c r="N782" s="127"/>
      <c r="O782" s="127"/>
      <c r="P782" s="127"/>
      <c r="Q782" s="127"/>
      <c r="R782" s="127"/>
      <c r="S782" s="127"/>
      <c r="T782" s="127"/>
      <c r="U782" s="127"/>
      <c r="V782" s="127"/>
      <c r="W782" s="127"/>
      <c r="X782" s="127"/>
      <c r="Y782" s="127"/>
      <c r="Z782" s="127"/>
    </row>
    <row r="783" customFormat="false" ht="15.75" hidden="false" customHeight="false" outlineLevel="0" collapsed="false">
      <c r="A783" s="127"/>
      <c r="B783" s="127"/>
      <c r="C783" s="127"/>
      <c r="D783" s="127"/>
      <c r="E783" s="127"/>
      <c r="F783" s="127"/>
      <c r="G783" s="127"/>
      <c r="H783" s="127"/>
      <c r="I783" s="127"/>
      <c r="J783" s="127"/>
      <c r="K783" s="127"/>
      <c r="L783" s="127"/>
      <c r="M783" s="127"/>
      <c r="N783" s="127"/>
      <c r="O783" s="127"/>
      <c r="P783" s="127"/>
      <c r="Q783" s="127"/>
      <c r="R783" s="127"/>
      <c r="S783" s="127"/>
      <c r="T783" s="127"/>
      <c r="U783" s="127"/>
      <c r="V783" s="127"/>
      <c r="W783" s="127"/>
      <c r="X783" s="127"/>
      <c r="Y783" s="127"/>
      <c r="Z783" s="127"/>
    </row>
    <row r="784" customFormat="false" ht="15.75" hidden="false" customHeight="false" outlineLevel="0" collapsed="false">
      <c r="A784" s="127"/>
      <c r="B784" s="127"/>
      <c r="C784" s="127"/>
      <c r="D784" s="127"/>
      <c r="E784" s="127"/>
      <c r="F784" s="127"/>
      <c r="G784" s="127"/>
      <c r="H784" s="127"/>
      <c r="I784" s="127"/>
      <c r="J784" s="127"/>
      <c r="K784" s="127"/>
      <c r="L784" s="127"/>
      <c r="M784" s="127"/>
      <c r="N784" s="127"/>
      <c r="O784" s="127"/>
      <c r="P784" s="127"/>
      <c r="Q784" s="127"/>
      <c r="R784" s="127"/>
      <c r="S784" s="127"/>
      <c r="T784" s="127"/>
      <c r="U784" s="127"/>
      <c r="V784" s="127"/>
      <c r="W784" s="127"/>
      <c r="X784" s="127"/>
      <c r="Y784" s="127"/>
      <c r="Z784" s="127"/>
    </row>
    <row r="785" customFormat="false" ht="15.75" hidden="false" customHeight="false" outlineLevel="0" collapsed="false">
      <c r="A785" s="127"/>
      <c r="B785" s="127"/>
      <c r="C785" s="127"/>
      <c r="D785" s="127"/>
      <c r="E785" s="127"/>
      <c r="F785" s="127"/>
      <c r="G785" s="127"/>
      <c r="H785" s="127"/>
      <c r="I785" s="127"/>
      <c r="J785" s="127"/>
      <c r="K785" s="127"/>
      <c r="L785" s="127"/>
      <c r="M785" s="127"/>
      <c r="N785" s="127"/>
      <c r="O785" s="127"/>
      <c r="P785" s="127"/>
      <c r="Q785" s="127"/>
      <c r="R785" s="127"/>
      <c r="S785" s="127"/>
      <c r="T785" s="127"/>
      <c r="U785" s="127"/>
      <c r="V785" s="127"/>
      <c r="W785" s="127"/>
      <c r="X785" s="127"/>
      <c r="Y785" s="127"/>
      <c r="Z785" s="127"/>
    </row>
    <row r="786" customFormat="false" ht="15.75" hidden="false" customHeight="false" outlineLevel="0" collapsed="false">
      <c r="A786" s="127"/>
      <c r="B786" s="127"/>
      <c r="C786" s="127"/>
      <c r="D786" s="127"/>
      <c r="E786" s="127"/>
      <c r="F786" s="127"/>
      <c r="G786" s="127"/>
      <c r="H786" s="127"/>
      <c r="I786" s="127"/>
      <c r="J786" s="127"/>
      <c r="K786" s="127"/>
      <c r="L786" s="127"/>
      <c r="M786" s="127"/>
      <c r="N786" s="127"/>
      <c r="O786" s="127"/>
      <c r="P786" s="127"/>
      <c r="Q786" s="127"/>
      <c r="R786" s="127"/>
      <c r="S786" s="127"/>
      <c r="T786" s="127"/>
      <c r="U786" s="127"/>
      <c r="V786" s="127"/>
      <c r="W786" s="127"/>
      <c r="X786" s="127"/>
      <c r="Y786" s="127"/>
      <c r="Z786" s="127"/>
    </row>
    <row r="787" customFormat="false" ht="15.75" hidden="false" customHeight="false" outlineLevel="0" collapsed="false">
      <c r="A787" s="127"/>
      <c r="B787" s="127"/>
      <c r="C787" s="127"/>
      <c r="D787" s="127"/>
      <c r="E787" s="127"/>
      <c r="F787" s="127"/>
      <c r="G787" s="127"/>
      <c r="H787" s="127"/>
      <c r="I787" s="127"/>
      <c r="J787" s="127"/>
      <c r="K787" s="127"/>
      <c r="L787" s="127"/>
      <c r="M787" s="127"/>
      <c r="N787" s="127"/>
      <c r="O787" s="127"/>
      <c r="P787" s="127"/>
      <c r="Q787" s="127"/>
      <c r="R787" s="127"/>
      <c r="S787" s="127"/>
      <c r="T787" s="127"/>
      <c r="U787" s="127"/>
      <c r="V787" s="127"/>
      <c r="W787" s="127"/>
      <c r="X787" s="127"/>
      <c r="Y787" s="127"/>
      <c r="Z787" s="127"/>
    </row>
    <row r="788" customFormat="false" ht="15.75" hidden="false" customHeight="false" outlineLevel="0" collapsed="false">
      <c r="A788" s="127"/>
      <c r="B788" s="127"/>
      <c r="C788" s="127"/>
      <c r="D788" s="127"/>
      <c r="E788" s="127"/>
      <c r="F788" s="127"/>
      <c r="G788" s="127"/>
      <c r="H788" s="127"/>
      <c r="I788" s="127"/>
      <c r="J788" s="127"/>
      <c r="K788" s="127"/>
      <c r="L788" s="127"/>
      <c r="M788" s="127"/>
      <c r="N788" s="127"/>
      <c r="O788" s="127"/>
      <c r="P788" s="127"/>
      <c r="Q788" s="127"/>
      <c r="R788" s="127"/>
      <c r="S788" s="127"/>
      <c r="T788" s="127"/>
      <c r="U788" s="127"/>
      <c r="V788" s="127"/>
      <c r="W788" s="127"/>
      <c r="X788" s="127"/>
      <c r="Y788" s="127"/>
      <c r="Z788" s="127"/>
    </row>
    <row r="789" customFormat="false" ht="15.75" hidden="false" customHeight="false" outlineLevel="0" collapsed="false">
      <c r="A789" s="127"/>
      <c r="B789" s="127"/>
      <c r="C789" s="127"/>
      <c r="D789" s="127"/>
      <c r="E789" s="127"/>
      <c r="F789" s="127"/>
      <c r="G789" s="127"/>
      <c r="H789" s="127"/>
      <c r="I789" s="127"/>
      <c r="J789" s="127"/>
      <c r="K789" s="127"/>
      <c r="L789" s="127"/>
      <c r="M789" s="127"/>
      <c r="N789" s="127"/>
      <c r="O789" s="127"/>
      <c r="P789" s="127"/>
      <c r="Q789" s="127"/>
      <c r="R789" s="127"/>
      <c r="S789" s="127"/>
      <c r="T789" s="127"/>
      <c r="U789" s="127"/>
      <c r="V789" s="127"/>
      <c r="W789" s="127"/>
      <c r="X789" s="127"/>
      <c r="Y789" s="127"/>
      <c r="Z789" s="127"/>
    </row>
    <row r="790" customFormat="false" ht="15.75" hidden="false" customHeight="false" outlineLevel="0" collapsed="false">
      <c r="A790" s="127"/>
      <c r="B790" s="127"/>
      <c r="C790" s="127"/>
      <c r="D790" s="127"/>
      <c r="E790" s="127"/>
      <c r="F790" s="127"/>
      <c r="G790" s="127"/>
      <c r="H790" s="127"/>
      <c r="I790" s="127"/>
      <c r="J790" s="127"/>
      <c r="K790" s="127"/>
      <c r="L790" s="127"/>
      <c r="M790" s="127"/>
      <c r="N790" s="127"/>
      <c r="O790" s="127"/>
      <c r="P790" s="127"/>
      <c r="Q790" s="127"/>
      <c r="R790" s="127"/>
      <c r="S790" s="127"/>
      <c r="T790" s="127"/>
      <c r="U790" s="127"/>
      <c r="V790" s="127"/>
      <c r="W790" s="127"/>
      <c r="X790" s="127"/>
      <c r="Y790" s="127"/>
      <c r="Z790" s="127"/>
    </row>
    <row r="791" customFormat="false" ht="15.75" hidden="false" customHeight="false" outlineLevel="0" collapsed="false">
      <c r="A791" s="127"/>
      <c r="B791" s="127"/>
      <c r="C791" s="127"/>
      <c r="D791" s="127"/>
      <c r="E791" s="127"/>
      <c r="F791" s="127"/>
      <c r="G791" s="127"/>
      <c r="H791" s="127"/>
      <c r="I791" s="127"/>
      <c r="J791" s="127"/>
      <c r="K791" s="127"/>
      <c r="L791" s="127"/>
      <c r="M791" s="127"/>
      <c r="N791" s="127"/>
      <c r="O791" s="127"/>
      <c r="P791" s="127"/>
      <c r="Q791" s="127"/>
      <c r="R791" s="127"/>
      <c r="S791" s="127"/>
      <c r="T791" s="127"/>
      <c r="U791" s="127"/>
      <c r="V791" s="127"/>
      <c r="W791" s="127"/>
      <c r="X791" s="127"/>
      <c r="Y791" s="127"/>
      <c r="Z791" s="127"/>
    </row>
    <row r="792" customFormat="false" ht="15.75" hidden="false" customHeight="false" outlineLevel="0" collapsed="false">
      <c r="A792" s="127"/>
      <c r="B792" s="127"/>
      <c r="C792" s="127"/>
      <c r="D792" s="127"/>
      <c r="E792" s="127"/>
      <c r="F792" s="127"/>
      <c r="G792" s="127"/>
      <c r="H792" s="127"/>
      <c r="I792" s="127"/>
      <c r="J792" s="127"/>
      <c r="K792" s="127"/>
      <c r="L792" s="127"/>
      <c r="M792" s="127"/>
      <c r="N792" s="127"/>
      <c r="O792" s="127"/>
      <c r="P792" s="127"/>
      <c r="Q792" s="127"/>
      <c r="R792" s="127"/>
      <c r="S792" s="127"/>
      <c r="T792" s="127"/>
      <c r="U792" s="127"/>
      <c r="V792" s="127"/>
      <c r="W792" s="127"/>
      <c r="X792" s="127"/>
      <c r="Y792" s="127"/>
      <c r="Z792" s="127"/>
    </row>
    <row r="793" customFormat="false" ht="15.75" hidden="false" customHeight="false" outlineLevel="0" collapsed="false">
      <c r="A793" s="127"/>
      <c r="B793" s="127"/>
      <c r="C793" s="127"/>
      <c r="D793" s="127"/>
      <c r="E793" s="127"/>
      <c r="F793" s="127"/>
      <c r="G793" s="127"/>
      <c r="H793" s="127"/>
      <c r="I793" s="127"/>
      <c r="J793" s="127"/>
      <c r="K793" s="127"/>
      <c r="L793" s="127"/>
      <c r="M793" s="127"/>
      <c r="N793" s="127"/>
      <c r="O793" s="127"/>
      <c r="P793" s="127"/>
      <c r="Q793" s="127"/>
      <c r="R793" s="127"/>
      <c r="S793" s="127"/>
      <c r="T793" s="127"/>
      <c r="U793" s="127"/>
      <c r="V793" s="127"/>
      <c r="W793" s="127"/>
      <c r="X793" s="127"/>
      <c r="Y793" s="127"/>
      <c r="Z793" s="127"/>
    </row>
    <row r="794" customFormat="false" ht="15.75" hidden="false" customHeight="false" outlineLevel="0" collapsed="false">
      <c r="A794" s="127"/>
      <c r="B794" s="127"/>
      <c r="C794" s="127"/>
      <c r="D794" s="127"/>
      <c r="E794" s="127"/>
      <c r="F794" s="127"/>
      <c r="G794" s="127"/>
      <c r="H794" s="127"/>
      <c r="I794" s="127"/>
      <c r="J794" s="127"/>
      <c r="K794" s="127"/>
      <c r="L794" s="127"/>
      <c r="M794" s="127"/>
      <c r="N794" s="127"/>
      <c r="O794" s="127"/>
      <c r="P794" s="127"/>
      <c r="Q794" s="127"/>
      <c r="R794" s="127"/>
      <c r="S794" s="127"/>
      <c r="T794" s="127"/>
      <c r="U794" s="127"/>
      <c r="V794" s="127"/>
      <c r="W794" s="127"/>
      <c r="X794" s="127"/>
      <c r="Y794" s="127"/>
      <c r="Z794" s="127"/>
    </row>
    <row r="795" customFormat="false" ht="15.75" hidden="false" customHeight="false" outlineLevel="0" collapsed="false">
      <c r="A795" s="127"/>
      <c r="B795" s="127"/>
      <c r="C795" s="127"/>
      <c r="D795" s="127"/>
      <c r="E795" s="127"/>
      <c r="F795" s="127"/>
      <c r="G795" s="127"/>
      <c r="H795" s="127"/>
      <c r="I795" s="127"/>
      <c r="J795" s="127"/>
      <c r="K795" s="127"/>
      <c r="L795" s="127"/>
      <c r="M795" s="127"/>
      <c r="N795" s="127"/>
      <c r="O795" s="127"/>
      <c r="P795" s="127"/>
      <c r="Q795" s="127"/>
      <c r="R795" s="127"/>
      <c r="S795" s="127"/>
      <c r="T795" s="127"/>
      <c r="U795" s="127"/>
      <c r="V795" s="127"/>
      <c r="W795" s="127"/>
      <c r="X795" s="127"/>
      <c r="Y795" s="127"/>
      <c r="Z795" s="127"/>
    </row>
    <row r="796" customFormat="false" ht="15.75" hidden="false" customHeight="false" outlineLevel="0" collapsed="false">
      <c r="A796" s="127"/>
      <c r="B796" s="127"/>
      <c r="C796" s="127"/>
      <c r="D796" s="127"/>
      <c r="E796" s="127"/>
      <c r="F796" s="127"/>
      <c r="G796" s="127"/>
      <c r="H796" s="127"/>
      <c r="I796" s="127"/>
      <c r="J796" s="127"/>
      <c r="K796" s="127"/>
      <c r="L796" s="127"/>
      <c r="M796" s="127"/>
      <c r="N796" s="127"/>
      <c r="O796" s="127"/>
      <c r="P796" s="127"/>
      <c r="Q796" s="127"/>
      <c r="R796" s="127"/>
      <c r="S796" s="127"/>
      <c r="T796" s="127"/>
      <c r="U796" s="127"/>
      <c r="V796" s="127"/>
      <c r="W796" s="127"/>
      <c r="X796" s="127"/>
      <c r="Y796" s="127"/>
      <c r="Z796" s="127"/>
    </row>
    <row r="797" customFormat="false" ht="15.75" hidden="false" customHeight="false" outlineLevel="0" collapsed="false">
      <c r="A797" s="127"/>
      <c r="B797" s="127"/>
      <c r="C797" s="127"/>
      <c r="D797" s="127"/>
      <c r="E797" s="127"/>
      <c r="F797" s="127"/>
      <c r="G797" s="127"/>
      <c r="H797" s="127"/>
      <c r="I797" s="127"/>
      <c r="J797" s="127"/>
      <c r="K797" s="127"/>
      <c r="L797" s="127"/>
      <c r="M797" s="127"/>
      <c r="N797" s="127"/>
      <c r="O797" s="127"/>
      <c r="P797" s="127"/>
      <c r="Q797" s="127"/>
      <c r="R797" s="127"/>
      <c r="S797" s="127"/>
      <c r="T797" s="127"/>
      <c r="U797" s="127"/>
      <c r="V797" s="127"/>
      <c r="W797" s="127"/>
      <c r="X797" s="127"/>
      <c r="Y797" s="127"/>
      <c r="Z797" s="127"/>
    </row>
    <row r="798" customFormat="false" ht="15.75" hidden="false" customHeight="false" outlineLevel="0" collapsed="false">
      <c r="A798" s="127"/>
      <c r="B798" s="127"/>
      <c r="C798" s="127"/>
      <c r="D798" s="127"/>
      <c r="E798" s="127"/>
      <c r="F798" s="127"/>
      <c r="G798" s="127"/>
      <c r="H798" s="127"/>
      <c r="I798" s="127"/>
      <c r="J798" s="127"/>
      <c r="K798" s="127"/>
      <c r="L798" s="127"/>
      <c r="M798" s="127"/>
      <c r="N798" s="127"/>
      <c r="O798" s="127"/>
      <c r="P798" s="127"/>
      <c r="Q798" s="127"/>
      <c r="R798" s="127"/>
      <c r="S798" s="127"/>
      <c r="T798" s="127"/>
      <c r="U798" s="127"/>
      <c r="V798" s="127"/>
      <c r="W798" s="127"/>
      <c r="X798" s="127"/>
      <c r="Y798" s="127"/>
      <c r="Z798" s="127"/>
    </row>
    <row r="799" customFormat="false" ht="15.75" hidden="false" customHeight="false" outlineLevel="0" collapsed="false">
      <c r="A799" s="127"/>
      <c r="B799" s="127"/>
      <c r="C799" s="127"/>
      <c r="D799" s="127"/>
      <c r="E799" s="127"/>
      <c r="F799" s="127"/>
      <c r="G799" s="127"/>
      <c r="H799" s="127"/>
      <c r="I799" s="127"/>
      <c r="J799" s="127"/>
      <c r="K799" s="127"/>
      <c r="L799" s="127"/>
      <c r="M799" s="127"/>
      <c r="N799" s="127"/>
      <c r="O799" s="127"/>
      <c r="P799" s="127"/>
      <c r="Q799" s="127"/>
      <c r="R799" s="127"/>
      <c r="S799" s="127"/>
      <c r="T799" s="127"/>
      <c r="U799" s="127"/>
      <c r="V799" s="127"/>
      <c r="W799" s="127"/>
      <c r="X799" s="127"/>
      <c r="Y799" s="127"/>
      <c r="Z799" s="127"/>
    </row>
    <row r="800" customFormat="false" ht="15.75" hidden="false" customHeight="false" outlineLevel="0" collapsed="false">
      <c r="A800" s="127"/>
      <c r="B800" s="127"/>
      <c r="C800" s="127"/>
      <c r="D800" s="127"/>
      <c r="E800" s="127"/>
      <c r="F800" s="127"/>
      <c r="G800" s="127"/>
      <c r="H800" s="127"/>
      <c r="I800" s="127"/>
      <c r="J800" s="127"/>
      <c r="K800" s="127"/>
      <c r="L800" s="127"/>
      <c r="M800" s="127"/>
      <c r="N800" s="127"/>
      <c r="O800" s="127"/>
      <c r="P800" s="127"/>
      <c r="Q800" s="127"/>
      <c r="R800" s="127"/>
      <c r="S800" s="127"/>
      <c r="T800" s="127"/>
      <c r="U800" s="127"/>
      <c r="V800" s="127"/>
      <c r="W800" s="127"/>
      <c r="X800" s="127"/>
      <c r="Y800" s="127"/>
      <c r="Z800" s="127"/>
    </row>
    <row r="801" customFormat="false" ht="15.75" hidden="false" customHeight="false" outlineLevel="0" collapsed="false">
      <c r="A801" s="127"/>
      <c r="B801" s="127"/>
      <c r="C801" s="127"/>
      <c r="D801" s="127"/>
      <c r="E801" s="127"/>
      <c r="F801" s="127"/>
      <c r="G801" s="127"/>
      <c r="H801" s="127"/>
      <c r="I801" s="127"/>
      <c r="J801" s="127"/>
      <c r="K801" s="127"/>
      <c r="L801" s="127"/>
      <c r="M801" s="127"/>
      <c r="N801" s="127"/>
      <c r="O801" s="127"/>
      <c r="P801" s="127"/>
      <c r="Q801" s="127"/>
      <c r="R801" s="127"/>
      <c r="S801" s="127"/>
      <c r="T801" s="127"/>
      <c r="U801" s="127"/>
      <c r="V801" s="127"/>
      <c r="W801" s="127"/>
      <c r="X801" s="127"/>
      <c r="Y801" s="127"/>
      <c r="Z801" s="127"/>
    </row>
    <row r="802" customFormat="false" ht="15.75" hidden="false" customHeight="false" outlineLevel="0" collapsed="false">
      <c r="A802" s="127"/>
      <c r="B802" s="127"/>
      <c r="C802" s="127"/>
      <c r="D802" s="127"/>
      <c r="E802" s="127"/>
      <c r="F802" s="127"/>
      <c r="G802" s="127"/>
      <c r="H802" s="127"/>
      <c r="I802" s="127"/>
      <c r="J802" s="127"/>
      <c r="K802" s="127"/>
      <c r="L802" s="127"/>
      <c r="M802" s="127"/>
      <c r="N802" s="127"/>
      <c r="O802" s="127"/>
      <c r="P802" s="127"/>
      <c r="Q802" s="127"/>
      <c r="R802" s="127"/>
      <c r="S802" s="127"/>
      <c r="T802" s="127"/>
      <c r="U802" s="127"/>
      <c r="V802" s="127"/>
      <c r="W802" s="127"/>
      <c r="X802" s="127"/>
      <c r="Y802" s="127"/>
      <c r="Z802" s="127"/>
    </row>
    <row r="803" customFormat="false" ht="15.75" hidden="false" customHeight="false" outlineLevel="0" collapsed="false">
      <c r="A803" s="127"/>
      <c r="B803" s="127"/>
      <c r="C803" s="127"/>
      <c r="D803" s="127"/>
      <c r="E803" s="127"/>
      <c r="F803" s="127"/>
      <c r="G803" s="127"/>
      <c r="H803" s="127"/>
      <c r="I803" s="127"/>
      <c r="J803" s="127"/>
      <c r="K803" s="127"/>
      <c r="L803" s="127"/>
      <c r="M803" s="127"/>
      <c r="N803" s="127"/>
      <c r="O803" s="127"/>
      <c r="P803" s="127"/>
      <c r="Q803" s="127"/>
      <c r="R803" s="127"/>
      <c r="S803" s="127"/>
      <c r="T803" s="127"/>
      <c r="U803" s="127"/>
      <c r="V803" s="127"/>
      <c r="W803" s="127"/>
      <c r="X803" s="127"/>
      <c r="Y803" s="127"/>
      <c r="Z803" s="127"/>
    </row>
    <row r="804" customFormat="false" ht="15.75" hidden="false" customHeight="false" outlineLevel="0" collapsed="false">
      <c r="A804" s="127"/>
      <c r="B804" s="127"/>
      <c r="C804" s="127"/>
      <c r="D804" s="127"/>
      <c r="E804" s="127"/>
      <c r="F804" s="127"/>
      <c r="G804" s="127"/>
      <c r="H804" s="127"/>
      <c r="I804" s="127"/>
      <c r="J804" s="127"/>
      <c r="K804" s="127"/>
      <c r="L804" s="127"/>
      <c r="M804" s="127"/>
      <c r="N804" s="127"/>
      <c r="O804" s="127"/>
      <c r="P804" s="127"/>
      <c r="Q804" s="127"/>
      <c r="R804" s="127"/>
      <c r="S804" s="127"/>
      <c r="T804" s="127"/>
      <c r="U804" s="127"/>
      <c r="V804" s="127"/>
      <c r="W804" s="127"/>
      <c r="X804" s="127"/>
      <c r="Y804" s="127"/>
      <c r="Z804" s="127"/>
    </row>
    <row r="805" customFormat="false" ht="15.75" hidden="false" customHeight="false" outlineLevel="0" collapsed="false">
      <c r="A805" s="127"/>
      <c r="B805" s="127"/>
      <c r="C805" s="127"/>
      <c r="D805" s="127"/>
      <c r="E805" s="127"/>
      <c r="F805" s="127"/>
      <c r="G805" s="127"/>
      <c r="H805" s="127"/>
      <c r="I805" s="127"/>
      <c r="J805" s="127"/>
      <c r="K805" s="127"/>
      <c r="L805" s="127"/>
      <c r="M805" s="127"/>
      <c r="N805" s="127"/>
      <c r="O805" s="127"/>
      <c r="P805" s="127"/>
      <c r="Q805" s="127"/>
      <c r="R805" s="127"/>
      <c r="S805" s="127"/>
      <c r="T805" s="127"/>
      <c r="U805" s="127"/>
      <c r="V805" s="127"/>
      <c r="W805" s="127"/>
      <c r="X805" s="127"/>
      <c r="Y805" s="127"/>
      <c r="Z805" s="127"/>
    </row>
    <row r="806" customFormat="false" ht="15.75" hidden="false" customHeight="false" outlineLevel="0" collapsed="false">
      <c r="A806" s="127"/>
      <c r="B806" s="127"/>
      <c r="C806" s="127"/>
      <c r="D806" s="127"/>
      <c r="E806" s="127"/>
      <c r="F806" s="127"/>
      <c r="G806" s="127"/>
      <c r="H806" s="127"/>
      <c r="I806" s="127"/>
      <c r="J806" s="127"/>
      <c r="K806" s="127"/>
      <c r="L806" s="127"/>
      <c r="M806" s="127"/>
      <c r="N806" s="127"/>
      <c r="O806" s="127"/>
      <c r="P806" s="127"/>
      <c r="Q806" s="127"/>
      <c r="R806" s="127"/>
      <c r="S806" s="127"/>
      <c r="T806" s="127"/>
      <c r="U806" s="127"/>
      <c r="V806" s="127"/>
      <c r="W806" s="127"/>
      <c r="X806" s="127"/>
      <c r="Y806" s="127"/>
      <c r="Z806" s="127"/>
    </row>
    <row r="807" customFormat="false" ht="15.75" hidden="false" customHeight="false" outlineLevel="0" collapsed="false">
      <c r="A807" s="127"/>
      <c r="B807" s="127"/>
      <c r="C807" s="127"/>
      <c r="D807" s="127"/>
      <c r="E807" s="127"/>
      <c r="F807" s="127"/>
      <c r="G807" s="127"/>
      <c r="H807" s="127"/>
      <c r="I807" s="127"/>
      <c r="J807" s="127"/>
      <c r="K807" s="127"/>
      <c r="L807" s="127"/>
      <c r="M807" s="127"/>
      <c r="N807" s="127"/>
      <c r="O807" s="127"/>
      <c r="P807" s="127"/>
      <c r="Q807" s="127"/>
      <c r="R807" s="127"/>
      <c r="S807" s="127"/>
      <c r="T807" s="127"/>
      <c r="U807" s="127"/>
      <c r="V807" s="127"/>
      <c r="W807" s="127"/>
      <c r="X807" s="127"/>
      <c r="Y807" s="127"/>
      <c r="Z807" s="127"/>
    </row>
    <row r="808" customFormat="false" ht="15.75" hidden="false" customHeight="false" outlineLevel="0" collapsed="false">
      <c r="A808" s="127"/>
      <c r="B808" s="127"/>
      <c r="C808" s="127"/>
      <c r="D808" s="127"/>
      <c r="E808" s="127"/>
      <c r="F808" s="127"/>
      <c r="G808" s="127"/>
      <c r="H808" s="127"/>
      <c r="I808" s="127"/>
      <c r="J808" s="127"/>
      <c r="K808" s="127"/>
      <c r="L808" s="127"/>
      <c r="M808" s="127"/>
      <c r="N808" s="127"/>
      <c r="O808" s="127"/>
      <c r="P808" s="127"/>
      <c r="Q808" s="127"/>
      <c r="R808" s="127"/>
      <c r="S808" s="127"/>
      <c r="T808" s="127"/>
      <c r="U808" s="127"/>
      <c r="V808" s="127"/>
      <c r="W808" s="127"/>
      <c r="X808" s="127"/>
      <c r="Y808" s="127"/>
      <c r="Z808" s="127"/>
    </row>
    <row r="809" customFormat="false" ht="15.75" hidden="false" customHeight="false" outlineLevel="0" collapsed="false">
      <c r="A809" s="127"/>
      <c r="B809" s="127"/>
      <c r="C809" s="127"/>
      <c r="D809" s="127"/>
      <c r="E809" s="127"/>
      <c r="F809" s="127"/>
      <c r="G809" s="127"/>
      <c r="H809" s="127"/>
      <c r="I809" s="127"/>
      <c r="J809" s="127"/>
      <c r="K809" s="127"/>
      <c r="L809" s="127"/>
      <c r="M809" s="127"/>
      <c r="N809" s="127"/>
      <c r="O809" s="127"/>
      <c r="P809" s="127"/>
      <c r="Q809" s="127"/>
      <c r="R809" s="127"/>
      <c r="S809" s="127"/>
      <c r="T809" s="127"/>
      <c r="U809" s="127"/>
      <c r="V809" s="127"/>
      <c r="W809" s="127"/>
      <c r="X809" s="127"/>
      <c r="Y809" s="127"/>
      <c r="Z809" s="127"/>
    </row>
    <row r="810" customFormat="false" ht="15.75" hidden="false" customHeight="false" outlineLevel="0" collapsed="false">
      <c r="A810" s="127"/>
      <c r="B810" s="127"/>
      <c r="C810" s="127"/>
      <c r="D810" s="127"/>
      <c r="E810" s="127"/>
      <c r="F810" s="127"/>
      <c r="G810" s="127"/>
      <c r="H810" s="127"/>
      <c r="I810" s="127"/>
      <c r="J810" s="127"/>
      <c r="K810" s="127"/>
      <c r="L810" s="127"/>
      <c r="M810" s="127"/>
      <c r="N810" s="127"/>
      <c r="O810" s="127"/>
      <c r="P810" s="127"/>
      <c r="Q810" s="127"/>
      <c r="R810" s="127"/>
      <c r="S810" s="127"/>
      <c r="T810" s="127"/>
      <c r="U810" s="127"/>
      <c r="V810" s="127"/>
      <c r="W810" s="127"/>
      <c r="X810" s="127"/>
      <c r="Y810" s="127"/>
      <c r="Z810" s="127"/>
    </row>
    <row r="811" customFormat="false" ht="15.75" hidden="false" customHeight="false" outlineLevel="0" collapsed="false">
      <c r="A811" s="127"/>
      <c r="B811" s="127"/>
      <c r="C811" s="127"/>
      <c r="D811" s="127"/>
      <c r="E811" s="127"/>
      <c r="F811" s="127"/>
      <c r="G811" s="127"/>
      <c r="H811" s="127"/>
      <c r="I811" s="127"/>
      <c r="J811" s="127"/>
      <c r="K811" s="127"/>
      <c r="L811" s="127"/>
      <c r="M811" s="127"/>
      <c r="N811" s="127"/>
      <c r="O811" s="127"/>
      <c r="P811" s="127"/>
      <c r="Q811" s="127"/>
      <c r="R811" s="127"/>
      <c r="S811" s="127"/>
      <c r="T811" s="127"/>
      <c r="U811" s="127"/>
      <c r="V811" s="127"/>
      <c r="W811" s="127"/>
      <c r="X811" s="127"/>
      <c r="Y811" s="127"/>
      <c r="Z811" s="127"/>
    </row>
    <row r="812" customFormat="false" ht="15.75" hidden="false" customHeight="false" outlineLevel="0" collapsed="false">
      <c r="A812" s="127"/>
      <c r="B812" s="127"/>
      <c r="C812" s="127"/>
      <c r="D812" s="127"/>
      <c r="E812" s="127"/>
      <c r="F812" s="127"/>
      <c r="G812" s="127"/>
      <c r="H812" s="127"/>
      <c r="I812" s="127"/>
      <c r="J812" s="127"/>
      <c r="K812" s="127"/>
      <c r="L812" s="127"/>
      <c r="M812" s="127"/>
      <c r="N812" s="127"/>
      <c r="O812" s="127"/>
      <c r="P812" s="127"/>
      <c r="Q812" s="127"/>
      <c r="R812" s="127"/>
      <c r="S812" s="127"/>
      <c r="T812" s="127"/>
      <c r="U812" s="127"/>
      <c r="V812" s="127"/>
      <c r="W812" s="127"/>
      <c r="X812" s="127"/>
      <c r="Y812" s="127"/>
      <c r="Z812" s="127"/>
    </row>
    <row r="813" customFormat="false" ht="15.75" hidden="false" customHeight="false" outlineLevel="0" collapsed="false">
      <c r="A813" s="127"/>
      <c r="B813" s="127"/>
      <c r="C813" s="127"/>
      <c r="D813" s="127"/>
      <c r="E813" s="127"/>
      <c r="F813" s="127"/>
      <c r="G813" s="127"/>
      <c r="H813" s="127"/>
      <c r="I813" s="127"/>
      <c r="J813" s="127"/>
      <c r="K813" s="127"/>
      <c r="L813" s="127"/>
      <c r="M813" s="127"/>
      <c r="N813" s="127"/>
      <c r="O813" s="127"/>
      <c r="P813" s="127"/>
      <c r="Q813" s="127"/>
      <c r="R813" s="127"/>
      <c r="S813" s="127"/>
      <c r="T813" s="127"/>
      <c r="U813" s="127"/>
      <c r="V813" s="127"/>
      <c r="W813" s="127"/>
      <c r="X813" s="127"/>
      <c r="Y813" s="127"/>
      <c r="Z813" s="127"/>
    </row>
    <row r="814" customFormat="false" ht="15.75" hidden="false" customHeight="false" outlineLevel="0" collapsed="false">
      <c r="A814" s="127"/>
      <c r="B814" s="127"/>
      <c r="C814" s="127"/>
      <c r="D814" s="127"/>
      <c r="E814" s="127"/>
      <c r="F814" s="127"/>
      <c r="G814" s="127"/>
      <c r="H814" s="127"/>
      <c r="I814" s="127"/>
      <c r="J814" s="127"/>
      <c r="K814" s="127"/>
      <c r="L814" s="127"/>
      <c r="M814" s="127"/>
      <c r="N814" s="127"/>
      <c r="O814" s="127"/>
      <c r="P814" s="127"/>
      <c r="Q814" s="127"/>
      <c r="R814" s="127"/>
      <c r="S814" s="127"/>
      <c r="T814" s="127"/>
      <c r="U814" s="127"/>
      <c r="V814" s="127"/>
      <c r="W814" s="127"/>
      <c r="X814" s="127"/>
      <c r="Y814" s="127"/>
      <c r="Z814" s="127"/>
    </row>
    <row r="815" customFormat="false" ht="15.75" hidden="false" customHeight="false" outlineLevel="0" collapsed="false">
      <c r="A815" s="127"/>
      <c r="B815" s="127"/>
      <c r="C815" s="127"/>
      <c r="D815" s="127"/>
      <c r="E815" s="127"/>
      <c r="F815" s="127"/>
      <c r="G815" s="127"/>
      <c r="H815" s="127"/>
      <c r="I815" s="127"/>
      <c r="J815" s="127"/>
      <c r="K815" s="127"/>
      <c r="L815" s="127"/>
      <c r="M815" s="127"/>
      <c r="N815" s="127"/>
      <c r="O815" s="127"/>
      <c r="P815" s="127"/>
      <c r="Q815" s="127"/>
      <c r="R815" s="127"/>
      <c r="S815" s="127"/>
      <c r="T815" s="127"/>
      <c r="U815" s="127"/>
      <c r="V815" s="127"/>
      <c r="W815" s="127"/>
      <c r="X815" s="127"/>
      <c r="Y815" s="127"/>
      <c r="Z815" s="127"/>
    </row>
    <row r="816" customFormat="false" ht="15.75" hidden="false" customHeight="false" outlineLevel="0" collapsed="false">
      <c r="A816" s="127"/>
      <c r="B816" s="127"/>
      <c r="C816" s="127"/>
      <c r="D816" s="127"/>
      <c r="E816" s="127"/>
      <c r="F816" s="127"/>
      <c r="G816" s="127"/>
      <c r="H816" s="127"/>
      <c r="I816" s="127"/>
      <c r="J816" s="127"/>
      <c r="K816" s="127"/>
      <c r="L816" s="127"/>
      <c r="M816" s="127"/>
      <c r="N816" s="127"/>
      <c r="O816" s="127"/>
      <c r="P816" s="127"/>
      <c r="Q816" s="127"/>
      <c r="R816" s="127"/>
      <c r="S816" s="127"/>
      <c r="T816" s="127"/>
      <c r="U816" s="127"/>
      <c r="V816" s="127"/>
      <c r="W816" s="127"/>
      <c r="X816" s="127"/>
      <c r="Y816" s="127"/>
      <c r="Z816" s="127"/>
    </row>
    <row r="817" customFormat="false" ht="15.75" hidden="false" customHeight="false" outlineLevel="0" collapsed="false">
      <c r="A817" s="127"/>
      <c r="B817" s="127"/>
      <c r="C817" s="127"/>
      <c r="D817" s="127"/>
      <c r="E817" s="127"/>
      <c r="F817" s="127"/>
      <c r="G817" s="127"/>
      <c r="H817" s="127"/>
      <c r="I817" s="127"/>
      <c r="J817" s="127"/>
      <c r="K817" s="127"/>
      <c r="L817" s="127"/>
      <c r="M817" s="127"/>
      <c r="N817" s="127"/>
      <c r="O817" s="127"/>
      <c r="P817" s="127"/>
      <c r="Q817" s="127"/>
      <c r="R817" s="127"/>
      <c r="S817" s="127"/>
      <c r="T817" s="127"/>
      <c r="U817" s="127"/>
      <c r="V817" s="127"/>
      <c r="W817" s="127"/>
      <c r="X817" s="127"/>
      <c r="Y817" s="127"/>
      <c r="Z817" s="127"/>
    </row>
    <row r="818" customFormat="false" ht="15.75" hidden="false" customHeight="false" outlineLevel="0" collapsed="false">
      <c r="A818" s="127"/>
      <c r="B818" s="127"/>
      <c r="C818" s="127"/>
      <c r="D818" s="127"/>
      <c r="E818" s="127"/>
      <c r="F818" s="127"/>
      <c r="G818" s="127"/>
      <c r="H818" s="127"/>
      <c r="I818" s="127"/>
      <c r="J818" s="127"/>
      <c r="K818" s="127"/>
      <c r="L818" s="127"/>
      <c r="M818" s="127"/>
      <c r="N818" s="127"/>
      <c r="O818" s="127"/>
      <c r="P818" s="127"/>
      <c r="Q818" s="127"/>
      <c r="R818" s="127"/>
      <c r="S818" s="127"/>
      <c r="T818" s="127"/>
      <c r="U818" s="127"/>
      <c r="V818" s="127"/>
      <c r="W818" s="127"/>
      <c r="X818" s="127"/>
      <c r="Y818" s="127"/>
      <c r="Z818" s="127"/>
    </row>
    <row r="819" customFormat="false" ht="15.75" hidden="false" customHeight="false" outlineLevel="0" collapsed="false">
      <c r="A819" s="127"/>
      <c r="B819" s="127"/>
      <c r="C819" s="127"/>
      <c r="D819" s="127"/>
      <c r="E819" s="127"/>
      <c r="F819" s="127"/>
      <c r="G819" s="127"/>
      <c r="H819" s="127"/>
      <c r="I819" s="127"/>
      <c r="J819" s="127"/>
      <c r="K819" s="127"/>
      <c r="L819" s="127"/>
      <c r="M819" s="127"/>
      <c r="N819" s="127"/>
      <c r="O819" s="127"/>
      <c r="P819" s="127"/>
      <c r="Q819" s="127"/>
      <c r="R819" s="127"/>
      <c r="S819" s="127"/>
      <c r="T819" s="127"/>
      <c r="U819" s="127"/>
      <c r="V819" s="127"/>
      <c r="W819" s="127"/>
      <c r="X819" s="127"/>
      <c r="Y819" s="127"/>
      <c r="Z819" s="127"/>
    </row>
    <row r="820" customFormat="false" ht="15.75" hidden="false" customHeight="false" outlineLevel="0" collapsed="false">
      <c r="A820" s="127"/>
      <c r="B820" s="127"/>
      <c r="C820" s="127"/>
      <c r="D820" s="127"/>
      <c r="E820" s="127"/>
      <c r="F820" s="127"/>
      <c r="G820" s="127"/>
      <c r="H820" s="127"/>
      <c r="I820" s="127"/>
      <c r="J820" s="127"/>
      <c r="K820" s="127"/>
      <c r="L820" s="127"/>
      <c r="M820" s="127"/>
      <c r="N820" s="127"/>
      <c r="O820" s="127"/>
      <c r="P820" s="127"/>
      <c r="Q820" s="127"/>
      <c r="R820" s="127"/>
      <c r="S820" s="127"/>
      <c r="T820" s="127"/>
      <c r="U820" s="127"/>
      <c r="V820" s="127"/>
      <c r="W820" s="127"/>
      <c r="X820" s="127"/>
      <c r="Y820" s="127"/>
      <c r="Z820" s="127"/>
    </row>
    <row r="821" customFormat="false" ht="15.75" hidden="false" customHeight="false" outlineLevel="0" collapsed="false">
      <c r="A821" s="127"/>
      <c r="B821" s="127"/>
      <c r="C821" s="127"/>
      <c r="D821" s="127"/>
      <c r="E821" s="127"/>
      <c r="F821" s="127"/>
      <c r="G821" s="127"/>
      <c r="H821" s="127"/>
      <c r="I821" s="127"/>
      <c r="J821" s="127"/>
      <c r="K821" s="127"/>
      <c r="L821" s="127"/>
      <c r="M821" s="127"/>
      <c r="N821" s="127"/>
      <c r="O821" s="127"/>
      <c r="P821" s="127"/>
      <c r="Q821" s="127"/>
      <c r="R821" s="127"/>
      <c r="S821" s="127"/>
      <c r="T821" s="127"/>
      <c r="U821" s="127"/>
      <c r="V821" s="127"/>
      <c r="W821" s="127"/>
      <c r="X821" s="127"/>
      <c r="Y821" s="127"/>
      <c r="Z821" s="127"/>
    </row>
    <row r="822" customFormat="false" ht="15.75" hidden="false" customHeight="false" outlineLevel="0" collapsed="false">
      <c r="A822" s="127"/>
      <c r="B822" s="127"/>
      <c r="C822" s="127"/>
      <c r="D822" s="127"/>
      <c r="E822" s="127"/>
      <c r="F822" s="127"/>
      <c r="G822" s="127"/>
      <c r="H822" s="127"/>
      <c r="I822" s="127"/>
      <c r="J822" s="127"/>
      <c r="K822" s="127"/>
      <c r="L822" s="127"/>
      <c r="M822" s="127"/>
      <c r="N822" s="127"/>
      <c r="O822" s="127"/>
      <c r="P822" s="127"/>
      <c r="Q822" s="127"/>
      <c r="R822" s="127"/>
      <c r="S822" s="127"/>
      <c r="T822" s="127"/>
      <c r="U822" s="127"/>
      <c r="V822" s="127"/>
      <c r="W822" s="127"/>
      <c r="X822" s="127"/>
      <c r="Y822" s="127"/>
      <c r="Z822" s="127"/>
    </row>
    <row r="823" customFormat="false" ht="15.75" hidden="false" customHeight="false" outlineLevel="0" collapsed="false">
      <c r="A823" s="127"/>
      <c r="B823" s="127"/>
      <c r="C823" s="127"/>
      <c r="D823" s="127"/>
      <c r="E823" s="127"/>
      <c r="F823" s="127"/>
      <c r="G823" s="127"/>
      <c r="H823" s="127"/>
      <c r="I823" s="127"/>
      <c r="J823" s="127"/>
      <c r="K823" s="127"/>
      <c r="L823" s="127"/>
      <c r="M823" s="127"/>
      <c r="N823" s="127"/>
      <c r="O823" s="127"/>
      <c r="P823" s="127"/>
      <c r="Q823" s="127"/>
      <c r="R823" s="127"/>
      <c r="S823" s="127"/>
      <c r="T823" s="127"/>
      <c r="U823" s="127"/>
      <c r="V823" s="127"/>
      <c r="W823" s="127"/>
      <c r="X823" s="127"/>
      <c r="Y823" s="127"/>
      <c r="Z823" s="127"/>
    </row>
    <row r="824" customFormat="false" ht="15.75" hidden="false" customHeight="false" outlineLevel="0" collapsed="false">
      <c r="A824" s="127"/>
      <c r="B824" s="127"/>
      <c r="C824" s="127"/>
      <c r="D824" s="127"/>
      <c r="E824" s="127"/>
      <c r="F824" s="127"/>
      <c r="G824" s="127"/>
      <c r="H824" s="127"/>
      <c r="I824" s="127"/>
      <c r="J824" s="127"/>
      <c r="K824" s="127"/>
      <c r="L824" s="127"/>
      <c r="M824" s="127"/>
      <c r="N824" s="127"/>
      <c r="O824" s="127"/>
      <c r="P824" s="127"/>
      <c r="Q824" s="127"/>
      <c r="R824" s="127"/>
      <c r="S824" s="127"/>
      <c r="T824" s="127"/>
      <c r="U824" s="127"/>
      <c r="V824" s="127"/>
      <c r="W824" s="127"/>
      <c r="X824" s="127"/>
      <c r="Y824" s="127"/>
      <c r="Z824" s="127"/>
    </row>
    <row r="825" customFormat="false" ht="15.75" hidden="false" customHeight="false" outlineLevel="0" collapsed="false">
      <c r="A825" s="127"/>
      <c r="B825" s="127"/>
      <c r="C825" s="127"/>
      <c r="D825" s="127"/>
      <c r="E825" s="127"/>
      <c r="F825" s="127"/>
      <c r="G825" s="127"/>
      <c r="H825" s="127"/>
      <c r="I825" s="127"/>
      <c r="J825" s="127"/>
      <c r="K825" s="127"/>
      <c r="L825" s="127"/>
      <c r="M825" s="127"/>
      <c r="N825" s="127"/>
      <c r="O825" s="127"/>
      <c r="P825" s="127"/>
      <c r="Q825" s="127"/>
      <c r="R825" s="127"/>
      <c r="S825" s="127"/>
      <c r="T825" s="127"/>
      <c r="U825" s="127"/>
      <c r="V825" s="127"/>
      <c r="W825" s="127"/>
      <c r="X825" s="127"/>
      <c r="Y825" s="127"/>
      <c r="Z825" s="127"/>
    </row>
    <row r="826" customFormat="false" ht="15.75" hidden="false" customHeight="false" outlineLevel="0" collapsed="false">
      <c r="A826" s="127"/>
      <c r="B826" s="127"/>
      <c r="C826" s="127"/>
      <c r="D826" s="127"/>
      <c r="E826" s="127"/>
      <c r="F826" s="127"/>
      <c r="G826" s="127"/>
      <c r="H826" s="127"/>
      <c r="I826" s="127"/>
      <c r="J826" s="127"/>
      <c r="K826" s="127"/>
      <c r="L826" s="127"/>
      <c r="M826" s="127"/>
      <c r="N826" s="127"/>
      <c r="O826" s="127"/>
      <c r="P826" s="127"/>
      <c r="Q826" s="127"/>
      <c r="R826" s="127"/>
      <c r="S826" s="127"/>
      <c r="T826" s="127"/>
      <c r="U826" s="127"/>
      <c r="V826" s="127"/>
      <c r="W826" s="127"/>
      <c r="X826" s="127"/>
      <c r="Y826" s="127"/>
      <c r="Z826" s="127"/>
    </row>
    <row r="827" customFormat="false" ht="15.75" hidden="false" customHeight="false" outlineLevel="0" collapsed="false">
      <c r="A827" s="127"/>
      <c r="B827" s="127"/>
      <c r="C827" s="127"/>
      <c r="D827" s="127"/>
      <c r="E827" s="127"/>
      <c r="F827" s="127"/>
      <c r="G827" s="127"/>
      <c r="H827" s="127"/>
      <c r="I827" s="127"/>
      <c r="J827" s="127"/>
      <c r="K827" s="127"/>
      <c r="L827" s="127"/>
      <c r="M827" s="127"/>
      <c r="N827" s="127"/>
      <c r="O827" s="127"/>
      <c r="P827" s="127"/>
      <c r="Q827" s="127"/>
      <c r="R827" s="127"/>
      <c r="S827" s="127"/>
      <c r="T827" s="127"/>
      <c r="U827" s="127"/>
      <c r="V827" s="127"/>
      <c r="W827" s="127"/>
      <c r="X827" s="127"/>
      <c r="Y827" s="127"/>
      <c r="Z827" s="127"/>
    </row>
    <row r="828" customFormat="false" ht="15.75" hidden="false" customHeight="false" outlineLevel="0" collapsed="false">
      <c r="A828" s="127"/>
      <c r="B828" s="127"/>
      <c r="C828" s="127"/>
      <c r="D828" s="127"/>
      <c r="E828" s="127"/>
      <c r="F828" s="127"/>
      <c r="G828" s="127"/>
      <c r="H828" s="127"/>
      <c r="I828" s="127"/>
      <c r="J828" s="127"/>
      <c r="K828" s="127"/>
      <c r="L828" s="127"/>
      <c r="M828" s="127"/>
      <c r="N828" s="127"/>
      <c r="O828" s="127"/>
      <c r="P828" s="127"/>
      <c r="Q828" s="127"/>
      <c r="R828" s="127"/>
      <c r="S828" s="127"/>
      <c r="T828" s="127"/>
      <c r="U828" s="127"/>
      <c r="V828" s="127"/>
      <c r="W828" s="127"/>
      <c r="X828" s="127"/>
      <c r="Y828" s="127"/>
      <c r="Z828" s="127"/>
    </row>
    <row r="829" customFormat="false" ht="15.75" hidden="false" customHeight="false" outlineLevel="0" collapsed="false">
      <c r="A829" s="127"/>
      <c r="B829" s="127"/>
      <c r="C829" s="127"/>
      <c r="D829" s="127"/>
      <c r="E829" s="127"/>
      <c r="F829" s="127"/>
      <c r="G829" s="127"/>
      <c r="H829" s="127"/>
      <c r="I829" s="127"/>
      <c r="J829" s="127"/>
      <c r="K829" s="127"/>
      <c r="L829" s="127"/>
      <c r="M829" s="127"/>
      <c r="N829" s="127"/>
      <c r="O829" s="127"/>
      <c r="P829" s="127"/>
      <c r="Q829" s="127"/>
      <c r="R829" s="127"/>
      <c r="S829" s="127"/>
      <c r="T829" s="127"/>
      <c r="U829" s="127"/>
      <c r="V829" s="127"/>
      <c r="W829" s="127"/>
      <c r="X829" s="127"/>
      <c r="Y829" s="127"/>
      <c r="Z829" s="127"/>
    </row>
    <row r="830" customFormat="false" ht="15.75" hidden="false" customHeight="false" outlineLevel="0" collapsed="false">
      <c r="A830" s="127"/>
      <c r="B830" s="127"/>
      <c r="C830" s="127"/>
      <c r="D830" s="127"/>
      <c r="E830" s="127"/>
      <c r="F830" s="127"/>
      <c r="G830" s="127"/>
      <c r="H830" s="127"/>
      <c r="I830" s="127"/>
      <c r="J830" s="127"/>
      <c r="K830" s="127"/>
      <c r="L830" s="127"/>
      <c r="M830" s="127"/>
      <c r="N830" s="127"/>
      <c r="O830" s="127"/>
      <c r="P830" s="127"/>
      <c r="Q830" s="127"/>
      <c r="R830" s="127"/>
      <c r="S830" s="127"/>
      <c r="T830" s="127"/>
      <c r="U830" s="127"/>
      <c r="V830" s="127"/>
      <c r="W830" s="127"/>
      <c r="X830" s="127"/>
      <c r="Y830" s="127"/>
      <c r="Z830" s="127"/>
    </row>
    <row r="831" customFormat="false" ht="15.75" hidden="false" customHeight="false" outlineLevel="0" collapsed="false">
      <c r="A831" s="127"/>
      <c r="B831" s="127"/>
      <c r="C831" s="127"/>
      <c r="D831" s="127"/>
      <c r="E831" s="127"/>
      <c r="F831" s="127"/>
      <c r="G831" s="127"/>
      <c r="H831" s="127"/>
      <c r="I831" s="127"/>
      <c r="J831" s="127"/>
      <c r="K831" s="127"/>
      <c r="L831" s="127"/>
      <c r="M831" s="127"/>
      <c r="N831" s="127"/>
      <c r="O831" s="127"/>
      <c r="P831" s="127"/>
      <c r="Q831" s="127"/>
      <c r="R831" s="127"/>
      <c r="S831" s="127"/>
      <c r="T831" s="127"/>
      <c r="U831" s="127"/>
      <c r="V831" s="127"/>
      <c r="W831" s="127"/>
      <c r="X831" s="127"/>
      <c r="Y831" s="127"/>
      <c r="Z831" s="127"/>
    </row>
    <row r="832" customFormat="false" ht="15.75" hidden="false" customHeight="false" outlineLevel="0" collapsed="false">
      <c r="A832" s="127"/>
      <c r="B832" s="127"/>
      <c r="C832" s="127"/>
      <c r="D832" s="127"/>
      <c r="E832" s="127"/>
      <c r="F832" s="127"/>
      <c r="G832" s="127"/>
      <c r="H832" s="127"/>
      <c r="I832" s="127"/>
      <c r="J832" s="127"/>
      <c r="K832" s="127"/>
      <c r="L832" s="127"/>
      <c r="M832" s="127"/>
      <c r="N832" s="127"/>
      <c r="O832" s="127"/>
      <c r="P832" s="127"/>
      <c r="Q832" s="127"/>
      <c r="R832" s="127"/>
      <c r="S832" s="127"/>
      <c r="T832" s="127"/>
      <c r="U832" s="127"/>
      <c r="V832" s="127"/>
      <c r="W832" s="127"/>
      <c r="X832" s="127"/>
      <c r="Y832" s="127"/>
      <c r="Z832" s="127"/>
    </row>
    <row r="833" customFormat="false" ht="15.75" hidden="false" customHeight="false" outlineLevel="0" collapsed="false">
      <c r="A833" s="127"/>
      <c r="B833" s="127"/>
      <c r="C833" s="127"/>
      <c r="D833" s="127"/>
      <c r="E833" s="127"/>
      <c r="F833" s="127"/>
      <c r="G833" s="127"/>
      <c r="H833" s="127"/>
      <c r="I833" s="127"/>
      <c r="J833" s="127"/>
      <c r="K833" s="127"/>
      <c r="L833" s="127"/>
      <c r="M833" s="127"/>
      <c r="N833" s="127"/>
      <c r="O833" s="127"/>
      <c r="P833" s="127"/>
      <c r="Q833" s="127"/>
      <c r="R833" s="127"/>
      <c r="S833" s="127"/>
      <c r="T833" s="127"/>
      <c r="U833" s="127"/>
      <c r="V833" s="127"/>
      <c r="W833" s="127"/>
      <c r="X833" s="127"/>
      <c r="Y833" s="127"/>
      <c r="Z833" s="127"/>
    </row>
    <row r="834" customFormat="false" ht="15.75" hidden="false" customHeight="false" outlineLevel="0" collapsed="false">
      <c r="A834" s="127"/>
      <c r="B834" s="127"/>
      <c r="C834" s="127"/>
      <c r="D834" s="127"/>
      <c r="E834" s="127"/>
      <c r="F834" s="127"/>
      <c r="G834" s="127"/>
      <c r="H834" s="127"/>
      <c r="I834" s="127"/>
      <c r="J834" s="127"/>
      <c r="K834" s="127"/>
      <c r="L834" s="127"/>
      <c r="M834" s="127"/>
      <c r="N834" s="127"/>
      <c r="O834" s="127"/>
      <c r="P834" s="127"/>
      <c r="Q834" s="127"/>
      <c r="R834" s="127"/>
      <c r="S834" s="127"/>
      <c r="T834" s="127"/>
      <c r="U834" s="127"/>
      <c r="V834" s="127"/>
      <c r="W834" s="127"/>
      <c r="X834" s="127"/>
      <c r="Y834" s="127"/>
      <c r="Z834" s="127"/>
    </row>
    <row r="835" customFormat="false" ht="15.75" hidden="false" customHeight="false" outlineLevel="0" collapsed="false">
      <c r="A835" s="127"/>
      <c r="B835" s="127"/>
      <c r="C835" s="127"/>
      <c r="D835" s="127"/>
      <c r="E835" s="127"/>
      <c r="F835" s="127"/>
      <c r="G835" s="127"/>
      <c r="H835" s="127"/>
      <c r="I835" s="127"/>
      <c r="J835" s="127"/>
      <c r="K835" s="127"/>
      <c r="L835" s="127"/>
      <c r="M835" s="127"/>
      <c r="N835" s="127"/>
      <c r="O835" s="127"/>
      <c r="P835" s="127"/>
      <c r="Q835" s="127"/>
      <c r="R835" s="127"/>
      <c r="S835" s="127"/>
      <c r="T835" s="127"/>
      <c r="U835" s="127"/>
      <c r="V835" s="127"/>
      <c r="W835" s="127"/>
      <c r="X835" s="127"/>
      <c r="Y835" s="127"/>
      <c r="Z835" s="127"/>
    </row>
    <row r="836" customFormat="false" ht="15.75" hidden="false" customHeight="false" outlineLevel="0" collapsed="false">
      <c r="A836" s="127"/>
      <c r="B836" s="127"/>
      <c r="C836" s="127"/>
      <c r="D836" s="127"/>
      <c r="E836" s="127"/>
      <c r="F836" s="127"/>
      <c r="G836" s="127"/>
      <c r="H836" s="127"/>
      <c r="I836" s="127"/>
      <c r="J836" s="127"/>
      <c r="K836" s="127"/>
      <c r="L836" s="127"/>
      <c r="M836" s="127"/>
      <c r="N836" s="127"/>
      <c r="O836" s="127"/>
      <c r="P836" s="127"/>
      <c r="Q836" s="127"/>
      <c r="R836" s="127"/>
      <c r="S836" s="127"/>
      <c r="T836" s="127"/>
      <c r="U836" s="127"/>
      <c r="V836" s="127"/>
      <c r="W836" s="127"/>
      <c r="X836" s="127"/>
      <c r="Y836" s="127"/>
      <c r="Z836" s="127"/>
    </row>
    <row r="837" customFormat="false" ht="15.75" hidden="false" customHeight="false" outlineLevel="0" collapsed="false">
      <c r="A837" s="127"/>
      <c r="B837" s="127"/>
      <c r="C837" s="127"/>
      <c r="D837" s="127"/>
      <c r="E837" s="127"/>
      <c r="F837" s="127"/>
      <c r="G837" s="127"/>
      <c r="H837" s="127"/>
      <c r="I837" s="127"/>
      <c r="J837" s="127"/>
      <c r="K837" s="127"/>
      <c r="L837" s="127"/>
      <c r="M837" s="127"/>
      <c r="N837" s="127"/>
      <c r="O837" s="127"/>
      <c r="P837" s="127"/>
      <c r="Q837" s="127"/>
      <c r="R837" s="127"/>
      <c r="S837" s="127"/>
      <c r="T837" s="127"/>
      <c r="U837" s="127"/>
      <c r="V837" s="127"/>
      <c r="W837" s="127"/>
      <c r="X837" s="127"/>
      <c r="Y837" s="127"/>
      <c r="Z837" s="127"/>
    </row>
    <row r="838" customFormat="false" ht="15.75" hidden="false" customHeight="false" outlineLevel="0" collapsed="false">
      <c r="A838" s="127"/>
      <c r="B838" s="127"/>
      <c r="C838" s="127"/>
      <c r="D838" s="127"/>
      <c r="E838" s="127"/>
      <c r="F838" s="127"/>
      <c r="G838" s="127"/>
      <c r="H838" s="127"/>
      <c r="I838" s="127"/>
      <c r="J838" s="127"/>
      <c r="K838" s="127"/>
      <c r="L838" s="127"/>
      <c r="M838" s="127"/>
      <c r="N838" s="127"/>
      <c r="O838" s="127"/>
      <c r="P838" s="127"/>
      <c r="Q838" s="127"/>
      <c r="R838" s="127"/>
      <c r="S838" s="127"/>
      <c r="T838" s="127"/>
      <c r="U838" s="127"/>
      <c r="V838" s="127"/>
      <c r="W838" s="127"/>
      <c r="X838" s="127"/>
      <c r="Y838" s="127"/>
      <c r="Z838" s="127"/>
    </row>
    <row r="839" customFormat="false" ht="15.75" hidden="false" customHeight="false" outlineLevel="0" collapsed="false">
      <c r="A839" s="127"/>
      <c r="B839" s="127"/>
      <c r="C839" s="127"/>
      <c r="D839" s="127"/>
      <c r="E839" s="127"/>
      <c r="F839" s="127"/>
      <c r="G839" s="127"/>
      <c r="H839" s="127"/>
      <c r="I839" s="127"/>
      <c r="J839" s="127"/>
      <c r="K839" s="127"/>
      <c r="L839" s="127"/>
      <c r="M839" s="127"/>
      <c r="N839" s="127"/>
      <c r="O839" s="127"/>
      <c r="P839" s="127"/>
      <c r="Q839" s="127"/>
      <c r="R839" s="127"/>
      <c r="S839" s="127"/>
      <c r="T839" s="127"/>
      <c r="U839" s="127"/>
      <c r="V839" s="127"/>
      <c r="W839" s="127"/>
      <c r="X839" s="127"/>
      <c r="Y839" s="127"/>
      <c r="Z839" s="127"/>
    </row>
    <row r="840" customFormat="false" ht="15.75" hidden="false" customHeight="false" outlineLevel="0" collapsed="false">
      <c r="A840" s="127"/>
      <c r="B840" s="127"/>
      <c r="C840" s="127"/>
      <c r="D840" s="127"/>
      <c r="E840" s="127"/>
      <c r="F840" s="127"/>
      <c r="G840" s="127"/>
      <c r="H840" s="127"/>
      <c r="I840" s="127"/>
      <c r="J840" s="127"/>
      <c r="K840" s="127"/>
      <c r="L840" s="127"/>
      <c r="M840" s="127"/>
      <c r="N840" s="127"/>
      <c r="O840" s="127"/>
      <c r="P840" s="127"/>
      <c r="Q840" s="127"/>
      <c r="R840" s="127"/>
      <c r="S840" s="127"/>
      <c r="T840" s="127"/>
      <c r="U840" s="127"/>
      <c r="V840" s="127"/>
      <c r="W840" s="127"/>
      <c r="X840" s="127"/>
      <c r="Y840" s="127"/>
      <c r="Z840" s="127"/>
    </row>
    <row r="841" customFormat="false" ht="15.75" hidden="false" customHeight="false" outlineLevel="0" collapsed="false">
      <c r="A841" s="127"/>
      <c r="B841" s="127"/>
      <c r="C841" s="127"/>
      <c r="D841" s="127"/>
      <c r="E841" s="127"/>
      <c r="F841" s="127"/>
      <c r="G841" s="127"/>
      <c r="H841" s="127"/>
      <c r="I841" s="127"/>
      <c r="J841" s="127"/>
      <c r="K841" s="127"/>
      <c r="L841" s="127"/>
      <c r="M841" s="127"/>
      <c r="N841" s="127"/>
      <c r="O841" s="127"/>
      <c r="P841" s="127"/>
      <c r="Q841" s="127"/>
      <c r="R841" s="127"/>
      <c r="S841" s="127"/>
      <c r="T841" s="127"/>
      <c r="U841" s="127"/>
      <c r="V841" s="127"/>
      <c r="W841" s="127"/>
      <c r="X841" s="127"/>
      <c r="Y841" s="127"/>
      <c r="Z841" s="127"/>
    </row>
    <row r="842" customFormat="false" ht="15.75" hidden="false" customHeight="false" outlineLevel="0" collapsed="false">
      <c r="A842" s="127"/>
      <c r="B842" s="127"/>
      <c r="C842" s="127"/>
      <c r="D842" s="127"/>
      <c r="E842" s="127"/>
      <c r="F842" s="127"/>
      <c r="G842" s="127"/>
      <c r="H842" s="127"/>
      <c r="I842" s="127"/>
      <c r="J842" s="127"/>
      <c r="K842" s="127"/>
      <c r="L842" s="127"/>
      <c r="M842" s="127"/>
      <c r="N842" s="127"/>
      <c r="O842" s="127"/>
      <c r="P842" s="127"/>
      <c r="Q842" s="127"/>
      <c r="R842" s="127"/>
      <c r="S842" s="127"/>
      <c r="T842" s="127"/>
      <c r="U842" s="127"/>
      <c r="V842" s="127"/>
      <c r="W842" s="127"/>
      <c r="X842" s="127"/>
      <c r="Y842" s="127"/>
      <c r="Z842" s="127"/>
    </row>
    <row r="843" customFormat="false" ht="15.75" hidden="false" customHeight="false" outlineLevel="0" collapsed="false">
      <c r="A843" s="127"/>
      <c r="B843" s="127"/>
      <c r="C843" s="127"/>
      <c r="D843" s="127"/>
      <c r="E843" s="127"/>
      <c r="F843" s="127"/>
      <c r="G843" s="127"/>
      <c r="H843" s="127"/>
      <c r="I843" s="127"/>
      <c r="J843" s="127"/>
      <c r="K843" s="127"/>
      <c r="L843" s="127"/>
      <c r="M843" s="127"/>
      <c r="N843" s="127"/>
      <c r="O843" s="127"/>
      <c r="P843" s="127"/>
      <c r="Q843" s="127"/>
      <c r="R843" s="127"/>
      <c r="S843" s="127"/>
      <c r="T843" s="127"/>
      <c r="U843" s="127"/>
      <c r="V843" s="127"/>
      <c r="W843" s="127"/>
      <c r="X843" s="127"/>
      <c r="Y843" s="127"/>
      <c r="Z843" s="127"/>
    </row>
    <row r="844" customFormat="false" ht="15.75" hidden="false" customHeight="false" outlineLevel="0" collapsed="false">
      <c r="A844" s="127"/>
      <c r="B844" s="127"/>
      <c r="C844" s="127"/>
      <c r="D844" s="127"/>
      <c r="E844" s="127"/>
      <c r="F844" s="127"/>
      <c r="G844" s="127"/>
      <c r="H844" s="127"/>
      <c r="I844" s="127"/>
      <c r="J844" s="127"/>
      <c r="K844" s="127"/>
      <c r="L844" s="127"/>
      <c r="M844" s="127"/>
      <c r="N844" s="127"/>
      <c r="O844" s="127"/>
      <c r="P844" s="127"/>
      <c r="Q844" s="127"/>
      <c r="R844" s="127"/>
      <c r="S844" s="127"/>
      <c r="T844" s="127"/>
      <c r="U844" s="127"/>
      <c r="V844" s="127"/>
      <c r="W844" s="127"/>
      <c r="X844" s="127"/>
      <c r="Y844" s="127"/>
      <c r="Z844" s="127"/>
    </row>
    <row r="845" customFormat="false" ht="15.75" hidden="false" customHeight="false" outlineLevel="0" collapsed="false">
      <c r="A845" s="127"/>
      <c r="B845" s="127"/>
      <c r="C845" s="127"/>
      <c r="D845" s="127"/>
      <c r="E845" s="127"/>
      <c r="F845" s="127"/>
      <c r="G845" s="127"/>
      <c r="H845" s="127"/>
      <c r="I845" s="127"/>
      <c r="J845" s="127"/>
      <c r="K845" s="127"/>
      <c r="L845" s="127"/>
      <c r="M845" s="127"/>
      <c r="N845" s="127"/>
      <c r="O845" s="127"/>
      <c r="P845" s="127"/>
      <c r="Q845" s="127"/>
      <c r="R845" s="127"/>
      <c r="S845" s="127"/>
      <c r="T845" s="127"/>
      <c r="U845" s="127"/>
      <c r="V845" s="127"/>
      <c r="W845" s="127"/>
      <c r="X845" s="127"/>
      <c r="Y845" s="127"/>
      <c r="Z845" s="127"/>
    </row>
    <row r="846" customFormat="false" ht="15.75" hidden="false" customHeight="false" outlineLevel="0" collapsed="false">
      <c r="A846" s="127"/>
      <c r="B846" s="127"/>
      <c r="C846" s="127"/>
      <c r="D846" s="127"/>
      <c r="E846" s="127"/>
      <c r="F846" s="127"/>
      <c r="G846" s="127"/>
      <c r="H846" s="127"/>
      <c r="I846" s="127"/>
      <c r="J846" s="127"/>
      <c r="K846" s="127"/>
      <c r="L846" s="127"/>
      <c r="M846" s="127"/>
      <c r="N846" s="127"/>
      <c r="O846" s="127"/>
      <c r="P846" s="127"/>
      <c r="Q846" s="127"/>
      <c r="R846" s="127"/>
      <c r="S846" s="127"/>
      <c r="T846" s="127"/>
      <c r="U846" s="127"/>
      <c r="V846" s="127"/>
      <c r="W846" s="127"/>
      <c r="X846" s="127"/>
      <c r="Y846" s="127"/>
      <c r="Z846" s="127"/>
    </row>
    <row r="847" customFormat="false" ht="15.75" hidden="false" customHeight="false" outlineLevel="0" collapsed="false">
      <c r="A847" s="127"/>
      <c r="B847" s="127"/>
      <c r="C847" s="127"/>
      <c r="D847" s="127"/>
      <c r="E847" s="127"/>
      <c r="F847" s="127"/>
      <c r="G847" s="127"/>
      <c r="H847" s="127"/>
      <c r="I847" s="127"/>
      <c r="J847" s="127"/>
      <c r="K847" s="127"/>
      <c r="L847" s="127"/>
      <c r="M847" s="127"/>
      <c r="N847" s="127"/>
      <c r="O847" s="127"/>
      <c r="P847" s="127"/>
      <c r="Q847" s="127"/>
      <c r="R847" s="127"/>
      <c r="S847" s="127"/>
      <c r="T847" s="127"/>
      <c r="U847" s="127"/>
      <c r="V847" s="127"/>
      <c r="W847" s="127"/>
      <c r="X847" s="127"/>
      <c r="Y847" s="127"/>
      <c r="Z847" s="127"/>
    </row>
    <row r="848" customFormat="false" ht="15.75" hidden="false" customHeight="false" outlineLevel="0" collapsed="false">
      <c r="A848" s="127"/>
      <c r="B848" s="127"/>
      <c r="C848" s="127"/>
      <c r="D848" s="127"/>
      <c r="E848" s="127"/>
      <c r="F848" s="127"/>
      <c r="G848" s="127"/>
      <c r="H848" s="127"/>
      <c r="I848" s="127"/>
      <c r="J848" s="127"/>
      <c r="K848" s="127"/>
      <c r="L848" s="127"/>
      <c r="M848" s="127"/>
      <c r="N848" s="127"/>
      <c r="O848" s="127"/>
      <c r="P848" s="127"/>
      <c r="Q848" s="127"/>
      <c r="R848" s="127"/>
      <c r="S848" s="127"/>
      <c r="T848" s="127"/>
      <c r="U848" s="127"/>
      <c r="V848" s="127"/>
      <c r="W848" s="127"/>
      <c r="X848" s="127"/>
      <c r="Y848" s="127"/>
      <c r="Z848" s="127"/>
    </row>
    <row r="849" customFormat="false" ht="15.75" hidden="false" customHeight="false" outlineLevel="0" collapsed="false">
      <c r="A849" s="127"/>
      <c r="B849" s="127"/>
      <c r="C849" s="127"/>
      <c r="D849" s="127"/>
      <c r="E849" s="127"/>
      <c r="F849" s="127"/>
      <c r="G849" s="127"/>
      <c r="H849" s="127"/>
      <c r="I849" s="127"/>
      <c r="J849" s="127"/>
      <c r="K849" s="127"/>
      <c r="L849" s="127"/>
      <c r="M849" s="127"/>
      <c r="N849" s="127"/>
      <c r="O849" s="127"/>
      <c r="P849" s="127"/>
      <c r="Q849" s="127"/>
      <c r="R849" s="127"/>
      <c r="S849" s="127"/>
      <c r="T849" s="127"/>
      <c r="U849" s="127"/>
      <c r="V849" s="127"/>
      <c r="W849" s="127"/>
      <c r="X849" s="127"/>
      <c r="Y849" s="127"/>
      <c r="Z849" s="127"/>
    </row>
    <row r="850" customFormat="false" ht="15.75" hidden="false" customHeight="false" outlineLevel="0" collapsed="false">
      <c r="A850" s="127"/>
      <c r="B850" s="127"/>
      <c r="C850" s="127"/>
      <c r="D850" s="127"/>
      <c r="E850" s="127"/>
      <c r="F850" s="127"/>
      <c r="G850" s="127"/>
      <c r="H850" s="127"/>
      <c r="I850" s="127"/>
      <c r="J850" s="127"/>
      <c r="K850" s="127"/>
      <c r="L850" s="127"/>
      <c r="M850" s="127"/>
      <c r="N850" s="127"/>
      <c r="O850" s="127"/>
      <c r="P850" s="127"/>
      <c r="Q850" s="127"/>
      <c r="R850" s="127"/>
      <c r="S850" s="127"/>
      <c r="T850" s="127"/>
      <c r="U850" s="127"/>
      <c r="V850" s="127"/>
      <c r="W850" s="127"/>
      <c r="X850" s="127"/>
      <c r="Y850" s="127"/>
      <c r="Z850" s="127"/>
    </row>
    <row r="851" customFormat="false" ht="15.75" hidden="false" customHeight="false" outlineLevel="0" collapsed="false">
      <c r="A851" s="127"/>
      <c r="B851" s="127"/>
      <c r="C851" s="127"/>
      <c r="D851" s="127"/>
      <c r="E851" s="127"/>
      <c r="F851" s="127"/>
      <c r="G851" s="127"/>
      <c r="H851" s="127"/>
      <c r="I851" s="127"/>
      <c r="J851" s="127"/>
      <c r="K851" s="127"/>
      <c r="L851" s="127"/>
      <c r="M851" s="127"/>
      <c r="N851" s="127"/>
      <c r="O851" s="127"/>
      <c r="P851" s="127"/>
      <c r="Q851" s="127"/>
      <c r="R851" s="127"/>
      <c r="S851" s="127"/>
      <c r="T851" s="127"/>
      <c r="U851" s="127"/>
      <c r="V851" s="127"/>
      <c r="W851" s="127"/>
      <c r="X851" s="127"/>
      <c r="Y851" s="127"/>
      <c r="Z851" s="127"/>
    </row>
    <row r="852" customFormat="false" ht="15.75" hidden="false" customHeight="false" outlineLevel="0" collapsed="false">
      <c r="A852" s="127"/>
      <c r="B852" s="127"/>
      <c r="C852" s="127"/>
      <c r="D852" s="127"/>
      <c r="E852" s="127"/>
      <c r="F852" s="127"/>
      <c r="G852" s="127"/>
      <c r="H852" s="127"/>
      <c r="I852" s="127"/>
      <c r="J852" s="127"/>
      <c r="K852" s="127"/>
      <c r="L852" s="127"/>
      <c r="M852" s="127"/>
      <c r="N852" s="127"/>
      <c r="O852" s="127"/>
      <c r="P852" s="127"/>
      <c r="Q852" s="127"/>
      <c r="R852" s="127"/>
      <c r="S852" s="127"/>
      <c r="T852" s="127"/>
      <c r="U852" s="127"/>
      <c r="V852" s="127"/>
      <c r="W852" s="127"/>
      <c r="X852" s="127"/>
      <c r="Y852" s="127"/>
      <c r="Z852" s="127"/>
    </row>
    <row r="853" customFormat="false" ht="15.75" hidden="false" customHeight="false" outlineLevel="0" collapsed="false">
      <c r="A853" s="127"/>
      <c r="B853" s="127"/>
      <c r="C853" s="127"/>
      <c r="D853" s="127"/>
      <c r="E853" s="127"/>
      <c r="F853" s="127"/>
      <c r="G853" s="127"/>
      <c r="H853" s="127"/>
      <c r="I853" s="127"/>
      <c r="J853" s="127"/>
      <c r="K853" s="127"/>
      <c r="L853" s="127"/>
      <c r="M853" s="127"/>
      <c r="N853" s="127"/>
      <c r="O853" s="127"/>
      <c r="P853" s="127"/>
      <c r="Q853" s="127"/>
      <c r="R853" s="127"/>
      <c r="S853" s="127"/>
      <c r="T853" s="127"/>
      <c r="U853" s="127"/>
      <c r="V853" s="127"/>
      <c r="W853" s="127"/>
      <c r="X853" s="127"/>
      <c r="Y853" s="127"/>
      <c r="Z853" s="127"/>
    </row>
    <row r="854" customFormat="false" ht="15.75" hidden="false" customHeight="false" outlineLevel="0" collapsed="false">
      <c r="A854" s="127"/>
      <c r="B854" s="127"/>
      <c r="C854" s="127"/>
      <c r="D854" s="127"/>
      <c r="E854" s="127"/>
      <c r="F854" s="127"/>
      <c r="G854" s="127"/>
      <c r="H854" s="127"/>
      <c r="I854" s="127"/>
      <c r="J854" s="127"/>
      <c r="K854" s="127"/>
      <c r="L854" s="127"/>
      <c r="M854" s="127"/>
      <c r="N854" s="127"/>
      <c r="O854" s="127"/>
      <c r="P854" s="127"/>
      <c r="Q854" s="127"/>
      <c r="R854" s="127"/>
      <c r="S854" s="127"/>
      <c r="T854" s="127"/>
      <c r="U854" s="127"/>
      <c r="V854" s="127"/>
      <c r="W854" s="127"/>
      <c r="X854" s="127"/>
      <c r="Y854" s="127"/>
      <c r="Z854" s="127"/>
    </row>
    <row r="855" customFormat="false" ht="15.75" hidden="false" customHeight="false" outlineLevel="0" collapsed="false">
      <c r="A855" s="127"/>
      <c r="B855" s="127"/>
      <c r="C855" s="127"/>
      <c r="D855" s="127"/>
      <c r="E855" s="127"/>
      <c r="F855" s="127"/>
      <c r="G855" s="127"/>
      <c r="H855" s="127"/>
      <c r="I855" s="127"/>
      <c r="J855" s="127"/>
      <c r="K855" s="127"/>
      <c r="L855" s="127"/>
      <c r="M855" s="127"/>
      <c r="N855" s="127"/>
      <c r="O855" s="127"/>
      <c r="P855" s="127"/>
      <c r="Q855" s="127"/>
      <c r="R855" s="127"/>
      <c r="S855" s="127"/>
      <c r="T855" s="127"/>
      <c r="U855" s="127"/>
      <c r="V855" s="127"/>
      <c r="W855" s="127"/>
      <c r="X855" s="127"/>
      <c r="Y855" s="127"/>
      <c r="Z855" s="127"/>
    </row>
    <row r="856" customFormat="false" ht="15.75" hidden="false" customHeight="false" outlineLevel="0" collapsed="false">
      <c r="A856" s="127"/>
      <c r="B856" s="127"/>
      <c r="C856" s="127"/>
      <c r="D856" s="127"/>
      <c r="E856" s="127"/>
      <c r="F856" s="127"/>
      <c r="G856" s="127"/>
      <c r="H856" s="127"/>
      <c r="I856" s="127"/>
      <c r="J856" s="127"/>
      <c r="K856" s="127"/>
      <c r="L856" s="127"/>
      <c r="M856" s="127"/>
      <c r="N856" s="127"/>
      <c r="O856" s="127"/>
      <c r="P856" s="127"/>
      <c r="Q856" s="127"/>
      <c r="R856" s="127"/>
      <c r="S856" s="127"/>
      <c r="T856" s="127"/>
      <c r="U856" s="127"/>
      <c r="V856" s="127"/>
      <c r="W856" s="127"/>
      <c r="X856" s="127"/>
      <c r="Y856" s="127"/>
      <c r="Z856" s="127"/>
    </row>
    <row r="857" customFormat="false" ht="15.75" hidden="false" customHeight="false" outlineLevel="0" collapsed="false">
      <c r="A857" s="127"/>
      <c r="B857" s="127"/>
      <c r="C857" s="127"/>
      <c r="D857" s="127"/>
      <c r="E857" s="127"/>
      <c r="F857" s="127"/>
      <c r="G857" s="127"/>
      <c r="H857" s="127"/>
      <c r="I857" s="127"/>
      <c r="J857" s="127"/>
      <c r="K857" s="127"/>
      <c r="L857" s="127"/>
      <c r="M857" s="127"/>
      <c r="N857" s="127"/>
      <c r="O857" s="127"/>
      <c r="P857" s="127"/>
      <c r="Q857" s="127"/>
      <c r="R857" s="127"/>
      <c r="S857" s="127"/>
      <c r="T857" s="127"/>
      <c r="U857" s="127"/>
      <c r="V857" s="127"/>
      <c r="W857" s="127"/>
      <c r="X857" s="127"/>
      <c r="Y857" s="127"/>
      <c r="Z857" s="127"/>
    </row>
    <row r="858" customFormat="false" ht="15.75" hidden="false" customHeight="false" outlineLevel="0" collapsed="false">
      <c r="A858" s="127"/>
      <c r="B858" s="127"/>
      <c r="C858" s="127"/>
      <c r="D858" s="127"/>
      <c r="E858" s="127"/>
      <c r="F858" s="127"/>
      <c r="G858" s="127"/>
      <c r="H858" s="127"/>
      <c r="I858" s="127"/>
      <c r="J858" s="127"/>
      <c r="K858" s="127"/>
      <c r="L858" s="127"/>
      <c r="M858" s="127"/>
      <c r="N858" s="127"/>
      <c r="O858" s="127"/>
      <c r="P858" s="127"/>
      <c r="Q858" s="127"/>
      <c r="R858" s="127"/>
      <c r="S858" s="127"/>
      <c r="T858" s="127"/>
      <c r="U858" s="127"/>
      <c r="V858" s="127"/>
      <c r="W858" s="127"/>
      <c r="X858" s="127"/>
      <c r="Y858" s="127"/>
      <c r="Z858" s="127"/>
    </row>
    <row r="859" customFormat="false" ht="15.75" hidden="false" customHeight="false" outlineLevel="0" collapsed="false">
      <c r="A859" s="127"/>
      <c r="B859" s="127"/>
      <c r="C859" s="127"/>
      <c r="D859" s="127"/>
      <c r="E859" s="127"/>
      <c r="F859" s="127"/>
      <c r="G859" s="127"/>
      <c r="H859" s="127"/>
      <c r="I859" s="127"/>
      <c r="J859" s="127"/>
      <c r="K859" s="127"/>
      <c r="L859" s="127"/>
      <c r="M859" s="127"/>
      <c r="N859" s="127"/>
      <c r="O859" s="127"/>
      <c r="P859" s="127"/>
      <c r="Q859" s="127"/>
      <c r="R859" s="127"/>
      <c r="S859" s="127"/>
      <c r="T859" s="127"/>
      <c r="U859" s="127"/>
      <c r="V859" s="127"/>
      <c r="W859" s="127"/>
      <c r="X859" s="127"/>
      <c r="Y859" s="127"/>
      <c r="Z859" s="127"/>
    </row>
    <row r="860" customFormat="false" ht="15.75" hidden="false" customHeight="false" outlineLevel="0" collapsed="false">
      <c r="A860" s="127"/>
      <c r="B860" s="127"/>
      <c r="C860" s="127"/>
      <c r="D860" s="127"/>
      <c r="E860" s="127"/>
      <c r="F860" s="127"/>
      <c r="G860" s="127"/>
      <c r="H860" s="127"/>
      <c r="I860" s="127"/>
      <c r="J860" s="127"/>
      <c r="K860" s="127"/>
      <c r="L860" s="127"/>
      <c r="M860" s="127"/>
      <c r="N860" s="127"/>
      <c r="O860" s="127"/>
      <c r="P860" s="127"/>
      <c r="Q860" s="127"/>
      <c r="R860" s="127"/>
      <c r="S860" s="127"/>
      <c r="T860" s="127"/>
      <c r="U860" s="127"/>
      <c r="V860" s="127"/>
      <c r="W860" s="127"/>
      <c r="X860" s="127"/>
      <c r="Y860" s="127"/>
      <c r="Z860" s="127"/>
    </row>
    <row r="861" customFormat="false" ht="15.75" hidden="false" customHeight="false" outlineLevel="0" collapsed="false">
      <c r="A861" s="127"/>
      <c r="B861" s="127"/>
      <c r="C861" s="127"/>
      <c r="D861" s="127"/>
      <c r="E861" s="127"/>
      <c r="F861" s="127"/>
      <c r="G861" s="127"/>
      <c r="H861" s="127"/>
      <c r="I861" s="127"/>
      <c r="J861" s="127"/>
      <c r="K861" s="127"/>
      <c r="L861" s="127"/>
      <c r="M861" s="127"/>
      <c r="N861" s="127"/>
      <c r="O861" s="127"/>
      <c r="P861" s="127"/>
      <c r="Q861" s="127"/>
      <c r="R861" s="127"/>
      <c r="S861" s="127"/>
      <c r="T861" s="127"/>
      <c r="U861" s="127"/>
      <c r="V861" s="127"/>
      <c r="W861" s="127"/>
      <c r="X861" s="127"/>
      <c r="Y861" s="127"/>
      <c r="Z861" s="127"/>
    </row>
    <row r="862" customFormat="false" ht="15.75" hidden="false" customHeight="false" outlineLevel="0" collapsed="false">
      <c r="A862" s="127"/>
      <c r="B862" s="127"/>
      <c r="C862" s="127"/>
      <c r="D862" s="127"/>
      <c r="E862" s="127"/>
      <c r="F862" s="127"/>
      <c r="G862" s="127"/>
      <c r="H862" s="127"/>
      <c r="I862" s="127"/>
      <c r="J862" s="127"/>
      <c r="K862" s="127"/>
      <c r="L862" s="127"/>
      <c r="M862" s="127"/>
      <c r="N862" s="127"/>
      <c r="O862" s="127"/>
      <c r="P862" s="127"/>
      <c r="Q862" s="127"/>
      <c r="R862" s="127"/>
      <c r="S862" s="127"/>
      <c r="T862" s="127"/>
      <c r="U862" s="127"/>
      <c r="V862" s="127"/>
      <c r="W862" s="127"/>
      <c r="X862" s="127"/>
      <c r="Y862" s="127"/>
      <c r="Z862" s="127"/>
    </row>
    <row r="863" customFormat="false" ht="15.75" hidden="false" customHeight="false" outlineLevel="0" collapsed="false">
      <c r="A863" s="127"/>
      <c r="B863" s="127"/>
      <c r="C863" s="127"/>
      <c r="D863" s="127"/>
      <c r="E863" s="127"/>
      <c r="F863" s="127"/>
      <c r="G863" s="127"/>
      <c r="H863" s="127"/>
      <c r="I863" s="127"/>
      <c r="J863" s="127"/>
      <c r="K863" s="127"/>
      <c r="L863" s="127"/>
      <c r="M863" s="127"/>
      <c r="N863" s="127"/>
      <c r="O863" s="127"/>
      <c r="P863" s="127"/>
      <c r="Q863" s="127"/>
      <c r="R863" s="127"/>
      <c r="S863" s="127"/>
      <c r="T863" s="127"/>
      <c r="U863" s="127"/>
      <c r="V863" s="127"/>
      <c r="W863" s="127"/>
      <c r="X863" s="127"/>
      <c r="Y863" s="127"/>
      <c r="Z863" s="127"/>
    </row>
    <row r="864" customFormat="false" ht="15.75" hidden="false" customHeight="false" outlineLevel="0" collapsed="false">
      <c r="A864" s="127"/>
      <c r="B864" s="127"/>
      <c r="C864" s="127"/>
      <c r="D864" s="127"/>
      <c r="E864" s="127"/>
      <c r="F864" s="127"/>
      <c r="G864" s="127"/>
      <c r="H864" s="127"/>
      <c r="I864" s="127"/>
      <c r="J864" s="127"/>
      <c r="K864" s="127"/>
      <c r="L864" s="127"/>
      <c r="M864" s="127"/>
      <c r="N864" s="127"/>
      <c r="O864" s="127"/>
      <c r="P864" s="127"/>
      <c r="Q864" s="127"/>
      <c r="R864" s="127"/>
      <c r="S864" s="127"/>
      <c r="T864" s="127"/>
      <c r="U864" s="127"/>
      <c r="V864" s="127"/>
      <c r="W864" s="127"/>
      <c r="X864" s="127"/>
      <c r="Y864" s="127"/>
      <c r="Z864" s="127"/>
    </row>
    <row r="865" customFormat="false" ht="15.75" hidden="false" customHeight="false" outlineLevel="0" collapsed="false">
      <c r="A865" s="127"/>
      <c r="B865" s="127"/>
      <c r="C865" s="127"/>
      <c r="D865" s="127"/>
      <c r="E865" s="127"/>
      <c r="F865" s="127"/>
      <c r="G865" s="127"/>
      <c r="H865" s="127"/>
      <c r="I865" s="127"/>
      <c r="J865" s="127"/>
      <c r="K865" s="127"/>
      <c r="L865" s="127"/>
      <c r="M865" s="127"/>
      <c r="N865" s="127"/>
      <c r="O865" s="127"/>
      <c r="P865" s="127"/>
      <c r="Q865" s="127"/>
      <c r="R865" s="127"/>
      <c r="S865" s="127"/>
      <c r="T865" s="127"/>
      <c r="U865" s="127"/>
      <c r="V865" s="127"/>
      <c r="W865" s="127"/>
      <c r="X865" s="127"/>
      <c r="Y865" s="127"/>
      <c r="Z865" s="127"/>
    </row>
    <row r="866" customFormat="false" ht="15.75" hidden="false" customHeight="false" outlineLevel="0" collapsed="false">
      <c r="A866" s="127"/>
      <c r="B866" s="127"/>
      <c r="C866" s="127"/>
      <c r="D866" s="127"/>
      <c r="E866" s="127"/>
      <c r="F866" s="127"/>
      <c r="G866" s="127"/>
      <c r="H866" s="127"/>
      <c r="I866" s="127"/>
      <c r="J866" s="127"/>
      <c r="K866" s="127"/>
      <c r="L866" s="127"/>
      <c r="M866" s="127"/>
      <c r="N866" s="127"/>
      <c r="O866" s="127"/>
      <c r="P866" s="127"/>
      <c r="Q866" s="127"/>
      <c r="R866" s="127"/>
      <c r="S866" s="127"/>
      <c r="T866" s="127"/>
      <c r="U866" s="127"/>
      <c r="V866" s="127"/>
      <c r="W866" s="127"/>
      <c r="X866" s="127"/>
      <c r="Y866" s="127"/>
      <c r="Z866" s="127"/>
    </row>
    <row r="867" customFormat="false" ht="15.75" hidden="false" customHeight="false" outlineLevel="0" collapsed="false">
      <c r="A867" s="127"/>
      <c r="B867" s="127"/>
      <c r="C867" s="127"/>
      <c r="D867" s="127"/>
      <c r="E867" s="127"/>
      <c r="F867" s="127"/>
      <c r="G867" s="127"/>
      <c r="H867" s="127"/>
      <c r="I867" s="127"/>
      <c r="J867" s="127"/>
      <c r="K867" s="127"/>
      <c r="L867" s="127"/>
      <c r="M867" s="127"/>
      <c r="N867" s="127"/>
      <c r="O867" s="127"/>
      <c r="P867" s="127"/>
      <c r="Q867" s="127"/>
      <c r="R867" s="127"/>
      <c r="S867" s="127"/>
      <c r="T867" s="127"/>
      <c r="U867" s="127"/>
      <c r="V867" s="127"/>
      <c r="W867" s="127"/>
      <c r="X867" s="127"/>
      <c r="Y867" s="127"/>
      <c r="Z867" s="127"/>
    </row>
    <row r="868" customFormat="false" ht="15.75" hidden="false" customHeight="false" outlineLevel="0" collapsed="false">
      <c r="A868" s="127"/>
      <c r="B868" s="127"/>
      <c r="C868" s="127"/>
      <c r="D868" s="127"/>
      <c r="E868" s="127"/>
      <c r="F868" s="127"/>
      <c r="G868" s="127"/>
      <c r="H868" s="127"/>
      <c r="I868" s="127"/>
      <c r="J868" s="127"/>
      <c r="K868" s="127"/>
      <c r="L868" s="127"/>
      <c r="M868" s="127"/>
      <c r="N868" s="127"/>
      <c r="O868" s="127"/>
      <c r="P868" s="127"/>
      <c r="Q868" s="127"/>
      <c r="R868" s="127"/>
      <c r="S868" s="127"/>
      <c r="T868" s="127"/>
      <c r="U868" s="127"/>
      <c r="V868" s="127"/>
      <c r="W868" s="127"/>
      <c r="X868" s="127"/>
      <c r="Y868" s="127"/>
      <c r="Z868" s="127"/>
    </row>
    <row r="869" customFormat="false" ht="15.75" hidden="false" customHeight="false" outlineLevel="0" collapsed="false">
      <c r="A869" s="127"/>
      <c r="B869" s="127"/>
      <c r="C869" s="127"/>
      <c r="D869" s="127"/>
      <c r="E869" s="127"/>
      <c r="F869" s="127"/>
      <c r="G869" s="127"/>
      <c r="H869" s="127"/>
      <c r="I869" s="127"/>
      <c r="J869" s="127"/>
      <c r="K869" s="127"/>
      <c r="L869" s="127"/>
      <c r="M869" s="127"/>
      <c r="N869" s="127"/>
      <c r="O869" s="127"/>
      <c r="P869" s="127"/>
      <c r="Q869" s="127"/>
      <c r="R869" s="127"/>
      <c r="S869" s="127"/>
      <c r="T869" s="127"/>
      <c r="U869" s="127"/>
      <c r="V869" s="127"/>
      <c r="W869" s="127"/>
      <c r="X869" s="127"/>
      <c r="Y869" s="127"/>
      <c r="Z869" s="127"/>
    </row>
    <row r="870" customFormat="false" ht="15.75" hidden="false" customHeight="false" outlineLevel="0" collapsed="false">
      <c r="A870" s="127"/>
      <c r="B870" s="127"/>
      <c r="C870" s="127"/>
      <c r="D870" s="127"/>
      <c r="E870" s="127"/>
      <c r="F870" s="127"/>
      <c r="G870" s="127"/>
      <c r="H870" s="127"/>
      <c r="I870" s="127"/>
      <c r="J870" s="127"/>
      <c r="K870" s="127"/>
      <c r="L870" s="127"/>
      <c r="M870" s="127"/>
      <c r="N870" s="127"/>
      <c r="O870" s="127"/>
      <c r="P870" s="127"/>
      <c r="Q870" s="127"/>
      <c r="R870" s="127"/>
      <c r="S870" s="127"/>
      <c r="T870" s="127"/>
      <c r="U870" s="127"/>
      <c r="V870" s="127"/>
      <c r="W870" s="127"/>
      <c r="X870" s="127"/>
      <c r="Y870" s="127"/>
      <c r="Z870" s="127"/>
    </row>
    <row r="871" customFormat="false" ht="15.75" hidden="false" customHeight="false" outlineLevel="0" collapsed="false">
      <c r="A871" s="127"/>
      <c r="B871" s="127"/>
      <c r="C871" s="127"/>
      <c r="D871" s="127"/>
      <c r="E871" s="127"/>
      <c r="F871" s="127"/>
      <c r="G871" s="127"/>
      <c r="H871" s="127"/>
      <c r="I871" s="127"/>
      <c r="J871" s="127"/>
      <c r="K871" s="127"/>
      <c r="L871" s="127"/>
      <c r="M871" s="127"/>
      <c r="N871" s="127"/>
      <c r="O871" s="127"/>
      <c r="P871" s="127"/>
      <c r="Q871" s="127"/>
      <c r="R871" s="127"/>
      <c r="S871" s="127"/>
      <c r="T871" s="127"/>
      <c r="U871" s="127"/>
      <c r="V871" s="127"/>
      <c r="W871" s="127"/>
      <c r="X871" s="127"/>
      <c r="Y871" s="127"/>
      <c r="Z871" s="127"/>
    </row>
    <row r="872" customFormat="false" ht="15.75" hidden="false" customHeight="false" outlineLevel="0" collapsed="false">
      <c r="A872" s="127"/>
      <c r="B872" s="127"/>
      <c r="C872" s="127"/>
      <c r="D872" s="127"/>
      <c r="E872" s="127"/>
      <c r="F872" s="127"/>
      <c r="G872" s="127"/>
      <c r="H872" s="127"/>
      <c r="I872" s="127"/>
      <c r="J872" s="127"/>
      <c r="K872" s="127"/>
      <c r="L872" s="127"/>
      <c r="M872" s="127"/>
      <c r="N872" s="127"/>
      <c r="O872" s="127"/>
      <c r="P872" s="127"/>
      <c r="Q872" s="127"/>
      <c r="R872" s="127"/>
      <c r="S872" s="127"/>
      <c r="T872" s="127"/>
      <c r="U872" s="127"/>
      <c r="V872" s="127"/>
      <c r="W872" s="127"/>
      <c r="X872" s="127"/>
      <c r="Y872" s="127"/>
      <c r="Z872" s="127"/>
    </row>
    <row r="873" customFormat="false" ht="15.75" hidden="false" customHeight="false" outlineLevel="0" collapsed="false">
      <c r="A873" s="127"/>
      <c r="B873" s="127"/>
      <c r="C873" s="127"/>
      <c r="D873" s="127"/>
      <c r="E873" s="127"/>
      <c r="F873" s="127"/>
      <c r="G873" s="127"/>
      <c r="H873" s="127"/>
      <c r="I873" s="127"/>
      <c r="J873" s="127"/>
      <c r="K873" s="127"/>
      <c r="L873" s="127"/>
      <c r="M873" s="127"/>
      <c r="N873" s="127"/>
      <c r="O873" s="127"/>
      <c r="P873" s="127"/>
      <c r="Q873" s="127"/>
      <c r="R873" s="127"/>
      <c r="S873" s="127"/>
      <c r="T873" s="127"/>
      <c r="U873" s="127"/>
      <c r="V873" s="127"/>
      <c r="W873" s="127"/>
      <c r="X873" s="127"/>
      <c r="Y873" s="127"/>
      <c r="Z873" s="127"/>
    </row>
    <row r="874" customFormat="false" ht="15.75" hidden="false" customHeight="false" outlineLevel="0" collapsed="false">
      <c r="A874" s="127"/>
      <c r="B874" s="127"/>
      <c r="C874" s="127"/>
      <c r="D874" s="127"/>
      <c r="E874" s="127"/>
      <c r="F874" s="127"/>
      <c r="G874" s="127"/>
      <c r="H874" s="127"/>
      <c r="I874" s="127"/>
      <c r="J874" s="127"/>
      <c r="K874" s="127"/>
      <c r="L874" s="127"/>
      <c r="M874" s="127"/>
      <c r="N874" s="127"/>
      <c r="O874" s="127"/>
      <c r="P874" s="127"/>
      <c r="Q874" s="127"/>
      <c r="R874" s="127"/>
      <c r="S874" s="127"/>
      <c r="T874" s="127"/>
      <c r="U874" s="127"/>
      <c r="V874" s="127"/>
      <c r="W874" s="127"/>
      <c r="X874" s="127"/>
      <c r="Y874" s="127"/>
      <c r="Z874" s="127"/>
    </row>
    <row r="875" customFormat="false" ht="15.75" hidden="false" customHeight="false" outlineLevel="0" collapsed="false">
      <c r="A875" s="127"/>
      <c r="B875" s="127"/>
      <c r="C875" s="127"/>
      <c r="D875" s="127"/>
      <c r="E875" s="127"/>
      <c r="F875" s="127"/>
      <c r="G875" s="127"/>
      <c r="H875" s="127"/>
      <c r="I875" s="127"/>
      <c r="J875" s="127"/>
      <c r="K875" s="127"/>
      <c r="L875" s="127"/>
      <c r="M875" s="127"/>
      <c r="N875" s="127"/>
      <c r="O875" s="127"/>
      <c r="P875" s="127"/>
      <c r="Q875" s="127"/>
      <c r="R875" s="127"/>
      <c r="S875" s="127"/>
      <c r="T875" s="127"/>
      <c r="U875" s="127"/>
      <c r="V875" s="127"/>
      <c r="W875" s="127"/>
      <c r="X875" s="127"/>
      <c r="Y875" s="127"/>
      <c r="Z875" s="127"/>
    </row>
    <row r="876" customFormat="false" ht="15.75" hidden="false" customHeight="false" outlineLevel="0" collapsed="false">
      <c r="A876" s="127"/>
      <c r="B876" s="127"/>
      <c r="C876" s="127"/>
      <c r="D876" s="127"/>
      <c r="E876" s="127"/>
      <c r="F876" s="127"/>
      <c r="G876" s="127"/>
      <c r="H876" s="127"/>
      <c r="I876" s="127"/>
      <c r="J876" s="127"/>
      <c r="K876" s="127"/>
      <c r="L876" s="127"/>
      <c r="M876" s="127"/>
      <c r="N876" s="127"/>
      <c r="O876" s="127"/>
      <c r="P876" s="127"/>
      <c r="Q876" s="127"/>
      <c r="R876" s="127"/>
      <c r="S876" s="127"/>
      <c r="T876" s="127"/>
      <c r="U876" s="127"/>
      <c r="V876" s="127"/>
      <c r="W876" s="127"/>
      <c r="X876" s="127"/>
      <c r="Y876" s="127"/>
      <c r="Z876" s="127"/>
    </row>
    <row r="877" customFormat="false" ht="15.75" hidden="false" customHeight="false" outlineLevel="0" collapsed="false">
      <c r="A877" s="127"/>
      <c r="B877" s="127"/>
      <c r="C877" s="127"/>
      <c r="D877" s="127"/>
      <c r="E877" s="127"/>
      <c r="F877" s="127"/>
      <c r="G877" s="127"/>
      <c r="H877" s="127"/>
      <c r="I877" s="127"/>
      <c r="J877" s="127"/>
      <c r="K877" s="127"/>
      <c r="L877" s="127"/>
      <c r="M877" s="127"/>
      <c r="N877" s="127"/>
      <c r="O877" s="127"/>
      <c r="P877" s="127"/>
      <c r="Q877" s="127"/>
      <c r="R877" s="127"/>
      <c r="S877" s="127"/>
      <c r="T877" s="127"/>
      <c r="U877" s="127"/>
      <c r="V877" s="127"/>
      <c r="W877" s="127"/>
      <c r="X877" s="127"/>
      <c r="Y877" s="127"/>
      <c r="Z877" s="127"/>
    </row>
    <row r="878" customFormat="false" ht="15.75" hidden="false" customHeight="false" outlineLevel="0" collapsed="false">
      <c r="A878" s="127"/>
      <c r="B878" s="127"/>
      <c r="C878" s="127"/>
      <c r="D878" s="127"/>
      <c r="E878" s="127"/>
      <c r="F878" s="127"/>
      <c r="G878" s="127"/>
      <c r="H878" s="127"/>
      <c r="I878" s="127"/>
      <c r="J878" s="127"/>
      <c r="K878" s="127"/>
      <c r="L878" s="127"/>
      <c r="M878" s="127"/>
      <c r="N878" s="127"/>
      <c r="O878" s="127"/>
      <c r="P878" s="127"/>
      <c r="Q878" s="127"/>
      <c r="R878" s="127"/>
      <c r="S878" s="127"/>
      <c r="T878" s="127"/>
      <c r="U878" s="127"/>
      <c r="V878" s="127"/>
      <c r="W878" s="127"/>
      <c r="X878" s="127"/>
      <c r="Y878" s="127"/>
      <c r="Z878" s="127"/>
    </row>
    <row r="879" customFormat="false" ht="15.75" hidden="false" customHeight="false" outlineLevel="0" collapsed="false">
      <c r="A879" s="127"/>
      <c r="B879" s="127"/>
      <c r="C879" s="127"/>
      <c r="D879" s="127"/>
      <c r="E879" s="127"/>
      <c r="F879" s="127"/>
      <c r="G879" s="127"/>
      <c r="H879" s="127"/>
      <c r="I879" s="127"/>
      <c r="J879" s="127"/>
      <c r="K879" s="127"/>
      <c r="L879" s="127"/>
      <c r="M879" s="127"/>
      <c r="N879" s="127"/>
      <c r="O879" s="127"/>
      <c r="P879" s="127"/>
      <c r="Q879" s="127"/>
      <c r="R879" s="127"/>
      <c r="S879" s="127"/>
      <c r="T879" s="127"/>
      <c r="U879" s="127"/>
      <c r="V879" s="127"/>
      <c r="W879" s="127"/>
      <c r="X879" s="127"/>
      <c r="Y879" s="127"/>
      <c r="Z879" s="127"/>
    </row>
    <row r="880" customFormat="false" ht="15.75" hidden="false" customHeight="false" outlineLevel="0" collapsed="false">
      <c r="A880" s="127"/>
      <c r="B880" s="127"/>
      <c r="C880" s="127"/>
      <c r="D880" s="127"/>
      <c r="E880" s="127"/>
      <c r="F880" s="127"/>
      <c r="G880" s="127"/>
      <c r="H880" s="127"/>
      <c r="I880" s="127"/>
      <c r="J880" s="127"/>
      <c r="K880" s="127"/>
      <c r="L880" s="127"/>
      <c r="M880" s="127"/>
      <c r="N880" s="127"/>
      <c r="O880" s="127"/>
      <c r="P880" s="127"/>
      <c r="Q880" s="127"/>
      <c r="R880" s="127"/>
      <c r="S880" s="127"/>
      <c r="T880" s="127"/>
      <c r="U880" s="127"/>
      <c r="V880" s="127"/>
      <c r="W880" s="127"/>
      <c r="X880" s="127"/>
      <c r="Y880" s="127"/>
      <c r="Z880" s="127"/>
    </row>
    <row r="881" customFormat="false" ht="15.75" hidden="false" customHeight="false" outlineLevel="0" collapsed="false">
      <c r="A881" s="127"/>
      <c r="B881" s="127"/>
      <c r="C881" s="127"/>
      <c r="D881" s="127"/>
      <c r="E881" s="127"/>
      <c r="F881" s="127"/>
      <c r="G881" s="127"/>
      <c r="H881" s="127"/>
      <c r="I881" s="127"/>
      <c r="J881" s="127"/>
      <c r="K881" s="127"/>
      <c r="L881" s="127"/>
      <c r="M881" s="127"/>
      <c r="N881" s="127"/>
      <c r="O881" s="127"/>
      <c r="P881" s="127"/>
      <c r="Q881" s="127"/>
      <c r="R881" s="127"/>
      <c r="S881" s="127"/>
      <c r="T881" s="127"/>
      <c r="U881" s="127"/>
      <c r="V881" s="127"/>
      <c r="W881" s="127"/>
      <c r="X881" s="127"/>
      <c r="Y881" s="127"/>
      <c r="Z881" s="127"/>
    </row>
    <row r="882" customFormat="false" ht="15.75" hidden="false" customHeight="false" outlineLevel="0" collapsed="false">
      <c r="A882" s="127"/>
      <c r="B882" s="127"/>
      <c r="C882" s="127"/>
      <c r="D882" s="127"/>
      <c r="E882" s="127"/>
      <c r="F882" s="127"/>
      <c r="G882" s="127"/>
      <c r="H882" s="127"/>
      <c r="I882" s="127"/>
      <c r="J882" s="127"/>
      <c r="K882" s="127"/>
      <c r="L882" s="127"/>
      <c r="M882" s="127"/>
      <c r="N882" s="127"/>
      <c r="O882" s="127"/>
      <c r="P882" s="127"/>
      <c r="Q882" s="127"/>
      <c r="R882" s="127"/>
      <c r="S882" s="127"/>
      <c r="T882" s="127"/>
      <c r="U882" s="127"/>
      <c r="V882" s="127"/>
      <c r="W882" s="127"/>
      <c r="X882" s="127"/>
      <c r="Y882" s="127"/>
      <c r="Z882" s="127"/>
    </row>
    <row r="883" customFormat="false" ht="15.75" hidden="false" customHeight="false" outlineLevel="0" collapsed="false">
      <c r="A883" s="127"/>
      <c r="B883" s="127"/>
      <c r="C883" s="127"/>
      <c r="D883" s="127"/>
      <c r="E883" s="127"/>
      <c r="F883" s="127"/>
      <c r="G883" s="127"/>
      <c r="H883" s="127"/>
      <c r="I883" s="127"/>
      <c r="J883" s="127"/>
      <c r="K883" s="127"/>
      <c r="L883" s="127"/>
      <c r="M883" s="127"/>
      <c r="N883" s="127"/>
      <c r="O883" s="127"/>
      <c r="P883" s="127"/>
      <c r="Q883" s="127"/>
      <c r="R883" s="127"/>
      <c r="S883" s="127"/>
      <c r="T883" s="127"/>
      <c r="U883" s="127"/>
      <c r="V883" s="127"/>
      <c r="W883" s="127"/>
      <c r="X883" s="127"/>
      <c r="Y883" s="127"/>
      <c r="Z883" s="127"/>
    </row>
    <row r="884" customFormat="false" ht="15.75" hidden="false" customHeight="false" outlineLevel="0" collapsed="false">
      <c r="A884" s="127"/>
      <c r="B884" s="127"/>
      <c r="C884" s="127"/>
      <c r="D884" s="127"/>
      <c r="E884" s="127"/>
      <c r="F884" s="127"/>
      <c r="G884" s="127"/>
      <c r="H884" s="127"/>
      <c r="I884" s="127"/>
      <c r="J884" s="127"/>
      <c r="K884" s="127"/>
      <c r="L884" s="127"/>
      <c r="M884" s="127"/>
      <c r="N884" s="127"/>
      <c r="O884" s="127"/>
      <c r="P884" s="127"/>
      <c r="Q884" s="127"/>
      <c r="R884" s="127"/>
      <c r="S884" s="127"/>
      <c r="T884" s="127"/>
      <c r="U884" s="127"/>
      <c r="V884" s="127"/>
      <c r="W884" s="127"/>
      <c r="X884" s="127"/>
      <c r="Y884" s="127"/>
      <c r="Z884" s="127"/>
    </row>
    <row r="885" customFormat="false" ht="15.75" hidden="false" customHeight="false" outlineLevel="0" collapsed="false">
      <c r="A885" s="127"/>
      <c r="B885" s="127"/>
      <c r="C885" s="127"/>
      <c r="D885" s="127"/>
      <c r="E885" s="127"/>
      <c r="F885" s="127"/>
      <c r="G885" s="127"/>
      <c r="H885" s="127"/>
      <c r="I885" s="127"/>
      <c r="J885" s="127"/>
      <c r="K885" s="127"/>
      <c r="L885" s="127"/>
      <c r="M885" s="127"/>
      <c r="N885" s="127"/>
      <c r="O885" s="127"/>
      <c r="P885" s="127"/>
      <c r="Q885" s="127"/>
      <c r="R885" s="127"/>
      <c r="S885" s="127"/>
      <c r="T885" s="127"/>
      <c r="U885" s="127"/>
      <c r="V885" s="127"/>
      <c r="W885" s="127"/>
      <c r="X885" s="127"/>
      <c r="Y885" s="127"/>
      <c r="Z885" s="127"/>
    </row>
    <row r="886" customFormat="false" ht="15.75" hidden="false" customHeight="false" outlineLevel="0" collapsed="false">
      <c r="A886" s="127"/>
      <c r="B886" s="127"/>
      <c r="C886" s="127"/>
      <c r="D886" s="127"/>
      <c r="E886" s="127"/>
      <c r="F886" s="127"/>
      <c r="G886" s="127"/>
      <c r="H886" s="127"/>
      <c r="I886" s="127"/>
      <c r="J886" s="127"/>
      <c r="K886" s="127"/>
      <c r="L886" s="127"/>
      <c r="M886" s="127"/>
      <c r="N886" s="127"/>
      <c r="O886" s="127"/>
      <c r="P886" s="127"/>
      <c r="Q886" s="127"/>
      <c r="R886" s="127"/>
      <c r="S886" s="127"/>
      <c r="T886" s="127"/>
      <c r="U886" s="127"/>
      <c r="V886" s="127"/>
      <c r="W886" s="127"/>
      <c r="X886" s="127"/>
      <c r="Y886" s="127"/>
      <c r="Z886" s="127"/>
    </row>
    <row r="887" customFormat="false" ht="15.75" hidden="false" customHeight="false" outlineLevel="0" collapsed="false">
      <c r="A887" s="127"/>
      <c r="B887" s="127"/>
      <c r="C887" s="127"/>
      <c r="D887" s="127"/>
      <c r="E887" s="127"/>
      <c r="F887" s="127"/>
      <c r="G887" s="127"/>
      <c r="H887" s="127"/>
      <c r="I887" s="127"/>
      <c r="J887" s="127"/>
      <c r="K887" s="127"/>
      <c r="L887" s="127"/>
      <c r="M887" s="127"/>
      <c r="N887" s="127"/>
      <c r="O887" s="127"/>
      <c r="P887" s="127"/>
      <c r="Q887" s="127"/>
      <c r="R887" s="127"/>
      <c r="S887" s="127"/>
      <c r="T887" s="127"/>
      <c r="U887" s="127"/>
      <c r="V887" s="127"/>
      <c r="W887" s="127"/>
      <c r="X887" s="127"/>
      <c r="Y887" s="127"/>
      <c r="Z887" s="127"/>
    </row>
    <row r="888" customFormat="false" ht="15.75" hidden="false" customHeight="false" outlineLevel="0" collapsed="false">
      <c r="A888" s="127"/>
      <c r="B888" s="127"/>
      <c r="C888" s="127"/>
      <c r="D888" s="127"/>
      <c r="E888" s="127"/>
      <c r="F888" s="127"/>
      <c r="G888" s="127"/>
      <c r="H888" s="127"/>
      <c r="I888" s="127"/>
      <c r="J888" s="127"/>
      <c r="K888" s="127"/>
      <c r="L888" s="127"/>
      <c r="M888" s="127"/>
      <c r="N888" s="127"/>
      <c r="O888" s="127"/>
      <c r="P888" s="127"/>
      <c r="Q888" s="127"/>
      <c r="R888" s="127"/>
      <c r="S888" s="127"/>
      <c r="T888" s="127"/>
      <c r="U888" s="127"/>
      <c r="V888" s="127"/>
      <c r="W888" s="127"/>
      <c r="X888" s="127"/>
      <c r="Y888" s="127"/>
      <c r="Z888" s="127"/>
    </row>
    <row r="889" customFormat="false" ht="15.75" hidden="false" customHeight="false" outlineLevel="0" collapsed="false">
      <c r="A889" s="127"/>
      <c r="B889" s="127"/>
      <c r="C889" s="127"/>
      <c r="D889" s="127"/>
      <c r="E889" s="127"/>
      <c r="F889" s="127"/>
      <c r="G889" s="127"/>
      <c r="H889" s="127"/>
      <c r="I889" s="127"/>
      <c r="J889" s="127"/>
      <c r="K889" s="127"/>
      <c r="L889" s="127"/>
      <c r="M889" s="127"/>
      <c r="N889" s="127"/>
      <c r="O889" s="127"/>
      <c r="P889" s="127"/>
      <c r="Q889" s="127"/>
      <c r="R889" s="127"/>
      <c r="S889" s="127"/>
      <c r="T889" s="127"/>
      <c r="U889" s="127"/>
      <c r="V889" s="127"/>
      <c r="W889" s="127"/>
      <c r="X889" s="127"/>
      <c r="Y889" s="127"/>
      <c r="Z889" s="127"/>
    </row>
    <row r="890" customFormat="false" ht="15.75" hidden="false" customHeight="false" outlineLevel="0" collapsed="false">
      <c r="A890" s="127"/>
      <c r="B890" s="127"/>
      <c r="C890" s="127"/>
      <c r="D890" s="127"/>
      <c r="E890" s="127"/>
      <c r="F890" s="127"/>
      <c r="G890" s="127"/>
      <c r="H890" s="127"/>
      <c r="I890" s="127"/>
      <c r="J890" s="127"/>
      <c r="K890" s="127"/>
      <c r="L890" s="127"/>
      <c r="M890" s="127"/>
      <c r="N890" s="127"/>
      <c r="O890" s="127"/>
      <c r="P890" s="127"/>
      <c r="Q890" s="127"/>
      <c r="R890" s="127"/>
      <c r="S890" s="127"/>
      <c r="T890" s="127"/>
      <c r="U890" s="127"/>
      <c r="V890" s="127"/>
      <c r="W890" s="127"/>
      <c r="X890" s="127"/>
      <c r="Y890" s="127"/>
      <c r="Z890" s="127"/>
    </row>
    <row r="891" customFormat="false" ht="15.75" hidden="false" customHeight="false" outlineLevel="0" collapsed="false">
      <c r="A891" s="127"/>
      <c r="B891" s="127"/>
      <c r="C891" s="127"/>
      <c r="D891" s="127"/>
      <c r="E891" s="127"/>
      <c r="F891" s="127"/>
      <c r="G891" s="127"/>
      <c r="H891" s="127"/>
      <c r="I891" s="127"/>
      <c r="J891" s="127"/>
      <c r="K891" s="127"/>
      <c r="L891" s="127"/>
      <c r="M891" s="127"/>
      <c r="N891" s="127"/>
      <c r="O891" s="127"/>
      <c r="P891" s="127"/>
      <c r="Q891" s="127"/>
      <c r="R891" s="127"/>
      <c r="S891" s="127"/>
      <c r="T891" s="127"/>
      <c r="U891" s="127"/>
      <c r="V891" s="127"/>
      <c r="W891" s="127"/>
      <c r="X891" s="127"/>
      <c r="Y891" s="127"/>
      <c r="Z891" s="127"/>
    </row>
    <row r="892" customFormat="false" ht="15.75" hidden="false" customHeight="false" outlineLevel="0" collapsed="false">
      <c r="A892" s="127"/>
      <c r="B892" s="127"/>
      <c r="C892" s="127"/>
      <c r="D892" s="127"/>
      <c r="E892" s="127"/>
      <c r="F892" s="127"/>
      <c r="G892" s="127"/>
      <c r="H892" s="127"/>
      <c r="I892" s="127"/>
      <c r="J892" s="127"/>
      <c r="K892" s="127"/>
      <c r="L892" s="127"/>
      <c r="M892" s="127"/>
      <c r="N892" s="127"/>
      <c r="O892" s="127"/>
      <c r="P892" s="127"/>
      <c r="Q892" s="127"/>
      <c r="R892" s="127"/>
      <c r="S892" s="127"/>
      <c r="T892" s="127"/>
      <c r="U892" s="127"/>
      <c r="V892" s="127"/>
      <c r="W892" s="127"/>
      <c r="X892" s="127"/>
      <c r="Y892" s="127"/>
      <c r="Z892" s="127"/>
    </row>
    <row r="893" customFormat="false" ht="15.75" hidden="false" customHeight="false" outlineLevel="0" collapsed="false">
      <c r="A893" s="127"/>
      <c r="B893" s="127"/>
      <c r="C893" s="127"/>
      <c r="D893" s="127"/>
      <c r="E893" s="127"/>
      <c r="F893" s="127"/>
      <c r="G893" s="127"/>
      <c r="H893" s="127"/>
      <c r="I893" s="127"/>
      <c r="J893" s="127"/>
      <c r="K893" s="127"/>
      <c r="L893" s="127"/>
      <c r="M893" s="127"/>
      <c r="N893" s="127"/>
      <c r="O893" s="127"/>
      <c r="P893" s="127"/>
      <c r="Q893" s="127"/>
      <c r="R893" s="127"/>
      <c r="S893" s="127"/>
      <c r="T893" s="127"/>
      <c r="U893" s="127"/>
      <c r="V893" s="127"/>
      <c r="W893" s="127"/>
      <c r="X893" s="127"/>
      <c r="Y893" s="127"/>
      <c r="Z893" s="127"/>
    </row>
    <row r="894" customFormat="false" ht="15.75" hidden="false" customHeight="false" outlineLevel="0" collapsed="false">
      <c r="A894" s="127"/>
      <c r="B894" s="127"/>
      <c r="C894" s="127"/>
      <c r="D894" s="127"/>
      <c r="E894" s="127"/>
      <c r="F894" s="127"/>
      <c r="G894" s="127"/>
      <c r="H894" s="127"/>
      <c r="I894" s="127"/>
      <c r="J894" s="127"/>
      <c r="K894" s="127"/>
      <c r="L894" s="127"/>
      <c r="M894" s="127"/>
      <c r="N894" s="127"/>
      <c r="O894" s="127"/>
      <c r="P894" s="127"/>
      <c r="Q894" s="127"/>
      <c r="R894" s="127"/>
      <c r="S894" s="127"/>
      <c r="T894" s="127"/>
      <c r="U894" s="127"/>
      <c r="V894" s="127"/>
      <c r="W894" s="127"/>
      <c r="X894" s="127"/>
      <c r="Y894" s="127"/>
      <c r="Z894" s="127"/>
    </row>
    <row r="895" customFormat="false" ht="15.75" hidden="false" customHeight="false" outlineLevel="0" collapsed="false">
      <c r="A895" s="127"/>
      <c r="B895" s="127"/>
      <c r="C895" s="127"/>
      <c r="D895" s="127"/>
      <c r="E895" s="127"/>
      <c r="F895" s="127"/>
      <c r="G895" s="127"/>
      <c r="H895" s="127"/>
      <c r="I895" s="127"/>
      <c r="J895" s="127"/>
      <c r="K895" s="127"/>
      <c r="L895" s="127"/>
      <c r="M895" s="127"/>
      <c r="N895" s="127"/>
      <c r="O895" s="127"/>
      <c r="P895" s="127"/>
      <c r="Q895" s="127"/>
      <c r="R895" s="127"/>
      <c r="S895" s="127"/>
      <c r="T895" s="127"/>
      <c r="U895" s="127"/>
      <c r="V895" s="127"/>
      <c r="W895" s="127"/>
      <c r="X895" s="127"/>
      <c r="Y895" s="127"/>
      <c r="Z895" s="127"/>
    </row>
    <row r="896" customFormat="false" ht="15.75" hidden="false" customHeight="false" outlineLevel="0" collapsed="false">
      <c r="A896" s="127"/>
      <c r="B896" s="127"/>
      <c r="C896" s="127"/>
      <c r="D896" s="127"/>
      <c r="E896" s="127"/>
      <c r="F896" s="127"/>
      <c r="G896" s="127"/>
      <c r="H896" s="127"/>
      <c r="I896" s="127"/>
      <c r="J896" s="127"/>
      <c r="K896" s="127"/>
      <c r="L896" s="127"/>
      <c r="M896" s="127"/>
      <c r="N896" s="127"/>
      <c r="O896" s="127"/>
      <c r="P896" s="127"/>
      <c r="Q896" s="127"/>
      <c r="R896" s="127"/>
      <c r="S896" s="127"/>
      <c r="T896" s="127"/>
      <c r="U896" s="127"/>
      <c r="V896" s="127"/>
      <c r="W896" s="127"/>
      <c r="X896" s="127"/>
      <c r="Y896" s="127"/>
      <c r="Z896" s="127"/>
    </row>
    <row r="897" customFormat="false" ht="15.75" hidden="false" customHeight="false" outlineLevel="0" collapsed="false">
      <c r="A897" s="127"/>
      <c r="B897" s="127"/>
      <c r="C897" s="127"/>
      <c r="D897" s="127"/>
      <c r="E897" s="127"/>
      <c r="F897" s="127"/>
      <c r="G897" s="127"/>
      <c r="H897" s="127"/>
      <c r="I897" s="127"/>
      <c r="J897" s="127"/>
      <c r="K897" s="127"/>
      <c r="L897" s="127"/>
      <c r="M897" s="127"/>
      <c r="N897" s="127"/>
      <c r="O897" s="127"/>
      <c r="P897" s="127"/>
      <c r="Q897" s="127"/>
      <c r="R897" s="127"/>
      <c r="S897" s="127"/>
      <c r="T897" s="127"/>
      <c r="U897" s="127"/>
      <c r="V897" s="127"/>
      <c r="W897" s="127"/>
      <c r="X897" s="127"/>
      <c r="Y897" s="127"/>
      <c r="Z897" s="127"/>
    </row>
    <row r="898" customFormat="false" ht="15.75" hidden="false" customHeight="false" outlineLevel="0" collapsed="false">
      <c r="A898" s="127"/>
      <c r="B898" s="127"/>
      <c r="C898" s="127"/>
      <c r="D898" s="127"/>
      <c r="E898" s="127"/>
      <c r="F898" s="127"/>
      <c r="G898" s="127"/>
      <c r="H898" s="127"/>
      <c r="I898" s="127"/>
      <c r="J898" s="127"/>
      <c r="K898" s="127"/>
      <c r="L898" s="127"/>
      <c r="M898" s="127"/>
      <c r="N898" s="127"/>
      <c r="O898" s="127"/>
      <c r="P898" s="127"/>
      <c r="Q898" s="127"/>
      <c r="R898" s="127"/>
      <c r="S898" s="127"/>
      <c r="T898" s="127"/>
      <c r="U898" s="127"/>
      <c r="V898" s="127"/>
      <c r="W898" s="127"/>
      <c r="X898" s="127"/>
      <c r="Y898" s="127"/>
      <c r="Z898" s="127"/>
    </row>
    <row r="899" customFormat="false" ht="15.75" hidden="false" customHeight="false" outlineLevel="0" collapsed="false">
      <c r="A899" s="127"/>
      <c r="B899" s="127"/>
      <c r="C899" s="127"/>
      <c r="D899" s="127"/>
      <c r="E899" s="127"/>
      <c r="F899" s="127"/>
      <c r="G899" s="127"/>
      <c r="H899" s="127"/>
      <c r="I899" s="127"/>
      <c r="J899" s="127"/>
      <c r="K899" s="127"/>
      <c r="L899" s="127"/>
      <c r="M899" s="127"/>
      <c r="N899" s="127"/>
      <c r="O899" s="127"/>
      <c r="P899" s="127"/>
      <c r="Q899" s="127"/>
      <c r="R899" s="127"/>
      <c r="S899" s="127"/>
      <c r="T899" s="127"/>
      <c r="U899" s="127"/>
      <c r="V899" s="127"/>
      <c r="W899" s="127"/>
      <c r="X899" s="127"/>
      <c r="Y899" s="127"/>
      <c r="Z899" s="127"/>
    </row>
    <row r="900" customFormat="false" ht="15.75" hidden="false" customHeight="false" outlineLevel="0" collapsed="false">
      <c r="A900" s="127"/>
      <c r="B900" s="127"/>
      <c r="C900" s="127"/>
      <c r="D900" s="127"/>
      <c r="E900" s="127"/>
      <c r="F900" s="127"/>
      <c r="G900" s="127"/>
      <c r="H900" s="127"/>
      <c r="I900" s="127"/>
      <c r="J900" s="127"/>
      <c r="K900" s="127"/>
      <c r="L900" s="127"/>
      <c r="M900" s="127"/>
      <c r="N900" s="127"/>
      <c r="O900" s="127"/>
      <c r="P900" s="127"/>
      <c r="Q900" s="127"/>
      <c r="R900" s="127"/>
      <c r="S900" s="127"/>
      <c r="T900" s="127"/>
      <c r="U900" s="127"/>
      <c r="V900" s="127"/>
      <c r="W900" s="127"/>
      <c r="X900" s="127"/>
      <c r="Y900" s="127"/>
      <c r="Z900" s="127"/>
    </row>
    <row r="901" customFormat="false" ht="15.75" hidden="false" customHeight="false" outlineLevel="0" collapsed="false">
      <c r="A901" s="127"/>
      <c r="B901" s="127"/>
      <c r="C901" s="127"/>
      <c r="D901" s="127"/>
      <c r="E901" s="127"/>
      <c r="F901" s="127"/>
      <c r="G901" s="127"/>
      <c r="H901" s="127"/>
      <c r="I901" s="127"/>
      <c r="J901" s="127"/>
      <c r="K901" s="127"/>
      <c r="L901" s="127"/>
      <c r="M901" s="127"/>
      <c r="N901" s="127"/>
      <c r="O901" s="127"/>
      <c r="P901" s="127"/>
      <c r="Q901" s="127"/>
      <c r="R901" s="127"/>
      <c r="S901" s="127"/>
      <c r="T901" s="127"/>
      <c r="U901" s="127"/>
      <c r="V901" s="127"/>
      <c r="W901" s="127"/>
      <c r="X901" s="127"/>
      <c r="Y901" s="127"/>
      <c r="Z901" s="127"/>
    </row>
    <row r="902" customFormat="false" ht="15.75" hidden="false" customHeight="false" outlineLevel="0" collapsed="false">
      <c r="A902" s="127"/>
      <c r="B902" s="127"/>
      <c r="C902" s="127"/>
      <c r="D902" s="127"/>
      <c r="E902" s="127"/>
      <c r="F902" s="127"/>
      <c r="G902" s="127"/>
      <c r="H902" s="127"/>
      <c r="I902" s="127"/>
      <c r="J902" s="127"/>
      <c r="K902" s="127"/>
      <c r="L902" s="127"/>
      <c r="M902" s="127"/>
      <c r="N902" s="127"/>
      <c r="O902" s="127"/>
      <c r="P902" s="127"/>
      <c r="Q902" s="127"/>
      <c r="R902" s="127"/>
      <c r="S902" s="127"/>
      <c r="T902" s="127"/>
      <c r="U902" s="127"/>
      <c r="V902" s="127"/>
      <c r="W902" s="127"/>
      <c r="X902" s="127"/>
      <c r="Y902" s="127"/>
      <c r="Z902" s="127"/>
    </row>
    <row r="903" customFormat="false" ht="15.75" hidden="false" customHeight="false" outlineLevel="0" collapsed="false">
      <c r="A903" s="127"/>
      <c r="B903" s="127"/>
      <c r="C903" s="127"/>
      <c r="D903" s="127"/>
      <c r="E903" s="127"/>
      <c r="F903" s="127"/>
      <c r="G903" s="127"/>
      <c r="H903" s="127"/>
      <c r="I903" s="127"/>
      <c r="J903" s="127"/>
      <c r="K903" s="127"/>
      <c r="L903" s="127"/>
      <c r="M903" s="127"/>
      <c r="N903" s="127"/>
      <c r="O903" s="127"/>
      <c r="P903" s="127"/>
      <c r="Q903" s="127"/>
      <c r="R903" s="127"/>
      <c r="S903" s="127"/>
      <c r="T903" s="127"/>
      <c r="U903" s="127"/>
      <c r="V903" s="127"/>
      <c r="W903" s="127"/>
      <c r="X903" s="127"/>
      <c r="Y903" s="127"/>
      <c r="Z903" s="127"/>
    </row>
    <row r="904" customFormat="false" ht="15.75" hidden="false" customHeight="false" outlineLevel="0" collapsed="false">
      <c r="A904" s="127"/>
      <c r="B904" s="127"/>
      <c r="C904" s="127"/>
      <c r="D904" s="127"/>
      <c r="E904" s="127"/>
      <c r="F904" s="127"/>
      <c r="G904" s="127"/>
      <c r="H904" s="127"/>
      <c r="I904" s="127"/>
      <c r="J904" s="127"/>
      <c r="K904" s="127"/>
      <c r="L904" s="127"/>
      <c r="M904" s="127"/>
      <c r="N904" s="127"/>
      <c r="O904" s="127"/>
      <c r="P904" s="127"/>
      <c r="Q904" s="127"/>
      <c r="R904" s="127"/>
      <c r="S904" s="127"/>
      <c r="T904" s="127"/>
      <c r="U904" s="127"/>
      <c r="V904" s="127"/>
      <c r="W904" s="127"/>
      <c r="X904" s="127"/>
      <c r="Y904" s="127"/>
      <c r="Z904" s="127"/>
    </row>
    <row r="905" customFormat="false" ht="15.75" hidden="false" customHeight="false" outlineLevel="0" collapsed="false">
      <c r="A905" s="127"/>
      <c r="B905" s="127"/>
      <c r="C905" s="127"/>
      <c r="D905" s="127"/>
      <c r="E905" s="127"/>
      <c r="F905" s="127"/>
      <c r="G905" s="127"/>
      <c r="H905" s="127"/>
      <c r="I905" s="127"/>
      <c r="J905" s="127"/>
      <c r="K905" s="127"/>
      <c r="L905" s="127"/>
      <c r="M905" s="127"/>
      <c r="N905" s="127"/>
      <c r="O905" s="127"/>
      <c r="P905" s="127"/>
      <c r="Q905" s="127"/>
      <c r="R905" s="127"/>
      <c r="S905" s="127"/>
      <c r="T905" s="127"/>
      <c r="U905" s="127"/>
      <c r="V905" s="127"/>
      <c r="W905" s="127"/>
      <c r="X905" s="127"/>
      <c r="Y905" s="127"/>
      <c r="Z905" s="127"/>
    </row>
    <row r="906" customFormat="false" ht="15.75" hidden="false" customHeight="false" outlineLevel="0" collapsed="false">
      <c r="A906" s="127"/>
      <c r="B906" s="127"/>
      <c r="C906" s="127"/>
      <c r="D906" s="127"/>
      <c r="E906" s="127"/>
      <c r="F906" s="127"/>
      <c r="G906" s="127"/>
      <c r="H906" s="127"/>
      <c r="I906" s="127"/>
      <c r="J906" s="127"/>
      <c r="K906" s="127"/>
      <c r="L906" s="127"/>
      <c r="M906" s="127"/>
      <c r="N906" s="127"/>
      <c r="O906" s="127"/>
      <c r="P906" s="127"/>
      <c r="Q906" s="127"/>
      <c r="R906" s="127"/>
      <c r="S906" s="127"/>
      <c r="T906" s="127"/>
      <c r="U906" s="127"/>
      <c r="V906" s="127"/>
      <c r="W906" s="127"/>
      <c r="X906" s="127"/>
      <c r="Y906" s="127"/>
      <c r="Z906" s="127"/>
    </row>
    <row r="907" customFormat="false" ht="15.75" hidden="false" customHeight="false" outlineLevel="0" collapsed="false">
      <c r="A907" s="127"/>
      <c r="B907" s="127"/>
      <c r="C907" s="127"/>
      <c r="D907" s="127"/>
      <c r="E907" s="127"/>
      <c r="F907" s="127"/>
      <c r="G907" s="127"/>
      <c r="H907" s="127"/>
      <c r="I907" s="127"/>
      <c r="J907" s="127"/>
      <c r="K907" s="127"/>
      <c r="L907" s="127"/>
      <c r="M907" s="127"/>
      <c r="N907" s="127"/>
      <c r="O907" s="127"/>
      <c r="P907" s="127"/>
      <c r="Q907" s="127"/>
      <c r="R907" s="127"/>
      <c r="S907" s="127"/>
      <c r="T907" s="127"/>
      <c r="U907" s="127"/>
      <c r="V907" s="127"/>
      <c r="W907" s="127"/>
      <c r="X907" s="127"/>
      <c r="Y907" s="127"/>
      <c r="Z907" s="127"/>
    </row>
    <row r="908" customFormat="false" ht="15.75" hidden="false" customHeight="false" outlineLevel="0" collapsed="false">
      <c r="A908" s="127"/>
      <c r="B908" s="127"/>
      <c r="C908" s="127"/>
      <c r="D908" s="127"/>
      <c r="E908" s="127"/>
      <c r="F908" s="127"/>
      <c r="G908" s="127"/>
      <c r="H908" s="127"/>
      <c r="I908" s="127"/>
      <c r="J908" s="127"/>
      <c r="K908" s="127"/>
      <c r="L908" s="127"/>
      <c r="M908" s="127"/>
      <c r="N908" s="127"/>
      <c r="O908" s="127"/>
      <c r="P908" s="127"/>
      <c r="Q908" s="127"/>
      <c r="R908" s="127"/>
      <c r="S908" s="127"/>
      <c r="T908" s="127"/>
      <c r="U908" s="127"/>
      <c r="V908" s="127"/>
      <c r="W908" s="127"/>
      <c r="X908" s="127"/>
      <c r="Y908" s="127"/>
      <c r="Z908" s="127"/>
    </row>
    <row r="909" customFormat="false" ht="15.75" hidden="false" customHeight="false" outlineLevel="0" collapsed="false">
      <c r="A909" s="127"/>
      <c r="B909" s="127"/>
      <c r="C909" s="127"/>
      <c r="D909" s="127"/>
      <c r="E909" s="127"/>
      <c r="F909" s="127"/>
      <c r="G909" s="127"/>
      <c r="H909" s="127"/>
      <c r="I909" s="127"/>
      <c r="J909" s="127"/>
      <c r="K909" s="127"/>
      <c r="L909" s="127"/>
      <c r="M909" s="127"/>
      <c r="N909" s="127"/>
      <c r="O909" s="127"/>
      <c r="P909" s="127"/>
      <c r="Q909" s="127"/>
      <c r="R909" s="127"/>
      <c r="S909" s="127"/>
      <c r="T909" s="127"/>
      <c r="U909" s="127"/>
      <c r="V909" s="127"/>
      <c r="W909" s="127"/>
      <c r="X909" s="127"/>
      <c r="Y909" s="127"/>
      <c r="Z909" s="127"/>
    </row>
    <row r="910" customFormat="false" ht="15.75" hidden="false" customHeight="false" outlineLevel="0" collapsed="false">
      <c r="A910" s="127"/>
      <c r="B910" s="127"/>
      <c r="C910" s="127"/>
      <c r="D910" s="127"/>
      <c r="E910" s="127"/>
      <c r="F910" s="127"/>
      <c r="G910" s="127"/>
      <c r="H910" s="127"/>
      <c r="I910" s="127"/>
      <c r="J910" s="127"/>
      <c r="K910" s="127"/>
      <c r="L910" s="127"/>
      <c r="M910" s="127"/>
      <c r="N910" s="127"/>
      <c r="O910" s="127"/>
      <c r="P910" s="127"/>
      <c r="Q910" s="127"/>
      <c r="R910" s="127"/>
      <c r="S910" s="127"/>
      <c r="T910" s="127"/>
      <c r="U910" s="127"/>
      <c r="V910" s="127"/>
      <c r="W910" s="127"/>
      <c r="X910" s="127"/>
      <c r="Y910" s="127"/>
      <c r="Z910" s="127"/>
    </row>
    <row r="911" customFormat="false" ht="15.75" hidden="false" customHeight="false" outlineLevel="0" collapsed="false">
      <c r="A911" s="127"/>
      <c r="B911" s="127"/>
      <c r="C911" s="127"/>
      <c r="D911" s="127"/>
      <c r="E911" s="127"/>
      <c r="F911" s="127"/>
      <c r="G911" s="127"/>
      <c r="H911" s="127"/>
      <c r="I911" s="127"/>
      <c r="J911" s="127"/>
      <c r="K911" s="127"/>
      <c r="L911" s="127"/>
      <c r="M911" s="127"/>
      <c r="N911" s="127"/>
      <c r="O911" s="127"/>
      <c r="P911" s="127"/>
      <c r="Q911" s="127"/>
      <c r="R911" s="127"/>
      <c r="S911" s="127"/>
      <c r="T911" s="127"/>
      <c r="U911" s="127"/>
      <c r="V911" s="127"/>
      <c r="W911" s="127"/>
      <c r="X911" s="127"/>
      <c r="Y911" s="127"/>
      <c r="Z911" s="127"/>
    </row>
    <row r="912" customFormat="false" ht="15.75" hidden="false" customHeight="false" outlineLevel="0" collapsed="false">
      <c r="A912" s="127"/>
      <c r="B912" s="127"/>
      <c r="C912" s="127"/>
      <c r="D912" s="127"/>
      <c r="E912" s="127"/>
      <c r="F912" s="127"/>
      <c r="G912" s="127"/>
      <c r="H912" s="127"/>
      <c r="I912" s="127"/>
      <c r="J912" s="127"/>
      <c r="K912" s="127"/>
      <c r="L912" s="127"/>
      <c r="M912" s="127"/>
      <c r="N912" s="127"/>
      <c r="O912" s="127"/>
      <c r="P912" s="127"/>
      <c r="Q912" s="127"/>
      <c r="R912" s="127"/>
      <c r="S912" s="127"/>
      <c r="T912" s="127"/>
      <c r="U912" s="127"/>
      <c r="V912" s="127"/>
      <c r="W912" s="127"/>
      <c r="X912" s="127"/>
      <c r="Y912" s="127"/>
      <c r="Z912" s="127"/>
    </row>
    <row r="913" customFormat="false" ht="15.75" hidden="false" customHeight="false" outlineLevel="0" collapsed="false">
      <c r="A913" s="127"/>
      <c r="B913" s="127"/>
      <c r="C913" s="127"/>
      <c r="D913" s="127"/>
      <c r="E913" s="127"/>
      <c r="F913" s="127"/>
      <c r="G913" s="127"/>
      <c r="H913" s="127"/>
      <c r="I913" s="127"/>
      <c r="J913" s="127"/>
      <c r="K913" s="127"/>
      <c r="L913" s="127"/>
      <c r="M913" s="127"/>
      <c r="N913" s="127"/>
      <c r="O913" s="127"/>
      <c r="P913" s="127"/>
      <c r="Q913" s="127"/>
      <c r="R913" s="127"/>
      <c r="S913" s="127"/>
      <c r="T913" s="127"/>
      <c r="U913" s="127"/>
      <c r="V913" s="127"/>
      <c r="W913" s="127"/>
      <c r="X913" s="127"/>
      <c r="Y913" s="127"/>
      <c r="Z913" s="127"/>
    </row>
    <row r="914" customFormat="false" ht="15.75" hidden="false" customHeight="false" outlineLevel="0" collapsed="false">
      <c r="A914" s="127"/>
      <c r="B914" s="127"/>
      <c r="C914" s="127"/>
      <c r="D914" s="127"/>
      <c r="E914" s="127"/>
      <c r="F914" s="127"/>
      <c r="G914" s="127"/>
      <c r="H914" s="127"/>
      <c r="I914" s="127"/>
      <c r="J914" s="127"/>
      <c r="K914" s="127"/>
      <c r="L914" s="127"/>
      <c r="M914" s="127"/>
      <c r="N914" s="127"/>
      <c r="O914" s="127"/>
      <c r="P914" s="127"/>
      <c r="Q914" s="127"/>
      <c r="R914" s="127"/>
      <c r="S914" s="127"/>
      <c r="T914" s="127"/>
      <c r="U914" s="127"/>
      <c r="V914" s="127"/>
      <c r="W914" s="127"/>
      <c r="X914" s="127"/>
      <c r="Y914" s="127"/>
      <c r="Z914" s="127"/>
    </row>
    <row r="915" customFormat="false" ht="15.75" hidden="false" customHeight="false" outlineLevel="0" collapsed="false">
      <c r="A915" s="127"/>
      <c r="B915" s="127"/>
      <c r="C915" s="127"/>
      <c r="D915" s="127"/>
      <c r="E915" s="127"/>
      <c r="F915" s="127"/>
      <c r="G915" s="127"/>
      <c r="H915" s="127"/>
      <c r="I915" s="127"/>
      <c r="J915" s="127"/>
      <c r="K915" s="127"/>
      <c r="L915" s="127"/>
      <c r="M915" s="127"/>
      <c r="N915" s="127"/>
      <c r="O915" s="127"/>
      <c r="P915" s="127"/>
      <c r="Q915" s="127"/>
      <c r="R915" s="127"/>
      <c r="S915" s="127"/>
      <c r="T915" s="127"/>
      <c r="U915" s="127"/>
      <c r="V915" s="127"/>
      <c r="W915" s="127"/>
      <c r="X915" s="127"/>
      <c r="Y915" s="127"/>
      <c r="Z915" s="127"/>
    </row>
    <row r="916" customFormat="false" ht="15.75" hidden="false" customHeight="false" outlineLevel="0" collapsed="false">
      <c r="A916" s="127"/>
      <c r="B916" s="127"/>
      <c r="C916" s="127"/>
      <c r="D916" s="127"/>
      <c r="E916" s="127"/>
      <c r="F916" s="127"/>
      <c r="G916" s="127"/>
      <c r="H916" s="127"/>
      <c r="I916" s="127"/>
      <c r="J916" s="127"/>
      <c r="K916" s="127"/>
      <c r="L916" s="127"/>
      <c r="M916" s="127"/>
      <c r="N916" s="127"/>
      <c r="O916" s="127"/>
      <c r="P916" s="127"/>
      <c r="Q916" s="127"/>
      <c r="R916" s="127"/>
      <c r="S916" s="127"/>
      <c r="T916" s="127"/>
      <c r="U916" s="127"/>
      <c r="V916" s="127"/>
      <c r="W916" s="127"/>
      <c r="X916" s="127"/>
      <c r="Y916" s="127"/>
      <c r="Z916" s="127"/>
    </row>
    <row r="917" customFormat="false" ht="15.75" hidden="false" customHeight="false" outlineLevel="0" collapsed="false">
      <c r="A917" s="127"/>
      <c r="B917" s="127"/>
      <c r="C917" s="127"/>
      <c r="D917" s="127"/>
      <c r="E917" s="127"/>
      <c r="F917" s="127"/>
      <c r="G917" s="127"/>
      <c r="H917" s="127"/>
      <c r="I917" s="127"/>
      <c r="J917" s="127"/>
      <c r="K917" s="127"/>
      <c r="L917" s="127"/>
      <c r="M917" s="127"/>
      <c r="N917" s="127"/>
      <c r="O917" s="127"/>
      <c r="P917" s="127"/>
      <c r="Q917" s="127"/>
      <c r="R917" s="127"/>
      <c r="S917" s="127"/>
      <c r="T917" s="127"/>
      <c r="U917" s="127"/>
      <c r="V917" s="127"/>
      <c r="W917" s="127"/>
      <c r="X917" s="127"/>
      <c r="Y917" s="127"/>
      <c r="Z917" s="127"/>
    </row>
    <row r="918" customFormat="false" ht="15.75" hidden="false" customHeight="false" outlineLevel="0" collapsed="false">
      <c r="A918" s="127"/>
      <c r="B918" s="127"/>
      <c r="C918" s="127"/>
      <c r="D918" s="127"/>
      <c r="E918" s="127"/>
      <c r="F918" s="127"/>
      <c r="G918" s="127"/>
      <c r="H918" s="127"/>
      <c r="I918" s="127"/>
      <c r="J918" s="127"/>
      <c r="K918" s="127"/>
      <c r="L918" s="127"/>
      <c r="M918" s="127"/>
      <c r="N918" s="127"/>
      <c r="O918" s="127"/>
      <c r="P918" s="127"/>
      <c r="Q918" s="127"/>
      <c r="R918" s="127"/>
      <c r="S918" s="127"/>
      <c r="T918" s="127"/>
      <c r="U918" s="127"/>
      <c r="V918" s="127"/>
      <c r="W918" s="127"/>
      <c r="X918" s="127"/>
      <c r="Y918" s="127"/>
      <c r="Z918" s="127"/>
    </row>
    <row r="919" customFormat="false" ht="15.75" hidden="false" customHeight="false" outlineLevel="0" collapsed="false">
      <c r="A919" s="127"/>
      <c r="B919" s="127"/>
      <c r="C919" s="127"/>
      <c r="D919" s="127"/>
      <c r="E919" s="127"/>
      <c r="F919" s="127"/>
      <c r="G919" s="127"/>
      <c r="H919" s="127"/>
      <c r="I919" s="127"/>
      <c r="J919" s="127"/>
      <c r="K919" s="127"/>
      <c r="L919" s="127"/>
      <c r="M919" s="127"/>
      <c r="N919" s="127"/>
      <c r="O919" s="127"/>
      <c r="P919" s="127"/>
      <c r="Q919" s="127"/>
      <c r="R919" s="127"/>
      <c r="S919" s="127"/>
      <c r="T919" s="127"/>
      <c r="U919" s="127"/>
      <c r="V919" s="127"/>
      <c r="W919" s="127"/>
      <c r="X919" s="127"/>
      <c r="Y919" s="127"/>
      <c r="Z919" s="127"/>
    </row>
    <row r="920" customFormat="false" ht="15.75" hidden="false" customHeight="false" outlineLevel="0" collapsed="false">
      <c r="A920" s="127"/>
      <c r="B920" s="127"/>
      <c r="C920" s="127"/>
      <c r="D920" s="127"/>
      <c r="E920" s="127"/>
      <c r="F920" s="127"/>
      <c r="G920" s="127"/>
      <c r="H920" s="127"/>
      <c r="I920" s="127"/>
      <c r="J920" s="127"/>
      <c r="K920" s="127"/>
      <c r="L920" s="127"/>
      <c r="M920" s="127"/>
      <c r="N920" s="127"/>
      <c r="O920" s="127"/>
      <c r="P920" s="127"/>
      <c r="Q920" s="127"/>
      <c r="R920" s="127"/>
      <c r="S920" s="127"/>
      <c r="T920" s="127"/>
      <c r="U920" s="127"/>
      <c r="V920" s="127"/>
      <c r="W920" s="127"/>
      <c r="X920" s="127"/>
      <c r="Y920" s="127"/>
      <c r="Z920" s="127"/>
    </row>
    <row r="921" customFormat="false" ht="15.75" hidden="false" customHeight="false" outlineLevel="0" collapsed="false">
      <c r="A921" s="127"/>
      <c r="B921" s="127"/>
      <c r="C921" s="127"/>
      <c r="D921" s="127"/>
      <c r="E921" s="127"/>
      <c r="F921" s="127"/>
      <c r="G921" s="127"/>
      <c r="H921" s="127"/>
      <c r="I921" s="127"/>
      <c r="J921" s="127"/>
      <c r="K921" s="127"/>
      <c r="L921" s="127"/>
      <c r="M921" s="127"/>
      <c r="N921" s="127"/>
      <c r="O921" s="127"/>
      <c r="P921" s="127"/>
      <c r="Q921" s="127"/>
      <c r="R921" s="127"/>
      <c r="S921" s="127"/>
      <c r="T921" s="127"/>
      <c r="U921" s="127"/>
      <c r="V921" s="127"/>
      <c r="W921" s="127"/>
      <c r="X921" s="127"/>
      <c r="Y921" s="127"/>
      <c r="Z921" s="127"/>
    </row>
    <row r="922" customFormat="false" ht="15.75" hidden="false" customHeight="false" outlineLevel="0" collapsed="false">
      <c r="A922" s="127"/>
      <c r="B922" s="127"/>
      <c r="C922" s="127"/>
      <c r="D922" s="127"/>
      <c r="E922" s="127"/>
      <c r="F922" s="127"/>
      <c r="G922" s="127"/>
      <c r="H922" s="127"/>
      <c r="I922" s="127"/>
      <c r="J922" s="127"/>
      <c r="K922" s="127"/>
      <c r="L922" s="127"/>
      <c r="M922" s="127"/>
      <c r="N922" s="127"/>
      <c r="O922" s="127"/>
      <c r="P922" s="127"/>
      <c r="Q922" s="127"/>
      <c r="R922" s="127"/>
      <c r="S922" s="127"/>
      <c r="T922" s="127"/>
      <c r="U922" s="127"/>
      <c r="V922" s="127"/>
      <c r="W922" s="127"/>
      <c r="X922" s="127"/>
      <c r="Y922" s="127"/>
      <c r="Z922" s="127"/>
    </row>
    <row r="923" customFormat="false" ht="15.75" hidden="false" customHeight="false" outlineLevel="0" collapsed="false">
      <c r="A923" s="127"/>
      <c r="B923" s="127"/>
      <c r="C923" s="127"/>
      <c r="D923" s="127"/>
      <c r="E923" s="127"/>
      <c r="F923" s="127"/>
      <c r="G923" s="127"/>
      <c r="H923" s="127"/>
      <c r="I923" s="127"/>
      <c r="J923" s="127"/>
      <c r="K923" s="127"/>
      <c r="L923" s="127"/>
      <c r="M923" s="127"/>
      <c r="N923" s="127"/>
      <c r="O923" s="127"/>
      <c r="P923" s="127"/>
      <c r="Q923" s="127"/>
      <c r="R923" s="127"/>
      <c r="S923" s="127"/>
      <c r="T923" s="127"/>
      <c r="U923" s="127"/>
      <c r="V923" s="127"/>
      <c r="W923" s="127"/>
      <c r="X923" s="127"/>
      <c r="Y923" s="127"/>
      <c r="Z923" s="127"/>
    </row>
    <row r="924" customFormat="false" ht="15.75" hidden="false" customHeight="false" outlineLevel="0" collapsed="false">
      <c r="A924" s="127"/>
      <c r="B924" s="127"/>
      <c r="C924" s="127"/>
      <c r="D924" s="127"/>
      <c r="E924" s="127"/>
      <c r="F924" s="127"/>
      <c r="G924" s="127"/>
      <c r="H924" s="127"/>
      <c r="I924" s="127"/>
      <c r="J924" s="127"/>
      <c r="K924" s="127"/>
      <c r="L924" s="127"/>
      <c r="M924" s="127"/>
      <c r="N924" s="127"/>
      <c r="O924" s="127"/>
      <c r="P924" s="127"/>
      <c r="Q924" s="127"/>
      <c r="R924" s="127"/>
      <c r="S924" s="127"/>
      <c r="T924" s="127"/>
      <c r="U924" s="127"/>
      <c r="V924" s="127"/>
      <c r="W924" s="127"/>
      <c r="X924" s="127"/>
      <c r="Y924" s="127"/>
      <c r="Z924" s="127"/>
    </row>
    <row r="925" customFormat="false" ht="15.75" hidden="false" customHeight="false" outlineLevel="0" collapsed="false">
      <c r="A925" s="127"/>
      <c r="B925" s="127"/>
      <c r="C925" s="127"/>
      <c r="D925" s="127"/>
      <c r="E925" s="127"/>
      <c r="F925" s="127"/>
      <c r="G925" s="127"/>
      <c r="H925" s="127"/>
      <c r="I925" s="127"/>
      <c r="J925" s="127"/>
      <c r="K925" s="127"/>
      <c r="L925" s="127"/>
      <c r="M925" s="127"/>
      <c r="N925" s="127"/>
      <c r="O925" s="127"/>
      <c r="P925" s="127"/>
      <c r="Q925" s="127"/>
      <c r="R925" s="127"/>
      <c r="S925" s="127"/>
      <c r="T925" s="127"/>
      <c r="U925" s="127"/>
      <c r="V925" s="127"/>
      <c r="W925" s="127"/>
      <c r="X925" s="127"/>
      <c r="Y925" s="127"/>
      <c r="Z925" s="127"/>
    </row>
    <row r="926" customFormat="false" ht="15.75" hidden="false" customHeight="false" outlineLevel="0" collapsed="false">
      <c r="A926" s="127"/>
      <c r="B926" s="127"/>
      <c r="C926" s="127"/>
      <c r="D926" s="127"/>
      <c r="E926" s="127"/>
      <c r="F926" s="127"/>
      <c r="G926" s="127"/>
      <c r="H926" s="127"/>
      <c r="I926" s="127"/>
      <c r="J926" s="127"/>
      <c r="K926" s="127"/>
      <c r="L926" s="127"/>
      <c r="M926" s="127"/>
      <c r="N926" s="127"/>
      <c r="O926" s="127"/>
      <c r="P926" s="127"/>
      <c r="Q926" s="127"/>
      <c r="R926" s="127"/>
      <c r="S926" s="127"/>
      <c r="T926" s="127"/>
      <c r="U926" s="127"/>
      <c r="V926" s="127"/>
      <c r="W926" s="127"/>
      <c r="X926" s="127"/>
      <c r="Y926" s="127"/>
      <c r="Z926" s="127"/>
    </row>
    <row r="927" customFormat="false" ht="15.75" hidden="false" customHeight="false" outlineLevel="0" collapsed="false">
      <c r="A927" s="127"/>
      <c r="B927" s="127"/>
      <c r="C927" s="127"/>
      <c r="D927" s="127"/>
      <c r="E927" s="127"/>
      <c r="F927" s="127"/>
      <c r="G927" s="127"/>
      <c r="H927" s="127"/>
      <c r="I927" s="127"/>
      <c r="J927" s="127"/>
      <c r="K927" s="127"/>
      <c r="L927" s="127"/>
      <c r="M927" s="127"/>
      <c r="N927" s="127"/>
      <c r="O927" s="127"/>
      <c r="P927" s="127"/>
      <c r="Q927" s="127"/>
      <c r="R927" s="127"/>
      <c r="S927" s="127"/>
      <c r="T927" s="127"/>
      <c r="U927" s="127"/>
      <c r="V927" s="127"/>
      <c r="W927" s="127"/>
      <c r="X927" s="127"/>
      <c r="Y927" s="127"/>
      <c r="Z927" s="127"/>
    </row>
    <row r="928" customFormat="false" ht="15.75" hidden="false" customHeight="false" outlineLevel="0" collapsed="false">
      <c r="A928" s="127"/>
      <c r="B928" s="127"/>
      <c r="C928" s="127"/>
      <c r="D928" s="127"/>
      <c r="E928" s="127"/>
      <c r="F928" s="127"/>
      <c r="G928" s="127"/>
      <c r="H928" s="127"/>
      <c r="I928" s="127"/>
      <c r="J928" s="127"/>
      <c r="K928" s="127"/>
      <c r="L928" s="127"/>
      <c r="M928" s="127"/>
      <c r="N928" s="127"/>
      <c r="O928" s="127"/>
      <c r="P928" s="127"/>
      <c r="Q928" s="127"/>
      <c r="R928" s="127"/>
      <c r="S928" s="127"/>
      <c r="T928" s="127"/>
      <c r="U928" s="127"/>
      <c r="V928" s="127"/>
      <c r="W928" s="127"/>
      <c r="X928" s="127"/>
      <c r="Y928" s="127"/>
      <c r="Z928" s="127"/>
    </row>
    <row r="929" customFormat="false" ht="15.75" hidden="false" customHeight="false" outlineLevel="0" collapsed="false">
      <c r="A929" s="127"/>
      <c r="B929" s="127"/>
      <c r="C929" s="127"/>
      <c r="D929" s="127"/>
      <c r="E929" s="127"/>
      <c r="F929" s="127"/>
      <c r="G929" s="127"/>
      <c r="H929" s="127"/>
      <c r="I929" s="127"/>
      <c r="J929" s="127"/>
      <c r="K929" s="127"/>
      <c r="L929" s="127"/>
      <c r="M929" s="127"/>
      <c r="N929" s="127"/>
      <c r="O929" s="127"/>
      <c r="P929" s="127"/>
      <c r="Q929" s="127"/>
      <c r="R929" s="127"/>
      <c r="S929" s="127"/>
      <c r="T929" s="127"/>
      <c r="U929" s="127"/>
      <c r="V929" s="127"/>
      <c r="W929" s="127"/>
      <c r="X929" s="127"/>
      <c r="Y929" s="127"/>
      <c r="Z929" s="127"/>
    </row>
    <row r="930" customFormat="false" ht="15.75" hidden="false" customHeight="false" outlineLevel="0" collapsed="false">
      <c r="A930" s="127"/>
      <c r="B930" s="127"/>
      <c r="C930" s="127"/>
      <c r="D930" s="127"/>
      <c r="E930" s="127"/>
      <c r="F930" s="127"/>
      <c r="G930" s="127"/>
      <c r="H930" s="127"/>
      <c r="I930" s="127"/>
      <c r="J930" s="127"/>
      <c r="K930" s="127"/>
      <c r="L930" s="127"/>
      <c r="M930" s="127"/>
      <c r="N930" s="127"/>
      <c r="O930" s="127"/>
      <c r="P930" s="127"/>
      <c r="Q930" s="127"/>
      <c r="R930" s="127"/>
      <c r="S930" s="127"/>
      <c r="T930" s="127"/>
      <c r="U930" s="127"/>
      <c r="V930" s="127"/>
      <c r="W930" s="127"/>
      <c r="X930" s="127"/>
      <c r="Y930" s="127"/>
      <c r="Z930" s="127"/>
    </row>
    <row r="931" customFormat="false" ht="15.75" hidden="false" customHeight="false" outlineLevel="0" collapsed="false">
      <c r="A931" s="127"/>
      <c r="B931" s="127"/>
      <c r="C931" s="127"/>
      <c r="D931" s="127"/>
      <c r="E931" s="127"/>
      <c r="F931" s="127"/>
      <c r="G931" s="127"/>
      <c r="H931" s="127"/>
      <c r="I931" s="127"/>
      <c r="J931" s="127"/>
      <c r="K931" s="127"/>
      <c r="L931" s="127"/>
      <c r="M931" s="127"/>
      <c r="N931" s="127"/>
      <c r="O931" s="127"/>
      <c r="P931" s="127"/>
      <c r="Q931" s="127"/>
      <c r="R931" s="127"/>
      <c r="S931" s="127"/>
      <c r="T931" s="127"/>
      <c r="U931" s="127"/>
      <c r="V931" s="127"/>
      <c r="W931" s="127"/>
      <c r="X931" s="127"/>
      <c r="Y931" s="127"/>
      <c r="Z931" s="127"/>
    </row>
    <row r="932" customFormat="false" ht="15.75" hidden="false" customHeight="false" outlineLevel="0" collapsed="false">
      <c r="A932" s="127"/>
      <c r="B932" s="127"/>
      <c r="C932" s="127"/>
      <c r="D932" s="127"/>
      <c r="E932" s="127"/>
      <c r="F932" s="127"/>
      <c r="G932" s="127"/>
      <c r="H932" s="127"/>
      <c r="I932" s="127"/>
      <c r="J932" s="127"/>
      <c r="K932" s="127"/>
      <c r="L932" s="127"/>
      <c r="M932" s="127"/>
      <c r="N932" s="127"/>
      <c r="O932" s="127"/>
      <c r="P932" s="127"/>
      <c r="Q932" s="127"/>
      <c r="R932" s="127"/>
      <c r="S932" s="127"/>
      <c r="T932" s="127"/>
      <c r="U932" s="127"/>
      <c r="V932" s="127"/>
      <c r="W932" s="127"/>
      <c r="X932" s="127"/>
      <c r="Y932" s="127"/>
      <c r="Z932" s="127"/>
    </row>
    <row r="933" customFormat="false" ht="15.75" hidden="false" customHeight="false" outlineLevel="0" collapsed="false">
      <c r="A933" s="127"/>
      <c r="B933" s="127"/>
      <c r="C933" s="127"/>
      <c r="D933" s="127"/>
      <c r="E933" s="127"/>
      <c r="F933" s="127"/>
      <c r="G933" s="127"/>
      <c r="H933" s="127"/>
      <c r="I933" s="127"/>
      <c r="J933" s="127"/>
      <c r="K933" s="127"/>
      <c r="L933" s="127"/>
      <c r="M933" s="127"/>
      <c r="N933" s="127"/>
      <c r="O933" s="127"/>
      <c r="P933" s="127"/>
      <c r="Q933" s="127"/>
      <c r="R933" s="127"/>
      <c r="S933" s="127"/>
      <c r="T933" s="127"/>
      <c r="U933" s="127"/>
      <c r="V933" s="127"/>
      <c r="W933" s="127"/>
      <c r="X933" s="127"/>
      <c r="Y933" s="127"/>
      <c r="Z933" s="127"/>
    </row>
    <row r="934" customFormat="false" ht="15.75" hidden="false" customHeight="false" outlineLevel="0" collapsed="false">
      <c r="A934" s="127"/>
      <c r="B934" s="127"/>
      <c r="C934" s="127"/>
      <c r="D934" s="127"/>
      <c r="E934" s="127"/>
      <c r="F934" s="127"/>
      <c r="G934" s="127"/>
      <c r="H934" s="127"/>
      <c r="I934" s="127"/>
      <c r="J934" s="127"/>
      <c r="K934" s="127"/>
      <c r="L934" s="127"/>
      <c r="M934" s="127"/>
      <c r="N934" s="127"/>
      <c r="O934" s="127"/>
      <c r="P934" s="127"/>
      <c r="Q934" s="127"/>
      <c r="R934" s="127"/>
      <c r="S934" s="127"/>
      <c r="T934" s="127"/>
      <c r="U934" s="127"/>
      <c r="V934" s="127"/>
      <c r="W934" s="127"/>
      <c r="X934" s="127"/>
      <c r="Y934" s="127"/>
      <c r="Z934" s="127"/>
    </row>
    <row r="935" customFormat="false" ht="15.75" hidden="false" customHeight="false" outlineLevel="0" collapsed="false">
      <c r="A935" s="127"/>
      <c r="B935" s="127"/>
      <c r="C935" s="127"/>
      <c r="D935" s="127"/>
      <c r="E935" s="127"/>
      <c r="F935" s="127"/>
      <c r="G935" s="127"/>
      <c r="H935" s="127"/>
      <c r="I935" s="127"/>
      <c r="J935" s="127"/>
      <c r="K935" s="127"/>
      <c r="L935" s="127"/>
      <c r="M935" s="127"/>
      <c r="N935" s="127"/>
      <c r="O935" s="127"/>
      <c r="P935" s="127"/>
      <c r="Q935" s="127"/>
      <c r="R935" s="127"/>
      <c r="S935" s="127"/>
      <c r="T935" s="127"/>
      <c r="U935" s="127"/>
      <c r="V935" s="127"/>
      <c r="W935" s="127"/>
      <c r="X935" s="127"/>
      <c r="Y935" s="127"/>
      <c r="Z935" s="127"/>
    </row>
    <row r="936" customFormat="false" ht="15.75" hidden="false" customHeight="false" outlineLevel="0" collapsed="false">
      <c r="A936" s="127"/>
      <c r="B936" s="127"/>
      <c r="C936" s="127"/>
      <c r="D936" s="127"/>
      <c r="E936" s="127"/>
      <c r="F936" s="127"/>
      <c r="G936" s="127"/>
      <c r="H936" s="127"/>
      <c r="I936" s="127"/>
      <c r="J936" s="127"/>
      <c r="K936" s="127"/>
      <c r="L936" s="127"/>
      <c r="M936" s="127"/>
      <c r="N936" s="127"/>
      <c r="O936" s="127"/>
      <c r="P936" s="127"/>
      <c r="Q936" s="127"/>
      <c r="R936" s="127"/>
      <c r="S936" s="127"/>
      <c r="T936" s="127"/>
      <c r="U936" s="127"/>
      <c r="V936" s="127"/>
      <c r="W936" s="127"/>
      <c r="X936" s="127"/>
      <c r="Y936" s="127"/>
      <c r="Z936" s="127"/>
    </row>
    <row r="937" customFormat="false" ht="15.75" hidden="false" customHeight="false" outlineLevel="0" collapsed="false">
      <c r="A937" s="127"/>
      <c r="B937" s="127"/>
      <c r="C937" s="127"/>
      <c r="D937" s="127"/>
      <c r="E937" s="127"/>
      <c r="F937" s="127"/>
      <c r="G937" s="127"/>
      <c r="H937" s="127"/>
      <c r="I937" s="127"/>
      <c r="J937" s="127"/>
      <c r="K937" s="127"/>
      <c r="L937" s="127"/>
      <c r="M937" s="127"/>
      <c r="N937" s="127"/>
      <c r="O937" s="127"/>
      <c r="P937" s="127"/>
      <c r="Q937" s="127"/>
      <c r="R937" s="127"/>
      <c r="S937" s="127"/>
      <c r="T937" s="127"/>
      <c r="U937" s="127"/>
      <c r="V937" s="127"/>
      <c r="W937" s="127"/>
      <c r="X937" s="127"/>
      <c r="Y937" s="127"/>
      <c r="Z937" s="127"/>
    </row>
    <row r="938" customFormat="false" ht="15.75" hidden="false" customHeight="false" outlineLevel="0" collapsed="false">
      <c r="A938" s="127"/>
      <c r="B938" s="127"/>
      <c r="C938" s="127"/>
      <c r="D938" s="127"/>
      <c r="E938" s="127"/>
      <c r="F938" s="127"/>
      <c r="G938" s="127"/>
      <c r="H938" s="127"/>
      <c r="I938" s="127"/>
      <c r="J938" s="127"/>
      <c r="K938" s="127"/>
      <c r="L938" s="127"/>
      <c r="M938" s="127"/>
      <c r="N938" s="127"/>
      <c r="O938" s="127"/>
      <c r="P938" s="127"/>
      <c r="Q938" s="127"/>
      <c r="R938" s="127"/>
      <c r="S938" s="127"/>
      <c r="T938" s="127"/>
      <c r="U938" s="127"/>
      <c r="V938" s="127"/>
      <c r="W938" s="127"/>
      <c r="X938" s="127"/>
      <c r="Y938" s="127"/>
      <c r="Z938" s="127"/>
    </row>
    <row r="939" customFormat="false" ht="15.75" hidden="false" customHeight="false" outlineLevel="0" collapsed="false">
      <c r="A939" s="127"/>
      <c r="B939" s="127"/>
      <c r="C939" s="127"/>
      <c r="D939" s="127"/>
      <c r="E939" s="127"/>
      <c r="F939" s="127"/>
      <c r="G939" s="127"/>
      <c r="H939" s="127"/>
      <c r="I939" s="127"/>
      <c r="J939" s="127"/>
      <c r="K939" s="127"/>
      <c r="L939" s="127"/>
      <c r="M939" s="127"/>
      <c r="N939" s="127"/>
      <c r="O939" s="127"/>
      <c r="P939" s="127"/>
      <c r="Q939" s="127"/>
      <c r="R939" s="127"/>
      <c r="S939" s="127"/>
      <c r="T939" s="127"/>
      <c r="U939" s="127"/>
      <c r="V939" s="127"/>
      <c r="W939" s="127"/>
      <c r="X939" s="127"/>
      <c r="Y939" s="127"/>
      <c r="Z939" s="127"/>
    </row>
    <row r="940" customFormat="false" ht="15.75" hidden="false" customHeight="false" outlineLevel="0" collapsed="false">
      <c r="A940" s="127"/>
      <c r="B940" s="127"/>
      <c r="C940" s="127"/>
      <c r="D940" s="127"/>
      <c r="E940" s="127"/>
      <c r="F940" s="127"/>
      <c r="G940" s="127"/>
      <c r="H940" s="127"/>
      <c r="I940" s="127"/>
      <c r="J940" s="127"/>
      <c r="K940" s="127"/>
      <c r="L940" s="127"/>
      <c r="M940" s="127"/>
      <c r="N940" s="127"/>
      <c r="O940" s="127"/>
      <c r="P940" s="127"/>
      <c r="Q940" s="127"/>
      <c r="R940" s="127"/>
      <c r="S940" s="127"/>
      <c r="T940" s="127"/>
      <c r="U940" s="127"/>
      <c r="V940" s="127"/>
      <c r="W940" s="127"/>
      <c r="X940" s="127"/>
      <c r="Y940" s="127"/>
      <c r="Z940" s="127"/>
    </row>
    <row r="941" customFormat="false" ht="15.75" hidden="false" customHeight="false" outlineLevel="0" collapsed="false">
      <c r="A941" s="127"/>
      <c r="B941" s="127"/>
      <c r="C941" s="127"/>
      <c r="D941" s="127"/>
      <c r="E941" s="127"/>
      <c r="F941" s="127"/>
      <c r="G941" s="127"/>
      <c r="H941" s="127"/>
      <c r="I941" s="127"/>
      <c r="J941" s="127"/>
      <c r="K941" s="127"/>
      <c r="L941" s="127"/>
      <c r="M941" s="127"/>
      <c r="N941" s="127"/>
      <c r="O941" s="127"/>
      <c r="P941" s="127"/>
      <c r="Q941" s="127"/>
      <c r="R941" s="127"/>
      <c r="S941" s="127"/>
      <c r="T941" s="127"/>
      <c r="U941" s="127"/>
      <c r="V941" s="127"/>
      <c r="W941" s="127"/>
      <c r="X941" s="127"/>
      <c r="Y941" s="127"/>
      <c r="Z941" s="127"/>
    </row>
    <row r="942" customFormat="false" ht="15.75" hidden="false" customHeight="false" outlineLevel="0" collapsed="false">
      <c r="A942" s="127"/>
      <c r="B942" s="127"/>
      <c r="C942" s="127"/>
      <c r="D942" s="127"/>
      <c r="E942" s="127"/>
      <c r="F942" s="127"/>
      <c r="G942" s="127"/>
      <c r="H942" s="127"/>
      <c r="I942" s="127"/>
      <c r="J942" s="127"/>
      <c r="K942" s="127"/>
      <c r="L942" s="127"/>
      <c r="M942" s="127"/>
      <c r="N942" s="127"/>
      <c r="O942" s="127"/>
      <c r="P942" s="127"/>
      <c r="Q942" s="127"/>
      <c r="R942" s="127"/>
      <c r="S942" s="127"/>
      <c r="T942" s="127"/>
      <c r="U942" s="127"/>
      <c r="V942" s="127"/>
      <c r="W942" s="127"/>
      <c r="X942" s="127"/>
      <c r="Y942" s="127"/>
      <c r="Z942" s="127"/>
    </row>
    <row r="943" customFormat="false" ht="15.75" hidden="false" customHeight="false" outlineLevel="0" collapsed="false">
      <c r="A943" s="127"/>
      <c r="B943" s="127"/>
      <c r="C943" s="127"/>
      <c r="D943" s="127"/>
      <c r="E943" s="127"/>
      <c r="F943" s="127"/>
      <c r="G943" s="127"/>
      <c r="H943" s="127"/>
      <c r="I943" s="127"/>
      <c r="J943" s="127"/>
      <c r="K943" s="127"/>
      <c r="L943" s="127"/>
      <c r="M943" s="127"/>
      <c r="N943" s="127"/>
      <c r="O943" s="127"/>
      <c r="P943" s="127"/>
      <c r="Q943" s="127"/>
      <c r="R943" s="127"/>
      <c r="S943" s="127"/>
      <c r="T943" s="127"/>
      <c r="U943" s="127"/>
      <c r="V943" s="127"/>
      <c r="W943" s="127"/>
      <c r="X943" s="127"/>
      <c r="Y943" s="127"/>
      <c r="Z943" s="127"/>
    </row>
    <row r="944" customFormat="false" ht="15.75" hidden="false" customHeight="false" outlineLevel="0" collapsed="false">
      <c r="A944" s="127"/>
      <c r="B944" s="127"/>
      <c r="C944" s="127"/>
      <c r="D944" s="127"/>
      <c r="E944" s="127"/>
      <c r="F944" s="127"/>
      <c r="G944" s="127"/>
      <c r="H944" s="127"/>
      <c r="I944" s="127"/>
      <c r="J944" s="127"/>
      <c r="K944" s="127"/>
      <c r="L944" s="127"/>
      <c r="M944" s="127"/>
      <c r="N944" s="127"/>
      <c r="O944" s="127"/>
      <c r="P944" s="127"/>
      <c r="Q944" s="127"/>
      <c r="R944" s="127"/>
      <c r="S944" s="127"/>
      <c r="T944" s="127"/>
      <c r="U944" s="127"/>
      <c r="V944" s="127"/>
      <c r="W944" s="127"/>
      <c r="X944" s="127"/>
      <c r="Y944" s="127"/>
      <c r="Z944" s="127"/>
    </row>
    <row r="945" customFormat="false" ht="15.75" hidden="false" customHeight="false" outlineLevel="0" collapsed="false">
      <c r="A945" s="127"/>
      <c r="B945" s="127"/>
      <c r="C945" s="127"/>
      <c r="D945" s="127"/>
      <c r="E945" s="127"/>
      <c r="F945" s="127"/>
      <c r="G945" s="127"/>
      <c r="H945" s="127"/>
      <c r="I945" s="127"/>
      <c r="J945" s="127"/>
      <c r="K945" s="127"/>
      <c r="L945" s="127"/>
      <c r="M945" s="127"/>
      <c r="N945" s="127"/>
      <c r="O945" s="127"/>
      <c r="P945" s="127"/>
      <c r="Q945" s="127"/>
      <c r="R945" s="127"/>
      <c r="S945" s="127"/>
      <c r="T945" s="127"/>
      <c r="U945" s="127"/>
      <c r="V945" s="127"/>
      <c r="W945" s="127"/>
      <c r="X945" s="127"/>
      <c r="Y945" s="127"/>
      <c r="Z945" s="127"/>
    </row>
    <row r="946" customFormat="false" ht="15.75" hidden="false" customHeight="false" outlineLevel="0" collapsed="false">
      <c r="A946" s="127"/>
      <c r="B946" s="127"/>
      <c r="C946" s="127"/>
      <c r="D946" s="127"/>
      <c r="E946" s="127"/>
      <c r="F946" s="127"/>
      <c r="G946" s="127"/>
      <c r="H946" s="127"/>
      <c r="I946" s="127"/>
      <c r="J946" s="127"/>
      <c r="K946" s="127"/>
      <c r="L946" s="127"/>
      <c r="M946" s="127"/>
      <c r="N946" s="127"/>
      <c r="O946" s="127"/>
      <c r="P946" s="127"/>
      <c r="Q946" s="127"/>
      <c r="R946" s="127"/>
      <c r="S946" s="127"/>
      <c r="T946" s="127"/>
      <c r="U946" s="127"/>
      <c r="V946" s="127"/>
      <c r="W946" s="127"/>
      <c r="X946" s="127"/>
      <c r="Y946" s="127"/>
      <c r="Z946" s="127"/>
    </row>
    <row r="947" customFormat="false" ht="15.75" hidden="false" customHeight="false" outlineLevel="0" collapsed="false">
      <c r="A947" s="127"/>
      <c r="B947" s="127"/>
      <c r="C947" s="127"/>
      <c r="D947" s="127"/>
      <c r="E947" s="127"/>
      <c r="F947" s="127"/>
      <c r="G947" s="127"/>
      <c r="H947" s="127"/>
      <c r="I947" s="127"/>
      <c r="J947" s="127"/>
      <c r="K947" s="127"/>
      <c r="L947" s="127"/>
      <c r="M947" s="127"/>
      <c r="N947" s="127"/>
      <c r="O947" s="127"/>
      <c r="P947" s="127"/>
      <c r="Q947" s="127"/>
      <c r="R947" s="127"/>
      <c r="S947" s="127"/>
      <c r="T947" s="127"/>
      <c r="U947" s="127"/>
      <c r="V947" s="127"/>
      <c r="W947" s="127"/>
      <c r="X947" s="127"/>
      <c r="Y947" s="127"/>
      <c r="Z947" s="127"/>
    </row>
    <row r="948" customFormat="false" ht="15.75" hidden="false" customHeight="false" outlineLevel="0" collapsed="false">
      <c r="A948" s="127"/>
      <c r="B948" s="127"/>
      <c r="C948" s="127"/>
      <c r="D948" s="127"/>
      <c r="E948" s="127"/>
      <c r="F948" s="127"/>
      <c r="G948" s="127"/>
      <c r="H948" s="127"/>
      <c r="I948" s="127"/>
      <c r="J948" s="127"/>
      <c r="K948" s="127"/>
      <c r="L948" s="127"/>
      <c r="M948" s="127"/>
      <c r="N948" s="127"/>
      <c r="O948" s="127"/>
      <c r="P948" s="127"/>
      <c r="Q948" s="127"/>
      <c r="R948" s="127"/>
      <c r="S948" s="127"/>
      <c r="T948" s="127"/>
      <c r="U948" s="127"/>
      <c r="V948" s="127"/>
      <c r="W948" s="127"/>
      <c r="X948" s="127"/>
      <c r="Y948" s="127"/>
      <c r="Z948" s="127"/>
    </row>
    <row r="949" customFormat="false" ht="15.75" hidden="false" customHeight="false" outlineLevel="0" collapsed="false">
      <c r="A949" s="127"/>
      <c r="B949" s="127"/>
      <c r="C949" s="127"/>
      <c r="D949" s="127"/>
      <c r="E949" s="127"/>
      <c r="F949" s="127"/>
      <c r="G949" s="127"/>
      <c r="H949" s="127"/>
      <c r="I949" s="127"/>
      <c r="J949" s="127"/>
      <c r="K949" s="127"/>
      <c r="L949" s="127"/>
      <c r="M949" s="127"/>
      <c r="N949" s="127"/>
      <c r="O949" s="127"/>
      <c r="P949" s="127"/>
      <c r="Q949" s="127"/>
      <c r="R949" s="127"/>
      <c r="S949" s="127"/>
      <c r="T949" s="127"/>
      <c r="U949" s="127"/>
      <c r="V949" s="127"/>
      <c r="W949" s="127"/>
      <c r="X949" s="127"/>
      <c r="Y949" s="127"/>
      <c r="Z949" s="127"/>
    </row>
    <row r="950" customFormat="false" ht="15.75" hidden="false" customHeight="false" outlineLevel="0" collapsed="false">
      <c r="A950" s="127"/>
      <c r="B950" s="127"/>
      <c r="C950" s="127"/>
      <c r="D950" s="127"/>
      <c r="E950" s="127"/>
      <c r="F950" s="127"/>
      <c r="G950" s="127"/>
      <c r="H950" s="127"/>
      <c r="I950" s="127"/>
      <c r="J950" s="127"/>
      <c r="K950" s="127"/>
      <c r="L950" s="127"/>
      <c r="M950" s="127"/>
      <c r="N950" s="127"/>
      <c r="O950" s="127"/>
      <c r="P950" s="127"/>
      <c r="Q950" s="127"/>
      <c r="R950" s="127"/>
      <c r="S950" s="127"/>
      <c r="T950" s="127"/>
      <c r="U950" s="127"/>
      <c r="V950" s="127"/>
      <c r="W950" s="127"/>
      <c r="X950" s="127"/>
      <c r="Y950" s="127"/>
      <c r="Z950" s="127"/>
    </row>
    <row r="951" customFormat="false" ht="15.75" hidden="false" customHeight="false" outlineLevel="0" collapsed="false">
      <c r="A951" s="127"/>
      <c r="B951" s="127"/>
      <c r="C951" s="127"/>
      <c r="D951" s="127"/>
      <c r="E951" s="127"/>
      <c r="F951" s="127"/>
      <c r="G951" s="127"/>
      <c r="H951" s="127"/>
      <c r="I951" s="127"/>
      <c r="J951" s="127"/>
      <c r="K951" s="127"/>
      <c r="L951" s="127"/>
      <c r="M951" s="127"/>
      <c r="N951" s="127"/>
      <c r="O951" s="127"/>
      <c r="P951" s="127"/>
      <c r="Q951" s="127"/>
      <c r="R951" s="127"/>
      <c r="S951" s="127"/>
      <c r="T951" s="127"/>
      <c r="U951" s="127"/>
      <c r="V951" s="127"/>
      <c r="W951" s="127"/>
      <c r="X951" s="127"/>
      <c r="Y951" s="127"/>
      <c r="Z951" s="127"/>
    </row>
    <row r="952" customFormat="false" ht="15.75" hidden="false" customHeight="false" outlineLevel="0" collapsed="false">
      <c r="A952" s="127"/>
      <c r="B952" s="127"/>
      <c r="C952" s="127"/>
      <c r="D952" s="127"/>
      <c r="E952" s="127"/>
      <c r="F952" s="127"/>
      <c r="G952" s="127"/>
      <c r="H952" s="127"/>
      <c r="I952" s="127"/>
      <c r="J952" s="127"/>
      <c r="K952" s="127"/>
      <c r="L952" s="127"/>
      <c r="M952" s="127"/>
      <c r="N952" s="127"/>
      <c r="O952" s="127"/>
      <c r="P952" s="127"/>
      <c r="Q952" s="127"/>
      <c r="R952" s="127"/>
      <c r="S952" s="127"/>
      <c r="T952" s="127"/>
      <c r="U952" s="127"/>
      <c r="V952" s="127"/>
      <c r="W952" s="127"/>
      <c r="X952" s="127"/>
      <c r="Y952" s="127"/>
      <c r="Z952" s="127"/>
    </row>
    <row r="953" customFormat="false" ht="15.75" hidden="false" customHeight="false" outlineLevel="0" collapsed="false">
      <c r="A953" s="127"/>
      <c r="B953" s="127"/>
      <c r="C953" s="127"/>
      <c r="D953" s="127"/>
      <c r="E953" s="127"/>
      <c r="F953" s="127"/>
      <c r="G953" s="127"/>
      <c r="H953" s="127"/>
      <c r="I953" s="127"/>
      <c r="J953" s="127"/>
      <c r="K953" s="127"/>
      <c r="L953" s="127"/>
      <c r="M953" s="127"/>
      <c r="N953" s="127"/>
      <c r="O953" s="127"/>
      <c r="P953" s="127"/>
      <c r="Q953" s="127"/>
      <c r="R953" s="127"/>
      <c r="S953" s="127"/>
      <c r="T953" s="127"/>
      <c r="U953" s="127"/>
      <c r="V953" s="127"/>
      <c r="W953" s="127"/>
      <c r="X953" s="127"/>
      <c r="Y953" s="127"/>
      <c r="Z953" s="127"/>
    </row>
    <row r="954" customFormat="false" ht="15.75" hidden="false" customHeight="false" outlineLevel="0" collapsed="false">
      <c r="A954" s="127"/>
      <c r="B954" s="127"/>
      <c r="C954" s="127"/>
      <c r="D954" s="127"/>
      <c r="E954" s="127"/>
      <c r="F954" s="127"/>
      <c r="G954" s="127"/>
      <c r="H954" s="127"/>
      <c r="I954" s="127"/>
      <c r="J954" s="127"/>
      <c r="K954" s="127"/>
      <c r="L954" s="127"/>
      <c r="M954" s="127"/>
      <c r="N954" s="127"/>
      <c r="O954" s="127"/>
      <c r="P954" s="127"/>
      <c r="Q954" s="127"/>
      <c r="R954" s="127"/>
      <c r="S954" s="127"/>
      <c r="T954" s="127"/>
      <c r="U954" s="127"/>
      <c r="V954" s="127"/>
      <c r="W954" s="127"/>
      <c r="X954" s="127"/>
      <c r="Y954" s="127"/>
      <c r="Z954" s="127"/>
    </row>
    <row r="955" customFormat="false" ht="15.75" hidden="false" customHeight="false" outlineLevel="0" collapsed="false">
      <c r="A955" s="127"/>
      <c r="B955" s="127"/>
      <c r="C955" s="127"/>
      <c r="D955" s="127"/>
      <c r="E955" s="127"/>
      <c r="F955" s="127"/>
      <c r="G955" s="127"/>
      <c r="H955" s="127"/>
      <c r="I955" s="127"/>
      <c r="J955" s="127"/>
      <c r="K955" s="127"/>
      <c r="L955" s="127"/>
      <c r="M955" s="127"/>
      <c r="N955" s="127"/>
      <c r="O955" s="127"/>
      <c r="P955" s="127"/>
      <c r="Q955" s="127"/>
      <c r="R955" s="127"/>
      <c r="S955" s="127"/>
      <c r="T955" s="127"/>
      <c r="U955" s="127"/>
      <c r="V955" s="127"/>
      <c r="W955" s="127"/>
      <c r="X955" s="127"/>
      <c r="Y955" s="127"/>
      <c r="Z955" s="127"/>
    </row>
    <row r="956" customFormat="false" ht="15.75" hidden="false" customHeight="false" outlineLevel="0" collapsed="false">
      <c r="A956" s="127"/>
      <c r="B956" s="127"/>
      <c r="C956" s="127"/>
      <c r="D956" s="127"/>
      <c r="E956" s="127"/>
      <c r="F956" s="127"/>
      <c r="G956" s="127"/>
      <c r="H956" s="127"/>
      <c r="I956" s="127"/>
      <c r="J956" s="127"/>
      <c r="K956" s="127"/>
      <c r="L956" s="127"/>
      <c r="M956" s="127"/>
      <c r="N956" s="127"/>
      <c r="O956" s="127"/>
      <c r="P956" s="127"/>
      <c r="Q956" s="127"/>
      <c r="R956" s="127"/>
      <c r="S956" s="127"/>
      <c r="T956" s="127"/>
      <c r="U956" s="127"/>
      <c r="V956" s="127"/>
      <c r="W956" s="127"/>
      <c r="X956" s="127"/>
      <c r="Y956" s="127"/>
      <c r="Z956" s="127"/>
    </row>
    <row r="957" customFormat="false" ht="15.75" hidden="false" customHeight="false" outlineLevel="0" collapsed="false">
      <c r="A957" s="127"/>
      <c r="B957" s="127"/>
      <c r="C957" s="127"/>
      <c r="D957" s="127"/>
      <c r="E957" s="127"/>
      <c r="F957" s="127"/>
      <c r="G957" s="127"/>
      <c r="H957" s="127"/>
      <c r="I957" s="127"/>
      <c r="J957" s="127"/>
      <c r="K957" s="127"/>
      <c r="L957" s="127"/>
      <c r="M957" s="127"/>
      <c r="N957" s="127"/>
      <c r="O957" s="127"/>
      <c r="P957" s="127"/>
      <c r="Q957" s="127"/>
      <c r="R957" s="127"/>
      <c r="S957" s="127"/>
      <c r="T957" s="127"/>
      <c r="U957" s="127"/>
      <c r="V957" s="127"/>
      <c r="W957" s="127"/>
      <c r="X957" s="127"/>
      <c r="Y957" s="127"/>
      <c r="Z957" s="127"/>
    </row>
    <row r="958" customFormat="false" ht="15.75" hidden="false" customHeight="false" outlineLevel="0" collapsed="false">
      <c r="A958" s="127"/>
      <c r="B958" s="127"/>
      <c r="C958" s="127"/>
      <c r="D958" s="127"/>
      <c r="E958" s="127"/>
      <c r="F958" s="127"/>
      <c r="G958" s="127"/>
      <c r="H958" s="127"/>
      <c r="I958" s="127"/>
      <c r="J958" s="127"/>
      <c r="K958" s="127"/>
      <c r="L958" s="127"/>
      <c r="M958" s="127"/>
      <c r="N958" s="127"/>
      <c r="O958" s="127"/>
      <c r="P958" s="127"/>
      <c r="Q958" s="127"/>
      <c r="R958" s="127"/>
      <c r="S958" s="127"/>
      <c r="T958" s="127"/>
      <c r="U958" s="127"/>
      <c r="V958" s="127"/>
      <c r="W958" s="127"/>
      <c r="X958" s="127"/>
      <c r="Y958" s="127"/>
      <c r="Z958" s="127"/>
    </row>
    <row r="959" customFormat="false" ht="15.75" hidden="false" customHeight="false" outlineLevel="0" collapsed="false">
      <c r="A959" s="127"/>
      <c r="B959" s="127"/>
      <c r="C959" s="127"/>
      <c r="D959" s="127"/>
      <c r="E959" s="127"/>
      <c r="F959" s="127"/>
      <c r="G959" s="127"/>
      <c r="H959" s="127"/>
      <c r="I959" s="127"/>
      <c r="J959" s="127"/>
      <c r="K959" s="127"/>
      <c r="L959" s="127"/>
      <c r="M959" s="127"/>
      <c r="N959" s="127"/>
      <c r="O959" s="127"/>
      <c r="P959" s="127"/>
      <c r="Q959" s="127"/>
      <c r="R959" s="127"/>
      <c r="S959" s="127"/>
      <c r="T959" s="127"/>
      <c r="U959" s="127"/>
      <c r="V959" s="127"/>
      <c r="W959" s="127"/>
      <c r="X959" s="127"/>
      <c r="Y959" s="127"/>
      <c r="Z959" s="127"/>
    </row>
    <row r="960" customFormat="false" ht="15.75" hidden="false" customHeight="false" outlineLevel="0" collapsed="false">
      <c r="A960" s="127"/>
      <c r="B960" s="127"/>
      <c r="C960" s="127"/>
      <c r="D960" s="127"/>
      <c r="E960" s="127"/>
      <c r="F960" s="127"/>
      <c r="G960" s="127"/>
      <c r="H960" s="127"/>
      <c r="I960" s="127"/>
      <c r="J960" s="127"/>
      <c r="K960" s="127"/>
      <c r="L960" s="127"/>
      <c r="M960" s="127"/>
      <c r="N960" s="127"/>
      <c r="O960" s="127"/>
      <c r="P960" s="127"/>
      <c r="Q960" s="127"/>
      <c r="R960" s="127"/>
      <c r="S960" s="127"/>
      <c r="T960" s="127"/>
      <c r="U960" s="127"/>
      <c r="V960" s="127"/>
      <c r="W960" s="127"/>
      <c r="X960" s="127"/>
      <c r="Y960" s="127"/>
      <c r="Z960" s="127"/>
    </row>
    <row r="961" customFormat="false" ht="15.75" hidden="false" customHeight="false" outlineLevel="0" collapsed="false">
      <c r="A961" s="127"/>
      <c r="B961" s="127"/>
      <c r="C961" s="127"/>
      <c r="D961" s="127"/>
      <c r="E961" s="127"/>
      <c r="F961" s="127"/>
      <c r="G961" s="127"/>
      <c r="H961" s="127"/>
      <c r="I961" s="127"/>
      <c r="J961" s="127"/>
      <c r="K961" s="127"/>
      <c r="L961" s="127"/>
      <c r="M961" s="127"/>
      <c r="N961" s="127"/>
      <c r="O961" s="127"/>
      <c r="P961" s="127"/>
      <c r="Q961" s="127"/>
      <c r="R961" s="127"/>
      <c r="S961" s="127"/>
      <c r="T961" s="127"/>
      <c r="U961" s="127"/>
      <c r="V961" s="127"/>
      <c r="W961" s="127"/>
      <c r="X961" s="127"/>
      <c r="Y961" s="127"/>
      <c r="Z961" s="127"/>
    </row>
    <row r="962" customFormat="false" ht="15.75" hidden="false" customHeight="false" outlineLevel="0" collapsed="false">
      <c r="A962" s="127"/>
      <c r="B962" s="127"/>
      <c r="C962" s="127"/>
      <c r="D962" s="127"/>
      <c r="E962" s="127"/>
      <c r="F962" s="127"/>
      <c r="G962" s="127"/>
      <c r="H962" s="127"/>
      <c r="I962" s="127"/>
      <c r="J962" s="127"/>
      <c r="K962" s="127"/>
      <c r="L962" s="127"/>
      <c r="M962" s="127"/>
      <c r="N962" s="127"/>
      <c r="O962" s="127"/>
      <c r="P962" s="127"/>
      <c r="Q962" s="127"/>
      <c r="R962" s="127"/>
      <c r="S962" s="127"/>
      <c r="T962" s="127"/>
      <c r="U962" s="127"/>
      <c r="V962" s="127"/>
      <c r="W962" s="127"/>
      <c r="X962" s="127"/>
      <c r="Y962" s="127"/>
      <c r="Z962" s="127"/>
    </row>
    <row r="963" customFormat="false" ht="15.75" hidden="false" customHeight="false" outlineLevel="0" collapsed="false">
      <c r="A963" s="127"/>
      <c r="B963" s="127"/>
      <c r="C963" s="127"/>
      <c r="D963" s="127"/>
      <c r="E963" s="127"/>
      <c r="F963" s="127"/>
      <c r="G963" s="127"/>
      <c r="H963" s="127"/>
      <c r="I963" s="127"/>
      <c r="J963" s="127"/>
      <c r="K963" s="127"/>
      <c r="L963" s="127"/>
      <c r="M963" s="127"/>
      <c r="N963" s="127"/>
      <c r="O963" s="127"/>
      <c r="P963" s="127"/>
      <c r="Q963" s="127"/>
      <c r="R963" s="127"/>
      <c r="S963" s="127"/>
      <c r="T963" s="127"/>
      <c r="U963" s="127"/>
      <c r="V963" s="127"/>
      <c r="W963" s="127"/>
      <c r="X963" s="127"/>
      <c r="Y963" s="127"/>
      <c r="Z963" s="127"/>
    </row>
    <row r="964" customFormat="false" ht="15.75" hidden="false" customHeight="false" outlineLevel="0" collapsed="false">
      <c r="A964" s="127"/>
      <c r="B964" s="127"/>
      <c r="C964" s="127"/>
      <c r="D964" s="127"/>
      <c r="E964" s="127"/>
      <c r="F964" s="127"/>
      <c r="G964" s="127"/>
      <c r="H964" s="127"/>
      <c r="I964" s="127"/>
      <c r="J964" s="127"/>
      <c r="K964" s="127"/>
      <c r="L964" s="127"/>
      <c r="M964" s="127"/>
      <c r="N964" s="127"/>
      <c r="O964" s="127"/>
      <c r="P964" s="127"/>
      <c r="Q964" s="127"/>
      <c r="R964" s="127"/>
      <c r="S964" s="127"/>
      <c r="T964" s="127"/>
      <c r="U964" s="127"/>
      <c r="V964" s="127"/>
      <c r="W964" s="127"/>
      <c r="X964" s="127"/>
      <c r="Y964" s="127"/>
      <c r="Z964" s="127"/>
    </row>
    <row r="965" customFormat="false" ht="15.75" hidden="false" customHeight="false" outlineLevel="0" collapsed="false">
      <c r="A965" s="127"/>
      <c r="B965" s="127"/>
      <c r="C965" s="127"/>
      <c r="D965" s="127"/>
      <c r="E965" s="127"/>
      <c r="F965" s="127"/>
      <c r="G965" s="127"/>
      <c r="H965" s="127"/>
      <c r="I965" s="127"/>
      <c r="J965" s="127"/>
      <c r="K965" s="127"/>
      <c r="L965" s="127"/>
      <c r="M965" s="127"/>
      <c r="N965" s="127"/>
      <c r="O965" s="127"/>
      <c r="P965" s="127"/>
      <c r="Q965" s="127"/>
      <c r="R965" s="127"/>
      <c r="S965" s="127"/>
      <c r="T965" s="127"/>
      <c r="U965" s="127"/>
      <c r="V965" s="127"/>
      <c r="W965" s="127"/>
      <c r="X965" s="127"/>
      <c r="Y965" s="127"/>
      <c r="Z965" s="127"/>
    </row>
    <row r="966" customFormat="false" ht="15.75" hidden="false" customHeight="false" outlineLevel="0" collapsed="false">
      <c r="A966" s="127"/>
      <c r="B966" s="127"/>
      <c r="C966" s="127"/>
      <c r="D966" s="127"/>
      <c r="E966" s="127"/>
      <c r="F966" s="127"/>
      <c r="G966" s="127"/>
      <c r="H966" s="127"/>
      <c r="I966" s="127"/>
      <c r="J966" s="127"/>
      <c r="K966" s="127"/>
      <c r="L966" s="127"/>
      <c r="M966" s="127"/>
      <c r="N966" s="127"/>
      <c r="O966" s="127"/>
      <c r="P966" s="127"/>
      <c r="Q966" s="127"/>
      <c r="R966" s="127"/>
      <c r="S966" s="127"/>
      <c r="T966" s="127"/>
      <c r="U966" s="127"/>
      <c r="V966" s="127"/>
      <c r="W966" s="127"/>
      <c r="X966" s="127"/>
      <c r="Y966" s="127"/>
      <c r="Z966" s="127"/>
    </row>
    <row r="967" customFormat="false" ht="15.75" hidden="false" customHeight="false" outlineLevel="0" collapsed="false">
      <c r="A967" s="127"/>
      <c r="B967" s="127"/>
      <c r="C967" s="127"/>
      <c r="D967" s="127"/>
      <c r="E967" s="127"/>
      <c r="F967" s="127"/>
      <c r="G967" s="127"/>
      <c r="H967" s="127"/>
      <c r="I967" s="127"/>
      <c r="J967" s="127"/>
      <c r="K967" s="127"/>
      <c r="L967" s="127"/>
      <c r="M967" s="127"/>
      <c r="N967" s="127"/>
      <c r="O967" s="127"/>
      <c r="P967" s="127"/>
      <c r="Q967" s="127"/>
      <c r="R967" s="127"/>
      <c r="S967" s="127"/>
      <c r="T967" s="127"/>
      <c r="U967" s="127"/>
      <c r="V967" s="127"/>
      <c r="W967" s="127"/>
      <c r="X967" s="127"/>
      <c r="Y967" s="127"/>
      <c r="Z967" s="127"/>
    </row>
    <row r="968" customFormat="false" ht="15.75" hidden="false" customHeight="false" outlineLevel="0" collapsed="false">
      <c r="A968" s="127"/>
      <c r="B968" s="127"/>
      <c r="C968" s="127"/>
      <c r="D968" s="127"/>
      <c r="E968" s="127"/>
      <c r="F968" s="127"/>
      <c r="G968" s="127"/>
      <c r="H968" s="127"/>
      <c r="I968" s="127"/>
      <c r="J968" s="127"/>
      <c r="K968" s="127"/>
      <c r="L968" s="127"/>
      <c r="M968" s="127"/>
      <c r="N968" s="127"/>
      <c r="O968" s="127"/>
      <c r="P968" s="127"/>
      <c r="Q968" s="127"/>
      <c r="R968" s="127"/>
      <c r="S968" s="127"/>
      <c r="T968" s="127"/>
      <c r="U968" s="127"/>
      <c r="V968" s="127"/>
      <c r="W968" s="127"/>
      <c r="X968" s="127"/>
      <c r="Y968" s="127"/>
      <c r="Z968" s="127"/>
    </row>
    <row r="969" customFormat="false" ht="15.75" hidden="false" customHeight="false" outlineLevel="0" collapsed="false">
      <c r="A969" s="127"/>
      <c r="B969" s="127"/>
      <c r="C969" s="127"/>
      <c r="D969" s="127"/>
      <c r="E969" s="127"/>
      <c r="F969" s="127"/>
      <c r="G969" s="127"/>
      <c r="H969" s="127"/>
      <c r="I969" s="127"/>
      <c r="J969" s="127"/>
      <c r="K969" s="127"/>
      <c r="L969" s="127"/>
      <c r="M969" s="127"/>
      <c r="N969" s="127"/>
      <c r="O969" s="127"/>
      <c r="P969" s="127"/>
      <c r="Q969" s="127"/>
      <c r="R969" s="127"/>
      <c r="S969" s="127"/>
      <c r="T969" s="127"/>
      <c r="U969" s="127"/>
      <c r="V969" s="127"/>
      <c r="W969" s="127"/>
      <c r="X969" s="127"/>
      <c r="Y969" s="127"/>
      <c r="Z969" s="127"/>
    </row>
    <row r="970" customFormat="false" ht="15.75" hidden="false" customHeight="false" outlineLevel="0" collapsed="false">
      <c r="A970" s="127"/>
      <c r="B970" s="127"/>
      <c r="C970" s="127"/>
      <c r="D970" s="127"/>
      <c r="E970" s="127"/>
      <c r="F970" s="127"/>
      <c r="G970" s="127"/>
      <c r="H970" s="127"/>
      <c r="I970" s="127"/>
      <c r="J970" s="127"/>
      <c r="K970" s="127"/>
      <c r="L970" s="127"/>
      <c r="M970" s="127"/>
      <c r="N970" s="127"/>
      <c r="O970" s="127"/>
      <c r="P970" s="127"/>
      <c r="Q970" s="127"/>
      <c r="R970" s="127"/>
      <c r="S970" s="127"/>
      <c r="T970" s="127"/>
      <c r="U970" s="127"/>
      <c r="V970" s="127"/>
      <c r="W970" s="127"/>
      <c r="X970" s="127"/>
      <c r="Y970" s="127"/>
      <c r="Z970" s="127"/>
    </row>
    <row r="971" customFormat="false" ht="15.75" hidden="false" customHeight="false" outlineLevel="0" collapsed="false">
      <c r="A971" s="127"/>
      <c r="B971" s="127"/>
      <c r="C971" s="127"/>
      <c r="D971" s="127"/>
      <c r="E971" s="127"/>
      <c r="F971" s="127"/>
      <c r="G971" s="127"/>
      <c r="H971" s="127"/>
      <c r="I971" s="127"/>
      <c r="J971" s="127"/>
      <c r="K971" s="127"/>
      <c r="L971" s="127"/>
      <c r="M971" s="127"/>
      <c r="N971" s="127"/>
      <c r="O971" s="127"/>
      <c r="P971" s="127"/>
      <c r="Q971" s="127"/>
      <c r="R971" s="127"/>
      <c r="S971" s="127"/>
      <c r="T971" s="127"/>
      <c r="U971" s="127"/>
      <c r="V971" s="127"/>
      <c r="W971" s="127"/>
      <c r="X971" s="127"/>
      <c r="Y971" s="127"/>
      <c r="Z971" s="127"/>
    </row>
    <row r="972" customFormat="false" ht="15.75" hidden="false" customHeight="false" outlineLevel="0" collapsed="false">
      <c r="A972" s="127"/>
      <c r="B972" s="127"/>
      <c r="C972" s="127"/>
      <c r="D972" s="127"/>
      <c r="E972" s="127"/>
      <c r="F972" s="127"/>
      <c r="G972" s="127"/>
      <c r="H972" s="127"/>
      <c r="I972" s="127"/>
      <c r="J972" s="127"/>
      <c r="K972" s="127"/>
      <c r="L972" s="127"/>
      <c r="M972" s="127"/>
      <c r="N972" s="127"/>
      <c r="O972" s="127"/>
      <c r="P972" s="127"/>
      <c r="Q972" s="127"/>
      <c r="R972" s="127"/>
      <c r="S972" s="127"/>
      <c r="T972" s="127"/>
      <c r="U972" s="127"/>
      <c r="V972" s="127"/>
      <c r="W972" s="127"/>
      <c r="X972" s="127"/>
      <c r="Y972" s="127"/>
      <c r="Z972" s="127"/>
    </row>
    <row r="973" customFormat="false" ht="15.75" hidden="false" customHeight="false" outlineLevel="0" collapsed="false">
      <c r="A973" s="127"/>
      <c r="B973" s="127"/>
      <c r="C973" s="127"/>
      <c r="D973" s="127"/>
      <c r="E973" s="127"/>
      <c r="F973" s="127"/>
      <c r="G973" s="127"/>
      <c r="H973" s="127"/>
      <c r="I973" s="127"/>
      <c r="J973" s="127"/>
      <c r="K973" s="127"/>
      <c r="L973" s="127"/>
      <c r="M973" s="127"/>
      <c r="N973" s="127"/>
      <c r="O973" s="127"/>
      <c r="P973" s="127"/>
      <c r="Q973" s="127"/>
      <c r="R973" s="127"/>
      <c r="S973" s="127"/>
      <c r="T973" s="127"/>
      <c r="U973" s="127"/>
      <c r="V973" s="127"/>
      <c r="W973" s="127"/>
      <c r="X973" s="127"/>
      <c r="Y973" s="127"/>
      <c r="Z973" s="127"/>
    </row>
    <row r="974" customFormat="false" ht="15.75" hidden="false" customHeight="false" outlineLevel="0" collapsed="false">
      <c r="A974" s="127"/>
      <c r="B974" s="127"/>
      <c r="C974" s="127"/>
      <c r="D974" s="127"/>
      <c r="E974" s="127"/>
      <c r="F974" s="127"/>
      <c r="G974" s="127"/>
      <c r="H974" s="127"/>
      <c r="I974" s="127"/>
      <c r="J974" s="127"/>
      <c r="K974" s="127"/>
      <c r="L974" s="127"/>
      <c r="M974" s="127"/>
      <c r="N974" s="127"/>
      <c r="O974" s="127"/>
      <c r="P974" s="127"/>
      <c r="Q974" s="127"/>
      <c r="R974" s="127"/>
      <c r="S974" s="127"/>
      <c r="T974" s="127"/>
      <c r="U974" s="127"/>
      <c r="V974" s="127"/>
      <c r="W974" s="127"/>
      <c r="X974" s="127"/>
      <c r="Y974" s="127"/>
      <c r="Z974" s="127"/>
    </row>
    <row r="975" customFormat="false" ht="15.75" hidden="false" customHeight="false" outlineLevel="0" collapsed="false">
      <c r="A975" s="127"/>
      <c r="B975" s="127"/>
      <c r="C975" s="127"/>
      <c r="D975" s="127"/>
      <c r="E975" s="127"/>
      <c r="F975" s="127"/>
      <c r="G975" s="127"/>
      <c r="H975" s="127"/>
      <c r="I975" s="127"/>
      <c r="J975" s="127"/>
      <c r="K975" s="127"/>
      <c r="L975" s="127"/>
      <c r="M975" s="127"/>
      <c r="N975" s="127"/>
      <c r="O975" s="127"/>
      <c r="P975" s="127"/>
      <c r="Q975" s="127"/>
      <c r="R975" s="127"/>
      <c r="S975" s="127"/>
      <c r="T975" s="127"/>
      <c r="U975" s="127"/>
      <c r="V975" s="127"/>
      <c r="W975" s="127"/>
      <c r="X975" s="127"/>
      <c r="Y975" s="127"/>
      <c r="Z975" s="127"/>
    </row>
    <row r="976" customFormat="false" ht="15.75" hidden="false" customHeight="false" outlineLevel="0" collapsed="false">
      <c r="A976" s="127"/>
      <c r="B976" s="127"/>
      <c r="C976" s="127"/>
      <c r="D976" s="127"/>
      <c r="E976" s="127"/>
      <c r="F976" s="127"/>
      <c r="G976" s="127"/>
      <c r="H976" s="127"/>
      <c r="I976" s="127"/>
      <c r="J976" s="127"/>
      <c r="K976" s="127"/>
      <c r="L976" s="127"/>
      <c r="M976" s="127"/>
      <c r="N976" s="127"/>
      <c r="O976" s="127"/>
      <c r="P976" s="127"/>
      <c r="Q976" s="127"/>
      <c r="R976" s="127"/>
      <c r="S976" s="127"/>
      <c r="T976" s="127"/>
      <c r="U976" s="127"/>
      <c r="V976" s="127"/>
      <c r="W976" s="127"/>
      <c r="X976" s="127"/>
      <c r="Y976" s="127"/>
      <c r="Z976" s="127"/>
    </row>
    <row r="977" customFormat="false" ht="15.75" hidden="false" customHeight="false" outlineLevel="0" collapsed="false">
      <c r="A977" s="127"/>
      <c r="B977" s="127"/>
      <c r="C977" s="127"/>
      <c r="D977" s="127"/>
      <c r="E977" s="127"/>
      <c r="F977" s="127"/>
      <c r="G977" s="127"/>
      <c r="H977" s="127"/>
      <c r="I977" s="127"/>
      <c r="J977" s="127"/>
      <c r="K977" s="127"/>
      <c r="L977" s="127"/>
      <c r="M977" s="127"/>
      <c r="N977" s="127"/>
      <c r="O977" s="127"/>
      <c r="P977" s="127"/>
      <c r="Q977" s="127"/>
      <c r="R977" s="127"/>
      <c r="S977" s="127"/>
      <c r="T977" s="127"/>
      <c r="U977" s="127"/>
      <c r="V977" s="127"/>
      <c r="W977" s="127"/>
      <c r="X977" s="127"/>
      <c r="Y977" s="127"/>
      <c r="Z977" s="127"/>
    </row>
    <row r="978" customFormat="false" ht="15.75" hidden="false" customHeight="false" outlineLevel="0" collapsed="false">
      <c r="A978" s="127"/>
      <c r="B978" s="127"/>
      <c r="C978" s="127"/>
      <c r="D978" s="127"/>
      <c r="E978" s="127"/>
      <c r="F978" s="127"/>
      <c r="G978" s="127"/>
      <c r="H978" s="127"/>
      <c r="I978" s="127"/>
      <c r="J978" s="127"/>
      <c r="K978" s="127"/>
      <c r="L978" s="127"/>
      <c r="M978" s="127"/>
      <c r="N978" s="127"/>
      <c r="O978" s="127"/>
      <c r="P978" s="127"/>
      <c r="Q978" s="127"/>
      <c r="R978" s="127"/>
      <c r="S978" s="127"/>
      <c r="T978" s="127"/>
      <c r="U978" s="127"/>
      <c r="V978" s="127"/>
      <c r="W978" s="127"/>
      <c r="X978" s="127"/>
      <c r="Y978" s="127"/>
      <c r="Z978" s="127"/>
    </row>
    <row r="979" customFormat="false" ht="15.75" hidden="false" customHeight="false" outlineLevel="0" collapsed="false">
      <c r="A979" s="127"/>
      <c r="B979" s="127"/>
      <c r="C979" s="127"/>
      <c r="D979" s="127"/>
      <c r="E979" s="127"/>
      <c r="F979" s="127"/>
      <c r="G979" s="127"/>
      <c r="H979" s="127"/>
      <c r="I979" s="127"/>
      <c r="J979" s="127"/>
      <c r="K979" s="127"/>
      <c r="L979" s="127"/>
      <c r="M979" s="127"/>
      <c r="N979" s="127"/>
      <c r="O979" s="127"/>
      <c r="P979" s="127"/>
      <c r="Q979" s="127"/>
      <c r="R979" s="127"/>
      <c r="S979" s="127"/>
      <c r="T979" s="127"/>
      <c r="U979" s="127"/>
      <c r="V979" s="127"/>
      <c r="W979" s="127"/>
      <c r="X979" s="127"/>
      <c r="Y979" s="127"/>
      <c r="Z979" s="127"/>
    </row>
    <row r="980" customFormat="false" ht="15.75" hidden="false" customHeight="false" outlineLevel="0" collapsed="false">
      <c r="A980" s="127"/>
      <c r="B980" s="127"/>
      <c r="C980" s="127"/>
      <c r="D980" s="127"/>
      <c r="E980" s="127"/>
      <c r="F980" s="127"/>
      <c r="G980" s="127"/>
      <c r="H980" s="127"/>
      <c r="I980" s="127"/>
      <c r="J980" s="127"/>
      <c r="K980" s="127"/>
      <c r="L980" s="127"/>
      <c r="M980" s="127"/>
      <c r="N980" s="127"/>
      <c r="O980" s="127"/>
      <c r="P980" s="127"/>
      <c r="Q980" s="127"/>
      <c r="R980" s="127"/>
      <c r="S980" s="127"/>
      <c r="T980" s="127"/>
      <c r="U980" s="127"/>
      <c r="V980" s="127"/>
      <c r="W980" s="127"/>
      <c r="X980" s="127"/>
      <c r="Y980" s="127"/>
      <c r="Z980" s="127"/>
    </row>
    <row r="981" customFormat="false" ht="15.75" hidden="false" customHeight="false" outlineLevel="0" collapsed="false">
      <c r="A981" s="127"/>
      <c r="B981" s="127"/>
      <c r="C981" s="127"/>
      <c r="D981" s="127"/>
      <c r="E981" s="127"/>
      <c r="F981" s="127"/>
      <c r="G981" s="127"/>
      <c r="H981" s="127"/>
      <c r="I981" s="127"/>
      <c r="J981" s="127"/>
      <c r="K981" s="127"/>
      <c r="L981" s="127"/>
      <c r="M981" s="127"/>
      <c r="N981" s="127"/>
      <c r="O981" s="127"/>
      <c r="P981" s="127"/>
      <c r="Q981" s="127"/>
      <c r="R981" s="127"/>
      <c r="S981" s="127"/>
      <c r="T981" s="127"/>
      <c r="U981" s="127"/>
      <c r="V981" s="127"/>
      <c r="W981" s="127"/>
      <c r="X981" s="127"/>
      <c r="Y981" s="127"/>
      <c r="Z981" s="127"/>
    </row>
    <row r="982" customFormat="false" ht="15.75" hidden="false" customHeight="false" outlineLevel="0" collapsed="false">
      <c r="A982" s="127"/>
      <c r="B982" s="127"/>
      <c r="C982" s="127"/>
      <c r="D982" s="127"/>
      <c r="E982" s="127"/>
      <c r="F982" s="127"/>
      <c r="G982" s="127"/>
      <c r="H982" s="127"/>
      <c r="I982" s="127"/>
      <c r="J982" s="127"/>
      <c r="K982" s="127"/>
      <c r="L982" s="127"/>
      <c r="M982" s="127"/>
      <c r="N982" s="127"/>
      <c r="O982" s="127"/>
      <c r="P982" s="127"/>
      <c r="Q982" s="127"/>
      <c r="R982" s="127"/>
      <c r="S982" s="127"/>
      <c r="T982" s="127"/>
      <c r="U982" s="127"/>
      <c r="V982" s="127"/>
      <c r="W982" s="127"/>
      <c r="X982" s="127"/>
      <c r="Y982" s="127"/>
      <c r="Z982" s="127"/>
    </row>
    <row r="983" customFormat="false" ht="15.75" hidden="false" customHeight="false" outlineLevel="0" collapsed="false">
      <c r="A983" s="127"/>
      <c r="B983" s="127"/>
      <c r="C983" s="127"/>
      <c r="D983" s="127"/>
      <c r="E983" s="127"/>
      <c r="F983" s="127"/>
      <c r="G983" s="127"/>
      <c r="H983" s="127"/>
      <c r="I983" s="127"/>
      <c r="J983" s="127"/>
      <c r="K983" s="127"/>
      <c r="L983" s="127"/>
      <c r="M983" s="127"/>
      <c r="N983" s="127"/>
      <c r="O983" s="127"/>
      <c r="P983" s="127"/>
      <c r="Q983" s="127"/>
      <c r="R983" s="127"/>
      <c r="S983" s="127"/>
      <c r="T983" s="127"/>
      <c r="U983" s="127"/>
      <c r="V983" s="127"/>
      <c r="W983" s="127"/>
      <c r="X983" s="127"/>
      <c r="Y983" s="127"/>
      <c r="Z983" s="127"/>
    </row>
    <row r="984" customFormat="false" ht="15.75" hidden="false" customHeight="false" outlineLevel="0" collapsed="false">
      <c r="A984" s="127"/>
      <c r="B984" s="127"/>
      <c r="C984" s="127"/>
      <c r="D984" s="127"/>
      <c r="E984" s="127"/>
      <c r="F984" s="127"/>
      <c r="G984" s="127"/>
      <c r="H984" s="127"/>
      <c r="I984" s="127"/>
      <c r="J984" s="127"/>
      <c r="K984" s="127"/>
      <c r="L984" s="127"/>
      <c r="M984" s="127"/>
      <c r="N984" s="127"/>
      <c r="O984" s="127"/>
      <c r="P984" s="127"/>
      <c r="Q984" s="127"/>
      <c r="R984" s="127"/>
      <c r="S984" s="127"/>
      <c r="T984" s="127"/>
      <c r="U984" s="127"/>
      <c r="V984" s="127"/>
      <c r="W984" s="127"/>
      <c r="X984" s="127"/>
      <c r="Y984" s="127"/>
      <c r="Z984" s="127"/>
    </row>
    <row r="985" customFormat="false" ht="15.75" hidden="false" customHeight="false" outlineLevel="0" collapsed="false">
      <c r="A985" s="127"/>
      <c r="B985" s="127"/>
      <c r="C985" s="127"/>
      <c r="D985" s="127"/>
      <c r="E985" s="127"/>
      <c r="F985" s="127"/>
      <c r="G985" s="127"/>
      <c r="H985" s="127"/>
      <c r="I985" s="127"/>
      <c r="J985" s="127"/>
      <c r="K985" s="127"/>
      <c r="L985" s="127"/>
      <c r="M985" s="127"/>
      <c r="N985" s="127"/>
      <c r="O985" s="127"/>
      <c r="P985" s="127"/>
      <c r="Q985" s="127"/>
      <c r="R985" s="127"/>
      <c r="S985" s="127"/>
      <c r="T985" s="127"/>
      <c r="U985" s="127"/>
      <c r="V985" s="127"/>
      <c r="W985" s="127"/>
      <c r="X985" s="127"/>
      <c r="Y985" s="127"/>
      <c r="Z985" s="127"/>
    </row>
    <row r="986" customFormat="false" ht="15.75" hidden="false" customHeight="false" outlineLevel="0" collapsed="false">
      <c r="A986" s="127"/>
      <c r="B986" s="127"/>
      <c r="C986" s="127"/>
      <c r="D986" s="127"/>
      <c r="E986" s="127"/>
      <c r="F986" s="127"/>
      <c r="G986" s="127"/>
      <c r="H986" s="127"/>
      <c r="I986" s="127"/>
      <c r="J986" s="127"/>
      <c r="K986" s="127"/>
      <c r="L986" s="127"/>
      <c r="M986" s="127"/>
      <c r="N986" s="127"/>
      <c r="O986" s="127"/>
      <c r="P986" s="127"/>
      <c r="Q986" s="127"/>
      <c r="R986" s="127"/>
      <c r="S986" s="127"/>
      <c r="T986" s="127"/>
      <c r="U986" s="127"/>
      <c r="V986" s="127"/>
      <c r="W986" s="127"/>
      <c r="X986" s="127"/>
      <c r="Y986" s="127"/>
      <c r="Z986" s="127"/>
    </row>
    <row r="987" customFormat="false" ht="15.75" hidden="false" customHeight="false" outlineLevel="0" collapsed="false">
      <c r="A987" s="127"/>
      <c r="B987" s="127"/>
      <c r="C987" s="127"/>
      <c r="D987" s="127"/>
      <c r="E987" s="127"/>
      <c r="F987" s="127"/>
      <c r="G987" s="127"/>
      <c r="H987" s="127"/>
      <c r="I987" s="127"/>
      <c r="J987" s="127"/>
      <c r="K987" s="127"/>
      <c r="L987" s="127"/>
      <c r="M987" s="127"/>
      <c r="N987" s="127"/>
      <c r="O987" s="127"/>
      <c r="P987" s="127"/>
      <c r="Q987" s="127"/>
      <c r="R987" s="127"/>
      <c r="S987" s="127"/>
      <c r="T987" s="127"/>
      <c r="U987" s="127"/>
      <c r="V987" s="127"/>
      <c r="W987" s="127"/>
      <c r="X987" s="127"/>
      <c r="Y987" s="127"/>
      <c r="Z987" s="127"/>
    </row>
    <row r="988" customFormat="false" ht="15.75" hidden="false" customHeight="false" outlineLevel="0" collapsed="false">
      <c r="A988" s="127"/>
      <c r="B988" s="127"/>
      <c r="C988" s="127"/>
      <c r="D988" s="127"/>
      <c r="E988" s="127"/>
      <c r="F988" s="127"/>
      <c r="G988" s="127"/>
      <c r="H988" s="127"/>
      <c r="I988" s="127"/>
      <c r="J988" s="127"/>
      <c r="K988" s="127"/>
      <c r="L988" s="127"/>
      <c r="M988" s="127"/>
      <c r="N988" s="127"/>
      <c r="O988" s="127"/>
      <c r="P988" s="127"/>
      <c r="Q988" s="127"/>
      <c r="R988" s="127"/>
      <c r="S988" s="127"/>
      <c r="T988" s="127"/>
      <c r="U988" s="127"/>
      <c r="V988" s="127"/>
      <c r="W988" s="127"/>
      <c r="X988" s="127"/>
      <c r="Y988" s="127"/>
      <c r="Z988" s="127"/>
    </row>
    <row r="989" customFormat="false" ht="15.75" hidden="false" customHeight="false" outlineLevel="0" collapsed="false">
      <c r="A989" s="127"/>
      <c r="B989" s="127"/>
      <c r="C989" s="127"/>
      <c r="D989" s="127"/>
      <c r="E989" s="127"/>
      <c r="F989" s="127"/>
      <c r="G989" s="127"/>
      <c r="H989" s="127"/>
      <c r="I989" s="127"/>
      <c r="J989" s="127"/>
      <c r="K989" s="127"/>
      <c r="L989" s="127"/>
      <c r="M989" s="127"/>
      <c r="N989" s="127"/>
      <c r="O989" s="127"/>
      <c r="P989" s="127"/>
      <c r="Q989" s="127"/>
      <c r="R989" s="127"/>
      <c r="S989" s="127"/>
      <c r="T989" s="127"/>
      <c r="U989" s="127"/>
      <c r="V989" s="127"/>
      <c r="W989" s="127"/>
      <c r="X989" s="127"/>
      <c r="Y989" s="127"/>
      <c r="Z989" s="127"/>
    </row>
    <row r="990" customFormat="false" ht="15.75" hidden="false" customHeight="false" outlineLevel="0" collapsed="false">
      <c r="A990" s="127"/>
      <c r="B990" s="127"/>
      <c r="C990" s="127"/>
      <c r="D990" s="127"/>
      <c r="E990" s="127"/>
      <c r="F990" s="127"/>
      <c r="G990" s="127"/>
      <c r="H990" s="127"/>
      <c r="I990" s="127"/>
      <c r="J990" s="127"/>
      <c r="K990" s="127"/>
      <c r="L990" s="127"/>
      <c r="M990" s="127"/>
      <c r="N990" s="127"/>
      <c r="O990" s="127"/>
      <c r="P990" s="127"/>
      <c r="Q990" s="127"/>
      <c r="R990" s="127"/>
      <c r="S990" s="127"/>
      <c r="T990" s="127"/>
      <c r="U990" s="127"/>
      <c r="V990" s="127"/>
      <c r="W990" s="127"/>
      <c r="X990" s="127"/>
      <c r="Y990" s="127"/>
      <c r="Z990" s="127"/>
    </row>
    <row r="991" customFormat="false" ht="15.75" hidden="false" customHeight="false" outlineLevel="0" collapsed="false">
      <c r="A991" s="127"/>
      <c r="B991" s="127"/>
      <c r="C991" s="127"/>
      <c r="D991" s="127"/>
      <c r="E991" s="127"/>
      <c r="F991" s="127"/>
      <c r="G991" s="127"/>
      <c r="H991" s="127"/>
      <c r="I991" s="127"/>
      <c r="J991" s="127"/>
      <c r="K991" s="127"/>
      <c r="L991" s="127"/>
      <c r="M991" s="127"/>
      <c r="N991" s="127"/>
      <c r="O991" s="127"/>
      <c r="P991" s="127"/>
      <c r="Q991" s="127"/>
      <c r="R991" s="127"/>
      <c r="S991" s="127"/>
      <c r="T991" s="127"/>
      <c r="U991" s="127"/>
      <c r="V991" s="127"/>
      <c r="W991" s="127"/>
      <c r="X991" s="127"/>
      <c r="Y991" s="127"/>
      <c r="Z991" s="127"/>
    </row>
    <row r="992" customFormat="false" ht="15.75" hidden="false" customHeight="false" outlineLevel="0" collapsed="false">
      <c r="A992" s="127"/>
      <c r="B992" s="127"/>
      <c r="C992" s="127"/>
      <c r="D992" s="127"/>
      <c r="E992" s="127"/>
      <c r="F992" s="127"/>
      <c r="G992" s="127"/>
      <c r="H992" s="127"/>
      <c r="I992" s="127"/>
      <c r="J992" s="127"/>
      <c r="K992" s="127"/>
      <c r="L992" s="127"/>
      <c r="M992" s="127"/>
      <c r="N992" s="127"/>
      <c r="O992" s="127"/>
      <c r="P992" s="127"/>
      <c r="Q992" s="127"/>
      <c r="R992" s="127"/>
      <c r="S992" s="127"/>
      <c r="T992" s="127"/>
      <c r="U992" s="127"/>
      <c r="V992" s="127"/>
      <c r="W992" s="127"/>
      <c r="X992" s="127"/>
      <c r="Y992" s="127"/>
      <c r="Z992" s="127"/>
    </row>
    <row r="993" customFormat="false" ht="15.75" hidden="false" customHeight="false" outlineLevel="0" collapsed="false">
      <c r="A993" s="127"/>
      <c r="B993" s="127"/>
      <c r="C993" s="127"/>
      <c r="D993" s="127"/>
      <c r="E993" s="127"/>
      <c r="F993" s="127"/>
      <c r="G993" s="127"/>
      <c r="H993" s="127"/>
      <c r="I993" s="127"/>
      <c r="J993" s="127"/>
      <c r="K993" s="127"/>
      <c r="L993" s="127"/>
      <c r="M993" s="127"/>
      <c r="N993" s="127"/>
      <c r="O993" s="127"/>
      <c r="P993" s="127"/>
      <c r="Q993" s="127"/>
      <c r="R993" s="127"/>
      <c r="S993" s="127"/>
      <c r="T993" s="127"/>
      <c r="U993" s="127"/>
      <c r="V993" s="127"/>
      <c r="W993" s="127"/>
      <c r="X993" s="127"/>
      <c r="Y993" s="127"/>
      <c r="Z993" s="127"/>
    </row>
    <row r="994" customFormat="false" ht="15.75" hidden="false" customHeight="false" outlineLevel="0" collapsed="false">
      <c r="A994" s="127"/>
      <c r="B994" s="127"/>
      <c r="C994" s="127"/>
      <c r="D994" s="127"/>
      <c r="E994" s="127"/>
      <c r="F994" s="127"/>
      <c r="G994" s="127"/>
      <c r="H994" s="127"/>
      <c r="I994" s="127"/>
      <c r="J994" s="127"/>
      <c r="K994" s="127"/>
      <c r="L994" s="127"/>
      <c r="M994" s="127"/>
      <c r="N994" s="127"/>
      <c r="O994" s="127"/>
      <c r="P994" s="127"/>
      <c r="Q994" s="127"/>
      <c r="R994" s="127"/>
      <c r="S994" s="127"/>
      <c r="T994" s="127"/>
      <c r="U994" s="127"/>
      <c r="V994" s="127"/>
      <c r="W994" s="127"/>
      <c r="X994" s="127"/>
      <c r="Y994" s="127"/>
      <c r="Z994" s="127"/>
    </row>
    <row r="995" customFormat="false" ht="15.75" hidden="false" customHeight="false" outlineLevel="0" collapsed="false">
      <c r="A995" s="127"/>
      <c r="B995" s="127"/>
      <c r="C995" s="127"/>
      <c r="D995" s="127"/>
      <c r="E995" s="127"/>
      <c r="F995" s="127"/>
      <c r="G995" s="127"/>
      <c r="H995" s="127"/>
      <c r="I995" s="127"/>
      <c r="J995" s="127"/>
      <c r="K995" s="127"/>
      <c r="L995" s="127"/>
      <c r="M995" s="127"/>
      <c r="N995" s="127"/>
      <c r="O995" s="127"/>
      <c r="P995" s="127"/>
      <c r="Q995" s="127"/>
      <c r="R995" s="127"/>
      <c r="S995" s="127"/>
      <c r="T995" s="127"/>
      <c r="U995" s="127"/>
      <c r="V995" s="127"/>
      <c r="W995" s="127"/>
      <c r="X995" s="127"/>
      <c r="Y995" s="127"/>
      <c r="Z995" s="127"/>
    </row>
    <row r="996" customFormat="false" ht="15.75" hidden="false" customHeight="false" outlineLevel="0" collapsed="false">
      <c r="A996" s="127"/>
      <c r="B996" s="127"/>
      <c r="C996" s="127"/>
      <c r="D996" s="127"/>
      <c r="E996" s="127"/>
      <c r="F996" s="127"/>
      <c r="G996" s="127"/>
      <c r="H996" s="127"/>
      <c r="I996" s="127"/>
      <c r="J996" s="127"/>
      <c r="K996" s="127"/>
      <c r="L996" s="127"/>
      <c r="M996" s="127"/>
      <c r="N996" s="127"/>
      <c r="O996" s="127"/>
      <c r="P996" s="127"/>
      <c r="Q996" s="127"/>
      <c r="R996" s="127"/>
      <c r="S996" s="127"/>
      <c r="T996" s="127"/>
      <c r="U996" s="127"/>
      <c r="V996" s="127"/>
      <c r="W996" s="127"/>
      <c r="X996" s="127"/>
      <c r="Y996" s="127"/>
      <c r="Z996" s="127"/>
    </row>
    <row r="997" customFormat="false" ht="15.75" hidden="false" customHeight="false" outlineLevel="0" collapsed="false">
      <c r="A997" s="127"/>
      <c r="B997" s="127"/>
      <c r="C997" s="127"/>
      <c r="D997" s="127"/>
      <c r="E997" s="127"/>
      <c r="F997" s="127"/>
      <c r="G997" s="127"/>
      <c r="H997" s="127"/>
      <c r="I997" s="127"/>
      <c r="J997" s="127"/>
      <c r="K997" s="127"/>
      <c r="L997" s="127"/>
      <c r="M997" s="127"/>
      <c r="N997" s="127"/>
      <c r="O997" s="127"/>
      <c r="P997" s="127"/>
      <c r="Q997" s="127"/>
      <c r="R997" s="127"/>
      <c r="S997" s="127"/>
      <c r="T997" s="127"/>
      <c r="U997" s="127"/>
      <c r="V997" s="127"/>
      <c r="W997" s="127"/>
      <c r="X997" s="127"/>
      <c r="Y997" s="127"/>
      <c r="Z997" s="127"/>
    </row>
    <row r="998" customFormat="false" ht="15.75" hidden="false" customHeight="false" outlineLevel="0" collapsed="false">
      <c r="A998" s="127"/>
      <c r="B998" s="127"/>
      <c r="C998" s="127"/>
      <c r="D998" s="127"/>
      <c r="E998" s="127"/>
      <c r="F998" s="127"/>
      <c r="G998" s="127"/>
      <c r="H998" s="127"/>
      <c r="I998" s="127"/>
      <c r="J998" s="127"/>
      <c r="K998" s="127"/>
      <c r="L998" s="127"/>
      <c r="M998" s="127"/>
      <c r="N998" s="127"/>
      <c r="O998" s="127"/>
      <c r="P998" s="127"/>
      <c r="Q998" s="127"/>
      <c r="R998" s="127"/>
      <c r="S998" s="127"/>
      <c r="T998" s="127"/>
      <c r="U998" s="127"/>
      <c r="V998" s="127"/>
      <c r="W998" s="127"/>
      <c r="X998" s="127"/>
      <c r="Y998" s="127"/>
      <c r="Z998" s="127"/>
    </row>
    <row r="999" customFormat="false" ht="15.75" hidden="false" customHeight="false" outlineLevel="0" collapsed="false">
      <c r="A999" s="127"/>
      <c r="B999" s="127"/>
      <c r="C999" s="127"/>
      <c r="D999" s="127"/>
      <c r="E999" s="127"/>
      <c r="F999" s="127"/>
      <c r="G999" s="127"/>
      <c r="H999" s="127"/>
      <c r="I999" s="127"/>
      <c r="J999" s="127"/>
      <c r="K999" s="127"/>
      <c r="L999" s="127"/>
      <c r="M999" s="127"/>
      <c r="N999" s="127"/>
      <c r="O999" s="127"/>
      <c r="P999" s="127"/>
      <c r="Q999" s="127"/>
      <c r="R999" s="127"/>
      <c r="S999" s="127"/>
      <c r="T999" s="127"/>
      <c r="U999" s="127"/>
      <c r="V999" s="127"/>
      <c r="W999" s="127"/>
      <c r="X999" s="127"/>
      <c r="Y999" s="127"/>
      <c r="Z999" s="127"/>
    </row>
    <row r="1000" customFormat="false" ht="15.75" hidden="false" customHeight="false" outlineLevel="0" collapsed="false">
      <c r="A1000" s="127"/>
      <c r="B1000" s="127"/>
      <c r="C1000" s="127"/>
      <c r="D1000" s="127"/>
      <c r="E1000" s="127"/>
      <c r="F1000" s="127"/>
      <c r="G1000" s="127"/>
      <c r="H1000" s="127"/>
      <c r="I1000" s="127"/>
      <c r="J1000" s="127"/>
      <c r="K1000" s="127"/>
      <c r="L1000" s="127"/>
      <c r="M1000" s="127"/>
      <c r="N1000" s="127"/>
      <c r="O1000" s="127"/>
      <c r="P1000" s="127"/>
      <c r="Q1000" s="127"/>
      <c r="R1000" s="127"/>
      <c r="S1000" s="127"/>
      <c r="T1000" s="127"/>
      <c r="U1000" s="127"/>
      <c r="V1000" s="127"/>
      <c r="W1000" s="127"/>
      <c r="X1000" s="127"/>
      <c r="Y1000" s="127"/>
      <c r="Z1000" s="127"/>
    </row>
    <row r="1001" customFormat="false" ht="15.75" hidden="false" customHeight="false" outlineLevel="0" collapsed="false">
      <c r="A1001" s="127"/>
      <c r="B1001" s="127"/>
      <c r="C1001" s="127"/>
      <c r="D1001" s="127"/>
      <c r="E1001" s="127"/>
      <c r="F1001" s="127"/>
      <c r="G1001" s="127"/>
      <c r="H1001" s="127"/>
      <c r="I1001" s="127"/>
      <c r="J1001" s="127"/>
      <c r="K1001" s="127"/>
      <c r="L1001" s="127"/>
      <c r="M1001" s="127"/>
      <c r="N1001" s="127"/>
      <c r="O1001" s="127"/>
      <c r="P1001" s="127"/>
      <c r="Q1001" s="127"/>
      <c r="R1001" s="127"/>
      <c r="S1001" s="127"/>
      <c r="T1001" s="127"/>
      <c r="U1001" s="127"/>
      <c r="V1001" s="127"/>
      <c r="W1001" s="127"/>
      <c r="X1001" s="127"/>
      <c r="Y1001" s="127"/>
      <c r="Z1001" s="127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3.8" hidden="false" customHeight="false" outlineLevel="0" collapsed="false">
      <c r="A1" s="127" t="s">
        <v>105</v>
      </c>
      <c r="B1" s="127" t="s">
        <v>73</v>
      </c>
      <c r="C1" s="127" t="s">
        <v>24</v>
      </c>
      <c r="D1" s="127"/>
      <c r="E1" s="127"/>
      <c r="F1" s="127"/>
      <c r="G1" s="127"/>
      <c r="H1" s="127"/>
      <c r="I1" s="127"/>
      <c r="J1" s="127"/>
      <c r="K1" s="127"/>
      <c r="L1" s="127"/>
      <c r="M1" s="127"/>
      <c r="N1" s="127"/>
      <c r="O1" s="127"/>
      <c r="P1" s="127"/>
      <c r="Q1" s="127"/>
      <c r="R1" s="127"/>
      <c r="S1" s="127"/>
      <c r="T1" s="127"/>
      <c r="U1" s="127"/>
      <c r="V1" s="127"/>
      <c r="W1" s="127"/>
      <c r="X1" s="127"/>
      <c r="Y1" s="127"/>
      <c r="Z1" s="127"/>
    </row>
    <row r="2" customFormat="false" ht="13.8" hidden="false" customHeight="false" outlineLevel="0" collapsed="false">
      <c r="A2" s="127" t="s">
        <v>75</v>
      </c>
      <c r="B2" s="127" t="s">
        <v>75</v>
      </c>
      <c r="C2" s="127" t="s">
        <v>23</v>
      </c>
      <c r="D2" s="127"/>
      <c r="E2" s="127"/>
      <c r="F2" s="127"/>
      <c r="G2" s="127"/>
      <c r="H2" s="127"/>
      <c r="I2" s="127"/>
      <c r="J2" s="127"/>
      <c r="K2" s="127"/>
      <c r="L2" s="127"/>
      <c r="M2" s="127"/>
      <c r="N2" s="127"/>
      <c r="O2" s="127"/>
      <c r="P2" s="127"/>
      <c r="Q2" s="127"/>
      <c r="R2" s="127"/>
      <c r="S2" s="127"/>
      <c r="T2" s="127"/>
      <c r="U2" s="127"/>
      <c r="V2" s="127"/>
      <c r="W2" s="127"/>
      <c r="X2" s="127"/>
      <c r="Y2" s="127"/>
      <c r="Z2" s="127"/>
    </row>
    <row r="3" customFormat="false" ht="13.8" hidden="false" customHeight="false" outlineLevel="0" collapsed="false">
      <c r="A3" s="127" t="s">
        <v>106</v>
      </c>
      <c r="B3" s="127" t="s">
        <v>107</v>
      </c>
      <c r="C3" s="127" t="s">
        <v>26</v>
      </c>
      <c r="D3" s="127"/>
      <c r="E3" s="127"/>
      <c r="F3" s="127"/>
      <c r="G3" s="127"/>
      <c r="H3" s="127"/>
      <c r="I3" s="127"/>
      <c r="J3" s="127"/>
      <c r="K3" s="127"/>
      <c r="L3" s="127"/>
      <c r="M3" s="127"/>
      <c r="N3" s="127"/>
      <c r="O3" s="127"/>
      <c r="P3" s="127"/>
      <c r="Q3" s="127"/>
      <c r="R3" s="127"/>
      <c r="S3" s="127"/>
      <c r="T3" s="127"/>
      <c r="U3" s="127"/>
      <c r="V3" s="127"/>
      <c r="W3" s="127"/>
      <c r="X3" s="127"/>
      <c r="Y3" s="127"/>
      <c r="Z3" s="127"/>
    </row>
    <row r="4" customFormat="false" ht="13.8" hidden="false" customHeight="false" outlineLevel="0" collapsed="false">
      <c r="A4" s="127" t="s">
        <v>107</v>
      </c>
      <c r="B4" s="127"/>
      <c r="C4" s="127" t="s">
        <v>20</v>
      </c>
      <c r="D4" s="127"/>
      <c r="E4" s="127"/>
      <c r="F4" s="127"/>
      <c r="G4" s="127"/>
      <c r="H4" s="127"/>
      <c r="I4" s="127"/>
      <c r="J4" s="127"/>
      <c r="K4" s="127"/>
      <c r="L4" s="127"/>
      <c r="M4" s="127"/>
      <c r="N4" s="127"/>
      <c r="O4" s="127"/>
      <c r="P4" s="127"/>
      <c r="Q4" s="127"/>
      <c r="R4" s="127"/>
      <c r="S4" s="127"/>
      <c r="T4" s="127"/>
      <c r="U4" s="127"/>
      <c r="V4" s="127"/>
      <c r="W4" s="127"/>
      <c r="X4" s="127"/>
      <c r="Y4" s="127"/>
      <c r="Z4" s="127"/>
    </row>
    <row r="5" customFormat="false" ht="13.8" hidden="false" customHeight="false" outlineLevel="0" collapsed="false">
      <c r="A5" s="127"/>
      <c r="B5" s="127"/>
      <c r="C5" s="127" t="s">
        <v>39</v>
      </c>
      <c r="D5" s="127"/>
      <c r="E5" s="127"/>
      <c r="F5" s="127"/>
      <c r="G5" s="127"/>
      <c r="H5" s="127"/>
      <c r="I5" s="127"/>
      <c r="J5" s="127"/>
      <c r="K5" s="127"/>
      <c r="L5" s="127"/>
      <c r="M5" s="127"/>
      <c r="N5" s="127"/>
      <c r="O5" s="127"/>
      <c r="P5" s="127"/>
      <c r="Q5" s="127"/>
      <c r="R5" s="127"/>
      <c r="S5" s="127"/>
      <c r="T5" s="127"/>
      <c r="U5" s="127"/>
      <c r="V5" s="127"/>
      <c r="W5" s="127"/>
      <c r="X5" s="127"/>
      <c r="Y5" s="127"/>
      <c r="Z5" s="127"/>
    </row>
    <row r="6" customFormat="false" ht="13.8" hidden="false" customHeight="false" outlineLevel="0" collapsed="false">
      <c r="A6" s="127"/>
      <c r="B6" s="127"/>
      <c r="C6" s="127" t="s">
        <v>25</v>
      </c>
      <c r="D6" s="127"/>
      <c r="E6" s="127"/>
      <c r="F6" s="127"/>
      <c r="G6" s="127"/>
      <c r="H6" s="127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customFormat="false" ht="13.8" hidden="false" customHeight="false" outlineLevel="0" collapsed="false">
      <c r="A7" s="127"/>
      <c r="B7" s="127"/>
      <c r="C7" s="127" t="s">
        <v>27</v>
      </c>
      <c r="D7" s="127"/>
      <c r="E7" s="127"/>
      <c r="F7" s="127"/>
      <c r="G7" s="127"/>
      <c r="H7" s="127"/>
      <c r="I7" s="127"/>
      <c r="J7" s="127"/>
      <c r="K7" s="127"/>
      <c r="L7" s="127"/>
      <c r="M7" s="127"/>
      <c r="N7" s="127"/>
      <c r="O7" s="127"/>
      <c r="P7" s="127"/>
      <c r="Q7" s="127"/>
      <c r="R7" s="127"/>
      <c r="S7" s="127"/>
      <c r="T7" s="127"/>
      <c r="U7" s="127"/>
      <c r="V7" s="127"/>
      <c r="W7" s="127"/>
      <c r="X7" s="127"/>
      <c r="Y7" s="127"/>
      <c r="Z7" s="127"/>
    </row>
    <row r="8" customFormat="false" ht="13.8" hidden="false" customHeight="false" outlineLevel="0" collapsed="false">
      <c r="A8" s="127"/>
      <c r="B8" s="127"/>
      <c r="C8" s="127" t="s">
        <v>22</v>
      </c>
      <c r="D8" s="127"/>
      <c r="E8" s="127"/>
      <c r="F8" s="127"/>
      <c r="G8" s="127"/>
      <c r="H8" s="127"/>
      <c r="I8" s="127"/>
      <c r="J8" s="127"/>
      <c r="K8" s="127"/>
      <c r="L8" s="127"/>
      <c r="M8" s="127"/>
      <c r="N8" s="127"/>
      <c r="O8" s="127"/>
      <c r="P8" s="127"/>
      <c r="Q8" s="127"/>
      <c r="R8" s="127"/>
      <c r="S8" s="127"/>
      <c r="T8" s="127"/>
      <c r="U8" s="127"/>
      <c r="V8" s="127"/>
      <c r="W8" s="127"/>
      <c r="X8" s="127"/>
      <c r="Y8" s="127"/>
      <c r="Z8" s="127"/>
    </row>
    <row r="9" customFormat="false" ht="13.8" hidden="false" customHeight="false" outlineLevel="0" collapsed="false">
      <c r="A9" s="127"/>
      <c r="B9" s="127"/>
      <c r="C9" s="127" t="s">
        <v>21</v>
      </c>
      <c r="D9" s="127"/>
      <c r="E9" s="127"/>
      <c r="F9" s="127"/>
      <c r="G9" s="127"/>
      <c r="H9" s="127"/>
      <c r="I9" s="127"/>
      <c r="J9" s="127"/>
      <c r="K9" s="127"/>
      <c r="L9" s="127"/>
      <c r="M9" s="127"/>
      <c r="N9" s="127"/>
      <c r="O9" s="127"/>
      <c r="P9" s="127"/>
      <c r="Q9" s="127"/>
      <c r="R9" s="127"/>
      <c r="S9" s="127"/>
      <c r="T9" s="127"/>
      <c r="U9" s="127"/>
      <c r="V9" s="127"/>
      <c r="W9" s="127"/>
      <c r="X9" s="127"/>
      <c r="Y9" s="127"/>
      <c r="Z9" s="127"/>
    </row>
    <row r="10" customFormat="false" ht="15.75" hidden="false" customHeight="false" outlineLevel="0" collapsed="false">
      <c r="A10" s="127"/>
      <c r="B10" s="127"/>
      <c r="C10" s="127"/>
      <c r="D10" s="127"/>
      <c r="E10" s="127"/>
      <c r="F10" s="127"/>
      <c r="G10" s="127"/>
      <c r="H10" s="127"/>
      <c r="I10" s="127"/>
      <c r="J10" s="127"/>
      <c r="K10" s="127"/>
      <c r="L10" s="127"/>
      <c r="M10" s="127"/>
      <c r="N10" s="127"/>
      <c r="O10" s="127"/>
      <c r="P10" s="127"/>
      <c r="Q10" s="127"/>
      <c r="R10" s="127"/>
      <c r="S10" s="127"/>
      <c r="T10" s="127"/>
      <c r="U10" s="127"/>
      <c r="V10" s="127"/>
      <c r="W10" s="127"/>
      <c r="X10" s="127"/>
      <c r="Y10" s="127"/>
      <c r="Z10" s="127"/>
    </row>
    <row r="11" customFormat="false" ht="15.75" hidden="false" customHeight="false" outlineLevel="0" collapsed="false">
      <c r="A11" s="127"/>
      <c r="B11" s="127"/>
      <c r="C11" s="127"/>
      <c r="D11" s="127"/>
      <c r="E11" s="127"/>
      <c r="F11" s="127"/>
      <c r="G11" s="127"/>
      <c r="H11" s="127"/>
      <c r="I11" s="127"/>
      <c r="J11" s="127"/>
      <c r="K11" s="127"/>
      <c r="L11" s="127"/>
      <c r="M11" s="127"/>
      <c r="N11" s="127"/>
      <c r="O11" s="127"/>
      <c r="P11" s="127"/>
      <c r="Q11" s="127"/>
      <c r="R11" s="127"/>
      <c r="S11" s="127"/>
      <c r="T11" s="127"/>
      <c r="U11" s="127"/>
      <c r="V11" s="127"/>
      <c r="W11" s="127"/>
      <c r="X11" s="127"/>
      <c r="Y11" s="127"/>
      <c r="Z11" s="127"/>
    </row>
    <row r="12" customFormat="false" ht="15.75" hidden="false" customHeight="false" outlineLevel="0" collapsed="false">
      <c r="A12" s="127"/>
      <c r="B12" s="127"/>
      <c r="C12" s="127"/>
      <c r="D12" s="127"/>
      <c r="E12" s="127"/>
      <c r="F12" s="127"/>
      <c r="G12" s="127"/>
      <c r="H12" s="127"/>
      <c r="I12" s="127"/>
      <c r="J12" s="127"/>
      <c r="K12" s="127"/>
      <c r="L12" s="127"/>
      <c r="M12" s="127"/>
      <c r="N12" s="127"/>
      <c r="O12" s="127"/>
      <c r="P12" s="127"/>
      <c r="Q12" s="127"/>
      <c r="R12" s="127"/>
      <c r="S12" s="127"/>
      <c r="T12" s="127"/>
      <c r="U12" s="127"/>
      <c r="V12" s="127"/>
      <c r="W12" s="127"/>
      <c r="X12" s="127"/>
      <c r="Y12" s="127"/>
      <c r="Z12" s="127"/>
    </row>
    <row r="13" customFormat="false" ht="15.75" hidden="false" customHeight="false" outlineLevel="0" collapsed="false">
      <c r="A13" s="127"/>
      <c r="B13" s="127"/>
      <c r="C13" s="127"/>
      <c r="D13" s="127"/>
      <c r="E13" s="127"/>
      <c r="F13" s="127"/>
      <c r="G13" s="127"/>
      <c r="H13" s="127"/>
      <c r="I13" s="127"/>
      <c r="J13" s="127"/>
      <c r="K13" s="127"/>
      <c r="L13" s="127"/>
      <c r="M13" s="127"/>
      <c r="N13" s="127"/>
      <c r="O13" s="127"/>
      <c r="P13" s="127"/>
      <c r="Q13" s="127"/>
      <c r="R13" s="127"/>
      <c r="S13" s="127"/>
      <c r="T13" s="127"/>
      <c r="U13" s="127"/>
      <c r="V13" s="127"/>
      <c r="W13" s="127"/>
      <c r="X13" s="127"/>
      <c r="Y13" s="127"/>
      <c r="Z13" s="127"/>
    </row>
    <row r="14" customFormat="false" ht="15.75" hidden="false" customHeight="false" outlineLevel="0" collapsed="false">
      <c r="A14" s="127"/>
      <c r="B14" s="127"/>
      <c r="C14" s="127"/>
      <c r="D14" s="127"/>
      <c r="E14" s="127"/>
      <c r="F14" s="127"/>
      <c r="G14" s="127"/>
      <c r="H14" s="127"/>
      <c r="I14" s="12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</row>
    <row r="15" customFormat="false" ht="15.75" hidden="false" customHeight="false" outlineLevel="0" collapsed="false">
      <c r="A15" s="127"/>
      <c r="B15" s="127"/>
      <c r="C15" s="127"/>
      <c r="D15" s="127"/>
      <c r="E15" s="127"/>
      <c r="F15" s="127"/>
      <c r="G15" s="127"/>
      <c r="H15" s="127"/>
      <c r="I15" s="127"/>
      <c r="J15" s="127"/>
      <c r="K15" s="127"/>
      <c r="L15" s="127"/>
      <c r="M15" s="127"/>
      <c r="N15" s="127"/>
      <c r="O15" s="127"/>
      <c r="P15" s="127"/>
      <c r="Q15" s="127"/>
      <c r="R15" s="127"/>
      <c r="S15" s="127"/>
      <c r="T15" s="127"/>
      <c r="U15" s="127"/>
      <c r="V15" s="127"/>
      <c r="W15" s="127"/>
      <c r="X15" s="127"/>
      <c r="Y15" s="127"/>
      <c r="Z15" s="127"/>
    </row>
    <row r="16" customFormat="false" ht="15.75" hidden="false" customHeight="false" outlineLevel="0" collapsed="false">
      <c r="A16" s="127"/>
      <c r="B16" s="127"/>
      <c r="C16" s="127"/>
      <c r="D16" s="127"/>
      <c r="E16" s="127"/>
      <c r="F16" s="127"/>
      <c r="G16" s="127"/>
      <c r="H16" s="127"/>
      <c r="I16" s="127"/>
      <c r="J16" s="127"/>
      <c r="K16" s="127"/>
      <c r="L16" s="127"/>
      <c r="M16" s="127"/>
      <c r="N16" s="127"/>
      <c r="O16" s="127"/>
      <c r="P16" s="127"/>
      <c r="Q16" s="127"/>
      <c r="R16" s="127"/>
      <c r="S16" s="127"/>
      <c r="T16" s="127"/>
      <c r="U16" s="127"/>
      <c r="V16" s="127"/>
      <c r="W16" s="127"/>
      <c r="X16" s="127"/>
      <c r="Y16" s="127"/>
      <c r="Z16" s="127"/>
    </row>
    <row r="17" customFormat="false" ht="15.75" hidden="false" customHeight="false" outlineLevel="0" collapsed="false">
      <c r="A17" s="127"/>
      <c r="B17" s="127"/>
      <c r="C17" s="127"/>
      <c r="D17" s="127"/>
      <c r="E17" s="127"/>
      <c r="F17" s="127"/>
      <c r="G17" s="127"/>
      <c r="H17" s="127"/>
      <c r="I17" s="127"/>
      <c r="J17" s="127"/>
      <c r="K17" s="127"/>
      <c r="L17" s="127"/>
      <c r="M17" s="127"/>
      <c r="N17" s="127"/>
      <c r="O17" s="127"/>
      <c r="P17" s="127"/>
      <c r="Q17" s="127"/>
      <c r="R17" s="127"/>
      <c r="S17" s="127"/>
      <c r="T17" s="127"/>
      <c r="U17" s="127"/>
      <c r="V17" s="127"/>
      <c r="W17" s="127"/>
      <c r="X17" s="127"/>
      <c r="Y17" s="127"/>
      <c r="Z17" s="127"/>
    </row>
    <row r="18" customFormat="false" ht="15.75" hidden="false" customHeight="false" outlineLevel="0" collapsed="false">
      <c r="A18" s="127"/>
      <c r="B18" s="127"/>
      <c r="C18" s="127"/>
      <c r="D18" s="127"/>
      <c r="E18" s="127"/>
      <c r="F18" s="127"/>
      <c r="G18" s="127"/>
      <c r="H18" s="127"/>
      <c r="I18" s="127"/>
      <c r="J18" s="127"/>
      <c r="K18" s="127"/>
      <c r="L18" s="127"/>
      <c r="M18" s="127"/>
      <c r="N18" s="127"/>
      <c r="O18" s="127"/>
      <c r="P18" s="127"/>
      <c r="Q18" s="127"/>
      <c r="R18" s="127"/>
      <c r="S18" s="127"/>
      <c r="T18" s="127"/>
      <c r="U18" s="127"/>
      <c r="V18" s="127"/>
      <c r="W18" s="127"/>
      <c r="X18" s="127"/>
      <c r="Y18" s="127"/>
      <c r="Z18" s="127"/>
    </row>
    <row r="19" customFormat="false" ht="15.75" hidden="false" customHeight="false" outlineLevel="0" collapsed="false">
      <c r="A19" s="127"/>
      <c r="B19" s="127"/>
      <c r="C19" s="127"/>
      <c r="D19" s="127"/>
      <c r="E19" s="127"/>
      <c r="F19" s="127"/>
      <c r="G19" s="127"/>
      <c r="H19" s="127"/>
      <c r="I19" s="127"/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</row>
    <row r="20" customFormat="false" ht="15.75" hidden="false" customHeight="false" outlineLevel="0" collapsed="false">
      <c r="A20" s="127"/>
      <c r="B20" s="127"/>
      <c r="C20" s="127"/>
      <c r="D20" s="127"/>
      <c r="E20" s="127"/>
      <c r="F20" s="127"/>
      <c r="G20" s="127"/>
      <c r="H20" s="127"/>
      <c r="I20" s="127"/>
      <c r="J20" s="127"/>
      <c r="K20" s="127"/>
      <c r="L20" s="127"/>
      <c r="M20" s="127"/>
      <c r="N20" s="127"/>
      <c r="O20" s="127"/>
      <c r="P20" s="127"/>
      <c r="Q20" s="127"/>
      <c r="R20" s="127"/>
      <c r="S20" s="127"/>
      <c r="T20" s="127"/>
      <c r="U20" s="127"/>
      <c r="V20" s="127"/>
      <c r="W20" s="127"/>
      <c r="X20" s="127"/>
      <c r="Y20" s="127"/>
      <c r="Z20" s="127"/>
    </row>
    <row r="21" customFormat="false" ht="15.75" hidden="false" customHeight="false" outlineLevel="0" collapsed="false">
      <c r="A21" s="127"/>
      <c r="B21" s="127"/>
      <c r="C21" s="127"/>
      <c r="D21" s="127"/>
      <c r="E21" s="127"/>
      <c r="F21" s="127"/>
      <c r="G21" s="127"/>
      <c r="H21" s="127"/>
      <c r="I21" s="127"/>
      <c r="J21" s="127"/>
      <c r="K21" s="127"/>
      <c r="L21" s="127"/>
      <c r="M21" s="127"/>
      <c r="N21" s="127"/>
      <c r="O21" s="127"/>
      <c r="P21" s="127"/>
      <c r="Q21" s="127"/>
      <c r="R21" s="127"/>
      <c r="S21" s="127"/>
      <c r="T21" s="127"/>
      <c r="U21" s="127"/>
      <c r="V21" s="127"/>
      <c r="W21" s="127"/>
      <c r="X21" s="127"/>
      <c r="Y21" s="127"/>
      <c r="Z21" s="127"/>
    </row>
    <row r="22" customFormat="false" ht="15.75" hidden="false" customHeight="false" outlineLevel="0" collapsed="false">
      <c r="A22" s="127"/>
      <c r="B22" s="127"/>
      <c r="C22" s="127"/>
      <c r="D22" s="127"/>
      <c r="E22" s="127"/>
      <c r="F22" s="127"/>
      <c r="G22" s="127"/>
      <c r="H22" s="127"/>
      <c r="I22" s="127"/>
      <c r="J22" s="127"/>
      <c r="K22" s="127"/>
      <c r="L22" s="127"/>
      <c r="M22" s="127"/>
      <c r="N22" s="127"/>
      <c r="O22" s="127"/>
      <c r="P22" s="127"/>
      <c r="Q22" s="127"/>
      <c r="R22" s="127"/>
      <c r="S22" s="127"/>
      <c r="T22" s="127"/>
      <c r="U22" s="127"/>
      <c r="V22" s="127"/>
      <c r="W22" s="127"/>
      <c r="X22" s="127"/>
      <c r="Y22" s="127"/>
      <c r="Z22" s="127"/>
    </row>
    <row r="23" customFormat="false" ht="15.75" hidden="false" customHeight="false" outlineLevel="0" collapsed="false">
      <c r="A23" s="127"/>
      <c r="B23" s="127"/>
      <c r="C23" s="127"/>
      <c r="D23" s="127"/>
      <c r="E23" s="127"/>
      <c r="F23" s="127"/>
      <c r="G23" s="127"/>
      <c r="H23" s="127"/>
      <c r="I23" s="127"/>
      <c r="J23" s="127"/>
      <c r="K23" s="127"/>
      <c r="L23" s="127"/>
      <c r="M23" s="127"/>
      <c r="N23" s="127"/>
      <c r="O23" s="127"/>
      <c r="P23" s="127"/>
      <c r="Q23" s="127"/>
      <c r="R23" s="127"/>
      <c r="S23" s="127"/>
      <c r="T23" s="127"/>
      <c r="U23" s="127"/>
      <c r="V23" s="127"/>
      <c r="W23" s="127"/>
      <c r="X23" s="127"/>
      <c r="Y23" s="127"/>
      <c r="Z23" s="127"/>
    </row>
    <row r="24" customFormat="false" ht="15.75" hidden="false" customHeight="false" outlineLevel="0" collapsed="false">
      <c r="A24" s="127"/>
      <c r="B24" s="127"/>
      <c r="C24" s="127"/>
      <c r="D24" s="127"/>
      <c r="E24" s="127"/>
      <c r="F24" s="127"/>
      <c r="G24" s="127"/>
      <c r="H24" s="127"/>
      <c r="I24" s="127"/>
      <c r="J24" s="127"/>
      <c r="K24" s="127"/>
      <c r="L24" s="127"/>
      <c r="M24" s="127"/>
      <c r="N24" s="127"/>
      <c r="O24" s="127"/>
      <c r="P24" s="127"/>
      <c r="Q24" s="127"/>
      <c r="R24" s="127"/>
      <c r="S24" s="127"/>
      <c r="T24" s="127"/>
      <c r="U24" s="127"/>
      <c r="V24" s="127"/>
      <c r="W24" s="127"/>
      <c r="X24" s="127"/>
      <c r="Y24" s="127"/>
      <c r="Z24" s="127"/>
    </row>
    <row r="25" customFormat="false" ht="15.75" hidden="false" customHeight="false" outlineLevel="0" collapsed="false">
      <c r="A25" s="127"/>
      <c r="B25" s="127"/>
      <c r="C25" s="127"/>
      <c r="D25" s="127"/>
      <c r="E25" s="127"/>
      <c r="F25" s="127"/>
      <c r="G25" s="127"/>
      <c r="H25" s="127"/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</row>
    <row r="26" customFormat="false" ht="15.75" hidden="false" customHeight="false" outlineLevel="0" collapsed="false">
      <c r="A26" s="127"/>
      <c r="B26" s="127"/>
      <c r="C26" s="127"/>
      <c r="D26" s="127"/>
      <c r="E26" s="127"/>
      <c r="F26" s="127"/>
      <c r="G26" s="127"/>
      <c r="H26" s="127"/>
      <c r="I26" s="127"/>
      <c r="J26" s="127"/>
      <c r="K26" s="127"/>
      <c r="L26" s="127"/>
      <c r="M26" s="127"/>
      <c r="N26" s="127"/>
      <c r="O26" s="127"/>
      <c r="P26" s="127"/>
      <c r="Q26" s="127"/>
      <c r="R26" s="127"/>
      <c r="S26" s="127"/>
      <c r="T26" s="127"/>
      <c r="U26" s="127"/>
      <c r="V26" s="127"/>
      <c r="W26" s="127"/>
      <c r="X26" s="127"/>
      <c r="Y26" s="127"/>
      <c r="Z26" s="127"/>
    </row>
    <row r="27" customFormat="false" ht="15.75" hidden="false" customHeight="false" outlineLevel="0" collapsed="false">
      <c r="A27" s="127"/>
      <c r="B27" s="127"/>
      <c r="C27" s="127"/>
      <c r="D27" s="127"/>
      <c r="E27" s="127"/>
      <c r="F27" s="127"/>
      <c r="G27" s="127"/>
      <c r="H27" s="127"/>
      <c r="I27" s="127"/>
      <c r="J27" s="127"/>
      <c r="K27" s="127"/>
      <c r="L27" s="127"/>
      <c r="M27" s="127"/>
      <c r="N27" s="127"/>
      <c r="O27" s="127"/>
      <c r="P27" s="127"/>
      <c r="Q27" s="127"/>
      <c r="R27" s="127"/>
      <c r="S27" s="127"/>
      <c r="T27" s="127"/>
      <c r="U27" s="127"/>
      <c r="V27" s="127"/>
      <c r="W27" s="127"/>
      <c r="X27" s="127"/>
      <c r="Y27" s="127"/>
      <c r="Z27" s="127"/>
    </row>
    <row r="28" customFormat="false" ht="15.75" hidden="false" customHeight="false" outlineLevel="0" collapsed="false">
      <c r="A28" s="127"/>
      <c r="B28" s="127"/>
      <c r="C28" s="127"/>
      <c r="D28" s="127"/>
      <c r="E28" s="127"/>
      <c r="F28" s="127"/>
      <c r="G28" s="127"/>
      <c r="H28" s="127"/>
      <c r="I28" s="127"/>
      <c r="J28" s="127"/>
      <c r="K28" s="127"/>
      <c r="L28" s="127"/>
      <c r="M28" s="127"/>
      <c r="N28" s="127"/>
      <c r="O28" s="127"/>
      <c r="P28" s="127"/>
      <c r="Q28" s="127"/>
      <c r="R28" s="127"/>
      <c r="S28" s="127"/>
      <c r="T28" s="127"/>
      <c r="U28" s="127"/>
      <c r="V28" s="127"/>
      <c r="W28" s="127"/>
      <c r="X28" s="127"/>
      <c r="Y28" s="127"/>
      <c r="Z28" s="127"/>
    </row>
    <row r="29" customFormat="false" ht="15.75" hidden="false" customHeight="false" outlineLevel="0" collapsed="false">
      <c r="A29" s="127"/>
      <c r="B29" s="127"/>
      <c r="C29" s="127"/>
      <c r="D29" s="127"/>
      <c r="E29" s="127"/>
      <c r="F29" s="127"/>
      <c r="G29" s="127"/>
      <c r="H29" s="127"/>
      <c r="I29" s="127"/>
      <c r="J29" s="127"/>
      <c r="K29" s="127"/>
      <c r="L29" s="127"/>
      <c r="M29" s="127"/>
      <c r="N29" s="127"/>
      <c r="O29" s="127"/>
      <c r="P29" s="127"/>
      <c r="Q29" s="127"/>
      <c r="R29" s="127"/>
      <c r="S29" s="127"/>
      <c r="T29" s="127"/>
      <c r="U29" s="127"/>
      <c r="V29" s="127"/>
      <c r="W29" s="127"/>
      <c r="X29" s="127"/>
      <c r="Y29" s="127"/>
      <c r="Z29" s="127"/>
    </row>
    <row r="30" customFormat="false" ht="15.75" hidden="false" customHeight="false" outlineLevel="0" collapsed="false">
      <c r="A30" s="127"/>
      <c r="B30" s="127"/>
      <c r="C30" s="127"/>
      <c r="D30" s="127"/>
      <c r="E30" s="127"/>
      <c r="F30" s="127"/>
      <c r="G30" s="127"/>
      <c r="H30" s="127"/>
      <c r="I30" s="127"/>
      <c r="J30" s="127"/>
      <c r="K30" s="127"/>
      <c r="L30" s="127"/>
      <c r="M30" s="127"/>
      <c r="N30" s="127"/>
      <c r="O30" s="127"/>
      <c r="P30" s="127"/>
      <c r="Q30" s="127"/>
      <c r="R30" s="127"/>
      <c r="S30" s="127"/>
      <c r="T30" s="127"/>
      <c r="U30" s="127"/>
      <c r="V30" s="127"/>
      <c r="W30" s="127"/>
      <c r="X30" s="127"/>
      <c r="Y30" s="127"/>
      <c r="Z30" s="127"/>
    </row>
    <row r="31" customFormat="false" ht="15.75" hidden="false" customHeight="false" outlineLevel="0" collapsed="false">
      <c r="A31" s="127"/>
      <c r="B31" s="127"/>
      <c r="C31" s="127"/>
      <c r="D31" s="127"/>
      <c r="E31" s="127"/>
      <c r="F31" s="127"/>
      <c r="G31" s="127"/>
      <c r="H31" s="127"/>
      <c r="I31" s="127"/>
      <c r="J31" s="127"/>
      <c r="K31" s="127"/>
      <c r="L31" s="127"/>
      <c r="M31" s="127"/>
      <c r="N31" s="127"/>
      <c r="O31" s="127"/>
      <c r="P31" s="127"/>
      <c r="Q31" s="127"/>
      <c r="R31" s="127"/>
      <c r="S31" s="127"/>
      <c r="T31" s="127"/>
      <c r="U31" s="127"/>
      <c r="V31" s="127"/>
      <c r="W31" s="127"/>
      <c r="X31" s="127"/>
      <c r="Y31" s="127"/>
      <c r="Z31" s="127"/>
    </row>
    <row r="32" customFormat="false" ht="15.75" hidden="false" customHeight="false" outlineLevel="0" collapsed="false">
      <c r="A32" s="127"/>
      <c r="B32" s="127"/>
      <c r="C32" s="127"/>
      <c r="D32" s="127"/>
      <c r="E32" s="127"/>
      <c r="F32" s="127"/>
      <c r="G32" s="127"/>
      <c r="H32" s="127"/>
      <c r="I32" s="127"/>
      <c r="J32" s="127"/>
      <c r="K32" s="127"/>
      <c r="L32" s="127"/>
      <c r="M32" s="127"/>
      <c r="N32" s="127"/>
      <c r="O32" s="127"/>
      <c r="P32" s="127"/>
      <c r="Q32" s="127"/>
      <c r="R32" s="127"/>
      <c r="S32" s="127"/>
      <c r="T32" s="127"/>
      <c r="U32" s="127"/>
      <c r="V32" s="127"/>
      <c r="W32" s="127"/>
      <c r="X32" s="127"/>
      <c r="Y32" s="127"/>
      <c r="Z32" s="127"/>
    </row>
    <row r="33" customFormat="false" ht="15.75" hidden="false" customHeight="false" outlineLevel="0" collapsed="false">
      <c r="A33" s="127"/>
      <c r="B33" s="127"/>
      <c r="C33" s="127"/>
      <c r="D33" s="127"/>
      <c r="E33" s="127"/>
      <c r="F33" s="127"/>
      <c r="G33" s="127"/>
      <c r="H33" s="127"/>
      <c r="I33" s="127"/>
      <c r="J33" s="127"/>
      <c r="K33" s="127"/>
      <c r="L33" s="127"/>
      <c r="M33" s="127"/>
      <c r="N33" s="127"/>
      <c r="O33" s="127"/>
      <c r="P33" s="127"/>
      <c r="Q33" s="127"/>
      <c r="R33" s="127"/>
      <c r="S33" s="127"/>
      <c r="T33" s="127"/>
      <c r="U33" s="127"/>
      <c r="V33" s="127"/>
      <c r="W33" s="127"/>
      <c r="X33" s="127"/>
      <c r="Y33" s="127"/>
      <c r="Z33" s="127"/>
    </row>
    <row r="34" customFormat="false" ht="15.75" hidden="false" customHeight="false" outlineLevel="0" collapsed="false">
      <c r="A34" s="127"/>
      <c r="B34" s="127"/>
      <c r="C34" s="127"/>
      <c r="D34" s="127"/>
      <c r="E34" s="127"/>
      <c r="F34" s="127"/>
      <c r="G34" s="127"/>
      <c r="H34" s="127"/>
      <c r="I34" s="127"/>
      <c r="J34" s="127"/>
      <c r="K34" s="127"/>
      <c r="L34" s="127"/>
      <c r="M34" s="127"/>
      <c r="N34" s="127"/>
      <c r="O34" s="127"/>
      <c r="P34" s="127"/>
      <c r="Q34" s="127"/>
      <c r="R34" s="127"/>
      <c r="S34" s="127"/>
      <c r="T34" s="127"/>
      <c r="U34" s="127"/>
      <c r="V34" s="127"/>
      <c r="W34" s="127"/>
      <c r="X34" s="127"/>
      <c r="Y34" s="127"/>
      <c r="Z34" s="127"/>
    </row>
    <row r="35" customFormat="false" ht="15.75" hidden="false" customHeight="false" outlineLevel="0" collapsed="false">
      <c r="A35" s="127"/>
      <c r="B35" s="127"/>
      <c r="C35" s="127"/>
      <c r="D35" s="127"/>
      <c r="E35" s="127"/>
      <c r="F35" s="127"/>
      <c r="G35" s="127"/>
      <c r="H35" s="127"/>
      <c r="I35" s="127"/>
      <c r="J35" s="127"/>
      <c r="K35" s="127"/>
      <c r="L35" s="127"/>
      <c r="M35" s="127"/>
      <c r="N35" s="127"/>
      <c r="O35" s="127"/>
      <c r="P35" s="127"/>
      <c r="Q35" s="127"/>
      <c r="R35" s="127"/>
      <c r="S35" s="127"/>
      <c r="T35" s="127"/>
      <c r="U35" s="127"/>
      <c r="V35" s="127"/>
      <c r="W35" s="127"/>
      <c r="X35" s="127"/>
      <c r="Y35" s="127"/>
      <c r="Z35" s="127"/>
    </row>
    <row r="36" customFormat="false" ht="15.75" hidden="false" customHeight="false" outlineLevel="0" collapsed="false">
      <c r="A36" s="127"/>
      <c r="B36" s="127"/>
      <c r="C36" s="127"/>
      <c r="D36" s="127"/>
      <c r="E36" s="127"/>
      <c r="F36" s="127"/>
      <c r="G36" s="127"/>
      <c r="H36" s="127"/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</row>
    <row r="37" customFormat="false" ht="15.75" hidden="false" customHeight="false" outlineLevel="0" collapsed="false">
      <c r="A37" s="127"/>
      <c r="B37" s="127"/>
      <c r="C37" s="127"/>
      <c r="D37" s="127"/>
      <c r="E37" s="127"/>
      <c r="F37" s="127"/>
      <c r="G37" s="127"/>
      <c r="H37" s="127"/>
      <c r="I37" s="127"/>
      <c r="J37" s="127"/>
      <c r="K37" s="127"/>
      <c r="L37" s="127"/>
      <c r="M37" s="127"/>
      <c r="N37" s="127"/>
      <c r="O37" s="127"/>
      <c r="P37" s="127"/>
      <c r="Q37" s="127"/>
      <c r="R37" s="127"/>
      <c r="S37" s="127"/>
      <c r="T37" s="127"/>
      <c r="U37" s="127"/>
      <c r="V37" s="127"/>
      <c r="W37" s="127"/>
      <c r="X37" s="127"/>
      <c r="Y37" s="127"/>
      <c r="Z37" s="127"/>
    </row>
    <row r="38" customFormat="false" ht="15.75" hidden="false" customHeight="false" outlineLevel="0" collapsed="false">
      <c r="A38" s="127"/>
      <c r="B38" s="127"/>
      <c r="C38" s="127"/>
      <c r="D38" s="127"/>
      <c r="E38" s="127"/>
      <c r="F38" s="127"/>
      <c r="G38" s="127"/>
      <c r="H38" s="127"/>
      <c r="I38" s="127"/>
      <c r="J38" s="127"/>
      <c r="K38" s="127"/>
      <c r="L38" s="127"/>
      <c r="M38" s="127"/>
      <c r="N38" s="127"/>
      <c r="O38" s="127"/>
      <c r="P38" s="127"/>
      <c r="Q38" s="127"/>
      <c r="R38" s="127"/>
      <c r="S38" s="127"/>
      <c r="T38" s="127"/>
      <c r="U38" s="127"/>
      <c r="V38" s="127"/>
      <c r="W38" s="127"/>
      <c r="X38" s="127"/>
      <c r="Y38" s="127"/>
      <c r="Z38" s="127"/>
    </row>
    <row r="39" customFormat="false" ht="15.75" hidden="false" customHeight="false" outlineLevel="0" collapsed="false">
      <c r="A39" s="127"/>
      <c r="B39" s="127"/>
      <c r="C39" s="127"/>
      <c r="D39" s="127"/>
      <c r="E39" s="127"/>
      <c r="F39" s="127"/>
      <c r="G39" s="127"/>
      <c r="H39" s="127"/>
      <c r="I39" s="127"/>
      <c r="J39" s="127"/>
      <c r="K39" s="127"/>
      <c r="L39" s="127"/>
      <c r="M39" s="127"/>
      <c r="N39" s="127"/>
      <c r="O39" s="127"/>
      <c r="P39" s="127"/>
      <c r="Q39" s="127"/>
      <c r="R39" s="127"/>
      <c r="S39" s="127"/>
      <c r="T39" s="127"/>
      <c r="U39" s="127"/>
      <c r="V39" s="127"/>
      <c r="W39" s="127"/>
      <c r="X39" s="127"/>
      <c r="Y39" s="127"/>
      <c r="Z39" s="127"/>
    </row>
    <row r="40" customFormat="false" ht="15.75" hidden="false" customHeight="false" outlineLevel="0" collapsed="false">
      <c r="A40" s="127"/>
      <c r="B40" s="127"/>
      <c r="C40" s="127"/>
      <c r="D40" s="127"/>
      <c r="E40" s="127"/>
      <c r="F40" s="127"/>
      <c r="G40" s="127"/>
      <c r="H40" s="127"/>
      <c r="I40" s="127"/>
      <c r="J40" s="127"/>
      <c r="K40" s="127"/>
      <c r="L40" s="127"/>
      <c r="M40" s="127"/>
      <c r="N40" s="127"/>
      <c r="O40" s="127"/>
      <c r="P40" s="127"/>
      <c r="Q40" s="127"/>
      <c r="R40" s="127"/>
      <c r="S40" s="127"/>
      <c r="T40" s="127"/>
      <c r="U40" s="127"/>
      <c r="V40" s="127"/>
      <c r="W40" s="127"/>
      <c r="X40" s="127"/>
      <c r="Y40" s="127"/>
      <c r="Z40" s="127"/>
    </row>
    <row r="41" customFormat="false" ht="15.75" hidden="false" customHeight="false" outlineLevel="0" collapsed="false">
      <c r="A41" s="127"/>
      <c r="B41" s="127"/>
      <c r="C41" s="127"/>
      <c r="D41" s="127"/>
      <c r="E41" s="127"/>
      <c r="F41" s="127"/>
      <c r="G41" s="127"/>
      <c r="H41" s="127"/>
      <c r="I41" s="127"/>
      <c r="J41" s="127"/>
      <c r="K41" s="127"/>
      <c r="L41" s="127"/>
      <c r="M41" s="127"/>
      <c r="N41" s="127"/>
      <c r="O41" s="127"/>
      <c r="P41" s="127"/>
      <c r="Q41" s="127"/>
      <c r="R41" s="127"/>
      <c r="S41" s="127"/>
      <c r="T41" s="127"/>
      <c r="U41" s="127"/>
      <c r="V41" s="127"/>
      <c r="W41" s="127"/>
      <c r="X41" s="127"/>
      <c r="Y41" s="127"/>
      <c r="Z41" s="127"/>
    </row>
    <row r="42" customFormat="false" ht="15.75" hidden="false" customHeight="false" outlineLevel="0" collapsed="false">
      <c r="A42" s="127"/>
      <c r="B42" s="127"/>
      <c r="C42" s="127"/>
      <c r="D42" s="127"/>
      <c r="E42" s="127"/>
      <c r="F42" s="127"/>
      <c r="G42" s="127"/>
      <c r="H42" s="127"/>
      <c r="I42" s="127"/>
      <c r="J42" s="127"/>
      <c r="K42" s="127"/>
      <c r="L42" s="127"/>
      <c r="M42" s="127"/>
      <c r="N42" s="127"/>
      <c r="O42" s="127"/>
      <c r="P42" s="127"/>
      <c r="Q42" s="127"/>
      <c r="R42" s="127"/>
      <c r="S42" s="127"/>
      <c r="T42" s="127"/>
      <c r="U42" s="127"/>
      <c r="V42" s="127"/>
      <c r="W42" s="127"/>
      <c r="X42" s="127"/>
      <c r="Y42" s="127"/>
      <c r="Z42" s="127"/>
    </row>
    <row r="43" customFormat="false" ht="15.75" hidden="false" customHeight="false" outlineLevel="0" collapsed="false">
      <c r="A43" s="127"/>
      <c r="B43" s="127"/>
      <c r="C43" s="127"/>
      <c r="D43" s="127"/>
      <c r="E43" s="127"/>
      <c r="F43" s="127"/>
      <c r="G43" s="127"/>
      <c r="H43" s="127"/>
      <c r="I43" s="127"/>
      <c r="J43" s="127"/>
      <c r="K43" s="127"/>
      <c r="L43" s="127"/>
      <c r="M43" s="127"/>
      <c r="N43" s="127"/>
      <c r="O43" s="127"/>
      <c r="P43" s="127"/>
      <c r="Q43" s="127"/>
      <c r="R43" s="127"/>
      <c r="S43" s="127"/>
      <c r="T43" s="127"/>
      <c r="U43" s="127"/>
      <c r="V43" s="127"/>
      <c r="W43" s="127"/>
      <c r="X43" s="127"/>
      <c r="Y43" s="127"/>
      <c r="Z43" s="127"/>
    </row>
    <row r="44" customFormat="false" ht="15.75" hidden="false" customHeight="false" outlineLevel="0" collapsed="false">
      <c r="A44" s="127"/>
      <c r="B44" s="127"/>
      <c r="C44" s="127"/>
      <c r="D44" s="127"/>
      <c r="E44" s="127"/>
      <c r="F44" s="127"/>
      <c r="G44" s="127"/>
      <c r="H44" s="127"/>
      <c r="I44" s="127"/>
      <c r="J44" s="127"/>
      <c r="K44" s="127"/>
      <c r="L44" s="127"/>
      <c r="M44" s="127"/>
      <c r="N44" s="127"/>
      <c r="O44" s="127"/>
      <c r="P44" s="127"/>
      <c r="Q44" s="127"/>
      <c r="R44" s="127"/>
      <c r="S44" s="127"/>
      <c r="T44" s="127"/>
      <c r="U44" s="127"/>
      <c r="V44" s="127"/>
      <c r="W44" s="127"/>
      <c r="X44" s="127"/>
      <c r="Y44" s="127"/>
      <c r="Z44" s="127"/>
    </row>
    <row r="45" customFormat="false" ht="15.75" hidden="false" customHeight="false" outlineLevel="0" collapsed="false">
      <c r="A45" s="127"/>
      <c r="B45" s="127"/>
      <c r="C45" s="127"/>
      <c r="D45" s="127"/>
      <c r="E45" s="127"/>
      <c r="F45" s="127"/>
      <c r="G45" s="127"/>
      <c r="H45" s="127"/>
      <c r="I45" s="127"/>
      <c r="J45" s="127"/>
      <c r="K45" s="127"/>
      <c r="L45" s="127"/>
      <c r="M45" s="127"/>
      <c r="N45" s="127"/>
      <c r="O45" s="127"/>
      <c r="P45" s="127"/>
      <c r="Q45" s="127"/>
      <c r="R45" s="127"/>
      <c r="S45" s="127"/>
      <c r="T45" s="127"/>
      <c r="U45" s="127"/>
      <c r="V45" s="127"/>
      <c r="W45" s="127"/>
      <c r="X45" s="127"/>
      <c r="Y45" s="127"/>
      <c r="Z45" s="127"/>
    </row>
    <row r="46" customFormat="false" ht="15.75" hidden="false" customHeight="false" outlineLevel="0" collapsed="false">
      <c r="A46" s="127"/>
      <c r="B46" s="127"/>
      <c r="C46" s="127"/>
      <c r="D46" s="127"/>
      <c r="E46" s="127"/>
      <c r="F46" s="127"/>
      <c r="G46" s="127"/>
      <c r="H46" s="127"/>
      <c r="I46" s="127"/>
      <c r="J46" s="127"/>
      <c r="K46" s="127"/>
      <c r="L46" s="127"/>
      <c r="M46" s="127"/>
      <c r="N46" s="127"/>
      <c r="O46" s="127"/>
      <c r="P46" s="127"/>
      <c r="Q46" s="127"/>
      <c r="R46" s="127"/>
      <c r="S46" s="127"/>
      <c r="T46" s="127"/>
      <c r="U46" s="127"/>
      <c r="V46" s="127"/>
      <c r="W46" s="127"/>
      <c r="X46" s="127"/>
      <c r="Y46" s="127"/>
      <c r="Z46" s="127"/>
    </row>
    <row r="47" customFormat="false" ht="15.75" hidden="false" customHeight="false" outlineLevel="0" collapsed="false">
      <c r="A47" s="127"/>
      <c r="B47" s="127"/>
      <c r="C47" s="127"/>
      <c r="D47" s="127"/>
      <c r="E47" s="127"/>
      <c r="F47" s="127"/>
      <c r="G47" s="127"/>
      <c r="H47" s="127"/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</row>
    <row r="48" customFormat="false" ht="15.75" hidden="false" customHeight="false" outlineLevel="0" collapsed="false">
      <c r="A48" s="127"/>
      <c r="B48" s="127"/>
      <c r="C48" s="127"/>
      <c r="D48" s="127"/>
      <c r="E48" s="127"/>
      <c r="F48" s="127"/>
      <c r="G48" s="127"/>
      <c r="H48" s="127"/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</row>
    <row r="49" customFormat="false" ht="15.75" hidden="false" customHeight="false" outlineLevel="0" collapsed="false">
      <c r="A49" s="127"/>
      <c r="B49" s="127"/>
      <c r="C49" s="127"/>
      <c r="D49" s="127"/>
      <c r="E49" s="127"/>
      <c r="F49" s="127"/>
      <c r="G49" s="127"/>
      <c r="H49" s="127"/>
      <c r="I49" s="127"/>
      <c r="J49" s="127"/>
      <c r="K49" s="127"/>
      <c r="L49" s="127"/>
      <c r="M49" s="127"/>
      <c r="N49" s="127"/>
      <c r="O49" s="127"/>
      <c r="P49" s="127"/>
      <c r="Q49" s="127"/>
      <c r="R49" s="127"/>
      <c r="S49" s="127"/>
      <c r="T49" s="127"/>
      <c r="U49" s="127"/>
      <c r="V49" s="127"/>
      <c r="W49" s="127"/>
      <c r="X49" s="127"/>
      <c r="Y49" s="127"/>
      <c r="Z49" s="127"/>
    </row>
    <row r="50" customFormat="false" ht="15.75" hidden="false" customHeight="false" outlineLevel="0" collapsed="false">
      <c r="A50" s="127"/>
      <c r="B50" s="127"/>
      <c r="C50" s="127"/>
      <c r="D50" s="127"/>
      <c r="E50" s="127"/>
      <c r="F50" s="127"/>
      <c r="G50" s="127"/>
      <c r="H50" s="127"/>
      <c r="I50" s="127"/>
      <c r="J50" s="127"/>
      <c r="K50" s="127"/>
      <c r="L50" s="127"/>
      <c r="M50" s="127"/>
      <c r="N50" s="127"/>
      <c r="O50" s="127"/>
      <c r="P50" s="127"/>
      <c r="Q50" s="127"/>
      <c r="R50" s="127"/>
      <c r="S50" s="127"/>
      <c r="T50" s="127"/>
      <c r="U50" s="127"/>
      <c r="V50" s="127"/>
      <c r="W50" s="127"/>
      <c r="X50" s="127"/>
      <c r="Y50" s="127"/>
      <c r="Z50" s="127"/>
    </row>
    <row r="51" customFormat="false" ht="15.75" hidden="false" customHeight="false" outlineLevel="0" collapsed="false">
      <c r="A51" s="127"/>
      <c r="B51" s="127"/>
      <c r="C51" s="127"/>
      <c r="D51" s="127"/>
      <c r="E51" s="127"/>
      <c r="F51" s="127"/>
      <c r="G51" s="127"/>
      <c r="H51" s="127"/>
      <c r="I51" s="127"/>
      <c r="J51" s="127"/>
      <c r="K51" s="127"/>
      <c r="L51" s="127"/>
      <c r="M51" s="127"/>
      <c r="N51" s="127"/>
      <c r="O51" s="127"/>
      <c r="P51" s="127"/>
      <c r="Q51" s="127"/>
      <c r="R51" s="127"/>
      <c r="S51" s="127"/>
      <c r="T51" s="127"/>
      <c r="U51" s="127"/>
      <c r="V51" s="127"/>
      <c r="W51" s="127"/>
      <c r="X51" s="127"/>
      <c r="Y51" s="127"/>
      <c r="Z51" s="127"/>
    </row>
    <row r="52" customFormat="false" ht="15.75" hidden="false" customHeight="false" outlineLevel="0" collapsed="false">
      <c r="A52" s="127"/>
      <c r="B52" s="127"/>
      <c r="C52" s="127"/>
      <c r="D52" s="127"/>
      <c r="E52" s="127"/>
      <c r="F52" s="127"/>
      <c r="G52" s="127"/>
      <c r="H52" s="127"/>
      <c r="I52" s="127"/>
      <c r="J52" s="127"/>
      <c r="K52" s="127"/>
      <c r="L52" s="127"/>
      <c r="M52" s="127"/>
      <c r="N52" s="127"/>
      <c r="O52" s="127"/>
      <c r="P52" s="127"/>
      <c r="Q52" s="127"/>
      <c r="R52" s="127"/>
      <c r="S52" s="127"/>
      <c r="T52" s="127"/>
      <c r="U52" s="127"/>
      <c r="V52" s="127"/>
      <c r="W52" s="127"/>
      <c r="X52" s="127"/>
      <c r="Y52" s="127"/>
      <c r="Z52" s="127"/>
    </row>
    <row r="53" customFormat="false" ht="15.75" hidden="false" customHeight="false" outlineLevel="0" collapsed="false">
      <c r="A53" s="127"/>
      <c r="B53" s="127"/>
      <c r="C53" s="127"/>
      <c r="D53" s="127"/>
      <c r="E53" s="127"/>
      <c r="F53" s="127"/>
      <c r="G53" s="127"/>
      <c r="H53" s="127"/>
      <c r="I53" s="127"/>
      <c r="J53" s="127"/>
      <c r="K53" s="127"/>
      <c r="L53" s="127"/>
      <c r="M53" s="127"/>
      <c r="N53" s="127"/>
      <c r="O53" s="127"/>
      <c r="P53" s="127"/>
      <c r="Q53" s="127"/>
      <c r="R53" s="127"/>
      <c r="S53" s="127"/>
      <c r="T53" s="127"/>
      <c r="U53" s="127"/>
      <c r="V53" s="127"/>
      <c r="W53" s="127"/>
      <c r="X53" s="127"/>
      <c r="Y53" s="127"/>
      <c r="Z53" s="127"/>
    </row>
    <row r="54" customFormat="false" ht="15.75" hidden="false" customHeight="false" outlineLevel="0" collapsed="false">
      <c r="A54" s="127"/>
      <c r="B54" s="127"/>
      <c r="C54" s="127"/>
      <c r="D54" s="127"/>
      <c r="E54" s="127"/>
      <c r="F54" s="127"/>
      <c r="G54" s="127"/>
      <c r="H54" s="127"/>
      <c r="I54" s="127"/>
      <c r="J54" s="127"/>
      <c r="K54" s="127"/>
      <c r="L54" s="127"/>
      <c r="M54" s="127"/>
      <c r="N54" s="127"/>
      <c r="O54" s="127"/>
      <c r="P54" s="127"/>
      <c r="Q54" s="127"/>
      <c r="R54" s="127"/>
      <c r="S54" s="127"/>
      <c r="T54" s="127"/>
      <c r="U54" s="127"/>
      <c r="V54" s="127"/>
      <c r="W54" s="127"/>
      <c r="X54" s="127"/>
      <c r="Y54" s="127"/>
      <c r="Z54" s="127"/>
    </row>
    <row r="55" customFormat="false" ht="15.75" hidden="false" customHeight="false" outlineLevel="0" collapsed="false">
      <c r="A55" s="127"/>
      <c r="B55" s="127"/>
      <c r="C55" s="127"/>
      <c r="D55" s="127"/>
      <c r="E55" s="127"/>
      <c r="F55" s="127"/>
      <c r="G55" s="127"/>
      <c r="H55" s="127"/>
      <c r="I55" s="127"/>
      <c r="J55" s="127"/>
      <c r="K55" s="127"/>
      <c r="L55" s="127"/>
      <c r="M55" s="127"/>
      <c r="N55" s="127"/>
      <c r="O55" s="127"/>
      <c r="P55" s="127"/>
      <c r="Q55" s="127"/>
      <c r="R55" s="127"/>
      <c r="S55" s="127"/>
      <c r="T55" s="127"/>
      <c r="U55" s="127"/>
      <c r="V55" s="127"/>
      <c r="W55" s="127"/>
      <c r="X55" s="127"/>
      <c r="Y55" s="127"/>
      <c r="Z55" s="127"/>
    </row>
    <row r="56" customFormat="false" ht="15.75" hidden="false" customHeight="false" outlineLevel="0" collapsed="false">
      <c r="A56" s="127"/>
      <c r="B56" s="127"/>
      <c r="C56" s="127"/>
      <c r="D56" s="127"/>
      <c r="E56" s="127"/>
      <c r="F56" s="127"/>
      <c r="G56" s="127"/>
      <c r="H56" s="127"/>
      <c r="I56" s="127"/>
      <c r="J56" s="127"/>
      <c r="K56" s="127"/>
      <c r="L56" s="127"/>
      <c r="M56" s="127"/>
      <c r="N56" s="127"/>
      <c r="O56" s="127"/>
      <c r="P56" s="127"/>
      <c r="Q56" s="127"/>
      <c r="R56" s="127"/>
      <c r="S56" s="127"/>
      <c r="T56" s="127"/>
      <c r="U56" s="127"/>
      <c r="V56" s="127"/>
      <c r="W56" s="127"/>
      <c r="X56" s="127"/>
      <c r="Y56" s="127"/>
      <c r="Z56" s="127"/>
    </row>
    <row r="57" customFormat="false" ht="15.75" hidden="false" customHeight="false" outlineLevel="0" collapsed="false">
      <c r="A57" s="127"/>
      <c r="B57" s="127"/>
      <c r="C57" s="127"/>
      <c r="D57" s="127"/>
      <c r="E57" s="127"/>
      <c r="F57" s="127"/>
      <c r="G57" s="127"/>
      <c r="H57" s="127"/>
      <c r="I57" s="127"/>
      <c r="J57" s="127"/>
      <c r="K57" s="127"/>
      <c r="L57" s="127"/>
      <c r="M57" s="127"/>
      <c r="N57" s="127"/>
      <c r="O57" s="127"/>
      <c r="P57" s="127"/>
      <c r="Q57" s="127"/>
      <c r="R57" s="127"/>
      <c r="S57" s="127"/>
      <c r="T57" s="127"/>
      <c r="U57" s="127"/>
      <c r="V57" s="127"/>
      <c r="W57" s="127"/>
      <c r="X57" s="127"/>
      <c r="Y57" s="127"/>
      <c r="Z57" s="127"/>
    </row>
    <row r="58" customFormat="false" ht="15.75" hidden="false" customHeight="false" outlineLevel="0" collapsed="false">
      <c r="A58" s="127"/>
      <c r="B58" s="127"/>
      <c r="C58" s="127"/>
      <c r="D58" s="127"/>
      <c r="E58" s="127"/>
      <c r="F58" s="127"/>
      <c r="G58" s="127"/>
      <c r="H58" s="127"/>
      <c r="I58" s="127"/>
      <c r="J58" s="127"/>
      <c r="K58" s="127"/>
      <c r="L58" s="127"/>
      <c r="M58" s="127"/>
      <c r="N58" s="127"/>
      <c r="O58" s="127"/>
      <c r="P58" s="127"/>
      <c r="Q58" s="127"/>
      <c r="R58" s="127"/>
      <c r="S58" s="127"/>
      <c r="T58" s="127"/>
      <c r="U58" s="127"/>
      <c r="V58" s="127"/>
      <c r="W58" s="127"/>
      <c r="X58" s="127"/>
      <c r="Y58" s="127"/>
      <c r="Z58" s="127"/>
    </row>
    <row r="59" customFormat="false" ht="15.75" hidden="false" customHeight="false" outlineLevel="0" collapsed="false">
      <c r="A59" s="127"/>
      <c r="B59" s="127"/>
      <c r="C59" s="127"/>
      <c r="D59" s="127"/>
      <c r="E59" s="127"/>
      <c r="F59" s="127"/>
      <c r="G59" s="127"/>
      <c r="H59" s="127"/>
      <c r="I59" s="127"/>
      <c r="J59" s="127"/>
      <c r="K59" s="127"/>
      <c r="L59" s="127"/>
      <c r="M59" s="127"/>
      <c r="N59" s="127"/>
      <c r="O59" s="127"/>
      <c r="P59" s="127"/>
      <c r="Q59" s="127"/>
      <c r="R59" s="127"/>
      <c r="S59" s="127"/>
      <c r="T59" s="127"/>
      <c r="U59" s="127"/>
      <c r="V59" s="127"/>
      <c r="W59" s="127"/>
      <c r="X59" s="127"/>
      <c r="Y59" s="127"/>
      <c r="Z59" s="127"/>
    </row>
    <row r="60" customFormat="false" ht="15.75" hidden="false" customHeight="false" outlineLevel="0" collapsed="false">
      <c r="A60" s="127"/>
      <c r="B60" s="127"/>
      <c r="C60" s="127"/>
      <c r="D60" s="127"/>
      <c r="E60" s="127"/>
      <c r="F60" s="127"/>
      <c r="G60" s="127"/>
      <c r="H60" s="127"/>
      <c r="I60" s="127"/>
      <c r="J60" s="127"/>
      <c r="K60" s="127"/>
      <c r="L60" s="127"/>
      <c r="M60" s="127"/>
      <c r="N60" s="127"/>
      <c r="O60" s="127"/>
      <c r="P60" s="127"/>
      <c r="Q60" s="127"/>
      <c r="R60" s="127"/>
      <c r="S60" s="127"/>
      <c r="T60" s="127"/>
      <c r="U60" s="127"/>
      <c r="V60" s="127"/>
      <c r="W60" s="127"/>
      <c r="X60" s="127"/>
      <c r="Y60" s="127"/>
      <c r="Z60" s="127"/>
    </row>
    <row r="61" customFormat="false" ht="15.75" hidden="false" customHeight="false" outlineLevel="0" collapsed="false">
      <c r="A61" s="127"/>
      <c r="B61" s="127"/>
      <c r="C61" s="127"/>
      <c r="D61" s="127"/>
      <c r="E61" s="127"/>
      <c r="F61" s="127"/>
      <c r="G61" s="127"/>
      <c r="H61" s="127"/>
      <c r="I61" s="127"/>
      <c r="J61" s="127"/>
      <c r="K61" s="127"/>
      <c r="L61" s="127"/>
      <c r="M61" s="127"/>
      <c r="N61" s="127"/>
      <c r="O61" s="127"/>
      <c r="P61" s="127"/>
      <c r="Q61" s="127"/>
      <c r="R61" s="127"/>
      <c r="S61" s="127"/>
      <c r="T61" s="127"/>
      <c r="U61" s="127"/>
      <c r="V61" s="127"/>
      <c r="W61" s="127"/>
      <c r="X61" s="127"/>
      <c r="Y61" s="127"/>
      <c r="Z61" s="127"/>
    </row>
    <row r="62" customFormat="false" ht="15.75" hidden="false" customHeight="false" outlineLevel="0" collapsed="false">
      <c r="A62" s="127"/>
      <c r="B62" s="127"/>
      <c r="C62" s="127"/>
      <c r="D62" s="127"/>
      <c r="E62" s="127"/>
      <c r="F62" s="127"/>
      <c r="G62" s="127"/>
      <c r="H62" s="127"/>
      <c r="I62" s="127"/>
      <c r="J62" s="127"/>
      <c r="K62" s="127"/>
      <c r="L62" s="127"/>
      <c r="M62" s="127"/>
      <c r="N62" s="127"/>
      <c r="O62" s="127"/>
      <c r="P62" s="127"/>
      <c r="Q62" s="127"/>
      <c r="R62" s="127"/>
      <c r="S62" s="127"/>
      <c r="T62" s="127"/>
      <c r="U62" s="127"/>
      <c r="V62" s="127"/>
      <c r="W62" s="127"/>
      <c r="X62" s="127"/>
      <c r="Y62" s="127"/>
      <c r="Z62" s="127"/>
    </row>
    <row r="63" customFormat="false" ht="15.75" hidden="false" customHeight="false" outlineLevel="0" collapsed="false">
      <c r="A63" s="127"/>
      <c r="B63" s="127"/>
      <c r="C63" s="127"/>
      <c r="D63" s="127"/>
      <c r="E63" s="127"/>
      <c r="F63" s="127"/>
      <c r="G63" s="127"/>
      <c r="H63" s="127"/>
      <c r="I63" s="127"/>
      <c r="J63" s="127"/>
      <c r="K63" s="127"/>
      <c r="L63" s="127"/>
      <c r="M63" s="127"/>
      <c r="N63" s="127"/>
      <c r="O63" s="127"/>
      <c r="P63" s="127"/>
      <c r="Q63" s="127"/>
      <c r="R63" s="127"/>
      <c r="S63" s="127"/>
      <c r="T63" s="127"/>
      <c r="U63" s="127"/>
      <c r="V63" s="127"/>
      <c r="W63" s="127"/>
      <c r="X63" s="127"/>
      <c r="Y63" s="127"/>
      <c r="Z63" s="127"/>
    </row>
    <row r="64" customFormat="false" ht="15.75" hidden="false" customHeight="false" outlineLevel="0" collapsed="false">
      <c r="A64" s="127"/>
      <c r="B64" s="127"/>
      <c r="C64" s="127"/>
      <c r="D64" s="127"/>
      <c r="E64" s="127"/>
      <c r="F64" s="127"/>
      <c r="G64" s="127"/>
      <c r="H64" s="127"/>
      <c r="I64" s="127"/>
      <c r="J64" s="127"/>
      <c r="K64" s="127"/>
      <c r="L64" s="127"/>
      <c r="M64" s="127"/>
      <c r="N64" s="127"/>
      <c r="O64" s="127"/>
      <c r="P64" s="127"/>
      <c r="Q64" s="127"/>
      <c r="R64" s="127"/>
      <c r="S64" s="127"/>
      <c r="T64" s="127"/>
      <c r="U64" s="127"/>
      <c r="V64" s="127"/>
      <c r="W64" s="127"/>
      <c r="X64" s="127"/>
      <c r="Y64" s="127"/>
      <c r="Z64" s="127"/>
    </row>
    <row r="65" customFormat="false" ht="15.75" hidden="false" customHeight="false" outlineLevel="0" collapsed="false">
      <c r="A65" s="127"/>
      <c r="B65" s="127"/>
      <c r="C65" s="127"/>
      <c r="D65" s="127"/>
      <c r="E65" s="127"/>
      <c r="F65" s="127"/>
      <c r="G65" s="127"/>
      <c r="H65" s="127"/>
      <c r="I65" s="127"/>
      <c r="J65" s="127"/>
      <c r="K65" s="127"/>
      <c r="L65" s="127"/>
      <c r="M65" s="127"/>
      <c r="N65" s="127"/>
      <c r="O65" s="127"/>
      <c r="P65" s="127"/>
      <c r="Q65" s="127"/>
      <c r="R65" s="127"/>
      <c r="S65" s="127"/>
      <c r="T65" s="127"/>
      <c r="U65" s="127"/>
      <c r="V65" s="127"/>
      <c r="W65" s="127"/>
      <c r="X65" s="127"/>
      <c r="Y65" s="127"/>
      <c r="Z65" s="127"/>
    </row>
    <row r="66" customFormat="false" ht="15.75" hidden="false" customHeight="false" outlineLevel="0" collapsed="false">
      <c r="A66" s="127"/>
      <c r="B66" s="127"/>
      <c r="C66" s="127"/>
      <c r="D66" s="127"/>
      <c r="E66" s="127"/>
      <c r="F66" s="127"/>
      <c r="G66" s="127"/>
      <c r="H66" s="127"/>
      <c r="I66" s="127"/>
      <c r="J66" s="127"/>
      <c r="K66" s="127"/>
      <c r="L66" s="127"/>
      <c r="M66" s="127"/>
      <c r="N66" s="127"/>
      <c r="O66" s="127"/>
      <c r="P66" s="127"/>
      <c r="Q66" s="127"/>
      <c r="R66" s="127"/>
      <c r="S66" s="127"/>
      <c r="T66" s="127"/>
      <c r="U66" s="127"/>
      <c r="V66" s="127"/>
      <c r="W66" s="127"/>
      <c r="X66" s="127"/>
      <c r="Y66" s="127"/>
      <c r="Z66" s="127"/>
    </row>
    <row r="67" customFormat="false" ht="15.75" hidden="false" customHeight="false" outlineLevel="0" collapsed="false">
      <c r="A67" s="127"/>
      <c r="B67" s="127"/>
      <c r="C67" s="127"/>
      <c r="D67" s="127"/>
      <c r="E67" s="127"/>
      <c r="F67" s="127"/>
      <c r="G67" s="127"/>
      <c r="H67" s="127"/>
      <c r="I67" s="127"/>
      <c r="J67" s="127"/>
      <c r="K67" s="127"/>
      <c r="L67" s="127"/>
      <c r="M67" s="127"/>
      <c r="N67" s="127"/>
      <c r="O67" s="127"/>
      <c r="P67" s="127"/>
      <c r="Q67" s="127"/>
      <c r="R67" s="127"/>
      <c r="S67" s="127"/>
      <c r="T67" s="127"/>
      <c r="U67" s="127"/>
      <c r="V67" s="127"/>
      <c r="W67" s="127"/>
      <c r="X67" s="127"/>
      <c r="Y67" s="127"/>
      <c r="Z67" s="127"/>
    </row>
    <row r="68" customFormat="false" ht="15.75" hidden="false" customHeight="false" outlineLevel="0" collapsed="false">
      <c r="A68" s="127"/>
      <c r="B68" s="127"/>
      <c r="C68" s="127"/>
      <c r="D68" s="127"/>
      <c r="E68" s="127"/>
      <c r="F68" s="127"/>
      <c r="G68" s="127"/>
      <c r="H68" s="127"/>
      <c r="I68" s="127"/>
      <c r="J68" s="127"/>
      <c r="K68" s="127"/>
      <c r="L68" s="127"/>
      <c r="M68" s="127"/>
      <c r="N68" s="127"/>
      <c r="O68" s="127"/>
      <c r="P68" s="127"/>
      <c r="Q68" s="127"/>
      <c r="R68" s="127"/>
      <c r="S68" s="127"/>
      <c r="T68" s="127"/>
      <c r="U68" s="127"/>
      <c r="V68" s="127"/>
      <c r="W68" s="127"/>
      <c r="X68" s="127"/>
      <c r="Y68" s="127"/>
      <c r="Z68" s="127"/>
    </row>
    <row r="69" customFormat="false" ht="15.75" hidden="false" customHeight="false" outlineLevel="0" collapsed="false">
      <c r="A69" s="127"/>
      <c r="B69" s="127"/>
      <c r="C69" s="127"/>
      <c r="D69" s="127"/>
      <c r="E69" s="127"/>
      <c r="F69" s="127"/>
      <c r="G69" s="127"/>
      <c r="H69" s="127"/>
      <c r="I69" s="127"/>
      <c r="J69" s="127"/>
      <c r="K69" s="127"/>
      <c r="L69" s="127"/>
      <c r="M69" s="127"/>
      <c r="N69" s="127"/>
      <c r="O69" s="127"/>
      <c r="P69" s="127"/>
      <c r="Q69" s="127"/>
      <c r="R69" s="127"/>
      <c r="S69" s="127"/>
      <c r="T69" s="127"/>
      <c r="U69" s="127"/>
      <c r="V69" s="127"/>
      <c r="W69" s="127"/>
      <c r="X69" s="127"/>
      <c r="Y69" s="127"/>
      <c r="Z69" s="127"/>
    </row>
    <row r="70" customFormat="false" ht="15.75" hidden="false" customHeight="false" outlineLevel="0" collapsed="false">
      <c r="A70" s="127"/>
      <c r="B70" s="127"/>
      <c r="C70" s="127"/>
      <c r="D70" s="127"/>
      <c r="E70" s="127"/>
      <c r="F70" s="127"/>
      <c r="G70" s="127"/>
      <c r="H70" s="127"/>
      <c r="I70" s="127"/>
      <c r="J70" s="127"/>
      <c r="K70" s="127"/>
      <c r="L70" s="127"/>
      <c r="M70" s="127"/>
      <c r="N70" s="127"/>
      <c r="O70" s="127"/>
      <c r="P70" s="127"/>
      <c r="Q70" s="127"/>
      <c r="R70" s="127"/>
      <c r="S70" s="127"/>
      <c r="T70" s="127"/>
      <c r="U70" s="127"/>
      <c r="V70" s="127"/>
      <c r="W70" s="127"/>
      <c r="X70" s="127"/>
      <c r="Y70" s="127"/>
      <c r="Z70" s="127"/>
    </row>
    <row r="71" customFormat="false" ht="15.75" hidden="false" customHeight="false" outlineLevel="0" collapsed="false">
      <c r="A71" s="127"/>
      <c r="B71" s="127"/>
      <c r="C71" s="127"/>
      <c r="D71" s="127"/>
      <c r="E71" s="127"/>
      <c r="F71" s="127"/>
      <c r="G71" s="127"/>
      <c r="H71" s="127"/>
      <c r="I71" s="127"/>
      <c r="J71" s="127"/>
      <c r="K71" s="127"/>
      <c r="L71" s="127"/>
      <c r="M71" s="127"/>
      <c r="N71" s="127"/>
      <c r="O71" s="127"/>
      <c r="P71" s="127"/>
      <c r="Q71" s="127"/>
      <c r="R71" s="127"/>
      <c r="S71" s="127"/>
      <c r="T71" s="127"/>
      <c r="U71" s="127"/>
      <c r="V71" s="127"/>
      <c r="W71" s="127"/>
      <c r="X71" s="127"/>
      <c r="Y71" s="127"/>
      <c r="Z71" s="127"/>
    </row>
    <row r="72" customFormat="false" ht="15.75" hidden="false" customHeight="false" outlineLevel="0" collapsed="false">
      <c r="A72" s="127"/>
      <c r="B72" s="127"/>
      <c r="C72" s="127"/>
      <c r="D72" s="127"/>
      <c r="E72" s="127"/>
      <c r="F72" s="127"/>
      <c r="G72" s="127"/>
      <c r="H72" s="127"/>
      <c r="I72" s="127"/>
      <c r="J72" s="127"/>
      <c r="K72" s="127"/>
      <c r="L72" s="127"/>
      <c r="M72" s="127"/>
      <c r="N72" s="127"/>
      <c r="O72" s="127"/>
      <c r="P72" s="127"/>
      <c r="Q72" s="127"/>
      <c r="R72" s="127"/>
      <c r="S72" s="127"/>
      <c r="T72" s="127"/>
      <c r="U72" s="127"/>
      <c r="V72" s="127"/>
      <c r="W72" s="127"/>
      <c r="X72" s="127"/>
      <c r="Y72" s="127"/>
      <c r="Z72" s="127"/>
    </row>
    <row r="73" customFormat="false" ht="15.75" hidden="false" customHeight="false" outlineLevel="0" collapsed="false">
      <c r="A73" s="127"/>
      <c r="B73" s="127"/>
      <c r="C73" s="127"/>
      <c r="D73" s="127"/>
      <c r="E73" s="127"/>
      <c r="F73" s="127"/>
      <c r="G73" s="127"/>
      <c r="H73" s="127"/>
      <c r="I73" s="127"/>
      <c r="J73" s="127"/>
      <c r="K73" s="127"/>
      <c r="L73" s="127"/>
      <c r="M73" s="127"/>
      <c r="N73" s="127"/>
      <c r="O73" s="127"/>
      <c r="P73" s="127"/>
      <c r="Q73" s="127"/>
      <c r="R73" s="127"/>
      <c r="S73" s="127"/>
      <c r="T73" s="127"/>
      <c r="U73" s="127"/>
      <c r="V73" s="127"/>
      <c r="W73" s="127"/>
      <c r="X73" s="127"/>
      <c r="Y73" s="127"/>
      <c r="Z73" s="127"/>
    </row>
    <row r="74" customFormat="false" ht="15.75" hidden="false" customHeight="false" outlineLevel="0" collapsed="false">
      <c r="A74" s="127"/>
      <c r="B74" s="127"/>
      <c r="C74" s="127"/>
      <c r="D74" s="127"/>
      <c r="E74" s="127"/>
      <c r="F74" s="127"/>
      <c r="G74" s="127"/>
      <c r="H74" s="127"/>
      <c r="I74" s="127"/>
      <c r="J74" s="127"/>
      <c r="K74" s="127"/>
      <c r="L74" s="127"/>
      <c r="M74" s="127"/>
      <c r="N74" s="127"/>
      <c r="O74" s="127"/>
      <c r="P74" s="127"/>
      <c r="Q74" s="127"/>
      <c r="R74" s="127"/>
      <c r="S74" s="127"/>
      <c r="T74" s="127"/>
      <c r="U74" s="127"/>
      <c r="V74" s="127"/>
      <c r="W74" s="127"/>
      <c r="X74" s="127"/>
      <c r="Y74" s="127"/>
      <c r="Z74" s="127"/>
    </row>
    <row r="75" customFormat="false" ht="15.75" hidden="false" customHeight="false" outlineLevel="0" collapsed="false">
      <c r="A75" s="127"/>
      <c r="B75" s="127"/>
      <c r="C75" s="127"/>
      <c r="D75" s="127"/>
      <c r="E75" s="127"/>
      <c r="F75" s="127"/>
      <c r="G75" s="127"/>
      <c r="H75" s="127"/>
      <c r="I75" s="127"/>
      <c r="J75" s="127"/>
      <c r="K75" s="127"/>
      <c r="L75" s="127"/>
      <c r="M75" s="127"/>
      <c r="N75" s="127"/>
      <c r="O75" s="127"/>
      <c r="P75" s="127"/>
      <c r="Q75" s="127"/>
      <c r="R75" s="127"/>
      <c r="S75" s="127"/>
      <c r="T75" s="127"/>
      <c r="U75" s="127"/>
      <c r="V75" s="127"/>
      <c r="W75" s="127"/>
      <c r="X75" s="127"/>
      <c r="Y75" s="127"/>
      <c r="Z75" s="127"/>
    </row>
    <row r="76" customFormat="false" ht="15.75" hidden="false" customHeight="false" outlineLevel="0" collapsed="false">
      <c r="A76" s="127"/>
      <c r="B76" s="127"/>
      <c r="C76" s="127"/>
      <c r="D76" s="127"/>
      <c r="E76" s="127"/>
      <c r="F76" s="127"/>
      <c r="G76" s="127"/>
      <c r="H76" s="127"/>
      <c r="I76" s="127"/>
      <c r="J76" s="127"/>
      <c r="K76" s="127"/>
      <c r="L76" s="127"/>
      <c r="M76" s="127"/>
      <c r="N76" s="127"/>
      <c r="O76" s="127"/>
      <c r="P76" s="127"/>
      <c r="Q76" s="127"/>
      <c r="R76" s="127"/>
      <c r="S76" s="127"/>
      <c r="T76" s="127"/>
      <c r="U76" s="127"/>
      <c r="V76" s="127"/>
      <c r="W76" s="127"/>
      <c r="X76" s="127"/>
      <c r="Y76" s="127"/>
      <c r="Z76" s="127"/>
    </row>
    <row r="77" customFormat="false" ht="15.75" hidden="false" customHeight="false" outlineLevel="0" collapsed="false">
      <c r="A77" s="127"/>
      <c r="B77" s="127"/>
      <c r="C77" s="127"/>
      <c r="D77" s="127"/>
      <c r="E77" s="127"/>
      <c r="F77" s="127"/>
      <c r="G77" s="127"/>
      <c r="H77" s="127"/>
      <c r="I77" s="127"/>
      <c r="J77" s="127"/>
      <c r="K77" s="127"/>
      <c r="L77" s="127"/>
      <c r="M77" s="127"/>
      <c r="N77" s="127"/>
      <c r="O77" s="127"/>
      <c r="P77" s="127"/>
      <c r="Q77" s="127"/>
      <c r="R77" s="127"/>
      <c r="S77" s="127"/>
      <c r="T77" s="127"/>
      <c r="U77" s="127"/>
      <c r="V77" s="127"/>
      <c r="W77" s="127"/>
      <c r="X77" s="127"/>
      <c r="Y77" s="127"/>
      <c r="Z77" s="127"/>
    </row>
    <row r="78" customFormat="false" ht="15.75" hidden="false" customHeight="false" outlineLevel="0" collapsed="false">
      <c r="A78" s="127"/>
      <c r="B78" s="127"/>
      <c r="C78" s="127"/>
      <c r="D78" s="127"/>
      <c r="E78" s="127"/>
      <c r="F78" s="127"/>
      <c r="G78" s="127"/>
      <c r="H78" s="127"/>
      <c r="I78" s="127"/>
      <c r="J78" s="127"/>
      <c r="K78" s="127"/>
      <c r="L78" s="127"/>
      <c r="M78" s="127"/>
      <c r="N78" s="127"/>
      <c r="O78" s="127"/>
      <c r="P78" s="127"/>
      <c r="Q78" s="127"/>
      <c r="R78" s="127"/>
      <c r="S78" s="127"/>
      <c r="T78" s="127"/>
      <c r="U78" s="127"/>
      <c r="V78" s="127"/>
      <c r="W78" s="127"/>
      <c r="X78" s="127"/>
      <c r="Y78" s="127"/>
      <c r="Z78" s="127"/>
    </row>
    <row r="79" customFormat="false" ht="15.75" hidden="false" customHeight="false" outlineLevel="0" collapsed="false">
      <c r="A79" s="127"/>
      <c r="B79" s="127"/>
      <c r="C79" s="127"/>
      <c r="D79" s="127"/>
      <c r="E79" s="127"/>
      <c r="F79" s="127"/>
      <c r="G79" s="127"/>
      <c r="H79" s="127"/>
      <c r="I79" s="127"/>
      <c r="J79" s="127"/>
      <c r="K79" s="127"/>
      <c r="L79" s="127"/>
      <c r="M79" s="127"/>
      <c r="N79" s="127"/>
      <c r="O79" s="127"/>
      <c r="P79" s="127"/>
      <c r="Q79" s="127"/>
      <c r="R79" s="127"/>
      <c r="S79" s="127"/>
      <c r="T79" s="127"/>
      <c r="U79" s="127"/>
      <c r="V79" s="127"/>
      <c r="W79" s="127"/>
      <c r="X79" s="127"/>
      <c r="Y79" s="127"/>
      <c r="Z79" s="127"/>
    </row>
    <row r="80" customFormat="false" ht="15.75" hidden="false" customHeight="false" outlineLevel="0" collapsed="false">
      <c r="A80" s="127"/>
      <c r="B80" s="127"/>
      <c r="C80" s="127"/>
      <c r="D80" s="127"/>
      <c r="E80" s="127"/>
      <c r="F80" s="127"/>
      <c r="G80" s="127"/>
      <c r="H80" s="127"/>
      <c r="I80" s="127"/>
      <c r="J80" s="127"/>
      <c r="K80" s="127"/>
      <c r="L80" s="127"/>
      <c r="M80" s="127"/>
      <c r="N80" s="127"/>
      <c r="O80" s="127"/>
      <c r="P80" s="127"/>
      <c r="Q80" s="127"/>
      <c r="R80" s="127"/>
      <c r="S80" s="127"/>
      <c r="T80" s="127"/>
      <c r="U80" s="127"/>
      <c r="V80" s="127"/>
      <c r="W80" s="127"/>
      <c r="X80" s="127"/>
      <c r="Y80" s="127"/>
      <c r="Z80" s="127"/>
    </row>
    <row r="81" customFormat="false" ht="15.75" hidden="false" customHeight="false" outlineLevel="0" collapsed="false">
      <c r="A81" s="127"/>
      <c r="B81" s="127"/>
      <c r="C81" s="127"/>
      <c r="D81" s="127"/>
      <c r="E81" s="127"/>
      <c r="F81" s="127"/>
      <c r="G81" s="127"/>
      <c r="H81" s="127"/>
      <c r="I81" s="127"/>
      <c r="J81" s="127"/>
      <c r="K81" s="127"/>
      <c r="L81" s="127"/>
      <c r="M81" s="127"/>
      <c r="N81" s="127"/>
      <c r="O81" s="127"/>
      <c r="P81" s="127"/>
      <c r="Q81" s="127"/>
      <c r="R81" s="127"/>
      <c r="S81" s="127"/>
      <c r="T81" s="127"/>
      <c r="U81" s="127"/>
      <c r="V81" s="127"/>
      <c r="W81" s="127"/>
      <c r="X81" s="127"/>
      <c r="Y81" s="127"/>
      <c r="Z81" s="127"/>
    </row>
    <row r="82" customFormat="false" ht="15.75" hidden="false" customHeight="false" outlineLevel="0" collapsed="false">
      <c r="A82" s="127"/>
      <c r="B82" s="127"/>
      <c r="C82" s="127"/>
      <c r="D82" s="127"/>
      <c r="E82" s="127"/>
      <c r="F82" s="127"/>
      <c r="G82" s="127"/>
      <c r="H82" s="127"/>
      <c r="I82" s="127"/>
      <c r="J82" s="127"/>
      <c r="K82" s="127"/>
      <c r="L82" s="127"/>
      <c r="M82" s="127"/>
      <c r="N82" s="127"/>
      <c r="O82" s="127"/>
      <c r="P82" s="127"/>
      <c r="Q82" s="127"/>
      <c r="R82" s="127"/>
      <c r="S82" s="127"/>
      <c r="T82" s="127"/>
      <c r="U82" s="127"/>
      <c r="V82" s="127"/>
      <c r="W82" s="127"/>
      <c r="X82" s="127"/>
      <c r="Y82" s="127"/>
      <c r="Z82" s="127"/>
    </row>
    <row r="83" customFormat="false" ht="15.75" hidden="false" customHeight="false" outlineLevel="0" collapsed="false">
      <c r="A83" s="127"/>
      <c r="B83" s="127"/>
      <c r="C83" s="127"/>
      <c r="D83" s="127"/>
      <c r="E83" s="127"/>
      <c r="F83" s="127"/>
      <c r="G83" s="127"/>
      <c r="H83" s="127"/>
      <c r="I83" s="127"/>
      <c r="J83" s="127"/>
      <c r="K83" s="127"/>
      <c r="L83" s="127"/>
      <c r="M83" s="127"/>
      <c r="N83" s="127"/>
      <c r="O83" s="127"/>
      <c r="P83" s="127"/>
      <c r="Q83" s="127"/>
      <c r="R83" s="127"/>
      <c r="S83" s="127"/>
      <c r="T83" s="127"/>
      <c r="U83" s="127"/>
      <c r="V83" s="127"/>
      <c r="W83" s="127"/>
      <c r="X83" s="127"/>
      <c r="Y83" s="127"/>
      <c r="Z83" s="127"/>
    </row>
    <row r="84" customFormat="false" ht="15.75" hidden="false" customHeight="false" outlineLevel="0" collapsed="false">
      <c r="A84" s="127"/>
      <c r="B84" s="127"/>
      <c r="C84" s="127"/>
      <c r="D84" s="127"/>
      <c r="E84" s="127"/>
      <c r="F84" s="127"/>
      <c r="G84" s="127"/>
      <c r="H84" s="127"/>
      <c r="I84" s="127"/>
      <c r="J84" s="127"/>
      <c r="K84" s="127"/>
      <c r="L84" s="127"/>
      <c r="M84" s="127"/>
      <c r="N84" s="127"/>
      <c r="O84" s="127"/>
      <c r="P84" s="127"/>
      <c r="Q84" s="127"/>
      <c r="R84" s="127"/>
      <c r="S84" s="127"/>
      <c r="T84" s="127"/>
      <c r="U84" s="127"/>
      <c r="V84" s="127"/>
      <c r="W84" s="127"/>
      <c r="X84" s="127"/>
      <c r="Y84" s="127"/>
      <c r="Z84" s="127"/>
    </row>
    <row r="85" customFormat="false" ht="15.75" hidden="false" customHeight="false" outlineLevel="0" collapsed="false">
      <c r="A85" s="127"/>
      <c r="B85" s="127"/>
      <c r="C85" s="127"/>
      <c r="D85" s="127"/>
      <c r="E85" s="127"/>
      <c r="F85" s="127"/>
      <c r="G85" s="127"/>
      <c r="H85" s="127"/>
      <c r="I85" s="127"/>
      <c r="J85" s="127"/>
      <c r="K85" s="127"/>
      <c r="L85" s="127"/>
      <c r="M85" s="127"/>
      <c r="N85" s="127"/>
      <c r="O85" s="127"/>
      <c r="P85" s="127"/>
      <c r="Q85" s="127"/>
      <c r="R85" s="127"/>
      <c r="S85" s="127"/>
      <c r="T85" s="127"/>
      <c r="U85" s="127"/>
      <c r="V85" s="127"/>
      <c r="W85" s="127"/>
      <c r="X85" s="127"/>
      <c r="Y85" s="127"/>
      <c r="Z85" s="127"/>
    </row>
    <row r="86" customFormat="false" ht="15.75" hidden="false" customHeight="false" outlineLevel="0" collapsed="false">
      <c r="A86" s="127"/>
      <c r="B86" s="127"/>
      <c r="C86" s="127"/>
      <c r="D86" s="127"/>
      <c r="E86" s="127"/>
      <c r="F86" s="127"/>
      <c r="G86" s="127"/>
      <c r="H86" s="127"/>
      <c r="I86" s="127"/>
      <c r="J86" s="127"/>
      <c r="K86" s="127"/>
      <c r="L86" s="127"/>
      <c r="M86" s="127"/>
      <c r="N86" s="127"/>
      <c r="O86" s="127"/>
      <c r="P86" s="127"/>
      <c r="Q86" s="127"/>
      <c r="R86" s="127"/>
      <c r="S86" s="127"/>
      <c r="T86" s="127"/>
      <c r="U86" s="127"/>
      <c r="V86" s="127"/>
      <c r="W86" s="127"/>
      <c r="X86" s="127"/>
      <c r="Y86" s="127"/>
      <c r="Z86" s="127"/>
    </row>
    <row r="87" customFormat="false" ht="15.75" hidden="false" customHeight="false" outlineLevel="0" collapsed="false">
      <c r="A87" s="127"/>
      <c r="B87" s="127"/>
      <c r="C87" s="127"/>
      <c r="D87" s="127"/>
      <c r="E87" s="127"/>
      <c r="F87" s="127"/>
      <c r="G87" s="127"/>
      <c r="H87" s="127"/>
      <c r="I87" s="127"/>
      <c r="J87" s="127"/>
      <c r="K87" s="127"/>
      <c r="L87" s="127"/>
      <c r="M87" s="127"/>
      <c r="N87" s="127"/>
      <c r="O87" s="127"/>
      <c r="P87" s="127"/>
      <c r="Q87" s="127"/>
      <c r="R87" s="127"/>
      <c r="S87" s="127"/>
      <c r="T87" s="127"/>
      <c r="U87" s="127"/>
      <c r="V87" s="127"/>
      <c r="W87" s="127"/>
      <c r="X87" s="127"/>
      <c r="Y87" s="127"/>
      <c r="Z87" s="127"/>
    </row>
    <row r="88" customFormat="false" ht="15.75" hidden="false" customHeight="false" outlineLevel="0" collapsed="false">
      <c r="A88" s="127"/>
      <c r="B88" s="127"/>
      <c r="C88" s="127"/>
      <c r="D88" s="127"/>
      <c r="E88" s="127"/>
      <c r="F88" s="127"/>
      <c r="G88" s="127"/>
      <c r="H88" s="127"/>
      <c r="I88" s="127"/>
      <c r="J88" s="127"/>
      <c r="K88" s="127"/>
      <c r="L88" s="127"/>
      <c r="M88" s="127"/>
      <c r="N88" s="127"/>
      <c r="O88" s="127"/>
      <c r="P88" s="127"/>
      <c r="Q88" s="127"/>
      <c r="R88" s="127"/>
      <c r="S88" s="127"/>
      <c r="T88" s="127"/>
      <c r="U88" s="127"/>
      <c r="V88" s="127"/>
      <c r="W88" s="127"/>
      <c r="X88" s="127"/>
      <c r="Y88" s="127"/>
      <c r="Z88" s="127"/>
    </row>
    <row r="89" customFormat="false" ht="15.75" hidden="false" customHeight="false" outlineLevel="0" collapsed="false">
      <c r="A89" s="127"/>
      <c r="B89" s="127"/>
      <c r="C89" s="127"/>
      <c r="D89" s="127"/>
      <c r="E89" s="127"/>
      <c r="F89" s="127"/>
      <c r="G89" s="127"/>
      <c r="H89" s="127"/>
      <c r="I89" s="127"/>
      <c r="J89" s="127"/>
      <c r="K89" s="127"/>
      <c r="L89" s="127"/>
      <c r="M89" s="127"/>
      <c r="N89" s="127"/>
      <c r="O89" s="127"/>
      <c r="P89" s="127"/>
      <c r="Q89" s="127"/>
      <c r="R89" s="127"/>
      <c r="S89" s="127"/>
      <c r="T89" s="127"/>
      <c r="U89" s="127"/>
      <c r="V89" s="127"/>
      <c r="W89" s="127"/>
      <c r="X89" s="127"/>
      <c r="Y89" s="127"/>
      <c r="Z89" s="127"/>
    </row>
    <row r="90" customFormat="false" ht="15.75" hidden="false" customHeight="false" outlineLevel="0" collapsed="false">
      <c r="A90" s="127"/>
      <c r="B90" s="127"/>
      <c r="C90" s="127"/>
      <c r="D90" s="127"/>
      <c r="E90" s="127"/>
      <c r="F90" s="127"/>
      <c r="G90" s="127"/>
      <c r="H90" s="127"/>
      <c r="I90" s="127"/>
      <c r="J90" s="127"/>
      <c r="K90" s="127"/>
      <c r="L90" s="127"/>
      <c r="M90" s="127"/>
      <c r="N90" s="127"/>
      <c r="O90" s="127"/>
      <c r="P90" s="127"/>
      <c r="Q90" s="127"/>
      <c r="R90" s="127"/>
      <c r="S90" s="127"/>
      <c r="T90" s="127"/>
      <c r="U90" s="127"/>
      <c r="V90" s="127"/>
      <c r="W90" s="127"/>
      <c r="X90" s="127"/>
      <c r="Y90" s="127"/>
      <c r="Z90" s="127"/>
    </row>
    <row r="91" customFormat="false" ht="15.75" hidden="false" customHeight="false" outlineLevel="0" collapsed="false">
      <c r="A91" s="127"/>
      <c r="B91" s="127"/>
      <c r="C91" s="127"/>
      <c r="D91" s="127"/>
      <c r="E91" s="127"/>
      <c r="F91" s="127"/>
      <c r="G91" s="127"/>
      <c r="H91" s="127"/>
      <c r="I91" s="127"/>
      <c r="J91" s="127"/>
      <c r="K91" s="127"/>
      <c r="L91" s="127"/>
      <c r="M91" s="127"/>
      <c r="N91" s="127"/>
      <c r="O91" s="127"/>
      <c r="P91" s="127"/>
      <c r="Q91" s="127"/>
      <c r="R91" s="127"/>
      <c r="S91" s="127"/>
      <c r="T91" s="127"/>
      <c r="U91" s="127"/>
      <c r="V91" s="127"/>
      <c r="W91" s="127"/>
      <c r="X91" s="127"/>
      <c r="Y91" s="127"/>
      <c r="Z91" s="127"/>
    </row>
    <row r="92" customFormat="false" ht="15.75" hidden="false" customHeight="false" outlineLevel="0" collapsed="false">
      <c r="A92" s="127"/>
      <c r="B92" s="127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127"/>
      <c r="P92" s="127"/>
      <c r="Q92" s="127"/>
      <c r="R92" s="127"/>
      <c r="S92" s="127"/>
      <c r="T92" s="127"/>
      <c r="U92" s="127"/>
      <c r="V92" s="127"/>
      <c r="W92" s="127"/>
      <c r="X92" s="127"/>
      <c r="Y92" s="127"/>
      <c r="Z92" s="127"/>
    </row>
    <row r="93" customFormat="false" ht="15.75" hidden="false" customHeight="false" outlineLevel="0" collapsed="false">
      <c r="A93" s="127"/>
      <c r="B93" s="127"/>
      <c r="C93" s="127"/>
      <c r="D93" s="127"/>
      <c r="E93" s="127"/>
      <c r="F93" s="127"/>
      <c r="G93" s="127"/>
      <c r="H93" s="127"/>
      <c r="I93" s="127"/>
      <c r="J93" s="127"/>
      <c r="K93" s="127"/>
      <c r="L93" s="127"/>
      <c r="M93" s="127"/>
      <c r="N93" s="127"/>
      <c r="O93" s="127"/>
      <c r="P93" s="127"/>
      <c r="Q93" s="127"/>
      <c r="R93" s="127"/>
      <c r="S93" s="127"/>
      <c r="T93" s="127"/>
      <c r="U93" s="127"/>
      <c r="V93" s="127"/>
      <c r="W93" s="127"/>
      <c r="X93" s="127"/>
      <c r="Y93" s="127"/>
      <c r="Z93" s="127"/>
    </row>
    <row r="94" customFormat="false" ht="15.75" hidden="false" customHeight="false" outlineLevel="0" collapsed="false">
      <c r="A94" s="127"/>
      <c r="B94" s="127"/>
      <c r="C94" s="127"/>
      <c r="D94" s="127"/>
      <c r="E94" s="127"/>
      <c r="F94" s="127"/>
      <c r="G94" s="127"/>
      <c r="H94" s="127"/>
      <c r="I94" s="127"/>
      <c r="J94" s="127"/>
      <c r="K94" s="127"/>
      <c r="L94" s="127"/>
      <c r="M94" s="127"/>
      <c r="N94" s="127"/>
      <c r="O94" s="127"/>
      <c r="P94" s="127"/>
      <c r="Q94" s="127"/>
      <c r="R94" s="127"/>
      <c r="S94" s="127"/>
      <c r="T94" s="127"/>
      <c r="U94" s="127"/>
      <c r="V94" s="127"/>
      <c r="W94" s="127"/>
      <c r="X94" s="127"/>
      <c r="Y94" s="127"/>
      <c r="Z94" s="127"/>
    </row>
    <row r="95" customFormat="false" ht="15.75" hidden="false" customHeight="false" outlineLevel="0" collapsed="false">
      <c r="A95" s="127"/>
      <c r="B95" s="127"/>
      <c r="C95" s="127"/>
      <c r="D95" s="127"/>
      <c r="E95" s="127"/>
      <c r="F95" s="127"/>
      <c r="G95" s="127"/>
      <c r="H95" s="127"/>
      <c r="I95" s="127"/>
      <c r="J95" s="127"/>
      <c r="K95" s="127"/>
      <c r="L95" s="127"/>
      <c r="M95" s="127"/>
      <c r="N95" s="127"/>
      <c r="O95" s="127"/>
      <c r="P95" s="127"/>
      <c r="Q95" s="127"/>
      <c r="R95" s="127"/>
      <c r="S95" s="127"/>
      <c r="T95" s="127"/>
      <c r="U95" s="127"/>
      <c r="V95" s="127"/>
      <c r="W95" s="127"/>
      <c r="X95" s="127"/>
      <c r="Y95" s="127"/>
      <c r="Z95" s="127"/>
    </row>
    <row r="96" customFormat="false" ht="15.75" hidden="false" customHeight="false" outlineLevel="0" collapsed="false">
      <c r="A96" s="127"/>
      <c r="B96" s="127"/>
      <c r="C96" s="127"/>
      <c r="D96" s="127"/>
      <c r="E96" s="127"/>
      <c r="F96" s="127"/>
      <c r="G96" s="127"/>
      <c r="H96" s="127"/>
      <c r="I96" s="127"/>
      <c r="J96" s="127"/>
      <c r="K96" s="127"/>
      <c r="L96" s="127"/>
      <c r="M96" s="127"/>
      <c r="N96" s="127"/>
      <c r="O96" s="127"/>
      <c r="P96" s="127"/>
      <c r="Q96" s="127"/>
      <c r="R96" s="127"/>
      <c r="S96" s="127"/>
      <c r="T96" s="127"/>
      <c r="U96" s="127"/>
      <c r="V96" s="127"/>
      <c r="W96" s="127"/>
      <c r="X96" s="127"/>
      <c r="Y96" s="127"/>
      <c r="Z96" s="127"/>
    </row>
    <row r="97" customFormat="false" ht="15.75" hidden="false" customHeight="false" outlineLevel="0" collapsed="false">
      <c r="A97" s="127"/>
      <c r="B97" s="127"/>
      <c r="C97" s="127"/>
      <c r="D97" s="127"/>
      <c r="E97" s="127"/>
      <c r="F97" s="127"/>
      <c r="G97" s="127"/>
      <c r="H97" s="127"/>
      <c r="I97" s="127"/>
      <c r="J97" s="127"/>
      <c r="K97" s="127"/>
      <c r="L97" s="127"/>
      <c r="M97" s="127"/>
      <c r="N97" s="127"/>
      <c r="O97" s="127"/>
      <c r="P97" s="127"/>
      <c r="Q97" s="127"/>
      <c r="R97" s="127"/>
      <c r="S97" s="127"/>
      <c r="T97" s="127"/>
      <c r="U97" s="127"/>
      <c r="V97" s="127"/>
      <c r="W97" s="127"/>
      <c r="X97" s="127"/>
      <c r="Y97" s="127"/>
      <c r="Z97" s="127"/>
    </row>
    <row r="98" customFormat="false" ht="15.75" hidden="false" customHeight="false" outlineLevel="0" collapsed="false">
      <c r="A98" s="127"/>
      <c r="B98" s="127"/>
      <c r="C98" s="127"/>
      <c r="D98" s="127"/>
      <c r="E98" s="127"/>
      <c r="F98" s="127"/>
      <c r="G98" s="127"/>
      <c r="H98" s="127"/>
      <c r="I98" s="127"/>
      <c r="J98" s="127"/>
      <c r="K98" s="127"/>
      <c r="L98" s="127"/>
      <c r="M98" s="127"/>
      <c r="N98" s="127"/>
      <c r="O98" s="127"/>
      <c r="P98" s="127"/>
      <c r="Q98" s="127"/>
      <c r="R98" s="127"/>
      <c r="S98" s="127"/>
      <c r="T98" s="127"/>
      <c r="U98" s="127"/>
      <c r="V98" s="127"/>
      <c r="W98" s="127"/>
      <c r="X98" s="127"/>
      <c r="Y98" s="127"/>
      <c r="Z98" s="127"/>
    </row>
    <row r="99" customFormat="false" ht="15.75" hidden="false" customHeight="false" outlineLevel="0" collapsed="false">
      <c r="A99" s="127"/>
      <c r="B99" s="127"/>
      <c r="C99" s="127"/>
      <c r="D99" s="127"/>
      <c r="E99" s="127"/>
      <c r="F99" s="127"/>
      <c r="G99" s="127"/>
      <c r="H99" s="127"/>
      <c r="I99" s="127"/>
      <c r="J99" s="127"/>
      <c r="K99" s="127"/>
      <c r="L99" s="127"/>
      <c r="M99" s="127"/>
      <c r="N99" s="127"/>
      <c r="O99" s="127"/>
      <c r="P99" s="127"/>
      <c r="Q99" s="127"/>
      <c r="R99" s="127"/>
      <c r="S99" s="127"/>
      <c r="T99" s="127"/>
      <c r="U99" s="127"/>
      <c r="V99" s="127"/>
      <c r="W99" s="127"/>
      <c r="X99" s="127"/>
      <c r="Y99" s="127"/>
      <c r="Z99" s="127"/>
    </row>
    <row r="100" customFormat="false" ht="15.75" hidden="false" customHeight="false" outlineLevel="0" collapsed="false">
      <c r="A100" s="127"/>
      <c r="B100" s="127"/>
      <c r="C100" s="127"/>
      <c r="D100" s="127"/>
      <c r="E100" s="127"/>
      <c r="F100" s="127"/>
      <c r="G100" s="127"/>
      <c r="H100" s="127"/>
      <c r="I100" s="127"/>
      <c r="J100" s="127"/>
      <c r="K100" s="127"/>
      <c r="L100" s="127"/>
      <c r="M100" s="127"/>
      <c r="N100" s="127"/>
      <c r="O100" s="127"/>
      <c r="P100" s="127"/>
      <c r="Q100" s="127"/>
      <c r="R100" s="127"/>
      <c r="S100" s="127"/>
      <c r="T100" s="127"/>
      <c r="U100" s="127"/>
      <c r="V100" s="127"/>
      <c r="W100" s="127"/>
      <c r="X100" s="127"/>
      <c r="Y100" s="127"/>
      <c r="Z100" s="127"/>
    </row>
    <row r="101" customFormat="false" ht="15.75" hidden="false" customHeight="false" outlineLevel="0" collapsed="false">
      <c r="A101" s="127"/>
      <c r="B101" s="127"/>
      <c r="C101" s="127"/>
      <c r="D101" s="127"/>
      <c r="E101" s="127"/>
      <c r="F101" s="127"/>
      <c r="G101" s="127"/>
      <c r="H101" s="127"/>
      <c r="I101" s="127"/>
      <c r="J101" s="127"/>
      <c r="K101" s="127"/>
      <c r="L101" s="127"/>
      <c r="M101" s="127"/>
      <c r="N101" s="127"/>
      <c r="O101" s="127"/>
      <c r="P101" s="127"/>
      <c r="Q101" s="127"/>
      <c r="R101" s="127"/>
      <c r="S101" s="127"/>
      <c r="T101" s="127"/>
      <c r="U101" s="127"/>
      <c r="V101" s="127"/>
      <c r="W101" s="127"/>
      <c r="X101" s="127"/>
      <c r="Y101" s="127"/>
      <c r="Z101" s="127"/>
    </row>
    <row r="102" customFormat="false" ht="15.75" hidden="false" customHeight="false" outlineLevel="0" collapsed="false">
      <c r="A102" s="127"/>
      <c r="B102" s="127"/>
      <c r="C102" s="127"/>
      <c r="D102" s="127"/>
      <c r="E102" s="127"/>
      <c r="F102" s="127"/>
      <c r="G102" s="127"/>
      <c r="H102" s="127"/>
      <c r="I102" s="127"/>
      <c r="J102" s="127"/>
      <c r="K102" s="127"/>
      <c r="L102" s="127"/>
      <c r="M102" s="127"/>
      <c r="N102" s="127"/>
      <c r="O102" s="127"/>
      <c r="P102" s="127"/>
      <c r="Q102" s="127"/>
      <c r="R102" s="127"/>
      <c r="S102" s="127"/>
      <c r="T102" s="127"/>
      <c r="U102" s="127"/>
      <c r="V102" s="127"/>
      <c r="W102" s="127"/>
      <c r="X102" s="127"/>
      <c r="Y102" s="127"/>
      <c r="Z102" s="127"/>
    </row>
    <row r="103" customFormat="false" ht="15.75" hidden="false" customHeight="false" outlineLevel="0" collapsed="false">
      <c r="A103" s="127"/>
      <c r="B103" s="127"/>
      <c r="C103" s="127"/>
      <c r="D103" s="127"/>
      <c r="E103" s="127"/>
      <c r="F103" s="127"/>
      <c r="G103" s="127"/>
      <c r="H103" s="127"/>
      <c r="I103" s="127"/>
      <c r="J103" s="127"/>
      <c r="K103" s="127"/>
      <c r="L103" s="127"/>
      <c r="M103" s="127"/>
      <c r="N103" s="127"/>
      <c r="O103" s="127"/>
      <c r="P103" s="127"/>
      <c r="Q103" s="127"/>
      <c r="R103" s="127"/>
      <c r="S103" s="127"/>
      <c r="T103" s="127"/>
      <c r="U103" s="127"/>
      <c r="V103" s="127"/>
      <c r="W103" s="127"/>
      <c r="X103" s="127"/>
      <c r="Y103" s="127"/>
      <c r="Z103" s="127"/>
    </row>
    <row r="104" customFormat="false" ht="15.75" hidden="false" customHeight="false" outlineLevel="0" collapsed="false">
      <c r="A104" s="127"/>
      <c r="B104" s="127"/>
      <c r="C104" s="127"/>
      <c r="D104" s="127"/>
      <c r="E104" s="127"/>
      <c r="F104" s="127"/>
      <c r="G104" s="127"/>
      <c r="H104" s="127"/>
      <c r="I104" s="127"/>
      <c r="J104" s="127"/>
      <c r="K104" s="127"/>
      <c r="L104" s="127"/>
      <c r="M104" s="127"/>
      <c r="N104" s="127"/>
      <c r="O104" s="127"/>
      <c r="P104" s="127"/>
      <c r="Q104" s="127"/>
      <c r="R104" s="127"/>
      <c r="S104" s="127"/>
      <c r="T104" s="127"/>
      <c r="U104" s="127"/>
      <c r="V104" s="127"/>
      <c r="W104" s="127"/>
      <c r="X104" s="127"/>
      <c r="Y104" s="127"/>
      <c r="Z104" s="127"/>
    </row>
    <row r="105" customFormat="false" ht="15.75" hidden="false" customHeight="false" outlineLevel="0" collapsed="false">
      <c r="A105" s="127"/>
      <c r="B105" s="127"/>
      <c r="C105" s="127"/>
      <c r="D105" s="127"/>
      <c r="E105" s="127"/>
      <c r="F105" s="127"/>
      <c r="G105" s="127"/>
      <c r="H105" s="127"/>
      <c r="I105" s="127"/>
      <c r="J105" s="127"/>
      <c r="K105" s="127"/>
      <c r="L105" s="127"/>
      <c r="M105" s="127"/>
      <c r="N105" s="127"/>
      <c r="O105" s="127"/>
      <c r="P105" s="127"/>
      <c r="Q105" s="127"/>
      <c r="R105" s="127"/>
      <c r="S105" s="127"/>
      <c r="T105" s="127"/>
      <c r="U105" s="127"/>
      <c r="V105" s="127"/>
      <c r="W105" s="127"/>
      <c r="X105" s="127"/>
      <c r="Y105" s="127"/>
      <c r="Z105" s="127"/>
    </row>
    <row r="106" customFormat="false" ht="15.75" hidden="false" customHeight="false" outlineLevel="0" collapsed="false">
      <c r="A106" s="127"/>
      <c r="B106" s="127"/>
      <c r="C106" s="127"/>
      <c r="D106" s="127"/>
      <c r="E106" s="127"/>
      <c r="F106" s="127"/>
      <c r="G106" s="127"/>
      <c r="H106" s="127"/>
      <c r="I106" s="127"/>
      <c r="J106" s="127"/>
      <c r="K106" s="127"/>
      <c r="L106" s="127"/>
      <c r="M106" s="127"/>
      <c r="N106" s="127"/>
      <c r="O106" s="127"/>
      <c r="P106" s="127"/>
      <c r="Q106" s="127"/>
      <c r="R106" s="127"/>
      <c r="S106" s="127"/>
      <c r="T106" s="127"/>
      <c r="U106" s="127"/>
      <c r="V106" s="127"/>
      <c r="W106" s="127"/>
      <c r="X106" s="127"/>
      <c r="Y106" s="127"/>
      <c r="Z106" s="127"/>
    </row>
    <row r="107" customFormat="false" ht="15.75" hidden="false" customHeight="false" outlineLevel="0" collapsed="false">
      <c r="A107" s="127"/>
      <c r="B107" s="127"/>
      <c r="C107" s="127"/>
      <c r="D107" s="127"/>
      <c r="E107" s="127"/>
      <c r="F107" s="127"/>
      <c r="G107" s="127"/>
      <c r="H107" s="127"/>
      <c r="I107" s="127"/>
      <c r="J107" s="127"/>
      <c r="K107" s="127"/>
      <c r="L107" s="127"/>
      <c r="M107" s="127"/>
      <c r="N107" s="127"/>
      <c r="O107" s="127"/>
      <c r="P107" s="127"/>
      <c r="Q107" s="127"/>
      <c r="R107" s="127"/>
      <c r="S107" s="127"/>
      <c r="T107" s="127"/>
      <c r="U107" s="127"/>
      <c r="V107" s="127"/>
      <c r="W107" s="127"/>
      <c r="X107" s="127"/>
      <c r="Y107" s="127"/>
      <c r="Z107" s="127"/>
    </row>
    <row r="108" customFormat="false" ht="15.75" hidden="false" customHeight="false" outlineLevel="0" collapsed="false">
      <c r="A108" s="127"/>
      <c r="B108" s="127"/>
      <c r="C108" s="127"/>
      <c r="D108" s="127"/>
      <c r="E108" s="127"/>
      <c r="F108" s="127"/>
      <c r="G108" s="127"/>
      <c r="H108" s="127"/>
      <c r="I108" s="127"/>
      <c r="J108" s="127"/>
      <c r="K108" s="127"/>
      <c r="L108" s="127"/>
      <c r="M108" s="127"/>
      <c r="N108" s="127"/>
      <c r="O108" s="127"/>
      <c r="P108" s="127"/>
      <c r="Q108" s="127"/>
      <c r="R108" s="127"/>
      <c r="S108" s="127"/>
      <c r="T108" s="127"/>
      <c r="U108" s="127"/>
      <c r="V108" s="127"/>
      <c r="W108" s="127"/>
      <c r="X108" s="127"/>
      <c r="Y108" s="127"/>
      <c r="Z108" s="127"/>
    </row>
    <row r="109" customFormat="false" ht="15.75" hidden="false" customHeight="false" outlineLevel="0" collapsed="false">
      <c r="A109" s="127"/>
      <c r="B109" s="127"/>
      <c r="C109" s="127"/>
      <c r="D109" s="127"/>
      <c r="E109" s="127"/>
      <c r="F109" s="127"/>
      <c r="G109" s="127"/>
      <c r="H109" s="127"/>
      <c r="I109" s="127"/>
      <c r="J109" s="127"/>
      <c r="K109" s="127"/>
      <c r="L109" s="127"/>
      <c r="M109" s="127"/>
      <c r="N109" s="127"/>
      <c r="O109" s="127"/>
      <c r="P109" s="127"/>
      <c r="Q109" s="127"/>
      <c r="R109" s="127"/>
      <c r="S109" s="127"/>
      <c r="T109" s="127"/>
      <c r="U109" s="127"/>
      <c r="V109" s="127"/>
      <c r="W109" s="127"/>
      <c r="X109" s="127"/>
      <c r="Y109" s="127"/>
      <c r="Z109" s="127"/>
    </row>
    <row r="110" customFormat="false" ht="15.75" hidden="false" customHeight="false" outlineLevel="0" collapsed="false">
      <c r="A110" s="127"/>
      <c r="B110" s="127"/>
      <c r="C110" s="127"/>
      <c r="D110" s="127"/>
      <c r="E110" s="127"/>
      <c r="F110" s="127"/>
      <c r="G110" s="127"/>
      <c r="H110" s="127"/>
      <c r="I110" s="127"/>
      <c r="J110" s="127"/>
      <c r="K110" s="127"/>
      <c r="L110" s="127"/>
      <c r="M110" s="127"/>
      <c r="N110" s="127"/>
      <c r="O110" s="127"/>
      <c r="P110" s="127"/>
      <c r="Q110" s="127"/>
      <c r="R110" s="127"/>
      <c r="S110" s="127"/>
      <c r="T110" s="127"/>
      <c r="U110" s="127"/>
      <c r="V110" s="127"/>
      <c r="W110" s="127"/>
      <c r="X110" s="127"/>
      <c r="Y110" s="127"/>
      <c r="Z110" s="127"/>
    </row>
    <row r="111" customFormat="false" ht="15.75" hidden="false" customHeight="false" outlineLevel="0" collapsed="false">
      <c r="A111" s="127"/>
      <c r="B111" s="127"/>
      <c r="C111" s="127"/>
      <c r="D111" s="127"/>
      <c r="E111" s="127"/>
      <c r="F111" s="127"/>
      <c r="G111" s="127"/>
      <c r="H111" s="127"/>
      <c r="I111" s="127"/>
      <c r="J111" s="127"/>
      <c r="K111" s="127"/>
      <c r="L111" s="127"/>
      <c r="M111" s="127"/>
      <c r="N111" s="127"/>
      <c r="O111" s="127"/>
      <c r="P111" s="127"/>
      <c r="Q111" s="127"/>
      <c r="R111" s="127"/>
      <c r="S111" s="127"/>
      <c r="T111" s="127"/>
      <c r="U111" s="127"/>
      <c r="V111" s="127"/>
      <c r="W111" s="127"/>
      <c r="X111" s="127"/>
      <c r="Y111" s="127"/>
      <c r="Z111" s="127"/>
    </row>
    <row r="112" customFormat="false" ht="15.75" hidden="false" customHeight="false" outlineLevel="0" collapsed="false">
      <c r="A112" s="127"/>
      <c r="B112" s="127"/>
      <c r="C112" s="127"/>
      <c r="D112" s="127"/>
      <c r="E112" s="127"/>
      <c r="F112" s="127"/>
      <c r="G112" s="127"/>
      <c r="H112" s="127"/>
      <c r="I112" s="127"/>
      <c r="J112" s="127"/>
      <c r="K112" s="127"/>
      <c r="L112" s="127"/>
      <c r="M112" s="127"/>
      <c r="N112" s="127"/>
      <c r="O112" s="127"/>
      <c r="P112" s="127"/>
      <c r="Q112" s="127"/>
      <c r="R112" s="127"/>
      <c r="S112" s="127"/>
      <c r="T112" s="127"/>
      <c r="U112" s="127"/>
      <c r="V112" s="127"/>
      <c r="W112" s="127"/>
      <c r="X112" s="127"/>
      <c r="Y112" s="127"/>
      <c r="Z112" s="127"/>
    </row>
    <row r="113" customFormat="false" ht="15.75" hidden="false" customHeight="false" outlineLevel="0" collapsed="false">
      <c r="A113" s="127"/>
      <c r="B113" s="127"/>
      <c r="C113" s="127"/>
      <c r="D113" s="127"/>
      <c r="E113" s="127"/>
      <c r="F113" s="127"/>
      <c r="G113" s="127"/>
      <c r="H113" s="127"/>
      <c r="I113" s="127"/>
      <c r="J113" s="127"/>
      <c r="K113" s="127"/>
      <c r="L113" s="127"/>
      <c r="M113" s="127"/>
      <c r="N113" s="127"/>
      <c r="O113" s="127"/>
      <c r="P113" s="127"/>
      <c r="Q113" s="127"/>
      <c r="R113" s="127"/>
      <c r="S113" s="127"/>
      <c r="T113" s="127"/>
      <c r="U113" s="127"/>
      <c r="V113" s="127"/>
      <c r="W113" s="127"/>
      <c r="X113" s="127"/>
      <c r="Y113" s="127"/>
      <c r="Z113" s="127"/>
    </row>
    <row r="114" customFormat="false" ht="15.75" hidden="false" customHeight="false" outlineLevel="0" collapsed="false">
      <c r="A114" s="127"/>
      <c r="B114" s="127"/>
      <c r="C114" s="127"/>
      <c r="D114" s="127"/>
      <c r="E114" s="127"/>
      <c r="F114" s="127"/>
      <c r="G114" s="127"/>
      <c r="H114" s="127"/>
      <c r="I114" s="127"/>
      <c r="J114" s="127"/>
      <c r="K114" s="127"/>
      <c r="L114" s="127"/>
      <c r="M114" s="127"/>
      <c r="N114" s="127"/>
      <c r="O114" s="127"/>
      <c r="P114" s="127"/>
      <c r="Q114" s="127"/>
      <c r="R114" s="127"/>
      <c r="S114" s="127"/>
      <c r="T114" s="127"/>
      <c r="U114" s="127"/>
      <c r="V114" s="127"/>
      <c r="W114" s="127"/>
      <c r="X114" s="127"/>
      <c r="Y114" s="127"/>
      <c r="Z114" s="127"/>
    </row>
    <row r="115" customFormat="false" ht="15.75" hidden="false" customHeight="false" outlineLevel="0" collapsed="false">
      <c r="A115" s="127"/>
      <c r="B115" s="127"/>
      <c r="C115" s="127"/>
      <c r="D115" s="127"/>
      <c r="E115" s="127"/>
      <c r="F115" s="127"/>
      <c r="G115" s="127"/>
      <c r="H115" s="127"/>
      <c r="I115" s="127"/>
      <c r="J115" s="127"/>
      <c r="K115" s="127"/>
      <c r="L115" s="127"/>
      <c r="M115" s="127"/>
      <c r="N115" s="127"/>
      <c r="O115" s="127"/>
      <c r="P115" s="127"/>
      <c r="Q115" s="127"/>
      <c r="R115" s="127"/>
      <c r="S115" s="127"/>
      <c r="T115" s="127"/>
      <c r="U115" s="127"/>
      <c r="V115" s="127"/>
      <c r="W115" s="127"/>
      <c r="X115" s="127"/>
      <c r="Y115" s="127"/>
      <c r="Z115" s="127"/>
    </row>
    <row r="116" customFormat="false" ht="15.75" hidden="false" customHeight="false" outlineLevel="0" collapsed="false">
      <c r="A116" s="127"/>
      <c r="B116" s="127"/>
      <c r="C116" s="127"/>
      <c r="D116" s="127"/>
      <c r="E116" s="127"/>
      <c r="F116" s="127"/>
      <c r="G116" s="127"/>
      <c r="H116" s="127"/>
      <c r="I116" s="127"/>
      <c r="J116" s="127"/>
      <c r="K116" s="127"/>
      <c r="L116" s="127"/>
      <c r="M116" s="127"/>
      <c r="N116" s="127"/>
      <c r="O116" s="127"/>
      <c r="P116" s="127"/>
      <c r="Q116" s="127"/>
      <c r="R116" s="127"/>
      <c r="S116" s="127"/>
      <c r="T116" s="127"/>
      <c r="U116" s="127"/>
      <c r="V116" s="127"/>
      <c r="W116" s="127"/>
      <c r="X116" s="127"/>
      <c r="Y116" s="127"/>
      <c r="Z116" s="127"/>
    </row>
    <row r="117" customFormat="false" ht="15.75" hidden="false" customHeight="false" outlineLevel="0" collapsed="false">
      <c r="A117" s="127"/>
      <c r="B117" s="127"/>
      <c r="C117" s="127"/>
      <c r="D117" s="127"/>
      <c r="E117" s="127"/>
      <c r="F117" s="127"/>
      <c r="G117" s="127"/>
      <c r="H117" s="127"/>
      <c r="I117" s="127"/>
      <c r="J117" s="127"/>
      <c r="K117" s="127"/>
      <c r="L117" s="127"/>
      <c r="M117" s="127"/>
      <c r="N117" s="127"/>
      <c r="O117" s="127"/>
      <c r="P117" s="127"/>
      <c r="Q117" s="127"/>
      <c r="R117" s="127"/>
      <c r="S117" s="127"/>
      <c r="T117" s="127"/>
      <c r="U117" s="127"/>
      <c r="V117" s="127"/>
      <c r="W117" s="127"/>
      <c r="X117" s="127"/>
      <c r="Y117" s="127"/>
      <c r="Z117" s="127"/>
    </row>
    <row r="118" customFormat="false" ht="15.75" hidden="false" customHeight="false" outlineLevel="0" collapsed="false">
      <c r="A118" s="127"/>
      <c r="B118" s="127"/>
      <c r="C118" s="127"/>
      <c r="D118" s="127"/>
      <c r="E118" s="127"/>
      <c r="F118" s="127"/>
      <c r="G118" s="127"/>
      <c r="H118" s="127"/>
      <c r="I118" s="127"/>
      <c r="J118" s="127"/>
      <c r="K118" s="127"/>
      <c r="L118" s="127"/>
      <c r="M118" s="127"/>
      <c r="N118" s="127"/>
      <c r="O118" s="127"/>
      <c r="P118" s="127"/>
      <c r="Q118" s="127"/>
      <c r="R118" s="127"/>
      <c r="S118" s="127"/>
      <c r="T118" s="127"/>
      <c r="U118" s="127"/>
      <c r="V118" s="127"/>
      <c r="W118" s="127"/>
      <c r="X118" s="127"/>
      <c r="Y118" s="127"/>
      <c r="Z118" s="127"/>
    </row>
    <row r="119" customFormat="false" ht="15.75" hidden="false" customHeight="false" outlineLevel="0" collapsed="false">
      <c r="A119" s="127"/>
      <c r="B119" s="127"/>
      <c r="C119" s="127"/>
      <c r="D119" s="127"/>
      <c r="E119" s="127"/>
      <c r="F119" s="127"/>
      <c r="G119" s="127"/>
      <c r="H119" s="127"/>
      <c r="I119" s="127"/>
      <c r="J119" s="127"/>
      <c r="K119" s="127"/>
      <c r="L119" s="127"/>
      <c r="M119" s="127"/>
      <c r="N119" s="127"/>
      <c r="O119" s="127"/>
      <c r="P119" s="127"/>
      <c r="Q119" s="127"/>
      <c r="R119" s="127"/>
      <c r="S119" s="127"/>
      <c r="T119" s="127"/>
      <c r="U119" s="127"/>
      <c r="V119" s="127"/>
      <c r="W119" s="127"/>
      <c r="X119" s="127"/>
      <c r="Y119" s="127"/>
      <c r="Z119" s="127"/>
    </row>
    <row r="120" customFormat="false" ht="15.75" hidden="false" customHeight="false" outlineLevel="0" collapsed="false">
      <c r="A120" s="127"/>
      <c r="B120" s="127"/>
      <c r="C120" s="127"/>
      <c r="D120" s="127"/>
      <c r="E120" s="127"/>
      <c r="F120" s="127"/>
      <c r="G120" s="127"/>
      <c r="H120" s="127"/>
      <c r="I120" s="127"/>
      <c r="J120" s="127"/>
      <c r="K120" s="127"/>
      <c r="L120" s="127"/>
      <c r="M120" s="127"/>
      <c r="N120" s="127"/>
      <c r="O120" s="127"/>
      <c r="P120" s="127"/>
      <c r="Q120" s="127"/>
      <c r="R120" s="127"/>
      <c r="S120" s="127"/>
      <c r="T120" s="127"/>
      <c r="U120" s="127"/>
      <c r="V120" s="127"/>
      <c r="W120" s="127"/>
      <c r="X120" s="127"/>
      <c r="Y120" s="127"/>
      <c r="Z120" s="127"/>
    </row>
    <row r="121" customFormat="false" ht="15.75" hidden="false" customHeight="false" outlineLevel="0" collapsed="false">
      <c r="A121" s="127"/>
      <c r="B121" s="127"/>
      <c r="C121" s="127"/>
      <c r="D121" s="127"/>
      <c r="E121" s="127"/>
      <c r="F121" s="127"/>
      <c r="G121" s="127"/>
      <c r="H121" s="127"/>
      <c r="I121" s="127"/>
      <c r="J121" s="127"/>
      <c r="K121" s="127"/>
      <c r="L121" s="127"/>
      <c r="M121" s="127"/>
      <c r="N121" s="127"/>
      <c r="O121" s="127"/>
      <c r="P121" s="127"/>
      <c r="Q121" s="127"/>
      <c r="R121" s="127"/>
      <c r="S121" s="127"/>
      <c r="T121" s="127"/>
      <c r="U121" s="127"/>
      <c r="V121" s="127"/>
      <c r="W121" s="127"/>
      <c r="X121" s="127"/>
      <c r="Y121" s="127"/>
      <c r="Z121" s="127"/>
    </row>
    <row r="122" customFormat="false" ht="15.75" hidden="false" customHeight="false" outlineLevel="0" collapsed="false">
      <c r="A122" s="127"/>
      <c r="B122" s="127"/>
      <c r="C122" s="127"/>
      <c r="D122" s="127"/>
      <c r="E122" s="127"/>
      <c r="F122" s="127"/>
      <c r="G122" s="127"/>
      <c r="H122" s="127"/>
      <c r="I122" s="127"/>
      <c r="J122" s="127"/>
      <c r="K122" s="127"/>
      <c r="L122" s="127"/>
      <c r="M122" s="127"/>
      <c r="N122" s="127"/>
      <c r="O122" s="127"/>
      <c r="P122" s="127"/>
      <c r="Q122" s="127"/>
      <c r="R122" s="127"/>
      <c r="S122" s="127"/>
      <c r="T122" s="127"/>
      <c r="U122" s="127"/>
      <c r="V122" s="127"/>
      <c r="W122" s="127"/>
      <c r="X122" s="127"/>
      <c r="Y122" s="127"/>
      <c r="Z122" s="127"/>
    </row>
    <row r="123" customFormat="false" ht="15.75" hidden="false" customHeight="false" outlineLevel="0" collapsed="false">
      <c r="A123" s="127"/>
      <c r="B123" s="127"/>
      <c r="C123" s="127"/>
      <c r="D123" s="127"/>
      <c r="E123" s="127"/>
      <c r="F123" s="127"/>
      <c r="G123" s="127"/>
      <c r="H123" s="127"/>
      <c r="I123" s="127"/>
      <c r="J123" s="127"/>
      <c r="K123" s="127"/>
      <c r="L123" s="127"/>
      <c r="M123" s="127"/>
      <c r="N123" s="127"/>
      <c r="O123" s="127"/>
      <c r="P123" s="127"/>
      <c r="Q123" s="127"/>
      <c r="R123" s="127"/>
      <c r="S123" s="127"/>
      <c r="T123" s="127"/>
      <c r="U123" s="127"/>
      <c r="V123" s="127"/>
      <c r="W123" s="127"/>
      <c r="X123" s="127"/>
      <c r="Y123" s="127"/>
      <c r="Z123" s="127"/>
    </row>
    <row r="124" customFormat="false" ht="15.75" hidden="false" customHeight="false" outlineLevel="0" collapsed="false">
      <c r="A124" s="127"/>
      <c r="B124" s="127"/>
      <c r="C124" s="127"/>
      <c r="D124" s="127"/>
      <c r="E124" s="127"/>
      <c r="F124" s="127"/>
      <c r="G124" s="127"/>
      <c r="H124" s="127"/>
      <c r="I124" s="127"/>
      <c r="J124" s="127"/>
      <c r="K124" s="127"/>
      <c r="L124" s="127"/>
      <c r="M124" s="127"/>
      <c r="N124" s="127"/>
      <c r="O124" s="127"/>
      <c r="P124" s="127"/>
      <c r="Q124" s="127"/>
      <c r="R124" s="127"/>
      <c r="S124" s="127"/>
      <c r="T124" s="127"/>
      <c r="U124" s="127"/>
      <c r="V124" s="127"/>
      <c r="W124" s="127"/>
      <c r="X124" s="127"/>
      <c r="Y124" s="127"/>
      <c r="Z124" s="127"/>
    </row>
    <row r="125" customFormat="false" ht="15.75" hidden="false" customHeight="false" outlineLevel="0" collapsed="false">
      <c r="A125" s="127"/>
      <c r="B125" s="127"/>
      <c r="C125" s="127"/>
      <c r="D125" s="127"/>
      <c r="E125" s="127"/>
      <c r="F125" s="127"/>
      <c r="G125" s="127"/>
      <c r="H125" s="127"/>
      <c r="I125" s="127"/>
      <c r="J125" s="127"/>
      <c r="K125" s="127"/>
      <c r="L125" s="127"/>
      <c r="M125" s="127"/>
      <c r="N125" s="127"/>
      <c r="O125" s="127"/>
      <c r="P125" s="127"/>
      <c r="Q125" s="127"/>
      <c r="R125" s="127"/>
      <c r="S125" s="127"/>
      <c r="T125" s="127"/>
      <c r="U125" s="127"/>
      <c r="V125" s="127"/>
      <c r="W125" s="127"/>
      <c r="X125" s="127"/>
      <c r="Y125" s="127"/>
      <c r="Z125" s="127"/>
    </row>
    <row r="126" customFormat="false" ht="15.75" hidden="false" customHeight="false" outlineLevel="0" collapsed="false">
      <c r="A126" s="127"/>
      <c r="B126" s="127"/>
      <c r="C126" s="127"/>
      <c r="D126" s="127"/>
      <c r="E126" s="127"/>
      <c r="F126" s="127"/>
      <c r="G126" s="127"/>
      <c r="H126" s="127"/>
      <c r="I126" s="127"/>
      <c r="J126" s="127"/>
      <c r="K126" s="127"/>
      <c r="L126" s="127"/>
      <c r="M126" s="127"/>
      <c r="N126" s="127"/>
      <c r="O126" s="127"/>
      <c r="P126" s="127"/>
      <c r="Q126" s="127"/>
      <c r="R126" s="127"/>
      <c r="S126" s="127"/>
      <c r="T126" s="127"/>
      <c r="U126" s="127"/>
      <c r="V126" s="127"/>
      <c r="W126" s="127"/>
      <c r="X126" s="127"/>
      <c r="Y126" s="127"/>
      <c r="Z126" s="127"/>
    </row>
    <row r="127" customFormat="false" ht="15.75" hidden="false" customHeight="false" outlineLevel="0" collapsed="false">
      <c r="A127" s="127"/>
      <c r="B127" s="127"/>
      <c r="C127" s="127"/>
      <c r="D127" s="127"/>
      <c r="E127" s="127"/>
      <c r="F127" s="127"/>
      <c r="G127" s="127"/>
      <c r="H127" s="127"/>
      <c r="I127" s="127"/>
      <c r="J127" s="127"/>
      <c r="K127" s="127"/>
      <c r="L127" s="127"/>
      <c r="M127" s="127"/>
      <c r="N127" s="127"/>
      <c r="O127" s="127"/>
      <c r="P127" s="127"/>
      <c r="Q127" s="127"/>
      <c r="R127" s="127"/>
      <c r="S127" s="127"/>
      <c r="T127" s="127"/>
      <c r="U127" s="127"/>
      <c r="V127" s="127"/>
      <c r="W127" s="127"/>
      <c r="X127" s="127"/>
      <c r="Y127" s="127"/>
      <c r="Z127" s="127"/>
    </row>
    <row r="128" customFormat="false" ht="15.75" hidden="false" customHeight="false" outlineLevel="0" collapsed="false">
      <c r="A128" s="127"/>
      <c r="B128" s="127"/>
      <c r="C128" s="127"/>
      <c r="D128" s="127"/>
      <c r="E128" s="127"/>
      <c r="F128" s="127"/>
      <c r="G128" s="127"/>
      <c r="H128" s="127"/>
      <c r="I128" s="127"/>
      <c r="J128" s="127"/>
      <c r="K128" s="127"/>
      <c r="L128" s="127"/>
      <c r="M128" s="127"/>
      <c r="N128" s="127"/>
      <c r="O128" s="127"/>
      <c r="P128" s="127"/>
      <c r="Q128" s="127"/>
      <c r="R128" s="127"/>
      <c r="S128" s="127"/>
      <c r="T128" s="127"/>
      <c r="U128" s="127"/>
      <c r="V128" s="127"/>
      <c r="W128" s="127"/>
      <c r="X128" s="127"/>
      <c r="Y128" s="127"/>
      <c r="Z128" s="127"/>
    </row>
    <row r="129" customFormat="false" ht="15.75" hidden="false" customHeight="false" outlineLevel="0" collapsed="false">
      <c r="A129" s="127"/>
      <c r="B129" s="127"/>
      <c r="C129" s="127"/>
      <c r="D129" s="127"/>
      <c r="E129" s="127"/>
      <c r="F129" s="127"/>
      <c r="G129" s="127"/>
      <c r="H129" s="127"/>
      <c r="I129" s="127"/>
      <c r="J129" s="127"/>
      <c r="K129" s="127"/>
      <c r="L129" s="127"/>
      <c r="M129" s="127"/>
      <c r="N129" s="127"/>
      <c r="O129" s="127"/>
      <c r="P129" s="127"/>
      <c r="Q129" s="127"/>
      <c r="R129" s="127"/>
      <c r="S129" s="127"/>
      <c r="T129" s="127"/>
      <c r="U129" s="127"/>
      <c r="V129" s="127"/>
      <c r="W129" s="127"/>
      <c r="X129" s="127"/>
      <c r="Y129" s="127"/>
      <c r="Z129" s="127"/>
    </row>
    <row r="130" customFormat="false" ht="15.75" hidden="false" customHeight="false" outlineLevel="0" collapsed="false">
      <c r="A130" s="127"/>
      <c r="B130" s="127"/>
      <c r="C130" s="127"/>
      <c r="D130" s="127"/>
      <c r="E130" s="127"/>
      <c r="F130" s="127"/>
      <c r="G130" s="127"/>
      <c r="H130" s="127"/>
      <c r="I130" s="127"/>
      <c r="J130" s="127"/>
      <c r="K130" s="127"/>
      <c r="L130" s="127"/>
      <c r="M130" s="127"/>
      <c r="N130" s="127"/>
      <c r="O130" s="127"/>
      <c r="P130" s="127"/>
      <c r="Q130" s="127"/>
      <c r="R130" s="127"/>
      <c r="S130" s="127"/>
      <c r="T130" s="127"/>
      <c r="U130" s="127"/>
      <c r="V130" s="127"/>
      <c r="W130" s="127"/>
      <c r="X130" s="127"/>
      <c r="Y130" s="127"/>
      <c r="Z130" s="127"/>
    </row>
    <row r="131" customFormat="false" ht="15.75" hidden="false" customHeight="false" outlineLevel="0" collapsed="false">
      <c r="A131" s="127"/>
      <c r="B131" s="127"/>
      <c r="C131" s="127"/>
      <c r="D131" s="127"/>
      <c r="E131" s="127"/>
      <c r="F131" s="127"/>
      <c r="G131" s="127"/>
      <c r="H131" s="127"/>
      <c r="I131" s="127"/>
      <c r="J131" s="127"/>
      <c r="K131" s="127"/>
      <c r="L131" s="127"/>
      <c r="M131" s="127"/>
      <c r="N131" s="127"/>
      <c r="O131" s="127"/>
      <c r="P131" s="127"/>
      <c r="Q131" s="127"/>
      <c r="R131" s="127"/>
      <c r="S131" s="127"/>
      <c r="T131" s="127"/>
      <c r="U131" s="127"/>
      <c r="V131" s="127"/>
      <c r="W131" s="127"/>
      <c r="X131" s="127"/>
      <c r="Y131" s="127"/>
      <c r="Z131" s="127"/>
    </row>
    <row r="132" customFormat="false" ht="15.75" hidden="false" customHeight="false" outlineLevel="0" collapsed="false">
      <c r="A132" s="127"/>
      <c r="B132" s="127"/>
      <c r="C132" s="127"/>
      <c r="D132" s="127"/>
      <c r="E132" s="127"/>
      <c r="F132" s="127"/>
      <c r="G132" s="127"/>
      <c r="H132" s="127"/>
      <c r="I132" s="127"/>
      <c r="J132" s="127"/>
      <c r="K132" s="127"/>
      <c r="L132" s="127"/>
      <c r="M132" s="127"/>
      <c r="N132" s="127"/>
      <c r="O132" s="127"/>
      <c r="P132" s="127"/>
      <c r="Q132" s="127"/>
      <c r="R132" s="127"/>
      <c r="S132" s="127"/>
      <c r="T132" s="127"/>
      <c r="U132" s="127"/>
      <c r="V132" s="127"/>
      <c r="W132" s="127"/>
      <c r="X132" s="127"/>
      <c r="Y132" s="127"/>
      <c r="Z132" s="127"/>
    </row>
    <row r="133" customFormat="false" ht="15.75" hidden="false" customHeight="false" outlineLevel="0" collapsed="false">
      <c r="A133" s="127"/>
      <c r="B133" s="127"/>
      <c r="C133" s="127"/>
      <c r="D133" s="127"/>
      <c r="E133" s="127"/>
      <c r="F133" s="127"/>
      <c r="G133" s="127"/>
      <c r="H133" s="127"/>
      <c r="I133" s="127"/>
      <c r="J133" s="127"/>
      <c r="K133" s="127"/>
      <c r="L133" s="127"/>
      <c r="M133" s="127"/>
      <c r="N133" s="127"/>
      <c r="O133" s="127"/>
      <c r="P133" s="127"/>
      <c r="Q133" s="127"/>
      <c r="R133" s="127"/>
      <c r="S133" s="127"/>
      <c r="T133" s="127"/>
      <c r="U133" s="127"/>
      <c r="V133" s="127"/>
      <c r="W133" s="127"/>
      <c r="X133" s="127"/>
      <c r="Y133" s="127"/>
      <c r="Z133" s="127"/>
    </row>
    <row r="134" customFormat="false" ht="15.75" hidden="false" customHeight="false" outlineLevel="0" collapsed="false">
      <c r="A134" s="127"/>
      <c r="B134" s="127"/>
      <c r="C134" s="127"/>
      <c r="D134" s="127"/>
      <c r="E134" s="127"/>
      <c r="F134" s="127"/>
      <c r="G134" s="127"/>
      <c r="H134" s="127"/>
      <c r="I134" s="127"/>
      <c r="J134" s="127"/>
      <c r="K134" s="127"/>
      <c r="L134" s="127"/>
      <c r="M134" s="127"/>
      <c r="N134" s="127"/>
      <c r="O134" s="127"/>
      <c r="P134" s="127"/>
      <c r="Q134" s="127"/>
      <c r="R134" s="127"/>
      <c r="S134" s="127"/>
      <c r="T134" s="127"/>
      <c r="U134" s="127"/>
      <c r="V134" s="127"/>
      <c r="W134" s="127"/>
      <c r="X134" s="127"/>
      <c r="Y134" s="127"/>
      <c r="Z134" s="127"/>
    </row>
    <row r="135" customFormat="false" ht="15.75" hidden="false" customHeight="false" outlineLevel="0" collapsed="false">
      <c r="A135" s="127"/>
      <c r="B135" s="127"/>
      <c r="C135" s="127"/>
      <c r="D135" s="127"/>
      <c r="E135" s="127"/>
      <c r="F135" s="127"/>
      <c r="G135" s="127"/>
      <c r="H135" s="127"/>
      <c r="I135" s="127"/>
      <c r="J135" s="127"/>
      <c r="K135" s="127"/>
      <c r="L135" s="127"/>
      <c r="M135" s="127"/>
      <c r="N135" s="127"/>
      <c r="O135" s="127"/>
      <c r="P135" s="127"/>
      <c r="Q135" s="127"/>
      <c r="R135" s="127"/>
      <c r="S135" s="127"/>
      <c r="T135" s="127"/>
      <c r="U135" s="127"/>
      <c r="V135" s="127"/>
      <c r="W135" s="127"/>
      <c r="X135" s="127"/>
      <c r="Y135" s="127"/>
      <c r="Z135" s="127"/>
    </row>
    <row r="136" customFormat="false" ht="15.75" hidden="false" customHeight="false" outlineLevel="0" collapsed="false">
      <c r="A136" s="127"/>
      <c r="B136" s="127"/>
      <c r="C136" s="127"/>
      <c r="D136" s="127"/>
      <c r="E136" s="127"/>
      <c r="F136" s="127"/>
      <c r="G136" s="127"/>
      <c r="H136" s="127"/>
      <c r="I136" s="127"/>
      <c r="J136" s="127"/>
      <c r="K136" s="127"/>
      <c r="L136" s="127"/>
      <c r="M136" s="127"/>
      <c r="N136" s="127"/>
      <c r="O136" s="127"/>
      <c r="P136" s="127"/>
      <c r="Q136" s="127"/>
      <c r="R136" s="127"/>
      <c r="S136" s="127"/>
      <c r="T136" s="127"/>
      <c r="U136" s="127"/>
      <c r="V136" s="127"/>
      <c r="W136" s="127"/>
      <c r="X136" s="127"/>
      <c r="Y136" s="127"/>
      <c r="Z136" s="127"/>
    </row>
    <row r="137" customFormat="false" ht="15.75" hidden="false" customHeight="false" outlineLevel="0" collapsed="false">
      <c r="A137" s="127"/>
      <c r="B137" s="127"/>
      <c r="C137" s="127"/>
      <c r="D137" s="127"/>
      <c r="E137" s="127"/>
      <c r="F137" s="127"/>
      <c r="G137" s="127"/>
      <c r="H137" s="127"/>
      <c r="I137" s="127"/>
      <c r="J137" s="127"/>
      <c r="K137" s="127"/>
      <c r="L137" s="127"/>
      <c r="M137" s="127"/>
      <c r="N137" s="127"/>
      <c r="O137" s="127"/>
      <c r="P137" s="127"/>
      <c r="Q137" s="127"/>
      <c r="R137" s="127"/>
      <c r="S137" s="127"/>
      <c r="T137" s="127"/>
      <c r="U137" s="127"/>
      <c r="V137" s="127"/>
      <c r="W137" s="127"/>
      <c r="X137" s="127"/>
      <c r="Y137" s="127"/>
      <c r="Z137" s="127"/>
    </row>
    <row r="138" customFormat="false" ht="15.75" hidden="false" customHeight="false" outlineLevel="0" collapsed="false">
      <c r="A138" s="127"/>
      <c r="B138" s="127"/>
      <c r="C138" s="127"/>
      <c r="D138" s="127"/>
      <c r="E138" s="127"/>
      <c r="F138" s="127"/>
      <c r="G138" s="127"/>
      <c r="H138" s="127"/>
      <c r="I138" s="127"/>
      <c r="J138" s="127"/>
      <c r="K138" s="127"/>
      <c r="L138" s="127"/>
      <c r="M138" s="127"/>
      <c r="N138" s="127"/>
      <c r="O138" s="127"/>
      <c r="P138" s="127"/>
      <c r="Q138" s="127"/>
      <c r="R138" s="127"/>
      <c r="S138" s="127"/>
      <c r="T138" s="127"/>
      <c r="U138" s="127"/>
      <c r="V138" s="127"/>
      <c r="W138" s="127"/>
      <c r="X138" s="127"/>
      <c r="Y138" s="127"/>
      <c r="Z138" s="127"/>
    </row>
    <row r="139" customFormat="false" ht="15.75" hidden="false" customHeight="false" outlineLevel="0" collapsed="false">
      <c r="A139" s="127"/>
      <c r="B139" s="127"/>
      <c r="C139" s="127"/>
      <c r="D139" s="127"/>
      <c r="E139" s="127"/>
      <c r="F139" s="127"/>
      <c r="G139" s="127"/>
      <c r="H139" s="127"/>
      <c r="I139" s="127"/>
      <c r="J139" s="127"/>
      <c r="K139" s="127"/>
      <c r="L139" s="127"/>
      <c r="M139" s="127"/>
      <c r="N139" s="127"/>
      <c r="O139" s="127"/>
      <c r="P139" s="127"/>
      <c r="Q139" s="127"/>
      <c r="R139" s="127"/>
      <c r="S139" s="127"/>
      <c r="T139" s="127"/>
      <c r="U139" s="127"/>
      <c r="V139" s="127"/>
      <c r="W139" s="127"/>
      <c r="X139" s="127"/>
      <c r="Y139" s="127"/>
      <c r="Z139" s="127"/>
    </row>
    <row r="140" customFormat="false" ht="15.75" hidden="false" customHeight="false" outlineLevel="0" collapsed="false">
      <c r="A140" s="127"/>
      <c r="B140" s="127"/>
      <c r="C140" s="127"/>
      <c r="D140" s="127"/>
      <c r="E140" s="127"/>
      <c r="F140" s="127"/>
      <c r="G140" s="127"/>
      <c r="H140" s="127"/>
      <c r="I140" s="127"/>
      <c r="J140" s="127"/>
      <c r="K140" s="127"/>
      <c r="L140" s="127"/>
      <c r="M140" s="127"/>
      <c r="N140" s="127"/>
      <c r="O140" s="127"/>
      <c r="P140" s="127"/>
      <c r="Q140" s="127"/>
      <c r="R140" s="127"/>
      <c r="S140" s="127"/>
      <c r="T140" s="127"/>
      <c r="U140" s="127"/>
      <c r="V140" s="127"/>
      <c r="W140" s="127"/>
      <c r="X140" s="127"/>
      <c r="Y140" s="127"/>
      <c r="Z140" s="127"/>
    </row>
    <row r="141" customFormat="false" ht="15.75" hidden="false" customHeight="false" outlineLevel="0" collapsed="false">
      <c r="A141" s="127"/>
      <c r="B141" s="127"/>
      <c r="C141" s="127"/>
      <c r="D141" s="127"/>
      <c r="E141" s="127"/>
      <c r="F141" s="127"/>
      <c r="G141" s="127"/>
      <c r="H141" s="127"/>
      <c r="I141" s="127"/>
      <c r="J141" s="127"/>
      <c r="K141" s="127"/>
      <c r="L141" s="127"/>
      <c r="M141" s="127"/>
      <c r="N141" s="127"/>
      <c r="O141" s="127"/>
      <c r="P141" s="127"/>
      <c r="Q141" s="127"/>
      <c r="R141" s="127"/>
      <c r="S141" s="127"/>
      <c r="T141" s="127"/>
      <c r="U141" s="127"/>
      <c r="V141" s="127"/>
      <c r="W141" s="127"/>
      <c r="X141" s="127"/>
      <c r="Y141" s="127"/>
      <c r="Z141" s="127"/>
    </row>
    <row r="142" customFormat="false" ht="15.75" hidden="false" customHeight="false" outlineLevel="0" collapsed="false">
      <c r="A142" s="127"/>
      <c r="B142" s="127"/>
      <c r="C142" s="127"/>
      <c r="D142" s="127"/>
      <c r="E142" s="127"/>
      <c r="F142" s="127"/>
      <c r="G142" s="127"/>
      <c r="H142" s="127"/>
      <c r="I142" s="127"/>
      <c r="J142" s="127"/>
      <c r="K142" s="127"/>
      <c r="L142" s="127"/>
      <c r="M142" s="127"/>
      <c r="N142" s="127"/>
      <c r="O142" s="127"/>
      <c r="P142" s="127"/>
      <c r="Q142" s="127"/>
      <c r="R142" s="127"/>
      <c r="S142" s="127"/>
      <c r="T142" s="127"/>
      <c r="U142" s="127"/>
      <c r="V142" s="127"/>
      <c r="W142" s="127"/>
      <c r="X142" s="127"/>
      <c r="Y142" s="127"/>
      <c r="Z142" s="127"/>
    </row>
    <row r="143" customFormat="false" ht="15.75" hidden="false" customHeight="false" outlineLevel="0" collapsed="false">
      <c r="A143" s="127"/>
      <c r="B143" s="127"/>
      <c r="C143" s="127"/>
      <c r="D143" s="127"/>
      <c r="E143" s="127"/>
      <c r="F143" s="127"/>
      <c r="G143" s="127"/>
      <c r="H143" s="127"/>
      <c r="I143" s="127"/>
      <c r="J143" s="127"/>
      <c r="K143" s="127"/>
      <c r="L143" s="127"/>
      <c r="M143" s="127"/>
      <c r="N143" s="127"/>
      <c r="O143" s="127"/>
      <c r="P143" s="127"/>
      <c r="Q143" s="127"/>
      <c r="R143" s="127"/>
      <c r="S143" s="127"/>
      <c r="T143" s="127"/>
      <c r="U143" s="127"/>
      <c r="V143" s="127"/>
      <c r="W143" s="127"/>
      <c r="X143" s="127"/>
      <c r="Y143" s="127"/>
      <c r="Z143" s="127"/>
    </row>
    <row r="144" customFormat="false" ht="15.75" hidden="false" customHeight="false" outlineLevel="0" collapsed="false">
      <c r="A144" s="127"/>
      <c r="B144" s="127"/>
      <c r="C144" s="127"/>
      <c r="D144" s="127"/>
      <c r="E144" s="127"/>
      <c r="F144" s="127"/>
      <c r="G144" s="127"/>
      <c r="H144" s="127"/>
      <c r="I144" s="127"/>
      <c r="J144" s="127"/>
      <c r="K144" s="127"/>
      <c r="L144" s="127"/>
      <c r="M144" s="127"/>
      <c r="N144" s="127"/>
      <c r="O144" s="127"/>
      <c r="P144" s="127"/>
      <c r="Q144" s="127"/>
      <c r="R144" s="127"/>
      <c r="S144" s="127"/>
      <c r="T144" s="127"/>
      <c r="U144" s="127"/>
      <c r="V144" s="127"/>
      <c r="W144" s="127"/>
      <c r="X144" s="127"/>
      <c r="Y144" s="127"/>
      <c r="Z144" s="127"/>
    </row>
    <row r="145" customFormat="false" ht="15.75" hidden="false" customHeight="false" outlineLevel="0" collapsed="false">
      <c r="A145" s="127"/>
      <c r="B145" s="127"/>
      <c r="C145" s="127"/>
      <c r="D145" s="127"/>
      <c r="E145" s="127"/>
      <c r="F145" s="127"/>
      <c r="G145" s="127"/>
      <c r="H145" s="127"/>
      <c r="I145" s="127"/>
      <c r="J145" s="127"/>
      <c r="K145" s="127"/>
      <c r="L145" s="127"/>
      <c r="M145" s="127"/>
      <c r="N145" s="127"/>
      <c r="O145" s="127"/>
      <c r="P145" s="127"/>
      <c r="Q145" s="127"/>
      <c r="R145" s="127"/>
      <c r="S145" s="127"/>
      <c r="T145" s="127"/>
      <c r="U145" s="127"/>
      <c r="V145" s="127"/>
      <c r="W145" s="127"/>
      <c r="X145" s="127"/>
      <c r="Y145" s="127"/>
      <c r="Z145" s="127"/>
    </row>
    <row r="146" customFormat="false" ht="15.75" hidden="false" customHeight="false" outlineLevel="0" collapsed="false">
      <c r="A146" s="127"/>
      <c r="B146" s="127"/>
      <c r="C146" s="127"/>
      <c r="D146" s="127"/>
      <c r="E146" s="127"/>
      <c r="F146" s="127"/>
      <c r="G146" s="127"/>
      <c r="H146" s="127"/>
      <c r="I146" s="127"/>
      <c r="J146" s="127"/>
      <c r="K146" s="127"/>
      <c r="L146" s="127"/>
      <c r="M146" s="127"/>
      <c r="N146" s="127"/>
      <c r="O146" s="127"/>
      <c r="P146" s="127"/>
      <c r="Q146" s="127"/>
      <c r="R146" s="127"/>
      <c r="S146" s="127"/>
      <c r="T146" s="127"/>
      <c r="U146" s="127"/>
      <c r="V146" s="127"/>
      <c r="W146" s="127"/>
      <c r="X146" s="127"/>
      <c r="Y146" s="127"/>
      <c r="Z146" s="127"/>
    </row>
    <row r="147" customFormat="false" ht="15.75" hidden="false" customHeight="false" outlineLevel="0" collapsed="false">
      <c r="A147" s="127"/>
      <c r="B147" s="127"/>
      <c r="C147" s="127"/>
      <c r="D147" s="127"/>
      <c r="E147" s="127"/>
      <c r="F147" s="127"/>
      <c r="G147" s="127"/>
      <c r="H147" s="127"/>
      <c r="I147" s="127"/>
      <c r="J147" s="127"/>
      <c r="K147" s="127"/>
      <c r="L147" s="127"/>
      <c r="M147" s="127"/>
      <c r="N147" s="127"/>
      <c r="O147" s="127"/>
      <c r="P147" s="127"/>
      <c r="Q147" s="127"/>
      <c r="R147" s="127"/>
      <c r="S147" s="127"/>
      <c r="T147" s="127"/>
      <c r="U147" s="127"/>
      <c r="V147" s="127"/>
      <c r="W147" s="127"/>
      <c r="X147" s="127"/>
      <c r="Y147" s="127"/>
      <c r="Z147" s="127"/>
    </row>
    <row r="148" customFormat="false" ht="15.75" hidden="false" customHeight="false" outlineLevel="0" collapsed="false">
      <c r="A148" s="127"/>
      <c r="B148" s="127"/>
      <c r="C148" s="127"/>
      <c r="D148" s="127"/>
      <c r="E148" s="127"/>
      <c r="F148" s="127"/>
      <c r="G148" s="127"/>
      <c r="H148" s="127"/>
      <c r="I148" s="127"/>
      <c r="J148" s="127"/>
      <c r="K148" s="127"/>
      <c r="L148" s="127"/>
      <c r="M148" s="127"/>
      <c r="N148" s="127"/>
      <c r="O148" s="127"/>
      <c r="P148" s="127"/>
      <c r="Q148" s="127"/>
      <c r="R148" s="127"/>
      <c r="S148" s="127"/>
      <c r="T148" s="127"/>
      <c r="U148" s="127"/>
      <c r="V148" s="127"/>
      <c r="W148" s="127"/>
      <c r="X148" s="127"/>
      <c r="Y148" s="127"/>
      <c r="Z148" s="127"/>
    </row>
    <row r="149" customFormat="false" ht="15.75" hidden="false" customHeight="false" outlineLevel="0" collapsed="false">
      <c r="A149" s="127"/>
      <c r="B149" s="127"/>
      <c r="C149" s="127"/>
      <c r="D149" s="127"/>
      <c r="E149" s="127"/>
      <c r="F149" s="127"/>
      <c r="G149" s="127"/>
      <c r="H149" s="127"/>
      <c r="I149" s="127"/>
      <c r="J149" s="127"/>
      <c r="K149" s="127"/>
      <c r="L149" s="127"/>
      <c r="M149" s="127"/>
      <c r="N149" s="127"/>
      <c r="O149" s="127"/>
      <c r="P149" s="127"/>
      <c r="Q149" s="127"/>
      <c r="R149" s="127"/>
      <c r="S149" s="127"/>
      <c r="T149" s="127"/>
      <c r="U149" s="127"/>
      <c r="V149" s="127"/>
      <c r="W149" s="127"/>
      <c r="X149" s="127"/>
      <c r="Y149" s="127"/>
      <c r="Z149" s="127"/>
    </row>
    <row r="150" customFormat="false" ht="15.75" hidden="false" customHeight="false" outlineLevel="0" collapsed="false">
      <c r="A150" s="127"/>
      <c r="B150" s="127"/>
      <c r="C150" s="127"/>
      <c r="D150" s="127"/>
      <c r="E150" s="127"/>
      <c r="F150" s="127"/>
      <c r="G150" s="127"/>
      <c r="H150" s="127"/>
      <c r="I150" s="127"/>
      <c r="J150" s="127"/>
      <c r="K150" s="127"/>
      <c r="L150" s="127"/>
      <c r="M150" s="127"/>
      <c r="N150" s="127"/>
      <c r="O150" s="127"/>
      <c r="P150" s="127"/>
      <c r="Q150" s="127"/>
      <c r="R150" s="127"/>
      <c r="S150" s="127"/>
      <c r="T150" s="127"/>
      <c r="U150" s="127"/>
      <c r="V150" s="127"/>
      <c r="W150" s="127"/>
      <c r="X150" s="127"/>
      <c r="Y150" s="127"/>
      <c r="Z150" s="127"/>
    </row>
    <row r="151" customFormat="false" ht="15.75" hidden="false" customHeight="false" outlineLevel="0" collapsed="false">
      <c r="A151" s="127"/>
      <c r="B151" s="127"/>
      <c r="C151" s="127"/>
      <c r="D151" s="127"/>
      <c r="E151" s="127"/>
      <c r="F151" s="127"/>
      <c r="G151" s="127"/>
      <c r="H151" s="127"/>
      <c r="I151" s="127"/>
      <c r="J151" s="127"/>
      <c r="K151" s="127"/>
      <c r="L151" s="127"/>
      <c r="M151" s="127"/>
      <c r="N151" s="127"/>
      <c r="O151" s="127"/>
      <c r="P151" s="127"/>
      <c r="Q151" s="127"/>
      <c r="R151" s="127"/>
      <c r="S151" s="127"/>
      <c r="T151" s="127"/>
      <c r="U151" s="127"/>
      <c r="V151" s="127"/>
      <c r="W151" s="127"/>
      <c r="X151" s="127"/>
      <c r="Y151" s="127"/>
      <c r="Z151" s="127"/>
    </row>
    <row r="152" customFormat="false" ht="15.75" hidden="false" customHeight="false" outlineLevel="0" collapsed="false">
      <c r="A152" s="127"/>
      <c r="B152" s="127"/>
      <c r="C152" s="127"/>
      <c r="D152" s="127"/>
      <c r="E152" s="127"/>
      <c r="F152" s="127"/>
      <c r="G152" s="127"/>
      <c r="H152" s="127"/>
      <c r="I152" s="127"/>
      <c r="J152" s="127"/>
      <c r="K152" s="127"/>
      <c r="L152" s="127"/>
      <c r="M152" s="127"/>
      <c r="N152" s="127"/>
      <c r="O152" s="127"/>
      <c r="P152" s="127"/>
      <c r="Q152" s="127"/>
      <c r="R152" s="127"/>
      <c r="S152" s="127"/>
      <c r="T152" s="127"/>
      <c r="U152" s="127"/>
      <c r="V152" s="127"/>
      <c r="W152" s="127"/>
      <c r="X152" s="127"/>
      <c r="Y152" s="127"/>
      <c r="Z152" s="127"/>
    </row>
    <row r="153" customFormat="false" ht="15.75" hidden="false" customHeight="false" outlineLevel="0" collapsed="false">
      <c r="A153" s="127"/>
      <c r="B153" s="127"/>
      <c r="C153" s="127"/>
      <c r="D153" s="127"/>
      <c r="E153" s="127"/>
      <c r="F153" s="127"/>
      <c r="G153" s="127"/>
      <c r="H153" s="127"/>
      <c r="I153" s="127"/>
      <c r="J153" s="127"/>
      <c r="K153" s="127"/>
      <c r="L153" s="127"/>
      <c r="M153" s="127"/>
      <c r="N153" s="127"/>
      <c r="O153" s="127"/>
      <c r="P153" s="127"/>
      <c r="Q153" s="127"/>
      <c r="R153" s="127"/>
      <c r="S153" s="127"/>
      <c r="T153" s="127"/>
      <c r="U153" s="127"/>
      <c r="V153" s="127"/>
      <c r="W153" s="127"/>
      <c r="X153" s="127"/>
      <c r="Y153" s="127"/>
      <c r="Z153" s="127"/>
    </row>
    <row r="154" customFormat="false" ht="15.75" hidden="false" customHeight="false" outlineLevel="0" collapsed="false">
      <c r="A154" s="127"/>
      <c r="B154" s="127"/>
      <c r="C154" s="127"/>
      <c r="D154" s="127"/>
      <c r="E154" s="127"/>
      <c r="F154" s="127"/>
      <c r="G154" s="127"/>
      <c r="H154" s="127"/>
      <c r="I154" s="127"/>
      <c r="J154" s="127"/>
      <c r="K154" s="127"/>
      <c r="L154" s="127"/>
      <c r="M154" s="127"/>
      <c r="N154" s="127"/>
      <c r="O154" s="127"/>
      <c r="P154" s="127"/>
      <c r="Q154" s="127"/>
      <c r="R154" s="127"/>
      <c r="S154" s="127"/>
      <c r="T154" s="127"/>
      <c r="U154" s="127"/>
      <c r="V154" s="127"/>
      <c r="W154" s="127"/>
      <c r="X154" s="127"/>
      <c r="Y154" s="127"/>
      <c r="Z154" s="127"/>
    </row>
    <row r="155" customFormat="false" ht="15.75" hidden="false" customHeight="false" outlineLevel="0" collapsed="false">
      <c r="A155" s="127"/>
      <c r="B155" s="127"/>
      <c r="C155" s="127"/>
      <c r="D155" s="127"/>
      <c r="E155" s="127"/>
      <c r="F155" s="127"/>
      <c r="G155" s="127"/>
      <c r="H155" s="127"/>
      <c r="I155" s="127"/>
      <c r="J155" s="127"/>
      <c r="K155" s="127"/>
      <c r="L155" s="127"/>
      <c r="M155" s="127"/>
      <c r="N155" s="127"/>
      <c r="O155" s="127"/>
      <c r="P155" s="127"/>
      <c r="Q155" s="127"/>
      <c r="R155" s="127"/>
      <c r="S155" s="127"/>
      <c r="T155" s="127"/>
      <c r="U155" s="127"/>
      <c r="V155" s="127"/>
      <c r="W155" s="127"/>
      <c r="X155" s="127"/>
      <c r="Y155" s="127"/>
      <c r="Z155" s="127"/>
    </row>
    <row r="156" customFormat="false" ht="15.75" hidden="false" customHeight="false" outlineLevel="0" collapsed="false">
      <c r="A156" s="127"/>
      <c r="B156" s="127"/>
      <c r="C156" s="127"/>
      <c r="D156" s="127"/>
      <c r="E156" s="127"/>
      <c r="F156" s="127"/>
      <c r="G156" s="127"/>
      <c r="H156" s="127"/>
      <c r="I156" s="127"/>
      <c r="J156" s="127"/>
      <c r="K156" s="127"/>
      <c r="L156" s="127"/>
      <c r="M156" s="127"/>
      <c r="N156" s="127"/>
      <c r="O156" s="127"/>
      <c r="P156" s="127"/>
      <c r="Q156" s="127"/>
      <c r="R156" s="127"/>
      <c r="S156" s="127"/>
      <c r="T156" s="127"/>
      <c r="U156" s="127"/>
      <c r="V156" s="127"/>
      <c r="W156" s="127"/>
      <c r="X156" s="127"/>
      <c r="Y156" s="127"/>
      <c r="Z156" s="127"/>
    </row>
    <row r="157" customFormat="false" ht="15.75" hidden="false" customHeight="false" outlineLevel="0" collapsed="false">
      <c r="A157" s="127"/>
      <c r="B157" s="127"/>
      <c r="C157" s="127"/>
      <c r="D157" s="127"/>
      <c r="E157" s="127"/>
      <c r="F157" s="127"/>
      <c r="G157" s="127"/>
      <c r="H157" s="127"/>
      <c r="I157" s="127"/>
      <c r="J157" s="127"/>
      <c r="K157" s="127"/>
      <c r="L157" s="127"/>
      <c r="M157" s="127"/>
      <c r="N157" s="127"/>
      <c r="O157" s="127"/>
      <c r="P157" s="127"/>
      <c r="Q157" s="127"/>
      <c r="R157" s="127"/>
      <c r="S157" s="127"/>
      <c r="T157" s="127"/>
      <c r="U157" s="127"/>
      <c r="V157" s="127"/>
      <c r="W157" s="127"/>
      <c r="X157" s="127"/>
      <c r="Y157" s="127"/>
      <c r="Z157" s="127"/>
    </row>
    <row r="158" customFormat="false" ht="15.75" hidden="false" customHeight="false" outlineLevel="0" collapsed="false">
      <c r="A158" s="127"/>
      <c r="B158" s="127"/>
      <c r="C158" s="127"/>
      <c r="D158" s="127"/>
      <c r="E158" s="127"/>
      <c r="F158" s="127"/>
      <c r="G158" s="127"/>
      <c r="H158" s="127"/>
      <c r="I158" s="127"/>
      <c r="J158" s="127"/>
      <c r="K158" s="127"/>
      <c r="L158" s="127"/>
      <c r="M158" s="127"/>
      <c r="N158" s="127"/>
      <c r="O158" s="127"/>
      <c r="P158" s="127"/>
      <c r="Q158" s="127"/>
      <c r="R158" s="127"/>
      <c r="S158" s="127"/>
      <c r="T158" s="127"/>
      <c r="U158" s="127"/>
      <c r="V158" s="127"/>
      <c r="W158" s="127"/>
      <c r="X158" s="127"/>
      <c r="Y158" s="127"/>
      <c r="Z158" s="127"/>
    </row>
    <row r="159" customFormat="false" ht="15.75" hidden="false" customHeight="false" outlineLevel="0" collapsed="false">
      <c r="A159" s="127"/>
      <c r="B159" s="127"/>
      <c r="C159" s="127"/>
      <c r="D159" s="127"/>
      <c r="E159" s="127"/>
      <c r="F159" s="127"/>
      <c r="G159" s="127"/>
      <c r="H159" s="127"/>
      <c r="I159" s="127"/>
      <c r="J159" s="127"/>
      <c r="K159" s="127"/>
      <c r="L159" s="127"/>
      <c r="M159" s="127"/>
      <c r="N159" s="127"/>
      <c r="O159" s="127"/>
      <c r="P159" s="127"/>
      <c r="Q159" s="127"/>
      <c r="R159" s="127"/>
      <c r="S159" s="127"/>
      <c r="T159" s="127"/>
      <c r="U159" s="127"/>
      <c r="V159" s="127"/>
      <c r="W159" s="127"/>
      <c r="X159" s="127"/>
      <c r="Y159" s="127"/>
      <c r="Z159" s="127"/>
    </row>
    <row r="160" customFormat="false" ht="15.75" hidden="false" customHeight="false" outlineLevel="0" collapsed="false">
      <c r="A160" s="127"/>
      <c r="B160" s="127"/>
      <c r="C160" s="127"/>
      <c r="D160" s="127"/>
      <c r="E160" s="127"/>
      <c r="F160" s="127"/>
      <c r="G160" s="127"/>
      <c r="H160" s="127"/>
      <c r="I160" s="127"/>
      <c r="J160" s="127"/>
      <c r="K160" s="127"/>
      <c r="L160" s="127"/>
      <c r="M160" s="127"/>
      <c r="N160" s="127"/>
      <c r="O160" s="127"/>
      <c r="P160" s="127"/>
      <c r="Q160" s="127"/>
      <c r="R160" s="127"/>
      <c r="S160" s="127"/>
      <c r="T160" s="127"/>
      <c r="U160" s="127"/>
      <c r="V160" s="127"/>
      <c r="W160" s="127"/>
      <c r="X160" s="127"/>
      <c r="Y160" s="127"/>
      <c r="Z160" s="127"/>
    </row>
    <row r="161" customFormat="false" ht="15.75" hidden="false" customHeight="false" outlineLevel="0" collapsed="false">
      <c r="A161" s="127"/>
      <c r="B161" s="127"/>
      <c r="C161" s="127"/>
      <c r="D161" s="127"/>
      <c r="E161" s="127"/>
      <c r="F161" s="127"/>
      <c r="G161" s="127"/>
      <c r="H161" s="127"/>
      <c r="I161" s="127"/>
      <c r="J161" s="127"/>
      <c r="K161" s="127"/>
      <c r="L161" s="127"/>
      <c r="M161" s="127"/>
      <c r="N161" s="127"/>
      <c r="O161" s="127"/>
      <c r="P161" s="127"/>
      <c r="Q161" s="127"/>
      <c r="R161" s="127"/>
      <c r="S161" s="127"/>
      <c r="T161" s="127"/>
      <c r="U161" s="127"/>
      <c r="V161" s="127"/>
      <c r="W161" s="127"/>
      <c r="X161" s="127"/>
      <c r="Y161" s="127"/>
      <c r="Z161" s="127"/>
    </row>
    <row r="162" customFormat="false" ht="15.75" hidden="false" customHeight="false" outlineLevel="0" collapsed="false">
      <c r="A162" s="127"/>
      <c r="B162" s="127"/>
      <c r="C162" s="127"/>
      <c r="D162" s="127"/>
      <c r="E162" s="127"/>
      <c r="F162" s="127"/>
      <c r="G162" s="127"/>
      <c r="H162" s="127"/>
      <c r="I162" s="127"/>
      <c r="J162" s="127"/>
      <c r="K162" s="127"/>
      <c r="L162" s="127"/>
      <c r="M162" s="127"/>
      <c r="N162" s="127"/>
      <c r="O162" s="127"/>
      <c r="P162" s="127"/>
      <c r="Q162" s="127"/>
      <c r="R162" s="127"/>
      <c r="S162" s="127"/>
      <c r="T162" s="127"/>
      <c r="U162" s="127"/>
      <c r="V162" s="127"/>
      <c r="W162" s="127"/>
      <c r="X162" s="127"/>
      <c r="Y162" s="127"/>
      <c r="Z162" s="127"/>
    </row>
    <row r="163" customFormat="false" ht="15.75" hidden="false" customHeight="false" outlineLevel="0" collapsed="false">
      <c r="A163" s="127"/>
      <c r="B163" s="127"/>
      <c r="C163" s="127"/>
      <c r="D163" s="127"/>
      <c r="E163" s="127"/>
      <c r="F163" s="127"/>
      <c r="G163" s="127"/>
      <c r="H163" s="127"/>
      <c r="I163" s="127"/>
      <c r="J163" s="127"/>
      <c r="K163" s="127"/>
      <c r="L163" s="127"/>
      <c r="M163" s="127"/>
      <c r="N163" s="127"/>
      <c r="O163" s="127"/>
      <c r="P163" s="127"/>
      <c r="Q163" s="127"/>
      <c r="R163" s="127"/>
      <c r="S163" s="127"/>
      <c r="T163" s="127"/>
      <c r="U163" s="127"/>
      <c r="V163" s="127"/>
      <c r="W163" s="127"/>
      <c r="X163" s="127"/>
      <c r="Y163" s="127"/>
      <c r="Z163" s="127"/>
    </row>
    <row r="164" customFormat="false" ht="15.75" hidden="false" customHeight="false" outlineLevel="0" collapsed="false">
      <c r="A164" s="127"/>
      <c r="B164" s="127"/>
      <c r="C164" s="127"/>
      <c r="D164" s="127"/>
      <c r="E164" s="127"/>
      <c r="F164" s="127"/>
      <c r="G164" s="127"/>
      <c r="H164" s="127"/>
      <c r="I164" s="127"/>
      <c r="J164" s="127"/>
      <c r="K164" s="127"/>
      <c r="L164" s="127"/>
      <c r="M164" s="127"/>
      <c r="N164" s="127"/>
      <c r="O164" s="127"/>
      <c r="P164" s="127"/>
      <c r="Q164" s="127"/>
      <c r="R164" s="127"/>
      <c r="S164" s="127"/>
      <c r="T164" s="127"/>
      <c r="U164" s="127"/>
      <c r="V164" s="127"/>
      <c r="W164" s="127"/>
      <c r="X164" s="127"/>
      <c r="Y164" s="127"/>
      <c r="Z164" s="127"/>
    </row>
    <row r="165" customFormat="false" ht="15.75" hidden="false" customHeight="false" outlineLevel="0" collapsed="false">
      <c r="A165" s="127"/>
      <c r="B165" s="127"/>
      <c r="C165" s="127"/>
      <c r="D165" s="127"/>
      <c r="E165" s="127"/>
      <c r="F165" s="127"/>
      <c r="G165" s="127"/>
      <c r="H165" s="127"/>
      <c r="I165" s="127"/>
      <c r="J165" s="127"/>
      <c r="K165" s="127"/>
      <c r="L165" s="127"/>
      <c r="M165" s="127"/>
      <c r="N165" s="127"/>
      <c r="O165" s="127"/>
      <c r="P165" s="127"/>
      <c r="Q165" s="127"/>
      <c r="R165" s="127"/>
      <c r="S165" s="127"/>
      <c r="T165" s="127"/>
      <c r="U165" s="127"/>
      <c r="V165" s="127"/>
      <c r="W165" s="127"/>
      <c r="X165" s="127"/>
      <c r="Y165" s="127"/>
      <c r="Z165" s="127"/>
    </row>
    <row r="166" customFormat="false" ht="15.75" hidden="false" customHeight="false" outlineLevel="0" collapsed="false">
      <c r="A166" s="127"/>
      <c r="B166" s="127"/>
      <c r="C166" s="127"/>
      <c r="D166" s="127"/>
      <c r="E166" s="127"/>
      <c r="F166" s="127"/>
      <c r="G166" s="127"/>
      <c r="H166" s="127"/>
      <c r="I166" s="127"/>
      <c r="J166" s="127"/>
      <c r="K166" s="127"/>
      <c r="L166" s="127"/>
      <c r="M166" s="127"/>
      <c r="N166" s="127"/>
      <c r="O166" s="127"/>
      <c r="P166" s="127"/>
      <c r="Q166" s="127"/>
      <c r="R166" s="127"/>
      <c r="S166" s="127"/>
      <c r="T166" s="127"/>
      <c r="U166" s="127"/>
      <c r="V166" s="127"/>
      <c r="W166" s="127"/>
      <c r="X166" s="127"/>
      <c r="Y166" s="127"/>
      <c r="Z166" s="127"/>
    </row>
    <row r="167" customFormat="false" ht="15.75" hidden="false" customHeight="false" outlineLevel="0" collapsed="false">
      <c r="A167" s="127"/>
      <c r="B167" s="127"/>
      <c r="C167" s="127"/>
      <c r="D167" s="127"/>
      <c r="E167" s="127"/>
      <c r="F167" s="127"/>
      <c r="G167" s="127"/>
      <c r="H167" s="127"/>
      <c r="I167" s="127"/>
      <c r="J167" s="127"/>
      <c r="K167" s="127"/>
      <c r="L167" s="127"/>
      <c r="M167" s="127"/>
      <c r="N167" s="127"/>
      <c r="O167" s="127"/>
      <c r="P167" s="127"/>
      <c r="Q167" s="127"/>
      <c r="R167" s="127"/>
      <c r="S167" s="127"/>
      <c r="T167" s="127"/>
      <c r="U167" s="127"/>
      <c r="V167" s="127"/>
      <c r="W167" s="127"/>
      <c r="X167" s="127"/>
      <c r="Y167" s="127"/>
      <c r="Z167" s="127"/>
    </row>
    <row r="168" customFormat="false" ht="15.75" hidden="false" customHeight="false" outlineLevel="0" collapsed="false">
      <c r="A168" s="127"/>
      <c r="B168" s="127"/>
      <c r="C168" s="127"/>
      <c r="D168" s="127"/>
      <c r="E168" s="127"/>
      <c r="F168" s="127"/>
      <c r="G168" s="127"/>
      <c r="H168" s="127"/>
      <c r="I168" s="127"/>
      <c r="J168" s="127"/>
      <c r="K168" s="127"/>
      <c r="L168" s="127"/>
      <c r="M168" s="127"/>
      <c r="N168" s="127"/>
      <c r="O168" s="127"/>
      <c r="P168" s="127"/>
      <c r="Q168" s="127"/>
      <c r="R168" s="127"/>
      <c r="S168" s="127"/>
      <c r="T168" s="127"/>
      <c r="U168" s="127"/>
      <c r="V168" s="127"/>
      <c r="W168" s="127"/>
      <c r="X168" s="127"/>
      <c r="Y168" s="127"/>
      <c r="Z168" s="127"/>
    </row>
    <row r="169" customFormat="false" ht="15.75" hidden="false" customHeight="false" outlineLevel="0" collapsed="false">
      <c r="A169" s="127"/>
      <c r="B169" s="127"/>
      <c r="C169" s="127"/>
      <c r="D169" s="127"/>
      <c r="E169" s="127"/>
      <c r="F169" s="127"/>
      <c r="G169" s="127"/>
      <c r="H169" s="127"/>
      <c r="I169" s="127"/>
      <c r="J169" s="127"/>
      <c r="K169" s="127"/>
      <c r="L169" s="127"/>
      <c r="M169" s="127"/>
      <c r="N169" s="127"/>
      <c r="O169" s="127"/>
      <c r="P169" s="127"/>
      <c r="Q169" s="127"/>
      <c r="R169" s="127"/>
      <c r="S169" s="127"/>
      <c r="T169" s="127"/>
      <c r="U169" s="127"/>
      <c r="V169" s="127"/>
      <c r="W169" s="127"/>
      <c r="X169" s="127"/>
      <c r="Y169" s="127"/>
      <c r="Z169" s="127"/>
    </row>
    <row r="170" customFormat="false" ht="15.75" hidden="false" customHeight="false" outlineLevel="0" collapsed="false">
      <c r="A170" s="127"/>
      <c r="B170" s="127"/>
      <c r="C170" s="127"/>
      <c r="D170" s="127"/>
      <c r="E170" s="127"/>
      <c r="F170" s="127"/>
      <c r="G170" s="127"/>
      <c r="H170" s="127"/>
      <c r="I170" s="127"/>
      <c r="J170" s="127"/>
      <c r="K170" s="127"/>
      <c r="L170" s="127"/>
      <c r="M170" s="127"/>
      <c r="N170" s="127"/>
      <c r="O170" s="127"/>
      <c r="P170" s="127"/>
      <c r="Q170" s="127"/>
      <c r="R170" s="127"/>
      <c r="S170" s="127"/>
      <c r="T170" s="127"/>
      <c r="U170" s="127"/>
      <c r="V170" s="127"/>
      <c r="W170" s="127"/>
      <c r="X170" s="127"/>
      <c r="Y170" s="127"/>
      <c r="Z170" s="127"/>
    </row>
    <row r="171" customFormat="false" ht="15.75" hidden="false" customHeight="false" outlineLevel="0" collapsed="false">
      <c r="A171" s="127"/>
      <c r="B171" s="127"/>
      <c r="C171" s="127"/>
      <c r="D171" s="127"/>
      <c r="E171" s="127"/>
      <c r="F171" s="127"/>
      <c r="G171" s="127"/>
      <c r="H171" s="127"/>
      <c r="I171" s="127"/>
      <c r="J171" s="127"/>
      <c r="K171" s="127"/>
      <c r="L171" s="127"/>
      <c r="M171" s="127"/>
      <c r="N171" s="127"/>
      <c r="O171" s="127"/>
      <c r="P171" s="127"/>
      <c r="Q171" s="127"/>
      <c r="R171" s="127"/>
      <c r="S171" s="127"/>
      <c r="T171" s="127"/>
      <c r="U171" s="127"/>
      <c r="V171" s="127"/>
      <c r="W171" s="127"/>
      <c r="X171" s="127"/>
      <c r="Y171" s="127"/>
      <c r="Z171" s="127"/>
    </row>
    <row r="172" customFormat="false" ht="15.75" hidden="false" customHeight="false" outlineLevel="0" collapsed="false">
      <c r="A172" s="127"/>
      <c r="B172" s="127"/>
      <c r="C172" s="127"/>
      <c r="D172" s="127"/>
      <c r="E172" s="127"/>
      <c r="F172" s="127"/>
      <c r="G172" s="127"/>
      <c r="H172" s="127"/>
      <c r="I172" s="127"/>
      <c r="J172" s="127"/>
      <c r="K172" s="127"/>
      <c r="L172" s="127"/>
      <c r="M172" s="127"/>
      <c r="N172" s="127"/>
      <c r="O172" s="127"/>
      <c r="P172" s="127"/>
      <c r="Q172" s="127"/>
      <c r="R172" s="127"/>
      <c r="S172" s="127"/>
      <c r="T172" s="127"/>
      <c r="U172" s="127"/>
      <c r="V172" s="127"/>
      <c r="W172" s="127"/>
      <c r="X172" s="127"/>
      <c r="Y172" s="127"/>
      <c r="Z172" s="127"/>
    </row>
    <row r="173" customFormat="false" ht="15.75" hidden="false" customHeight="false" outlineLevel="0" collapsed="false">
      <c r="A173" s="127"/>
      <c r="B173" s="127"/>
      <c r="C173" s="127"/>
      <c r="D173" s="127"/>
      <c r="E173" s="127"/>
      <c r="F173" s="127"/>
      <c r="G173" s="127"/>
      <c r="H173" s="127"/>
      <c r="I173" s="127"/>
      <c r="J173" s="127"/>
      <c r="K173" s="127"/>
      <c r="L173" s="127"/>
      <c r="M173" s="127"/>
      <c r="N173" s="127"/>
      <c r="O173" s="127"/>
      <c r="P173" s="127"/>
      <c r="Q173" s="127"/>
      <c r="R173" s="127"/>
      <c r="S173" s="127"/>
      <c r="T173" s="127"/>
      <c r="U173" s="127"/>
      <c r="V173" s="127"/>
      <c r="W173" s="127"/>
      <c r="X173" s="127"/>
      <c r="Y173" s="127"/>
      <c r="Z173" s="127"/>
    </row>
    <row r="174" customFormat="false" ht="15.75" hidden="false" customHeight="false" outlineLevel="0" collapsed="false">
      <c r="A174" s="127"/>
      <c r="B174" s="127"/>
      <c r="C174" s="127"/>
      <c r="D174" s="127"/>
      <c r="E174" s="127"/>
      <c r="F174" s="127"/>
      <c r="G174" s="127"/>
      <c r="H174" s="127"/>
      <c r="I174" s="127"/>
      <c r="J174" s="127"/>
      <c r="K174" s="127"/>
      <c r="L174" s="127"/>
      <c r="M174" s="127"/>
      <c r="N174" s="127"/>
      <c r="O174" s="127"/>
      <c r="P174" s="127"/>
      <c r="Q174" s="127"/>
      <c r="R174" s="127"/>
      <c r="S174" s="127"/>
      <c r="T174" s="127"/>
      <c r="U174" s="127"/>
      <c r="V174" s="127"/>
      <c r="W174" s="127"/>
      <c r="X174" s="127"/>
      <c r="Y174" s="127"/>
      <c r="Z174" s="127"/>
    </row>
    <row r="175" customFormat="false" ht="15.75" hidden="false" customHeight="false" outlineLevel="0" collapsed="false">
      <c r="A175" s="127"/>
      <c r="B175" s="127"/>
      <c r="C175" s="127"/>
      <c r="D175" s="127"/>
      <c r="E175" s="127"/>
      <c r="F175" s="127"/>
      <c r="G175" s="127"/>
      <c r="H175" s="127"/>
      <c r="I175" s="127"/>
      <c r="J175" s="127"/>
      <c r="K175" s="127"/>
      <c r="L175" s="127"/>
      <c r="M175" s="127"/>
      <c r="N175" s="127"/>
      <c r="O175" s="127"/>
      <c r="P175" s="127"/>
      <c r="Q175" s="127"/>
      <c r="R175" s="127"/>
      <c r="S175" s="127"/>
      <c r="T175" s="127"/>
      <c r="U175" s="127"/>
      <c r="V175" s="127"/>
      <c r="W175" s="127"/>
      <c r="X175" s="127"/>
      <c r="Y175" s="127"/>
      <c r="Z175" s="127"/>
    </row>
    <row r="176" customFormat="false" ht="15.75" hidden="false" customHeight="false" outlineLevel="0" collapsed="false">
      <c r="A176" s="127"/>
      <c r="B176" s="127"/>
      <c r="C176" s="127"/>
      <c r="D176" s="127"/>
      <c r="E176" s="127"/>
      <c r="F176" s="127"/>
      <c r="G176" s="127"/>
      <c r="H176" s="127"/>
      <c r="I176" s="127"/>
      <c r="J176" s="127"/>
      <c r="K176" s="127"/>
      <c r="L176" s="127"/>
      <c r="M176" s="127"/>
      <c r="N176" s="127"/>
      <c r="O176" s="127"/>
      <c r="P176" s="127"/>
      <c r="Q176" s="127"/>
      <c r="R176" s="127"/>
      <c r="S176" s="127"/>
      <c r="T176" s="127"/>
      <c r="U176" s="127"/>
      <c r="V176" s="127"/>
      <c r="W176" s="127"/>
      <c r="X176" s="127"/>
      <c r="Y176" s="127"/>
      <c r="Z176" s="127"/>
    </row>
    <row r="177" customFormat="false" ht="15.75" hidden="false" customHeight="false" outlineLevel="0" collapsed="false">
      <c r="A177" s="127"/>
      <c r="B177" s="127"/>
      <c r="C177" s="127"/>
      <c r="D177" s="127"/>
      <c r="E177" s="127"/>
      <c r="F177" s="127"/>
      <c r="G177" s="127"/>
      <c r="H177" s="127"/>
      <c r="I177" s="127"/>
      <c r="J177" s="127"/>
      <c r="K177" s="127"/>
      <c r="L177" s="127"/>
      <c r="M177" s="127"/>
      <c r="N177" s="127"/>
      <c r="O177" s="127"/>
      <c r="P177" s="127"/>
      <c r="Q177" s="127"/>
      <c r="R177" s="127"/>
      <c r="S177" s="127"/>
      <c r="T177" s="127"/>
      <c r="U177" s="127"/>
      <c r="V177" s="127"/>
      <c r="W177" s="127"/>
      <c r="X177" s="127"/>
      <c r="Y177" s="127"/>
      <c r="Z177" s="127"/>
    </row>
    <row r="178" customFormat="false" ht="15.75" hidden="false" customHeight="false" outlineLevel="0" collapsed="false">
      <c r="A178" s="127"/>
      <c r="B178" s="127"/>
      <c r="C178" s="127"/>
      <c r="D178" s="127"/>
      <c r="E178" s="127"/>
      <c r="F178" s="127"/>
      <c r="G178" s="127"/>
      <c r="H178" s="127"/>
      <c r="I178" s="127"/>
      <c r="J178" s="127"/>
      <c r="K178" s="127"/>
      <c r="L178" s="127"/>
      <c r="M178" s="127"/>
      <c r="N178" s="127"/>
      <c r="O178" s="127"/>
      <c r="P178" s="127"/>
      <c r="Q178" s="127"/>
      <c r="R178" s="127"/>
      <c r="S178" s="127"/>
      <c r="T178" s="127"/>
      <c r="U178" s="127"/>
      <c r="V178" s="127"/>
      <c r="W178" s="127"/>
      <c r="X178" s="127"/>
      <c r="Y178" s="127"/>
      <c r="Z178" s="127"/>
    </row>
    <row r="179" customFormat="false" ht="15.75" hidden="false" customHeight="false" outlineLevel="0" collapsed="false">
      <c r="A179" s="127"/>
      <c r="B179" s="127"/>
      <c r="C179" s="127"/>
      <c r="D179" s="127"/>
      <c r="E179" s="127"/>
      <c r="F179" s="127"/>
      <c r="G179" s="127"/>
      <c r="H179" s="127"/>
      <c r="I179" s="127"/>
      <c r="J179" s="127"/>
      <c r="K179" s="127"/>
      <c r="L179" s="127"/>
      <c r="M179" s="127"/>
      <c r="N179" s="127"/>
      <c r="O179" s="127"/>
      <c r="P179" s="127"/>
      <c r="Q179" s="127"/>
      <c r="R179" s="127"/>
      <c r="S179" s="127"/>
      <c r="T179" s="127"/>
      <c r="U179" s="127"/>
      <c r="V179" s="127"/>
      <c r="W179" s="127"/>
      <c r="X179" s="127"/>
      <c r="Y179" s="127"/>
      <c r="Z179" s="127"/>
    </row>
    <row r="180" customFormat="false" ht="15.75" hidden="false" customHeight="false" outlineLevel="0" collapsed="false">
      <c r="A180" s="127"/>
      <c r="B180" s="127"/>
      <c r="C180" s="127"/>
      <c r="D180" s="127"/>
      <c r="E180" s="127"/>
      <c r="F180" s="127"/>
      <c r="G180" s="127"/>
      <c r="H180" s="127"/>
      <c r="I180" s="127"/>
      <c r="J180" s="127"/>
      <c r="K180" s="127"/>
      <c r="L180" s="127"/>
      <c r="M180" s="127"/>
      <c r="N180" s="127"/>
      <c r="O180" s="127"/>
      <c r="P180" s="127"/>
      <c r="Q180" s="127"/>
      <c r="R180" s="127"/>
      <c r="S180" s="127"/>
      <c r="T180" s="127"/>
      <c r="U180" s="127"/>
      <c r="V180" s="127"/>
      <c r="W180" s="127"/>
      <c r="X180" s="127"/>
      <c r="Y180" s="127"/>
      <c r="Z180" s="127"/>
    </row>
    <row r="181" customFormat="false" ht="15.75" hidden="false" customHeight="false" outlineLevel="0" collapsed="false">
      <c r="A181" s="127"/>
      <c r="B181" s="127"/>
      <c r="C181" s="127"/>
      <c r="D181" s="127"/>
      <c r="E181" s="127"/>
      <c r="F181" s="127"/>
      <c r="G181" s="127"/>
      <c r="H181" s="127"/>
      <c r="I181" s="127"/>
      <c r="J181" s="127"/>
      <c r="K181" s="127"/>
      <c r="L181" s="127"/>
      <c r="M181" s="127"/>
      <c r="N181" s="127"/>
      <c r="O181" s="127"/>
      <c r="P181" s="127"/>
      <c r="Q181" s="127"/>
      <c r="R181" s="127"/>
      <c r="S181" s="127"/>
      <c r="T181" s="127"/>
      <c r="U181" s="127"/>
      <c r="V181" s="127"/>
      <c r="W181" s="127"/>
      <c r="X181" s="127"/>
      <c r="Y181" s="127"/>
      <c r="Z181" s="127"/>
    </row>
    <row r="182" customFormat="false" ht="15.75" hidden="false" customHeight="false" outlineLevel="0" collapsed="false">
      <c r="A182" s="127"/>
      <c r="B182" s="127"/>
      <c r="C182" s="127"/>
      <c r="D182" s="127"/>
      <c r="E182" s="127"/>
      <c r="F182" s="127"/>
      <c r="G182" s="127"/>
      <c r="H182" s="127"/>
      <c r="I182" s="127"/>
      <c r="J182" s="127"/>
      <c r="K182" s="127"/>
      <c r="L182" s="127"/>
      <c r="M182" s="127"/>
      <c r="N182" s="127"/>
      <c r="O182" s="127"/>
      <c r="P182" s="127"/>
      <c r="Q182" s="127"/>
      <c r="R182" s="127"/>
      <c r="S182" s="127"/>
      <c r="T182" s="127"/>
      <c r="U182" s="127"/>
      <c r="V182" s="127"/>
      <c r="W182" s="127"/>
      <c r="X182" s="127"/>
      <c r="Y182" s="127"/>
      <c r="Z182" s="127"/>
    </row>
    <row r="183" customFormat="false" ht="15.75" hidden="false" customHeight="false" outlineLevel="0" collapsed="false">
      <c r="A183" s="127"/>
      <c r="B183" s="127"/>
      <c r="C183" s="127"/>
      <c r="D183" s="127"/>
      <c r="E183" s="127"/>
      <c r="F183" s="127"/>
      <c r="G183" s="127"/>
      <c r="H183" s="127"/>
      <c r="I183" s="127"/>
      <c r="J183" s="127"/>
      <c r="K183" s="127"/>
      <c r="L183" s="127"/>
      <c r="M183" s="127"/>
      <c r="N183" s="127"/>
      <c r="O183" s="127"/>
      <c r="P183" s="127"/>
      <c r="Q183" s="127"/>
      <c r="R183" s="127"/>
      <c r="S183" s="127"/>
      <c r="T183" s="127"/>
      <c r="U183" s="127"/>
      <c r="V183" s="127"/>
      <c r="W183" s="127"/>
      <c r="X183" s="127"/>
      <c r="Y183" s="127"/>
      <c r="Z183" s="127"/>
    </row>
    <row r="184" customFormat="false" ht="15.75" hidden="false" customHeight="false" outlineLevel="0" collapsed="false">
      <c r="A184" s="127"/>
      <c r="B184" s="127"/>
      <c r="C184" s="127"/>
      <c r="D184" s="127"/>
      <c r="E184" s="127"/>
      <c r="F184" s="127"/>
      <c r="G184" s="127"/>
      <c r="H184" s="127"/>
      <c r="I184" s="127"/>
      <c r="J184" s="127"/>
      <c r="K184" s="127"/>
      <c r="L184" s="127"/>
      <c r="M184" s="127"/>
      <c r="N184" s="127"/>
      <c r="O184" s="127"/>
      <c r="P184" s="127"/>
      <c r="Q184" s="127"/>
      <c r="R184" s="127"/>
      <c r="S184" s="127"/>
      <c r="T184" s="127"/>
      <c r="U184" s="127"/>
      <c r="V184" s="127"/>
      <c r="W184" s="127"/>
      <c r="X184" s="127"/>
      <c r="Y184" s="127"/>
      <c r="Z184" s="127"/>
    </row>
    <row r="185" customFormat="false" ht="15.75" hidden="false" customHeight="false" outlineLevel="0" collapsed="false">
      <c r="A185" s="127"/>
      <c r="B185" s="127"/>
      <c r="C185" s="127"/>
      <c r="D185" s="127"/>
      <c r="E185" s="127"/>
      <c r="F185" s="127"/>
      <c r="G185" s="127"/>
      <c r="H185" s="127"/>
      <c r="I185" s="127"/>
      <c r="J185" s="127"/>
      <c r="K185" s="127"/>
      <c r="L185" s="127"/>
      <c r="M185" s="127"/>
      <c r="N185" s="127"/>
      <c r="O185" s="127"/>
      <c r="P185" s="127"/>
      <c r="Q185" s="127"/>
      <c r="R185" s="127"/>
      <c r="S185" s="127"/>
      <c r="T185" s="127"/>
      <c r="U185" s="127"/>
      <c r="V185" s="127"/>
      <c r="W185" s="127"/>
      <c r="X185" s="127"/>
      <c r="Y185" s="127"/>
      <c r="Z185" s="127"/>
    </row>
    <row r="186" customFormat="false" ht="15.75" hidden="false" customHeight="false" outlineLevel="0" collapsed="false">
      <c r="A186" s="127"/>
      <c r="B186" s="127"/>
      <c r="C186" s="127"/>
      <c r="D186" s="127"/>
      <c r="E186" s="127"/>
      <c r="F186" s="127"/>
      <c r="G186" s="127"/>
      <c r="H186" s="127"/>
      <c r="I186" s="127"/>
      <c r="J186" s="127"/>
      <c r="K186" s="127"/>
      <c r="L186" s="127"/>
      <c r="M186" s="127"/>
      <c r="N186" s="127"/>
      <c r="O186" s="127"/>
      <c r="P186" s="127"/>
      <c r="Q186" s="127"/>
      <c r="R186" s="127"/>
      <c r="S186" s="127"/>
      <c r="T186" s="127"/>
      <c r="U186" s="127"/>
      <c r="V186" s="127"/>
      <c r="W186" s="127"/>
      <c r="X186" s="127"/>
      <c r="Y186" s="127"/>
      <c r="Z186" s="127"/>
    </row>
    <row r="187" customFormat="false" ht="15.75" hidden="false" customHeight="false" outlineLevel="0" collapsed="false">
      <c r="A187" s="127"/>
      <c r="B187" s="127"/>
      <c r="C187" s="127"/>
      <c r="D187" s="127"/>
      <c r="E187" s="127"/>
      <c r="F187" s="127"/>
      <c r="G187" s="127"/>
      <c r="H187" s="127"/>
      <c r="I187" s="127"/>
      <c r="J187" s="127"/>
      <c r="K187" s="127"/>
      <c r="L187" s="127"/>
      <c r="M187" s="127"/>
      <c r="N187" s="127"/>
      <c r="O187" s="127"/>
      <c r="P187" s="127"/>
      <c r="Q187" s="127"/>
      <c r="R187" s="127"/>
      <c r="S187" s="127"/>
      <c r="T187" s="127"/>
      <c r="U187" s="127"/>
      <c r="V187" s="127"/>
      <c r="W187" s="127"/>
      <c r="X187" s="127"/>
      <c r="Y187" s="127"/>
      <c r="Z187" s="127"/>
    </row>
    <row r="188" customFormat="false" ht="15.75" hidden="false" customHeight="false" outlineLevel="0" collapsed="false">
      <c r="A188" s="127"/>
      <c r="B188" s="127"/>
      <c r="C188" s="127"/>
      <c r="D188" s="127"/>
      <c r="E188" s="127"/>
      <c r="F188" s="127"/>
      <c r="G188" s="127"/>
      <c r="H188" s="127"/>
      <c r="I188" s="127"/>
      <c r="J188" s="127"/>
      <c r="K188" s="127"/>
      <c r="L188" s="127"/>
      <c r="M188" s="127"/>
      <c r="N188" s="127"/>
      <c r="O188" s="127"/>
      <c r="P188" s="127"/>
      <c r="Q188" s="127"/>
      <c r="R188" s="127"/>
      <c r="S188" s="127"/>
      <c r="T188" s="127"/>
      <c r="U188" s="127"/>
      <c r="V188" s="127"/>
      <c r="W188" s="127"/>
      <c r="X188" s="127"/>
      <c r="Y188" s="127"/>
      <c r="Z188" s="127"/>
    </row>
    <row r="189" customFormat="false" ht="15.75" hidden="false" customHeight="false" outlineLevel="0" collapsed="false">
      <c r="A189" s="127"/>
      <c r="B189" s="127"/>
      <c r="C189" s="127"/>
      <c r="D189" s="127"/>
      <c r="E189" s="127"/>
      <c r="F189" s="127"/>
      <c r="G189" s="127"/>
      <c r="H189" s="127"/>
      <c r="I189" s="127"/>
      <c r="J189" s="127"/>
      <c r="K189" s="127"/>
      <c r="L189" s="127"/>
      <c r="M189" s="127"/>
      <c r="N189" s="127"/>
      <c r="O189" s="127"/>
      <c r="P189" s="127"/>
      <c r="Q189" s="127"/>
      <c r="R189" s="127"/>
      <c r="S189" s="127"/>
      <c r="T189" s="127"/>
      <c r="U189" s="127"/>
      <c r="V189" s="127"/>
      <c r="W189" s="127"/>
      <c r="X189" s="127"/>
      <c r="Y189" s="127"/>
      <c r="Z189" s="127"/>
    </row>
    <row r="190" customFormat="false" ht="15.75" hidden="false" customHeight="false" outlineLevel="0" collapsed="false">
      <c r="A190" s="127"/>
      <c r="B190" s="127"/>
      <c r="C190" s="127"/>
      <c r="D190" s="127"/>
      <c r="E190" s="127"/>
      <c r="F190" s="127"/>
      <c r="G190" s="127"/>
      <c r="H190" s="127"/>
      <c r="I190" s="127"/>
      <c r="J190" s="127"/>
      <c r="K190" s="127"/>
      <c r="L190" s="127"/>
      <c r="M190" s="127"/>
      <c r="N190" s="127"/>
      <c r="O190" s="127"/>
      <c r="P190" s="127"/>
      <c r="Q190" s="127"/>
      <c r="R190" s="127"/>
      <c r="S190" s="127"/>
      <c r="T190" s="127"/>
      <c r="U190" s="127"/>
      <c r="V190" s="127"/>
      <c r="W190" s="127"/>
      <c r="X190" s="127"/>
      <c r="Y190" s="127"/>
      <c r="Z190" s="127"/>
    </row>
    <row r="191" customFormat="false" ht="15.75" hidden="false" customHeight="false" outlineLevel="0" collapsed="false">
      <c r="A191" s="127"/>
      <c r="B191" s="127"/>
      <c r="C191" s="127"/>
      <c r="D191" s="127"/>
      <c r="E191" s="127"/>
      <c r="F191" s="127"/>
      <c r="G191" s="127"/>
      <c r="H191" s="127"/>
      <c r="I191" s="127"/>
      <c r="J191" s="127"/>
      <c r="K191" s="127"/>
      <c r="L191" s="127"/>
      <c r="M191" s="127"/>
      <c r="N191" s="127"/>
      <c r="O191" s="127"/>
      <c r="P191" s="127"/>
      <c r="Q191" s="127"/>
      <c r="R191" s="127"/>
      <c r="S191" s="127"/>
      <c r="T191" s="127"/>
      <c r="U191" s="127"/>
      <c r="V191" s="127"/>
      <c r="W191" s="127"/>
      <c r="X191" s="127"/>
      <c r="Y191" s="127"/>
      <c r="Z191" s="127"/>
    </row>
    <row r="192" customFormat="false" ht="15.75" hidden="false" customHeight="false" outlineLevel="0" collapsed="false">
      <c r="A192" s="127"/>
      <c r="B192" s="127"/>
      <c r="C192" s="127"/>
      <c r="D192" s="127"/>
      <c r="E192" s="127"/>
      <c r="F192" s="127"/>
      <c r="G192" s="127"/>
      <c r="H192" s="127"/>
      <c r="I192" s="127"/>
      <c r="J192" s="127"/>
      <c r="K192" s="127"/>
      <c r="L192" s="127"/>
      <c r="M192" s="127"/>
      <c r="N192" s="127"/>
      <c r="O192" s="127"/>
      <c r="P192" s="127"/>
      <c r="Q192" s="127"/>
      <c r="R192" s="127"/>
      <c r="S192" s="127"/>
      <c r="T192" s="127"/>
      <c r="U192" s="127"/>
      <c r="V192" s="127"/>
      <c r="W192" s="127"/>
      <c r="X192" s="127"/>
      <c r="Y192" s="127"/>
      <c r="Z192" s="127"/>
    </row>
    <row r="193" customFormat="false" ht="15.75" hidden="false" customHeight="false" outlineLevel="0" collapsed="false">
      <c r="A193" s="127"/>
      <c r="B193" s="127"/>
      <c r="C193" s="127"/>
      <c r="D193" s="127"/>
      <c r="E193" s="127"/>
      <c r="F193" s="127"/>
      <c r="G193" s="127"/>
      <c r="H193" s="127"/>
      <c r="I193" s="127"/>
      <c r="J193" s="127"/>
      <c r="K193" s="127"/>
      <c r="L193" s="127"/>
      <c r="M193" s="127"/>
      <c r="N193" s="127"/>
      <c r="O193" s="127"/>
      <c r="P193" s="127"/>
      <c r="Q193" s="127"/>
      <c r="R193" s="127"/>
      <c r="S193" s="127"/>
      <c r="T193" s="127"/>
      <c r="U193" s="127"/>
      <c r="V193" s="127"/>
      <c r="W193" s="127"/>
      <c r="X193" s="127"/>
      <c r="Y193" s="127"/>
      <c r="Z193" s="127"/>
    </row>
    <row r="194" customFormat="false" ht="15.75" hidden="false" customHeight="false" outlineLevel="0" collapsed="false">
      <c r="A194" s="127"/>
      <c r="B194" s="127"/>
      <c r="C194" s="127"/>
      <c r="D194" s="127"/>
      <c r="E194" s="127"/>
      <c r="F194" s="127"/>
      <c r="G194" s="127"/>
      <c r="H194" s="127"/>
      <c r="I194" s="127"/>
      <c r="J194" s="127"/>
      <c r="K194" s="127"/>
      <c r="L194" s="127"/>
      <c r="M194" s="127"/>
      <c r="N194" s="127"/>
      <c r="O194" s="127"/>
      <c r="P194" s="127"/>
      <c r="Q194" s="127"/>
      <c r="R194" s="127"/>
      <c r="S194" s="127"/>
      <c r="T194" s="127"/>
      <c r="U194" s="127"/>
      <c r="V194" s="127"/>
      <c r="W194" s="127"/>
      <c r="X194" s="127"/>
      <c r="Y194" s="127"/>
      <c r="Z194" s="127"/>
    </row>
    <row r="195" customFormat="false" ht="15.75" hidden="false" customHeight="false" outlineLevel="0" collapsed="false">
      <c r="A195" s="127"/>
      <c r="B195" s="127"/>
      <c r="C195" s="127"/>
      <c r="D195" s="127"/>
      <c r="E195" s="127"/>
      <c r="F195" s="127"/>
      <c r="G195" s="127"/>
      <c r="H195" s="127"/>
      <c r="I195" s="127"/>
      <c r="J195" s="127"/>
      <c r="K195" s="127"/>
      <c r="L195" s="127"/>
      <c r="M195" s="127"/>
      <c r="N195" s="127"/>
      <c r="O195" s="127"/>
      <c r="P195" s="127"/>
      <c r="Q195" s="127"/>
      <c r="R195" s="127"/>
      <c r="S195" s="127"/>
      <c r="T195" s="127"/>
      <c r="U195" s="127"/>
      <c r="V195" s="127"/>
      <c r="W195" s="127"/>
      <c r="X195" s="127"/>
      <c r="Y195" s="127"/>
      <c r="Z195" s="127"/>
    </row>
    <row r="196" customFormat="false" ht="15.75" hidden="false" customHeight="false" outlineLevel="0" collapsed="false">
      <c r="A196" s="127"/>
      <c r="B196" s="127"/>
      <c r="C196" s="127"/>
      <c r="D196" s="127"/>
      <c r="E196" s="127"/>
      <c r="F196" s="127"/>
      <c r="G196" s="127"/>
      <c r="H196" s="127"/>
      <c r="I196" s="127"/>
      <c r="J196" s="127"/>
      <c r="K196" s="127"/>
      <c r="L196" s="127"/>
      <c r="M196" s="127"/>
      <c r="N196" s="127"/>
      <c r="O196" s="127"/>
      <c r="P196" s="127"/>
      <c r="Q196" s="127"/>
      <c r="R196" s="127"/>
      <c r="S196" s="127"/>
      <c r="T196" s="127"/>
      <c r="U196" s="127"/>
      <c r="V196" s="127"/>
      <c r="W196" s="127"/>
      <c r="X196" s="127"/>
      <c r="Y196" s="127"/>
      <c r="Z196" s="127"/>
    </row>
    <row r="197" customFormat="false" ht="15.75" hidden="false" customHeight="false" outlineLevel="0" collapsed="false">
      <c r="A197" s="127"/>
      <c r="B197" s="127"/>
      <c r="C197" s="127"/>
      <c r="D197" s="127"/>
      <c r="E197" s="127"/>
      <c r="F197" s="127"/>
      <c r="G197" s="127"/>
      <c r="H197" s="127"/>
      <c r="I197" s="127"/>
      <c r="J197" s="127"/>
      <c r="K197" s="127"/>
      <c r="L197" s="127"/>
      <c r="M197" s="127"/>
      <c r="N197" s="127"/>
      <c r="O197" s="127"/>
      <c r="P197" s="127"/>
      <c r="Q197" s="127"/>
      <c r="R197" s="127"/>
      <c r="S197" s="127"/>
      <c r="T197" s="127"/>
      <c r="U197" s="127"/>
      <c r="V197" s="127"/>
      <c r="W197" s="127"/>
      <c r="X197" s="127"/>
      <c r="Y197" s="127"/>
      <c r="Z197" s="127"/>
    </row>
    <row r="198" customFormat="false" ht="15.75" hidden="false" customHeight="false" outlineLevel="0" collapsed="false">
      <c r="A198" s="127"/>
      <c r="B198" s="127"/>
      <c r="C198" s="127"/>
      <c r="D198" s="127"/>
      <c r="E198" s="127"/>
      <c r="F198" s="127"/>
      <c r="G198" s="127"/>
      <c r="H198" s="127"/>
      <c r="I198" s="127"/>
      <c r="J198" s="127"/>
      <c r="K198" s="127"/>
      <c r="L198" s="127"/>
      <c r="M198" s="127"/>
      <c r="N198" s="127"/>
      <c r="O198" s="127"/>
      <c r="P198" s="127"/>
      <c r="Q198" s="127"/>
      <c r="R198" s="127"/>
      <c r="S198" s="127"/>
      <c r="T198" s="127"/>
      <c r="U198" s="127"/>
      <c r="V198" s="127"/>
      <c r="W198" s="127"/>
      <c r="X198" s="127"/>
      <c r="Y198" s="127"/>
      <c r="Z198" s="127"/>
    </row>
    <row r="199" customFormat="false" ht="15.75" hidden="false" customHeight="false" outlineLevel="0" collapsed="false">
      <c r="A199" s="127"/>
      <c r="B199" s="127"/>
      <c r="C199" s="127"/>
      <c r="D199" s="127"/>
      <c r="E199" s="127"/>
      <c r="F199" s="127"/>
      <c r="G199" s="127"/>
      <c r="H199" s="127"/>
      <c r="I199" s="127"/>
      <c r="J199" s="127"/>
      <c r="K199" s="127"/>
      <c r="L199" s="127"/>
      <c r="M199" s="127"/>
      <c r="N199" s="127"/>
      <c r="O199" s="127"/>
      <c r="P199" s="127"/>
      <c r="Q199" s="127"/>
      <c r="R199" s="127"/>
      <c r="S199" s="127"/>
      <c r="T199" s="127"/>
      <c r="U199" s="127"/>
      <c r="V199" s="127"/>
      <c r="W199" s="127"/>
      <c r="X199" s="127"/>
      <c r="Y199" s="127"/>
      <c r="Z199" s="127"/>
    </row>
    <row r="200" customFormat="false" ht="15.75" hidden="false" customHeight="false" outlineLevel="0" collapsed="false">
      <c r="A200" s="127"/>
      <c r="B200" s="127"/>
      <c r="C200" s="127"/>
      <c r="D200" s="127"/>
      <c r="E200" s="127"/>
      <c r="F200" s="127"/>
      <c r="G200" s="127"/>
      <c r="H200" s="127"/>
      <c r="I200" s="127"/>
      <c r="J200" s="127"/>
      <c r="K200" s="127"/>
      <c r="L200" s="127"/>
      <c r="M200" s="127"/>
      <c r="N200" s="127"/>
      <c r="O200" s="127"/>
      <c r="P200" s="127"/>
      <c r="Q200" s="127"/>
      <c r="R200" s="127"/>
      <c r="S200" s="127"/>
      <c r="T200" s="127"/>
      <c r="U200" s="127"/>
      <c r="V200" s="127"/>
      <c r="W200" s="127"/>
      <c r="X200" s="127"/>
      <c r="Y200" s="127"/>
      <c r="Z200" s="127"/>
    </row>
    <row r="201" customFormat="false" ht="15.75" hidden="false" customHeight="false" outlineLevel="0" collapsed="false">
      <c r="A201" s="127"/>
      <c r="B201" s="127"/>
      <c r="C201" s="127"/>
      <c r="D201" s="127"/>
      <c r="E201" s="127"/>
      <c r="F201" s="127"/>
      <c r="G201" s="127"/>
      <c r="H201" s="127"/>
      <c r="I201" s="127"/>
      <c r="J201" s="127"/>
      <c r="K201" s="127"/>
      <c r="L201" s="127"/>
      <c r="M201" s="127"/>
      <c r="N201" s="127"/>
      <c r="O201" s="127"/>
      <c r="P201" s="127"/>
      <c r="Q201" s="127"/>
      <c r="R201" s="127"/>
      <c r="S201" s="127"/>
      <c r="T201" s="127"/>
      <c r="U201" s="127"/>
      <c r="V201" s="127"/>
      <c r="W201" s="127"/>
      <c r="X201" s="127"/>
      <c r="Y201" s="127"/>
      <c r="Z201" s="127"/>
    </row>
    <row r="202" customFormat="false" ht="15.75" hidden="false" customHeight="false" outlineLevel="0" collapsed="false">
      <c r="A202" s="127"/>
      <c r="B202" s="127"/>
      <c r="C202" s="127"/>
      <c r="D202" s="127"/>
      <c r="E202" s="127"/>
      <c r="F202" s="127"/>
      <c r="G202" s="127"/>
      <c r="H202" s="127"/>
      <c r="I202" s="127"/>
      <c r="J202" s="127"/>
      <c r="K202" s="127"/>
      <c r="L202" s="127"/>
      <c r="M202" s="127"/>
      <c r="N202" s="127"/>
      <c r="O202" s="127"/>
      <c r="P202" s="127"/>
      <c r="Q202" s="127"/>
      <c r="R202" s="127"/>
      <c r="S202" s="127"/>
      <c r="T202" s="127"/>
      <c r="U202" s="127"/>
      <c r="V202" s="127"/>
      <c r="W202" s="127"/>
      <c r="X202" s="127"/>
      <c r="Y202" s="127"/>
      <c r="Z202" s="127"/>
    </row>
    <row r="203" customFormat="false" ht="15.75" hidden="false" customHeight="false" outlineLevel="0" collapsed="false">
      <c r="A203" s="127"/>
      <c r="B203" s="127"/>
      <c r="C203" s="127"/>
      <c r="D203" s="127"/>
      <c r="E203" s="127"/>
      <c r="F203" s="127"/>
      <c r="G203" s="127"/>
      <c r="H203" s="127"/>
      <c r="I203" s="127"/>
      <c r="J203" s="127"/>
      <c r="K203" s="127"/>
      <c r="L203" s="127"/>
      <c r="M203" s="127"/>
      <c r="N203" s="127"/>
      <c r="O203" s="127"/>
      <c r="P203" s="127"/>
      <c r="Q203" s="127"/>
      <c r="R203" s="127"/>
      <c r="S203" s="127"/>
      <c r="T203" s="127"/>
      <c r="U203" s="127"/>
      <c r="V203" s="127"/>
      <c r="W203" s="127"/>
      <c r="X203" s="127"/>
      <c r="Y203" s="127"/>
      <c r="Z203" s="127"/>
    </row>
    <row r="204" customFormat="false" ht="15.75" hidden="false" customHeight="false" outlineLevel="0" collapsed="false">
      <c r="A204" s="127"/>
      <c r="B204" s="127"/>
      <c r="C204" s="127"/>
      <c r="D204" s="127"/>
      <c r="E204" s="127"/>
      <c r="F204" s="127"/>
      <c r="G204" s="127"/>
      <c r="H204" s="127"/>
      <c r="I204" s="127"/>
      <c r="J204" s="127"/>
      <c r="K204" s="127"/>
      <c r="L204" s="127"/>
      <c r="M204" s="127"/>
      <c r="N204" s="127"/>
      <c r="O204" s="127"/>
      <c r="P204" s="127"/>
      <c r="Q204" s="127"/>
      <c r="R204" s="127"/>
      <c r="S204" s="127"/>
      <c r="T204" s="127"/>
      <c r="U204" s="127"/>
      <c r="V204" s="127"/>
      <c r="W204" s="127"/>
      <c r="X204" s="127"/>
      <c r="Y204" s="127"/>
      <c r="Z204" s="127"/>
    </row>
    <row r="205" customFormat="false" ht="15.75" hidden="false" customHeight="false" outlineLevel="0" collapsed="false">
      <c r="A205" s="127"/>
      <c r="B205" s="127"/>
      <c r="C205" s="127"/>
      <c r="D205" s="127"/>
      <c r="E205" s="127"/>
      <c r="F205" s="127"/>
      <c r="G205" s="127"/>
      <c r="H205" s="127"/>
      <c r="I205" s="127"/>
      <c r="J205" s="127"/>
      <c r="K205" s="127"/>
      <c r="L205" s="127"/>
      <c r="M205" s="127"/>
      <c r="N205" s="127"/>
      <c r="O205" s="127"/>
      <c r="P205" s="127"/>
      <c r="Q205" s="127"/>
      <c r="R205" s="127"/>
      <c r="S205" s="127"/>
      <c r="T205" s="127"/>
      <c r="U205" s="127"/>
      <c r="V205" s="127"/>
      <c r="W205" s="127"/>
      <c r="X205" s="127"/>
      <c r="Y205" s="127"/>
      <c r="Z205" s="127"/>
    </row>
    <row r="206" customFormat="false" ht="15.75" hidden="false" customHeight="false" outlineLevel="0" collapsed="false">
      <c r="A206" s="127"/>
      <c r="B206" s="127"/>
      <c r="C206" s="127"/>
      <c r="D206" s="127"/>
      <c r="E206" s="127"/>
      <c r="F206" s="127"/>
      <c r="G206" s="127"/>
      <c r="H206" s="127"/>
      <c r="I206" s="127"/>
      <c r="J206" s="127"/>
      <c r="K206" s="127"/>
      <c r="L206" s="127"/>
      <c r="M206" s="127"/>
      <c r="N206" s="127"/>
      <c r="O206" s="127"/>
      <c r="P206" s="127"/>
      <c r="Q206" s="127"/>
      <c r="R206" s="127"/>
      <c r="S206" s="127"/>
      <c r="T206" s="127"/>
      <c r="U206" s="127"/>
      <c r="V206" s="127"/>
      <c r="W206" s="127"/>
      <c r="X206" s="127"/>
      <c r="Y206" s="127"/>
      <c r="Z206" s="127"/>
    </row>
    <row r="207" customFormat="false" ht="15.75" hidden="false" customHeight="false" outlineLevel="0" collapsed="false">
      <c r="A207" s="127"/>
      <c r="B207" s="127"/>
      <c r="C207" s="127"/>
      <c r="D207" s="127"/>
      <c r="E207" s="127"/>
      <c r="F207" s="127"/>
      <c r="G207" s="127"/>
      <c r="H207" s="127"/>
      <c r="I207" s="127"/>
      <c r="J207" s="127"/>
      <c r="K207" s="127"/>
      <c r="L207" s="127"/>
      <c r="M207" s="127"/>
      <c r="N207" s="127"/>
      <c r="O207" s="127"/>
      <c r="P207" s="127"/>
      <c r="Q207" s="127"/>
      <c r="R207" s="127"/>
      <c r="S207" s="127"/>
      <c r="T207" s="127"/>
      <c r="U207" s="127"/>
      <c r="V207" s="127"/>
      <c r="W207" s="127"/>
      <c r="X207" s="127"/>
      <c r="Y207" s="127"/>
      <c r="Z207" s="127"/>
    </row>
    <row r="208" customFormat="false" ht="15.75" hidden="false" customHeight="false" outlineLevel="0" collapsed="false">
      <c r="A208" s="127"/>
      <c r="B208" s="127"/>
      <c r="C208" s="127"/>
      <c r="D208" s="127"/>
      <c r="E208" s="127"/>
      <c r="F208" s="127"/>
      <c r="G208" s="127"/>
      <c r="H208" s="127"/>
      <c r="I208" s="127"/>
      <c r="J208" s="127"/>
      <c r="K208" s="127"/>
      <c r="L208" s="127"/>
      <c r="M208" s="127"/>
      <c r="N208" s="127"/>
      <c r="O208" s="127"/>
      <c r="P208" s="127"/>
      <c r="Q208" s="127"/>
      <c r="R208" s="127"/>
      <c r="S208" s="127"/>
      <c r="T208" s="127"/>
      <c r="U208" s="127"/>
      <c r="V208" s="127"/>
      <c r="W208" s="127"/>
      <c r="X208" s="127"/>
      <c r="Y208" s="127"/>
      <c r="Z208" s="127"/>
    </row>
    <row r="209" customFormat="false" ht="15.75" hidden="false" customHeight="false" outlineLevel="0" collapsed="false">
      <c r="A209" s="127"/>
      <c r="B209" s="127"/>
      <c r="C209" s="127"/>
      <c r="D209" s="127"/>
      <c r="E209" s="127"/>
      <c r="F209" s="127"/>
      <c r="G209" s="127"/>
      <c r="H209" s="127"/>
      <c r="I209" s="127"/>
      <c r="J209" s="127"/>
      <c r="K209" s="127"/>
      <c r="L209" s="127"/>
      <c r="M209" s="127"/>
      <c r="N209" s="127"/>
      <c r="O209" s="127"/>
      <c r="P209" s="127"/>
      <c r="Q209" s="127"/>
      <c r="R209" s="127"/>
      <c r="S209" s="127"/>
      <c r="T209" s="127"/>
      <c r="U209" s="127"/>
      <c r="V209" s="127"/>
      <c r="W209" s="127"/>
      <c r="X209" s="127"/>
      <c r="Y209" s="127"/>
      <c r="Z209" s="127"/>
    </row>
    <row r="210" customFormat="false" ht="15.75" hidden="false" customHeight="false" outlineLevel="0" collapsed="false">
      <c r="A210" s="127"/>
      <c r="B210" s="127"/>
      <c r="C210" s="127"/>
      <c r="D210" s="127"/>
      <c r="E210" s="127"/>
      <c r="F210" s="127"/>
      <c r="G210" s="127"/>
      <c r="H210" s="127"/>
      <c r="I210" s="127"/>
      <c r="J210" s="127"/>
      <c r="K210" s="127"/>
      <c r="L210" s="127"/>
      <c r="M210" s="127"/>
      <c r="N210" s="127"/>
      <c r="O210" s="127"/>
      <c r="P210" s="127"/>
      <c r="Q210" s="127"/>
      <c r="R210" s="127"/>
      <c r="S210" s="127"/>
      <c r="T210" s="127"/>
      <c r="U210" s="127"/>
      <c r="V210" s="127"/>
      <c r="W210" s="127"/>
      <c r="X210" s="127"/>
      <c r="Y210" s="127"/>
      <c r="Z210" s="127"/>
    </row>
    <row r="211" customFormat="false" ht="15.75" hidden="false" customHeight="false" outlineLevel="0" collapsed="false">
      <c r="A211" s="127"/>
      <c r="B211" s="127"/>
      <c r="C211" s="127"/>
      <c r="D211" s="127"/>
      <c r="E211" s="127"/>
      <c r="F211" s="127"/>
      <c r="G211" s="127"/>
      <c r="H211" s="127"/>
      <c r="I211" s="127"/>
      <c r="J211" s="127"/>
      <c r="K211" s="127"/>
      <c r="L211" s="127"/>
      <c r="M211" s="127"/>
      <c r="N211" s="127"/>
      <c r="O211" s="127"/>
      <c r="P211" s="127"/>
      <c r="Q211" s="127"/>
      <c r="R211" s="127"/>
      <c r="S211" s="127"/>
      <c r="T211" s="127"/>
      <c r="U211" s="127"/>
      <c r="V211" s="127"/>
      <c r="W211" s="127"/>
      <c r="X211" s="127"/>
      <c r="Y211" s="127"/>
      <c r="Z211" s="127"/>
    </row>
    <row r="212" customFormat="false" ht="15.75" hidden="false" customHeight="false" outlineLevel="0" collapsed="false">
      <c r="A212" s="127"/>
      <c r="B212" s="127"/>
      <c r="C212" s="127"/>
      <c r="D212" s="127"/>
      <c r="E212" s="127"/>
      <c r="F212" s="127"/>
      <c r="G212" s="127"/>
      <c r="H212" s="127"/>
      <c r="I212" s="127"/>
      <c r="J212" s="127"/>
      <c r="K212" s="127"/>
      <c r="L212" s="127"/>
      <c r="M212" s="127"/>
      <c r="N212" s="127"/>
      <c r="O212" s="127"/>
      <c r="P212" s="127"/>
      <c r="Q212" s="127"/>
      <c r="R212" s="127"/>
      <c r="S212" s="127"/>
      <c r="T212" s="127"/>
      <c r="U212" s="127"/>
      <c r="V212" s="127"/>
      <c r="W212" s="127"/>
      <c r="X212" s="127"/>
      <c r="Y212" s="127"/>
      <c r="Z212" s="127"/>
    </row>
    <row r="213" customFormat="false" ht="15.75" hidden="false" customHeight="false" outlineLevel="0" collapsed="false">
      <c r="A213" s="127"/>
      <c r="B213" s="127"/>
      <c r="C213" s="127"/>
      <c r="D213" s="127"/>
      <c r="E213" s="127"/>
      <c r="F213" s="127"/>
      <c r="G213" s="127"/>
      <c r="H213" s="127"/>
      <c r="I213" s="127"/>
      <c r="J213" s="127"/>
      <c r="K213" s="127"/>
      <c r="L213" s="127"/>
      <c r="M213" s="127"/>
      <c r="N213" s="127"/>
      <c r="O213" s="127"/>
      <c r="P213" s="127"/>
      <c r="Q213" s="127"/>
      <c r="R213" s="127"/>
      <c r="S213" s="127"/>
      <c r="T213" s="127"/>
      <c r="U213" s="127"/>
      <c r="V213" s="127"/>
      <c r="W213" s="127"/>
      <c r="X213" s="127"/>
      <c r="Y213" s="127"/>
      <c r="Z213" s="127"/>
    </row>
    <row r="214" customFormat="false" ht="15.75" hidden="false" customHeight="false" outlineLevel="0" collapsed="false">
      <c r="A214" s="127"/>
      <c r="B214" s="127"/>
      <c r="C214" s="127"/>
      <c r="D214" s="127"/>
      <c r="E214" s="127"/>
      <c r="F214" s="127"/>
      <c r="G214" s="127"/>
      <c r="H214" s="127"/>
      <c r="I214" s="127"/>
      <c r="J214" s="127"/>
      <c r="K214" s="127"/>
      <c r="L214" s="127"/>
      <c r="M214" s="127"/>
      <c r="N214" s="127"/>
      <c r="O214" s="127"/>
      <c r="P214" s="127"/>
      <c r="Q214" s="127"/>
      <c r="R214" s="127"/>
      <c r="S214" s="127"/>
      <c r="T214" s="127"/>
      <c r="U214" s="127"/>
      <c r="V214" s="127"/>
      <c r="W214" s="127"/>
      <c r="X214" s="127"/>
      <c r="Y214" s="127"/>
      <c r="Z214" s="127"/>
    </row>
    <row r="215" customFormat="false" ht="15.75" hidden="false" customHeight="false" outlineLevel="0" collapsed="false">
      <c r="A215" s="127"/>
      <c r="B215" s="127"/>
      <c r="C215" s="127"/>
      <c r="D215" s="127"/>
      <c r="E215" s="127"/>
      <c r="F215" s="127"/>
      <c r="G215" s="127"/>
      <c r="H215" s="127"/>
      <c r="I215" s="127"/>
      <c r="J215" s="127"/>
      <c r="K215" s="127"/>
      <c r="L215" s="127"/>
      <c r="M215" s="127"/>
      <c r="N215" s="127"/>
      <c r="O215" s="127"/>
      <c r="P215" s="127"/>
      <c r="Q215" s="127"/>
      <c r="R215" s="127"/>
      <c r="S215" s="127"/>
      <c r="T215" s="127"/>
      <c r="U215" s="127"/>
      <c r="V215" s="127"/>
      <c r="W215" s="127"/>
      <c r="X215" s="127"/>
      <c r="Y215" s="127"/>
      <c r="Z215" s="127"/>
    </row>
    <row r="216" customFormat="false" ht="15.75" hidden="false" customHeight="false" outlineLevel="0" collapsed="false">
      <c r="A216" s="127"/>
      <c r="B216" s="127"/>
      <c r="C216" s="127"/>
      <c r="D216" s="127"/>
      <c r="E216" s="127"/>
      <c r="F216" s="127"/>
      <c r="G216" s="127"/>
      <c r="H216" s="127"/>
      <c r="I216" s="127"/>
      <c r="J216" s="127"/>
      <c r="K216" s="127"/>
      <c r="L216" s="127"/>
      <c r="M216" s="127"/>
      <c r="N216" s="127"/>
      <c r="O216" s="127"/>
      <c r="P216" s="127"/>
      <c r="Q216" s="127"/>
      <c r="R216" s="127"/>
      <c r="S216" s="127"/>
      <c r="T216" s="127"/>
      <c r="U216" s="127"/>
      <c r="V216" s="127"/>
      <c r="W216" s="127"/>
      <c r="X216" s="127"/>
      <c r="Y216" s="127"/>
      <c r="Z216" s="127"/>
    </row>
    <row r="217" customFormat="false" ht="15.75" hidden="false" customHeight="false" outlineLevel="0" collapsed="false">
      <c r="A217" s="127"/>
      <c r="B217" s="127"/>
      <c r="C217" s="127"/>
      <c r="D217" s="127"/>
      <c r="E217" s="127"/>
      <c r="F217" s="127"/>
      <c r="G217" s="127"/>
      <c r="H217" s="127"/>
      <c r="I217" s="127"/>
      <c r="J217" s="127"/>
      <c r="K217" s="127"/>
      <c r="L217" s="127"/>
      <c r="M217" s="127"/>
      <c r="N217" s="127"/>
      <c r="O217" s="127"/>
      <c r="P217" s="127"/>
      <c r="Q217" s="127"/>
      <c r="R217" s="127"/>
      <c r="S217" s="127"/>
      <c r="T217" s="127"/>
      <c r="U217" s="127"/>
      <c r="V217" s="127"/>
      <c r="W217" s="127"/>
      <c r="X217" s="127"/>
      <c r="Y217" s="127"/>
      <c r="Z217" s="127"/>
    </row>
    <row r="218" customFormat="false" ht="15.75" hidden="false" customHeight="false" outlineLevel="0" collapsed="false">
      <c r="A218" s="127"/>
      <c r="B218" s="127"/>
      <c r="C218" s="127"/>
      <c r="D218" s="127"/>
      <c r="E218" s="127"/>
      <c r="F218" s="127"/>
      <c r="G218" s="127"/>
      <c r="H218" s="127"/>
      <c r="I218" s="127"/>
      <c r="J218" s="127"/>
      <c r="K218" s="127"/>
      <c r="L218" s="127"/>
      <c r="M218" s="127"/>
      <c r="N218" s="127"/>
      <c r="O218" s="127"/>
      <c r="P218" s="127"/>
      <c r="Q218" s="127"/>
      <c r="R218" s="127"/>
      <c r="S218" s="127"/>
      <c r="T218" s="127"/>
      <c r="U218" s="127"/>
      <c r="V218" s="127"/>
      <c r="W218" s="127"/>
      <c r="X218" s="127"/>
      <c r="Y218" s="127"/>
      <c r="Z218" s="127"/>
    </row>
    <row r="219" customFormat="false" ht="15.75" hidden="false" customHeight="false" outlineLevel="0" collapsed="false">
      <c r="A219" s="127"/>
      <c r="B219" s="127"/>
      <c r="C219" s="127"/>
      <c r="D219" s="127"/>
      <c r="E219" s="127"/>
      <c r="F219" s="127"/>
      <c r="G219" s="127"/>
      <c r="H219" s="127"/>
      <c r="I219" s="127"/>
      <c r="J219" s="127"/>
      <c r="K219" s="127"/>
      <c r="L219" s="127"/>
      <c r="M219" s="127"/>
      <c r="N219" s="127"/>
      <c r="O219" s="127"/>
      <c r="P219" s="127"/>
      <c r="Q219" s="127"/>
      <c r="R219" s="127"/>
      <c r="S219" s="127"/>
      <c r="T219" s="127"/>
      <c r="U219" s="127"/>
      <c r="V219" s="127"/>
      <c r="W219" s="127"/>
      <c r="X219" s="127"/>
      <c r="Y219" s="127"/>
      <c r="Z219" s="127"/>
    </row>
    <row r="220" customFormat="false" ht="15.75" hidden="false" customHeight="false" outlineLevel="0" collapsed="false">
      <c r="A220" s="127"/>
      <c r="B220" s="127"/>
      <c r="C220" s="127"/>
      <c r="D220" s="127"/>
      <c r="E220" s="127"/>
      <c r="F220" s="127"/>
      <c r="G220" s="127"/>
      <c r="H220" s="127"/>
      <c r="I220" s="127"/>
      <c r="J220" s="127"/>
      <c r="K220" s="127"/>
      <c r="L220" s="127"/>
      <c r="M220" s="127"/>
      <c r="N220" s="127"/>
      <c r="O220" s="127"/>
      <c r="P220" s="127"/>
      <c r="Q220" s="127"/>
      <c r="R220" s="127"/>
      <c r="S220" s="127"/>
      <c r="T220" s="127"/>
      <c r="U220" s="127"/>
      <c r="V220" s="127"/>
      <c r="W220" s="127"/>
      <c r="X220" s="127"/>
      <c r="Y220" s="127"/>
      <c r="Z220" s="127"/>
    </row>
    <row r="221" customFormat="false" ht="15.75" hidden="false" customHeight="false" outlineLevel="0" collapsed="false">
      <c r="A221" s="127"/>
      <c r="B221" s="127"/>
      <c r="C221" s="127"/>
      <c r="D221" s="127"/>
      <c r="E221" s="127"/>
      <c r="F221" s="127"/>
      <c r="G221" s="127"/>
      <c r="H221" s="127"/>
      <c r="I221" s="127"/>
      <c r="J221" s="127"/>
      <c r="K221" s="127"/>
      <c r="L221" s="127"/>
      <c r="M221" s="127"/>
      <c r="N221" s="127"/>
      <c r="O221" s="127"/>
      <c r="P221" s="127"/>
      <c r="Q221" s="127"/>
      <c r="R221" s="127"/>
      <c r="S221" s="127"/>
      <c r="T221" s="127"/>
      <c r="U221" s="127"/>
      <c r="V221" s="127"/>
      <c r="W221" s="127"/>
      <c r="X221" s="127"/>
      <c r="Y221" s="127"/>
      <c r="Z221" s="127"/>
    </row>
    <row r="222" customFormat="false" ht="15.75" hidden="false" customHeight="false" outlineLevel="0" collapsed="false">
      <c r="A222" s="127"/>
      <c r="B222" s="127"/>
      <c r="C222" s="127"/>
      <c r="D222" s="127"/>
      <c r="E222" s="127"/>
      <c r="F222" s="127"/>
      <c r="G222" s="127"/>
      <c r="H222" s="127"/>
      <c r="I222" s="127"/>
      <c r="J222" s="127"/>
      <c r="K222" s="127"/>
      <c r="L222" s="127"/>
      <c r="M222" s="127"/>
      <c r="N222" s="127"/>
      <c r="O222" s="127"/>
      <c r="P222" s="127"/>
      <c r="Q222" s="127"/>
      <c r="R222" s="127"/>
      <c r="S222" s="127"/>
      <c r="T222" s="127"/>
      <c r="U222" s="127"/>
      <c r="V222" s="127"/>
      <c r="W222" s="127"/>
      <c r="X222" s="127"/>
      <c r="Y222" s="127"/>
      <c r="Z222" s="127"/>
    </row>
    <row r="223" customFormat="false" ht="15.75" hidden="false" customHeight="false" outlineLevel="0" collapsed="false">
      <c r="A223" s="127"/>
      <c r="B223" s="127"/>
      <c r="C223" s="127"/>
      <c r="D223" s="127"/>
      <c r="E223" s="127"/>
      <c r="F223" s="127"/>
      <c r="G223" s="127"/>
      <c r="H223" s="127"/>
      <c r="I223" s="127"/>
      <c r="J223" s="127"/>
      <c r="K223" s="127"/>
      <c r="L223" s="127"/>
      <c r="M223" s="127"/>
      <c r="N223" s="127"/>
      <c r="O223" s="127"/>
      <c r="P223" s="127"/>
      <c r="Q223" s="127"/>
      <c r="R223" s="127"/>
      <c r="S223" s="127"/>
      <c r="T223" s="127"/>
      <c r="U223" s="127"/>
      <c r="V223" s="127"/>
      <c r="W223" s="127"/>
      <c r="X223" s="127"/>
      <c r="Y223" s="127"/>
      <c r="Z223" s="127"/>
    </row>
    <row r="224" customFormat="false" ht="15.75" hidden="false" customHeight="false" outlineLevel="0" collapsed="false">
      <c r="A224" s="127"/>
      <c r="B224" s="127"/>
      <c r="C224" s="127"/>
      <c r="D224" s="127"/>
      <c r="E224" s="127"/>
      <c r="F224" s="127"/>
      <c r="G224" s="127"/>
      <c r="H224" s="127"/>
      <c r="I224" s="127"/>
      <c r="J224" s="127"/>
      <c r="K224" s="127"/>
      <c r="L224" s="127"/>
      <c r="M224" s="127"/>
      <c r="N224" s="127"/>
      <c r="O224" s="127"/>
      <c r="P224" s="127"/>
      <c r="Q224" s="127"/>
      <c r="R224" s="127"/>
      <c r="S224" s="127"/>
      <c r="T224" s="127"/>
      <c r="U224" s="127"/>
      <c r="V224" s="127"/>
      <c r="W224" s="127"/>
      <c r="X224" s="127"/>
      <c r="Y224" s="127"/>
      <c r="Z224" s="127"/>
    </row>
    <row r="225" customFormat="false" ht="15.75" hidden="false" customHeight="false" outlineLevel="0" collapsed="false">
      <c r="A225" s="127"/>
      <c r="B225" s="127"/>
      <c r="C225" s="127"/>
      <c r="D225" s="127"/>
      <c r="E225" s="127"/>
      <c r="F225" s="127"/>
      <c r="G225" s="127"/>
      <c r="H225" s="127"/>
      <c r="I225" s="127"/>
      <c r="J225" s="127"/>
      <c r="K225" s="127"/>
      <c r="L225" s="127"/>
      <c r="M225" s="127"/>
      <c r="N225" s="127"/>
      <c r="O225" s="127"/>
      <c r="P225" s="127"/>
      <c r="Q225" s="127"/>
      <c r="R225" s="127"/>
      <c r="S225" s="127"/>
      <c r="T225" s="127"/>
      <c r="U225" s="127"/>
      <c r="V225" s="127"/>
      <c r="W225" s="127"/>
      <c r="X225" s="127"/>
      <c r="Y225" s="127"/>
      <c r="Z225" s="127"/>
    </row>
    <row r="226" customFormat="false" ht="15.75" hidden="false" customHeight="false" outlineLevel="0" collapsed="false">
      <c r="A226" s="127"/>
      <c r="B226" s="127"/>
      <c r="C226" s="127"/>
      <c r="D226" s="127"/>
      <c r="E226" s="127"/>
      <c r="F226" s="127"/>
      <c r="G226" s="127"/>
      <c r="H226" s="127"/>
      <c r="I226" s="127"/>
      <c r="J226" s="127"/>
      <c r="K226" s="127"/>
      <c r="L226" s="127"/>
      <c r="M226" s="127"/>
      <c r="N226" s="127"/>
      <c r="O226" s="127"/>
      <c r="P226" s="127"/>
      <c r="Q226" s="127"/>
      <c r="R226" s="127"/>
      <c r="S226" s="127"/>
      <c r="T226" s="127"/>
      <c r="U226" s="127"/>
      <c r="V226" s="127"/>
      <c r="W226" s="127"/>
      <c r="X226" s="127"/>
      <c r="Y226" s="127"/>
      <c r="Z226" s="127"/>
    </row>
    <row r="227" customFormat="false" ht="15.75" hidden="false" customHeight="false" outlineLevel="0" collapsed="false">
      <c r="A227" s="127"/>
      <c r="B227" s="127"/>
      <c r="C227" s="127"/>
      <c r="D227" s="127"/>
      <c r="E227" s="127"/>
      <c r="F227" s="127"/>
      <c r="G227" s="127"/>
      <c r="H227" s="127"/>
      <c r="I227" s="127"/>
      <c r="J227" s="127"/>
      <c r="K227" s="127"/>
      <c r="L227" s="127"/>
      <c r="M227" s="127"/>
      <c r="N227" s="127"/>
      <c r="O227" s="127"/>
      <c r="P227" s="127"/>
      <c r="Q227" s="127"/>
      <c r="R227" s="127"/>
      <c r="S227" s="127"/>
      <c r="T227" s="127"/>
      <c r="U227" s="127"/>
      <c r="V227" s="127"/>
      <c r="W227" s="127"/>
      <c r="X227" s="127"/>
      <c r="Y227" s="127"/>
      <c r="Z227" s="127"/>
    </row>
    <row r="228" customFormat="false" ht="15.75" hidden="false" customHeight="false" outlineLevel="0" collapsed="false">
      <c r="A228" s="127"/>
      <c r="B228" s="127"/>
      <c r="C228" s="127"/>
      <c r="D228" s="127"/>
      <c r="E228" s="127"/>
      <c r="F228" s="127"/>
      <c r="G228" s="127"/>
      <c r="H228" s="127"/>
      <c r="I228" s="127"/>
      <c r="J228" s="127"/>
      <c r="K228" s="127"/>
      <c r="L228" s="127"/>
      <c r="M228" s="127"/>
      <c r="N228" s="127"/>
      <c r="O228" s="127"/>
      <c r="P228" s="127"/>
      <c r="Q228" s="127"/>
      <c r="R228" s="127"/>
      <c r="S228" s="127"/>
      <c r="T228" s="127"/>
      <c r="U228" s="127"/>
      <c r="V228" s="127"/>
      <c r="W228" s="127"/>
      <c r="X228" s="127"/>
      <c r="Y228" s="127"/>
      <c r="Z228" s="127"/>
    </row>
    <row r="229" customFormat="false" ht="15.75" hidden="false" customHeight="false" outlineLevel="0" collapsed="false">
      <c r="A229" s="127"/>
      <c r="B229" s="127"/>
      <c r="C229" s="127"/>
      <c r="D229" s="127"/>
      <c r="E229" s="127"/>
      <c r="F229" s="127"/>
      <c r="G229" s="127"/>
      <c r="H229" s="127"/>
      <c r="I229" s="127"/>
      <c r="J229" s="127"/>
      <c r="K229" s="127"/>
      <c r="L229" s="127"/>
      <c r="M229" s="127"/>
      <c r="N229" s="127"/>
      <c r="O229" s="127"/>
      <c r="P229" s="127"/>
      <c r="Q229" s="127"/>
      <c r="R229" s="127"/>
      <c r="S229" s="127"/>
      <c r="T229" s="127"/>
      <c r="U229" s="127"/>
      <c r="V229" s="127"/>
      <c r="W229" s="127"/>
      <c r="X229" s="127"/>
      <c r="Y229" s="127"/>
      <c r="Z229" s="127"/>
    </row>
    <row r="230" customFormat="false" ht="15.75" hidden="false" customHeight="false" outlineLevel="0" collapsed="false">
      <c r="A230" s="127"/>
      <c r="B230" s="127"/>
      <c r="C230" s="127"/>
      <c r="D230" s="127"/>
      <c r="E230" s="127"/>
      <c r="F230" s="127"/>
      <c r="G230" s="127"/>
      <c r="H230" s="127"/>
      <c r="I230" s="127"/>
      <c r="J230" s="127"/>
      <c r="K230" s="127"/>
      <c r="L230" s="127"/>
      <c r="M230" s="127"/>
      <c r="N230" s="127"/>
      <c r="O230" s="127"/>
      <c r="P230" s="127"/>
      <c r="Q230" s="127"/>
      <c r="R230" s="127"/>
      <c r="S230" s="127"/>
      <c r="T230" s="127"/>
      <c r="U230" s="127"/>
      <c r="V230" s="127"/>
      <c r="W230" s="127"/>
      <c r="X230" s="127"/>
      <c r="Y230" s="127"/>
      <c r="Z230" s="127"/>
    </row>
    <row r="231" customFormat="false" ht="15.75" hidden="false" customHeight="false" outlineLevel="0" collapsed="false">
      <c r="A231" s="127"/>
      <c r="B231" s="127"/>
      <c r="C231" s="127"/>
      <c r="D231" s="127"/>
      <c r="E231" s="127"/>
      <c r="F231" s="127"/>
      <c r="G231" s="127"/>
      <c r="H231" s="127"/>
      <c r="I231" s="127"/>
      <c r="J231" s="127"/>
      <c r="K231" s="127"/>
      <c r="L231" s="127"/>
      <c r="M231" s="127"/>
      <c r="N231" s="127"/>
      <c r="O231" s="127"/>
      <c r="P231" s="127"/>
      <c r="Q231" s="127"/>
      <c r="R231" s="127"/>
      <c r="S231" s="127"/>
      <c r="T231" s="127"/>
      <c r="U231" s="127"/>
      <c r="V231" s="127"/>
      <c r="W231" s="127"/>
      <c r="X231" s="127"/>
      <c r="Y231" s="127"/>
      <c r="Z231" s="127"/>
    </row>
    <row r="232" customFormat="false" ht="15.75" hidden="false" customHeight="false" outlineLevel="0" collapsed="false">
      <c r="A232" s="127"/>
      <c r="B232" s="127"/>
      <c r="C232" s="127"/>
      <c r="D232" s="127"/>
      <c r="E232" s="127"/>
      <c r="F232" s="127"/>
      <c r="G232" s="127"/>
      <c r="H232" s="127"/>
      <c r="I232" s="127"/>
      <c r="J232" s="127"/>
      <c r="K232" s="127"/>
      <c r="L232" s="127"/>
      <c r="M232" s="127"/>
      <c r="N232" s="127"/>
      <c r="O232" s="127"/>
      <c r="P232" s="127"/>
      <c r="Q232" s="127"/>
      <c r="R232" s="127"/>
      <c r="S232" s="127"/>
      <c r="T232" s="127"/>
      <c r="U232" s="127"/>
      <c r="V232" s="127"/>
      <c r="W232" s="127"/>
      <c r="X232" s="127"/>
      <c r="Y232" s="127"/>
      <c r="Z232" s="127"/>
    </row>
    <row r="233" customFormat="false" ht="15.75" hidden="false" customHeight="false" outlineLevel="0" collapsed="false">
      <c r="A233" s="127"/>
      <c r="B233" s="127"/>
      <c r="C233" s="127"/>
      <c r="D233" s="127"/>
      <c r="E233" s="127"/>
      <c r="F233" s="127"/>
      <c r="G233" s="127"/>
      <c r="H233" s="127"/>
      <c r="I233" s="127"/>
      <c r="J233" s="127"/>
      <c r="K233" s="127"/>
      <c r="L233" s="127"/>
      <c r="M233" s="127"/>
      <c r="N233" s="127"/>
      <c r="O233" s="127"/>
      <c r="P233" s="127"/>
      <c r="Q233" s="127"/>
      <c r="R233" s="127"/>
      <c r="S233" s="127"/>
      <c r="T233" s="127"/>
      <c r="U233" s="127"/>
      <c r="V233" s="127"/>
      <c r="W233" s="127"/>
      <c r="X233" s="127"/>
      <c r="Y233" s="127"/>
      <c r="Z233" s="127"/>
    </row>
    <row r="234" customFormat="false" ht="15.75" hidden="false" customHeight="false" outlineLevel="0" collapsed="false">
      <c r="A234" s="127"/>
      <c r="B234" s="127"/>
      <c r="C234" s="127"/>
      <c r="D234" s="127"/>
      <c r="E234" s="127"/>
      <c r="F234" s="127"/>
      <c r="G234" s="127"/>
      <c r="H234" s="127"/>
      <c r="I234" s="127"/>
      <c r="J234" s="127"/>
      <c r="K234" s="127"/>
      <c r="L234" s="127"/>
      <c r="M234" s="127"/>
      <c r="N234" s="127"/>
      <c r="O234" s="127"/>
      <c r="P234" s="127"/>
      <c r="Q234" s="127"/>
      <c r="R234" s="127"/>
      <c r="S234" s="127"/>
      <c r="T234" s="127"/>
      <c r="U234" s="127"/>
      <c r="V234" s="127"/>
      <c r="W234" s="127"/>
      <c r="X234" s="127"/>
      <c r="Y234" s="127"/>
      <c r="Z234" s="127"/>
    </row>
    <row r="235" customFormat="false" ht="15.75" hidden="false" customHeight="false" outlineLevel="0" collapsed="false">
      <c r="A235" s="127"/>
      <c r="B235" s="127"/>
      <c r="C235" s="127"/>
      <c r="D235" s="127"/>
      <c r="E235" s="127"/>
      <c r="F235" s="127"/>
      <c r="G235" s="127"/>
      <c r="H235" s="127"/>
      <c r="I235" s="127"/>
      <c r="J235" s="127"/>
      <c r="K235" s="127"/>
      <c r="L235" s="127"/>
      <c r="M235" s="127"/>
      <c r="N235" s="127"/>
      <c r="O235" s="127"/>
      <c r="P235" s="127"/>
      <c r="Q235" s="127"/>
      <c r="R235" s="127"/>
      <c r="S235" s="127"/>
      <c r="T235" s="127"/>
      <c r="U235" s="127"/>
      <c r="V235" s="127"/>
      <c r="W235" s="127"/>
      <c r="X235" s="127"/>
      <c r="Y235" s="127"/>
      <c r="Z235" s="127"/>
    </row>
    <row r="236" customFormat="false" ht="15.75" hidden="false" customHeight="false" outlineLevel="0" collapsed="false">
      <c r="A236" s="127"/>
      <c r="B236" s="127"/>
      <c r="C236" s="127"/>
      <c r="D236" s="127"/>
      <c r="E236" s="127"/>
      <c r="F236" s="127"/>
      <c r="G236" s="127"/>
      <c r="H236" s="127"/>
      <c r="I236" s="127"/>
      <c r="J236" s="127"/>
      <c r="K236" s="127"/>
      <c r="L236" s="127"/>
      <c r="M236" s="127"/>
      <c r="N236" s="127"/>
      <c r="O236" s="127"/>
      <c r="P236" s="127"/>
      <c r="Q236" s="127"/>
      <c r="R236" s="127"/>
      <c r="S236" s="127"/>
      <c r="T236" s="127"/>
      <c r="U236" s="127"/>
      <c r="V236" s="127"/>
      <c r="W236" s="127"/>
      <c r="X236" s="127"/>
      <c r="Y236" s="127"/>
      <c r="Z236" s="127"/>
    </row>
    <row r="237" customFormat="false" ht="15.75" hidden="false" customHeight="false" outlineLevel="0" collapsed="false">
      <c r="A237" s="127"/>
      <c r="B237" s="127"/>
      <c r="C237" s="127"/>
      <c r="D237" s="127"/>
      <c r="E237" s="127"/>
      <c r="F237" s="127"/>
      <c r="G237" s="127"/>
      <c r="H237" s="127"/>
      <c r="I237" s="127"/>
      <c r="J237" s="127"/>
      <c r="K237" s="127"/>
      <c r="L237" s="127"/>
      <c r="M237" s="127"/>
      <c r="N237" s="127"/>
      <c r="O237" s="127"/>
      <c r="P237" s="127"/>
      <c r="Q237" s="127"/>
      <c r="R237" s="127"/>
      <c r="S237" s="127"/>
      <c r="T237" s="127"/>
      <c r="U237" s="127"/>
      <c r="V237" s="127"/>
      <c r="W237" s="127"/>
      <c r="X237" s="127"/>
      <c r="Y237" s="127"/>
      <c r="Z237" s="127"/>
    </row>
    <row r="238" customFormat="false" ht="15.75" hidden="false" customHeight="false" outlineLevel="0" collapsed="false">
      <c r="A238" s="127"/>
      <c r="B238" s="127"/>
      <c r="C238" s="127"/>
      <c r="D238" s="127"/>
      <c r="E238" s="127"/>
      <c r="F238" s="127"/>
      <c r="G238" s="127"/>
      <c r="H238" s="127"/>
      <c r="I238" s="127"/>
      <c r="J238" s="127"/>
      <c r="K238" s="127"/>
      <c r="L238" s="127"/>
      <c r="M238" s="127"/>
      <c r="N238" s="127"/>
      <c r="O238" s="127"/>
      <c r="P238" s="127"/>
      <c r="Q238" s="127"/>
      <c r="R238" s="127"/>
      <c r="S238" s="127"/>
      <c r="T238" s="127"/>
      <c r="U238" s="127"/>
      <c r="V238" s="127"/>
      <c r="W238" s="127"/>
      <c r="X238" s="127"/>
      <c r="Y238" s="127"/>
      <c r="Z238" s="127"/>
    </row>
    <row r="239" customFormat="false" ht="15.75" hidden="false" customHeight="false" outlineLevel="0" collapsed="false">
      <c r="A239" s="127"/>
      <c r="B239" s="127"/>
      <c r="C239" s="127"/>
      <c r="D239" s="127"/>
      <c r="E239" s="127"/>
      <c r="F239" s="127"/>
      <c r="G239" s="127"/>
      <c r="H239" s="127"/>
      <c r="I239" s="127"/>
      <c r="J239" s="127"/>
      <c r="K239" s="127"/>
      <c r="L239" s="127"/>
      <c r="M239" s="127"/>
      <c r="N239" s="127"/>
      <c r="O239" s="127"/>
      <c r="P239" s="127"/>
      <c r="Q239" s="127"/>
      <c r="R239" s="127"/>
      <c r="S239" s="127"/>
      <c r="T239" s="127"/>
      <c r="U239" s="127"/>
      <c r="V239" s="127"/>
      <c r="W239" s="127"/>
      <c r="X239" s="127"/>
      <c r="Y239" s="127"/>
      <c r="Z239" s="127"/>
    </row>
    <row r="240" customFormat="false" ht="15.75" hidden="false" customHeight="false" outlineLevel="0" collapsed="false">
      <c r="A240" s="127"/>
      <c r="B240" s="127"/>
      <c r="C240" s="127"/>
      <c r="D240" s="127"/>
      <c r="E240" s="127"/>
      <c r="F240" s="127"/>
      <c r="G240" s="127"/>
      <c r="H240" s="127"/>
      <c r="I240" s="127"/>
      <c r="J240" s="127"/>
      <c r="K240" s="127"/>
      <c r="L240" s="127"/>
      <c r="M240" s="127"/>
      <c r="N240" s="127"/>
      <c r="O240" s="127"/>
      <c r="P240" s="127"/>
      <c r="Q240" s="127"/>
      <c r="R240" s="127"/>
      <c r="S240" s="127"/>
      <c r="T240" s="127"/>
      <c r="U240" s="127"/>
      <c r="V240" s="127"/>
      <c r="W240" s="127"/>
      <c r="X240" s="127"/>
      <c r="Y240" s="127"/>
      <c r="Z240" s="127"/>
    </row>
    <row r="241" customFormat="false" ht="15.75" hidden="false" customHeight="false" outlineLevel="0" collapsed="false">
      <c r="A241" s="127"/>
      <c r="B241" s="127"/>
      <c r="C241" s="127"/>
      <c r="D241" s="127"/>
      <c r="E241" s="127"/>
      <c r="F241" s="127"/>
      <c r="G241" s="127"/>
      <c r="H241" s="127"/>
      <c r="I241" s="127"/>
      <c r="J241" s="127"/>
      <c r="K241" s="127"/>
      <c r="L241" s="127"/>
      <c r="M241" s="127"/>
      <c r="N241" s="127"/>
      <c r="O241" s="127"/>
      <c r="P241" s="127"/>
      <c r="Q241" s="127"/>
      <c r="R241" s="127"/>
      <c r="S241" s="127"/>
      <c r="T241" s="127"/>
      <c r="U241" s="127"/>
      <c r="V241" s="127"/>
      <c r="W241" s="127"/>
      <c r="X241" s="127"/>
      <c r="Y241" s="127"/>
      <c r="Z241" s="127"/>
    </row>
    <row r="242" customFormat="false" ht="15.75" hidden="false" customHeight="false" outlineLevel="0" collapsed="false">
      <c r="A242" s="127"/>
      <c r="B242" s="127"/>
      <c r="C242" s="127"/>
      <c r="D242" s="127"/>
      <c r="E242" s="127"/>
      <c r="F242" s="127"/>
      <c r="G242" s="127"/>
      <c r="H242" s="127"/>
      <c r="I242" s="127"/>
      <c r="J242" s="127"/>
      <c r="K242" s="127"/>
      <c r="L242" s="127"/>
      <c r="M242" s="127"/>
      <c r="N242" s="127"/>
      <c r="O242" s="127"/>
      <c r="P242" s="127"/>
      <c r="Q242" s="127"/>
      <c r="R242" s="127"/>
      <c r="S242" s="127"/>
      <c r="T242" s="127"/>
      <c r="U242" s="127"/>
      <c r="V242" s="127"/>
      <c r="W242" s="127"/>
      <c r="X242" s="127"/>
      <c r="Y242" s="127"/>
      <c r="Z242" s="127"/>
    </row>
    <row r="243" customFormat="false" ht="15.75" hidden="false" customHeight="false" outlineLevel="0" collapsed="false">
      <c r="A243" s="127"/>
      <c r="B243" s="127"/>
      <c r="C243" s="127"/>
      <c r="D243" s="127"/>
      <c r="E243" s="127"/>
      <c r="F243" s="127"/>
      <c r="G243" s="127"/>
      <c r="H243" s="127"/>
      <c r="I243" s="127"/>
      <c r="J243" s="127"/>
      <c r="K243" s="127"/>
      <c r="L243" s="127"/>
      <c r="M243" s="127"/>
      <c r="N243" s="127"/>
      <c r="O243" s="127"/>
      <c r="P243" s="127"/>
      <c r="Q243" s="127"/>
      <c r="R243" s="127"/>
      <c r="S243" s="127"/>
      <c r="T243" s="127"/>
      <c r="U243" s="127"/>
      <c r="V243" s="127"/>
      <c r="W243" s="127"/>
      <c r="X243" s="127"/>
      <c r="Y243" s="127"/>
      <c r="Z243" s="127"/>
    </row>
    <row r="244" customFormat="false" ht="15.75" hidden="false" customHeight="false" outlineLevel="0" collapsed="false">
      <c r="A244" s="127"/>
      <c r="B244" s="127"/>
      <c r="C244" s="127"/>
      <c r="D244" s="127"/>
      <c r="E244" s="127"/>
      <c r="F244" s="127"/>
      <c r="G244" s="127"/>
      <c r="H244" s="127"/>
      <c r="I244" s="127"/>
      <c r="J244" s="127"/>
      <c r="K244" s="127"/>
      <c r="L244" s="127"/>
      <c r="M244" s="127"/>
      <c r="N244" s="127"/>
      <c r="O244" s="127"/>
      <c r="P244" s="127"/>
      <c r="Q244" s="127"/>
      <c r="R244" s="127"/>
      <c r="S244" s="127"/>
      <c r="T244" s="127"/>
      <c r="U244" s="127"/>
      <c r="V244" s="127"/>
      <c r="W244" s="127"/>
      <c r="X244" s="127"/>
      <c r="Y244" s="127"/>
      <c r="Z244" s="127"/>
    </row>
    <row r="245" customFormat="false" ht="15.75" hidden="false" customHeight="false" outlineLevel="0" collapsed="false">
      <c r="A245" s="127"/>
      <c r="B245" s="127"/>
      <c r="C245" s="127"/>
      <c r="D245" s="127"/>
      <c r="E245" s="127"/>
      <c r="F245" s="127"/>
      <c r="G245" s="127"/>
      <c r="H245" s="127"/>
      <c r="I245" s="127"/>
      <c r="J245" s="127"/>
      <c r="K245" s="127"/>
      <c r="L245" s="127"/>
      <c r="M245" s="127"/>
      <c r="N245" s="127"/>
      <c r="O245" s="127"/>
      <c r="P245" s="127"/>
      <c r="Q245" s="127"/>
      <c r="R245" s="127"/>
      <c r="S245" s="127"/>
      <c r="T245" s="127"/>
      <c r="U245" s="127"/>
      <c r="V245" s="127"/>
      <c r="W245" s="127"/>
      <c r="X245" s="127"/>
      <c r="Y245" s="127"/>
      <c r="Z245" s="127"/>
    </row>
    <row r="246" customFormat="false" ht="15.75" hidden="false" customHeight="false" outlineLevel="0" collapsed="false">
      <c r="A246" s="127"/>
      <c r="B246" s="127"/>
      <c r="C246" s="127"/>
      <c r="D246" s="127"/>
      <c r="E246" s="127"/>
      <c r="F246" s="127"/>
      <c r="G246" s="127"/>
      <c r="H246" s="127"/>
      <c r="I246" s="127"/>
      <c r="J246" s="127"/>
      <c r="K246" s="127"/>
      <c r="L246" s="127"/>
      <c r="M246" s="127"/>
      <c r="N246" s="127"/>
      <c r="O246" s="127"/>
      <c r="P246" s="127"/>
      <c r="Q246" s="127"/>
      <c r="R246" s="127"/>
      <c r="S246" s="127"/>
      <c r="T246" s="127"/>
      <c r="U246" s="127"/>
      <c r="V246" s="127"/>
      <c r="W246" s="127"/>
      <c r="X246" s="127"/>
      <c r="Y246" s="127"/>
      <c r="Z246" s="127"/>
    </row>
    <row r="247" customFormat="false" ht="15.75" hidden="false" customHeight="false" outlineLevel="0" collapsed="false">
      <c r="A247" s="127"/>
      <c r="B247" s="127"/>
      <c r="C247" s="127"/>
      <c r="D247" s="127"/>
      <c r="E247" s="127"/>
      <c r="F247" s="127"/>
      <c r="G247" s="127"/>
      <c r="H247" s="127"/>
      <c r="I247" s="127"/>
      <c r="J247" s="127"/>
      <c r="K247" s="127"/>
      <c r="L247" s="127"/>
      <c r="M247" s="127"/>
      <c r="N247" s="127"/>
      <c r="O247" s="127"/>
      <c r="P247" s="127"/>
      <c r="Q247" s="127"/>
      <c r="R247" s="127"/>
      <c r="S247" s="127"/>
      <c r="T247" s="127"/>
      <c r="U247" s="127"/>
      <c r="V247" s="127"/>
      <c r="W247" s="127"/>
      <c r="X247" s="127"/>
      <c r="Y247" s="127"/>
      <c r="Z247" s="127"/>
    </row>
    <row r="248" customFormat="false" ht="15.75" hidden="false" customHeight="false" outlineLevel="0" collapsed="false">
      <c r="A248" s="127"/>
      <c r="B248" s="127"/>
      <c r="C248" s="127"/>
      <c r="D248" s="127"/>
      <c r="E248" s="127"/>
      <c r="F248" s="127"/>
      <c r="G248" s="127"/>
      <c r="H248" s="127"/>
      <c r="I248" s="127"/>
      <c r="J248" s="127"/>
      <c r="K248" s="127"/>
      <c r="L248" s="127"/>
      <c r="M248" s="127"/>
      <c r="N248" s="127"/>
      <c r="O248" s="127"/>
      <c r="P248" s="127"/>
      <c r="Q248" s="127"/>
      <c r="R248" s="127"/>
      <c r="S248" s="127"/>
      <c r="T248" s="127"/>
      <c r="U248" s="127"/>
      <c r="V248" s="127"/>
      <c r="W248" s="127"/>
      <c r="X248" s="127"/>
      <c r="Y248" s="127"/>
      <c r="Z248" s="127"/>
    </row>
    <row r="249" customFormat="false" ht="15.75" hidden="false" customHeight="false" outlineLevel="0" collapsed="false">
      <c r="A249" s="127"/>
      <c r="B249" s="127"/>
      <c r="C249" s="127"/>
      <c r="D249" s="127"/>
      <c r="E249" s="127"/>
      <c r="F249" s="127"/>
      <c r="G249" s="127"/>
      <c r="H249" s="127"/>
      <c r="I249" s="127"/>
      <c r="J249" s="127"/>
      <c r="K249" s="127"/>
      <c r="L249" s="127"/>
      <c r="M249" s="127"/>
      <c r="N249" s="127"/>
      <c r="O249" s="127"/>
      <c r="P249" s="127"/>
      <c r="Q249" s="127"/>
      <c r="R249" s="127"/>
      <c r="S249" s="127"/>
      <c r="T249" s="127"/>
      <c r="U249" s="127"/>
      <c r="V249" s="127"/>
      <c r="W249" s="127"/>
      <c r="X249" s="127"/>
      <c r="Y249" s="127"/>
      <c r="Z249" s="127"/>
    </row>
    <row r="250" customFormat="false" ht="15.75" hidden="false" customHeight="false" outlineLevel="0" collapsed="false">
      <c r="A250" s="127"/>
      <c r="B250" s="127"/>
      <c r="C250" s="127"/>
      <c r="D250" s="127"/>
      <c r="E250" s="127"/>
      <c r="F250" s="127"/>
      <c r="G250" s="127"/>
      <c r="H250" s="127"/>
      <c r="I250" s="127"/>
      <c r="J250" s="127"/>
      <c r="K250" s="127"/>
      <c r="L250" s="127"/>
      <c r="M250" s="127"/>
      <c r="N250" s="127"/>
      <c r="O250" s="127"/>
      <c r="P250" s="127"/>
      <c r="Q250" s="127"/>
      <c r="R250" s="127"/>
      <c r="S250" s="127"/>
      <c r="T250" s="127"/>
      <c r="U250" s="127"/>
      <c r="V250" s="127"/>
      <c r="W250" s="127"/>
      <c r="X250" s="127"/>
      <c r="Y250" s="127"/>
      <c r="Z250" s="127"/>
    </row>
    <row r="251" customFormat="false" ht="15.75" hidden="false" customHeight="false" outlineLevel="0" collapsed="false">
      <c r="A251" s="127"/>
      <c r="B251" s="127"/>
      <c r="C251" s="127"/>
      <c r="D251" s="127"/>
      <c r="E251" s="127"/>
      <c r="F251" s="127"/>
      <c r="G251" s="127"/>
      <c r="H251" s="127"/>
      <c r="I251" s="127"/>
      <c r="J251" s="127"/>
      <c r="K251" s="127"/>
      <c r="L251" s="127"/>
      <c r="M251" s="127"/>
      <c r="N251" s="127"/>
      <c r="O251" s="127"/>
      <c r="P251" s="127"/>
      <c r="Q251" s="127"/>
      <c r="R251" s="127"/>
      <c r="S251" s="127"/>
      <c r="T251" s="127"/>
      <c r="U251" s="127"/>
      <c r="V251" s="127"/>
      <c r="W251" s="127"/>
      <c r="X251" s="127"/>
      <c r="Y251" s="127"/>
      <c r="Z251" s="127"/>
    </row>
    <row r="252" customFormat="false" ht="15.75" hidden="false" customHeight="false" outlineLevel="0" collapsed="false">
      <c r="A252" s="127"/>
      <c r="B252" s="127"/>
      <c r="C252" s="127"/>
      <c r="D252" s="127"/>
      <c r="E252" s="127"/>
      <c r="F252" s="127"/>
      <c r="G252" s="127"/>
      <c r="H252" s="127"/>
      <c r="I252" s="127"/>
      <c r="J252" s="127"/>
      <c r="K252" s="127"/>
      <c r="L252" s="127"/>
      <c r="M252" s="127"/>
      <c r="N252" s="127"/>
      <c r="O252" s="127"/>
      <c r="P252" s="127"/>
      <c r="Q252" s="127"/>
      <c r="R252" s="127"/>
      <c r="S252" s="127"/>
      <c r="T252" s="127"/>
      <c r="U252" s="127"/>
      <c r="V252" s="127"/>
      <c r="W252" s="127"/>
      <c r="X252" s="127"/>
      <c r="Y252" s="127"/>
      <c r="Z252" s="127"/>
    </row>
    <row r="253" customFormat="false" ht="15.75" hidden="false" customHeight="false" outlineLevel="0" collapsed="false">
      <c r="A253" s="127"/>
      <c r="B253" s="127"/>
      <c r="C253" s="127"/>
      <c r="D253" s="127"/>
      <c r="E253" s="127"/>
      <c r="F253" s="127"/>
      <c r="G253" s="127"/>
      <c r="H253" s="127"/>
      <c r="I253" s="127"/>
      <c r="J253" s="127"/>
      <c r="K253" s="127"/>
      <c r="L253" s="127"/>
      <c r="M253" s="127"/>
      <c r="N253" s="127"/>
      <c r="O253" s="127"/>
      <c r="P253" s="127"/>
      <c r="Q253" s="127"/>
      <c r="R253" s="127"/>
      <c r="S253" s="127"/>
      <c r="T253" s="127"/>
      <c r="U253" s="127"/>
      <c r="V253" s="127"/>
      <c r="W253" s="127"/>
      <c r="X253" s="127"/>
      <c r="Y253" s="127"/>
      <c r="Z253" s="127"/>
    </row>
    <row r="254" customFormat="false" ht="15.75" hidden="false" customHeight="false" outlineLevel="0" collapsed="false">
      <c r="A254" s="127"/>
      <c r="B254" s="127"/>
      <c r="C254" s="127"/>
      <c r="D254" s="127"/>
      <c r="E254" s="127"/>
      <c r="F254" s="127"/>
      <c r="G254" s="127"/>
      <c r="H254" s="127"/>
      <c r="I254" s="127"/>
      <c r="J254" s="127"/>
      <c r="K254" s="127"/>
      <c r="L254" s="127"/>
      <c r="M254" s="127"/>
      <c r="N254" s="127"/>
      <c r="O254" s="127"/>
      <c r="P254" s="127"/>
      <c r="Q254" s="127"/>
      <c r="R254" s="127"/>
      <c r="S254" s="127"/>
      <c r="T254" s="127"/>
      <c r="U254" s="127"/>
      <c r="V254" s="127"/>
      <c r="W254" s="127"/>
      <c r="X254" s="127"/>
      <c r="Y254" s="127"/>
      <c r="Z254" s="127"/>
    </row>
    <row r="255" customFormat="false" ht="15.75" hidden="false" customHeight="false" outlineLevel="0" collapsed="false">
      <c r="A255" s="127"/>
      <c r="B255" s="127"/>
      <c r="C255" s="127"/>
      <c r="D255" s="127"/>
      <c r="E255" s="127"/>
      <c r="F255" s="127"/>
      <c r="G255" s="127"/>
      <c r="H255" s="127"/>
      <c r="I255" s="127"/>
      <c r="J255" s="127"/>
      <c r="K255" s="127"/>
      <c r="L255" s="127"/>
      <c r="M255" s="127"/>
      <c r="N255" s="127"/>
      <c r="O255" s="127"/>
      <c r="P255" s="127"/>
      <c r="Q255" s="127"/>
      <c r="R255" s="127"/>
      <c r="S255" s="127"/>
      <c r="T255" s="127"/>
      <c r="U255" s="127"/>
      <c r="V255" s="127"/>
      <c r="W255" s="127"/>
      <c r="X255" s="127"/>
      <c r="Y255" s="127"/>
      <c r="Z255" s="127"/>
    </row>
    <row r="256" customFormat="false" ht="15.75" hidden="false" customHeight="false" outlineLevel="0" collapsed="false">
      <c r="A256" s="127"/>
      <c r="B256" s="127"/>
      <c r="C256" s="127"/>
      <c r="D256" s="127"/>
      <c r="E256" s="127"/>
      <c r="F256" s="127"/>
      <c r="G256" s="127"/>
      <c r="H256" s="127"/>
      <c r="I256" s="127"/>
      <c r="J256" s="127"/>
      <c r="K256" s="127"/>
      <c r="L256" s="127"/>
      <c r="M256" s="127"/>
      <c r="N256" s="127"/>
      <c r="O256" s="127"/>
      <c r="P256" s="127"/>
      <c r="Q256" s="127"/>
      <c r="R256" s="127"/>
      <c r="S256" s="127"/>
      <c r="T256" s="127"/>
      <c r="U256" s="127"/>
      <c r="V256" s="127"/>
      <c r="W256" s="127"/>
      <c r="X256" s="127"/>
      <c r="Y256" s="127"/>
      <c r="Z256" s="127"/>
    </row>
    <row r="257" customFormat="false" ht="15.75" hidden="false" customHeight="false" outlineLevel="0" collapsed="false">
      <c r="A257" s="127"/>
      <c r="B257" s="127"/>
      <c r="C257" s="127"/>
      <c r="D257" s="127"/>
      <c r="E257" s="127"/>
      <c r="F257" s="127"/>
      <c r="G257" s="127"/>
      <c r="H257" s="127"/>
      <c r="I257" s="127"/>
      <c r="J257" s="127"/>
      <c r="K257" s="127"/>
      <c r="L257" s="127"/>
      <c r="M257" s="127"/>
      <c r="N257" s="127"/>
      <c r="O257" s="127"/>
      <c r="P257" s="127"/>
      <c r="Q257" s="127"/>
      <c r="R257" s="127"/>
      <c r="S257" s="127"/>
      <c r="T257" s="127"/>
      <c r="U257" s="127"/>
      <c r="V257" s="127"/>
      <c r="W257" s="127"/>
      <c r="X257" s="127"/>
      <c r="Y257" s="127"/>
      <c r="Z257" s="127"/>
    </row>
    <row r="258" customFormat="false" ht="15.75" hidden="false" customHeight="false" outlineLevel="0" collapsed="false">
      <c r="A258" s="127"/>
      <c r="B258" s="127"/>
      <c r="C258" s="127"/>
      <c r="D258" s="127"/>
      <c r="E258" s="127"/>
      <c r="F258" s="127"/>
      <c r="G258" s="127"/>
      <c r="H258" s="127"/>
      <c r="I258" s="127"/>
      <c r="J258" s="127"/>
      <c r="K258" s="127"/>
      <c r="L258" s="127"/>
      <c r="M258" s="127"/>
      <c r="N258" s="127"/>
      <c r="O258" s="127"/>
      <c r="P258" s="127"/>
      <c r="Q258" s="127"/>
      <c r="R258" s="127"/>
      <c r="S258" s="127"/>
      <c r="T258" s="127"/>
      <c r="U258" s="127"/>
      <c r="V258" s="127"/>
      <c r="W258" s="127"/>
      <c r="X258" s="127"/>
      <c r="Y258" s="127"/>
      <c r="Z258" s="127"/>
    </row>
    <row r="259" customFormat="false" ht="15.75" hidden="false" customHeight="false" outlineLevel="0" collapsed="false">
      <c r="A259" s="127"/>
      <c r="B259" s="127"/>
      <c r="C259" s="127"/>
      <c r="D259" s="127"/>
      <c r="E259" s="127"/>
      <c r="F259" s="127"/>
      <c r="G259" s="127"/>
      <c r="H259" s="127"/>
      <c r="I259" s="127"/>
      <c r="J259" s="127"/>
      <c r="K259" s="127"/>
      <c r="L259" s="127"/>
      <c r="M259" s="127"/>
      <c r="N259" s="127"/>
      <c r="O259" s="127"/>
      <c r="P259" s="127"/>
      <c r="Q259" s="127"/>
      <c r="R259" s="127"/>
      <c r="S259" s="127"/>
      <c r="T259" s="127"/>
      <c r="U259" s="127"/>
      <c r="V259" s="127"/>
      <c r="W259" s="127"/>
      <c r="X259" s="127"/>
      <c r="Y259" s="127"/>
      <c r="Z259" s="127"/>
    </row>
    <row r="260" customFormat="false" ht="15.75" hidden="false" customHeight="false" outlineLevel="0" collapsed="false">
      <c r="A260" s="127"/>
      <c r="B260" s="127"/>
      <c r="C260" s="127"/>
      <c r="D260" s="127"/>
      <c r="E260" s="127"/>
      <c r="F260" s="127"/>
      <c r="G260" s="127"/>
      <c r="H260" s="127"/>
      <c r="I260" s="127"/>
      <c r="J260" s="127"/>
      <c r="K260" s="127"/>
      <c r="L260" s="127"/>
      <c r="M260" s="127"/>
      <c r="N260" s="127"/>
      <c r="O260" s="127"/>
      <c r="P260" s="127"/>
      <c r="Q260" s="127"/>
      <c r="R260" s="127"/>
      <c r="S260" s="127"/>
      <c r="T260" s="127"/>
      <c r="U260" s="127"/>
      <c r="V260" s="127"/>
      <c r="W260" s="127"/>
      <c r="X260" s="127"/>
      <c r="Y260" s="127"/>
      <c r="Z260" s="127"/>
    </row>
    <row r="261" customFormat="false" ht="15.75" hidden="false" customHeight="false" outlineLevel="0" collapsed="false">
      <c r="A261" s="127"/>
      <c r="B261" s="127"/>
      <c r="C261" s="127"/>
      <c r="D261" s="127"/>
      <c r="E261" s="127"/>
      <c r="F261" s="127"/>
      <c r="G261" s="127"/>
      <c r="H261" s="127"/>
      <c r="I261" s="127"/>
      <c r="J261" s="127"/>
      <c r="K261" s="127"/>
      <c r="L261" s="127"/>
      <c r="M261" s="127"/>
      <c r="N261" s="127"/>
      <c r="O261" s="127"/>
      <c r="P261" s="127"/>
      <c r="Q261" s="127"/>
      <c r="R261" s="127"/>
      <c r="S261" s="127"/>
      <c r="T261" s="127"/>
      <c r="U261" s="127"/>
      <c r="V261" s="127"/>
      <c r="W261" s="127"/>
      <c r="X261" s="127"/>
      <c r="Y261" s="127"/>
      <c r="Z261" s="127"/>
    </row>
    <row r="262" customFormat="false" ht="15.75" hidden="false" customHeight="false" outlineLevel="0" collapsed="false">
      <c r="A262" s="127"/>
      <c r="B262" s="127"/>
      <c r="C262" s="127"/>
      <c r="D262" s="127"/>
      <c r="E262" s="127"/>
      <c r="F262" s="127"/>
      <c r="G262" s="127"/>
      <c r="H262" s="127"/>
      <c r="I262" s="127"/>
      <c r="J262" s="127"/>
      <c r="K262" s="127"/>
      <c r="L262" s="127"/>
      <c r="M262" s="127"/>
      <c r="N262" s="127"/>
      <c r="O262" s="127"/>
      <c r="P262" s="127"/>
      <c r="Q262" s="127"/>
      <c r="R262" s="127"/>
      <c r="S262" s="127"/>
      <c r="T262" s="127"/>
      <c r="U262" s="127"/>
      <c r="V262" s="127"/>
      <c r="W262" s="127"/>
      <c r="X262" s="127"/>
      <c r="Y262" s="127"/>
      <c r="Z262" s="127"/>
    </row>
    <row r="263" customFormat="false" ht="15.75" hidden="false" customHeight="false" outlineLevel="0" collapsed="false">
      <c r="A263" s="127"/>
      <c r="B263" s="127"/>
      <c r="C263" s="127"/>
      <c r="D263" s="127"/>
      <c r="E263" s="127"/>
      <c r="F263" s="127"/>
      <c r="G263" s="127"/>
      <c r="H263" s="127"/>
      <c r="I263" s="127"/>
      <c r="J263" s="127"/>
      <c r="K263" s="127"/>
      <c r="L263" s="127"/>
      <c r="M263" s="127"/>
      <c r="N263" s="127"/>
      <c r="O263" s="127"/>
      <c r="P263" s="127"/>
      <c r="Q263" s="127"/>
      <c r="R263" s="127"/>
      <c r="S263" s="127"/>
      <c r="T263" s="127"/>
      <c r="U263" s="127"/>
      <c r="V263" s="127"/>
      <c r="W263" s="127"/>
      <c r="X263" s="127"/>
      <c r="Y263" s="127"/>
      <c r="Z263" s="127"/>
    </row>
    <row r="264" customFormat="false" ht="15.75" hidden="false" customHeight="false" outlineLevel="0" collapsed="false">
      <c r="A264" s="127"/>
      <c r="B264" s="127"/>
      <c r="C264" s="127"/>
      <c r="D264" s="127"/>
      <c r="E264" s="127"/>
      <c r="F264" s="127"/>
      <c r="G264" s="127"/>
      <c r="H264" s="127"/>
      <c r="I264" s="127"/>
      <c r="J264" s="127"/>
      <c r="K264" s="127"/>
      <c r="L264" s="127"/>
      <c r="M264" s="127"/>
      <c r="N264" s="127"/>
      <c r="O264" s="127"/>
      <c r="P264" s="127"/>
      <c r="Q264" s="127"/>
      <c r="R264" s="127"/>
      <c r="S264" s="127"/>
      <c r="T264" s="127"/>
      <c r="U264" s="127"/>
      <c r="V264" s="127"/>
      <c r="W264" s="127"/>
      <c r="X264" s="127"/>
      <c r="Y264" s="127"/>
      <c r="Z264" s="127"/>
    </row>
    <row r="265" customFormat="false" ht="15.75" hidden="false" customHeight="false" outlineLevel="0" collapsed="false">
      <c r="A265" s="127"/>
      <c r="B265" s="127"/>
      <c r="C265" s="127"/>
      <c r="D265" s="127"/>
      <c r="E265" s="127"/>
      <c r="F265" s="127"/>
      <c r="G265" s="127"/>
      <c r="H265" s="127"/>
      <c r="I265" s="127"/>
      <c r="J265" s="127"/>
      <c r="K265" s="127"/>
      <c r="L265" s="127"/>
      <c r="M265" s="127"/>
      <c r="N265" s="127"/>
      <c r="O265" s="127"/>
      <c r="P265" s="127"/>
      <c r="Q265" s="127"/>
      <c r="R265" s="127"/>
      <c r="S265" s="127"/>
      <c r="T265" s="127"/>
      <c r="U265" s="127"/>
      <c r="V265" s="127"/>
      <c r="W265" s="127"/>
      <c r="X265" s="127"/>
      <c r="Y265" s="127"/>
      <c r="Z265" s="127"/>
    </row>
    <row r="266" customFormat="false" ht="15.75" hidden="false" customHeight="false" outlineLevel="0" collapsed="false">
      <c r="A266" s="127"/>
      <c r="B266" s="127"/>
      <c r="C266" s="127"/>
      <c r="D266" s="127"/>
      <c r="E266" s="127"/>
      <c r="F266" s="127"/>
      <c r="G266" s="127"/>
      <c r="H266" s="127"/>
      <c r="I266" s="127"/>
      <c r="J266" s="127"/>
      <c r="K266" s="127"/>
      <c r="L266" s="127"/>
      <c r="M266" s="127"/>
      <c r="N266" s="127"/>
      <c r="O266" s="127"/>
      <c r="P266" s="127"/>
      <c r="Q266" s="127"/>
      <c r="R266" s="127"/>
      <c r="S266" s="127"/>
      <c r="T266" s="127"/>
      <c r="U266" s="127"/>
      <c r="V266" s="127"/>
      <c r="W266" s="127"/>
      <c r="X266" s="127"/>
      <c r="Y266" s="127"/>
      <c r="Z266" s="127"/>
    </row>
    <row r="267" customFormat="false" ht="15.75" hidden="false" customHeight="false" outlineLevel="0" collapsed="false">
      <c r="A267" s="127"/>
      <c r="B267" s="127"/>
      <c r="C267" s="127"/>
      <c r="D267" s="127"/>
      <c r="E267" s="127"/>
      <c r="F267" s="127"/>
      <c r="G267" s="127"/>
      <c r="H267" s="127"/>
      <c r="I267" s="127"/>
      <c r="J267" s="127"/>
      <c r="K267" s="127"/>
      <c r="L267" s="127"/>
      <c r="M267" s="127"/>
      <c r="N267" s="127"/>
      <c r="O267" s="127"/>
      <c r="P267" s="127"/>
      <c r="Q267" s="127"/>
      <c r="R267" s="127"/>
      <c r="S267" s="127"/>
      <c r="T267" s="127"/>
      <c r="U267" s="127"/>
      <c r="V267" s="127"/>
      <c r="W267" s="127"/>
      <c r="X267" s="127"/>
      <c r="Y267" s="127"/>
      <c r="Z267" s="127"/>
    </row>
    <row r="268" customFormat="false" ht="15.75" hidden="false" customHeight="false" outlineLevel="0" collapsed="false">
      <c r="A268" s="127"/>
      <c r="B268" s="127"/>
      <c r="C268" s="127"/>
      <c r="D268" s="127"/>
      <c r="E268" s="127"/>
      <c r="F268" s="127"/>
      <c r="G268" s="127"/>
      <c r="H268" s="127"/>
      <c r="I268" s="127"/>
      <c r="J268" s="127"/>
      <c r="K268" s="127"/>
      <c r="L268" s="127"/>
      <c r="M268" s="127"/>
      <c r="N268" s="127"/>
      <c r="O268" s="127"/>
      <c r="P268" s="127"/>
      <c r="Q268" s="127"/>
      <c r="R268" s="127"/>
      <c r="S268" s="127"/>
      <c r="T268" s="127"/>
      <c r="U268" s="127"/>
      <c r="V268" s="127"/>
      <c r="W268" s="127"/>
      <c r="X268" s="127"/>
      <c r="Y268" s="127"/>
      <c r="Z268" s="127"/>
    </row>
    <row r="269" customFormat="false" ht="15.75" hidden="false" customHeight="false" outlineLevel="0" collapsed="false">
      <c r="A269" s="127"/>
      <c r="B269" s="127"/>
      <c r="C269" s="127"/>
      <c r="D269" s="127"/>
      <c r="E269" s="127"/>
      <c r="F269" s="127"/>
      <c r="G269" s="127"/>
      <c r="H269" s="127"/>
      <c r="I269" s="127"/>
      <c r="J269" s="127"/>
      <c r="K269" s="127"/>
      <c r="L269" s="127"/>
      <c r="M269" s="127"/>
      <c r="N269" s="127"/>
      <c r="O269" s="127"/>
      <c r="P269" s="127"/>
      <c r="Q269" s="127"/>
      <c r="R269" s="127"/>
      <c r="S269" s="127"/>
      <c r="T269" s="127"/>
      <c r="U269" s="127"/>
      <c r="V269" s="127"/>
      <c r="W269" s="127"/>
      <c r="X269" s="127"/>
      <c r="Y269" s="127"/>
      <c r="Z269" s="127"/>
    </row>
    <row r="270" customFormat="false" ht="15.75" hidden="false" customHeight="false" outlineLevel="0" collapsed="false">
      <c r="A270" s="127"/>
      <c r="B270" s="127"/>
      <c r="C270" s="127"/>
      <c r="D270" s="127"/>
      <c r="E270" s="127"/>
      <c r="F270" s="127"/>
      <c r="G270" s="127"/>
      <c r="H270" s="127"/>
      <c r="I270" s="127"/>
      <c r="J270" s="127"/>
      <c r="K270" s="127"/>
      <c r="L270" s="127"/>
      <c r="M270" s="127"/>
      <c r="N270" s="127"/>
      <c r="O270" s="127"/>
      <c r="P270" s="127"/>
      <c r="Q270" s="127"/>
      <c r="R270" s="127"/>
      <c r="S270" s="127"/>
      <c r="T270" s="127"/>
      <c r="U270" s="127"/>
      <c r="V270" s="127"/>
      <c r="W270" s="127"/>
      <c r="X270" s="127"/>
      <c r="Y270" s="127"/>
      <c r="Z270" s="127"/>
    </row>
    <row r="271" customFormat="false" ht="15.75" hidden="false" customHeight="false" outlineLevel="0" collapsed="false">
      <c r="A271" s="127"/>
      <c r="B271" s="127"/>
      <c r="C271" s="127"/>
      <c r="D271" s="127"/>
      <c r="E271" s="127"/>
      <c r="F271" s="127"/>
      <c r="G271" s="127"/>
      <c r="H271" s="127"/>
      <c r="I271" s="127"/>
      <c r="J271" s="127"/>
      <c r="K271" s="127"/>
      <c r="L271" s="127"/>
      <c r="M271" s="127"/>
      <c r="N271" s="127"/>
      <c r="O271" s="127"/>
      <c r="P271" s="127"/>
      <c r="Q271" s="127"/>
      <c r="R271" s="127"/>
      <c r="S271" s="127"/>
      <c r="T271" s="127"/>
      <c r="U271" s="127"/>
      <c r="V271" s="127"/>
      <c r="W271" s="127"/>
      <c r="X271" s="127"/>
      <c r="Y271" s="127"/>
      <c r="Z271" s="127"/>
    </row>
    <row r="272" customFormat="false" ht="15.75" hidden="false" customHeight="false" outlineLevel="0" collapsed="false">
      <c r="A272" s="127"/>
      <c r="B272" s="127"/>
      <c r="C272" s="127"/>
      <c r="D272" s="127"/>
      <c r="E272" s="127"/>
      <c r="F272" s="127"/>
      <c r="G272" s="127"/>
      <c r="H272" s="127"/>
      <c r="I272" s="127"/>
      <c r="J272" s="127"/>
      <c r="K272" s="127"/>
      <c r="L272" s="127"/>
      <c r="M272" s="127"/>
      <c r="N272" s="127"/>
      <c r="O272" s="127"/>
      <c r="P272" s="127"/>
      <c r="Q272" s="127"/>
      <c r="R272" s="127"/>
      <c r="S272" s="127"/>
      <c r="T272" s="127"/>
      <c r="U272" s="127"/>
      <c r="V272" s="127"/>
      <c r="W272" s="127"/>
      <c r="X272" s="127"/>
      <c r="Y272" s="127"/>
      <c r="Z272" s="127"/>
    </row>
    <row r="273" customFormat="false" ht="15.75" hidden="false" customHeight="false" outlineLevel="0" collapsed="false">
      <c r="A273" s="127"/>
      <c r="B273" s="127"/>
      <c r="C273" s="127"/>
      <c r="D273" s="127"/>
      <c r="E273" s="127"/>
      <c r="F273" s="127"/>
      <c r="G273" s="127"/>
      <c r="H273" s="127"/>
      <c r="I273" s="127"/>
      <c r="J273" s="127"/>
      <c r="K273" s="127"/>
      <c r="L273" s="127"/>
      <c r="M273" s="127"/>
      <c r="N273" s="127"/>
      <c r="O273" s="127"/>
      <c r="P273" s="127"/>
      <c r="Q273" s="127"/>
      <c r="R273" s="127"/>
      <c r="S273" s="127"/>
      <c r="T273" s="127"/>
      <c r="U273" s="127"/>
      <c r="V273" s="127"/>
      <c r="W273" s="127"/>
      <c r="X273" s="127"/>
      <c r="Y273" s="127"/>
      <c r="Z273" s="127"/>
    </row>
    <row r="274" customFormat="false" ht="15.75" hidden="false" customHeight="false" outlineLevel="0" collapsed="false">
      <c r="A274" s="127"/>
      <c r="B274" s="127"/>
      <c r="C274" s="127"/>
      <c r="D274" s="127"/>
      <c r="E274" s="127"/>
      <c r="F274" s="127"/>
      <c r="G274" s="127"/>
      <c r="H274" s="127"/>
      <c r="I274" s="127"/>
      <c r="J274" s="127"/>
      <c r="K274" s="127"/>
      <c r="L274" s="127"/>
      <c r="M274" s="127"/>
      <c r="N274" s="127"/>
      <c r="O274" s="127"/>
      <c r="P274" s="127"/>
      <c r="Q274" s="127"/>
      <c r="R274" s="127"/>
      <c r="S274" s="127"/>
      <c r="T274" s="127"/>
      <c r="U274" s="127"/>
      <c r="V274" s="127"/>
      <c r="W274" s="127"/>
      <c r="X274" s="127"/>
      <c r="Y274" s="127"/>
      <c r="Z274" s="127"/>
    </row>
    <row r="275" customFormat="false" ht="15.75" hidden="false" customHeight="false" outlineLevel="0" collapsed="false">
      <c r="A275" s="127"/>
      <c r="B275" s="127"/>
      <c r="C275" s="127"/>
      <c r="D275" s="127"/>
      <c r="E275" s="127"/>
      <c r="F275" s="127"/>
      <c r="G275" s="127"/>
      <c r="H275" s="127"/>
      <c r="I275" s="127"/>
      <c r="J275" s="127"/>
      <c r="K275" s="127"/>
      <c r="L275" s="127"/>
      <c r="M275" s="127"/>
      <c r="N275" s="127"/>
      <c r="O275" s="127"/>
      <c r="P275" s="127"/>
      <c r="Q275" s="127"/>
      <c r="R275" s="127"/>
      <c r="S275" s="127"/>
      <c r="T275" s="127"/>
      <c r="U275" s="127"/>
      <c r="V275" s="127"/>
      <c r="W275" s="127"/>
      <c r="X275" s="127"/>
      <c r="Y275" s="127"/>
      <c r="Z275" s="127"/>
    </row>
    <row r="276" customFormat="false" ht="15.75" hidden="false" customHeight="false" outlineLevel="0" collapsed="false">
      <c r="A276" s="127"/>
      <c r="B276" s="127"/>
      <c r="C276" s="127"/>
      <c r="D276" s="127"/>
      <c r="E276" s="127"/>
      <c r="F276" s="127"/>
      <c r="G276" s="127"/>
      <c r="H276" s="127"/>
      <c r="I276" s="127"/>
      <c r="J276" s="127"/>
      <c r="K276" s="127"/>
      <c r="L276" s="127"/>
      <c r="M276" s="127"/>
      <c r="N276" s="127"/>
      <c r="O276" s="127"/>
      <c r="P276" s="127"/>
      <c r="Q276" s="127"/>
      <c r="R276" s="127"/>
      <c r="S276" s="127"/>
      <c r="T276" s="127"/>
      <c r="U276" s="127"/>
      <c r="V276" s="127"/>
      <c r="W276" s="127"/>
      <c r="X276" s="127"/>
      <c r="Y276" s="127"/>
      <c r="Z276" s="127"/>
    </row>
    <row r="277" customFormat="false" ht="15.75" hidden="false" customHeight="false" outlineLevel="0" collapsed="false">
      <c r="A277" s="127"/>
      <c r="B277" s="127"/>
      <c r="C277" s="127"/>
      <c r="D277" s="127"/>
      <c r="E277" s="127"/>
      <c r="F277" s="127"/>
      <c r="G277" s="127"/>
      <c r="H277" s="127"/>
      <c r="I277" s="127"/>
      <c r="J277" s="127"/>
      <c r="K277" s="127"/>
      <c r="L277" s="127"/>
      <c r="M277" s="127"/>
      <c r="N277" s="127"/>
      <c r="O277" s="127"/>
      <c r="P277" s="127"/>
      <c r="Q277" s="127"/>
      <c r="R277" s="127"/>
      <c r="S277" s="127"/>
      <c r="T277" s="127"/>
      <c r="U277" s="127"/>
      <c r="V277" s="127"/>
      <c r="W277" s="127"/>
      <c r="X277" s="127"/>
      <c r="Y277" s="127"/>
      <c r="Z277" s="127"/>
    </row>
    <row r="278" customFormat="false" ht="15.75" hidden="false" customHeight="false" outlineLevel="0" collapsed="false">
      <c r="A278" s="127"/>
      <c r="B278" s="127"/>
      <c r="C278" s="127"/>
      <c r="D278" s="127"/>
      <c r="E278" s="127"/>
      <c r="F278" s="127"/>
      <c r="G278" s="127"/>
      <c r="H278" s="127"/>
      <c r="I278" s="127"/>
      <c r="J278" s="127"/>
      <c r="K278" s="127"/>
      <c r="L278" s="127"/>
      <c r="M278" s="127"/>
      <c r="N278" s="127"/>
      <c r="O278" s="127"/>
      <c r="P278" s="127"/>
      <c r="Q278" s="127"/>
      <c r="R278" s="127"/>
      <c r="S278" s="127"/>
      <c r="T278" s="127"/>
      <c r="U278" s="127"/>
      <c r="V278" s="127"/>
      <c r="W278" s="127"/>
      <c r="X278" s="127"/>
      <c r="Y278" s="127"/>
      <c r="Z278" s="127"/>
    </row>
    <row r="279" customFormat="false" ht="15.75" hidden="false" customHeight="false" outlineLevel="0" collapsed="false">
      <c r="A279" s="127"/>
      <c r="B279" s="127"/>
      <c r="C279" s="127"/>
      <c r="D279" s="127"/>
      <c r="E279" s="127"/>
      <c r="F279" s="127"/>
      <c r="G279" s="127"/>
      <c r="H279" s="127"/>
      <c r="I279" s="127"/>
      <c r="J279" s="127"/>
      <c r="K279" s="127"/>
      <c r="L279" s="127"/>
      <c r="M279" s="127"/>
      <c r="N279" s="127"/>
      <c r="O279" s="127"/>
      <c r="P279" s="127"/>
      <c r="Q279" s="127"/>
      <c r="R279" s="127"/>
      <c r="S279" s="127"/>
      <c r="T279" s="127"/>
      <c r="U279" s="127"/>
      <c r="V279" s="127"/>
      <c r="W279" s="127"/>
      <c r="X279" s="127"/>
      <c r="Y279" s="127"/>
      <c r="Z279" s="127"/>
    </row>
    <row r="280" customFormat="false" ht="15.75" hidden="false" customHeight="false" outlineLevel="0" collapsed="false">
      <c r="A280" s="127"/>
      <c r="B280" s="127"/>
      <c r="C280" s="127"/>
      <c r="D280" s="127"/>
      <c r="E280" s="127"/>
      <c r="F280" s="127"/>
      <c r="G280" s="127"/>
      <c r="H280" s="127"/>
      <c r="I280" s="127"/>
      <c r="J280" s="127"/>
      <c r="K280" s="127"/>
      <c r="L280" s="127"/>
      <c r="M280" s="127"/>
      <c r="N280" s="127"/>
      <c r="O280" s="127"/>
      <c r="P280" s="127"/>
      <c r="Q280" s="127"/>
      <c r="R280" s="127"/>
      <c r="S280" s="127"/>
      <c r="T280" s="127"/>
      <c r="U280" s="127"/>
      <c r="V280" s="127"/>
      <c r="W280" s="127"/>
      <c r="X280" s="127"/>
      <c r="Y280" s="127"/>
      <c r="Z280" s="127"/>
    </row>
    <row r="281" customFormat="false" ht="15.75" hidden="false" customHeight="false" outlineLevel="0" collapsed="false">
      <c r="A281" s="127"/>
      <c r="B281" s="127"/>
      <c r="C281" s="127"/>
      <c r="D281" s="127"/>
      <c r="E281" s="127"/>
      <c r="F281" s="127"/>
      <c r="G281" s="127"/>
      <c r="H281" s="127"/>
      <c r="I281" s="127"/>
      <c r="J281" s="127"/>
      <c r="K281" s="127"/>
      <c r="L281" s="127"/>
      <c r="M281" s="127"/>
      <c r="N281" s="127"/>
      <c r="O281" s="127"/>
      <c r="P281" s="127"/>
      <c r="Q281" s="127"/>
      <c r="R281" s="127"/>
      <c r="S281" s="127"/>
      <c r="T281" s="127"/>
      <c r="U281" s="127"/>
      <c r="V281" s="127"/>
      <c r="W281" s="127"/>
      <c r="X281" s="127"/>
      <c r="Y281" s="127"/>
      <c r="Z281" s="127"/>
    </row>
    <row r="282" customFormat="false" ht="15.75" hidden="false" customHeight="false" outlineLevel="0" collapsed="false">
      <c r="A282" s="127"/>
      <c r="B282" s="127"/>
      <c r="C282" s="127"/>
      <c r="D282" s="127"/>
      <c r="E282" s="127"/>
      <c r="F282" s="127"/>
      <c r="G282" s="127"/>
      <c r="H282" s="127"/>
      <c r="I282" s="127"/>
      <c r="J282" s="127"/>
      <c r="K282" s="127"/>
      <c r="L282" s="127"/>
      <c r="M282" s="127"/>
      <c r="N282" s="127"/>
      <c r="O282" s="127"/>
      <c r="P282" s="127"/>
      <c r="Q282" s="127"/>
      <c r="R282" s="127"/>
      <c r="S282" s="127"/>
      <c r="T282" s="127"/>
      <c r="U282" s="127"/>
      <c r="V282" s="127"/>
      <c r="W282" s="127"/>
      <c r="X282" s="127"/>
      <c r="Y282" s="127"/>
      <c r="Z282" s="127"/>
    </row>
    <row r="283" customFormat="false" ht="15.75" hidden="false" customHeight="false" outlineLevel="0" collapsed="false">
      <c r="A283" s="127"/>
      <c r="B283" s="127"/>
      <c r="C283" s="127"/>
      <c r="D283" s="127"/>
      <c r="E283" s="127"/>
      <c r="F283" s="127"/>
      <c r="G283" s="127"/>
      <c r="H283" s="127"/>
      <c r="I283" s="127"/>
      <c r="J283" s="127"/>
      <c r="K283" s="127"/>
      <c r="L283" s="127"/>
      <c r="M283" s="127"/>
      <c r="N283" s="127"/>
      <c r="O283" s="127"/>
      <c r="P283" s="127"/>
      <c r="Q283" s="127"/>
      <c r="R283" s="127"/>
      <c r="S283" s="127"/>
      <c r="T283" s="127"/>
      <c r="U283" s="127"/>
      <c r="V283" s="127"/>
      <c r="W283" s="127"/>
      <c r="X283" s="127"/>
      <c r="Y283" s="127"/>
      <c r="Z283" s="127"/>
    </row>
    <row r="284" customFormat="false" ht="15.75" hidden="false" customHeight="false" outlineLevel="0" collapsed="false">
      <c r="A284" s="127"/>
      <c r="B284" s="127"/>
      <c r="C284" s="127"/>
      <c r="D284" s="127"/>
      <c r="E284" s="127"/>
      <c r="F284" s="127"/>
      <c r="G284" s="127"/>
      <c r="H284" s="127"/>
      <c r="I284" s="127"/>
      <c r="J284" s="127"/>
      <c r="K284" s="127"/>
      <c r="L284" s="127"/>
      <c r="M284" s="127"/>
      <c r="N284" s="127"/>
      <c r="O284" s="127"/>
      <c r="P284" s="127"/>
      <c r="Q284" s="127"/>
      <c r="R284" s="127"/>
      <c r="S284" s="127"/>
      <c r="T284" s="127"/>
      <c r="U284" s="127"/>
      <c r="V284" s="127"/>
      <c r="W284" s="127"/>
      <c r="X284" s="127"/>
      <c r="Y284" s="127"/>
      <c r="Z284" s="127"/>
    </row>
    <row r="285" customFormat="false" ht="15.75" hidden="false" customHeight="false" outlineLevel="0" collapsed="false">
      <c r="A285" s="127"/>
      <c r="B285" s="127"/>
      <c r="C285" s="127"/>
      <c r="D285" s="127"/>
      <c r="E285" s="127"/>
      <c r="F285" s="127"/>
      <c r="G285" s="127"/>
      <c r="H285" s="127"/>
      <c r="I285" s="127"/>
      <c r="J285" s="127"/>
      <c r="K285" s="127"/>
      <c r="L285" s="127"/>
      <c r="M285" s="127"/>
      <c r="N285" s="127"/>
      <c r="O285" s="127"/>
      <c r="P285" s="127"/>
      <c r="Q285" s="127"/>
      <c r="R285" s="127"/>
      <c r="S285" s="127"/>
      <c r="T285" s="127"/>
      <c r="U285" s="127"/>
      <c r="V285" s="127"/>
      <c r="W285" s="127"/>
      <c r="X285" s="127"/>
      <c r="Y285" s="127"/>
      <c r="Z285" s="127"/>
    </row>
    <row r="286" customFormat="false" ht="15.75" hidden="false" customHeight="false" outlineLevel="0" collapsed="false">
      <c r="A286" s="127"/>
      <c r="B286" s="127"/>
      <c r="C286" s="127"/>
      <c r="D286" s="127"/>
      <c r="E286" s="127"/>
      <c r="F286" s="127"/>
      <c r="G286" s="127"/>
      <c r="H286" s="127"/>
      <c r="I286" s="127"/>
      <c r="J286" s="127"/>
      <c r="K286" s="127"/>
      <c r="L286" s="127"/>
      <c r="M286" s="127"/>
      <c r="N286" s="127"/>
      <c r="O286" s="127"/>
      <c r="P286" s="127"/>
      <c r="Q286" s="127"/>
      <c r="R286" s="127"/>
      <c r="S286" s="127"/>
      <c r="T286" s="127"/>
      <c r="U286" s="127"/>
      <c r="V286" s="127"/>
      <c r="W286" s="127"/>
      <c r="X286" s="127"/>
      <c r="Y286" s="127"/>
      <c r="Z286" s="127"/>
    </row>
    <row r="287" customFormat="false" ht="15.75" hidden="false" customHeight="false" outlineLevel="0" collapsed="false">
      <c r="A287" s="127"/>
      <c r="B287" s="127"/>
      <c r="C287" s="127"/>
      <c r="D287" s="127"/>
      <c r="E287" s="127"/>
      <c r="F287" s="127"/>
      <c r="G287" s="127"/>
      <c r="H287" s="127"/>
      <c r="I287" s="127"/>
      <c r="J287" s="127"/>
      <c r="K287" s="127"/>
      <c r="L287" s="127"/>
      <c r="M287" s="127"/>
      <c r="N287" s="127"/>
      <c r="O287" s="127"/>
      <c r="P287" s="127"/>
      <c r="Q287" s="127"/>
      <c r="R287" s="127"/>
      <c r="S287" s="127"/>
      <c r="T287" s="127"/>
      <c r="U287" s="127"/>
      <c r="V287" s="127"/>
      <c r="W287" s="127"/>
      <c r="X287" s="127"/>
      <c r="Y287" s="127"/>
      <c r="Z287" s="127"/>
    </row>
    <row r="288" customFormat="false" ht="15.75" hidden="false" customHeight="false" outlineLevel="0" collapsed="false">
      <c r="A288" s="127"/>
      <c r="B288" s="127"/>
      <c r="C288" s="127"/>
      <c r="D288" s="127"/>
      <c r="E288" s="127"/>
      <c r="F288" s="127"/>
      <c r="G288" s="127"/>
      <c r="H288" s="127"/>
      <c r="I288" s="127"/>
      <c r="J288" s="127"/>
      <c r="K288" s="127"/>
      <c r="L288" s="127"/>
      <c r="M288" s="127"/>
      <c r="N288" s="127"/>
      <c r="O288" s="127"/>
      <c r="P288" s="127"/>
      <c r="Q288" s="127"/>
      <c r="R288" s="127"/>
      <c r="S288" s="127"/>
      <c r="T288" s="127"/>
      <c r="U288" s="127"/>
      <c r="V288" s="127"/>
      <c r="W288" s="127"/>
      <c r="X288" s="127"/>
      <c r="Y288" s="127"/>
      <c r="Z288" s="127"/>
    </row>
    <row r="289" customFormat="false" ht="15.75" hidden="false" customHeight="false" outlineLevel="0" collapsed="false">
      <c r="A289" s="127"/>
      <c r="B289" s="127"/>
      <c r="C289" s="127"/>
      <c r="D289" s="127"/>
      <c r="E289" s="127"/>
      <c r="F289" s="127"/>
      <c r="G289" s="127"/>
      <c r="H289" s="127"/>
      <c r="I289" s="127"/>
      <c r="J289" s="127"/>
      <c r="K289" s="127"/>
      <c r="L289" s="127"/>
      <c r="M289" s="127"/>
      <c r="N289" s="127"/>
      <c r="O289" s="127"/>
      <c r="P289" s="127"/>
      <c r="Q289" s="127"/>
      <c r="R289" s="127"/>
      <c r="S289" s="127"/>
      <c r="T289" s="127"/>
      <c r="U289" s="127"/>
      <c r="V289" s="127"/>
      <c r="W289" s="127"/>
      <c r="X289" s="127"/>
      <c r="Y289" s="127"/>
      <c r="Z289" s="127"/>
    </row>
    <row r="290" customFormat="false" ht="15.75" hidden="false" customHeight="false" outlineLevel="0" collapsed="false">
      <c r="A290" s="127"/>
      <c r="B290" s="127"/>
      <c r="C290" s="127"/>
      <c r="D290" s="127"/>
      <c r="E290" s="127"/>
      <c r="F290" s="127"/>
      <c r="G290" s="127"/>
      <c r="H290" s="127"/>
      <c r="I290" s="127"/>
      <c r="J290" s="127"/>
      <c r="K290" s="127"/>
      <c r="L290" s="127"/>
      <c r="M290" s="127"/>
      <c r="N290" s="127"/>
      <c r="O290" s="127"/>
      <c r="P290" s="127"/>
      <c r="Q290" s="127"/>
      <c r="R290" s="127"/>
      <c r="S290" s="127"/>
      <c r="T290" s="127"/>
      <c r="U290" s="127"/>
      <c r="V290" s="127"/>
      <c r="W290" s="127"/>
      <c r="X290" s="127"/>
      <c r="Y290" s="127"/>
      <c r="Z290" s="127"/>
    </row>
    <row r="291" customFormat="false" ht="15.75" hidden="false" customHeight="false" outlineLevel="0" collapsed="false">
      <c r="A291" s="127"/>
      <c r="B291" s="127"/>
      <c r="C291" s="127"/>
      <c r="D291" s="127"/>
      <c r="E291" s="127"/>
      <c r="F291" s="127"/>
      <c r="G291" s="127"/>
      <c r="H291" s="127"/>
      <c r="I291" s="127"/>
      <c r="J291" s="127"/>
      <c r="K291" s="127"/>
      <c r="L291" s="127"/>
      <c r="M291" s="127"/>
      <c r="N291" s="127"/>
      <c r="O291" s="127"/>
      <c r="P291" s="127"/>
      <c r="Q291" s="127"/>
      <c r="R291" s="127"/>
      <c r="S291" s="127"/>
      <c r="T291" s="127"/>
      <c r="U291" s="127"/>
      <c r="V291" s="127"/>
      <c r="W291" s="127"/>
      <c r="X291" s="127"/>
      <c r="Y291" s="127"/>
      <c r="Z291" s="127"/>
    </row>
    <row r="292" customFormat="false" ht="15.75" hidden="false" customHeight="false" outlineLevel="0" collapsed="false">
      <c r="A292" s="127"/>
      <c r="B292" s="127"/>
      <c r="C292" s="127"/>
      <c r="D292" s="127"/>
      <c r="E292" s="127"/>
      <c r="F292" s="127"/>
      <c r="G292" s="127"/>
      <c r="H292" s="127"/>
      <c r="I292" s="127"/>
      <c r="J292" s="127"/>
      <c r="K292" s="127"/>
      <c r="L292" s="127"/>
      <c r="M292" s="127"/>
      <c r="N292" s="127"/>
      <c r="O292" s="127"/>
      <c r="P292" s="127"/>
      <c r="Q292" s="127"/>
      <c r="R292" s="127"/>
      <c r="S292" s="127"/>
      <c r="T292" s="127"/>
      <c r="U292" s="127"/>
      <c r="V292" s="127"/>
      <c r="W292" s="127"/>
      <c r="X292" s="127"/>
      <c r="Y292" s="127"/>
      <c r="Z292" s="127"/>
    </row>
    <row r="293" customFormat="false" ht="15.75" hidden="false" customHeight="false" outlineLevel="0" collapsed="false">
      <c r="A293" s="127"/>
      <c r="B293" s="127"/>
      <c r="C293" s="127"/>
      <c r="D293" s="127"/>
      <c r="E293" s="127"/>
      <c r="F293" s="127"/>
      <c r="G293" s="127"/>
      <c r="H293" s="127"/>
      <c r="I293" s="127"/>
      <c r="J293" s="127"/>
      <c r="K293" s="127"/>
      <c r="L293" s="127"/>
      <c r="M293" s="127"/>
      <c r="N293" s="127"/>
      <c r="O293" s="127"/>
      <c r="P293" s="127"/>
      <c r="Q293" s="127"/>
      <c r="R293" s="127"/>
      <c r="S293" s="127"/>
      <c r="T293" s="127"/>
      <c r="U293" s="127"/>
      <c r="V293" s="127"/>
      <c r="W293" s="127"/>
      <c r="X293" s="127"/>
      <c r="Y293" s="127"/>
      <c r="Z293" s="127"/>
    </row>
    <row r="294" customFormat="false" ht="15.75" hidden="false" customHeight="false" outlineLevel="0" collapsed="false">
      <c r="A294" s="127"/>
      <c r="B294" s="127"/>
      <c r="C294" s="127"/>
      <c r="D294" s="127"/>
      <c r="E294" s="127"/>
      <c r="F294" s="127"/>
      <c r="G294" s="127"/>
      <c r="H294" s="127"/>
      <c r="I294" s="127"/>
      <c r="J294" s="127"/>
      <c r="K294" s="127"/>
      <c r="L294" s="127"/>
      <c r="M294" s="127"/>
      <c r="N294" s="127"/>
      <c r="O294" s="127"/>
      <c r="P294" s="127"/>
      <c r="Q294" s="127"/>
      <c r="R294" s="127"/>
      <c r="S294" s="127"/>
      <c r="T294" s="127"/>
      <c r="U294" s="127"/>
      <c r="V294" s="127"/>
      <c r="W294" s="127"/>
      <c r="X294" s="127"/>
      <c r="Y294" s="127"/>
      <c r="Z294" s="127"/>
    </row>
    <row r="295" customFormat="false" ht="15.75" hidden="false" customHeight="false" outlineLevel="0" collapsed="false">
      <c r="A295" s="127"/>
      <c r="B295" s="127"/>
      <c r="C295" s="127"/>
      <c r="D295" s="127"/>
      <c r="E295" s="127"/>
      <c r="F295" s="127"/>
      <c r="G295" s="127"/>
      <c r="H295" s="127"/>
      <c r="I295" s="127"/>
      <c r="J295" s="127"/>
      <c r="K295" s="127"/>
      <c r="L295" s="127"/>
      <c r="M295" s="127"/>
      <c r="N295" s="127"/>
      <c r="O295" s="127"/>
      <c r="P295" s="127"/>
      <c r="Q295" s="127"/>
      <c r="R295" s="127"/>
      <c r="S295" s="127"/>
      <c r="T295" s="127"/>
      <c r="U295" s="127"/>
      <c r="V295" s="127"/>
      <c r="W295" s="127"/>
      <c r="X295" s="127"/>
      <c r="Y295" s="127"/>
      <c r="Z295" s="127"/>
    </row>
    <row r="296" customFormat="false" ht="15.75" hidden="false" customHeight="false" outlineLevel="0" collapsed="false">
      <c r="A296" s="127"/>
      <c r="B296" s="127"/>
      <c r="C296" s="127"/>
      <c r="D296" s="127"/>
      <c r="E296" s="127"/>
      <c r="F296" s="127"/>
      <c r="G296" s="127"/>
      <c r="H296" s="127"/>
      <c r="I296" s="127"/>
      <c r="J296" s="127"/>
      <c r="K296" s="127"/>
      <c r="L296" s="127"/>
      <c r="M296" s="127"/>
      <c r="N296" s="127"/>
      <c r="O296" s="127"/>
      <c r="P296" s="127"/>
      <c r="Q296" s="127"/>
      <c r="R296" s="127"/>
      <c r="S296" s="127"/>
      <c r="T296" s="127"/>
      <c r="U296" s="127"/>
      <c r="V296" s="127"/>
      <c r="W296" s="127"/>
      <c r="X296" s="127"/>
      <c r="Y296" s="127"/>
      <c r="Z296" s="127"/>
    </row>
    <row r="297" customFormat="false" ht="15.75" hidden="false" customHeight="false" outlineLevel="0" collapsed="false">
      <c r="A297" s="127"/>
      <c r="B297" s="127"/>
      <c r="C297" s="127"/>
      <c r="D297" s="127"/>
      <c r="E297" s="127"/>
      <c r="F297" s="127"/>
      <c r="G297" s="127"/>
      <c r="H297" s="127"/>
      <c r="I297" s="127"/>
      <c r="J297" s="127"/>
      <c r="K297" s="127"/>
      <c r="L297" s="127"/>
      <c r="M297" s="127"/>
      <c r="N297" s="127"/>
      <c r="O297" s="127"/>
      <c r="P297" s="127"/>
      <c r="Q297" s="127"/>
      <c r="R297" s="127"/>
      <c r="S297" s="127"/>
      <c r="T297" s="127"/>
      <c r="U297" s="127"/>
      <c r="V297" s="127"/>
      <c r="W297" s="127"/>
      <c r="X297" s="127"/>
      <c r="Y297" s="127"/>
      <c r="Z297" s="127"/>
    </row>
    <row r="298" customFormat="false" ht="15.75" hidden="false" customHeight="false" outlineLevel="0" collapsed="false">
      <c r="A298" s="127"/>
      <c r="B298" s="127"/>
      <c r="C298" s="127"/>
      <c r="D298" s="127"/>
      <c r="E298" s="127"/>
      <c r="F298" s="127"/>
      <c r="G298" s="127"/>
      <c r="H298" s="127"/>
      <c r="I298" s="127"/>
      <c r="J298" s="127"/>
      <c r="K298" s="127"/>
      <c r="L298" s="127"/>
      <c r="M298" s="127"/>
      <c r="N298" s="127"/>
      <c r="O298" s="127"/>
      <c r="P298" s="127"/>
      <c r="Q298" s="127"/>
      <c r="R298" s="127"/>
      <c r="S298" s="127"/>
      <c r="T298" s="127"/>
      <c r="U298" s="127"/>
      <c r="V298" s="127"/>
      <c r="W298" s="127"/>
      <c r="X298" s="127"/>
      <c r="Y298" s="127"/>
      <c r="Z298" s="127"/>
    </row>
    <row r="299" customFormat="false" ht="15.75" hidden="false" customHeight="false" outlineLevel="0" collapsed="false">
      <c r="A299" s="127"/>
      <c r="B299" s="127"/>
      <c r="C299" s="127"/>
      <c r="D299" s="127"/>
      <c r="E299" s="127"/>
      <c r="F299" s="127"/>
      <c r="G299" s="127"/>
      <c r="H299" s="127"/>
      <c r="I299" s="127"/>
      <c r="J299" s="127"/>
      <c r="K299" s="127"/>
      <c r="L299" s="127"/>
      <c r="M299" s="127"/>
      <c r="N299" s="127"/>
      <c r="O299" s="127"/>
      <c r="P299" s="127"/>
      <c r="Q299" s="127"/>
      <c r="R299" s="127"/>
      <c r="S299" s="127"/>
      <c r="T299" s="127"/>
      <c r="U299" s="127"/>
      <c r="V299" s="127"/>
      <c r="W299" s="127"/>
      <c r="X299" s="127"/>
      <c r="Y299" s="127"/>
      <c r="Z299" s="127"/>
    </row>
    <row r="300" customFormat="false" ht="15.75" hidden="false" customHeight="false" outlineLevel="0" collapsed="false">
      <c r="A300" s="127"/>
      <c r="B300" s="127"/>
      <c r="C300" s="127"/>
      <c r="D300" s="127"/>
      <c r="E300" s="127"/>
      <c r="F300" s="127"/>
      <c r="G300" s="127"/>
      <c r="H300" s="127"/>
      <c r="I300" s="127"/>
      <c r="J300" s="127"/>
      <c r="K300" s="127"/>
      <c r="L300" s="127"/>
      <c r="M300" s="127"/>
      <c r="N300" s="127"/>
      <c r="O300" s="127"/>
      <c r="P300" s="127"/>
      <c r="Q300" s="127"/>
      <c r="R300" s="127"/>
      <c r="S300" s="127"/>
      <c r="T300" s="127"/>
      <c r="U300" s="127"/>
      <c r="V300" s="127"/>
      <c r="W300" s="127"/>
      <c r="X300" s="127"/>
      <c r="Y300" s="127"/>
      <c r="Z300" s="127"/>
    </row>
    <row r="301" customFormat="false" ht="15.75" hidden="false" customHeight="false" outlineLevel="0" collapsed="false">
      <c r="A301" s="127"/>
      <c r="B301" s="127"/>
      <c r="C301" s="127"/>
      <c r="D301" s="127"/>
      <c r="E301" s="127"/>
      <c r="F301" s="127"/>
      <c r="G301" s="127"/>
      <c r="H301" s="127"/>
      <c r="I301" s="127"/>
      <c r="J301" s="127"/>
      <c r="K301" s="127"/>
      <c r="L301" s="127"/>
      <c r="M301" s="127"/>
      <c r="N301" s="127"/>
      <c r="O301" s="127"/>
      <c r="P301" s="127"/>
      <c r="Q301" s="127"/>
      <c r="R301" s="127"/>
      <c r="S301" s="127"/>
      <c r="T301" s="127"/>
      <c r="U301" s="127"/>
      <c r="V301" s="127"/>
      <c r="W301" s="127"/>
      <c r="X301" s="127"/>
      <c r="Y301" s="127"/>
      <c r="Z301" s="127"/>
    </row>
    <row r="302" customFormat="false" ht="15.75" hidden="false" customHeight="false" outlineLevel="0" collapsed="false">
      <c r="A302" s="127"/>
      <c r="B302" s="127"/>
      <c r="C302" s="127"/>
      <c r="D302" s="127"/>
      <c r="E302" s="127"/>
      <c r="F302" s="127"/>
      <c r="G302" s="127"/>
      <c r="H302" s="127"/>
      <c r="I302" s="127"/>
      <c r="J302" s="127"/>
      <c r="K302" s="127"/>
      <c r="L302" s="127"/>
      <c r="M302" s="127"/>
      <c r="N302" s="127"/>
      <c r="O302" s="127"/>
      <c r="P302" s="127"/>
      <c r="Q302" s="127"/>
      <c r="R302" s="127"/>
      <c r="S302" s="127"/>
      <c r="T302" s="127"/>
      <c r="U302" s="127"/>
      <c r="V302" s="127"/>
      <c r="W302" s="127"/>
      <c r="X302" s="127"/>
      <c r="Y302" s="127"/>
      <c r="Z302" s="127"/>
    </row>
    <row r="303" customFormat="false" ht="15.75" hidden="false" customHeight="false" outlineLevel="0" collapsed="false">
      <c r="A303" s="127"/>
      <c r="B303" s="127"/>
      <c r="C303" s="127"/>
      <c r="D303" s="127"/>
      <c r="E303" s="127"/>
      <c r="F303" s="127"/>
      <c r="G303" s="127"/>
      <c r="H303" s="127"/>
      <c r="I303" s="127"/>
      <c r="J303" s="127"/>
      <c r="K303" s="127"/>
      <c r="L303" s="127"/>
      <c r="M303" s="127"/>
      <c r="N303" s="127"/>
      <c r="O303" s="127"/>
      <c r="P303" s="127"/>
      <c r="Q303" s="127"/>
      <c r="R303" s="127"/>
      <c r="S303" s="127"/>
      <c r="T303" s="127"/>
      <c r="U303" s="127"/>
      <c r="V303" s="127"/>
      <c r="W303" s="127"/>
      <c r="X303" s="127"/>
      <c r="Y303" s="127"/>
      <c r="Z303" s="127"/>
    </row>
    <row r="304" customFormat="false" ht="15.75" hidden="false" customHeight="false" outlineLevel="0" collapsed="false">
      <c r="A304" s="127"/>
      <c r="B304" s="127"/>
      <c r="C304" s="127"/>
      <c r="D304" s="127"/>
      <c r="E304" s="127"/>
      <c r="F304" s="127"/>
      <c r="G304" s="127"/>
      <c r="H304" s="127"/>
      <c r="I304" s="127"/>
      <c r="J304" s="127"/>
      <c r="K304" s="127"/>
      <c r="L304" s="127"/>
      <c r="M304" s="127"/>
      <c r="N304" s="127"/>
      <c r="O304" s="127"/>
      <c r="P304" s="127"/>
      <c r="Q304" s="127"/>
      <c r="R304" s="127"/>
      <c r="S304" s="127"/>
      <c r="T304" s="127"/>
      <c r="U304" s="127"/>
      <c r="V304" s="127"/>
      <c r="W304" s="127"/>
      <c r="X304" s="127"/>
      <c r="Y304" s="127"/>
      <c r="Z304" s="127"/>
    </row>
    <row r="305" customFormat="false" ht="15.75" hidden="false" customHeight="false" outlineLevel="0" collapsed="false">
      <c r="A305" s="127"/>
      <c r="B305" s="127"/>
      <c r="C305" s="127"/>
      <c r="D305" s="127"/>
      <c r="E305" s="127"/>
      <c r="F305" s="127"/>
      <c r="G305" s="127"/>
      <c r="H305" s="127"/>
      <c r="I305" s="127"/>
      <c r="J305" s="127"/>
      <c r="K305" s="127"/>
      <c r="L305" s="127"/>
      <c r="M305" s="127"/>
      <c r="N305" s="127"/>
      <c r="O305" s="127"/>
      <c r="P305" s="127"/>
      <c r="Q305" s="127"/>
      <c r="R305" s="127"/>
      <c r="S305" s="127"/>
      <c r="T305" s="127"/>
      <c r="U305" s="127"/>
      <c r="V305" s="127"/>
      <c r="W305" s="127"/>
      <c r="X305" s="127"/>
      <c r="Y305" s="127"/>
      <c r="Z305" s="127"/>
    </row>
    <row r="306" customFormat="false" ht="15.75" hidden="false" customHeight="false" outlineLevel="0" collapsed="false">
      <c r="A306" s="127"/>
      <c r="B306" s="127"/>
      <c r="C306" s="127"/>
      <c r="D306" s="127"/>
      <c r="E306" s="127"/>
      <c r="F306" s="127"/>
      <c r="G306" s="127"/>
      <c r="H306" s="127"/>
      <c r="I306" s="127"/>
      <c r="J306" s="127"/>
      <c r="K306" s="127"/>
      <c r="L306" s="127"/>
      <c r="M306" s="127"/>
      <c r="N306" s="127"/>
      <c r="O306" s="127"/>
      <c r="P306" s="127"/>
      <c r="Q306" s="127"/>
      <c r="R306" s="127"/>
      <c r="S306" s="127"/>
      <c r="T306" s="127"/>
      <c r="U306" s="127"/>
      <c r="V306" s="127"/>
      <c r="W306" s="127"/>
      <c r="X306" s="127"/>
      <c r="Y306" s="127"/>
      <c r="Z306" s="127"/>
    </row>
    <row r="307" customFormat="false" ht="15.75" hidden="false" customHeight="false" outlineLevel="0" collapsed="false">
      <c r="A307" s="127"/>
      <c r="B307" s="127"/>
      <c r="C307" s="127"/>
      <c r="D307" s="127"/>
      <c r="E307" s="127"/>
      <c r="F307" s="127"/>
      <c r="G307" s="127"/>
      <c r="H307" s="127"/>
      <c r="I307" s="127"/>
      <c r="J307" s="127"/>
      <c r="K307" s="127"/>
      <c r="L307" s="127"/>
      <c r="M307" s="127"/>
      <c r="N307" s="127"/>
      <c r="O307" s="127"/>
      <c r="P307" s="127"/>
      <c r="Q307" s="127"/>
      <c r="R307" s="127"/>
      <c r="S307" s="127"/>
      <c r="T307" s="127"/>
      <c r="U307" s="127"/>
      <c r="V307" s="127"/>
      <c r="W307" s="127"/>
      <c r="X307" s="127"/>
      <c r="Y307" s="127"/>
      <c r="Z307" s="127"/>
    </row>
    <row r="308" customFormat="false" ht="15.75" hidden="false" customHeight="false" outlineLevel="0" collapsed="false">
      <c r="A308" s="127"/>
      <c r="B308" s="127"/>
      <c r="C308" s="127"/>
      <c r="D308" s="127"/>
      <c r="E308" s="127"/>
      <c r="F308" s="127"/>
      <c r="G308" s="127"/>
      <c r="H308" s="127"/>
      <c r="I308" s="127"/>
      <c r="J308" s="127"/>
      <c r="K308" s="127"/>
      <c r="L308" s="127"/>
      <c r="M308" s="127"/>
      <c r="N308" s="127"/>
      <c r="O308" s="127"/>
      <c r="P308" s="127"/>
      <c r="Q308" s="127"/>
      <c r="R308" s="127"/>
      <c r="S308" s="127"/>
      <c r="T308" s="127"/>
      <c r="U308" s="127"/>
      <c r="V308" s="127"/>
      <c r="W308" s="127"/>
      <c r="X308" s="127"/>
      <c r="Y308" s="127"/>
      <c r="Z308" s="127"/>
    </row>
    <row r="309" customFormat="false" ht="15.75" hidden="false" customHeight="false" outlineLevel="0" collapsed="false">
      <c r="A309" s="127"/>
      <c r="B309" s="127"/>
      <c r="C309" s="127"/>
      <c r="D309" s="127"/>
      <c r="E309" s="127"/>
      <c r="F309" s="127"/>
      <c r="G309" s="127"/>
      <c r="H309" s="127"/>
      <c r="I309" s="127"/>
      <c r="J309" s="127"/>
      <c r="K309" s="127"/>
      <c r="L309" s="127"/>
      <c r="M309" s="127"/>
      <c r="N309" s="127"/>
      <c r="O309" s="127"/>
      <c r="P309" s="127"/>
      <c r="Q309" s="127"/>
      <c r="R309" s="127"/>
      <c r="S309" s="127"/>
      <c r="T309" s="127"/>
      <c r="U309" s="127"/>
      <c r="V309" s="127"/>
      <c r="W309" s="127"/>
      <c r="X309" s="127"/>
      <c r="Y309" s="127"/>
      <c r="Z309" s="127"/>
    </row>
    <row r="310" customFormat="false" ht="15.75" hidden="false" customHeight="false" outlineLevel="0" collapsed="false">
      <c r="A310" s="127"/>
      <c r="B310" s="127"/>
      <c r="C310" s="127"/>
      <c r="D310" s="127"/>
      <c r="E310" s="127"/>
      <c r="F310" s="127"/>
      <c r="G310" s="127"/>
      <c r="H310" s="127"/>
      <c r="I310" s="127"/>
      <c r="J310" s="127"/>
      <c r="K310" s="127"/>
      <c r="L310" s="127"/>
      <c r="M310" s="127"/>
      <c r="N310" s="127"/>
      <c r="O310" s="127"/>
      <c r="P310" s="127"/>
      <c r="Q310" s="127"/>
      <c r="R310" s="127"/>
      <c r="S310" s="127"/>
      <c r="T310" s="127"/>
      <c r="U310" s="127"/>
      <c r="V310" s="127"/>
      <c r="W310" s="127"/>
      <c r="X310" s="127"/>
      <c r="Y310" s="127"/>
      <c r="Z310" s="127"/>
    </row>
    <row r="311" customFormat="false" ht="15.75" hidden="false" customHeight="false" outlineLevel="0" collapsed="false">
      <c r="A311" s="127"/>
      <c r="B311" s="127"/>
      <c r="C311" s="127"/>
      <c r="D311" s="127"/>
      <c r="E311" s="127"/>
      <c r="F311" s="127"/>
      <c r="G311" s="127"/>
      <c r="H311" s="127"/>
      <c r="I311" s="127"/>
      <c r="J311" s="127"/>
      <c r="K311" s="127"/>
      <c r="L311" s="127"/>
      <c r="M311" s="127"/>
      <c r="N311" s="127"/>
      <c r="O311" s="127"/>
      <c r="P311" s="127"/>
      <c r="Q311" s="127"/>
      <c r="R311" s="127"/>
      <c r="S311" s="127"/>
      <c r="T311" s="127"/>
      <c r="U311" s="127"/>
      <c r="V311" s="127"/>
      <c r="W311" s="127"/>
      <c r="X311" s="127"/>
      <c r="Y311" s="127"/>
      <c r="Z311" s="127"/>
    </row>
    <row r="312" customFormat="false" ht="15.75" hidden="false" customHeight="false" outlineLevel="0" collapsed="false">
      <c r="A312" s="127"/>
      <c r="B312" s="127"/>
      <c r="C312" s="127"/>
      <c r="D312" s="127"/>
      <c r="E312" s="127"/>
      <c r="F312" s="127"/>
      <c r="G312" s="127"/>
      <c r="H312" s="127"/>
      <c r="I312" s="127"/>
      <c r="J312" s="127"/>
      <c r="K312" s="127"/>
      <c r="L312" s="127"/>
      <c r="M312" s="127"/>
      <c r="N312" s="127"/>
      <c r="O312" s="127"/>
      <c r="P312" s="127"/>
      <c r="Q312" s="127"/>
      <c r="R312" s="127"/>
      <c r="S312" s="127"/>
      <c r="T312" s="127"/>
      <c r="U312" s="127"/>
      <c r="V312" s="127"/>
      <c r="W312" s="127"/>
      <c r="X312" s="127"/>
      <c r="Y312" s="127"/>
      <c r="Z312" s="127"/>
    </row>
    <row r="313" customFormat="false" ht="15.75" hidden="false" customHeight="false" outlineLevel="0" collapsed="false">
      <c r="A313" s="127"/>
      <c r="B313" s="127"/>
      <c r="C313" s="127"/>
      <c r="D313" s="127"/>
      <c r="E313" s="127"/>
      <c r="F313" s="127"/>
      <c r="G313" s="127"/>
      <c r="H313" s="127"/>
      <c r="I313" s="127"/>
      <c r="J313" s="127"/>
      <c r="K313" s="127"/>
      <c r="L313" s="127"/>
      <c r="M313" s="127"/>
      <c r="N313" s="127"/>
      <c r="O313" s="127"/>
      <c r="P313" s="127"/>
      <c r="Q313" s="127"/>
      <c r="R313" s="127"/>
      <c r="S313" s="127"/>
      <c r="T313" s="127"/>
      <c r="U313" s="127"/>
      <c r="V313" s="127"/>
      <c r="W313" s="127"/>
      <c r="X313" s="127"/>
      <c r="Y313" s="127"/>
      <c r="Z313" s="127"/>
    </row>
    <row r="314" customFormat="false" ht="15.75" hidden="false" customHeight="false" outlineLevel="0" collapsed="false">
      <c r="A314" s="127"/>
      <c r="B314" s="127"/>
      <c r="C314" s="127"/>
      <c r="D314" s="127"/>
      <c r="E314" s="127"/>
      <c r="F314" s="127"/>
      <c r="G314" s="127"/>
      <c r="H314" s="127"/>
      <c r="I314" s="127"/>
      <c r="J314" s="127"/>
      <c r="K314" s="127"/>
      <c r="L314" s="127"/>
      <c r="M314" s="127"/>
      <c r="N314" s="127"/>
      <c r="O314" s="127"/>
      <c r="P314" s="127"/>
      <c r="Q314" s="127"/>
      <c r="R314" s="127"/>
      <c r="S314" s="127"/>
      <c r="T314" s="127"/>
      <c r="U314" s="127"/>
      <c r="V314" s="127"/>
      <c r="W314" s="127"/>
      <c r="X314" s="127"/>
      <c r="Y314" s="127"/>
      <c r="Z314" s="127"/>
    </row>
    <row r="315" customFormat="false" ht="15.75" hidden="false" customHeight="false" outlineLevel="0" collapsed="false">
      <c r="A315" s="127"/>
      <c r="B315" s="127"/>
      <c r="C315" s="127"/>
      <c r="D315" s="127"/>
      <c r="E315" s="127"/>
      <c r="F315" s="127"/>
      <c r="G315" s="127"/>
      <c r="H315" s="127"/>
      <c r="I315" s="127"/>
      <c r="J315" s="127"/>
      <c r="K315" s="127"/>
      <c r="L315" s="127"/>
      <c r="M315" s="127"/>
      <c r="N315" s="127"/>
      <c r="O315" s="127"/>
      <c r="P315" s="127"/>
      <c r="Q315" s="127"/>
      <c r="R315" s="127"/>
      <c r="S315" s="127"/>
      <c r="T315" s="127"/>
      <c r="U315" s="127"/>
      <c r="V315" s="127"/>
      <c r="W315" s="127"/>
      <c r="X315" s="127"/>
      <c r="Y315" s="127"/>
      <c r="Z315" s="127"/>
    </row>
    <row r="316" customFormat="false" ht="15.75" hidden="false" customHeight="false" outlineLevel="0" collapsed="false">
      <c r="A316" s="127"/>
      <c r="B316" s="127"/>
      <c r="C316" s="127"/>
      <c r="D316" s="127"/>
      <c r="E316" s="127"/>
      <c r="F316" s="127"/>
      <c r="G316" s="127"/>
      <c r="H316" s="127"/>
      <c r="I316" s="127"/>
      <c r="J316" s="127"/>
      <c r="K316" s="127"/>
      <c r="L316" s="127"/>
      <c r="M316" s="127"/>
      <c r="N316" s="127"/>
      <c r="O316" s="127"/>
      <c r="P316" s="127"/>
      <c r="Q316" s="127"/>
      <c r="R316" s="127"/>
      <c r="S316" s="127"/>
      <c r="T316" s="127"/>
      <c r="U316" s="127"/>
      <c r="V316" s="127"/>
      <c r="W316" s="127"/>
      <c r="X316" s="127"/>
      <c r="Y316" s="127"/>
      <c r="Z316" s="127"/>
    </row>
    <row r="317" customFormat="false" ht="15.75" hidden="false" customHeight="false" outlineLevel="0" collapsed="false">
      <c r="A317" s="127"/>
      <c r="B317" s="127"/>
      <c r="C317" s="127"/>
      <c r="D317" s="127"/>
      <c r="E317" s="127"/>
      <c r="F317" s="127"/>
      <c r="G317" s="127"/>
      <c r="H317" s="127"/>
      <c r="I317" s="127"/>
      <c r="J317" s="127"/>
      <c r="K317" s="127"/>
      <c r="L317" s="127"/>
      <c r="M317" s="127"/>
      <c r="N317" s="127"/>
      <c r="O317" s="127"/>
      <c r="P317" s="127"/>
      <c r="Q317" s="127"/>
      <c r="R317" s="127"/>
      <c r="S317" s="127"/>
      <c r="T317" s="127"/>
      <c r="U317" s="127"/>
      <c r="V317" s="127"/>
      <c r="W317" s="127"/>
      <c r="X317" s="127"/>
      <c r="Y317" s="127"/>
      <c r="Z317" s="127"/>
    </row>
    <row r="318" customFormat="false" ht="15.75" hidden="false" customHeight="false" outlineLevel="0" collapsed="false">
      <c r="A318" s="127"/>
      <c r="B318" s="127"/>
      <c r="C318" s="127"/>
      <c r="D318" s="127"/>
      <c r="E318" s="127"/>
      <c r="F318" s="127"/>
      <c r="G318" s="127"/>
      <c r="H318" s="127"/>
      <c r="I318" s="127"/>
      <c r="J318" s="127"/>
      <c r="K318" s="127"/>
      <c r="L318" s="127"/>
      <c r="M318" s="127"/>
      <c r="N318" s="127"/>
      <c r="O318" s="127"/>
      <c r="P318" s="127"/>
      <c r="Q318" s="127"/>
      <c r="R318" s="127"/>
      <c r="S318" s="127"/>
      <c r="T318" s="127"/>
      <c r="U318" s="127"/>
      <c r="V318" s="127"/>
      <c r="W318" s="127"/>
      <c r="X318" s="127"/>
      <c r="Y318" s="127"/>
      <c r="Z318" s="127"/>
    </row>
    <row r="319" customFormat="false" ht="15.75" hidden="false" customHeight="false" outlineLevel="0" collapsed="false">
      <c r="A319" s="127"/>
      <c r="B319" s="127"/>
      <c r="C319" s="127"/>
      <c r="D319" s="127"/>
      <c r="E319" s="127"/>
      <c r="F319" s="127"/>
      <c r="G319" s="127"/>
      <c r="H319" s="127"/>
      <c r="I319" s="127"/>
      <c r="J319" s="127"/>
      <c r="K319" s="127"/>
      <c r="L319" s="127"/>
      <c r="M319" s="127"/>
      <c r="N319" s="127"/>
      <c r="O319" s="127"/>
      <c r="P319" s="127"/>
      <c r="Q319" s="127"/>
      <c r="R319" s="127"/>
      <c r="S319" s="127"/>
      <c r="T319" s="127"/>
      <c r="U319" s="127"/>
      <c r="V319" s="127"/>
      <c r="W319" s="127"/>
      <c r="X319" s="127"/>
      <c r="Y319" s="127"/>
      <c r="Z319" s="127"/>
    </row>
    <row r="320" customFormat="false" ht="15.75" hidden="false" customHeight="false" outlineLevel="0" collapsed="false">
      <c r="A320" s="127"/>
      <c r="B320" s="127"/>
      <c r="C320" s="127"/>
      <c r="D320" s="127"/>
      <c r="E320" s="127"/>
      <c r="F320" s="127"/>
      <c r="G320" s="127"/>
      <c r="H320" s="127"/>
      <c r="I320" s="127"/>
      <c r="J320" s="127"/>
      <c r="K320" s="127"/>
      <c r="L320" s="127"/>
      <c r="M320" s="127"/>
      <c r="N320" s="127"/>
      <c r="O320" s="127"/>
      <c r="P320" s="127"/>
      <c r="Q320" s="127"/>
      <c r="R320" s="127"/>
      <c r="S320" s="127"/>
      <c r="T320" s="127"/>
      <c r="U320" s="127"/>
      <c r="V320" s="127"/>
      <c r="W320" s="127"/>
      <c r="X320" s="127"/>
      <c r="Y320" s="127"/>
      <c r="Z320" s="127"/>
    </row>
    <row r="321" customFormat="false" ht="15.75" hidden="false" customHeight="false" outlineLevel="0" collapsed="false">
      <c r="A321" s="127"/>
      <c r="B321" s="127"/>
      <c r="C321" s="127"/>
      <c r="D321" s="127"/>
      <c r="E321" s="127"/>
      <c r="F321" s="127"/>
      <c r="G321" s="127"/>
      <c r="H321" s="127"/>
      <c r="I321" s="127"/>
      <c r="J321" s="127"/>
      <c r="K321" s="127"/>
      <c r="L321" s="127"/>
      <c r="M321" s="127"/>
      <c r="N321" s="127"/>
      <c r="O321" s="127"/>
      <c r="P321" s="127"/>
      <c r="Q321" s="127"/>
      <c r="R321" s="127"/>
      <c r="S321" s="127"/>
      <c r="T321" s="127"/>
      <c r="U321" s="127"/>
      <c r="V321" s="127"/>
      <c r="W321" s="127"/>
      <c r="X321" s="127"/>
      <c r="Y321" s="127"/>
      <c r="Z321" s="127"/>
    </row>
    <row r="322" customFormat="false" ht="15.75" hidden="false" customHeight="false" outlineLevel="0" collapsed="false">
      <c r="A322" s="127"/>
      <c r="B322" s="127"/>
      <c r="C322" s="127"/>
      <c r="D322" s="127"/>
      <c r="E322" s="127"/>
      <c r="F322" s="127"/>
      <c r="G322" s="127"/>
      <c r="H322" s="127"/>
      <c r="I322" s="127"/>
      <c r="J322" s="127"/>
      <c r="K322" s="127"/>
      <c r="L322" s="127"/>
      <c r="M322" s="127"/>
      <c r="N322" s="127"/>
      <c r="O322" s="127"/>
      <c r="P322" s="127"/>
      <c r="Q322" s="127"/>
      <c r="R322" s="127"/>
      <c r="S322" s="127"/>
      <c r="T322" s="127"/>
      <c r="U322" s="127"/>
      <c r="V322" s="127"/>
      <c r="W322" s="127"/>
      <c r="X322" s="127"/>
      <c r="Y322" s="127"/>
      <c r="Z322" s="127"/>
    </row>
    <row r="323" customFormat="false" ht="15.75" hidden="false" customHeight="false" outlineLevel="0" collapsed="false">
      <c r="A323" s="127"/>
      <c r="B323" s="127"/>
      <c r="C323" s="127"/>
      <c r="D323" s="127"/>
      <c r="E323" s="127"/>
      <c r="F323" s="127"/>
      <c r="G323" s="127"/>
      <c r="H323" s="127"/>
      <c r="I323" s="127"/>
      <c r="J323" s="127"/>
      <c r="K323" s="127"/>
      <c r="L323" s="127"/>
      <c r="M323" s="127"/>
      <c r="N323" s="127"/>
      <c r="O323" s="127"/>
      <c r="P323" s="127"/>
      <c r="Q323" s="127"/>
      <c r="R323" s="127"/>
      <c r="S323" s="127"/>
      <c r="T323" s="127"/>
      <c r="U323" s="127"/>
      <c r="V323" s="127"/>
      <c r="W323" s="127"/>
      <c r="X323" s="127"/>
      <c r="Y323" s="127"/>
      <c r="Z323" s="127"/>
    </row>
    <row r="324" customFormat="false" ht="15.75" hidden="false" customHeight="false" outlineLevel="0" collapsed="false">
      <c r="A324" s="127"/>
      <c r="B324" s="127"/>
      <c r="C324" s="127"/>
      <c r="D324" s="127"/>
      <c r="E324" s="127"/>
      <c r="F324" s="127"/>
      <c r="G324" s="127"/>
      <c r="H324" s="127"/>
      <c r="I324" s="127"/>
      <c r="J324" s="127"/>
      <c r="K324" s="127"/>
      <c r="L324" s="127"/>
      <c r="M324" s="127"/>
      <c r="N324" s="127"/>
      <c r="O324" s="127"/>
      <c r="P324" s="127"/>
      <c r="Q324" s="127"/>
      <c r="R324" s="127"/>
      <c r="S324" s="127"/>
      <c r="T324" s="127"/>
      <c r="U324" s="127"/>
      <c r="V324" s="127"/>
      <c r="W324" s="127"/>
      <c r="X324" s="127"/>
      <c r="Y324" s="127"/>
      <c r="Z324" s="127"/>
    </row>
    <row r="325" customFormat="false" ht="15.75" hidden="false" customHeight="false" outlineLevel="0" collapsed="false">
      <c r="A325" s="127"/>
      <c r="B325" s="127"/>
      <c r="C325" s="127"/>
      <c r="D325" s="127"/>
      <c r="E325" s="127"/>
      <c r="F325" s="127"/>
      <c r="G325" s="127"/>
      <c r="H325" s="127"/>
      <c r="I325" s="127"/>
      <c r="J325" s="127"/>
      <c r="K325" s="127"/>
      <c r="L325" s="127"/>
      <c r="M325" s="127"/>
      <c r="N325" s="127"/>
      <c r="O325" s="127"/>
      <c r="P325" s="127"/>
      <c r="Q325" s="127"/>
      <c r="R325" s="127"/>
      <c r="S325" s="127"/>
      <c r="T325" s="127"/>
      <c r="U325" s="127"/>
      <c r="V325" s="127"/>
      <c r="W325" s="127"/>
      <c r="X325" s="127"/>
      <c r="Y325" s="127"/>
      <c r="Z325" s="127"/>
    </row>
    <row r="326" customFormat="false" ht="15.75" hidden="false" customHeight="false" outlineLevel="0" collapsed="false">
      <c r="A326" s="127"/>
      <c r="B326" s="127"/>
      <c r="C326" s="127"/>
      <c r="D326" s="127"/>
      <c r="E326" s="127"/>
      <c r="F326" s="127"/>
      <c r="G326" s="127"/>
      <c r="H326" s="127"/>
      <c r="I326" s="127"/>
      <c r="J326" s="127"/>
      <c r="K326" s="127"/>
      <c r="L326" s="127"/>
      <c r="M326" s="127"/>
      <c r="N326" s="127"/>
      <c r="O326" s="127"/>
      <c r="P326" s="127"/>
      <c r="Q326" s="127"/>
      <c r="R326" s="127"/>
      <c r="S326" s="127"/>
      <c r="T326" s="127"/>
      <c r="U326" s="127"/>
      <c r="V326" s="127"/>
      <c r="W326" s="127"/>
      <c r="X326" s="127"/>
      <c r="Y326" s="127"/>
      <c r="Z326" s="127"/>
    </row>
    <row r="327" customFormat="false" ht="15.75" hidden="false" customHeight="false" outlineLevel="0" collapsed="false">
      <c r="A327" s="127"/>
      <c r="B327" s="127"/>
      <c r="C327" s="127"/>
      <c r="D327" s="127"/>
      <c r="E327" s="127"/>
      <c r="F327" s="127"/>
      <c r="G327" s="127"/>
      <c r="H327" s="127"/>
      <c r="I327" s="127"/>
      <c r="J327" s="127"/>
      <c r="K327" s="127"/>
      <c r="L327" s="127"/>
      <c r="M327" s="127"/>
      <c r="N327" s="127"/>
      <c r="O327" s="127"/>
      <c r="P327" s="127"/>
      <c r="Q327" s="127"/>
      <c r="R327" s="127"/>
      <c r="S327" s="127"/>
      <c r="T327" s="127"/>
      <c r="U327" s="127"/>
      <c r="V327" s="127"/>
      <c r="W327" s="127"/>
      <c r="X327" s="127"/>
      <c r="Y327" s="127"/>
      <c r="Z327" s="127"/>
    </row>
    <row r="328" customFormat="false" ht="15.75" hidden="false" customHeight="false" outlineLevel="0" collapsed="false">
      <c r="A328" s="127"/>
      <c r="B328" s="127"/>
      <c r="C328" s="127"/>
      <c r="D328" s="127"/>
      <c r="E328" s="127"/>
      <c r="F328" s="127"/>
      <c r="G328" s="127"/>
      <c r="H328" s="127"/>
      <c r="I328" s="127"/>
      <c r="J328" s="127"/>
      <c r="K328" s="127"/>
      <c r="L328" s="127"/>
      <c r="M328" s="127"/>
      <c r="N328" s="127"/>
      <c r="O328" s="127"/>
      <c r="P328" s="127"/>
      <c r="Q328" s="127"/>
      <c r="R328" s="127"/>
      <c r="S328" s="127"/>
      <c r="T328" s="127"/>
      <c r="U328" s="127"/>
      <c r="V328" s="127"/>
      <c r="W328" s="127"/>
      <c r="X328" s="127"/>
      <c r="Y328" s="127"/>
      <c r="Z328" s="127"/>
    </row>
    <row r="329" customFormat="false" ht="15.75" hidden="false" customHeight="false" outlineLevel="0" collapsed="false">
      <c r="A329" s="127"/>
      <c r="B329" s="127"/>
      <c r="C329" s="127"/>
      <c r="D329" s="127"/>
      <c r="E329" s="127"/>
      <c r="F329" s="127"/>
      <c r="G329" s="127"/>
      <c r="H329" s="127"/>
      <c r="I329" s="127"/>
      <c r="J329" s="127"/>
      <c r="K329" s="127"/>
      <c r="L329" s="127"/>
      <c r="M329" s="127"/>
      <c r="N329" s="127"/>
      <c r="O329" s="127"/>
      <c r="P329" s="127"/>
      <c r="Q329" s="127"/>
      <c r="R329" s="127"/>
      <c r="S329" s="127"/>
      <c r="T329" s="127"/>
      <c r="U329" s="127"/>
      <c r="V329" s="127"/>
      <c r="W329" s="127"/>
      <c r="X329" s="127"/>
      <c r="Y329" s="127"/>
      <c r="Z329" s="127"/>
    </row>
    <row r="330" customFormat="false" ht="15.75" hidden="false" customHeight="false" outlineLevel="0" collapsed="false">
      <c r="A330" s="127"/>
      <c r="B330" s="127"/>
      <c r="C330" s="127"/>
      <c r="D330" s="127"/>
      <c r="E330" s="127"/>
      <c r="F330" s="127"/>
      <c r="G330" s="127"/>
      <c r="H330" s="127"/>
      <c r="I330" s="127"/>
      <c r="J330" s="127"/>
      <c r="K330" s="127"/>
      <c r="L330" s="127"/>
      <c r="M330" s="127"/>
      <c r="N330" s="127"/>
      <c r="O330" s="127"/>
      <c r="P330" s="127"/>
      <c r="Q330" s="127"/>
      <c r="R330" s="127"/>
      <c r="S330" s="127"/>
      <c r="T330" s="127"/>
      <c r="U330" s="127"/>
      <c r="V330" s="127"/>
      <c r="W330" s="127"/>
      <c r="X330" s="127"/>
      <c r="Y330" s="127"/>
      <c r="Z330" s="127"/>
    </row>
    <row r="331" customFormat="false" ht="15.75" hidden="false" customHeight="false" outlineLevel="0" collapsed="false">
      <c r="A331" s="127"/>
      <c r="B331" s="127"/>
      <c r="C331" s="127"/>
      <c r="D331" s="127"/>
      <c r="E331" s="127"/>
      <c r="F331" s="127"/>
      <c r="G331" s="127"/>
      <c r="H331" s="127"/>
      <c r="I331" s="127"/>
      <c r="J331" s="127"/>
      <c r="K331" s="127"/>
      <c r="L331" s="127"/>
      <c r="M331" s="127"/>
      <c r="N331" s="127"/>
      <c r="O331" s="127"/>
      <c r="P331" s="127"/>
      <c r="Q331" s="127"/>
      <c r="R331" s="127"/>
      <c r="S331" s="127"/>
      <c r="T331" s="127"/>
      <c r="U331" s="127"/>
      <c r="V331" s="127"/>
      <c r="W331" s="127"/>
      <c r="X331" s="127"/>
      <c r="Y331" s="127"/>
      <c r="Z331" s="127"/>
    </row>
    <row r="332" customFormat="false" ht="15.75" hidden="false" customHeight="false" outlineLevel="0" collapsed="false">
      <c r="A332" s="127"/>
      <c r="B332" s="127"/>
      <c r="C332" s="127"/>
      <c r="D332" s="127"/>
      <c r="E332" s="127"/>
      <c r="F332" s="127"/>
      <c r="G332" s="127"/>
      <c r="H332" s="127"/>
      <c r="I332" s="127"/>
      <c r="J332" s="127"/>
      <c r="K332" s="127"/>
      <c r="L332" s="127"/>
      <c r="M332" s="127"/>
      <c r="N332" s="127"/>
      <c r="O332" s="127"/>
      <c r="P332" s="127"/>
      <c r="Q332" s="127"/>
      <c r="R332" s="127"/>
      <c r="S332" s="127"/>
      <c r="T332" s="127"/>
      <c r="U332" s="127"/>
      <c r="V332" s="127"/>
      <c r="W332" s="127"/>
      <c r="X332" s="127"/>
      <c r="Y332" s="127"/>
      <c r="Z332" s="127"/>
    </row>
    <row r="333" customFormat="false" ht="15.75" hidden="false" customHeight="false" outlineLevel="0" collapsed="false">
      <c r="A333" s="127"/>
      <c r="B333" s="127"/>
      <c r="C333" s="127"/>
      <c r="D333" s="127"/>
      <c r="E333" s="127"/>
      <c r="F333" s="127"/>
      <c r="G333" s="127"/>
      <c r="H333" s="127"/>
      <c r="I333" s="127"/>
      <c r="J333" s="127"/>
      <c r="K333" s="127"/>
      <c r="L333" s="127"/>
      <c r="M333" s="127"/>
      <c r="N333" s="127"/>
      <c r="O333" s="127"/>
      <c r="P333" s="127"/>
      <c r="Q333" s="127"/>
      <c r="R333" s="127"/>
      <c r="S333" s="127"/>
      <c r="T333" s="127"/>
      <c r="U333" s="127"/>
      <c r="V333" s="127"/>
      <c r="W333" s="127"/>
      <c r="X333" s="127"/>
      <c r="Y333" s="127"/>
      <c r="Z333" s="127"/>
    </row>
    <row r="334" customFormat="false" ht="15.75" hidden="false" customHeight="false" outlineLevel="0" collapsed="false">
      <c r="A334" s="127"/>
      <c r="B334" s="127"/>
      <c r="C334" s="127"/>
      <c r="D334" s="127"/>
      <c r="E334" s="127"/>
      <c r="F334" s="127"/>
      <c r="G334" s="127"/>
      <c r="H334" s="127"/>
      <c r="I334" s="127"/>
      <c r="J334" s="127"/>
      <c r="K334" s="127"/>
      <c r="L334" s="127"/>
      <c r="M334" s="127"/>
      <c r="N334" s="127"/>
      <c r="O334" s="127"/>
      <c r="P334" s="127"/>
      <c r="Q334" s="127"/>
      <c r="R334" s="127"/>
      <c r="S334" s="127"/>
      <c r="T334" s="127"/>
      <c r="U334" s="127"/>
      <c r="V334" s="127"/>
      <c r="W334" s="127"/>
      <c r="X334" s="127"/>
      <c r="Y334" s="127"/>
      <c r="Z334" s="127"/>
    </row>
    <row r="335" customFormat="false" ht="15.75" hidden="false" customHeight="false" outlineLevel="0" collapsed="false">
      <c r="A335" s="127"/>
      <c r="B335" s="127"/>
      <c r="C335" s="127"/>
      <c r="D335" s="127"/>
      <c r="E335" s="127"/>
      <c r="F335" s="127"/>
      <c r="G335" s="127"/>
      <c r="H335" s="127"/>
      <c r="I335" s="127"/>
      <c r="J335" s="127"/>
      <c r="K335" s="127"/>
      <c r="L335" s="127"/>
      <c r="M335" s="127"/>
      <c r="N335" s="127"/>
      <c r="O335" s="127"/>
      <c r="P335" s="127"/>
      <c r="Q335" s="127"/>
      <c r="R335" s="127"/>
      <c r="S335" s="127"/>
      <c r="T335" s="127"/>
      <c r="U335" s="127"/>
      <c r="V335" s="127"/>
      <c r="W335" s="127"/>
      <c r="X335" s="127"/>
      <c r="Y335" s="127"/>
      <c r="Z335" s="127"/>
    </row>
    <row r="336" customFormat="false" ht="15.75" hidden="false" customHeight="false" outlineLevel="0" collapsed="false">
      <c r="A336" s="127"/>
      <c r="B336" s="127"/>
      <c r="C336" s="127"/>
      <c r="D336" s="127"/>
      <c r="E336" s="127"/>
      <c r="F336" s="127"/>
      <c r="G336" s="127"/>
      <c r="H336" s="127"/>
      <c r="I336" s="127"/>
      <c r="J336" s="127"/>
      <c r="K336" s="127"/>
      <c r="L336" s="127"/>
      <c r="M336" s="127"/>
      <c r="N336" s="127"/>
      <c r="O336" s="127"/>
      <c r="P336" s="127"/>
      <c r="Q336" s="127"/>
      <c r="R336" s="127"/>
      <c r="S336" s="127"/>
      <c r="T336" s="127"/>
      <c r="U336" s="127"/>
      <c r="V336" s="127"/>
      <c r="W336" s="127"/>
      <c r="X336" s="127"/>
      <c r="Y336" s="127"/>
      <c r="Z336" s="127"/>
    </row>
    <row r="337" customFormat="false" ht="15.75" hidden="false" customHeight="false" outlineLevel="0" collapsed="false">
      <c r="A337" s="127"/>
      <c r="B337" s="127"/>
      <c r="C337" s="127"/>
      <c r="D337" s="127"/>
      <c r="E337" s="127"/>
      <c r="F337" s="127"/>
      <c r="G337" s="127"/>
      <c r="H337" s="127"/>
      <c r="I337" s="127"/>
      <c r="J337" s="127"/>
      <c r="K337" s="127"/>
      <c r="L337" s="127"/>
      <c r="M337" s="127"/>
      <c r="N337" s="127"/>
      <c r="O337" s="127"/>
      <c r="P337" s="127"/>
      <c r="Q337" s="127"/>
      <c r="R337" s="127"/>
      <c r="S337" s="127"/>
      <c r="T337" s="127"/>
      <c r="U337" s="127"/>
      <c r="V337" s="127"/>
      <c r="W337" s="127"/>
      <c r="X337" s="127"/>
      <c r="Y337" s="127"/>
      <c r="Z337" s="127"/>
    </row>
    <row r="338" customFormat="false" ht="15.75" hidden="false" customHeight="false" outlineLevel="0" collapsed="false">
      <c r="A338" s="127"/>
      <c r="B338" s="127"/>
      <c r="C338" s="127"/>
      <c r="D338" s="127"/>
      <c r="E338" s="127"/>
      <c r="F338" s="127"/>
      <c r="G338" s="127"/>
      <c r="H338" s="127"/>
      <c r="I338" s="127"/>
      <c r="J338" s="127"/>
      <c r="K338" s="127"/>
      <c r="L338" s="127"/>
      <c r="M338" s="127"/>
      <c r="N338" s="127"/>
      <c r="O338" s="127"/>
      <c r="P338" s="127"/>
      <c r="Q338" s="127"/>
      <c r="R338" s="127"/>
      <c r="S338" s="127"/>
      <c r="T338" s="127"/>
      <c r="U338" s="127"/>
      <c r="V338" s="127"/>
      <c r="W338" s="127"/>
      <c r="X338" s="127"/>
      <c r="Y338" s="127"/>
      <c r="Z338" s="127"/>
    </row>
    <row r="339" customFormat="false" ht="15.75" hidden="false" customHeight="false" outlineLevel="0" collapsed="false">
      <c r="A339" s="127"/>
      <c r="B339" s="127"/>
      <c r="C339" s="127"/>
      <c r="D339" s="127"/>
      <c r="E339" s="127"/>
      <c r="F339" s="127"/>
      <c r="G339" s="127"/>
      <c r="H339" s="127"/>
      <c r="I339" s="127"/>
      <c r="J339" s="127"/>
      <c r="K339" s="127"/>
      <c r="L339" s="127"/>
      <c r="M339" s="127"/>
      <c r="N339" s="127"/>
      <c r="O339" s="127"/>
      <c r="P339" s="127"/>
      <c r="Q339" s="127"/>
      <c r="R339" s="127"/>
      <c r="S339" s="127"/>
      <c r="T339" s="127"/>
      <c r="U339" s="127"/>
      <c r="V339" s="127"/>
      <c r="W339" s="127"/>
      <c r="X339" s="127"/>
      <c r="Y339" s="127"/>
      <c r="Z339" s="127"/>
    </row>
    <row r="340" customFormat="false" ht="15.75" hidden="false" customHeight="false" outlineLevel="0" collapsed="false">
      <c r="A340" s="127"/>
      <c r="B340" s="127"/>
      <c r="C340" s="127"/>
      <c r="D340" s="127"/>
      <c r="E340" s="127"/>
      <c r="F340" s="127"/>
      <c r="G340" s="127"/>
      <c r="H340" s="127"/>
      <c r="I340" s="127"/>
      <c r="J340" s="127"/>
      <c r="K340" s="127"/>
      <c r="L340" s="127"/>
      <c r="M340" s="127"/>
      <c r="N340" s="127"/>
      <c r="O340" s="127"/>
      <c r="P340" s="127"/>
      <c r="Q340" s="127"/>
      <c r="R340" s="127"/>
      <c r="S340" s="127"/>
      <c r="T340" s="127"/>
      <c r="U340" s="127"/>
      <c r="V340" s="127"/>
      <c r="W340" s="127"/>
      <c r="X340" s="127"/>
      <c r="Y340" s="127"/>
      <c r="Z340" s="127"/>
    </row>
    <row r="341" customFormat="false" ht="15.75" hidden="false" customHeight="false" outlineLevel="0" collapsed="false">
      <c r="A341" s="127"/>
      <c r="B341" s="127"/>
      <c r="C341" s="127"/>
      <c r="D341" s="127"/>
      <c r="E341" s="127"/>
      <c r="F341" s="127"/>
      <c r="G341" s="127"/>
      <c r="H341" s="127"/>
      <c r="I341" s="127"/>
      <c r="J341" s="127"/>
      <c r="K341" s="127"/>
      <c r="L341" s="127"/>
      <c r="M341" s="127"/>
      <c r="N341" s="127"/>
      <c r="O341" s="127"/>
      <c r="P341" s="127"/>
      <c r="Q341" s="127"/>
      <c r="R341" s="127"/>
      <c r="S341" s="127"/>
      <c r="T341" s="127"/>
      <c r="U341" s="127"/>
      <c r="V341" s="127"/>
      <c r="W341" s="127"/>
      <c r="X341" s="127"/>
      <c r="Y341" s="127"/>
      <c r="Z341" s="127"/>
    </row>
    <row r="342" customFormat="false" ht="15.75" hidden="false" customHeight="false" outlineLevel="0" collapsed="false">
      <c r="A342" s="127"/>
      <c r="B342" s="127"/>
      <c r="C342" s="127"/>
      <c r="D342" s="127"/>
      <c r="E342" s="127"/>
      <c r="F342" s="127"/>
      <c r="G342" s="127"/>
      <c r="H342" s="127"/>
      <c r="I342" s="127"/>
      <c r="J342" s="127"/>
      <c r="K342" s="127"/>
      <c r="L342" s="127"/>
      <c r="M342" s="127"/>
      <c r="N342" s="127"/>
      <c r="O342" s="127"/>
      <c r="P342" s="127"/>
      <c r="Q342" s="127"/>
      <c r="R342" s="127"/>
      <c r="S342" s="127"/>
      <c r="T342" s="127"/>
      <c r="U342" s="127"/>
      <c r="V342" s="127"/>
      <c r="W342" s="127"/>
      <c r="X342" s="127"/>
      <c r="Y342" s="127"/>
      <c r="Z342" s="127"/>
    </row>
    <row r="343" customFormat="false" ht="15.75" hidden="false" customHeight="false" outlineLevel="0" collapsed="false">
      <c r="A343" s="127"/>
      <c r="B343" s="127"/>
      <c r="C343" s="127"/>
      <c r="D343" s="127"/>
      <c r="E343" s="127"/>
      <c r="F343" s="127"/>
      <c r="G343" s="127"/>
      <c r="H343" s="127"/>
      <c r="I343" s="127"/>
      <c r="J343" s="127"/>
      <c r="K343" s="127"/>
      <c r="L343" s="127"/>
      <c r="M343" s="127"/>
      <c r="N343" s="127"/>
      <c r="O343" s="127"/>
      <c r="P343" s="127"/>
      <c r="Q343" s="127"/>
      <c r="R343" s="127"/>
      <c r="S343" s="127"/>
      <c r="T343" s="127"/>
      <c r="U343" s="127"/>
      <c r="V343" s="127"/>
      <c r="W343" s="127"/>
      <c r="X343" s="127"/>
      <c r="Y343" s="127"/>
      <c r="Z343" s="127"/>
    </row>
    <row r="344" customFormat="false" ht="15.75" hidden="false" customHeight="false" outlineLevel="0" collapsed="false">
      <c r="A344" s="127"/>
      <c r="B344" s="127"/>
      <c r="C344" s="127"/>
      <c r="D344" s="127"/>
      <c r="E344" s="127"/>
      <c r="F344" s="127"/>
      <c r="G344" s="127"/>
      <c r="H344" s="127"/>
      <c r="I344" s="127"/>
      <c r="J344" s="127"/>
      <c r="K344" s="127"/>
      <c r="L344" s="127"/>
      <c r="M344" s="127"/>
      <c r="N344" s="127"/>
      <c r="O344" s="127"/>
      <c r="P344" s="127"/>
      <c r="Q344" s="127"/>
      <c r="R344" s="127"/>
      <c r="S344" s="127"/>
      <c r="T344" s="127"/>
      <c r="U344" s="127"/>
      <c r="V344" s="127"/>
      <c r="W344" s="127"/>
      <c r="X344" s="127"/>
      <c r="Y344" s="127"/>
      <c r="Z344" s="127"/>
    </row>
    <row r="345" customFormat="false" ht="15.75" hidden="false" customHeight="false" outlineLevel="0" collapsed="false">
      <c r="A345" s="127"/>
      <c r="B345" s="127"/>
      <c r="C345" s="127"/>
      <c r="D345" s="127"/>
      <c r="E345" s="127"/>
      <c r="F345" s="127"/>
      <c r="G345" s="127"/>
      <c r="H345" s="127"/>
      <c r="I345" s="127"/>
      <c r="J345" s="127"/>
      <c r="K345" s="127"/>
      <c r="L345" s="127"/>
      <c r="M345" s="127"/>
      <c r="N345" s="127"/>
      <c r="O345" s="127"/>
      <c r="P345" s="127"/>
      <c r="Q345" s="127"/>
      <c r="R345" s="127"/>
      <c r="S345" s="127"/>
      <c r="T345" s="127"/>
      <c r="U345" s="127"/>
      <c r="V345" s="127"/>
      <c r="W345" s="127"/>
      <c r="X345" s="127"/>
      <c r="Y345" s="127"/>
      <c r="Z345" s="127"/>
    </row>
    <row r="346" customFormat="false" ht="15.75" hidden="false" customHeight="false" outlineLevel="0" collapsed="false">
      <c r="A346" s="127"/>
      <c r="B346" s="127"/>
      <c r="C346" s="127"/>
      <c r="D346" s="127"/>
      <c r="E346" s="127"/>
      <c r="F346" s="127"/>
      <c r="G346" s="127"/>
      <c r="H346" s="127"/>
      <c r="I346" s="127"/>
      <c r="J346" s="127"/>
      <c r="K346" s="127"/>
      <c r="L346" s="127"/>
      <c r="M346" s="127"/>
      <c r="N346" s="127"/>
      <c r="O346" s="127"/>
      <c r="P346" s="127"/>
      <c r="Q346" s="127"/>
      <c r="R346" s="127"/>
      <c r="S346" s="127"/>
      <c r="T346" s="127"/>
      <c r="U346" s="127"/>
      <c r="V346" s="127"/>
      <c r="W346" s="127"/>
      <c r="X346" s="127"/>
      <c r="Y346" s="127"/>
      <c r="Z346" s="127"/>
    </row>
    <row r="347" customFormat="false" ht="15.75" hidden="false" customHeight="false" outlineLevel="0" collapsed="false">
      <c r="A347" s="127"/>
      <c r="B347" s="127"/>
      <c r="C347" s="127"/>
      <c r="D347" s="127"/>
      <c r="E347" s="127"/>
      <c r="F347" s="127"/>
      <c r="G347" s="127"/>
      <c r="H347" s="127"/>
      <c r="I347" s="127"/>
      <c r="J347" s="127"/>
      <c r="K347" s="127"/>
      <c r="L347" s="127"/>
      <c r="M347" s="127"/>
      <c r="N347" s="127"/>
      <c r="O347" s="127"/>
      <c r="P347" s="127"/>
      <c r="Q347" s="127"/>
      <c r="R347" s="127"/>
      <c r="S347" s="127"/>
      <c r="T347" s="127"/>
      <c r="U347" s="127"/>
      <c r="V347" s="127"/>
      <c r="W347" s="127"/>
      <c r="X347" s="127"/>
      <c r="Y347" s="127"/>
      <c r="Z347" s="127"/>
    </row>
    <row r="348" customFormat="false" ht="15.75" hidden="false" customHeight="false" outlineLevel="0" collapsed="false">
      <c r="A348" s="127"/>
      <c r="B348" s="127"/>
      <c r="C348" s="127"/>
      <c r="D348" s="127"/>
      <c r="E348" s="127"/>
      <c r="F348" s="127"/>
      <c r="G348" s="127"/>
      <c r="H348" s="127"/>
      <c r="I348" s="127"/>
      <c r="J348" s="127"/>
      <c r="K348" s="127"/>
      <c r="L348" s="127"/>
      <c r="M348" s="127"/>
      <c r="N348" s="127"/>
      <c r="O348" s="127"/>
      <c r="P348" s="127"/>
      <c r="Q348" s="127"/>
      <c r="R348" s="127"/>
      <c r="S348" s="127"/>
      <c r="T348" s="127"/>
      <c r="U348" s="127"/>
      <c r="V348" s="127"/>
      <c r="W348" s="127"/>
      <c r="X348" s="127"/>
      <c r="Y348" s="127"/>
      <c r="Z348" s="127"/>
    </row>
    <row r="349" customFormat="false" ht="15.75" hidden="false" customHeight="false" outlineLevel="0" collapsed="false">
      <c r="A349" s="127"/>
      <c r="B349" s="127"/>
      <c r="C349" s="127"/>
      <c r="D349" s="127"/>
      <c r="E349" s="127"/>
      <c r="F349" s="127"/>
      <c r="G349" s="127"/>
      <c r="H349" s="127"/>
      <c r="I349" s="127"/>
      <c r="J349" s="127"/>
      <c r="K349" s="127"/>
      <c r="L349" s="127"/>
      <c r="M349" s="127"/>
      <c r="N349" s="127"/>
      <c r="O349" s="127"/>
      <c r="P349" s="127"/>
      <c r="Q349" s="127"/>
      <c r="R349" s="127"/>
      <c r="S349" s="127"/>
      <c r="T349" s="127"/>
      <c r="U349" s="127"/>
      <c r="V349" s="127"/>
      <c r="W349" s="127"/>
      <c r="X349" s="127"/>
      <c r="Y349" s="127"/>
      <c r="Z349" s="127"/>
    </row>
    <row r="350" customFormat="false" ht="15.75" hidden="false" customHeight="false" outlineLevel="0" collapsed="false">
      <c r="A350" s="127"/>
      <c r="B350" s="127"/>
      <c r="C350" s="127"/>
      <c r="D350" s="127"/>
      <c r="E350" s="127"/>
      <c r="F350" s="127"/>
      <c r="G350" s="127"/>
      <c r="H350" s="127"/>
      <c r="I350" s="127"/>
      <c r="J350" s="127"/>
      <c r="K350" s="127"/>
      <c r="L350" s="127"/>
      <c r="M350" s="127"/>
      <c r="N350" s="127"/>
      <c r="O350" s="127"/>
      <c r="P350" s="127"/>
      <c r="Q350" s="127"/>
      <c r="R350" s="127"/>
      <c r="S350" s="127"/>
      <c r="T350" s="127"/>
      <c r="U350" s="127"/>
      <c r="V350" s="127"/>
      <c r="W350" s="127"/>
      <c r="X350" s="127"/>
      <c r="Y350" s="127"/>
      <c r="Z350" s="127"/>
    </row>
    <row r="351" customFormat="false" ht="15.75" hidden="false" customHeight="false" outlineLevel="0" collapsed="false">
      <c r="A351" s="127"/>
      <c r="B351" s="127"/>
      <c r="C351" s="127"/>
      <c r="D351" s="127"/>
      <c r="E351" s="127"/>
      <c r="F351" s="127"/>
      <c r="G351" s="127"/>
      <c r="H351" s="127"/>
      <c r="I351" s="127"/>
      <c r="J351" s="127"/>
      <c r="K351" s="127"/>
      <c r="L351" s="127"/>
      <c r="M351" s="127"/>
      <c r="N351" s="127"/>
      <c r="O351" s="127"/>
      <c r="P351" s="127"/>
      <c r="Q351" s="127"/>
      <c r="R351" s="127"/>
      <c r="S351" s="127"/>
      <c r="T351" s="127"/>
      <c r="U351" s="127"/>
      <c r="V351" s="127"/>
      <c r="W351" s="127"/>
      <c r="X351" s="127"/>
      <c r="Y351" s="127"/>
      <c r="Z351" s="127"/>
    </row>
    <row r="352" customFormat="false" ht="15.75" hidden="false" customHeight="false" outlineLevel="0" collapsed="false">
      <c r="A352" s="127"/>
      <c r="B352" s="127"/>
      <c r="C352" s="127"/>
      <c r="D352" s="127"/>
      <c r="E352" s="127"/>
      <c r="F352" s="127"/>
      <c r="G352" s="127"/>
      <c r="H352" s="127"/>
      <c r="I352" s="127"/>
      <c r="J352" s="127"/>
      <c r="K352" s="127"/>
      <c r="L352" s="127"/>
      <c r="M352" s="127"/>
      <c r="N352" s="127"/>
      <c r="O352" s="127"/>
      <c r="P352" s="127"/>
      <c r="Q352" s="127"/>
      <c r="R352" s="127"/>
      <c r="S352" s="127"/>
      <c r="T352" s="127"/>
      <c r="U352" s="127"/>
      <c r="V352" s="127"/>
      <c r="W352" s="127"/>
      <c r="X352" s="127"/>
      <c r="Y352" s="127"/>
      <c r="Z352" s="127"/>
    </row>
    <row r="353" customFormat="false" ht="15.75" hidden="false" customHeight="false" outlineLevel="0" collapsed="false">
      <c r="A353" s="127"/>
      <c r="B353" s="127"/>
      <c r="C353" s="127"/>
      <c r="D353" s="127"/>
      <c r="E353" s="127"/>
      <c r="F353" s="127"/>
      <c r="G353" s="127"/>
      <c r="H353" s="127"/>
      <c r="I353" s="127"/>
      <c r="J353" s="127"/>
      <c r="K353" s="127"/>
      <c r="L353" s="127"/>
      <c r="M353" s="127"/>
      <c r="N353" s="127"/>
      <c r="O353" s="127"/>
      <c r="P353" s="127"/>
      <c r="Q353" s="127"/>
      <c r="R353" s="127"/>
      <c r="S353" s="127"/>
      <c r="T353" s="127"/>
      <c r="U353" s="127"/>
      <c r="V353" s="127"/>
      <c r="W353" s="127"/>
      <c r="X353" s="127"/>
      <c r="Y353" s="127"/>
      <c r="Z353" s="127"/>
    </row>
    <row r="354" customFormat="false" ht="15.75" hidden="false" customHeight="false" outlineLevel="0" collapsed="false">
      <c r="A354" s="127"/>
      <c r="B354" s="127"/>
      <c r="C354" s="127"/>
      <c r="D354" s="127"/>
      <c r="E354" s="127"/>
      <c r="F354" s="127"/>
      <c r="G354" s="127"/>
      <c r="H354" s="127"/>
      <c r="I354" s="127"/>
      <c r="J354" s="127"/>
      <c r="K354" s="127"/>
      <c r="L354" s="127"/>
      <c r="M354" s="127"/>
      <c r="N354" s="127"/>
      <c r="O354" s="127"/>
      <c r="P354" s="127"/>
      <c r="Q354" s="127"/>
      <c r="R354" s="127"/>
      <c r="S354" s="127"/>
      <c r="T354" s="127"/>
      <c r="U354" s="127"/>
      <c r="V354" s="127"/>
      <c r="W354" s="127"/>
      <c r="X354" s="127"/>
      <c r="Y354" s="127"/>
      <c r="Z354" s="127"/>
    </row>
    <row r="355" customFormat="false" ht="15.75" hidden="false" customHeight="false" outlineLevel="0" collapsed="false">
      <c r="A355" s="127"/>
      <c r="B355" s="127"/>
      <c r="C355" s="127"/>
      <c r="D355" s="127"/>
      <c r="E355" s="127"/>
      <c r="F355" s="127"/>
      <c r="G355" s="127"/>
      <c r="H355" s="127"/>
      <c r="I355" s="127"/>
      <c r="J355" s="127"/>
      <c r="K355" s="127"/>
      <c r="L355" s="127"/>
      <c r="M355" s="127"/>
      <c r="N355" s="127"/>
      <c r="O355" s="127"/>
      <c r="P355" s="127"/>
      <c r="Q355" s="127"/>
      <c r="R355" s="127"/>
      <c r="S355" s="127"/>
      <c r="T355" s="127"/>
      <c r="U355" s="127"/>
      <c r="V355" s="127"/>
      <c r="W355" s="127"/>
      <c r="X355" s="127"/>
      <c r="Y355" s="127"/>
      <c r="Z355" s="127"/>
    </row>
    <row r="356" customFormat="false" ht="15.75" hidden="false" customHeight="false" outlineLevel="0" collapsed="false">
      <c r="A356" s="127"/>
      <c r="B356" s="127"/>
      <c r="C356" s="127"/>
      <c r="D356" s="127"/>
      <c r="E356" s="127"/>
      <c r="F356" s="127"/>
      <c r="G356" s="127"/>
      <c r="H356" s="127"/>
      <c r="I356" s="127"/>
      <c r="J356" s="127"/>
      <c r="K356" s="127"/>
      <c r="L356" s="127"/>
      <c r="M356" s="127"/>
      <c r="N356" s="127"/>
      <c r="O356" s="127"/>
      <c r="P356" s="127"/>
      <c r="Q356" s="127"/>
      <c r="R356" s="127"/>
      <c r="S356" s="127"/>
      <c r="T356" s="127"/>
      <c r="U356" s="127"/>
      <c r="V356" s="127"/>
      <c r="W356" s="127"/>
      <c r="X356" s="127"/>
      <c r="Y356" s="127"/>
      <c r="Z356" s="127"/>
    </row>
    <row r="357" customFormat="false" ht="15.75" hidden="false" customHeight="false" outlineLevel="0" collapsed="false">
      <c r="A357" s="127"/>
      <c r="B357" s="127"/>
      <c r="C357" s="127"/>
      <c r="D357" s="127"/>
      <c r="E357" s="127"/>
      <c r="F357" s="127"/>
      <c r="G357" s="127"/>
      <c r="H357" s="127"/>
      <c r="I357" s="127"/>
      <c r="J357" s="127"/>
      <c r="K357" s="127"/>
      <c r="L357" s="127"/>
      <c r="M357" s="127"/>
      <c r="N357" s="127"/>
      <c r="O357" s="127"/>
      <c r="P357" s="127"/>
      <c r="Q357" s="127"/>
      <c r="R357" s="127"/>
      <c r="S357" s="127"/>
      <c r="T357" s="127"/>
      <c r="U357" s="127"/>
      <c r="V357" s="127"/>
      <c r="W357" s="127"/>
      <c r="X357" s="127"/>
      <c r="Y357" s="127"/>
      <c r="Z357" s="127"/>
    </row>
    <row r="358" customFormat="false" ht="15.75" hidden="false" customHeight="false" outlineLevel="0" collapsed="false">
      <c r="A358" s="127"/>
      <c r="B358" s="127"/>
      <c r="C358" s="127"/>
      <c r="D358" s="127"/>
      <c r="E358" s="127"/>
      <c r="F358" s="127"/>
      <c r="G358" s="127"/>
      <c r="H358" s="127"/>
      <c r="I358" s="127"/>
      <c r="J358" s="127"/>
      <c r="K358" s="127"/>
      <c r="L358" s="127"/>
      <c r="M358" s="127"/>
      <c r="N358" s="127"/>
      <c r="O358" s="127"/>
      <c r="P358" s="127"/>
      <c r="Q358" s="127"/>
      <c r="R358" s="127"/>
      <c r="S358" s="127"/>
      <c r="T358" s="127"/>
      <c r="U358" s="127"/>
      <c r="V358" s="127"/>
      <c r="W358" s="127"/>
      <c r="X358" s="127"/>
      <c r="Y358" s="127"/>
      <c r="Z358" s="127"/>
    </row>
    <row r="359" customFormat="false" ht="15.75" hidden="false" customHeight="false" outlineLevel="0" collapsed="false">
      <c r="A359" s="127"/>
      <c r="B359" s="127"/>
      <c r="C359" s="127"/>
      <c r="D359" s="127"/>
      <c r="E359" s="127"/>
      <c r="F359" s="127"/>
      <c r="G359" s="127"/>
      <c r="H359" s="127"/>
      <c r="I359" s="127"/>
      <c r="J359" s="127"/>
      <c r="K359" s="127"/>
      <c r="L359" s="127"/>
      <c r="M359" s="127"/>
      <c r="N359" s="127"/>
      <c r="O359" s="127"/>
      <c r="P359" s="127"/>
      <c r="Q359" s="127"/>
      <c r="R359" s="127"/>
      <c r="S359" s="127"/>
      <c r="T359" s="127"/>
      <c r="U359" s="127"/>
      <c r="V359" s="127"/>
      <c r="W359" s="127"/>
      <c r="X359" s="127"/>
      <c r="Y359" s="127"/>
      <c r="Z359" s="127"/>
    </row>
    <row r="360" customFormat="false" ht="15.75" hidden="false" customHeight="false" outlineLevel="0" collapsed="false">
      <c r="A360" s="127"/>
      <c r="B360" s="127"/>
      <c r="C360" s="127"/>
      <c r="D360" s="127"/>
      <c r="E360" s="127"/>
      <c r="F360" s="127"/>
      <c r="G360" s="127"/>
      <c r="H360" s="127"/>
      <c r="I360" s="127"/>
      <c r="J360" s="127"/>
      <c r="K360" s="127"/>
      <c r="L360" s="127"/>
      <c r="M360" s="127"/>
      <c r="N360" s="127"/>
      <c r="O360" s="127"/>
      <c r="P360" s="127"/>
      <c r="Q360" s="127"/>
      <c r="R360" s="127"/>
      <c r="S360" s="127"/>
      <c r="T360" s="127"/>
      <c r="U360" s="127"/>
      <c r="V360" s="127"/>
      <c r="W360" s="127"/>
      <c r="X360" s="127"/>
      <c r="Y360" s="127"/>
      <c r="Z360" s="127"/>
    </row>
    <row r="361" customFormat="false" ht="15.75" hidden="false" customHeight="false" outlineLevel="0" collapsed="false">
      <c r="A361" s="127"/>
      <c r="B361" s="127"/>
      <c r="C361" s="127"/>
      <c r="D361" s="127"/>
      <c r="E361" s="127"/>
      <c r="F361" s="127"/>
      <c r="G361" s="127"/>
      <c r="H361" s="127"/>
      <c r="I361" s="127"/>
      <c r="J361" s="127"/>
      <c r="K361" s="127"/>
      <c r="L361" s="127"/>
      <c r="M361" s="127"/>
      <c r="N361" s="127"/>
      <c r="O361" s="127"/>
      <c r="P361" s="127"/>
      <c r="Q361" s="127"/>
      <c r="R361" s="127"/>
      <c r="S361" s="127"/>
      <c r="T361" s="127"/>
      <c r="U361" s="127"/>
      <c r="V361" s="127"/>
      <c r="W361" s="127"/>
      <c r="X361" s="127"/>
      <c r="Y361" s="127"/>
      <c r="Z361" s="127"/>
    </row>
    <row r="362" customFormat="false" ht="15.75" hidden="false" customHeight="false" outlineLevel="0" collapsed="false">
      <c r="A362" s="127"/>
      <c r="B362" s="127"/>
      <c r="C362" s="127"/>
      <c r="D362" s="127"/>
      <c r="E362" s="127"/>
      <c r="F362" s="127"/>
      <c r="G362" s="127"/>
      <c r="H362" s="127"/>
      <c r="I362" s="127"/>
      <c r="J362" s="127"/>
      <c r="K362" s="127"/>
      <c r="L362" s="127"/>
      <c r="M362" s="127"/>
      <c r="N362" s="127"/>
      <c r="O362" s="127"/>
      <c r="P362" s="127"/>
      <c r="Q362" s="127"/>
      <c r="R362" s="127"/>
      <c r="S362" s="127"/>
      <c r="T362" s="127"/>
      <c r="U362" s="127"/>
      <c r="V362" s="127"/>
      <c r="W362" s="127"/>
      <c r="X362" s="127"/>
      <c r="Y362" s="127"/>
      <c r="Z362" s="127"/>
    </row>
    <row r="363" customFormat="false" ht="15.75" hidden="false" customHeight="false" outlineLevel="0" collapsed="false">
      <c r="A363" s="127"/>
      <c r="B363" s="127"/>
      <c r="C363" s="127"/>
      <c r="D363" s="127"/>
      <c r="E363" s="127"/>
      <c r="F363" s="127"/>
      <c r="G363" s="127"/>
      <c r="H363" s="127"/>
      <c r="I363" s="127"/>
      <c r="J363" s="127"/>
      <c r="K363" s="127"/>
      <c r="L363" s="127"/>
      <c r="M363" s="127"/>
      <c r="N363" s="127"/>
      <c r="O363" s="127"/>
      <c r="P363" s="127"/>
      <c r="Q363" s="127"/>
      <c r="R363" s="127"/>
      <c r="S363" s="127"/>
      <c r="T363" s="127"/>
      <c r="U363" s="127"/>
      <c r="V363" s="127"/>
      <c r="W363" s="127"/>
      <c r="X363" s="127"/>
      <c r="Y363" s="127"/>
      <c r="Z363" s="127"/>
    </row>
    <row r="364" customFormat="false" ht="15.75" hidden="false" customHeight="false" outlineLevel="0" collapsed="false">
      <c r="A364" s="127"/>
      <c r="B364" s="127"/>
      <c r="C364" s="127"/>
      <c r="D364" s="127"/>
      <c r="E364" s="127"/>
      <c r="F364" s="127"/>
      <c r="G364" s="127"/>
      <c r="H364" s="127"/>
      <c r="I364" s="127"/>
      <c r="J364" s="127"/>
      <c r="K364" s="127"/>
      <c r="L364" s="127"/>
      <c r="M364" s="127"/>
      <c r="N364" s="127"/>
      <c r="O364" s="127"/>
      <c r="P364" s="127"/>
      <c r="Q364" s="127"/>
      <c r="R364" s="127"/>
      <c r="S364" s="127"/>
      <c r="T364" s="127"/>
      <c r="U364" s="127"/>
      <c r="V364" s="127"/>
      <c r="W364" s="127"/>
      <c r="X364" s="127"/>
      <c r="Y364" s="127"/>
      <c r="Z364" s="127"/>
    </row>
    <row r="365" customFormat="false" ht="15.75" hidden="false" customHeight="false" outlineLevel="0" collapsed="false">
      <c r="A365" s="127"/>
      <c r="B365" s="127"/>
      <c r="C365" s="127"/>
      <c r="D365" s="127"/>
      <c r="E365" s="127"/>
      <c r="F365" s="127"/>
      <c r="G365" s="127"/>
      <c r="H365" s="127"/>
      <c r="I365" s="127"/>
      <c r="J365" s="127"/>
      <c r="K365" s="127"/>
      <c r="L365" s="127"/>
      <c r="M365" s="127"/>
      <c r="N365" s="127"/>
      <c r="O365" s="127"/>
      <c r="P365" s="127"/>
      <c r="Q365" s="127"/>
      <c r="R365" s="127"/>
      <c r="S365" s="127"/>
      <c r="T365" s="127"/>
      <c r="U365" s="127"/>
      <c r="V365" s="127"/>
      <c r="W365" s="127"/>
      <c r="X365" s="127"/>
      <c r="Y365" s="127"/>
      <c r="Z365" s="127"/>
    </row>
    <row r="366" customFormat="false" ht="15.75" hidden="false" customHeight="false" outlineLevel="0" collapsed="false">
      <c r="A366" s="127"/>
      <c r="B366" s="127"/>
      <c r="C366" s="127"/>
      <c r="D366" s="127"/>
      <c r="E366" s="127"/>
      <c r="F366" s="127"/>
      <c r="G366" s="127"/>
      <c r="H366" s="127"/>
      <c r="I366" s="127"/>
      <c r="J366" s="127"/>
      <c r="K366" s="127"/>
      <c r="L366" s="127"/>
      <c r="M366" s="127"/>
      <c r="N366" s="127"/>
      <c r="O366" s="127"/>
      <c r="P366" s="127"/>
      <c r="Q366" s="127"/>
      <c r="R366" s="127"/>
      <c r="S366" s="127"/>
      <c r="T366" s="127"/>
      <c r="U366" s="127"/>
      <c r="V366" s="127"/>
      <c r="W366" s="127"/>
      <c r="X366" s="127"/>
      <c r="Y366" s="127"/>
      <c r="Z366" s="127"/>
    </row>
    <row r="367" customFormat="false" ht="15.75" hidden="false" customHeight="false" outlineLevel="0" collapsed="false">
      <c r="A367" s="127"/>
      <c r="B367" s="127"/>
      <c r="C367" s="127"/>
      <c r="D367" s="127"/>
      <c r="E367" s="127"/>
      <c r="F367" s="127"/>
      <c r="G367" s="127"/>
      <c r="H367" s="127"/>
      <c r="I367" s="127"/>
      <c r="J367" s="127"/>
      <c r="K367" s="127"/>
      <c r="L367" s="127"/>
      <c r="M367" s="127"/>
      <c r="N367" s="127"/>
      <c r="O367" s="127"/>
      <c r="P367" s="127"/>
      <c r="Q367" s="127"/>
      <c r="R367" s="127"/>
      <c r="S367" s="127"/>
      <c r="T367" s="127"/>
      <c r="U367" s="127"/>
      <c r="V367" s="127"/>
      <c r="W367" s="127"/>
      <c r="X367" s="127"/>
      <c r="Y367" s="127"/>
      <c r="Z367" s="127"/>
    </row>
    <row r="368" customFormat="false" ht="15.75" hidden="false" customHeight="false" outlineLevel="0" collapsed="false">
      <c r="A368" s="127"/>
      <c r="B368" s="127"/>
      <c r="C368" s="127"/>
      <c r="D368" s="127"/>
      <c r="E368" s="127"/>
      <c r="F368" s="127"/>
      <c r="G368" s="127"/>
      <c r="H368" s="127"/>
      <c r="I368" s="127"/>
      <c r="J368" s="127"/>
      <c r="K368" s="127"/>
      <c r="L368" s="127"/>
      <c r="M368" s="127"/>
      <c r="N368" s="127"/>
      <c r="O368" s="127"/>
      <c r="P368" s="127"/>
      <c r="Q368" s="127"/>
      <c r="R368" s="127"/>
      <c r="S368" s="127"/>
      <c r="T368" s="127"/>
      <c r="U368" s="127"/>
      <c r="V368" s="127"/>
      <c r="W368" s="127"/>
      <c r="X368" s="127"/>
      <c r="Y368" s="127"/>
      <c r="Z368" s="127"/>
    </row>
    <row r="369" customFormat="false" ht="15.75" hidden="false" customHeight="false" outlineLevel="0" collapsed="false">
      <c r="A369" s="127"/>
      <c r="B369" s="127"/>
      <c r="C369" s="127"/>
      <c r="D369" s="127"/>
      <c r="E369" s="127"/>
      <c r="F369" s="127"/>
      <c r="G369" s="127"/>
      <c r="H369" s="127"/>
      <c r="I369" s="127"/>
      <c r="J369" s="127"/>
      <c r="K369" s="127"/>
      <c r="L369" s="127"/>
      <c r="M369" s="127"/>
      <c r="N369" s="127"/>
      <c r="O369" s="127"/>
      <c r="P369" s="127"/>
      <c r="Q369" s="127"/>
      <c r="R369" s="127"/>
      <c r="S369" s="127"/>
      <c r="T369" s="127"/>
      <c r="U369" s="127"/>
      <c r="V369" s="127"/>
      <c r="W369" s="127"/>
      <c r="X369" s="127"/>
      <c r="Y369" s="127"/>
      <c r="Z369" s="127"/>
    </row>
    <row r="370" customFormat="false" ht="15.75" hidden="false" customHeight="false" outlineLevel="0" collapsed="false">
      <c r="A370" s="127"/>
      <c r="B370" s="127"/>
      <c r="C370" s="127"/>
      <c r="D370" s="127"/>
      <c r="E370" s="127"/>
      <c r="F370" s="127"/>
      <c r="G370" s="127"/>
      <c r="H370" s="127"/>
      <c r="I370" s="127"/>
      <c r="J370" s="127"/>
      <c r="K370" s="127"/>
      <c r="L370" s="127"/>
      <c r="M370" s="127"/>
      <c r="N370" s="127"/>
      <c r="O370" s="127"/>
      <c r="P370" s="127"/>
      <c r="Q370" s="127"/>
      <c r="R370" s="127"/>
      <c r="S370" s="127"/>
      <c r="T370" s="127"/>
      <c r="U370" s="127"/>
      <c r="V370" s="127"/>
      <c r="W370" s="127"/>
      <c r="X370" s="127"/>
      <c r="Y370" s="127"/>
      <c r="Z370" s="127"/>
    </row>
    <row r="371" customFormat="false" ht="15.75" hidden="false" customHeight="false" outlineLevel="0" collapsed="false">
      <c r="A371" s="127"/>
      <c r="B371" s="127"/>
      <c r="C371" s="127"/>
      <c r="D371" s="127"/>
      <c r="E371" s="127"/>
      <c r="F371" s="127"/>
      <c r="G371" s="127"/>
      <c r="H371" s="127"/>
      <c r="I371" s="127"/>
      <c r="J371" s="127"/>
      <c r="K371" s="127"/>
      <c r="L371" s="127"/>
      <c r="M371" s="127"/>
      <c r="N371" s="127"/>
      <c r="O371" s="127"/>
      <c r="P371" s="127"/>
      <c r="Q371" s="127"/>
      <c r="R371" s="127"/>
      <c r="S371" s="127"/>
      <c r="T371" s="127"/>
      <c r="U371" s="127"/>
      <c r="V371" s="127"/>
      <c r="W371" s="127"/>
      <c r="X371" s="127"/>
      <c r="Y371" s="127"/>
      <c r="Z371" s="127"/>
    </row>
    <row r="372" customFormat="false" ht="15.75" hidden="false" customHeight="false" outlineLevel="0" collapsed="false">
      <c r="A372" s="127"/>
      <c r="B372" s="127"/>
      <c r="C372" s="127"/>
      <c r="D372" s="127"/>
      <c r="E372" s="127"/>
      <c r="F372" s="127"/>
      <c r="G372" s="127"/>
      <c r="H372" s="127"/>
      <c r="I372" s="127"/>
      <c r="J372" s="127"/>
      <c r="K372" s="127"/>
      <c r="L372" s="127"/>
      <c r="M372" s="127"/>
      <c r="N372" s="127"/>
      <c r="O372" s="127"/>
      <c r="P372" s="127"/>
      <c r="Q372" s="127"/>
      <c r="R372" s="127"/>
      <c r="S372" s="127"/>
      <c r="T372" s="127"/>
      <c r="U372" s="127"/>
      <c r="V372" s="127"/>
      <c r="W372" s="127"/>
      <c r="X372" s="127"/>
      <c r="Y372" s="127"/>
      <c r="Z372" s="127"/>
    </row>
    <row r="373" customFormat="false" ht="15.75" hidden="false" customHeight="false" outlineLevel="0" collapsed="false">
      <c r="A373" s="127"/>
      <c r="B373" s="127"/>
      <c r="C373" s="127"/>
      <c r="D373" s="127"/>
      <c r="E373" s="127"/>
      <c r="F373" s="127"/>
      <c r="G373" s="127"/>
      <c r="H373" s="127"/>
      <c r="I373" s="127"/>
      <c r="J373" s="127"/>
      <c r="K373" s="127"/>
      <c r="L373" s="127"/>
      <c r="M373" s="127"/>
      <c r="N373" s="127"/>
      <c r="O373" s="127"/>
      <c r="P373" s="127"/>
      <c r="Q373" s="127"/>
      <c r="R373" s="127"/>
      <c r="S373" s="127"/>
      <c r="T373" s="127"/>
      <c r="U373" s="127"/>
      <c r="V373" s="127"/>
      <c r="W373" s="127"/>
      <c r="X373" s="127"/>
      <c r="Y373" s="127"/>
      <c r="Z373" s="127"/>
    </row>
    <row r="374" customFormat="false" ht="15.75" hidden="false" customHeight="false" outlineLevel="0" collapsed="false">
      <c r="A374" s="127"/>
      <c r="B374" s="127"/>
      <c r="C374" s="127"/>
      <c r="D374" s="127"/>
      <c r="E374" s="127"/>
      <c r="F374" s="127"/>
      <c r="G374" s="127"/>
      <c r="H374" s="127"/>
      <c r="I374" s="127"/>
      <c r="J374" s="127"/>
      <c r="K374" s="127"/>
      <c r="L374" s="127"/>
      <c r="M374" s="127"/>
      <c r="N374" s="127"/>
      <c r="O374" s="127"/>
      <c r="P374" s="127"/>
      <c r="Q374" s="127"/>
      <c r="R374" s="127"/>
      <c r="S374" s="127"/>
      <c r="T374" s="127"/>
      <c r="U374" s="127"/>
      <c r="V374" s="127"/>
      <c r="W374" s="127"/>
      <c r="X374" s="127"/>
      <c r="Y374" s="127"/>
      <c r="Z374" s="127"/>
    </row>
    <row r="375" customFormat="false" ht="15.75" hidden="false" customHeight="false" outlineLevel="0" collapsed="false">
      <c r="A375" s="127"/>
      <c r="B375" s="127"/>
      <c r="C375" s="127"/>
      <c r="D375" s="127"/>
      <c r="E375" s="127"/>
      <c r="F375" s="127"/>
      <c r="G375" s="127"/>
      <c r="H375" s="127"/>
      <c r="I375" s="127"/>
      <c r="J375" s="127"/>
      <c r="K375" s="127"/>
      <c r="L375" s="127"/>
      <c r="M375" s="127"/>
      <c r="N375" s="127"/>
      <c r="O375" s="127"/>
      <c r="P375" s="127"/>
      <c r="Q375" s="127"/>
      <c r="R375" s="127"/>
      <c r="S375" s="127"/>
      <c r="T375" s="127"/>
      <c r="U375" s="127"/>
      <c r="V375" s="127"/>
      <c r="W375" s="127"/>
      <c r="X375" s="127"/>
      <c r="Y375" s="127"/>
      <c r="Z375" s="127"/>
    </row>
    <row r="376" customFormat="false" ht="15.75" hidden="false" customHeight="false" outlineLevel="0" collapsed="false">
      <c r="A376" s="127"/>
      <c r="B376" s="127"/>
      <c r="C376" s="127"/>
      <c r="D376" s="127"/>
      <c r="E376" s="127"/>
      <c r="F376" s="127"/>
      <c r="G376" s="127"/>
      <c r="H376" s="127"/>
      <c r="I376" s="127"/>
      <c r="J376" s="127"/>
      <c r="K376" s="127"/>
      <c r="L376" s="127"/>
      <c r="M376" s="127"/>
      <c r="N376" s="127"/>
      <c r="O376" s="127"/>
      <c r="P376" s="127"/>
      <c r="Q376" s="127"/>
      <c r="R376" s="127"/>
      <c r="S376" s="127"/>
      <c r="T376" s="127"/>
      <c r="U376" s="127"/>
      <c r="V376" s="127"/>
      <c r="W376" s="127"/>
      <c r="X376" s="127"/>
      <c r="Y376" s="127"/>
      <c r="Z376" s="127"/>
    </row>
    <row r="377" customFormat="false" ht="15.75" hidden="false" customHeight="false" outlineLevel="0" collapsed="false">
      <c r="A377" s="127"/>
      <c r="B377" s="127"/>
      <c r="C377" s="127"/>
      <c r="D377" s="127"/>
      <c r="E377" s="127"/>
      <c r="F377" s="127"/>
      <c r="G377" s="127"/>
      <c r="H377" s="127"/>
      <c r="I377" s="127"/>
      <c r="J377" s="127"/>
      <c r="K377" s="127"/>
      <c r="L377" s="127"/>
      <c r="M377" s="127"/>
      <c r="N377" s="127"/>
      <c r="O377" s="127"/>
      <c r="P377" s="127"/>
      <c r="Q377" s="127"/>
      <c r="R377" s="127"/>
      <c r="S377" s="127"/>
      <c r="T377" s="127"/>
      <c r="U377" s="127"/>
      <c r="V377" s="127"/>
      <c r="W377" s="127"/>
      <c r="X377" s="127"/>
      <c r="Y377" s="127"/>
      <c r="Z377" s="127"/>
    </row>
    <row r="378" customFormat="false" ht="15.75" hidden="false" customHeight="false" outlineLevel="0" collapsed="false">
      <c r="A378" s="127"/>
      <c r="B378" s="127"/>
      <c r="C378" s="127"/>
      <c r="D378" s="127"/>
      <c r="E378" s="127"/>
      <c r="F378" s="127"/>
      <c r="G378" s="127"/>
      <c r="H378" s="127"/>
      <c r="I378" s="127"/>
      <c r="J378" s="127"/>
      <c r="K378" s="127"/>
      <c r="L378" s="127"/>
      <c r="M378" s="127"/>
      <c r="N378" s="127"/>
      <c r="O378" s="127"/>
      <c r="P378" s="127"/>
      <c r="Q378" s="127"/>
      <c r="R378" s="127"/>
      <c r="S378" s="127"/>
      <c r="T378" s="127"/>
      <c r="U378" s="127"/>
      <c r="V378" s="127"/>
      <c r="W378" s="127"/>
      <c r="X378" s="127"/>
      <c r="Y378" s="127"/>
      <c r="Z378" s="127"/>
    </row>
    <row r="379" customFormat="false" ht="15.75" hidden="false" customHeight="false" outlineLevel="0" collapsed="false">
      <c r="A379" s="127"/>
      <c r="B379" s="127"/>
      <c r="C379" s="127"/>
      <c r="D379" s="127"/>
      <c r="E379" s="127"/>
      <c r="F379" s="127"/>
      <c r="G379" s="127"/>
      <c r="H379" s="127"/>
      <c r="I379" s="127"/>
      <c r="J379" s="127"/>
      <c r="K379" s="127"/>
      <c r="L379" s="127"/>
      <c r="M379" s="127"/>
      <c r="N379" s="127"/>
      <c r="O379" s="127"/>
      <c r="P379" s="127"/>
      <c r="Q379" s="127"/>
      <c r="R379" s="127"/>
      <c r="S379" s="127"/>
      <c r="T379" s="127"/>
      <c r="U379" s="127"/>
      <c r="V379" s="127"/>
      <c r="W379" s="127"/>
      <c r="X379" s="127"/>
      <c r="Y379" s="127"/>
      <c r="Z379" s="127"/>
    </row>
    <row r="380" customFormat="false" ht="15.75" hidden="false" customHeight="false" outlineLevel="0" collapsed="false">
      <c r="A380" s="127"/>
      <c r="B380" s="127"/>
      <c r="C380" s="127"/>
      <c r="D380" s="127"/>
      <c r="E380" s="127"/>
      <c r="F380" s="127"/>
      <c r="G380" s="127"/>
      <c r="H380" s="127"/>
      <c r="I380" s="127"/>
      <c r="J380" s="127"/>
      <c r="K380" s="127"/>
      <c r="L380" s="127"/>
      <c r="M380" s="127"/>
      <c r="N380" s="127"/>
      <c r="O380" s="127"/>
      <c r="P380" s="127"/>
      <c r="Q380" s="127"/>
      <c r="R380" s="127"/>
      <c r="S380" s="127"/>
      <c r="T380" s="127"/>
      <c r="U380" s="127"/>
      <c r="V380" s="127"/>
      <c r="W380" s="127"/>
      <c r="X380" s="127"/>
      <c r="Y380" s="127"/>
      <c r="Z380" s="127"/>
    </row>
    <row r="381" customFormat="false" ht="15.75" hidden="false" customHeight="false" outlineLevel="0" collapsed="false">
      <c r="A381" s="127"/>
      <c r="B381" s="127"/>
      <c r="C381" s="127"/>
      <c r="D381" s="127"/>
      <c r="E381" s="127"/>
      <c r="F381" s="127"/>
      <c r="G381" s="127"/>
      <c r="H381" s="127"/>
      <c r="I381" s="127"/>
      <c r="J381" s="127"/>
      <c r="K381" s="127"/>
      <c r="L381" s="127"/>
      <c r="M381" s="127"/>
      <c r="N381" s="127"/>
      <c r="O381" s="127"/>
      <c r="P381" s="127"/>
      <c r="Q381" s="127"/>
      <c r="R381" s="127"/>
      <c r="S381" s="127"/>
      <c r="T381" s="127"/>
      <c r="U381" s="127"/>
      <c r="V381" s="127"/>
      <c r="W381" s="127"/>
      <c r="X381" s="127"/>
      <c r="Y381" s="127"/>
      <c r="Z381" s="127"/>
    </row>
    <row r="382" customFormat="false" ht="15.75" hidden="false" customHeight="false" outlineLevel="0" collapsed="false">
      <c r="A382" s="127"/>
      <c r="B382" s="127"/>
      <c r="C382" s="127"/>
      <c r="D382" s="127"/>
      <c r="E382" s="127"/>
      <c r="F382" s="127"/>
      <c r="G382" s="127"/>
      <c r="H382" s="127"/>
      <c r="I382" s="127"/>
      <c r="J382" s="127"/>
      <c r="K382" s="127"/>
      <c r="L382" s="127"/>
      <c r="M382" s="127"/>
      <c r="N382" s="127"/>
      <c r="O382" s="127"/>
      <c r="P382" s="127"/>
      <c r="Q382" s="127"/>
      <c r="R382" s="127"/>
      <c r="S382" s="127"/>
      <c r="T382" s="127"/>
      <c r="U382" s="127"/>
      <c r="V382" s="127"/>
      <c r="W382" s="127"/>
      <c r="X382" s="127"/>
      <c r="Y382" s="127"/>
      <c r="Z382" s="127"/>
    </row>
    <row r="383" customFormat="false" ht="15.75" hidden="false" customHeight="false" outlineLevel="0" collapsed="false">
      <c r="A383" s="127"/>
      <c r="B383" s="127"/>
      <c r="C383" s="127"/>
      <c r="D383" s="127"/>
      <c r="E383" s="127"/>
      <c r="F383" s="127"/>
      <c r="G383" s="127"/>
      <c r="H383" s="127"/>
      <c r="I383" s="127"/>
      <c r="J383" s="127"/>
      <c r="K383" s="127"/>
      <c r="L383" s="127"/>
      <c r="M383" s="127"/>
      <c r="N383" s="127"/>
      <c r="O383" s="127"/>
      <c r="P383" s="127"/>
      <c r="Q383" s="127"/>
      <c r="R383" s="127"/>
      <c r="S383" s="127"/>
      <c r="T383" s="127"/>
      <c r="U383" s="127"/>
      <c r="V383" s="127"/>
      <c r="W383" s="127"/>
      <c r="X383" s="127"/>
      <c r="Y383" s="127"/>
      <c r="Z383" s="127"/>
    </row>
    <row r="384" customFormat="false" ht="15.75" hidden="false" customHeight="false" outlineLevel="0" collapsed="false">
      <c r="A384" s="127"/>
      <c r="B384" s="127"/>
      <c r="C384" s="127"/>
      <c r="D384" s="127"/>
      <c r="E384" s="127"/>
      <c r="F384" s="127"/>
      <c r="G384" s="127"/>
      <c r="H384" s="127"/>
      <c r="I384" s="127"/>
      <c r="J384" s="127"/>
      <c r="K384" s="127"/>
      <c r="L384" s="127"/>
      <c r="M384" s="127"/>
      <c r="N384" s="127"/>
      <c r="O384" s="127"/>
      <c r="P384" s="127"/>
      <c r="Q384" s="127"/>
      <c r="R384" s="127"/>
      <c r="S384" s="127"/>
      <c r="T384" s="127"/>
      <c r="U384" s="127"/>
      <c r="V384" s="127"/>
      <c r="W384" s="127"/>
      <c r="X384" s="127"/>
      <c r="Y384" s="127"/>
      <c r="Z384" s="127"/>
    </row>
    <row r="385" customFormat="false" ht="15.75" hidden="false" customHeight="false" outlineLevel="0" collapsed="false">
      <c r="A385" s="127"/>
      <c r="B385" s="127"/>
      <c r="C385" s="127"/>
      <c r="D385" s="127"/>
      <c r="E385" s="127"/>
      <c r="F385" s="127"/>
      <c r="G385" s="127"/>
      <c r="H385" s="127"/>
      <c r="I385" s="127"/>
      <c r="J385" s="127"/>
      <c r="K385" s="127"/>
      <c r="L385" s="127"/>
      <c r="M385" s="127"/>
      <c r="N385" s="127"/>
      <c r="O385" s="127"/>
      <c r="P385" s="127"/>
      <c r="Q385" s="127"/>
      <c r="R385" s="127"/>
      <c r="S385" s="127"/>
      <c r="T385" s="127"/>
      <c r="U385" s="127"/>
      <c r="V385" s="127"/>
      <c r="W385" s="127"/>
      <c r="X385" s="127"/>
      <c r="Y385" s="127"/>
      <c r="Z385" s="127"/>
    </row>
    <row r="386" customFormat="false" ht="15.75" hidden="false" customHeight="false" outlineLevel="0" collapsed="false">
      <c r="A386" s="127"/>
      <c r="B386" s="127"/>
      <c r="C386" s="127"/>
      <c r="D386" s="127"/>
      <c r="E386" s="127"/>
      <c r="F386" s="127"/>
      <c r="G386" s="127"/>
      <c r="H386" s="127"/>
      <c r="I386" s="127"/>
      <c r="J386" s="127"/>
      <c r="K386" s="127"/>
      <c r="L386" s="127"/>
      <c r="M386" s="127"/>
      <c r="N386" s="127"/>
      <c r="O386" s="127"/>
      <c r="P386" s="127"/>
      <c r="Q386" s="127"/>
      <c r="R386" s="127"/>
      <c r="S386" s="127"/>
      <c r="T386" s="127"/>
      <c r="U386" s="127"/>
      <c r="V386" s="127"/>
      <c r="W386" s="127"/>
      <c r="X386" s="127"/>
      <c r="Y386" s="127"/>
      <c r="Z386" s="127"/>
    </row>
    <row r="387" customFormat="false" ht="15.75" hidden="false" customHeight="false" outlineLevel="0" collapsed="false">
      <c r="A387" s="127"/>
      <c r="B387" s="127"/>
      <c r="C387" s="127"/>
      <c r="D387" s="127"/>
      <c r="E387" s="127"/>
      <c r="F387" s="127"/>
      <c r="G387" s="127"/>
      <c r="H387" s="127"/>
      <c r="I387" s="127"/>
      <c r="J387" s="127"/>
      <c r="K387" s="127"/>
      <c r="L387" s="127"/>
      <c r="M387" s="127"/>
      <c r="N387" s="127"/>
      <c r="O387" s="127"/>
      <c r="P387" s="127"/>
      <c r="Q387" s="127"/>
      <c r="R387" s="127"/>
      <c r="S387" s="127"/>
      <c r="T387" s="127"/>
      <c r="U387" s="127"/>
      <c r="V387" s="127"/>
      <c r="W387" s="127"/>
      <c r="X387" s="127"/>
      <c r="Y387" s="127"/>
      <c r="Z387" s="127"/>
    </row>
    <row r="388" customFormat="false" ht="15.75" hidden="false" customHeight="false" outlineLevel="0" collapsed="false">
      <c r="A388" s="127"/>
      <c r="B388" s="127"/>
      <c r="C388" s="127"/>
      <c r="D388" s="127"/>
      <c r="E388" s="127"/>
      <c r="F388" s="127"/>
      <c r="G388" s="127"/>
      <c r="H388" s="127"/>
      <c r="I388" s="127"/>
      <c r="J388" s="127"/>
      <c r="K388" s="127"/>
      <c r="L388" s="127"/>
      <c r="M388" s="127"/>
      <c r="N388" s="127"/>
      <c r="O388" s="127"/>
      <c r="P388" s="127"/>
      <c r="Q388" s="127"/>
      <c r="R388" s="127"/>
      <c r="S388" s="127"/>
      <c r="T388" s="127"/>
      <c r="U388" s="127"/>
      <c r="V388" s="127"/>
      <c r="W388" s="127"/>
      <c r="X388" s="127"/>
      <c r="Y388" s="127"/>
      <c r="Z388" s="127"/>
    </row>
    <row r="389" customFormat="false" ht="15.75" hidden="false" customHeight="false" outlineLevel="0" collapsed="false">
      <c r="A389" s="127"/>
      <c r="B389" s="127"/>
      <c r="C389" s="127"/>
      <c r="D389" s="127"/>
      <c r="E389" s="127"/>
      <c r="F389" s="127"/>
      <c r="G389" s="127"/>
      <c r="H389" s="127"/>
      <c r="I389" s="127"/>
      <c r="J389" s="127"/>
      <c r="K389" s="127"/>
      <c r="L389" s="127"/>
      <c r="M389" s="127"/>
      <c r="N389" s="127"/>
      <c r="O389" s="127"/>
      <c r="P389" s="127"/>
      <c r="Q389" s="127"/>
      <c r="R389" s="127"/>
      <c r="S389" s="127"/>
      <c r="T389" s="127"/>
      <c r="U389" s="127"/>
      <c r="V389" s="127"/>
      <c r="W389" s="127"/>
      <c r="X389" s="127"/>
      <c r="Y389" s="127"/>
      <c r="Z389" s="127"/>
    </row>
    <row r="390" customFormat="false" ht="15.75" hidden="false" customHeight="false" outlineLevel="0" collapsed="false">
      <c r="A390" s="127"/>
      <c r="B390" s="127"/>
      <c r="C390" s="127"/>
      <c r="D390" s="127"/>
      <c r="E390" s="127"/>
      <c r="F390" s="127"/>
      <c r="G390" s="127"/>
      <c r="H390" s="127"/>
      <c r="I390" s="127"/>
      <c r="J390" s="127"/>
      <c r="K390" s="127"/>
      <c r="L390" s="127"/>
      <c r="M390" s="127"/>
      <c r="N390" s="127"/>
      <c r="O390" s="127"/>
      <c r="P390" s="127"/>
      <c r="Q390" s="127"/>
      <c r="R390" s="127"/>
      <c r="S390" s="127"/>
      <c r="T390" s="127"/>
      <c r="U390" s="127"/>
      <c r="V390" s="127"/>
      <c r="W390" s="127"/>
      <c r="X390" s="127"/>
      <c r="Y390" s="127"/>
      <c r="Z390" s="127"/>
    </row>
    <row r="391" customFormat="false" ht="15.75" hidden="false" customHeight="false" outlineLevel="0" collapsed="false">
      <c r="A391" s="127"/>
      <c r="B391" s="127"/>
      <c r="C391" s="127"/>
      <c r="D391" s="127"/>
      <c r="E391" s="127"/>
      <c r="F391" s="127"/>
      <c r="G391" s="127"/>
      <c r="H391" s="127"/>
      <c r="I391" s="127"/>
      <c r="J391" s="127"/>
      <c r="K391" s="127"/>
      <c r="L391" s="127"/>
      <c r="M391" s="127"/>
      <c r="N391" s="127"/>
      <c r="O391" s="127"/>
      <c r="P391" s="127"/>
      <c r="Q391" s="127"/>
      <c r="R391" s="127"/>
      <c r="S391" s="127"/>
      <c r="T391" s="127"/>
      <c r="U391" s="127"/>
      <c r="V391" s="127"/>
      <c r="W391" s="127"/>
      <c r="X391" s="127"/>
      <c r="Y391" s="127"/>
      <c r="Z391" s="127"/>
    </row>
    <row r="392" customFormat="false" ht="15.75" hidden="false" customHeight="false" outlineLevel="0" collapsed="false">
      <c r="A392" s="127"/>
      <c r="B392" s="127"/>
      <c r="C392" s="127"/>
      <c r="D392" s="127"/>
      <c r="E392" s="127"/>
      <c r="F392" s="127"/>
      <c r="G392" s="127"/>
      <c r="H392" s="127"/>
      <c r="I392" s="127"/>
      <c r="J392" s="127"/>
      <c r="K392" s="127"/>
      <c r="L392" s="127"/>
      <c r="M392" s="127"/>
      <c r="N392" s="127"/>
      <c r="O392" s="127"/>
      <c r="P392" s="127"/>
      <c r="Q392" s="127"/>
      <c r="R392" s="127"/>
      <c r="S392" s="127"/>
      <c r="T392" s="127"/>
      <c r="U392" s="127"/>
      <c r="V392" s="127"/>
      <c r="W392" s="127"/>
      <c r="X392" s="127"/>
      <c r="Y392" s="127"/>
      <c r="Z392" s="127"/>
    </row>
    <row r="393" customFormat="false" ht="15.75" hidden="false" customHeight="false" outlineLevel="0" collapsed="false">
      <c r="A393" s="127"/>
      <c r="B393" s="127"/>
      <c r="C393" s="127"/>
      <c r="D393" s="127"/>
      <c r="E393" s="127"/>
      <c r="F393" s="127"/>
      <c r="G393" s="127"/>
      <c r="H393" s="127"/>
      <c r="I393" s="127"/>
      <c r="J393" s="127"/>
      <c r="K393" s="127"/>
      <c r="L393" s="127"/>
      <c r="M393" s="127"/>
      <c r="N393" s="127"/>
      <c r="O393" s="127"/>
      <c r="P393" s="127"/>
      <c r="Q393" s="127"/>
      <c r="R393" s="127"/>
      <c r="S393" s="127"/>
      <c r="T393" s="127"/>
      <c r="U393" s="127"/>
      <c r="V393" s="127"/>
      <c r="W393" s="127"/>
      <c r="X393" s="127"/>
      <c r="Y393" s="127"/>
      <c r="Z393" s="127"/>
    </row>
    <row r="394" customFormat="false" ht="15.75" hidden="false" customHeight="false" outlineLevel="0" collapsed="false">
      <c r="A394" s="127"/>
      <c r="B394" s="127"/>
      <c r="C394" s="127"/>
      <c r="D394" s="127"/>
      <c r="E394" s="127"/>
      <c r="F394" s="127"/>
      <c r="G394" s="127"/>
      <c r="H394" s="127"/>
      <c r="I394" s="127"/>
      <c r="J394" s="127"/>
      <c r="K394" s="127"/>
      <c r="L394" s="127"/>
      <c r="M394" s="127"/>
      <c r="N394" s="127"/>
      <c r="O394" s="127"/>
      <c r="P394" s="127"/>
      <c r="Q394" s="127"/>
      <c r="R394" s="127"/>
      <c r="S394" s="127"/>
      <c r="T394" s="127"/>
      <c r="U394" s="127"/>
      <c r="V394" s="127"/>
      <c r="W394" s="127"/>
      <c r="X394" s="127"/>
      <c r="Y394" s="127"/>
      <c r="Z394" s="127"/>
    </row>
    <row r="395" customFormat="false" ht="15.75" hidden="false" customHeight="false" outlineLevel="0" collapsed="false">
      <c r="A395" s="127"/>
      <c r="B395" s="127"/>
      <c r="C395" s="127"/>
      <c r="D395" s="127"/>
      <c r="E395" s="127"/>
      <c r="F395" s="127"/>
      <c r="G395" s="127"/>
      <c r="H395" s="127"/>
      <c r="I395" s="127"/>
      <c r="J395" s="127"/>
      <c r="K395" s="127"/>
      <c r="L395" s="127"/>
      <c r="M395" s="127"/>
      <c r="N395" s="127"/>
      <c r="O395" s="127"/>
      <c r="P395" s="127"/>
      <c r="Q395" s="127"/>
      <c r="R395" s="127"/>
      <c r="S395" s="127"/>
      <c r="T395" s="127"/>
      <c r="U395" s="127"/>
      <c r="V395" s="127"/>
      <c r="W395" s="127"/>
      <c r="X395" s="127"/>
      <c r="Y395" s="127"/>
      <c r="Z395" s="127"/>
    </row>
    <row r="396" customFormat="false" ht="15.75" hidden="false" customHeight="false" outlineLevel="0" collapsed="false">
      <c r="A396" s="127"/>
      <c r="B396" s="127"/>
      <c r="C396" s="127"/>
      <c r="D396" s="127"/>
      <c r="E396" s="127"/>
      <c r="F396" s="127"/>
      <c r="G396" s="127"/>
      <c r="H396" s="127"/>
      <c r="I396" s="127"/>
      <c r="J396" s="127"/>
      <c r="K396" s="127"/>
      <c r="L396" s="127"/>
      <c r="M396" s="127"/>
      <c r="N396" s="127"/>
      <c r="O396" s="127"/>
      <c r="P396" s="127"/>
      <c r="Q396" s="127"/>
      <c r="R396" s="127"/>
      <c r="S396" s="127"/>
      <c r="T396" s="127"/>
      <c r="U396" s="127"/>
      <c r="V396" s="127"/>
      <c r="W396" s="127"/>
      <c r="X396" s="127"/>
      <c r="Y396" s="127"/>
      <c r="Z396" s="127"/>
    </row>
    <row r="397" customFormat="false" ht="15.75" hidden="false" customHeight="false" outlineLevel="0" collapsed="false">
      <c r="A397" s="127"/>
      <c r="B397" s="127"/>
      <c r="C397" s="127"/>
      <c r="D397" s="127"/>
      <c r="E397" s="127"/>
      <c r="F397" s="127"/>
      <c r="G397" s="127"/>
      <c r="H397" s="127"/>
      <c r="I397" s="127"/>
      <c r="J397" s="127"/>
      <c r="K397" s="127"/>
      <c r="L397" s="127"/>
      <c r="M397" s="127"/>
      <c r="N397" s="127"/>
      <c r="O397" s="127"/>
      <c r="P397" s="127"/>
      <c r="Q397" s="127"/>
      <c r="R397" s="127"/>
      <c r="S397" s="127"/>
      <c r="T397" s="127"/>
      <c r="U397" s="127"/>
      <c r="V397" s="127"/>
      <c r="W397" s="127"/>
      <c r="X397" s="127"/>
      <c r="Y397" s="127"/>
      <c r="Z397" s="127"/>
    </row>
    <row r="398" customFormat="false" ht="15.75" hidden="false" customHeight="false" outlineLevel="0" collapsed="false">
      <c r="A398" s="127"/>
      <c r="B398" s="127"/>
      <c r="C398" s="127"/>
      <c r="D398" s="127"/>
      <c r="E398" s="127"/>
      <c r="F398" s="127"/>
      <c r="G398" s="127"/>
      <c r="H398" s="127"/>
      <c r="I398" s="127"/>
      <c r="J398" s="127"/>
      <c r="K398" s="127"/>
      <c r="L398" s="127"/>
      <c r="M398" s="127"/>
      <c r="N398" s="127"/>
      <c r="O398" s="127"/>
      <c r="P398" s="127"/>
      <c r="Q398" s="127"/>
      <c r="R398" s="127"/>
      <c r="S398" s="127"/>
      <c r="T398" s="127"/>
      <c r="U398" s="127"/>
      <c r="V398" s="127"/>
      <c r="W398" s="127"/>
      <c r="X398" s="127"/>
      <c r="Y398" s="127"/>
      <c r="Z398" s="127"/>
    </row>
    <row r="399" customFormat="false" ht="15.75" hidden="false" customHeight="false" outlineLevel="0" collapsed="false">
      <c r="A399" s="127"/>
      <c r="B399" s="127"/>
      <c r="C399" s="127"/>
      <c r="D399" s="127"/>
      <c r="E399" s="127"/>
      <c r="F399" s="127"/>
      <c r="G399" s="127"/>
      <c r="H399" s="127"/>
      <c r="I399" s="127"/>
      <c r="J399" s="127"/>
      <c r="K399" s="127"/>
      <c r="L399" s="127"/>
      <c r="M399" s="127"/>
      <c r="N399" s="127"/>
      <c r="O399" s="127"/>
      <c r="P399" s="127"/>
      <c r="Q399" s="127"/>
      <c r="R399" s="127"/>
      <c r="S399" s="127"/>
      <c r="T399" s="127"/>
      <c r="U399" s="127"/>
      <c r="V399" s="127"/>
      <c r="W399" s="127"/>
      <c r="X399" s="127"/>
      <c r="Y399" s="127"/>
      <c r="Z399" s="127"/>
    </row>
    <row r="400" customFormat="false" ht="15.75" hidden="false" customHeight="false" outlineLevel="0" collapsed="false">
      <c r="A400" s="127"/>
      <c r="B400" s="127"/>
      <c r="C400" s="127"/>
      <c r="D400" s="127"/>
      <c r="E400" s="127"/>
      <c r="F400" s="127"/>
      <c r="G400" s="127"/>
      <c r="H400" s="127"/>
      <c r="I400" s="127"/>
      <c r="J400" s="127"/>
      <c r="K400" s="127"/>
      <c r="L400" s="127"/>
      <c r="M400" s="127"/>
      <c r="N400" s="127"/>
      <c r="O400" s="127"/>
      <c r="P400" s="127"/>
      <c r="Q400" s="127"/>
      <c r="R400" s="127"/>
      <c r="S400" s="127"/>
      <c r="T400" s="127"/>
      <c r="U400" s="127"/>
      <c r="V400" s="127"/>
      <c r="W400" s="127"/>
      <c r="X400" s="127"/>
      <c r="Y400" s="127"/>
      <c r="Z400" s="127"/>
    </row>
    <row r="401" customFormat="false" ht="15.75" hidden="false" customHeight="false" outlineLevel="0" collapsed="false">
      <c r="A401" s="127"/>
      <c r="B401" s="127"/>
      <c r="C401" s="127"/>
      <c r="D401" s="127"/>
      <c r="E401" s="127"/>
      <c r="F401" s="127"/>
      <c r="G401" s="127"/>
      <c r="H401" s="127"/>
      <c r="I401" s="127"/>
      <c r="J401" s="127"/>
      <c r="K401" s="127"/>
      <c r="L401" s="127"/>
      <c r="M401" s="127"/>
      <c r="N401" s="127"/>
      <c r="O401" s="127"/>
      <c r="P401" s="127"/>
      <c r="Q401" s="127"/>
      <c r="R401" s="127"/>
      <c r="S401" s="127"/>
      <c r="T401" s="127"/>
      <c r="U401" s="127"/>
      <c r="V401" s="127"/>
      <c r="W401" s="127"/>
      <c r="X401" s="127"/>
      <c r="Y401" s="127"/>
      <c r="Z401" s="127"/>
    </row>
    <row r="402" customFormat="false" ht="15.75" hidden="false" customHeight="false" outlineLevel="0" collapsed="false">
      <c r="A402" s="127"/>
      <c r="B402" s="127"/>
      <c r="C402" s="127"/>
      <c r="D402" s="127"/>
      <c r="E402" s="127"/>
      <c r="F402" s="127"/>
      <c r="G402" s="127"/>
      <c r="H402" s="127"/>
      <c r="I402" s="127"/>
      <c r="J402" s="127"/>
      <c r="K402" s="127"/>
      <c r="L402" s="127"/>
      <c r="M402" s="127"/>
      <c r="N402" s="127"/>
      <c r="O402" s="127"/>
      <c r="P402" s="127"/>
      <c r="Q402" s="127"/>
      <c r="R402" s="127"/>
      <c r="S402" s="127"/>
      <c r="T402" s="127"/>
      <c r="U402" s="127"/>
      <c r="V402" s="127"/>
      <c r="W402" s="127"/>
      <c r="X402" s="127"/>
      <c r="Y402" s="127"/>
      <c r="Z402" s="127"/>
    </row>
    <row r="403" customFormat="false" ht="15.75" hidden="false" customHeight="false" outlineLevel="0" collapsed="false">
      <c r="A403" s="127"/>
      <c r="B403" s="127"/>
      <c r="C403" s="127"/>
      <c r="D403" s="127"/>
      <c r="E403" s="127"/>
      <c r="F403" s="127"/>
      <c r="G403" s="127"/>
      <c r="H403" s="127"/>
      <c r="I403" s="127"/>
      <c r="J403" s="127"/>
      <c r="K403" s="127"/>
      <c r="L403" s="127"/>
      <c r="M403" s="127"/>
      <c r="N403" s="127"/>
      <c r="O403" s="127"/>
      <c r="P403" s="127"/>
      <c r="Q403" s="127"/>
      <c r="R403" s="127"/>
      <c r="S403" s="127"/>
      <c r="T403" s="127"/>
      <c r="U403" s="127"/>
      <c r="V403" s="127"/>
      <c r="W403" s="127"/>
      <c r="X403" s="127"/>
      <c r="Y403" s="127"/>
      <c r="Z403" s="127"/>
    </row>
    <row r="404" customFormat="false" ht="15.75" hidden="false" customHeight="false" outlineLevel="0" collapsed="false">
      <c r="A404" s="127"/>
      <c r="B404" s="127"/>
      <c r="C404" s="127"/>
      <c r="D404" s="127"/>
      <c r="E404" s="127"/>
      <c r="F404" s="127"/>
      <c r="G404" s="127"/>
      <c r="H404" s="127"/>
      <c r="I404" s="127"/>
      <c r="J404" s="127"/>
      <c r="K404" s="127"/>
      <c r="L404" s="127"/>
      <c r="M404" s="127"/>
      <c r="N404" s="127"/>
      <c r="O404" s="127"/>
      <c r="P404" s="127"/>
      <c r="Q404" s="127"/>
      <c r="R404" s="127"/>
      <c r="S404" s="127"/>
      <c r="T404" s="127"/>
      <c r="U404" s="127"/>
      <c r="V404" s="127"/>
      <c r="W404" s="127"/>
      <c r="X404" s="127"/>
      <c r="Y404" s="127"/>
      <c r="Z404" s="127"/>
    </row>
    <row r="405" customFormat="false" ht="15.75" hidden="false" customHeight="false" outlineLevel="0" collapsed="false">
      <c r="A405" s="127"/>
      <c r="B405" s="127"/>
      <c r="C405" s="127"/>
      <c r="D405" s="127"/>
      <c r="E405" s="127"/>
      <c r="F405" s="127"/>
      <c r="G405" s="127"/>
      <c r="H405" s="127"/>
      <c r="I405" s="127"/>
      <c r="J405" s="127"/>
      <c r="K405" s="127"/>
      <c r="L405" s="127"/>
      <c r="M405" s="127"/>
      <c r="N405" s="127"/>
      <c r="O405" s="127"/>
      <c r="P405" s="127"/>
      <c r="Q405" s="127"/>
      <c r="R405" s="127"/>
      <c r="S405" s="127"/>
      <c r="T405" s="127"/>
      <c r="U405" s="127"/>
      <c r="V405" s="127"/>
      <c r="W405" s="127"/>
      <c r="X405" s="127"/>
      <c r="Y405" s="127"/>
      <c r="Z405" s="127"/>
    </row>
    <row r="406" customFormat="false" ht="15.75" hidden="false" customHeight="false" outlineLevel="0" collapsed="false">
      <c r="A406" s="127"/>
      <c r="B406" s="127"/>
      <c r="C406" s="127"/>
      <c r="D406" s="127"/>
      <c r="E406" s="127"/>
      <c r="F406" s="127"/>
      <c r="G406" s="127"/>
      <c r="H406" s="127"/>
      <c r="I406" s="127"/>
      <c r="J406" s="127"/>
      <c r="K406" s="127"/>
      <c r="L406" s="127"/>
      <c r="M406" s="127"/>
      <c r="N406" s="127"/>
      <c r="O406" s="127"/>
      <c r="P406" s="127"/>
      <c r="Q406" s="127"/>
      <c r="R406" s="127"/>
      <c r="S406" s="127"/>
      <c r="T406" s="127"/>
      <c r="U406" s="127"/>
      <c r="V406" s="127"/>
      <c r="W406" s="127"/>
      <c r="X406" s="127"/>
      <c r="Y406" s="127"/>
      <c r="Z406" s="127"/>
    </row>
    <row r="407" customFormat="false" ht="15.75" hidden="false" customHeight="false" outlineLevel="0" collapsed="false">
      <c r="A407" s="127"/>
      <c r="B407" s="127"/>
      <c r="C407" s="127"/>
      <c r="D407" s="127"/>
      <c r="E407" s="127"/>
      <c r="F407" s="127"/>
      <c r="G407" s="127"/>
      <c r="H407" s="127"/>
      <c r="I407" s="127"/>
      <c r="J407" s="127"/>
      <c r="K407" s="127"/>
      <c r="L407" s="127"/>
      <c r="M407" s="127"/>
      <c r="N407" s="127"/>
      <c r="O407" s="127"/>
      <c r="P407" s="127"/>
      <c r="Q407" s="127"/>
      <c r="R407" s="127"/>
      <c r="S407" s="127"/>
      <c r="T407" s="127"/>
      <c r="U407" s="127"/>
      <c r="V407" s="127"/>
      <c r="W407" s="127"/>
      <c r="X407" s="127"/>
      <c r="Y407" s="127"/>
      <c r="Z407" s="127"/>
    </row>
    <row r="408" customFormat="false" ht="15.75" hidden="false" customHeight="false" outlineLevel="0" collapsed="false">
      <c r="A408" s="127"/>
      <c r="B408" s="127"/>
      <c r="C408" s="127"/>
      <c r="D408" s="127"/>
      <c r="E408" s="127"/>
      <c r="F408" s="127"/>
      <c r="G408" s="127"/>
      <c r="H408" s="127"/>
      <c r="I408" s="127"/>
      <c r="J408" s="127"/>
      <c r="K408" s="127"/>
      <c r="L408" s="127"/>
      <c r="M408" s="127"/>
      <c r="N408" s="127"/>
      <c r="O408" s="127"/>
      <c r="P408" s="127"/>
      <c r="Q408" s="127"/>
      <c r="R408" s="127"/>
      <c r="S408" s="127"/>
      <c r="T408" s="127"/>
      <c r="U408" s="127"/>
      <c r="V408" s="127"/>
      <c r="W408" s="127"/>
      <c r="X408" s="127"/>
      <c r="Y408" s="127"/>
      <c r="Z408" s="127"/>
    </row>
    <row r="409" customFormat="false" ht="15.75" hidden="false" customHeight="false" outlineLevel="0" collapsed="false">
      <c r="A409" s="127"/>
      <c r="B409" s="127"/>
      <c r="C409" s="127"/>
      <c r="D409" s="127"/>
      <c r="E409" s="127"/>
      <c r="F409" s="127"/>
      <c r="G409" s="127"/>
      <c r="H409" s="127"/>
      <c r="I409" s="127"/>
      <c r="J409" s="127"/>
      <c r="K409" s="127"/>
      <c r="L409" s="127"/>
      <c r="M409" s="127"/>
      <c r="N409" s="127"/>
      <c r="O409" s="127"/>
      <c r="P409" s="127"/>
      <c r="Q409" s="127"/>
      <c r="R409" s="127"/>
      <c r="S409" s="127"/>
      <c r="T409" s="127"/>
      <c r="U409" s="127"/>
      <c r="V409" s="127"/>
      <c r="W409" s="127"/>
      <c r="X409" s="127"/>
      <c r="Y409" s="127"/>
      <c r="Z409" s="127"/>
    </row>
    <row r="410" customFormat="false" ht="15.75" hidden="false" customHeight="false" outlineLevel="0" collapsed="false">
      <c r="A410" s="127"/>
      <c r="B410" s="127"/>
      <c r="C410" s="127"/>
      <c r="D410" s="127"/>
      <c r="E410" s="127"/>
      <c r="F410" s="127"/>
      <c r="G410" s="127"/>
      <c r="H410" s="127"/>
      <c r="I410" s="127"/>
      <c r="J410" s="127"/>
      <c r="K410" s="127"/>
      <c r="L410" s="127"/>
      <c r="M410" s="127"/>
      <c r="N410" s="127"/>
      <c r="O410" s="127"/>
      <c r="P410" s="127"/>
      <c r="Q410" s="127"/>
      <c r="R410" s="127"/>
      <c r="S410" s="127"/>
      <c r="T410" s="127"/>
      <c r="U410" s="127"/>
      <c r="V410" s="127"/>
      <c r="W410" s="127"/>
      <c r="X410" s="127"/>
      <c r="Y410" s="127"/>
      <c r="Z410" s="127"/>
    </row>
    <row r="411" customFormat="false" ht="15.75" hidden="false" customHeight="false" outlineLevel="0" collapsed="false">
      <c r="A411" s="127"/>
      <c r="B411" s="127"/>
      <c r="C411" s="127"/>
      <c r="D411" s="127"/>
      <c r="E411" s="127"/>
      <c r="F411" s="127"/>
      <c r="G411" s="127"/>
      <c r="H411" s="127"/>
      <c r="I411" s="127"/>
      <c r="J411" s="127"/>
      <c r="K411" s="127"/>
      <c r="L411" s="127"/>
      <c r="M411" s="127"/>
      <c r="N411" s="127"/>
      <c r="O411" s="127"/>
      <c r="P411" s="127"/>
      <c r="Q411" s="127"/>
      <c r="R411" s="127"/>
      <c r="S411" s="127"/>
      <c r="T411" s="127"/>
      <c r="U411" s="127"/>
      <c r="V411" s="127"/>
      <c r="W411" s="127"/>
      <c r="X411" s="127"/>
      <c r="Y411" s="127"/>
      <c r="Z411" s="127"/>
    </row>
    <row r="412" customFormat="false" ht="15.75" hidden="false" customHeight="false" outlineLevel="0" collapsed="false">
      <c r="A412" s="127"/>
      <c r="B412" s="127"/>
      <c r="C412" s="127"/>
      <c r="D412" s="127"/>
      <c r="E412" s="127"/>
      <c r="F412" s="127"/>
      <c r="G412" s="127"/>
      <c r="H412" s="127"/>
      <c r="I412" s="127"/>
      <c r="J412" s="127"/>
      <c r="K412" s="127"/>
      <c r="L412" s="127"/>
      <c r="M412" s="127"/>
      <c r="N412" s="127"/>
      <c r="O412" s="127"/>
      <c r="P412" s="127"/>
      <c r="Q412" s="127"/>
      <c r="R412" s="127"/>
      <c r="S412" s="127"/>
      <c r="T412" s="127"/>
      <c r="U412" s="127"/>
      <c r="V412" s="127"/>
      <c r="W412" s="127"/>
      <c r="X412" s="127"/>
      <c r="Y412" s="127"/>
      <c r="Z412" s="127"/>
    </row>
    <row r="413" customFormat="false" ht="15.75" hidden="false" customHeight="false" outlineLevel="0" collapsed="false">
      <c r="A413" s="127"/>
      <c r="B413" s="127"/>
      <c r="C413" s="127"/>
      <c r="D413" s="127"/>
      <c r="E413" s="127"/>
      <c r="F413" s="127"/>
      <c r="G413" s="127"/>
      <c r="H413" s="127"/>
      <c r="I413" s="127"/>
      <c r="J413" s="127"/>
      <c r="K413" s="127"/>
      <c r="L413" s="127"/>
      <c r="M413" s="127"/>
      <c r="N413" s="127"/>
      <c r="O413" s="127"/>
      <c r="P413" s="127"/>
      <c r="Q413" s="127"/>
      <c r="R413" s="127"/>
      <c r="S413" s="127"/>
      <c r="T413" s="127"/>
      <c r="U413" s="127"/>
      <c r="V413" s="127"/>
      <c r="W413" s="127"/>
      <c r="X413" s="127"/>
      <c r="Y413" s="127"/>
      <c r="Z413" s="127"/>
    </row>
    <row r="414" customFormat="false" ht="15.75" hidden="false" customHeight="false" outlineLevel="0" collapsed="false">
      <c r="A414" s="127"/>
      <c r="B414" s="127"/>
      <c r="C414" s="127"/>
      <c r="D414" s="127"/>
      <c r="E414" s="127"/>
      <c r="F414" s="127"/>
      <c r="G414" s="127"/>
      <c r="H414" s="127"/>
      <c r="I414" s="127"/>
      <c r="J414" s="127"/>
      <c r="K414" s="127"/>
      <c r="L414" s="127"/>
      <c r="M414" s="127"/>
      <c r="N414" s="127"/>
      <c r="O414" s="127"/>
      <c r="P414" s="127"/>
      <c r="Q414" s="127"/>
      <c r="R414" s="127"/>
      <c r="S414" s="127"/>
      <c r="T414" s="127"/>
      <c r="U414" s="127"/>
      <c r="V414" s="127"/>
      <c r="W414" s="127"/>
      <c r="X414" s="127"/>
      <c r="Y414" s="127"/>
      <c r="Z414" s="127"/>
    </row>
    <row r="415" customFormat="false" ht="15.75" hidden="false" customHeight="false" outlineLevel="0" collapsed="false">
      <c r="A415" s="127"/>
      <c r="B415" s="127"/>
      <c r="C415" s="127"/>
      <c r="D415" s="127"/>
      <c r="E415" s="127"/>
      <c r="F415" s="127"/>
      <c r="G415" s="127"/>
      <c r="H415" s="127"/>
      <c r="I415" s="127"/>
      <c r="J415" s="127"/>
      <c r="K415" s="127"/>
      <c r="L415" s="127"/>
      <c r="M415" s="127"/>
      <c r="N415" s="127"/>
      <c r="O415" s="127"/>
      <c r="P415" s="127"/>
      <c r="Q415" s="127"/>
      <c r="R415" s="127"/>
      <c r="S415" s="127"/>
      <c r="T415" s="127"/>
      <c r="U415" s="127"/>
      <c r="V415" s="127"/>
      <c r="W415" s="127"/>
      <c r="X415" s="127"/>
      <c r="Y415" s="127"/>
      <c r="Z415" s="127"/>
    </row>
    <row r="416" customFormat="false" ht="15.75" hidden="false" customHeight="false" outlineLevel="0" collapsed="false">
      <c r="A416" s="127"/>
      <c r="B416" s="127"/>
      <c r="C416" s="127"/>
      <c r="D416" s="127"/>
      <c r="E416" s="127"/>
      <c r="F416" s="127"/>
      <c r="G416" s="127"/>
      <c r="H416" s="127"/>
      <c r="I416" s="127"/>
      <c r="J416" s="127"/>
      <c r="K416" s="127"/>
      <c r="L416" s="127"/>
      <c r="M416" s="127"/>
      <c r="N416" s="127"/>
      <c r="O416" s="127"/>
      <c r="P416" s="127"/>
      <c r="Q416" s="127"/>
      <c r="R416" s="127"/>
      <c r="S416" s="127"/>
      <c r="T416" s="127"/>
      <c r="U416" s="127"/>
      <c r="V416" s="127"/>
      <c r="W416" s="127"/>
      <c r="X416" s="127"/>
      <c r="Y416" s="127"/>
      <c r="Z416" s="127"/>
    </row>
    <row r="417" customFormat="false" ht="15.75" hidden="false" customHeight="false" outlineLevel="0" collapsed="false">
      <c r="A417" s="127"/>
      <c r="B417" s="127"/>
      <c r="C417" s="127"/>
      <c r="D417" s="127"/>
      <c r="E417" s="127"/>
      <c r="F417" s="127"/>
      <c r="G417" s="127"/>
      <c r="H417" s="127"/>
      <c r="I417" s="127"/>
      <c r="J417" s="127"/>
      <c r="K417" s="127"/>
      <c r="L417" s="127"/>
      <c r="M417" s="127"/>
      <c r="N417" s="127"/>
      <c r="O417" s="127"/>
      <c r="P417" s="127"/>
      <c r="Q417" s="127"/>
      <c r="R417" s="127"/>
      <c r="S417" s="127"/>
      <c r="T417" s="127"/>
      <c r="U417" s="127"/>
      <c r="V417" s="127"/>
      <c r="W417" s="127"/>
      <c r="X417" s="127"/>
      <c r="Y417" s="127"/>
      <c r="Z417" s="127"/>
    </row>
    <row r="418" customFormat="false" ht="15.75" hidden="false" customHeight="false" outlineLevel="0" collapsed="false">
      <c r="A418" s="127"/>
      <c r="B418" s="127"/>
      <c r="C418" s="127"/>
      <c r="D418" s="127"/>
      <c r="E418" s="127"/>
      <c r="F418" s="127"/>
      <c r="G418" s="127"/>
      <c r="H418" s="127"/>
      <c r="I418" s="127"/>
      <c r="J418" s="127"/>
      <c r="K418" s="127"/>
      <c r="L418" s="127"/>
      <c r="M418" s="127"/>
      <c r="N418" s="127"/>
      <c r="O418" s="127"/>
      <c r="P418" s="127"/>
      <c r="Q418" s="127"/>
      <c r="R418" s="127"/>
      <c r="S418" s="127"/>
      <c r="T418" s="127"/>
      <c r="U418" s="127"/>
      <c r="V418" s="127"/>
      <c r="W418" s="127"/>
      <c r="X418" s="127"/>
      <c r="Y418" s="127"/>
      <c r="Z418" s="127"/>
    </row>
    <row r="419" customFormat="false" ht="15.75" hidden="false" customHeight="false" outlineLevel="0" collapsed="false">
      <c r="A419" s="127"/>
      <c r="B419" s="127"/>
      <c r="C419" s="127"/>
      <c r="D419" s="127"/>
      <c r="E419" s="127"/>
      <c r="F419" s="127"/>
      <c r="G419" s="127"/>
      <c r="H419" s="127"/>
      <c r="I419" s="127"/>
      <c r="J419" s="127"/>
      <c r="K419" s="127"/>
      <c r="L419" s="127"/>
      <c r="M419" s="127"/>
      <c r="N419" s="127"/>
      <c r="O419" s="127"/>
      <c r="P419" s="127"/>
      <c r="Q419" s="127"/>
      <c r="R419" s="127"/>
      <c r="S419" s="127"/>
      <c r="T419" s="127"/>
      <c r="U419" s="127"/>
      <c r="V419" s="127"/>
      <c r="W419" s="127"/>
      <c r="X419" s="127"/>
      <c r="Y419" s="127"/>
      <c r="Z419" s="127"/>
    </row>
    <row r="420" customFormat="false" ht="15.75" hidden="false" customHeight="false" outlineLevel="0" collapsed="false">
      <c r="A420" s="127"/>
      <c r="B420" s="127"/>
      <c r="C420" s="127"/>
      <c r="D420" s="127"/>
      <c r="E420" s="127"/>
      <c r="F420" s="127"/>
      <c r="G420" s="127"/>
      <c r="H420" s="127"/>
      <c r="I420" s="127"/>
      <c r="J420" s="127"/>
      <c r="K420" s="127"/>
      <c r="L420" s="127"/>
      <c r="M420" s="127"/>
      <c r="N420" s="127"/>
      <c r="O420" s="127"/>
      <c r="P420" s="127"/>
      <c r="Q420" s="127"/>
      <c r="R420" s="127"/>
      <c r="S420" s="127"/>
      <c r="T420" s="127"/>
      <c r="U420" s="127"/>
      <c r="V420" s="127"/>
      <c r="W420" s="127"/>
      <c r="X420" s="127"/>
      <c r="Y420" s="127"/>
      <c r="Z420" s="127"/>
    </row>
    <row r="421" customFormat="false" ht="15.75" hidden="false" customHeight="false" outlineLevel="0" collapsed="false">
      <c r="A421" s="127"/>
      <c r="B421" s="127"/>
      <c r="C421" s="127"/>
      <c r="D421" s="127"/>
      <c r="E421" s="127"/>
      <c r="F421" s="127"/>
      <c r="G421" s="127"/>
      <c r="H421" s="127"/>
      <c r="I421" s="127"/>
      <c r="J421" s="127"/>
      <c r="K421" s="127"/>
      <c r="L421" s="127"/>
      <c r="M421" s="127"/>
      <c r="N421" s="127"/>
      <c r="O421" s="127"/>
      <c r="P421" s="127"/>
      <c r="Q421" s="127"/>
      <c r="R421" s="127"/>
      <c r="S421" s="127"/>
      <c r="T421" s="127"/>
      <c r="U421" s="127"/>
      <c r="V421" s="127"/>
      <c r="W421" s="127"/>
      <c r="X421" s="127"/>
      <c r="Y421" s="127"/>
      <c r="Z421" s="127"/>
    </row>
    <row r="422" customFormat="false" ht="15.75" hidden="false" customHeight="false" outlineLevel="0" collapsed="false">
      <c r="A422" s="127"/>
      <c r="B422" s="127"/>
      <c r="C422" s="127"/>
      <c r="D422" s="127"/>
      <c r="E422" s="127"/>
      <c r="F422" s="127"/>
      <c r="G422" s="127"/>
      <c r="H422" s="127"/>
      <c r="I422" s="127"/>
      <c r="J422" s="127"/>
      <c r="K422" s="127"/>
      <c r="L422" s="127"/>
      <c r="M422" s="127"/>
      <c r="N422" s="127"/>
      <c r="O422" s="127"/>
      <c r="P422" s="127"/>
      <c r="Q422" s="127"/>
      <c r="R422" s="127"/>
      <c r="S422" s="127"/>
      <c r="T422" s="127"/>
      <c r="U422" s="127"/>
      <c r="V422" s="127"/>
      <c r="W422" s="127"/>
      <c r="X422" s="127"/>
      <c r="Y422" s="127"/>
      <c r="Z422" s="127"/>
    </row>
    <row r="423" customFormat="false" ht="15.75" hidden="false" customHeight="false" outlineLevel="0" collapsed="false">
      <c r="A423" s="127"/>
      <c r="B423" s="127"/>
      <c r="C423" s="127"/>
      <c r="D423" s="127"/>
      <c r="E423" s="127"/>
      <c r="F423" s="127"/>
      <c r="G423" s="127"/>
      <c r="H423" s="127"/>
      <c r="I423" s="127"/>
      <c r="J423" s="127"/>
      <c r="K423" s="127"/>
      <c r="L423" s="127"/>
      <c r="M423" s="127"/>
      <c r="N423" s="127"/>
      <c r="O423" s="127"/>
      <c r="P423" s="127"/>
      <c r="Q423" s="127"/>
      <c r="R423" s="127"/>
      <c r="S423" s="127"/>
      <c r="T423" s="127"/>
      <c r="U423" s="127"/>
      <c r="V423" s="127"/>
      <c r="W423" s="127"/>
      <c r="X423" s="127"/>
      <c r="Y423" s="127"/>
      <c r="Z423" s="127"/>
    </row>
    <row r="424" customFormat="false" ht="15.75" hidden="false" customHeight="false" outlineLevel="0" collapsed="false">
      <c r="A424" s="127"/>
      <c r="B424" s="127"/>
      <c r="C424" s="127"/>
      <c r="D424" s="127"/>
      <c r="E424" s="127"/>
      <c r="F424" s="127"/>
      <c r="G424" s="127"/>
      <c r="H424" s="127"/>
      <c r="I424" s="127"/>
      <c r="J424" s="127"/>
      <c r="K424" s="127"/>
      <c r="L424" s="127"/>
      <c r="M424" s="127"/>
      <c r="N424" s="127"/>
      <c r="O424" s="127"/>
      <c r="P424" s="127"/>
      <c r="Q424" s="127"/>
      <c r="R424" s="127"/>
      <c r="S424" s="127"/>
      <c r="T424" s="127"/>
      <c r="U424" s="127"/>
      <c r="V424" s="127"/>
      <c r="W424" s="127"/>
      <c r="X424" s="127"/>
      <c r="Y424" s="127"/>
      <c r="Z424" s="127"/>
    </row>
    <row r="425" customFormat="false" ht="15.75" hidden="false" customHeight="false" outlineLevel="0" collapsed="false">
      <c r="A425" s="127"/>
      <c r="B425" s="127"/>
      <c r="C425" s="127"/>
      <c r="D425" s="127"/>
      <c r="E425" s="127"/>
      <c r="F425" s="127"/>
      <c r="G425" s="127"/>
      <c r="H425" s="127"/>
      <c r="I425" s="127"/>
      <c r="J425" s="127"/>
      <c r="K425" s="127"/>
      <c r="L425" s="127"/>
      <c r="M425" s="127"/>
      <c r="N425" s="127"/>
      <c r="O425" s="127"/>
      <c r="P425" s="127"/>
      <c r="Q425" s="127"/>
      <c r="R425" s="127"/>
      <c r="S425" s="127"/>
      <c r="T425" s="127"/>
      <c r="U425" s="127"/>
      <c r="V425" s="127"/>
      <c r="W425" s="127"/>
      <c r="X425" s="127"/>
      <c r="Y425" s="127"/>
      <c r="Z425" s="127"/>
    </row>
    <row r="426" customFormat="false" ht="15.75" hidden="false" customHeight="false" outlineLevel="0" collapsed="false">
      <c r="A426" s="127"/>
      <c r="B426" s="127"/>
      <c r="C426" s="127"/>
      <c r="D426" s="127"/>
      <c r="E426" s="127"/>
      <c r="F426" s="127"/>
      <c r="G426" s="127"/>
      <c r="H426" s="127"/>
      <c r="I426" s="127"/>
      <c r="J426" s="127"/>
      <c r="K426" s="127"/>
      <c r="L426" s="127"/>
      <c r="M426" s="127"/>
      <c r="N426" s="127"/>
      <c r="O426" s="127"/>
      <c r="P426" s="127"/>
      <c r="Q426" s="127"/>
      <c r="R426" s="127"/>
      <c r="S426" s="127"/>
      <c r="T426" s="127"/>
      <c r="U426" s="127"/>
      <c r="V426" s="127"/>
      <c r="W426" s="127"/>
      <c r="X426" s="127"/>
      <c r="Y426" s="127"/>
      <c r="Z426" s="127"/>
    </row>
    <row r="427" customFormat="false" ht="15.75" hidden="false" customHeight="false" outlineLevel="0" collapsed="false">
      <c r="A427" s="127"/>
      <c r="B427" s="127"/>
      <c r="C427" s="127"/>
      <c r="D427" s="127"/>
      <c r="E427" s="127"/>
      <c r="F427" s="127"/>
      <c r="G427" s="127"/>
      <c r="H427" s="127"/>
      <c r="I427" s="127"/>
      <c r="J427" s="127"/>
      <c r="K427" s="127"/>
      <c r="L427" s="127"/>
      <c r="M427" s="127"/>
      <c r="N427" s="127"/>
      <c r="O427" s="127"/>
      <c r="P427" s="127"/>
      <c r="Q427" s="127"/>
      <c r="R427" s="127"/>
      <c r="S427" s="127"/>
      <c r="T427" s="127"/>
      <c r="U427" s="127"/>
      <c r="V427" s="127"/>
      <c r="W427" s="127"/>
      <c r="X427" s="127"/>
      <c r="Y427" s="127"/>
      <c r="Z427" s="127"/>
    </row>
    <row r="428" customFormat="false" ht="15.75" hidden="false" customHeight="false" outlineLevel="0" collapsed="false">
      <c r="A428" s="127"/>
      <c r="B428" s="127"/>
      <c r="C428" s="127"/>
      <c r="D428" s="127"/>
      <c r="E428" s="127"/>
      <c r="F428" s="127"/>
      <c r="G428" s="127"/>
      <c r="H428" s="127"/>
      <c r="I428" s="127"/>
      <c r="J428" s="127"/>
      <c r="K428" s="127"/>
      <c r="L428" s="127"/>
      <c r="M428" s="127"/>
      <c r="N428" s="127"/>
      <c r="O428" s="127"/>
      <c r="P428" s="127"/>
      <c r="Q428" s="127"/>
      <c r="R428" s="127"/>
      <c r="S428" s="127"/>
      <c r="T428" s="127"/>
      <c r="U428" s="127"/>
      <c r="V428" s="127"/>
      <c r="W428" s="127"/>
      <c r="X428" s="127"/>
      <c r="Y428" s="127"/>
      <c r="Z428" s="127"/>
    </row>
    <row r="429" customFormat="false" ht="15.75" hidden="false" customHeight="false" outlineLevel="0" collapsed="false">
      <c r="A429" s="127"/>
      <c r="B429" s="127"/>
      <c r="C429" s="127"/>
      <c r="D429" s="127"/>
      <c r="E429" s="127"/>
      <c r="F429" s="127"/>
      <c r="G429" s="127"/>
      <c r="H429" s="127"/>
      <c r="I429" s="127"/>
      <c r="J429" s="127"/>
      <c r="K429" s="127"/>
      <c r="L429" s="127"/>
      <c r="M429" s="127"/>
      <c r="N429" s="127"/>
      <c r="O429" s="127"/>
      <c r="P429" s="127"/>
      <c r="Q429" s="127"/>
      <c r="R429" s="127"/>
      <c r="S429" s="127"/>
      <c r="T429" s="127"/>
      <c r="U429" s="127"/>
      <c r="V429" s="127"/>
      <c r="W429" s="127"/>
      <c r="X429" s="127"/>
      <c r="Y429" s="127"/>
      <c r="Z429" s="127"/>
    </row>
    <row r="430" customFormat="false" ht="15.75" hidden="false" customHeight="false" outlineLevel="0" collapsed="false">
      <c r="A430" s="127"/>
      <c r="B430" s="127"/>
      <c r="C430" s="127"/>
      <c r="D430" s="127"/>
      <c r="E430" s="127"/>
      <c r="F430" s="127"/>
      <c r="G430" s="127"/>
      <c r="H430" s="127"/>
      <c r="I430" s="127"/>
      <c r="J430" s="127"/>
      <c r="K430" s="127"/>
      <c r="L430" s="127"/>
      <c r="M430" s="127"/>
      <c r="N430" s="127"/>
      <c r="O430" s="127"/>
      <c r="P430" s="127"/>
      <c r="Q430" s="127"/>
      <c r="R430" s="127"/>
      <c r="S430" s="127"/>
      <c r="T430" s="127"/>
      <c r="U430" s="127"/>
      <c r="V430" s="127"/>
      <c r="W430" s="127"/>
      <c r="X430" s="127"/>
      <c r="Y430" s="127"/>
      <c r="Z430" s="127"/>
    </row>
    <row r="431" customFormat="false" ht="15.75" hidden="false" customHeight="false" outlineLevel="0" collapsed="false">
      <c r="A431" s="127"/>
      <c r="B431" s="127"/>
      <c r="C431" s="127"/>
      <c r="D431" s="127"/>
      <c r="E431" s="127"/>
      <c r="F431" s="127"/>
      <c r="G431" s="127"/>
      <c r="H431" s="127"/>
      <c r="I431" s="127"/>
      <c r="J431" s="127"/>
      <c r="K431" s="127"/>
      <c r="L431" s="127"/>
      <c r="M431" s="127"/>
      <c r="N431" s="127"/>
      <c r="O431" s="127"/>
      <c r="P431" s="127"/>
      <c r="Q431" s="127"/>
      <c r="R431" s="127"/>
      <c r="S431" s="127"/>
      <c r="T431" s="127"/>
      <c r="U431" s="127"/>
      <c r="V431" s="127"/>
      <c r="W431" s="127"/>
      <c r="X431" s="127"/>
      <c r="Y431" s="127"/>
      <c r="Z431" s="127"/>
    </row>
    <row r="432" customFormat="false" ht="15.75" hidden="false" customHeight="false" outlineLevel="0" collapsed="false">
      <c r="A432" s="127"/>
      <c r="B432" s="127"/>
      <c r="C432" s="127"/>
      <c r="D432" s="127"/>
      <c r="E432" s="127"/>
      <c r="F432" s="127"/>
      <c r="G432" s="127"/>
      <c r="H432" s="127"/>
      <c r="I432" s="127"/>
      <c r="J432" s="127"/>
      <c r="K432" s="127"/>
      <c r="L432" s="127"/>
      <c r="M432" s="127"/>
      <c r="N432" s="127"/>
      <c r="O432" s="127"/>
      <c r="P432" s="127"/>
      <c r="Q432" s="127"/>
      <c r="R432" s="127"/>
      <c r="S432" s="127"/>
      <c r="T432" s="127"/>
      <c r="U432" s="127"/>
      <c r="V432" s="127"/>
      <c r="W432" s="127"/>
      <c r="X432" s="127"/>
      <c r="Y432" s="127"/>
      <c r="Z432" s="127"/>
    </row>
    <row r="433" customFormat="false" ht="15.75" hidden="false" customHeight="false" outlineLevel="0" collapsed="false">
      <c r="A433" s="127"/>
      <c r="B433" s="127"/>
      <c r="C433" s="127"/>
      <c r="D433" s="127"/>
      <c r="E433" s="127"/>
      <c r="F433" s="127"/>
      <c r="G433" s="127"/>
      <c r="H433" s="127"/>
      <c r="I433" s="127"/>
      <c r="J433" s="127"/>
      <c r="K433" s="127"/>
      <c r="L433" s="127"/>
      <c r="M433" s="127"/>
      <c r="N433" s="127"/>
      <c r="O433" s="127"/>
      <c r="P433" s="127"/>
      <c r="Q433" s="127"/>
      <c r="R433" s="127"/>
      <c r="S433" s="127"/>
      <c r="T433" s="127"/>
      <c r="U433" s="127"/>
      <c r="V433" s="127"/>
      <c r="W433" s="127"/>
      <c r="X433" s="127"/>
      <c r="Y433" s="127"/>
      <c r="Z433" s="127"/>
    </row>
    <row r="434" customFormat="false" ht="15.75" hidden="false" customHeight="false" outlineLevel="0" collapsed="false">
      <c r="A434" s="127"/>
      <c r="B434" s="127"/>
      <c r="C434" s="127"/>
      <c r="D434" s="127"/>
      <c r="E434" s="127"/>
      <c r="F434" s="127"/>
      <c r="G434" s="127"/>
      <c r="H434" s="127"/>
      <c r="I434" s="127"/>
      <c r="J434" s="127"/>
      <c r="K434" s="127"/>
      <c r="L434" s="127"/>
      <c r="M434" s="127"/>
      <c r="N434" s="127"/>
      <c r="O434" s="127"/>
      <c r="P434" s="127"/>
      <c r="Q434" s="127"/>
      <c r="R434" s="127"/>
      <c r="S434" s="127"/>
      <c r="T434" s="127"/>
      <c r="U434" s="127"/>
      <c r="V434" s="127"/>
      <c r="W434" s="127"/>
      <c r="X434" s="127"/>
      <c r="Y434" s="127"/>
      <c r="Z434" s="127"/>
    </row>
    <row r="435" customFormat="false" ht="15.75" hidden="false" customHeight="false" outlineLevel="0" collapsed="false">
      <c r="A435" s="127"/>
      <c r="B435" s="127"/>
      <c r="C435" s="127"/>
      <c r="D435" s="127"/>
      <c r="E435" s="127"/>
      <c r="F435" s="127"/>
      <c r="G435" s="127"/>
      <c r="H435" s="127"/>
      <c r="I435" s="127"/>
      <c r="J435" s="127"/>
      <c r="K435" s="127"/>
      <c r="L435" s="127"/>
      <c r="M435" s="127"/>
      <c r="N435" s="127"/>
      <c r="O435" s="127"/>
      <c r="P435" s="127"/>
      <c r="Q435" s="127"/>
      <c r="R435" s="127"/>
      <c r="S435" s="127"/>
      <c r="T435" s="127"/>
      <c r="U435" s="127"/>
      <c r="V435" s="127"/>
      <c r="W435" s="127"/>
      <c r="X435" s="127"/>
      <c r="Y435" s="127"/>
      <c r="Z435" s="127"/>
    </row>
    <row r="436" customFormat="false" ht="15.75" hidden="false" customHeight="false" outlineLevel="0" collapsed="false">
      <c r="A436" s="127"/>
      <c r="B436" s="127"/>
      <c r="C436" s="127"/>
      <c r="D436" s="127"/>
      <c r="E436" s="127"/>
      <c r="F436" s="127"/>
      <c r="G436" s="127"/>
      <c r="H436" s="127"/>
      <c r="I436" s="127"/>
      <c r="J436" s="127"/>
      <c r="K436" s="127"/>
      <c r="L436" s="127"/>
      <c r="M436" s="127"/>
      <c r="N436" s="127"/>
      <c r="O436" s="127"/>
      <c r="P436" s="127"/>
      <c r="Q436" s="127"/>
      <c r="R436" s="127"/>
      <c r="S436" s="127"/>
      <c r="T436" s="127"/>
      <c r="U436" s="127"/>
      <c r="V436" s="127"/>
      <c r="W436" s="127"/>
      <c r="X436" s="127"/>
      <c r="Y436" s="127"/>
      <c r="Z436" s="127"/>
    </row>
    <row r="437" customFormat="false" ht="15.75" hidden="false" customHeight="false" outlineLevel="0" collapsed="false">
      <c r="A437" s="127"/>
      <c r="B437" s="127"/>
      <c r="C437" s="127"/>
      <c r="D437" s="127"/>
      <c r="E437" s="127"/>
      <c r="F437" s="127"/>
      <c r="G437" s="127"/>
      <c r="H437" s="127"/>
      <c r="I437" s="127"/>
      <c r="J437" s="127"/>
      <c r="K437" s="127"/>
      <c r="L437" s="127"/>
      <c r="M437" s="127"/>
      <c r="N437" s="127"/>
      <c r="O437" s="127"/>
      <c r="P437" s="127"/>
      <c r="Q437" s="127"/>
      <c r="R437" s="127"/>
      <c r="S437" s="127"/>
      <c r="T437" s="127"/>
      <c r="U437" s="127"/>
      <c r="V437" s="127"/>
      <c r="W437" s="127"/>
      <c r="X437" s="127"/>
      <c r="Y437" s="127"/>
      <c r="Z437" s="127"/>
    </row>
    <row r="438" customFormat="false" ht="15.75" hidden="false" customHeight="false" outlineLevel="0" collapsed="false">
      <c r="A438" s="127"/>
      <c r="B438" s="127"/>
      <c r="C438" s="127"/>
      <c r="D438" s="127"/>
      <c r="E438" s="127"/>
      <c r="F438" s="127"/>
      <c r="G438" s="127"/>
      <c r="H438" s="127"/>
      <c r="I438" s="127"/>
      <c r="J438" s="127"/>
      <c r="K438" s="127"/>
      <c r="L438" s="127"/>
      <c r="M438" s="127"/>
      <c r="N438" s="127"/>
      <c r="O438" s="127"/>
      <c r="P438" s="127"/>
      <c r="Q438" s="127"/>
      <c r="R438" s="127"/>
      <c r="S438" s="127"/>
      <c r="T438" s="127"/>
      <c r="U438" s="127"/>
      <c r="V438" s="127"/>
      <c r="W438" s="127"/>
      <c r="X438" s="127"/>
      <c r="Y438" s="127"/>
      <c r="Z438" s="127"/>
    </row>
    <row r="439" customFormat="false" ht="15.75" hidden="false" customHeight="false" outlineLevel="0" collapsed="false">
      <c r="A439" s="127"/>
      <c r="B439" s="127"/>
      <c r="C439" s="127"/>
      <c r="D439" s="127"/>
      <c r="E439" s="127"/>
      <c r="F439" s="127"/>
      <c r="G439" s="127"/>
      <c r="H439" s="127"/>
      <c r="I439" s="127"/>
      <c r="J439" s="127"/>
      <c r="K439" s="127"/>
      <c r="L439" s="127"/>
      <c r="M439" s="127"/>
      <c r="N439" s="127"/>
      <c r="O439" s="127"/>
      <c r="P439" s="127"/>
      <c r="Q439" s="127"/>
      <c r="R439" s="127"/>
      <c r="S439" s="127"/>
      <c r="T439" s="127"/>
      <c r="U439" s="127"/>
      <c r="V439" s="127"/>
      <c r="W439" s="127"/>
      <c r="X439" s="127"/>
      <c r="Y439" s="127"/>
      <c r="Z439" s="127"/>
    </row>
    <row r="440" customFormat="false" ht="15.75" hidden="false" customHeight="false" outlineLevel="0" collapsed="false">
      <c r="A440" s="127"/>
      <c r="B440" s="127"/>
      <c r="C440" s="127"/>
      <c r="D440" s="127"/>
      <c r="E440" s="127"/>
      <c r="F440" s="127"/>
      <c r="G440" s="127"/>
      <c r="H440" s="127"/>
      <c r="I440" s="127"/>
      <c r="J440" s="127"/>
      <c r="K440" s="127"/>
      <c r="L440" s="127"/>
      <c r="M440" s="127"/>
      <c r="N440" s="127"/>
      <c r="O440" s="127"/>
      <c r="P440" s="127"/>
      <c r="Q440" s="127"/>
      <c r="R440" s="127"/>
      <c r="S440" s="127"/>
      <c r="T440" s="127"/>
      <c r="U440" s="127"/>
      <c r="V440" s="127"/>
      <c r="W440" s="127"/>
      <c r="X440" s="127"/>
      <c r="Y440" s="127"/>
      <c r="Z440" s="127"/>
    </row>
    <row r="441" customFormat="false" ht="15.75" hidden="false" customHeight="false" outlineLevel="0" collapsed="false">
      <c r="A441" s="127"/>
      <c r="B441" s="127"/>
      <c r="C441" s="127"/>
      <c r="D441" s="127"/>
      <c r="E441" s="127"/>
      <c r="F441" s="127"/>
      <c r="G441" s="127"/>
      <c r="H441" s="127"/>
      <c r="I441" s="127"/>
      <c r="J441" s="127"/>
      <c r="K441" s="127"/>
      <c r="L441" s="127"/>
      <c r="M441" s="127"/>
      <c r="N441" s="127"/>
      <c r="O441" s="127"/>
      <c r="P441" s="127"/>
      <c r="Q441" s="127"/>
      <c r="R441" s="127"/>
      <c r="S441" s="127"/>
      <c r="T441" s="127"/>
      <c r="U441" s="127"/>
      <c r="V441" s="127"/>
      <c r="W441" s="127"/>
      <c r="X441" s="127"/>
      <c r="Y441" s="127"/>
      <c r="Z441" s="127"/>
    </row>
    <row r="442" customFormat="false" ht="15.75" hidden="false" customHeight="false" outlineLevel="0" collapsed="false">
      <c r="A442" s="127"/>
      <c r="B442" s="127"/>
      <c r="C442" s="127"/>
      <c r="D442" s="127"/>
      <c r="E442" s="127"/>
      <c r="F442" s="127"/>
      <c r="G442" s="127"/>
      <c r="H442" s="127"/>
      <c r="I442" s="127"/>
      <c r="J442" s="127"/>
      <c r="K442" s="127"/>
      <c r="L442" s="127"/>
      <c r="M442" s="127"/>
      <c r="N442" s="127"/>
      <c r="O442" s="127"/>
      <c r="P442" s="127"/>
      <c r="Q442" s="127"/>
      <c r="R442" s="127"/>
      <c r="S442" s="127"/>
      <c r="T442" s="127"/>
      <c r="U442" s="127"/>
      <c r="V442" s="127"/>
      <c r="W442" s="127"/>
      <c r="X442" s="127"/>
      <c r="Y442" s="127"/>
      <c r="Z442" s="127"/>
    </row>
    <row r="443" customFormat="false" ht="15.75" hidden="false" customHeight="false" outlineLevel="0" collapsed="false">
      <c r="A443" s="127"/>
      <c r="B443" s="127"/>
      <c r="C443" s="127"/>
      <c r="D443" s="127"/>
      <c r="E443" s="127"/>
      <c r="F443" s="127"/>
      <c r="G443" s="127"/>
      <c r="H443" s="127"/>
      <c r="I443" s="127"/>
      <c r="J443" s="127"/>
      <c r="K443" s="127"/>
      <c r="L443" s="127"/>
      <c r="M443" s="127"/>
      <c r="N443" s="127"/>
      <c r="O443" s="127"/>
      <c r="P443" s="127"/>
      <c r="Q443" s="127"/>
      <c r="R443" s="127"/>
      <c r="S443" s="127"/>
      <c r="T443" s="127"/>
      <c r="U443" s="127"/>
      <c r="V443" s="127"/>
      <c r="W443" s="127"/>
      <c r="X443" s="127"/>
      <c r="Y443" s="127"/>
      <c r="Z443" s="127"/>
    </row>
    <row r="444" customFormat="false" ht="15.75" hidden="false" customHeight="false" outlineLevel="0" collapsed="false">
      <c r="A444" s="127"/>
      <c r="B444" s="127"/>
      <c r="C444" s="127"/>
      <c r="D444" s="127"/>
      <c r="E444" s="127"/>
      <c r="F444" s="127"/>
      <c r="G444" s="127"/>
      <c r="H444" s="127"/>
      <c r="I444" s="127"/>
      <c r="J444" s="127"/>
      <c r="K444" s="127"/>
      <c r="L444" s="127"/>
      <c r="M444" s="127"/>
      <c r="N444" s="127"/>
      <c r="O444" s="127"/>
      <c r="P444" s="127"/>
      <c r="Q444" s="127"/>
      <c r="R444" s="127"/>
      <c r="S444" s="127"/>
      <c r="T444" s="127"/>
      <c r="U444" s="127"/>
      <c r="V444" s="127"/>
      <c r="W444" s="127"/>
      <c r="X444" s="127"/>
      <c r="Y444" s="127"/>
      <c r="Z444" s="127"/>
    </row>
    <row r="445" customFormat="false" ht="15.75" hidden="false" customHeight="false" outlineLevel="0" collapsed="false">
      <c r="A445" s="127"/>
      <c r="B445" s="127"/>
      <c r="C445" s="127"/>
      <c r="D445" s="127"/>
      <c r="E445" s="127"/>
      <c r="F445" s="127"/>
      <c r="G445" s="127"/>
      <c r="H445" s="127"/>
      <c r="I445" s="127"/>
      <c r="J445" s="127"/>
      <c r="K445" s="127"/>
      <c r="L445" s="127"/>
      <c r="M445" s="127"/>
      <c r="N445" s="127"/>
      <c r="O445" s="127"/>
      <c r="P445" s="127"/>
      <c r="Q445" s="127"/>
      <c r="R445" s="127"/>
      <c r="S445" s="127"/>
      <c r="T445" s="127"/>
      <c r="U445" s="127"/>
      <c r="V445" s="127"/>
      <c r="W445" s="127"/>
      <c r="X445" s="127"/>
      <c r="Y445" s="127"/>
      <c r="Z445" s="127"/>
    </row>
    <row r="446" customFormat="false" ht="15.75" hidden="false" customHeight="false" outlineLevel="0" collapsed="false">
      <c r="A446" s="127"/>
      <c r="B446" s="127"/>
      <c r="C446" s="127"/>
      <c r="D446" s="127"/>
      <c r="E446" s="127"/>
      <c r="F446" s="127"/>
      <c r="G446" s="127"/>
      <c r="H446" s="127"/>
      <c r="I446" s="127"/>
      <c r="J446" s="127"/>
      <c r="K446" s="127"/>
      <c r="L446" s="127"/>
      <c r="M446" s="127"/>
      <c r="N446" s="127"/>
      <c r="O446" s="127"/>
      <c r="P446" s="127"/>
      <c r="Q446" s="127"/>
      <c r="R446" s="127"/>
      <c r="S446" s="127"/>
      <c r="T446" s="127"/>
      <c r="U446" s="127"/>
      <c r="V446" s="127"/>
      <c r="W446" s="127"/>
      <c r="X446" s="127"/>
      <c r="Y446" s="127"/>
      <c r="Z446" s="127"/>
    </row>
    <row r="447" customFormat="false" ht="15.75" hidden="false" customHeight="false" outlineLevel="0" collapsed="false">
      <c r="A447" s="127"/>
      <c r="B447" s="127"/>
      <c r="C447" s="127"/>
      <c r="D447" s="127"/>
      <c r="E447" s="127"/>
      <c r="F447" s="127"/>
      <c r="G447" s="127"/>
      <c r="H447" s="127"/>
      <c r="I447" s="127"/>
      <c r="J447" s="127"/>
      <c r="K447" s="127"/>
      <c r="L447" s="127"/>
      <c r="M447" s="127"/>
      <c r="N447" s="127"/>
      <c r="O447" s="127"/>
      <c r="P447" s="127"/>
      <c r="Q447" s="127"/>
      <c r="R447" s="127"/>
      <c r="S447" s="127"/>
      <c r="T447" s="127"/>
      <c r="U447" s="127"/>
      <c r="V447" s="127"/>
      <c r="W447" s="127"/>
      <c r="X447" s="127"/>
      <c r="Y447" s="127"/>
      <c r="Z447" s="127"/>
    </row>
    <row r="448" customFormat="false" ht="15.75" hidden="false" customHeight="false" outlineLevel="0" collapsed="false">
      <c r="A448" s="127"/>
      <c r="B448" s="127"/>
      <c r="C448" s="127"/>
      <c r="D448" s="127"/>
      <c r="E448" s="127"/>
      <c r="F448" s="127"/>
      <c r="G448" s="127"/>
      <c r="H448" s="127"/>
      <c r="I448" s="127"/>
      <c r="J448" s="127"/>
      <c r="K448" s="127"/>
      <c r="L448" s="127"/>
      <c r="M448" s="127"/>
      <c r="N448" s="127"/>
      <c r="O448" s="127"/>
      <c r="P448" s="127"/>
      <c r="Q448" s="127"/>
      <c r="R448" s="127"/>
      <c r="S448" s="127"/>
      <c r="T448" s="127"/>
      <c r="U448" s="127"/>
      <c r="V448" s="127"/>
      <c r="W448" s="127"/>
      <c r="X448" s="127"/>
      <c r="Y448" s="127"/>
      <c r="Z448" s="127"/>
    </row>
    <row r="449" customFormat="false" ht="15.75" hidden="false" customHeight="false" outlineLevel="0" collapsed="false">
      <c r="A449" s="127"/>
      <c r="B449" s="127"/>
      <c r="C449" s="127"/>
      <c r="D449" s="127"/>
      <c r="E449" s="127"/>
      <c r="F449" s="127"/>
      <c r="G449" s="127"/>
      <c r="H449" s="127"/>
      <c r="I449" s="127"/>
      <c r="J449" s="127"/>
      <c r="K449" s="127"/>
      <c r="L449" s="127"/>
      <c r="M449" s="127"/>
      <c r="N449" s="127"/>
      <c r="O449" s="127"/>
      <c r="P449" s="127"/>
      <c r="Q449" s="127"/>
      <c r="R449" s="127"/>
      <c r="S449" s="127"/>
      <c r="T449" s="127"/>
      <c r="U449" s="127"/>
      <c r="V449" s="127"/>
      <c r="W449" s="127"/>
      <c r="X449" s="127"/>
      <c r="Y449" s="127"/>
      <c r="Z449" s="127"/>
    </row>
    <row r="450" customFormat="false" ht="15.75" hidden="false" customHeight="false" outlineLevel="0" collapsed="false">
      <c r="A450" s="127"/>
      <c r="B450" s="127"/>
      <c r="C450" s="127"/>
      <c r="D450" s="127"/>
      <c r="E450" s="127"/>
      <c r="F450" s="127"/>
      <c r="G450" s="127"/>
      <c r="H450" s="127"/>
      <c r="I450" s="127"/>
      <c r="J450" s="127"/>
      <c r="K450" s="127"/>
      <c r="L450" s="127"/>
      <c r="M450" s="127"/>
      <c r="N450" s="127"/>
      <c r="O450" s="127"/>
      <c r="P450" s="127"/>
      <c r="Q450" s="127"/>
      <c r="R450" s="127"/>
      <c r="S450" s="127"/>
      <c r="T450" s="127"/>
      <c r="U450" s="127"/>
      <c r="V450" s="127"/>
      <c r="W450" s="127"/>
      <c r="X450" s="127"/>
      <c r="Y450" s="127"/>
      <c r="Z450" s="127"/>
    </row>
    <row r="451" customFormat="false" ht="15.75" hidden="false" customHeight="false" outlineLevel="0" collapsed="false">
      <c r="A451" s="127"/>
      <c r="B451" s="127"/>
      <c r="C451" s="127"/>
      <c r="D451" s="127"/>
      <c r="E451" s="127"/>
      <c r="F451" s="127"/>
      <c r="G451" s="127"/>
      <c r="H451" s="127"/>
      <c r="I451" s="127"/>
      <c r="J451" s="127"/>
      <c r="K451" s="127"/>
      <c r="L451" s="127"/>
      <c r="M451" s="127"/>
      <c r="N451" s="127"/>
      <c r="O451" s="127"/>
      <c r="P451" s="127"/>
      <c r="Q451" s="127"/>
      <c r="R451" s="127"/>
      <c r="S451" s="127"/>
      <c r="T451" s="127"/>
      <c r="U451" s="127"/>
      <c r="V451" s="127"/>
      <c r="W451" s="127"/>
      <c r="X451" s="127"/>
      <c r="Y451" s="127"/>
      <c r="Z451" s="127"/>
    </row>
    <row r="452" customFormat="false" ht="15.75" hidden="false" customHeight="false" outlineLevel="0" collapsed="false">
      <c r="A452" s="127"/>
      <c r="B452" s="127"/>
      <c r="C452" s="127"/>
      <c r="D452" s="127"/>
      <c r="E452" s="127"/>
      <c r="F452" s="127"/>
      <c r="G452" s="127"/>
      <c r="H452" s="127"/>
      <c r="I452" s="127"/>
      <c r="J452" s="127"/>
      <c r="K452" s="127"/>
      <c r="L452" s="127"/>
      <c r="M452" s="127"/>
      <c r="N452" s="127"/>
      <c r="O452" s="127"/>
      <c r="P452" s="127"/>
      <c r="Q452" s="127"/>
      <c r="R452" s="127"/>
      <c r="S452" s="127"/>
      <c r="T452" s="127"/>
      <c r="U452" s="127"/>
      <c r="V452" s="127"/>
      <c r="W452" s="127"/>
      <c r="X452" s="127"/>
      <c r="Y452" s="127"/>
      <c r="Z452" s="127"/>
    </row>
    <row r="453" customFormat="false" ht="15.75" hidden="false" customHeight="false" outlineLevel="0" collapsed="false">
      <c r="A453" s="127"/>
      <c r="B453" s="127"/>
      <c r="C453" s="127"/>
      <c r="D453" s="127"/>
      <c r="E453" s="127"/>
      <c r="F453" s="127"/>
      <c r="G453" s="127"/>
      <c r="H453" s="127"/>
      <c r="I453" s="127"/>
      <c r="J453" s="127"/>
      <c r="K453" s="127"/>
      <c r="L453" s="127"/>
      <c r="M453" s="127"/>
      <c r="N453" s="127"/>
      <c r="O453" s="127"/>
      <c r="P453" s="127"/>
      <c r="Q453" s="127"/>
      <c r="R453" s="127"/>
      <c r="S453" s="127"/>
      <c r="T453" s="127"/>
      <c r="U453" s="127"/>
      <c r="V453" s="127"/>
      <c r="W453" s="127"/>
      <c r="X453" s="127"/>
      <c r="Y453" s="127"/>
      <c r="Z453" s="127"/>
    </row>
    <row r="454" customFormat="false" ht="15.75" hidden="false" customHeight="false" outlineLevel="0" collapsed="false">
      <c r="A454" s="127"/>
      <c r="B454" s="127"/>
      <c r="C454" s="127"/>
      <c r="D454" s="127"/>
      <c r="E454" s="127"/>
      <c r="F454" s="127"/>
      <c r="G454" s="127"/>
      <c r="H454" s="127"/>
      <c r="I454" s="127"/>
      <c r="J454" s="127"/>
      <c r="K454" s="127"/>
      <c r="L454" s="127"/>
      <c r="M454" s="127"/>
      <c r="N454" s="127"/>
      <c r="O454" s="127"/>
      <c r="P454" s="127"/>
      <c r="Q454" s="127"/>
      <c r="R454" s="127"/>
      <c r="S454" s="127"/>
      <c r="T454" s="127"/>
      <c r="U454" s="127"/>
      <c r="V454" s="127"/>
      <c r="W454" s="127"/>
      <c r="X454" s="127"/>
      <c r="Y454" s="127"/>
      <c r="Z454" s="127"/>
    </row>
    <row r="455" customFormat="false" ht="15.75" hidden="false" customHeight="false" outlineLevel="0" collapsed="false">
      <c r="A455" s="127"/>
      <c r="B455" s="127"/>
      <c r="C455" s="127"/>
      <c r="D455" s="127"/>
      <c r="E455" s="127"/>
      <c r="F455" s="127"/>
      <c r="G455" s="127"/>
      <c r="H455" s="127"/>
      <c r="I455" s="127"/>
      <c r="J455" s="127"/>
      <c r="K455" s="127"/>
      <c r="L455" s="127"/>
      <c r="M455" s="127"/>
      <c r="N455" s="127"/>
      <c r="O455" s="127"/>
      <c r="P455" s="127"/>
      <c r="Q455" s="127"/>
      <c r="R455" s="127"/>
      <c r="S455" s="127"/>
      <c r="T455" s="127"/>
      <c r="U455" s="127"/>
      <c r="V455" s="127"/>
      <c r="W455" s="127"/>
      <c r="X455" s="127"/>
      <c r="Y455" s="127"/>
      <c r="Z455" s="127"/>
    </row>
    <row r="456" customFormat="false" ht="15.75" hidden="false" customHeight="false" outlineLevel="0" collapsed="false">
      <c r="A456" s="127"/>
      <c r="B456" s="127"/>
      <c r="C456" s="127"/>
      <c r="D456" s="127"/>
      <c r="E456" s="127"/>
      <c r="F456" s="127"/>
      <c r="G456" s="127"/>
      <c r="H456" s="127"/>
      <c r="I456" s="127"/>
      <c r="J456" s="127"/>
      <c r="K456" s="127"/>
      <c r="L456" s="127"/>
      <c r="M456" s="127"/>
      <c r="N456" s="127"/>
      <c r="O456" s="127"/>
      <c r="P456" s="127"/>
      <c r="Q456" s="127"/>
      <c r="R456" s="127"/>
      <c r="S456" s="127"/>
      <c r="T456" s="127"/>
      <c r="U456" s="127"/>
      <c r="V456" s="127"/>
      <c r="W456" s="127"/>
      <c r="X456" s="127"/>
      <c r="Y456" s="127"/>
      <c r="Z456" s="127"/>
    </row>
    <row r="457" customFormat="false" ht="15.75" hidden="false" customHeight="false" outlineLevel="0" collapsed="false">
      <c r="A457" s="127"/>
      <c r="B457" s="127"/>
      <c r="C457" s="127"/>
      <c r="D457" s="127"/>
      <c r="E457" s="127"/>
      <c r="F457" s="127"/>
      <c r="G457" s="127"/>
      <c r="H457" s="127"/>
      <c r="I457" s="127"/>
      <c r="J457" s="127"/>
      <c r="K457" s="127"/>
      <c r="L457" s="127"/>
      <c r="M457" s="127"/>
      <c r="N457" s="127"/>
      <c r="O457" s="127"/>
      <c r="P457" s="127"/>
      <c r="Q457" s="127"/>
      <c r="R457" s="127"/>
      <c r="S457" s="127"/>
      <c r="T457" s="127"/>
      <c r="U457" s="127"/>
      <c r="V457" s="127"/>
      <c r="W457" s="127"/>
      <c r="X457" s="127"/>
      <c r="Y457" s="127"/>
      <c r="Z457" s="127"/>
    </row>
    <row r="458" customFormat="false" ht="15.75" hidden="false" customHeight="false" outlineLevel="0" collapsed="false">
      <c r="A458" s="127"/>
      <c r="B458" s="127"/>
      <c r="C458" s="127"/>
      <c r="D458" s="127"/>
      <c r="E458" s="127"/>
      <c r="F458" s="127"/>
      <c r="G458" s="127"/>
      <c r="H458" s="127"/>
      <c r="I458" s="127"/>
      <c r="J458" s="127"/>
      <c r="K458" s="127"/>
      <c r="L458" s="127"/>
      <c r="M458" s="127"/>
      <c r="N458" s="127"/>
      <c r="O458" s="127"/>
      <c r="P458" s="127"/>
      <c r="Q458" s="127"/>
      <c r="R458" s="127"/>
      <c r="S458" s="127"/>
      <c r="T458" s="127"/>
      <c r="U458" s="127"/>
      <c r="V458" s="127"/>
      <c r="W458" s="127"/>
      <c r="X458" s="127"/>
      <c r="Y458" s="127"/>
      <c r="Z458" s="127"/>
    </row>
    <row r="459" customFormat="false" ht="15.75" hidden="false" customHeight="false" outlineLevel="0" collapsed="false">
      <c r="A459" s="127"/>
      <c r="B459" s="127"/>
      <c r="C459" s="127"/>
      <c r="D459" s="127"/>
      <c r="E459" s="127"/>
      <c r="F459" s="127"/>
      <c r="G459" s="127"/>
      <c r="H459" s="127"/>
      <c r="I459" s="127"/>
      <c r="J459" s="127"/>
      <c r="K459" s="127"/>
      <c r="L459" s="127"/>
      <c r="M459" s="127"/>
      <c r="N459" s="127"/>
      <c r="O459" s="127"/>
      <c r="P459" s="127"/>
      <c r="Q459" s="127"/>
      <c r="R459" s="127"/>
      <c r="S459" s="127"/>
      <c r="T459" s="127"/>
      <c r="U459" s="127"/>
      <c r="V459" s="127"/>
      <c r="W459" s="127"/>
      <c r="X459" s="127"/>
      <c r="Y459" s="127"/>
      <c r="Z459" s="127"/>
    </row>
    <row r="460" customFormat="false" ht="15.75" hidden="false" customHeight="false" outlineLevel="0" collapsed="false">
      <c r="A460" s="127"/>
      <c r="B460" s="127"/>
      <c r="C460" s="127"/>
      <c r="D460" s="127"/>
      <c r="E460" s="127"/>
      <c r="F460" s="127"/>
      <c r="G460" s="127"/>
      <c r="H460" s="127"/>
      <c r="I460" s="127"/>
      <c r="J460" s="127"/>
      <c r="K460" s="127"/>
      <c r="L460" s="127"/>
      <c r="M460" s="127"/>
      <c r="N460" s="127"/>
      <c r="O460" s="127"/>
      <c r="P460" s="127"/>
      <c r="Q460" s="127"/>
      <c r="R460" s="127"/>
      <c r="S460" s="127"/>
      <c r="T460" s="127"/>
      <c r="U460" s="127"/>
      <c r="V460" s="127"/>
      <c r="W460" s="127"/>
      <c r="X460" s="127"/>
      <c r="Y460" s="127"/>
      <c r="Z460" s="127"/>
    </row>
    <row r="461" customFormat="false" ht="15.75" hidden="false" customHeight="false" outlineLevel="0" collapsed="false">
      <c r="A461" s="127"/>
      <c r="B461" s="127"/>
      <c r="C461" s="127"/>
      <c r="D461" s="127"/>
      <c r="E461" s="127"/>
      <c r="F461" s="127"/>
      <c r="G461" s="127"/>
      <c r="H461" s="127"/>
      <c r="I461" s="127"/>
      <c r="J461" s="127"/>
      <c r="K461" s="127"/>
      <c r="L461" s="127"/>
      <c r="M461" s="127"/>
      <c r="N461" s="127"/>
      <c r="O461" s="127"/>
      <c r="P461" s="127"/>
      <c r="Q461" s="127"/>
      <c r="R461" s="127"/>
      <c r="S461" s="127"/>
      <c r="T461" s="127"/>
      <c r="U461" s="127"/>
      <c r="V461" s="127"/>
      <c r="W461" s="127"/>
      <c r="X461" s="127"/>
      <c r="Y461" s="127"/>
      <c r="Z461" s="127"/>
    </row>
    <row r="462" customFormat="false" ht="15.75" hidden="false" customHeight="false" outlineLevel="0" collapsed="false">
      <c r="A462" s="127"/>
      <c r="B462" s="127"/>
      <c r="C462" s="127"/>
      <c r="D462" s="127"/>
      <c r="E462" s="127"/>
      <c r="F462" s="127"/>
      <c r="G462" s="127"/>
      <c r="H462" s="127"/>
      <c r="I462" s="127"/>
      <c r="J462" s="127"/>
      <c r="K462" s="127"/>
      <c r="L462" s="127"/>
      <c r="M462" s="127"/>
      <c r="N462" s="127"/>
      <c r="O462" s="127"/>
      <c r="P462" s="127"/>
      <c r="Q462" s="127"/>
      <c r="R462" s="127"/>
      <c r="S462" s="127"/>
      <c r="T462" s="127"/>
      <c r="U462" s="127"/>
      <c r="V462" s="127"/>
      <c r="W462" s="127"/>
      <c r="X462" s="127"/>
      <c r="Y462" s="127"/>
      <c r="Z462" s="127"/>
    </row>
    <row r="463" customFormat="false" ht="15.75" hidden="false" customHeight="false" outlineLevel="0" collapsed="false">
      <c r="A463" s="127"/>
      <c r="B463" s="127"/>
      <c r="C463" s="127"/>
      <c r="D463" s="127"/>
      <c r="E463" s="127"/>
      <c r="F463" s="127"/>
      <c r="G463" s="127"/>
      <c r="H463" s="127"/>
      <c r="I463" s="127"/>
      <c r="J463" s="127"/>
      <c r="K463" s="127"/>
      <c r="L463" s="127"/>
      <c r="M463" s="127"/>
      <c r="N463" s="127"/>
      <c r="O463" s="127"/>
      <c r="P463" s="127"/>
      <c r="Q463" s="127"/>
      <c r="R463" s="127"/>
      <c r="S463" s="127"/>
      <c r="T463" s="127"/>
      <c r="U463" s="127"/>
      <c r="V463" s="127"/>
      <c r="W463" s="127"/>
      <c r="X463" s="127"/>
      <c r="Y463" s="127"/>
      <c r="Z463" s="127"/>
    </row>
    <row r="464" customFormat="false" ht="15.75" hidden="false" customHeight="false" outlineLevel="0" collapsed="false">
      <c r="A464" s="127"/>
      <c r="B464" s="127"/>
      <c r="C464" s="127"/>
      <c r="D464" s="127"/>
      <c r="E464" s="127"/>
      <c r="F464" s="127"/>
      <c r="G464" s="127"/>
      <c r="H464" s="127"/>
      <c r="I464" s="127"/>
      <c r="J464" s="127"/>
      <c r="K464" s="127"/>
      <c r="L464" s="127"/>
      <c r="M464" s="127"/>
      <c r="N464" s="127"/>
      <c r="O464" s="127"/>
      <c r="P464" s="127"/>
      <c r="Q464" s="127"/>
      <c r="R464" s="127"/>
      <c r="S464" s="127"/>
      <c r="T464" s="127"/>
      <c r="U464" s="127"/>
      <c r="V464" s="127"/>
      <c r="W464" s="127"/>
      <c r="X464" s="127"/>
      <c r="Y464" s="127"/>
      <c r="Z464" s="127"/>
    </row>
    <row r="465" customFormat="false" ht="15.75" hidden="false" customHeight="false" outlineLevel="0" collapsed="false">
      <c r="A465" s="127"/>
      <c r="B465" s="127"/>
      <c r="C465" s="127"/>
      <c r="D465" s="127"/>
      <c r="E465" s="127"/>
      <c r="F465" s="127"/>
      <c r="G465" s="127"/>
      <c r="H465" s="127"/>
      <c r="I465" s="127"/>
      <c r="J465" s="127"/>
      <c r="K465" s="127"/>
      <c r="L465" s="127"/>
      <c r="M465" s="127"/>
      <c r="N465" s="127"/>
      <c r="O465" s="127"/>
      <c r="P465" s="127"/>
      <c r="Q465" s="127"/>
      <c r="R465" s="127"/>
      <c r="S465" s="127"/>
      <c r="T465" s="127"/>
      <c r="U465" s="127"/>
      <c r="V465" s="127"/>
      <c r="W465" s="127"/>
      <c r="X465" s="127"/>
      <c r="Y465" s="127"/>
      <c r="Z465" s="127"/>
    </row>
    <row r="466" customFormat="false" ht="15.75" hidden="false" customHeight="false" outlineLevel="0" collapsed="false">
      <c r="A466" s="127"/>
      <c r="B466" s="127"/>
      <c r="C466" s="127"/>
      <c r="D466" s="127"/>
      <c r="E466" s="127"/>
      <c r="F466" s="127"/>
      <c r="G466" s="127"/>
      <c r="H466" s="127"/>
      <c r="I466" s="127"/>
      <c r="J466" s="127"/>
      <c r="K466" s="127"/>
      <c r="L466" s="127"/>
      <c r="M466" s="127"/>
      <c r="N466" s="127"/>
      <c r="O466" s="127"/>
      <c r="P466" s="127"/>
      <c r="Q466" s="127"/>
      <c r="R466" s="127"/>
      <c r="S466" s="127"/>
      <c r="T466" s="127"/>
      <c r="U466" s="127"/>
      <c r="V466" s="127"/>
      <c r="W466" s="127"/>
      <c r="X466" s="127"/>
      <c r="Y466" s="127"/>
      <c r="Z466" s="127"/>
    </row>
    <row r="467" customFormat="false" ht="15.75" hidden="false" customHeight="false" outlineLevel="0" collapsed="false">
      <c r="A467" s="127"/>
      <c r="B467" s="127"/>
      <c r="C467" s="127"/>
      <c r="D467" s="127"/>
      <c r="E467" s="127"/>
      <c r="F467" s="127"/>
      <c r="G467" s="127"/>
      <c r="H467" s="127"/>
      <c r="I467" s="127"/>
      <c r="J467" s="127"/>
      <c r="K467" s="127"/>
      <c r="L467" s="127"/>
      <c r="M467" s="127"/>
      <c r="N467" s="127"/>
      <c r="O467" s="127"/>
      <c r="P467" s="127"/>
      <c r="Q467" s="127"/>
      <c r="R467" s="127"/>
      <c r="S467" s="127"/>
      <c r="T467" s="127"/>
      <c r="U467" s="127"/>
      <c r="V467" s="127"/>
      <c r="W467" s="127"/>
      <c r="X467" s="127"/>
      <c r="Y467" s="127"/>
      <c r="Z467" s="127"/>
    </row>
    <row r="468" customFormat="false" ht="15.75" hidden="false" customHeight="false" outlineLevel="0" collapsed="false">
      <c r="A468" s="127"/>
      <c r="B468" s="127"/>
      <c r="C468" s="127"/>
      <c r="D468" s="127"/>
      <c r="E468" s="127"/>
      <c r="F468" s="127"/>
      <c r="G468" s="127"/>
      <c r="H468" s="127"/>
      <c r="I468" s="127"/>
      <c r="J468" s="127"/>
      <c r="K468" s="127"/>
      <c r="L468" s="127"/>
      <c r="M468" s="127"/>
      <c r="N468" s="127"/>
      <c r="O468" s="127"/>
      <c r="P468" s="127"/>
      <c r="Q468" s="127"/>
      <c r="R468" s="127"/>
      <c r="S468" s="127"/>
      <c r="T468" s="127"/>
      <c r="U468" s="127"/>
      <c r="V468" s="127"/>
      <c r="W468" s="127"/>
      <c r="X468" s="127"/>
      <c r="Y468" s="127"/>
      <c r="Z468" s="127"/>
    </row>
    <row r="469" customFormat="false" ht="15.75" hidden="false" customHeight="false" outlineLevel="0" collapsed="false">
      <c r="A469" s="127"/>
      <c r="B469" s="127"/>
      <c r="C469" s="127"/>
      <c r="D469" s="127"/>
      <c r="E469" s="127"/>
      <c r="F469" s="127"/>
      <c r="G469" s="127"/>
      <c r="H469" s="127"/>
      <c r="I469" s="127"/>
      <c r="J469" s="127"/>
      <c r="K469" s="127"/>
      <c r="L469" s="127"/>
      <c r="M469" s="127"/>
      <c r="N469" s="127"/>
      <c r="O469" s="127"/>
      <c r="P469" s="127"/>
      <c r="Q469" s="127"/>
      <c r="R469" s="127"/>
      <c r="S469" s="127"/>
      <c r="T469" s="127"/>
      <c r="U469" s="127"/>
      <c r="V469" s="127"/>
      <c r="W469" s="127"/>
      <c r="X469" s="127"/>
      <c r="Y469" s="127"/>
      <c r="Z469" s="127"/>
    </row>
    <row r="470" customFormat="false" ht="15.75" hidden="false" customHeight="false" outlineLevel="0" collapsed="false">
      <c r="A470" s="127"/>
      <c r="B470" s="127"/>
      <c r="C470" s="127"/>
      <c r="D470" s="127"/>
      <c r="E470" s="127"/>
      <c r="F470" s="127"/>
      <c r="G470" s="127"/>
      <c r="H470" s="127"/>
      <c r="I470" s="127"/>
      <c r="J470" s="127"/>
      <c r="K470" s="127"/>
      <c r="L470" s="127"/>
      <c r="M470" s="127"/>
      <c r="N470" s="127"/>
      <c r="O470" s="127"/>
      <c r="P470" s="127"/>
      <c r="Q470" s="127"/>
      <c r="R470" s="127"/>
      <c r="S470" s="127"/>
      <c r="T470" s="127"/>
      <c r="U470" s="127"/>
      <c r="V470" s="127"/>
      <c r="W470" s="127"/>
      <c r="X470" s="127"/>
      <c r="Y470" s="127"/>
      <c r="Z470" s="127"/>
    </row>
    <row r="471" customFormat="false" ht="15.75" hidden="false" customHeight="false" outlineLevel="0" collapsed="false">
      <c r="A471" s="127"/>
      <c r="B471" s="127"/>
      <c r="C471" s="127"/>
      <c r="D471" s="127"/>
      <c r="E471" s="127"/>
      <c r="F471" s="127"/>
      <c r="G471" s="127"/>
      <c r="H471" s="127"/>
      <c r="I471" s="127"/>
      <c r="J471" s="127"/>
      <c r="K471" s="127"/>
      <c r="L471" s="127"/>
      <c r="M471" s="127"/>
      <c r="N471" s="127"/>
      <c r="O471" s="127"/>
      <c r="P471" s="127"/>
      <c r="Q471" s="127"/>
      <c r="R471" s="127"/>
      <c r="S471" s="127"/>
      <c r="T471" s="127"/>
      <c r="U471" s="127"/>
      <c r="V471" s="127"/>
      <c r="W471" s="127"/>
      <c r="X471" s="127"/>
      <c r="Y471" s="127"/>
      <c r="Z471" s="127"/>
    </row>
    <row r="472" customFormat="false" ht="15.75" hidden="false" customHeight="false" outlineLevel="0" collapsed="false">
      <c r="A472" s="127"/>
      <c r="B472" s="127"/>
      <c r="C472" s="127"/>
      <c r="D472" s="127"/>
      <c r="E472" s="127"/>
      <c r="F472" s="127"/>
      <c r="G472" s="127"/>
      <c r="H472" s="127"/>
      <c r="I472" s="127"/>
      <c r="J472" s="127"/>
      <c r="K472" s="127"/>
      <c r="L472" s="127"/>
      <c r="M472" s="127"/>
      <c r="N472" s="127"/>
      <c r="O472" s="127"/>
      <c r="P472" s="127"/>
      <c r="Q472" s="127"/>
      <c r="R472" s="127"/>
      <c r="S472" s="127"/>
      <c r="T472" s="127"/>
      <c r="U472" s="127"/>
      <c r="V472" s="127"/>
      <c r="W472" s="127"/>
      <c r="X472" s="127"/>
      <c r="Y472" s="127"/>
      <c r="Z472" s="127"/>
    </row>
    <row r="473" customFormat="false" ht="15.75" hidden="false" customHeight="false" outlineLevel="0" collapsed="false">
      <c r="A473" s="127"/>
      <c r="B473" s="127"/>
      <c r="C473" s="127"/>
      <c r="D473" s="127"/>
      <c r="E473" s="127"/>
      <c r="F473" s="127"/>
      <c r="G473" s="127"/>
      <c r="H473" s="127"/>
      <c r="I473" s="127"/>
      <c r="J473" s="127"/>
      <c r="K473" s="127"/>
      <c r="L473" s="127"/>
      <c r="M473" s="127"/>
      <c r="N473" s="127"/>
      <c r="O473" s="127"/>
      <c r="P473" s="127"/>
      <c r="Q473" s="127"/>
      <c r="R473" s="127"/>
      <c r="S473" s="127"/>
      <c r="T473" s="127"/>
      <c r="U473" s="127"/>
      <c r="V473" s="127"/>
      <c r="W473" s="127"/>
      <c r="X473" s="127"/>
      <c r="Y473" s="127"/>
      <c r="Z473" s="127"/>
    </row>
    <row r="474" customFormat="false" ht="15.75" hidden="false" customHeight="false" outlineLevel="0" collapsed="false">
      <c r="A474" s="127"/>
      <c r="B474" s="127"/>
      <c r="C474" s="127"/>
      <c r="D474" s="127"/>
      <c r="E474" s="127"/>
      <c r="F474" s="127"/>
      <c r="G474" s="127"/>
      <c r="H474" s="127"/>
      <c r="I474" s="127"/>
      <c r="J474" s="127"/>
      <c r="K474" s="127"/>
      <c r="L474" s="127"/>
      <c r="M474" s="127"/>
      <c r="N474" s="127"/>
      <c r="O474" s="127"/>
      <c r="P474" s="127"/>
      <c r="Q474" s="127"/>
      <c r="R474" s="127"/>
      <c r="S474" s="127"/>
      <c r="T474" s="127"/>
      <c r="U474" s="127"/>
      <c r="V474" s="127"/>
      <c r="W474" s="127"/>
      <c r="X474" s="127"/>
      <c r="Y474" s="127"/>
      <c r="Z474" s="127"/>
    </row>
    <row r="475" customFormat="false" ht="15.75" hidden="false" customHeight="false" outlineLevel="0" collapsed="false">
      <c r="A475" s="127"/>
      <c r="B475" s="127"/>
      <c r="C475" s="127"/>
      <c r="D475" s="127"/>
      <c r="E475" s="127"/>
      <c r="F475" s="127"/>
      <c r="G475" s="127"/>
      <c r="H475" s="127"/>
      <c r="I475" s="127"/>
      <c r="J475" s="127"/>
      <c r="K475" s="127"/>
      <c r="L475" s="127"/>
      <c r="M475" s="127"/>
      <c r="N475" s="127"/>
      <c r="O475" s="127"/>
      <c r="P475" s="127"/>
      <c r="Q475" s="127"/>
      <c r="R475" s="127"/>
      <c r="S475" s="127"/>
      <c r="T475" s="127"/>
      <c r="U475" s="127"/>
      <c r="V475" s="127"/>
      <c r="W475" s="127"/>
      <c r="X475" s="127"/>
      <c r="Y475" s="127"/>
      <c r="Z475" s="127"/>
    </row>
    <row r="476" customFormat="false" ht="15.75" hidden="false" customHeight="false" outlineLevel="0" collapsed="false">
      <c r="A476" s="127"/>
      <c r="B476" s="127"/>
      <c r="C476" s="127"/>
      <c r="D476" s="127"/>
      <c r="E476" s="127"/>
      <c r="F476" s="127"/>
      <c r="G476" s="127"/>
      <c r="H476" s="127"/>
      <c r="I476" s="127"/>
      <c r="J476" s="127"/>
      <c r="K476" s="127"/>
      <c r="L476" s="127"/>
      <c r="M476" s="127"/>
      <c r="N476" s="127"/>
      <c r="O476" s="127"/>
      <c r="P476" s="127"/>
      <c r="Q476" s="127"/>
      <c r="R476" s="127"/>
      <c r="S476" s="127"/>
      <c r="T476" s="127"/>
      <c r="U476" s="127"/>
      <c r="V476" s="127"/>
      <c r="W476" s="127"/>
      <c r="X476" s="127"/>
      <c r="Y476" s="127"/>
      <c r="Z476" s="127"/>
    </row>
    <row r="477" customFormat="false" ht="15.75" hidden="false" customHeight="false" outlineLevel="0" collapsed="false">
      <c r="A477" s="127"/>
      <c r="B477" s="127"/>
      <c r="C477" s="127"/>
      <c r="D477" s="127"/>
      <c r="E477" s="127"/>
      <c r="F477" s="127"/>
      <c r="G477" s="127"/>
      <c r="H477" s="127"/>
      <c r="I477" s="127"/>
      <c r="J477" s="127"/>
      <c r="K477" s="127"/>
      <c r="L477" s="127"/>
      <c r="M477" s="127"/>
      <c r="N477" s="127"/>
      <c r="O477" s="127"/>
      <c r="P477" s="127"/>
      <c r="Q477" s="127"/>
      <c r="R477" s="127"/>
      <c r="S477" s="127"/>
      <c r="T477" s="127"/>
      <c r="U477" s="127"/>
      <c r="V477" s="127"/>
      <c r="W477" s="127"/>
      <c r="X477" s="127"/>
      <c r="Y477" s="127"/>
      <c r="Z477" s="127"/>
    </row>
    <row r="478" customFormat="false" ht="15.75" hidden="false" customHeight="false" outlineLevel="0" collapsed="false">
      <c r="A478" s="127"/>
      <c r="B478" s="127"/>
      <c r="C478" s="127"/>
      <c r="D478" s="127"/>
      <c r="E478" s="127"/>
      <c r="F478" s="127"/>
      <c r="G478" s="127"/>
      <c r="H478" s="127"/>
      <c r="I478" s="127"/>
      <c r="J478" s="127"/>
      <c r="K478" s="127"/>
      <c r="L478" s="127"/>
      <c r="M478" s="127"/>
      <c r="N478" s="127"/>
      <c r="O478" s="127"/>
      <c r="P478" s="127"/>
      <c r="Q478" s="127"/>
      <c r="R478" s="127"/>
      <c r="S478" s="127"/>
      <c r="T478" s="127"/>
      <c r="U478" s="127"/>
      <c r="V478" s="127"/>
      <c r="W478" s="127"/>
      <c r="X478" s="127"/>
      <c r="Y478" s="127"/>
      <c r="Z478" s="127"/>
    </row>
    <row r="479" customFormat="false" ht="15.75" hidden="false" customHeight="false" outlineLevel="0" collapsed="false">
      <c r="A479" s="127"/>
      <c r="B479" s="127"/>
      <c r="C479" s="127"/>
      <c r="D479" s="127"/>
      <c r="E479" s="127"/>
      <c r="F479" s="127"/>
      <c r="G479" s="127"/>
      <c r="H479" s="127"/>
      <c r="I479" s="127"/>
      <c r="J479" s="127"/>
      <c r="K479" s="127"/>
      <c r="L479" s="127"/>
      <c r="M479" s="127"/>
      <c r="N479" s="127"/>
      <c r="O479" s="127"/>
      <c r="P479" s="127"/>
      <c r="Q479" s="127"/>
      <c r="R479" s="127"/>
      <c r="S479" s="127"/>
      <c r="T479" s="127"/>
      <c r="U479" s="127"/>
      <c r="V479" s="127"/>
      <c r="W479" s="127"/>
      <c r="X479" s="127"/>
      <c r="Y479" s="127"/>
      <c r="Z479" s="127"/>
    </row>
    <row r="480" customFormat="false" ht="15.75" hidden="false" customHeight="false" outlineLevel="0" collapsed="false">
      <c r="A480" s="127"/>
      <c r="B480" s="127"/>
      <c r="C480" s="127"/>
      <c r="D480" s="127"/>
      <c r="E480" s="127"/>
      <c r="F480" s="127"/>
      <c r="G480" s="127"/>
      <c r="H480" s="127"/>
      <c r="I480" s="127"/>
      <c r="J480" s="127"/>
      <c r="K480" s="127"/>
      <c r="L480" s="127"/>
      <c r="M480" s="127"/>
      <c r="N480" s="127"/>
      <c r="O480" s="127"/>
      <c r="P480" s="127"/>
      <c r="Q480" s="127"/>
      <c r="R480" s="127"/>
      <c r="S480" s="127"/>
      <c r="T480" s="127"/>
      <c r="U480" s="127"/>
      <c r="V480" s="127"/>
      <c r="W480" s="127"/>
      <c r="X480" s="127"/>
      <c r="Y480" s="127"/>
      <c r="Z480" s="127"/>
    </row>
    <row r="481" customFormat="false" ht="15.75" hidden="false" customHeight="false" outlineLevel="0" collapsed="false">
      <c r="A481" s="127"/>
      <c r="B481" s="127"/>
      <c r="C481" s="127"/>
      <c r="D481" s="127"/>
      <c r="E481" s="127"/>
      <c r="F481" s="127"/>
      <c r="G481" s="127"/>
      <c r="H481" s="127"/>
      <c r="I481" s="127"/>
      <c r="J481" s="127"/>
      <c r="K481" s="127"/>
      <c r="L481" s="127"/>
      <c r="M481" s="127"/>
      <c r="N481" s="127"/>
      <c r="O481" s="127"/>
      <c r="P481" s="127"/>
      <c r="Q481" s="127"/>
      <c r="R481" s="127"/>
      <c r="S481" s="127"/>
      <c r="T481" s="127"/>
      <c r="U481" s="127"/>
      <c r="V481" s="127"/>
      <c r="W481" s="127"/>
      <c r="X481" s="127"/>
      <c r="Y481" s="127"/>
      <c r="Z481" s="127"/>
    </row>
    <row r="482" customFormat="false" ht="15.75" hidden="false" customHeight="false" outlineLevel="0" collapsed="false">
      <c r="A482" s="127"/>
      <c r="B482" s="127"/>
      <c r="C482" s="127"/>
      <c r="D482" s="127"/>
      <c r="E482" s="127"/>
      <c r="F482" s="127"/>
      <c r="G482" s="127"/>
      <c r="H482" s="127"/>
      <c r="I482" s="127"/>
      <c r="J482" s="127"/>
      <c r="K482" s="127"/>
      <c r="L482" s="127"/>
      <c r="M482" s="127"/>
      <c r="N482" s="127"/>
      <c r="O482" s="127"/>
      <c r="P482" s="127"/>
      <c r="Q482" s="127"/>
      <c r="R482" s="127"/>
      <c r="S482" s="127"/>
      <c r="T482" s="127"/>
      <c r="U482" s="127"/>
      <c r="V482" s="127"/>
      <c r="W482" s="127"/>
      <c r="X482" s="127"/>
      <c r="Y482" s="127"/>
      <c r="Z482" s="127"/>
    </row>
    <row r="483" customFormat="false" ht="15.75" hidden="false" customHeight="false" outlineLevel="0" collapsed="false">
      <c r="A483" s="127"/>
      <c r="B483" s="127"/>
      <c r="C483" s="127"/>
      <c r="D483" s="127"/>
      <c r="E483" s="127"/>
      <c r="F483" s="127"/>
      <c r="G483" s="127"/>
      <c r="H483" s="127"/>
      <c r="I483" s="127"/>
      <c r="J483" s="127"/>
      <c r="K483" s="127"/>
      <c r="L483" s="127"/>
      <c r="M483" s="127"/>
      <c r="N483" s="127"/>
      <c r="O483" s="127"/>
      <c r="P483" s="127"/>
      <c r="Q483" s="127"/>
      <c r="R483" s="127"/>
      <c r="S483" s="127"/>
      <c r="T483" s="127"/>
      <c r="U483" s="127"/>
      <c r="V483" s="127"/>
      <c r="W483" s="127"/>
      <c r="X483" s="127"/>
      <c r="Y483" s="127"/>
      <c r="Z483" s="127"/>
    </row>
    <row r="484" customFormat="false" ht="15.75" hidden="false" customHeight="false" outlineLevel="0" collapsed="false">
      <c r="A484" s="127"/>
      <c r="B484" s="127"/>
      <c r="C484" s="127"/>
      <c r="D484" s="127"/>
      <c r="E484" s="127"/>
      <c r="F484" s="127"/>
      <c r="G484" s="127"/>
      <c r="H484" s="127"/>
      <c r="I484" s="127"/>
      <c r="J484" s="127"/>
      <c r="K484" s="127"/>
      <c r="L484" s="127"/>
      <c r="M484" s="127"/>
      <c r="N484" s="127"/>
      <c r="O484" s="127"/>
      <c r="P484" s="127"/>
      <c r="Q484" s="127"/>
      <c r="R484" s="127"/>
      <c r="S484" s="127"/>
      <c r="T484" s="127"/>
      <c r="U484" s="127"/>
      <c r="V484" s="127"/>
      <c r="W484" s="127"/>
      <c r="X484" s="127"/>
      <c r="Y484" s="127"/>
      <c r="Z484" s="127"/>
    </row>
    <row r="485" customFormat="false" ht="15.75" hidden="false" customHeight="false" outlineLevel="0" collapsed="false">
      <c r="A485" s="127"/>
      <c r="B485" s="127"/>
      <c r="C485" s="127"/>
      <c r="D485" s="127"/>
      <c r="E485" s="127"/>
      <c r="F485" s="127"/>
      <c r="G485" s="127"/>
      <c r="H485" s="127"/>
      <c r="I485" s="127"/>
      <c r="J485" s="127"/>
      <c r="K485" s="127"/>
      <c r="L485" s="127"/>
      <c r="M485" s="127"/>
      <c r="N485" s="127"/>
      <c r="O485" s="127"/>
      <c r="P485" s="127"/>
      <c r="Q485" s="127"/>
      <c r="R485" s="127"/>
      <c r="S485" s="127"/>
      <c r="T485" s="127"/>
      <c r="U485" s="127"/>
      <c r="V485" s="127"/>
      <c r="W485" s="127"/>
      <c r="X485" s="127"/>
      <c r="Y485" s="127"/>
      <c r="Z485" s="127"/>
    </row>
    <row r="486" customFormat="false" ht="15.75" hidden="false" customHeight="false" outlineLevel="0" collapsed="false">
      <c r="A486" s="127"/>
      <c r="B486" s="127"/>
      <c r="C486" s="127"/>
      <c r="D486" s="127"/>
      <c r="E486" s="127"/>
      <c r="F486" s="127"/>
      <c r="G486" s="127"/>
      <c r="H486" s="127"/>
      <c r="I486" s="127"/>
      <c r="J486" s="127"/>
      <c r="K486" s="127"/>
      <c r="L486" s="127"/>
      <c r="M486" s="127"/>
      <c r="N486" s="127"/>
      <c r="O486" s="127"/>
      <c r="P486" s="127"/>
      <c r="Q486" s="127"/>
      <c r="R486" s="127"/>
      <c r="S486" s="127"/>
      <c r="T486" s="127"/>
      <c r="U486" s="127"/>
      <c r="V486" s="127"/>
      <c r="W486" s="127"/>
      <c r="X486" s="127"/>
      <c r="Y486" s="127"/>
      <c r="Z486" s="127"/>
    </row>
    <row r="487" customFormat="false" ht="15.75" hidden="false" customHeight="false" outlineLevel="0" collapsed="false">
      <c r="A487" s="127"/>
      <c r="B487" s="127"/>
      <c r="C487" s="127"/>
      <c r="D487" s="127"/>
      <c r="E487" s="127"/>
      <c r="F487" s="127"/>
      <c r="G487" s="127"/>
      <c r="H487" s="127"/>
      <c r="I487" s="127"/>
      <c r="J487" s="127"/>
      <c r="K487" s="127"/>
      <c r="L487" s="127"/>
      <c r="M487" s="127"/>
      <c r="N487" s="127"/>
      <c r="O487" s="127"/>
      <c r="P487" s="127"/>
      <c r="Q487" s="127"/>
      <c r="R487" s="127"/>
      <c r="S487" s="127"/>
      <c r="T487" s="127"/>
      <c r="U487" s="127"/>
      <c r="V487" s="127"/>
      <c r="W487" s="127"/>
      <c r="X487" s="127"/>
      <c r="Y487" s="127"/>
      <c r="Z487" s="127"/>
    </row>
    <row r="488" customFormat="false" ht="15.75" hidden="false" customHeight="false" outlineLevel="0" collapsed="false">
      <c r="A488" s="127"/>
      <c r="B488" s="127"/>
      <c r="C488" s="127"/>
      <c r="D488" s="127"/>
      <c r="E488" s="127"/>
      <c r="F488" s="127"/>
      <c r="G488" s="127"/>
      <c r="H488" s="127"/>
      <c r="I488" s="127"/>
      <c r="J488" s="127"/>
      <c r="K488" s="127"/>
      <c r="L488" s="127"/>
      <c r="M488" s="127"/>
      <c r="N488" s="127"/>
      <c r="O488" s="127"/>
      <c r="P488" s="127"/>
      <c r="Q488" s="127"/>
      <c r="R488" s="127"/>
      <c r="S488" s="127"/>
      <c r="T488" s="127"/>
      <c r="U488" s="127"/>
      <c r="V488" s="127"/>
      <c r="W488" s="127"/>
      <c r="X488" s="127"/>
      <c r="Y488" s="127"/>
      <c r="Z488" s="127"/>
    </row>
    <row r="489" customFormat="false" ht="15.75" hidden="false" customHeight="false" outlineLevel="0" collapsed="false">
      <c r="A489" s="127"/>
      <c r="B489" s="127"/>
      <c r="C489" s="127"/>
      <c r="D489" s="127"/>
      <c r="E489" s="127"/>
      <c r="F489" s="127"/>
      <c r="G489" s="127"/>
      <c r="H489" s="127"/>
      <c r="I489" s="127"/>
      <c r="J489" s="127"/>
      <c r="K489" s="127"/>
      <c r="L489" s="127"/>
      <c r="M489" s="127"/>
      <c r="N489" s="127"/>
      <c r="O489" s="127"/>
      <c r="P489" s="127"/>
      <c r="Q489" s="127"/>
      <c r="R489" s="127"/>
      <c r="S489" s="127"/>
      <c r="T489" s="127"/>
      <c r="U489" s="127"/>
      <c r="V489" s="127"/>
      <c r="W489" s="127"/>
      <c r="X489" s="127"/>
      <c r="Y489" s="127"/>
      <c r="Z489" s="127"/>
    </row>
    <row r="490" customFormat="false" ht="15.75" hidden="false" customHeight="false" outlineLevel="0" collapsed="false">
      <c r="A490" s="127"/>
      <c r="B490" s="127"/>
      <c r="C490" s="127"/>
      <c r="D490" s="127"/>
      <c r="E490" s="127"/>
      <c r="F490" s="127"/>
      <c r="G490" s="127"/>
      <c r="H490" s="127"/>
      <c r="I490" s="127"/>
      <c r="J490" s="127"/>
      <c r="K490" s="127"/>
      <c r="L490" s="127"/>
      <c r="M490" s="127"/>
      <c r="N490" s="127"/>
      <c r="O490" s="127"/>
      <c r="P490" s="127"/>
      <c r="Q490" s="127"/>
      <c r="R490" s="127"/>
      <c r="S490" s="127"/>
      <c r="T490" s="127"/>
      <c r="U490" s="127"/>
      <c r="V490" s="127"/>
      <c r="W490" s="127"/>
      <c r="X490" s="127"/>
      <c r="Y490" s="127"/>
      <c r="Z490" s="127"/>
    </row>
    <row r="491" customFormat="false" ht="15.75" hidden="false" customHeight="false" outlineLevel="0" collapsed="false">
      <c r="A491" s="127"/>
      <c r="B491" s="127"/>
      <c r="C491" s="127"/>
      <c r="D491" s="127"/>
      <c r="E491" s="127"/>
      <c r="F491" s="127"/>
      <c r="G491" s="127"/>
      <c r="H491" s="127"/>
      <c r="I491" s="127"/>
      <c r="J491" s="127"/>
      <c r="K491" s="127"/>
      <c r="L491" s="127"/>
      <c r="M491" s="127"/>
      <c r="N491" s="127"/>
      <c r="O491" s="127"/>
      <c r="P491" s="127"/>
      <c r="Q491" s="127"/>
      <c r="R491" s="127"/>
      <c r="S491" s="127"/>
      <c r="T491" s="127"/>
      <c r="U491" s="127"/>
      <c r="V491" s="127"/>
      <c r="W491" s="127"/>
      <c r="X491" s="127"/>
      <c r="Y491" s="127"/>
      <c r="Z491" s="127"/>
    </row>
    <row r="492" customFormat="false" ht="15.75" hidden="false" customHeight="false" outlineLevel="0" collapsed="false">
      <c r="A492" s="127"/>
      <c r="B492" s="127"/>
      <c r="C492" s="127"/>
      <c r="D492" s="127"/>
      <c r="E492" s="127"/>
      <c r="F492" s="127"/>
      <c r="G492" s="127"/>
      <c r="H492" s="127"/>
      <c r="I492" s="127"/>
      <c r="J492" s="127"/>
      <c r="K492" s="127"/>
      <c r="L492" s="127"/>
      <c r="M492" s="127"/>
      <c r="N492" s="127"/>
      <c r="O492" s="127"/>
      <c r="P492" s="127"/>
      <c r="Q492" s="127"/>
      <c r="R492" s="127"/>
      <c r="S492" s="127"/>
      <c r="T492" s="127"/>
      <c r="U492" s="127"/>
      <c r="V492" s="127"/>
      <c r="W492" s="127"/>
      <c r="X492" s="127"/>
      <c r="Y492" s="127"/>
      <c r="Z492" s="127"/>
    </row>
    <row r="493" customFormat="false" ht="15.75" hidden="false" customHeight="false" outlineLevel="0" collapsed="false">
      <c r="A493" s="127"/>
      <c r="B493" s="127"/>
      <c r="C493" s="127"/>
      <c r="D493" s="127"/>
      <c r="E493" s="127"/>
      <c r="F493" s="127"/>
      <c r="G493" s="127"/>
      <c r="H493" s="127"/>
      <c r="I493" s="127"/>
      <c r="J493" s="127"/>
      <c r="K493" s="127"/>
      <c r="L493" s="127"/>
      <c r="M493" s="127"/>
      <c r="N493" s="127"/>
      <c r="O493" s="127"/>
      <c r="P493" s="127"/>
      <c r="Q493" s="127"/>
      <c r="R493" s="127"/>
      <c r="S493" s="127"/>
      <c r="T493" s="127"/>
      <c r="U493" s="127"/>
      <c r="V493" s="127"/>
      <c r="W493" s="127"/>
      <c r="X493" s="127"/>
      <c r="Y493" s="127"/>
      <c r="Z493" s="127"/>
    </row>
    <row r="494" customFormat="false" ht="15.75" hidden="false" customHeight="false" outlineLevel="0" collapsed="false">
      <c r="A494" s="127"/>
      <c r="B494" s="127"/>
      <c r="C494" s="127"/>
      <c r="D494" s="127"/>
      <c r="E494" s="127"/>
      <c r="F494" s="127"/>
      <c r="G494" s="127"/>
      <c r="H494" s="127"/>
      <c r="I494" s="127"/>
      <c r="J494" s="127"/>
      <c r="K494" s="127"/>
      <c r="L494" s="127"/>
      <c r="M494" s="127"/>
      <c r="N494" s="127"/>
      <c r="O494" s="127"/>
      <c r="P494" s="127"/>
      <c r="Q494" s="127"/>
      <c r="R494" s="127"/>
      <c r="S494" s="127"/>
      <c r="T494" s="127"/>
      <c r="U494" s="127"/>
      <c r="V494" s="127"/>
      <c r="W494" s="127"/>
      <c r="X494" s="127"/>
      <c r="Y494" s="127"/>
      <c r="Z494" s="127"/>
    </row>
    <row r="495" customFormat="false" ht="15.75" hidden="false" customHeight="false" outlineLevel="0" collapsed="false">
      <c r="A495" s="127"/>
      <c r="B495" s="127"/>
      <c r="C495" s="127"/>
      <c r="D495" s="127"/>
      <c r="E495" s="127"/>
      <c r="F495" s="127"/>
      <c r="G495" s="127"/>
      <c r="H495" s="127"/>
      <c r="I495" s="127"/>
      <c r="J495" s="127"/>
      <c r="K495" s="127"/>
      <c r="L495" s="127"/>
      <c r="M495" s="127"/>
      <c r="N495" s="127"/>
      <c r="O495" s="127"/>
      <c r="P495" s="127"/>
      <c r="Q495" s="127"/>
      <c r="R495" s="127"/>
      <c r="S495" s="127"/>
      <c r="T495" s="127"/>
      <c r="U495" s="127"/>
      <c r="V495" s="127"/>
      <c r="W495" s="127"/>
      <c r="X495" s="127"/>
      <c r="Y495" s="127"/>
      <c r="Z495" s="127"/>
    </row>
    <row r="496" customFormat="false" ht="15.75" hidden="false" customHeight="false" outlineLevel="0" collapsed="false">
      <c r="A496" s="127"/>
      <c r="B496" s="127"/>
      <c r="C496" s="127"/>
      <c r="D496" s="127"/>
      <c r="E496" s="127"/>
      <c r="F496" s="127"/>
      <c r="G496" s="127"/>
      <c r="H496" s="127"/>
      <c r="I496" s="127"/>
      <c r="J496" s="127"/>
      <c r="K496" s="127"/>
      <c r="L496" s="127"/>
      <c r="M496" s="127"/>
      <c r="N496" s="127"/>
      <c r="O496" s="127"/>
      <c r="P496" s="127"/>
      <c r="Q496" s="127"/>
      <c r="R496" s="127"/>
      <c r="S496" s="127"/>
      <c r="T496" s="127"/>
      <c r="U496" s="127"/>
      <c r="V496" s="127"/>
      <c r="W496" s="127"/>
      <c r="X496" s="127"/>
      <c r="Y496" s="127"/>
      <c r="Z496" s="127"/>
    </row>
    <row r="497" customFormat="false" ht="15.75" hidden="false" customHeight="false" outlineLevel="0" collapsed="false">
      <c r="A497" s="127"/>
      <c r="B497" s="127"/>
      <c r="C497" s="127"/>
      <c r="D497" s="127"/>
      <c r="E497" s="127"/>
      <c r="F497" s="127"/>
      <c r="G497" s="127"/>
      <c r="H497" s="127"/>
      <c r="I497" s="127"/>
      <c r="J497" s="127"/>
      <c r="K497" s="127"/>
      <c r="L497" s="127"/>
      <c r="M497" s="127"/>
      <c r="N497" s="127"/>
      <c r="O497" s="127"/>
      <c r="P497" s="127"/>
      <c r="Q497" s="127"/>
      <c r="R497" s="127"/>
      <c r="S497" s="127"/>
      <c r="T497" s="127"/>
      <c r="U497" s="127"/>
      <c r="V497" s="127"/>
      <c r="W497" s="127"/>
      <c r="X497" s="127"/>
      <c r="Y497" s="127"/>
      <c r="Z497" s="127"/>
    </row>
    <row r="498" customFormat="false" ht="15.75" hidden="false" customHeight="false" outlineLevel="0" collapsed="false">
      <c r="A498" s="127"/>
      <c r="B498" s="127"/>
      <c r="C498" s="127"/>
      <c r="D498" s="127"/>
      <c r="E498" s="127"/>
      <c r="F498" s="127"/>
      <c r="G498" s="127"/>
      <c r="H498" s="127"/>
      <c r="I498" s="127"/>
      <c r="J498" s="127"/>
      <c r="K498" s="127"/>
      <c r="L498" s="127"/>
      <c r="M498" s="127"/>
      <c r="N498" s="127"/>
      <c r="O498" s="127"/>
      <c r="P498" s="127"/>
      <c r="Q498" s="127"/>
      <c r="R498" s="127"/>
      <c r="S498" s="127"/>
      <c r="T498" s="127"/>
      <c r="U498" s="127"/>
      <c r="V498" s="127"/>
      <c r="W498" s="127"/>
      <c r="X498" s="127"/>
      <c r="Y498" s="127"/>
      <c r="Z498" s="127"/>
    </row>
    <row r="499" customFormat="false" ht="15.75" hidden="false" customHeight="false" outlineLevel="0" collapsed="false">
      <c r="A499" s="127"/>
      <c r="B499" s="127"/>
      <c r="C499" s="127"/>
      <c r="D499" s="127"/>
      <c r="E499" s="127"/>
      <c r="F499" s="127"/>
      <c r="G499" s="127"/>
      <c r="H499" s="127"/>
      <c r="I499" s="127"/>
      <c r="J499" s="127"/>
      <c r="K499" s="127"/>
      <c r="L499" s="127"/>
      <c r="M499" s="127"/>
      <c r="N499" s="127"/>
      <c r="O499" s="127"/>
      <c r="P499" s="127"/>
      <c r="Q499" s="127"/>
      <c r="R499" s="127"/>
      <c r="S499" s="127"/>
      <c r="T499" s="127"/>
      <c r="U499" s="127"/>
      <c r="V499" s="127"/>
      <c r="W499" s="127"/>
      <c r="X499" s="127"/>
      <c r="Y499" s="127"/>
      <c r="Z499" s="127"/>
    </row>
    <row r="500" customFormat="false" ht="15.75" hidden="false" customHeight="false" outlineLevel="0" collapsed="false">
      <c r="A500" s="127"/>
      <c r="B500" s="127"/>
      <c r="C500" s="127"/>
      <c r="D500" s="127"/>
      <c r="E500" s="127"/>
      <c r="F500" s="127"/>
      <c r="G500" s="127"/>
      <c r="H500" s="127"/>
      <c r="I500" s="127"/>
      <c r="J500" s="127"/>
      <c r="K500" s="127"/>
      <c r="L500" s="127"/>
      <c r="M500" s="127"/>
      <c r="N500" s="127"/>
      <c r="O500" s="127"/>
      <c r="P500" s="127"/>
      <c r="Q500" s="127"/>
      <c r="R500" s="127"/>
      <c r="S500" s="127"/>
      <c r="T500" s="127"/>
      <c r="U500" s="127"/>
      <c r="V500" s="127"/>
      <c r="W500" s="127"/>
      <c r="X500" s="127"/>
      <c r="Y500" s="127"/>
      <c r="Z500" s="127"/>
    </row>
    <row r="501" customFormat="false" ht="15.75" hidden="false" customHeight="false" outlineLevel="0" collapsed="false">
      <c r="A501" s="127"/>
      <c r="B501" s="127"/>
      <c r="C501" s="127"/>
      <c r="D501" s="127"/>
      <c r="E501" s="127"/>
      <c r="F501" s="127"/>
      <c r="G501" s="127"/>
      <c r="H501" s="127"/>
      <c r="I501" s="127"/>
      <c r="J501" s="127"/>
      <c r="K501" s="127"/>
      <c r="L501" s="127"/>
      <c r="M501" s="127"/>
      <c r="N501" s="127"/>
      <c r="O501" s="127"/>
      <c r="P501" s="127"/>
      <c r="Q501" s="127"/>
      <c r="R501" s="127"/>
      <c r="S501" s="127"/>
      <c r="T501" s="127"/>
      <c r="U501" s="127"/>
      <c r="V501" s="127"/>
      <c r="W501" s="127"/>
      <c r="X501" s="127"/>
      <c r="Y501" s="127"/>
      <c r="Z501" s="127"/>
    </row>
    <row r="502" customFormat="false" ht="15.75" hidden="false" customHeight="false" outlineLevel="0" collapsed="false">
      <c r="A502" s="127"/>
      <c r="B502" s="127"/>
      <c r="C502" s="127"/>
      <c r="D502" s="127"/>
      <c r="E502" s="127"/>
      <c r="F502" s="127"/>
      <c r="G502" s="127"/>
      <c r="H502" s="127"/>
      <c r="I502" s="127"/>
      <c r="J502" s="127"/>
      <c r="K502" s="127"/>
      <c r="L502" s="127"/>
      <c r="M502" s="127"/>
      <c r="N502" s="127"/>
      <c r="O502" s="127"/>
      <c r="P502" s="127"/>
      <c r="Q502" s="127"/>
      <c r="R502" s="127"/>
      <c r="S502" s="127"/>
      <c r="T502" s="127"/>
      <c r="U502" s="127"/>
      <c r="V502" s="127"/>
      <c r="W502" s="127"/>
      <c r="X502" s="127"/>
      <c r="Y502" s="127"/>
      <c r="Z502" s="127"/>
    </row>
    <row r="503" customFormat="false" ht="15.75" hidden="false" customHeight="false" outlineLevel="0" collapsed="false">
      <c r="A503" s="127"/>
      <c r="B503" s="127"/>
      <c r="C503" s="127"/>
      <c r="D503" s="127"/>
      <c r="E503" s="127"/>
      <c r="F503" s="127"/>
      <c r="G503" s="127"/>
      <c r="H503" s="127"/>
      <c r="I503" s="127"/>
      <c r="J503" s="127"/>
      <c r="K503" s="127"/>
      <c r="L503" s="127"/>
      <c r="M503" s="127"/>
      <c r="N503" s="127"/>
      <c r="O503" s="127"/>
      <c r="P503" s="127"/>
      <c r="Q503" s="127"/>
      <c r="R503" s="127"/>
      <c r="S503" s="127"/>
      <c r="T503" s="127"/>
      <c r="U503" s="127"/>
      <c r="V503" s="127"/>
      <c r="W503" s="127"/>
      <c r="X503" s="127"/>
      <c r="Y503" s="127"/>
      <c r="Z503" s="127"/>
    </row>
    <row r="504" customFormat="false" ht="15.75" hidden="false" customHeight="false" outlineLevel="0" collapsed="false">
      <c r="A504" s="127"/>
      <c r="B504" s="127"/>
      <c r="C504" s="127"/>
      <c r="D504" s="127"/>
      <c r="E504" s="127"/>
      <c r="F504" s="127"/>
      <c r="G504" s="127"/>
      <c r="H504" s="127"/>
      <c r="I504" s="127"/>
      <c r="J504" s="127"/>
      <c r="K504" s="127"/>
      <c r="L504" s="127"/>
      <c r="M504" s="127"/>
      <c r="N504" s="127"/>
      <c r="O504" s="127"/>
      <c r="P504" s="127"/>
      <c r="Q504" s="127"/>
      <c r="R504" s="127"/>
      <c r="S504" s="127"/>
      <c r="T504" s="127"/>
      <c r="U504" s="127"/>
      <c r="V504" s="127"/>
      <c r="W504" s="127"/>
      <c r="X504" s="127"/>
      <c r="Y504" s="127"/>
      <c r="Z504" s="127"/>
    </row>
    <row r="505" customFormat="false" ht="15.75" hidden="false" customHeight="false" outlineLevel="0" collapsed="false">
      <c r="A505" s="127"/>
      <c r="B505" s="127"/>
      <c r="C505" s="127"/>
      <c r="D505" s="127"/>
      <c r="E505" s="127"/>
      <c r="F505" s="127"/>
      <c r="G505" s="127"/>
      <c r="H505" s="127"/>
      <c r="I505" s="127"/>
      <c r="J505" s="127"/>
      <c r="K505" s="127"/>
      <c r="L505" s="127"/>
      <c r="M505" s="127"/>
      <c r="N505" s="127"/>
      <c r="O505" s="127"/>
      <c r="P505" s="127"/>
      <c r="Q505" s="127"/>
      <c r="R505" s="127"/>
      <c r="S505" s="127"/>
      <c r="T505" s="127"/>
      <c r="U505" s="127"/>
      <c r="V505" s="127"/>
      <c r="W505" s="127"/>
      <c r="X505" s="127"/>
      <c r="Y505" s="127"/>
      <c r="Z505" s="127"/>
    </row>
    <row r="506" customFormat="false" ht="15.75" hidden="false" customHeight="false" outlineLevel="0" collapsed="false">
      <c r="A506" s="127"/>
      <c r="B506" s="127"/>
      <c r="C506" s="127"/>
      <c r="D506" s="127"/>
      <c r="E506" s="127"/>
      <c r="F506" s="127"/>
      <c r="G506" s="127"/>
      <c r="H506" s="127"/>
      <c r="I506" s="127"/>
      <c r="J506" s="127"/>
      <c r="K506" s="127"/>
      <c r="L506" s="127"/>
      <c r="M506" s="127"/>
      <c r="N506" s="127"/>
      <c r="O506" s="127"/>
      <c r="P506" s="127"/>
      <c r="Q506" s="127"/>
      <c r="R506" s="127"/>
      <c r="S506" s="127"/>
      <c r="T506" s="127"/>
      <c r="U506" s="127"/>
      <c r="V506" s="127"/>
      <c r="W506" s="127"/>
      <c r="X506" s="127"/>
      <c r="Y506" s="127"/>
      <c r="Z506" s="127"/>
    </row>
    <row r="507" customFormat="false" ht="15.75" hidden="false" customHeight="false" outlineLevel="0" collapsed="false">
      <c r="A507" s="127"/>
      <c r="B507" s="127"/>
      <c r="C507" s="127"/>
      <c r="D507" s="127"/>
      <c r="E507" s="127"/>
      <c r="F507" s="127"/>
      <c r="G507" s="127"/>
      <c r="H507" s="127"/>
      <c r="I507" s="127"/>
      <c r="J507" s="127"/>
      <c r="K507" s="127"/>
      <c r="L507" s="127"/>
      <c r="M507" s="127"/>
      <c r="N507" s="127"/>
      <c r="O507" s="127"/>
      <c r="P507" s="127"/>
      <c r="Q507" s="127"/>
      <c r="R507" s="127"/>
      <c r="S507" s="127"/>
      <c r="T507" s="127"/>
      <c r="U507" s="127"/>
      <c r="V507" s="127"/>
      <c r="W507" s="127"/>
      <c r="X507" s="127"/>
      <c r="Y507" s="127"/>
      <c r="Z507" s="127"/>
    </row>
    <row r="508" customFormat="false" ht="15.75" hidden="false" customHeight="false" outlineLevel="0" collapsed="false">
      <c r="A508" s="127"/>
      <c r="B508" s="127"/>
      <c r="C508" s="127"/>
      <c r="D508" s="127"/>
      <c r="E508" s="127"/>
      <c r="F508" s="127"/>
      <c r="G508" s="127"/>
      <c r="H508" s="127"/>
      <c r="I508" s="127"/>
      <c r="J508" s="127"/>
      <c r="K508" s="127"/>
      <c r="L508" s="127"/>
      <c r="M508" s="127"/>
      <c r="N508" s="127"/>
      <c r="O508" s="127"/>
      <c r="P508" s="127"/>
      <c r="Q508" s="127"/>
      <c r="R508" s="127"/>
      <c r="S508" s="127"/>
      <c r="T508" s="127"/>
      <c r="U508" s="127"/>
      <c r="V508" s="127"/>
      <c r="W508" s="127"/>
      <c r="X508" s="127"/>
      <c r="Y508" s="127"/>
      <c r="Z508" s="127"/>
    </row>
    <row r="509" customFormat="false" ht="15.75" hidden="false" customHeight="false" outlineLevel="0" collapsed="false">
      <c r="A509" s="127"/>
      <c r="B509" s="127"/>
      <c r="C509" s="127"/>
      <c r="D509" s="127"/>
      <c r="E509" s="127"/>
      <c r="F509" s="127"/>
      <c r="G509" s="127"/>
      <c r="H509" s="127"/>
      <c r="I509" s="127"/>
      <c r="J509" s="127"/>
      <c r="K509" s="127"/>
      <c r="L509" s="127"/>
      <c r="M509" s="127"/>
      <c r="N509" s="127"/>
      <c r="O509" s="127"/>
      <c r="P509" s="127"/>
      <c r="Q509" s="127"/>
      <c r="R509" s="127"/>
      <c r="S509" s="127"/>
      <c r="T509" s="127"/>
      <c r="U509" s="127"/>
      <c r="V509" s="127"/>
      <c r="W509" s="127"/>
      <c r="X509" s="127"/>
      <c r="Y509" s="127"/>
      <c r="Z509" s="127"/>
    </row>
    <row r="510" customFormat="false" ht="15.75" hidden="false" customHeight="false" outlineLevel="0" collapsed="false">
      <c r="A510" s="127"/>
      <c r="B510" s="127"/>
      <c r="C510" s="127"/>
      <c r="D510" s="127"/>
      <c r="E510" s="127"/>
      <c r="F510" s="127"/>
      <c r="G510" s="127"/>
      <c r="H510" s="127"/>
      <c r="I510" s="127"/>
      <c r="J510" s="127"/>
      <c r="K510" s="127"/>
      <c r="L510" s="127"/>
      <c r="M510" s="127"/>
      <c r="N510" s="127"/>
      <c r="O510" s="127"/>
      <c r="P510" s="127"/>
      <c r="Q510" s="127"/>
      <c r="R510" s="127"/>
      <c r="S510" s="127"/>
      <c r="T510" s="127"/>
      <c r="U510" s="127"/>
      <c r="V510" s="127"/>
      <c r="W510" s="127"/>
      <c r="X510" s="127"/>
      <c r="Y510" s="127"/>
      <c r="Z510" s="127"/>
    </row>
    <row r="511" customFormat="false" ht="15.75" hidden="false" customHeight="false" outlineLevel="0" collapsed="false">
      <c r="A511" s="127"/>
      <c r="B511" s="127"/>
      <c r="C511" s="127"/>
      <c r="D511" s="127"/>
      <c r="E511" s="127"/>
      <c r="F511" s="127"/>
      <c r="G511" s="127"/>
      <c r="H511" s="127"/>
      <c r="I511" s="127"/>
      <c r="J511" s="127"/>
      <c r="K511" s="127"/>
      <c r="L511" s="127"/>
      <c r="M511" s="127"/>
      <c r="N511" s="127"/>
      <c r="O511" s="127"/>
      <c r="P511" s="127"/>
      <c r="Q511" s="127"/>
      <c r="R511" s="127"/>
      <c r="S511" s="127"/>
      <c r="T511" s="127"/>
      <c r="U511" s="127"/>
      <c r="V511" s="127"/>
      <c r="W511" s="127"/>
      <c r="X511" s="127"/>
      <c r="Y511" s="127"/>
      <c r="Z511" s="127"/>
    </row>
    <row r="512" customFormat="false" ht="15.75" hidden="false" customHeight="false" outlineLevel="0" collapsed="false">
      <c r="A512" s="127"/>
      <c r="B512" s="127"/>
      <c r="C512" s="127"/>
      <c r="D512" s="127"/>
      <c r="E512" s="127"/>
      <c r="F512" s="127"/>
      <c r="G512" s="127"/>
      <c r="H512" s="127"/>
      <c r="I512" s="127"/>
      <c r="J512" s="127"/>
      <c r="K512" s="127"/>
      <c r="L512" s="127"/>
      <c r="M512" s="127"/>
      <c r="N512" s="127"/>
      <c r="O512" s="127"/>
      <c r="P512" s="127"/>
      <c r="Q512" s="127"/>
      <c r="R512" s="127"/>
      <c r="S512" s="127"/>
      <c r="T512" s="127"/>
      <c r="U512" s="127"/>
      <c r="V512" s="127"/>
      <c r="W512" s="127"/>
      <c r="X512" s="127"/>
      <c r="Y512" s="127"/>
      <c r="Z512" s="127"/>
    </row>
    <row r="513" customFormat="false" ht="15.75" hidden="false" customHeight="false" outlineLevel="0" collapsed="false">
      <c r="A513" s="127"/>
      <c r="B513" s="127"/>
      <c r="C513" s="127"/>
      <c r="D513" s="127"/>
      <c r="E513" s="127"/>
      <c r="F513" s="127"/>
      <c r="G513" s="127"/>
      <c r="H513" s="127"/>
      <c r="I513" s="127"/>
      <c r="J513" s="127"/>
      <c r="K513" s="127"/>
      <c r="L513" s="127"/>
      <c r="M513" s="127"/>
      <c r="N513" s="127"/>
      <c r="O513" s="127"/>
      <c r="P513" s="127"/>
      <c r="Q513" s="127"/>
      <c r="R513" s="127"/>
      <c r="S513" s="127"/>
      <c r="T513" s="127"/>
      <c r="U513" s="127"/>
      <c r="V513" s="127"/>
      <c r="W513" s="127"/>
      <c r="X513" s="127"/>
      <c r="Y513" s="127"/>
      <c r="Z513" s="127"/>
    </row>
    <row r="514" customFormat="false" ht="15.75" hidden="false" customHeight="false" outlineLevel="0" collapsed="false">
      <c r="A514" s="127"/>
      <c r="B514" s="127"/>
      <c r="C514" s="127"/>
      <c r="D514" s="127"/>
      <c r="E514" s="127"/>
      <c r="F514" s="127"/>
      <c r="G514" s="127"/>
      <c r="H514" s="127"/>
      <c r="I514" s="127"/>
      <c r="J514" s="127"/>
      <c r="K514" s="127"/>
      <c r="L514" s="127"/>
      <c r="M514" s="127"/>
      <c r="N514" s="127"/>
      <c r="O514" s="127"/>
      <c r="P514" s="127"/>
      <c r="Q514" s="127"/>
      <c r="R514" s="127"/>
      <c r="S514" s="127"/>
      <c r="T514" s="127"/>
      <c r="U514" s="127"/>
      <c r="V514" s="127"/>
      <c r="W514" s="127"/>
      <c r="X514" s="127"/>
      <c r="Y514" s="127"/>
      <c r="Z514" s="127"/>
    </row>
    <row r="515" customFormat="false" ht="15.75" hidden="false" customHeight="false" outlineLevel="0" collapsed="false">
      <c r="A515" s="127"/>
      <c r="B515" s="127"/>
      <c r="C515" s="127"/>
      <c r="D515" s="127"/>
      <c r="E515" s="127"/>
      <c r="F515" s="127"/>
      <c r="G515" s="127"/>
      <c r="H515" s="127"/>
      <c r="I515" s="127"/>
      <c r="J515" s="127"/>
      <c r="K515" s="127"/>
      <c r="L515" s="127"/>
      <c r="M515" s="127"/>
      <c r="N515" s="127"/>
      <c r="O515" s="127"/>
      <c r="P515" s="127"/>
      <c r="Q515" s="127"/>
      <c r="R515" s="127"/>
      <c r="S515" s="127"/>
      <c r="T515" s="127"/>
      <c r="U515" s="127"/>
      <c r="V515" s="127"/>
      <c r="W515" s="127"/>
      <c r="X515" s="127"/>
      <c r="Y515" s="127"/>
      <c r="Z515" s="127"/>
    </row>
    <row r="516" customFormat="false" ht="15.75" hidden="false" customHeight="false" outlineLevel="0" collapsed="false">
      <c r="A516" s="127"/>
      <c r="B516" s="127"/>
      <c r="C516" s="127"/>
      <c r="D516" s="127"/>
      <c r="E516" s="127"/>
      <c r="F516" s="127"/>
      <c r="G516" s="127"/>
      <c r="H516" s="127"/>
      <c r="I516" s="127"/>
      <c r="J516" s="127"/>
      <c r="K516" s="127"/>
      <c r="L516" s="127"/>
      <c r="M516" s="127"/>
      <c r="N516" s="127"/>
      <c r="O516" s="127"/>
      <c r="P516" s="127"/>
      <c r="Q516" s="127"/>
      <c r="R516" s="127"/>
      <c r="S516" s="127"/>
      <c r="T516" s="127"/>
      <c r="U516" s="127"/>
      <c r="V516" s="127"/>
      <c r="W516" s="127"/>
      <c r="X516" s="127"/>
      <c r="Y516" s="127"/>
      <c r="Z516" s="127"/>
    </row>
    <row r="517" customFormat="false" ht="15.75" hidden="false" customHeight="false" outlineLevel="0" collapsed="false">
      <c r="A517" s="127"/>
      <c r="B517" s="127"/>
      <c r="C517" s="127"/>
      <c r="D517" s="127"/>
      <c r="E517" s="127"/>
      <c r="F517" s="127"/>
      <c r="G517" s="127"/>
      <c r="H517" s="127"/>
      <c r="I517" s="127"/>
      <c r="J517" s="127"/>
      <c r="K517" s="127"/>
      <c r="L517" s="127"/>
      <c r="M517" s="127"/>
      <c r="N517" s="127"/>
      <c r="O517" s="127"/>
      <c r="P517" s="127"/>
      <c r="Q517" s="127"/>
      <c r="R517" s="127"/>
      <c r="S517" s="127"/>
      <c r="T517" s="127"/>
      <c r="U517" s="127"/>
      <c r="V517" s="127"/>
      <c r="W517" s="127"/>
      <c r="X517" s="127"/>
      <c r="Y517" s="127"/>
      <c r="Z517" s="127"/>
    </row>
    <row r="518" customFormat="false" ht="15.75" hidden="false" customHeight="false" outlineLevel="0" collapsed="false">
      <c r="A518" s="127"/>
      <c r="B518" s="127"/>
      <c r="C518" s="127"/>
      <c r="D518" s="127"/>
      <c r="E518" s="127"/>
      <c r="F518" s="127"/>
      <c r="G518" s="127"/>
      <c r="H518" s="127"/>
      <c r="I518" s="127"/>
      <c r="J518" s="127"/>
      <c r="K518" s="127"/>
      <c r="L518" s="127"/>
      <c r="M518" s="127"/>
      <c r="N518" s="127"/>
      <c r="O518" s="127"/>
      <c r="P518" s="127"/>
      <c r="Q518" s="127"/>
      <c r="R518" s="127"/>
      <c r="S518" s="127"/>
      <c r="T518" s="127"/>
      <c r="U518" s="127"/>
      <c r="V518" s="127"/>
      <c r="W518" s="127"/>
      <c r="X518" s="127"/>
      <c r="Y518" s="127"/>
      <c r="Z518" s="127"/>
    </row>
    <row r="519" customFormat="false" ht="15.75" hidden="false" customHeight="false" outlineLevel="0" collapsed="false">
      <c r="A519" s="127"/>
      <c r="B519" s="127"/>
      <c r="C519" s="127"/>
      <c r="D519" s="127"/>
      <c r="E519" s="127"/>
      <c r="F519" s="127"/>
      <c r="G519" s="127"/>
      <c r="H519" s="127"/>
      <c r="I519" s="127"/>
      <c r="J519" s="127"/>
      <c r="K519" s="127"/>
      <c r="L519" s="127"/>
      <c r="M519" s="127"/>
      <c r="N519" s="127"/>
      <c r="O519" s="127"/>
      <c r="P519" s="127"/>
      <c r="Q519" s="127"/>
      <c r="R519" s="127"/>
      <c r="S519" s="127"/>
      <c r="T519" s="127"/>
      <c r="U519" s="127"/>
      <c r="V519" s="127"/>
      <c r="W519" s="127"/>
      <c r="X519" s="127"/>
      <c r="Y519" s="127"/>
      <c r="Z519" s="127"/>
    </row>
    <row r="520" customFormat="false" ht="15.75" hidden="false" customHeight="false" outlineLevel="0" collapsed="false">
      <c r="A520" s="127"/>
      <c r="B520" s="127"/>
      <c r="C520" s="127"/>
      <c r="D520" s="127"/>
      <c r="E520" s="127"/>
      <c r="F520" s="127"/>
      <c r="G520" s="127"/>
      <c r="H520" s="127"/>
      <c r="I520" s="127"/>
      <c r="J520" s="127"/>
      <c r="K520" s="127"/>
      <c r="L520" s="127"/>
      <c r="M520" s="127"/>
      <c r="N520" s="127"/>
      <c r="O520" s="127"/>
      <c r="P520" s="127"/>
      <c r="Q520" s="127"/>
      <c r="R520" s="127"/>
      <c r="S520" s="127"/>
      <c r="T520" s="127"/>
      <c r="U520" s="127"/>
      <c r="V520" s="127"/>
      <c r="W520" s="127"/>
      <c r="X520" s="127"/>
      <c r="Y520" s="127"/>
      <c r="Z520" s="127"/>
    </row>
    <row r="521" customFormat="false" ht="15.75" hidden="false" customHeight="false" outlineLevel="0" collapsed="false">
      <c r="A521" s="127"/>
      <c r="B521" s="127"/>
      <c r="C521" s="127"/>
      <c r="D521" s="127"/>
      <c r="E521" s="127"/>
      <c r="F521" s="127"/>
      <c r="G521" s="127"/>
      <c r="H521" s="127"/>
      <c r="I521" s="127"/>
      <c r="J521" s="127"/>
      <c r="K521" s="127"/>
      <c r="L521" s="127"/>
      <c r="M521" s="127"/>
      <c r="N521" s="127"/>
      <c r="O521" s="127"/>
      <c r="P521" s="127"/>
      <c r="Q521" s="127"/>
      <c r="R521" s="127"/>
      <c r="S521" s="127"/>
      <c r="T521" s="127"/>
      <c r="U521" s="127"/>
      <c r="V521" s="127"/>
      <c r="W521" s="127"/>
      <c r="X521" s="127"/>
      <c r="Y521" s="127"/>
      <c r="Z521" s="127"/>
    </row>
    <row r="522" customFormat="false" ht="15.75" hidden="false" customHeight="false" outlineLevel="0" collapsed="false">
      <c r="A522" s="127"/>
      <c r="B522" s="127"/>
      <c r="C522" s="127"/>
      <c r="D522" s="127"/>
      <c r="E522" s="127"/>
      <c r="F522" s="127"/>
      <c r="G522" s="127"/>
      <c r="H522" s="127"/>
      <c r="I522" s="127"/>
      <c r="J522" s="127"/>
      <c r="K522" s="127"/>
      <c r="L522" s="127"/>
      <c r="M522" s="127"/>
      <c r="N522" s="127"/>
      <c r="O522" s="127"/>
      <c r="P522" s="127"/>
      <c r="Q522" s="127"/>
      <c r="R522" s="127"/>
      <c r="S522" s="127"/>
      <c r="T522" s="127"/>
      <c r="U522" s="127"/>
      <c r="V522" s="127"/>
      <c r="W522" s="127"/>
      <c r="X522" s="127"/>
      <c r="Y522" s="127"/>
      <c r="Z522" s="127"/>
    </row>
    <row r="523" customFormat="false" ht="15.75" hidden="false" customHeight="false" outlineLevel="0" collapsed="false">
      <c r="A523" s="127"/>
      <c r="B523" s="127"/>
      <c r="C523" s="127"/>
      <c r="D523" s="127"/>
      <c r="E523" s="127"/>
      <c r="F523" s="127"/>
      <c r="G523" s="127"/>
      <c r="H523" s="127"/>
      <c r="I523" s="127"/>
      <c r="J523" s="127"/>
      <c r="K523" s="127"/>
      <c r="L523" s="127"/>
      <c r="M523" s="127"/>
      <c r="N523" s="127"/>
      <c r="O523" s="127"/>
      <c r="P523" s="127"/>
      <c r="Q523" s="127"/>
      <c r="R523" s="127"/>
      <c r="S523" s="127"/>
      <c r="T523" s="127"/>
      <c r="U523" s="127"/>
      <c r="V523" s="127"/>
      <c r="W523" s="127"/>
      <c r="X523" s="127"/>
      <c r="Y523" s="127"/>
      <c r="Z523" s="127"/>
    </row>
    <row r="524" customFormat="false" ht="15.75" hidden="false" customHeight="false" outlineLevel="0" collapsed="false">
      <c r="A524" s="127"/>
      <c r="B524" s="127"/>
      <c r="C524" s="127"/>
      <c r="D524" s="127"/>
      <c r="E524" s="127"/>
      <c r="F524" s="127"/>
      <c r="G524" s="127"/>
      <c r="H524" s="127"/>
      <c r="I524" s="127"/>
      <c r="J524" s="127"/>
      <c r="K524" s="127"/>
      <c r="L524" s="127"/>
      <c r="M524" s="127"/>
      <c r="N524" s="127"/>
      <c r="O524" s="127"/>
      <c r="P524" s="127"/>
      <c r="Q524" s="127"/>
      <c r="R524" s="127"/>
      <c r="S524" s="127"/>
      <c r="T524" s="127"/>
      <c r="U524" s="127"/>
      <c r="V524" s="127"/>
      <c r="W524" s="127"/>
      <c r="X524" s="127"/>
      <c r="Y524" s="127"/>
      <c r="Z524" s="127"/>
    </row>
    <row r="525" customFormat="false" ht="15.75" hidden="false" customHeight="false" outlineLevel="0" collapsed="false">
      <c r="A525" s="127"/>
      <c r="B525" s="127"/>
      <c r="C525" s="127"/>
      <c r="D525" s="127"/>
      <c r="E525" s="127"/>
      <c r="F525" s="127"/>
      <c r="G525" s="127"/>
      <c r="H525" s="127"/>
      <c r="I525" s="127"/>
      <c r="J525" s="127"/>
      <c r="K525" s="127"/>
      <c r="L525" s="127"/>
      <c r="M525" s="127"/>
      <c r="N525" s="127"/>
      <c r="O525" s="127"/>
      <c r="P525" s="127"/>
      <c r="Q525" s="127"/>
      <c r="R525" s="127"/>
      <c r="S525" s="127"/>
      <c r="T525" s="127"/>
      <c r="U525" s="127"/>
      <c r="V525" s="127"/>
      <c r="W525" s="127"/>
      <c r="X525" s="127"/>
      <c r="Y525" s="127"/>
      <c r="Z525" s="127"/>
    </row>
    <row r="526" customFormat="false" ht="15.75" hidden="false" customHeight="false" outlineLevel="0" collapsed="false">
      <c r="A526" s="127"/>
      <c r="B526" s="127"/>
      <c r="C526" s="127"/>
      <c r="D526" s="127"/>
      <c r="E526" s="127"/>
      <c r="F526" s="127"/>
      <c r="G526" s="127"/>
      <c r="H526" s="127"/>
      <c r="I526" s="127"/>
      <c r="J526" s="127"/>
      <c r="K526" s="127"/>
      <c r="L526" s="127"/>
      <c r="M526" s="127"/>
      <c r="N526" s="127"/>
      <c r="O526" s="127"/>
      <c r="P526" s="127"/>
      <c r="Q526" s="127"/>
      <c r="R526" s="127"/>
      <c r="S526" s="127"/>
      <c r="T526" s="127"/>
      <c r="U526" s="127"/>
      <c r="V526" s="127"/>
      <c r="W526" s="127"/>
      <c r="X526" s="127"/>
      <c r="Y526" s="127"/>
      <c r="Z526" s="127"/>
    </row>
    <row r="527" customFormat="false" ht="15.75" hidden="false" customHeight="false" outlineLevel="0" collapsed="false">
      <c r="A527" s="127"/>
      <c r="B527" s="127"/>
      <c r="C527" s="127"/>
      <c r="D527" s="127"/>
      <c r="E527" s="127"/>
      <c r="F527" s="127"/>
      <c r="G527" s="127"/>
      <c r="H527" s="127"/>
      <c r="I527" s="127"/>
      <c r="J527" s="127"/>
      <c r="K527" s="127"/>
      <c r="L527" s="127"/>
      <c r="M527" s="127"/>
      <c r="N527" s="127"/>
      <c r="O527" s="127"/>
      <c r="P527" s="127"/>
      <c r="Q527" s="127"/>
      <c r="R527" s="127"/>
      <c r="S527" s="127"/>
      <c r="T527" s="127"/>
      <c r="U527" s="127"/>
      <c r="V527" s="127"/>
      <c r="W527" s="127"/>
      <c r="X527" s="127"/>
      <c r="Y527" s="127"/>
      <c r="Z527" s="127"/>
    </row>
    <row r="528" customFormat="false" ht="15.75" hidden="false" customHeight="false" outlineLevel="0" collapsed="false">
      <c r="A528" s="127"/>
      <c r="B528" s="127"/>
      <c r="C528" s="127"/>
      <c r="D528" s="127"/>
      <c r="E528" s="127"/>
      <c r="F528" s="127"/>
      <c r="G528" s="127"/>
      <c r="H528" s="127"/>
      <c r="I528" s="127"/>
      <c r="J528" s="127"/>
      <c r="K528" s="127"/>
      <c r="L528" s="127"/>
      <c r="M528" s="127"/>
      <c r="N528" s="127"/>
      <c r="O528" s="127"/>
      <c r="P528" s="127"/>
      <c r="Q528" s="127"/>
      <c r="R528" s="127"/>
      <c r="S528" s="127"/>
      <c r="T528" s="127"/>
      <c r="U528" s="127"/>
      <c r="V528" s="127"/>
      <c r="W528" s="127"/>
      <c r="X528" s="127"/>
      <c r="Y528" s="127"/>
      <c r="Z528" s="127"/>
    </row>
    <row r="529" customFormat="false" ht="15.75" hidden="false" customHeight="false" outlineLevel="0" collapsed="false">
      <c r="A529" s="127"/>
      <c r="B529" s="127"/>
      <c r="C529" s="127"/>
      <c r="D529" s="127"/>
      <c r="E529" s="127"/>
      <c r="F529" s="127"/>
      <c r="G529" s="127"/>
      <c r="H529" s="127"/>
      <c r="I529" s="127"/>
      <c r="J529" s="127"/>
      <c r="K529" s="127"/>
      <c r="L529" s="127"/>
      <c r="M529" s="127"/>
      <c r="N529" s="127"/>
      <c r="O529" s="127"/>
      <c r="P529" s="127"/>
      <c r="Q529" s="127"/>
      <c r="R529" s="127"/>
      <c r="S529" s="127"/>
      <c r="T529" s="127"/>
      <c r="U529" s="127"/>
      <c r="V529" s="127"/>
      <c r="W529" s="127"/>
      <c r="X529" s="127"/>
      <c r="Y529" s="127"/>
      <c r="Z529" s="127"/>
    </row>
    <row r="530" customFormat="false" ht="15.75" hidden="false" customHeight="false" outlineLevel="0" collapsed="false">
      <c r="A530" s="127"/>
      <c r="B530" s="127"/>
      <c r="C530" s="127"/>
      <c r="D530" s="127"/>
      <c r="E530" s="127"/>
      <c r="F530" s="127"/>
      <c r="G530" s="127"/>
      <c r="H530" s="127"/>
      <c r="I530" s="127"/>
      <c r="J530" s="127"/>
      <c r="K530" s="127"/>
      <c r="L530" s="127"/>
      <c r="M530" s="127"/>
      <c r="N530" s="127"/>
      <c r="O530" s="127"/>
      <c r="P530" s="127"/>
      <c r="Q530" s="127"/>
      <c r="R530" s="127"/>
      <c r="S530" s="127"/>
      <c r="T530" s="127"/>
      <c r="U530" s="127"/>
      <c r="V530" s="127"/>
      <c r="W530" s="127"/>
      <c r="X530" s="127"/>
      <c r="Y530" s="127"/>
      <c r="Z530" s="127"/>
    </row>
    <row r="531" customFormat="false" ht="15.75" hidden="false" customHeight="false" outlineLevel="0" collapsed="false">
      <c r="A531" s="127"/>
      <c r="B531" s="127"/>
      <c r="C531" s="127"/>
      <c r="D531" s="127"/>
      <c r="E531" s="127"/>
      <c r="F531" s="127"/>
      <c r="G531" s="127"/>
      <c r="H531" s="127"/>
      <c r="I531" s="127"/>
      <c r="J531" s="127"/>
      <c r="K531" s="127"/>
      <c r="L531" s="127"/>
      <c r="M531" s="127"/>
      <c r="N531" s="127"/>
      <c r="O531" s="127"/>
      <c r="P531" s="127"/>
      <c r="Q531" s="127"/>
      <c r="R531" s="127"/>
      <c r="S531" s="127"/>
      <c r="T531" s="127"/>
      <c r="U531" s="127"/>
      <c r="V531" s="127"/>
      <c r="W531" s="127"/>
      <c r="X531" s="127"/>
      <c r="Y531" s="127"/>
      <c r="Z531" s="127"/>
    </row>
    <row r="532" customFormat="false" ht="15.75" hidden="false" customHeight="false" outlineLevel="0" collapsed="false">
      <c r="A532" s="127"/>
      <c r="B532" s="127"/>
      <c r="C532" s="127"/>
      <c r="D532" s="127"/>
      <c r="E532" s="127"/>
      <c r="F532" s="127"/>
      <c r="G532" s="127"/>
      <c r="H532" s="127"/>
      <c r="I532" s="127"/>
      <c r="J532" s="127"/>
      <c r="K532" s="127"/>
      <c r="L532" s="127"/>
      <c r="M532" s="127"/>
      <c r="N532" s="127"/>
      <c r="O532" s="127"/>
      <c r="P532" s="127"/>
      <c r="Q532" s="127"/>
      <c r="R532" s="127"/>
      <c r="S532" s="127"/>
      <c r="T532" s="127"/>
      <c r="U532" s="127"/>
      <c r="V532" s="127"/>
      <c r="W532" s="127"/>
      <c r="X532" s="127"/>
      <c r="Y532" s="127"/>
      <c r="Z532" s="127"/>
    </row>
    <row r="533" customFormat="false" ht="15.75" hidden="false" customHeight="false" outlineLevel="0" collapsed="false">
      <c r="A533" s="127"/>
      <c r="B533" s="127"/>
      <c r="C533" s="127"/>
      <c r="D533" s="127"/>
      <c r="E533" s="127"/>
      <c r="F533" s="127"/>
      <c r="G533" s="127"/>
      <c r="H533" s="127"/>
      <c r="I533" s="127"/>
      <c r="J533" s="127"/>
      <c r="K533" s="127"/>
      <c r="L533" s="127"/>
      <c r="M533" s="127"/>
      <c r="N533" s="127"/>
      <c r="O533" s="127"/>
      <c r="P533" s="127"/>
      <c r="Q533" s="127"/>
      <c r="R533" s="127"/>
      <c r="S533" s="127"/>
      <c r="T533" s="127"/>
      <c r="U533" s="127"/>
      <c r="V533" s="127"/>
      <c r="W533" s="127"/>
      <c r="X533" s="127"/>
      <c r="Y533" s="127"/>
      <c r="Z533" s="127"/>
    </row>
    <row r="534" customFormat="false" ht="15.75" hidden="false" customHeight="false" outlineLevel="0" collapsed="false">
      <c r="A534" s="127"/>
      <c r="B534" s="127"/>
      <c r="C534" s="127"/>
      <c r="D534" s="127"/>
      <c r="E534" s="127"/>
      <c r="F534" s="127"/>
      <c r="G534" s="127"/>
      <c r="H534" s="127"/>
      <c r="I534" s="127"/>
      <c r="J534" s="127"/>
      <c r="K534" s="127"/>
      <c r="L534" s="127"/>
      <c r="M534" s="127"/>
      <c r="N534" s="127"/>
      <c r="O534" s="127"/>
      <c r="P534" s="127"/>
      <c r="Q534" s="127"/>
      <c r="R534" s="127"/>
      <c r="S534" s="127"/>
      <c r="T534" s="127"/>
      <c r="U534" s="127"/>
      <c r="V534" s="127"/>
      <c r="W534" s="127"/>
      <c r="X534" s="127"/>
      <c r="Y534" s="127"/>
      <c r="Z534" s="127"/>
    </row>
    <row r="535" customFormat="false" ht="15.75" hidden="false" customHeight="false" outlineLevel="0" collapsed="false">
      <c r="A535" s="127"/>
      <c r="B535" s="127"/>
      <c r="C535" s="127"/>
      <c r="D535" s="127"/>
      <c r="E535" s="127"/>
      <c r="F535" s="127"/>
      <c r="G535" s="127"/>
      <c r="H535" s="127"/>
      <c r="I535" s="127"/>
      <c r="J535" s="127"/>
      <c r="K535" s="127"/>
      <c r="L535" s="127"/>
      <c r="M535" s="127"/>
      <c r="N535" s="127"/>
      <c r="O535" s="127"/>
      <c r="P535" s="127"/>
      <c r="Q535" s="127"/>
      <c r="R535" s="127"/>
      <c r="S535" s="127"/>
      <c r="T535" s="127"/>
      <c r="U535" s="127"/>
      <c r="V535" s="127"/>
      <c r="W535" s="127"/>
      <c r="X535" s="127"/>
      <c r="Y535" s="127"/>
      <c r="Z535" s="127"/>
    </row>
    <row r="536" customFormat="false" ht="15.75" hidden="false" customHeight="false" outlineLevel="0" collapsed="false">
      <c r="A536" s="127"/>
      <c r="B536" s="127"/>
      <c r="C536" s="127"/>
      <c r="D536" s="127"/>
      <c r="E536" s="127"/>
      <c r="F536" s="127"/>
      <c r="G536" s="127"/>
      <c r="H536" s="127"/>
      <c r="I536" s="127"/>
      <c r="J536" s="127"/>
      <c r="K536" s="127"/>
      <c r="L536" s="127"/>
      <c r="M536" s="127"/>
      <c r="N536" s="127"/>
      <c r="O536" s="127"/>
      <c r="P536" s="127"/>
      <c r="Q536" s="127"/>
      <c r="R536" s="127"/>
      <c r="S536" s="127"/>
      <c r="T536" s="127"/>
      <c r="U536" s="127"/>
      <c r="V536" s="127"/>
      <c r="W536" s="127"/>
      <c r="X536" s="127"/>
      <c r="Y536" s="127"/>
      <c r="Z536" s="127"/>
    </row>
    <row r="537" customFormat="false" ht="15.75" hidden="false" customHeight="false" outlineLevel="0" collapsed="false">
      <c r="A537" s="127"/>
      <c r="B537" s="127"/>
      <c r="C537" s="127"/>
      <c r="D537" s="127"/>
      <c r="E537" s="127"/>
      <c r="F537" s="127"/>
      <c r="G537" s="127"/>
      <c r="H537" s="127"/>
      <c r="I537" s="127"/>
      <c r="J537" s="127"/>
      <c r="K537" s="127"/>
      <c r="L537" s="127"/>
      <c r="M537" s="127"/>
      <c r="N537" s="127"/>
      <c r="O537" s="127"/>
      <c r="P537" s="127"/>
      <c r="Q537" s="127"/>
      <c r="R537" s="127"/>
      <c r="S537" s="127"/>
      <c r="T537" s="127"/>
      <c r="U537" s="127"/>
      <c r="V537" s="127"/>
      <c r="W537" s="127"/>
      <c r="X537" s="127"/>
      <c r="Y537" s="127"/>
      <c r="Z537" s="127"/>
    </row>
    <row r="538" customFormat="false" ht="15.75" hidden="false" customHeight="false" outlineLevel="0" collapsed="false">
      <c r="A538" s="127"/>
      <c r="B538" s="127"/>
      <c r="C538" s="127"/>
      <c r="D538" s="127"/>
      <c r="E538" s="127"/>
      <c r="F538" s="127"/>
      <c r="G538" s="127"/>
      <c r="H538" s="127"/>
      <c r="I538" s="127"/>
      <c r="J538" s="127"/>
      <c r="K538" s="127"/>
      <c r="L538" s="127"/>
      <c r="M538" s="127"/>
      <c r="N538" s="127"/>
      <c r="O538" s="127"/>
      <c r="P538" s="127"/>
      <c r="Q538" s="127"/>
      <c r="R538" s="127"/>
      <c r="S538" s="127"/>
      <c r="T538" s="127"/>
      <c r="U538" s="127"/>
      <c r="V538" s="127"/>
      <c r="W538" s="127"/>
      <c r="X538" s="127"/>
      <c r="Y538" s="127"/>
      <c r="Z538" s="127"/>
    </row>
    <row r="539" customFormat="false" ht="15.75" hidden="false" customHeight="false" outlineLevel="0" collapsed="false">
      <c r="A539" s="127"/>
      <c r="B539" s="127"/>
      <c r="C539" s="127"/>
      <c r="D539" s="127"/>
      <c r="E539" s="127"/>
      <c r="F539" s="127"/>
      <c r="G539" s="127"/>
      <c r="H539" s="127"/>
      <c r="I539" s="127"/>
      <c r="J539" s="127"/>
      <c r="K539" s="127"/>
      <c r="L539" s="127"/>
      <c r="M539" s="127"/>
      <c r="N539" s="127"/>
      <c r="O539" s="127"/>
      <c r="P539" s="127"/>
      <c r="Q539" s="127"/>
      <c r="R539" s="127"/>
      <c r="S539" s="127"/>
      <c r="T539" s="127"/>
      <c r="U539" s="127"/>
      <c r="V539" s="127"/>
      <c r="W539" s="127"/>
      <c r="X539" s="127"/>
      <c r="Y539" s="127"/>
      <c r="Z539" s="127"/>
    </row>
    <row r="540" customFormat="false" ht="15.75" hidden="false" customHeight="false" outlineLevel="0" collapsed="false">
      <c r="A540" s="127"/>
      <c r="B540" s="127"/>
      <c r="C540" s="127"/>
      <c r="D540" s="127"/>
      <c r="E540" s="127"/>
      <c r="F540" s="127"/>
      <c r="G540" s="127"/>
      <c r="H540" s="127"/>
      <c r="I540" s="127"/>
      <c r="J540" s="127"/>
      <c r="K540" s="127"/>
      <c r="L540" s="127"/>
      <c r="M540" s="127"/>
      <c r="N540" s="127"/>
      <c r="O540" s="127"/>
      <c r="P540" s="127"/>
      <c r="Q540" s="127"/>
      <c r="R540" s="127"/>
      <c r="S540" s="127"/>
      <c r="T540" s="127"/>
      <c r="U540" s="127"/>
      <c r="V540" s="127"/>
      <c r="W540" s="127"/>
      <c r="X540" s="127"/>
      <c r="Y540" s="127"/>
      <c r="Z540" s="127"/>
    </row>
    <row r="541" customFormat="false" ht="15.75" hidden="false" customHeight="false" outlineLevel="0" collapsed="false">
      <c r="A541" s="127"/>
      <c r="B541" s="127"/>
      <c r="C541" s="127"/>
      <c r="D541" s="127"/>
      <c r="E541" s="127"/>
      <c r="F541" s="127"/>
      <c r="G541" s="127"/>
      <c r="H541" s="127"/>
      <c r="I541" s="127"/>
      <c r="J541" s="127"/>
      <c r="K541" s="127"/>
      <c r="L541" s="127"/>
      <c r="M541" s="127"/>
      <c r="N541" s="127"/>
      <c r="O541" s="127"/>
      <c r="P541" s="127"/>
      <c r="Q541" s="127"/>
      <c r="R541" s="127"/>
      <c r="S541" s="127"/>
      <c r="T541" s="127"/>
      <c r="U541" s="127"/>
      <c r="V541" s="127"/>
      <c r="W541" s="127"/>
      <c r="X541" s="127"/>
      <c r="Y541" s="127"/>
      <c r="Z541" s="127"/>
    </row>
    <row r="542" customFormat="false" ht="15.75" hidden="false" customHeight="false" outlineLevel="0" collapsed="false">
      <c r="A542" s="127"/>
      <c r="B542" s="127"/>
      <c r="C542" s="127"/>
      <c r="D542" s="127"/>
      <c r="E542" s="127"/>
      <c r="F542" s="127"/>
      <c r="G542" s="127"/>
      <c r="H542" s="127"/>
      <c r="I542" s="127"/>
      <c r="J542" s="127"/>
      <c r="K542" s="127"/>
      <c r="L542" s="127"/>
      <c r="M542" s="127"/>
      <c r="N542" s="127"/>
      <c r="O542" s="127"/>
      <c r="P542" s="127"/>
      <c r="Q542" s="127"/>
      <c r="R542" s="127"/>
      <c r="S542" s="127"/>
      <c r="T542" s="127"/>
      <c r="U542" s="127"/>
      <c r="V542" s="127"/>
      <c r="W542" s="127"/>
      <c r="X542" s="127"/>
      <c r="Y542" s="127"/>
      <c r="Z542" s="127"/>
    </row>
    <row r="543" customFormat="false" ht="15.75" hidden="false" customHeight="false" outlineLevel="0" collapsed="false">
      <c r="A543" s="127"/>
      <c r="B543" s="127"/>
      <c r="C543" s="127"/>
      <c r="D543" s="127"/>
      <c r="E543" s="127"/>
      <c r="F543" s="127"/>
      <c r="G543" s="127"/>
      <c r="H543" s="127"/>
      <c r="I543" s="127"/>
      <c r="J543" s="127"/>
      <c r="K543" s="127"/>
      <c r="L543" s="127"/>
      <c r="M543" s="127"/>
      <c r="N543" s="127"/>
      <c r="O543" s="127"/>
      <c r="P543" s="127"/>
      <c r="Q543" s="127"/>
      <c r="R543" s="127"/>
      <c r="S543" s="127"/>
      <c r="T543" s="127"/>
      <c r="U543" s="127"/>
      <c r="V543" s="127"/>
      <c r="W543" s="127"/>
      <c r="X543" s="127"/>
      <c r="Y543" s="127"/>
      <c r="Z543" s="127"/>
    </row>
    <row r="544" customFormat="false" ht="15.75" hidden="false" customHeight="false" outlineLevel="0" collapsed="false">
      <c r="A544" s="127"/>
      <c r="B544" s="127"/>
      <c r="C544" s="127"/>
      <c r="D544" s="127"/>
      <c r="E544" s="127"/>
      <c r="F544" s="127"/>
      <c r="G544" s="127"/>
      <c r="H544" s="127"/>
      <c r="I544" s="127"/>
      <c r="J544" s="127"/>
      <c r="K544" s="127"/>
      <c r="L544" s="127"/>
      <c r="M544" s="127"/>
      <c r="N544" s="127"/>
      <c r="O544" s="127"/>
      <c r="P544" s="127"/>
      <c r="Q544" s="127"/>
      <c r="R544" s="127"/>
      <c r="S544" s="127"/>
      <c r="T544" s="127"/>
      <c r="U544" s="127"/>
      <c r="V544" s="127"/>
      <c r="W544" s="127"/>
      <c r="X544" s="127"/>
      <c r="Y544" s="127"/>
      <c r="Z544" s="127"/>
    </row>
    <row r="545" customFormat="false" ht="15.75" hidden="false" customHeight="false" outlineLevel="0" collapsed="false">
      <c r="A545" s="127"/>
      <c r="B545" s="127"/>
      <c r="C545" s="127"/>
      <c r="D545" s="127"/>
      <c r="E545" s="127"/>
      <c r="F545" s="127"/>
      <c r="G545" s="127"/>
      <c r="H545" s="127"/>
      <c r="I545" s="127"/>
      <c r="J545" s="127"/>
      <c r="K545" s="127"/>
      <c r="L545" s="127"/>
      <c r="M545" s="127"/>
      <c r="N545" s="127"/>
      <c r="O545" s="127"/>
      <c r="P545" s="127"/>
      <c r="Q545" s="127"/>
      <c r="R545" s="127"/>
      <c r="S545" s="127"/>
      <c r="T545" s="127"/>
      <c r="U545" s="127"/>
      <c r="V545" s="127"/>
      <c r="W545" s="127"/>
      <c r="X545" s="127"/>
      <c r="Y545" s="127"/>
      <c r="Z545" s="127"/>
    </row>
    <row r="546" customFormat="false" ht="15.75" hidden="false" customHeight="false" outlineLevel="0" collapsed="false">
      <c r="A546" s="127"/>
      <c r="B546" s="127"/>
      <c r="C546" s="127"/>
      <c r="D546" s="127"/>
      <c r="E546" s="127"/>
      <c r="F546" s="127"/>
      <c r="G546" s="127"/>
      <c r="H546" s="127"/>
      <c r="I546" s="127"/>
      <c r="J546" s="127"/>
      <c r="K546" s="127"/>
      <c r="L546" s="127"/>
      <c r="M546" s="127"/>
      <c r="N546" s="127"/>
      <c r="O546" s="127"/>
      <c r="P546" s="127"/>
      <c r="Q546" s="127"/>
      <c r="R546" s="127"/>
      <c r="S546" s="127"/>
      <c r="T546" s="127"/>
      <c r="U546" s="127"/>
      <c r="V546" s="127"/>
      <c r="W546" s="127"/>
      <c r="X546" s="127"/>
      <c r="Y546" s="127"/>
      <c r="Z546" s="127"/>
    </row>
    <row r="547" customFormat="false" ht="15.75" hidden="false" customHeight="false" outlineLevel="0" collapsed="false">
      <c r="A547" s="127"/>
      <c r="B547" s="127"/>
      <c r="C547" s="127"/>
      <c r="D547" s="127"/>
      <c r="E547" s="127"/>
      <c r="F547" s="127"/>
      <c r="G547" s="127"/>
      <c r="H547" s="127"/>
      <c r="I547" s="127"/>
      <c r="J547" s="127"/>
      <c r="K547" s="127"/>
      <c r="L547" s="127"/>
      <c r="M547" s="127"/>
      <c r="N547" s="127"/>
      <c r="O547" s="127"/>
      <c r="P547" s="127"/>
      <c r="Q547" s="127"/>
      <c r="R547" s="127"/>
      <c r="S547" s="127"/>
      <c r="T547" s="127"/>
      <c r="U547" s="127"/>
      <c r="V547" s="127"/>
      <c r="W547" s="127"/>
      <c r="X547" s="127"/>
      <c r="Y547" s="127"/>
      <c r="Z547" s="127"/>
    </row>
    <row r="548" customFormat="false" ht="15.75" hidden="false" customHeight="false" outlineLevel="0" collapsed="false">
      <c r="A548" s="127"/>
      <c r="B548" s="127"/>
      <c r="C548" s="127"/>
      <c r="D548" s="127"/>
      <c r="E548" s="127"/>
      <c r="F548" s="127"/>
      <c r="G548" s="127"/>
      <c r="H548" s="127"/>
      <c r="I548" s="127"/>
      <c r="J548" s="127"/>
      <c r="K548" s="127"/>
      <c r="L548" s="127"/>
      <c r="M548" s="127"/>
      <c r="N548" s="127"/>
      <c r="O548" s="127"/>
      <c r="P548" s="127"/>
      <c r="Q548" s="127"/>
      <c r="R548" s="127"/>
      <c r="S548" s="127"/>
      <c r="T548" s="127"/>
      <c r="U548" s="127"/>
      <c r="V548" s="127"/>
      <c r="W548" s="127"/>
      <c r="X548" s="127"/>
      <c r="Y548" s="127"/>
      <c r="Z548" s="127"/>
    </row>
    <row r="549" customFormat="false" ht="15.75" hidden="false" customHeight="false" outlineLevel="0" collapsed="false">
      <c r="A549" s="127"/>
      <c r="B549" s="127"/>
      <c r="C549" s="127"/>
      <c r="D549" s="127"/>
      <c r="E549" s="127"/>
      <c r="F549" s="127"/>
      <c r="G549" s="127"/>
      <c r="H549" s="127"/>
      <c r="I549" s="127"/>
      <c r="J549" s="127"/>
      <c r="K549" s="127"/>
      <c r="L549" s="127"/>
      <c r="M549" s="127"/>
      <c r="N549" s="127"/>
      <c r="O549" s="127"/>
      <c r="P549" s="127"/>
      <c r="Q549" s="127"/>
      <c r="R549" s="127"/>
      <c r="S549" s="127"/>
      <c r="T549" s="127"/>
      <c r="U549" s="127"/>
      <c r="V549" s="127"/>
      <c r="W549" s="127"/>
      <c r="X549" s="127"/>
      <c r="Y549" s="127"/>
      <c r="Z549" s="127"/>
    </row>
    <row r="550" customFormat="false" ht="15.75" hidden="false" customHeight="false" outlineLevel="0" collapsed="false">
      <c r="A550" s="127"/>
      <c r="B550" s="127"/>
      <c r="C550" s="127"/>
      <c r="D550" s="127"/>
      <c r="E550" s="127"/>
      <c r="F550" s="127"/>
      <c r="G550" s="127"/>
      <c r="H550" s="127"/>
      <c r="I550" s="127"/>
      <c r="J550" s="127"/>
      <c r="K550" s="127"/>
      <c r="L550" s="127"/>
      <c r="M550" s="127"/>
      <c r="N550" s="127"/>
      <c r="O550" s="127"/>
      <c r="P550" s="127"/>
      <c r="Q550" s="127"/>
      <c r="R550" s="127"/>
      <c r="S550" s="127"/>
      <c r="T550" s="127"/>
      <c r="U550" s="127"/>
      <c r="V550" s="127"/>
      <c r="W550" s="127"/>
      <c r="X550" s="127"/>
      <c r="Y550" s="127"/>
      <c r="Z550" s="127"/>
    </row>
    <row r="551" customFormat="false" ht="15.75" hidden="false" customHeight="false" outlineLevel="0" collapsed="false">
      <c r="A551" s="127"/>
      <c r="B551" s="127"/>
      <c r="C551" s="127"/>
      <c r="D551" s="127"/>
      <c r="E551" s="127"/>
      <c r="F551" s="127"/>
      <c r="G551" s="127"/>
      <c r="H551" s="127"/>
      <c r="I551" s="127"/>
      <c r="J551" s="127"/>
      <c r="K551" s="127"/>
      <c r="L551" s="127"/>
      <c r="M551" s="127"/>
      <c r="N551" s="127"/>
      <c r="O551" s="127"/>
      <c r="P551" s="127"/>
      <c r="Q551" s="127"/>
      <c r="R551" s="127"/>
      <c r="S551" s="127"/>
      <c r="T551" s="127"/>
      <c r="U551" s="127"/>
      <c r="V551" s="127"/>
      <c r="W551" s="127"/>
      <c r="X551" s="127"/>
      <c r="Y551" s="127"/>
      <c r="Z551" s="127"/>
    </row>
    <row r="552" customFormat="false" ht="15.75" hidden="false" customHeight="false" outlineLevel="0" collapsed="false">
      <c r="A552" s="127"/>
      <c r="B552" s="127"/>
      <c r="C552" s="127"/>
      <c r="D552" s="127"/>
      <c r="E552" s="127"/>
      <c r="F552" s="127"/>
      <c r="G552" s="127"/>
      <c r="H552" s="127"/>
      <c r="I552" s="127"/>
      <c r="J552" s="127"/>
      <c r="K552" s="127"/>
      <c r="L552" s="127"/>
      <c r="M552" s="127"/>
      <c r="N552" s="127"/>
      <c r="O552" s="127"/>
      <c r="P552" s="127"/>
      <c r="Q552" s="127"/>
      <c r="R552" s="127"/>
      <c r="S552" s="127"/>
      <c r="T552" s="127"/>
      <c r="U552" s="127"/>
      <c r="V552" s="127"/>
      <c r="W552" s="127"/>
      <c r="X552" s="127"/>
      <c r="Y552" s="127"/>
      <c r="Z552" s="127"/>
    </row>
    <row r="553" customFormat="false" ht="15.75" hidden="false" customHeight="false" outlineLevel="0" collapsed="false">
      <c r="A553" s="127"/>
      <c r="B553" s="127"/>
      <c r="C553" s="127"/>
      <c r="D553" s="127"/>
      <c r="E553" s="127"/>
      <c r="F553" s="127"/>
      <c r="G553" s="127"/>
      <c r="H553" s="127"/>
      <c r="I553" s="127"/>
      <c r="J553" s="127"/>
      <c r="K553" s="127"/>
      <c r="L553" s="127"/>
      <c r="M553" s="127"/>
      <c r="N553" s="127"/>
      <c r="O553" s="127"/>
      <c r="P553" s="127"/>
      <c r="Q553" s="127"/>
      <c r="R553" s="127"/>
      <c r="S553" s="127"/>
      <c r="T553" s="127"/>
      <c r="U553" s="127"/>
      <c r="V553" s="127"/>
      <c r="W553" s="127"/>
      <c r="X553" s="127"/>
      <c r="Y553" s="127"/>
      <c r="Z553" s="127"/>
    </row>
    <row r="554" customFormat="false" ht="15.75" hidden="false" customHeight="false" outlineLevel="0" collapsed="false">
      <c r="A554" s="127"/>
      <c r="B554" s="127"/>
      <c r="C554" s="127"/>
      <c r="D554" s="127"/>
      <c r="E554" s="127"/>
      <c r="F554" s="127"/>
      <c r="G554" s="127"/>
      <c r="H554" s="127"/>
      <c r="I554" s="127"/>
      <c r="J554" s="127"/>
      <c r="K554" s="127"/>
      <c r="L554" s="127"/>
      <c r="M554" s="127"/>
      <c r="N554" s="127"/>
      <c r="O554" s="127"/>
      <c r="P554" s="127"/>
      <c r="Q554" s="127"/>
      <c r="R554" s="127"/>
      <c r="S554" s="127"/>
      <c r="T554" s="127"/>
      <c r="U554" s="127"/>
      <c r="V554" s="127"/>
      <c r="W554" s="127"/>
      <c r="X554" s="127"/>
      <c r="Y554" s="127"/>
      <c r="Z554" s="127"/>
    </row>
    <row r="555" customFormat="false" ht="15.75" hidden="false" customHeight="false" outlineLevel="0" collapsed="false">
      <c r="A555" s="127"/>
      <c r="B555" s="127"/>
      <c r="C555" s="127"/>
      <c r="D555" s="127"/>
      <c r="E555" s="127"/>
      <c r="F555" s="127"/>
      <c r="G555" s="127"/>
      <c r="H555" s="127"/>
      <c r="I555" s="127"/>
      <c r="J555" s="127"/>
      <c r="K555" s="127"/>
      <c r="L555" s="127"/>
      <c r="M555" s="127"/>
      <c r="N555" s="127"/>
      <c r="O555" s="127"/>
      <c r="P555" s="127"/>
      <c r="Q555" s="127"/>
      <c r="R555" s="127"/>
      <c r="S555" s="127"/>
      <c r="T555" s="127"/>
      <c r="U555" s="127"/>
      <c r="V555" s="127"/>
      <c r="W555" s="127"/>
      <c r="X555" s="127"/>
      <c r="Y555" s="127"/>
      <c r="Z555" s="127"/>
    </row>
    <row r="556" customFormat="false" ht="15.75" hidden="false" customHeight="false" outlineLevel="0" collapsed="false">
      <c r="A556" s="127"/>
      <c r="B556" s="127"/>
      <c r="C556" s="127"/>
      <c r="D556" s="127"/>
      <c r="E556" s="127"/>
      <c r="F556" s="127"/>
      <c r="G556" s="127"/>
      <c r="H556" s="127"/>
      <c r="I556" s="127"/>
      <c r="J556" s="127"/>
      <c r="K556" s="127"/>
      <c r="L556" s="127"/>
      <c r="M556" s="127"/>
      <c r="N556" s="127"/>
      <c r="O556" s="127"/>
      <c r="P556" s="127"/>
      <c r="Q556" s="127"/>
      <c r="R556" s="127"/>
      <c r="S556" s="127"/>
      <c r="T556" s="127"/>
      <c r="U556" s="127"/>
      <c r="V556" s="127"/>
      <c r="W556" s="127"/>
      <c r="X556" s="127"/>
      <c r="Y556" s="127"/>
      <c r="Z556" s="127"/>
    </row>
    <row r="557" customFormat="false" ht="15.75" hidden="false" customHeight="false" outlineLevel="0" collapsed="false">
      <c r="A557" s="127"/>
      <c r="B557" s="127"/>
      <c r="C557" s="127"/>
      <c r="D557" s="127"/>
      <c r="E557" s="127"/>
      <c r="F557" s="127"/>
      <c r="G557" s="127"/>
      <c r="H557" s="127"/>
      <c r="I557" s="127"/>
      <c r="J557" s="127"/>
      <c r="K557" s="127"/>
      <c r="L557" s="127"/>
      <c r="M557" s="127"/>
      <c r="N557" s="127"/>
      <c r="O557" s="127"/>
      <c r="P557" s="127"/>
      <c r="Q557" s="127"/>
      <c r="R557" s="127"/>
      <c r="S557" s="127"/>
      <c r="T557" s="127"/>
      <c r="U557" s="127"/>
      <c r="V557" s="127"/>
      <c r="W557" s="127"/>
      <c r="X557" s="127"/>
      <c r="Y557" s="127"/>
      <c r="Z557" s="127"/>
    </row>
    <row r="558" customFormat="false" ht="15.75" hidden="false" customHeight="false" outlineLevel="0" collapsed="false">
      <c r="A558" s="127"/>
      <c r="B558" s="127"/>
      <c r="C558" s="127"/>
      <c r="D558" s="127"/>
      <c r="E558" s="127"/>
      <c r="F558" s="127"/>
      <c r="G558" s="127"/>
      <c r="H558" s="127"/>
      <c r="I558" s="127"/>
      <c r="J558" s="127"/>
      <c r="K558" s="127"/>
      <c r="L558" s="127"/>
      <c r="M558" s="127"/>
      <c r="N558" s="127"/>
      <c r="O558" s="127"/>
      <c r="P558" s="127"/>
      <c r="Q558" s="127"/>
      <c r="R558" s="127"/>
      <c r="S558" s="127"/>
      <c r="T558" s="127"/>
      <c r="U558" s="127"/>
      <c r="V558" s="127"/>
      <c r="W558" s="127"/>
      <c r="X558" s="127"/>
      <c r="Y558" s="127"/>
      <c r="Z558" s="127"/>
    </row>
    <row r="559" customFormat="false" ht="15.75" hidden="false" customHeight="false" outlineLevel="0" collapsed="false">
      <c r="A559" s="127"/>
      <c r="B559" s="127"/>
      <c r="C559" s="127"/>
      <c r="D559" s="127"/>
      <c r="E559" s="127"/>
      <c r="F559" s="127"/>
      <c r="G559" s="127"/>
      <c r="H559" s="127"/>
      <c r="I559" s="127"/>
      <c r="J559" s="127"/>
      <c r="K559" s="127"/>
      <c r="L559" s="127"/>
      <c r="M559" s="127"/>
      <c r="N559" s="127"/>
      <c r="O559" s="127"/>
      <c r="P559" s="127"/>
      <c r="Q559" s="127"/>
      <c r="R559" s="127"/>
      <c r="S559" s="127"/>
      <c r="T559" s="127"/>
      <c r="U559" s="127"/>
      <c r="V559" s="127"/>
      <c r="W559" s="127"/>
      <c r="X559" s="127"/>
      <c r="Y559" s="127"/>
      <c r="Z559" s="127"/>
    </row>
    <row r="560" customFormat="false" ht="15.75" hidden="false" customHeight="false" outlineLevel="0" collapsed="false">
      <c r="A560" s="127"/>
      <c r="B560" s="127"/>
      <c r="C560" s="127"/>
      <c r="D560" s="127"/>
      <c r="E560" s="127"/>
      <c r="F560" s="127"/>
      <c r="G560" s="127"/>
      <c r="H560" s="127"/>
      <c r="I560" s="127"/>
      <c r="J560" s="127"/>
      <c r="K560" s="127"/>
      <c r="L560" s="127"/>
      <c r="M560" s="127"/>
      <c r="N560" s="127"/>
      <c r="O560" s="127"/>
      <c r="P560" s="127"/>
      <c r="Q560" s="127"/>
      <c r="R560" s="127"/>
      <c r="S560" s="127"/>
      <c r="T560" s="127"/>
      <c r="U560" s="127"/>
      <c r="V560" s="127"/>
      <c r="W560" s="127"/>
      <c r="X560" s="127"/>
      <c r="Y560" s="127"/>
      <c r="Z560" s="127"/>
    </row>
    <row r="561" customFormat="false" ht="15.75" hidden="false" customHeight="false" outlineLevel="0" collapsed="false">
      <c r="A561" s="127"/>
      <c r="B561" s="127"/>
      <c r="C561" s="127"/>
      <c r="D561" s="127"/>
      <c r="E561" s="127"/>
      <c r="F561" s="127"/>
      <c r="G561" s="127"/>
      <c r="H561" s="127"/>
      <c r="I561" s="127"/>
      <c r="J561" s="127"/>
      <c r="K561" s="127"/>
      <c r="L561" s="127"/>
      <c r="M561" s="127"/>
      <c r="N561" s="127"/>
      <c r="O561" s="127"/>
      <c r="P561" s="127"/>
      <c r="Q561" s="127"/>
      <c r="R561" s="127"/>
      <c r="S561" s="127"/>
      <c r="T561" s="127"/>
      <c r="U561" s="127"/>
      <c r="V561" s="127"/>
      <c r="W561" s="127"/>
      <c r="X561" s="127"/>
      <c r="Y561" s="127"/>
      <c r="Z561" s="127"/>
    </row>
    <row r="562" customFormat="false" ht="15.75" hidden="false" customHeight="false" outlineLevel="0" collapsed="false">
      <c r="A562" s="127"/>
      <c r="B562" s="127"/>
      <c r="C562" s="127"/>
      <c r="D562" s="127"/>
      <c r="E562" s="127"/>
      <c r="F562" s="127"/>
      <c r="G562" s="127"/>
      <c r="H562" s="127"/>
      <c r="I562" s="127"/>
      <c r="J562" s="127"/>
      <c r="K562" s="127"/>
      <c r="L562" s="127"/>
      <c r="M562" s="127"/>
      <c r="N562" s="127"/>
      <c r="O562" s="127"/>
      <c r="P562" s="127"/>
      <c r="Q562" s="127"/>
      <c r="R562" s="127"/>
      <c r="S562" s="127"/>
      <c r="T562" s="127"/>
      <c r="U562" s="127"/>
      <c r="V562" s="127"/>
      <c r="W562" s="127"/>
      <c r="X562" s="127"/>
      <c r="Y562" s="127"/>
      <c r="Z562" s="127"/>
    </row>
    <row r="563" customFormat="false" ht="15.75" hidden="false" customHeight="false" outlineLevel="0" collapsed="false">
      <c r="A563" s="127"/>
      <c r="B563" s="127"/>
      <c r="C563" s="127"/>
      <c r="D563" s="127"/>
      <c r="E563" s="127"/>
      <c r="F563" s="127"/>
      <c r="G563" s="127"/>
      <c r="H563" s="127"/>
      <c r="I563" s="127"/>
      <c r="J563" s="127"/>
      <c r="K563" s="127"/>
      <c r="L563" s="127"/>
      <c r="M563" s="127"/>
      <c r="N563" s="127"/>
      <c r="O563" s="127"/>
      <c r="P563" s="127"/>
      <c r="Q563" s="127"/>
      <c r="R563" s="127"/>
      <c r="S563" s="127"/>
      <c r="T563" s="127"/>
      <c r="U563" s="127"/>
      <c r="V563" s="127"/>
      <c r="W563" s="127"/>
      <c r="X563" s="127"/>
      <c r="Y563" s="127"/>
      <c r="Z563" s="127"/>
    </row>
    <row r="564" customFormat="false" ht="15.75" hidden="false" customHeight="false" outlineLevel="0" collapsed="false">
      <c r="A564" s="127"/>
      <c r="B564" s="127"/>
      <c r="C564" s="127"/>
      <c r="D564" s="127"/>
      <c r="E564" s="127"/>
      <c r="F564" s="127"/>
      <c r="G564" s="127"/>
      <c r="H564" s="127"/>
      <c r="I564" s="127"/>
      <c r="J564" s="127"/>
      <c r="K564" s="127"/>
      <c r="L564" s="127"/>
      <c r="M564" s="127"/>
      <c r="N564" s="127"/>
      <c r="O564" s="127"/>
      <c r="P564" s="127"/>
      <c r="Q564" s="127"/>
      <c r="R564" s="127"/>
      <c r="S564" s="127"/>
      <c r="T564" s="127"/>
      <c r="U564" s="127"/>
      <c r="V564" s="127"/>
      <c r="W564" s="127"/>
      <c r="X564" s="127"/>
      <c r="Y564" s="127"/>
      <c r="Z564" s="127"/>
    </row>
    <row r="565" customFormat="false" ht="15.75" hidden="false" customHeight="false" outlineLevel="0" collapsed="false">
      <c r="A565" s="127"/>
      <c r="B565" s="127"/>
      <c r="C565" s="127"/>
      <c r="D565" s="127"/>
      <c r="E565" s="127"/>
      <c r="F565" s="127"/>
      <c r="G565" s="127"/>
      <c r="H565" s="127"/>
      <c r="I565" s="127"/>
      <c r="J565" s="127"/>
      <c r="K565" s="127"/>
      <c r="L565" s="127"/>
      <c r="M565" s="127"/>
      <c r="N565" s="127"/>
      <c r="O565" s="127"/>
      <c r="P565" s="127"/>
      <c r="Q565" s="127"/>
      <c r="R565" s="127"/>
      <c r="S565" s="127"/>
      <c r="T565" s="127"/>
      <c r="U565" s="127"/>
      <c r="V565" s="127"/>
      <c r="W565" s="127"/>
      <c r="X565" s="127"/>
      <c r="Y565" s="127"/>
      <c r="Z565" s="127"/>
    </row>
    <row r="566" customFormat="false" ht="15.75" hidden="false" customHeight="false" outlineLevel="0" collapsed="false">
      <c r="A566" s="127"/>
      <c r="B566" s="127"/>
      <c r="C566" s="127"/>
      <c r="D566" s="127"/>
      <c r="E566" s="127"/>
      <c r="F566" s="127"/>
      <c r="G566" s="127"/>
      <c r="H566" s="127"/>
      <c r="I566" s="127"/>
      <c r="J566" s="127"/>
      <c r="K566" s="127"/>
      <c r="L566" s="127"/>
      <c r="M566" s="127"/>
      <c r="N566" s="127"/>
      <c r="O566" s="127"/>
      <c r="P566" s="127"/>
      <c r="Q566" s="127"/>
      <c r="R566" s="127"/>
      <c r="S566" s="127"/>
      <c r="T566" s="127"/>
      <c r="U566" s="127"/>
      <c r="V566" s="127"/>
      <c r="W566" s="127"/>
      <c r="X566" s="127"/>
      <c r="Y566" s="127"/>
      <c r="Z566" s="127"/>
    </row>
    <row r="567" customFormat="false" ht="15.75" hidden="false" customHeight="false" outlineLevel="0" collapsed="false">
      <c r="A567" s="127"/>
      <c r="B567" s="127"/>
      <c r="C567" s="127"/>
      <c r="D567" s="127"/>
      <c r="E567" s="127"/>
      <c r="F567" s="127"/>
      <c r="G567" s="127"/>
      <c r="H567" s="127"/>
      <c r="I567" s="127"/>
      <c r="J567" s="127"/>
      <c r="K567" s="127"/>
      <c r="L567" s="127"/>
      <c r="M567" s="127"/>
      <c r="N567" s="127"/>
      <c r="O567" s="127"/>
      <c r="P567" s="127"/>
      <c r="Q567" s="127"/>
      <c r="R567" s="127"/>
      <c r="S567" s="127"/>
      <c r="T567" s="127"/>
      <c r="U567" s="127"/>
      <c r="V567" s="127"/>
      <c r="W567" s="127"/>
      <c r="X567" s="127"/>
      <c r="Y567" s="127"/>
      <c r="Z567" s="127"/>
    </row>
    <row r="568" customFormat="false" ht="15.75" hidden="false" customHeight="false" outlineLevel="0" collapsed="false">
      <c r="A568" s="127"/>
      <c r="B568" s="127"/>
      <c r="C568" s="127"/>
      <c r="D568" s="127"/>
      <c r="E568" s="127"/>
      <c r="F568" s="127"/>
      <c r="G568" s="127"/>
      <c r="H568" s="127"/>
      <c r="I568" s="127"/>
      <c r="J568" s="127"/>
      <c r="K568" s="127"/>
      <c r="L568" s="127"/>
      <c r="M568" s="127"/>
      <c r="N568" s="127"/>
      <c r="O568" s="127"/>
      <c r="P568" s="127"/>
      <c r="Q568" s="127"/>
      <c r="R568" s="127"/>
      <c r="S568" s="127"/>
      <c r="T568" s="127"/>
      <c r="U568" s="127"/>
      <c r="V568" s="127"/>
      <c r="W568" s="127"/>
      <c r="X568" s="127"/>
      <c r="Y568" s="127"/>
      <c r="Z568" s="127"/>
    </row>
    <row r="569" customFormat="false" ht="15.75" hidden="false" customHeight="false" outlineLevel="0" collapsed="false">
      <c r="A569" s="127"/>
      <c r="B569" s="127"/>
      <c r="C569" s="127"/>
      <c r="D569" s="127"/>
      <c r="E569" s="127"/>
      <c r="F569" s="127"/>
      <c r="G569" s="127"/>
      <c r="H569" s="127"/>
      <c r="I569" s="127"/>
      <c r="J569" s="127"/>
      <c r="K569" s="127"/>
      <c r="L569" s="127"/>
      <c r="M569" s="127"/>
      <c r="N569" s="127"/>
      <c r="O569" s="127"/>
      <c r="P569" s="127"/>
      <c r="Q569" s="127"/>
      <c r="R569" s="127"/>
      <c r="S569" s="127"/>
      <c r="T569" s="127"/>
      <c r="U569" s="127"/>
      <c r="V569" s="127"/>
      <c r="W569" s="127"/>
      <c r="X569" s="127"/>
      <c r="Y569" s="127"/>
      <c r="Z569" s="127"/>
    </row>
    <row r="570" customFormat="false" ht="15.75" hidden="false" customHeight="false" outlineLevel="0" collapsed="false">
      <c r="A570" s="127"/>
      <c r="B570" s="127"/>
      <c r="C570" s="127"/>
      <c r="D570" s="127"/>
      <c r="E570" s="127"/>
      <c r="F570" s="127"/>
      <c r="G570" s="127"/>
      <c r="H570" s="127"/>
      <c r="I570" s="127"/>
      <c r="J570" s="127"/>
      <c r="K570" s="127"/>
      <c r="L570" s="127"/>
      <c r="M570" s="127"/>
      <c r="N570" s="127"/>
      <c r="O570" s="127"/>
      <c r="P570" s="127"/>
      <c r="Q570" s="127"/>
      <c r="R570" s="127"/>
      <c r="S570" s="127"/>
      <c r="T570" s="127"/>
      <c r="U570" s="127"/>
      <c r="V570" s="127"/>
      <c r="W570" s="127"/>
      <c r="X570" s="127"/>
      <c r="Y570" s="127"/>
      <c r="Z570" s="127"/>
    </row>
    <row r="571" customFormat="false" ht="15.75" hidden="false" customHeight="false" outlineLevel="0" collapsed="false">
      <c r="A571" s="127"/>
      <c r="B571" s="127"/>
      <c r="C571" s="127"/>
      <c r="D571" s="127"/>
      <c r="E571" s="127"/>
      <c r="F571" s="127"/>
      <c r="G571" s="127"/>
      <c r="H571" s="127"/>
      <c r="I571" s="127"/>
      <c r="J571" s="127"/>
      <c r="K571" s="127"/>
      <c r="L571" s="127"/>
      <c r="M571" s="127"/>
      <c r="N571" s="127"/>
      <c r="O571" s="127"/>
      <c r="P571" s="127"/>
      <c r="Q571" s="127"/>
      <c r="R571" s="127"/>
      <c r="S571" s="127"/>
      <c r="T571" s="127"/>
      <c r="U571" s="127"/>
      <c r="V571" s="127"/>
      <c r="W571" s="127"/>
      <c r="X571" s="127"/>
      <c r="Y571" s="127"/>
      <c r="Z571" s="127"/>
    </row>
    <row r="572" customFormat="false" ht="15.75" hidden="false" customHeight="false" outlineLevel="0" collapsed="false">
      <c r="A572" s="127"/>
      <c r="B572" s="127"/>
      <c r="C572" s="127"/>
      <c r="D572" s="127"/>
      <c r="E572" s="127"/>
      <c r="F572" s="127"/>
      <c r="G572" s="127"/>
      <c r="H572" s="127"/>
      <c r="I572" s="127"/>
      <c r="J572" s="127"/>
      <c r="K572" s="127"/>
      <c r="L572" s="127"/>
      <c r="M572" s="127"/>
      <c r="N572" s="127"/>
      <c r="O572" s="127"/>
      <c r="P572" s="127"/>
      <c r="Q572" s="127"/>
      <c r="R572" s="127"/>
      <c r="S572" s="127"/>
      <c r="T572" s="127"/>
      <c r="U572" s="127"/>
      <c r="V572" s="127"/>
      <c r="W572" s="127"/>
      <c r="X572" s="127"/>
      <c r="Y572" s="127"/>
      <c r="Z572" s="127"/>
    </row>
    <row r="573" customFormat="false" ht="15.75" hidden="false" customHeight="false" outlineLevel="0" collapsed="false">
      <c r="A573" s="127"/>
      <c r="B573" s="127"/>
      <c r="C573" s="127"/>
      <c r="D573" s="127"/>
      <c r="E573" s="127"/>
      <c r="F573" s="127"/>
      <c r="G573" s="127"/>
      <c r="H573" s="127"/>
      <c r="I573" s="127"/>
      <c r="J573" s="127"/>
      <c r="K573" s="127"/>
      <c r="L573" s="127"/>
      <c r="M573" s="127"/>
      <c r="N573" s="127"/>
      <c r="O573" s="127"/>
      <c r="P573" s="127"/>
      <c r="Q573" s="127"/>
      <c r="R573" s="127"/>
      <c r="S573" s="127"/>
      <c r="T573" s="127"/>
      <c r="U573" s="127"/>
      <c r="V573" s="127"/>
      <c r="W573" s="127"/>
      <c r="X573" s="127"/>
      <c r="Y573" s="127"/>
      <c r="Z573" s="127"/>
    </row>
    <row r="574" customFormat="false" ht="15.75" hidden="false" customHeight="false" outlineLevel="0" collapsed="false">
      <c r="A574" s="127"/>
      <c r="B574" s="127"/>
      <c r="C574" s="127"/>
      <c r="D574" s="127"/>
      <c r="E574" s="127"/>
      <c r="F574" s="127"/>
      <c r="G574" s="127"/>
      <c r="H574" s="127"/>
      <c r="I574" s="127"/>
      <c r="J574" s="127"/>
      <c r="K574" s="127"/>
      <c r="L574" s="127"/>
      <c r="M574" s="127"/>
      <c r="N574" s="127"/>
      <c r="O574" s="127"/>
      <c r="P574" s="127"/>
      <c r="Q574" s="127"/>
      <c r="R574" s="127"/>
      <c r="S574" s="127"/>
      <c r="T574" s="127"/>
      <c r="U574" s="127"/>
      <c r="V574" s="127"/>
      <c r="W574" s="127"/>
      <c r="X574" s="127"/>
      <c r="Y574" s="127"/>
      <c r="Z574" s="127"/>
    </row>
    <row r="575" customFormat="false" ht="15.75" hidden="false" customHeight="false" outlineLevel="0" collapsed="false">
      <c r="A575" s="127"/>
      <c r="B575" s="127"/>
      <c r="C575" s="127"/>
      <c r="D575" s="127"/>
      <c r="E575" s="127"/>
      <c r="F575" s="127"/>
      <c r="G575" s="127"/>
      <c r="H575" s="127"/>
      <c r="I575" s="127"/>
      <c r="J575" s="127"/>
      <c r="K575" s="127"/>
      <c r="L575" s="127"/>
      <c r="M575" s="127"/>
      <c r="N575" s="127"/>
      <c r="O575" s="127"/>
      <c r="P575" s="127"/>
      <c r="Q575" s="127"/>
      <c r="R575" s="127"/>
      <c r="S575" s="127"/>
      <c r="T575" s="127"/>
      <c r="U575" s="127"/>
      <c r="V575" s="127"/>
      <c r="W575" s="127"/>
      <c r="X575" s="127"/>
      <c r="Y575" s="127"/>
      <c r="Z575" s="127"/>
    </row>
    <row r="576" customFormat="false" ht="15.75" hidden="false" customHeight="false" outlineLevel="0" collapsed="false">
      <c r="A576" s="127"/>
      <c r="B576" s="127"/>
      <c r="C576" s="127"/>
      <c r="D576" s="127"/>
      <c r="E576" s="127"/>
      <c r="F576" s="127"/>
      <c r="G576" s="127"/>
      <c r="H576" s="127"/>
      <c r="I576" s="127"/>
      <c r="J576" s="127"/>
      <c r="K576" s="127"/>
      <c r="L576" s="127"/>
      <c r="M576" s="127"/>
      <c r="N576" s="127"/>
      <c r="O576" s="127"/>
      <c r="P576" s="127"/>
      <c r="Q576" s="127"/>
      <c r="R576" s="127"/>
      <c r="S576" s="127"/>
      <c r="T576" s="127"/>
      <c r="U576" s="127"/>
      <c r="V576" s="127"/>
      <c r="W576" s="127"/>
      <c r="X576" s="127"/>
      <c r="Y576" s="127"/>
      <c r="Z576" s="127"/>
    </row>
    <row r="577" customFormat="false" ht="15.75" hidden="false" customHeight="false" outlineLevel="0" collapsed="false">
      <c r="A577" s="127"/>
      <c r="B577" s="127"/>
      <c r="C577" s="127"/>
      <c r="D577" s="127"/>
      <c r="E577" s="127"/>
      <c r="F577" s="127"/>
      <c r="G577" s="127"/>
      <c r="H577" s="127"/>
      <c r="I577" s="127"/>
      <c r="J577" s="127"/>
      <c r="K577" s="127"/>
      <c r="L577" s="127"/>
      <c r="M577" s="127"/>
      <c r="N577" s="127"/>
      <c r="O577" s="127"/>
      <c r="P577" s="127"/>
      <c r="Q577" s="127"/>
      <c r="R577" s="127"/>
      <c r="S577" s="127"/>
      <c r="T577" s="127"/>
      <c r="U577" s="127"/>
      <c r="V577" s="127"/>
      <c r="W577" s="127"/>
      <c r="X577" s="127"/>
      <c r="Y577" s="127"/>
      <c r="Z577" s="127"/>
    </row>
    <row r="578" customFormat="false" ht="15.75" hidden="false" customHeight="false" outlineLevel="0" collapsed="false">
      <c r="A578" s="127"/>
      <c r="B578" s="127"/>
      <c r="C578" s="127"/>
      <c r="D578" s="127"/>
      <c r="E578" s="127"/>
      <c r="F578" s="127"/>
      <c r="G578" s="127"/>
      <c r="H578" s="127"/>
      <c r="I578" s="127"/>
      <c r="J578" s="127"/>
      <c r="K578" s="127"/>
      <c r="L578" s="127"/>
      <c r="M578" s="127"/>
      <c r="N578" s="127"/>
      <c r="O578" s="127"/>
      <c r="P578" s="127"/>
      <c r="Q578" s="127"/>
      <c r="R578" s="127"/>
      <c r="S578" s="127"/>
      <c r="T578" s="127"/>
      <c r="U578" s="127"/>
      <c r="V578" s="127"/>
      <c r="W578" s="127"/>
      <c r="X578" s="127"/>
      <c r="Y578" s="127"/>
      <c r="Z578" s="127"/>
    </row>
    <row r="579" customFormat="false" ht="15.75" hidden="false" customHeight="false" outlineLevel="0" collapsed="false">
      <c r="A579" s="127"/>
      <c r="B579" s="127"/>
      <c r="C579" s="127"/>
      <c r="D579" s="127"/>
      <c r="E579" s="127"/>
      <c r="F579" s="127"/>
      <c r="G579" s="127"/>
      <c r="H579" s="127"/>
      <c r="I579" s="127"/>
      <c r="J579" s="127"/>
      <c r="K579" s="127"/>
      <c r="L579" s="127"/>
      <c r="M579" s="127"/>
      <c r="N579" s="127"/>
      <c r="O579" s="127"/>
      <c r="P579" s="127"/>
      <c r="Q579" s="127"/>
      <c r="R579" s="127"/>
      <c r="S579" s="127"/>
      <c r="T579" s="127"/>
      <c r="U579" s="127"/>
      <c r="V579" s="127"/>
      <c r="W579" s="127"/>
      <c r="X579" s="127"/>
      <c r="Y579" s="127"/>
      <c r="Z579" s="127"/>
    </row>
    <row r="580" customFormat="false" ht="15.75" hidden="false" customHeight="false" outlineLevel="0" collapsed="false">
      <c r="A580" s="127"/>
      <c r="B580" s="127"/>
      <c r="C580" s="127"/>
      <c r="D580" s="127"/>
      <c r="E580" s="127"/>
      <c r="F580" s="127"/>
      <c r="G580" s="127"/>
      <c r="H580" s="127"/>
      <c r="I580" s="127"/>
      <c r="J580" s="127"/>
      <c r="K580" s="127"/>
      <c r="L580" s="127"/>
      <c r="M580" s="127"/>
      <c r="N580" s="127"/>
      <c r="O580" s="127"/>
      <c r="P580" s="127"/>
      <c r="Q580" s="127"/>
      <c r="R580" s="127"/>
      <c r="S580" s="127"/>
      <c r="T580" s="127"/>
      <c r="U580" s="127"/>
      <c r="V580" s="127"/>
      <c r="W580" s="127"/>
      <c r="X580" s="127"/>
      <c r="Y580" s="127"/>
      <c r="Z580" s="127"/>
    </row>
    <row r="581" customFormat="false" ht="15.75" hidden="false" customHeight="false" outlineLevel="0" collapsed="false">
      <c r="A581" s="127"/>
      <c r="B581" s="127"/>
      <c r="C581" s="127"/>
      <c r="D581" s="127"/>
      <c r="E581" s="127"/>
      <c r="F581" s="127"/>
      <c r="G581" s="127"/>
      <c r="H581" s="127"/>
      <c r="I581" s="127"/>
      <c r="J581" s="127"/>
      <c r="K581" s="127"/>
      <c r="L581" s="127"/>
      <c r="M581" s="127"/>
      <c r="N581" s="127"/>
      <c r="O581" s="127"/>
      <c r="P581" s="127"/>
      <c r="Q581" s="127"/>
      <c r="R581" s="127"/>
      <c r="S581" s="127"/>
      <c r="T581" s="127"/>
      <c r="U581" s="127"/>
      <c r="V581" s="127"/>
      <c r="W581" s="127"/>
      <c r="X581" s="127"/>
      <c r="Y581" s="127"/>
      <c r="Z581" s="127"/>
    </row>
    <row r="582" customFormat="false" ht="15.75" hidden="false" customHeight="false" outlineLevel="0" collapsed="false">
      <c r="A582" s="127"/>
      <c r="B582" s="127"/>
      <c r="C582" s="127"/>
      <c r="D582" s="127"/>
      <c r="E582" s="127"/>
      <c r="F582" s="127"/>
      <c r="G582" s="127"/>
      <c r="H582" s="127"/>
      <c r="I582" s="127"/>
      <c r="J582" s="127"/>
      <c r="K582" s="127"/>
      <c r="L582" s="127"/>
      <c r="M582" s="127"/>
      <c r="N582" s="127"/>
      <c r="O582" s="127"/>
      <c r="P582" s="127"/>
      <c r="Q582" s="127"/>
      <c r="R582" s="127"/>
      <c r="S582" s="127"/>
      <c r="T582" s="127"/>
      <c r="U582" s="127"/>
      <c r="V582" s="127"/>
      <c r="W582" s="127"/>
      <c r="X582" s="127"/>
      <c r="Y582" s="127"/>
      <c r="Z582" s="127"/>
    </row>
    <row r="583" customFormat="false" ht="15.75" hidden="false" customHeight="false" outlineLevel="0" collapsed="false">
      <c r="A583" s="127"/>
      <c r="B583" s="127"/>
      <c r="C583" s="127"/>
      <c r="D583" s="127"/>
      <c r="E583" s="127"/>
      <c r="F583" s="127"/>
      <c r="G583" s="127"/>
      <c r="H583" s="127"/>
      <c r="I583" s="127"/>
      <c r="J583" s="127"/>
      <c r="K583" s="127"/>
      <c r="L583" s="127"/>
      <c r="M583" s="127"/>
      <c r="N583" s="127"/>
      <c r="O583" s="127"/>
      <c r="P583" s="127"/>
      <c r="Q583" s="127"/>
      <c r="R583" s="127"/>
      <c r="S583" s="127"/>
      <c r="T583" s="127"/>
      <c r="U583" s="127"/>
      <c r="V583" s="127"/>
      <c r="W583" s="127"/>
      <c r="X583" s="127"/>
      <c r="Y583" s="127"/>
      <c r="Z583" s="127"/>
    </row>
    <row r="584" customFormat="false" ht="15.75" hidden="false" customHeight="false" outlineLevel="0" collapsed="false">
      <c r="A584" s="127"/>
      <c r="B584" s="127"/>
      <c r="C584" s="127"/>
      <c r="D584" s="127"/>
      <c r="E584" s="127"/>
      <c r="F584" s="127"/>
      <c r="G584" s="127"/>
      <c r="H584" s="127"/>
      <c r="I584" s="127"/>
      <c r="J584" s="127"/>
      <c r="K584" s="127"/>
      <c r="L584" s="127"/>
      <c r="M584" s="127"/>
      <c r="N584" s="127"/>
      <c r="O584" s="127"/>
      <c r="P584" s="127"/>
      <c r="Q584" s="127"/>
      <c r="R584" s="127"/>
      <c r="S584" s="127"/>
      <c r="T584" s="127"/>
      <c r="U584" s="127"/>
      <c r="V584" s="127"/>
      <c r="W584" s="127"/>
      <c r="X584" s="127"/>
      <c r="Y584" s="127"/>
      <c r="Z584" s="127"/>
    </row>
    <row r="585" customFormat="false" ht="15.75" hidden="false" customHeight="false" outlineLevel="0" collapsed="false">
      <c r="A585" s="127"/>
      <c r="B585" s="127"/>
      <c r="C585" s="127"/>
      <c r="D585" s="127"/>
      <c r="E585" s="127"/>
      <c r="F585" s="127"/>
      <c r="G585" s="127"/>
      <c r="H585" s="127"/>
      <c r="I585" s="127"/>
      <c r="J585" s="127"/>
      <c r="K585" s="127"/>
      <c r="L585" s="127"/>
      <c r="M585" s="127"/>
      <c r="N585" s="127"/>
      <c r="O585" s="127"/>
      <c r="P585" s="127"/>
      <c r="Q585" s="127"/>
      <c r="R585" s="127"/>
      <c r="S585" s="127"/>
      <c r="T585" s="127"/>
      <c r="U585" s="127"/>
      <c r="V585" s="127"/>
      <c r="W585" s="127"/>
      <c r="X585" s="127"/>
      <c r="Y585" s="127"/>
      <c r="Z585" s="127"/>
    </row>
    <row r="586" customFormat="false" ht="15.75" hidden="false" customHeight="false" outlineLevel="0" collapsed="false">
      <c r="A586" s="127"/>
      <c r="B586" s="127"/>
      <c r="C586" s="127"/>
      <c r="D586" s="127"/>
      <c r="E586" s="127"/>
      <c r="F586" s="127"/>
      <c r="G586" s="127"/>
      <c r="H586" s="127"/>
      <c r="I586" s="127"/>
      <c r="J586" s="127"/>
      <c r="K586" s="127"/>
      <c r="L586" s="127"/>
      <c r="M586" s="127"/>
      <c r="N586" s="127"/>
      <c r="O586" s="127"/>
      <c r="P586" s="127"/>
      <c r="Q586" s="127"/>
      <c r="R586" s="127"/>
      <c r="S586" s="127"/>
      <c r="T586" s="127"/>
      <c r="U586" s="127"/>
      <c r="V586" s="127"/>
      <c r="W586" s="127"/>
      <c r="X586" s="127"/>
      <c r="Y586" s="127"/>
      <c r="Z586" s="127"/>
    </row>
    <row r="587" customFormat="false" ht="15.75" hidden="false" customHeight="false" outlineLevel="0" collapsed="false">
      <c r="A587" s="127"/>
      <c r="B587" s="127"/>
      <c r="C587" s="127"/>
      <c r="D587" s="127"/>
      <c r="E587" s="127"/>
      <c r="F587" s="127"/>
      <c r="G587" s="127"/>
      <c r="H587" s="127"/>
      <c r="I587" s="127"/>
      <c r="J587" s="127"/>
      <c r="K587" s="127"/>
      <c r="L587" s="127"/>
      <c r="M587" s="127"/>
      <c r="N587" s="127"/>
      <c r="O587" s="127"/>
      <c r="P587" s="127"/>
      <c r="Q587" s="127"/>
      <c r="R587" s="127"/>
      <c r="S587" s="127"/>
      <c r="T587" s="127"/>
      <c r="U587" s="127"/>
      <c r="V587" s="127"/>
      <c r="W587" s="127"/>
      <c r="X587" s="127"/>
      <c r="Y587" s="127"/>
      <c r="Z587" s="127"/>
    </row>
    <row r="588" customFormat="false" ht="15.75" hidden="false" customHeight="false" outlineLevel="0" collapsed="false">
      <c r="A588" s="127"/>
      <c r="B588" s="127"/>
      <c r="C588" s="127"/>
      <c r="D588" s="127"/>
      <c r="E588" s="127"/>
      <c r="F588" s="127"/>
      <c r="G588" s="127"/>
      <c r="H588" s="127"/>
      <c r="I588" s="127"/>
      <c r="J588" s="127"/>
      <c r="K588" s="127"/>
      <c r="L588" s="127"/>
      <c r="M588" s="127"/>
      <c r="N588" s="127"/>
      <c r="O588" s="127"/>
      <c r="P588" s="127"/>
      <c r="Q588" s="127"/>
      <c r="R588" s="127"/>
      <c r="S588" s="127"/>
      <c r="T588" s="127"/>
      <c r="U588" s="127"/>
      <c r="V588" s="127"/>
      <c r="W588" s="127"/>
      <c r="X588" s="127"/>
      <c r="Y588" s="127"/>
      <c r="Z588" s="127"/>
    </row>
    <row r="589" customFormat="false" ht="15.75" hidden="false" customHeight="false" outlineLevel="0" collapsed="false">
      <c r="A589" s="127"/>
      <c r="B589" s="127"/>
      <c r="C589" s="127"/>
      <c r="D589" s="127"/>
      <c r="E589" s="127"/>
      <c r="F589" s="127"/>
      <c r="G589" s="127"/>
      <c r="H589" s="127"/>
      <c r="I589" s="127"/>
      <c r="J589" s="127"/>
      <c r="K589" s="127"/>
      <c r="L589" s="127"/>
      <c r="M589" s="127"/>
      <c r="N589" s="127"/>
      <c r="O589" s="127"/>
      <c r="P589" s="127"/>
      <c r="Q589" s="127"/>
      <c r="R589" s="127"/>
      <c r="S589" s="127"/>
      <c r="T589" s="127"/>
      <c r="U589" s="127"/>
      <c r="V589" s="127"/>
      <c r="W589" s="127"/>
      <c r="X589" s="127"/>
      <c r="Y589" s="127"/>
      <c r="Z589" s="127"/>
    </row>
    <row r="590" customFormat="false" ht="15.75" hidden="false" customHeight="false" outlineLevel="0" collapsed="false">
      <c r="A590" s="127"/>
      <c r="B590" s="127"/>
      <c r="C590" s="127"/>
      <c r="D590" s="127"/>
      <c r="E590" s="127"/>
      <c r="F590" s="127"/>
      <c r="G590" s="127"/>
      <c r="H590" s="127"/>
      <c r="I590" s="127"/>
      <c r="J590" s="127"/>
      <c r="K590" s="127"/>
      <c r="L590" s="127"/>
      <c r="M590" s="127"/>
      <c r="N590" s="127"/>
      <c r="O590" s="127"/>
      <c r="P590" s="127"/>
      <c r="Q590" s="127"/>
      <c r="R590" s="127"/>
      <c r="S590" s="127"/>
      <c r="T590" s="127"/>
      <c r="U590" s="127"/>
      <c r="V590" s="127"/>
      <c r="W590" s="127"/>
      <c r="X590" s="127"/>
      <c r="Y590" s="127"/>
      <c r="Z590" s="127"/>
    </row>
    <row r="591" customFormat="false" ht="15.75" hidden="false" customHeight="false" outlineLevel="0" collapsed="false">
      <c r="A591" s="127"/>
      <c r="B591" s="127"/>
      <c r="C591" s="127"/>
      <c r="D591" s="127"/>
      <c r="E591" s="127"/>
      <c r="F591" s="127"/>
      <c r="G591" s="127"/>
      <c r="H591" s="127"/>
      <c r="I591" s="127"/>
      <c r="J591" s="127"/>
      <c r="K591" s="127"/>
      <c r="L591" s="127"/>
      <c r="M591" s="127"/>
      <c r="N591" s="127"/>
      <c r="O591" s="127"/>
      <c r="P591" s="127"/>
      <c r="Q591" s="127"/>
      <c r="R591" s="127"/>
      <c r="S591" s="127"/>
      <c r="T591" s="127"/>
      <c r="U591" s="127"/>
      <c r="V591" s="127"/>
      <c r="W591" s="127"/>
      <c r="X591" s="127"/>
      <c r="Y591" s="127"/>
      <c r="Z591" s="127"/>
    </row>
    <row r="592" customFormat="false" ht="15.75" hidden="false" customHeight="false" outlineLevel="0" collapsed="false">
      <c r="A592" s="127"/>
      <c r="B592" s="127"/>
      <c r="C592" s="127"/>
      <c r="D592" s="127"/>
      <c r="E592" s="127"/>
      <c r="F592" s="127"/>
      <c r="G592" s="127"/>
      <c r="H592" s="127"/>
      <c r="I592" s="127"/>
      <c r="J592" s="127"/>
      <c r="K592" s="127"/>
      <c r="L592" s="127"/>
      <c r="M592" s="127"/>
      <c r="N592" s="127"/>
      <c r="O592" s="127"/>
      <c r="P592" s="127"/>
      <c r="Q592" s="127"/>
      <c r="R592" s="127"/>
      <c r="S592" s="127"/>
      <c r="T592" s="127"/>
      <c r="U592" s="127"/>
      <c r="V592" s="127"/>
      <c r="W592" s="127"/>
      <c r="X592" s="127"/>
      <c r="Y592" s="127"/>
      <c r="Z592" s="127"/>
    </row>
    <row r="593" customFormat="false" ht="15.75" hidden="false" customHeight="false" outlineLevel="0" collapsed="false">
      <c r="A593" s="127"/>
      <c r="B593" s="127"/>
      <c r="C593" s="127"/>
      <c r="D593" s="127"/>
      <c r="E593" s="127"/>
      <c r="F593" s="127"/>
      <c r="G593" s="127"/>
      <c r="H593" s="127"/>
      <c r="I593" s="127"/>
      <c r="J593" s="127"/>
      <c r="K593" s="127"/>
      <c r="L593" s="127"/>
      <c r="M593" s="127"/>
      <c r="N593" s="127"/>
      <c r="O593" s="127"/>
      <c r="P593" s="127"/>
      <c r="Q593" s="127"/>
      <c r="R593" s="127"/>
      <c r="S593" s="127"/>
      <c r="T593" s="127"/>
      <c r="U593" s="127"/>
      <c r="V593" s="127"/>
      <c r="W593" s="127"/>
      <c r="X593" s="127"/>
      <c r="Y593" s="127"/>
      <c r="Z593" s="127"/>
    </row>
    <row r="594" customFormat="false" ht="15.75" hidden="false" customHeight="false" outlineLevel="0" collapsed="false">
      <c r="A594" s="127"/>
      <c r="B594" s="127"/>
      <c r="C594" s="127"/>
      <c r="D594" s="127"/>
      <c r="E594" s="127"/>
      <c r="F594" s="127"/>
      <c r="G594" s="127"/>
      <c r="H594" s="127"/>
      <c r="I594" s="127"/>
      <c r="J594" s="127"/>
      <c r="K594" s="127"/>
      <c r="L594" s="127"/>
      <c r="M594" s="127"/>
      <c r="N594" s="127"/>
      <c r="O594" s="127"/>
      <c r="P594" s="127"/>
      <c r="Q594" s="127"/>
      <c r="R594" s="127"/>
      <c r="S594" s="127"/>
      <c r="T594" s="127"/>
      <c r="U594" s="127"/>
      <c r="V594" s="127"/>
      <c r="W594" s="127"/>
      <c r="X594" s="127"/>
      <c r="Y594" s="127"/>
      <c r="Z594" s="127"/>
    </row>
    <row r="595" customFormat="false" ht="15.75" hidden="false" customHeight="false" outlineLevel="0" collapsed="false">
      <c r="A595" s="127"/>
      <c r="B595" s="127"/>
      <c r="C595" s="127"/>
      <c r="D595" s="127"/>
      <c r="E595" s="127"/>
      <c r="F595" s="127"/>
      <c r="G595" s="127"/>
      <c r="H595" s="127"/>
      <c r="I595" s="127"/>
      <c r="J595" s="127"/>
      <c r="K595" s="127"/>
      <c r="L595" s="127"/>
      <c r="M595" s="127"/>
      <c r="N595" s="127"/>
      <c r="O595" s="127"/>
      <c r="P595" s="127"/>
      <c r="Q595" s="127"/>
      <c r="R595" s="127"/>
      <c r="S595" s="127"/>
      <c r="T595" s="127"/>
      <c r="U595" s="127"/>
      <c r="V595" s="127"/>
      <c r="W595" s="127"/>
      <c r="X595" s="127"/>
      <c r="Y595" s="127"/>
      <c r="Z595" s="127"/>
    </row>
    <row r="596" customFormat="false" ht="15.75" hidden="false" customHeight="false" outlineLevel="0" collapsed="false">
      <c r="A596" s="127"/>
      <c r="B596" s="127"/>
      <c r="C596" s="127"/>
      <c r="D596" s="127"/>
      <c r="E596" s="127"/>
      <c r="F596" s="127"/>
      <c r="G596" s="127"/>
      <c r="H596" s="127"/>
      <c r="I596" s="127"/>
      <c r="J596" s="127"/>
      <c r="K596" s="127"/>
      <c r="L596" s="127"/>
      <c r="M596" s="127"/>
      <c r="N596" s="127"/>
      <c r="O596" s="127"/>
      <c r="P596" s="127"/>
      <c r="Q596" s="127"/>
      <c r="R596" s="127"/>
      <c r="S596" s="127"/>
      <c r="T596" s="127"/>
      <c r="U596" s="127"/>
      <c r="V596" s="127"/>
      <c r="W596" s="127"/>
      <c r="X596" s="127"/>
      <c r="Y596" s="127"/>
      <c r="Z596" s="127"/>
    </row>
    <row r="597" customFormat="false" ht="15.75" hidden="false" customHeight="false" outlineLevel="0" collapsed="false">
      <c r="A597" s="127"/>
      <c r="B597" s="127"/>
      <c r="C597" s="127"/>
      <c r="D597" s="127"/>
      <c r="E597" s="127"/>
      <c r="F597" s="127"/>
      <c r="G597" s="127"/>
      <c r="H597" s="127"/>
      <c r="I597" s="127"/>
      <c r="J597" s="127"/>
      <c r="K597" s="127"/>
      <c r="L597" s="127"/>
      <c r="M597" s="127"/>
      <c r="N597" s="127"/>
      <c r="O597" s="127"/>
      <c r="P597" s="127"/>
      <c r="Q597" s="127"/>
      <c r="R597" s="127"/>
      <c r="S597" s="127"/>
      <c r="T597" s="127"/>
      <c r="U597" s="127"/>
      <c r="V597" s="127"/>
      <c r="W597" s="127"/>
      <c r="X597" s="127"/>
      <c r="Y597" s="127"/>
      <c r="Z597" s="127"/>
    </row>
    <row r="598" customFormat="false" ht="15.75" hidden="false" customHeight="false" outlineLevel="0" collapsed="false">
      <c r="A598" s="127"/>
      <c r="B598" s="127"/>
      <c r="C598" s="127"/>
      <c r="D598" s="127"/>
      <c r="E598" s="127"/>
      <c r="F598" s="127"/>
      <c r="G598" s="127"/>
      <c r="H598" s="127"/>
      <c r="I598" s="127"/>
      <c r="J598" s="127"/>
      <c r="K598" s="127"/>
      <c r="L598" s="127"/>
      <c r="M598" s="127"/>
      <c r="N598" s="127"/>
      <c r="O598" s="127"/>
      <c r="P598" s="127"/>
      <c r="Q598" s="127"/>
      <c r="R598" s="127"/>
      <c r="S598" s="127"/>
      <c r="T598" s="127"/>
      <c r="U598" s="127"/>
      <c r="V598" s="127"/>
      <c r="W598" s="127"/>
      <c r="X598" s="127"/>
      <c r="Y598" s="127"/>
      <c r="Z598" s="127"/>
    </row>
    <row r="599" customFormat="false" ht="15.75" hidden="false" customHeight="false" outlineLevel="0" collapsed="false">
      <c r="A599" s="127"/>
      <c r="B599" s="127"/>
      <c r="C599" s="127"/>
      <c r="D599" s="127"/>
      <c r="E599" s="127"/>
      <c r="F599" s="127"/>
      <c r="G599" s="127"/>
      <c r="H599" s="127"/>
      <c r="I599" s="127"/>
      <c r="J599" s="127"/>
      <c r="K599" s="127"/>
      <c r="L599" s="127"/>
      <c r="M599" s="127"/>
      <c r="N599" s="127"/>
      <c r="O599" s="127"/>
      <c r="P599" s="127"/>
      <c r="Q599" s="127"/>
      <c r="R599" s="127"/>
      <c r="S599" s="127"/>
      <c r="T599" s="127"/>
      <c r="U599" s="127"/>
      <c r="V599" s="127"/>
      <c r="W599" s="127"/>
      <c r="X599" s="127"/>
      <c r="Y599" s="127"/>
      <c r="Z599" s="127"/>
    </row>
    <row r="600" customFormat="false" ht="15.75" hidden="false" customHeight="false" outlineLevel="0" collapsed="false">
      <c r="A600" s="127"/>
      <c r="B600" s="127"/>
      <c r="C600" s="127"/>
      <c r="D600" s="127"/>
      <c r="E600" s="127"/>
      <c r="F600" s="127"/>
      <c r="G600" s="127"/>
      <c r="H600" s="127"/>
      <c r="I600" s="127"/>
      <c r="J600" s="127"/>
      <c r="K600" s="127"/>
      <c r="L600" s="127"/>
      <c r="M600" s="127"/>
      <c r="N600" s="127"/>
      <c r="O600" s="127"/>
      <c r="P600" s="127"/>
      <c r="Q600" s="127"/>
      <c r="R600" s="127"/>
      <c r="S600" s="127"/>
      <c r="T600" s="127"/>
      <c r="U600" s="127"/>
      <c r="V600" s="127"/>
      <c r="W600" s="127"/>
      <c r="X600" s="127"/>
      <c r="Y600" s="127"/>
      <c r="Z600" s="127"/>
    </row>
    <row r="601" customFormat="false" ht="15.75" hidden="false" customHeight="false" outlineLevel="0" collapsed="false">
      <c r="A601" s="127"/>
      <c r="B601" s="127"/>
      <c r="C601" s="127"/>
      <c r="D601" s="127"/>
      <c r="E601" s="127"/>
      <c r="F601" s="127"/>
      <c r="G601" s="127"/>
      <c r="H601" s="127"/>
      <c r="I601" s="127"/>
      <c r="J601" s="127"/>
      <c r="K601" s="127"/>
      <c r="L601" s="127"/>
      <c r="M601" s="127"/>
      <c r="N601" s="127"/>
      <c r="O601" s="127"/>
      <c r="P601" s="127"/>
      <c r="Q601" s="127"/>
      <c r="R601" s="127"/>
      <c r="S601" s="127"/>
      <c r="T601" s="127"/>
      <c r="U601" s="127"/>
      <c r="V601" s="127"/>
      <c r="W601" s="127"/>
      <c r="X601" s="127"/>
      <c r="Y601" s="127"/>
      <c r="Z601" s="127"/>
    </row>
    <row r="602" customFormat="false" ht="15.75" hidden="false" customHeight="false" outlineLevel="0" collapsed="false">
      <c r="A602" s="127"/>
      <c r="B602" s="127"/>
      <c r="C602" s="127"/>
      <c r="D602" s="127"/>
      <c r="E602" s="127"/>
      <c r="F602" s="127"/>
      <c r="G602" s="127"/>
      <c r="H602" s="127"/>
      <c r="I602" s="127"/>
      <c r="J602" s="127"/>
      <c r="K602" s="127"/>
      <c r="L602" s="127"/>
      <c r="M602" s="127"/>
      <c r="N602" s="127"/>
      <c r="O602" s="127"/>
      <c r="P602" s="127"/>
      <c r="Q602" s="127"/>
      <c r="R602" s="127"/>
      <c r="S602" s="127"/>
      <c r="T602" s="127"/>
      <c r="U602" s="127"/>
      <c r="V602" s="127"/>
      <c r="W602" s="127"/>
      <c r="X602" s="127"/>
      <c r="Y602" s="127"/>
      <c r="Z602" s="127"/>
    </row>
    <row r="603" customFormat="false" ht="15.75" hidden="false" customHeight="false" outlineLevel="0" collapsed="false">
      <c r="A603" s="127"/>
      <c r="B603" s="127"/>
      <c r="C603" s="127"/>
      <c r="D603" s="127"/>
      <c r="E603" s="127"/>
      <c r="F603" s="127"/>
      <c r="G603" s="127"/>
      <c r="H603" s="127"/>
      <c r="I603" s="127"/>
      <c r="J603" s="127"/>
      <c r="K603" s="127"/>
      <c r="L603" s="127"/>
      <c r="M603" s="127"/>
      <c r="N603" s="127"/>
      <c r="O603" s="127"/>
      <c r="P603" s="127"/>
      <c r="Q603" s="127"/>
      <c r="R603" s="127"/>
      <c r="S603" s="127"/>
      <c r="T603" s="127"/>
      <c r="U603" s="127"/>
      <c r="V603" s="127"/>
      <c r="W603" s="127"/>
      <c r="X603" s="127"/>
      <c r="Y603" s="127"/>
      <c r="Z603" s="127"/>
    </row>
    <row r="604" customFormat="false" ht="15.75" hidden="false" customHeight="false" outlineLevel="0" collapsed="false">
      <c r="A604" s="127"/>
      <c r="B604" s="127"/>
      <c r="C604" s="127"/>
      <c r="D604" s="127"/>
      <c r="E604" s="127"/>
      <c r="F604" s="127"/>
      <c r="G604" s="127"/>
      <c r="H604" s="127"/>
      <c r="I604" s="127"/>
      <c r="J604" s="127"/>
      <c r="K604" s="127"/>
      <c r="L604" s="127"/>
      <c r="M604" s="127"/>
      <c r="N604" s="127"/>
      <c r="O604" s="127"/>
      <c r="P604" s="127"/>
      <c r="Q604" s="127"/>
      <c r="R604" s="127"/>
      <c r="S604" s="127"/>
      <c r="T604" s="127"/>
      <c r="U604" s="127"/>
      <c r="V604" s="127"/>
      <c r="W604" s="127"/>
      <c r="X604" s="127"/>
      <c r="Y604" s="127"/>
      <c r="Z604" s="127"/>
    </row>
    <row r="605" customFormat="false" ht="15.75" hidden="false" customHeight="false" outlineLevel="0" collapsed="false">
      <c r="A605" s="127"/>
      <c r="B605" s="127"/>
      <c r="C605" s="127"/>
      <c r="D605" s="127"/>
      <c r="E605" s="127"/>
      <c r="F605" s="127"/>
      <c r="G605" s="127"/>
      <c r="H605" s="127"/>
      <c r="I605" s="127"/>
      <c r="J605" s="127"/>
      <c r="K605" s="127"/>
      <c r="L605" s="127"/>
      <c r="M605" s="127"/>
      <c r="N605" s="127"/>
      <c r="O605" s="127"/>
      <c r="P605" s="127"/>
      <c r="Q605" s="127"/>
      <c r="R605" s="127"/>
      <c r="S605" s="127"/>
      <c r="T605" s="127"/>
      <c r="U605" s="127"/>
      <c r="V605" s="127"/>
      <c r="W605" s="127"/>
      <c r="X605" s="127"/>
      <c r="Y605" s="127"/>
      <c r="Z605" s="127"/>
    </row>
    <row r="606" customFormat="false" ht="15.75" hidden="false" customHeight="false" outlineLevel="0" collapsed="false">
      <c r="A606" s="127"/>
      <c r="B606" s="127"/>
      <c r="C606" s="127"/>
      <c r="D606" s="127"/>
      <c r="E606" s="127"/>
      <c r="F606" s="127"/>
      <c r="G606" s="127"/>
      <c r="H606" s="127"/>
      <c r="I606" s="127"/>
      <c r="J606" s="127"/>
      <c r="K606" s="127"/>
      <c r="L606" s="127"/>
      <c r="M606" s="127"/>
      <c r="N606" s="127"/>
      <c r="O606" s="127"/>
      <c r="P606" s="127"/>
      <c r="Q606" s="127"/>
      <c r="R606" s="127"/>
      <c r="S606" s="127"/>
      <c r="T606" s="127"/>
      <c r="U606" s="127"/>
      <c r="V606" s="127"/>
      <c r="W606" s="127"/>
      <c r="X606" s="127"/>
      <c r="Y606" s="127"/>
      <c r="Z606" s="127"/>
    </row>
    <row r="607" customFormat="false" ht="15.75" hidden="false" customHeight="false" outlineLevel="0" collapsed="false">
      <c r="A607" s="127"/>
      <c r="B607" s="127"/>
      <c r="C607" s="127"/>
      <c r="D607" s="127"/>
      <c r="E607" s="127"/>
      <c r="F607" s="127"/>
      <c r="G607" s="127"/>
      <c r="H607" s="127"/>
      <c r="I607" s="127"/>
      <c r="J607" s="127"/>
      <c r="K607" s="127"/>
      <c r="L607" s="127"/>
      <c r="M607" s="127"/>
      <c r="N607" s="127"/>
      <c r="O607" s="127"/>
      <c r="P607" s="127"/>
      <c r="Q607" s="127"/>
      <c r="R607" s="127"/>
      <c r="S607" s="127"/>
      <c r="T607" s="127"/>
      <c r="U607" s="127"/>
      <c r="V607" s="127"/>
      <c r="W607" s="127"/>
      <c r="X607" s="127"/>
      <c r="Y607" s="127"/>
      <c r="Z607" s="127"/>
    </row>
    <row r="608" customFormat="false" ht="15.75" hidden="false" customHeight="false" outlineLevel="0" collapsed="false">
      <c r="A608" s="127"/>
      <c r="B608" s="127"/>
      <c r="C608" s="127"/>
      <c r="D608" s="127"/>
      <c r="E608" s="127"/>
      <c r="F608" s="127"/>
      <c r="G608" s="127"/>
      <c r="H608" s="127"/>
      <c r="I608" s="127"/>
      <c r="J608" s="127"/>
      <c r="K608" s="127"/>
      <c r="L608" s="127"/>
      <c r="M608" s="127"/>
      <c r="N608" s="127"/>
      <c r="O608" s="127"/>
      <c r="P608" s="127"/>
      <c r="Q608" s="127"/>
      <c r="R608" s="127"/>
      <c r="S608" s="127"/>
      <c r="T608" s="127"/>
      <c r="U608" s="127"/>
      <c r="V608" s="127"/>
      <c r="W608" s="127"/>
      <c r="X608" s="127"/>
      <c r="Y608" s="127"/>
      <c r="Z608" s="127"/>
    </row>
    <row r="609" customFormat="false" ht="15.75" hidden="false" customHeight="false" outlineLevel="0" collapsed="false">
      <c r="A609" s="127"/>
      <c r="B609" s="127"/>
      <c r="C609" s="127"/>
      <c r="D609" s="127"/>
      <c r="E609" s="127"/>
      <c r="F609" s="127"/>
      <c r="G609" s="127"/>
      <c r="H609" s="127"/>
      <c r="I609" s="127"/>
      <c r="J609" s="127"/>
      <c r="K609" s="127"/>
      <c r="L609" s="127"/>
      <c r="M609" s="127"/>
      <c r="N609" s="127"/>
      <c r="O609" s="127"/>
      <c r="P609" s="127"/>
      <c r="Q609" s="127"/>
      <c r="R609" s="127"/>
      <c r="S609" s="127"/>
      <c r="T609" s="127"/>
      <c r="U609" s="127"/>
      <c r="V609" s="127"/>
      <c r="W609" s="127"/>
      <c r="X609" s="127"/>
      <c r="Y609" s="127"/>
      <c r="Z609" s="127"/>
    </row>
    <row r="610" customFormat="false" ht="15.75" hidden="false" customHeight="false" outlineLevel="0" collapsed="false">
      <c r="A610" s="127"/>
      <c r="B610" s="127"/>
      <c r="C610" s="127"/>
      <c r="D610" s="127"/>
      <c r="E610" s="127"/>
      <c r="F610" s="127"/>
      <c r="G610" s="127"/>
      <c r="H610" s="127"/>
      <c r="I610" s="127"/>
      <c r="J610" s="127"/>
      <c r="K610" s="127"/>
      <c r="L610" s="127"/>
      <c r="M610" s="127"/>
      <c r="N610" s="127"/>
      <c r="O610" s="127"/>
      <c r="P610" s="127"/>
      <c r="Q610" s="127"/>
      <c r="R610" s="127"/>
      <c r="S610" s="127"/>
      <c r="T610" s="127"/>
      <c r="U610" s="127"/>
      <c r="V610" s="127"/>
      <c r="W610" s="127"/>
      <c r="X610" s="127"/>
      <c r="Y610" s="127"/>
      <c r="Z610" s="127"/>
    </row>
    <row r="611" customFormat="false" ht="15.75" hidden="false" customHeight="false" outlineLevel="0" collapsed="false">
      <c r="A611" s="127"/>
      <c r="B611" s="127"/>
      <c r="C611" s="127"/>
      <c r="D611" s="127"/>
      <c r="E611" s="127"/>
      <c r="F611" s="127"/>
      <c r="G611" s="127"/>
      <c r="H611" s="127"/>
      <c r="I611" s="127"/>
      <c r="J611" s="127"/>
      <c r="K611" s="127"/>
      <c r="L611" s="127"/>
      <c r="M611" s="127"/>
      <c r="N611" s="127"/>
      <c r="O611" s="127"/>
      <c r="P611" s="127"/>
      <c r="Q611" s="127"/>
      <c r="R611" s="127"/>
      <c r="S611" s="127"/>
      <c r="T611" s="127"/>
      <c r="U611" s="127"/>
      <c r="V611" s="127"/>
      <c r="W611" s="127"/>
      <c r="X611" s="127"/>
      <c r="Y611" s="127"/>
      <c r="Z611" s="127"/>
    </row>
    <row r="612" customFormat="false" ht="15.75" hidden="false" customHeight="false" outlineLevel="0" collapsed="false">
      <c r="A612" s="127"/>
      <c r="B612" s="127"/>
      <c r="C612" s="127"/>
      <c r="D612" s="127"/>
      <c r="E612" s="127"/>
      <c r="F612" s="127"/>
      <c r="G612" s="127"/>
      <c r="H612" s="127"/>
      <c r="I612" s="127"/>
      <c r="J612" s="127"/>
      <c r="K612" s="127"/>
      <c r="L612" s="127"/>
      <c r="M612" s="127"/>
      <c r="N612" s="127"/>
      <c r="O612" s="127"/>
      <c r="P612" s="127"/>
      <c r="Q612" s="127"/>
      <c r="R612" s="127"/>
      <c r="S612" s="127"/>
      <c r="T612" s="127"/>
      <c r="U612" s="127"/>
      <c r="V612" s="127"/>
      <c r="W612" s="127"/>
      <c r="X612" s="127"/>
      <c r="Y612" s="127"/>
      <c r="Z612" s="127"/>
    </row>
    <row r="613" customFormat="false" ht="15.75" hidden="false" customHeight="false" outlineLevel="0" collapsed="false">
      <c r="A613" s="127"/>
      <c r="B613" s="127"/>
      <c r="C613" s="127"/>
      <c r="D613" s="127"/>
      <c r="E613" s="127"/>
      <c r="F613" s="127"/>
      <c r="G613" s="127"/>
      <c r="H613" s="127"/>
      <c r="I613" s="127"/>
      <c r="J613" s="127"/>
      <c r="K613" s="127"/>
      <c r="L613" s="127"/>
      <c r="M613" s="127"/>
      <c r="N613" s="127"/>
      <c r="O613" s="127"/>
      <c r="P613" s="127"/>
      <c r="Q613" s="127"/>
      <c r="R613" s="127"/>
      <c r="S613" s="127"/>
      <c r="T613" s="127"/>
      <c r="U613" s="127"/>
      <c r="V613" s="127"/>
      <c r="W613" s="127"/>
      <c r="X613" s="127"/>
      <c r="Y613" s="127"/>
      <c r="Z613" s="127"/>
    </row>
    <row r="614" customFormat="false" ht="15.75" hidden="false" customHeight="false" outlineLevel="0" collapsed="false">
      <c r="A614" s="127"/>
      <c r="B614" s="127"/>
      <c r="C614" s="127"/>
      <c r="D614" s="127"/>
      <c r="E614" s="127"/>
      <c r="F614" s="127"/>
      <c r="G614" s="127"/>
      <c r="H614" s="127"/>
      <c r="I614" s="127"/>
      <c r="J614" s="127"/>
      <c r="K614" s="127"/>
      <c r="L614" s="127"/>
      <c r="M614" s="127"/>
      <c r="N614" s="127"/>
      <c r="O614" s="127"/>
      <c r="P614" s="127"/>
      <c r="Q614" s="127"/>
      <c r="R614" s="127"/>
      <c r="S614" s="127"/>
      <c r="T614" s="127"/>
      <c r="U614" s="127"/>
      <c r="V614" s="127"/>
      <c r="W614" s="127"/>
      <c r="X614" s="127"/>
      <c r="Y614" s="127"/>
      <c r="Z614" s="127"/>
    </row>
    <row r="615" customFormat="false" ht="15.75" hidden="false" customHeight="false" outlineLevel="0" collapsed="false">
      <c r="A615" s="127"/>
      <c r="B615" s="127"/>
      <c r="C615" s="127"/>
      <c r="D615" s="127"/>
      <c r="E615" s="127"/>
      <c r="F615" s="127"/>
      <c r="G615" s="127"/>
      <c r="H615" s="127"/>
      <c r="I615" s="127"/>
      <c r="J615" s="127"/>
      <c r="K615" s="127"/>
      <c r="L615" s="127"/>
      <c r="M615" s="127"/>
      <c r="N615" s="127"/>
      <c r="O615" s="127"/>
      <c r="P615" s="127"/>
      <c r="Q615" s="127"/>
      <c r="R615" s="127"/>
      <c r="S615" s="127"/>
      <c r="T615" s="127"/>
      <c r="U615" s="127"/>
      <c r="V615" s="127"/>
      <c r="W615" s="127"/>
      <c r="X615" s="127"/>
      <c r="Y615" s="127"/>
      <c r="Z615" s="127"/>
    </row>
    <row r="616" customFormat="false" ht="15.75" hidden="false" customHeight="false" outlineLevel="0" collapsed="false">
      <c r="A616" s="127"/>
      <c r="B616" s="127"/>
      <c r="C616" s="127"/>
      <c r="D616" s="127"/>
      <c r="E616" s="127"/>
      <c r="F616" s="127"/>
      <c r="G616" s="127"/>
      <c r="H616" s="127"/>
      <c r="I616" s="127"/>
      <c r="J616" s="127"/>
      <c r="K616" s="127"/>
      <c r="L616" s="127"/>
      <c r="M616" s="127"/>
      <c r="N616" s="127"/>
      <c r="O616" s="127"/>
      <c r="P616" s="127"/>
      <c r="Q616" s="127"/>
      <c r="R616" s="127"/>
      <c r="S616" s="127"/>
      <c r="T616" s="127"/>
      <c r="U616" s="127"/>
      <c r="V616" s="127"/>
      <c r="W616" s="127"/>
      <c r="X616" s="127"/>
      <c r="Y616" s="127"/>
      <c r="Z616" s="127"/>
    </row>
    <row r="617" customFormat="false" ht="15.75" hidden="false" customHeight="false" outlineLevel="0" collapsed="false">
      <c r="A617" s="127"/>
      <c r="B617" s="127"/>
      <c r="C617" s="127"/>
      <c r="D617" s="127"/>
      <c r="E617" s="127"/>
      <c r="F617" s="127"/>
      <c r="G617" s="127"/>
      <c r="H617" s="127"/>
      <c r="I617" s="127"/>
      <c r="J617" s="127"/>
      <c r="K617" s="127"/>
      <c r="L617" s="127"/>
      <c r="M617" s="127"/>
      <c r="N617" s="127"/>
      <c r="O617" s="127"/>
      <c r="P617" s="127"/>
      <c r="Q617" s="127"/>
      <c r="R617" s="127"/>
      <c r="S617" s="127"/>
      <c r="T617" s="127"/>
      <c r="U617" s="127"/>
      <c r="V617" s="127"/>
      <c r="W617" s="127"/>
      <c r="X617" s="127"/>
      <c r="Y617" s="127"/>
      <c r="Z617" s="127"/>
    </row>
    <row r="618" customFormat="false" ht="15.75" hidden="false" customHeight="false" outlineLevel="0" collapsed="false">
      <c r="A618" s="127"/>
      <c r="B618" s="127"/>
      <c r="C618" s="127"/>
      <c r="D618" s="127"/>
      <c r="E618" s="127"/>
      <c r="F618" s="127"/>
      <c r="G618" s="127"/>
      <c r="H618" s="127"/>
      <c r="I618" s="127"/>
      <c r="J618" s="127"/>
      <c r="K618" s="127"/>
      <c r="L618" s="127"/>
      <c r="M618" s="127"/>
      <c r="N618" s="127"/>
      <c r="O618" s="127"/>
      <c r="P618" s="127"/>
      <c r="Q618" s="127"/>
      <c r="R618" s="127"/>
      <c r="S618" s="127"/>
      <c r="T618" s="127"/>
      <c r="U618" s="127"/>
      <c r="V618" s="127"/>
      <c r="W618" s="127"/>
      <c r="X618" s="127"/>
      <c r="Y618" s="127"/>
      <c r="Z618" s="127"/>
    </row>
    <row r="619" customFormat="false" ht="15.75" hidden="false" customHeight="false" outlineLevel="0" collapsed="false">
      <c r="A619" s="127"/>
      <c r="B619" s="127"/>
      <c r="C619" s="127"/>
      <c r="D619" s="127"/>
      <c r="E619" s="127"/>
      <c r="F619" s="127"/>
      <c r="G619" s="127"/>
      <c r="H619" s="127"/>
      <c r="I619" s="127"/>
      <c r="J619" s="127"/>
      <c r="K619" s="127"/>
      <c r="L619" s="127"/>
      <c r="M619" s="127"/>
      <c r="N619" s="127"/>
      <c r="O619" s="127"/>
      <c r="P619" s="127"/>
      <c r="Q619" s="127"/>
      <c r="R619" s="127"/>
      <c r="S619" s="127"/>
      <c r="T619" s="127"/>
      <c r="U619" s="127"/>
      <c r="V619" s="127"/>
      <c r="W619" s="127"/>
      <c r="X619" s="127"/>
      <c r="Y619" s="127"/>
      <c r="Z619" s="127"/>
    </row>
    <row r="620" customFormat="false" ht="15.75" hidden="false" customHeight="false" outlineLevel="0" collapsed="false">
      <c r="A620" s="127"/>
      <c r="B620" s="127"/>
      <c r="C620" s="127"/>
      <c r="D620" s="127"/>
      <c r="E620" s="127"/>
      <c r="F620" s="127"/>
      <c r="G620" s="127"/>
      <c r="H620" s="127"/>
      <c r="I620" s="127"/>
      <c r="J620" s="127"/>
      <c r="K620" s="127"/>
      <c r="L620" s="127"/>
      <c r="M620" s="127"/>
      <c r="N620" s="127"/>
      <c r="O620" s="127"/>
      <c r="P620" s="127"/>
      <c r="Q620" s="127"/>
      <c r="R620" s="127"/>
      <c r="S620" s="127"/>
      <c r="T620" s="127"/>
      <c r="U620" s="127"/>
      <c r="V620" s="127"/>
      <c r="W620" s="127"/>
      <c r="X620" s="127"/>
      <c r="Y620" s="127"/>
      <c r="Z620" s="127"/>
    </row>
    <row r="621" customFormat="false" ht="15.75" hidden="false" customHeight="false" outlineLevel="0" collapsed="false">
      <c r="A621" s="127"/>
      <c r="B621" s="127"/>
      <c r="C621" s="127"/>
      <c r="D621" s="127"/>
      <c r="E621" s="127"/>
      <c r="F621" s="127"/>
      <c r="G621" s="127"/>
      <c r="H621" s="127"/>
      <c r="I621" s="127"/>
      <c r="J621" s="127"/>
      <c r="K621" s="127"/>
      <c r="L621" s="127"/>
      <c r="M621" s="127"/>
      <c r="N621" s="127"/>
      <c r="O621" s="127"/>
      <c r="P621" s="127"/>
      <c r="Q621" s="127"/>
      <c r="R621" s="127"/>
      <c r="S621" s="127"/>
      <c r="T621" s="127"/>
      <c r="U621" s="127"/>
      <c r="V621" s="127"/>
      <c r="W621" s="127"/>
      <c r="X621" s="127"/>
      <c r="Y621" s="127"/>
      <c r="Z621" s="127"/>
    </row>
    <row r="622" customFormat="false" ht="15.75" hidden="false" customHeight="false" outlineLevel="0" collapsed="false">
      <c r="A622" s="127"/>
      <c r="B622" s="127"/>
      <c r="C622" s="127"/>
      <c r="D622" s="127"/>
      <c r="E622" s="127"/>
      <c r="F622" s="127"/>
      <c r="G622" s="127"/>
      <c r="H622" s="127"/>
      <c r="I622" s="127"/>
      <c r="J622" s="127"/>
      <c r="K622" s="127"/>
      <c r="L622" s="127"/>
      <c r="M622" s="127"/>
      <c r="N622" s="127"/>
      <c r="O622" s="127"/>
      <c r="P622" s="127"/>
      <c r="Q622" s="127"/>
      <c r="R622" s="127"/>
      <c r="S622" s="127"/>
      <c r="T622" s="127"/>
      <c r="U622" s="127"/>
      <c r="V622" s="127"/>
      <c r="W622" s="127"/>
      <c r="X622" s="127"/>
      <c r="Y622" s="127"/>
      <c r="Z622" s="127"/>
    </row>
    <row r="623" customFormat="false" ht="15.75" hidden="false" customHeight="false" outlineLevel="0" collapsed="false">
      <c r="A623" s="127"/>
      <c r="B623" s="127"/>
      <c r="C623" s="127"/>
      <c r="D623" s="127"/>
      <c r="E623" s="127"/>
      <c r="F623" s="127"/>
      <c r="G623" s="127"/>
      <c r="H623" s="127"/>
      <c r="I623" s="127"/>
      <c r="J623" s="127"/>
      <c r="K623" s="127"/>
      <c r="L623" s="127"/>
      <c r="M623" s="127"/>
      <c r="N623" s="127"/>
      <c r="O623" s="127"/>
      <c r="P623" s="127"/>
      <c r="Q623" s="127"/>
      <c r="R623" s="127"/>
      <c r="S623" s="127"/>
      <c r="T623" s="127"/>
      <c r="U623" s="127"/>
      <c r="V623" s="127"/>
      <c r="W623" s="127"/>
      <c r="X623" s="127"/>
      <c r="Y623" s="127"/>
      <c r="Z623" s="127"/>
    </row>
    <row r="624" customFormat="false" ht="15.75" hidden="false" customHeight="false" outlineLevel="0" collapsed="false">
      <c r="A624" s="127"/>
      <c r="B624" s="127"/>
      <c r="C624" s="127"/>
      <c r="D624" s="127"/>
      <c r="E624" s="127"/>
      <c r="F624" s="127"/>
      <c r="G624" s="127"/>
      <c r="H624" s="127"/>
      <c r="I624" s="127"/>
      <c r="J624" s="127"/>
      <c r="K624" s="127"/>
      <c r="L624" s="127"/>
      <c r="M624" s="127"/>
      <c r="N624" s="127"/>
      <c r="O624" s="127"/>
      <c r="P624" s="127"/>
      <c r="Q624" s="127"/>
      <c r="R624" s="127"/>
      <c r="S624" s="127"/>
      <c r="T624" s="127"/>
      <c r="U624" s="127"/>
      <c r="V624" s="127"/>
      <c r="W624" s="127"/>
      <c r="X624" s="127"/>
      <c r="Y624" s="127"/>
      <c r="Z624" s="127"/>
    </row>
    <row r="625" customFormat="false" ht="15.75" hidden="false" customHeight="false" outlineLevel="0" collapsed="false">
      <c r="A625" s="127"/>
      <c r="B625" s="127"/>
      <c r="C625" s="127"/>
      <c r="D625" s="127"/>
      <c r="E625" s="127"/>
      <c r="F625" s="127"/>
      <c r="G625" s="127"/>
      <c r="H625" s="127"/>
      <c r="I625" s="127"/>
      <c r="J625" s="127"/>
      <c r="K625" s="127"/>
      <c r="L625" s="127"/>
      <c r="M625" s="127"/>
      <c r="N625" s="127"/>
      <c r="O625" s="127"/>
      <c r="P625" s="127"/>
      <c r="Q625" s="127"/>
      <c r="R625" s="127"/>
      <c r="S625" s="127"/>
      <c r="T625" s="127"/>
      <c r="U625" s="127"/>
      <c r="V625" s="127"/>
      <c r="W625" s="127"/>
      <c r="X625" s="127"/>
      <c r="Y625" s="127"/>
      <c r="Z625" s="127"/>
    </row>
    <row r="626" customFormat="false" ht="15.75" hidden="false" customHeight="false" outlineLevel="0" collapsed="false">
      <c r="A626" s="127"/>
      <c r="B626" s="127"/>
      <c r="C626" s="127"/>
      <c r="D626" s="127"/>
      <c r="E626" s="127"/>
      <c r="F626" s="127"/>
      <c r="G626" s="127"/>
      <c r="H626" s="127"/>
      <c r="I626" s="127"/>
      <c r="J626" s="127"/>
      <c r="K626" s="127"/>
      <c r="L626" s="127"/>
      <c r="M626" s="127"/>
      <c r="N626" s="127"/>
      <c r="O626" s="127"/>
      <c r="P626" s="127"/>
      <c r="Q626" s="127"/>
      <c r="R626" s="127"/>
      <c r="S626" s="127"/>
      <c r="T626" s="127"/>
      <c r="U626" s="127"/>
      <c r="V626" s="127"/>
      <c r="W626" s="127"/>
      <c r="X626" s="127"/>
      <c r="Y626" s="127"/>
      <c r="Z626" s="127"/>
    </row>
    <row r="627" customFormat="false" ht="15.75" hidden="false" customHeight="false" outlineLevel="0" collapsed="false">
      <c r="A627" s="127"/>
      <c r="B627" s="127"/>
      <c r="C627" s="127"/>
      <c r="D627" s="127"/>
      <c r="E627" s="127"/>
      <c r="F627" s="127"/>
      <c r="G627" s="127"/>
      <c r="H627" s="127"/>
      <c r="I627" s="127"/>
      <c r="J627" s="127"/>
      <c r="K627" s="127"/>
      <c r="L627" s="127"/>
      <c r="M627" s="127"/>
      <c r="N627" s="127"/>
      <c r="O627" s="127"/>
      <c r="P627" s="127"/>
      <c r="Q627" s="127"/>
      <c r="R627" s="127"/>
      <c r="S627" s="127"/>
      <c r="T627" s="127"/>
      <c r="U627" s="127"/>
      <c r="V627" s="127"/>
      <c r="W627" s="127"/>
      <c r="X627" s="127"/>
      <c r="Y627" s="127"/>
      <c r="Z627" s="127"/>
    </row>
    <row r="628" customFormat="false" ht="15.75" hidden="false" customHeight="false" outlineLevel="0" collapsed="false">
      <c r="A628" s="127"/>
      <c r="B628" s="127"/>
      <c r="C628" s="127"/>
      <c r="D628" s="127"/>
      <c r="E628" s="127"/>
      <c r="F628" s="127"/>
      <c r="G628" s="127"/>
      <c r="H628" s="127"/>
      <c r="I628" s="127"/>
      <c r="J628" s="127"/>
      <c r="K628" s="127"/>
      <c r="L628" s="127"/>
      <c r="M628" s="127"/>
      <c r="N628" s="127"/>
      <c r="O628" s="127"/>
      <c r="P628" s="127"/>
      <c r="Q628" s="127"/>
      <c r="R628" s="127"/>
      <c r="S628" s="127"/>
      <c r="T628" s="127"/>
      <c r="U628" s="127"/>
      <c r="V628" s="127"/>
      <c r="W628" s="127"/>
      <c r="X628" s="127"/>
      <c r="Y628" s="127"/>
      <c r="Z628" s="127"/>
    </row>
    <row r="629" customFormat="false" ht="15.75" hidden="false" customHeight="false" outlineLevel="0" collapsed="false">
      <c r="A629" s="127"/>
      <c r="B629" s="127"/>
      <c r="C629" s="127"/>
      <c r="D629" s="127"/>
      <c r="E629" s="127"/>
      <c r="F629" s="127"/>
      <c r="G629" s="127"/>
      <c r="H629" s="127"/>
      <c r="I629" s="127"/>
      <c r="J629" s="127"/>
      <c r="K629" s="127"/>
      <c r="L629" s="127"/>
      <c r="M629" s="127"/>
      <c r="N629" s="127"/>
      <c r="O629" s="127"/>
      <c r="P629" s="127"/>
      <c r="Q629" s="127"/>
      <c r="R629" s="127"/>
      <c r="S629" s="127"/>
      <c r="T629" s="127"/>
      <c r="U629" s="127"/>
      <c r="V629" s="127"/>
      <c r="W629" s="127"/>
      <c r="X629" s="127"/>
      <c r="Y629" s="127"/>
      <c r="Z629" s="127"/>
    </row>
    <row r="630" customFormat="false" ht="15.75" hidden="false" customHeight="false" outlineLevel="0" collapsed="false">
      <c r="A630" s="127"/>
      <c r="B630" s="127"/>
      <c r="C630" s="127"/>
      <c r="D630" s="127"/>
      <c r="E630" s="127"/>
      <c r="F630" s="127"/>
      <c r="G630" s="127"/>
      <c r="H630" s="127"/>
      <c r="I630" s="127"/>
      <c r="J630" s="127"/>
      <c r="K630" s="127"/>
      <c r="L630" s="127"/>
      <c r="M630" s="127"/>
      <c r="N630" s="127"/>
      <c r="O630" s="127"/>
      <c r="P630" s="127"/>
      <c r="Q630" s="127"/>
      <c r="R630" s="127"/>
      <c r="S630" s="127"/>
      <c r="T630" s="127"/>
      <c r="U630" s="127"/>
      <c r="V630" s="127"/>
      <c r="W630" s="127"/>
      <c r="X630" s="127"/>
      <c r="Y630" s="127"/>
      <c r="Z630" s="127"/>
    </row>
    <row r="631" customFormat="false" ht="15.75" hidden="false" customHeight="false" outlineLevel="0" collapsed="false">
      <c r="A631" s="127"/>
      <c r="B631" s="127"/>
      <c r="C631" s="127"/>
      <c r="D631" s="127"/>
      <c r="E631" s="127"/>
      <c r="F631" s="127"/>
      <c r="G631" s="127"/>
      <c r="H631" s="127"/>
      <c r="I631" s="127"/>
      <c r="J631" s="127"/>
      <c r="K631" s="127"/>
      <c r="L631" s="127"/>
      <c r="M631" s="127"/>
      <c r="N631" s="127"/>
      <c r="O631" s="127"/>
      <c r="P631" s="127"/>
      <c r="Q631" s="127"/>
      <c r="R631" s="127"/>
      <c r="S631" s="127"/>
      <c r="T631" s="127"/>
      <c r="U631" s="127"/>
      <c r="V631" s="127"/>
      <c r="W631" s="127"/>
      <c r="X631" s="127"/>
      <c r="Y631" s="127"/>
      <c r="Z631" s="127"/>
    </row>
    <row r="632" customFormat="false" ht="15.75" hidden="false" customHeight="false" outlineLevel="0" collapsed="false">
      <c r="A632" s="127"/>
      <c r="B632" s="127"/>
      <c r="C632" s="127"/>
      <c r="D632" s="127"/>
      <c r="E632" s="127"/>
      <c r="F632" s="127"/>
      <c r="G632" s="127"/>
      <c r="H632" s="127"/>
      <c r="I632" s="127"/>
      <c r="J632" s="127"/>
      <c r="K632" s="127"/>
      <c r="L632" s="127"/>
      <c r="M632" s="127"/>
      <c r="N632" s="127"/>
      <c r="O632" s="127"/>
      <c r="P632" s="127"/>
      <c r="Q632" s="127"/>
      <c r="R632" s="127"/>
      <c r="S632" s="127"/>
      <c r="T632" s="127"/>
      <c r="U632" s="127"/>
      <c r="V632" s="127"/>
      <c r="W632" s="127"/>
      <c r="X632" s="127"/>
      <c r="Y632" s="127"/>
      <c r="Z632" s="127"/>
    </row>
    <row r="633" customFormat="false" ht="15.75" hidden="false" customHeight="false" outlineLevel="0" collapsed="false">
      <c r="A633" s="127"/>
      <c r="B633" s="127"/>
      <c r="C633" s="127"/>
      <c r="D633" s="127"/>
      <c r="E633" s="127"/>
      <c r="F633" s="127"/>
      <c r="G633" s="127"/>
      <c r="H633" s="127"/>
      <c r="I633" s="127"/>
      <c r="J633" s="127"/>
      <c r="K633" s="127"/>
      <c r="L633" s="127"/>
      <c r="M633" s="127"/>
      <c r="N633" s="127"/>
      <c r="O633" s="127"/>
      <c r="P633" s="127"/>
      <c r="Q633" s="127"/>
      <c r="R633" s="127"/>
      <c r="S633" s="127"/>
      <c r="T633" s="127"/>
      <c r="U633" s="127"/>
      <c r="V633" s="127"/>
      <c r="W633" s="127"/>
      <c r="X633" s="127"/>
      <c r="Y633" s="127"/>
      <c r="Z633" s="127"/>
    </row>
    <row r="634" customFormat="false" ht="15.75" hidden="false" customHeight="false" outlineLevel="0" collapsed="false">
      <c r="A634" s="127"/>
      <c r="B634" s="127"/>
      <c r="C634" s="127"/>
      <c r="D634" s="127"/>
      <c r="E634" s="127"/>
      <c r="F634" s="127"/>
      <c r="G634" s="127"/>
      <c r="H634" s="127"/>
      <c r="I634" s="127"/>
      <c r="J634" s="127"/>
      <c r="K634" s="127"/>
      <c r="L634" s="127"/>
      <c r="M634" s="127"/>
      <c r="N634" s="127"/>
      <c r="O634" s="127"/>
      <c r="P634" s="127"/>
      <c r="Q634" s="127"/>
      <c r="R634" s="127"/>
      <c r="S634" s="127"/>
      <c r="T634" s="127"/>
      <c r="U634" s="127"/>
      <c r="V634" s="127"/>
      <c r="W634" s="127"/>
      <c r="X634" s="127"/>
      <c r="Y634" s="127"/>
      <c r="Z634" s="127"/>
    </row>
    <row r="635" customFormat="false" ht="15.75" hidden="false" customHeight="false" outlineLevel="0" collapsed="false">
      <c r="A635" s="127"/>
      <c r="B635" s="127"/>
      <c r="C635" s="127"/>
      <c r="D635" s="127"/>
      <c r="E635" s="127"/>
      <c r="F635" s="127"/>
      <c r="G635" s="127"/>
      <c r="H635" s="127"/>
      <c r="I635" s="127"/>
      <c r="J635" s="127"/>
      <c r="K635" s="127"/>
      <c r="L635" s="127"/>
      <c r="M635" s="127"/>
      <c r="N635" s="127"/>
      <c r="O635" s="127"/>
      <c r="P635" s="127"/>
      <c r="Q635" s="127"/>
      <c r="R635" s="127"/>
      <c r="S635" s="127"/>
      <c r="T635" s="127"/>
      <c r="U635" s="127"/>
      <c r="V635" s="127"/>
      <c r="W635" s="127"/>
      <c r="X635" s="127"/>
      <c r="Y635" s="127"/>
      <c r="Z635" s="127"/>
    </row>
    <row r="636" customFormat="false" ht="15.75" hidden="false" customHeight="false" outlineLevel="0" collapsed="false">
      <c r="A636" s="127"/>
      <c r="B636" s="127"/>
      <c r="C636" s="127"/>
      <c r="D636" s="127"/>
      <c r="E636" s="127"/>
      <c r="F636" s="127"/>
      <c r="G636" s="127"/>
      <c r="H636" s="127"/>
      <c r="I636" s="127"/>
      <c r="J636" s="127"/>
      <c r="K636" s="127"/>
      <c r="L636" s="127"/>
      <c r="M636" s="127"/>
      <c r="N636" s="127"/>
      <c r="O636" s="127"/>
      <c r="P636" s="127"/>
      <c r="Q636" s="127"/>
      <c r="R636" s="127"/>
      <c r="S636" s="127"/>
      <c r="T636" s="127"/>
      <c r="U636" s="127"/>
      <c r="V636" s="127"/>
      <c r="W636" s="127"/>
      <c r="X636" s="127"/>
      <c r="Y636" s="127"/>
      <c r="Z636" s="127"/>
    </row>
    <row r="637" customFormat="false" ht="15.75" hidden="false" customHeight="false" outlineLevel="0" collapsed="false">
      <c r="A637" s="127"/>
      <c r="B637" s="127"/>
      <c r="C637" s="127"/>
      <c r="D637" s="127"/>
      <c r="E637" s="127"/>
      <c r="F637" s="127"/>
      <c r="G637" s="127"/>
      <c r="H637" s="127"/>
      <c r="I637" s="127"/>
      <c r="J637" s="127"/>
      <c r="K637" s="127"/>
      <c r="L637" s="127"/>
      <c r="M637" s="127"/>
      <c r="N637" s="127"/>
      <c r="O637" s="127"/>
      <c r="P637" s="127"/>
      <c r="Q637" s="127"/>
      <c r="R637" s="127"/>
      <c r="S637" s="127"/>
      <c r="T637" s="127"/>
      <c r="U637" s="127"/>
      <c r="V637" s="127"/>
      <c r="W637" s="127"/>
      <c r="X637" s="127"/>
      <c r="Y637" s="127"/>
      <c r="Z637" s="127"/>
    </row>
    <row r="638" customFormat="false" ht="15.75" hidden="false" customHeight="false" outlineLevel="0" collapsed="false">
      <c r="A638" s="127"/>
      <c r="B638" s="127"/>
      <c r="C638" s="127"/>
      <c r="D638" s="127"/>
      <c r="E638" s="127"/>
      <c r="F638" s="127"/>
      <c r="G638" s="127"/>
      <c r="H638" s="127"/>
      <c r="I638" s="127"/>
      <c r="J638" s="127"/>
      <c r="K638" s="127"/>
      <c r="L638" s="127"/>
      <c r="M638" s="127"/>
      <c r="N638" s="127"/>
      <c r="O638" s="127"/>
      <c r="P638" s="127"/>
      <c r="Q638" s="127"/>
      <c r="R638" s="127"/>
      <c r="S638" s="127"/>
      <c r="T638" s="127"/>
      <c r="U638" s="127"/>
      <c r="V638" s="127"/>
      <c r="W638" s="127"/>
      <c r="X638" s="127"/>
      <c r="Y638" s="127"/>
      <c r="Z638" s="127"/>
    </row>
    <row r="639" customFormat="false" ht="15.75" hidden="false" customHeight="false" outlineLevel="0" collapsed="false">
      <c r="A639" s="127"/>
      <c r="B639" s="127"/>
      <c r="C639" s="127"/>
      <c r="D639" s="127"/>
      <c r="E639" s="127"/>
      <c r="F639" s="127"/>
      <c r="G639" s="127"/>
      <c r="H639" s="127"/>
      <c r="I639" s="127"/>
      <c r="J639" s="127"/>
      <c r="K639" s="127"/>
      <c r="L639" s="127"/>
      <c r="M639" s="127"/>
      <c r="N639" s="127"/>
      <c r="O639" s="127"/>
      <c r="P639" s="127"/>
      <c r="Q639" s="127"/>
      <c r="R639" s="127"/>
      <c r="S639" s="127"/>
      <c r="T639" s="127"/>
      <c r="U639" s="127"/>
      <c r="V639" s="127"/>
      <c r="W639" s="127"/>
      <c r="X639" s="127"/>
      <c r="Y639" s="127"/>
      <c r="Z639" s="127"/>
    </row>
    <row r="640" customFormat="false" ht="15.75" hidden="false" customHeight="false" outlineLevel="0" collapsed="false">
      <c r="A640" s="127"/>
      <c r="B640" s="127"/>
      <c r="C640" s="127"/>
      <c r="D640" s="127"/>
      <c r="E640" s="127"/>
      <c r="F640" s="127"/>
      <c r="G640" s="127"/>
      <c r="H640" s="127"/>
      <c r="I640" s="127"/>
      <c r="J640" s="127"/>
      <c r="K640" s="127"/>
      <c r="L640" s="127"/>
      <c r="M640" s="127"/>
      <c r="N640" s="127"/>
      <c r="O640" s="127"/>
      <c r="P640" s="127"/>
      <c r="Q640" s="127"/>
      <c r="R640" s="127"/>
      <c r="S640" s="127"/>
      <c r="T640" s="127"/>
      <c r="U640" s="127"/>
      <c r="V640" s="127"/>
      <c r="W640" s="127"/>
      <c r="X640" s="127"/>
      <c r="Y640" s="127"/>
      <c r="Z640" s="127"/>
    </row>
    <row r="641" customFormat="false" ht="15.75" hidden="false" customHeight="false" outlineLevel="0" collapsed="false">
      <c r="A641" s="127"/>
      <c r="B641" s="127"/>
      <c r="C641" s="127"/>
      <c r="D641" s="127"/>
      <c r="E641" s="127"/>
      <c r="F641" s="127"/>
      <c r="G641" s="127"/>
      <c r="H641" s="127"/>
      <c r="I641" s="127"/>
      <c r="J641" s="127"/>
      <c r="K641" s="127"/>
      <c r="L641" s="127"/>
      <c r="M641" s="127"/>
      <c r="N641" s="127"/>
      <c r="O641" s="127"/>
      <c r="P641" s="127"/>
      <c r="Q641" s="127"/>
      <c r="R641" s="127"/>
      <c r="S641" s="127"/>
      <c r="T641" s="127"/>
      <c r="U641" s="127"/>
      <c r="V641" s="127"/>
      <c r="W641" s="127"/>
      <c r="X641" s="127"/>
      <c r="Y641" s="127"/>
      <c r="Z641" s="127"/>
    </row>
    <row r="642" customFormat="false" ht="15.75" hidden="false" customHeight="false" outlineLevel="0" collapsed="false">
      <c r="A642" s="127"/>
      <c r="B642" s="127"/>
      <c r="C642" s="127"/>
      <c r="D642" s="127"/>
      <c r="E642" s="127"/>
      <c r="F642" s="127"/>
      <c r="G642" s="127"/>
      <c r="H642" s="127"/>
      <c r="I642" s="127"/>
      <c r="J642" s="127"/>
      <c r="K642" s="127"/>
      <c r="L642" s="127"/>
      <c r="M642" s="127"/>
      <c r="N642" s="127"/>
      <c r="O642" s="127"/>
      <c r="P642" s="127"/>
      <c r="Q642" s="127"/>
      <c r="R642" s="127"/>
      <c r="S642" s="127"/>
      <c r="T642" s="127"/>
      <c r="U642" s="127"/>
      <c r="V642" s="127"/>
      <c r="W642" s="127"/>
      <c r="X642" s="127"/>
      <c r="Y642" s="127"/>
      <c r="Z642" s="127"/>
    </row>
    <row r="643" customFormat="false" ht="15.75" hidden="false" customHeight="false" outlineLevel="0" collapsed="false">
      <c r="A643" s="127"/>
      <c r="B643" s="127"/>
      <c r="C643" s="127"/>
      <c r="D643" s="127"/>
      <c r="E643" s="127"/>
      <c r="F643" s="127"/>
      <c r="G643" s="127"/>
      <c r="H643" s="127"/>
      <c r="I643" s="127"/>
      <c r="J643" s="127"/>
      <c r="K643" s="127"/>
      <c r="L643" s="127"/>
      <c r="M643" s="127"/>
      <c r="N643" s="127"/>
      <c r="O643" s="127"/>
      <c r="P643" s="127"/>
      <c r="Q643" s="127"/>
      <c r="R643" s="127"/>
      <c r="S643" s="127"/>
      <c r="T643" s="127"/>
      <c r="U643" s="127"/>
      <c r="V643" s="127"/>
      <c r="W643" s="127"/>
      <c r="X643" s="127"/>
      <c r="Y643" s="127"/>
      <c r="Z643" s="127"/>
    </row>
    <row r="644" customFormat="false" ht="15.75" hidden="false" customHeight="false" outlineLevel="0" collapsed="false">
      <c r="A644" s="127"/>
      <c r="B644" s="127"/>
      <c r="C644" s="127"/>
      <c r="D644" s="127"/>
      <c r="E644" s="127"/>
      <c r="F644" s="127"/>
      <c r="G644" s="127"/>
      <c r="H644" s="127"/>
      <c r="I644" s="127"/>
      <c r="J644" s="127"/>
      <c r="K644" s="127"/>
      <c r="L644" s="127"/>
      <c r="M644" s="127"/>
      <c r="N644" s="127"/>
      <c r="O644" s="127"/>
      <c r="P644" s="127"/>
      <c r="Q644" s="127"/>
      <c r="R644" s="127"/>
      <c r="S644" s="127"/>
      <c r="T644" s="127"/>
      <c r="U644" s="127"/>
      <c r="V644" s="127"/>
      <c r="W644" s="127"/>
      <c r="X644" s="127"/>
      <c r="Y644" s="127"/>
      <c r="Z644" s="127"/>
    </row>
    <row r="645" customFormat="false" ht="15.75" hidden="false" customHeight="false" outlineLevel="0" collapsed="false">
      <c r="A645" s="127"/>
      <c r="B645" s="127"/>
      <c r="C645" s="127"/>
      <c r="D645" s="127"/>
      <c r="E645" s="127"/>
      <c r="F645" s="127"/>
      <c r="G645" s="127"/>
      <c r="H645" s="127"/>
      <c r="I645" s="127"/>
      <c r="J645" s="127"/>
      <c r="K645" s="127"/>
      <c r="L645" s="127"/>
      <c r="M645" s="127"/>
      <c r="N645" s="127"/>
      <c r="O645" s="127"/>
      <c r="P645" s="127"/>
      <c r="Q645" s="127"/>
      <c r="R645" s="127"/>
      <c r="S645" s="127"/>
      <c r="T645" s="127"/>
      <c r="U645" s="127"/>
      <c r="V645" s="127"/>
      <c r="W645" s="127"/>
      <c r="X645" s="127"/>
      <c r="Y645" s="127"/>
      <c r="Z645" s="127"/>
    </row>
    <row r="646" customFormat="false" ht="15.75" hidden="false" customHeight="false" outlineLevel="0" collapsed="false">
      <c r="A646" s="127"/>
      <c r="B646" s="127"/>
      <c r="C646" s="127"/>
      <c r="D646" s="127"/>
      <c r="E646" s="127"/>
      <c r="F646" s="127"/>
      <c r="G646" s="127"/>
      <c r="H646" s="127"/>
      <c r="I646" s="127"/>
      <c r="J646" s="127"/>
      <c r="K646" s="127"/>
      <c r="L646" s="127"/>
      <c r="M646" s="127"/>
      <c r="N646" s="127"/>
      <c r="O646" s="127"/>
      <c r="P646" s="127"/>
      <c r="Q646" s="127"/>
      <c r="R646" s="127"/>
      <c r="S646" s="127"/>
      <c r="T646" s="127"/>
      <c r="U646" s="127"/>
      <c r="V646" s="127"/>
      <c r="W646" s="127"/>
      <c r="X646" s="127"/>
      <c r="Y646" s="127"/>
      <c r="Z646" s="127"/>
    </row>
    <row r="647" customFormat="false" ht="15.75" hidden="false" customHeight="false" outlineLevel="0" collapsed="false">
      <c r="A647" s="127"/>
      <c r="B647" s="127"/>
      <c r="C647" s="127"/>
      <c r="D647" s="127"/>
      <c r="E647" s="127"/>
      <c r="F647" s="127"/>
      <c r="G647" s="127"/>
      <c r="H647" s="127"/>
      <c r="I647" s="127"/>
      <c r="J647" s="127"/>
      <c r="K647" s="127"/>
      <c r="L647" s="127"/>
      <c r="M647" s="127"/>
      <c r="N647" s="127"/>
      <c r="O647" s="127"/>
      <c r="P647" s="127"/>
      <c r="Q647" s="127"/>
      <c r="R647" s="127"/>
      <c r="S647" s="127"/>
      <c r="T647" s="127"/>
      <c r="U647" s="127"/>
      <c r="V647" s="127"/>
      <c r="W647" s="127"/>
      <c r="X647" s="127"/>
      <c r="Y647" s="127"/>
      <c r="Z647" s="127"/>
    </row>
    <row r="648" customFormat="false" ht="15.75" hidden="false" customHeight="false" outlineLevel="0" collapsed="false">
      <c r="A648" s="127"/>
      <c r="B648" s="127"/>
      <c r="C648" s="127"/>
      <c r="D648" s="127"/>
      <c r="E648" s="127"/>
      <c r="F648" s="127"/>
      <c r="G648" s="127"/>
      <c r="H648" s="127"/>
      <c r="I648" s="127"/>
      <c r="J648" s="127"/>
      <c r="K648" s="127"/>
      <c r="L648" s="127"/>
      <c r="M648" s="127"/>
      <c r="N648" s="127"/>
      <c r="O648" s="127"/>
      <c r="P648" s="127"/>
      <c r="Q648" s="127"/>
      <c r="R648" s="127"/>
      <c r="S648" s="127"/>
      <c r="T648" s="127"/>
      <c r="U648" s="127"/>
      <c r="V648" s="127"/>
      <c r="W648" s="127"/>
      <c r="X648" s="127"/>
      <c r="Y648" s="127"/>
      <c r="Z648" s="127"/>
    </row>
    <row r="649" customFormat="false" ht="15.75" hidden="false" customHeight="false" outlineLevel="0" collapsed="false">
      <c r="A649" s="127"/>
      <c r="B649" s="127"/>
      <c r="C649" s="127"/>
      <c r="D649" s="127"/>
      <c r="E649" s="127"/>
      <c r="F649" s="127"/>
      <c r="G649" s="127"/>
      <c r="H649" s="127"/>
      <c r="I649" s="127"/>
      <c r="J649" s="127"/>
      <c r="K649" s="127"/>
      <c r="L649" s="127"/>
      <c r="M649" s="127"/>
      <c r="N649" s="127"/>
      <c r="O649" s="127"/>
      <c r="P649" s="127"/>
      <c r="Q649" s="127"/>
      <c r="R649" s="127"/>
      <c r="S649" s="127"/>
      <c r="T649" s="127"/>
      <c r="U649" s="127"/>
      <c r="V649" s="127"/>
      <c r="W649" s="127"/>
      <c r="X649" s="127"/>
      <c r="Y649" s="127"/>
      <c r="Z649" s="127"/>
    </row>
    <row r="650" customFormat="false" ht="15.75" hidden="false" customHeight="false" outlineLevel="0" collapsed="false">
      <c r="A650" s="127"/>
      <c r="B650" s="127"/>
      <c r="C650" s="127"/>
      <c r="D650" s="127"/>
      <c r="E650" s="127"/>
      <c r="F650" s="127"/>
      <c r="G650" s="127"/>
      <c r="H650" s="127"/>
      <c r="I650" s="127"/>
      <c r="J650" s="127"/>
      <c r="K650" s="127"/>
      <c r="L650" s="127"/>
      <c r="M650" s="127"/>
      <c r="N650" s="127"/>
      <c r="O650" s="127"/>
      <c r="P650" s="127"/>
      <c r="Q650" s="127"/>
      <c r="R650" s="127"/>
      <c r="S650" s="127"/>
      <c r="T650" s="127"/>
      <c r="U650" s="127"/>
      <c r="V650" s="127"/>
      <c r="W650" s="127"/>
      <c r="X650" s="127"/>
      <c r="Y650" s="127"/>
      <c r="Z650" s="127"/>
    </row>
    <row r="651" customFormat="false" ht="15.75" hidden="false" customHeight="false" outlineLevel="0" collapsed="false">
      <c r="A651" s="127"/>
      <c r="B651" s="127"/>
      <c r="C651" s="127"/>
      <c r="D651" s="127"/>
      <c r="E651" s="127"/>
      <c r="F651" s="127"/>
      <c r="G651" s="127"/>
      <c r="H651" s="127"/>
      <c r="I651" s="127"/>
      <c r="J651" s="127"/>
      <c r="K651" s="127"/>
      <c r="L651" s="127"/>
      <c r="M651" s="127"/>
      <c r="N651" s="127"/>
      <c r="O651" s="127"/>
      <c r="P651" s="127"/>
      <c r="Q651" s="127"/>
      <c r="R651" s="127"/>
      <c r="S651" s="127"/>
      <c r="T651" s="127"/>
      <c r="U651" s="127"/>
      <c r="V651" s="127"/>
      <c r="W651" s="127"/>
      <c r="X651" s="127"/>
      <c r="Y651" s="127"/>
      <c r="Z651" s="127"/>
    </row>
    <row r="652" customFormat="false" ht="15.75" hidden="false" customHeight="false" outlineLevel="0" collapsed="false">
      <c r="A652" s="127"/>
      <c r="B652" s="127"/>
      <c r="C652" s="127"/>
      <c r="D652" s="127"/>
      <c r="E652" s="127"/>
      <c r="F652" s="127"/>
      <c r="G652" s="127"/>
      <c r="H652" s="127"/>
      <c r="I652" s="127"/>
      <c r="J652" s="127"/>
      <c r="K652" s="127"/>
      <c r="L652" s="127"/>
      <c r="M652" s="127"/>
      <c r="N652" s="127"/>
      <c r="O652" s="127"/>
      <c r="P652" s="127"/>
      <c r="Q652" s="127"/>
      <c r="R652" s="127"/>
      <c r="S652" s="127"/>
      <c r="T652" s="127"/>
      <c r="U652" s="127"/>
      <c r="V652" s="127"/>
      <c r="W652" s="127"/>
      <c r="X652" s="127"/>
      <c r="Y652" s="127"/>
      <c r="Z652" s="127"/>
    </row>
    <row r="653" customFormat="false" ht="15.75" hidden="false" customHeight="false" outlineLevel="0" collapsed="false">
      <c r="A653" s="127"/>
      <c r="B653" s="127"/>
      <c r="C653" s="127"/>
      <c r="D653" s="127"/>
      <c r="E653" s="127"/>
      <c r="F653" s="127"/>
      <c r="G653" s="127"/>
      <c r="H653" s="127"/>
      <c r="I653" s="127"/>
      <c r="J653" s="127"/>
      <c r="K653" s="127"/>
      <c r="L653" s="127"/>
      <c r="M653" s="127"/>
      <c r="N653" s="127"/>
      <c r="O653" s="127"/>
      <c r="P653" s="127"/>
      <c r="Q653" s="127"/>
      <c r="R653" s="127"/>
      <c r="S653" s="127"/>
      <c r="T653" s="127"/>
      <c r="U653" s="127"/>
      <c r="V653" s="127"/>
      <c r="W653" s="127"/>
      <c r="X653" s="127"/>
      <c r="Y653" s="127"/>
      <c r="Z653" s="127"/>
    </row>
    <row r="654" customFormat="false" ht="15.75" hidden="false" customHeight="false" outlineLevel="0" collapsed="false">
      <c r="A654" s="127"/>
      <c r="B654" s="127"/>
      <c r="C654" s="127"/>
      <c r="D654" s="127"/>
      <c r="E654" s="127"/>
      <c r="F654" s="127"/>
      <c r="G654" s="127"/>
      <c r="H654" s="127"/>
      <c r="I654" s="127"/>
      <c r="J654" s="127"/>
      <c r="K654" s="127"/>
      <c r="L654" s="127"/>
      <c r="M654" s="127"/>
      <c r="N654" s="127"/>
      <c r="O654" s="127"/>
      <c r="P654" s="127"/>
      <c r="Q654" s="127"/>
      <c r="R654" s="127"/>
      <c r="S654" s="127"/>
      <c r="T654" s="127"/>
      <c r="U654" s="127"/>
      <c r="V654" s="127"/>
      <c r="W654" s="127"/>
      <c r="X654" s="127"/>
      <c r="Y654" s="127"/>
      <c r="Z654" s="127"/>
    </row>
    <row r="655" customFormat="false" ht="15.75" hidden="false" customHeight="false" outlineLevel="0" collapsed="false">
      <c r="A655" s="127"/>
      <c r="B655" s="127"/>
      <c r="C655" s="127"/>
      <c r="D655" s="127"/>
      <c r="E655" s="127"/>
      <c r="F655" s="127"/>
      <c r="G655" s="127"/>
      <c r="H655" s="127"/>
      <c r="I655" s="127"/>
      <c r="J655" s="127"/>
      <c r="K655" s="127"/>
      <c r="L655" s="127"/>
      <c r="M655" s="127"/>
      <c r="N655" s="127"/>
      <c r="O655" s="127"/>
      <c r="P655" s="127"/>
      <c r="Q655" s="127"/>
      <c r="R655" s="127"/>
      <c r="S655" s="127"/>
      <c r="T655" s="127"/>
      <c r="U655" s="127"/>
      <c r="V655" s="127"/>
      <c r="W655" s="127"/>
      <c r="X655" s="127"/>
      <c r="Y655" s="127"/>
      <c r="Z655" s="127"/>
    </row>
    <row r="656" customFormat="false" ht="15.75" hidden="false" customHeight="false" outlineLevel="0" collapsed="false">
      <c r="A656" s="127"/>
      <c r="B656" s="127"/>
      <c r="C656" s="127"/>
      <c r="D656" s="127"/>
      <c r="E656" s="127"/>
      <c r="F656" s="127"/>
      <c r="G656" s="127"/>
      <c r="H656" s="127"/>
      <c r="I656" s="127"/>
      <c r="J656" s="127"/>
      <c r="K656" s="127"/>
      <c r="L656" s="127"/>
      <c r="M656" s="127"/>
      <c r="N656" s="127"/>
      <c r="O656" s="127"/>
      <c r="P656" s="127"/>
      <c r="Q656" s="127"/>
      <c r="R656" s="127"/>
      <c r="S656" s="127"/>
      <c r="T656" s="127"/>
      <c r="U656" s="127"/>
      <c r="V656" s="127"/>
      <c r="W656" s="127"/>
      <c r="X656" s="127"/>
      <c r="Y656" s="127"/>
      <c r="Z656" s="127"/>
    </row>
    <row r="657" customFormat="false" ht="15.75" hidden="false" customHeight="false" outlineLevel="0" collapsed="false">
      <c r="A657" s="127"/>
      <c r="B657" s="127"/>
      <c r="C657" s="127"/>
      <c r="D657" s="127"/>
      <c r="E657" s="127"/>
      <c r="F657" s="127"/>
      <c r="G657" s="127"/>
      <c r="H657" s="127"/>
      <c r="I657" s="127"/>
      <c r="J657" s="127"/>
      <c r="K657" s="127"/>
      <c r="L657" s="127"/>
      <c r="M657" s="127"/>
      <c r="N657" s="127"/>
      <c r="O657" s="127"/>
      <c r="P657" s="127"/>
      <c r="Q657" s="127"/>
      <c r="R657" s="127"/>
      <c r="S657" s="127"/>
      <c r="T657" s="127"/>
      <c r="U657" s="127"/>
      <c r="V657" s="127"/>
      <c r="W657" s="127"/>
      <c r="X657" s="127"/>
      <c r="Y657" s="127"/>
      <c r="Z657" s="127"/>
    </row>
    <row r="658" customFormat="false" ht="15.75" hidden="false" customHeight="false" outlineLevel="0" collapsed="false">
      <c r="A658" s="127"/>
      <c r="B658" s="127"/>
      <c r="C658" s="127"/>
      <c r="D658" s="127"/>
      <c r="E658" s="127"/>
      <c r="F658" s="127"/>
      <c r="G658" s="127"/>
      <c r="H658" s="127"/>
      <c r="I658" s="127"/>
      <c r="J658" s="127"/>
      <c r="K658" s="127"/>
      <c r="L658" s="127"/>
      <c r="M658" s="127"/>
      <c r="N658" s="127"/>
      <c r="O658" s="127"/>
      <c r="P658" s="127"/>
      <c r="Q658" s="127"/>
      <c r="R658" s="127"/>
      <c r="S658" s="127"/>
      <c r="T658" s="127"/>
      <c r="U658" s="127"/>
      <c r="V658" s="127"/>
      <c r="W658" s="127"/>
      <c r="X658" s="127"/>
      <c r="Y658" s="127"/>
      <c r="Z658" s="127"/>
    </row>
    <row r="659" customFormat="false" ht="15.75" hidden="false" customHeight="false" outlineLevel="0" collapsed="false">
      <c r="A659" s="127"/>
      <c r="B659" s="127"/>
      <c r="C659" s="127"/>
      <c r="D659" s="127"/>
      <c r="E659" s="127"/>
      <c r="F659" s="127"/>
      <c r="G659" s="127"/>
      <c r="H659" s="127"/>
      <c r="I659" s="127"/>
      <c r="J659" s="127"/>
      <c r="K659" s="127"/>
      <c r="L659" s="127"/>
      <c r="M659" s="127"/>
      <c r="N659" s="127"/>
      <c r="O659" s="127"/>
      <c r="P659" s="127"/>
      <c r="Q659" s="127"/>
      <c r="R659" s="127"/>
      <c r="S659" s="127"/>
      <c r="T659" s="127"/>
      <c r="U659" s="127"/>
      <c r="V659" s="127"/>
      <c r="W659" s="127"/>
      <c r="X659" s="127"/>
      <c r="Y659" s="127"/>
      <c r="Z659" s="127"/>
    </row>
    <row r="660" customFormat="false" ht="15.75" hidden="false" customHeight="false" outlineLevel="0" collapsed="false">
      <c r="A660" s="127"/>
      <c r="B660" s="127"/>
      <c r="C660" s="127"/>
      <c r="D660" s="127"/>
      <c r="E660" s="127"/>
      <c r="F660" s="127"/>
      <c r="G660" s="127"/>
      <c r="H660" s="127"/>
      <c r="I660" s="127"/>
      <c r="J660" s="127"/>
      <c r="K660" s="127"/>
      <c r="L660" s="127"/>
      <c r="M660" s="127"/>
      <c r="N660" s="127"/>
      <c r="O660" s="127"/>
      <c r="P660" s="127"/>
      <c r="Q660" s="127"/>
      <c r="R660" s="127"/>
      <c r="S660" s="127"/>
      <c r="T660" s="127"/>
      <c r="U660" s="127"/>
      <c r="V660" s="127"/>
      <c r="W660" s="127"/>
      <c r="X660" s="127"/>
      <c r="Y660" s="127"/>
      <c r="Z660" s="127"/>
    </row>
    <row r="661" customFormat="false" ht="15.75" hidden="false" customHeight="false" outlineLevel="0" collapsed="false">
      <c r="A661" s="127"/>
      <c r="B661" s="127"/>
      <c r="C661" s="127"/>
      <c r="D661" s="127"/>
      <c r="E661" s="127"/>
      <c r="F661" s="127"/>
      <c r="G661" s="127"/>
      <c r="H661" s="127"/>
      <c r="I661" s="127"/>
      <c r="J661" s="127"/>
      <c r="K661" s="127"/>
      <c r="L661" s="127"/>
      <c r="M661" s="127"/>
      <c r="N661" s="127"/>
      <c r="O661" s="127"/>
      <c r="P661" s="127"/>
      <c r="Q661" s="127"/>
      <c r="R661" s="127"/>
      <c r="S661" s="127"/>
      <c r="T661" s="127"/>
      <c r="U661" s="127"/>
      <c r="V661" s="127"/>
      <c r="W661" s="127"/>
      <c r="X661" s="127"/>
      <c r="Y661" s="127"/>
      <c r="Z661" s="127"/>
    </row>
    <row r="662" customFormat="false" ht="15.75" hidden="false" customHeight="false" outlineLevel="0" collapsed="false">
      <c r="A662" s="127"/>
      <c r="B662" s="127"/>
      <c r="C662" s="127"/>
      <c r="D662" s="127"/>
      <c r="E662" s="127"/>
      <c r="F662" s="127"/>
      <c r="G662" s="127"/>
      <c r="H662" s="127"/>
      <c r="I662" s="127"/>
      <c r="J662" s="127"/>
      <c r="K662" s="127"/>
      <c r="L662" s="127"/>
      <c r="M662" s="127"/>
      <c r="N662" s="127"/>
      <c r="O662" s="127"/>
      <c r="P662" s="127"/>
      <c r="Q662" s="127"/>
      <c r="R662" s="127"/>
      <c r="S662" s="127"/>
      <c r="T662" s="127"/>
      <c r="U662" s="127"/>
      <c r="V662" s="127"/>
      <c r="W662" s="127"/>
      <c r="X662" s="127"/>
      <c r="Y662" s="127"/>
      <c r="Z662" s="127"/>
    </row>
    <row r="663" customFormat="false" ht="15.75" hidden="false" customHeight="false" outlineLevel="0" collapsed="false">
      <c r="A663" s="127"/>
      <c r="B663" s="127"/>
      <c r="C663" s="127"/>
      <c r="D663" s="127"/>
      <c r="E663" s="127"/>
      <c r="F663" s="127"/>
      <c r="G663" s="127"/>
      <c r="H663" s="127"/>
      <c r="I663" s="127"/>
      <c r="J663" s="127"/>
      <c r="K663" s="127"/>
      <c r="L663" s="127"/>
      <c r="M663" s="127"/>
      <c r="N663" s="127"/>
      <c r="O663" s="127"/>
      <c r="P663" s="127"/>
      <c r="Q663" s="127"/>
      <c r="R663" s="127"/>
      <c r="S663" s="127"/>
      <c r="T663" s="127"/>
      <c r="U663" s="127"/>
      <c r="V663" s="127"/>
      <c r="W663" s="127"/>
      <c r="X663" s="127"/>
      <c r="Y663" s="127"/>
      <c r="Z663" s="127"/>
    </row>
    <row r="664" customFormat="false" ht="15.75" hidden="false" customHeight="false" outlineLevel="0" collapsed="false">
      <c r="A664" s="127"/>
      <c r="B664" s="127"/>
      <c r="C664" s="127"/>
      <c r="D664" s="127"/>
      <c r="E664" s="127"/>
      <c r="F664" s="127"/>
      <c r="G664" s="127"/>
      <c r="H664" s="127"/>
      <c r="I664" s="127"/>
      <c r="J664" s="127"/>
      <c r="K664" s="127"/>
      <c r="L664" s="127"/>
      <c r="M664" s="127"/>
      <c r="N664" s="127"/>
      <c r="O664" s="127"/>
      <c r="P664" s="127"/>
      <c r="Q664" s="127"/>
      <c r="R664" s="127"/>
      <c r="S664" s="127"/>
      <c r="T664" s="127"/>
      <c r="U664" s="127"/>
      <c r="V664" s="127"/>
      <c r="W664" s="127"/>
      <c r="X664" s="127"/>
      <c r="Y664" s="127"/>
      <c r="Z664" s="127"/>
    </row>
    <row r="665" customFormat="false" ht="15.75" hidden="false" customHeight="false" outlineLevel="0" collapsed="false">
      <c r="A665" s="127"/>
      <c r="B665" s="127"/>
      <c r="C665" s="127"/>
      <c r="D665" s="127"/>
      <c r="E665" s="127"/>
      <c r="F665" s="127"/>
      <c r="G665" s="127"/>
      <c r="H665" s="127"/>
      <c r="I665" s="127"/>
      <c r="J665" s="127"/>
      <c r="K665" s="127"/>
      <c r="L665" s="127"/>
      <c r="M665" s="127"/>
      <c r="N665" s="127"/>
      <c r="O665" s="127"/>
      <c r="P665" s="127"/>
      <c r="Q665" s="127"/>
      <c r="R665" s="127"/>
      <c r="S665" s="127"/>
      <c r="T665" s="127"/>
      <c r="U665" s="127"/>
      <c r="V665" s="127"/>
      <c r="W665" s="127"/>
      <c r="X665" s="127"/>
      <c r="Y665" s="127"/>
      <c r="Z665" s="127"/>
    </row>
    <row r="666" customFormat="false" ht="15.75" hidden="false" customHeight="false" outlineLevel="0" collapsed="false">
      <c r="A666" s="127"/>
      <c r="B666" s="127"/>
      <c r="C666" s="127"/>
      <c r="D666" s="127"/>
      <c r="E666" s="127"/>
      <c r="F666" s="127"/>
      <c r="G666" s="127"/>
      <c r="H666" s="127"/>
      <c r="I666" s="127"/>
      <c r="J666" s="127"/>
      <c r="K666" s="127"/>
      <c r="L666" s="127"/>
      <c r="M666" s="127"/>
      <c r="N666" s="127"/>
      <c r="O666" s="127"/>
      <c r="P666" s="127"/>
      <c r="Q666" s="127"/>
      <c r="R666" s="127"/>
      <c r="S666" s="127"/>
      <c r="T666" s="127"/>
      <c r="U666" s="127"/>
      <c r="V666" s="127"/>
      <c r="W666" s="127"/>
      <c r="X666" s="127"/>
      <c r="Y666" s="127"/>
      <c r="Z666" s="127"/>
    </row>
    <row r="667" customFormat="false" ht="15.75" hidden="false" customHeight="false" outlineLevel="0" collapsed="false">
      <c r="A667" s="127"/>
      <c r="B667" s="127"/>
      <c r="C667" s="127"/>
      <c r="D667" s="127"/>
      <c r="E667" s="127"/>
      <c r="F667" s="127"/>
      <c r="G667" s="127"/>
      <c r="H667" s="127"/>
      <c r="I667" s="127"/>
      <c r="J667" s="127"/>
      <c r="K667" s="127"/>
      <c r="L667" s="127"/>
      <c r="M667" s="127"/>
      <c r="N667" s="127"/>
      <c r="O667" s="127"/>
      <c r="P667" s="127"/>
      <c r="Q667" s="127"/>
      <c r="R667" s="127"/>
      <c r="S667" s="127"/>
      <c r="T667" s="127"/>
      <c r="U667" s="127"/>
      <c r="V667" s="127"/>
      <c r="W667" s="127"/>
      <c r="X667" s="127"/>
      <c r="Y667" s="127"/>
      <c r="Z667" s="127"/>
    </row>
    <row r="668" customFormat="false" ht="15.75" hidden="false" customHeight="false" outlineLevel="0" collapsed="false">
      <c r="A668" s="127"/>
      <c r="B668" s="127"/>
      <c r="C668" s="127"/>
      <c r="D668" s="127"/>
      <c r="E668" s="127"/>
      <c r="F668" s="127"/>
      <c r="G668" s="127"/>
      <c r="H668" s="127"/>
      <c r="I668" s="127"/>
      <c r="J668" s="127"/>
      <c r="K668" s="127"/>
      <c r="L668" s="127"/>
      <c r="M668" s="127"/>
      <c r="N668" s="127"/>
      <c r="O668" s="127"/>
      <c r="P668" s="127"/>
      <c r="Q668" s="127"/>
      <c r="R668" s="127"/>
      <c r="S668" s="127"/>
      <c r="T668" s="127"/>
      <c r="U668" s="127"/>
      <c r="V668" s="127"/>
      <c r="W668" s="127"/>
      <c r="X668" s="127"/>
      <c r="Y668" s="127"/>
      <c r="Z668" s="127"/>
    </row>
    <row r="669" customFormat="false" ht="15.75" hidden="false" customHeight="false" outlineLevel="0" collapsed="false">
      <c r="A669" s="127"/>
      <c r="B669" s="127"/>
      <c r="C669" s="127"/>
      <c r="D669" s="127"/>
      <c r="E669" s="127"/>
      <c r="F669" s="127"/>
      <c r="G669" s="127"/>
      <c r="H669" s="127"/>
      <c r="I669" s="127"/>
      <c r="J669" s="127"/>
      <c r="K669" s="127"/>
      <c r="L669" s="127"/>
      <c r="M669" s="127"/>
      <c r="N669" s="127"/>
      <c r="O669" s="127"/>
      <c r="P669" s="127"/>
      <c r="Q669" s="127"/>
      <c r="R669" s="127"/>
      <c r="S669" s="127"/>
      <c r="T669" s="127"/>
      <c r="U669" s="127"/>
      <c r="V669" s="127"/>
      <c r="W669" s="127"/>
      <c r="X669" s="127"/>
      <c r="Y669" s="127"/>
      <c r="Z669" s="127"/>
    </row>
    <row r="670" customFormat="false" ht="15.75" hidden="false" customHeight="false" outlineLevel="0" collapsed="false">
      <c r="A670" s="127"/>
      <c r="B670" s="127"/>
      <c r="C670" s="127"/>
      <c r="D670" s="127"/>
      <c r="E670" s="127"/>
      <c r="F670" s="127"/>
      <c r="G670" s="127"/>
      <c r="H670" s="127"/>
      <c r="I670" s="127"/>
      <c r="J670" s="127"/>
      <c r="K670" s="127"/>
      <c r="L670" s="127"/>
      <c r="M670" s="127"/>
      <c r="N670" s="127"/>
      <c r="O670" s="127"/>
      <c r="P670" s="127"/>
      <c r="Q670" s="127"/>
      <c r="R670" s="127"/>
      <c r="S670" s="127"/>
      <c r="T670" s="127"/>
      <c r="U670" s="127"/>
      <c r="V670" s="127"/>
      <c r="W670" s="127"/>
      <c r="X670" s="127"/>
      <c r="Y670" s="127"/>
      <c r="Z670" s="127"/>
    </row>
    <row r="671" customFormat="false" ht="15.75" hidden="false" customHeight="false" outlineLevel="0" collapsed="false">
      <c r="A671" s="127"/>
      <c r="B671" s="127"/>
      <c r="C671" s="127"/>
      <c r="D671" s="127"/>
      <c r="E671" s="127"/>
      <c r="F671" s="127"/>
      <c r="G671" s="127"/>
      <c r="H671" s="127"/>
      <c r="I671" s="127"/>
      <c r="J671" s="127"/>
      <c r="K671" s="127"/>
      <c r="L671" s="127"/>
      <c r="M671" s="127"/>
      <c r="N671" s="127"/>
      <c r="O671" s="127"/>
      <c r="P671" s="127"/>
      <c r="Q671" s="127"/>
      <c r="R671" s="127"/>
      <c r="S671" s="127"/>
      <c r="T671" s="127"/>
      <c r="U671" s="127"/>
      <c r="V671" s="127"/>
      <c r="W671" s="127"/>
      <c r="X671" s="127"/>
      <c r="Y671" s="127"/>
      <c r="Z671" s="127"/>
    </row>
    <row r="672" customFormat="false" ht="15.75" hidden="false" customHeight="false" outlineLevel="0" collapsed="false">
      <c r="A672" s="127"/>
      <c r="B672" s="127"/>
      <c r="C672" s="127"/>
      <c r="D672" s="127"/>
      <c r="E672" s="127"/>
      <c r="F672" s="127"/>
      <c r="G672" s="127"/>
      <c r="H672" s="127"/>
      <c r="I672" s="127"/>
      <c r="J672" s="127"/>
      <c r="K672" s="127"/>
      <c r="L672" s="127"/>
      <c r="M672" s="127"/>
      <c r="N672" s="127"/>
      <c r="O672" s="127"/>
      <c r="P672" s="127"/>
      <c r="Q672" s="127"/>
      <c r="R672" s="127"/>
      <c r="S672" s="127"/>
      <c r="T672" s="127"/>
      <c r="U672" s="127"/>
      <c r="V672" s="127"/>
      <c r="W672" s="127"/>
      <c r="X672" s="127"/>
      <c r="Y672" s="127"/>
      <c r="Z672" s="127"/>
    </row>
    <row r="673" customFormat="false" ht="15.75" hidden="false" customHeight="false" outlineLevel="0" collapsed="false">
      <c r="A673" s="127"/>
      <c r="B673" s="127"/>
      <c r="C673" s="127"/>
      <c r="D673" s="127"/>
      <c r="E673" s="127"/>
      <c r="F673" s="127"/>
      <c r="G673" s="127"/>
      <c r="H673" s="127"/>
      <c r="I673" s="127"/>
      <c r="J673" s="127"/>
      <c r="K673" s="127"/>
      <c r="L673" s="127"/>
      <c r="M673" s="127"/>
      <c r="N673" s="127"/>
      <c r="O673" s="127"/>
      <c r="P673" s="127"/>
      <c r="Q673" s="127"/>
      <c r="R673" s="127"/>
      <c r="S673" s="127"/>
      <c r="T673" s="127"/>
      <c r="U673" s="127"/>
      <c r="V673" s="127"/>
      <c r="W673" s="127"/>
      <c r="X673" s="127"/>
      <c r="Y673" s="127"/>
      <c r="Z673" s="127"/>
    </row>
    <row r="674" customFormat="false" ht="15.75" hidden="false" customHeight="false" outlineLevel="0" collapsed="false">
      <c r="A674" s="127"/>
      <c r="B674" s="127"/>
      <c r="C674" s="127"/>
      <c r="D674" s="127"/>
      <c r="E674" s="127"/>
      <c r="F674" s="127"/>
      <c r="G674" s="127"/>
      <c r="H674" s="127"/>
      <c r="I674" s="127"/>
      <c r="J674" s="127"/>
      <c r="K674" s="127"/>
      <c r="L674" s="127"/>
      <c r="M674" s="127"/>
      <c r="N674" s="127"/>
      <c r="O674" s="127"/>
      <c r="P674" s="127"/>
      <c r="Q674" s="127"/>
      <c r="R674" s="127"/>
      <c r="S674" s="127"/>
      <c r="T674" s="127"/>
      <c r="U674" s="127"/>
      <c r="V674" s="127"/>
      <c r="W674" s="127"/>
      <c r="X674" s="127"/>
      <c r="Y674" s="127"/>
      <c r="Z674" s="127"/>
    </row>
    <row r="675" customFormat="false" ht="15.75" hidden="false" customHeight="false" outlineLevel="0" collapsed="false">
      <c r="A675" s="127"/>
      <c r="B675" s="127"/>
      <c r="C675" s="127"/>
      <c r="D675" s="127"/>
      <c r="E675" s="127"/>
      <c r="F675" s="127"/>
      <c r="G675" s="127"/>
      <c r="H675" s="127"/>
      <c r="I675" s="127"/>
      <c r="J675" s="127"/>
      <c r="K675" s="127"/>
      <c r="L675" s="127"/>
      <c r="M675" s="127"/>
      <c r="N675" s="127"/>
      <c r="O675" s="127"/>
      <c r="P675" s="127"/>
      <c r="Q675" s="127"/>
      <c r="R675" s="127"/>
      <c r="S675" s="127"/>
      <c r="T675" s="127"/>
      <c r="U675" s="127"/>
      <c r="V675" s="127"/>
      <c r="W675" s="127"/>
      <c r="X675" s="127"/>
      <c r="Y675" s="127"/>
      <c r="Z675" s="127"/>
    </row>
    <row r="676" customFormat="false" ht="15.75" hidden="false" customHeight="false" outlineLevel="0" collapsed="false">
      <c r="A676" s="127"/>
      <c r="B676" s="127"/>
      <c r="C676" s="127"/>
      <c r="D676" s="127"/>
      <c r="E676" s="127"/>
      <c r="F676" s="127"/>
      <c r="G676" s="127"/>
      <c r="H676" s="127"/>
      <c r="I676" s="127"/>
      <c r="J676" s="127"/>
      <c r="K676" s="127"/>
      <c r="L676" s="127"/>
      <c r="M676" s="127"/>
      <c r="N676" s="127"/>
      <c r="O676" s="127"/>
      <c r="P676" s="127"/>
      <c r="Q676" s="127"/>
      <c r="R676" s="127"/>
      <c r="S676" s="127"/>
      <c r="T676" s="127"/>
      <c r="U676" s="127"/>
      <c r="V676" s="127"/>
      <c r="W676" s="127"/>
      <c r="X676" s="127"/>
      <c r="Y676" s="127"/>
      <c r="Z676" s="127"/>
    </row>
    <row r="677" customFormat="false" ht="15.75" hidden="false" customHeight="false" outlineLevel="0" collapsed="false">
      <c r="A677" s="127"/>
      <c r="B677" s="127"/>
      <c r="C677" s="127"/>
      <c r="D677" s="127"/>
      <c r="E677" s="127"/>
      <c r="F677" s="127"/>
      <c r="G677" s="127"/>
      <c r="H677" s="127"/>
      <c r="I677" s="127"/>
      <c r="J677" s="127"/>
      <c r="K677" s="127"/>
      <c r="L677" s="127"/>
      <c r="M677" s="127"/>
      <c r="N677" s="127"/>
      <c r="O677" s="127"/>
      <c r="P677" s="127"/>
      <c r="Q677" s="127"/>
      <c r="R677" s="127"/>
      <c r="S677" s="127"/>
      <c r="T677" s="127"/>
      <c r="U677" s="127"/>
      <c r="V677" s="127"/>
      <c r="W677" s="127"/>
      <c r="X677" s="127"/>
      <c r="Y677" s="127"/>
      <c r="Z677" s="127"/>
    </row>
    <row r="678" customFormat="false" ht="15.75" hidden="false" customHeight="false" outlineLevel="0" collapsed="false">
      <c r="A678" s="127"/>
      <c r="B678" s="127"/>
      <c r="C678" s="127"/>
      <c r="D678" s="127"/>
      <c r="E678" s="127"/>
      <c r="F678" s="127"/>
      <c r="G678" s="127"/>
      <c r="H678" s="127"/>
      <c r="I678" s="127"/>
      <c r="J678" s="127"/>
      <c r="K678" s="127"/>
      <c r="L678" s="127"/>
      <c r="M678" s="127"/>
      <c r="N678" s="127"/>
      <c r="O678" s="127"/>
      <c r="P678" s="127"/>
      <c r="Q678" s="127"/>
      <c r="R678" s="127"/>
      <c r="S678" s="127"/>
      <c r="T678" s="127"/>
      <c r="U678" s="127"/>
      <c r="V678" s="127"/>
      <c r="W678" s="127"/>
      <c r="X678" s="127"/>
      <c r="Y678" s="127"/>
      <c r="Z678" s="127"/>
    </row>
    <row r="679" customFormat="false" ht="15.75" hidden="false" customHeight="false" outlineLevel="0" collapsed="false">
      <c r="A679" s="127"/>
      <c r="B679" s="127"/>
      <c r="C679" s="127"/>
      <c r="D679" s="127"/>
      <c r="E679" s="127"/>
      <c r="F679" s="127"/>
      <c r="G679" s="127"/>
      <c r="H679" s="127"/>
      <c r="I679" s="127"/>
      <c r="J679" s="127"/>
      <c r="K679" s="127"/>
      <c r="L679" s="127"/>
      <c r="M679" s="127"/>
      <c r="N679" s="127"/>
      <c r="O679" s="127"/>
      <c r="P679" s="127"/>
      <c r="Q679" s="127"/>
      <c r="R679" s="127"/>
      <c r="S679" s="127"/>
      <c r="T679" s="127"/>
      <c r="U679" s="127"/>
      <c r="V679" s="127"/>
      <c r="W679" s="127"/>
      <c r="X679" s="127"/>
      <c r="Y679" s="127"/>
      <c r="Z679" s="127"/>
    </row>
    <row r="680" customFormat="false" ht="15.75" hidden="false" customHeight="false" outlineLevel="0" collapsed="false">
      <c r="A680" s="127"/>
      <c r="B680" s="127"/>
      <c r="C680" s="127"/>
      <c r="D680" s="127"/>
      <c r="E680" s="127"/>
      <c r="F680" s="127"/>
      <c r="G680" s="127"/>
      <c r="H680" s="127"/>
      <c r="I680" s="127"/>
      <c r="J680" s="127"/>
      <c r="K680" s="127"/>
      <c r="L680" s="127"/>
      <c r="M680" s="127"/>
      <c r="N680" s="127"/>
      <c r="O680" s="127"/>
      <c r="P680" s="127"/>
      <c r="Q680" s="127"/>
      <c r="R680" s="127"/>
      <c r="S680" s="127"/>
      <c r="T680" s="127"/>
      <c r="U680" s="127"/>
      <c r="V680" s="127"/>
      <c r="W680" s="127"/>
      <c r="X680" s="127"/>
      <c r="Y680" s="127"/>
      <c r="Z680" s="127"/>
    </row>
    <row r="681" customFormat="false" ht="15.75" hidden="false" customHeight="false" outlineLevel="0" collapsed="false">
      <c r="A681" s="127"/>
      <c r="B681" s="127"/>
      <c r="C681" s="127"/>
      <c r="D681" s="127"/>
      <c r="E681" s="127"/>
      <c r="F681" s="127"/>
      <c r="G681" s="127"/>
      <c r="H681" s="127"/>
      <c r="I681" s="127"/>
      <c r="J681" s="127"/>
      <c r="K681" s="127"/>
      <c r="L681" s="127"/>
      <c r="M681" s="127"/>
      <c r="N681" s="127"/>
      <c r="O681" s="127"/>
      <c r="P681" s="127"/>
      <c r="Q681" s="127"/>
      <c r="R681" s="127"/>
      <c r="S681" s="127"/>
      <c r="T681" s="127"/>
      <c r="U681" s="127"/>
      <c r="V681" s="127"/>
      <c r="W681" s="127"/>
      <c r="X681" s="127"/>
      <c r="Y681" s="127"/>
      <c r="Z681" s="127"/>
    </row>
    <row r="682" customFormat="false" ht="15.75" hidden="false" customHeight="false" outlineLevel="0" collapsed="false">
      <c r="A682" s="127"/>
      <c r="B682" s="127"/>
      <c r="C682" s="127"/>
      <c r="D682" s="127"/>
      <c r="E682" s="127"/>
      <c r="F682" s="127"/>
      <c r="G682" s="127"/>
      <c r="H682" s="127"/>
      <c r="I682" s="127"/>
      <c r="J682" s="127"/>
      <c r="K682" s="127"/>
      <c r="L682" s="127"/>
      <c r="M682" s="127"/>
      <c r="N682" s="127"/>
      <c r="O682" s="127"/>
      <c r="P682" s="127"/>
      <c r="Q682" s="127"/>
      <c r="R682" s="127"/>
      <c r="S682" s="127"/>
      <c r="T682" s="127"/>
      <c r="U682" s="127"/>
      <c r="V682" s="127"/>
      <c r="W682" s="127"/>
      <c r="X682" s="127"/>
      <c r="Y682" s="127"/>
      <c r="Z682" s="127"/>
    </row>
    <row r="683" customFormat="false" ht="15.75" hidden="false" customHeight="false" outlineLevel="0" collapsed="false">
      <c r="A683" s="127"/>
      <c r="B683" s="127"/>
      <c r="C683" s="127"/>
      <c r="D683" s="127"/>
      <c r="E683" s="127"/>
      <c r="F683" s="127"/>
      <c r="G683" s="127"/>
      <c r="H683" s="127"/>
      <c r="I683" s="127"/>
      <c r="J683" s="127"/>
      <c r="K683" s="127"/>
      <c r="L683" s="127"/>
      <c r="M683" s="127"/>
      <c r="N683" s="127"/>
      <c r="O683" s="127"/>
      <c r="P683" s="127"/>
      <c r="Q683" s="127"/>
      <c r="R683" s="127"/>
      <c r="S683" s="127"/>
      <c r="T683" s="127"/>
      <c r="U683" s="127"/>
      <c r="V683" s="127"/>
      <c r="W683" s="127"/>
      <c r="X683" s="127"/>
      <c r="Y683" s="127"/>
      <c r="Z683" s="127"/>
    </row>
    <row r="684" customFormat="false" ht="15.75" hidden="false" customHeight="false" outlineLevel="0" collapsed="false">
      <c r="A684" s="127"/>
      <c r="B684" s="127"/>
      <c r="C684" s="127"/>
      <c r="D684" s="127"/>
      <c r="E684" s="127"/>
      <c r="F684" s="127"/>
      <c r="G684" s="127"/>
      <c r="H684" s="127"/>
      <c r="I684" s="127"/>
      <c r="J684" s="127"/>
      <c r="K684" s="127"/>
      <c r="L684" s="127"/>
      <c r="M684" s="127"/>
      <c r="N684" s="127"/>
      <c r="O684" s="127"/>
      <c r="P684" s="127"/>
      <c r="Q684" s="127"/>
      <c r="R684" s="127"/>
      <c r="S684" s="127"/>
      <c r="T684" s="127"/>
      <c r="U684" s="127"/>
      <c r="V684" s="127"/>
      <c r="W684" s="127"/>
      <c r="X684" s="127"/>
      <c r="Y684" s="127"/>
      <c r="Z684" s="127"/>
    </row>
    <row r="685" customFormat="false" ht="15.75" hidden="false" customHeight="false" outlineLevel="0" collapsed="false">
      <c r="A685" s="127"/>
      <c r="B685" s="127"/>
      <c r="C685" s="127"/>
      <c r="D685" s="127"/>
      <c r="E685" s="127"/>
      <c r="F685" s="127"/>
      <c r="G685" s="127"/>
      <c r="H685" s="127"/>
      <c r="I685" s="127"/>
      <c r="J685" s="127"/>
      <c r="K685" s="127"/>
      <c r="L685" s="127"/>
      <c r="M685" s="127"/>
      <c r="N685" s="127"/>
      <c r="O685" s="127"/>
      <c r="P685" s="127"/>
      <c r="Q685" s="127"/>
      <c r="R685" s="127"/>
      <c r="S685" s="127"/>
      <c r="T685" s="127"/>
      <c r="U685" s="127"/>
      <c r="V685" s="127"/>
      <c r="W685" s="127"/>
      <c r="X685" s="127"/>
      <c r="Y685" s="127"/>
      <c r="Z685" s="127"/>
    </row>
    <row r="686" customFormat="false" ht="15.75" hidden="false" customHeight="false" outlineLevel="0" collapsed="false">
      <c r="A686" s="127"/>
      <c r="B686" s="127"/>
      <c r="C686" s="127"/>
      <c r="D686" s="127"/>
      <c r="E686" s="127"/>
      <c r="F686" s="127"/>
      <c r="G686" s="127"/>
      <c r="H686" s="127"/>
      <c r="I686" s="127"/>
      <c r="J686" s="127"/>
      <c r="K686" s="127"/>
      <c r="L686" s="127"/>
      <c r="M686" s="127"/>
      <c r="N686" s="127"/>
      <c r="O686" s="127"/>
      <c r="P686" s="127"/>
      <c r="Q686" s="127"/>
      <c r="R686" s="127"/>
      <c r="S686" s="127"/>
      <c r="T686" s="127"/>
      <c r="U686" s="127"/>
      <c r="V686" s="127"/>
      <c r="W686" s="127"/>
      <c r="X686" s="127"/>
      <c r="Y686" s="127"/>
      <c r="Z686" s="127"/>
    </row>
    <row r="687" customFormat="false" ht="15.75" hidden="false" customHeight="false" outlineLevel="0" collapsed="false">
      <c r="A687" s="127"/>
      <c r="B687" s="127"/>
      <c r="C687" s="127"/>
      <c r="D687" s="127"/>
      <c r="E687" s="127"/>
      <c r="F687" s="127"/>
      <c r="G687" s="127"/>
      <c r="H687" s="127"/>
      <c r="I687" s="127"/>
      <c r="J687" s="127"/>
      <c r="K687" s="127"/>
      <c r="L687" s="127"/>
      <c r="M687" s="127"/>
      <c r="N687" s="127"/>
      <c r="O687" s="127"/>
      <c r="P687" s="127"/>
      <c r="Q687" s="127"/>
      <c r="R687" s="127"/>
      <c r="S687" s="127"/>
      <c r="T687" s="127"/>
      <c r="U687" s="127"/>
      <c r="V687" s="127"/>
      <c r="W687" s="127"/>
      <c r="X687" s="127"/>
      <c r="Y687" s="127"/>
      <c r="Z687" s="127"/>
    </row>
    <row r="688" customFormat="false" ht="15.75" hidden="false" customHeight="false" outlineLevel="0" collapsed="false">
      <c r="A688" s="127"/>
      <c r="B688" s="127"/>
      <c r="C688" s="127"/>
      <c r="D688" s="127"/>
      <c r="E688" s="127"/>
      <c r="F688" s="127"/>
      <c r="G688" s="127"/>
      <c r="H688" s="127"/>
      <c r="I688" s="127"/>
      <c r="J688" s="127"/>
      <c r="K688" s="127"/>
      <c r="L688" s="127"/>
      <c r="M688" s="127"/>
      <c r="N688" s="127"/>
      <c r="O688" s="127"/>
      <c r="P688" s="127"/>
      <c r="Q688" s="127"/>
      <c r="R688" s="127"/>
      <c r="S688" s="127"/>
      <c r="T688" s="127"/>
      <c r="U688" s="127"/>
      <c r="V688" s="127"/>
      <c r="W688" s="127"/>
      <c r="X688" s="127"/>
      <c r="Y688" s="127"/>
      <c r="Z688" s="127"/>
    </row>
    <row r="689" customFormat="false" ht="15.75" hidden="false" customHeight="false" outlineLevel="0" collapsed="false">
      <c r="A689" s="127"/>
      <c r="B689" s="127"/>
      <c r="C689" s="127"/>
      <c r="D689" s="127"/>
      <c r="E689" s="127"/>
      <c r="F689" s="127"/>
      <c r="G689" s="127"/>
      <c r="H689" s="127"/>
      <c r="I689" s="127"/>
      <c r="J689" s="127"/>
      <c r="K689" s="127"/>
      <c r="L689" s="127"/>
      <c r="M689" s="127"/>
      <c r="N689" s="127"/>
      <c r="O689" s="127"/>
      <c r="P689" s="127"/>
      <c r="Q689" s="127"/>
      <c r="R689" s="127"/>
      <c r="S689" s="127"/>
      <c r="T689" s="127"/>
      <c r="U689" s="127"/>
      <c r="V689" s="127"/>
      <c r="W689" s="127"/>
      <c r="X689" s="127"/>
      <c r="Y689" s="127"/>
      <c r="Z689" s="127"/>
    </row>
    <row r="690" customFormat="false" ht="15.75" hidden="false" customHeight="false" outlineLevel="0" collapsed="false">
      <c r="A690" s="127"/>
      <c r="B690" s="127"/>
      <c r="C690" s="127"/>
      <c r="D690" s="127"/>
      <c r="E690" s="127"/>
      <c r="F690" s="127"/>
      <c r="G690" s="127"/>
      <c r="H690" s="127"/>
      <c r="I690" s="127"/>
      <c r="J690" s="127"/>
      <c r="K690" s="127"/>
      <c r="L690" s="127"/>
      <c r="M690" s="127"/>
      <c r="N690" s="127"/>
      <c r="O690" s="127"/>
      <c r="P690" s="127"/>
      <c r="Q690" s="127"/>
      <c r="R690" s="127"/>
      <c r="S690" s="127"/>
      <c r="T690" s="127"/>
      <c r="U690" s="127"/>
      <c r="V690" s="127"/>
      <c r="W690" s="127"/>
      <c r="X690" s="127"/>
      <c r="Y690" s="127"/>
      <c r="Z690" s="127"/>
    </row>
    <row r="691" customFormat="false" ht="15.75" hidden="false" customHeight="false" outlineLevel="0" collapsed="false">
      <c r="A691" s="127"/>
      <c r="B691" s="127"/>
      <c r="C691" s="127"/>
      <c r="D691" s="127"/>
      <c r="E691" s="127"/>
      <c r="F691" s="127"/>
      <c r="G691" s="127"/>
      <c r="H691" s="127"/>
      <c r="I691" s="127"/>
      <c r="J691" s="127"/>
      <c r="K691" s="127"/>
      <c r="L691" s="127"/>
      <c r="M691" s="127"/>
      <c r="N691" s="127"/>
      <c r="O691" s="127"/>
      <c r="P691" s="127"/>
      <c r="Q691" s="127"/>
      <c r="R691" s="127"/>
      <c r="S691" s="127"/>
      <c r="T691" s="127"/>
      <c r="U691" s="127"/>
      <c r="V691" s="127"/>
      <c r="W691" s="127"/>
      <c r="X691" s="127"/>
      <c r="Y691" s="127"/>
      <c r="Z691" s="127"/>
    </row>
    <row r="692" customFormat="false" ht="15.75" hidden="false" customHeight="false" outlineLevel="0" collapsed="false">
      <c r="A692" s="127"/>
      <c r="B692" s="127"/>
      <c r="C692" s="127"/>
      <c r="D692" s="127"/>
      <c r="E692" s="127"/>
      <c r="F692" s="127"/>
      <c r="G692" s="127"/>
      <c r="H692" s="127"/>
      <c r="I692" s="127"/>
      <c r="J692" s="127"/>
      <c r="K692" s="127"/>
      <c r="L692" s="127"/>
      <c r="M692" s="127"/>
      <c r="N692" s="127"/>
      <c r="O692" s="127"/>
      <c r="P692" s="127"/>
      <c r="Q692" s="127"/>
      <c r="R692" s="127"/>
      <c r="S692" s="127"/>
      <c r="T692" s="127"/>
      <c r="U692" s="127"/>
      <c r="V692" s="127"/>
      <c r="W692" s="127"/>
      <c r="X692" s="127"/>
      <c r="Y692" s="127"/>
      <c r="Z692" s="127"/>
    </row>
    <row r="693" customFormat="false" ht="15.75" hidden="false" customHeight="false" outlineLevel="0" collapsed="false">
      <c r="A693" s="127"/>
      <c r="B693" s="127"/>
      <c r="C693" s="127"/>
      <c r="D693" s="127"/>
      <c r="E693" s="127"/>
      <c r="F693" s="127"/>
      <c r="G693" s="127"/>
      <c r="H693" s="127"/>
      <c r="I693" s="127"/>
      <c r="J693" s="127"/>
      <c r="K693" s="127"/>
      <c r="L693" s="127"/>
      <c r="M693" s="127"/>
      <c r="N693" s="127"/>
      <c r="O693" s="127"/>
      <c r="P693" s="127"/>
      <c r="Q693" s="127"/>
      <c r="R693" s="127"/>
      <c r="S693" s="127"/>
      <c r="T693" s="127"/>
      <c r="U693" s="127"/>
      <c r="V693" s="127"/>
      <c r="W693" s="127"/>
      <c r="X693" s="127"/>
      <c r="Y693" s="127"/>
      <c r="Z693" s="127"/>
    </row>
    <row r="694" customFormat="false" ht="15.75" hidden="false" customHeight="false" outlineLevel="0" collapsed="false">
      <c r="A694" s="127"/>
      <c r="B694" s="127"/>
      <c r="C694" s="127"/>
      <c r="D694" s="127"/>
      <c r="E694" s="127"/>
      <c r="F694" s="127"/>
      <c r="G694" s="127"/>
      <c r="H694" s="127"/>
      <c r="I694" s="127"/>
      <c r="J694" s="127"/>
      <c r="K694" s="127"/>
      <c r="L694" s="127"/>
      <c r="M694" s="127"/>
      <c r="N694" s="127"/>
      <c r="O694" s="127"/>
      <c r="P694" s="127"/>
      <c r="Q694" s="127"/>
      <c r="R694" s="127"/>
      <c r="S694" s="127"/>
      <c r="T694" s="127"/>
      <c r="U694" s="127"/>
      <c r="V694" s="127"/>
      <c r="W694" s="127"/>
      <c r="X694" s="127"/>
      <c r="Y694" s="127"/>
      <c r="Z694" s="127"/>
    </row>
    <row r="695" customFormat="false" ht="15.75" hidden="false" customHeight="false" outlineLevel="0" collapsed="false">
      <c r="A695" s="127"/>
      <c r="B695" s="127"/>
      <c r="C695" s="127"/>
      <c r="D695" s="127"/>
      <c r="E695" s="127"/>
      <c r="F695" s="127"/>
      <c r="G695" s="127"/>
      <c r="H695" s="127"/>
      <c r="I695" s="127"/>
      <c r="J695" s="127"/>
      <c r="K695" s="127"/>
      <c r="L695" s="127"/>
      <c r="M695" s="127"/>
      <c r="N695" s="127"/>
      <c r="O695" s="127"/>
      <c r="P695" s="127"/>
      <c r="Q695" s="127"/>
      <c r="R695" s="127"/>
      <c r="S695" s="127"/>
      <c r="T695" s="127"/>
      <c r="U695" s="127"/>
      <c r="V695" s="127"/>
      <c r="W695" s="127"/>
      <c r="X695" s="127"/>
      <c r="Y695" s="127"/>
      <c r="Z695" s="127"/>
    </row>
    <row r="696" customFormat="false" ht="15.75" hidden="false" customHeight="false" outlineLevel="0" collapsed="false">
      <c r="A696" s="127"/>
      <c r="B696" s="127"/>
      <c r="C696" s="127"/>
      <c r="D696" s="127"/>
      <c r="E696" s="127"/>
      <c r="F696" s="127"/>
      <c r="G696" s="127"/>
      <c r="H696" s="127"/>
      <c r="I696" s="127"/>
      <c r="J696" s="127"/>
      <c r="K696" s="127"/>
      <c r="L696" s="127"/>
      <c r="M696" s="127"/>
      <c r="N696" s="127"/>
      <c r="O696" s="127"/>
      <c r="P696" s="127"/>
      <c r="Q696" s="127"/>
      <c r="R696" s="127"/>
      <c r="S696" s="127"/>
      <c r="T696" s="127"/>
      <c r="U696" s="127"/>
      <c r="V696" s="127"/>
      <c r="W696" s="127"/>
      <c r="X696" s="127"/>
      <c r="Y696" s="127"/>
      <c r="Z696" s="127"/>
    </row>
    <row r="697" customFormat="false" ht="15.75" hidden="false" customHeight="false" outlineLevel="0" collapsed="false">
      <c r="A697" s="127"/>
      <c r="B697" s="127"/>
      <c r="C697" s="127"/>
      <c r="D697" s="127"/>
      <c r="E697" s="127"/>
      <c r="F697" s="127"/>
      <c r="G697" s="127"/>
      <c r="H697" s="127"/>
      <c r="I697" s="127"/>
      <c r="J697" s="127"/>
      <c r="K697" s="127"/>
      <c r="L697" s="127"/>
      <c r="M697" s="127"/>
      <c r="N697" s="127"/>
      <c r="O697" s="127"/>
      <c r="P697" s="127"/>
      <c r="Q697" s="127"/>
      <c r="R697" s="127"/>
      <c r="S697" s="127"/>
      <c r="T697" s="127"/>
      <c r="U697" s="127"/>
      <c r="V697" s="127"/>
      <c r="W697" s="127"/>
      <c r="X697" s="127"/>
      <c r="Y697" s="127"/>
      <c r="Z697" s="127"/>
    </row>
    <row r="698" customFormat="false" ht="15.75" hidden="false" customHeight="false" outlineLevel="0" collapsed="false">
      <c r="A698" s="127"/>
      <c r="B698" s="127"/>
      <c r="C698" s="127"/>
      <c r="D698" s="127"/>
      <c r="E698" s="127"/>
      <c r="F698" s="127"/>
      <c r="G698" s="127"/>
      <c r="H698" s="127"/>
      <c r="I698" s="127"/>
      <c r="J698" s="127"/>
      <c r="K698" s="127"/>
      <c r="L698" s="127"/>
      <c r="M698" s="127"/>
      <c r="N698" s="127"/>
      <c r="O698" s="127"/>
      <c r="P698" s="127"/>
      <c r="Q698" s="127"/>
      <c r="R698" s="127"/>
      <c r="S698" s="127"/>
      <c r="T698" s="127"/>
      <c r="U698" s="127"/>
      <c r="V698" s="127"/>
      <c r="W698" s="127"/>
      <c r="X698" s="127"/>
      <c r="Y698" s="127"/>
      <c r="Z698" s="127"/>
    </row>
    <row r="699" customFormat="false" ht="15.75" hidden="false" customHeight="false" outlineLevel="0" collapsed="false">
      <c r="A699" s="127"/>
      <c r="B699" s="127"/>
      <c r="C699" s="127"/>
      <c r="D699" s="127"/>
      <c r="E699" s="127"/>
      <c r="F699" s="127"/>
      <c r="G699" s="127"/>
      <c r="H699" s="127"/>
      <c r="I699" s="127"/>
      <c r="J699" s="127"/>
      <c r="K699" s="127"/>
      <c r="L699" s="127"/>
      <c r="M699" s="127"/>
      <c r="N699" s="127"/>
      <c r="O699" s="127"/>
      <c r="P699" s="127"/>
      <c r="Q699" s="127"/>
      <c r="R699" s="127"/>
      <c r="S699" s="127"/>
      <c r="T699" s="127"/>
      <c r="U699" s="127"/>
      <c r="V699" s="127"/>
      <c r="W699" s="127"/>
      <c r="X699" s="127"/>
      <c r="Y699" s="127"/>
      <c r="Z699" s="127"/>
    </row>
    <row r="700" customFormat="false" ht="15.75" hidden="false" customHeight="false" outlineLevel="0" collapsed="false">
      <c r="A700" s="127"/>
      <c r="B700" s="127"/>
      <c r="C700" s="127"/>
      <c r="D700" s="127"/>
      <c r="E700" s="127"/>
      <c r="F700" s="127"/>
      <c r="G700" s="127"/>
      <c r="H700" s="127"/>
      <c r="I700" s="127"/>
      <c r="J700" s="127"/>
      <c r="K700" s="127"/>
      <c r="L700" s="127"/>
      <c r="M700" s="127"/>
      <c r="N700" s="127"/>
      <c r="O700" s="127"/>
      <c r="P700" s="127"/>
      <c r="Q700" s="127"/>
      <c r="R700" s="127"/>
      <c r="S700" s="127"/>
      <c r="T700" s="127"/>
      <c r="U700" s="127"/>
      <c r="V700" s="127"/>
      <c r="W700" s="127"/>
      <c r="X700" s="127"/>
      <c r="Y700" s="127"/>
      <c r="Z700" s="127"/>
    </row>
    <row r="701" customFormat="false" ht="15.75" hidden="false" customHeight="false" outlineLevel="0" collapsed="false">
      <c r="A701" s="127"/>
      <c r="B701" s="127"/>
      <c r="C701" s="127"/>
      <c r="D701" s="127"/>
      <c r="E701" s="127"/>
      <c r="F701" s="127"/>
      <c r="G701" s="127"/>
      <c r="H701" s="127"/>
      <c r="I701" s="127"/>
      <c r="J701" s="127"/>
      <c r="K701" s="127"/>
      <c r="L701" s="127"/>
      <c r="M701" s="127"/>
      <c r="N701" s="127"/>
      <c r="O701" s="127"/>
      <c r="P701" s="127"/>
      <c r="Q701" s="127"/>
      <c r="R701" s="127"/>
      <c r="S701" s="127"/>
      <c r="T701" s="127"/>
      <c r="U701" s="127"/>
      <c r="V701" s="127"/>
      <c r="W701" s="127"/>
      <c r="X701" s="127"/>
      <c r="Y701" s="127"/>
      <c r="Z701" s="127"/>
    </row>
    <row r="702" customFormat="false" ht="15.75" hidden="false" customHeight="false" outlineLevel="0" collapsed="false">
      <c r="A702" s="127"/>
      <c r="B702" s="127"/>
      <c r="C702" s="127"/>
      <c r="D702" s="127"/>
      <c r="E702" s="127"/>
      <c r="F702" s="127"/>
      <c r="G702" s="127"/>
      <c r="H702" s="127"/>
      <c r="I702" s="127"/>
      <c r="J702" s="127"/>
      <c r="K702" s="127"/>
      <c r="L702" s="127"/>
      <c r="M702" s="127"/>
      <c r="N702" s="127"/>
      <c r="O702" s="127"/>
      <c r="P702" s="127"/>
      <c r="Q702" s="127"/>
      <c r="R702" s="127"/>
      <c r="S702" s="127"/>
      <c r="T702" s="127"/>
      <c r="U702" s="127"/>
      <c r="V702" s="127"/>
      <c r="W702" s="127"/>
      <c r="X702" s="127"/>
      <c r="Y702" s="127"/>
      <c r="Z702" s="127"/>
    </row>
    <row r="703" customFormat="false" ht="15.75" hidden="false" customHeight="false" outlineLevel="0" collapsed="false">
      <c r="A703" s="127"/>
      <c r="B703" s="127"/>
      <c r="C703" s="127"/>
      <c r="D703" s="127"/>
      <c r="E703" s="127"/>
      <c r="F703" s="127"/>
      <c r="G703" s="127"/>
      <c r="H703" s="127"/>
      <c r="I703" s="127"/>
      <c r="J703" s="127"/>
      <c r="K703" s="127"/>
      <c r="L703" s="127"/>
      <c r="M703" s="127"/>
      <c r="N703" s="127"/>
      <c r="O703" s="127"/>
      <c r="P703" s="127"/>
      <c r="Q703" s="127"/>
      <c r="R703" s="127"/>
      <c r="S703" s="127"/>
      <c r="T703" s="127"/>
      <c r="U703" s="127"/>
      <c r="V703" s="127"/>
      <c r="W703" s="127"/>
      <c r="X703" s="127"/>
      <c r="Y703" s="127"/>
      <c r="Z703" s="127"/>
    </row>
    <row r="704" customFormat="false" ht="15.75" hidden="false" customHeight="false" outlineLevel="0" collapsed="false">
      <c r="A704" s="127"/>
      <c r="B704" s="127"/>
      <c r="C704" s="127"/>
      <c r="D704" s="127"/>
      <c r="E704" s="127"/>
      <c r="F704" s="127"/>
      <c r="G704" s="127"/>
      <c r="H704" s="127"/>
      <c r="I704" s="127"/>
      <c r="J704" s="127"/>
      <c r="K704" s="127"/>
      <c r="L704" s="127"/>
      <c r="M704" s="127"/>
      <c r="N704" s="127"/>
      <c r="O704" s="127"/>
      <c r="P704" s="127"/>
      <c r="Q704" s="127"/>
      <c r="R704" s="127"/>
      <c r="S704" s="127"/>
      <c r="T704" s="127"/>
      <c r="U704" s="127"/>
      <c r="V704" s="127"/>
      <c r="W704" s="127"/>
      <c r="X704" s="127"/>
      <c r="Y704" s="127"/>
      <c r="Z704" s="127"/>
    </row>
    <row r="705" customFormat="false" ht="15.75" hidden="false" customHeight="false" outlineLevel="0" collapsed="false">
      <c r="A705" s="127"/>
      <c r="B705" s="127"/>
      <c r="C705" s="127"/>
      <c r="D705" s="127"/>
      <c r="E705" s="127"/>
      <c r="F705" s="127"/>
      <c r="G705" s="127"/>
      <c r="H705" s="127"/>
      <c r="I705" s="127"/>
      <c r="J705" s="127"/>
      <c r="K705" s="127"/>
      <c r="L705" s="127"/>
      <c r="M705" s="127"/>
      <c r="N705" s="127"/>
      <c r="O705" s="127"/>
      <c r="P705" s="127"/>
      <c r="Q705" s="127"/>
      <c r="R705" s="127"/>
      <c r="S705" s="127"/>
      <c r="T705" s="127"/>
      <c r="U705" s="127"/>
      <c r="V705" s="127"/>
      <c r="W705" s="127"/>
      <c r="X705" s="127"/>
      <c r="Y705" s="127"/>
      <c r="Z705" s="127"/>
    </row>
    <row r="706" customFormat="false" ht="15.75" hidden="false" customHeight="false" outlineLevel="0" collapsed="false">
      <c r="A706" s="127"/>
      <c r="B706" s="127"/>
      <c r="C706" s="127"/>
      <c r="D706" s="127"/>
      <c r="E706" s="127"/>
      <c r="F706" s="127"/>
      <c r="G706" s="127"/>
      <c r="H706" s="127"/>
      <c r="I706" s="127"/>
      <c r="J706" s="127"/>
      <c r="K706" s="127"/>
      <c r="L706" s="127"/>
      <c r="M706" s="127"/>
      <c r="N706" s="127"/>
      <c r="O706" s="127"/>
      <c r="P706" s="127"/>
      <c r="Q706" s="127"/>
      <c r="R706" s="127"/>
      <c r="S706" s="127"/>
      <c r="T706" s="127"/>
      <c r="U706" s="127"/>
      <c r="V706" s="127"/>
      <c r="W706" s="127"/>
      <c r="X706" s="127"/>
      <c r="Y706" s="127"/>
      <c r="Z706" s="127"/>
    </row>
    <row r="707" customFormat="false" ht="15.75" hidden="false" customHeight="false" outlineLevel="0" collapsed="false">
      <c r="A707" s="127"/>
      <c r="B707" s="127"/>
      <c r="C707" s="127"/>
      <c r="D707" s="127"/>
      <c r="E707" s="127"/>
      <c r="F707" s="127"/>
      <c r="G707" s="127"/>
      <c r="H707" s="127"/>
      <c r="I707" s="127"/>
      <c r="J707" s="127"/>
      <c r="K707" s="127"/>
      <c r="L707" s="127"/>
      <c r="M707" s="127"/>
      <c r="N707" s="127"/>
      <c r="O707" s="127"/>
      <c r="P707" s="127"/>
      <c r="Q707" s="127"/>
      <c r="R707" s="127"/>
      <c r="S707" s="127"/>
      <c r="T707" s="127"/>
      <c r="U707" s="127"/>
      <c r="V707" s="127"/>
      <c r="W707" s="127"/>
      <c r="X707" s="127"/>
      <c r="Y707" s="127"/>
      <c r="Z707" s="127"/>
    </row>
    <row r="708" customFormat="false" ht="15.75" hidden="false" customHeight="false" outlineLevel="0" collapsed="false">
      <c r="A708" s="127"/>
      <c r="B708" s="127"/>
      <c r="C708" s="127"/>
      <c r="D708" s="127"/>
      <c r="E708" s="127"/>
      <c r="F708" s="127"/>
      <c r="G708" s="127"/>
      <c r="H708" s="127"/>
      <c r="I708" s="127"/>
      <c r="J708" s="127"/>
      <c r="K708" s="127"/>
      <c r="L708" s="127"/>
      <c r="M708" s="127"/>
      <c r="N708" s="127"/>
      <c r="O708" s="127"/>
      <c r="P708" s="127"/>
      <c r="Q708" s="127"/>
      <c r="R708" s="127"/>
      <c r="S708" s="127"/>
      <c r="T708" s="127"/>
      <c r="U708" s="127"/>
      <c r="V708" s="127"/>
      <c r="W708" s="127"/>
      <c r="X708" s="127"/>
      <c r="Y708" s="127"/>
      <c r="Z708" s="127"/>
    </row>
    <row r="709" customFormat="false" ht="15.75" hidden="false" customHeight="false" outlineLevel="0" collapsed="false">
      <c r="A709" s="127"/>
      <c r="B709" s="127"/>
      <c r="C709" s="127"/>
      <c r="D709" s="127"/>
      <c r="E709" s="127"/>
      <c r="F709" s="127"/>
      <c r="G709" s="127"/>
      <c r="H709" s="127"/>
      <c r="I709" s="127"/>
      <c r="J709" s="127"/>
      <c r="K709" s="127"/>
      <c r="L709" s="127"/>
      <c r="M709" s="127"/>
      <c r="N709" s="127"/>
      <c r="O709" s="127"/>
      <c r="P709" s="127"/>
      <c r="Q709" s="127"/>
      <c r="R709" s="127"/>
      <c r="S709" s="127"/>
      <c r="T709" s="127"/>
      <c r="U709" s="127"/>
      <c r="V709" s="127"/>
      <c r="W709" s="127"/>
      <c r="X709" s="127"/>
      <c r="Y709" s="127"/>
      <c r="Z709" s="127"/>
    </row>
    <row r="710" customFormat="false" ht="15.75" hidden="false" customHeight="false" outlineLevel="0" collapsed="false">
      <c r="A710" s="127"/>
      <c r="B710" s="127"/>
      <c r="C710" s="127"/>
      <c r="D710" s="127"/>
      <c r="E710" s="127"/>
      <c r="F710" s="127"/>
      <c r="G710" s="127"/>
      <c r="H710" s="127"/>
      <c r="I710" s="127"/>
      <c r="J710" s="127"/>
      <c r="K710" s="127"/>
      <c r="L710" s="127"/>
      <c r="M710" s="127"/>
      <c r="N710" s="127"/>
      <c r="O710" s="127"/>
      <c r="P710" s="127"/>
      <c r="Q710" s="127"/>
      <c r="R710" s="127"/>
      <c r="S710" s="127"/>
      <c r="T710" s="127"/>
      <c r="U710" s="127"/>
      <c r="V710" s="127"/>
      <c r="W710" s="127"/>
      <c r="X710" s="127"/>
      <c r="Y710" s="127"/>
      <c r="Z710" s="127"/>
    </row>
    <row r="711" customFormat="false" ht="15.75" hidden="false" customHeight="false" outlineLevel="0" collapsed="false">
      <c r="A711" s="127"/>
      <c r="B711" s="127"/>
      <c r="C711" s="127"/>
      <c r="D711" s="127"/>
      <c r="E711" s="127"/>
      <c r="F711" s="127"/>
      <c r="G711" s="127"/>
      <c r="H711" s="127"/>
      <c r="I711" s="127"/>
      <c r="J711" s="127"/>
      <c r="K711" s="127"/>
      <c r="L711" s="127"/>
      <c r="M711" s="127"/>
      <c r="N711" s="127"/>
      <c r="O711" s="127"/>
      <c r="P711" s="127"/>
      <c r="Q711" s="127"/>
      <c r="R711" s="127"/>
      <c r="S711" s="127"/>
      <c r="T711" s="127"/>
      <c r="U711" s="127"/>
      <c r="V711" s="127"/>
      <c r="W711" s="127"/>
      <c r="X711" s="127"/>
      <c r="Y711" s="127"/>
      <c r="Z711" s="127"/>
    </row>
    <row r="712" customFormat="false" ht="15.75" hidden="false" customHeight="false" outlineLevel="0" collapsed="false">
      <c r="A712" s="127"/>
      <c r="B712" s="127"/>
      <c r="C712" s="127"/>
      <c r="D712" s="127"/>
      <c r="E712" s="127"/>
      <c r="F712" s="127"/>
      <c r="G712" s="127"/>
      <c r="H712" s="127"/>
      <c r="I712" s="127"/>
      <c r="J712" s="127"/>
      <c r="K712" s="127"/>
      <c r="L712" s="127"/>
      <c r="M712" s="127"/>
      <c r="N712" s="127"/>
      <c r="O712" s="127"/>
      <c r="P712" s="127"/>
      <c r="Q712" s="127"/>
      <c r="R712" s="127"/>
      <c r="S712" s="127"/>
      <c r="T712" s="127"/>
      <c r="U712" s="127"/>
      <c r="V712" s="127"/>
      <c r="W712" s="127"/>
      <c r="X712" s="127"/>
      <c r="Y712" s="127"/>
      <c r="Z712" s="127"/>
    </row>
    <row r="713" customFormat="false" ht="15.75" hidden="false" customHeight="false" outlineLevel="0" collapsed="false">
      <c r="A713" s="127"/>
      <c r="B713" s="127"/>
      <c r="C713" s="127"/>
      <c r="D713" s="127"/>
      <c r="E713" s="127"/>
      <c r="F713" s="127"/>
      <c r="G713" s="127"/>
      <c r="H713" s="127"/>
      <c r="I713" s="127"/>
      <c r="J713" s="127"/>
      <c r="K713" s="127"/>
      <c r="L713" s="127"/>
      <c r="M713" s="127"/>
      <c r="N713" s="127"/>
      <c r="O713" s="127"/>
      <c r="P713" s="127"/>
      <c r="Q713" s="127"/>
      <c r="R713" s="127"/>
      <c r="S713" s="127"/>
      <c r="T713" s="127"/>
      <c r="U713" s="127"/>
      <c r="V713" s="127"/>
      <c r="W713" s="127"/>
      <c r="X713" s="127"/>
      <c r="Y713" s="127"/>
      <c r="Z713" s="127"/>
    </row>
    <row r="714" customFormat="false" ht="15.75" hidden="false" customHeight="false" outlineLevel="0" collapsed="false">
      <c r="A714" s="127"/>
      <c r="B714" s="127"/>
      <c r="C714" s="127"/>
      <c r="D714" s="127"/>
      <c r="E714" s="127"/>
      <c r="F714" s="127"/>
      <c r="G714" s="127"/>
      <c r="H714" s="127"/>
      <c r="I714" s="127"/>
      <c r="J714" s="127"/>
      <c r="K714" s="127"/>
      <c r="L714" s="127"/>
      <c r="M714" s="127"/>
      <c r="N714" s="127"/>
      <c r="O714" s="127"/>
      <c r="P714" s="127"/>
      <c r="Q714" s="127"/>
      <c r="R714" s="127"/>
      <c r="S714" s="127"/>
      <c r="T714" s="127"/>
      <c r="U714" s="127"/>
      <c r="V714" s="127"/>
      <c r="W714" s="127"/>
      <c r="X714" s="127"/>
      <c r="Y714" s="127"/>
      <c r="Z714" s="127"/>
    </row>
    <row r="715" customFormat="false" ht="15.75" hidden="false" customHeight="false" outlineLevel="0" collapsed="false">
      <c r="A715" s="127"/>
      <c r="B715" s="127"/>
      <c r="C715" s="127"/>
      <c r="D715" s="127"/>
      <c r="E715" s="127"/>
      <c r="F715" s="127"/>
      <c r="G715" s="127"/>
      <c r="H715" s="127"/>
      <c r="I715" s="127"/>
      <c r="J715" s="127"/>
      <c r="K715" s="127"/>
      <c r="L715" s="127"/>
      <c r="M715" s="127"/>
      <c r="N715" s="127"/>
      <c r="O715" s="127"/>
      <c r="P715" s="127"/>
      <c r="Q715" s="127"/>
      <c r="R715" s="127"/>
      <c r="S715" s="127"/>
      <c r="T715" s="127"/>
      <c r="U715" s="127"/>
      <c r="V715" s="127"/>
      <c r="W715" s="127"/>
      <c r="X715" s="127"/>
      <c r="Y715" s="127"/>
      <c r="Z715" s="127"/>
    </row>
    <row r="716" customFormat="false" ht="15.75" hidden="false" customHeight="false" outlineLevel="0" collapsed="false">
      <c r="A716" s="127"/>
      <c r="B716" s="127"/>
      <c r="C716" s="127"/>
      <c r="D716" s="127"/>
      <c r="E716" s="127"/>
      <c r="F716" s="127"/>
      <c r="G716" s="127"/>
      <c r="H716" s="127"/>
      <c r="I716" s="127"/>
      <c r="J716" s="127"/>
      <c r="K716" s="127"/>
      <c r="L716" s="127"/>
      <c r="M716" s="127"/>
      <c r="N716" s="127"/>
      <c r="O716" s="127"/>
      <c r="P716" s="127"/>
      <c r="Q716" s="127"/>
      <c r="R716" s="127"/>
      <c r="S716" s="127"/>
      <c r="T716" s="127"/>
      <c r="U716" s="127"/>
      <c r="V716" s="127"/>
      <c r="W716" s="127"/>
      <c r="X716" s="127"/>
      <c r="Y716" s="127"/>
      <c r="Z716" s="127"/>
    </row>
    <row r="717" customFormat="false" ht="15.75" hidden="false" customHeight="false" outlineLevel="0" collapsed="false">
      <c r="A717" s="127"/>
      <c r="B717" s="127"/>
      <c r="C717" s="127"/>
      <c r="D717" s="127"/>
      <c r="E717" s="127"/>
      <c r="F717" s="127"/>
      <c r="G717" s="127"/>
      <c r="H717" s="127"/>
      <c r="I717" s="127"/>
      <c r="J717" s="127"/>
      <c r="K717" s="127"/>
      <c r="L717" s="127"/>
      <c r="M717" s="127"/>
      <c r="N717" s="127"/>
      <c r="O717" s="127"/>
      <c r="P717" s="127"/>
      <c r="Q717" s="127"/>
      <c r="R717" s="127"/>
      <c r="S717" s="127"/>
      <c r="T717" s="127"/>
      <c r="U717" s="127"/>
      <c r="V717" s="127"/>
      <c r="W717" s="127"/>
      <c r="X717" s="127"/>
      <c r="Y717" s="127"/>
      <c r="Z717" s="127"/>
    </row>
    <row r="718" customFormat="false" ht="15.75" hidden="false" customHeight="false" outlineLevel="0" collapsed="false">
      <c r="A718" s="127"/>
      <c r="B718" s="127"/>
      <c r="C718" s="127"/>
      <c r="D718" s="127"/>
      <c r="E718" s="127"/>
      <c r="F718" s="127"/>
      <c r="G718" s="127"/>
      <c r="H718" s="127"/>
      <c r="I718" s="127"/>
      <c r="J718" s="127"/>
      <c r="K718" s="127"/>
      <c r="L718" s="127"/>
      <c r="M718" s="127"/>
      <c r="N718" s="127"/>
      <c r="O718" s="127"/>
      <c r="P718" s="127"/>
      <c r="Q718" s="127"/>
      <c r="R718" s="127"/>
      <c r="S718" s="127"/>
      <c r="T718" s="127"/>
      <c r="U718" s="127"/>
      <c r="V718" s="127"/>
      <c r="W718" s="127"/>
      <c r="X718" s="127"/>
      <c r="Y718" s="127"/>
      <c r="Z718" s="127"/>
    </row>
    <row r="719" customFormat="false" ht="15.75" hidden="false" customHeight="false" outlineLevel="0" collapsed="false">
      <c r="A719" s="127"/>
      <c r="B719" s="127"/>
      <c r="C719" s="127"/>
      <c r="D719" s="127"/>
      <c r="E719" s="127"/>
      <c r="F719" s="127"/>
      <c r="G719" s="127"/>
      <c r="H719" s="127"/>
      <c r="I719" s="127"/>
      <c r="J719" s="127"/>
      <c r="K719" s="127"/>
      <c r="L719" s="127"/>
      <c r="M719" s="127"/>
      <c r="N719" s="127"/>
      <c r="O719" s="127"/>
      <c r="P719" s="127"/>
      <c r="Q719" s="127"/>
      <c r="R719" s="127"/>
      <c r="S719" s="127"/>
      <c r="T719" s="127"/>
      <c r="U719" s="127"/>
      <c r="V719" s="127"/>
      <c r="W719" s="127"/>
      <c r="X719" s="127"/>
      <c r="Y719" s="127"/>
      <c r="Z719" s="127"/>
    </row>
    <row r="720" customFormat="false" ht="15.75" hidden="false" customHeight="false" outlineLevel="0" collapsed="false">
      <c r="A720" s="127"/>
      <c r="B720" s="127"/>
      <c r="C720" s="127"/>
      <c r="D720" s="127"/>
      <c r="E720" s="127"/>
      <c r="F720" s="127"/>
      <c r="G720" s="127"/>
      <c r="H720" s="127"/>
      <c r="I720" s="127"/>
      <c r="J720" s="127"/>
      <c r="K720" s="127"/>
      <c r="L720" s="127"/>
      <c r="M720" s="127"/>
      <c r="N720" s="127"/>
      <c r="O720" s="127"/>
      <c r="P720" s="127"/>
      <c r="Q720" s="127"/>
      <c r="R720" s="127"/>
      <c r="S720" s="127"/>
      <c r="T720" s="127"/>
      <c r="U720" s="127"/>
      <c r="V720" s="127"/>
      <c r="W720" s="127"/>
      <c r="X720" s="127"/>
      <c r="Y720" s="127"/>
      <c r="Z720" s="127"/>
    </row>
    <row r="721" customFormat="false" ht="15.75" hidden="false" customHeight="false" outlineLevel="0" collapsed="false">
      <c r="A721" s="127"/>
      <c r="B721" s="127"/>
      <c r="C721" s="127"/>
      <c r="D721" s="127"/>
      <c r="E721" s="127"/>
      <c r="F721" s="127"/>
      <c r="G721" s="127"/>
      <c r="H721" s="127"/>
      <c r="I721" s="127"/>
      <c r="J721" s="127"/>
      <c r="K721" s="127"/>
      <c r="L721" s="127"/>
      <c r="M721" s="127"/>
      <c r="N721" s="127"/>
      <c r="O721" s="127"/>
      <c r="P721" s="127"/>
      <c r="Q721" s="127"/>
      <c r="R721" s="127"/>
      <c r="S721" s="127"/>
      <c r="T721" s="127"/>
      <c r="U721" s="127"/>
      <c r="V721" s="127"/>
      <c r="W721" s="127"/>
      <c r="X721" s="127"/>
      <c r="Y721" s="127"/>
      <c r="Z721" s="127"/>
    </row>
    <row r="722" customFormat="false" ht="15.75" hidden="false" customHeight="false" outlineLevel="0" collapsed="false">
      <c r="A722" s="127"/>
      <c r="B722" s="127"/>
      <c r="C722" s="127"/>
      <c r="D722" s="127"/>
      <c r="E722" s="127"/>
      <c r="F722" s="127"/>
      <c r="G722" s="127"/>
      <c r="H722" s="127"/>
      <c r="I722" s="127"/>
      <c r="J722" s="127"/>
      <c r="K722" s="127"/>
      <c r="L722" s="127"/>
      <c r="M722" s="127"/>
      <c r="N722" s="127"/>
      <c r="O722" s="127"/>
      <c r="P722" s="127"/>
      <c r="Q722" s="127"/>
      <c r="R722" s="127"/>
      <c r="S722" s="127"/>
      <c r="T722" s="127"/>
      <c r="U722" s="127"/>
      <c r="V722" s="127"/>
      <c r="W722" s="127"/>
      <c r="X722" s="127"/>
      <c r="Y722" s="127"/>
      <c r="Z722" s="127"/>
    </row>
    <row r="723" customFormat="false" ht="15.75" hidden="false" customHeight="false" outlineLevel="0" collapsed="false">
      <c r="A723" s="127"/>
      <c r="B723" s="127"/>
      <c r="C723" s="127"/>
      <c r="D723" s="127"/>
      <c r="E723" s="127"/>
      <c r="F723" s="127"/>
      <c r="G723" s="127"/>
      <c r="H723" s="127"/>
      <c r="I723" s="127"/>
      <c r="J723" s="127"/>
      <c r="K723" s="127"/>
      <c r="L723" s="127"/>
      <c r="M723" s="127"/>
      <c r="N723" s="127"/>
      <c r="O723" s="127"/>
      <c r="P723" s="127"/>
      <c r="Q723" s="127"/>
      <c r="R723" s="127"/>
      <c r="S723" s="127"/>
      <c r="T723" s="127"/>
      <c r="U723" s="127"/>
      <c r="V723" s="127"/>
      <c r="W723" s="127"/>
      <c r="X723" s="127"/>
      <c r="Y723" s="127"/>
      <c r="Z723" s="127"/>
    </row>
    <row r="724" customFormat="false" ht="15.75" hidden="false" customHeight="false" outlineLevel="0" collapsed="false">
      <c r="A724" s="127"/>
      <c r="B724" s="127"/>
      <c r="C724" s="127"/>
      <c r="D724" s="127"/>
      <c r="E724" s="127"/>
      <c r="F724" s="127"/>
      <c r="G724" s="127"/>
      <c r="H724" s="127"/>
      <c r="I724" s="127"/>
      <c r="J724" s="127"/>
      <c r="K724" s="127"/>
      <c r="L724" s="127"/>
      <c r="M724" s="127"/>
      <c r="N724" s="127"/>
      <c r="O724" s="127"/>
      <c r="P724" s="127"/>
      <c r="Q724" s="127"/>
      <c r="R724" s="127"/>
      <c r="S724" s="127"/>
      <c r="T724" s="127"/>
      <c r="U724" s="127"/>
      <c r="V724" s="127"/>
      <c r="W724" s="127"/>
      <c r="X724" s="127"/>
      <c r="Y724" s="127"/>
      <c r="Z724" s="127"/>
    </row>
    <row r="725" customFormat="false" ht="15.75" hidden="false" customHeight="false" outlineLevel="0" collapsed="false">
      <c r="A725" s="127"/>
      <c r="B725" s="127"/>
      <c r="C725" s="127"/>
      <c r="D725" s="127"/>
      <c r="E725" s="127"/>
      <c r="F725" s="127"/>
      <c r="G725" s="127"/>
      <c r="H725" s="127"/>
      <c r="I725" s="127"/>
      <c r="J725" s="127"/>
      <c r="K725" s="127"/>
      <c r="L725" s="127"/>
      <c r="M725" s="127"/>
      <c r="N725" s="127"/>
      <c r="O725" s="127"/>
      <c r="P725" s="127"/>
      <c r="Q725" s="127"/>
      <c r="R725" s="127"/>
      <c r="S725" s="127"/>
      <c r="T725" s="127"/>
      <c r="U725" s="127"/>
      <c r="V725" s="127"/>
      <c r="W725" s="127"/>
      <c r="X725" s="127"/>
      <c r="Y725" s="127"/>
      <c r="Z725" s="127"/>
    </row>
    <row r="726" customFormat="false" ht="15.75" hidden="false" customHeight="false" outlineLevel="0" collapsed="false">
      <c r="A726" s="127"/>
      <c r="B726" s="127"/>
      <c r="C726" s="127"/>
      <c r="D726" s="127"/>
      <c r="E726" s="127"/>
      <c r="F726" s="127"/>
      <c r="G726" s="127"/>
      <c r="H726" s="127"/>
      <c r="I726" s="127"/>
      <c r="J726" s="127"/>
      <c r="K726" s="127"/>
      <c r="L726" s="127"/>
      <c r="M726" s="127"/>
      <c r="N726" s="127"/>
      <c r="O726" s="127"/>
      <c r="P726" s="127"/>
      <c r="Q726" s="127"/>
      <c r="R726" s="127"/>
      <c r="S726" s="127"/>
      <c r="T726" s="127"/>
      <c r="U726" s="127"/>
      <c r="V726" s="127"/>
      <c r="W726" s="127"/>
      <c r="X726" s="127"/>
      <c r="Y726" s="127"/>
      <c r="Z726" s="127"/>
    </row>
    <row r="727" customFormat="false" ht="15.75" hidden="false" customHeight="false" outlineLevel="0" collapsed="false">
      <c r="A727" s="127"/>
      <c r="B727" s="127"/>
      <c r="C727" s="127"/>
      <c r="D727" s="127"/>
      <c r="E727" s="127"/>
      <c r="F727" s="127"/>
      <c r="G727" s="127"/>
      <c r="H727" s="127"/>
      <c r="I727" s="127"/>
      <c r="J727" s="127"/>
      <c r="K727" s="127"/>
      <c r="L727" s="127"/>
      <c r="M727" s="127"/>
      <c r="N727" s="127"/>
      <c r="O727" s="127"/>
      <c r="P727" s="127"/>
      <c r="Q727" s="127"/>
      <c r="R727" s="127"/>
      <c r="S727" s="127"/>
      <c r="T727" s="127"/>
      <c r="U727" s="127"/>
      <c r="V727" s="127"/>
      <c r="W727" s="127"/>
      <c r="X727" s="127"/>
      <c r="Y727" s="127"/>
      <c r="Z727" s="127"/>
    </row>
    <row r="728" customFormat="false" ht="15.75" hidden="false" customHeight="false" outlineLevel="0" collapsed="false">
      <c r="A728" s="127"/>
      <c r="B728" s="127"/>
      <c r="C728" s="127"/>
      <c r="D728" s="127"/>
      <c r="E728" s="127"/>
      <c r="F728" s="127"/>
      <c r="G728" s="127"/>
      <c r="H728" s="127"/>
      <c r="I728" s="127"/>
      <c r="J728" s="127"/>
      <c r="K728" s="127"/>
      <c r="L728" s="127"/>
      <c r="M728" s="127"/>
      <c r="N728" s="127"/>
      <c r="O728" s="127"/>
      <c r="P728" s="127"/>
      <c r="Q728" s="127"/>
      <c r="R728" s="127"/>
      <c r="S728" s="127"/>
      <c r="T728" s="127"/>
      <c r="U728" s="127"/>
      <c r="V728" s="127"/>
      <c r="W728" s="127"/>
      <c r="X728" s="127"/>
      <c r="Y728" s="127"/>
      <c r="Z728" s="127"/>
    </row>
    <row r="729" customFormat="false" ht="15.75" hidden="false" customHeight="false" outlineLevel="0" collapsed="false">
      <c r="A729" s="127"/>
      <c r="B729" s="127"/>
      <c r="C729" s="127"/>
      <c r="D729" s="127"/>
      <c r="E729" s="127"/>
      <c r="F729" s="127"/>
      <c r="G729" s="127"/>
      <c r="H729" s="127"/>
      <c r="I729" s="127"/>
      <c r="J729" s="127"/>
      <c r="K729" s="127"/>
      <c r="L729" s="127"/>
      <c r="M729" s="127"/>
      <c r="N729" s="127"/>
      <c r="O729" s="127"/>
      <c r="P729" s="127"/>
      <c r="Q729" s="127"/>
      <c r="R729" s="127"/>
      <c r="S729" s="127"/>
      <c r="T729" s="127"/>
      <c r="U729" s="127"/>
      <c r="V729" s="127"/>
      <c r="W729" s="127"/>
      <c r="X729" s="127"/>
      <c r="Y729" s="127"/>
      <c r="Z729" s="127"/>
    </row>
    <row r="730" customFormat="false" ht="15.75" hidden="false" customHeight="false" outlineLevel="0" collapsed="false">
      <c r="A730" s="127"/>
      <c r="B730" s="127"/>
      <c r="C730" s="127"/>
      <c r="D730" s="127"/>
      <c r="E730" s="127"/>
      <c r="F730" s="127"/>
      <c r="G730" s="127"/>
      <c r="H730" s="127"/>
      <c r="I730" s="127"/>
      <c r="J730" s="127"/>
      <c r="K730" s="127"/>
      <c r="L730" s="127"/>
      <c r="M730" s="127"/>
      <c r="N730" s="127"/>
      <c r="O730" s="127"/>
      <c r="P730" s="127"/>
      <c r="Q730" s="127"/>
      <c r="R730" s="127"/>
      <c r="S730" s="127"/>
      <c r="T730" s="127"/>
      <c r="U730" s="127"/>
      <c r="V730" s="127"/>
      <c r="W730" s="127"/>
      <c r="X730" s="127"/>
      <c r="Y730" s="127"/>
      <c r="Z730" s="127"/>
    </row>
    <row r="731" customFormat="false" ht="15.75" hidden="false" customHeight="false" outlineLevel="0" collapsed="false">
      <c r="A731" s="127"/>
      <c r="B731" s="127"/>
      <c r="C731" s="127"/>
      <c r="D731" s="127"/>
      <c r="E731" s="127"/>
      <c r="F731" s="127"/>
      <c r="G731" s="127"/>
      <c r="H731" s="127"/>
      <c r="I731" s="127"/>
      <c r="J731" s="127"/>
      <c r="K731" s="127"/>
      <c r="L731" s="127"/>
      <c r="M731" s="127"/>
      <c r="N731" s="127"/>
      <c r="O731" s="127"/>
      <c r="P731" s="127"/>
      <c r="Q731" s="127"/>
      <c r="R731" s="127"/>
      <c r="S731" s="127"/>
      <c r="T731" s="127"/>
      <c r="U731" s="127"/>
      <c r="V731" s="127"/>
      <c r="W731" s="127"/>
      <c r="X731" s="127"/>
      <c r="Y731" s="127"/>
      <c r="Z731" s="127"/>
    </row>
    <row r="732" customFormat="false" ht="15.75" hidden="false" customHeight="false" outlineLevel="0" collapsed="false">
      <c r="A732" s="127"/>
      <c r="B732" s="127"/>
      <c r="C732" s="127"/>
      <c r="D732" s="127"/>
      <c r="E732" s="127"/>
      <c r="F732" s="127"/>
      <c r="G732" s="127"/>
      <c r="H732" s="127"/>
      <c r="I732" s="127"/>
      <c r="J732" s="127"/>
      <c r="K732" s="127"/>
      <c r="L732" s="127"/>
      <c r="M732" s="127"/>
      <c r="N732" s="127"/>
      <c r="O732" s="127"/>
      <c r="P732" s="127"/>
      <c r="Q732" s="127"/>
      <c r="R732" s="127"/>
      <c r="S732" s="127"/>
      <c r="T732" s="127"/>
      <c r="U732" s="127"/>
      <c r="V732" s="127"/>
      <c r="W732" s="127"/>
      <c r="X732" s="127"/>
      <c r="Y732" s="127"/>
      <c r="Z732" s="127"/>
    </row>
    <row r="733" customFormat="false" ht="15.75" hidden="false" customHeight="false" outlineLevel="0" collapsed="false">
      <c r="A733" s="127"/>
      <c r="B733" s="127"/>
      <c r="C733" s="127"/>
      <c r="D733" s="127"/>
      <c r="E733" s="127"/>
      <c r="F733" s="127"/>
      <c r="G733" s="127"/>
      <c r="H733" s="127"/>
      <c r="I733" s="127"/>
      <c r="J733" s="127"/>
      <c r="K733" s="127"/>
      <c r="L733" s="127"/>
      <c r="M733" s="127"/>
      <c r="N733" s="127"/>
      <c r="O733" s="127"/>
      <c r="P733" s="127"/>
      <c r="Q733" s="127"/>
      <c r="R733" s="127"/>
      <c r="S733" s="127"/>
      <c r="T733" s="127"/>
      <c r="U733" s="127"/>
      <c r="V733" s="127"/>
      <c r="W733" s="127"/>
      <c r="X733" s="127"/>
      <c r="Y733" s="127"/>
      <c r="Z733" s="127"/>
    </row>
    <row r="734" customFormat="false" ht="15.75" hidden="false" customHeight="false" outlineLevel="0" collapsed="false">
      <c r="A734" s="127"/>
      <c r="B734" s="127"/>
      <c r="C734" s="127"/>
      <c r="D734" s="127"/>
      <c r="E734" s="127"/>
      <c r="F734" s="127"/>
      <c r="G734" s="127"/>
      <c r="H734" s="127"/>
      <c r="I734" s="127"/>
      <c r="J734" s="127"/>
      <c r="K734" s="127"/>
      <c r="L734" s="127"/>
      <c r="M734" s="127"/>
      <c r="N734" s="127"/>
      <c r="O734" s="127"/>
      <c r="P734" s="127"/>
      <c r="Q734" s="127"/>
      <c r="R734" s="127"/>
      <c r="S734" s="127"/>
      <c r="T734" s="127"/>
      <c r="U734" s="127"/>
      <c r="V734" s="127"/>
      <c r="W734" s="127"/>
      <c r="X734" s="127"/>
      <c r="Y734" s="127"/>
      <c r="Z734" s="127"/>
    </row>
    <row r="735" customFormat="false" ht="15.75" hidden="false" customHeight="false" outlineLevel="0" collapsed="false">
      <c r="A735" s="127"/>
      <c r="B735" s="127"/>
      <c r="C735" s="127"/>
      <c r="D735" s="127"/>
      <c r="E735" s="127"/>
      <c r="F735" s="127"/>
      <c r="G735" s="127"/>
      <c r="H735" s="127"/>
      <c r="I735" s="127"/>
      <c r="J735" s="127"/>
      <c r="K735" s="127"/>
      <c r="L735" s="127"/>
      <c r="M735" s="127"/>
      <c r="N735" s="127"/>
      <c r="O735" s="127"/>
      <c r="P735" s="127"/>
      <c r="Q735" s="127"/>
      <c r="R735" s="127"/>
      <c r="S735" s="127"/>
      <c r="T735" s="127"/>
      <c r="U735" s="127"/>
      <c r="V735" s="127"/>
      <c r="W735" s="127"/>
      <c r="X735" s="127"/>
      <c r="Y735" s="127"/>
      <c r="Z735" s="127"/>
    </row>
    <row r="736" customFormat="false" ht="15.75" hidden="false" customHeight="false" outlineLevel="0" collapsed="false">
      <c r="A736" s="127"/>
      <c r="B736" s="127"/>
      <c r="C736" s="127"/>
      <c r="D736" s="127"/>
      <c r="E736" s="127"/>
      <c r="F736" s="127"/>
      <c r="G736" s="127"/>
      <c r="H736" s="127"/>
      <c r="I736" s="127"/>
      <c r="J736" s="127"/>
      <c r="K736" s="127"/>
      <c r="L736" s="127"/>
      <c r="M736" s="127"/>
      <c r="N736" s="127"/>
      <c r="O736" s="127"/>
      <c r="P736" s="127"/>
      <c r="Q736" s="127"/>
      <c r="R736" s="127"/>
      <c r="S736" s="127"/>
      <c r="T736" s="127"/>
      <c r="U736" s="127"/>
      <c r="V736" s="127"/>
      <c r="W736" s="127"/>
      <c r="X736" s="127"/>
      <c r="Y736" s="127"/>
      <c r="Z736" s="127"/>
    </row>
    <row r="737" customFormat="false" ht="15.75" hidden="false" customHeight="false" outlineLevel="0" collapsed="false">
      <c r="A737" s="127"/>
      <c r="B737" s="127"/>
      <c r="C737" s="127"/>
      <c r="D737" s="127"/>
      <c r="E737" s="127"/>
      <c r="F737" s="127"/>
      <c r="G737" s="127"/>
      <c r="H737" s="127"/>
      <c r="I737" s="127"/>
      <c r="J737" s="127"/>
      <c r="K737" s="127"/>
      <c r="L737" s="127"/>
      <c r="M737" s="127"/>
      <c r="N737" s="127"/>
      <c r="O737" s="127"/>
      <c r="P737" s="127"/>
      <c r="Q737" s="127"/>
      <c r="R737" s="127"/>
      <c r="S737" s="127"/>
      <c r="T737" s="127"/>
      <c r="U737" s="127"/>
      <c r="V737" s="127"/>
      <c r="W737" s="127"/>
      <c r="X737" s="127"/>
      <c r="Y737" s="127"/>
      <c r="Z737" s="127"/>
    </row>
    <row r="738" customFormat="false" ht="15.75" hidden="false" customHeight="false" outlineLevel="0" collapsed="false">
      <c r="A738" s="127"/>
      <c r="B738" s="127"/>
      <c r="C738" s="127"/>
      <c r="D738" s="127"/>
      <c r="E738" s="127"/>
      <c r="F738" s="127"/>
      <c r="G738" s="127"/>
      <c r="H738" s="127"/>
      <c r="I738" s="127"/>
      <c r="J738" s="127"/>
      <c r="K738" s="127"/>
      <c r="L738" s="127"/>
      <c r="M738" s="127"/>
      <c r="N738" s="127"/>
      <c r="O738" s="127"/>
      <c r="P738" s="127"/>
      <c r="Q738" s="127"/>
      <c r="R738" s="127"/>
      <c r="S738" s="127"/>
      <c r="T738" s="127"/>
      <c r="U738" s="127"/>
      <c r="V738" s="127"/>
      <c r="W738" s="127"/>
      <c r="X738" s="127"/>
      <c r="Y738" s="127"/>
      <c r="Z738" s="127"/>
    </row>
    <row r="739" customFormat="false" ht="15.75" hidden="false" customHeight="false" outlineLevel="0" collapsed="false">
      <c r="A739" s="127"/>
      <c r="B739" s="127"/>
      <c r="C739" s="127"/>
      <c r="D739" s="127"/>
      <c r="E739" s="127"/>
      <c r="F739" s="127"/>
      <c r="G739" s="127"/>
      <c r="H739" s="127"/>
      <c r="I739" s="127"/>
      <c r="J739" s="127"/>
      <c r="K739" s="127"/>
      <c r="L739" s="127"/>
      <c r="M739" s="127"/>
      <c r="N739" s="127"/>
      <c r="O739" s="127"/>
      <c r="P739" s="127"/>
      <c r="Q739" s="127"/>
      <c r="R739" s="127"/>
      <c r="S739" s="127"/>
      <c r="T739" s="127"/>
      <c r="U739" s="127"/>
      <c r="V739" s="127"/>
      <c r="W739" s="127"/>
      <c r="X739" s="127"/>
      <c r="Y739" s="127"/>
      <c r="Z739" s="127"/>
    </row>
    <row r="740" customFormat="false" ht="15.75" hidden="false" customHeight="false" outlineLevel="0" collapsed="false">
      <c r="A740" s="127"/>
      <c r="B740" s="127"/>
      <c r="C740" s="127"/>
      <c r="D740" s="127"/>
      <c r="E740" s="127"/>
      <c r="F740" s="127"/>
      <c r="G740" s="127"/>
      <c r="H740" s="127"/>
      <c r="I740" s="127"/>
      <c r="J740" s="127"/>
      <c r="K740" s="127"/>
      <c r="L740" s="127"/>
      <c r="M740" s="127"/>
      <c r="N740" s="127"/>
      <c r="O740" s="127"/>
      <c r="P740" s="127"/>
      <c r="Q740" s="127"/>
      <c r="R740" s="127"/>
      <c r="S740" s="127"/>
      <c r="T740" s="127"/>
      <c r="U740" s="127"/>
      <c r="V740" s="127"/>
      <c r="W740" s="127"/>
      <c r="X740" s="127"/>
      <c r="Y740" s="127"/>
      <c r="Z740" s="127"/>
    </row>
    <row r="741" customFormat="false" ht="15.75" hidden="false" customHeight="false" outlineLevel="0" collapsed="false">
      <c r="A741" s="127"/>
      <c r="B741" s="127"/>
      <c r="C741" s="127"/>
      <c r="D741" s="127"/>
      <c r="E741" s="127"/>
      <c r="F741" s="127"/>
      <c r="G741" s="127"/>
      <c r="H741" s="127"/>
      <c r="I741" s="127"/>
      <c r="J741" s="127"/>
      <c r="K741" s="127"/>
      <c r="L741" s="127"/>
      <c r="M741" s="127"/>
      <c r="N741" s="127"/>
      <c r="O741" s="127"/>
      <c r="P741" s="127"/>
      <c r="Q741" s="127"/>
      <c r="R741" s="127"/>
      <c r="S741" s="127"/>
      <c r="T741" s="127"/>
      <c r="U741" s="127"/>
      <c r="V741" s="127"/>
      <c r="W741" s="127"/>
      <c r="X741" s="127"/>
      <c r="Y741" s="127"/>
      <c r="Z741" s="127"/>
    </row>
    <row r="742" customFormat="false" ht="15.75" hidden="false" customHeight="false" outlineLevel="0" collapsed="false">
      <c r="A742" s="127"/>
      <c r="B742" s="127"/>
      <c r="C742" s="127"/>
      <c r="D742" s="127"/>
      <c r="E742" s="127"/>
      <c r="F742" s="127"/>
      <c r="G742" s="127"/>
      <c r="H742" s="127"/>
      <c r="I742" s="127"/>
      <c r="J742" s="127"/>
      <c r="K742" s="127"/>
      <c r="L742" s="127"/>
      <c r="M742" s="127"/>
      <c r="N742" s="127"/>
      <c r="O742" s="127"/>
      <c r="P742" s="127"/>
      <c r="Q742" s="127"/>
      <c r="R742" s="127"/>
      <c r="S742" s="127"/>
      <c r="T742" s="127"/>
      <c r="U742" s="127"/>
      <c r="V742" s="127"/>
      <c r="W742" s="127"/>
      <c r="X742" s="127"/>
      <c r="Y742" s="127"/>
      <c r="Z742" s="127"/>
    </row>
    <row r="743" customFormat="false" ht="15.75" hidden="false" customHeight="false" outlineLevel="0" collapsed="false">
      <c r="A743" s="127"/>
      <c r="B743" s="127"/>
      <c r="C743" s="127"/>
      <c r="D743" s="127"/>
      <c r="E743" s="127"/>
      <c r="F743" s="127"/>
      <c r="G743" s="127"/>
      <c r="H743" s="127"/>
      <c r="I743" s="127"/>
      <c r="J743" s="127"/>
      <c r="K743" s="127"/>
      <c r="L743" s="127"/>
      <c r="M743" s="127"/>
      <c r="N743" s="127"/>
      <c r="O743" s="127"/>
      <c r="P743" s="127"/>
      <c r="Q743" s="127"/>
      <c r="R743" s="127"/>
      <c r="S743" s="127"/>
      <c r="T743" s="127"/>
      <c r="U743" s="127"/>
      <c r="V743" s="127"/>
      <c r="W743" s="127"/>
      <c r="X743" s="127"/>
      <c r="Y743" s="127"/>
      <c r="Z743" s="127"/>
    </row>
    <row r="744" customFormat="false" ht="15.75" hidden="false" customHeight="false" outlineLevel="0" collapsed="false">
      <c r="A744" s="127"/>
      <c r="B744" s="127"/>
      <c r="C744" s="127"/>
      <c r="D744" s="127"/>
      <c r="E744" s="127"/>
      <c r="F744" s="127"/>
      <c r="G744" s="127"/>
      <c r="H744" s="127"/>
      <c r="I744" s="127"/>
      <c r="J744" s="127"/>
      <c r="K744" s="127"/>
      <c r="L744" s="127"/>
      <c r="M744" s="127"/>
      <c r="N744" s="127"/>
      <c r="O744" s="127"/>
      <c r="P744" s="127"/>
      <c r="Q744" s="127"/>
      <c r="R744" s="127"/>
      <c r="S744" s="127"/>
      <c r="T744" s="127"/>
      <c r="U744" s="127"/>
      <c r="V744" s="127"/>
      <c r="W744" s="127"/>
      <c r="X744" s="127"/>
      <c r="Y744" s="127"/>
      <c r="Z744" s="127"/>
    </row>
    <row r="745" customFormat="false" ht="15.75" hidden="false" customHeight="false" outlineLevel="0" collapsed="false">
      <c r="A745" s="127"/>
      <c r="B745" s="127"/>
      <c r="C745" s="127"/>
      <c r="D745" s="127"/>
      <c r="E745" s="127"/>
      <c r="F745" s="127"/>
      <c r="G745" s="127"/>
      <c r="H745" s="127"/>
      <c r="I745" s="127"/>
      <c r="J745" s="127"/>
      <c r="K745" s="127"/>
      <c r="L745" s="127"/>
      <c r="M745" s="127"/>
      <c r="N745" s="127"/>
      <c r="O745" s="127"/>
      <c r="P745" s="127"/>
      <c r="Q745" s="127"/>
      <c r="R745" s="127"/>
      <c r="S745" s="127"/>
      <c r="T745" s="127"/>
      <c r="U745" s="127"/>
      <c r="V745" s="127"/>
      <c r="W745" s="127"/>
      <c r="X745" s="127"/>
      <c r="Y745" s="127"/>
      <c r="Z745" s="127"/>
    </row>
    <row r="746" customFormat="false" ht="15.75" hidden="false" customHeight="false" outlineLevel="0" collapsed="false">
      <c r="A746" s="127"/>
      <c r="B746" s="127"/>
      <c r="C746" s="127"/>
      <c r="D746" s="127"/>
      <c r="E746" s="127"/>
      <c r="F746" s="127"/>
      <c r="G746" s="127"/>
      <c r="H746" s="127"/>
      <c r="I746" s="127"/>
      <c r="J746" s="127"/>
      <c r="K746" s="127"/>
      <c r="L746" s="127"/>
      <c r="M746" s="127"/>
      <c r="N746" s="127"/>
      <c r="O746" s="127"/>
      <c r="P746" s="127"/>
      <c r="Q746" s="127"/>
      <c r="R746" s="127"/>
      <c r="S746" s="127"/>
      <c r="T746" s="127"/>
      <c r="U746" s="127"/>
      <c r="V746" s="127"/>
      <c r="W746" s="127"/>
      <c r="X746" s="127"/>
      <c r="Y746" s="127"/>
      <c r="Z746" s="127"/>
    </row>
    <row r="747" customFormat="false" ht="15.75" hidden="false" customHeight="false" outlineLevel="0" collapsed="false">
      <c r="A747" s="127"/>
      <c r="B747" s="127"/>
      <c r="C747" s="127"/>
      <c r="D747" s="127"/>
      <c r="E747" s="127"/>
      <c r="F747" s="127"/>
      <c r="G747" s="127"/>
      <c r="H747" s="127"/>
      <c r="I747" s="127"/>
      <c r="J747" s="127"/>
      <c r="K747" s="127"/>
      <c r="L747" s="127"/>
      <c r="M747" s="127"/>
      <c r="N747" s="127"/>
      <c r="O747" s="127"/>
      <c r="P747" s="127"/>
      <c r="Q747" s="127"/>
      <c r="R747" s="127"/>
      <c r="S747" s="127"/>
      <c r="T747" s="127"/>
      <c r="U747" s="127"/>
      <c r="V747" s="127"/>
      <c r="W747" s="127"/>
      <c r="X747" s="127"/>
      <c r="Y747" s="127"/>
      <c r="Z747" s="127"/>
    </row>
    <row r="748" customFormat="false" ht="15.75" hidden="false" customHeight="false" outlineLevel="0" collapsed="false">
      <c r="A748" s="127"/>
      <c r="B748" s="127"/>
      <c r="C748" s="127"/>
      <c r="D748" s="127"/>
      <c r="E748" s="127"/>
      <c r="F748" s="127"/>
      <c r="G748" s="127"/>
      <c r="H748" s="127"/>
      <c r="I748" s="127"/>
      <c r="J748" s="127"/>
      <c r="K748" s="127"/>
      <c r="L748" s="127"/>
      <c r="M748" s="127"/>
      <c r="N748" s="127"/>
      <c r="O748" s="127"/>
      <c r="P748" s="127"/>
      <c r="Q748" s="127"/>
      <c r="R748" s="127"/>
      <c r="S748" s="127"/>
      <c r="T748" s="127"/>
      <c r="U748" s="127"/>
      <c r="V748" s="127"/>
      <c r="W748" s="127"/>
      <c r="X748" s="127"/>
      <c r="Y748" s="127"/>
      <c r="Z748" s="127"/>
    </row>
    <row r="749" customFormat="false" ht="15.75" hidden="false" customHeight="false" outlineLevel="0" collapsed="false">
      <c r="A749" s="127"/>
      <c r="B749" s="127"/>
      <c r="C749" s="127"/>
      <c r="D749" s="127"/>
      <c r="E749" s="127"/>
      <c r="F749" s="127"/>
      <c r="G749" s="127"/>
      <c r="H749" s="127"/>
      <c r="I749" s="127"/>
      <c r="J749" s="127"/>
      <c r="K749" s="127"/>
      <c r="L749" s="127"/>
      <c r="M749" s="127"/>
      <c r="N749" s="127"/>
      <c r="O749" s="127"/>
      <c r="P749" s="127"/>
      <c r="Q749" s="127"/>
      <c r="R749" s="127"/>
      <c r="S749" s="127"/>
      <c r="T749" s="127"/>
      <c r="U749" s="127"/>
      <c r="V749" s="127"/>
      <c r="W749" s="127"/>
      <c r="X749" s="127"/>
      <c r="Y749" s="127"/>
      <c r="Z749" s="127"/>
    </row>
    <row r="750" customFormat="false" ht="15.75" hidden="false" customHeight="false" outlineLevel="0" collapsed="false">
      <c r="A750" s="127"/>
      <c r="B750" s="127"/>
      <c r="C750" s="127"/>
      <c r="D750" s="127"/>
      <c r="E750" s="127"/>
      <c r="F750" s="127"/>
      <c r="G750" s="127"/>
      <c r="H750" s="127"/>
      <c r="I750" s="127"/>
      <c r="J750" s="127"/>
      <c r="K750" s="127"/>
      <c r="L750" s="127"/>
      <c r="M750" s="127"/>
      <c r="N750" s="127"/>
      <c r="O750" s="127"/>
      <c r="P750" s="127"/>
      <c r="Q750" s="127"/>
      <c r="R750" s="127"/>
      <c r="S750" s="127"/>
      <c r="T750" s="127"/>
      <c r="U750" s="127"/>
      <c r="V750" s="127"/>
      <c r="W750" s="127"/>
      <c r="X750" s="127"/>
      <c r="Y750" s="127"/>
      <c r="Z750" s="127"/>
    </row>
    <row r="751" customFormat="false" ht="15.75" hidden="false" customHeight="false" outlineLevel="0" collapsed="false">
      <c r="A751" s="127"/>
      <c r="B751" s="127"/>
      <c r="C751" s="127"/>
      <c r="D751" s="127"/>
      <c r="E751" s="127"/>
      <c r="F751" s="127"/>
      <c r="G751" s="127"/>
      <c r="H751" s="127"/>
      <c r="I751" s="127"/>
      <c r="J751" s="127"/>
      <c r="K751" s="127"/>
      <c r="L751" s="127"/>
      <c r="M751" s="127"/>
      <c r="N751" s="127"/>
      <c r="O751" s="127"/>
      <c r="P751" s="127"/>
      <c r="Q751" s="127"/>
      <c r="R751" s="127"/>
      <c r="S751" s="127"/>
      <c r="T751" s="127"/>
      <c r="U751" s="127"/>
      <c r="V751" s="127"/>
      <c r="W751" s="127"/>
      <c r="X751" s="127"/>
      <c r="Y751" s="127"/>
      <c r="Z751" s="127"/>
    </row>
    <row r="752" customFormat="false" ht="15.75" hidden="false" customHeight="false" outlineLevel="0" collapsed="false">
      <c r="A752" s="127"/>
      <c r="B752" s="127"/>
      <c r="C752" s="127"/>
      <c r="D752" s="127"/>
      <c r="E752" s="127"/>
      <c r="F752" s="127"/>
      <c r="G752" s="127"/>
      <c r="H752" s="127"/>
      <c r="I752" s="127"/>
      <c r="J752" s="127"/>
      <c r="K752" s="127"/>
      <c r="L752" s="127"/>
      <c r="M752" s="127"/>
      <c r="N752" s="127"/>
      <c r="O752" s="127"/>
      <c r="P752" s="127"/>
      <c r="Q752" s="127"/>
      <c r="R752" s="127"/>
      <c r="S752" s="127"/>
      <c r="T752" s="127"/>
      <c r="U752" s="127"/>
      <c r="V752" s="127"/>
      <c r="W752" s="127"/>
      <c r="X752" s="127"/>
      <c r="Y752" s="127"/>
      <c r="Z752" s="127"/>
    </row>
    <row r="753" customFormat="false" ht="15.75" hidden="false" customHeight="false" outlineLevel="0" collapsed="false">
      <c r="A753" s="127"/>
      <c r="B753" s="127"/>
      <c r="C753" s="127"/>
      <c r="D753" s="127"/>
      <c r="E753" s="127"/>
      <c r="F753" s="127"/>
      <c r="G753" s="127"/>
      <c r="H753" s="127"/>
      <c r="I753" s="127"/>
      <c r="J753" s="127"/>
      <c r="K753" s="127"/>
      <c r="L753" s="127"/>
      <c r="M753" s="127"/>
      <c r="N753" s="127"/>
      <c r="O753" s="127"/>
      <c r="P753" s="127"/>
      <c r="Q753" s="127"/>
      <c r="R753" s="127"/>
      <c r="S753" s="127"/>
      <c r="T753" s="127"/>
      <c r="U753" s="127"/>
      <c r="V753" s="127"/>
      <c r="W753" s="127"/>
      <c r="X753" s="127"/>
      <c r="Y753" s="127"/>
      <c r="Z753" s="127"/>
    </row>
    <row r="754" customFormat="false" ht="15.75" hidden="false" customHeight="false" outlineLevel="0" collapsed="false">
      <c r="A754" s="127"/>
      <c r="B754" s="127"/>
      <c r="C754" s="127"/>
      <c r="D754" s="127"/>
      <c r="E754" s="127"/>
      <c r="F754" s="127"/>
      <c r="G754" s="127"/>
      <c r="H754" s="127"/>
      <c r="I754" s="127"/>
      <c r="J754" s="127"/>
      <c r="K754" s="127"/>
      <c r="L754" s="127"/>
      <c r="M754" s="127"/>
      <c r="N754" s="127"/>
      <c r="O754" s="127"/>
      <c r="P754" s="127"/>
      <c r="Q754" s="127"/>
      <c r="R754" s="127"/>
      <c r="S754" s="127"/>
      <c r="T754" s="127"/>
      <c r="U754" s="127"/>
      <c r="V754" s="127"/>
      <c r="W754" s="127"/>
      <c r="X754" s="127"/>
      <c r="Y754" s="127"/>
      <c r="Z754" s="127"/>
    </row>
    <row r="755" customFormat="false" ht="15.75" hidden="false" customHeight="false" outlineLevel="0" collapsed="false">
      <c r="A755" s="127"/>
      <c r="B755" s="127"/>
      <c r="C755" s="127"/>
      <c r="D755" s="127"/>
      <c r="E755" s="127"/>
      <c r="F755" s="127"/>
      <c r="G755" s="127"/>
      <c r="H755" s="127"/>
      <c r="I755" s="127"/>
      <c r="J755" s="127"/>
      <c r="K755" s="127"/>
      <c r="L755" s="127"/>
      <c r="M755" s="127"/>
      <c r="N755" s="127"/>
      <c r="O755" s="127"/>
      <c r="P755" s="127"/>
      <c r="Q755" s="127"/>
      <c r="R755" s="127"/>
      <c r="S755" s="127"/>
      <c r="T755" s="127"/>
      <c r="U755" s="127"/>
      <c r="V755" s="127"/>
      <c r="W755" s="127"/>
      <c r="X755" s="127"/>
      <c r="Y755" s="127"/>
      <c r="Z755" s="127"/>
    </row>
    <row r="756" customFormat="false" ht="15.75" hidden="false" customHeight="false" outlineLevel="0" collapsed="false">
      <c r="A756" s="127"/>
      <c r="B756" s="127"/>
      <c r="C756" s="127"/>
      <c r="D756" s="127"/>
      <c r="E756" s="127"/>
      <c r="F756" s="127"/>
      <c r="G756" s="127"/>
      <c r="H756" s="127"/>
      <c r="I756" s="127"/>
      <c r="J756" s="127"/>
      <c r="K756" s="127"/>
      <c r="L756" s="127"/>
      <c r="M756" s="127"/>
      <c r="N756" s="127"/>
      <c r="O756" s="127"/>
      <c r="P756" s="127"/>
      <c r="Q756" s="127"/>
      <c r="R756" s="127"/>
      <c r="S756" s="127"/>
      <c r="T756" s="127"/>
      <c r="U756" s="127"/>
      <c r="V756" s="127"/>
      <c r="W756" s="127"/>
      <c r="X756" s="127"/>
      <c r="Y756" s="127"/>
      <c r="Z756" s="127"/>
    </row>
    <row r="757" customFormat="false" ht="15.75" hidden="false" customHeight="false" outlineLevel="0" collapsed="false">
      <c r="A757" s="127"/>
      <c r="B757" s="127"/>
      <c r="C757" s="127"/>
      <c r="D757" s="127"/>
      <c r="E757" s="127"/>
      <c r="F757" s="127"/>
      <c r="G757" s="127"/>
      <c r="H757" s="127"/>
      <c r="I757" s="127"/>
      <c r="J757" s="127"/>
      <c r="K757" s="127"/>
      <c r="L757" s="127"/>
      <c r="M757" s="127"/>
      <c r="N757" s="127"/>
      <c r="O757" s="127"/>
      <c r="P757" s="127"/>
      <c r="Q757" s="127"/>
      <c r="R757" s="127"/>
      <c r="S757" s="127"/>
      <c r="T757" s="127"/>
      <c r="U757" s="127"/>
      <c r="V757" s="127"/>
      <c r="W757" s="127"/>
      <c r="X757" s="127"/>
      <c r="Y757" s="127"/>
      <c r="Z757" s="127"/>
    </row>
    <row r="758" customFormat="false" ht="15.75" hidden="false" customHeight="false" outlineLevel="0" collapsed="false">
      <c r="A758" s="127"/>
      <c r="B758" s="127"/>
      <c r="C758" s="127"/>
      <c r="D758" s="127"/>
      <c r="E758" s="127"/>
      <c r="F758" s="127"/>
      <c r="G758" s="127"/>
      <c r="H758" s="127"/>
      <c r="I758" s="127"/>
      <c r="J758" s="127"/>
      <c r="K758" s="127"/>
      <c r="L758" s="127"/>
      <c r="M758" s="127"/>
      <c r="N758" s="127"/>
      <c r="O758" s="127"/>
      <c r="P758" s="127"/>
      <c r="Q758" s="127"/>
      <c r="R758" s="127"/>
      <c r="S758" s="127"/>
      <c r="T758" s="127"/>
      <c r="U758" s="127"/>
      <c r="V758" s="127"/>
      <c r="W758" s="127"/>
      <c r="X758" s="127"/>
      <c r="Y758" s="127"/>
      <c r="Z758" s="127"/>
    </row>
    <row r="759" customFormat="false" ht="15.75" hidden="false" customHeight="false" outlineLevel="0" collapsed="false">
      <c r="A759" s="127"/>
      <c r="B759" s="127"/>
      <c r="C759" s="127"/>
      <c r="D759" s="127"/>
      <c r="E759" s="127"/>
      <c r="F759" s="127"/>
      <c r="G759" s="127"/>
      <c r="H759" s="127"/>
      <c r="I759" s="127"/>
      <c r="J759" s="127"/>
      <c r="K759" s="127"/>
      <c r="L759" s="127"/>
      <c r="M759" s="127"/>
      <c r="N759" s="127"/>
      <c r="O759" s="127"/>
      <c r="P759" s="127"/>
      <c r="Q759" s="127"/>
      <c r="R759" s="127"/>
      <c r="S759" s="127"/>
      <c r="T759" s="127"/>
      <c r="U759" s="127"/>
      <c r="V759" s="127"/>
      <c r="W759" s="127"/>
      <c r="X759" s="127"/>
      <c r="Y759" s="127"/>
      <c r="Z759" s="127"/>
    </row>
    <row r="760" customFormat="false" ht="15.75" hidden="false" customHeight="false" outlineLevel="0" collapsed="false">
      <c r="A760" s="127"/>
      <c r="B760" s="127"/>
      <c r="C760" s="127"/>
      <c r="D760" s="127"/>
      <c r="E760" s="127"/>
      <c r="F760" s="127"/>
      <c r="G760" s="127"/>
      <c r="H760" s="127"/>
      <c r="I760" s="127"/>
      <c r="J760" s="127"/>
      <c r="K760" s="127"/>
      <c r="L760" s="127"/>
      <c r="M760" s="127"/>
      <c r="N760" s="127"/>
      <c r="O760" s="127"/>
      <c r="P760" s="127"/>
      <c r="Q760" s="127"/>
      <c r="R760" s="127"/>
      <c r="S760" s="127"/>
      <c r="T760" s="127"/>
      <c r="U760" s="127"/>
      <c r="V760" s="127"/>
      <c r="W760" s="127"/>
      <c r="X760" s="127"/>
      <c r="Y760" s="127"/>
      <c r="Z760" s="127"/>
    </row>
    <row r="761" customFormat="false" ht="15.75" hidden="false" customHeight="false" outlineLevel="0" collapsed="false">
      <c r="A761" s="127"/>
      <c r="B761" s="127"/>
      <c r="C761" s="127"/>
      <c r="D761" s="127"/>
      <c r="E761" s="127"/>
      <c r="F761" s="127"/>
      <c r="G761" s="127"/>
      <c r="H761" s="127"/>
      <c r="I761" s="127"/>
      <c r="J761" s="127"/>
      <c r="K761" s="127"/>
      <c r="L761" s="127"/>
      <c r="M761" s="127"/>
      <c r="N761" s="127"/>
      <c r="O761" s="127"/>
      <c r="P761" s="127"/>
      <c r="Q761" s="127"/>
      <c r="R761" s="127"/>
      <c r="S761" s="127"/>
      <c r="T761" s="127"/>
      <c r="U761" s="127"/>
      <c r="V761" s="127"/>
      <c r="W761" s="127"/>
      <c r="X761" s="127"/>
      <c r="Y761" s="127"/>
      <c r="Z761" s="127"/>
    </row>
    <row r="762" customFormat="false" ht="15.75" hidden="false" customHeight="false" outlineLevel="0" collapsed="false">
      <c r="A762" s="127"/>
      <c r="B762" s="127"/>
      <c r="C762" s="127"/>
      <c r="D762" s="127"/>
      <c r="E762" s="127"/>
      <c r="F762" s="127"/>
      <c r="G762" s="127"/>
      <c r="H762" s="127"/>
      <c r="I762" s="127"/>
      <c r="J762" s="127"/>
      <c r="K762" s="127"/>
      <c r="L762" s="127"/>
      <c r="M762" s="127"/>
      <c r="N762" s="127"/>
      <c r="O762" s="127"/>
      <c r="P762" s="127"/>
      <c r="Q762" s="127"/>
      <c r="R762" s="127"/>
      <c r="S762" s="127"/>
      <c r="T762" s="127"/>
      <c r="U762" s="127"/>
      <c r="V762" s="127"/>
      <c r="W762" s="127"/>
      <c r="X762" s="127"/>
      <c r="Y762" s="127"/>
      <c r="Z762" s="127"/>
    </row>
    <row r="763" customFormat="false" ht="15.75" hidden="false" customHeight="false" outlineLevel="0" collapsed="false">
      <c r="A763" s="127"/>
      <c r="B763" s="127"/>
      <c r="C763" s="127"/>
      <c r="D763" s="127"/>
      <c r="E763" s="127"/>
      <c r="F763" s="127"/>
      <c r="G763" s="127"/>
      <c r="H763" s="127"/>
      <c r="I763" s="127"/>
      <c r="J763" s="127"/>
      <c r="K763" s="127"/>
      <c r="L763" s="127"/>
      <c r="M763" s="127"/>
      <c r="N763" s="127"/>
      <c r="O763" s="127"/>
      <c r="P763" s="127"/>
      <c r="Q763" s="127"/>
      <c r="R763" s="127"/>
      <c r="S763" s="127"/>
      <c r="T763" s="127"/>
      <c r="U763" s="127"/>
      <c r="V763" s="127"/>
      <c r="W763" s="127"/>
      <c r="X763" s="127"/>
      <c r="Y763" s="127"/>
      <c r="Z763" s="127"/>
    </row>
    <row r="764" customFormat="false" ht="15.75" hidden="false" customHeight="false" outlineLevel="0" collapsed="false">
      <c r="A764" s="127"/>
      <c r="B764" s="127"/>
      <c r="C764" s="127"/>
      <c r="D764" s="127"/>
      <c r="E764" s="127"/>
      <c r="F764" s="127"/>
      <c r="G764" s="127"/>
      <c r="H764" s="127"/>
      <c r="I764" s="127"/>
      <c r="J764" s="127"/>
      <c r="K764" s="127"/>
      <c r="L764" s="127"/>
      <c r="M764" s="127"/>
      <c r="N764" s="127"/>
      <c r="O764" s="127"/>
      <c r="P764" s="127"/>
      <c r="Q764" s="127"/>
      <c r="R764" s="127"/>
      <c r="S764" s="127"/>
      <c r="T764" s="127"/>
      <c r="U764" s="127"/>
      <c r="V764" s="127"/>
      <c r="W764" s="127"/>
      <c r="X764" s="127"/>
      <c r="Y764" s="127"/>
      <c r="Z764" s="127"/>
    </row>
    <row r="765" customFormat="false" ht="15.75" hidden="false" customHeight="false" outlineLevel="0" collapsed="false">
      <c r="A765" s="127"/>
      <c r="B765" s="127"/>
      <c r="C765" s="127"/>
      <c r="D765" s="127"/>
      <c r="E765" s="127"/>
      <c r="F765" s="127"/>
      <c r="G765" s="127"/>
      <c r="H765" s="127"/>
      <c r="I765" s="127"/>
      <c r="J765" s="127"/>
      <c r="K765" s="127"/>
      <c r="L765" s="127"/>
      <c r="M765" s="127"/>
      <c r="N765" s="127"/>
      <c r="O765" s="127"/>
      <c r="P765" s="127"/>
      <c r="Q765" s="127"/>
      <c r="R765" s="127"/>
      <c r="S765" s="127"/>
      <c r="T765" s="127"/>
      <c r="U765" s="127"/>
      <c r="V765" s="127"/>
      <c r="W765" s="127"/>
      <c r="X765" s="127"/>
      <c r="Y765" s="127"/>
      <c r="Z765" s="127"/>
    </row>
    <row r="766" customFormat="false" ht="15.75" hidden="false" customHeight="false" outlineLevel="0" collapsed="false">
      <c r="A766" s="127"/>
      <c r="B766" s="127"/>
      <c r="C766" s="127"/>
      <c r="D766" s="127"/>
      <c r="E766" s="127"/>
      <c r="F766" s="127"/>
      <c r="G766" s="127"/>
      <c r="H766" s="127"/>
      <c r="I766" s="127"/>
      <c r="J766" s="127"/>
      <c r="K766" s="127"/>
      <c r="L766" s="127"/>
      <c r="M766" s="127"/>
      <c r="N766" s="127"/>
      <c r="O766" s="127"/>
      <c r="P766" s="127"/>
      <c r="Q766" s="127"/>
      <c r="R766" s="127"/>
      <c r="S766" s="127"/>
      <c r="T766" s="127"/>
      <c r="U766" s="127"/>
      <c r="V766" s="127"/>
      <c r="W766" s="127"/>
      <c r="X766" s="127"/>
      <c r="Y766" s="127"/>
      <c r="Z766" s="127"/>
    </row>
    <row r="767" customFormat="false" ht="15.75" hidden="false" customHeight="false" outlineLevel="0" collapsed="false">
      <c r="A767" s="127"/>
      <c r="B767" s="127"/>
      <c r="C767" s="127"/>
      <c r="D767" s="127"/>
      <c r="E767" s="127"/>
      <c r="F767" s="127"/>
      <c r="G767" s="127"/>
      <c r="H767" s="127"/>
      <c r="I767" s="127"/>
      <c r="J767" s="127"/>
      <c r="K767" s="127"/>
      <c r="L767" s="127"/>
      <c r="M767" s="127"/>
      <c r="N767" s="127"/>
      <c r="O767" s="127"/>
      <c r="P767" s="127"/>
      <c r="Q767" s="127"/>
      <c r="R767" s="127"/>
      <c r="S767" s="127"/>
      <c r="T767" s="127"/>
      <c r="U767" s="127"/>
      <c r="V767" s="127"/>
      <c r="W767" s="127"/>
      <c r="X767" s="127"/>
      <c r="Y767" s="127"/>
      <c r="Z767" s="127"/>
    </row>
    <row r="768" customFormat="false" ht="15.75" hidden="false" customHeight="false" outlineLevel="0" collapsed="false">
      <c r="A768" s="127"/>
      <c r="B768" s="127"/>
      <c r="C768" s="127"/>
      <c r="D768" s="127"/>
      <c r="E768" s="127"/>
      <c r="F768" s="127"/>
      <c r="G768" s="127"/>
      <c r="H768" s="127"/>
      <c r="I768" s="127"/>
      <c r="J768" s="127"/>
      <c r="K768" s="127"/>
      <c r="L768" s="127"/>
      <c r="M768" s="127"/>
      <c r="N768" s="127"/>
      <c r="O768" s="127"/>
      <c r="P768" s="127"/>
      <c r="Q768" s="127"/>
      <c r="R768" s="127"/>
      <c r="S768" s="127"/>
      <c r="T768" s="127"/>
      <c r="U768" s="127"/>
      <c r="V768" s="127"/>
      <c r="W768" s="127"/>
      <c r="X768" s="127"/>
      <c r="Y768" s="127"/>
      <c r="Z768" s="127"/>
    </row>
    <row r="769" customFormat="false" ht="15.75" hidden="false" customHeight="false" outlineLevel="0" collapsed="false">
      <c r="A769" s="127"/>
      <c r="B769" s="127"/>
      <c r="C769" s="127"/>
      <c r="D769" s="127"/>
      <c r="E769" s="127"/>
      <c r="F769" s="127"/>
      <c r="G769" s="127"/>
      <c r="H769" s="127"/>
      <c r="I769" s="127"/>
      <c r="J769" s="127"/>
      <c r="K769" s="127"/>
      <c r="L769" s="127"/>
      <c r="M769" s="127"/>
      <c r="N769" s="127"/>
      <c r="O769" s="127"/>
      <c r="P769" s="127"/>
      <c r="Q769" s="127"/>
      <c r="R769" s="127"/>
      <c r="S769" s="127"/>
      <c r="T769" s="127"/>
      <c r="U769" s="127"/>
      <c r="V769" s="127"/>
      <c r="W769" s="127"/>
      <c r="X769" s="127"/>
      <c r="Y769" s="127"/>
      <c r="Z769" s="127"/>
    </row>
    <row r="770" customFormat="false" ht="15.75" hidden="false" customHeight="false" outlineLevel="0" collapsed="false">
      <c r="A770" s="127"/>
      <c r="B770" s="127"/>
      <c r="C770" s="127"/>
      <c r="D770" s="127"/>
      <c r="E770" s="127"/>
      <c r="F770" s="127"/>
      <c r="G770" s="127"/>
      <c r="H770" s="127"/>
      <c r="I770" s="127"/>
      <c r="J770" s="127"/>
      <c r="K770" s="127"/>
      <c r="L770" s="127"/>
      <c r="M770" s="127"/>
      <c r="N770" s="127"/>
      <c r="O770" s="127"/>
      <c r="P770" s="127"/>
      <c r="Q770" s="127"/>
      <c r="R770" s="127"/>
      <c r="S770" s="127"/>
      <c r="T770" s="127"/>
      <c r="U770" s="127"/>
      <c r="V770" s="127"/>
      <c r="W770" s="127"/>
      <c r="X770" s="127"/>
      <c r="Y770" s="127"/>
      <c r="Z770" s="127"/>
    </row>
    <row r="771" customFormat="false" ht="15.75" hidden="false" customHeight="false" outlineLevel="0" collapsed="false">
      <c r="A771" s="127"/>
      <c r="B771" s="127"/>
      <c r="C771" s="127"/>
      <c r="D771" s="127"/>
      <c r="E771" s="127"/>
      <c r="F771" s="127"/>
      <c r="G771" s="127"/>
      <c r="H771" s="127"/>
      <c r="I771" s="127"/>
      <c r="J771" s="127"/>
      <c r="K771" s="127"/>
      <c r="L771" s="127"/>
      <c r="M771" s="127"/>
      <c r="N771" s="127"/>
      <c r="O771" s="127"/>
      <c r="P771" s="127"/>
      <c r="Q771" s="127"/>
      <c r="R771" s="127"/>
      <c r="S771" s="127"/>
      <c r="T771" s="127"/>
      <c r="U771" s="127"/>
      <c r="V771" s="127"/>
      <c r="W771" s="127"/>
      <c r="X771" s="127"/>
      <c r="Y771" s="127"/>
      <c r="Z771" s="127"/>
    </row>
    <row r="772" customFormat="false" ht="15.75" hidden="false" customHeight="false" outlineLevel="0" collapsed="false">
      <c r="A772" s="127"/>
      <c r="B772" s="127"/>
      <c r="C772" s="127"/>
      <c r="D772" s="127"/>
      <c r="E772" s="127"/>
      <c r="F772" s="127"/>
      <c r="G772" s="127"/>
      <c r="H772" s="127"/>
      <c r="I772" s="127"/>
      <c r="J772" s="127"/>
      <c r="K772" s="127"/>
      <c r="L772" s="127"/>
      <c r="M772" s="127"/>
      <c r="N772" s="127"/>
      <c r="O772" s="127"/>
      <c r="P772" s="127"/>
      <c r="Q772" s="127"/>
      <c r="R772" s="127"/>
      <c r="S772" s="127"/>
      <c r="T772" s="127"/>
      <c r="U772" s="127"/>
      <c r="V772" s="127"/>
      <c r="W772" s="127"/>
      <c r="X772" s="127"/>
      <c r="Y772" s="127"/>
      <c r="Z772" s="127"/>
    </row>
    <row r="773" customFormat="false" ht="15.75" hidden="false" customHeight="false" outlineLevel="0" collapsed="false">
      <c r="A773" s="127"/>
      <c r="B773" s="127"/>
      <c r="C773" s="127"/>
      <c r="D773" s="127"/>
      <c r="E773" s="127"/>
      <c r="F773" s="127"/>
      <c r="G773" s="127"/>
      <c r="H773" s="127"/>
      <c r="I773" s="127"/>
      <c r="J773" s="127"/>
      <c r="K773" s="127"/>
      <c r="L773" s="127"/>
      <c r="M773" s="127"/>
      <c r="N773" s="127"/>
      <c r="O773" s="127"/>
      <c r="P773" s="127"/>
      <c r="Q773" s="127"/>
      <c r="R773" s="127"/>
      <c r="S773" s="127"/>
      <c r="T773" s="127"/>
      <c r="U773" s="127"/>
      <c r="V773" s="127"/>
      <c r="W773" s="127"/>
      <c r="X773" s="127"/>
      <c r="Y773" s="127"/>
      <c r="Z773" s="127"/>
    </row>
    <row r="774" customFormat="false" ht="15.75" hidden="false" customHeight="false" outlineLevel="0" collapsed="false">
      <c r="A774" s="127"/>
      <c r="B774" s="127"/>
      <c r="C774" s="127"/>
      <c r="D774" s="127"/>
      <c r="E774" s="127"/>
      <c r="F774" s="127"/>
      <c r="G774" s="127"/>
      <c r="H774" s="127"/>
      <c r="I774" s="127"/>
      <c r="J774" s="127"/>
      <c r="K774" s="127"/>
      <c r="L774" s="127"/>
      <c r="M774" s="127"/>
      <c r="N774" s="127"/>
      <c r="O774" s="127"/>
      <c r="P774" s="127"/>
      <c r="Q774" s="127"/>
      <c r="R774" s="127"/>
      <c r="S774" s="127"/>
      <c r="T774" s="127"/>
      <c r="U774" s="127"/>
      <c r="V774" s="127"/>
      <c r="W774" s="127"/>
      <c r="X774" s="127"/>
      <c r="Y774" s="127"/>
      <c r="Z774" s="127"/>
    </row>
    <row r="775" customFormat="false" ht="15.75" hidden="false" customHeight="false" outlineLevel="0" collapsed="false">
      <c r="A775" s="127"/>
      <c r="B775" s="127"/>
      <c r="C775" s="127"/>
      <c r="D775" s="127"/>
      <c r="E775" s="127"/>
      <c r="F775" s="127"/>
      <c r="G775" s="127"/>
      <c r="H775" s="127"/>
      <c r="I775" s="127"/>
      <c r="J775" s="127"/>
      <c r="K775" s="127"/>
      <c r="L775" s="127"/>
      <c r="M775" s="127"/>
      <c r="N775" s="127"/>
      <c r="O775" s="127"/>
      <c r="P775" s="127"/>
      <c r="Q775" s="127"/>
      <c r="R775" s="127"/>
      <c r="S775" s="127"/>
      <c r="T775" s="127"/>
      <c r="U775" s="127"/>
      <c r="V775" s="127"/>
      <c r="W775" s="127"/>
      <c r="X775" s="127"/>
      <c r="Y775" s="127"/>
      <c r="Z775" s="127"/>
    </row>
    <row r="776" customFormat="false" ht="15.75" hidden="false" customHeight="false" outlineLevel="0" collapsed="false">
      <c r="A776" s="127"/>
      <c r="B776" s="127"/>
      <c r="C776" s="127"/>
      <c r="D776" s="127"/>
      <c r="E776" s="127"/>
      <c r="F776" s="127"/>
      <c r="G776" s="127"/>
      <c r="H776" s="127"/>
      <c r="I776" s="127"/>
      <c r="J776" s="127"/>
      <c r="K776" s="127"/>
      <c r="L776" s="127"/>
      <c r="M776" s="127"/>
      <c r="N776" s="127"/>
      <c r="O776" s="127"/>
      <c r="P776" s="127"/>
      <c r="Q776" s="127"/>
      <c r="R776" s="127"/>
      <c r="S776" s="127"/>
      <c r="T776" s="127"/>
      <c r="U776" s="127"/>
      <c r="V776" s="127"/>
      <c r="W776" s="127"/>
      <c r="X776" s="127"/>
      <c r="Y776" s="127"/>
      <c r="Z776" s="127"/>
    </row>
    <row r="777" customFormat="false" ht="15.75" hidden="false" customHeight="false" outlineLevel="0" collapsed="false">
      <c r="A777" s="127"/>
      <c r="B777" s="127"/>
      <c r="C777" s="127"/>
      <c r="D777" s="127"/>
      <c r="E777" s="127"/>
      <c r="F777" s="127"/>
      <c r="G777" s="127"/>
      <c r="H777" s="127"/>
      <c r="I777" s="127"/>
      <c r="J777" s="127"/>
      <c r="K777" s="127"/>
      <c r="L777" s="127"/>
      <c r="M777" s="127"/>
      <c r="N777" s="127"/>
      <c r="O777" s="127"/>
      <c r="P777" s="127"/>
      <c r="Q777" s="127"/>
      <c r="R777" s="127"/>
      <c r="S777" s="127"/>
      <c r="T777" s="127"/>
      <c r="U777" s="127"/>
      <c r="V777" s="127"/>
      <c r="W777" s="127"/>
      <c r="X777" s="127"/>
      <c r="Y777" s="127"/>
      <c r="Z777" s="127"/>
    </row>
    <row r="778" customFormat="false" ht="15.75" hidden="false" customHeight="false" outlineLevel="0" collapsed="false">
      <c r="A778" s="127"/>
      <c r="B778" s="127"/>
      <c r="C778" s="127"/>
      <c r="D778" s="127"/>
      <c r="E778" s="127"/>
      <c r="F778" s="127"/>
      <c r="G778" s="127"/>
      <c r="H778" s="127"/>
      <c r="I778" s="127"/>
      <c r="J778" s="127"/>
      <c r="K778" s="127"/>
      <c r="L778" s="127"/>
      <c r="M778" s="127"/>
      <c r="N778" s="127"/>
      <c r="O778" s="127"/>
      <c r="P778" s="127"/>
      <c r="Q778" s="127"/>
      <c r="R778" s="127"/>
      <c r="S778" s="127"/>
      <c r="T778" s="127"/>
      <c r="U778" s="127"/>
      <c r="V778" s="127"/>
      <c r="W778" s="127"/>
      <c r="X778" s="127"/>
      <c r="Y778" s="127"/>
      <c r="Z778" s="127"/>
    </row>
    <row r="779" customFormat="false" ht="15.75" hidden="false" customHeight="false" outlineLevel="0" collapsed="false">
      <c r="A779" s="127"/>
      <c r="B779" s="127"/>
      <c r="C779" s="127"/>
      <c r="D779" s="127"/>
      <c r="E779" s="127"/>
      <c r="F779" s="127"/>
      <c r="G779" s="127"/>
      <c r="H779" s="127"/>
      <c r="I779" s="127"/>
      <c r="J779" s="127"/>
      <c r="K779" s="127"/>
      <c r="L779" s="127"/>
      <c r="M779" s="127"/>
      <c r="N779" s="127"/>
      <c r="O779" s="127"/>
      <c r="P779" s="127"/>
      <c r="Q779" s="127"/>
      <c r="R779" s="127"/>
      <c r="S779" s="127"/>
      <c r="T779" s="127"/>
      <c r="U779" s="127"/>
      <c r="V779" s="127"/>
      <c r="W779" s="127"/>
      <c r="X779" s="127"/>
      <c r="Y779" s="127"/>
      <c r="Z779" s="127"/>
    </row>
    <row r="780" customFormat="false" ht="15.75" hidden="false" customHeight="false" outlineLevel="0" collapsed="false">
      <c r="A780" s="127"/>
      <c r="B780" s="127"/>
      <c r="C780" s="127"/>
      <c r="D780" s="127"/>
      <c r="E780" s="127"/>
      <c r="F780" s="127"/>
      <c r="G780" s="127"/>
      <c r="H780" s="127"/>
      <c r="I780" s="127"/>
      <c r="J780" s="127"/>
      <c r="K780" s="127"/>
      <c r="L780" s="127"/>
      <c r="M780" s="127"/>
      <c r="N780" s="127"/>
      <c r="O780" s="127"/>
      <c r="P780" s="127"/>
      <c r="Q780" s="127"/>
      <c r="R780" s="127"/>
      <c r="S780" s="127"/>
      <c r="T780" s="127"/>
      <c r="U780" s="127"/>
      <c r="V780" s="127"/>
      <c r="W780" s="127"/>
      <c r="X780" s="127"/>
      <c r="Y780" s="127"/>
      <c r="Z780" s="127"/>
    </row>
    <row r="781" customFormat="false" ht="15.75" hidden="false" customHeight="false" outlineLevel="0" collapsed="false">
      <c r="A781" s="127"/>
      <c r="B781" s="127"/>
      <c r="C781" s="127"/>
      <c r="D781" s="127"/>
      <c r="E781" s="127"/>
      <c r="F781" s="127"/>
      <c r="G781" s="127"/>
      <c r="H781" s="127"/>
      <c r="I781" s="127"/>
      <c r="J781" s="127"/>
      <c r="K781" s="127"/>
      <c r="L781" s="127"/>
      <c r="M781" s="127"/>
      <c r="N781" s="127"/>
      <c r="O781" s="127"/>
      <c r="P781" s="127"/>
      <c r="Q781" s="127"/>
      <c r="R781" s="127"/>
      <c r="S781" s="127"/>
      <c r="T781" s="127"/>
      <c r="U781" s="127"/>
      <c r="V781" s="127"/>
      <c r="W781" s="127"/>
      <c r="X781" s="127"/>
      <c r="Y781" s="127"/>
      <c r="Z781" s="127"/>
    </row>
    <row r="782" customFormat="false" ht="15.75" hidden="false" customHeight="false" outlineLevel="0" collapsed="false">
      <c r="A782" s="127"/>
      <c r="B782" s="127"/>
      <c r="C782" s="127"/>
      <c r="D782" s="127"/>
      <c r="E782" s="127"/>
      <c r="F782" s="127"/>
      <c r="G782" s="127"/>
      <c r="H782" s="127"/>
      <c r="I782" s="127"/>
      <c r="J782" s="127"/>
      <c r="K782" s="127"/>
      <c r="L782" s="127"/>
      <c r="M782" s="127"/>
      <c r="N782" s="127"/>
      <c r="O782" s="127"/>
      <c r="P782" s="127"/>
      <c r="Q782" s="127"/>
      <c r="R782" s="127"/>
      <c r="S782" s="127"/>
      <c r="T782" s="127"/>
      <c r="U782" s="127"/>
      <c r="V782" s="127"/>
      <c r="W782" s="127"/>
      <c r="X782" s="127"/>
      <c r="Y782" s="127"/>
      <c r="Z782" s="127"/>
    </row>
    <row r="783" customFormat="false" ht="15.75" hidden="false" customHeight="false" outlineLevel="0" collapsed="false">
      <c r="A783" s="127"/>
      <c r="B783" s="127"/>
      <c r="C783" s="127"/>
      <c r="D783" s="127"/>
      <c r="E783" s="127"/>
      <c r="F783" s="127"/>
      <c r="G783" s="127"/>
      <c r="H783" s="127"/>
      <c r="I783" s="127"/>
      <c r="J783" s="127"/>
      <c r="K783" s="127"/>
      <c r="L783" s="127"/>
      <c r="M783" s="127"/>
      <c r="N783" s="127"/>
      <c r="O783" s="127"/>
      <c r="P783" s="127"/>
      <c r="Q783" s="127"/>
      <c r="R783" s="127"/>
      <c r="S783" s="127"/>
      <c r="T783" s="127"/>
      <c r="U783" s="127"/>
      <c r="V783" s="127"/>
      <c r="W783" s="127"/>
      <c r="X783" s="127"/>
      <c r="Y783" s="127"/>
      <c r="Z783" s="127"/>
    </row>
    <row r="784" customFormat="false" ht="15.75" hidden="false" customHeight="false" outlineLevel="0" collapsed="false">
      <c r="A784" s="127"/>
      <c r="B784" s="127"/>
      <c r="C784" s="127"/>
      <c r="D784" s="127"/>
      <c r="E784" s="127"/>
      <c r="F784" s="127"/>
      <c r="G784" s="127"/>
      <c r="H784" s="127"/>
      <c r="I784" s="127"/>
      <c r="J784" s="127"/>
      <c r="K784" s="127"/>
      <c r="L784" s="127"/>
      <c r="M784" s="127"/>
      <c r="N784" s="127"/>
      <c r="O784" s="127"/>
      <c r="P784" s="127"/>
      <c r="Q784" s="127"/>
      <c r="R784" s="127"/>
      <c r="S784" s="127"/>
      <c r="T784" s="127"/>
      <c r="U784" s="127"/>
      <c r="V784" s="127"/>
      <c r="W784" s="127"/>
      <c r="X784" s="127"/>
      <c r="Y784" s="127"/>
      <c r="Z784" s="127"/>
    </row>
    <row r="785" customFormat="false" ht="15.75" hidden="false" customHeight="false" outlineLevel="0" collapsed="false">
      <c r="A785" s="127"/>
      <c r="B785" s="127"/>
      <c r="C785" s="127"/>
      <c r="D785" s="127"/>
      <c r="E785" s="127"/>
      <c r="F785" s="127"/>
      <c r="G785" s="127"/>
      <c r="H785" s="127"/>
      <c r="I785" s="127"/>
      <c r="J785" s="127"/>
      <c r="K785" s="127"/>
      <c r="L785" s="127"/>
      <c r="M785" s="127"/>
      <c r="N785" s="127"/>
      <c r="O785" s="127"/>
      <c r="P785" s="127"/>
      <c r="Q785" s="127"/>
      <c r="R785" s="127"/>
      <c r="S785" s="127"/>
      <c r="T785" s="127"/>
      <c r="U785" s="127"/>
      <c r="V785" s="127"/>
      <c r="W785" s="127"/>
      <c r="X785" s="127"/>
      <c r="Y785" s="127"/>
      <c r="Z785" s="127"/>
    </row>
    <row r="786" customFormat="false" ht="15.75" hidden="false" customHeight="false" outlineLevel="0" collapsed="false">
      <c r="A786" s="127"/>
      <c r="B786" s="127"/>
      <c r="C786" s="127"/>
      <c r="D786" s="127"/>
      <c r="E786" s="127"/>
      <c r="F786" s="127"/>
      <c r="G786" s="127"/>
      <c r="H786" s="127"/>
      <c r="I786" s="127"/>
      <c r="J786" s="127"/>
      <c r="K786" s="127"/>
      <c r="L786" s="127"/>
      <c r="M786" s="127"/>
      <c r="N786" s="127"/>
      <c r="O786" s="127"/>
      <c r="P786" s="127"/>
      <c r="Q786" s="127"/>
      <c r="R786" s="127"/>
      <c r="S786" s="127"/>
      <c r="T786" s="127"/>
      <c r="U786" s="127"/>
      <c r="V786" s="127"/>
      <c r="W786" s="127"/>
      <c r="X786" s="127"/>
      <c r="Y786" s="127"/>
      <c r="Z786" s="127"/>
    </row>
    <row r="787" customFormat="false" ht="15.75" hidden="false" customHeight="false" outlineLevel="0" collapsed="false">
      <c r="A787" s="127"/>
      <c r="B787" s="127"/>
      <c r="C787" s="127"/>
      <c r="D787" s="127"/>
      <c r="E787" s="127"/>
      <c r="F787" s="127"/>
      <c r="G787" s="127"/>
      <c r="H787" s="127"/>
      <c r="I787" s="127"/>
      <c r="J787" s="127"/>
      <c r="K787" s="127"/>
      <c r="L787" s="127"/>
      <c r="M787" s="127"/>
      <c r="N787" s="127"/>
      <c r="O787" s="127"/>
      <c r="P787" s="127"/>
      <c r="Q787" s="127"/>
      <c r="R787" s="127"/>
      <c r="S787" s="127"/>
      <c r="T787" s="127"/>
      <c r="U787" s="127"/>
      <c r="V787" s="127"/>
      <c r="W787" s="127"/>
      <c r="X787" s="127"/>
      <c r="Y787" s="127"/>
      <c r="Z787" s="127"/>
    </row>
    <row r="788" customFormat="false" ht="15.75" hidden="false" customHeight="false" outlineLevel="0" collapsed="false">
      <c r="A788" s="127"/>
      <c r="B788" s="127"/>
      <c r="C788" s="127"/>
      <c r="D788" s="127"/>
      <c r="E788" s="127"/>
      <c r="F788" s="127"/>
      <c r="G788" s="127"/>
      <c r="H788" s="127"/>
      <c r="I788" s="127"/>
      <c r="J788" s="127"/>
      <c r="K788" s="127"/>
      <c r="L788" s="127"/>
      <c r="M788" s="127"/>
      <c r="N788" s="127"/>
      <c r="O788" s="127"/>
      <c r="P788" s="127"/>
      <c r="Q788" s="127"/>
      <c r="R788" s="127"/>
      <c r="S788" s="127"/>
      <c r="T788" s="127"/>
      <c r="U788" s="127"/>
      <c r="V788" s="127"/>
      <c r="W788" s="127"/>
      <c r="X788" s="127"/>
      <c r="Y788" s="127"/>
      <c r="Z788" s="127"/>
    </row>
    <row r="789" customFormat="false" ht="15.75" hidden="false" customHeight="false" outlineLevel="0" collapsed="false">
      <c r="A789" s="127"/>
      <c r="B789" s="127"/>
      <c r="C789" s="127"/>
      <c r="D789" s="127"/>
      <c r="E789" s="127"/>
      <c r="F789" s="127"/>
      <c r="G789" s="127"/>
      <c r="H789" s="127"/>
      <c r="I789" s="127"/>
      <c r="J789" s="127"/>
      <c r="K789" s="127"/>
      <c r="L789" s="127"/>
      <c r="M789" s="127"/>
      <c r="N789" s="127"/>
      <c r="O789" s="127"/>
      <c r="P789" s="127"/>
      <c r="Q789" s="127"/>
      <c r="R789" s="127"/>
      <c r="S789" s="127"/>
      <c r="T789" s="127"/>
      <c r="U789" s="127"/>
      <c r="V789" s="127"/>
      <c r="W789" s="127"/>
      <c r="X789" s="127"/>
      <c r="Y789" s="127"/>
      <c r="Z789" s="127"/>
    </row>
    <row r="790" customFormat="false" ht="15.75" hidden="false" customHeight="false" outlineLevel="0" collapsed="false">
      <c r="A790" s="127"/>
      <c r="B790" s="127"/>
      <c r="C790" s="127"/>
      <c r="D790" s="127"/>
      <c r="E790" s="127"/>
      <c r="F790" s="127"/>
      <c r="G790" s="127"/>
      <c r="H790" s="127"/>
      <c r="I790" s="127"/>
      <c r="J790" s="127"/>
      <c r="K790" s="127"/>
      <c r="L790" s="127"/>
      <c r="M790" s="127"/>
      <c r="N790" s="127"/>
      <c r="O790" s="127"/>
      <c r="P790" s="127"/>
      <c r="Q790" s="127"/>
      <c r="R790" s="127"/>
      <c r="S790" s="127"/>
      <c r="T790" s="127"/>
      <c r="U790" s="127"/>
      <c r="V790" s="127"/>
      <c r="W790" s="127"/>
      <c r="X790" s="127"/>
      <c r="Y790" s="127"/>
      <c r="Z790" s="127"/>
    </row>
    <row r="791" customFormat="false" ht="15.75" hidden="false" customHeight="false" outlineLevel="0" collapsed="false">
      <c r="A791" s="127"/>
      <c r="B791" s="127"/>
      <c r="C791" s="127"/>
      <c r="D791" s="127"/>
      <c r="E791" s="127"/>
      <c r="F791" s="127"/>
      <c r="G791" s="127"/>
      <c r="H791" s="127"/>
      <c r="I791" s="127"/>
      <c r="J791" s="127"/>
      <c r="K791" s="127"/>
      <c r="L791" s="127"/>
      <c r="M791" s="127"/>
      <c r="N791" s="127"/>
      <c r="O791" s="127"/>
      <c r="P791" s="127"/>
      <c r="Q791" s="127"/>
      <c r="R791" s="127"/>
      <c r="S791" s="127"/>
      <c r="T791" s="127"/>
      <c r="U791" s="127"/>
      <c r="V791" s="127"/>
      <c r="W791" s="127"/>
      <c r="X791" s="127"/>
      <c r="Y791" s="127"/>
      <c r="Z791" s="127"/>
    </row>
    <row r="792" customFormat="false" ht="15.75" hidden="false" customHeight="false" outlineLevel="0" collapsed="false">
      <c r="A792" s="127"/>
      <c r="B792" s="127"/>
      <c r="C792" s="127"/>
      <c r="D792" s="127"/>
      <c r="E792" s="127"/>
      <c r="F792" s="127"/>
      <c r="G792" s="127"/>
      <c r="H792" s="127"/>
      <c r="I792" s="127"/>
      <c r="J792" s="127"/>
      <c r="K792" s="127"/>
      <c r="L792" s="127"/>
      <c r="M792" s="127"/>
      <c r="N792" s="127"/>
      <c r="O792" s="127"/>
      <c r="P792" s="127"/>
      <c r="Q792" s="127"/>
      <c r="R792" s="127"/>
      <c r="S792" s="127"/>
      <c r="T792" s="127"/>
      <c r="U792" s="127"/>
      <c r="V792" s="127"/>
      <c r="W792" s="127"/>
      <c r="X792" s="127"/>
      <c r="Y792" s="127"/>
      <c r="Z792" s="127"/>
    </row>
    <row r="793" customFormat="false" ht="15.75" hidden="false" customHeight="false" outlineLevel="0" collapsed="false">
      <c r="A793" s="127"/>
      <c r="B793" s="127"/>
      <c r="C793" s="127"/>
      <c r="D793" s="127"/>
      <c r="E793" s="127"/>
      <c r="F793" s="127"/>
      <c r="G793" s="127"/>
      <c r="H793" s="127"/>
      <c r="I793" s="127"/>
      <c r="J793" s="127"/>
      <c r="K793" s="127"/>
      <c r="L793" s="127"/>
      <c r="M793" s="127"/>
      <c r="N793" s="127"/>
      <c r="O793" s="127"/>
      <c r="P793" s="127"/>
      <c r="Q793" s="127"/>
      <c r="R793" s="127"/>
      <c r="S793" s="127"/>
      <c r="T793" s="127"/>
      <c r="U793" s="127"/>
      <c r="V793" s="127"/>
      <c r="W793" s="127"/>
      <c r="X793" s="127"/>
      <c r="Y793" s="127"/>
      <c r="Z793" s="127"/>
    </row>
    <row r="794" customFormat="false" ht="15.75" hidden="false" customHeight="false" outlineLevel="0" collapsed="false">
      <c r="A794" s="127"/>
      <c r="B794" s="127"/>
      <c r="C794" s="127"/>
      <c r="D794" s="127"/>
      <c r="E794" s="127"/>
      <c r="F794" s="127"/>
      <c r="G794" s="127"/>
      <c r="H794" s="127"/>
      <c r="I794" s="127"/>
      <c r="J794" s="127"/>
      <c r="K794" s="127"/>
      <c r="L794" s="127"/>
      <c r="M794" s="127"/>
      <c r="N794" s="127"/>
      <c r="O794" s="127"/>
      <c r="P794" s="127"/>
      <c r="Q794" s="127"/>
      <c r="R794" s="127"/>
      <c r="S794" s="127"/>
      <c r="T794" s="127"/>
      <c r="U794" s="127"/>
      <c r="V794" s="127"/>
      <c r="W794" s="127"/>
      <c r="X794" s="127"/>
      <c r="Y794" s="127"/>
      <c r="Z794" s="127"/>
    </row>
    <row r="795" customFormat="false" ht="15.75" hidden="false" customHeight="false" outlineLevel="0" collapsed="false">
      <c r="A795" s="127"/>
      <c r="B795" s="127"/>
      <c r="C795" s="127"/>
      <c r="D795" s="127"/>
      <c r="E795" s="127"/>
      <c r="F795" s="127"/>
      <c r="G795" s="127"/>
      <c r="H795" s="127"/>
      <c r="I795" s="127"/>
      <c r="J795" s="127"/>
      <c r="K795" s="127"/>
      <c r="L795" s="127"/>
      <c r="M795" s="127"/>
      <c r="N795" s="127"/>
      <c r="O795" s="127"/>
      <c r="P795" s="127"/>
      <c r="Q795" s="127"/>
      <c r="R795" s="127"/>
      <c r="S795" s="127"/>
      <c r="T795" s="127"/>
      <c r="U795" s="127"/>
      <c r="V795" s="127"/>
      <c r="W795" s="127"/>
      <c r="X795" s="127"/>
      <c r="Y795" s="127"/>
      <c r="Z795" s="127"/>
    </row>
    <row r="796" customFormat="false" ht="15.75" hidden="false" customHeight="false" outlineLevel="0" collapsed="false">
      <c r="A796" s="127"/>
      <c r="B796" s="127"/>
      <c r="C796" s="127"/>
      <c r="D796" s="127"/>
      <c r="E796" s="127"/>
      <c r="F796" s="127"/>
      <c r="G796" s="127"/>
      <c r="H796" s="127"/>
      <c r="I796" s="127"/>
      <c r="J796" s="127"/>
      <c r="K796" s="127"/>
      <c r="L796" s="127"/>
      <c r="M796" s="127"/>
      <c r="N796" s="127"/>
      <c r="O796" s="127"/>
      <c r="P796" s="127"/>
      <c r="Q796" s="127"/>
      <c r="R796" s="127"/>
      <c r="S796" s="127"/>
      <c r="T796" s="127"/>
      <c r="U796" s="127"/>
      <c r="V796" s="127"/>
      <c r="W796" s="127"/>
      <c r="X796" s="127"/>
      <c r="Y796" s="127"/>
      <c r="Z796" s="127"/>
    </row>
    <row r="797" customFormat="false" ht="15.75" hidden="false" customHeight="false" outlineLevel="0" collapsed="false">
      <c r="A797" s="127"/>
      <c r="B797" s="127"/>
      <c r="C797" s="127"/>
      <c r="D797" s="127"/>
      <c r="E797" s="127"/>
      <c r="F797" s="127"/>
      <c r="G797" s="127"/>
      <c r="H797" s="127"/>
      <c r="I797" s="127"/>
      <c r="J797" s="127"/>
      <c r="K797" s="127"/>
      <c r="L797" s="127"/>
      <c r="M797" s="127"/>
      <c r="N797" s="127"/>
      <c r="O797" s="127"/>
      <c r="P797" s="127"/>
      <c r="Q797" s="127"/>
      <c r="R797" s="127"/>
      <c r="S797" s="127"/>
      <c r="T797" s="127"/>
      <c r="U797" s="127"/>
      <c r="V797" s="127"/>
      <c r="W797" s="127"/>
      <c r="X797" s="127"/>
      <c r="Y797" s="127"/>
      <c r="Z797" s="127"/>
    </row>
    <row r="798" customFormat="false" ht="15.75" hidden="false" customHeight="false" outlineLevel="0" collapsed="false">
      <c r="A798" s="127"/>
      <c r="B798" s="127"/>
      <c r="C798" s="127"/>
      <c r="D798" s="127"/>
      <c r="E798" s="127"/>
      <c r="F798" s="127"/>
      <c r="G798" s="127"/>
      <c r="H798" s="127"/>
      <c r="I798" s="127"/>
      <c r="J798" s="127"/>
      <c r="K798" s="127"/>
      <c r="L798" s="127"/>
      <c r="M798" s="127"/>
      <c r="N798" s="127"/>
      <c r="O798" s="127"/>
      <c r="P798" s="127"/>
      <c r="Q798" s="127"/>
      <c r="R798" s="127"/>
      <c r="S798" s="127"/>
      <c r="T798" s="127"/>
      <c r="U798" s="127"/>
      <c r="V798" s="127"/>
      <c r="W798" s="127"/>
      <c r="X798" s="127"/>
      <c r="Y798" s="127"/>
      <c r="Z798" s="127"/>
    </row>
    <row r="799" customFormat="false" ht="15.75" hidden="false" customHeight="false" outlineLevel="0" collapsed="false">
      <c r="A799" s="127"/>
      <c r="B799" s="127"/>
      <c r="C799" s="127"/>
      <c r="D799" s="127"/>
      <c r="E799" s="127"/>
      <c r="F799" s="127"/>
      <c r="G799" s="127"/>
      <c r="H799" s="127"/>
      <c r="I799" s="127"/>
      <c r="J799" s="127"/>
      <c r="K799" s="127"/>
      <c r="L799" s="127"/>
      <c r="M799" s="127"/>
      <c r="N799" s="127"/>
      <c r="O799" s="127"/>
      <c r="P799" s="127"/>
      <c r="Q799" s="127"/>
      <c r="R799" s="127"/>
      <c r="S799" s="127"/>
      <c r="T799" s="127"/>
      <c r="U799" s="127"/>
      <c r="V799" s="127"/>
      <c r="W799" s="127"/>
      <c r="X799" s="127"/>
      <c r="Y799" s="127"/>
      <c r="Z799" s="127"/>
    </row>
    <row r="800" customFormat="false" ht="15.75" hidden="false" customHeight="false" outlineLevel="0" collapsed="false">
      <c r="A800" s="127"/>
      <c r="B800" s="127"/>
      <c r="C800" s="127"/>
      <c r="D800" s="127"/>
      <c r="E800" s="127"/>
      <c r="F800" s="127"/>
      <c r="G800" s="127"/>
      <c r="H800" s="127"/>
      <c r="I800" s="127"/>
      <c r="J800" s="127"/>
      <c r="K800" s="127"/>
      <c r="L800" s="127"/>
      <c r="M800" s="127"/>
      <c r="N800" s="127"/>
      <c r="O800" s="127"/>
      <c r="P800" s="127"/>
      <c r="Q800" s="127"/>
      <c r="R800" s="127"/>
      <c r="S800" s="127"/>
      <c r="T800" s="127"/>
      <c r="U800" s="127"/>
      <c r="V800" s="127"/>
      <c r="W800" s="127"/>
      <c r="X800" s="127"/>
      <c r="Y800" s="127"/>
      <c r="Z800" s="127"/>
    </row>
    <row r="801" customFormat="false" ht="15.75" hidden="false" customHeight="false" outlineLevel="0" collapsed="false">
      <c r="A801" s="127"/>
      <c r="B801" s="127"/>
      <c r="C801" s="127"/>
      <c r="D801" s="127"/>
      <c r="E801" s="127"/>
      <c r="F801" s="127"/>
      <c r="G801" s="127"/>
      <c r="H801" s="127"/>
      <c r="I801" s="127"/>
      <c r="J801" s="127"/>
      <c r="K801" s="127"/>
      <c r="L801" s="127"/>
      <c r="M801" s="127"/>
      <c r="N801" s="127"/>
      <c r="O801" s="127"/>
      <c r="P801" s="127"/>
      <c r="Q801" s="127"/>
      <c r="R801" s="127"/>
      <c r="S801" s="127"/>
      <c r="T801" s="127"/>
      <c r="U801" s="127"/>
      <c r="V801" s="127"/>
      <c r="W801" s="127"/>
      <c r="X801" s="127"/>
      <c r="Y801" s="127"/>
      <c r="Z801" s="127"/>
    </row>
    <row r="802" customFormat="false" ht="15.75" hidden="false" customHeight="false" outlineLevel="0" collapsed="false">
      <c r="A802" s="127"/>
      <c r="B802" s="127"/>
      <c r="C802" s="127"/>
      <c r="D802" s="127"/>
      <c r="E802" s="127"/>
      <c r="F802" s="127"/>
      <c r="G802" s="127"/>
      <c r="H802" s="127"/>
      <c r="I802" s="127"/>
      <c r="J802" s="127"/>
      <c r="K802" s="127"/>
      <c r="L802" s="127"/>
      <c r="M802" s="127"/>
      <c r="N802" s="127"/>
      <c r="O802" s="127"/>
      <c r="P802" s="127"/>
      <c r="Q802" s="127"/>
      <c r="R802" s="127"/>
      <c r="S802" s="127"/>
      <c r="T802" s="127"/>
      <c r="U802" s="127"/>
      <c r="V802" s="127"/>
      <c r="W802" s="127"/>
      <c r="X802" s="127"/>
      <c r="Y802" s="127"/>
      <c r="Z802" s="127"/>
    </row>
    <row r="803" customFormat="false" ht="15.75" hidden="false" customHeight="false" outlineLevel="0" collapsed="false">
      <c r="A803" s="127"/>
      <c r="B803" s="127"/>
      <c r="C803" s="127"/>
      <c r="D803" s="127"/>
      <c r="E803" s="127"/>
      <c r="F803" s="127"/>
      <c r="G803" s="127"/>
      <c r="H803" s="127"/>
      <c r="I803" s="127"/>
      <c r="J803" s="127"/>
      <c r="K803" s="127"/>
      <c r="L803" s="127"/>
      <c r="M803" s="127"/>
      <c r="N803" s="127"/>
      <c r="O803" s="127"/>
      <c r="P803" s="127"/>
      <c r="Q803" s="127"/>
      <c r="R803" s="127"/>
      <c r="S803" s="127"/>
      <c r="T803" s="127"/>
      <c r="U803" s="127"/>
      <c r="V803" s="127"/>
      <c r="W803" s="127"/>
      <c r="X803" s="127"/>
      <c r="Y803" s="127"/>
      <c r="Z803" s="127"/>
    </row>
    <row r="804" customFormat="false" ht="15.75" hidden="false" customHeight="false" outlineLevel="0" collapsed="false">
      <c r="A804" s="127"/>
      <c r="B804" s="127"/>
      <c r="C804" s="127"/>
      <c r="D804" s="127"/>
      <c r="E804" s="127"/>
      <c r="F804" s="127"/>
      <c r="G804" s="127"/>
      <c r="H804" s="127"/>
      <c r="I804" s="127"/>
      <c r="J804" s="127"/>
      <c r="K804" s="127"/>
      <c r="L804" s="127"/>
      <c r="M804" s="127"/>
      <c r="N804" s="127"/>
      <c r="O804" s="127"/>
      <c r="P804" s="127"/>
      <c r="Q804" s="127"/>
      <c r="R804" s="127"/>
      <c r="S804" s="127"/>
      <c r="T804" s="127"/>
      <c r="U804" s="127"/>
      <c r="V804" s="127"/>
      <c r="W804" s="127"/>
      <c r="X804" s="127"/>
      <c r="Y804" s="127"/>
      <c r="Z804" s="127"/>
    </row>
    <row r="805" customFormat="false" ht="15.75" hidden="false" customHeight="false" outlineLevel="0" collapsed="false">
      <c r="A805" s="127"/>
      <c r="B805" s="127"/>
      <c r="C805" s="127"/>
      <c r="D805" s="127"/>
      <c r="E805" s="127"/>
      <c r="F805" s="127"/>
      <c r="G805" s="127"/>
      <c r="H805" s="127"/>
      <c r="I805" s="127"/>
      <c r="J805" s="127"/>
      <c r="K805" s="127"/>
      <c r="L805" s="127"/>
      <c r="M805" s="127"/>
      <c r="N805" s="127"/>
      <c r="O805" s="127"/>
      <c r="P805" s="127"/>
      <c r="Q805" s="127"/>
      <c r="R805" s="127"/>
      <c r="S805" s="127"/>
      <c r="T805" s="127"/>
      <c r="U805" s="127"/>
      <c r="V805" s="127"/>
      <c r="W805" s="127"/>
      <c r="X805" s="127"/>
      <c r="Y805" s="127"/>
      <c r="Z805" s="127"/>
    </row>
    <row r="806" customFormat="false" ht="15.75" hidden="false" customHeight="false" outlineLevel="0" collapsed="false">
      <c r="A806" s="127"/>
      <c r="B806" s="127"/>
      <c r="C806" s="127"/>
      <c r="D806" s="127"/>
      <c r="E806" s="127"/>
      <c r="F806" s="127"/>
      <c r="G806" s="127"/>
      <c r="H806" s="127"/>
      <c r="I806" s="127"/>
      <c r="J806" s="127"/>
      <c r="K806" s="127"/>
      <c r="L806" s="127"/>
      <c r="M806" s="127"/>
      <c r="N806" s="127"/>
      <c r="O806" s="127"/>
      <c r="P806" s="127"/>
      <c r="Q806" s="127"/>
      <c r="R806" s="127"/>
      <c r="S806" s="127"/>
      <c r="T806" s="127"/>
      <c r="U806" s="127"/>
      <c r="V806" s="127"/>
      <c r="W806" s="127"/>
      <c r="X806" s="127"/>
      <c r="Y806" s="127"/>
      <c r="Z806" s="127"/>
    </row>
    <row r="807" customFormat="false" ht="15.75" hidden="false" customHeight="false" outlineLevel="0" collapsed="false">
      <c r="A807" s="127"/>
      <c r="B807" s="127"/>
      <c r="C807" s="127"/>
      <c r="D807" s="127"/>
      <c r="E807" s="127"/>
      <c r="F807" s="127"/>
      <c r="G807" s="127"/>
      <c r="H807" s="127"/>
      <c r="I807" s="127"/>
      <c r="J807" s="127"/>
      <c r="K807" s="127"/>
      <c r="L807" s="127"/>
      <c r="M807" s="127"/>
      <c r="N807" s="127"/>
      <c r="O807" s="127"/>
      <c r="P807" s="127"/>
      <c r="Q807" s="127"/>
      <c r="R807" s="127"/>
      <c r="S807" s="127"/>
      <c r="T807" s="127"/>
      <c r="U807" s="127"/>
      <c r="V807" s="127"/>
      <c r="W807" s="127"/>
      <c r="X807" s="127"/>
      <c r="Y807" s="127"/>
      <c r="Z807" s="127"/>
    </row>
    <row r="808" customFormat="false" ht="15.75" hidden="false" customHeight="false" outlineLevel="0" collapsed="false">
      <c r="A808" s="127"/>
      <c r="B808" s="127"/>
      <c r="C808" s="127"/>
      <c r="D808" s="127"/>
      <c r="E808" s="127"/>
      <c r="F808" s="127"/>
      <c r="G808" s="127"/>
      <c r="H808" s="127"/>
      <c r="I808" s="127"/>
      <c r="J808" s="127"/>
      <c r="K808" s="127"/>
      <c r="L808" s="127"/>
      <c r="M808" s="127"/>
      <c r="N808" s="127"/>
      <c r="O808" s="127"/>
      <c r="P808" s="127"/>
      <c r="Q808" s="127"/>
      <c r="R808" s="127"/>
      <c r="S808" s="127"/>
      <c r="T808" s="127"/>
      <c r="U808" s="127"/>
      <c r="V808" s="127"/>
      <c r="W808" s="127"/>
      <c r="X808" s="127"/>
      <c r="Y808" s="127"/>
      <c r="Z808" s="127"/>
    </row>
    <row r="809" customFormat="false" ht="15.75" hidden="false" customHeight="false" outlineLevel="0" collapsed="false">
      <c r="A809" s="127"/>
      <c r="B809" s="127"/>
      <c r="C809" s="127"/>
      <c r="D809" s="127"/>
      <c r="E809" s="127"/>
      <c r="F809" s="127"/>
      <c r="G809" s="127"/>
      <c r="H809" s="127"/>
      <c r="I809" s="127"/>
      <c r="J809" s="127"/>
      <c r="K809" s="127"/>
      <c r="L809" s="127"/>
      <c r="M809" s="127"/>
      <c r="N809" s="127"/>
      <c r="O809" s="127"/>
      <c r="P809" s="127"/>
      <c r="Q809" s="127"/>
      <c r="R809" s="127"/>
      <c r="S809" s="127"/>
      <c r="T809" s="127"/>
      <c r="U809" s="127"/>
      <c r="V809" s="127"/>
      <c r="W809" s="127"/>
      <c r="X809" s="127"/>
      <c r="Y809" s="127"/>
      <c r="Z809" s="127"/>
    </row>
    <row r="810" customFormat="false" ht="15.75" hidden="false" customHeight="false" outlineLevel="0" collapsed="false">
      <c r="A810" s="127"/>
      <c r="B810" s="127"/>
      <c r="C810" s="127"/>
      <c r="D810" s="127"/>
      <c r="E810" s="127"/>
      <c r="F810" s="127"/>
      <c r="G810" s="127"/>
      <c r="H810" s="127"/>
      <c r="I810" s="127"/>
      <c r="J810" s="127"/>
      <c r="K810" s="127"/>
      <c r="L810" s="127"/>
      <c r="M810" s="127"/>
      <c r="N810" s="127"/>
      <c r="O810" s="127"/>
      <c r="P810" s="127"/>
      <c r="Q810" s="127"/>
      <c r="R810" s="127"/>
      <c r="S810" s="127"/>
      <c r="T810" s="127"/>
      <c r="U810" s="127"/>
      <c r="V810" s="127"/>
      <c r="W810" s="127"/>
      <c r="X810" s="127"/>
      <c r="Y810" s="127"/>
      <c r="Z810" s="127"/>
    </row>
    <row r="811" customFormat="false" ht="15.75" hidden="false" customHeight="false" outlineLevel="0" collapsed="false">
      <c r="A811" s="127"/>
      <c r="B811" s="127"/>
      <c r="C811" s="127"/>
      <c r="D811" s="127"/>
      <c r="E811" s="127"/>
      <c r="F811" s="127"/>
      <c r="G811" s="127"/>
      <c r="H811" s="127"/>
      <c r="I811" s="127"/>
      <c r="J811" s="127"/>
      <c r="K811" s="127"/>
      <c r="L811" s="127"/>
      <c r="M811" s="127"/>
      <c r="N811" s="127"/>
      <c r="O811" s="127"/>
      <c r="P811" s="127"/>
      <c r="Q811" s="127"/>
      <c r="R811" s="127"/>
      <c r="S811" s="127"/>
      <c r="T811" s="127"/>
      <c r="U811" s="127"/>
      <c r="V811" s="127"/>
      <c r="W811" s="127"/>
      <c r="X811" s="127"/>
      <c r="Y811" s="127"/>
      <c r="Z811" s="127"/>
    </row>
    <row r="812" customFormat="false" ht="15.75" hidden="false" customHeight="false" outlineLevel="0" collapsed="false">
      <c r="A812" s="127"/>
      <c r="B812" s="127"/>
      <c r="C812" s="127"/>
      <c r="D812" s="127"/>
      <c r="E812" s="127"/>
      <c r="F812" s="127"/>
      <c r="G812" s="127"/>
      <c r="H812" s="127"/>
      <c r="I812" s="127"/>
      <c r="J812" s="127"/>
      <c r="K812" s="127"/>
      <c r="L812" s="127"/>
      <c r="M812" s="127"/>
      <c r="N812" s="127"/>
      <c r="O812" s="127"/>
      <c r="P812" s="127"/>
      <c r="Q812" s="127"/>
      <c r="R812" s="127"/>
      <c r="S812" s="127"/>
      <c r="T812" s="127"/>
      <c r="U812" s="127"/>
      <c r="V812" s="127"/>
      <c r="W812" s="127"/>
      <c r="X812" s="127"/>
      <c r="Y812" s="127"/>
      <c r="Z812" s="127"/>
    </row>
    <row r="813" customFormat="false" ht="15.75" hidden="false" customHeight="false" outlineLevel="0" collapsed="false">
      <c r="A813" s="127"/>
      <c r="B813" s="127"/>
      <c r="C813" s="127"/>
      <c r="D813" s="127"/>
      <c r="E813" s="127"/>
      <c r="F813" s="127"/>
      <c r="G813" s="127"/>
      <c r="H813" s="127"/>
      <c r="I813" s="127"/>
      <c r="J813" s="127"/>
      <c r="K813" s="127"/>
      <c r="L813" s="127"/>
      <c r="M813" s="127"/>
      <c r="N813" s="127"/>
      <c r="O813" s="127"/>
      <c r="P813" s="127"/>
      <c r="Q813" s="127"/>
      <c r="R813" s="127"/>
      <c r="S813" s="127"/>
      <c r="T813" s="127"/>
      <c r="U813" s="127"/>
      <c r="V813" s="127"/>
      <c r="W813" s="127"/>
      <c r="X813" s="127"/>
      <c r="Y813" s="127"/>
      <c r="Z813" s="127"/>
    </row>
    <row r="814" customFormat="false" ht="15.75" hidden="false" customHeight="false" outlineLevel="0" collapsed="false">
      <c r="A814" s="127"/>
      <c r="B814" s="127"/>
      <c r="C814" s="127"/>
      <c r="D814" s="127"/>
      <c r="E814" s="127"/>
      <c r="F814" s="127"/>
      <c r="G814" s="127"/>
      <c r="H814" s="127"/>
      <c r="I814" s="127"/>
      <c r="J814" s="127"/>
      <c r="K814" s="127"/>
      <c r="L814" s="127"/>
      <c r="M814" s="127"/>
      <c r="N814" s="127"/>
      <c r="O814" s="127"/>
      <c r="P814" s="127"/>
      <c r="Q814" s="127"/>
      <c r="R814" s="127"/>
      <c r="S814" s="127"/>
      <c r="T814" s="127"/>
      <c r="U814" s="127"/>
      <c r="V814" s="127"/>
      <c r="W814" s="127"/>
      <c r="X814" s="127"/>
      <c r="Y814" s="127"/>
      <c r="Z814" s="127"/>
    </row>
    <row r="815" customFormat="false" ht="15.75" hidden="false" customHeight="false" outlineLevel="0" collapsed="false">
      <c r="A815" s="127"/>
      <c r="B815" s="127"/>
      <c r="C815" s="127"/>
      <c r="D815" s="127"/>
      <c r="E815" s="127"/>
      <c r="F815" s="127"/>
      <c r="G815" s="127"/>
      <c r="H815" s="127"/>
      <c r="I815" s="127"/>
      <c r="J815" s="127"/>
      <c r="K815" s="127"/>
      <c r="L815" s="127"/>
      <c r="M815" s="127"/>
      <c r="N815" s="127"/>
      <c r="O815" s="127"/>
      <c r="P815" s="127"/>
      <c r="Q815" s="127"/>
      <c r="R815" s="127"/>
      <c r="S815" s="127"/>
      <c r="T815" s="127"/>
      <c r="U815" s="127"/>
      <c r="V815" s="127"/>
      <c r="W815" s="127"/>
      <c r="X815" s="127"/>
      <c r="Y815" s="127"/>
      <c r="Z815" s="127"/>
    </row>
    <row r="816" customFormat="false" ht="15.75" hidden="false" customHeight="false" outlineLevel="0" collapsed="false">
      <c r="A816" s="127"/>
      <c r="B816" s="127"/>
      <c r="C816" s="127"/>
      <c r="D816" s="127"/>
      <c r="E816" s="127"/>
      <c r="F816" s="127"/>
      <c r="G816" s="127"/>
      <c r="H816" s="127"/>
      <c r="I816" s="127"/>
      <c r="J816" s="127"/>
      <c r="K816" s="127"/>
      <c r="L816" s="127"/>
      <c r="M816" s="127"/>
      <c r="N816" s="127"/>
      <c r="O816" s="127"/>
      <c r="P816" s="127"/>
      <c r="Q816" s="127"/>
      <c r="R816" s="127"/>
      <c r="S816" s="127"/>
      <c r="T816" s="127"/>
      <c r="U816" s="127"/>
      <c r="V816" s="127"/>
      <c r="W816" s="127"/>
      <c r="X816" s="127"/>
      <c r="Y816" s="127"/>
      <c r="Z816" s="127"/>
    </row>
    <row r="817" customFormat="false" ht="15.75" hidden="false" customHeight="false" outlineLevel="0" collapsed="false">
      <c r="A817" s="127"/>
      <c r="B817" s="127"/>
      <c r="C817" s="127"/>
      <c r="D817" s="127"/>
      <c r="E817" s="127"/>
      <c r="F817" s="127"/>
      <c r="G817" s="127"/>
      <c r="H817" s="127"/>
      <c r="I817" s="127"/>
      <c r="J817" s="127"/>
      <c r="K817" s="127"/>
      <c r="L817" s="127"/>
      <c r="M817" s="127"/>
      <c r="N817" s="127"/>
      <c r="O817" s="127"/>
      <c r="P817" s="127"/>
      <c r="Q817" s="127"/>
      <c r="R817" s="127"/>
      <c r="S817" s="127"/>
      <c r="T817" s="127"/>
      <c r="U817" s="127"/>
      <c r="V817" s="127"/>
      <c r="W817" s="127"/>
      <c r="X817" s="127"/>
      <c r="Y817" s="127"/>
      <c r="Z817" s="127"/>
    </row>
    <row r="818" customFormat="false" ht="15.75" hidden="false" customHeight="false" outlineLevel="0" collapsed="false">
      <c r="A818" s="127"/>
      <c r="B818" s="127"/>
      <c r="C818" s="127"/>
      <c r="D818" s="127"/>
      <c r="E818" s="127"/>
      <c r="F818" s="127"/>
      <c r="G818" s="127"/>
      <c r="H818" s="127"/>
      <c r="I818" s="127"/>
      <c r="J818" s="127"/>
      <c r="K818" s="127"/>
      <c r="L818" s="127"/>
      <c r="M818" s="127"/>
      <c r="N818" s="127"/>
      <c r="O818" s="127"/>
      <c r="P818" s="127"/>
      <c r="Q818" s="127"/>
      <c r="R818" s="127"/>
      <c r="S818" s="127"/>
      <c r="T818" s="127"/>
      <c r="U818" s="127"/>
      <c r="V818" s="127"/>
      <c r="W818" s="127"/>
      <c r="X818" s="127"/>
      <c r="Y818" s="127"/>
      <c r="Z818" s="127"/>
    </row>
    <row r="819" customFormat="false" ht="15.75" hidden="false" customHeight="false" outlineLevel="0" collapsed="false">
      <c r="A819" s="127"/>
      <c r="B819" s="127"/>
      <c r="C819" s="127"/>
      <c r="D819" s="127"/>
      <c r="E819" s="127"/>
      <c r="F819" s="127"/>
      <c r="G819" s="127"/>
      <c r="H819" s="127"/>
      <c r="I819" s="127"/>
      <c r="J819" s="127"/>
      <c r="K819" s="127"/>
      <c r="L819" s="127"/>
      <c r="M819" s="127"/>
      <c r="N819" s="127"/>
      <c r="O819" s="127"/>
      <c r="P819" s="127"/>
      <c r="Q819" s="127"/>
      <c r="R819" s="127"/>
      <c r="S819" s="127"/>
      <c r="T819" s="127"/>
      <c r="U819" s="127"/>
      <c r="V819" s="127"/>
      <c r="W819" s="127"/>
      <c r="X819" s="127"/>
      <c r="Y819" s="127"/>
      <c r="Z819" s="127"/>
    </row>
    <row r="820" customFormat="false" ht="15.75" hidden="false" customHeight="false" outlineLevel="0" collapsed="false">
      <c r="A820" s="127"/>
      <c r="B820" s="127"/>
      <c r="C820" s="127"/>
      <c r="D820" s="127"/>
      <c r="E820" s="127"/>
      <c r="F820" s="127"/>
      <c r="G820" s="127"/>
      <c r="H820" s="127"/>
      <c r="I820" s="127"/>
      <c r="J820" s="127"/>
      <c r="K820" s="127"/>
      <c r="L820" s="127"/>
      <c r="M820" s="127"/>
      <c r="N820" s="127"/>
      <c r="O820" s="127"/>
      <c r="P820" s="127"/>
      <c r="Q820" s="127"/>
      <c r="R820" s="127"/>
      <c r="S820" s="127"/>
      <c r="T820" s="127"/>
      <c r="U820" s="127"/>
      <c r="V820" s="127"/>
      <c r="W820" s="127"/>
      <c r="X820" s="127"/>
      <c r="Y820" s="127"/>
      <c r="Z820" s="127"/>
    </row>
    <row r="821" customFormat="false" ht="15.75" hidden="false" customHeight="false" outlineLevel="0" collapsed="false">
      <c r="A821" s="127"/>
      <c r="B821" s="127"/>
      <c r="C821" s="127"/>
      <c r="D821" s="127"/>
      <c r="E821" s="127"/>
      <c r="F821" s="127"/>
      <c r="G821" s="127"/>
      <c r="H821" s="127"/>
      <c r="I821" s="127"/>
      <c r="J821" s="127"/>
      <c r="K821" s="127"/>
      <c r="L821" s="127"/>
      <c r="M821" s="127"/>
      <c r="N821" s="127"/>
      <c r="O821" s="127"/>
      <c r="P821" s="127"/>
      <c r="Q821" s="127"/>
      <c r="R821" s="127"/>
      <c r="S821" s="127"/>
      <c r="T821" s="127"/>
      <c r="U821" s="127"/>
      <c r="V821" s="127"/>
      <c r="W821" s="127"/>
      <c r="X821" s="127"/>
      <c r="Y821" s="127"/>
      <c r="Z821" s="127"/>
    </row>
    <row r="822" customFormat="false" ht="15.75" hidden="false" customHeight="false" outlineLevel="0" collapsed="false">
      <c r="A822" s="127"/>
      <c r="B822" s="127"/>
      <c r="C822" s="127"/>
      <c r="D822" s="127"/>
      <c r="E822" s="127"/>
      <c r="F822" s="127"/>
      <c r="G822" s="127"/>
      <c r="H822" s="127"/>
      <c r="I822" s="127"/>
      <c r="J822" s="127"/>
      <c r="K822" s="127"/>
      <c r="L822" s="127"/>
      <c r="M822" s="127"/>
      <c r="N822" s="127"/>
      <c r="O822" s="127"/>
      <c r="P822" s="127"/>
      <c r="Q822" s="127"/>
      <c r="R822" s="127"/>
      <c r="S822" s="127"/>
      <c r="T822" s="127"/>
      <c r="U822" s="127"/>
      <c r="V822" s="127"/>
      <c r="W822" s="127"/>
      <c r="X822" s="127"/>
      <c r="Y822" s="127"/>
      <c r="Z822" s="127"/>
    </row>
    <row r="823" customFormat="false" ht="15.75" hidden="false" customHeight="false" outlineLevel="0" collapsed="false">
      <c r="A823" s="127"/>
      <c r="B823" s="127"/>
      <c r="C823" s="127"/>
      <c r="D823" s="127"/>
      <c r="E823" s="127"/>
      <c r="F823" s="127"/>
      <c r="G823" s="127"/>
      <c r="H823" s="127"/>
      <c r="I823" s="127"/>
      <c r="J823" s="127"/>
      <c r="K823" s="127"/>
      <c r="L823" s="127"/>
      <c r="M823" s="127"/>
      <c r="N823" s="127"/>
      <c r="O823" s="127"/>
      <c r="P823" s="127"/>
      <c r="Q823" s="127"/>
      <c r="R823" s="127"/>
      <c r="S823" s="127"/>
      <c r="T823" s="127"/>
      <c r="U823" s="127"/>
      <c r="V823" s="127"/>
      <c r="W823" s="127"/>
      <c r="X823" s="127"/>
      <c r="Y823" s="127"/>
      <c r="Z823" s="127"/>
    </row>
    <row r="824" customFormat="false" ht="15.75" hidden="false" customHeight="false" outlineLevel="0" collapsed="false">
      <c r="A824" s="127"/>
      <c r="B824" s="127"/>
      <c r="C824" s="127"/>
      <c r="D824" s="127"/>
      <c r="E824" s="127"/>
      <c r="F824" s="127"/>
      <c r="G824" s="127"/>
      <c r="H824" s="127"/>
      <c r="I824" s="127"/>
      <c r="J824" s="127"/>
      <c r="K824" s="127"/>
      <c r="L824" s="127"/>
      <c r="M824" s="127"/>
      <c r="N824" s="127"/>
      <c r="O824" s="127"/>
      <c r="P824" s="127"/>
      <c r="Q824" s="127"/>
      <c r="R824" s="127"/>
      <c r="S824" s="127"/>
      <c r="T824" s="127"/>
      <c r="U824" s="127"/>
      <c r="V824" s="127"/>
      <c r="W824" s="127"/>
      <c r="X824" s="127"/>
      <c r="Y824" s="127"/>
      <c r="Z824" s="127"/>
    </row>
    <row r="825" customFormat="false" ht="15.75" hidden="false" customHeight="false" outlineLevel="0" collapsed="false">
      <c r="A825" s="127"/>
      <c r="B825" s="127"/>
      <c r="C825" s="127"/>
      <c r="D825" s="127"/>
      <c r="E825" s="127"/>
      <c r="F825" s="127"/>
      <c r="G825" s="127"/>
      <c r="H825" s="127"/>
      <c r="I825" s="127"/>
      <c r="J825" s="127"/>
      <c r="K825" s="127"/>
      <c r="L825" s="127"/>
      <c r="M825" s="127"/>
      <c r="N825" s="127"/>
      <c r="O825" s="127"/>
      <c r="P825" s="127"/>
      <c r="Q825" s="127"/>
      <c r="R825" s="127"/>
      <c r="S825" s="127"/>
      <c r="T825" s="127"/>
      <c r="U825" s="127"/>
      <c r="V825" s="127"/>
      <c r="W825" s="127"/>
      <c r="X825" s="127"/>
      <c r="Y825" s="127"/>
      <c r="Z825" s="127"/>
    </row>
    <row r="826" customFormat="false" ht="15.75" hidden="false" customHeight="false" outlineLevel="0" collapsed="false">
      <c r="A826" s="127"/>
      <c r="B826" s="127"/>
      <c r="C826" s="127"/>
      <c r="D826" s="127"/>
      <c r="E826" s="127"/>
      <c r="F826" s="127"/>
      <c r="G826" s="127"/>
      <c r="H826" s="127"/>
      <c r="I826" s="127"/>
      <c r="J826" s="127"/>
      <c r="K826" s="127"/>
      <c r="L826" s="127"/>
      <c r="M826" s="127"/>
      <c r="N826" s="127"/>
      <c r="O826" s="127"/>
      <c r="P826" s="127"/>
      <c r="Q826" s="127"/>
      <c r="R826" s="127"/>
      <c r="S826" s="127"/>
      <c r="T826" s="127"/>
      <c r="U826" s="127"/>
      <c r="V826" s="127"/>
      <c r="W826" s="127"/>
      <c r="X826" s="127"/>
      <c r="Y826" s="127"/>
      <c r="Z826" s="127"/>
    </row>
    <row r="827" customFormat="false" ht="15.75" hidden="false" customHeight="false" outlineLevel="0" collapsed="false">
      <c r="A827" s="127"/>
      <c r="B827" s="127"/>
      <c r="C827" s="127"/>
      <c r="D827" s="127"/>
      <c r="E827" s="127"/>
      <c r="F827" s="127"/>
      <c r="G827" s="127"/>
      <c r="H827" s="127"/>
      <c r="I827" s="127"/>
      <c r="J827" s="127"/>
      <c r="K827" s="127"/>
      <c r="L827" s="127"/>
      <c r="M827" s="127"/>
      <c r="N827" s="127"/>
      <c r="O827" s="127"/>
      <c r="P827" s="127"/>
      <c r="Q827" s="127"/>
      <c r="R827" s="127"/>
      <c r="S827" s="127"/>
      <c r="T827" s="127"/>
      <c r="U827" s="127"/>
      <c r="V827" s="127"/>
      <c r="W827" s="127"/>
      <c r="X827" s="127"/>
      <c r="Y827" s="127"/>
      <c r="Z827" s="127"/>
    </row>
    <row r="828" customFormat="false" ht="15.75" hidden="false" customHeight="false" outlineLevel="0" collapsed="false">
      <c r="A828" s="127"/>
      <c r="B828" s="127"/>
      <c r="C828" s="127"/>
      <c r="D828" s="127"/>
      <c r="E828" s="127"/>
      <c r="F828" s="127"/>
      <c r="G828" s="127"/>
      <c r="H828" s="127"/>
      <c r="I828" s="127"/>
      <c r="J828" s="127"/>
      <c r="K828" s="127"/>
      <c r="L828" s="127"/>
      <c r="M828" s="127"/>
      <c r="N828" s="127"/>
      <c r="O828" s="127"/>
      <c r="P828" s="127"/>
      <c r="Q828" s="127"/>
      <c r="R828" s="127"/>
      <c r="S828" s="127"/>
      <c r="T828" s="127"/>
      <c r="U828" s="127"/>
      <c r="V828" s="127"/>
      <c r="W828" s="127"/>
      <c r="X828" s="127"/>
      <c r="Y828" s="127"/>
      <c r="Z828" s="127"/>
    </row>
    <row r="829" customFormat="false" ht="15.75" hidden="false" customHeight="false" outlineLevel="0" collapsed="false">
      <c r="A829" s="127"/>
      <c r="B829" s="127"/>
      <c r="C829" s="127"/>
      <c r="D829" s="127"/>
      <c r="E829" s="127"/>
      <c r="F829" s="127"/>
      <c r="G829" s="127"/>
      <c r="H829" s="127"/>
      <c r="I829" s="127"/>
      <c r="J829" s="127"/>
      <c r="K829" s="127"/>
      <c r="L829" s="127"/>
      <c r="M829" s="127"/>
      <c r="N829" s="127"/>
      <c r="O829" s="127"/>
      <c r="P829" s="127"/>
      <c r="Q829" s="127"/>
      <c r="R829" s="127"/>
      <c r="S829" s="127"/>
      <c r="T829" s="127"/>
      <c r="U829" s="127"/>
      <c r="V829" s="127"/>
      <c r="W829" s="127"/>
      <c r="X829" s="127"/>
      <c r="Y829" s="127"/>
      <c r="Z829" s="127"/>
    </row>
    <row r="830" customFormat="false" ht="15.75" hidden="false" customHeight="false" outlineLevel="0" collapsed="false">
      <c r="A830" s="127"/>
      <c r="B830" s="127"/>
      <c r="C830" s="127"/>
      <c r="D830" s="127"/>
      <c r="E830" s="127"/>
      <c r="F830" s="127"/>
      <c r="G830" s="127"/>
      <c r="H830" s="127"/>
      <c r="I830" s="127"/>
      <c r="J830" s="127"/>
      <c r="K830" s="127"/>
      <c r="L830" s="127"/>
      <c r="M830" s="127"/>
      <c r="N830" s="127"/>
      <c r="O830" s="127"/>
      <c r="P830" s="127"/>
      <c r="Q830" s="127"/>
      <c r="R830" s="127"/>
      <c r="S830" s="127"/>
      <c r="T830" s="127"/>
      <c r="U830" s="127"/>
      <c r="V830" s="127"/>
      <c r="W830" s="127"/>
      <c r="X830" s="127"/>
      <c r="Y830" s="127"/>
      <c r="Z830" s="127"/>
    </row>
    <row r="831" customFormat="false" ht="15.75" hidden="false" customHeight="false" outlineLevel="0" collapsed="false">
      <c r="A831" s="127"/>
      <c r="B831" s="127"/>
      <c r="C831" s="127"/>
      <c r="D831" s="127"/>
      <c r="E831" s="127"/>
      <c r="F831" s="127"/>
      <c r="G831" s="127"/>
      <c r="H831" s="127"/>
      <c r="I831" s="127"/>
      <c r="J831" s="127"/>
      <c r="K831" s="127"/>
      <c r="L831" s="127"/>
      <c r="M831" s="127"/>
      <c r="N831" s="127"/>
      <c r="O831" s="127"/>
      <c r="P831" s="127"/>
      <c r="Q831" s="127"/>
      <c r="R831" s="127"/>
      <c r="S831" s="127"/>
      <c r="T831" s="127"/>
      <c r="U831" s="127"/>
      <c r="V831" s="127"/>
      <c r="W831" s="127"/>
      <c r="X831" s="127"/>
      <c r="Y831" s="127"/>
      <c r="Z831" s="127"/>
    </row>
    <row r="832" customFormat="false" ht="15.75" hidden="false" customHeight="false" outlineLevel="0" collapsed="false">
      <c r="A832" s="127"/>
      <c r="B832" s="127"/>
      <c r="C832" s="127"/>
      <c r="D832" s="127"/>
      <c r="E832" s="127"/>
      <c r="F832" s="127"/>
      <c r="G832" s="127"/>
      <c r="H832" s="127"/>
      <c r="I832" s="127"/>
      <c r="J832" s="127"/>
      <c r="K832" s="127"/>
      <c r="L832" s="127"/>
      <c r="M832" s="127"/>
      <c r="N832" s="127"/>
      <c r="O832" s="127"/>
      <c r="P832" s="127"/>
      <c r="Q832" s="127"/>
      <c r="R832" s="127"/>
      <c r="S832" s="127"/>
      <c r="T832" s="127"/>
      <c r="U832" s="127"/>
      <c r="V832" s="127"/>
      <c r="W832" s="127"/>
      <c r="X832" s="127"/>
      <c r="Y832" s="127"/>
      <c r="Z832" s="127"/>
    </row>
    <row r="833" customFormat="false" ht="15.75" hidden="false" customHeight="false" outlineLevel="0" collapsed="false">
      <c r="A833" s="127"/>
      <c r="B833" s="127"/>
      <c r="C833" s="127"/>
      <c r="D833" s="127"/>
      <c r="E833" s="127"/>
      <c r="F833" s="127"/>
      <c r="G833" s="127"/>
      <c r="H833" s="127"/>
      <c r="I833" s="127"/>
      <c r="J833" s="127"/>
      <c r="K833" s="127"/>
      <c r="L833" s="127"/>
      <c r="M833" s="127"/>
      <c r="N833" s="127"/>
      <c r="O833" s="127"/>
      <c r="P833" s="127"/>
      <c r="Q833" s="127"/>
      <c r="R833" s="127"/>
      <c r="S833" s="127"/>
      <c r="T833" s="127"/>
      <c r="U833" s="127"/>
      <c r="V833" s="127"/>
      <c r="W833" s="127"/>
      <c r="X833" s="127"/>
      <c r="Y833" s="127"/>
      <c r="Z833" s="127"/>
    </row>
    <row r="834" customFormat="false" ht="15.75" hidden="false" customHeight="false" outlineLevel="0" collapsed="false">
      <c r="A834" s="127"/>
      <c r="B834" s="127"/>
      <c r="C834" s="127"/>
      <c r="D834" s="127"/>
      <c r="E834" s="127"/>
      <c r="F834" s="127"/>
      <c r="G834" s="127"/>
      <c r="H834" s="127"/>
      <c r="I834" s="127"/>
      <c r="J834" s="127"/>
      <c r="K834" s="127"/>
      <c r="L834" s="127"/>
      <c r="M834" s="127"/>
      <c r="N834" s="127"/>
      <c r="O834" s="127"/>
      <c r="P834" s="127"/>
      <c r="Q834" s="127"/>
      <c r="R834" s="127"/>
      <c r="S834" s="127"/>
      <c r="T834" s="127"/>
      <c r="U834" s="127"/>
      <c r="V834" s="127"/>
      <c r="W834" s="127"/>
      <c r="X834" s="127"/>
      <c r="Y834" s="127"/>
      <c r="Z834" s="127"/>
    </row>
    <row r="835" customFormat="false" ht="15.75" hidden="false" customHeight="false" outlineLevel="0" collapsed="false">
      <c r="A835" s="127"/>
      <c r="B835" s="127"/>
      <c r="C835" s="127"/>
      <c r="D835" s="127"/>
      <c r="E835" s="127"/>
      <c r="F835" s="127"/>
      <c r="G835" s="127"/>
      <c r="H835" s="127"/>
      <c r="I835" s="127"/>
      <c r="J835" s="127"/>
      <c r="K835" s="127"/>
      <c r="L835" s="127"/>
      <c r="M835" s="127"/>
      <c r="N835" s="127"/>
      <c r="O835" s="127"/>
      <c r="P835" s="127"/>
      <c r="Q835" s="127"/>
      <c r="R835" s="127"/>
      <c r="S835" s="127"/>
      <c r="T835" s="127"/>
      <c r="U835" s="127"/>
      <c r="V835" s="127"/>
      <c r="W835" s="127"/>
      <c r="X835" s="127"/>
      <c r="Y835" s="127"/>
      <c r="Z835" s="127"/>
    </row>
    <row r="836" customFormat="false" ht="15.75" hidden="false" customHeight="false" outlineLevel="0" collapsed="false">
      <c r="A836" s="127"/>
      <c r="B836" s="127"/>
      <c r="C836" s="127"/>
      <c r="D836" s="127"/>
      <c r="E836" s="127"/>
      <c r="F836" s="127"/>
      <c r="G836" s="127"/>
      <c r="H836" s="127"/>
      <c r="I836" s="127"/>
      <c r="J836" s="127"/>
      <c r="K836" s="127"/>
      <c r="L836" s="127"/>
      <c r="M836" s="127"/>
      <c r="N836" s="127"/>
      <c r="O836" s="127"/>
      <c r="P836" s="127"/>
      <c r="Q836" s="127"/>
      <c r="R836" s="127"/>
      <c r="S836" s="127"/>
      <c r="T836" s="127"/>
      <c r="U836" s="127"/>
      <c r="V836" s="127"/>
      <c r="W836" s="127"/>
      <c r="X836" s="127"/>
      <c r="Y836" s="127"/>
      <c r="Z836" s="127"/>
    </row>
    <row r="837" customFormat="false" ht="15.75" hidden="false" customHeight="false" outlineLevel="0" collapsed="false">
      <c r="A837" s="127"/>
      <c r="B837" s="127"/>
      <c r="C837" s="127"/>
      <c r="D837" s="127"/>
      <c r="E837" s="127"/>
      <c r="F837" s="127"/>
      <c r="G837" s="127"/>
      <c r="H837" s="127"/>
      <c r="I837" s="127"/>
      <c r="J837" s="127"/>
      <c r="K837" s="127"/>
      <c r="L837" s="127"/>
      <c r="M837" s="127"/>
      <c r="N837" s="127"/>
      <c r="O837" s="127"/>
      <c r="P837" s="127"/>
      <c r="Q837" s="127"/>
      <c r="R837" s="127"/>
      <c r="S837" s="127"/>
      <c r="T837" s="127"/>
      <c r="U837" s="127"/>
      <c r="V837" s="127"/>
      <c r="W837" s="127"/>
      <c r="X837" s="127"/>
      <c r="Y837" s="127"/>
      <c r="Z837" s="127"/>
    </row>
    <row r="838" customFormat="false" ht="15.75" hidden="false" customHeight="false" outlineLevel="0" collapsed="false">
      <c r="A838" s="127"/>
      <c r="B838" s="127"/>
      <c r="C838" s="127"/>
      <c r="D838" s="127"/>
      <c r="E838" s="127"/>
      <c r="F838" s="127"/>
      <c r="G838" s="127"/>
      <c r="H838" s="127"/>
      <c r="I838" s="127"/>
      <c r="J838" s="127"/>
      <c r="K838" s="127"/>
      <c r="L838" s="127"/>
      <c r="M838" s="127"/>
      <c r="N838" s="127"/>
      <c r="O838" s="127"/>
      <c r="P838" s="127"/>
      <c r="Q838" s="127"/>
      <c r="R838" s="127"/>
      <c r="S838" s="127"/>
      <c r="T838" s="127"/>
      <c r="U838" s="127"/>
      <c r="V838" s="127"/>
      <c r="W838" s="127"/>
      <c r="X838" s="127"/>
      <c r="Y838" s="127"/>
      <c r="Z838" s="127"/>
    </row>
    <row r="839" customFormat="false" ht="15.75" hidden="false" customHeight="false" outlineLevel="0" collapsed="false">
      <c r="A839" s="127"/>
      <c r="B839" s="127"/>
      <c r="C839" s="127"/>
      <c r="D839" s="127"/>
      <c r="E839" s="127"/>
      <c r="F839" s="127"/>
      <c r="G839" s="127"/>
      <c r="H839" s="127"/>
      <c r="I839" s="127"/>
      <c r="J839" s="127"/>
      <c r="K839" s="127"/>
      <c r="L839" s="127"/>
      <c r="M839" s="127"/>
      <c r="N839" s="127"/>
      <c r="O839" s="127"/>
      <c r="P839" s="127"/>
      <c r="Q839" s="127"/>
      <c r="R839" s="127"/>
      <c r="S839" s="127"/>
      <c r="T839" s="127"/>
      <c r="U839" s="127"/>
      <c r="V839" s="127"/>
      <c r="W839" s="127"/>
      <c r="X839" s="127"/>
      <c r="Y839" s="127"/>
      <c r="Z839" s="127"/>
    </row>
    <row r="840" customFormat="false" ht="15.75" hidden="false" customHeight="false" outlineLevel="0" collapsed="false">
      <c r="A840" s="127"/>
      <c r="B840" s="127"/>
      <c r="C840" s="127"/>
      <c r="D840" s="127"/>
      <c r="E840" s="127"/>
      <c r="F840" s="127"/>
      <c r="G840" s="127"/>
      <c r="H840" s="127"/>
      <c r="I840" s="127"/>
      <c r="J840" s="127"/>
      <c r="K840" s="127"/>
      <c r="L840" s="127"/>
      <c r="M840" s="127"/>
      <c r="N840" s="127"/>
      <c r="O840" s="127"/>
      <c r="P840" s="127"/>
      <c r="Q840" s="127"/>
      <c r="R840" s="127"/>
      <c r="S840" s="127"/>
      <c r="T840" s="127"/>
      <c r="U840" s="127"/>
      <c r="V840" s="127"/>
      <c r="W840" s="127"/>
      <c r="X840" s="127"/>
      <c r="Y840" s="127"/>
      <c r="Z840" s="127"/>
    </row>
    <row r="841" customFormat="false" ht="15.75" hidden="false" customHeight="false" outlineLevel="0" collapsed="false">
      <c r="A841" s="127"/>
      <c r="B841" s="127"/>
      <c r="C841" s="127"/>
      <c r="D841" s="127"/>
      <c r="E841" s="127"/>
      <c r="F841" s="127"/>
      <c r="G841" s="127"/>
      <c r="H841" s="127"/>
      <c r="I841" s="127"/>
      <c r="J841" s="127"/>
      <c r="K841" s="127"/>
      <c r="L841" s="127"/>
      <c r="M841" s="127"/>
      <c r="N841" s="127"/>
      <c r="O841" s="127"/>
      <c r="P841" s="127"/>
      <c r="Q841" s="127"/>
      <c r="R841" s="127"/>
      <c r="S841" s="127"/>
      <c r="T841" s="127"/>
      <c r="U841" s="127"/>
      <c r="V841" s="127"/>
      <c r="W841" s="127"/>
      <c r="X841" s="127"/>
      <c r="Y841" s="127"/>
      <c r="Z841" s="127"/>
    </row>
    <row r="842" customFormat="false" ht="15.75" hidden="false" customHeight="false" outlineLevel="0" collapsed="false">
      <c r="A842" s="127"/>
      <c r="B842" s="127"/>
      <c r="C842" s="127"/>
      <c r="D842" s="127"/>
      <c r="E842" s="127"/>
      <c r="F842" s="127"/>
      <c r="G842" s="127"/>
      <c r="H842" s="127"/>
      <c r="I842" s="127"/>
      <c r="J842" s="127"/>
      <c r="K842" s="127"/>
      <c r="L842" s="127"/>
      <c r="M842" s="127"/>
      <c r="N842" s="127"/>
      <c r="O842" s="127"/>
      <c r="P842" s="127"/>
      <c r="Q842" s="127"/>
      <c r="R842" s="127"/>
      <c r="S842" s="127"/>
      <c r="T842" s="127"/>
      <c r="U842" s="127"/>
      <c r="V842" s="127"/>
      <c r="W842" s="127"/>
      <c r="X842" s="127"/>
      <c r="Y842" s="127"/>
      <c r="Z842" s="127"/>
    </row>
    <row r="843" customFormat="false" ht="15.75" hidden="false" customHeight="false" outlineLevel="0" collapsed="false">
      <c r="A843" s="127"/>
      <c r="B843" s="127"/>
      <c r="C843" s="127"/>
      <c r="D843" s="127"/>
      <c r="E843" s="127"/>
      <c r="F843" s="127"/>
      <c r="G843" s="127"/>
      <c r="H843" s="127"/>
      <c r="I843" s="127"/>
      <c r="J843" s="127"/>
      <c r="K843" s="127"/>
      <c r="L843" s="127"/>
      <c r="M843" s="127"/>
      <c r="N843" s="127"/>
      <c r="O843" s="127"/>
      <c r="P843" s="127"/>
      <c r="Q843" s="127"/>
      <c r="R843" s="127"/>
      <c r="S843" s="127"/>
      <c r="T843" s="127"/>
      <c r="U843" s="127"/>
      <c r="V843" s="127"/>
      <c r="W843" s="127"/>
      <c r="X843" s="127"/>
      <c r="Y843" s="127"/>
      <c r="Z843" s="127"/>
    </row>
    <row r="844" customFormat="false" ht="15.75" hidden="false" customHeight="false" outlineLevel="0" collapsed="false">
      <c r="A844" s="127"/>
      <c r="B844" s="127"/>
      <c r="C844" s="127"/>
      <c r="D844" s="127"/>
      <c r="E844" s="127"/>
      <c r="F844" s="127"/>
      <c r="G844" s="127"/>
      <c r="H844" s="127"/>
      <c r="I844" s="127"/>
      <c r="J844" s="127"/>
      <c r="K844" s="127"/>
      <c r="L844" s="127"/>
      <c r="M844" s="127"/>
      <c r="N844" s="127"/>
      <c r="O844" s="127"/>
      <c r="P844" s="127"/>
      <c r="Q844" s="127"/>
      <c r="R844" s="127"/>
      <c r="S844" s="127"/>
      <c r="T844" s="127"/>
      <c r="U844" s="127"/>
      <c r="V844" s="127"/>
      <c r="W844" s="127"/>
      <c r="X844" s="127"/>
      <c r="Y844" s="127"/>
      <c r="Z844" s="127"/>
    </row>
    <row r="845" customFormat="false" ht="15.75" hidden="false" customHeight="false" outlineLevel="0" collapsed="false">
      <c r="A845" s="127"/>
      <c r="B845" s="127"/>
      <c r="C845" s="127"/>
      <c r="D845" s="127"/>
      <c r="E845" s="127"/>
      <c r="F845" s="127"/>
      <c r="G845" s="127"/>
      <c r="H845" s="127"/>
      <c r="I845" s="127"/>
      <c r="J845" s="127"/>
      <c r="K845" s="127"/>
      <c r="L845" s="127"/>
      <c r="M845" s="127"/>
      <c r="N845" s="127"/>
      <c r="O845" s="127"/>
      <c r="P845" s="127"/>
      <c r="Q845" s="127"/>
      <c r="R845" s="127"/>
      <c r="S845" s="127"/>
      <c r="T845" s="127"/>
      <c r="U845" s="127"/>
      <c r="V845" s="127"/>
      <c r="W845" s="127"/>
      <c r="X845" s="127"/>
      <c r="Y845" s="127"/>
      <c r="Z845" s="127"/>
    </row>
    <row r="846" customFormat="false" ht="15.75" hidden="false" customHeight="false" outlineLevel="0" collapsed="false">
      <c r="A846" s="127"/>
      <c r="B846" s="127"/>
      <c r="C846" s="127"/>
      <c r="D846" s="127"/>
      <c r="E846" s="127"/>
      <c r="F846" s="127"/>
      <c r="G846" s="127"/>
      <c r="H846" s="127"/>
      <c r="I846" s="127"/>
      <c r="J846" s="127"/>
      <c r="K846" s="127"/>
      <c r="L846" s="127"/>
      <c r="M846" s="127"/>
      <c r="N846" s="127"/>
      <c r="O846" s="127"/>
      <c r="P846" s="127"/>
      <c r="Q846" s="127"/>
      <c r="R846" s="127"/>
      <c r="S846" s="127"/>
      <c r="T846" s="127"/>
      <c r="U846" s="127"/>
      <c r="V846" s="127"/>
      <c r="W846" s="127"/>
      <c r="X846" s="127"/>
      <c r="Y846" s="127"/>
      <c r="Z846" s="127"/>
    </row>
    <row r="847" customFormat="false" ht="15.75" hidden="false" customHeight="false" outlineLevel="0" collapsed="false">
      <c r="A847" s="127"/>
      <c r="B847" s="127"/>
      <c r="C847" s="127"/>
      <c r="D847" s="127"/>
      <c r="E847" s="127"/>
      <c r="F847" s="127"/>
      <c r="G847" s="127"/>
      <c r="H847" s="127"/>
      <c r="I847" s="127"/>
      <c r="J847" s="127"/>
      <c r="K847" s="127"/>
      <c r="L847" s="127"/>
      <c r="M847" s="127"/>
      <c r="N847" s="127"/>
      <c r="O847" s="127"/>
      <c r="P847" s="127"/>
      <c r="Q847" s="127"/>
      <c r="R847" s="127"/>
      <c r="S847" s="127"/>
      <c r="T847" s="127"/>
      <c r="U847" s="127"/>
      <c r="V847" s="127"/>
      <c r="W847" s="127"/>
      <c r="X847" s="127"/>
      <c r="Y847" s="127"/>
      <c r="Z847" s="127"/>
    </row>
    <row r="848" customFormat="false" ht="15.75" hidden="false" customHeight="false" outlineLevel="0" collapsed="false">
      <c r="A848" s="127"/>
      <c r="B848" s="127"/>
      <c r="C848" s="127"/>
      <c r="D848" s="127"/>
      <c r="E848" s="127"/>
      <c r="F848" s="127"/>
      <c r="G848" s="127"/>
      <c r="H848" s="127"/>
      <c r="I848" s="127"/>
      <c r="J848" s="127"/>
      <c r="K848" s="127"/>
      <c r="L848" s="127"/>
      <c r="M848" s="127"/>
      <c r="N848" s="127"/>
      <c r="O848" s="127"/>
      <c r="P848" s="127"/>
      <c r="Q848" s="127"/>
      <c r="R848" s="127"/>
      <c r="S848" s="127"/>
      <c r="T848" s="127"/>
      <c r="U848" s="127"/>
      <c r="V848" s="127"/>
      <c r="W848" s="127"/>
      <c r="X848" s="127"/>
      <c r="Y848" s="127"/>
      <c r="Z848" s="127"/>
    </row>
    <row r="849" customFormat="false" ht="15.75" hidden="false" customHeight="false" outlineLevel="0" collapsed="false">
      <c r="A849" s="127"/>
      <c r="B849" s="127"/>
      <c r="C849" s="127"/>
      <c r="D849" s="127"/>
      <c r="E849" s="127"/>
      <c r="F849" s="127"/>
      <c r="G849" s="127"/>
      <c r="H849" s="127"/>
      <c r="I849" s="127"/>
      <c r="J849" s="127"/>
      <c r="K849" s="127"/>
      <c r="L849" s="127"/>
      <c r="M849" s="127"/>
      <c r="N849" s="127"/>
      <c r="O849" s="127"/>
      <c r="P849" s="127"/>
      <c r="Q849" s="127"/>
      <c r="R849" s="127"/>
      <c r="S849" s="127"/>
      <c r="T849" s="127"/>
      <c r="U849" s="127"/>
      <c r="V849" s="127"/>
      <c r="W849" s="127"/>
      <c r="X849" s="127"/>
      <c r="Y849" s="127"/>
      <c r="Z849" s="127"/>
    </row>
    <row r="850" customFormat="false" ht="15.75" hidden="false" customHeight="false" outlineLevel="0" collapsed="false">
      <c r="A850" s="127"/>
      <c r="B850" s="127"/>
      <c r="C850" s="127"/>
      <c r="D850" s="127"/>
      <c r="E850" s="127"/>
      <c r="F850" s="127"/>
      <c r="G850" s="127"/>
      <c r="H850" s="127"/>
      <c r="I850" s="127"/>
      <c r="J850" s="127"/>
      <c r="K850" s="127"/>
      <c r="L850" s="127"/>
      <c r="M850" s="127"/>
      <c r="N850" s="127"/>
      <c r="O850" s="127"/>
      <c r="P850" s="127"/>
      <c r="Q850" s="127"/>
      <c r="R850" s="127"/>
      <c r="S850" s="127"/>
      <c r="T850" s="127"/>
      <c r="U850" s="127"/>
      <c r="V850" s="127"/>
      <c r="W850" s="127"/>
      <c r="X850" s="127"/>
      <c r="Y850" s="127"/>
      <c r="Z850" s="127"/>
    </row>
    <row r="851" customFormat="false" ht="15.75" hidden="false" customHeight="false" outlineLevel="0" collapsed="false">
      <c r="A851" s="127"/>
      <c r="B851" s="127"/>
      <c r="C851" s="127"/>
      <c r="D851" s="127"/>
      <c r="E851" s="127"/>
      <c r="F851" s="127"/>
      <c r="G851" s="127"/>
      <c r="H851" s="127"/>
      <c r="I851" s="127"/>
      <c r="J851" s="127"/>
      <c r="K851" s="127"/>
      <c r="L851" s="127"/>
      <c r="M851" s="127"/>
      <c r="N851" s="127"/>
      <c r="O851" s="127"/>
      <c r="P851" s="127"/>
      <c r="Q851" s="127"/>
      <c r="R851" s="127"/>
      <c r="S851" s="127"/>
      <c r="T851" s="127"/>
      <c r="U851" s="127"/>
      <c r="V851" s="127"/>
      <c r="W851" s="127"/>
      <c r="X851" s="127"/>
      <c r="Y851" s="127"/>
      <c r="Z851" s="127"/>
    </row>
    <row r="852" customFormat="false" ht="15.75" hidden="false" customHeight="false" outlineLevel="0" collapsed="false">
      <c r="A852" s="127"/>
      <c r="B852" s="127"/>
      <c r="C852" s="127"/>
      <c r="D852" s="127"/>
      <c r="E852" s="127"/>
      <c r="F852" s="127"/>
      <c r="G852" s="127"/>
      <c r="H852" s="127"/>
      <c r="I852" s="127"/>
      <c r="J852" s="127"/>
      <c r="K852" s="127"/>
      <c r="L852" s="127"/>
      <c r="M852" s="127"/>
      <c r="N852" s="127"/>
      <c r="O852" s="127"/>
      <c r="P852" s="127"/>
      <c r="Q852" s="127"/>
      <c r="R852" s="127"/>
      <c r="S852" s="127"/>
      <c r="T852" s="127"/>
      <c r="U852" s="127"/>
      <c r="V852" s="127"/>
      <c r="W852" s="127"/>
      <c r="X852" s="127"/>
      <c r="Y852" s="127"/>
      <c r="Z852" s="127"/>
    </row>
    <row r="853" customFormat="false" ht="15.75" hidden="false" customHeight="false" outlineLevel="0" collapsed="false">
      <c r="A853" s="127"/>
      <c r="B853" s="127"/>
      <c r="C853" s="127"/>
      <c r="D853" s="127"/>
      <c r="E853" s="127"/>
      <c r="F853" s="127"/>
      <c r="G853" s="127"/>
      <c r="H853" s="127"/>
      <c r="I853" s="127"/>
      <c r="J853" s="127"/>
      <c r="K853" s="127"/>
      <c r="L853" s="127"/>
      <c r="M853" s="127"/>
      <c r="N853" s="127"/>
      <c r="O853" s="127"/>
      <c r="P853" s="127"/>
      <c r="Q853" s="127"/>
      <c r="R853" s="127"/>
      <c r="S853" s="127"/>
      <c r="T853" s="127"/>
      <c r="U853" s="127"/>
      <c r="V853" s="127"/>
      <c r="W853" s="127"/>
      <c r="X853" s="127"/>
      <c r="Y853" s="127"/>
      <c r="Z853" s="127"/>
    </row>
    <row r="854" customFormat="false" ht="15.75" hidden="false" customHeight="false" outlineLevel="0" collapsed="false">
      <c r="A854" s="127"/>
      <c r="B854" s="127"/>
      <c r="C854" s="127"/>
      <c r="D854" s="127"/>
      <c r="E854" s="127"/>
      <c r="F854" s="127"/>
      <c r="G854" s="127"/>
      <c r="H854" s="127"/>
      <c r="I854" s="127"/>
      <c r="J854" s="127"/>
      <c r="K854" s="127"/>
      <c r="L854" s="127"/>
      <c r="M854" s="127"/>
      <c r="N854" s="127"/>
      <c r="O854" s="127"/>
      <c r="P854" s="127"/>
      <c r="Q854" s="127"/>
      <c r="R854" s="127"/>
      <c r="S854" s="127"/>
      <c r="T854" s="127"/>
      <c r="U854" s="127"/>
      <c r="V854" s="127"/>
      <c r="W854" s="127"/>
      <c r="X854" s="127"/>
      <c r="Y854" s="127"/>
      <c r="Z854" s="127"/>
    </row>
    <row r="855" customFormat="false" ht="15.75" hidden="false" customHeight="false" outlineLevel="0" collapsed="false">
      <c r="A855" s="127"/>
      <c r="B855" s="127"/>
      <c r="C855" s="127"/>
      <c r="D855" s="127"/>
      <c r="E855" s="127"/>
      <c r="F855" s="127"/>
      <c r="G855" s="127"/>
      <c r="H855" s="127"/>
      <c r="I855" s="127"/>
      <c r="J855" s="127"/>
      <c r="K855" s="127"/>
      <c r="L855" s="127"/>
      <c r="M855" s="127"/>
      <c r="N855" s="127"/>
      <c r="O855" s="127"/>
      <c r="P855" s="127"/>
      <c r="Q855" s="127"/>
      <c r="R855" s="127"/>
      <c r="S855" s="127"/>
      <c r="T855" s="127"/>
      <c r="U855" s="127"/>
      <c r="V855" s="127"/>
      <c r="W855" s="127"/>
      <c r="X855" s="127"/>
      <c r="Y855" s="127"/>
      <c r="Z855" s="127"/>
    </row>
    <row r="856" customFormat="false" ht="15.75" hidden="false" customHeight="false" outlineLevel="0" collapsed="false">
      <c r="A856" s="127"/>
      <c r="B856" s="127"/>
      <c r="C856" s="127"/>
      <c r="D856" s="127"/>
      <c r="E856" s="127"/>
      <c r="F856" s="127"/>
      <c r="G856" s="127"/>
      <c r="H856" s="127"/>
      <c r="I856" s="127"/>
      <c r="J856" s="127"/>
      <c r="K856" s="127"/>
      <c r="L856" s="127"/>
      <c r="M856" s="127"/>
      <c r="N856" s="127"/>
      <c r="O856" s="127"/>
      <c r="P856" s="127"/>
      <c r="Q856" s="127"/>
      <c r="R856" s="127"/>
      <c r="S856" s="127"/>
      <c r="T856" s="127"/>
      <c r="U856" s="127"/>
      <c r="V856" s="127"/>
      <c r="W856" s="127"/>
      <c r="X856" s="127"/>
      <c r="Y856" s="127"/>
      <c r="Z856" s="127"/>
    </row>
    <row r="857" customFormat="false" ht="15.75" hidden="false" customHeight="false" outlineLevel="0" collapsed="false">
      <c r="A857" s="127"/>
      <c r="B857" s="127"/>
      <c r="C857" s="127"/>
      <c r="D857" s="127"/>
      <c r="E857" s="127"/>
      <c r="F857" s="127"/>
      <c r="G857" s="127"/>
      <c r="H857" s="127"/>
      <c r="I857" s="127"/>
      <c r="J857" s="127"/>
      <c r="K857" s="127"/>
      <c r="L857" s="127"/>
      <c r="M857" s="127"/>
      <c r="N857" s="127"/>
      <c r="O857" s="127"/>
      <c r="P857" s="127"/>
      <c r="Q857" s="127"/>
      <c r="R857" s="127"/>
      <c r="S857" s="127"/>
      <c r="T857" s="127"/>
      <c r="U857" s="127"/>
      <c r="V857" s="127"/>
      <c r="W857" s="127"/>
      <c r="X857" s="127"/>
      <c r="Y857" s="127"/>
      <c r="Z857" s="127"/>
    </row>
    <row r="858" customFormat="false" ht="15.75" hidden="false" customHeight="false" outlineLevel="0" collapsed="false">
      <c r="A858" s="127"/>
      <c r="B858" s="127"/>
      <c r="C858" s="127"/>
      <c r="D858" s="127"/>
      <c r="E858" s="127"/>
      <c r="F858" s="127"/>
      <c r="G858" s="127"/>
      <c r="H858" s="127"/>
      <c r="I858" s="127"/>
      <c r="J858" s="127"/>
      <c r="K858" s="127"/>
      <c r="L858" s="127"/>
      <c r="M858" s="127"/>
      <c r="N858" s="127"/>
      <c r="O858" s="127"/>
      <c r="P858" s="127"/>
      <c r="Q858" s="127"/>
      <c r="R858" s="127"/>
      <c r="S858" s="127"/>
      <c r="T858" s="127"/>
      <c r="U858" s="127"/>
      <c r="V858" s="127"/>
      <c r="W858" s="127"/>
      <c r="X858" s="127"/>
      <c r="Y858" s="127"/>
      <c r="Z858" s="127"/>
    </row>
    <row r="859" customFormat="false" ht="15.75" hidden="false" customHeight="false" outlineLevel="0" collapsed="false">
      <c r="A859" s="127"/>
      <c r="B859" s="127"/>
      <c r="C859" s="127"/>
      <c r="D859" s="127"/>
      <c r="E859" s="127"/>
      <c r="F859" s="127"/>
      <c r="G859" s="127"/>
      <c r="H859" s="127"/>
      <c r="I859" s="127"/>
      <c r="J859" s="127"/>
      <c r="K859" s="127"/>
      <c r="L859" s="127"/>
      <c r="M859" s="127"/>
      <c r="N859" s="127"/>
      <c r="O859" s="127"/>
      <c r="P859" s="127"/>
      <c r="Q859" s="127"/>
      <c r="R859" s="127"/>
      <c r="S859" s="127"/>
      <c r="T859" s="127"/>
      <c r="U859" s="127"/>
      <c r="V859" s="127"/>
      <c r="W859" s="127"/>
      <c r="X859" s="127"/>
      <c r="Y859" s="127"/>
      <c r="Z859" s="127"/>
    </row>
    <row r="860" customFormat="false" ht="15.75" hidden="false" customHeight="false" outlineLevel="0" collapsed="false">
      <c r="A860" s="127"/>
      <c r="B860" s="127"/>
      <c r="C860" s="127"/>
      <c r="D860" s="127"/>
      <c r="E860" s="127"/>
      <c r="F860" s="127"/>
      <c r="G860" s="127"/>
      <c r="H860" s="127"/>
      <c r="I860" s="127"/>
      <c r="J860" s="127"/>
      <c r="K860" s="127"/>
      <c r="L860" s="127"/>
      <c r="M860" s="127"/>
      <c r="N860" s="127"/>
      <c r="O860" s="127"/>
      <c r="P860" s="127"/>
      <c r="Q860" s="127"/>
      <c r="R860" s="127"/>
      <c r="S860" s="127"/>
      <c r="T860" s="127"/>
      <c r="U860" s="127"/>
      <c r="V860" s="127"/>
      <c r="W860" s="127"/>
      <c r="X860" s="127"/>
      <c r="Y860" s="127"/>
      <c r="Z860" s="127"/>
    </row>
    <row r="861" customFormat="false" ht="15.75" hidden="false" customHeight="false" outlineLevel="0" collapsed="false">
      <c r="A861" s="127"/>
      <c r="B861" s="127"/>
      <c r="C861" s="127"/>
      <c r="D861" s="127"/>
      <c r="E861" s="127"/>
      <c r="F861" s="127"/>
      <c r="G861" s="127"/>
      <c r="H861" s="127"/>
      <c r="I861" s="127"/>
      <c r="J861" s="127"/>
      <c r="K861" s="127"/>
      <c r="L861" s="127"/>
      <c r="M861" s="127"/>
      <c r="N861" s="127"/>
      <c r="O861" s="127"/>
      <c r="P861" s="127"/>
      <c r="Q861" s="127"/>
      <c r="R861" s="127"/>
      <c r="S861" s="127"/>
      <c r="T861" s="127"/>
      <c r="U861" s="127"/>
      <c r="V861" s="127"/>
      <c r="W861" s="127"/>
      <c r="X861" s="127"/>
      <c r="Y861" s="127"/>
      <c r="Z861" s="127"/>
    </row>
    <row r="862" customFormat="false" ht="15.75" hidden="false" customHeight="false" outlineLevel="0" collapsed="false">
      <c r="A862" s="127"/>
      <c r="B862" s="127"/>
      <c r="C862" s="127"/>
      <c r="D862" s="127"/>
      <c r="E862" s="127"/>
      <c r="F862" s="127"/>
      <c r="G862" s="127"/>
      <c r="H862" s="127"/>
      <c r="I862" s="127"/>
      <c r="J862" s="127"/>
      <c r="K862" s="127"/>
      <c r="L862" s="127"/>
      <c r="M862" s="127"/>
      <c r="N862" s="127"/>
      <c r="O862" s="127"/>
      <c r="P862" s="127"/>
      <c r="Q862" s="127"/>
      <c r="R862" s="127"/>
      <c r="S862" s="127"/>
      <c r="T862" s="127"/>
      <c r="U862" s="127"/>
      <c r="V862" s="127"/>
      <c r="W862" s="127"/>
      <c r="X862" s="127"/>
      <c r="Y862" s="127"/>
      <c r="Z862" s="127"/>
    </row>
    <row r="863" customFormat="false" ht="15.75" hidden="false" customHeight="false" outlineLevel="0" collapsed="false">
      <c r="A863" s="127"/>
      <c r="B863" s="127"/>
      <c r="C863" s="127"/>
      <c r="D863" s="127"/>
      <c r="E863" s="127"/>
      <c r="F863" s="127"/>
      <c r="G863" s="127"/>
      <c r="H863" s="127"/>
      <c r="I863" s="127"/>
      <c r="J863" s="127"/>
      <c r="K863" s="127"/>
      <c r="L863" s="127"/>
      <c r="M863" s="127"/>
      <c r="N863" s="127"/>
      <c r="O863" s="127"/>
      <c r="P863" s="127"/>
      <c r="Q863" s="127"/>
      <c r="R863" s="127"/>
      <c r="S863" s="127"/>
      <c r="T863" s="127"/>
      <c r="U863" s="127"/>
      <c r="V863" s="127"/>
      <c r="W863" s="127"/>
      <c r="X863" s="127"/>
      <c r="Y863" s="127"/>
      <c r="Z863" s="127"/>
    </row>
    <row r="864" customFormat="false" ht="15.75" hidden="false" customHeight="false" outlineLevel="0" collapsed="false">
      <c r="A864" s="127"/>
      <c r="B864" s="127"/>
      <c r="C864" s="127"/>
      <c r="D864" s="127"/>
      <c r="E864" s="127"/>
      <c r="F864" s="127"/>
      <c r="G864" s="127"/>
      <c r="H864" s="127"/>
      <c r="I864" s="127"/>
      <c r="J864" s="127"/>
      <c r="K864" s="127"/>
      <c r="L864" s="127"/>
      <c r="M864" s="127"/>
      <c r="N864" s="127"/>
      <c r="O864" s="127"/>
      <c r="P864" s="127"/>
      <c r="Q864" s="127"/>
      <c r="R864" s="127"/>
      <c r="S864" s="127"/>
      <c r="T864" s="127"/>
      <c r="U864" s="127"/>
      <c r="V864" s="127"/>
      <c r="W864" s="127"/>
      <c r="X864" s="127"/>
      <c r="Y864" s="127"/>
      <c r="Z864" s="127"/>
    </row>
    <row r="865" customFormat="false" ht="15.75" hidden="false" customHeight="false" outlineLevel="0" collapsed="false">
      <c r="A865" s="127"/>
      <c r="B865" s="127"/>
      <c r="C865" s="127"/>
      <c r="D865" s="127"/>
      <c r="E865" s="127"/>
      <c r="F865" s="127"/>
      <c r="G865" s="127"/>
      <c r="H865" s="127"/>
      <c r="I865" s="127"/>
      <c r="J865" s="127"/>
      <c r="K865" s="127"/>
      <c r="L865" s="127"/>
      <c r="M865" s="127"/>
      <c r="N865" s="127"/>
      <c r="O865" s="127"/>
      <c r="P865" s="127"/>
      <c r="Q865" s="127"/>
      <c r="R865" s="127"/>
      <c r="S865" s="127"/>
      <c r="T865" s="127"/>
      <c r="U865" s="127"/>
      <c r="V865" s="127"/>
      <c r="W865" s="127"/>
      <c r="X865" s="127"/>
      <c r="Y865" s="127"/>
      <c r="Z865" s="127"/>
    </row>
    <row r="866" customFormat="false" ht="15.75" hidden="false" customHeight="false" outlineLevel="0" collapsed="false">
      <c r="A866" s="127"/>
      <c r="B866" s="127"/>
      <c r="C866" s="127"/>
      <c r="D866" s="127"/>
      <c r="E866" s="127"/>
      <c r="F866" s="127"/>
      <c r="G866" s="127"/>
      <c r="H866" s="127"/>
      <c r="I866" s="127"/>
      <c r="J866" s="127"/>
      <c r="K866" s="127"/>
      <c r="L866" s="127"/>
      <c r="M866" s="127"/>
      <c r="N866" s="127"/>
      <c r="O866" s="127"/>
      <c r="P866" s="127"/>
      <c r="Q866" s="127"/>
      <c r="R866" s="127"/>
      <c r="S866" s="127"/>
      <c r="T866" s="127"/>
      <c r="U866" s="127"/>
      <c r="V866" s="127"/>
      <c r="W866" s="127"/>
      <c r="X866" s="127"/>
      <c r="Y866" s="127"/>
      <c r="Z866" s="127"/>
    </row>
    <row r="867" customFormat="false" ht="15.75" hidden="false" customHeight="false" outlineLevel="0" collapsed="false">
      <c r="A867" s="127"/>
      <c r="B867" s="127"/>
      <c r="C867" s="127"/>
      <c r="D867" s="127"/>
      <c r="E867" s="127"/>
      <c r="F867" s="127"/>
      <c r="G867" s="127"/>
      <c r="H867" s="127"/>
      <c r="I867" s="127"/>
      <c r="J867" s="127"/>
      <c r="K867" s="127"/>
      <c r="L867" s="127"/>
      <c r="M867" s="127"/>
      <c r="N867" s="127"/>
      <c r="O867" s="127"/>
      <c r="P867" s="127"/>
      <c r="Q867" s="127"/>
      <c r="R867" s="127"/>
      <c r="S867" s="127"/>
      <c r="T867" s="127"/>
      <c r="U867" s="127"/>
      <c r="V867" s="127"/>
      <c r="W867" s="127"/>
      <c r="X867" s="127"/>
      <c r="Y867" s="127"/>
      <c r="Z867" s="127"/>
    </row>
    <row r="868" customFormat="false" ht="15.75" hidden="false" customHeight="false" outlineLevel="0" collapsed="false">
      <c r="A868" s="127"/>
      <c r="B868" s="127"/>
      <c r="C868" s="127"/>
      <c r="D868" s="127"/>
      <c r="E868" s="127"/>
      <c r="F868" s="127"/>
      <c r="G868" s="127"/>
      <c r="H868" s="127"/>
      <c r="I868" s="127"/>
      <c r="J868" s="127"/>
      <c r="K868" s="127"/>
      <c r="L868" s="127"/>
      <c r="M868" s="127"/>
      <c r="N868" s="127"/>
      <c r="O868" s="127"/>
      <c r="P868" s="127"/>
      <c r="Q868" s="127"/>
      <c r="R868" s="127"/>
      <c r="S868" s="127"/>
      <c r="T868" s="127"/>
      <c r="U868" s="127"/>
      <c r="V868" s="127"/>
      <c r="W868" s="127"/>
      <c r="X868" s="127"/>
      <c r="Y868" s="127"/>
      <c r="Z868" s="127"/>
    </row>
    <row r="869" customFormat="false" ht="15.75" hidden="false" customHeight="false" outlineLevel="0" collapsed="false">
      <c r="A869" s="127"/>
      <c r="B869" s="127"/>
      <c r="C869" s="127"/>
      <c r="D869" s="127"/>
      <c r="E869" s="127"/>
      <c r="F869" s="127"/>
      <c r="G869" s="127"/>
      <c r="H869" s="127"/>
      <c r="I869" s="127"/>
      <c r="J869" s="127"/>
      <c r="K869" s="127"/>
      <c r="L869" s="127"/>
      <c r="M869" s="127"/>
      <c r="N869" s="127"/>
      <c r="O869" s="127"/>
      <c r="P869" s="127"/>
      <c r="Q869" s="127"/>
      <c r="R869" s="127"/>
      <c r="S869" s="127"/>
      <c r="T869" s="127"/>
      <c r="U869" s="127"/>
      <c r="V869" s="127"/>
      <c r="W869" s="127"/>
      <c r="X869" s="127"/>
      <c r="Y869" s="127"/>
      <c r="Z869" s="127"/>
    </row>
    <row r="870" customFormat="false" ht="15.75" hidden="false" customHeight="false" outlineLevel="0" collapsed="false">
      <c r="A870" s="127"/>
      <c r="B870" s="127"/>
      <c r="C870" s="127"/>
      <c r="D870" s="127"/>
      <c r="E870" s="127"/>
      <c r="F870" s="127"/>
      <c r="G870" s="127"/>
      <c r="H870" s="127"/>
      <c r="I870" s="127"/>
      <c r="J870" s="127"/>
      <c r="K870" s="127"/>
      <c r="L870" s="127"/>
      <c r="M870" s="127"/>
      <c r="N870" s="127"/>
      <c r="O870" s="127"/>
      <c r="P870" s="127"/>
      <c r="Q870" s="127"/>
      <c r="R870" s="127"/>
      <c r="S870" s="127"/>
      <c r="T870" s="127"/>
      <c r="U870" s="127"/>
      <c r="V870" s="127"/>
      <c r="W870" s="127"/>
      <c r="X870" s="127"/>
      <c r="Y870" s="127"/>
      <c r="Z870" s="127"/>
    </row>
    <row r="871" customFormat="false" ht="15.75" hidden="false" customHeight="false" outlineLevel="0" collapsed="false">
      <c r="A871" s="127"/>
      <c r="B871" s="127"/>
      <c r="C871" s="127"/>
      <c r="D871" s="127"/>
      <c r="E871" s="127"/>
      <c r="F871" s="127"/>
      <c r="G871" s="127"/>
      <c r="H871" s="127"/>
      <c r="I871" s="127"/>
      <c r="J871" s="127"/>
      <c r="K871" s="127"/>
      <c r="L871" s="127"/>
      <c r="M871" s="127"/>
      <c r="N871" s="127"/>
      <c r="O871" s="127"/>
      <c r="P871" s="127"/>
      <c r="Q871" s="127"/>
      <c r="R871" s="127"/>
      <c r="S871" s="127"/>
      <c r="T871" s="127"/>
      <c r="U871" s="127"/>
      <c r="V871" s="127"/>
      <c r="W871" s="127"/>
      <c r="X871" s="127"/>
      <c r="Y871" s="127"/>
      <c r="Z871" s="127"/>
    </row>
    <row r="872" customFormat="false" ht="15.75" hidden="false" customHeight="false" outlineLevel="0" collapsed="false">
      <c r="A872" s="127"/>
      <c r="B872" s="127"/>
      <c r="C872" s="127"/>
      <c r="D872" s="127"/>
      <c r="E872" s="127"/>
      <c r="F872" s="127"/>
      <c r="G872" s="127"/>
      <c r="H872" s="127"/>
      <c r="I872" s="127"/>
      <c r="J872" s="127"/>
      <c r="K872" s="127"/>
      <c r="L872" s="127"/>
      <c r="M872" s="127"/>
      <c r="N872" s="127"/>
      <c r="O872" s="127"/>
      <c r="P872" s="127"/>
      <c r="Q872" s="127"/>
      <c r="R872" s="127"/>
      <c r="S872" s="127"/>
      <c r="T872" s="127"/>
      <c r="U872" s="127"/>
      <c r="V872" s="127"/>
      <c r="W872" s="127"/>
      <c r="X872" s="127"/>
      <c r="Y872" s="127"/>
      <c r="Z872" s="127"/>
    </row>
    <row r="873" customFormat="false" ht="15.75" hidden="false" customHeight="false" outlineLevel="0" collapsed="false">
      <c r="A873" s="127"/>
      <c r="B873" s="127"/>
      <c r="C873" s="127"/>
      <c r="D873" s="127"/>
      <c r="E873" s="127"/>
      <c r="F873" s="127"/>
      <c r="G873" s="127"/>
      <c r="H873" s="127"/>
      <c r="I873" s="127"/>
      <c r="J873" s="127"/>
      <c r="K873" s="127"/>
      <c r="L873" s="127"/>
      <c r="M873" s="127"/>
      <c r="N873" s="127"/>
      <c r="O873" s="127"/>
      <c r="P873" s="127"/>
      <c r="Q873" s="127"/>
      <c r="R873" s="127"/>
      <c r="S873" s="127"/>
      <c r="T873" s="127"/>
      <c r="U873" s="127"/>
      <c r="V873" s="127"/>
      <c r="W873" s="127"/>
      <c r="X873" s="127"/>
      <c r="Y873" s="127"/>
      <c r="Z873" s="127"/>
    </row>
    <row r="874" customFormat="false" ht="15.75" hidden="false" customHeight="false" outlineLevel="0" collapsed="false">
      <c r="A874" s="127"/>
      <c r="B874" s="127"/>
      <c r="C874" s="127"/>
      <c r="D874" s="127"/>
      <c r="E874" s="127"/>
      <c r="F874" s="127"/>
      <c r="G874" s="127"/>
      <c r="H874" s="127"/>
      <c r="I874" s="127"/>
      <c r="J874" s="127"/>
      <c r="K874" s="127"/>
      <c r="L874" s="127"/>
      <c r="M874" s="127"/>
      <c r="N874" s="127"/>
      <c r="O874" s="127"/>
      <c r="P874" s="127"/>
      <c r="Q874" s="127"/>
      <c r="R874" s="127"/>
      <c r="S874" s="127"/>
      <c r="T874" s="127"/>
      <c r="U874" s="127"/>
      <c r="V874" s="127"/>
      <c r="W874" s="127"/>
      <c r="X874" s="127"/>
      <c r="Y874" s="127"/>
      <c r="Z874" s="127"/>
    </row>
    <row r="875" customFormat="false" ht="15.75" hidden="false" customHeight="false" outlineLevel="0" collapsed="false">
      <c r="A875" s="127"/>
      <c r="B875" s="127"/>
      <c r="C875" s="127"/>
      <c r="D875" s="127"/>
      <c r="E875" s="127"/>
      <c r="F875" s="127"/>
      <c r="G875" s="127"/>
      <c r="H875" s="127"/>
      <c r="I875" s="127"/>
      <c r="J875" s="127"/>
      <c r="K875" s="127"/>
      <c r="L875" s="127"/>
      <c r="M875" s="127"/>
      <c r="N875" s="127"/>
      <c r="O875" s="127"/>
      <c r="P875" s="127"/>
      <c r="Q875" s="127"/>
      <c r="R875" s="127"/>
      <c r="S875" s="127"/>
      <c r="T875" s="127"/>
      <c r="U875" s="127"/>
      <c r="V875" s="127"/>
      <c r="W875" s="127"/>
      <c r="X875" s="127"/>
      <c r="Y875" s="127"/>
      <c r="Z875" s="127"/>
    </row>
    <row r="876" customFormat="false" ht="15.75" hidden="false" customHeight="false" outlineLevel="0" collapsed="false">
      <c r="A876" s="127"/>
      <c r="B876" s="127"/>
      <c r="C876" s="127"/>
      <c r="D876" s="127"/>
      <c r="E876" s="127"/>
      <c r="F876" s="127"/>
      <c r="G876" s="127"/>
      <c r="H876" s="127"/>
      <c r="I876" s="127"/>
      <c r="J876" s="127"/>
      <c r="K876" s="127"/>
      <c r="L876" s="127"/>
      <c r="M876" s="127"/>
      <c r="N876" s="127"/>
      <c r="O876" s="127"/>
      <c r="P876" s="127"/>
      <c r="Q876" s="127"/>
      <c r="R876" s="127"/>
      <c r="S876" s="127"/>
      <c r="T876" s="127"/>
      <c r="U876" s="127"/>
      <c r="V876" s="127"/>
      <c r="W876" s="127"/>
      <c r="X876" s="127"/>
      <c r="Y876" s="127"/>
      <c r="Z876" s="127"/>
    </row>
    <row r="877" customFormat="false" ht="15.75" hidden="false" customHeight="false" outlineLevel="0" collapsed="false">
      <c r="A877" s="127"/>
      <c r="B877" s="127"/>
      <c r="C877" s="127"/>
      <c r="D877" s="127"/>
      <c r="E877" s="127"/>
      <c r="F877" s="127"/>
      <c r="G877" s="127"/>
      <c r="H877" s="127"/>
      <c r="I877" s="127"/>
      <c r="J877" s="127"/>
      <c r="K877" s="127"/>
      <c r="L877" s="127"/>
      <c r="M877" s="127"/>
      <c r="N877" s="127"/>
      <c r="O877" s="127"/>
      <c r="P877" s="127"/>
      <c r="Q877" s="127"/>
      <c r="R877" s="127"/>
      <c r="S877" s="127"/>
      <c r="T877" s="127"/>
      <c r="U877" s="127"/>
      <c r="V877" s="127"/>
      <c r="W877" s="127"/>
      <c r="X877" s="127"/>
      <c r="Y877" s="127"/>
      <c r="Z877" s="127"/>
    </row>
    <row r="878" customFormat="false" ht="15.75" hidden="false" customHeight="false" outlineLevel="0" collapsed="false">
      <c r="A878" s="127"/>
      <c r="B878" s="127"/>
      <c r="C878" s="127"/>
      <c r="D878" s="127"/>
      <c r="E878" s="127"/>
      <c r="F878" s="127"/>
      <c r="G878" s="127"/>
      <c r="H878" s="127"/>
      <c r="I878" s="127"/>
      <c r="J878" s="127"/>
      <c r="K878" s="127"/>
      <c r="L878" s="127"/>
      <c r="M878" s="127"/>
      <c r="N878" s="127"/>
      <c r="O878" s="127"/>
      <c r="P878" s="127"/>
      <c r="Q878" s="127"/>
      <c r="R878" s="127"/>
      <c r="S878" s="127"/>
      <c r="T878" s="127"/>
      <c r="U878" s="127"/>
      <c r="V878" s="127"/>
      <c r="W878" s="127"/>
      <c r="X878" s="127"/>
      <c r="Y878" s="127"/>
      <c r="Z878" s="127"/>
    </row>
    <row r="879" customFormat="false" ht="15.75" hidden="false" customHeight="false" outlineLevel="0" collapsed="false">
      <c r="A879" s="127"/>
      <c r="B879" s="127"/>
      <c r="C879" s="127"/>
      <c r="D879" s="127"/>
      <c r="E879" s="127"/>
      <c r="F879" s="127"/>
      <c r="G879" s="127"/>
      <c r="H879" s="127"/>
      <c r="I879" s="127"/>
      <c r="J879" s="127"/>
      <c r="K879" s="127"/>
      <c r="L879" s="127"/>
      <c r="M879" s="127"/>
      <c r="N879" s="127"/>
      <c r="O879" s="127"/>
      <c r="P879" s="127"/>
      <c r="Q879" s="127"/>
      <c r="R879" s="127"/>
      <c r="S879" s="127"/>
      <c r="T879" s="127"/>
      <c r="U879" s="127"/>
      <c r="V879" s="127"/>
      <c r="W879" s="127"/>
      <c r="X879" s="127"/>
      <c r="Y879" s="127"/>
      <c r="Z879" s="127"/>
    </row>
    <row r="880" customFormat="false" ht="15.75" hidden="false" customHeight="false" outlineLevel="0" collapsed="false">
      <c r="A880" s="127"/>
      <c r="B880" s="127"/>
      <c r="C880" s="127"/>
      <c r="D880" s="127"/>
      <c r="E880" s="127"/>
      <c r="F880" s="127"/>
      <c r="G880" s="127"/>
      <c r="H880" s="127"/>
      <c r="I880" s="127"/>
      <c r="J880" s="127"/>
      <c r="K880" s="127"/>
      <c r="L880" s="127"/>
      <c r="M880" s="127"/>
      <c r="N880" s="127"/>
      <c r="O880" s="127"/>
      <c r="P880" s="127"/>
      <c r="Q880" s="127"/>
      <c r="R880" s="127"/>
      <c r="S880" s="127"/>
      <c r="T880" s="127"/>
      <c r="U880" s="127"/>
      <c r="V880" s="127"/>
      <c r="W880" s="127"/>
      <c r="X880" s="127"/>
      <c r="Y880" s="127"/>
      <c r="Z880" s="127"/>
    </row>
    <row r="881" customFormat="false" ht="15.75" hidden="false" customHeight="false" outlineLevel="0" collapsed="false">
      <c r="A881" s="127"/>
      <c r="B881" s="127"/>
      <c r="C881" s="127"/>
      <c r="D881" s="127"/>
      <c r="E881" s="127"/>
      <c r="F881" s="127"/>
      <c r="G881" s="127"/>
      <c r="H881" s="127"/>
      <c r="I881" s="127"/>
      <c r="J881" s="127"/>
      <c r="K881" s="127"/>
      <c r="L881" s="127"/>
      <c r="M881" s="127"/>
      <c r="N881" s="127"/>
      <c r="O881" s="127"/>
      <c r="P881" s="127"/>
      <c r="Q881" s="127"/>
      <c r="R881" s="127"/>
      <c r="S881" s="127"/>
      <c r="T881" s="127"/>
      <c r="U881" s="127"/>
      <c r="V881" s="127"/>
      <c r="W881" s="127"/>
      <c r="X881" s="127"/>
      <c r="Y881" s="127"/>
      <c r="Z881" s="127"/>
    </row>
    <row r="882" customFormat="false" ht="15.75" hidden="false" customHeight="false" outlineLevel="0" collapsed="false">
      <c r="A882" s="127"/>
      <c r="B882" s="127"/>
      <c r="C882" s="127"/>
      <c r="D882" s="127"/>
      <c r="E882" s="127"/>
      <c r="F882" s="127"/>
      <c r="G882" s="127"/>
      <c r="H882" s="127"/>
      <c r="I882" s="127"/>
      <c r="J882" s="127"/>
      <c r="K882" s="127"/>
      <c r="L882" s="127"/>
      <c r="M882" s="127"/>
      <c r="N882" s="127"/>
      <c r="O882" s="127"/>
      <c r="P882" s="127"/>
      <c r="Q882" s="127"/>
      <c r="R882" s="127"/>
      <c r="S882" s="127"/>
      <c r="T882" s="127"/>
      <c r="U882" s="127"/>
      <c r="V882" s="127"/>
      <c r="W882" s="127"/>
      <c r="X882" s="127"/>
      <c r="Y882" s="127"/>
      <c r="Z882" s="127"/>
    </row>
    <row r="883" customFormat="false" ht="15.75" hidden="false" customHeight="false" outlineLevel="0" collapsed="false">
      <c r="A883" s="127"/>
      <c r="B883" s="127"/>
      <c r="C883" s="127"/>
      <c r="D883" s="127"/>
      <c r="E883" s="127"/>
      <c r="F883" s="127"/>
      <c r="G883" s="127"/>
      <c r="H883" s="127"/>
      <c r="I883" s="127"/>
      <c r="J883" s="127"/>
      <c r="K883" s="127"/>
      <c r="L883" s="127"/>
      <c r="M883" s="127"/>
      <c r="N883" s="127"/>
      <c r="O883" s="127"/>
      <c r="P883" s="127"/>
      <c r="Q883" s="127"/>
      <c r="R883" s="127"/>
      <c r="S883" s="127"/>
      <c r="T883" s="127"/>
      <c r="U883" s="127"/>
      <c r="V883" s="127"/>
      <c r="W883" s="127"/>
      <c r="X883" s="127"/>
      <c r="Y883" s="127"/>
      <c r="Z883" s="127"/>
    </row>
    <row r="884" customFormat="false" ht="15.75" hidden="false" customHeight="false" outlineLevel="0" collapsed="false">
      <c r="A884" s="127"/>
      <c r="B884" s="127"/>
      <c r="C884" s="127"/>
      <c r="D884" s="127"/>
      <c r="E884" s="127"/>
      <c r="F884" s="127"/>
      <c r="G884" s="127"/>
      <c r="H884" s="127"/>
      <c r="I884" s="127"/>
      <c r="J884" s="127"/>
      <c r="K884" s="127"/>
      <c r="L884" s="127"/>
      <c r="M884" s="127"/>
      <c r="N884" s="127"/>
      <c r="O884" s="127"/>
      <c r="P884" s="127"/>
      <c r="Q884" s="127"/>
      <c r="R884" s="127"/>
      <c r="S884" s="127"/>
      <c r="T884" s="127"/>
      <c r="U884" s="127"/>
      <c r="V884" s="127"/>
      <c r="W884" s="127"/>
      <c r="X884" s="127"/>
      <c r="Y884" s="127"/>
      <c r="Z884" s="127"/>
    </row>
    <row r="885" customFormat="false" ht="15.75" hidden="false" customHeight="false" outlineLevel="0" collapsed="false">
      <c r="A885" s="127"/>
      <c r="B885" s="127"/>
      <c r="C885" s="127"/>
      <c r="D885" s="127"/>
      <c r="E885" s="127"/>
      <c r="F885" s="127"/>
      <c r="G885" s="127"/>
      <c r="H885" s="127"/>
      <c r="I885" s="127"/>
      <c r="J885" s="127"/>
      <c r="K885" s="127"/>
      <c r="L885" s="127"/>
      <c r="M885" s="127"/>
      <c r="N885" s="127"/>
      <c r="O885" s="127"/>
      <c r="P885" s="127"/>
      <c r="Q885" s="127"/>
      <c r="R885" s="127"/>
      <c r="S885" s="127"/>
      <c r="T885" s="127"/>
      <c r="U885" s="127"/>
      <c r="V885" s="127"/>
      <c r="W885" s="127"/>
      <c r="X885" s="127"/>
      <c r="Y885" s="127"/>
      <c r="Z885" s="127"/>
    </row>
    <row r="886" customFormat="false" ht="15.75" hidden="false" customHeight="false" outlineLevel="0" collapsed="false">
      <c r="A886" s="127"/>
      <c r="B886" s="127"/>
      <c r="C886" s="127"/>
      <c r="D886" s="127"/>
      <c r="E886" s="127"/>
      <c r="F886" s="127"/>
      <c r="G886" s="127"/>
      <c r="H886" s="127"/>
      <c r="I886" s="127"/>
      <c r="J886" s="127"/>
      <c r="K886" s="127"/>
      <c r="L886" s="127"/>
      <c r="M886" s="127"/>
      <c r="N886" s="127"/>
      <c r="O886" s="127"/>
      <c r="P886" s="127"/>
      <c r="Q886" s="127"/>
      <c r="R886" s="127"/>
      <c r="S886" s="127"/>
      <c r="T886" s="127"/>
      <c r="U886" s="127"/>
      <c r="V886" s="127"/>
      <c r="W886" s="127"/>
      <c r="X886" s="127"/>
      <c r="Y886" s="127"/>
      <c r="Z886" s="127"/>
    </row>
    <row r="887" customFormat="false" ht="15.75" hidden="false" customHeight="false" outlineLevel="0" collapsed="false">
      <c r="A887" s="127"/>
      <c r="B887" s="127"/>
      <c r="C887" s="127"/>
      <c r="D887" s="127"/>
      <c r="E887" s="127"/>
      <c r="F887" s="127"/>
      <c r="G887" s="127"/>
      <c r="H887" s="127"/>
      <c r="I887" s="127"/>
      <c r="J887" s="127"/>
      <c r="K887" s="127"/>
      <c r="L887" s="127"/>
      <c r="M887" s="127"/>
      <c r="N887" s="127"/>
      <c r="O887" s="127"/>
      <c r="P887" s="127"/>
      <c r="Q887" s="127"/>
      <c r="R887" s="127"/>
      <c r="S887" s="127"/>
      <c r="T887" s="127"/>
      <c r="U887" s="127"/>
      <c r="V887" s="127"/>
      <c r="W887" s="127"/>
      <c r="X887" s="127"/>
      <c r="Y887" s="127"/>
      <c r="Z887" s="127"/>
    </row>
    <row r="888" customFormat="false" ht="15.75" hidden="false" customHeight="false" outlineLevel="0" collapsed="false">
      <c r="A888" s="127"/>
      <c r="B888" s="127"/>
      <c r="C888" s="127"/>
      <c r="D888" s="127"/>
      <c r="E888" s="127"/>
      <c r="F888" s="127"/>
      <c r="G888" s="127"/>
      <c r="H888" s="127"/>
      <c r="I888" s="127"/>
      <c r="J888" s="127"/>
      <c r="K888" s="127"/>
      <c r="L888" s="127"/>
      <c r="M888" s="127"/>
      <c r="N888" s="127"/>
      <c r="O888" s="127"/>
      <c r="P888" s="127"/>
      <c r="Q888" s="127"/>
      <c r="R888" s="127"/>
      <c r="S888" s="127"/>
      <c r="T888" s="127"/>
      <c r="U888" s="127"/>
      <c r="V888" s="127"/>
      <c r="W888" s="127"/>
      <c r="X888" s="127"/>
      <c r="Y888" s="127"/>
      <c r="Z888" s="127"/>
    </row>
    <row r="889" customFormat="false" ht="15.75" hidden="false" customHeight="false" outlineLevel="0" collapsed="false">
      <c r="A889" s="127"/>
      <c r="B889" s="127"/>
      <c r="C889" s="127"/>
      <c r="D889" s="127"/>
      <c r="E889" s="127"/>
      <c r="F889" s="127"/>
      <c r="G889" s="127"/>
      <c r="H889" s="127"/>
      <c r="I889" s="127"/>
      <c r="J889" s="127"/>
      <c r="K889" s="127"/>
      <c r="L889" s="127"/>
      <c r="M889" s="127"/>
      <c r="N889" s="127"/>
      <c r="O889" s="127"/>
      <c r="P889" s="127"/>
      <c r="Q889" s="127"/>
      <c r="R889" s="127"/>
      <c r="S889" s="127"/>
      <c r="T889" s="127"/>
      <c r="U889" s="127"/>
      <c r="V889" s="127"/>
      <c r="W889" s="127"/>
      <c r="X889" s="127"/>
      <c r="Y889" s="127"/>
      <c r="Z889" s="127"/>
    </row>
    <row r="890" customFormat="false" ht="15.75" hidden="false" customHeight="false" outlineLevel="0" collapsed="false">
      <c r="A890" s="127"/>
      <c r="B890" s="127"/>
      <c r="C890" s="127"/>
      <c r="D890" s="127"/>
      <c r="E890" s="127"/>
      <c r="F890" s="127"/>
      <c r="G890" s="127"/>
      <c r="H890" s="127"/>
      <c r="I890" s="127"/>
      <c r="J890" s="127"/>
      <c r="K890" s="127"/>
      <c r="L890" s="127"/>
      <c r="M890" s="127"/>
      <c r="N890" s="127"/>
      <c r="O890" s="127"/>
      <c r="P890" s="127"/>
      <c r="Q890" s="127"/>
      <c r="R890" s="127"/>
      <c r="S890" s="127"/>
      <c r="T890" s="127"/>
      <c r="U890" s="127"/>
      <c r="V890" s="127"/>
      <c r="W890" s="127"/>
      <c r="X890" s="127"/>
      <c r="Y890" s="127"/>
      <c r="Z890" s="127"/>
    </row>
    <row r="891" customFormat="false" ht="15.75" hidden="false" customHeight="false" outlineLevel="0" collapsed="false">
      <c r="A891" s="127"/>
      <c r="B891" s="127"/>
      <c r="C891" s="127"/>
      <c r="D891" s="127"/>
      <c r="E891" s="127"/>
      <c r="F891" s="127"/>
      <c r="G891" s="127"/>
      <c r="H891" s="127"/>
      <c r="I891" s="127"/>
      <c r="J891" s="127"/>
      <c r="K891" s="127"/>
      <c r="L891" s="127"/>
      <c r="M891" s="127"/>
      <c r="N891" s="127"/>
      <c r="O891" s="127"/>
      <c r="P891" s="127"/>
      <c r="Q891" s="127"/>
      <c r="R891" s="127"/>
      <c r="S891" s="127"/>
      <c r="T891" s="127"/>
      <c r="U891" s="127"/>
      <c r="V891" s="127"/>
      <c r="W891" s="127"/>
      <c r="X891" s="127"/>
      <c r="Y891" s="127"/>
      <c r="Z891" s="127"/>
    </row>
    <row r="892" customFormat="false" ht="15.75" hidden="false" customHeight="false" outlineLevel="0" collapsed="false">
      <c r="A892" s="127"/>
      <c r="B892" s="127"/>
      <c r="C892" s="127"/>
      <c r="D892" s="127"/>
      <c r="E892" s="127"/>
      <c r="F892" s="127"/>
      <c r="G892" s="127"/>
      <c r="H892" s="127"/>
      <c r="I892" s="127"/>
      <c r="J892" s="127"/>
      <c r="K892" s="127"/>
      <c r="L892" s="127"/>
      <c r="M892" s="127"/>
      <c r="N892" s="127"/>
      <c r="O892" s="127"/>
      <c r="P892" s="127"/>
      <c r="Q892" s="127"/>
      <c r="R892" s="127"/>
      <c r="S892" s="127"/>
      <c r="T892" s="127"/>
      <c r="U892" s="127"/>
      <c r="V892" s="127"/>
      <c r="W892" s="127"/>
      <c r="X892" s="127"/>
      <c r="Y892" s="127"/>
      <c r="Z892" s="127"/>
    </row>
    <row r="893" customFormat="false" ht="15.75" hidden="false" customHeight="false" outlineLevel="0" collapsed="false">
      <c r="A893" s="127"/>
      <c r="B893" s="127"/>
      <c r="C893" s="127"/>
      <c r="D893" s="127"/>
      <c r="E893" s="127"/>
      <c r="F893" s="127"/>
      <c r="G893" s="127"/>
      <c r="H893" s="127"/>
      <c r="I893" s="127"/>
      <c r="J893" s="127"/>
      <c r="K893" s="127"/>
      <c r="L893" s="127"/>
      <c r="M893" s="127"/>
      <c r="N893" s="127"/>
      <c r="O893" s="127"/>
      <c r="P893" s="127"/>
      <c r="Q893" s="127"/>
      <c r="R893" s="127"/>
      <c r="S893" s="127"/>
      <c r="T893" s="127"/>
      <c r="U893" s="127"/>
      <c r="V893" s="127"/>
      <c r="W893" s="127"/>
      <c r="X893" s="127"/>
      <c r="Y893" s="127"/>
      <c r="Z893" s="127"/>
    </row>
    <row r="894" customFormat="false" ht="15.75" hidden="false" customHeight="false" outlineLevel="0" collapsed="false">
      <c r="A894" s="127"/>
      <c r="B894" s="127"/>
      <c r="C894" s="127"/>
      <c r="D894" s="127"/>
      <c r="E894" s="127"/>
      <c r="F894" s="127"/>
      <c r="G894" s="127"/>
      <c r="H894" s="127"/>
      <c r="I894" s="127"/>
      <c r="J894" s="127"/>
      <c r="K894" s="127"/>
      <c r="L894" s="127"/>
      <c r="M894" s="127"/>
      <c r="N894" s="127"/>
      <c r="O894" s="127"/>
      <c r="P894" s="127"/>
      <c r="Q894" s="127"/>
      <c r="R894" s="127"/>
      <c r="S894" s="127"/>
      <c r="T894" s="127"/>
      <c r="U894" s="127"/>
      <c r="V894" s="127"/>
      <c r="W894" s="127"/>
      <c r="X894" s="127"/>
      <c r="Y894" s="127"/>
      <c r="Z894" s="127"/>
    </row>
    <row r="895" customFormat="false" ht="15.75" hidden="false" customHeight="false" outlineLevel="0" collapsed="false">
      <c r="A895" s="127"/>
      <c r="B895" s="127"/>
      <c r="C895" s="127"/>
      <c r="D895" s="127"/>
      <c r="E895" s="127"/>
      <c r="F895" s="127"/>
      <c r="G895" s="127"/>
      <c r="H895" s="127"/>
      <c r="I895" s="127"/>
      <c r="J895" s="127"/>
      <c r="K895" s="127"/>
      <c r="L895" s="127"/>
      <c r="M895" s="127"/>
      <c r="N895" s="127"/>
      <c r="O895" s="127"/>
      <c r="P895" s="127"/>
      <c r="Q895" s="127"/>
      <c r="R895" s="127"/>
      <c r="S895" s="127"/>
      <c r="T895" s="127"/>
      <c r="U895" s="127"/>
      <c r="V895" s="127"/>
      <c r="W895" s="127"/>
      <c r="X895" s="127"/>
      <c r="Y895" s="127"/>
      <c r="Z895" s="127"/>
    </row>
    <row r="896" customFormat="false" ht="15.75" hidden="false" customHeight="false" outlineLevel="0" collapsed="false">
      <c r="A896" s="127"/>
      <c r="B896" s="127"/>
      <c r="C896" s="127"/>
      <c r="D896" s="127"/>
      <c r="E896" s="127"/>
      <c r="F896" s="127"/>
      <c r="G896" s="127"/>
      <c r="H896" s="127"/>
      <c r="I896" s="127"/>
      <c r="J896" s="127"/>
      <c r="K896" s="127"/>
      <c r="L896" s="127"/>
      <c r="M896" s="127"/>
      <c r="N896" s="127"/>
      <c r="O896" s="127"/>
      <c r="P896" s="127"/>
      <c r="Q896" s="127"/>
      <c r="R896" s="127"/>
      <c r="S896" s="127"/>
      <c r="T896" s="127"/>
      <c r="U896" s="127"/>
      <c r="V896" s="127"/>
      <c r="W896" s="127"/>
      <c r="X896" s="127"/>
      <c r="Y896" s="127"/>
      <c r="Z896" s="127"/>
    </row>
    <row r="897" customFormat="false" ht="15.75" hidden="false" customHeight="false" outlineLevel="0" collapsed="false">
      <c r="A897" s="127"/>
      <c r="B897" s="127"/>
      <c r="C897" s="127"/>
      <c r="D897" s="127"/>
      <c r="E897" s="127"/>
      <c r="F897" s="127"/>
      <c r="G897" s="127"/>
      <c r="H897" s="127"/>
      <c r="I897" s="127"/>
      <c r="J897" s="127"/>
      <c r="K897" s="127"/>
      <c r="L897" s="127"/>
      <c r="M897" s="127"/>
      <c r="N897" s="127"/>
      <c r="O897" s="127"/>
      <c r="P897" s="127"/>
      <c r="Q897" s="127"/>
      <c r="R897" s="127"/>
      <c r="S897" s="127"/>
      <c r="T897" s="127"/>
      <c r="U897" s="127"/>
      <c r="V897" s="127"/>
      <c r="W897" s="127"/>
      <c r="X897" s="127"/>
      <c r="Y897" s="127"/>
      <c r="Z897" s="127"/>
    </row>
    <row r="898" customFormat="false" ht="15.75" hidden="false" customHeight="false" outlineLevel="0" collapsed="false">
      <c r="A898" s="127"/>
      <c r="B898" s="127"/>
      <c r="C898" s="127"/>
      <c r="D898" s="127"/>
      <c r="E898" s="127"/>
      <c r="F898" s="127"/>
      <c r="G898" s="127"/>
      <c r="H898" s="127"/>
      <c r="I898" s="127"/>
      <c r="J898" s="127"/>
      <c r="K898" s="127"/>
      <c r="L898" s="127"/>
      <c r="M898" s="127"/>
      <c r="N898" s="127"/>
      <c r="O898" s="127"/>
      <c r="P898" s="127"/>
      <c r="Q898" s="127"/>
      <c r="R898" s="127"/>
      <c r="S898" s="127"/>
      <c r="T898" s="127"/>
      <c r="U898" s="127"/>
      <c r="V898" s="127"/>
      <c r="W898" s="127"/>
      <c r="X898" s="127"/>
      <c r="Y898" s="127"/>
      <c r="Z898" s="127"/>
    </row>
    <row r="899" customFormat="false" ht="15.75" hidden="false" customHeight="false" outlineLevel="0" collapsed="false">
      <c r="A899" s="127"/>
      <c r="B899" s="127"/>
      <c r="C899" s="127"/>
      <c r="D899" s="127"/>
      <c r="E899" s="127"/>
      <c r="F899" s="127"/>
      <c r="G899" s="127"/>
      <c r="H899" s="127"/>
      <c r="I899" s="127"/>
      <c r="J899" s="127"/>
      <c r="K899" s="127"/>
      <c r="L899" s="127"/>
      <c r="M899" s="127"/>
      <c r="N899" s="127"/>
      <c r="O899" s="127"/>
      <c r="P899" s="127"/>
      <c r="Q899" s="127"/>
      <c r="R899" s="127"/>
      <c r="S899" s="127"/>
      <c r="T899" s="127"/>
      <c r="U899" s="127"/>
      <c r="V899" s="127"/>
      <c r="W899" s="127"/>
      <c r="X899" s="127"/>
      <c r="Y899" s="127"/>
      <c r="Z899" s="127"/>
    </row>
    <row r="900" customFormat="false" ht="15.75" hidden="false" customHeight="false" outlineLevel="0" collapsed="false">
      <c r="A900" s="127"/>
      <c r="B900" s="127"/>
      <c r="C900" s="127"/>
      <c r="D900" s="127"/>
      <c r="E900" s="127"/>
      <c r="F900" s="127"/>
      <c r="G900" s="127"/>
      <c r="H900" s="127"/>
      <c r="I900" s="127"/>
      <c r="J900" s="127"/>
      <c r="K900" s="127"/>
      <c r="L900" s="127"/>
      <c r="M900" s="127"/>
      <c r="N900" s="127"/>
      <c r="O900" s="127"/>
      <c r="P900" s="127"/>
      <c r="Q900" s="127"/>
      <c r="R900" s="127"/>
      <c r="S900" s="127"/>
      <c r="T900" s="127"/>
      <c r="U900" s="127"/>
      <c r="V900" s="127"/>
      <c r="W900" s="127"/>
      <c r="X900" s="127"/>
      <c r="Y900" s="127"/>
      <c r="Z900" s="127"/>
    </row>
    <row r="901" customFormat="false" ht="15.75" hidden="false" customHeight="false" outlineLevel="0" collapsed="false">
      <c r="A901" s="127"/>
      <c r="B901" s="127"/>
      <c r="C901" s="127"/>
      <c r="D901" s="127"/>
      <c r="E901" s="127"/>
      <c r="F901" s="127"/>
      <c r="G901" s="127"/>
      <c r="H901" s="127"/>
      <c r="I901" s="127"/>
      <c r="J901" s="127"/>
      <c r="K901" s="127"/>
      <c r="L901" s="127"/>
      <c r="M901" s="127"/>
      <c r="N901" s="127"/>
      <c r="O901" s="127"/>
      <c r="P901" s="127"/>
      <c r="Q901" s="127"/>
      <c r="R901" s="127"/>
      <c r="S901" s="127"/>
      <c r="T901" s="127"/>
      <c r="U901" s="127"/>
      <c r="V901" s="127"/>
      <c r="W901" s="127"/>
      <c r="X901" s="127"/>
      <c r="Y901" s="127"/>
      <c r="Z901" s="127"/>
    </row>
    <row r="902" customFormat="false" ht="15.75" hidden="false" customHeight="false" outlineLevel="0" collapsed="false">
      <c r="A902" s="127"/>
      <c r="B902" s="127"/>
      <c r="C902" s="127"/>
      <c r="D902" s="127"/>
      <c r="E902" s="127"/>
      <c r="F902" s="127"/>
      <c r="G902" s="127"/>
      <c r="H902" s="127"/>
      <c r="I902" s="127"/>
      <c r="J902" s="127"/>
      <c r="K902" s="127"/>
      <c r="L902" s="127"/>
      <c r="M902" s="127"/>
      <c r="N902" s="127"/>
      <c r="O902" s="127"/>
      <c r="P902" s="127"/>
      <c r="Q902" s="127"/>
      <c r="R902" s="127"/>
      <c r="S902" s="127"/>
      <c r="T902" s="127"/>
      <c r="U902" s="127"/>
      <c r="V902" s="127"/>
      <c r="W902" s="127"/>
      <c r="X902" s="127"/>
      <c r="Y902" s="127"/>
      <c r="Z902" s="127"/>
    </row>
    <row r="903" customFormat="false" ht="15.75" hidden="false" customHeight="false" outlineLevel="0" collapsed="false">
      <c r="A903" s="127"/>
      <c r="B903" s="127"/>
      <c r="C903" s="127"/>
      <c r="D903" s="127"/>
      <c r="E903" s="127"/>
      <c r="F903" s="127"/>
      <c r="G903" s="127"/>
      <c r="H903" s="127"/>
      <c r="I903" s="127"/>
      <c r="J903" s="127"/>
      <c r="K903" s="127"/>
      <c r="L903" s="127"/>
      <c r="M903" s="127"/>
      <c r="N903" s="127"/>
      <c r="O903" s="127"/>
      <c r="P903" s="127"/>
      <c r="Q903" s="127"/>
      <c r="R903" s="127"/>
      <c r="S903" s="127"/>
      <c r="T903" s="127"/>
      <c r="U903" s="127"/>
      <c r="V903" s="127"/>
      <c r="W903" s="127"/>
      <c r="X903" s="127"/>
      <c r="Y903" s="127"/>
      <c r="Z903" s="127"/>
    </row>
    <row r="904" customFormat="false" ht="15.75" hidden="false" customHeight="false" outlineLevel="0" collapsed="false">
      <c r="A904" s="127"/>
      <c r="B904" s="127"/>
      <c r="C904" s="127"/>
      <c r="D904" s="127"/>
      <c r="E904" s="127"/>
      <c r="F904" s="127"/>
      <c r="G904" s="127"/>
      <c r="H904" s="127"/>
      <c r="I904" s="127"/>
      <c r="J904" s="127"/>
      <c r="K904" s="127"/>
      <c r="L904" s="127"/>
      <c r="M904" s="127"/>
      <c r="N904" s="127"/>
      <c r="O904" s="127"/>
      <c r="P904" s="127"/>
      <c r="Q904" s="127"/>
      <c r="R904" s="127"/>
      <c r="S904" s="127"/>
      <c r="T904" s="127"/>
      <c r="U904" s="127"/>
      <c r="V904" s="127"/>
      <c r="W904" s="127"/>
      <c r="X904" s="127"/>
      <c r="Y904" s="127"/>
      <c r="Z904" s="127"/>
    </row>
    <row r="905" customFormat="false" ht="15.75" hidden="false" customHeight="false" outlineLevel="0" collapsed="false">
      <c r="A905" s="127"/>
      <c r="B905" s="127"/>
      <c r="C905" s="127"/>
      <c r="D905" s="127"/>
      <c r="E905" s="127"/>
      <c r="F905" s="127"/>
      <c r="G905" s="127"/>
      <c r="H905" s="127"/>
      <c r="I905" s="127"/>
      <c r="J905" s="127"/>
      <c r="K905" s="127"/>
      <c r="L905" s="127"/>
      <c r="M905" s="127"/>
      <c r="N905" s="127"/>
      <c r="O905" s="127"/>
      <c r="P905" s="127"/>
      <c r="Q905" s="127"/>
      <c r="R905" s="127"/>
      <c r="S905" s="127"/>
      <c r="T905" s="127"/>
      <c r="U905" s="127"/>
      <c r="V905" s="127"/>
      <c r="W905" s="127"/>
      <c r="X905" s="127"/>
      <c r="Y905" s="127"/>
      <c r="Z905" s="127"/>
    </row>
    <row r="906" customFormat="false" ht="15.75" hidden="false" customHeight="false" outlineLevel="0" collapsed="false">
      <c r="A906" s="127"/>
      <c r="B906" s="127"/>
      <c r="C906" s="127"/>
      <c r="D906" s="127"/>
      <c r="E906" s="127"/>
      <c r="F906" s="127"/>
      <c r="G906" s="127"/>
      <c r="H906" s="127"/>
      <c r="I906" s="127"/>
      <c r="J906" s="127"/>
      <c r="K906" s="127"/>
      <c r="L906" s="127"/>
      <c r="M906" s="127"/>
      <c r="N906" s="127"/>
      <c r="O906" s="127"/>
      <c r="P906" s="127"/>
      <c r="Q906" s="127"/>
      <c r="R906" s="127"/>
      <c r="S906" s="127"/>
      <c r="T906" s="127"/>
      <c r="U906" s="127"/>
      <c r="V906" s="127"/>
      <c r="W906" s="127"/>
      <c r="X906" s="127"/>
      <c r="Y906" s="127"/>
      <c r="Z906" s="127"/>
    </row>
    <row r="907" customFormat="false" ht="15.75" hidden="false" customHeight="false" outlineLevel="0" collapsed="false">
      <c r="A907" s="127"/>
      <c r="B907" s="127"/>
      <c r="C907" s="127"/>
      <c r="D907" s="127"/>
      <c r="E907" s="127"/>
      <c r="F907" s="127"/>
      <c r="G907" s="127"/>
      <c r="H907" s="127"/>
      <c r="I907" s="127"/>
      <c r="J907" s="127"/>
      <c r="K907" s="127"/>
      <c r="L907" s="127"/>
      <c r="M907" s="127"/>
      <c r="N907" s="127"/>
      <c r="O907" s="127"/>
      <c r="P907" s="127"/>
      <c r="Q907" s="127"/>
      <c r="R907" s="127"/>
      <c r="S907" s="127"/>
      <c r="T907" s="127"/>
      <c r="U907" s="127"/>
      <c r="V907" s="127"/>
      <c r="W907" s="127"/>
      <c r="X907" s="127"/>
      <c r="Y907" s="127"/>
      <c r="Z907" s="127"/>
    </row>
    <row r="908" customFormat="false" ht="15.75" hidden="false" customHeight="false" outlineLevel="0" collapsed="false">
      <c r="A908" s="127"/>
      <c r="B908" s="127"/>
      <c r="C908" s="127"/>
      <c r="D908" s="127"/>
      <c r="E908" s="127"/>
      <c r="F908" s="127"/>
      <c r="G908" s="127"/>
      <c r="H908" s="127"/>
      <c r="I908" s="127"/>
      <c r="J908" s="127"/>
      <c r="K908" s="127"/>
      <c r="L908" s="127"/>
      <c r="M908" s="127"/>
      <c r="N908" s="127"/>
      <c r="O908" s="127"/>
      <c r="P908" s="127"/>
      <c r="Q908" s="127"/>
      <c r="R908" s="127"/>
      <c r="S908" s="127"/>
      <c r="T908" s="127"/>
      <c r="U908" s="127"/>
      <c r="V908" s="127"/>
      <c r="W908" s="127"/>
      <c r="X908" s="127"/>
      <c r="Y908" s="127"/>
      <c r="Z908" s="127"/>
    </row>
    <row r="909" customFormat="false" ht="15.75" hidden="false" customHeight="false" outlineLevel="0" collapsed="false">
      <c r="A909" s="127"/>
      <c r="B909" s="127"/>
      <c r="C909" s="127"/>
      <c r="D909" s="127"/>
      <c r="E909" s="127"/>
      <c r="F909" s="127"/>
      <c r="G909" s="127"/>
      <c r="H909" s="127"/>
      <c r="I909" s="127"/>
      <c r="J909" s="127"/>
      <c r="K909" s="127"/>
      <c r="L909" s="127"/>
      <c r="M909" s="127"/>
      <c r="N909" s="127"/>
      <c r="O909" s="127"/>
      <c r="P909" s="127"/>
      <c r="Q909" s="127"/>
      <c r="R909" s="127"/>
      <c r="S909" s="127"/>
      <c r="T909" s="127"/>
      <c r="U909" s="127"/>
      <c r="V909" s="127"/>
      <c r="W909" s="127"/>
      <c r="X909" s="127"/>
      <c r="Y909" s="127"/>
      <c r="Z909" s="127"/>
    </row>
    <row r="910" customFormat="false" ht="15.75" hidden="false" customHeight="false" outlineLevel="0" collapsed="false">
      <c r="A910" s="127"/>
      <c r="B910" s="127"/>
      <c r="C910" s="127"/>
      <c r="D910" s="127"/>
      <c r="E910" s="127"/>
      <c r="F910" s="127"/>
      <c r="G910" s="127"/>
      <c r="H910" s="127"/>
      <c r="I910" s="127"/>
      <c r="J910" s="127"/>
      <c r="K910" s="127"/>
      <c r="L910" s="127"/>
      <c r="M910" s="127"/>
      <c r="N910" s="127"/>
      <c r="O910" s="127"/>
      <c r="P910" s="127"/>
      <c r="Q910" s="127"/>
      <c r="R910" s="127"/>
      <c r="S910" s="127"/>
      <c r="T910" s="127"/>
      <c r="U910" s="127"/>
      <c r="V910" s="127"/>
      <c r="W910" s="127"/>
      <c r="X910" s="127"/>
      <c r="Y910" s="127"/>
      <c r="Z910" s="127"/>
    </row>
    <row r="911" customFormat="false" ht="15.75" hidden="false" customHeight="false" outlineLevel="0" collapsed="false">
      <c r="A911" s="127"/>
      <c r="B911" s="127"/>
      <c r="C911" s="127"/>
      <c r="D911" s="127"/>
      <c r="E911" s="127"/>
      <c r="F911" s="127"/>
      <c r="G911" s="127"/>
      <c r="H911" s="127"/>
      <c r="I911" s="127"/>
      <c r="J911" s="127"/>
      <c r="K911" s="127"/>
      <c r="L911" s="127"/>
      <c r="M911" s="127"/>
      <c r="N911" s="127"/>
      <c r="O911" s="127"/>
      <c r="P911" s="127"/>
      <c r="Q911" s="127"/>
      <c r="R911" s="127"/>
      <c r="S911" s="127"/>
      <c r="T911" s="127"/>
      <c r="U911" s="127"/>
      <c r="V911" s="127"/>
      <c r="W911" s="127"/>
      <c r="X911" s="127"/>
      <c r="Y911" s="127"/>
      <c r="Z911" s="127"/>
    </row>
    <row r="912" customFormat="false" ht="15.75" hidden="false" customHeight="false" outlineLevel="0" collapsed="false">
      <c r="A912" s="127"/>
      <c r="B912" s="127"/>
      <c r="C912" s="127"/>
      <c r="D912" s="127"/>
      <c r="E912" s="127"/>
      <c r="F912" s="127"/>
      <c r="G912" s="127"/>
      <c r="H912" s="127"/>
      <c r="I912" s="127"/>
      <c r="J912" s="127"/>
      <c r="K912" s="127"/>
      <c r="L912" s="127"/>
      <c r="M912" s="127"/>
      <c r="N912" s="127"/>
      <c r="O912" s="127"/>
      <c r="P912" s="127"/>
      <c r="Q912" s="127"/>
      <c r="R912" s="127"/>
      <c r="S912" s="127"/>
      <c r="T912" s="127"/>
      <c r="U912" s="127"/>
      <c r="V912" s="127"/>
      <c r="W912" s="127"/>
      <c r="X912" s="127"/>
      <c r="Y912" s="127"/>
      <c r="Z912" s="127"/>
    </row>
    <row r="913" customFormat="false" ht="15.75" hidden="false" customHeight="false" outlineLevel="0" collapsed="false">
      <c r="A913" s="127"/>
      <c r="B913" s="127"/>
      <c r="C913" s="127"/>
      <c r="D913" s="127"/>
      <c r="E913" s="127"/>
      <c r="F913" s="127"/>
      <c r="G913" s="127"/>
      <c r="H913" s="127"/>
      <c r="I913" s="127"/>
      <c r="J913" s="127"/>
      <c r="K913" s="127"/>
      <c r="L913" s="127"/>
      <c r="M913" s="127"/>
      <c r="N913" s="127"/>
      <c r="O913" s="127"/>
      <c r="P913" s="127"/>
      <c r="Q913" s="127"/>
      <c r="R913" s="127"/>
      <c r="S913" s="127"/>
      <c r="T913" s="127"/>
      <c r="U913" s="127"/>
      <c r="V913" s="127"/>
      <c r="W913" s="127"/>
      <c r="X913" s="127"/>
      <c r="Y913" s="127"/>
      <c r="Z913" s="127"/>
    </row>
    <row r="914" customFormat="false" ht="15.75" hidden="false" customHeight="false" outlineLevel="0" collapsed="false">
      <c r="A914" s="127"/>
      <c r="B914" s="127"/>
      <c r="C914" s="127"/>
      <c r="D914" s="127"/>
      <c r="E914" s="127"/>
      <c r="F914" s="127"/>
      <c r="G914" s="127"/>
      <c r="H914" s="127"/>
      <c r="I914" s="127"/>
      <c r="J914" s="127"/>
      <c r="K914" s="127"/>
      <c r="L914" s="127"/>
      <c r="M914" s="127"/>
      <c r="N914" s="127"/>
      <c r="O914" s="127"/>
      <c r="P914" s="127"/>
      <c r="Q914" s="127"/>
      <c r="R914" s="127"/>
      <c r="S914" s="127"/>
      <c r="T914" s="127"/>
      <c r="U914" s="127"/>
      <c r="V914" s="127"/>
      <c r="W914" s="127"/>
      <c r="X914" s="127"/>
      <c r="Y914" s="127"/>
      <c r="Z914" s="127"/>
    </row>
    <row r="915" customFormat="false" ht="15.75" hidden="false" customHeight="false" outlineLevel="0" collapsed="false">
      <c r="A915" s="127"/>
      <c r="B915" s="127"/>
      <c r="C915" s="127"/>
      <c r="D915" s="127"/>
      <c r="E915" s="127"/>
      <c r="F915" s="127"/>
      <c r="G915" s="127"/>
      <c r="H915" s="127"/>
      <c r="I915" s="127"/>
      <c r="J915" s="127"/>
      <c r="K915" s="127"/>
      <c r="L915" s="127"/>
      <c r="M915" s="127"/>
      <c r="N915" s="127"/>
      <c r="O915" s="127"/>
      <c r="P915" s="127"/>
      <c r="Q915" s="127"/>
      <c r="R915" s="127"/>
      <c r="S915" s="127"/>
      <c r="T915" s="127"/>
      <c r="U915" s="127"/>
      <c r="V915" s="127"/>
      <c r="W915" s="127"/>
      <c r="X915" s="127"/>
      <c r="Y915" s="127"/>
      <c r="Z915" s="127"/>
    </row>
    <row r="916" customFormat="false" ht="15.75" hidden="false" customHeight="false" outlineLevel="0" collapsed="false">
      <c r="A916" s="127"/>
      <c r="B916" s="127"/>
      <c r="C916" s="127"/>
      <c r="D916" s="127"/>
      <c r="E916" s="127"/>
      <c r="F916" s="127"/>
      <c r="G916" s="127"/>
      <c r="H916" s="127"/>
      <c r="I916" s="127"/>
      <c r="J916" s="127"/>
      <c r="K916" s="127"/>
      <c r="L916" s="127"/>
      <c r="M916" s="127"/>
      <c r="N916" s="127"/>
      <c r="O916" s="127"/>
      <c r="P916" s="127"/>
      <c r="Q916" s="127"/>
      <c r="R916" s="127"/>
      <c r="S916" s="127"/>
      <c r="T916" s="127"/>
      <c r="U916" s="127"/>
      <c r="V916" s="127"/>
      <c r="W916" s="127"/>
      <c r="X916" s="127"/>
      <c r="Y916" s="127"/>
      <c r="Z916" s="127"/>
    </row>
    <row r="917" customFormat="false" ht="15.75" hidden="false" customHeight="false" outlineLevel="0" collapsed="false">
      <c r="A917" s="127"/>
      <c r="B917" s="127"/>
      <c r="C917" s="127"/>
      <c r="D917" s="127"/>
      <c r="E917" s="127"/>
      <c r="F917" s="127"/>
      <c r="G917" s="127"/>
      <c r="H917" s="127"/>
      <c r="I917" s="127"/>
      <c r="J917" s="127"/>
      <c r="K917" s="127"/>
      <c r="L917" s="127"/>
      <c r="M917" s="127"/>
      <c r="N917" s="127"/>
      <c r="O917" s="127"/>
      <c r="P917" s="127"/>
      <c r="Q917" s="127"/>
      <c r="R917" s="127"/>
      <c r="S917" s="127"/>
      <c r="T917" s="127"/>
      <c r="U917" s="127"/>
      <c r="V917" s="127"/>
      <c r="W917" s="127"/>
      <c r="X917" s="127"/>
      <c r="Y917" s="127"/>
      <c r="Z917" s="127"/>
    </row>
    <row r="918" customFormat="false" ht="15.75" hidden="false" customHeight="false" outlineLevel="0" collapsed="false">
      <c r="A918" s="127"/>
      <c r="B918" s="127"/>
      <c r="C918" s="127"/>
      <c r="D918" s="127"/>
      <c r="E918" s="127"/>
      <c r="F918" s="127"/>
      <c r="G918" s="127"/>
      <c r="H918" s="127"/>
      <c r="I918" s="127"/>
      <c r="J918" s="127"/>
      <c r="K918" s="127"/>
      <c r="L918" s="127"/>
      <c r="M918" s="127"/>
      <c r="N918" s="127"/>
      <c r="O918" s="127"/>
      <c r="P918" s="127"/>
      <c r="Q918" s="127"/>
      <c r="R918" s="127"/>
      <c r="S918" s="127"/>
      <c r="T918" s="127"/>
      <c r="U918" s="127"/>
      <c r="V918" s="127"/>
      <c r="W918" s="127"/>
      <c r="X918" s="127"/>
      <c r="Y918" s="127"/>
      <c r="Z918" s="127"/>
    </row>
    <row r="919" customFormat="false" ht="15.75" hidden="false" customHeight="false" outlineLevel="0" collapsed="false">
      <c r="A919" s="127"/>
      <c r="B919" s="127"/>
      <c r="C919" s="127"/>
      <c r="D919" s="127"/>
      <c r="E919" s="127"/>
      <c r="F919" s="127"/>
      <c r="G919" s="127"/>
      <c r="H919" s="127"/>
      <c r="I919" s="127"/>
      <c r="J919" s="127"/>
      <c r="K919" s="127"/>
      <c r="L919" s="127"/>
      <c r="M919" s="127"/>
      <c r="N919" s="127"/>
      <c r="O919" s="127"/>
      <c r="P919" s="127"/>
      <c r="Q919" s="127"/>
      <c r="R919" s="127"/>
      <c r="S919" s="127"/>
      <c r="T919" s="127"/>
      <c r="U919" s="127"/>
      <c r="V919" s="127"/>
      <c r="W919" s="127"/>
      <c r="X919" s="127"/>
      <c r="Y919" s="127"/>
      <c r="Z919" s="127"/>
    </row>
    <row r="920" customFormat="false" ht="15.75" hidden="false" customHeight="false" outlineLevel="0" collapsed="false">
      <c r="A920" s="127"/>
      <c r="B920" s="127"/>
      <c r="C920" s="127"/>
      <c r="D920" s="127"/>
      <c r="E920" s="127"/>
      <c r="F920" s="127"/>
      <c r="G920" s="127"/>
      <c r="H920" s="127"/>
      <c r="I920" s="127"/>
      <c r="J920" s="127"/>
      <c r="K920" s="127"/>
      <c r="L920" s="127"/>
      <c r="M920" s="127"/>
      <c r="N920" s="127"/>
      <c r="O920" s="127"/>
      <c r="P920" s="127"/>
      <c r="Q920" s="127"/>
      <c r="R920" s="127"/>
      <c r="S920" s="127"/>
      <c r="T920" s="127"/>
      <c r="U920" s="127"/>
      <c r="V920" s="127"/>
      <c r="W920" s="127"/>
      <c r="X920" s="127"/>
      <c r="Y920" s="127"/>
      <c r="Z920" s="127"/>
    </row>
    <row r="921" customFormat="false" ht="15.75" hidden="false" customHeight="false" outlineLevel="0" collapsed="false">
      <c r="A921" s="127"/>
      <c r="B921" s="127"/>
      <c r="C921" s="127"/>
      <c r="D921" s="127"/>
      <c r="E921" s="127"/>
      <c r="F921" s="127"/>
      <c r="G921" s="127"/>
      <c r="H921" s="127"/>
      <c r="I921" s="127"/>
      <c r="J921" s="127"/>
      <c r="K921" s="127"/>
      <c r="L921" s="127"/>
      <c r="M921" s="127"/>
      <c r="N921" s="127"/>
      <c r="O921" s="127"/>
      <c r="P921" s="127"/>
      <c r="Q921" s="127"/>
      <c r="R921" s="127"/>
      <c r="S921" s="127"/>
      <c r="T921" s="127"/>
      <c r="U921" s="127"/>
      <c r="V921" s="127"/>
      <c r="W921" s="127"/>
      <c r="X921" s="127"/>
      <c r="Y921" s="127"/>
      <c r="Z921" s="127"/>
    </row>
    <row r="922" customFormat="false" ht="15.75" hidden="false" customHeight="false" outlineLevel="0" collapsed="false">
      <c r="A922" s="127"/>
      <c r="B922" s="127"/>
      <c r="C922" s="127"/>
      <c r="D922" s="127"/>
      <c r="E922" s="127"/>
      <c r="F922" s="127"/>
      <c r="G922" s="127"/>
      <c r="H922" s="127"/>
      <c r="I922" s="127"/>
      <c r="J922" s="127"/>
      <c r="K922" s="127"/>
      <c r="L922" s="127"/>
      <c r="M922" s="127"/>
      <c r="N922" s="127"/>
      <c r="O922" s="127"/>
      <c r="P922" s="127"/>
      <c r="Q922" s="127"/>
      <c r="R922" s="127"/>
      <c r="S922" s="127"/>
      <c r="T922" s="127"/>
      <c r="U922" s="127"/>
      <c r="V922" s="127"/>
      <c r="W922" s="127"/>
      <c r="X922" s="127"/>
      <c r="Y922" s="127"/>
      <c r="Z922" s="127"/>
    </row>
    <row r="923" customFormat="false" ht="15.75" hidden="false" customHeight="false" outlineLevel="0" collapsed="false">
      <c r="A923" s="127"/>
      <c r="B923" s="127"/>
      <c r="C923" s="127"/>
      <c r="D923" s="127"/>
      <c r="E923" s="127"/>
      <c r="F923" s="127"/>
      <c r="G923" s="127"/>
      <c r="H923" s="127"/>
      <c r="I923" s="127"/>
      <c r="J923" s="127"/>
      <c r="K923" s="127"/>
      <c r="L923" s="127"/>
      <c r="M923" s="127"/>
      <c r="N923" s="127"/>
      <c r="O923" s="127"/>
      <c r="P923" s="127"/>
      <c r="Q923" s="127"/>
      <c r="R923" s="127"/>
      <c r="S923" s="127"/>
      <c r="T923" s="127"/>
      <c r="U923" s="127"/>
      <c r="V923" s="127"/>
      <c r="W923" s="127"/>
      <c r="X923" s="127"/>
      <c r="Y923" s="127"/>
      <c r="Z923" s="127"/>
    </row>
    <row r="924" customFormat="false" ht="15.75" hidden="false" customHeight="false" outlineLevel="0" collapsed="false">
      <c r="A924" s="127"/>
      <c r="B924" s="127"/>
      <c r="C924" s="127"/>
      <c r="D924" s="127"/>
      <c r="E924" s="127"/>
      <c r="F924" s="127"/>
      <c r="G924" s="127"/>
      <c r="H924" s="127"/>
      <c r="I924" s="127"/>
      <c r="J924" s="127"/>
      <c r="K924" s="127"/>
      <c r="L924" s="127"/>
      <c r="M924" s="127"/>
      <c r="N924" s="127"/>
      <c r="O924" s="127"/>
      <c r="P924" s="127"/>
      <c r="Q924" s="127"/>
      <c r="R924" s="127"/>
      <c r="S924" s="127"/>
      <c r="T924" s="127"/>
      <c r="U924" s="127"/>
      <c r="V924" s="127"/>
      <c r="W924" s="127"/>
      <c r="X924" s="127"/>
      <c r="Y924" s="127"/>
      <c r="Z924" s="127"/>
    </row>
    <row r="925" customFormat="false" ht="15.75" hidden="false" customHeight="false" outlineLevel="0" collapsed="false">
      <c r="A925" s="127"/>
      <c r="B925" s="127"/>
      <c r="C925" s="127"/>
      <c r="D925" s="127"/>
      <c r="E925" s="127"/>
      <c r="F925" s="127"/>
      <c r="G925" s="127"/>
      <c r="H925" s="127"/>
      <c r="I925" s="127"/>
      <c r="J925" s="127"/>
      <c r="K925" s="127"/>
      <c r="L925" s="127"/>
      <c r="M925" s="127"/>
      <c r="N925" s="127"/>
      <c r="O925" s="127"/>
      <c r="P925" s="127"/>
      <c r="Q925" s="127"/>
      <c r="R925" s="127"/>
      <c r="S925" s="127"/>
      <c r="T925" s="127"/>
      <c r="U925" s="127"/>
      <c r="V925" s="127"/>
      <c r="W925" s="127"/>
      <c r="X925" s="127"/>
      <c r="Y925" s="127"/>
      <c r="Z925" s="127"/>
    </row>
    <row r="926" customFormat="false" ht="15.75" hidden="false" customHeight="false" outlineLevel="0" collapsed="false">
      <c r="A926" s="127"/>
      <c r="B926" s="127"/>
      <c r="C926" s="127"/>
      <c r="D926" s="127"/>
      <c r="E926" s="127"/>
      <c r="F926" s="127"/>
      <c r="G926" s="127"/>
      <c r="H926" s="127"/>
      <c r="I926" s="127"/>
      <c r="J926" s="127"/>
      <c r="K926" s="127"/>
      <c r="L926" s="127"/>
      <c r="M926" s="127"/>
      <c r="N926" s="127"/>
      <c r="O926" s="127"/>
      <c r="P926" s="127"/>
      <c r="Q926" s="127"/>
      <c r="R926" s="127"/>
      <c r="S926" s="127"/>
      <c r="T926" s="127"/>
      <c r="U926" s="127"/>
      <c r="V926" s="127"/>
      <c r="W926" s="127"/>
      <c r="X926" s="127"/>
      <c r="Y926" s="127"/>
      <c r="Z926" s="127"/>
    </row>
    <row r="927" customFormat="false" ht="15.75" hidden="false" customHeight="false" outlineLevel="0" collapsed="false">
      <c r="A927" s="127"/>
      <c r="B927" s="127"/>
      <c r="C927" s="127"/>
      <c r="D927" s="127"/>
      <c r="E927" s="127"/>
      <c r="F927" s="127"/>
      <c r="G927" s="127"/>
      <c r="H927" s="127"/>
      <c r="I927" s="127"/>
      <c r="J927" s="127"/>
      <c r="K927" s="127"/>
      <c r="L927" s="127"/>
      <c r="M927" s="127"/>
      <c r="N927" s="127"/>
      <c r="O927" s="127"/>
      <c r="P927" s="127"/>
      <c r="Q927" s="127"/>
      <c r="R927" s="127"/>
      <c r="S927" s="127"/>
      <c r="T927" s="127"/>
      <c r="U927" s="127"/>
      <c r="V927" s="127"/>
      <c r="W927" s="127"/>
      <c r="X927" s="127"/>
      <c r="Y927" s="127"/>
      <c r="Z927" s="127"/>
    </row>
    <row r="928" customFormat="false" ht="15.75" hidden="false" customHeight="false" outlineLevel="0" collapsed="false">
      <c r="A928" s="127"/>
      <c r="B928" s="127"/>
      <c r="C928" s="127"/>
      <c r="D928" s="127"/>
      <c r="E928" s="127"/>
      <c r="F928" s="127"/>
      <c r="G928" s="127"/>
      <c r="H928" s="127"/>
      <c r="I928" s="127"/>
      <c r="J928" s="127"/>
      <c r="K928" s="127"/>
      <c r="L928" s="127"/>
      <c r="M928" s="127"/>
      <c r="N928" s="127"/>
      <c r="O928" s="127"/>
      <c r="P928" s="127"/>
      <c r="Q928" s="127"/>
      <c r="R928" s="127"/>
      <c r="S928" s="127"/>
      <c r="T928" s="127"/>
      <c r="U928" s="127"/>
      <c r="V928" s="127"/>
      <c r="W928" s="127"/>
      <c r="X928" s="127"/>
      <c r="Y928" s="127"/>
      <c r="Z928" s="127"/>
    </row>
    <row r="929" customFormat="false" ht="15.75" hidden="false" customHeight="false" outlineLevel="0" collapsed="false">
      <c r="A929" s="127"/>
      <c r="B929" s="127"/>
      <c r="C929" s="127"/>
      <c r="D929" s="127"/>
      <c r="E929" s="127"/>
      <c r="F929" s="127"/>
      <c r="G929" s="127"/>
      <c r="H929" s="127"/>
      <c r="I929" s="127"/>
      <c r="J929" s="127"/>
      <c r="K929" s="127"/>
      <c r="L929" s="127"/>
      <c r="M929" s="127"/>
      <c r="N929" s="127"/>
      <c r="O929" s="127"/>
      <c r="P929" s="127"/>
      <c r="Q929" s="127"/>
      <c r="R929" s="127"/>
      <c r="S929" s="127"/>
      <c r="T929" s="127"/>
      <c r="U929" s="127"/>
      <c r="V929" s="127"/>
      <c r="W929" s="127"/>
      <c r="X929" s="127"/>
      <c r="Y929" s="127"/>
      <c r="Z929" s="127"/>
    </row>
    <row r="930" customFormat="false" ht="15.75" hidden="false" customHeight="false" outlineLevel="0" collapsed="false">
      <c r="A930" s="127"/>
      <c r="B930" s="127"/>
      <c r="C930" s="127"/>
      <c r="D930" s="127"/>
      <c r="E930" s="127"/>
      <c r="F930" s="127"/>
      <c r="G930" s="127"/>
      <c r="H930" s="127"/>
      <c r="I930" s="127"/>
      <c r="J930" s="127"/>
      <c r="K930" s="127"/>
      <c r="L930" s="127"/>
      <c r="M930" s="127"/>
      <c r="N930" s="127"/>
      <c r="O930" s="127"/>
      <c r="P930" s="127"/>
      <c r="Q930" s="127"/>
      <c r="R930" s="127"/>
      <c r="S930" s="127"/>
      <c r="T930" s="127"/>
      <c r="U930" s="127"/>
      <c r="V930" s="127"/>
      <c r="W930" s="127"/>
      <c r="X930" s="127"/>
      <c r="Y930" s="127"/>
      <c r="Z930" s="127"/>
    </row>
    <row r="931" customFormat="false" ht="15.75" hidden="false" customHeight="false" outlineLevel="0" collapsed="false">
      <c r="A931" s="127"/>
      <c r="B931" s="127"/>
      <c r="C931" s="127"/>
      <c r="D931" s="127"/>
      <c r="E931" s="127"/>
      <c r="F931" s="127"/>
      <c r="G931" s="127"/>
      <c r="H931" s="127"/>
      <c r="I931" s="127"/>
      <c r="J931" s="127"/>
      <c r="K931" s="127"/>
      <c r="L931" s="127"/>
      <c r="M931" s="127"/>
      <c r="N931" s="127"/>
      <c r="O931" s="127"/>
      <c r="P931" s="127"/>
      <c r="Q931" s="127"/>
      <c r="R931" s="127"/>
      <c r="S931" s="127"/>
      <c r="T931" s="127"/>
      <c r="U931" s="127"/>
      <c r="V931" s="127"/>
      <c r="W931" s="127"/>
      <c r="X931" s="127"/>
      <c r="Y931" s="127"/>
      <c r="Z931" s="127"/>
    </row>
    <row r="932" customFormat="false" ht="15.75" hidden="false" customHeight="false" outlineLevel="0" collapsed="false">
      <c r="A932" s="127"/>
      <c r="B932" s="127"/>
      <c r="C932" s="127"/>
      <c r="D932" s="127"/>
      <c r="E932" s="127"/>
      <c r="F932" s="127"/>
      <c r="G932" s="127"/>
      <c r="H932" s="127"/>
      <c r="I932" s="127"/>
      <c r="J932" s="127"/>
      <c r="K932" s="127"/>
      <c r="L932" s="127"/>
      <c r="M932" s="127"/>
      <c r="N932" s="127"/>
      <c r="O932" s="127"/>
      <c r="P932" s="127"/>
      <c r="Q932" s="127"/>
      <c r="R932" s="127"/>
      <c r="S932" s="127"/>
      <c r="T932" s="127"/>
      <c r="U932" s="127"/>
      <c r="V932" s="127"/>
      <c r="W932" s="127"/>
      <c r="X932" s="127"/>
      <c r="Y932" s="127"/>
      <c r="Z932" s="127"/>
    </row>
    <row r="933" customFormat="false" ht="15.75" hidden="false" customHeight="false" outlineLevel="0" collapsed="false">
      <c r="A933" s="127"/>
      <c r="B933" s="127"/>
      <c r="C933" s="127"/>
      <c r="D933" s="127"/>
      <c r="E933" s="127"/>
      <c r="F933" s="127"/>
      <c r="G933" s="127"/>
      <c r="H933" s="127"/>
      <c r="I933" s="127"/>
      <c r="J933" s="127"/>
      <c r="K933" s="127"/>
      <c r="L933" s="127"/>
      <c r="M933" s="127"/>
      <c r="N933" s="127"/>
      <c r="O933" s="127"/>
      <c r="P933" s="127"/>
      <c r="Q933" s="127"/>
      <c r="R933" s="127"/>
      <c r="S933" s="127"/>
      <c r="T933" s="127"/>
      <c r="U933" s="127"/>
      <c r="V933" s="127"/>
      <c r="W933" s="127"/>
      <c r="X933" s="127"/>
      <c r="Y933" s="127"/>
      <c r="Z933" s="127"/>
    </row>
    <row r="934" customFormat="false" ht="15.75" hidden="false" customHeight="false" outlineLevel="0" collapsed="false">
      <c r="A934" s="127"/>
      <c r="B934" s="127"/>
      <c r="C934" s="127"/>
      <c r="D934" s="127"/>
      <c r="E934" s="127"/>
      <c r="F934" s="127"/>
      <c r="G934" s="127"/>
      <c r="H934" s="127"/>
      <c r="I934" s="127"/>
      <c r="J934" s="127"/>
      <c r="K934" s="127"/>
      <c r="L934" s="127"/>
      <c r="M934" s="127"/>
      <c r="N934" s="127"/>
      <c r="O934" s="127"/>
      <c r="P934" s="127"/>
      <c r="Q934" s="127"/>
      <c r="R934" s="127"/>
      <c r="S934" s="127"/>
      <c r="T934" s="127"/>
      <c r="U934" s="127"/>
      <c r="V934" s="127"/>
      <c r="W934" s="127"/>
      <c r="X934" s="127"/>
      <c r="Y934" s="127"/>
      <c r="Z934" s="127"/>
    </row>
    <row r="935" customFormat="false" ht="15.75" hidden="false" customHeight="false" outlineLevel="0" collapsed="false">
      <c r="A935" s="127"/>
      <c r="B935" s="127"/>
      <c r="C935" s="127"/>
      <c r="D935" s="127"/>
      <c r="E935" s="127"/>
      <c r="F935" s="127"/>
      <c r="G935" s="127"/>
      <c r="H935" s="127"/>
      <c r="I935" s="127"/>
      <c r="J935" s="127"/>
      <c r="K935" s="127"/>
      <c r="L935" s="127"/>
      <c r="M935" s="127"/>
      <c r="N935" s="127"/>
      <c r="O935" s="127"/>
      <c r="P935" s="127"/>
      <c r="Q935" s="127"/>
      <c r="R935" s="127"/>
      <c r="S935" s="127"/>
      <c r="T935" s="127"/>
      <c r="U935" s="127"/>
      <c r="V935" s="127"/>
      <c r="W935" s="127"/>
      <c r="X935" s="127"/>
      <c r="Y935" s="127"/>
      <c r="Z935" s="127"/>
    </row>
    <row r="936" customFormat="false" ht="15.75" hidden="false" customHeight="false" outlineLevel="0" collapsed="false">
      <c r="A936" s="127"/>
      <c r="B936" s="127"/>
      <c r="C936" s="127"/>
      <c r="D936" s="127"/>
      <c r="E936" s="127"/>
      <c r="F936" s="127"/>
      <c r="G936" s="127"/>
      <c r="H936" s="127"/>
      <c r="I936" s="127"/>
      <c r="J936" s="127"/>
      <c r="K936" s="127"/>
      <c r="L936" s="127"/>
      <c r="M936" s="127"/>
      <c r="N936" s="127"/>
      <c r="O936" s="127"/>
      <c r="P936" s="127"/>
      <c r="Q936" s="127"/>
      <c r="R936" s="127"/>
      <c r="S936" s="127"/>
      <c r="T936" s="127"/>
      <c r="U936" s="127"/>
      <c r="V936" s="127"/>
      <c r="W936" s="127"/>
      <c r="X936" s="127"/>
      <c r="Y936" s="127"/>
      <c r="Z936" s="127"/>
    </row>
    <row r="937" customFormat="false" ht="15.75" hidden="false" customHeight="false" outlineLevel="0" collapsed="false">
      <c r="A937" s="127"/>
      <c r="B937" s="127"/>
      <c r="C937" s="127"/>
      <c r="D937" s="127"/>
      <c r="E937" s="127"/>
      <c r="F937" s="127"/>
      <c r="G937" s="127"/>
      <c r="H937" s="127"/>
      <c r="I937" s="127"/>
      <c r="J937" s="127"/>
      <c r="K937" s="127"/>
      <c r="L937" s="127"/>
      <c r="M937" s="127"/>
      <c r="N937" s="127"/>
      <c r="O937" s="127"/>
      <c r="P937" s="127"/>
      <c r="Q937" s="127"/>
      <c r="R937" s="127"/>
      <c r="S937" s="127"/>
      <c r="T937" s="127"/>
      <c r="U937" s="127"/>
      <c r="V937" s="127"/>
      <c r="W937" s="127"/>
      <c r="X937" s="127"/>
      <c r="Y937" s="127"/>
      <c r="Z937" s="127"/>
    </row>
    <row r="938" customFormat="false" ht="15.75" hidden="false" customHeight="false" outlineLevel="0" collapsed="false">
      <c r="A938" s="127"/>
      <c r="B938" s="127"/>
      <c r="C938" s="127"/>
      <c r="D938" s="127"/>
      <c r="E938" s="127"/>
      <c r="F938" s="127"/>
      <c r="G938" s="127"/>
      <c r="H938" s="127"/>
      <c r="I938" s="127"/>
      <c r="J938" s="127"/>
      <c r="K938" s="127"/>
      <c r="L938" s="127"/>
      <c r="M938" s="127"/>
      <c r="N938" s="127"/>
      <c r="O938" s="127"/>
      <c r="P938" s="127"/>
      <c r="Q938" s="127"/>
      <c r="R938" s="127"/>
      <c r="S938" s="127"/>
      <c r="T938" s="127"/>
      <c r="U938" s="127"/>
      <c r="V938" s="127"/>
      <c r="W938" s="127"/>
      <c r="X938" s="127"/>
      <c r="Y938" s="127"/>
      <c r="Z938" s="127"/>
    </row>
    <row r="939" customFormat="false" ht="15.75" hidden="false" customHeight="false" outlineLevel="0" collapsed="false">
      <c r="A939" s="127"/>
      <c r="B939" s="127"/>
      <c r="C939" s="127"/>
      <c r="D939" s="127"/>
      <c r="E939" s="127"/>
      <c r="F939" s="127"/>
      <c r="G939" s="127"/>
      <c r="H939" s="127"/>
      <c r="I939" s="127"/>
      <c r="J939" s="127"/>
      <c r="K939" s="127"/>
      <c r="L939" s="127"/>
      <c r="M939" s="127"/>
      <c r="N939" s="127"/>
      <c r="O939" s="127"/>
      <c r="P939" s="127"/>
      <c r="Q939" s="127"/>
      <c r="R939" s="127"/>
      <c r="S939" s="127"/>
      <c r="T939" s="127"/>
      <c r="U939" s="127"/>
      <c r="V939" s="127"/>
      <c r="W939" s="127"/>
      <c r="X939" s="127"/>
      <c r="Y939" s="127"/>
      <c r="Z939" s="127"/>
    </row>
    <row r="940" customFormat="false" ht="15.75" hidden="false" customHeight="false" outlineLevel="0" collapsed="false">
      <c r="A940" s="127"/>
      <c r="B940" s="127"/>
      <c r="C940" s="127"/>
      <c r="D940" s="127"/>
      <c r="E940" s="127"/>
      <c r="F940" s="127"/>
      <c r="G940" s="127"/>
      <c r="H940" s="127"/>
      <c r="I940" s="127"/>
      <c r="J940" s="127"/>
      <c r="K940" s="127"/>
      <c r="L940" s="127"/>
      <c r="M940" s="127"/>
      <c r="N940" s="127"/>
      <c r="O940" s="127"/>
      <c r="P940" s="127"/>
      <c r="Q940" s="127"/>
      <c r="R940" s="127"/>
      <c r="S940" s="127"/>
      <c r="T940" s="127"/>
      <c r="U940" s="127"/>
      <c r="V940" s="127"/>
      <c r="W940" s="127"/>
      <c r="X940" s="127"/>
      <c r="Y940" s="127"/>
      <c r="Z940" s="127"/>
    </row>
    <row r="941" customFormat="false" ht="15.75" hidden="false" customHeight="false" outlineLevel="0" collapsed="false">
      <c r="A941" s="127"/>
      <c r="B941" s="127"/>
      <c r="C941" s="127"/>
      <c r="D941" s="127"/>
      <c r="E941" s="127"/>
      <c r="F941" s="127"/>
      <c r="G941" s="127"/>
      <c r="H941" s="127"/>
      <c r="I941" s="127"/>
      <c r="J941" s="127"/>
      <c r="K941" s="127"/>
      <c r="L941" s="127"/>
      <c r="M941" s="127"/>
      <c r="N941" s="127"/>
      <c r="O941" s="127"/>
      <c r="P941" s="127"/>
      <c r="Q941" s="127"/>
      <c r="R941" s="127"/>
      <c r="S941" s="127"/>
      <c r="T941" s="127"/>
      <c r="U941" s="127"/>
      <c r="V941" s="127"/>
      <c r="W941" s="127"/>
      <c r="X941" s="127"/>
      <c r="Y941" s="127"/>
      <c r="Z941" s="127"/>
    </row>
    <row r="942" customFormat="false" ht="15.75" hidden="false" customHeight="false" outlineLevel="0" collapsed="false">
      <c r="A942" s="127"/>
      <c r="B942" s="127"/>
      <c r="C942" s="127"/>
      <c r="D942" s="127"/>
      <c r="E942" s="127"/>
      <c r="F942" s="127"/>
      <c r="G942" s="127"/>
      <c r="H942" s="127"/>
      <c r="I942" s="127"/>
      <c r="J942" s="127"/>
      <c r="K942" s="127"/>
      <c r="L942" s="127"/>
      <c r="M942" s="127"/>
      <c r="N942" s="127"/>
      <c r="O942" s="127"/>
      <c r="P942" s="127"/>
      <c r="Q942" s="127"/>
      <c r="R942" s="127"/>
      <c r="S942" s="127"/>
      <c r="T942" s="127"/>
      <c r="U942" s="127"/>
      <c r="V942" s="127"/>
      <c r="W942" s="127"/>
      <c r="X942" s="127"/>
      <c r="Y942" s="127"/>
      <c r="Z942" s="127"/>
    </row>
    <row r="943" customFormat="false" ht="15.75" hidden="false" customHeight="false" outlineLevel="0" collapsed="false">
      <c r="A943" s="127"/>
      <c r="B943" s="127"/>
      <c r="C943" s="127"/>
      <c r="D943" s="127"/>
      <c r="E943" s="127"/>
      <c r="F943" s="127"/>
      <c r="G943" s="127"/>
      <c r="H943" s="127"/>
      <c r="I943" s="127"/>
      <c r="J943" s="127"/>
      <c r="K943" s="127"/>
      <c r="L943" s="127"/>
      <c r="M943" s="127"/>
      <c r="N943" s="127"/>
      <c r="O943" s="127"/>
      <c r="P943" s="127"/>
      <c r="Q943" s="127"/>
      <c r="R943" s="127"/>
      <c r="S943" s="127"/>
      <c r="T943" s="127"/>
      <c r="U943" s="127"/>
      <c r="V943" s="127"/>
      <c r="W943" s="127"/>
      <c r="X943" s="127"/>
      <c r="Y943" s="127"/>
      <c r="Z943" s="127"/>
    </row>
    <row r="944" customFormat="false" ht="15.75" hidden="false" customHeight="false" outlineLevel="0" collapsed="false">
      <c r="A944" s="127"/>
      <c r="B944" s="127"/>
      <c r="C944" s="127"/>
      <c r="D944" s="127"/>
      <c r="E944" s="127"/>
      <c r="F944" s="127"/>
      <c r="G944" s="127"/>
      <c r="H944" s="127"/>
      <c r="I944" s="127"/>
      <c r="J944" s="127"/>
      <c r="K944" s="127"/>
      <c r="L944" s="127"/>
      <c r="M944" s="127"/>
      <c r="N944" s="127"/>
      <c r="O944" s="127"/>
      <c r="P944" s="127"/>
      <c r="Q944" s="127"/>
      <c r="R944" s="127"/>
      <c r="S944" s="127"/>
      <c r="T944" s="127"/>
      <c r="U944" s="127"/>
      <c r="V944" s="127"/>
      <c r="W944" s="127"/>
      <c r="X944" s="127"/>
      <c r="Y944" s="127"/>
      <c r="Z944" s="127"/>
    </row>
    <row r="945" customFormat="false" ht="15.75" hidden="false" customHeight="false" outlineLevel="0" collapsed="false">
      <c r="A945" s="127"/>
      <c r="B945" s="127"/>
      <c r="C945" s="127"/>
      <c r="D945" s="127"/>
      <c r="E945" s="127"/>
      <c r="F945" s="127"/>
      <c r="G945" s="127"/>
      <c r="H945" s="127"/>
      <c r="I945" s="127"/>
      <c r="J945" s="127"/>
      <c r="K945" s="127"/>
      <c r="L945" s="127"/>
      <c r="M945" s="127"/>
      <c r="N945" s="127"/>
      <c r="O945" s="127"/>
      <c r="P945" s="127"/>
      <c r="Q945" s="127"/>
      <c r="R945" s="127"/>
      <c r="S945" s="127"/>
      <c r="T945" s="127"/>
      <c r="U945" s="127"/>
      <c r="V945" s="127"/>
      <c r="W945" s="127"/>
      <c r="X945" s="127"/>
      <c r="Y945" s="127"/>
      <c r="Z945" s="127"/>
    </row>
    <row r="946" customFormat="false" ht="15.75" hidden="false" customHeight="false" outlineLevel="0" collapsed="false">
      <c r="A946" s="127"/>
      <c r="B946" s="127"/>
      <c r="C946" s="127"/>
      <c r="D946" s="127"/>
      <c r="E946" s="127"/>
      <c r="F946" s="127"/>
      <c r="G946" s="127"/>
      <c r="H946" s="127"/>
      <c r="I946" s="127"/>
      <c r="J946" s="127"/>
      <c r="K946" s="127"/>
      <c r="L946" s="127"/>
      <c r="M946" s="127"/>
      <c r="N946" s="127"/>
      <c r="O946" s="127"/>
      <c r="P946" s="127"/>
      <c r="Q946" s="127"/>
      <c r="R946" s="127"/>
      <c r="S946" s="127"/>
      <c r="T946" s="127"/>
      <c r="U946" s="127"/>
      <c r="V946" s="127"/>
      <c r="W946" s="127"/>
      <c r="X946" s="127"/>
      <c r="Y946" s="127"/>
      <c r="Z946" s="127"/>
    </row>
    <row r="947" customFormat="false" ht="15.75" hidden="false" customHeight="false" outlineLevel="0" collapsed="false">
      <c r="A947" s="127"/>
      <c r="B947" s="127"/>
      <c r="C947" s="127"/>
      <c r="D947" s="127"/>
      <c r="E947" s="127"/>
      <c r="F947" s="127"/>
      <c r="G947" s="127"/>
      <c r="H947" s="127"/>
      <c r="I947" s="127"/>
      <c r="J947" s="127"/>
      <c r="K947" s="127"/>
      <c r="L947" s="127"/>
      <c r="M947" s="127"/>
      <c r="N947" s="127"/>
      <c r="O947" s="127"/>
      <c r="P947" s="127"/>
      <c r="Q947" s="127"/>
      <c r="R947" s="127"/>
      <c r="S947" s="127"/>
      <c r="T947" s="127"/>
      <c r="U947" s="127"/>
      <c r="V947" s="127"/>
      <c r="W947" s="127"/>
      <c r="X947" s="127"/>
      <c r="Y947" s="127"/>
      <c r="Z947" s="127"/>
    </row>
    <row r="948" customFormat="false" ht="15.75" hidden="false" customHeight="false" outlineLevel="0" collapsed="false">
      <c r="A948" s="127"/>
      <c r="B948" s="127"/>
      <c r="C948" s="127"/>
      <c r="D948" s="127"/>
      <c r="E948" s="127"/>
      <c r="F948" s="127"/>
      <c r="G948" s="127"/>
      <c r="H948" s="127"/>
      <c r="I948" s="127"/>
      <c r="J948" s="127"/>
      <c r="K948" s="127"/>
      <c r="L948" s="127"/>
      <c r="M948" s="127"/>
      <c r="N948" s="127"/>
      <c r="O948" s="127"/>
      <c r="P948" s="127"/>
      <c r="Q948" s="127"/>
      <c r="R948" s="127"/>
      <c r="S948" s="127"/>
      <c r="T948" s="127"/>
      <c r="U948" s="127"/>
      <c r="V948" s="127"/>
      <c r="W948" s="127"/>
      <c r="X948" s="127"/>
      <c r="Y948" s="127"/>
      <c r="Z948" s="127"/>
    </row>
    <row r="949" customFormat="false" ht="15.75" hidden="false" customHeight="false" outlineLevel="0" collapsed="false">
      <c r="A949" s="127"/>
      <c r="B949" s="127"/>
      <c r="C949" s="127"/>
      <c r="D949" s="127"/>
      <c r="E949" s="127"/>
      <c r="F949" s="127"/>
      <c r="G949" s="127"/>
      <c r="H949" s="127"/>
      <c r="I949" s="127"/>
      <c r="J949" s="127"/>
      <c r="K949" s="127"/>
      <c r="L949" s="127"/>
      <c r="M949" s="127"/>
      <c r="N949" s="127"/>
      <c r="O949" s="127"/>
      <c r="P949" s="127"/>
      <c r="Q949" s="127"/>
      <c r="R949" s="127"/>
      <c r="S949" s="127"/>
      <c r="T949" s="127"/>
      <c r="U949" s="127"/>
      <c r="V949" s="127"/>
      <c r="W949" s="127"/>
      <c r="X949" s="127"/>
      <c r="Y949" s="127"/>
      <c r="Z949" s="127"/>
    </row>
    <row r="950" customFormat="false" ht="15.75" hidden="false" customHeight="false" outlineLevel="0" collapsed="false">
      <c r="A950" s="127"/>
      <c r="B950" s="127"/>
      <c r="C950" s="127"/>
      <c r="D950" s="127"/>
      <c r="E950" s="127"/>
      <c r="F950" s="127"/>
      <c r="G950" s="127"/>
      <c r="H950" s="127"/>
      <c r="I950" s="127"/>
      <c r="J950" s="127"/>
      <c r="K950" s="127"/>
      <c r="L950" s="127"/>
      <c r="M950" s="127"/>
      <c r="N950" s="127"/>
      <c r="O950" s="127"/>
      <c r="P950" s="127"/>
      <c r="Q950" s="127"/>
      <c r="R950" s="127"/>
      <c r="S950" s="127"/>
      <c r="T950" s="127"/>
      <c r="U950" s="127"/>
      <c r="V950" s="127"/>
      <c r="W950" s="127"/>
      <c r="X950" s="127"/>
      <c r="Y950" s="127"/>
      <c r="Z950" s="127"/>
    </row>
    <row r="951" customFormat="false" ht="15.75" hidden="false" customHeight="false" outlineLevel="0" collapsed="false">
      <c r="A951" s="127"/>
      <c r="B951" s="127"/>
      <c r="C951" s="127"/>
      <c r="D951" s="127"/>
      <c r="E951" s="127"/>
      <c r="F951" s="127"/>
      <c r="G951" s="127"/>
      <c r="H951" s="127"/>
      <c r="I951" s="127"/>
      <c r="J951" s="127"/>
      <c r="K951" s="127"/>
      <c r="L951" s="127"/>
      <c r="M951" s="127"/>
      <c r="N951" s="127"/>
      <c r="O951" s="127"/>
      <c r="P951" s="127"/>
      <c r="Q951" s="127"/>
      <c r="R951" s="127"/>
      <c r="S951" s="127"/>
      <c r="T951" s="127"/>
      <c r="U951" s="127"/>
      <c r="V951" s="127"/>
      <c r="W951" s="127"/>
      <c r="X951" s="127"/>
      <c r="Y951" s="127"/>
      <c r="Z951" s="127"/>
    </row>
    <row r="952" customFormat="false" ht="15.75" hidden="false" customHeight="false" outlineLevel="0" collapsed="false">
      <c r="A952" s="127"/>
      <c r="B952" s="127"/>
      <c r="C952" s="127"/>
      <c r="D952" s="127"/>
      <c r="E952" s="127"/>
      <c r="F952" s="127"/>
      <c r="G952" s="127"/>
      <c r="H952" s="127"/>
      <c r="I952" s="127"/>
      <c r="J952" s="127"/>
      <c r="K952" s="127"/>
      <c r="L952" s="127"/>
      <c r="M952" s="127"/>
      <c r="N952" s="127"/>
      <c r="O952" s="127"/>
      <c r="P952" s="127"/>
      <c r="Q952" s="127"/>
      <c r="R952" s="127"/>
      <c r="S952" s="127"/>
      <c r="T952" s="127"/>
      <c r="U952" s="127"/>
      <c r="V952" s="127"/>
      <c r="W952" s="127"/>
      <c r="X952" s="127"/>
      <c r="Y952" s="127"/>
      <c r="Z952" s="127"/>
    </row>
    <row r="953" customFormat="false" ht="15.75" hidden="false" customHeight="false" outlineLevel="0" collapsed="false">
      <c r="A953" s="127"/>
      <c r="B953" s="127"/>
      <c r="C953" s="127"/>
      <c r="D953" s="127"/>
      <c r="E953" s="127"/>
      <c r="F953" s="127"/>
      <c r="G953" s="127"/>
      <c r="H953" s="127"/>
      <c r="I953" s="127"/>
      <c r="J953" s="127"/>
      <c r="K953" s="127"/>
      <c r="L953" s="127"/>
      <c r="M953" s="127"/>
      <c r="N953" s="127"/>
      <c r="O953" s="127"/>
      <c r="P953" s="127"/>
      <c r="Q953" s="127"/>
      <c r="R953" s="127"/>
      <c r="S953" s="127"/>
      <c r="T953" s="127"/>
      <c r="U953" s="127"/>
      <c r="V953" s="127"/>
      <c r="W953" s="127"/>
      <c r="X953" s="127"/>
      <c r="Y953" s="127"/>
      <c r="Z953" s="127"/>
    </row>
    <row r="954" customFormat="false" ht="15.75" hidden="false" customHeight="false" outlineLevel="0" collapsed="false">
      <c r="A954" s="127"/>
      <c r="B954" s="127"/>
      <c r="C954" s="127"/>
      <c r="D954" s="127"/>
      <c r="E954" s="127"/>
      <c r="F954" s="127"/>
      <c r="G954" s="127"/>
      <c r="H954" s="127"/>
      <c r="I954" s="127"/>
      <c r="J954" s="127"/>
      <c r="K954" s="127"/>
      <c r="L954" s="127"/>
      <c r="M954" s="127"/>
      <c r="N954" s="127"/>
      <c r="O954" s="127"/>
      <c r="P954" s="127"/>
      <c r="Q954" s="127"/>
      <c r="R954" s="127"/>
      <c r="S954" s="127"/>
      <c r="T954" s="127"/>
      <c r="U954" s="127"/>
      <c r="V954" s="127"/>
      <c r="W954" s="127"/>
      <c r="X954" s="127"/>
      <c r="Y954" s="127"/>
      <c r="Z954" s="127"/>
    </row>
    <row r="955" customFormat="false" ht="15.75" hidden="false" customHeight="false" outlineLevel="0" collapsed="false">
      <c r="A955" s="127"/>
      <c r="B955" s="127"/>
      <c r="C955" s="127"/>
      <c r="D955" s="127"/>
      <c r="E955" s="127"/>
      <c r="F955" s="127"/>
      <c r="G955" s="127"/>
      <c r="H955" s="127"/>
      <c r="I955" s="127"/>
      <c r="J955" s="127"/>
      <c r="K955" s="127"/>
      <c r="L955" s="127"/>
      <c r="M955" s="127"/>
      <c r="N955" s="127"/>
      <c r="O955" s="127"/>
      <c r="P955" s="127"/>
      <c r="Q955" s="127"/>
      <c r="R955" s="127"/>
      <c r="S955" s="127"/>
      <c r="T955" s="127"/>
      <c r="U955" s="127"/>
      <c r="V955" s="127"/>
      <c r="W955" s="127"/>
      <c r="X955" s="127"/>
      <c r="Y955" s="127"/>
      <c r="Z955" s="127"/>
    </row>
    <row r="956" customFormat="false" ht="15.75" hidden="false" customHeight="false" outlineLevel="0" collapsed="false">
      <c r="A956" s="127"/>
      <c r="B956" s="127"/>
      <c r="C956" s="127"/>
      <c r="D956" s="127"/>
      <c r="E956" s="127"/>
      <c r="F956" s="127"/>
      <c r="G956" s="127"/>
      <c r="H956" s="127"/>
      <c r="I956" s="127"/>
      <c r="J956" s="127"/>
      <c r="K956" s="127"/>
      <c r="L956" s="127"/>
      <c r="M956" s="127"/>
      <c r="N956" s="127"/>
      <c r="O956" s="127"/>
      <c r="P956" s="127"/>
      <c r="Q956" s="127"/>
      <c r="R956" s="127"/>
      <c r="S956" s="127"/>
      <c r="T956" s="127"/>
      <c r="U956" s="127"/>
      <c r="V956" s="127"/>
      <c r="W956" s="127"/>
      <c r="X956" s="127"/>
      <c r="Y956" s="127"/>
      <c r="Z956" s="127"/>
    </row>
    <row r="957" customFormat="false" ht="15.75" hidden="false" customHeight="false" outlineLevel="0" collapsed="false">
      <c r="A957" s="127"/>
      <c r="B957" s="127"/>
      <c r="C957" s="127"/>
      <c r="D957" s="127"/>
      <c r="E957" s="127"/>
      <c r="F957" s="127"/>
      <c r="G957" s="127"/>
      <c r="H957" s="127"/>
      <c r="I957" s="127"/>
      <c r="J957" s="127"/>
      <c r="K957" s="127"/>
      <c r="L957" s="127"/>
      <c r="M957" s="127"/>
      <c r="N957" s="127"/>
      <c r="O957" s="127"/>
      <c r="P957" s="127"/>
      <c r="Q957" s="127"/>
      <c r="R957" s="127"/>
      <c r="S957" s="127"/>
      <c r="T957" s="127"/>
      <c r="U957" s="127"/>
      <c r="V957" s="127"/>
      <c r="W957" s="127"/>
      <c r="X957" s="127"/>
      <c r="Y957" s="127"/>
      <c r="Z957" s="127"/>
    </row>
    <row r="958" customFormat="false" ht="15.75" hidden="false" customHeight="false" outlineLevel="0" collapsed="false">
      <c r="A958" s="127"/>
      <c r="B958" s="127"/>
      <c r="C958" s="127"/>
      <c r="D958" s="127"/>
      <c r="E958" s="127"/>
      <c r="F958" s="127"/>
      <c r="G958" s="127"/>
      <c r="H958" s="127"/>
      <c r="I958" s="127"/>
      <c r="J958" s="127"/>
      <c r="K958" s="127"/>
      <c r="L958" s="127"/>
      <c r="M958" s="127"/>
      <c r="N958" s="127"/>
      <c r="O958" s="127"/>
      <c r="P958" s="127"/>
      <c r="Q958" s="127"/>
      <c r="R958" s="127"/>
      <c r="S958" s="127"/>
      <c r="T958" s="127"/>
      <c r="U958" s="127"/>
      <c r="V958" s="127"/>
      <c r="W958" s="127"/>
      <c r="X958" s="127"/>
      <c r="Y958" s="127"/>
      <c r="Z958" s="127"/>
    </row>
    <row r="959" customFormat="false" ht="15.75" hidden="false" customHeight="false" outlineLevel="0" collapsed="false">
      <c r="A959" s="127"/>
      <c r="B959" s="127"/>
      <c r="C959" s="127"/>
      <c r="D959" s="127"/>
      <c r="E959" s="127"/>
      <c r="F959" s="127"/>
      <c r="G959" s="127"/>
      <c r="H959" s="127"/>
      <c r="I959" s="127"/>
      <c r="J959" s="127"/>
      <c r="K959" s="127"/>
      <c r="L959" s="127"/>
      <c r="M959" s="127"/>
      <c r="N959" s="127"/>
      <c r="O959" s="127"/>
      <c r="P959" s="127"/>
      <c r="Q959" s="127"/>
      <c r="R959" s="127"/>
      <c r="S959" s="127"/>
      <c r="T959" s="127"/>
      <c r="U959" s="127"/>
      <c r="V959" s="127"/>
      <c r="W959" s="127"/>
      <c r="X959" s="127"/>
      <c r="Y959" s="127"/>
      <c r="Z959" s="127"/>
    </row>
    <row r="960" customFormat="false" ht="15.75" hidden="false" customHeight="false" outlineLevel="0" collapsed="false">
      <c r="A960" s="127"/>
      <c r="B960" s="127"/>
      <c r="C960" s="127"/>
      <c r="D960" s="127"/>
      <c r="E960" s="127"/>
      <c r="F960" s="127"/>
      <c r="G960" s="127"/>
      <c r="H960" s="127"/>
      <c r="I960" s="127"/>
      <c r="J960" s="127"/>
      <c r="K960" s="127"/>
      <c r="L960" s="127"/>
      <c r="M960" s="127"/>
      <c r="N960" s="127"/>
      <c r="O960" s="127"/>
      <c r="P960" s="127"/>
      <c r="Q960" s="127"/>
      <c r="R960" s="127"/>
      <c r="S960" s="127"/>
      <c r="T960" s="127"/>
      <c r="U960" s="127"/>
      <c r="V960" s="127"/>
      <c r="W960" s="127"/>
      <c r="X960" s="127"/>
      <c r="Y960" s="127"/>
      <c r="Z960" s="127"/>
    </row>
    <row r="961" customFormat="false" ht="15.75" hidden="false" customHeight="false" outlineLevel="0" collapsed="false">
      <c r="A961" s="127"/>
      <c r="B961" s="127"/>
      <c r="C961" s="127"/>
      <c r="D961" s="127"/>
      <c r="E961" s="127"/>
      <c r="F961" s="127"/>
      <c r="G961" s="127"/>
      <c r="H961" s="127"/>
      <c r="I961" s="127"/>
      <c r="J961" s="127"/>
      <c r="K961" s="127"/>
      <c r="L961" s="127"/>
      <c r="M961" s="127"/>
      <c r="N961" s="127"/>
      <c r="O961" s="127"/>
      <c r="P961" s="127"/>
      <c r="Q961" s="127"/>
      <c r="R961" s="127"/>
      <c r="S961" s="127"/>
      <c r="T961" s="127"/>
      <c r="U961" s="127"/>
      <c r="V961" s="127"/>
      <c r="W961" s="127"/>
      <c r="X961" s="127"/>
      <c r="Y961" s="127"/>
      <c r="Z961" s="127"/>
    </row>
    <row r="962" customFormat="false" ht="15.75" hidden="false" customHeight="false" outlineLevel="0" collapsed="false">
      <c r="A962" s="127"/>
      <c r="B962" s="127"/>
      <c r="C962" s="127"/>
      <c r="D962" s="127"/>
      <c r="E962" s="127"/>
      <c r="F962" s="127"/>
      <c r="G962" s="127"/>
      <c r="H962" s="127"/>
      <c r="I962" s="127"/>
      <c r="J962" s="127"/>
      <c r="K962" s="127"/>
      <c r="L962" s="127"/>
      <c r="M962" s="127"/>
      <c r="N962" s="127"/>
      <c r="O962" s="127"/>
      <c r="P962" s="127"/>
      <c r="Q962" s="127"/>
      <c r="R962" s="127"/>
      <c r="S962" s="127"/>
      <c r="T962" s="127"/>
      <c r="U962" s="127"/>
      <c r="V962" s="127"/>
      <c r="W962" s="127"/>
      <c r="X962" s="127"/>
      <c r="Y962" s="127"/>
      <c r="Z962" s="127"/>
    </row>
    <row r="963" customFormat="false" ht="15.75" hidden="false" customHeight="false" outlineLevel="0" collapsed="false">
      <c r="A963" s="127"/>
      <c r="B963" s="127"/>
      <c r="C963" s="127"/>
      <c r="D963" s="127"/>
      <c r="E963" s="127"/>
      <c r="F963" s="127"/>
      <c r="G963" s="127"/>
      <c r="H963" s="127"/>
      <c r="I963" s="127"/>
      <c r="J963" s="127"/>
      <c r="K963" s="127"/>
      <c r="L963" s="127"/>
      <c r="M963" s="127"/>
      <c r="N963" s="127"/>
      <c r="O963" s="127"/>
      <c r="P963" s="127"/>
      <c r="Q963" s="127"/>
      <c r="R963" s="127"/>
      <c r="S963" s="127"/>
      <c r="T963" s="127"/>
      <c r="U963" s="127"/>
      <c r="V963" s="127"/>
      <c r="W963" s="127"/>
      <c r="X963" s="127"/>
      <c r="Y963" s="127"/>
      <c r="Z963" s="127"/>
    </row>
    <row r="964" customFormat="false" ht="15.75" hidden="false" customHeight="false" outlineLevel="0" collapsed="false">
      <c r="A964" s="127"/>
      <c r="B964" s="127"/>
      <c r="C964" s="127"/>
      <c r="D964" s="127"/>
      <c r="E964" s="127"/>
      <c r="F964" s="127"/>
      <c r="G964" s="127"/>
      <c r="H964" s="127"/>
      <c r="I964" s="127"/>
      <c r="J964" s="127"/>
      <c r="K964" s="127"/>
      <c r="L964" s="127"/>
      <c r="M964" s="127"/>
      <c r="N964" s="127"/>
      <c r="O964" s="127"/>
      <c r="P964" s="127"/>
      <c r="Q964" s="127"/>
      <c r="R964" s="127"/>
      <c r="S964" s="127"/>
      <c r="T964" s="127"/>
      <c r="U964" s="127"/>
      <c r="V964" s="127"/>
      <c r="W964" s="127"/>
      <c r="X964" s="127"/>
      <c r="Y964" s="127"/>
      <c r="Z964" s="127"/>
    </row>
    <row r="965" customFormat="false" ht="15.75" hidden="false" customHeight="false" outlineLevel="0" collapsed="false">
      <c r="A965" s="127"/>
      <c r="B965" s="127"/>
      <c r="C965" s="127"/>
      <c r="D965" s="127"/>
      <c r="E965" s="127"/>
      <c r="F965" s="127"/>
      <c r="G965" s="127"/>
      <c r="H965" s="127"/>
      <c r="I965" s="127"/>
      <c r="J965" s="127"/>
      <c r="K965" s="127"/>
      <c r="L965" s="127"/>
      <c r="M965" s="127"/>
      <c r="N965" s="127"/>
      <c r="O965" s="127"/>
      <c r="P965" s="127"/>
      <c r="Q965" s="127"/>
      <c r="R965" s="127"/>
      <c r="S965" s="127"/>
      <c r="T965" s="127"/>
      <c r="U965" s="127"/>
      <c r="V965" s="127"/>
      <c r="W965" s="127"/>
      <c r="X965" s="127"/>
      <c r="Y965" s="127"/>
      <c r="Z965" s="127"/>
    </row>
    <row r="966" customFormat="false" ht="15.75" hidden="false" customHeight="false" outlineLevel="0" collapsed="false">
      <c r="A966" s="127"/>
      <c r="B966" s="127"/>
      <c r="C966" s="127"/>
      <c r="D966" s="127"/>
      <c r="E966" s="127"/>
      <c r="F966" s="127"/>
      <c r="G966" s="127"/>
      <c r="H966" s="127"/>
      <c r="I966" s="127"/>
      <c r="J966" s="127"/>
      <c r="K966" s="127"/>
      <c r="L966" s="127"/>
      <c r="M966" s="127"/>
      <c r="N966" s="127"/>
      <c r="O966" s="127"/>
      <c r="P966" s="127"/>
      <c r="Q966" s="127"/>
      <c r="R966" s="127"/>
      <c r="S966" s="127"/>
      <c r="T966" s="127"/>
      <c r="U966" s="127"/>
      <c r="V966" s="127"/>
      <c r="W966" s="127"/>
      <c r="X966" s="127"/>
      <c r="Y966" s="127"/>
      <c r="Z966" s="127"/>
    </row>
    <row r="967" customFormat="false" ht="15.75" hidden="false" customHeight="false" outlineLevel="0" collapsed="false">
      <c r="A967" s="127"/>
      <c r="B967" s="127"/>
      <c r="C967" s="127"/>
      <c r="D967" s="127"/>
      <c r="E967" s="127"/>
      <c r="F967" s="127"/>
      <c r="G967" s="127"/>
      <c r="H967" s="127"/>
      <c r="I967" s="127"/>
      <c r="J967" s="127"/>
      <c r="K967" s="127"/>
      <c r="L967" s="127"/>
      <c r="M967" s="127"/>
      <c r="N967" s="127"/>
      <c r="O967" s="127"/>
      <c r="P967" s="127"/>
      <c r="Q967" s="127"/>
      <c r="R967" s="127"/>
      <c r="S967" s="127"/>
      <c r="T967" s="127"/>
      <c r="U967" s="127"/>
      <c r="V967" s="127"/>
      <c r="W967" s="127"/>
      <c r="X967" s="127"/>
      <c r="Y967" s="127"/>
      <c r="Z967" s="127"/>
    </row>
    <row r="968" customFormat="false" ht="15.75" hidden="false" customHeight="false" outlineLevel="0" collapsed="false">
      <c r="A968" s="127"/>
      <c r="B968" s="127"/>
      <c r="C968" s="127"/>
      <c r="D968" s="127"/>
      <c r="E968" s="127"/>
      <c r="F968" s="127"/>
      <c r="G968" s="127"/>
      <c r="H968" s="127"/>
      <c r="I968" s="127"/>
      <c r="J968" s="127"/>
      <c r="K968" s="127"/>
      <c r="L968" s="127"/>
      <c r="M968" s="127"/>
      <c r="N968" s="127"/>
      <c r="O968" s="127"/>
      <c r="P968" s="127"/>
      <c r="Q968" s="127"/>
      <c r="R968" s="127"/>
      <c r="S968" s="127"/>
      <c r="T968" s="127"/>
      <c r="U968" s="127"/>
      <c r="V968" s="127"/>
      <c r="W968" s="127"/>
      <c r="X968" s="127"/>
      <c r="Y968" s="127"/>
      <c r="Z968" s="127"/>
    </row>
    <row r="969" customFormat="false" ht="15.75" hidden="false" customHeight="false" outlineLevel="0" collapsed="false">
      <c r="A969" s="127"/>
      <c r="B969" s="127"/>
      <c r="C969" s="127"/>
      <c r="D969" s="127"/>
      <c r="E969" s="127"/>
      <c r="F969" s="127"/>
      <c r="G969" s="127"/>
      <c r="H969" s="127"/>
      <c r="I969" s="127"/>
      <c r="J969" s="127"/>
      <c r="K969" s="127"/>
      <c r="L969" s="127"/>
      <c r="M969" s="127"/>
      <c r="N969" s="127"/>
      <c r="O969" s="127"/>
      <c r="P969" s="127"/>
      <c r="Q969" s="127"/>
      <c r="R969" s="127"/>
      <c r="S969" s="127"/>
      <c r="T969" s="127"/>
      <c r="U969" s="127"/>
      <c r="V969" s="127"/>
      <c r="W969" s="127"/>
      <c r="X969" s="127"/>
      <c r="Y969" s="127"/>
      <c r="Z969" s="127"/>
    </row>
    <row r="970" customFormat="false" ht="15.75" hidden="false" customHeight="false" outlineLevel="0" collapsed="false">
      <c r="A970" s="127"/>
      <c r="B970" s="127"/>
      <c r="C970" s="127"/>
      <c r="D970" s="127"/>
      <c r="E970" s="127"/>
      <c r="F970" s="127"/>
      <c r="G970" s="127"/>
      <c r="H970" s="127"/>
      <c r="I970" s="127"/>
      <c r="J970" s="127"/>
      <c r="K970" s="127"/>
      <c r="L970" s="127"/>
      <c r="M970" s="127"/>
      <c r="N970" s="127"/>
      <c r="O970" s="127"/>
      <c r="P970" s="127"/>
      <c r="Q970" s="127"/>
      <c r="R970" s="127"/>
      <c r="S970" s="127"/>
      <c r="T970" s="127"/>
      <c r="U970" s="127"/>
      <c r="V970" s="127"/>
      <c r="W970" s="127"/>
      <c r="X970" s="127"/>
      <c r="Y970" s="127"/>
      <c r="Z970" s="127"/>
    </row>
    <row r="971" customFormat="false" ht="15.75" hidden="false" customHeight="false" outlineLevel="0" collapsed="false">
      <c r="A971" s="127"/>
      <c r="B971" s="127"/>
      <c r="C971" s="127"/>
      <c r="D971" s="127"/>
      <c r="E971" s="127"/>
      <c r="F971" s="127"/>
      <c r="G971" s="127"/>
      <c r="H971" s="127"/>
      <c r="I971" s="127"/>
      <c r="J971" s="127"/>
      <c r="K971" s="127"/>
      <c r="L971" s="127"/>
      <c r="M971" s="127"/>
      <c r="N971" s="127"/>
      <c r="O971" s="127"/>
      <c r="P971" s="127"/>
      <c r="Q971" s="127"/>
      <c r="R971" s="127"/>
      <c r="S971" s="127"/>
      <c r="T971" s="127"/>
      <c r="U971" s="127"/>
      <c r="V971" s="127"/>
      <c r="W971" s="127"/>
      <c r="X971" s="127"/>
      <c r="Y971" s="127"/>
      <c r="Z971" s="127"/>
    </row>
    <row r="972" customFormat="false" ht="15.75" hidden="false" customHeight="false" outlineLevel="0" collapsed="false">
      <c r="A972" s="127"/>
      <c r="B972" s="127"/>
      <c r="C972" s="127"/>
      <c r="D972" s="127"/>
      <c r="E972" s="127"/>
      <c r="F972" s="127"/>
      <c r="G972" s="127"/>
      <c r="H972" s="127"/>
      <c r="I972" s="127"/>
      <c r="J972" s="127"/>
      <c r="K972" s="127"/>
      <c r="L972" s="127"/>
      <c r="M972" s="127"/>
      <c r="N972" s="127"/>
      <c r="O972" s="127"/>
      <c r="P972" s="127"/>
      <c r="Q972" s="127"/>
      <c r="R972" s="127"/>
      <c r="S972" s="127"/>
      <c r="T972" s="127"/>
      <c r="U972" s="127"/>
      <c r="V972" s="127"/>
      <c r="W972" s="127"/>
      <c r="X972" s="127"/>
      <c r="Y972" s="127"/>
      <c r="Z972" s="127"/>
    </row>
    <row r="973" customFormat="false" ht="15.75" hidden="false" customHeight="false" outlineLevel="0" collapsed="false">
      <c r="A973" s="127"/>
      <c r="B973" s="127"/>
      <c r="C973" s="127"/>
      <c r="D973" s="127"/>
      <c r="E973" s="127"/>
      <c r="F973" s="127"/>
      <c r="G973" s="127"/>
      <c r="H973" s="127"/>
      <c r="I973" s="127"/>
      <c r="J973" s="127"/>
      <c r="K973" s="127"/>
      <c r="L973" s="127"/>
      <c r="M973" s="127"/>
      <c r="N973" s="127"/>
      <c r="O973" s="127"/>
      <c r="P973" s="127"/>
      <c r="Q973" s="127"/>
      <c r="R973" s="127"/>
      <c r="S973" s="127"/>
      <c r="T973" s="127"/>
      <c r="U973" s="127"/>
      <c r="V973" s="127"/>
      <c r="W973" s="127"/>
      <c r="X973" s="127"/>
      <c r="Y973" s="127"/>
      <c r="Z973" s="127"/>
    </row>
    <row r="974" customFormat="false" ht="15.75" hidden="false" customHeight="false" outlineLevel="0" collapsed="false">
      <c r="A974" s="127"/>
      <c r="B974" s="127"/>
      <c r="C974" s="127"/>
      <c r="D974" s="127"/>
      <c r="E974" s="127"/>
      <c r="F974" s="127"/>
      <c r="G974" s="127"/>
      <c r="H974" s="127"/>
      <c r="I974" s="127"/>
      <c r="J974" s="127"/>
      <c r="K974" s="127"/>
      <c r="L974" s="127"/>
      <c r="M974" s="127"/>
      <c r="N974" s="127"/>
      <c r="O974" s="127"/>
      <c r="P974" s="127"/>
      <c r="Q974" s="127"/>
      <c r="R974" s="127"/>
      <c r="S974" s="127"/>
      <c r="T974" s="127"/>
      <c r="U974" s="127"/>
      <c r="V974" s="127"/>
      <c r="W974" s="127"/>
      <c r="X974" s="127"/>
      <c r="Y974" s="127"/>
      <c r="Z974" s="127"/>
    </row>
    <row r="975" customFormat="false" ht="15.75" hidden="false" customHeight="false" outlineLevel="0" collapsed="false">
      <c r="A975" s="127"/>
      <c r="B975" s="127"/>
      <c r="C975" s="127"/>
      <c r="D975" s="127"/>
      <c r="E975" s="127"/>
      <c r="F975" s="127"/>
      <c r="G975" s="127"/>
      <c r="H975" s="127"/>
      <c r="I975" s="127"/>
      <c r="J975" s="127"/>
      <c r="K975" s="127"/>
      <c r="L975" s="127"/>
      <c r="M975" s="127"/>
      <c r="N975" s="127"/>
      <c r="O975" s="127"/>
      <c r="P975" s="127"/>
      <c r="Q975" s="127"/>
      <c r="R975" s="127"/>
      <c r="S975" s="127"/>
      <c r="T975" s="127"/>
      <c r="U975" s="127"/>
      <c r="V975" s="127"/>
      <c r="W975" s="127"/>
      <c r="X975" s="127"/>
      <c r="Y975" s="127"/>
      <c r="Z975" s="127"/>
    </row>
    <row r="976" customFormat="false" ht="15.75" hidden="false" customHeight="false" outlineLevel="0" collapsed="false">
      <c r="A976" s="127"/>
      <c r="B976" s="127"/>
      <c r="C976" s="127"/>
      <c r="D976" s="127"/>
      <c r="E976" s="127"/>
      <c r="F976" s="127"/>
      <c r="G976" s="127"/>
      <c r="H976" s="127"/>
      <c r="I976" s="127"/>
      <c r="J976" s="127"/>
      <c r="K976" s="127"/>
      <c r="L976" s="127"/>
      <c r="M976" s="127"/>
      <c r="N976" s="127"/>
      <c r="O976" s="127"/>
      <c r="P976" s="127"/>
      <c r="Q976" s="127"/>
      <c r="R976" s="127"/>
      <c r="S976" s="127"/>
      <c r="T976" s="127"/>
      <c r="U976" s="127"/>
      <c r="V976" s="127"/>
      <c r="W976" s="127"/>
      <c r="X976" s="127"/>
      <c r="Y976" s="127"/>
      <c r="Z976" s="127"/>
    </row>
    <row r="977" customFormat="false" ht="15.75" hidden="false" customHeight="false" outlineLevel="0" collapsed="false">
      <c r="A977" s="127"/>
      <c r="B977" s="127"/>
      <c r="C977" s="127"/>
      <c r="D977" s="127"/>
      <c r="E977" s="127"/>
      <c r="F977" s="127"/>
      <c r="G977" s="127"/>
      <c r="H977" s="127"/>
      <c r="I977" s="127"/>
      <c r="J977" s="127"/>
      <c r="K977" s="127"/>
      <c r="L977" s="127"/>
      <c r="M977" s="127"/>
      <c r="N977" s="127"/>
      <c r="O977" s="127"/>
      <c r="P977" s="127"/>
      <c r="Q977" s="127"/>
      <c r="R977" s="127"/>
      <c r="S977" s="127"/>
      <c r="T977" s="127"/>
      <c r="U977" s="127"/>
      <c r="V977" s="127"/>
      <c r="W977" s="127"/>
      <c r="X977" s="127"/>
      <c r="Y977" s="127"/>
      <c r="Z977" s="127"/>
    </row>
    <row r="978" customFormat="false" ht="15.75" hidden="false" customHeight="false" outlineLevel="0" collapsed="false">
      <c r="A978" s="127"/>
      <c r="B978" s="127"/>
      <c r="C978" s="127"/>
      <c r="D978" s="127"/>
      <c r="E978" s="127"/>
      <c r="F978" s="127"/>
      <c r="G978" s="127"/>
      <c r="H978" s="127"/>
      <c r="I978" s="127"/>
      <c r="J978" s="127"/>
      <c r="K978" s="127"/>
      <c r="L978" s="127"/>
      <c r="M978" s="127"/>
      <c r="N978" s="127"/>
      <c r="O978" s="127"/>
      <c r="P978" s="127"/>
      <c r="Q978" s="127"/>
      <c r="R978" s="127"/>
      <c r="S978" s="127"/>
      <c r="T978" s="127"/>
      <c r="U978" s="127"/>
      <c r="V978" s="127"/>
      <c r="W978" s="127"/>
      <c r="X978" s="127"/>
      <c r="Y978" s="127"/>
      <c r="Z978" s="127"/>
    </row>
    <row r="979" customFormat="false" ht="15.75" hidden="false" customHeight="false" outlineLevel="0" collapsed="false">
      <c r="A979" s="127"/>
      <c r="B979" s="127"/>
      <c r="C979" s="127"/>
      <c r="D979" s="127"/>
      <c r="E979" s="127"/>
      <c r="F979" s="127"/>
      <c r="G979" s="127"/>
      <c r="H979" s="127"/>
      <c r="I979" s="127"/>
      <c r="J979" s="127"/>
      <c r="K979" s="127"/>
      <c r="L979" s="127"/>
      <c r="M979" s="127"/>
      <c r="N979" s="127"/>
      <c r="O979" s="127"/>
      <c r="P979" s="127"/>
      <c r="Q979" s="127"/>
      <c r="R979" s="127"/>
      <c r="S979" s="127"/>
      <c r="T979" s="127"/>
      <c r="U979" s="127"/>
      <c r="V979" s="127"/>
      <c r="W979" s="127"/>
      <c r="X979" s="127"/>
      <c r="Y979" s="127"/>
      <c r="Z979" s="127"/>
    </row>
    <row r="980" customFormat="false" ht="15.75" hidden="false" customHeight="false" outlineLevel="0" collapsed="false">
      <c r="A980" s="127"/>
      <c r="B980" s="127"/>
      <c r="C980" s="127"/>
      <c r="D980" s="127"/>
      <c r="E980" s="127"/>
      <c r="F980" s="127"/>
      <c r="G980" s="127"/>
      <c r="H980" s="127"/>
      <c r="I980" s="127"/>
      <c r="J980" s="127"/>
      <c r="K980" s="127"/>
      <c r="L980" s="127"/>
      <c r="M980" s="127"/>
      <c r="N980" s="127"/>
      <c r="O980" s="127"/>
      <c r="P980" s="127"/>
      <c r="Q980" s="127"/>
      <c r="R980" s="127"/>
      <c r="S980" s="127"/>
      <c r="T980" s="127"/>
      <c r="U980" s="127"/>
      <c r="V980" s="127"/>
      <c r="W980" s="127"/>
      <c r="X980" s="127"/>
      <c r="Y980" s="127"/>
      <c r="Z980" s="127"/>
    </row>
    <row r="981" customFormat="false" ht="15.75" hidden="false" customHeight="false" outlineLevel="0" collapsed="false">
      <c r="A981" s="127"/>
      <c r="B981" s="127"/>
      <c r="C981" s="127"/>
      <c r="D981" s="127"/>
      <c r="E981" s="127"/>
      <c r="F981" s="127"/>
      <c r="G981" s="127"/>
      <c r="H981" s="127"/>
      <c r="I981" s="127"/>
      <c r="J981" s="127"/>
      <c r="K981" s="127"/>
      <c r="L981" s="127"/>
      <c r="M981" s="127"/>
      <c r="N981" s="127"/>
      <c r="O981" s="127"/>
      <c r="P981" s="127"/>
      <c r="Q981" s="127"/>
      <c r="R981" s="127"/>
      <c r="S981" s="127"/>
      <c r="T981" s="127"/>
      <c r="U981" s="127"/>
      <c r="V981" s="127"/>
      <c r="W981" s="127"/>
      <c r="X981" s="127"/>
      <c r="Y981" s="127"/>
      <c r="Z981" s="127"/>
    </row>
    <row r="982" customFormat="false" ht="15.75" hidden="false" customHeight="false" outlineLevel="0" collapsed="false">
      <c r="A982" s="127"/>
      <c r="B982" s="127"/>
      <c r="C982" s="127"/>
      <c r="D982" s="127"/>
      <c r="E982" s="127"/>
      <c r="F982" s="127"/>
      <c r="G982" s="127"/>
      <c r="H982" s="127"/>
      <c r="I982" s="127"/>
      <c r="J982" s="127"/>
      <c r="K982" s="127"/>
      <c r="L982" s="127"/>
      <c r="M982" s="127"/>
      <c r="N982" s="127"/>
      <c r="O982" s="127"/>
      <c r="P982" s="127"/>
      <c r="Q982" s="127"/>
      <c r="R982" s="127"/>
      <c r="S982" s="127"/>
      <c r="T982" s="127"/>
      <c r="U982" s="127"/>
      <c r="V982" s="127"/>
      <c r="W982" s="127"/>
      <c r="X982" s="127"/>
      <c r="Y982" s="127"/>
      <c r="Z982" s="127"/>
    </row>
    <row r="983" customFormat="false" ht="15.75" hidden="false" customHeight="false" outlineLevel="0" collapsed="false">
      <c r="A983" s="127"/>
      <c r="B983" s="127"/>
      <c r="C983" s="127"/>
      <c r="D983" s="127"/>
      <c r="E983" s="127"/>
      <c r="F983" s="127"/>
      <c r="G983" s="127"/>
      <c r="H983" s="127"/>
      <c r="I983" s="127"/>
      <c r="J983" s="127"/>
      <c r="K983" s="127"/>
      <c r="L983" s="127"/>
      <c r="M983" s="127"/>
      <c r="N983" s="127"/>
      <c r="O983" s="127"/>
      <c r="P983" s="127"/>
      <c r="Q983" s="127"/>
      <c r="R983" s="127"/>
      <c r="S983" s="127"/>
      <c r="T983" s="127"/>
      <c r="U983" s="127"/>
      <c r="V983" s="127"/>
      <c r="W983" s="127"/>
      <c r="X983" s="127"/>
      <c r="Y983" s="127"/>
      <c r="Z983" s="127"/>
    </row>
    <row r="984" customFormat="false" ht="15.75" hidden="false" customHeight="false" outlineLevel="0" collapsed="false">
      <c r="A984" s="127"/>
      <c r="B984" s="127"/>
      <c r="C984" s="127"/>
      <c r="D984" s="127"/>
      <c r="E984" s="127"/>
      <c r="F984" s="127"/>
      <c r="G984" s="127"/>
      <c r="H984" s="127"/>
      <c r="I984" s="127"/>
      <c r="J984" s="127"/>
      <c r="K984" s="127"/>
      <c r="L984" s="127"/>
      <c r="M984" s="127"/>
      <c r="N984" s="127"/>
      <c r="O984" s="127"/>
      <c r="P984" s="127"/>
      <c r="Q984" s="127"/>
      <c r="R984" s="127"/>
      <c r="S984" s="127"/>
      <c r="T984" s="127"/>
      <c r="U984" s="127"/>
      <c r="V984" s="127"/>
      <c r="W984" s="127"/>
      <c r="X984" s="127"/>
      <c r="Y984" s="127"/>
      <c r="Z984" s="127"/>
    </row>
    <row r="985" customFormat="false" ht="15.75" hidden="false" customHeight="false" outlineLevel="0" collapsed="false">
      <c r="A985" s="127"/>
      <c r="B985" s="127"/>
      <c r="C985" s="127"/>
      <c r="D985" s="127"/>
      <c r="E985" s="127"/>
      <c r="F985" s="127"/>
      <c r="G985" s="127"/>
      <c r="H985" s="127"/>
      <c r="I985" s="127"/>
      <c r="J985" s="127"/>
      <c r="K985" s="127"/>
      <c r="L985" s="127"/>
      <c r="M985" s="127"/>
      <c r="N985" s="127"/>
      <c r="O985" s="127"/>
      <c r="P985" s="127"/>
      <c r="Q985" s="127"/>
      <c r="R985" s="127"/>
      <c r="S985" s="127"/>
      <c r="T985" s="127"/>
      <c r="U985" s="127"/>
      <c r="V985" s="127"/>
      <c r="W985" s="127"/>
      <c r="X985" s="127"/>
      <c r="Y985" s="127"/>
      <c r="Z985" s="127"/>
    </row>
    <row r="986" customFormat="false" ht="15.75" hidden="false" customHeight="false" outlineLevel="0" collapsed="false">
      <c r="A986" s="127"/>
      <c r="B986" s="127"/>
      <c r="C986" s="127"/>
      <c r="D986" s="127"/>
      <c r="E986" s="127"/>
      <c r="F986" s="127"/>
      <c r="G986" s="127"/>
      <c r="H986" s="127"/>
      <c r="I986" s="127"/>
      <c r="J986" s="127"/>
      <c r="K986" s="127"/>
      <c r="L986" s="127"/>
      <c r="M986" s="127"/>
      <c r="N986" s="127"/>
      <c r="O986" s="127"/>
      <c r="P986" s="127"/>
      <c r="Q986" s="127"/>
      <c r="R986" s="127"/>
      <c r="S986" s="127"/>
      <c r="T986" s="127"/>
      <c r="U986" s="127"/>
      <c r="V986" s="127"/>
      <c r="W986" s="127"/>
      <c r="X986" s="127"/>
      <c r="Y986" s="127"/>
      <c r="Z986" s="127"/>
    </row>
    <row r="987" customFormat="false" ht="15.75" hidden="false" customHeight="false" outlineLevel="0" collapsed="false">
      <c r="A987" s="127"/>
      <c r="B987" s="127"/>
      <c r="C987" s="127"/>
      <c r="D987" s="127"/>
      <c r="E987" s="127"/>
      <c r="F987" s="127"/>
      <c r="G987" s="127"/>
      <c r="H987" s="127"/>
      <c r="I987" s="127"/>
      <c r="J987" s="127"/>
      <c r="K987" s="127"/>
      <c r="L987" s="127"/>
      <c r="M987" s="127"/>
      <c r="N987" s="127"/>
      <c r="O987" s="127"/>
      <c r="P987" s="127"/>
      <c r="Q987" s="127"/>
      <c r="R987" s="127"/>
      <c r="S987" s="127"/>
      <c r="T987" s="127"/>
      <c r="U987" s="127"/>
      <c r="V987" s="127"/>
      <c r="W987" s="127"/>
      <c r="X987" s="127"/>
      <c r="Y987" s="127"/>
      <c r="Z987" s="127"/>
    </row>
    <row r="988" customFormat="false" ht="15.75" hidden="false" customHeight="false" outlineLevel="0" collapsed="false">
      <c r="A988" s="127"/>
      <c r="B988" s="127"/>
      <c r="C988" s="127"/>
      <c r="D988" s="127"/>
      <c r="E988" s="127"/>
      <c r="F988" s="127"/>
      <c r="G988" s="127"/>
      <c r="H988" s="127"/>
      <c r="I988" s="127"/>
      <c r="J988" s="127"/>
      <c r="K988" s="127"/>
      <c r="L988" s="127"/>
      <c r="M988" s="127"/>
      <c r="N988" s="127"/>
      <c r="O988" s="127"/>
      <c r="P988" s="127"/>
      <c r="Q988" s="127"/>
      <c r="R988" s="127"/>
      <c r="S988" s="127"/>
      <c r="T988" s="127"/>
      <c r="U988" s="127"/>
      <c r="V988" s="127"/>
      <c r="W988" s="127"/>
      <c r="X988" s="127"/>
      <c r="Y988" s="127"/>
      <c r="Z988" s="127"/>
    </row>
    <row r="989" customFormat="false" ht="15.75" hidden="false" customHeight="false" outlineLevel="0" collapsed="false">
      <c r="A989" s="127"/>
      <c r="B989" s="127"/>
      <c r="C989" s="127"/>
      <c r="D989" s="127"/>
      <c r="E989" s="127"/>
      <c r="F989" s="127"/>
      <c r="G989" s="127"/>
      <c r="H989" s="127"/>
      <c r="I989" s="127"/>
      <c r="J989" s="127"/>
      <c r="K989" s="127"/>
      <c r="L989" s="127"/>
      <c r="M989" s="127"/>
      <c r="N989" s="127"/>
      <c r="O989" s="127"/>
      <c r="P989" s="127"/>
      <c r="Q989" s="127"/>
      <c r="R989" s="127"/>
      <c r="S989" s="127"/>
      <c r="T989" s="127"/>
      <c r="U989" s="127"/>
      <c r="V989" s="127"/>
      <c r="W989" s="127"/>
      <c r="X989" s="127"/>
      <c r="Y989" s="127"/>
      <c r="Z989" s="127"/>
    </row>
    <row r="990" customFormat="false" ht="15.75" hidden="false" customHeight="false" outlineLevel="0" collapsed="false">
      <c r="A990" s="127"/>
      <c r="B990" s="127"/>
      <c r="C990" s="127"/>
      <c r="D990" s="127"/>
      <c r="E990" s="127"/>
      <c r="F990" s="127"/>
      <c r="G990" s="127"/>
      <c r="H990" s="127"/>
      <c r="I990" s="127"/>
      <c r="J990" s="127"/>
      <c r="K990" s="127"/>
      <c r="L990" s="127"/>
      <c r="M990" s="127"/>
      <c r="N990" s="127"/>
      <c r="O990" s="127"/>
      <c r="P990" s="127"/>
      <c r="Q990" s="127"/>
      <c r="R990" s="127"/>
      <c r="S990" s="127"/>
      <c r="T990" s="127"/>
      <c r="U990" s="127"/>
      <c r="V990" s="127"/>
      <c r="W990" s="127"/>
      <c r="X990" s="127"/>
      <c r="Y990" s="127"/>
      <c r="Z990" s="127"/>
    </row>
    <row r="991" customFormat="false" ht="15.75" hidden="false" customHeight="false" outlineLevel="0" collapsed="false">
      <c r="A991" s="127"/>
      <c r="B991" s="127"/>
      <c r="C991" s="127"/>
      <c r="D991" s="127"/>
      <c r="E991" s="127"/>
      <c r="F991" s="127"/>
      <c r="G991" s="127"/>
      <c r="H991" s="127"/>
      <c r="I991" s="127"/>
      <c r="J991" s="127"/>
      <c r="K991" s="127"/>
      <c r="L991" s="127"/>
      <c r="M991" s="127"/>
      <c r="N991" s="127"/>
      <c r="O991" s="127"/>
      <c r="P991" s="127"/>
      <c r="Q991" s="127"/>
      <c r="R991" s="127"/>
      <c r="S991" s="127"/>
      <c r="T991" s="127"/>
      <c r="U991" s="127"/>
      <c r="V991" s="127"/>
      <c r="W991" s="127"/>
      <c r="X991" s="127"/>
      <c r="Y991" s="127"/>
      <c r="Z991" s="127"/>
    </row>
    <row r="992" customFormat="false" ht="15.75" hidden="false" customHeight="false" outlineLevel="0" collapsed="false">
      <c r="A992" s="127"/>
      <c r="B992" s="127"/>
      <c r="C992" s="127"/>
      <c r="D992" s="127"/>
      <c r="E992" s="127"/>
      <c r="F992" s="127"/>
      <c r="G992" s="127"/>
      <c r="H992" s="127"/>
      <c r="I992" s="127"/>
      <c r="J992" s="127"/>
      <c r="K992" s="127"/>
      <c r="L992" s="127"/>
      <c r="M992" s="127"/>
      <c r="N992" s="127"/>
      <c r="O992" s="127"/>
      <c r="P992" s="127"/>
      <c r="Q992" s="127"/>
      <c r="R992" s="127"/>
      <c r="S992" s="127"/>
      <c r="T992" s="127"/>
      <c r="U992" s="127"/>
      <c r="V992" s="127"/>
      <c r="W992" s="127"/>
      <c r="X992" s="127"/>
      <c r="Y992" s="127"/>
      <c r="Z992" s="127"/>
    </row>
    <row r="993" customFormat="false" ht="15.75" hidden="false" customHeight="false" outlineLevel="0" collapsed="false">
      <c r="A993" s="127"/>
      <c r="B993" s="127"/>
      <c r="C993" s="127"/>
      <c r="D993" s="127"/>
      <c r="E993" s="127"/>
      <c r="F993" s="127"/>
      <c r="G993" s="127"/>
      <c r="H993" s="127"/>
      <c r="I993" s="127"/>
      <c r="J993" s="127"/>
      <c r="K993" s="127"/>
      <c r="L993" s="127"/>
      <c r="M993" s="127"/>
      <c r="N993" s="127"/>
      <c r="O993" s="127"/>
      <c r="P993" s="127"/>
      <c r="Q993" s="127"/>
      <c r="R993" s="127"/>
      <c r="S993" s="127"/>
      <c r="T993" s="127"/>
      <c r="U993" s="127"/>
      <c r="V993" s="127"/>
      <c r="W993" s="127"/>
      <c r="X993" s="127"/>
      <c r="Y993" s="127"/>
      <c r="Z993" s="127"/>
    </row>
    <row r="994" customFormat="false" ht="15.75" hidden="false" customHeight="false" outlineLevel="0" collapsed="false">
      <c r="A994" s="127"/>
      <c r="B994" s="127"/>
      <c r="C994" s="127"/>
      <c r="D994" s="127"/>
      <c r="E994" s="127"/>
      <c r="F994" s="127"/>
      <c r="G994" s="127"/>
      <c r="H994" s="127"/>
      <c r="I994" s="127"/>
      <c r="J994" s="127"/>
      <c r="K994" s="127"/>
      <c r="L994" s="127"/>
      <c r="M994" s="127"/>
      <c r="N994" s="127"/>
      <c r="O994" s="127"/>
      <c r="P994" s="127"/>
      <c r="Q994" s="127"/>
      <c r="R994" s="127"/>
      <c r="S994" s="127"/>
      <c r="T994" s="127"/>
      <c r="U994" s="127"/>
      <c r="V994" s="127"/>
      <c r="W994" s="127"/>
      <c r="X994" s="127"/>
      <c r="Y994" s="127"/>
      <c r="Z994" s="127"/>
    </row>
    <row r="995" customFormat="false" ht="15.75" hidden="false" customHeight="false" outlineLevel="0" collapsed="false">
      <c r="A995" s="127"/>
      <c r="B995" s="127"/>
      <c r="C995" s="127"/>
      <c r="D995" s="127"/>
      <c r="E995" s="127"/>
      <c r="F995" s="127"/>
      <c r="G995" s="127"/>
      <c r="H995" s="127"/>
      <c r="I995" s="127"/>
      <c r="J995" s="127"/>
      <c r="K995" s="127"/>
      <c r="L995" s="127"/>
      <c r="M995" s="127"/>
      <c r="N995" s="127"/>
      <c r="O995" s="127"/>
      <c r="P995" s="127"/>
      <c r="Q995" s="127"/>
      <c r="R995" s="127"/>
      <c r="S995" s="127"/>
      <c r="T995" s="127"/>
      <c r="U995" s="127"/>
      <c r="V995" s="127"/>
      <c r="W995" s="127"/>
      <c r="X995" s="127"/>
      <c r="Y995" s="127"/>
      <c r="Z995" s="127"/>
    </row>
    <row r="996" customFormat="false" ht="15.75" hidden="false" customHeight="false" outlineLevel="0" collapsed="false">
      <c r="A996" s="127"/>
      <c r="B996" s="127"/>
      <c r="C996" s="127"/>
      <c r="D996" s="127"/>
      <c r="E996" s="127"/>
      <c r="F996" s="127"/>
      <c r="G996" s="127"/>
      <c r="H996" s="127"/>
      <c r="I996" s="127"/>
      <c r="J996" s="127"/>
      <c r="K996" s="127"/>
      <c r="L996" s="127"/>
      <c r="M996" s="127"/>
      <c r="N996" s="127"/>
      <c r="O996" s="127"/>
      <c r="P996" s="127"/>
      <c r="Q996" s="127"/>
      <c r="R996" s="127"/>
      <c r="S996" s="127"/>
      <c r="T996" s="127"/>
      <c r="U996" s="127"/>
      <c r="V996" s="127"/>
      <c r="W996" s="127"/>
      <c r="X996" s="127"/>
      <c r="Y996" s="127"/>
      <c r="Z996" s="127"/>
    </row>
    <row r="997" customFormat="false" ht="15.75" hidden="false" customHeight="false" outlineLevel="0" collapsed="false">
      <c r="A997" s="127"/>
      <c r="B997" s="127"/>
      <c r="C997" s="127"/>
      <c r="D997" s="127"/>
      <c r="E997" s="127"/>
      <c r="F997" s="127"/>
      <c r="G997" s="127"/>
      <c r="H997" s="127"/>
      <c r="I997" s="127"/>
      <c r="J997" s="127"/>
      <c r="K997" s="127"/>
      <c r="L997" s="127"/>
      <c r="M997" s="127"/>
      <c r="N997" s="127"/>
      <c r="O997" s="127"/>
      <c r="P997" s="127"/>
      <c r="Q997" s="127"/>
      <c r="R997" s="127"/>
      <c r="S997" s="127"/>
      <c r="T997" s="127"/>
      <c r="U997" s="127"/>
      <c r="V997" s="127"/>
      <c r="W997" s="127"/>
      <c r="X997" s="127"/>
      <c r="Y997" s="127"/>
      <c r="Z997" s="127"/>
    </row>
    <row r="998" customFormat="false" ht="15.75" hidden="false" customHeight="false" outlineLevel="0" collapsed="false">
      <c r="A998" s="127"/>
      <c r="B998" s="127"/>
      <c r="C998" s="127"/>
      <c r="D998" s="127"/>
      <c r="E998" s="127"/>
      <c r="F998" s="127"/>
      <c r="G998" s="127"/>
      <c r="H998" s="127"/>
      <c r="I998" s="127"/>
      <c r="J998" s="127"/>
      <c r="K998" s="127"/>
      <c r="L998" s="127"/>
      <c r="M998" s="127"/>
      <c r="N998" s="127"/>
      <c r="O998" s="127"/>
      <c r="P998" s="127"/>
      <c r="Q998" s="127"/>
      <c r="R998" s="127"/>
      <c r="S998" s="127"/>
      <c r="T998" s="127"/>
      <c r="U998" s="127"/>
      <c r="V998" s="127"/>
      <c r="W998" s="127"/>
      <c r="X998" s="127"/>
      <c r="Y998" s="127"/>
      <c r="Z998" s="127"/>
    </row>
    <row r="999" customFormat="false" ht="15.75" hidden="false" customHeight="false" outlineLevel="0" collapsed="false">
      <c r="A999" s="127"/>
      <c r="B999" s="127"/>
      <c r="C999" s="127"/>
      <c r="D999" s="127"/>
      <c r="E999" s="127"/>
      <c r="F999" s="127"/>
      <c r="G999" s="127"/>
      <c r="H999" s="127"/>
      <c r="I999" s="127"/>
      <c r="J999" s="127"/>
      <c r="K999" s="127"/>
      <c r="L999" s="127"/>
      <c r="M999" s="127"/>
      <c r="N999" s="127"/>
      <c r="O999" s="127"/>
      <c r="P999" s="127"/>
      <c r="Q999" s="127"/>
      <c r="R999" s="127"/>
      <c r="S999" s="127"/>
      <c r="T999" s="127"/>
      <c r="U999" s="127"/>
      <c r="V999" s="127"/>
      <c r="W999" s="127"/>
      <c r="X999" s="127"/>
      <c r="Y999" s="127"/>
      <c r="Z999" s="127"/>
    </row>
    <row r="1000" customFormat="false" ht="15.75" hidden="false" customHeight="false" outlineLevel="0" collapsed="false">
      <c r="A1000" s="127"/>
      <c r="B1000" s="127"/>
      <c r="C1000" s="127"/>
      <c r="D1000" s="127"/>
      <c r="E1000" s="127"/>
      <c r="F1000" s="127"/>
      <c r="G1000" s="127"/>
      <c r="H1000" s="127"/>
      <c r="I1000" s="127"/>
      <c r="J1000" s="127"/>
      <c r="K1000" s="127"/>
      <c r="L1000" s="127"/>
      <c r="M1000" s="127"/>
      <c r="N1000" s="127"/>
      <c r="O1000" s="127"/>
      <c r="P1000" s="127"/>
      <c r="Q1000" s="127"/>
      <c r="R1000" s="127"/>
      <c r="S1000" s="127"/>
      <c r="T1000" s="127"/>
      <c r="U1000" s="127"/>
      <c r="V1000" s="127"/>
      <c r="W1000" s="127"/>
      <c r="X1000" s="127"/>
      <c r="Y1000" s="127"/>
      <c r="Z1000" s="127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2" activeCellId="0" sqref="I2"/>
    </sheetView>
  </sheetViews>
  <sheetFormatPr defaultColWidth="12.6328125" defaultRowHeight="15.75" customHeight="true" zeroHeight="false" outlineLevelRow="0" outlineLevelCol="0"/>
  <sheetData>
    <row r="1" customFormat="false" ht="13.8" hidden="false" customHeight="false" outlineLevel="0" collapsed="false">
      <c r="A1" s="135" t="s">
        <v>24</v>
      </c>
      <c r="B1" s="135" t="s">
        <v>23</v>
      </c>
      <c r="C1" s="135" t="s">
        <v>26</v>
      </c>
      <c r="D1" s="135" t="s">
        <v>20</v>
      </c>
      <c r="E1" s="135" t="s">
        <v>39</v>
      </c>
      <c r="F1" s="135" t="s">
        <v>25</v>
      </c>
      <c r="G1" s="135" t="s">
        <v>27</v>
      </c>
      <c r="H1" s="135" t="s">
        <v>22</v>
      </c>
      <c r="I1" s="135" t="s">
        <v>21</v>
      </c>
    </row>
    <row r="2" customFormat="false" ht="13.8" hidden="false" customHeight="false" outlineLevel="0" collapsed="false">
      <c r="A2" s="135" t="str">
        <f aca="false">Scoring!AZ8</f>
        <v/>
      </c>
      <c r="B2" s="135" t="str">
        <f aca="false">Scoring!AY8</f>
        <v/>
      </c>
      <c r="C2" s="135" t="n">
        <f aca="false">Scoring!C8</f>
        <v>0</v>
      </c>
      <c r="D2" s="136" t="str">
        <f aca="false">Scoring!AV8</f>
        <v/>
      </c>
      <c r="E2" s="135" t="str">
        <f aca="false">Scoring!AB8</f>
        <v/>
      </c>
      <c r="F2" s="135" t="n">
        <f aca="false">Scoring!B8</f>
        <v>0</v>
      </c>
      <c r="G2" s="135" t="n">
        <f aca="false">Scoring!D8</f>
        <v>0</v>
      </c>
      <c r="H2" s="135" t="str">
        <f aca="false">Scoring!AX8</f>
        <v/>
      </c>
      <c r="I2" s="137" t="str">
        <f aca="false">Scoring!AW8</f>
        <v/>
      </c>
    </row>
    <row r="3" customFormat="false" ht="13.8" hidden="false" customHeight="false" outlineLevel="0" collapsed="false">
      <c r="A3" s="135" t="str">
        <f aca="false">Scoring!AZ9</f>
        <v/>
      </c>
      <c r="B3" s="135" t="str">
        <f aca="false">Scoring!AY9</f>
        <v/>
      </c>
      <c r="C3" s="135" t="n">
        <f aca="false">Scoring!C9</f>
        <v>0</v>
      </c>
      <c r="D3" s="136" t="str">
        <f aca="false">Scoring!AV9</f>
        <v/>
      </c>
      <c r="E3" s="135" t="str">
        <f aca="false">Scoring!AB9</f>
        <v/>
      </c>
      <c r="F3" s="135" t="n">
        <f aca="false">Scoring!B9</f>
        <v>0</v>
      </c>
      <c r="G3" s="135" t="n">
        <f aca="false">Scoring!D9</f>
        <v>0</v>
      </c>
      <c r="H3" s="135" t="str">
        <f aca="false">Scoring!AX9</f>
        <v/>
      </c>
      <c r="I3" s="137" t="str">
        <f aca="false">Scoring!AW9</f>
        <v/>
      </c>
    </row>
    <row r="4" customFormat="false" ht="13.8" hidden="false" customHeight="false" outlineLevel="0" collapsed="false">
      <c r="A4" s="135" t="str">
        <f aca="false">Scoring!AZ10</f>
        <v/>
      </c>
      <c r="B4" s="135" t="str">
        <f aca="false">Scoring!AY10</f>
        <v/>
      </c>
      <c r="C4" s="135" t="n">
        <f aca="false">Scoring!C10</f>
        <v>0</v>
      </c>
      <c r="D4" s="136" t="str">
        <f aca="false">Scoring!AV10</f>
        <v/>
      </c>
      <c r="E4" s="135" t="str">
        <f aca="false">Scoring!AB10</f>
        <v/>
      </c>
      <c r="F4" s="135" t="n">
        <f aca="false">Scoring!B10</f>
        <v>0</v>
      </c>
      <c r="G4" s="135" t="n">
        <f aca="false">Scoring!D10</f>
        <v>0</v>
      </c>
      <c r="H4" s="135" t="str">
        <f aca="false">Scoring!AX10</f>
        <v/>
      </c>
      <c r="I4" s="137" t="str">
        <f aca="false">Scoring!AW10</f>
        <v/>
      </c>
    </row>
    <row r="5" customFormat="false" ht="13.8" hidden="false" customHeight="false" outlineLevel="0" collapsed="false">
      <c r="A5" s="135" t="str">
        <f aca="false">Scoring!AZ11</f>
        <v/>
      </c>
      <c r="B5" s="135" t="str">
        <f aca="false">Scoring!AY11</f>
        <v/>
      </c>
      <c r="C5" s="135" t="n">
        <f aca="false">Scoring!C11</f>
        <v>0</v>
      </c>
      <c r="D5" s="136" t="str">
        <f aca="false">Scoring!AV11</f>
        <v/>
      </c>
      <c r="E5" s="135" t="str">
        <f aca="false">Scoring!AB11</f>
        <v/>
      </c>
      <c r="F5" s="135" t="n">
        <f aca="false">Scoring!B11</f>
        <v>0</v>
      </c>
      <c r="G5" s="135" t="n">
        <f aca="false">Scoring!D11</f>
        <v>0</v>
      </c>
      <c r="H5" s="135" t="str">
        <f aca="false">Scoring!AX11</f>
        <v/>
      </c>
      <c r="I5" s="137" t="str">
        <f aca="false">Scoring!AW11</f>
        <v/>
      </c>
    </row>
    <row r="6" customFormat="false" ht="13.8" hidden="false" customHeight="false" outlineLevel="0" collapsed="false">
      <c r="A6" s="135" t="str">
        <f aca="false">Scoring!AZ12</f>
        <v/>
      </c>
      <c r="B6" s="135" t="str">
        <f aca="false">Scoring!AY12</f>
        <v/>
      </c>
      <c r="C6" s="135" t="n">
        <f aca="false">Scoring!C12</f>
        <v>0</v>
      </c>
      <c r="D6" s="136" t="str">
        <f aca="false">Scoring!AV12</f>
        <v/>
      </c>
      <c r="E6" s="135" t="str">
        <f aca="false">Scoring!AB12</f>
        <v/>
      </c>
      <c r="F6" s="135" t="n">
        <f aca="false">Scoring!B12</f>
        <v>0</v>
      </c>
      <c r="G6" s="135" t="n">
        <f aca="false">Scoring!D12</f>
        <v>0</v>
      </c>
      <c r="H6" s="135" t="str">
        <f aca="false">Scoring!AX12</f>
        <v/>
      </c>
      <c r="I6" s="137" t="str">
        <f aca="false">Scoring!AW12</f>
        <v/>
      </c>
    </row>
    <row r="7" customFormat="false" ht="13.8" hidden="false" customHeight="false" outlineLevel="0" collapsed="false">
      <c r="A7" s="135" t="str">
        <f aca="false">Scoring!AZ13</f>
        <v/>
      </c>
      <c r="B7" s="135" t="str">
        <f aca="false">Scoring!AY13</f>
        <v/>
      </c>
      <c r="C7" s="135" t="n">
        <f aca="false">Scoring!C13</f>
        <v>0</v>
      </c>
      <c r="D7" s="136" t="str">
        <f aca="false">Scoring!AV13</f>
        <v/>
      </c>
      <c r="E7" s="135" t="str">
        <f aca="false">Scoring!AB13</f>
        <v/>
      </c>
      <c r="F7" s="135" t="n">
        <f aca="false">Scoring!B13</f>
        <v>0</v>
      </c>
      <c r="G7" s="135" t="n">
        <f aca="false">Scoring!D13</f>
        <v>0</v>
      </c>
      <c r="H7" s="135" t="str">
        <f aca="false">Scoring!AX13</f>
        <v/>
      </c>
      <c r="I7" s="137" t="str">
        <f aca="false">Scoring!AW13</f>
        <v/>
      </c>
    </row>
    <row r="8" customFormat="false" ht="13.8" hidden="false" customHeight="false" outlineLevel="0" collapsed="false">
      <c r="A8" s="135" t="str">
        <f aca="false">Scoring!AZ14</f>
        <v/>
      </c>
      <c r="B8" s="135" t="str">
        <f aca="false">Scoring!AY14</f>
        <v/>
      </c>
      <c r="C8" s="135" t="n">
        <f aca="false">Scoring!C14</f>
        <v>0</v>
      </c>
      <c r="D8" s="136" t="str">
        <f aca="false">Scoring!AV14</f>
        <v/>
      </c>
      <c r="E8" s="135" t="str">
        <f aca="false">Scoring!AB14</f>
        <v/>
      </c>
      <c r="F8" s="135" t="n">
        <f aca="false">Scoring!B14</f>
        <v>0</v>
      </c>
      <c r="G8" s="135" t="n">
        <f aca="false">Scoring!D14</f>
        <v>0</v>
      </c>
      <c r="H8" s="135" t="str">
        <f aca="false">Scoring!AX14</f>
        <v/>
      </c>
      <c r="I8" s="137" t="str">
        <f aca="false">Scoring!AW14</f>
        <v/>
      </c>
    </row>
    <row r="9" customFormat="false" ht="13.8" hidden="false" customHeight="false" outlineLevel="0" collapsed="false">
      <c r="A9" s="135" t="str">
        <f aca="false">Scoring!AZ15</f>
        <v/>
      </c>
      <c r="B9" s="135" t="str">
        <f aca="false">Scoring!AY15</f>
        <v/>
      </c>
      <c r="C9" s="135" t="n">
        <f aca="false">Scoring!C15</f>
        <v>0</v>
      </c>
      <c r="D9" s="136" t="str">
        <f aca="false">Scoring!AV15</f>
        <v/>
      </c>
      <c r="E9" s="135" t="str">
        <f aca="false">Scoring!AB15</f>
        <v/>
      </c>
      <c r="F9" s="135" t="n">
        <f aca="false">Scoring!B15</f>
        <v>0</v>
      </c>
      <c r="G9" s="135" t="n">
        <f aca="false">Scoring!D15</f>
        <v>0</v>
      </c>
      <c r="H9" s="135" t="str">
        <f aca="false">Scoring!AX15</f>
        <v/>
      </c>
      <c r="I9" s="137" t="str">
        <f aca="false">Scoring!AW15</f>
        <v/>
      </c>
    </row>
    <row r="10" customFormat="false" ht="13.8" hidden="false" customHeight="false" outlineLevel="0" collapsed="false">
      <c r="A10" s="135" t="str">
        <f aca="false">Scoring!AZ16</f>
        <v/>
      </c>
      <c r="B10" s="135" t="str">
        <f aca="false">Scoring!AY16</f>
        <v/>
      </c>
      <c r="C10" s="135" t="n">
        <f aca="false">Scoring!C16</f>
        <v>0</v>
      </c>
      <c r="D10" s="136" t="str">
        <f aca="false">Scoring!AV16</f>
        <v/>
      </c>
      <c r="E10" s="135" t="str">
        <f aca="false">Scoring!AB16</f>
        <v/>
      </c>
      <c r="F10" s="135" t="n">
        <f aca="false">Scoring!B16</f>
        <v>0</v>
      </c>
      <c r="G10" s="135" t="n">
        <f aca="false">Scoring!D16</f>
        <v>0</v>
      </c>
      <c r="H10" s="135" t="str">
        <f aca="false">Scoring!AX16</f>
        <v/>
      </c>
      <c r="I10" s="137" t="str">
        <f aca="false">Scoring!AW16</f>
        <v/>
      </c>
    </row>
    <row r="11" customFormat="false" ht="13.8" hidden="false" customHeight="false" outlineLevel="0" collapsed="false">
      <c r="A11" s="135" t="str">
        <f aca="false">Scoring!AZ17</f>
        <v/>
      </c>
      <c r="B11" s="135" t="str">
        <f aca="false">Scoring!AY17</f>
        <v/>
      </c>
      <c r="C11" s="135" t="n">
        <f aca="false">Scoring!C17</f>
        <v>0</v>
      </c>
      <c r="D11" s="136" t="str">
        <f aca="false">Scoring!AV17</f>
        <v/>
      </c>
      <c r="E11" s="135" t="str">
        <f aca="false">Scoring!AB17</f>
        <v/>
      </c>
      <c r="F11" s="135" t="n">
        <f aca="false">Scoring!B17</f>
        <v>0</v>
      </c>
      <c r="G11" s="135" t="n">
        <f aca="false">Scoring!D17</f>
        <v>0</v>
      </c>
      <c r="H11" s="135" t="str">
        <f aca="false">Scoring!AX17</f>
        <v/>
      </c>
      <c r="I11" s="137" t="str">
        <f aca="false">Scoring!AW17</f>
        <v/>
      </c>
    </row>
    <row r="12" customFormat="false" ht="13.8" hidden="false" customHeight="false" outlineLevel="0" collapsed="false">
      <c r="A12" s="135" t="str">
        <f aca="false">Scoring!AZ18</f>
        <v/>
      </c>
      <c r="B12" s="135" t="str">
        <f aca="false">Scoring!AY18</f>
        <v/>
      </c>
      <c r="C12" s="135" t="n">
        <f aca="false">Scoring!C18</f>
        <v>0</v>
      </c>
      <c r="D12" s="136" t="str">
        <f aca="false">Scoring!AV18</f>
        <v/>
      </c>
      <c r="E12" s="135" t="str">
        <f aca="false">Scoring!AB18</f>
        <v/>
      </c>
      <c r="F12" s="135" t="n">
        <f aca="false">Scoring!B18</f>
        <v>0</v>
      </c>
      <c r="G12" s="135" t="n">
        <f aca="false">Scoring!D18</f>
        <v>0</v>
      </c>
      <c r="H12" s="135" t="str">
        <f aca="false">Scoring!AX18</f>
        <v/>
      </c>
      <c r="I12" s="137" t="str">
        <f aca="false">Scoring!AW18</f>
        <v/>
      </c>
    </row>
    <row r="13" customFormat="false" ht="13.8" hidden="false" customHeight="false" outlineLevel="0" collapsed="false">
      <c r="A13" s="135" t="str">
        <f aca="false">Scoring!AZ19</f>
        <v/>
      </c>
      <c r="B13" s="135" t="str">
        <f aca="false">Scoring!AY19</f>
        <v/>
      </c>
      <c r="C13" s="135" t="n">
        <f aca="false">Scoring!C19</f>
        <v>0</v>
      </c>
      <c r="D13" s="136" t="str">
        <f aca="false">Scoring!AV19</f>
        <v/>
      </c>
      <c r="E13" s="135" t="str">
        <f aca="false">Scoring!AB19</f>
        <v/>
      </c>
      <c r="F13" s="135" t="n">
        <f aca="false">Scoring!B19</f>
        <v>0</v>
      </c>
      <c r="G13" s="135" t="n">
        <f aca="false">Scoring!D19</f>
        <v>0</v>
      </c>
      <c r="H13" s="135" t="str">
        <f aca="false">Scoring!AX19</f>
        <v/>
      </c>
      <c r="I13" s="137" t="str">
        <f aca="false">Scoring!AW19</f>
        <v/>
      </c>
    </row>
    <row r="14" customFormat="false" ht="13.8" hidden="false" customHeight="false" outlineLevel="0" collapsed="false">
      <c r="A14" s="135" t="str">
        <f aca="false">Scoring!AZ20</f>
        <v/>
      </c>
      <c r="B14" s="135" t="str">
        <f aca="false">Scoring!AY20</f>
        <v/>
      </c>
      <c r="C14" s="135" t="n">
        <f aca="false">Scoring!C20</f>
        <v>0</v>
      </c>
      <c r="D14" s="136" t="str">
        <f aca="false">Scoring!AV20</f>
        <v/>
      </c>
      <c r="E14" s="135" t="str">
        <f aca="false">Scoring!AB20</f>
        <v/>
      </c>
      <c r="F14" s="135" t="n">
        <f aca="false">Scoring!B20</f>
        <v>0</v>
      </c>
      <c r="G14" s="135" t="n">
        <f aca="false">Scoring!D20</f>
        <v>0</v>
      </c>
      <c r="H14" s="135" t="str">
        <f aca="false">Scoring!AX20</f>
        <v/>
      </c>
      <c r="I14" s="137" t="str">
        <f aca="false">Scoring!AW20</f>
        <v/>
      </c>
    </row>
    <row r="15" customFormat="false" ht="13.8" hidden="false" customHeight="false" outlineLevel="0" collapsed="false">
      <c r="A15" s="135" t="str">
        <f aca="false">Scoring!AZ21</f>
        <v/>
      </c>
      <c r="B15" s="135" t="str">
        <f aca="false">Scoring!AY21</f>
        <v/>
      </c>
      <c r="C15" s="135" t="n">
        <f aca="false">Scoring!C21</f>
        <v>0</v>
      </c>
      <c r="D15" s="136" t="str">
        <f aca="false">Scoring!AV21</f>
        <v/>
      </c>
      <c r="E15" s="135" t="str">
        <f aca="false">Scoring!AB21</f>
        <v/>
      </c>
      <c r="F15" s="135" t="n">
        <f aca="false">Scoring!B21</f>
        <v>0</v>
      </c>
      <c r="G15" s="135" t="n">
        <f aca="false">Scoring!D21</f>
        <v>0</v>
      </c>
      <c r="H15" s="135" t="str">
        <f aca="false">Scoring!AX21</f>
        <v/>
      </c>
      <c r="I15" s="137" t="str">
        <f aca="false">Scoring!AW21</f>
        <v/>
      </c>
    </row>
    <row r="16" customFormat="false" ht="13.8" hidden="false" customHeight="false" outlineLevel="0" collapsed="false">
      <c r="A16" s="135" t="str">
        <f aca="false">Scoring!AZ22</f>
        <v/>
      </c>
      <c r="B16" s="135" t="str">
        <f aca="false">Scoring!AY22</f>
        <v/>
      </c>
      <c r="C16" s="135" t="n">
        <f aca="false">Scoring!C22</f>
        <v>0</v>
      </c>
      <c r="D16" s="136" t="str">
        <f aca="false">Scoring!AV22</f>
        <v/>
      </c>
      <c r="E16" s="135" t="str">
        <f aca="false">Scoring!AB22</f>
        <v/>
      </c>
      <c r="F16" s="135" t="n">
        <f aca="false">Scoring!B22</f>
        <v>0</v>
      </c>
      <c r="G16" s="135" t="n">
        <f aca="false">Scoring!D22</f>
        <v>0</v>
      </c>
      <c r="H16" s="135" t="str">
        <f aca="false">Scoring!AX22</f>
        <v/>
      </c>
      <c r="I16" s="137" t="str">
        <f aca="false">Scoring!AW22</f>
        <v/>
      </c>
    </row>
    <row r="17" customFormat="false" ht="13.8" hidden="false" customHeight="false" outlineLevel="0" collapsed="false">
      <c r="A17" s="135" t="str">
        <f aca="false">Scoring!AZ23</f>
        <v/>
      </c>
      <c r="B17" s="135" t="str">
        <f aca="false">Scoring!AY23</f>
        <v/>
      </c>
      <c r="C17" s="135" t="n">
        <f aca="false">Scoring!C23</f>
        <v>0</v>
      </c>
      <c r="D17" s="136" t="str">
        <f aca="false">Scoring!AV23</f>
        <v/>
      </c>
      <c r="E17" s="135" t="str">
        <f aca="false">Scoring!AB23</f>
        <v/>
      </c>
      <c r="F17" s="135" t="n">
        <f aca="false">Scoring!B23</f>
        <v>0</v>
      </c>
      <c r="G17" s="135" t="n">
        <f aca="false">Scoring!D23</f>
        <v>0</v>
      </c>
      <c r="H17" s="135" t="str">
        <f aca="false">Scoring!AX23</f>
        <v/>
      </c>
      <c r="I17" s="137" t="str">
        <f aca="false">Scoring!AW23</f>
        <v/>
      </c>
    </row>
    <row r="18" customFormat="false" ht="13.8" hidden="false" customHeight="false" outlineLevel="0" collapsed="false">
      <c r="A18" s="135" t="str">
        <f aca="false">Scoring!AZ24</f>
        <v/>
      </c>
      <c r="B18" s="135" t="str">
        <f aca="false">Scoring!AY24</f>
        <v/>
      </c>
      <c r="C18" s="135" t="n">
        <f aca="false">Scoring!C24</f>
        <v>0</v>
      </c>
      <c r="D18" s="136" t="str">
        <f aca="false">Scoring!AV24</f>
        <v/>
      </c>
      <c r="E18" s="135" t="str">
        <f aca="false">Scoring!AB24</f>
        <v/>
      </c>
      <c r="F18" s="135" t="n">
        <f aca="false">Scoring!B24</f>
        <v>0</v>
      </c>
      <c r="G18" s="135" t="n">
        <f aca="false">Scoring!D24</f>
        <v>0</v>
      </c>
      <c r="H18" s="135" t="str">
        <f aca="false">Scoring!AX24</f>
        <v/>
      </c>
      <c r="I18" s="137" t="str">
        <f aca="false">Scoring!AW24</f>
        <v/>
      </c>
    </row>
    <row r="19" customFormat="false" ht="13.8" hidden="false" customHeight="false" outlineLevel="0" collapsed="false">
      <c r="A19" s="135" t="str">
        <f aca="false">Scoring!AZ25</f>
        <v/>
      </c>
      <c r="B19" s="135" t="str">
        <f aca="false">Scoring!AY25</f>
        <v/>
      </c>
      <c r="C19" s="135" t="n">
        <f aca="false">Scoring!C25</f>
        <v>0</v>
      </c>
      <c r="D19" s="136" t="str">
        <f aca="false">Scoring!AV25</f>
        <v/>
      </c>
      <c r="E19" s="135" t="str">
        <f aca="false">Scoring!AB25</f>
        <v/>
      </c>
      <c r="F19" s="135" t="n">
        <f aca="false">Scoring!B25</f>
        <v>0</v>
      </c>
      <c r="G19" s="135" t="n">
        <f aca="false">Scoring!D25</f>
        <v>0</v>
      </c>
      <c r="H19" s="135" t="str">
        <f aca="false">Scoring!AX25</f>
        <v/>
      </c>
      <c r="I19" s="137" t="str">
        <f aca="false">Scoring!AW25</f>
        <v/>
      </c>
    </row>
    <row r="20" customFormat="false" ht="13.8" hidden="false" customHeight="false" outlineLevel="0" collapsed="false">
      <c r="A20" s="135" t="str">
        <f aca="false">Scoring!AZ26</f>
        <v/>
      </c>
      <c r="B20" s="135" t="str">
        <f aca="false">Scoring!AY26</f>
        <v/>
      </c>
      <c r="C20" s="135" t="n">
        <f aca="false">Scoring!C26</f>
        <v>0</v>
      </c>
      <c r="D20" s="136" t="str">
        <f aca="false">Scoring!AV26</f>
        <v/>
      </c>
      <c r="E20" s="135" t="str">
        <f aca="false">Scoring!AB26</f>
        <v/>
      </c>
      <c r="F20" s="135" t="n">
        <f aca="false">Scoring!B26</f>
        <v>0</v>
      </c>
      <c r="G20" s="135" t="n">
        <f aca="false">Scoring!D26</f>
        <v>0</v>
      </c>
      <c r="H20" s="135" t="str">
        <f aca="false">Scoring!AX26</f>
        <v/>
      </c>
      <c r="I20" s="137" t="str">
        <f aca="false">Scoring!AW26</f>
        <v/>
      </c>
    </row>
    <row r="21" customFormat="false" ht="13.8" hidden="false" customHeight="false" outlineLevel="0" collapsed="false">
      <c r="A21" s="135" t="str">
        <f aca="false">Scoring!AZ27</f>
        <v/>
      </c>
      <c r="B21" s="135" t="str">
        <f aca="false">Scoring!AY27</f>
        <v/>
      </c>
      <c r="C21" s="135" t="n">
        <f aca="false">Scoring!C27</f>
        <v>0</v>
      </c>
      <c r="D21" s="136" t="str">
        <f aca="false">Scoring!AV27</f>
        <v/>
      </c>
      <c r="E21" s="135" t="str">
        <f aca="false">Scoring!AB27</f>
        <v/>
      </c>
      <c r="F21" s="135" t="n">
        <f aca="false">Scoring!B27</f>
        <v>0</v>
      </c>
      <c r="G21" s="135" t="n">
        <f aca="false">Scoring!D27</f>
        <v>0</v>
      </c>
      <c r="H21" s="135" t="str">
        <f aca="false">Scoring!AX27</f>
        <v/>
      </c>
      <c r="I21" s="137" t="str">
        <f aca="false">Scoring!AW27</f>
        <v/>
      </c>
    </row>
    <row r="22" customFormat="false" ht="13.8" hidden="false" customHeight="false" outlineLevel="0" collapsed="false">
      <c r="A22" s="135" t="str">
        <f aca="false">Scoring!AZ28</f>
        <v/>
      </c>
      <c r="B22" s="135" t="str">
        <f aca="false">Scoring!AY28</f>
        <v/>
      </c>
      <c r="C22" s="135" t="n">
        <f aca="false">Scoring!C28</f>
        <v>0</v>
      </c>
      <c r="D22" s="136" t="str">
        <f aca="false">Scoring!AV28</f>
        <v/>
      </c>
      <c r="E22" s="135" t="str">
        <f aca="false">Scoring!AB28</f>
        <v/>
      </c>
      <c r="F22" s="135" t="n">
        <f aca="false">Scoring!B28</f>
        <v>0</v>
      </c>
      <c r="G22" s="135" t="n">
        <f aca="false">Scoring!D28</f>
        <v>0</v>
      </c>
      <c r="H22" s="135" t="str">
        <f aca="false">Scoring!AX28</f>
        <v/>
      </c>
      <c r="I22" s="137" t="str">
        <f aca="false">Scoring!AW28</f>
        <v/>
      </c>
    </row>
    <row r="23" customFormat="false" ht="13.8" hidden="false" customHeight="false" outlineLevel="0" collapsed="false">
      <c r="A23" s="135" t="str">
        <f aca="false">Scoring!AZ29</f>
        <v/>
      </c>
      <c r="B23" s="135" t="str">
        <f aca="false">Scoring!AY29</f>
        <v/>
      </c>
      <c r="C23" s="135" t="n">
        <f aca="false">Scoring!C29</f>
        <v>0</v>
      </c>
      <c r="D23" s="136" t="str">
        <f aca="false">Scoring!AV29</f>
        <v/>
      </c>
      <c r="E23" s="135" t="str">
        <f aca="false">Scoring!AB29</f>
        <v/>
      </c>
      <c r="F23" s="135" t="n">
        <f aca="false">Scoring!B29</f>
        <v>0</v>
      </c>
      <c r="G23" s="135" t="n">
        <f aca="false">Scoring!D29</f>
        <v>0</v>
      </c>
      <c r="H23" s="135" t="str">
        <f aca="false">Scoring!AX29</f>
        <v/>
      </c>
      <c r="I23" s="137" t="str">
        <f aca="false">Scoring!AW29</f>
        <v/>
      </c>
    </row>
    <row r="24" customFormat="false" ht="13.8" hidden="false" customHeight="false" outlineLevel="0" collapsed="false">
      <c r="A24" s="135" t="str">
        <f aca="false">Scoring!AZ30</f>
        <v/>
      </c>
      <c r="B24" s="135" t="str">
        <f aca="false">Scoring!AY30</f>
        <v/>
      </c>
      <c r="C24" s="135" t="n">
        <f aca="false">Scoring!C30</f>
        <v>0</v>
      </c>
      <c r="D24" s="136" t="str">
        <f aca="false">Scoring!AV30</f>
        <v/>
      </c>
      <c r="E24" s="135" t="str">
        <f aca="false">Scoring!AB30</f>
        <v/>
      </c>
      <c r="F24" s="135" t="n">
        <f aca="false">Scoring!B30</f>
        <v>0</v>
      </c>
      <c r="G24" s="135" t="n">
        <f aca="false">Scoring!D30</f>
        <v>0</v>
      </c>
      <c r="H24" s="135" t="str">
        <f aca="false">Scoring!AX30</f>
        <v/>
      </c>
      <c r="I24" s="137" t="str">
        <f aca="false">Scoring!AW30</f>
        <v/>
      </c>
    </row>
    <row r="25" customFormat="false" ht="13.8" hidden="false" customHeight="false" outlineLevel="0" collapsed="false">
      <c r="A25" s="135" t="str">
        <f aca="false">Scoring!AZ31</f>
        <v/>
      </c>
      <c r="B25" s="135" t="str">
        <f aca="false">Scoring!AY31</f>
        <v/>
      </c>
      <c r="C25" s="135" t="n">
        <f aca="false">Scoring!C31</f>
        <v>0</v>
      </c>
      <c r="D25" s="136" t="str">
        <f aca="false">Scoring!AV31</f>
        <v/>
      </c>
      <c r="E25" s="135" t="str">
        <f aca="false">Scoring!AB31</f>
        <v/>
      </c>
      <c r="F25" s="135" t="n">
        <f aca="false">Scoring!B31</f>
        <v>0</v>
      </c>
      <c r="G25" s="135" t="n">
        <f aca="false">Scoring!D31</f>
        <v>0</v>
      </c>
      <c r="H25" s="135" t="str">
        <f aca="false">Scoring!AX31</f>
        <v/>
      </c>
      <c r="I25" s="137" t="str">
        <f aca="false">Scoring!AW31</f>
        <v/>
      </c>
    </row>
    <row r="26" customFormat="false" ht="13.8" hidden="false" customHeight="false" outlineLevel="0" collapsed="false">
      <c r="A26" s="135" t="str">
        <f aca="false">Scoring!AZ32</f>
        <v/>
      </c>
      <c r="B26" s="135" t="str">
        <f aca="false">Scoring!AY32</f>
        <v/>
      </c>
      <c r="C26" s="135" t="n">
        <f aca="false">Scoring!C32</f>
        <v>0</v>
      </c>
      <c r="D26" s="136" t="str">
        <f aca="false">Scoring!AV32</f>
        <v/>
      </c>
      <c r="E26" s="135" t="str">
        <f aca="false">Scoring!AB32</f>
        <v/>
      </c>
      <c r="F26" s="135" t="n">
        <f aca="false">Scoring!B32</f>
        <v>0</v>
      </c>
      <c r="G26" s="135" t="n">
        <f aca="false">Scoring!D32</f>
        <v>0</v>
      </c>
      <c r="H26" s="135" t="str">
        <f aca="false">Scoring!AX32</f>
        <v/>
      </c>
      <c r="I26" s="137" t="str">
        <f aca="false">Scoring!AW32</f>
        <v/>
      </c>
    </row>
    <row r="27" customFormat="false" ht="13.8" hidden="false" customHeight="false" outlineLevel="0" collapsed="false">
      <c r="A27" s="135" t="str">
        <f aca="false">Scoring!AZ33</f>
        <v/>
      </c>
      <c r="B27" s="135" t="str">
        <f aca="false">Scoring!AY33</f>
        <v/>
      </c>
      <c r="C27" s="135" t="n">
        <f aca="false">Scoring!C33</f>
        <v>0</v>
      </c>
      <c r="D27" s="136" t="str">
        <f aca="false">Scoring!AV33</f>
        <v/>
      </c>
      <c r="E27" s="135" t="str">
        <f aca="false">Scoring!AB33</f>
        <v/>
      </c>
      <c r="F27" s="135" t="n">
        <f aca="false">Scoring!B33</f>
        <v>0</v>
      </c>
      <c r="G27" s="135" t="n">
        <f aca="false">Scoring!D33</f>
        <v>0</v>
      </c>
      <c r="H27" s="135" t="str">
        <f aca="false">Scoring!AX33</f>
        <v/>
      </c>
      <c r="I27" s="137" t="str">
        <f aca="false">Scoring!AW33</f>
        <v/>
      </c>
    </row>
    <row r="28" customFormat="false" ht="13.8" hidden="false" customHeight="false" outlineLevel="0" collapsed="false">
      <c r="A28" s="135" t="str">
        <f aca="false">Scoring!AZ34</f>
        <v/>
      </c>
      <c r="B28" s="135" t="str">
        <f aca="false">Scoring!AY34</f>
        <v/>
      </c>
      <c r="C28" s="135" t="n">
        <f aca="false">Scoring!C34</f>
        <v>0</v>
      </c>
      <c r="D28" s="136" t="str">
        <f aca="false">Scoring!AV34</f>
        <v/>
      </c>
      <c r="E28" s="135" t="str">
        <f aca="false">Scoring!AB34</f>
        <v/>
      </c>
      <c r="F28" s="135" t="n">
        <f aca="false">Scoring!B34</f>
        <v>0</v>
      </c>
      <c r="G28" s="135" t="n">
        <f aca="false">Scoring!D34</f>
        <v>0</v>
      </c>
      <c r="H28" s="135" t="str">
        <f aca="false">Scoring!AX34</f>
        <v/>
      </c>
      <c r="I28" s="137" t="str">
        <f aca="false">Scoring!AW34</f>
        <v/>
      </c>
    </row>
    <row r="29" customFormat="false" ht="13.8" hidden="false" customHeight="false" outlineLevel="0" collapsed="false">
      <c r="A29" s="135" t="str">
        <f aca="false">Scoring!AZ35</f>
        <v/>
      </c>
      <c r="B29" s="135" t="str">
        <f aca="false">Scoring!AY35</f>
        <v/>
      </c>
      <c r="C29" s="135" t="n">
        <f aca="false">Scoring!C35</f>
        <v>0</v>
      </c>
      <c r="D29" s="136" t="str">
        <f aca="false">Scoring!AV35</f>
        <v/>
      </c>
      <c r="E29" s="135" t="str">
        <f aca="false">Scoring!AB35</f>
        <v/>
      </c>
      <c r="F29" s="135" t="n">
        <f aca="false">Scoring!B35</f>
        <v>0</v>
      </c>
      <c r="G29" s="135" t="n">
        <f aca="false">Scoring!D35</f>
        <v>0</v>
      </c>
      <c r="H29" s="135" t="str">
        <f aca="false">Scoring!AX35</f>
        <v/>
      </c>
      <c r="I29" s="137" t="str">
        <f aca="false">Scoring!AW35</f>
        <v/>
      </c>
    </row>
    <row r="30" customFormat="false" ht="13.8" hidden="false" customHeight="false" outlineLevel="0" collapsed="false">
      <c r="A30" s="135" t="str">
        <f aca="false">Scoring!AZ36</f>
        <v/>
      </c>
      <c r="B30" s="135" t="str">
        <f aca="false">Scoring!AY36</f>
        <v/>
      </c>
      <c r="C30" s="135" t="n">
        <f aca="false">Scoring!C36</f>
        <v>0</v>
      </c>
      <c r="D30" s="136" t="str">
        <f aca="false">Scoring!AV36</f>
        <v/>
      </c>
      <c r="E30" s="135" t="str">
        <f aca="false">Scoring!AB36</f>
        <v/>
      </c>
      <c r="F30" s="135" t="n">
        <f aca="false">Scoring!B36</f>
        <v>0</v>
      </c>
      <c r="G30" s="135" t="n">
        <f aca="false">Scoring!D36</f>
        <v>0</v>
      </c>
      <c r="H30" s="135" t="str">
        <f aca="false">Scoring!AX36</f>
        <v/>
      </c>
      <c r="I30" s="137" t="str">
        <f aca="false">Scoring!AW36</f>
        <v/>
      </c>
    </row>
    <row r="31" customFormat="false" ht="13.8" hidden="false" customHeight="false" outlineLevel="0" collapsed="false">
      <c r="A31" s="135" t="str">
        <f aca="false">Scoring!AZ37</f>
        <v/>
      </c>
      <c r="B31" s="135" t="str">
        <f aca="false">Scoring!AY37</f>
        <v/>
      </c>
      <c r="C31" s="135" t="n">
        <f aca="false">Scoring!C37</f>
        <v>0</v>
      </c>
      <c r="D31" s="136" t="str">
        <f aca="false">Scoring!AV37</f>
        <v/>
      </c>
      <c r="E31" s="135" t="str">
        <f aca="false">Scoring!AB37</f>
        <v/>
      </c>
      <c r="F31" s="135" t="n">
        <f aca="false">Scoring!B37</f>
        <v>0</v>
      </c>
      <c r="G31" s="135" t="n">
        <f aca="false">Scoring!D37</f>
        <v>0</v>
      </c>
      <c r="H31" s="135" t="str">
        <f aca="false">Scoring!AX37</f>
        <v/>
      </c>
      <c r="I31" s="137" t="str">
        <f aca="false">Scoring!AW37</f>
        <v/>
      </c>
    </row>
    <row r="32" customFormat="false" ht="13.8" hidden="false" customHeight="false" outlineLevel="0" collapsed="false">
      <c r="A32" s="135" t="str">
        <f aca="false">Scoring!AZ38</f>
        <v/>
      </c>
      <c r="B32" s="135" t="str">
        <f aca="false">Scoring!AY38</f>
        <v/>
      </c>
      <c r="C32" s="135" t="n">
        <f aca="false">Scoring!C38</f>
        <v>0</v>
      </c>
      <c r="D32" s="136" t="str">
        <f aca="false">Scoring!AV38</f>
        <v/>
      </c>
      <c r="E32" s="135" t="str">
        <f aca="false">Scoring!AB38</f>
        <v/>
      </c>
      <c r="F32" s="135" t="n">
        <f aca="false">Scoring!B38</f>
        <v>0</v>
      </c>
      <c r="G32" s="135" t="n">
        <f aca="false">Scoring!D38</f>
        <v>0</v>
      </c>
      <c r="H32" s="135" t="str">
        <f aca="false">Scoring!AX38</f>
        <v/>
      </c>
      <c r="I32" s="137" t="str">
        <f aca="false">Scoring!AW38</f>
        <v/>
      </c>
    </row>
    <row r="33" customFormat="false" ht="13.8" hidden="false" customHeight="false" outlineLevel="0" collapsed="false">
      <c r="A33" s="135" t="str">
        <f aca="false">Scoring!AZ39</f>
        <v/>
      </c>
      <c r="B33" s="135" t="str">
        <f aca="false">Scoring!AY39</f>
        <v/>
      </c>
      <c r="C33" s="135" t="n">
        <f aca="false">Scoring!C39</f>
        <v>0</v>
      </c>
      <c r="D33" s="136" t="str">
        <f aca="false">Scoring!AV39</f>
        <v/>
      </c>
      <c r="E33" s="135" t="str">
        <f aca="false">Scoring!AB39</f>
        <v/>
      </c>
      <c r="F33" s="135" t="n">
        <f aca="false">Scoring!B39</f>
        <v>0</v>
      </c>
      <c r="G33" s="135" t="n">
        <f aca="false">Scoring!D39</f>
        <v>0</v>
      </c>
      <c r="H33" s="135" t="str">
        <f aca="false">Scoring!AX39</f>
        <v/>
      </c>
      <c r="I33" s="137" t="str">
        <f aca="false">Scoring!AW39</f>
        <v/>
      </c>
    </row>
    <row r="34" customFormat="false" ht="13.8" hidden="false" customHeight="false" outlineLevel="0" collapsed="false">
      <c r="A34" s="135" t="str">
        <f aca="false">Scoring!AZ40</f>
        <v/>
      </c>
      <c r="B34" s="135" t="str">
        <f aca="false">Scoring!AY40</f>
        <v/>
      </c>
      <c r="C34" s="135" t="n">
        <f aca="false">Scoring!C40</f>
        <v>0</v>
      </c>
      <c r="D34" s="136" t="str">
        <f aca="false">Scoring!AV40</f>
        <v/>
      </c>
      <c r="E34" s="135" t="str">
        <f aca="false">Scoring!AB40</f>
        <v/>
      </c>
      <c r="F34" s="135" t="n">
        <f aca="false">Scoring!B40</f>
        <v>0</v>
      </c>
      <c r="G34" s="135" t="n">
        <f aca="false">Scoring!D40</f>
        <v>0</v>
      </c>
      <c r="H34" s="135" t="str">
        <f aca="false">Scoring!AX40</f>
        <v/>
      </c>
      <c r="I34" s="137" t="str">
        <f aca="false">Scoring!AW40</f>
        <v/>
      </c>
    </row>
    <row r="35" customFormat="false" ht="13.8" hidden="false" customHeight="false" outlineLevel="0" collapsed="false">
      <c r="A35" s="135" t="str">
        <f aca="false">Scoring!AZ41</f>
        <v/>
      </c>
      <c r="B35" s="135" t="str">
        <f aca="false">Scoring!AY41</f>
        <v/>
      </c>
      <c r="C35" s="135" t="n">
        <f aca="false">Scoring!C41</f>
        <v>0</v>
      </c>
      <c r="D35" s="136" t="str">
        <f aca="false">Scoring!AV41</f>
        <v/>
      </c>
      <c r="E35" s="135" t="str">
        <f aca="false">Scoring!AB41</f>
        <v/>
      </c>
      <c r="F35" s="135" t="n">
        <f aca="false">Scoring!B41</f>
        <v>0</v>
      </c>
      <c r="G35" s="135" t="n">
        <f aca="false">Scoring!D41</f>
        <v>0</v>
      </c>
      <c r="H35" s="135" t="str">
        <f aca="false">Scoring!AX41</f>
        <v/>
      </c>
      <c r="I35" s="137" t="str">
        <f aca="false">Scoring!AW41</f>
        <v/>
      </c>
    </row>
    <row r="36" customFormat="false" ht="13.8" hidden="false" customHeight="false" outlineLevel="0" collapsed="false">
      <c r="A36" s="135" t="str">
        <f aca="false">Scoring!AZ42</f>
        <v/>
      </c>
      <c r="B36" s="135" t="str">
        <f aca="false">Scoring!AY42</f>
        <v/>
      </c>
      <c r="C36" s="135" t="n">
        <f aca="false">Scoring!C42</f>
        <v>0</v>
      </c>
      <c r="D36" s="136" t="str">
        <f aca="false">Scoring!AV42</f>
        <v/>
      </c>
      <c r="E36" s="135" t="str">
        <f aca="false">Scoring!AB42</f>
        <v/>
      </c>
      <c r="F36" s="135" t="n">
        <f aca="false">Scoring!B42</f>
        <v>0</v>
      </c>
      <c r="G36" s="135" t="n">
        <f aca="false">Scoring!D42</f>
        <v>0</v>
      </c>
      <c r="H36" s="135" t="str">
        <f aca="false">Scoring!AX42</f>
        <v/>
      </c>
      <c r="I36" s="137" t="str">
        <f aca="false">Scoring!AW42</f>
        <v/>
      </c>
    </row>
    <row r="37" customFormat="false" ht="13.8" hidden="false" customHeight="false" outlineLevel="0" collapsed="false">
      <c r="A37" s="135" t="str">
        <f aca="false">Scoring!AZ43</f>
        <v/>
      </c>
      <c r="B37" s="135" t="str">
        <f aca="false">Scoring!AY43</f>
        <v/>
      </c>
      <c r="C37" s="135" t="n">
        <f aca="false">Scoring!C43</f>
        <v>0</v>
      </c>
      <c r="D37" s="136" t="str">
        <f aca="false">Scoring!AV43</f>
        <v/>
      </c>
      <c r="E37" s="135" t="str">
        <f aca="false">Scoring!AB43</f>
        <v/>
      </c>
      <c r="F37" s="135" t="n">
        <f aca="false">Scoring!B43</f>
        <v>0</v>
      </c>
      <c r="G37" s="135" t="n">
        <f aca="false">Scoring!D43</f>
        <v>0</v>
      </c>
      <c r="H37" s="135" t="str">
        <f aca="false">Scoring!AX43</f>
        <v/>
      </c>
      <c r="I37" s="137" t="str">
        <f aca="false">Scoring!AW43</f>
        <v/>
      </c>
    </row>
    <row r="38" customFormat="false" ht="13.8" hidden="false" customHeight="false" outlineLevel="0" collapsed="false">
      <c r="A38" s="135" t="str">
        <f aca="false">Scoring!AZ44</f>
        <v/>
      </c>
      <c r="B38" s="135" t="str">
        <f aca="false">Scoring!AY44</f>
        <v/>
      </c>
      <c r="C38" s="135" t="n">
        <f aca="false">Scoring!C44</f>
        <v>0</v>
      </c>
      <c r="D38" s="136" t="str">
        <f aca="false">Scoring!AV44</f>
        <v/>
      </c>
      <c r="E38" s="135" t="str">
        <f aca="false">Scoring!AB44</f>
        <v/>
      </c>
      <c r="F38" s="135" t="n">
        <f aca="false">Scoring!B44</f>
        <v>0</v>
      </c>
      <c r="G38" s="135" t="n">
        <f aca="false">Scoring!D44</f>
        <v>0</v>
      </c>
      <c r="H38" s="135" t="str">
        <f aca="false">Scoring!AX44</f>
        <v/>
      </c>
      <c r="I38" s="137" t="str">
        <f aca="false">Scoring!AW44</f>
        <v/>
      </c>
    </row>
    <row r="39" customFormat="false" ht="13.8" hidden="false" customHeight="false" outlineLevel="0" collapsed="false">
      <c r="A39" s="135" t="str">
        <f aca="false">Scoring!AZ45</f>
        <v/>
      </c>
      <c r="B39" s="135" t="str">
        <f aca="false">Scoring!AY45</f>
        <v/>
      </c>
      <c r="C39" s="135" t="n">
        <f aca="false">Scoring!C45</f>
        <v>0</v>
      </c>
      <c r="D39" s="136" t="str">
        <f aca="false">Scoring!AV45</f>
        <v/>
      </c>
      <c r="E39" s="135" t="str">
        <f aca="false">Scoring!AB45</f>
        <v/>
      </c>
      <c r="F39" s="135" t="n">
        <f aca="false">Scoring!B45</f>
        <v>0</v>
      </c>
      <c r="G39" s="135" t="n">
        <f aca="false">Scoring!D45</f>
        <v>0</v>
      </c>
      <c r="H39" s="135" t="str">
        <f aca="false">Scoring!AX45</f>
        <v/>
      </c>
      <c r="I39" s="137" t="str">
        <f aca="false">Scoring!AW45</f>
        <v/>
      </c>
    </row>
    <row r="40" customFormat="false" ht="13.8" hidden="false" customHeight="false" outlineLevel="0" collapsed="false">
      <c r="A40" s="135" t="str">
        <f aca="false">Scoring!AZ46</f>
        <v/>
      </c>
      <c r="B40" s="135" t="str">
        <f aca="false">Scoring!AY46</f>
        <v/>
      </c>
      <c r="C40" s="135" t="n">
        <f aca="false">Scoring!C46</f>
        <v>0</v>
      </c>
      <c r="D40" s="136" t="str">
        <f aca="false">Scoring!AV46</f>
        <v/>
      </c>
      <c r="E40" s="135" t="str">
        <f aca="false">Scoring!AB46</f>
        <v/>
      </c>
      <c r="F40" s="135" t="n">
        <f aca="false">Scoring!B46</f>
        <v>0</v>
      </c>
      <c r="G40" s="135" t="n">
        <f aca="false">Scoring!D46</f>
        <v>0</v>
      </c>
      <c r="H40" s="135" t="str">
        <f aca="false">Scoring!AX46</f>
        <v/>
      </c>
      <c r="I40" s="137" t="str">
        <f aca="false">Scoring!AW46</f>
        <v/>
      </c>
    </row>
    <row r="41" customFormat="false" ht="13.8" hidden="false" customHeight="false" outlineLevel="0" collapsed="false">
      <c r="A41" s="135" t="str">
        <f aca="false">Scoring!AZ47</f>
        <v/>
      </c>
      <c r="B41" s="135" t="str">
        <f aca="false">Scoring!AY47</f>
        <v/>
      </c>
      <c r="C41" s="135" t="n">
        <f aca="false">Scoring!C47</f>
        <v>0</v>
      </c>
      <c r="D41" s="136" t="str">
        <f aca="false">Scoring!AV47</f>
        <v/>
      </c>
      <c r="E41" s="135" t="str">
        <f aca="false">Scoring!AB47</f>
        <v/>
      </c>
      <c r="F41" s="135" t="n">
        <f aca="false">Scoring!B47</f>
        <v>0</v>
      </c>
      <c r="G41" s="135" t="n">
        <f aca="false">Scoring!D47</f>
        <v>0</v>
      </c>
      <c r="H41" s="135" t="str">
        <f aca="false">Scoring!AX47</f>
        <v/>
      </c>
      <c r="I41" s="137" t="str">
        <f aca="false">Scoring!AW47</f>
        <v/>
      </c>
    </row>
    <row r="42" customFormat="false" ht="13.8" hidden="false" customHeight="false" outlineLevel="0" collapsed="false">
      <c r="A42" s="135" t="str">
        <f aca="false">Scoring!AZ48</f>
        <v/>
      </c>
      <c r="B42" s="135" t="str">
        <f aca="false">Scoring!AY48</f>
        <v/>
      </c>
      <c r="C42" s="135" t="n">
        <f aca="false">Scoring!C48</f>
        <v>0</v>
      </c>
      <c r="D42" s="136" t="str">
        <f aca="false">Scoring!AV48</f>
        <v/>
      </c>
      <c r="E42" s="135" t="str">
        <f aca="false">Scoring!AB48</f>
        <v/>
      </c>
      <c r="F42" s="135" t="n">
        <f aca="false">Scoring!B48</f>
        <v>0</v>
      </c>
      <c r="G42" s="135" t="n">
        <f aca="false">Scoring!D48</f>
        <v>0</v>
      </c>
      <c r="H42" s="135" t="str">
        <f aca="false">Scoring!AX48</f>
        <v/>
      </c>
      <c r="I42" s="137" t="str">
        <f aca="false">Scoring!AW48</f>
        <v/>
      </c>
    </row>
    <row r="43" customFormat="false" ht="13.8" hidden="false" customHeight="false" outlineLevel="0" collapsed="false">
      <c r="A43" s="135" t="str">
        <f aca="false">Scoring!AZ49</f>
        <v/>
      </c>
      <c r="B43" s="135" t="str">
        <f aca="false">Scoring!AY49</f>
        <v/>
      </c>
      <c r="C43" s="135" t="n">
        <f aca="false">Scoring!C49</f>
        <v>0</v>
      </c>
      <c r="D43" s="136" t="str">
        <f aca="false">Scoring!AV49</f>
        <v/>
      </c>
      <c r="E43" s="135" t="str">
        <f aca="false">Scoring!AB49</f>
        <v/>
      </c>
      <c r="F43" s="135" t="n">
        <f aca="false">Scoring!B49</f>
        <v>0</v>
      </c>
      <c r="G43" s="135" t="n">
        <f aca="false">Scoring!D49</f>
        <v>0</v>
      </c>
      <c r="H43" s="135" t="str">
        <f aca="false">Scoring!AX49</f>
        <v/>
      </c>
      <c r="I43" s="137" t="str">
        <f aca="false">Scoring!AW49</f>
        <v/>
      </c>
    </row>
    <row r="44" customFormat="false" ht="13.8" hidden="false" customHeight="false" outlineLevel="0" collapsed="false">
      <c r="A44" s="135" t="str">
        <f aca="false">Scoring!AZ50</f>
        <v/>
      </c>
      <c r="B44" s="135" t="str">
        <f aca="false">Scoring!AY50</f>
        <v/>
      </c>
      <c r="C44" s="135" t="n">
        <f aca="false">Scoring!C50</f>
        <v>0</v>
      </c>
      <c r="D44" s="136" t="str">
        <f aca="false">Scoring!AV50</f>
        <v/>
      </c>
      <c r="E44" s="135" t="str">
        <f aca="false">Scoring!AB50</f>
        <v/>
      </c>
      <c r="F44" s="135" t="n">
        <f aca="false">Scoring!B50</f>
        <v>0</v>
      </c>
      <c r="G44" s="135" t="n">
        <f aca="false">Scoring!D50</f>
        <v>0</v>
      </c>
      <c r="H44" s="135" t="str">
        <f aca="false">Scoring!AX50</f>
        <v/>
      </c>
      <c r="I44" s="137" t="str">
        <f aca="false">Scoring!AW50</f>
        <v/>
      </c>
    </row>
    <row r="45" customFormat="false" ht="13.8" hidden="false" customHeight="false" outlineLevel="0" collapsed="false">
      <c r="A45" s="135" t="str">
        <f aca="false">Scoring!AZ51</f>
        <v/>
      </c>
      <c r="B45" s="135" t="str">
        <f aca="false">Scoring!AY51</f>
        <v/>
      </c>
      <c r="C45" s="135" t="n">
        <f aca="false">Scoring!C51</f>
        <v>0</v>
      </c>
      <c r="D45" s="136" t="str">
        <f aca="false">Scoring!AV51</f>
        <v/>
      </c>
      <c r="E45" s="135" t="str">
        <f aca="false">Scoring!AB51</f>
        <v/>
      </c>
      <c r="F45" s="135" t="n">
        <f aca="false">Scoring!B51</f>
        <v>0</v>
      </c>
      <c r="G45" s="135" t="n">
        <f aca="false">Scoring!D51</f>
        <v>0</v>
      </c>
      <c r="H45" s="135" t="str">
        <f aca="false">Scoring!AX51</f>
        <v/>
      </c>
      <c r="I45" s="137" t="str">
        <f aca="false">Scoring!AW51</f>
        <v/>
      </c>
    </row>
    <row r="46" customFormat="false" ht="13.8" hidden="false" customHeight="false" outlineLevel="0" collapsed="false">
      <c r="A46" s="135" t="str">
        <f aca="false">Scoring!AZ52</f>
        <v/>
      </c>
      <c r="B46" s="135" t="str">
        <f aca="false">Scoring!AY52</f>
        <v/>
      </c>
      <c r="C46" s="135" t="n">
        <f aca="false">Scoring!C52</f>
        <v>0</v>
      </c>
      <c r="D46" s="136" t="str">
        <f aca="false">Scoring!AV52</f>
        <v/>
      </c>
      <c r="E46" s="135" t="str">
        <f aca="false">Scoring!AB52</f>
        <v/>
      </c>
      <c r="F46" s="135" t="n">
        <f aca="false">Scoring!B52</f>
        <v>0</v>
      </c>
      <c r="G46" s="135" t="n">
        <f aca="false">Scoring!D52</f>
        <v>0</v>
      </c>
      <c r="H46" s="135" t="str">
        <f aca="false">Scoring!AX52</f>
        <v/>
      </c>
      <c r="I46" s="137" t="str">
        <f aca="false">Scoring!AW52</f>
        <v/>
      </c>
    </row>
    <row r="47" customFormat="false" ht="13.8" hidden="false" customHeight="false" outlineLevel="0" collapsed="false">
      <c r="A47" s="135" t="str">
        <f aca="false">Scoring!AZ53</f>
        <v/>
      </c>
      <c r="B47" s="135" t="str">
        <f aca="false">Scoring!AY53</f>
        <v/>
      </c>
      <c r="C47" s="135" t="n">
        <f aca="false">Scoring!C53</f>
        <v>0</v>
      </c>
      <c r="D47" s="136" t="str">
        <f aca="false">Scoring!AV53</f>
        <v/>
      </c>
      <c r="E47" s="135" t="str">
        <f aca="false">Scoring!AB53</f>
        <v/>
      </c>
      <c r="F47" s="135" t="n">
        <f aca="false">Scoring!B53</f>
        <v>0</v>
      </c>
      <c r="G47" s="135" t="n">
        <f aca="false">Scoring!D53</f>
        <v>0</v>
      </c>
      <c r="H47" s="135" t="str">
        <f aca="false">Scoring!AX53</f>
        <v/>
      </c>
      <c r="I47" s="137" t="str">
        <f aca="false">Scoring!AW53</f>
        <v/>
      </c>
    </row>
    <row r="48" customFormat="false" ht="13.8" hidden="false" customHeight="false" outlineLevel="0" collapsed="false">
      <c r="A48" s="135" t="str">
        <f aca="false">Scoring!AZ54</f>
        <v/>
      </c>
      <c r="B48" s="135" t="str">
        <f aca="false">Scoring!AY54</f>
        <v/>
      </c>
      <c r="C48" s="135" t="n">
        <f aca="false">Scoring!C54</f>
        <v>0</v>
      </c>
      <c r="D48" s="136" t="str">
        <f aca="false">Scoring!AV54</f>
        <v/>
      </c>
      <c r="E48" s="135" t="str">
        <f aca="false">Scoring!AB54</f>
        <v/>
      </c>
      <c r="F48" s="135" t="n">
        <f aca="false">Scoring!B54</f>
        <v>0</v>
      </c>
      <c r="G48" s="135" t="n">
        <f aca="false">Scoring!D54</f>
        <v>0</v>
      </c>
      <c r="H48" s="135" t="str">
        <f aca="false">Scoring!AX54</f>
        <v/>
      </c>
      <c r="I48" s="137" t="str">
        <f aca="false">Scoring!AW54</f>
        <v/>
      </c>
    </row>
    <row r="49" customFormat="false" ht="13.8" hidden="false" customHeight="false" outlineLevel="0" collapsed="false">
      <c r="A49" s="135" t="str">
        <f aca="false">Scoring!AZ55</f>
        <v/>
      </c>
      <c r="B49" s="135" t="str">
        <f aca="false">Scoring!AY55</f>
        <v/>
      </c>
      <c r="C49" s="135" t="n">
        <f aca="false">Scoring!C55</f>
        <v>0</v>
      </c>
      <c r="D49" s="136" t="str">
        <f aca="false">Scoring!AV55</f>
        <v/>
      </c>
      <c r="E49" s="135" t="str">
        <f aca="false">Scoring!AB55</f>
        <v/>
      </c>
      <c r="F49" s="135" t="n">
        <f aca="false">Scoring!B55</f>
        <v>0</v>
      </c>
      <c r="G49" s="135" t="n">
        <f aca="false">Scoring!D55</f>
        <v>0</v>
      </c>
      <c r="H49" s="135" t="str">
        <f aca="false">Scoring!AX55</f>
        <v/>
      </c>
      <c r="I49" s="137" t="str">
        <f aca="false">Scoring!AW55</f>
        <v/>
      </c>
    </row>
    <row r="50" customFormat="false" ht="13.8" hidden="false" customHeight="false" outlineLevel="0" collapsed="false">
      <c r="A50" s="135" t="str">
        <f aca="false">Scoring!AZ56</f>
        <v/>
      </c>
      <c r="B50" s="135" t="str">
        <f aca="false">Scoring!AY56</f>
        <v/>
      </c>
      <c r="C50" s="135" t="n">
        <f aca="false">Scoring!C56</f>
        <v>0</v>
      </c>
      <c r="D50" s="136" t="str">
        <f aca="false">Scoring!AV56</f>
        <v/>
      </c>
      <c r="E50" s="135" t="str">
        <f aca="false">Scoring!AB56</f>
        <v/>
      </c>
      <c r="F50" s="135" t="n">
        <f aca="false">Scoring!B56</f>
        <v>0</v>
      </c>
      <c r="G50" s="135" t="n">
        <f aca="false">Scoring!D56</f>
        <v>0</v>
      </c>
      <c r="H50" s="135" t="str">
        <f aca="false">Scoring!AX56</f>
        <v/>
      </c>
      <c r="I50" s="137" t="str">
        <f aca="false">Scoring!AW56</f>
        <v/>
      </c>
    </row>
    <row r="51" customFormat="false" ht="13.8" hidden="false" customHeight="false" outlineLevel="0" collapsed="false">
      <c r="A51" s="135" t="str">
        <f aca="false">Scoring!AZ57</f>
        <v/>
      </c>
      <c r="B51" s="135" t="str">
        <f aca="false">Scoring!AY57</f>
        <v/>
      </c>
      <c r="C51" s="135" t="n">
        <f aca="false">Scoring!C57</f>
        <v>0</v>
      </c>
      <c r="D51" s="136" t="str">
        <f aca="false">Scoring!AV57</f>
        <v/>
      </c>
      <c r="E51" s="135" t="str">
        <f aca="false">Scoring!AB57</f>
        <v/>
      </c>
      <c r="F51" s="135" t="n">
        <f aca="false">Scoring!B57</f>
        <v>0</v>
      </c>
      <c r="G51" s="135" t="n">
        <f aca="false">Scoring!D57</f>
        <v>0</v>
      </c>
      <c r="H51" s="135" t="str">
        <f aca="false">Scoring!AX57</f>
        <v/>
      </c>
      <c r="I51" s="137" t="str">
        <f aca="false">Scoring!AW57</f>
        <v/>
      </c>
    </row>
    <row r="52" customFormat="false" ht="13.8" hidden="false" customHeight="false" outlineLevel="0" collapsed="false">
      <c r="A52" s="135" t="str">
        <f aca="false">Scoring!AZ58</f>
        <v/>
      </c>
      <c r="B52" s="135" t="str">
        <f aca="false">Scoring!AY58</f>
        <v/>
      </c>
      <c r="C52" s="135" t="n">
        <f aca="false">Scoring!C58</f>
        <v>0</v>
      </c>
      <c r="D52" s="136" t="str">
        <f aca="false">Scoring!AV58</f>
        <v/>
      </c>
      <c r="E52" s="135" t="str">
        <f aca="false">Scoring!AB58</f>
        <v/>
      </c>
      <c r="F52" s="135" t="n">
        <f aca="false">Scoring!B58</f>
        <v>0</v>
      </c>
      <c r="G52" s="135" t="n">
        <f aca="false">Scoring!D58</f>
        <v>0</v>
      </c>
      <c r="H52" s="135" t="str">
        <f aca="false">Scoring!AX58</f>
        <v/>
      </c>
      <c r="I52" s="137" t="str">
        <f aca="false">Scoring!AW58</f>
        <v/>
      </c>
    </row>
    <row r="53" customFormat="false" ht="13.8" hidden="false" customHeight="false" outlineLevel="0" collapsed="false">
      <c r="A53" s="135" t="str">
        <f aca="false">Scoring!AZ59</f>
        <v/>
      </c>
      <c r="B53" s="135" t="str">
        <f aca="false">Scoring!AY59</f>
        <v/>
      </c>
      <c r="C53" s="135" t="n">
        <f aca="false">Scoring!C59</f>
        <v>0</v>
      </c>
      <c r="D53" s="136" t="str">
        <f aca="false">Scoring!AV59</f>
        <v/>
      </c>
      <c r="E53" s="135" t="str">
        <f aca="false">Scoring!AB59</f>
        <v/>
      </c>
      <c r="F53" s="135" t="n">
        <f aca="false">Scoring!B59</f>
        <v>0</v>
      </c>
      <c r="G53" s="135" t="n">
        <f aca="false">Scoring!D59</f>
        <v>0</v>
      </c>
      <c r="H53" s="135" t="str">
        <f aca="false">Scoring!AX59</f>
        <v/>
      </c>
      <c r="I53" s="137" t="str">
        <f aca="false">Scoring!AW59</f>
        <v/>
      </c>
    </row>
    <row r="54" customFormat="false" ht="13.8" hidden="false" customHeight="false" outlineLevel="0" collapsed="false">
      <c r="A54" s="135" t="str">
        <f aca="false">Scoring!AZ60</f>
        <v/>
      </c>
      <c r="B54" s="135" t="str">
        <f aca="false">Scoring!AY60</f>
        <v/>
      </c>
      <c r="C54" s="135" t="n">
        <f aca="false">Scoring!C60</f>
        <v>0</v>
      </c>
      <c r="D54" s="136" t="str">
        <f aca="false">Scoring!AV60</f>
        <v/>
      </c>
      <c r="E54" s="135" t="str">
        <f aca="false">Scoring!AB60</f>
        <v/>
      </c>
      <c r="F54" s="135" t="n">
        <f aca="false">Scoring!B60</f>
        <v>0</v>
      </c>
      <c r="G54" s="135" t="n">
        <f aca="false">Scoring!D60</f>
        <v>0</v>
      </c>
      <c r="H54" s="135" t="str">
        <f aca="false">Scoring!AX60</f>
        <v/>
      </c>
      <c r="I54" s="137" t="str">
        <f aca="false">Scoring!AW60</f>
        <v/>
      </c>
    </row>
    <row r="55" customFormat="false" ht="13.8" hidden="false" customHeight="false" outlineLevel="0" collapsed="false">
      <c r="A55" s="135" t="str">
        <f aca="false">Scoring!AZ61</f>
        <v/>
      </c>
      <c r="B55" s="135" t="str">
        <f aca="false">Scoring!AY61</f>
        <v/>
      </c>
      <c r="C55" s="135" t="n">
        <f aca="false">Scoring!C61</f>
        <v>0</v>
      </c>
      <c r="D55" s="136" t="str">
        <f aca="false">Scoring!AV61</f>
        <v/>
      </c>
      <c r="E55" s="135" t="str">
        <f aca="false">Scoring!AB61</f>
        <v/>
      </c>
      <c r="F55" s="135" t="n">
        <f aca="false">Scoring!B61</f>
        <v>0</v>
      </c>
      <c r="G55" s="135" t="n">
        <f aca="false">Scoring!D61</f>
        <v>0</v>
      </c>
      <c r="H55" s="135" t="str">
        <f aca="false">Scoring!AX61</f>
        <v/>
      </c>
      <c r="I55" s="137" t="str">
        <f aca="false">Scoring!AW61</f>
        <v/>
      </c>
    </row>
    <row r="56" customFormat="false" ht="13.8" hidden="false" customHeight="false" outlineLevel="0" collapsed="false">
      <c r="A56" s="135" t="str">
        <f aca="false">Scoring!AZ62</f>
        <v/>
      </c>
      <c r="B56" s="135" t="str">
        <f aca="false">Scoring!AY62</f>
        <v/>
      </c>
      <c r="C56" s="135" t="n">
        <f aca="false">Scoring!C62</f>
        <v>0</v>
      </c>
      <c r="D56" s="136" t="str">
        <f aca="false">Scoring!AV62</f>
        <v/>
      </c>
      <c r="E56" s="135" t="str">
        <f aca="false">Scoring!AB62</f>
        <v/>
      </c>
      <c r="F56" s="135" t="n">
        <f aca="false">Scoring!B62</f>
        <v>0</v>
      </c>
      <c r="G56" s="135" t="n">
        <f aca="false">Scoring!D62</f>
        <v>0</v>
      </c>
      <c r="H56" s="135" t="str">
        <f aca="false">Scoring!AX62</f>
        <v/>
      </c>
      <c r="I56" s="137" t="str">
        <f aca="false">Scoring!AW62</f>
        <v/>
      </c>
    </row>
    <row r="57" customFormat="false" ht="13.8" hidden="false" customHeight="false" outlineLevel="0" collapsed="false">
      <c r="A57" s="135" t="str">
        <f aca="false">Scoring!AZ63</f>
        <v/>
      </c>
      <c r="B57" s="135" t="str">
        <f aca="false">Scoring!AY63</f>
        <v/>
      </c>
      <c r="C57" s="135" t="n">
        <f aca="false">Scoring!C63</f>
        <v>0</v>
      </c>
      <c r="D57" s="136" t="str">
        <f aca="false">Scoring!AV63</f>
        <v/>
      </c>
      <c r="E57" s="135" t="str">
        <f aca="false">Scoring!AB63</f>
        <v/>
      </c>
      <c r="F57" s="135" t="n">
        <f aca="false">Scoring!B63</f>
        <v>0</v>
      </c>
      <c r="G57" s="135" t="n">
        <f aca="false">Scoring!D63</f>
        <v>0</v>
      </c>
      <c r="H57" s="135" t="str">
        <f aca="false">Scoring!AX63</f>
        <v/>
      </c>
      <c r="I57" s="137" t="str">
        <f aca="false">Scoring!AW63</f>
        <v/>
      </c>
    </row>
    <row r="58" customFormat="false" ht="13.8" hidden="false" customHeight="false" outlineLevel="0" collapsed="false">
      <c r="A58" s="135" t="str">
        <f aca="false">Scoring!AZ64</f>
        <v/>
      </c>
      <c r="B58" s="135" t="str">
        <f aca="false">Scoring!AY64</f>
        <v/>
      </c>
      <c r="C58" s="135" t="n">
        <f aca="false">Scoring!C64</f>
        <v>0</v>
      </c>
      <c r="D58" s="136" t="str">
        <f aca="false">Scoring!AV64</f>
        <v/>
      </c>
      <c r="E58" s="135" t="str">
        <f aca="false">Scoring!AB64</f>
        <v/>
      </c>
      <c r="F58" s="135" t="n">
        <f aca="false">Scoring!B64</f>
        <v>0</v>
      </c>
      <c r="G58" s="135" t="n">
        <f aca="false">Scoring!D64</f>
        <v>0</v>
      </c>
      <c r="H58" s="135" t="str">
        <f aca="false">Scoring!AX64</f>
        <v/>
      </c>
      <c r="I58" s="137" t="str">
        <f aca="false">Scoring!AW64</f>
        <v/>
      </c>
    </row>
    <row r="59" customFormat="false" ht="13.8" hidden="false" customHeight="false" outlineLevel="0" collapsed="false">
      <c r="A59" s="135" t="str">
        <f aca="false">Scoring!AZ65</f>
        <v/>
      </c>
      <c r="B59" s="135" t="str">
        <f aca="false">Scoring!AY65</f>
        <v/>
      </c>
      <c r="C59" s="135" t="n">
        <f aca="false">Scoring!C65</f>
        <v>0</v>
      </c>
      <c r="D59" s="136" t="str">
        <f aca="false">Scoring!AV65</f>
        <v/>
      </c>
      <c r="E59" s="135" t="str">
        <f aca="false">Scoring!AB65</f>
        <v/>
      </c>
      <c r="F59" s="135" t="n">
        <f aca="false">Scoring!B65</f>
        <v>0</v>
      </c>
      <c r="G59" s="135" t="n">
        <f aca="false">Scoring!D65</f>
        <v>0</v>
      </c>
      <c r="H59" s="135" t="str">
        <f aca="false">Scoring!AX65</f>
        <v/>
      </c>
      <c r="I59" s="137" t="str">
        <f aca="false">Scoring!AW65</f>
        <v/>
      </c>
    </row>
    <row r="60" customFormat="false" ht="13.8" hidden="false" customHeight="false" outlineLevel="0" collapsed="false">
      <c r="A60" s="135" t="str">
        <f aca="false">Scoring!AZ66</f>
        <v/>
      </c>
      <c r="B60" s="135" t="str">
        <f aca="false">Scoring!AY66</f>
        <v/>
      </c>
      <c r="C60" s="135" t="n">
        <f aca="false">Scoring!C66</f>
        <v>0</v>
      </c>
      <c r="D60" s="136" t="str">
        <f aca="false">Scoring!AV66</f>
        <v/>
      </c>
      <c r="E60" s="135" t="str">
        <f aca="false">Scoring!AB66</f>
        <v/>
      </c>
      <c r="F60" s="135" t="n">
        <f aca="false">Scoring!B66</f>
        <v>0</v>
      </c>
      <c r="G60" s="135" t="n">
        <f aca="false">Scoring!D66</f>
        <v>0</v>
      </c>
      <c r="H60" s="135" t="str">
        <f aca="false">Scoring!AX66</f>
        <v/>
      </c>
      <c r="I60" s="137" t="str">
        <f aca="false">Scoring!AW66</f>
        <v/>
      </c>
    </row>
    <row r="61" customFormat="false" ht="13.8" hidden="false" customHeight="false" outlineLevel="0" collapsed="false">
      <c r="A61" s="135" t="str">
        <f aca="false">Scoring!AZ67</f>
        <v/>
      </c>
      <c r="B61" s="135" t="str">
        <f aca="false">Scoring!AY67</f>
        <v/>
      </c>
      <c r="C61" s="135" t="n">
        <f aca="false">Scoring!C67</f>
        <v>0</v>
      </c>
      <c r="D61" s="136" t="str">
        <f aca="false">Scoring!AV67</f>
        <v/>
      </c>
      <c r="E61" s="135" t="str">
        <f aca="false">Scoring!AB67</f>
        <v/>
      </c>
      <c r="F61" s="135" t="n">
        <f aca="false">Scoring!B67</f>
        <v>0</v>
      </c>
      <c r="G61" s="135" t="n">
        <f aca="false">Scoring!D67</f>
        <v>0</v>
      </c>
      <c r="H61" s="135" t="str">
        <f aca="false">Scoring!AX67</f>
        <v/>
      </c>
      <c r="I61" s="137" t="str">
        <f aca="false">Scoring!AW67</f>
        <v/>
      </c>
    </row>
    <row r="62" customFormat="false" ht="13.8" hidden="false" customHeight="false" outlineLevel="0" collapsed="false">
      <c r="A62" s="135" t="str">
        <f aca="false">Scoring!AZ68</f>
        <v/>
      </c>
      <c r="B62" s="135" t="str">
        <f aca="false">Scoring!AY68</f>
        <v/>
      </c>
      <c r="C62" s="135" t="n">
        <f aca="false">Scoring!C68</f>
        <v>0</v>
      </c>
      <c r="D62" s="136" t="str">
        <f aca="false">Scoring!AV68</f>
        <v/>
      </c>
      <c r="E62" s="135" t="str">
        <f aca="false">Scoring!AB68</f>
        <v/>
      </c>
      <c r="F62" s="135" t="n">
        <f aca="false">Scoring!B68</f>
        <v>0</v>
      </c>
      <c r="G62" s="135" t="n">
        <f aca="false">Scoring!D68</f>
        <v>0</v>
      </c>
      <c r="H62" s="135" t="str">
        <f aca="false">Scoring!AX68</f>
        <v/>
      </c>
      <c r="I62" s="137" t="str">
        <f aca="false">Scoring!AW68</f>
        <v/>
      </c>
    </row>
    <row r="63" customFormat="false" ht="13.8" hidden="false" customHeight="false" outlineLevel="0" collapsed="false">
      <c r="A63" s="135" t="str">
        <f aca="false">Scoring!AZ69</f>
        <v/>
      </c>
      <c r="B63" s="135" t="str">
        <f aca="false">Scoring!AY69</f>
        <v/>
      </c>
      <c r="C63" s="135" t="n">
        <f aca="false">Scoring!C69</f>
        <v>0</v>
      </c>
      <c r="D63" s="136" t="str">
        <f aca="false">Scoring!AV69</f>
        <v/>
      </c>
      <c r="E63" s="135" t="str">
        <f aca="false">Scoring!AB69</f>
        <v/>
      </c>
      <c r="F63" s="135" t="n">
        <f aca="false">Scoring!B69</f>
        <v>0</v>
      </c>
      <c r="G63" s="135" t="n">
        <f aca="false">Scoring!D69</f>
        <v>0</v>
      </c>
      <c r="H63" s="135" t="str">
        <f aca="false">Scoring!AX69</f>
        <v/>
      </c>
      <c r="I63" s="137" t="str">
        <f aca="false">Scoring!AW69</f>
        <v/>
      </c>
    </row>
    <row r="64" customFormat="false" ht="13.8" hidden="false" customHeight="false" outlineLevel="0" collapsed="false">
      <c r="A64" s="135" t="str">
        <f aca="false">Scoring!AZ70</f>
        <v/>
      </c>
      <c r="B64" s="135" t="str">
        <f aca="false">Scoring!AY70</f>
        <v/>
      </c>
      <c r="C64" s="135" t="n">
        <f aca="false">Scoring!C70</f>
        <v>0</v>
      </c>
      <c r="D64" s="136" t="str">
        <f aca="false">Scoring!AV70</f>
        <v/>
      </c>
      <c r="E64" s="135" t="str">
        <f aca="false">Scoring!AB70</f>
        <v/>
      </c>
      <c r="F64" s="135" t="n">
        <f aca="false">Scoring!B70</f>
        <v>0</v>
      </c>
      <c r="G64" s="135" t="n">
        <f aca="false">Scoring!D70</f>
        <v>0</v>
      </c>
      <c r="H64" s="135" t="str">
        <f aca="false">Scoring!AX70</f>
        <v/>
      </c>
      <c r="I64" s="137" t="str">
        <f aca="false">Scoring!AW70</f>
        <v/>
      </c>
    </row>
    <row r="65" customFormat="false" ht="13.8" hidden="false" customHeight="false" outlineLevel="0" collapsed="false">
      <c r="A65" s="135" t="str">
        <f aca="false">Scoring!AZ71</f>
        <v/>
      </c>
      <c r="B65" s="135" t="str">
        <f aca="false">Scoring!AY71</f>
        <v/>
      </c>
      <c r="C65" s="135" t="n">
        <f aca="false">Scoring!C71</f>
        <v>0</v>
      </c>
      <c r="D65" s="136" t="str">
        <f aca="false">Scoring!AV71</f>
        <v/>
      </c>
      <c r="E65" s="135" t="str">
        <f aca="false">Scoring!AB71</f>
        <v/>
      </c>
      <c r="F65" s="135" t="n">
        <f aca="false">Scoring!B71</f>
        <v>0</v>
      </c>
      <c r="G65" s="135" t="n">
        <f aca="false">Scoring!D71</f>
        <v>0</v>
      </c>
      <c r="H65" s="135" t="str">
        <f aca="false">Scoring!AX71</f>
        <v/>
      </c>
      <c r="I65" s="137" t="str">
        <f aca="false">Scoring!AW71</f>
        <v/>
      </c>
    </row>
    <row r="66" customFormat="false" ht="13.8" hidden="false" customHeight="false" outlineLevel="0" collapsed="false">
      <c r="A66" s="135" t="str">
        <f aca="false">Scoring!AZ72</f>
        <v/>
      </c>
      <c r="B66" s="135" t="str">
        <f aca="false">Scoring!AY72</f>
        <v/>
      </c>
      <c r="C66" s="135" t="n">
        <f aca="false">Scoring!C72</f>
        <v>0</v>
      </c>
      <c r="D66" s="136" t="str">
        <f aca="false">Scoring!AV72</f>
        <v/>
      </c>
      <c r="E66" s="135" t="str">
        <f aca="false">Scoring!AB72</f>
        <v/>
      </c>
      <c r="F66" s="135" t="n">
        <f aca="false">Scoring!B72</f>
        <v>0</v>
      </c>
      <c r="G66" s="135" t="n">
        <f aca="false">Scoring!D72</f>
        <v>0</v>
      </c>
      <c r="H66" s="135" t="str">
        <f aca="false">Scoring!AX72</f>
        <v/>
      </c>
      <c r="I66" s="137" t="str">
        <f aca="false">Scoring!AW72</f>
        <v/>
      </c>
    </row>
    <row r="67" customFormat="false" ht="13.8" hidden="false" customHeight="false" outlineLevel="0" collapsed="false">
      <c r="A67" s="135" t="str">
        <f aca="false">Scoring!AZ73</f>
        <v/>
      </c>
      <c r="B67" s="135" t="str">
        <f aca="false">Scoring!AY73</f>
        <v/>
      </c>
      <c r="C67" s="135" t="n">
        <f aca="false">Scoring!C73</f>
        <v>0</v>
      </c>
      <c r="D67" s="136" t="str">
        <f aca="false">Scoring!AV73</f>
        <v/>
      </c>
      <c r="E67" s="135" t="str">
        <f aca="false">Scoring!AB73</f>
        <v/>
      </c>
      <c r="F67" s="135" t="n">
        <f aca="false">Scoring!B73</f>
        <v>0</v>
      </c>
      <c r="G67" s="135" t="n">
        <f aca="false">Scoring!D73</f>
        <v>0</v>
      </c>
      <c r="H67" s="135" t="str">
        <f aca="false">Scoring!AX73</f>
        <v/>
      </c>
      <c r="I67" s="137" t="str">
        <f aca="false">Scoring!AW73</f>
        <v/>
      </c>
    </row>
    <row r="68" customFormat="false" ht="13.8" hidden="false" customHeight="false" outlineLevel="0" collapsed="false">
      <c r="A68" s="135" t="str">
        <f aca="false">Scoring!AZ74</f>
        <v/>
      </c>
      <c r="B68" s="135" t="str">
        <f aca="false">Scoring!AY74</f>
        <v/>
      </c>
      <c r="C68" s="135" t="n">
        <f aca="false">Scoring!C74</f>
        <v>0</v>
      </c>
      <c r="D68" s="136" t="str">
        <f aca="false">Scoring!AV74</f>
        <v/>
      </c>
      <c r="E68" s="135" t="str">
        <f aca="false">Scoring!AB74</f>
        <v/>
      </c>
      <c r="F68" s="135" t="n">
        <f aca="false">Scoring!B74</f>
        <v>0</v>
      </c>
      <c r="G68" s="135" t="n">
        <f aca="false">Scoring!D74</f>
        <v>0</v>
      </c>
      <c r="H68" s="135" t="str">
        <f aca="false">Scoring!AX74</f>
        <v/>
      </c>
      <c r="I68" s="137" t="str">
        <f aca="false">Scoring!AW74</f>
        <v/>
      </c>
    </row>
    <row r="69" customFormat="false" ht="13.8" hidden="false" customHeight="false" outlineLevel="0" collapsed="false">
      <c r="A69" s="135" t="str">
        <f aca="false">Scoring!AZ75</f>
        <v/>
      </c>
      <c r="B69" s="135" t="str">
        <f aca="false">Scoring!AY75</f>
        <v/>
      </c>
      <c r="C69" s="135" t="n">
        <f aca="false">Scoring!C75</f>
        <v>0</v>
      </c>
      <c r="D69" s="136" t="str">
        <f aca="false">Scoring!AV75</f>
        <v/>
      </c>
      <c r="E69" s="135" t="str">
        <f aca="false">Scoring!AB75</f>
        <v/>
      </c>
      <c r="F69" s="135" t="n">
        <f aca="false">Scoring!B75</f>
        <v>0</v>
      </c>
      <c r="G69" s="135" t="n">
        <f aca="false">Scoring!D75</f>
        <v>0</v>
      </c>
      <c r="H69" s="135" t="str">
        <f aca="false">Scoring!AX75</f>
        <v/>
      </c>
      <c r="I69" s="137" t="str">
        <f aca="false">Scoring!AW75</f>
        <v/>
      </c>
    </row>
    <row r="70" customFormat="false" ht="13.8" hidden="false" customHeight="false" outlineLevel="0" collapsed="false">
      <c r="A70" s="135" t="str">
        <f aca="false">Scoring!AZ76</f>
        <v/>
      </c>
      <c r="B70" s="135" t="str">
        <f aca="false">Scoring!AY76</f>
        <v/>
      </c>
      <c r="C70" s="135" t="n">
        <f aca="false">Scoring!C76</f>
        <v>0</v>
      </c>
      <c r="D70" s="136" t="str">
        <f aca="false">Scoring!AV76</f>
        <v/>
      </c>
      <c r="E70" s="135" t="str">
        <f aca="false">Scoring!AB76</f>
        <v/>
      </c>
      <c r="F70" s="135" t="n">
        <f aca="false">Scoring!B76</f>
        <v>0</v>
      </c>
      <c r="G70" s="135" t="n">
        <f aca="false">Scoring!D76</f>
        <v>0</v>
      </c>
      <c r="H70" s="135" t="str">
        <f aca="false">Scoring!AX76</f>
        <v/>
      </c>
      <c r="I70" s="137" t="str">
        <f aca="false">Scoring!AW76</f>
        <v/>
      </c>
    </row>
    <row r="71" customFormat="false" ht="13.8" hidden="false" customHeight="false" outlineLevel="0" collapsed="false">
      <c r="A71" s="135" t="str">
        <f aca="false">Scoring!AZ77</f>
        <v/>
      </c>
      <c r="B71" s="135" t="str">
        <f aca="false">Scoring!AY77</f>
        <v/>
      </c>
      <c r="C71" s="135" t="n">
        <f aca="false">Scoring!C77</f>
        <v>0</v>
      </c>
      <c r="D71" s="136" t="str">
        <f aca="false">Scoring!AV77</f>
        <v/>
      </c>
      <c r="E71" s="135" t="str">
        <f aca="false">Scoring!AB77</f>
        <v/>
      </c>
      <c r="F71" s="135" t="n">
        <f aca="false">Scoring!B77</f>
        <v>0</v>
      </c>
      <c r="G71" s="135" t="n">
        <f aca="false">Scoring!D77</f>
        <v>0</v>
      </c>
      <c r="H71" s="135" t="str">
        <f aca="false">Scoring!AX77</f>
        <v/>
      </c>
      <c r="I71" s="137" t="str">
        <f aca="false">Scoring!AW77</f>
        <v/>
      </c>
    </row>
    <row r="72" customFormat="false" ht="13.8" hidden="false" customHeight="false" outlineLevel="0" collapsed="false">
      <c r="A72" s="135" t="str">
        <f aca="false">Scoring!AZ78</f>
        <v/>
      </c>
      <c r="B72" s="135" t="str">
        <f aca="false">Scoring!AY78</f>
        <v/>
      </c>
      <c r="C72" s="135" t="n">
        <f aca="false">Scoring!C78</f>
        <v>0</v>
      </c>
      <c r="D72" s="136" t="str">
        <f aca="false">Scoring!AV78</f>
        <v/>
      </c>
      <c r="E72" s="135" t="str">
        <f aca="false">Scoring!AB78</f>
        <v/>
      </c>
      <c r="F72" s="135" t="n">
        <f aca="false">Scoring!B78</f>
        <v>0</v>
      </c>
      <c r="G72" s="135" t="n">
        <f aca="false">Scoring!D78</f>
        <v>0</v>
      </c>
      <c r="H72" s="135" t="str">
        <f aca="false">Scoring!AX78</f>
        <v/>
      </c>
      <c r="I72" s="137" t="str">
        <f aca="false">Scoring!AW78</f>
        <v/>
      </c>
    </row>
    <row r="73" customFormat="false" ht="13.8" hidden="false" customHeight="false" outlineLevel="0" collapsed="false">
      <c r="A73" s="135" t="str">
        <f aca="false">Scoring!AZ79</f>
        <v/>
      </c>
      <c r="B73" s="135" t="str">
        <f aca="false">Scoring!AY79</f>
        <v/>
      </c>
      <c r="C73" s="135" t="n">
        <f aca="false">Scoring!C79</f>
        <v>0</v>
      </c>
      <c r="D73" s="136" t="str">
        <f aca="false">Scoring!AV79</f>
        <v/>
      </c>
      <c r="E73" s="135" t="str">
        <f aca="false">Scoring!AB79</f>
        <v/>
      </c>
      <c r="F73" s="135" t="n">
        <f aca="false">Scoring!B79</f>
        <v>0</v>
      </c>
      <c r="G73" s="135" t="n">
        <f aca="false">Scoring!D79</f>
        <v>0</v>
      </c>
      <c r="H73" s="135" t="str">
        <f aca="false">Scoring!AX79</f>
        <v/>
      </c>
      <c r="I73" s="137" t="str">
        <f aca="false">Scoring!AW79</f>
        <v/>
      </c>
    </row>
    <row r="74" customFormat="false" ht="13.8" hidden="false" customHeight="false" outlineLevel="0" collapsed="false">
      <c r="A74" s="135" t="str">
        <f aca="false">Scoring!AZ80</f>
        <v/>
      </c>
      <c r="B74" s="135" t="str">
        <f aca="false">Scoring!AY80</f>
        <v/>
      </c>
      <c r="C74" s="135" t="n">
        <f aca="false">Scoring!C80</f>
        <v>0</v>
      </c>
      <c r="D74" s="136" t="str">
        <f aca="false">Scoring!AV80</f>
        <v/>
      </c>
      <c r="E74" s="135" t="str">
        <f aca="false">Scoring!AB80</f>
        <v/>
      </c>
      <c r="F74" s="135" t="n">
        <f aca="false">Scoring!B80</f>
        <v>0</v>
      </c>
      <c r="G74" s="135" t="n">
        <f aca="false">Scoring!D80</f>
        <v>0</v>
      </c>
      <c r="H74" s="135" t="str">
        <f aca="false">Scoring!AX80</f>
        <v/>
      </c>
      <c r="I74" s="137" t="str">
        <f aca="false">Scoring!AW80</f>
        <v/>
      </c>
    </row>
    <row r="75" customFormat="false" ht="13.8" hidden="false" customHeight="false" outlineLevel="0" collapsed="false">
      <c r="A75" s="135" t="str">
        <f aca="false">Scoring!AZ81</f>
        <v/>
      </c>
      <c r="B75" s="135" t="str">
        <f aca="false">Scoring!AY81</f>
        <v/>
      </c>
      <c r="C75" s="135" t="n">
        <f aca="false">Scoring!C81</f>
        <v>0</v>
      </c>
      <c r="D75" s="136" t="str">
        <f aca="false">Scoring!AV81</f>
        <v/>
      </c>
      <c r="E75" s="135" t="str">
        <f aca="false">Scoring!AB81</f>
        <v/>
      </c>
      <c r="F75" s="135" t="n">
        <f aca="false">Scoring!B81</f>
        <v>0</v>
      </c>
      <c r="G75" s="135" t="n">
        <f aca="false">Scoring!D81</f>
        <v>0</v>
      </c>
      <c r="H75" s="135" t="str">
        <f aca="false">Scoring!AX81</f>
        <v/>
      </c>
      <c r="I75" s="137" t="str">
        <f aca="false">Scoring!AW81</f>
        <v/>
      </c>
    </row>
    <row r="76" customFormat="false" ht="13.8" hidden="false" customHeight="false" outlineLevel="0" collapsed="false">
      <c r="A76" s="135" t="str">
        <f aca="false">Scoring!AZ82</f>
        <v/>
      </c>
      <c r="B76" s="135" t="str">
        <f aca="false">Scoring!AY82</f>
        <v/>
      </c>
      <c r="C76" s="135" t="n">
        <f aca="false">Scoring!C82</f>
        <v>0</v>
      </c>
      <c r="D76" s="136" t="str">
        <f aca="false">Scoring!AV82</f>
        <v/>
      </c>
      <c r="E76" s="135" t="str">
        <f aca="false">Scoring!AB82</f>
        <v/>
      </c>
      <c r="F76" s="135" t="n">
        <f aca="false">Scoring!B82</f>
        <v>0</v>
      </c>
      <c r="G76" s="135" t="n">
        <f aca="false">Scoring!D82</f>
        <v>0</v>
      </c>
      <c r="H76" s="135" t="str">
        <f aca="false">Scoring!AX82</f>
        <v/>
      </c>
      <c r="I76" s="137" t="str">
        <f aca="false">Scoring!AW82</f>
        <v/>
      </c>
    </row>
    <row r="77" customFormat="false" ht="13.8" hidden="false" customHeight="false" outlineLevel="0" collapsed="false">
      <c r="A77" s="135" t="str">
        <f aca="false">Scoring!AZ83</f>
        <v/>
      </c>
      <c r="B77" s="135" t="str">
        <f aca="false">Scoring!AY83</f>
        <v/>
      </c>
      <c r="C77" s="135" t="n">
        <f aca="false">Scoring!C83</f>
        <v>0</v>
      </c>
      <c r="D77" s="136" t="str">
        <f aca="false">Scoring!AV83</f>
        <v/>
      </c>
      <c r="E77" s="135" t="str">
        <f aca="false">Scoring!AB83</f>
        <v/>
      </c>
      <c r="F77" s="135" t="n">
        <f aca="false">Scoring!B83</f>
        <v>0</v>
      </c>
      <c r="G77" s="135" t="n">
        <f aca="false">Scoring!D83</f>
        <v>0</v>
      </c>
      <c r="H77" s="135" t="str">
        <f aca="false">Scoring!AX83</f>
        <v/>
      </c>
      <c r="I77" s="137" t="str">
        <f aca="false">Scoring!AW83</f>
        <v/>
      </c>
    </row>
    <row r="78" customFormat="false" ht="13.8" hidden="false" customHeight="false" outlineLevel="0" collapsed="false">
      <c r="A78" s="135" t="str">
        <f aca="false">Scoring!AZ84</f>
        <v/>
      </c>
      <c r="B78" s="135" t="str">
        <f aca="false">Scoring!AY84</f>
        <v/>
      </c>
      <c r="C78" s="135" t="n">
        <f aca="false">Scoring!C84</f>
        <v>0</v>
      </c>
      <c r="D78" s="136" t="str">
        <f aca="false">Scoring!AV84</f>
        <v/>
      </c>
      <c r="E78" s="135" t="str">
        <f aca="false">Scoring!AB84</f>
        <v/>
      </c>
      <c r="F78" s="135" t="n">
        <f aca="false">Scoring!B84</f>
        <v>0</v>
      </c>
      <c r="G78" s="135" t="n">
        <f aca="false">Scoring!D84</f>
        <v>0</v>
      </c>
      <c r="H78" s="135" t="str">
        <f aca="false">Scoring!AX84</f>
        <v/>
      </c>
      <c r="I78" s="137" t="str">
        <f aca="false">Scoring!AW84</f>
        <v/>
      </c>
    </row>
    <row r="79" customFormat="false" ht="13.8" hidden="false" customHeight="false" outlineLevel="0" collapsed="false">
      <c r="A79" s="135" t="str">
        <f aca="false">Scoring!AZ85</f>
        <v/>
      </c>
      <c r="B79" s="135" t="str">
        <f aca="false">Scoring!AY85</f>
        <v/>
      </c>
      <c r="C79" s="135" t="n">
        <f aca="false">Scoring!C85</f>
        <v>0</v>
      </c>
      <c r="D79" s="136" t="str">
        <f aca="false">Scoring!AV85</f>
        <v/>
      </c>
      <c r="E79" s="135" t="str">
        <f aca="false">Scoring!AB85</f>
        <v/>
      </c>
      <c r="F79" s="135" t="n">
        <f aca="false">Scoring!B85</f>
        <v>0</v>
      </c>
      <c r="G79" s="135" t="n">
        <f aca="false">Scoring!D85</f>
        <v>0</v>
      </c>
      <c r="H79" s="135" t="str">
        <f aca="false">Scoring!AX85</f>
        <v/>
      </c>
      <c r="I79" s="137" t="str">
        <f aca="false">Scoring!AW85</f>
        <v/>
      </c>
    </row>
    <row r="80" customFormat="false" ht="13.8" hidden="false" customHeight="false" outlineLevel="0" collapsed="false">
      <c r="A80" s="135" t="str">
        <f aca="false">Scoring!AZ86</f>
        <v/>
      </c>
      <c r="B80" s="135" t="str">
        <f aca="false">Scoring!AY86</f>
        <v/>
      </c>
      <c r="C80" s="135" t="n">
        <f aca="false">Scoring!C86</f>
        <v>0</v>
      </c>
      <c r="D80" s="136" t="str">
        <f aca="false">Scoring!AV86</f>
        <v/>
      </c>
      <c r="E80" s="135" t="str">
        <f aca="false">Scoring!AB86</f>
        <v/>
      </c>
      <c r="F80" s="135" t="n">
        <f aca="false">Scoring!B86</f>
        <v>0</v>
      </c>
      <c r="G80" s="135" t="n">
        <f aca="false">Scoring!D86</f>
        <v>0</v>
      </c>
      <c r="H80" s="135" t="str">
        <f aca="false">Scoring!AX86</f>
        <v/>
      </c>
      <c r="I80" s="137" t="str">
        <f aca="false">Scoring!AW86</f>
        <v/>
      </c>
    </row>
    <row r="81" customFormat="false" ht="13.8" hidden="false" customHeight="false" outlineLevel="0" collapsed="false">
      <c r="A81" s="135" t="str">
        <f aca="false">Scoring!AZ87</f>
        <v/>
      </c>
      <c r="B81" s="135" t="str">
        <f aca="false">Scoring!AY87</f>
        <v/>
      </c>
      <c r="C81" s="135" t="n">
        <f aca="false">Scoring!C87</f>
        <v>0</v>
      </c>
      <c r="D81" s="136" t="str">
        <f aca="false">Scoring!AV87</f>
        <v/>
      </c>
      <c r="E81" s="135" t="str">
        <f aca="false">Scoring!AB87</f>
        <v/>
      </c>
      <c r="F81" s="135" t="n">
        <f aca="false">Scoring!B87</f>
        <v>0</v>
      </c>
      <c r="G81" s="135" t="n">
        <f aca="false">Scoring!D87</f>
        <v>0</v>
      </c>
      <c r="H81" s="135" t="str">
        <f aca="false">Scoring!AX87</f>
        <v/>
      </c>
      <c r="I81" s="137" t="str">
        <f aca="false">Scoring!AW87</f>
        <v/>
      </c>
    </row>
    <row r="82" customFormat="false" ht="13.8" hidden="false" customHeight="false" outlineLevel="0" collapsed="false">
      <c r="A82" s="135" t="str">
        <f aca="false">Scoring!AZ88</f>
        <v/>
      </c>
      <c r="B82" s="135" t="str">
        <f aca="false">Scoring!AY88</f>
        <v/>
      </c>
      <c r="C82" s="135" t="n">
        <f aca="false">Scoring!C88</f>
        <v>0</v>
      </c>
      <c r="D82" s="136" t="str">
        <f aca="false">Scoring!AV88</f>
        <v/>
      </c>
      <c r="E82" s="135" t="str">
        <f aca="false">Scoring!AB88</f>
        <v/>
      </c>
      <c r="F82" s="135" t="n">
        <f aca="false">Scoring!B88</f>
        <v>0</v>
      </c>
      <c r="G82" s="135" t="n">
        <f aca="false">Scoring!D88</f>
        <v>0</v>
      </c>
      <c r="H82" s="135" t="str">
        <f aca="false">Scoring!AX88</f>
        <v/>
      </c>
      <c r="I82" s="137" t="str">
        <f aca="false">Scoring!AW88</f>
        <v/>
      </c>
    </row>
    <row r="83" customFormat="false" ht="13.8" hidden="false" customHeight="false" outlineLevel="0" collapsed="false">
      <c r="A83" s="135" t="str">
        <f aca="false">Scoring!AZ89</f>
        <v/>
      </c>
      <c r="B83" s="135" t="str">
        <f aca="false">Scoring!AY89</f>
        <v/>
      </c>
      <c r="C83" s="135" t="n">
        <f aca="false">Scoring!C89</f>
        <v>0</v>
      </c>
      <c r="D83" s="136" t="str">
        <f aca="false">Scoring!AV89</f>
        <v/>
      </c>
      <c r="E83" s="135" t="str">
        <f aca="false">Scoring!AB89</f>
        <v/>
      </c>
      <c r="F83" s="135" t="n">
        <f aca="false">Scoring!B89</f>
        <v>0</v>
      </c>
      <c r="G83" s="135" t="n">
        <f aca="false">Scoring!D89</f>
        <v>0</v>
      </c>
      <c r="H83" s="135" t="str">
        <f aca="false">Scoring!AX89</f>
        <v/>
      </c>
      <c r="I83" s="137" t="str">
        <f aca="false">Scoring!AW89</f>
        <v/>
      </c>
    </row>
    <row r="84" customFormat="false" ht="13.8" hidden="false" customHeight="false" outlineLevel="0" collapsed="false">
      <c r="A84" s="135" t="str">
        <f aca="false">Scoring!AZ90</f>
        <v/>
      </c>
      <c r="B84" s="135" t="str">
        <f aca="false">Scoring!AY90</f>
        <v/>
      </c>
      <c r="C84" s="135" t="n">
        <f aca="false">Scoring!C90</f>
        <v>0</v>
      </c>
      <c r="D84" s="136" t="str">
        <f aca="false">Scoring!AV90</f>
        <v/>
      </c>
      <c r="E84" s="135" t="str">
        <f aca="false">Scoring!AB90</f>
        <v/>
      </c>
      <c r="F84" s="135" t="n">
        <f aca="false">Scoring!B90</f>
        <v>0</v>
      </c>
      <c r="G84" s="135" t="n">
        <f aca="false">Scoring!D90</f>
        <v>0</v>
      </c>
      <c r="H84" s="135" t="str">
        <f aca="false">Scoring!AX90</f>
        <v/>
      </c>
      <c r="I84" s="137" t="str">
        <f aca="false">Scoring!AW90</f>
        <v/>
      </c>
    </row>
    <row r="85" customFormat="false" ht="13.8" hidden="false" customHeight="false" outlineLevel="0" collapsed="false">
      <c r="A85" s="135" t="str">
        <f aca="false">Scoring!AZ91</f>
        <v/>
      </c>
      <c r="B85" s="135" t="str">
        <f aca="false">Scoring!AY91</f>
        <v/>
      </c>
      <c r="C85" s="135" t="n">
        <f aca="false">Scoring!C91</f>
        <v>0</v>
      </c>
      <c r="D85" s="136" t="str">
        <f aca="false">Scoring!AV91</f>
        <v/>
      </c>
      <c r="E85" s="135" t="str">
        <f aca="false">Scoring!AB91</f>
        <v/>
      </c>
      <c r="F85" s="135" t="n">
        <f aca="false">Scoring!B91</f>
        <v>0</v>
      </c>
      <c r="G85" s="135" t="n">
        <f aca="false">Scoring!D91</f>
        <v>0</v>
      </c>
      <c r="H85" s="135" t="str">
        <f aca="false">Scoring!AX91</f>
        <v/>
      </c>
      <c r="I85" s="137" t="str">
        <f aca="false">Scoring!AW91</f>
        <v/>
      </c>
    </row>
    <row r="86" customFormat="false" ht="13.8" hidden="false" customHeight="false" outlineLevel="0" collapsed="false">
      <c r="A86" s="135" t="str">
        <f aca="false">Scoring!AZ92</f>
        <v/>
      </c>
      <c r="B86" s="135" t="str">
        <f aca="false">Scoring!AY92</f>
        <v/>
      </c>
      <c r="C86" s="135" t="n">
        <f aca="false">Scoring!C92</f>
        <v>0</v>
      </c>
      <c r="D86" s="136" t="str">
        <f aca="false">Scoring!AV92</f>
        <v/>
      </c>
      <c r="E86" s="135" t="str">
        <f aca="false">Scoring!AB92</f>
        <v/>
      </c>
      <c r="F86" s="135" t="n">
        <f aca="false">Scoring!B92</f>
        <v>0</v>
      </c>
      <c r="G86" s="135" t="n">
        <f aca="false">Scoring!D92</f>
        <v>0</v>
      </c>
      <c r="H86" s="135" t="str">
        <f aca="false">Scoring!AX92</f>
        <v/>
      </c>
      <c r="I86" s="137" t="str">
        <f aca="false">Scoring!AW92</f>
        <v/>
      </c>
    </row>
    <row r="87" customFormat="false" ht="13.8" hidden="false" customHeight="false" outlineLevel="0" collapsed="false">
      <c r="A87" s="135" t="str">
        <f aca="false">Scoring!AZ93</f>
        <v/>
      </c>
      <c r="B87" s="135" t="str">
        <f aca="false">Scoring!AY93</f>
        <v/>
      </c>
      <c r="C87" s="135" t="n">
        <f aca="false">Scoring!C93</f>
        <v>0</v>
      </c>
      <c r="D87" s="136" t="str">
        <f aca="false">Scoring!AV93</f>
        <v/>
      </c>
      <c r="E87" s="135" t="str">
        <f aca="false">Scoring!AB93</f>
        <v/>
      </c>
      <c r="F87" s="135" t="n">
        <f aca="false">Scoring!B93</f>
        <v>0</v>
      </c>
      <c r="G87" s="135" t="n">
        <f aca="false">Scoring!D93</f>
        <v>0</v>
      </c>
      <c r="H87" s="135" t="str">
        <f aca="false">Scoring!AX93</f>
        <v/>
      </c>
      <c r="I87" s="137" t="str">
        <f aca="false">Scoring!AW93</f>
        <v/>
      </c>
    </row>
    <row r="88" customFormat="false" ht="13.8" hidden="false" customHeight="false" outlineLevel="0" collapsed="false">
      <c r="A88" s="135" t="str">
        <f aca="false">Scoring!AZ94</f>
        <v/>
      </c>
      <c r="B88" s="135" t="str">
        <f aca="false">Scoring!AY94</f>
        <v/>
      </c>
      <c r="C88" s="135" t="n">
        <f aca="false">Scoring!C94</f>
        <v>0</v>
      </c>
      <c r="D88" s="136" t="str">
        <f aca="false">Scoring!AV94</f>
        <v/>
      </c>
      <c r="E88" s="135" t="str">
        <f aca="false">Scoring!AB94</f>
        <v/>
      </c>
      <c r="F88" s="135" t="n">
        <f aca="false">Scoring!B94</f>
        <v>0</v>
      </c>
      <c r="G88" s="135" t="n">
        <f aca="false">Scoring!D94</f>
        <v>0</v>
      </c>
      <c r="H88" s="135" t="str">
        <f aca="false">Scoring!AX94</f>
        <v/>
      </c>
      <c r="I88" s="137" t="str">
        <f aca="false">Scoring!AW94</f>
        <v/>
      </c>
    </row>
    <row r="89" customFormat="false" ht="13.8" hidden="false" customHeight="false" outlineLevel="0" collapsed="false">
      <c r="A89" s="135" t="str">
        <f aca="false">Scoring!AZ95</f>
        <v/>
      </c>
      <c r="B89" s="135" t="str">
        <f aca="false">Scoring!AY95</f>
        <v/>
      </c>
      <c r="C89" s="135" t="n">
        <f aca="false">Scoring!C95</f>
        <v>0</v>
      </c>
      <c r="D89" s="136" t="str">
        <f aca="false">Scoring!AV95</f>
        <v/>
      </c>
      <c r="E89" s="135" t="str">
        <f aca="false">Scoring!AB95</f>
        <v/>
      </c>
      <c r="F89" s="135" t="n">
        <f aca="false">Scoring!B95</f>
        <v>0</v>
      </c>
      <c r="G89" s="135" t="n">
        <f aca="false">Scoring!D95</f>
        <v>0</v>
      </c>
      <c r="H89" s="135" t="str">
        <f aca="false">Scoring!AX95</f>
        <v/>
      </c>
      <c r="I89" s="137" t="str">
        <f aca="false">Scoring!AW95</f>
        <v/>
      </c>
    </row>
    <row r="90" customFormat="false" ht="13.8" hidden="false" customHeight="false" outlineLevel="0" collapsed="false">
      <c r="A90" s="135" t="str">
        <f aca="false">Scoring!AZ96</f>
        <v/>
      </c>
      <c r="B90" s="135" t="str">
        <f aca="false">Scoring!AY96</f>
        <v/>
      </c>
      <c r="C90" s="135" t="n">
        <f aca="false">Scoring!C96</f>
        <v>0</v>
      </c>
      <c r="D90" s="136" t="str">
        <f aca="false">Scoring!AV96</f>
        <v/>
      </c>
      <c r="E90" s="135" t="str">
        <f aca="false">Scoring!AB96</f>
        <v/>
      </c>
      <c r="F90" s="135" t="n">
        <f aca="false">Scoring!B96</f>
        <v>0</v>
      </c>
      <c r="G90" s="135" t="n">
        <f aca="false">Scoring!D96</f>
        <v>0</v>
      </c>
      <c r="H90" s="135" t="str">
        <f aca="false">Scoring!AX96</f>
        <v/>
      </c>
      <c r="I90" s="137" t="str">
        <f aca="false">Scoring!AW96</f>
        <v/>
      </c>
    </row>
    <row r="91" customFormat="false" ht="13.8" hidden="false" customHeight="false" outlineLevel="0" collapsed="false">
      <c r="A91" s="135" t="str">
        <f aca="false">Scoring!AZ97</f>
        <v/>
      </c>
      <c r="B91" s="135" t="str">
        <f aca="false">Scoring!AY97</f>
        <v/>
      </c>
      <c r="C91" s="135" t="n">
        <f aca="false">Scoring!C97</f>
        <v>0</v>
      </c>
      <c r="D91" s="136" t="str">
        <f aca="false">Scoring!AV97</f>
        <v/>
      </c>
      <c r="E91" s="135" t="str">
        <f aca="false">Scoring!AB97</f>
        <v/>
      </c>
      <c r="F91" s="135" t="n">
        <f aca="false">Scoring!B97</f>
        <v>0</v>
      </c>
      <c r="G91" s="135" t="n">
        <f aca="false">Scoring!D97</f>
        <v>0</v>
      </c>
      <c r="H91" s="135" t="str">
        <f aca="false">Scoring!AX97</f>
        <v/>
      </c>
      <c r="I91" s="137" t="str">
        <f aca="false">Scoring!AW97</f>
        <v/>
      </c>
    </row>
    <row r="92" customFormat="false" ht="13.8" hidden="false" customHeight="false" outlineLevel="0" collapsed="false">
      <c r="A92" s="135" t="str">
        <f aca="false">Scoring!AZ98</f>
        <v/>
      </c>
      <c r="B92" s="135" t="str">
        <f aca="false">Scoring!AY98</f>
        <v/>
      </c>
      <c r="C92" s="135" t="n">
        <f aca="false">Scoring!C98</f>
        <v>0</v>
      </c>
      <c r="D92" s="136" t="str">
        <f aca="false">Scoring!AV98</f>
        <v/>
      </c>
      <c r="E92" s="135" t="str">
        <f aca="false">Scoring!AB98</f>
        <v/>
      </c>
      <c r="F92" s="135" t="n">
        <f aca="false">Scoring!B98</f>
        <v>0</v>
      </c>
      <c r="G92" s="135" t="n">
        <f aca="false">Scoring!D98</f>
        <v>0</v>
      </c>
      <c r="H92" s="135" t="str">
        <f aca="false">Scoring!AX98</f>
        <v/>
      </c>
      <c r="I92" s="137" t="str">
        <f aca="false">Scoring!AW98</f>
        <v/>
      </c>
    </row>
    <row r="93" customFormat="false" ht="13.8" hidden="false" customHeight="false" outlineLevel="0" collapsed="false">
      <c r="A93" s="135" t="str">
        <f aca="false">Scoring!AZ99</f>
        <v/>
      </c>
      <c r="B93" s="135" t="str">
        <f aca="false">Scoring!AY99</f>
        <v/>
      </c>
      <c r="C93" s="135" t="n">
        <f aca="false">Scoring!C99</f>
        <v>0</v>
      </c>
      <c r="D93" s="136" t="str">
        <f aca="false">Scoring!AV99</f>
        <v/>
      </c>
      <c r="E93" s="135" t="str">
        <f aca="false">Scoring!AB99</f>
        <v/>
      </c>
      <c r="F93" s="135" t="n">
        <f aca="false">Scoring!B99</f>
        <v>0</v>
      </c>
      <c r="G93" s="135" t="n">
        <f aca="false">Scoring!D99</f>
        <v>0</v>
      </c>
      <c r="H93" s="135" t="str">
        <f aca="false">Scoring!AX99</f>
        <v/>
      </c>
      <c r="I93" s="137" t="str">
        <f aca="false">Scoring!AW99</f>
        <v/>
      </c>
    </row>
    <row r="94" customFormat="false" ht="13.8" hidden="false" customHeight="false" outlineLevel="0" collapsed="false">
      <c r="A94" s="135" t="str">
        <f aca="false">Scoring!AZ100</f>
        <v/>
      </c>
      <c r="B94" s="135" t="str">
        <f aca="false">Scoring!AY100</f>
        <v/>
      </c>
      <c r="C94" s="135" t="n">
        <f aca="false">Scoring!C100</f>
        <v>0</v>
      </c>
      <c r="D94" s="136" t="str">
        <f aca="false">Scoring!AV100</f>
        <v/>
      </c>
      <c r="E94" s="135" t="str">
        <f aca="false">Scoring!AB100</f>
        <v/>
      </c>
      <c r="F94" s="135" t="n">
        <f aca="false">Scoring!B100</f>
        <v>0</v>
      </c>
      <c r="G94" s="135" t="n">
        <f aca="false">Scoring!D100</f>
        <v>0</v>
      </c>
      <c r="H94" s="135" t="str">
        <f aca="false">Scoring!AX100</f>
        <v/>
      </c>
      <c r="I94" s="137" t="str">
        <f aca="false">Scoring!AW100</f>
        <v/>
      </c>
    </row>
    <row r="95" customFormat="false" ht="13.8" hidden="false" customHeight="false" outlineLevel="0" collapsed="false">
      <c r="A95" s="135" t="str">
        <f aca="false">Scoring!AZ101</f>
        <v/>
      </c>
      <c r="B95" s="135" t="str">
        <f aca="false">Scoring!AY101</f>
        <v/>
      </c>
      <c r="C95" s="135" t="n">
        <f aca="false">Scoring!C101</f>
        <v>0</v>
      </c>
      <c r="D95" s="136" t="str">
        <f aca="false">Scoring!AV101</f>
        <v/>
      </c>
      <c r="E95" s="135" t="str">
        <f aca="false">Scoring!AB101</f>
        <v/>
      </c>
      <c r="F95" s="135" t="n">
        <f aca="false">Scoring!B101</f>
        <v>0</v>
      </c>
      <c r="G95" s="135" t="n">
        <f aca="false">Scoring!D101</f>
        <v>0</v>
      </c>
      <c r="H95" s="135" t="str">
        <f aca="false">Scoring!AX101</f>
        <v/>
      </c>
      <c r="I95" s="137" t="str">
        <f aca="false">Scoring!AW101</f>
        <v/>
      </c>
    </row>
    <row r="96" customFormat="false" ht="13.8" hidden="false" customHeight="false" outlineLevel="0" collapsed="false">
      <c r="A96" s="135" t="str">
        <f aca="false">Scoring!AZ102</f>
        <v/>
      </c>
      <c r="B96" s="135" t="str">
        <f aca="false">Scoring!AY102</f>
        <v/>
      </c>
      <c r="C96" s="135" t="n">
        <f aca="false">Scoring!C102</f>
        <v>0</v>
      </c>
      <c r="D96" s="136" t="str">
        <f aca="false">Scoring!AV102</f>
        <v/>
      </c>
      <c r="E96" s="135" t="str">
        <f aca="false">Scoring!AB102</f>
        <v/>
      </c>
      <c r="F96" s="135" t="n">
        <f aca="false">Scoring!B102</f>
        <v>0</v>
      </c>
      <c r="G96" s="135" t="n">
        <f aca="false">Scoring!D102</f>
        <v>0</v>
      </c>
      <c r="H96" s="135" t="str">
        <f aca="false">Scoring!AX102</f>
        <v/>
      </c>
      <c r="I96" s="137" t="str">
        <f aca="false">Scoring!AW102</f>
        <v/>
      </c>
    </row>
    <row r="97" customFormat="false" ht="13.8" hidden="false" customHeight="false" outlineLevel="0" collapsed="false">
      <c r="A97" s="135" t="str">
        <f aca="false">Scoring!AZ103</f>
        <v/>
      </c>
      <c r="B97" s="135" t="str">
        <f aca="false">Scoring!AY103</f>
        <v/>
      </c>
      <c r="C97" s="135" t="n">
        <f aca="false">Scoring!C103</f>
        <v>0</v>
      </c>
      <c r="D97" s="136" t="str">
        <f aca="false">Scoring!AV103</f>
        <v/>
      </c>
      <c r="E97" s="135" t="str">
        <f aca="false">Scoring!AB103</f>
        <v/>
      </c>
      <c r="F97" s="135" t="n">
        <f aca="false">Scoring!B103</f>
        <v>0</v>
      </c>
      <c r="G97" s="135" t="n">
        <f aca="false">Scoring!D103</f>
        <v>0</v>
      </c>
      <c r="H97" s="135" t="str">
        <f aca="false">Scoring!AX103</f>
        <v/>
      </c>
      <c r="I97" s="137" t="str">
        <f aca="false">Scoring!AW103</f>
        <v/>
      </c>
    </row>
    <row r="98" customFormat="false" ht="13.8" hidden="false" customHeight="false" outlineLevel="0" collapsed="false">
      <c r="A98" s="135" t="str">
        <f aca="false">Scoring!AZ104</f>
        <v/>
      </c>
      <c r="B98" s="135" t="str">
        <f aca="false">Scoring!AY104</f>
        <v/>
      </c>
      <c r="C98" s="135" t="n">
        <f aca="false">Scoring!C104</f>
        <v>0</v>
      </c>
      <c r="D98" s="136" t="str">
        <f aca="false">Scoring!AV104</f>
        <v/>
      </c>
      <c r="E98" s="135" t="str">
        <f aca="false">Scoring!AB104</f>
        <v/>
      </c>
      <c r="F98" s="135" t="n">
        <f aca="false">Scoring!B104</f>
        <v>0</v>
      </c>
      <c r="G98" s="135" t="n">
        <f aca="false">Scoring!D104</f>
        <v>0</v>
      </c>
      <c r="H98" s="135" t="str">
        <f aca="false">Scoring!AX104</f>
        <v/>
      </c>
      <c r="I98" s="137" t="str">
        <f aca="false">Scoring!AW104</f>
        <v/>
      </c>
    </row>
    <row r="99" customFormat="false" ht="13.8" hidden="false" customHeight="false" outlineLevel="0" collapsed="false">
      <c r="A99" s="135" t="str">
        <f aca="false">Scoring!AZ105</f>
        <v/>
      </c>
      <c r="B99" s="135" t="str">
        <f aca="false">Scoring!AY105</f>
        <v/>
      </c>
      <c r="C99" s="135" t="n">
        <f aca="false">Scoring!C105</f>
        <v>0</v>
      </c>
      <c r="D99" s="136" t="str">
        <f aca="false">Scoring!AV105</f>
        <v/>
      </c>
      <c r="E99" s="135" t="str">
        <f aca="false">Scoring!AB105</f>
        <v/>
      </c>
      <c r="F99" s="135" t="n">
        <f aca="false">Scoring!B105</f>
        <v>0</v>
      </c>
      <c r="G99" s="135" t="n">
        <f aca="false">Scoring!D105</f>
        <v>0</v>
      </c>
      <c r="H99" s="135" t="str">
        <f aca="false">Scoring!AX105</f>
        <v/>
      </c>
      <c r="I99" s="137" t="str">
        <f aca="false">Scoring!AW105</f>
        <v/>
      </c>
    </row>
    <row r="100" customFormat="false" ht="13.8" hidden="false" customHeight="false" outlineLevel="0" collapsed="false">
      <c r="A100" s="135" t="str">
        <f aca="false">Scoring!AZ106</f>
        <v/>
      </c>
      <c r="B100" s="135" t="str">
        <f aca="false">Scoring!AY106</f>
        <v/>
      </c>
      <c r="C100" s="135" t="n">
        <f aca="false">Scoring!C106</f>
        <v>0</v>
      </c>
      <c r="D100" s="136" t="str">
        <f aca="false">Scoring!AV106</f>
        <v/>
      </c>
      <c r="E100" s="135" t="str">
        <f aca="false">Scoring!AB106</f>
        <v/>
      </c>
      <c r="F100" s="135" t="n">
        <f aca="false">Scoring!B106</f>
        <v>0</v>
      </c>
      <c r="G100" s="135" t="n">
        <f aca="false">Scoring!D106</f>
        <v>0</v>
      </c>
      <c r="H100" s="135" t="str">
        <f aca="false">Scoring!AX106</f>
        <v/>
      </c>
      <c r="I100" s="137" t="str">
        <f aca="false">Scoring!AW106</f>
        <v/>
      </c>
    </row>
    <row r="101" customFormat="false" ht="13.8" hidden="false" customHeight="false" outlineLevel="0" collapsed="false">
      <c r="A101" s="135" t="str">
        <f aca="false">Scoring!AZ107</f>
        <v/>
      </c>
      <c r="B101" s="135" t="str">
        <f aca="false">Scoring!AY107</f>
        <v/>
      </c>
      <c r="C101" s="135" t="n">
        <f aca="false">Scoring!C107</f>
        <v>0</v>
      </c>
      <c r="D101" s="136" t="str">
        <f aca="false">Scoring!AV107</f>
        <v/>
      </c>
      <c r="E101" s="135" t="str">
        <f aca="false">Scoring!AB107</f>
        <v/>
      </c>
      <c r="F101" s="135" t="n">
        <f aca="false">Scoring!B107</f>
        <v>0</v>
      </c>
      <c r="G101" s="135" t="n">
        <f aca="false">Scoring!D107</f>
        <v>0</v>
      </c>
      <c r="H101" s="135" t="str">
        <f aca="false">Scoring!AX107</f>
        <v/>
      </c>
      <c r="I101" s="137" t="str">
        <f aca="false">Scoring!AW107</f>
        <v/>
      </c>
    </row>
    <row r="102" customFormat="false" ht="13.8" hidden="false" customHeight="false" outlineLevel="0" collapsed="false">
      <c r="A102" s="135" t="str">
        <f aca="false">Scoring!AZ108</f>
        <v/>
      </c>
      <c r="B102" s="135" t="str">
        <f aca="false">Scoring!AY108</f>
        <v/>
      </c>
      <c r="C102" s="135" t="n">
        <f aca="false">Scoring!C108</f>
        <v>0</v>
      </c>
      <c r="D102" s="136" t="str">
        <f aca="false">Scoring!AV108</f>
        <v/>
      </c>
      <c r="E102" s="135" t="str">
        <f aca="false">Scoring!AB108</f>
        <v/>
      </c>
      <c r="F102" s="135" t="n">
        <f aca="false">Scoring!B108</f>
        <v>0</v>
      </c>
      <c r="G102" s="135" t="n">
        <f aca="false">Scoring!D108</f>
        <v>0</v>
      </c>
      <c r="H102" s="135" t="str">
        <f aca="false">Scoring!AX108</f>
        <v/>
      </c>
      <c r="I102" s="137" t="str">
        <f aca="false">Scoring!AW108</f>
        <v/>
      </c>
    </row>
    <row r="103" customFormat="false" ht="13.8" hidden="false" customHeight="false" outlineLevel="0" collapsed="false">
      <c r="A103" s="135" t="str">
        <f aca="false">Scoring!AZ109</f>
        <v/>
      </c>
      <c r="B103" s="135" t="str">
        <f aca="false">Scoring!AY109</f>
        <v/>
      </c>
      <c r="C103" s="135" t="n">
        <f aca="false">Scoring!C109</f>
        <v>0</v>
      </c>
      <c r="D103" s="136" t="str">
        <f aca="false">Scoring!AV109</f>
        <v/>
      </c>
      <c r="E103" s="135" t="str">
        <f aca="false">Scoring!AB109</f>
        <v/>
      </c>
      <c r="F103" s="135" t="n">
        <f aca="false">Scoring!B109</f>
        <v>0</v>
      </c>
      <c r="G103" s="135" t="n">
        <f aca="false">Scoring!D109</f>
        <v>0</v>
      </c>
      <c r="H103" s="135" t="str">
        <f aca="false">Scoring!AX109</f>
        <v/>
      </c>
      <c r="I103" s="137" t="str">
        <f aca="false">Scoring!AW109</f>
        <v/>
      </c>
    </row>
    <row r="104" customFormat="false" ht="13.8" hidden="false" customHeight="false" outlineLevel="0" collapsed="false">
      <c r="A104" s="135" t="str">
        <f aca="false">Scoring!AZ110</f>
        <v/>
      </c>
      <c r="B104" s="135" t="str">
        <f aca="false">Scoring!AY110</f>
        <v/>
      </c>
      <c r="C104" s="135" t="n">
        <f aca="false">Scoring!C110</f>
        <v>0</v>
      </c>
      <c r="D104" s="136" t="str">
        <f aca="false">Scoring!AV110</f>
        <v/>
      </c>
      <c r="E104" s="135" t="str">
        <f aca="false">Scoring!AB110</f>
        <v/>
      </c>
      <c r="F104" s="135" t="n">
        <f aca="false">Scoring!B110</f>
        <v>0</v>
      </c>
      <c r="G104" s="135" t="n">
        <f aca="false">Scoring!D110</f>
        <v>0</v>
      </c>
      <c r="H104" s="135" t="str">
        <f aca="false">Scoring!AX110</f>
        <v/>
      </c>
      <c r="I104" s="137" t="str">
        <f aca="false">Scoring!AW110</f>
        <v/>
      </c>
    </row>
    <row r="105" customFormat="false" ht="13.8" hidden="false" customHeight="false" outlineLevel="0" collapsed="false">
      <c r="A105" s="135" t="str">
        <f aca="false">Scoring!AZ111</f>
        <v/>
      </c>
      <c r="B105" s="135" t="str">
        <f aca="false">Scoring!AY111</f>
        <v/>
      </c>
      <c r="C105" s="135" t="n">
        <f aca="false">Scoring!C111</f>
        <v>0</v>
      </c>
      <c r="D105" s="136" t="str">
        <f aca="false">Scoring!AV111</f>
        <v/>
      </c>
      <c r="E105" s="135" t="str">
        <f aca="false">Scoring!AB111</f>
        <v/>
      </c>
      <c r="F105" s="135" t="n">
        <f aca="false">Scoring!B111</f>
        <v>0</v>
      </c>
      <c r="G105" s="135" t="n">
        <f aca="false">Scoring!D111</f>
        <v>0</v>
      </c>
      <c r="H105" s="135" t="str">
        <f aca="false">Scoring!AX111</f>
        <v/>
      </c>
      <c r="I105" s="137" t="str">
        <f aca="false">Scoring!AW111</f>
        <v/>
      </c>
    </row>
    <row r="106" customFormat="false" ht="13.8" hidden="false" customHeight="false" outlineLevel="0" collapsed="false">
      <c r="A106" s="135" t="str">
        <f aca="false">Scoring!AZ112</f>
        <v/>
      </c>
      <c r="B106" s="135" t="str">
        <f aca="false">Scoring!AY112</f>
        <v/>
      </c>
      <c r="C106" s="135" t="n">
        <f aca="false">Scoring!C112</f>
        <v>0</v>
      </c>
      <c r="D106" s="136" t="str">
        <f aca="false">Scoring!AV112</f>
        <v/>
      </c>
      <c r="E106" s="135" t="str">
        <f aca="false">Scoring!AB112</f>
        <v/>
      </c>
      <c r="F106" s="135" t="n">
        <f aca="false">Scoring!B112</f>
        <v>0</v>
      </c>
      <c r="G106" s="135" t="n">
        <f aca="false">Scoring!D112</f>
        <v>0</v>
      </c>
      <c r="H106" s="135" t="str">
        <f aca="false">Scoring!AX112</f>
        <v/>
      </c>
      <c r="I106" s="137" t="str">
        <f aca="false">Scoring!AW112</f>
        <v/>
      </c>
    </row>
    <row r="107" customFormat="false" ht="13.8" hidden="false" customHeight="false" outlineLevel="0" collapsed="false">
      <c r="A107" s="135" t="str">
        <f aca="false">Scoring!AZ113</f>
        <v/>
      </c>
      <c r="B107" s="135" t="str">
        <f aca="false">Scoring!AY113</f>
        <v/>
      </c>
      <c r="C107" s="135" t="n">
        <f aca="false">Scoring!C113</f>
        <v>0</v>
      </c>
      <c r="D107" s="136" t="str">
        <f aca="false">Scoring!AV113</f>
        <v/>
      </c>
      <c r="E107" s="135" t="str">
        <f aca="false">Scoring!AB113</f>
        <v/>
      </c>
      <c r="F107" s="135" t="n">
        <f aca="false">Scoring!B113</f>
        <v>0</v>
      </c>
      <c r="G107" s="135" t="n">
        <f aca="false">Scoring!D113</f>
        <v>0</v>
      </c>
      <c r="H107" s="135" t="str">
        <f aca="false">Scoring!AX113</f>
        <v/>
      </c>
      <c r="I107" s="137" t="str">
        <f aca="false">Scoring!AW113</f>
        <v/>
      </c>
    </row>
    <row r="108" customFormat="false" ht="13.8" hidden="false" customHeight="false" outlineLevel="0" collapsed="false">
      <c r="A108" s="135" t="str">
        <f aca="false">Scoring!AZ114</f>
        <v/>
      </c>
      <c r="B108" s="135" t="str">
        <f aca="false">Scoring!AY114</f>
        <v/>
      </c>
      <c r="C108" s="135" t="n">
        <f aca="false">Scoring!C114</f>
        <v>0</v>
      </c>
      <c r="D108" s="136" t="str">
        <f aca="false">Scoring!AV114</f>
        <v/>
      </c>
      <c r="E108" s="135" t="str">
        <f aca="false">Scoring!AB114</f>
        <v/>
      </c>
      <c r="F108" s="135" t="n">
        <f aca="false">Scoring!B114</f>
        <v>0</v>
      </c>
      <c r="G108" s="135" t="n">
        <f aca="false">Scoring!D114</f>
        <v>0</v>
      </c>
      <c r="H108" s="135" t="str">
        <f aca="false">Scoring!AX114</f>
        <v/>
      </c>
      <c r="I108" s="137" t="str">
        <f aca="false">Scoring!AW114</f>
        <v/>
      </c>
    </row>
    <row r="109" customFormat="false" ht="13.8" hidden="false" customHeight="false" outlineLevel="0" collapsed="false">
      <c r="A109" s="135" t="str">
        <f aca="false">Scoring!AZ115</f>
        <v/>
      </c>
      <c r="B109" s="135" t="str">
        <f aca="false">Scoring!AY115</f>
        <v/>
      </c>
      <c r="C109" s="135" t="n">
        <f aca="false">Scoring!C115</f>
        <v>0</v>
      </c>
      <c r="D109" s="136" t="str">
        <f aca="false">Scoring!AV115</f>
        <v/>
      </c>
      <c r="E109" s="135" t="str">
        <f aca="false">Scoring!AB115</f>
        <v/>
      </c>
      <c r="F109" s="135" t="n">
        <f aca="false">Scoring!B115</f>
        <v>0</v>
      </c>
      <c r="G109" s="135" t="n">
        <f aca="false">Scoring!D115</f>
        <v>0</v>
      </c>
      <c r="H109" s="135" t="str">
        <f aca="false">Scoring!AX115</f>
        <v/>
      </c>
      <c r="I109" s="137" t="str">
        <f aca="false">Scoring!AW115</f>
        <v/>
      </c>
    </row>
    <row r="110" customFormat="false" ht="13.8" hidden="false" customHeight="false" outlineLevel="0" collapsed="false">
      <c r="A110" s="135" t="str">
        <f aca="false">Scoring!AZ116</f>
        <v/>
      </c>
      <c r="B110" s="135" t="str">
        <f aca="false">Scoring!AY116</f>
        <v/>
      </c>
      <c r="C110" s="135" t="n">
        <f aca="false">Scoring!C116</f>
        <v>0</v>
      </c>
      <c r="D110" s="136" t="str">
        <f aca="false">Scoring!AV116</f>
        <v/>
      </c>
      <c r="E110" s="135" t="str">
        <f aca="false">Scoring!AB116</f>
        <v/>
      </c>
      <c r="F110" s="135" t="n">
        <f aca="false">Scoring!B116</f>
        <v>0</v>
      </c>
      <c r="G110" s="135" t="n">
        <f aca="false">Scoring!D116</f>
        <v>0</v>
      </c>
      <c r="H110" s="135" t="str">
        <f aca="false">Scoring!AX116</f>
        <v/>
      </c>
      <c r="I110" s="137" t="str">
        <f aca="false">Scoring!AW116</f>
        <v/>
      </c>
    </row>
    <row r="111" customFormat="false" ht="13.8" hidden="false" customHeight="false" outlineLevel="0" collapsed="false">
      <c r="A111" s="135" t="str">
        <f aca="false">Scoring!AZ117</f>
        <v/>
      </c>
      <c r="B111" s="135" t="str">
        <f aca="false">Scoring!AY117</f>
        <v/>
      </c>
      <c r="C111" s="135" t="n">
        <f aca="false">Scoring!C117</f>
        <v>0</v>
      </c>
      <c r="D111" s="136" t="str">
        <f aca="false">Scoring!AV117</f>
        <v/>
      </c>
      <c r="E111" s="135" t="str">
        <f aca="false">Scoring!AB117</f>
        <v/>
      </c>
      <c r="F111" s="135" t="n">
        <f aca="false">Scoring!B117</f>
        <v>0</v>
      </c>
      <c r="G111" s="135" t="n">
        <f aca="false">Scoring!D117</f>
        <v>0</v>
      </c>
      <c r="H111" s="135" t="str">
        <f aca="false">Scoring!AX117</f>
        <v/>
      </c>
      <c r="I111" s="137" t="str">
        <f aca="false">Scoring!AW117</f>
        <v/>
      </c>
    </row>
    <row r="112" customFormat="false" ht="13.8" hidden="false" customHeight="false" outlineLevel="0" collapsed="false">
      <c r="A112" s="135" t="str">
        <f aca="false">Scoring!AZ118</f>
        <v/>
      </c>
      <c r="B112" s="135" t="str">
        <f aca="false">Scoring!AY118</f>
        <v/>
      </c>
      <c r="C112" s="135" t="n">
        <f aca="false">Scoring!C118</f>
        <v>0</v>
      </c>
      <c r="D112" s="136" t="str">
        <f aca="false">Scoring!AV118</f>
        <v/>
      </c>
      <c r="E112" s="135" t="str">
        <f aca="false">Scoring!AB118</f>
        <v/>
      </c>
      <c r="F112" s="135" t="n">
        <f aca="false">Scoring!B118</f>
        <v>0</v>
      </c>
      <c r="G112" s="135" t="n">
        <f aca="false">Scoring!D118</f>
        <v>0</v>
      </c>
      <c r="H112" s="135" t="str">
        <f aca="false">Scoring!AX118</f>
        <v/>
      </c>
      <c r="I112" s="137" t="str">
        <f aca="false">Scoring!AW118</f>
        <v/>
      </c>
    </row>
    <row r="113" customFormat="false" ht="13.8" hidden="false" customHeight="false" outlineLevel="0" collapsed="false">
      <c r="A113" s="135" t="str">
        <f aca="false">Scoring!AZ119</f>
        <v/>
      </c>
      <c r="B113" s="135" t="str">
        <f aca="false">Scoring!AY119</f>
        <v/>
      </c>
      <c r="C113" s="135" t="n">
        <f aca="false">Scoring!C119</f>
        <v>0</v>
      </c>
      <c r="D113" s="136" t="str">
        <f aca="false">Scoring!AV119</f>
        <v/>
      </c>
      <c r="E113" s="135" t="str">
        <f aca="false">Scoring!AB119</f>
        <v/>
      </c>
      <c r="F113" s="135" t="n">
        <f aca="false">Scoring!B119</f>
        <v>0</v>
      </c>
      <c r="G113" s="135" t="n">
        <f aca="false">Scoring!D119</f>
        <v>0</v>
      </c>
      <c r="H113" s="135" t="str">
        <f aca="false">Scoring!AX119</f>
        <v/>
      </c>
      <c r="I113" s="137" t="str">
        <f aca="false">Scoring!AW119</f>
        <v/>
      </c>
    </row>
    <row r="114" customFormat="false" ht="13.8" hidden="false" customHeight="false" outlineLevel="0" collapsed="false">
      <c r="A114" s="135" t="str">
        <f aca="false">Scoring!AZ120</f>
        <v/>
      </c>
      <c r="B114" s="135" t="str">
        <f aca="false">Scoring!AY120</f>
        <v/>
      </c>
      <c r="C114" s="135" t="n">
        <f aca="false">Scoring!C120</f>
        <v>0</v>
      </c>
      <c r="D114" s="136" t="str">
        <f aca="false">Scoring!AV120</f>
        <v/>
      </c>
      <c r="E114" s="135" t="str">
        <f aca="false">Scoring!AB120</f>
        <v/>
      </c>
      <c r="F114" s="135" t="n">
        <f aca="false">Scoring!B120</f>
        <v>0</v>
      </c>
      <c r="G114" s="135" t="n">
        <f aca="false">Scoring!D120</f>
        <v>0</v>
      </c>
      <c r="H114" s="135" t="str">
        <f aca="false">Scoring!AX120</f>
        <v/>
      </c>
      <c r="I114" s="137" t="str">
        <f aca="false">Scoring!AW120</f>
        <v/>
      </c>
    </row>
    <row r="115" customFormat="false" ht="13.8" hidden="false" customHeight="false" outlineLevel="0" collapsed="false">
      <c r="A115" s="135" t="str">
        <f aca="false">Scoring!AZ121</f>
        <v/>
      </c>
      <c r="B115" s="135" t="str">
        <f aca="false">Scoring!AY121</f>
        <v/>
      </c>
      <c r="C115" s="135" t="n">
        <f aca="false">Scoring!C121</f>
        <v>0</v>
      </c>
      <c r="D115" s="136" t="str">
        <f aca="false">Scoring!AV121</f>
        <v/>
      </c>
      <c r="E115" s="135" t="str">
        <f aca="false">Scoring!AB121</f>
        <v/>
      </c>
      <c r="F115" s="135" t="n">
        <f aca="false">Scoring!B121</f>
        <v>0</v>
      </c>
      <c r="G115" s="135" t="n">
        <f aca="false">Scoring!D121</f>
        <v>0</v>
      </c>
      <c r="H115" s="135" t="str">
        <f aca="false">Scoring!AX121</f>
        <v/>
      </c>
      <c r="I115" s="137" t="str">
        <f aca="false">Scoring!AW121</f>
        <v/>
      </c>
    </row>
    <row r="116" customFormat="false" ht="13.8" hidden="false" customHeight="false" outlineLevel="0" collapsed="false">
      <c r="A116" s="135" t="str">
        <f aca="false">Scoring!AZ122</f>
        <v/>
      </c>
      <c r="B116" s="135" t="str">
        <f aca="false">Scoring!AY122</f>
        <v/>
      </c>
      <c r="C116" s="135" t="n">
        <f aca="false">Scoring!C122</f>
        <v>0</v>
      </c>
      <c r="D116" s="136" t="str">
        <f aca="false">Scoring!AV122</f>
        <v/>
      </c>
      <c r="E116" s="135" t="str">
        <f aca="false">Scoring!AB122</f>
        <v/>
      </c>
      <c r="F116" s="135" t="n">
        <f aca="false">Scoring!B122</f>
        <v>0</v>
      </c>
      <c r="G116" s="135" t="n">
        <f aca="false">Scoring!D122</f>
        <v>0</v>
      </c>
      <c r="H116" s="135" t="str">
        <f aca="false">Scoring!AX122</f>
        <v/>
      </c>
      <c r="I116" s="137" t="str">
        <f aca="false">Scoring!AW122</f>
        <v/>
      </c>
    </row>
    <row r="117" customFormat="false" ht="13.8" hidden="false" customHeight="false" outlineLevel="0" collapsed="false">
      <c r="A117" s="135" t="str">
        <f aca="false">Scoring!AZ123</f>
        <v/>
      </c>
      <c r="B117" s="135" t="str">
        <f aca="false">Scoring!AY123</f>
        <v/>
      </c>
      <c r="C117" s="135" t="n">
        <f aca="false">Scoring!C123</f>
        <v>0</v>
      </c>
      <c r="D117" s="136" t="str">
        <f aca="false">Scoring!AV123</f>
        <v/>
      </c>
      <c r="E117" s="135" t="str">
        <f aca="false">Scoring!AB123</f>
        <v/>
      </c>
      <c r="F117" s="135" t="n">
        <f aca="false">Scoring!B123</f>
        <v>0</v>
      </c>
      <c r="G117" s="135" t="n">
        <f aca="false">Scoring!D123</f>
        <v>0</v>
      </c>
      <c r="H117" s="135" t="str">
        <f aca="false">Scoring!AX123</f>
        <v/>
      </c>
      <c r="I117" s="137" t="str">
        <f aca="false">Scoring!AW123</f>
        <v/>
      </c>
    </row>
    <row r="118" customFormat="false" ht="13.8" hidden="false" customHeight="false" outlineLevel="0" collapsed="false">
      <c r="A118" s="135" t="str">
        <f aca="false">Scoring!AZ124</f>
        <v/>
      </c>
      <c r="B118" s="135" t="str">
        <f aca="false">Scoring!AY124</f>
        <v/>
      </c>
      <c r="C118" s="135" t="n">
        <f aca="false">Scoring!C124</f>
        <v>0</v>
      </c>
      <c r="D118" s="136" t="str">
        <f aca="false">Scoring!AV124</f>
        <v/>
      </c>
      <c r="E118" s="135" t="str">
        <f aca="false">Scoring!AB124</f>
        <v/>
      </c>
      <c r="F118" s="135" t="n">
        <f aca="false">Scoring!B124</f>
        <v>0</v>
      </c>
      <c r="G118" s="135" t="n">
        <f aca="false">Scoring!D124</f>
        <v>0</v>
      </c>
      <c r="H118" s="135" t="str">
        <f aca="false">Scoring!AX124</f>
        <v/>
      </c>
      <c r="I118" s="137" t="str">
        <f aca="false">Scoring!AW124</f>
        <v/>
      </c>
    </row>
    <row r="119" customFormat="false" ht="13.8" hidden="false" customHeight="false" outlineLevel="0" collapsed="false">
      <c r="A119" s="135" t="str">
        <f aca="false">Scoring!AZ125</f>
        <v/>
      </c>
      <c r="B119" s="135" t="str">
        <f aca="false">Scoring!AY125</f>
        <v/>
      </c>
      <c r="C119" s="135" t="n">
        <f aca="false">Scoring!C125</f>
        <v>0</v>
      </c>
      <c r="D119" s="136" t="str">
        <f aca="false">Scoring!AV125</f>
        <v/>
      </c>
      <c r="E119" s="135" t="str">
        <f aca="false">Scoring!AB125</f>
        <v/>
      </c>
      <c r="F119" s="135" t="n">
        <f aca="false">Scoring!B125</f>
        <v>0</v>
      </c>
      <c r="G119" s="135" t="n">
        <f aca="false">Scoring!D125</f>
        <v>0</v>
      </c>
      <c r="H119" s="135" t="str">
        <f aca="false">Scoring!AX125</f>
        <v/>
      </c>
      <c r="I119" s="137" t="str">
        <f aca="false">Scoring!AW125</f>
        <v/>
      </c>
    </row>
    <row r="120" customFormat="false" ht="13.8" hidden="false" customHeight="false" outlineLevel="0" collapsed="false">
      <c r="A120" s="135" t="str">
        <f aca="false">Scoring!AZ126</f>
        <v/>
      </c>
      <c r="B120" s="135" t="str">
        <f aca="false">Scoring!AY126</f>
        <v/>
      </c>
      <c r="C120" s="135" t="n">
        <f aca="false">Scoring!C126</f>
        <v>0</v>
      </c>
      <c r="D120" s="136" t="str">
        <f aca="false">Scoring!AV126</f>
        <v/>
      </c>
      <c r="E120" s="135" t="str">
        <f aca="false">Scoring!AB126</f>
        <v/>
      </c>
      <c r="F120" s="135" t="n">
        <f aca="false">Scoring!B126</f>
        <v>0</v>
      </c>
      <c r="G120" s="135" t="n">
        <f aca="false">Scoring!D126</f>
        <v>0</v>
      </c>
      <c r="H120" s="135" t="str">
        <f aca="false">Scoring!AX126</f>
        <v/>
      </c>
      <c r="I120" s="137" t="str">
        <f aca="false">Scoring!AW126</f>
        <v/>
      </c>
    </row>
    <row r="121" customFormat="false" ht="13.8" hidden="false" customHeight="false" outlineLevel="0" collapsed="false">
      <c r="A121" s="135" t="str">
        <f aca="false">Scoring!AZ127</f>
        <v/>
      </c>
      <c r="B121" s="135" t="str">
        <f aca="false">Scoring!AY127</f>
        <v/>
      </c>
      <c r="C121" s="135" t="n">
        <f aca="false">Scoring!C127</f>
        <v>0</v>
      </c>
      <c r="D121" s="136" t="str">
        <f aca="false">Scoring!AV127</f>
        <v/>
      </c>
      <c r="E121" s="135" t="str">
        <f aca="false">Scoring!AB127</f>
        <v/>
      </c>
      <c r="F121" s="135" t="n">
        <f aca="false">Scoring!B127</f>
        <v>0</v>
      </c>
      <c r="G121" s="135" t="n">
        <f aca="false">Scoring!D127</f>
        <v>0</v>
      </c>
      <c r="H121" s="135" t="str">
        <f aca="false">Scoring!AX127</f>
        <v/>
      </c>
      <c r="I121" s="137" t="str">
        <f aca="false">Scoring!AW127</f>
        <v/>
      </c>
    </row>
    <row r="122" customFormat="false" ht="13.8" hidden="false" customHeight="false" outlineLevel="0" collapsed="false">
      <c r="A122" s="135" t="str">
        <f aca="false">Scoring!AZ128</f>
        <v/>
      </c>
      <c r="B122" s="135" t="str">
        <f aca="false">Scoring!AY128</f>
        <v/>
      </c>
      <c r="C122" s="135" t="n">
        <f aca="false">Scoring!C128</f>
        <v>0</v>
      </c>
      <c r="D122" s="136" t="str">
        <f aca="false">Scoring!AV128</f>
        <v/>
      </c>
      <c r="E122" s="135" t="str">
        <f aca="false">Scoring!AB128</f>
        <v/>
      </c>
      <c r="F122" s="135" t="n">
        <f aca="false">Scoring!B128</f>
        <v>0</v>
      </c>
      <c r="G122" s="135" t="n">
        <f aca="false">Scoring!D128</f>
        <v>0</v>
      </c>
      <c r="H122" s="135" t="str">
        <f aca="false">Scoring!AX128</f>
        <v/>
      </c>
      <c r="I122" s="137" t="str">
        <f aca="false">Scoring!AW128</f>
        <v/>
      </c>
    </row>
    <row r="123" customFormat="false" ht="13.8" hidden="false" customHeight="false" outlineLevel="0" collapsed="false">
      <c r="A123" s="135" t="str">
        <f aca="false">Scoring!AZ129</f>
        <v/>
      </c>
      <c r="B123" s="135" t="str">
        <f aca="false">Scoring!AY129</f>
        <v/>
      </c>
      <c r="C123" s="135" t="n">
        <f aca="false">Scoring!C129</f>
        <v>0</v>
      </c>
      <c r="D123" s="136" t="str">
        <f aca="false">Scoring!AV129</f>
        <v/>
      </c>
      <c r="E123" s="135" t="str">
        <f aca="false">Scoring!AB129</f>
        <v/>
      </c>
      <c r="F123" s="135" t="n">
        <f aca="false">Scoring!B129</f>
        <v>0</v>
      </c>
      <c r="G123" s="135" t="n">
        <f aca="false">Scoring!D129</f>
        <v>0</v>
      </c>
      <c r="H123" s="135" t="str">
        <f aca="false">Scoring!AX129</f>
        <v/>
      </c>
      <c r="I123" s="137" t="str">
        <f aca="false">Scoring!AW129</f>
        <v/>
      </c>
    </row>
    <row r="124" customFormat="false" ht="13.8" hidden="false" customHeight="false" outlineLevel="0" collapsed="false">
      <c r="A124" s="135" t="str">
        <f aca="false">Scoring!AZ130</f>
        <v/>
      </c>
      <c r="B124" s="135" t="str">
        <f aca="false">Scoring!AY130</f>
        <v/>
      </c>
      <c r="C124" s="135" t="n">
        <f aca="false">Scoring!C130</f>
        <v>0</v>
      </c>
      <c r="D124" s="136" t="str">
        <f aca="false">Scoring!AV130</f>
        <v/>
      </c>
      <c r="E124" s="135" t="str">
        <f aca="false">Scoring!AB130</f>
        <v/>
      </c>
      <c r="F124" s="135" t="n">
        <f aca="false">Scoring!B130</f>
        <v>0</v>
      </c>
      <c r="G124" s="135" t="n">
        <f aca="false">Scoring!D130</f>
        <v>0</v>
      </c>
      <c r="H124" s="135" t="str">
        <f aca="false">Scoring!AX130</f>
        <v/>
      </c>
      <c r="I124" s="137" t="str">
        <f aca="false">Scoring!AW130</f>
        <v/>
      </c>
    </row>
    <row r="125" customFormat="false" ht="13.8" hidden="false" customHeight="false" outlineLevel="0" collapsed="false">
      <c r="A125" s="135" t="str">
        <f aca="false">Scoring!AZ131</f>
        <v/>
      </c>
      <c r="B125" s="135" t="str">
        <f aca="false">Scoring!AY131</f>
        <v/>
      </c>
      <c r="C125" s="135" t="n">
        <f aca="false">Scoring!C131</f>
        <v>0</v>
      </c>
      <c r="D125" s="136" t="str">
        <f aca="false">Scoring!AV131</f>
        <v/>
      </c>
      <c r="E125" s="135" t="str">
        <f aca="false">Scoring!AB131</f>
        <v/>
      </c>
      <c r="F125" s="135" t="n">
        <f aca="false">Scoring!B131</f>
        <v>0</v>
      </c>
      <c r="G125" s="135" t="n">
        <f aca="false">Scoring!D131</f>
        <v>0</v>
      </c>
      <c r="H125" s="135" t="str">
        <f aca="false">Scoring!AX131</f>
        <v/>
      </c>
      <c r="I125" s="137" t="str">
        <f aca="false">Scoring!AW131</f>
        <v/>
      </c>
    </row>
    <row r="126" customFormat="false" ht="13.8" hidden="false" customHeight="false" outlineLevel="0" collapsed="false">
      <c r="A126" s="135" t="str">
        <f aca="false">Scoring!AZ132</f>
        <v/>
      </c>
      <c r="B126" s="135" t="str">
        <f aca="false">Scoring!AY132</f>
        <v/>
      </c>
      <c r="C126" s="135" t="n">
        <f aca="false">Scoring!C132</f>
        <v>0</v>
      </c>
      <c r="D126" s="136" t="str">
        <f aca="false">Scoring!AV132</f>
        <v/>
      </c>
      <c r="E126" s="135" t="str">
        <f aca="false">Scoring!AB132</f>
        <v/>
      </c>
      <c r="F126" s="135" t="n">
        <f aca="false">Scoring!B132</f>
        <v>0</v>
      </c>
      <c r="G126" s="135" t="n">
        <f aca="false">Scoring!D132</f>
        <v>0</v>
      </c>
      <c r="H126" s="135" t="str">
        <f aca="false">Scoring!AX132</f>
        <v/>
      </c>
      <c r="I126" s="137" t="str">
        <f aca="false">Scoring!AW132</f>
        <v/>
      </c>
    </row>
    <row r="127" customFormat="false" ht="13.8" hidden="false" customHeight="false" outlineLevel="0" collapsed="false">
      <c r="A127" s="135" t="str">
        <f aca="false">Scoring!AZ133</f>
        <v/>
      </c>
      <c r="B127" s="135" t="str">
        <f aca="false">Scoring!AY133</f>
        <v/>
      </c>
      <c r="C127" s="135" t="n">
        <f aca="false">Scoring!C133</f>
        <v>0</v>
      </c>
      <c r="D127" s="136" t="str">
        <f aca="false">Scoring!AV133</f>
        <v/>
      </c>
      <c r="E127" s="135" t="str">
        <f aca="false">Scoring!AB133</f>
        <v/>
      </c>
      <c r="F127" s="135" t="n">
        <f aca="false">Scoring!B133</f>
        <v>0</v>
      </c>
      <c r="G127" s="135" t="n">
        <f aca="false">Scoring!D133</f>
        <v>0</v>
      </c>
      <c r="H127" s="135" t="str">
        <f aca="false">Scoring!AX133</f>
        <v/>
      </c>
      <c r="I127" s="137" t="str">
        <f aca="false">Scoring!AW133</f>
        <v/>
      </c>
    </row>
    <row r="128" customFormat="false" ht="13.8" hidden="false" customHeight="false" outlineLevel="0" collapsed="false">
      <c r="A128" s="135" t="str">
        <f aca="false">Scoring!AZ134</f>
        <v/>
      </c>
      <c r="B128" s="135" t="str">
        <f aca="false">Scoring!AY134</f>
        <v/>
      </c>
      <c r="C128" s="135" t="n">
        <f aca="false">Scoring!C134</f>
        <v>0</v>
      </c>
      <c r="D128" s="136" t="str">
        <f aca="false">Scoring!AV134</f>
        <v/>
      </c>
      <c r="E128" s="135" t="str">
        <f aca="false">Scoring!AB134</f>
        <v/>
      </c>
      <c r="F128" s="135" t="n">
        <f aca="false">Scoring!B134</f>
        <v>0</v>
      </c>
      <c r="G128" s="135" t="n">
        <f aca="false">Scoring!D134</f>
        <v>0</v>
      </c>
      <c r="H128" s="135" t="str">
        <f aca="false">Scoring!AX134</f>
        <v/>
      </c>
      <c r="I128" s="137" t="str">
        <f aca="false">Scoring!AW134</f>
        <v/>
      </c>
    </row>
    <row r="129" customFormat="false" ht="13.8" hidden="false" customHeight="false" outlineLevel="0" collapsed="false">
      <c r="A129" s="135" t="str">
        <f aca="false">Scoring!AZ135</f>
        <v/>
      </c>
      <c r="B129" s="135" t="str">
        <f aca="false">Scoring!AY135</f>
        <v/>
      </c>
      <c r="C129" s="135" t="n">
        <f aca="false">Scoring!C135</f>
        <v>0</v>
      </c>
      <c r="D129" s="136" t="str">
        <f aca="false">Scoring!AV135</f>
        <v/>
      </c>
      <c r="E129" s="135" t="str">
        <f aca="false">Scoring!AB135</f>
        <v/>
      </c>
      <c r="F129" s="135" t="n">
        <f aca="false">Scoring!B135</f>
        <v>0</v>
      </c>
      <c r="G129" s="135" t="n">
        <f aca="false">Scoring!D135</f>
        <v>0</v>
      </c>
      <c r="H129" s="135" t="str">
        <f aca="false">Scoring!AX135</f>
        <v/>
      </c>
      <c r="I129" s="137" t="str">
        <f aca="false">Scoring!AW135</f>
        <v/>
      </c>
    </row>
    <row r="130" customFormat="false" ht="13.8" hidden="false" customHeight="false" outlineLevel="0" collapsed="false">
      <c r="A130" s="135" t="str">
        <f aca="false">Scoring!AZ136</f>
        <v/>
      </c>
      <c r="B130" s="135" t="str">
        <f aca="false">Scoring!AY136</f>
        <v/>
      </c>
      <c r="C130" s="135" t="n">
        <f aca="false">Scoring!C136</f>
        <v>0</v>
      </c>
      <c r="D130" s="136" t="str">
        <f aca="false">Scoring!AV136</f>
        <v/>
      </c>
      <c r="E130" s="135" t="str">
        <f aca="false">Scoring!AB136</f>
        <v/>
      </c>
      <c r="F130" s="135" t="n">
        <f aca="false">Scoring!B136</f>
        <v>0</v>
      </c>
      <c r="G130" s="135" t="n">
        <f aca="false">Scoring!D136</f>
        <v>0</v>
      </c>
      <c r="H130" s="135" t="str">
        <f aca="false">Scoring!AX136</f>
        <v/>
      </c>
      <c r="I130" s="137" t="str">
        <f aca="false">Scoring!AW136</f>
        <v/>
      </c>
    </row>
    <row r="131" customFormat="false" ht="13.8" hidden="false" customHeight="false" outlineLevel="0" collapsed="false">
      <c r="A131" s="135" t="str">
        <f aca="false">Scoring!AZ137</f>
        <v/>
      </c>
      <c r="B131" s="135" t="str">
        <f aca="false">Scoring!AY137</f>
        <v/>
      </c>
      <c r="C131" s="135" t="n">
        <f aca="false">Scoring!C137</f>
        <v>0</v>
      </c>
      <c r="D131" s="136" t="str">
        <f aca="false">Scoring!AV137</f>
        <v/>
      </c>
      <c r="E131" s="135" t="str">
        <f aca="false">Scoring!AB137</f>
        <v/>
      </c>
      <c r="F131" s="135" t="n">
        <f aca="false">Scoring!B137</f>
        <v>0</v>
      </c>
      <c r="G131" s="135" t="n">
        <f aca="false">Scoring!D137</f>
        <v>0</v>
      </c>
      <c r="H131" s="135" t="str">
        <f aca="false">Scoring!AX137</f>
        <v/>
      </c>
      <c r="I131" s="137" t="str">
        <f aca="false">Scoring!AW137</f>
        <v/>
      </c>
    </row>
    <row r="132" customFormat="false" ht="13.8" hidden="false" customHeight="false" outlineLevel="0" collapsed="false">
      <c r="A132" s="135" t="str">
        <f aca="false">Scoring!AZ138</f>
        <v/>
      </c>
      <c r="B132" s="135" t="str">
        <f aca="false">Scoring!AY138</f>
        <v/>
      </c>
      <c r="C132" s="135" t="n">
        <f aca="false">Scoring!C138</f>
        <v>0</v>
      </c>
      <c r="D132" s="136" t="str">
        <f aca="false">Scoring!AV138</f>
        <v/>
      </c>
      <c r="E132" s="135" t="str">
        <f aca="false">Scoring!AB138</f>
        <v/>
      </c>
      <c r="F132" s="135" t="n">
        <f aca="false">Scoring!B138</f>
        <v>0</v>
      </c>
      <c r="G132" s="135" t="n">
        <f aca="false">Scoring!D138</f>
        <v>0</v>
      </c>
      <c r="H132" s="135" t="str">
        <f aca="false">Scoring!AX138</f>
        <v/>
      </c>
      <c r="I132" s="137" t="str">
        <f aca="false">Scoring!AW138</f>
        <v/>
      </c>
    </row>
    <row r="133" customFormat="false" ht="13.8" hidden="false" customHeight="false" outlineLevel="0" collapsed="false">
      <c r="A133" s="135" t="str">
        <f aca="false">Scoring!AZ139</f>
        <v/>
      </c>
      <c r="B133" s="135" t="str">
        <f aca="false">Scoring!AY139</f>
        <v/>
      </c>
      <c r="C133" s="135" t="n">
        <f aca="false">Scoring!C139</f>
        <v>0</v>
      </c>
      <c r="D133" s="136" t="str">
        <f aca="false">Scoring!AV139</f>
        <v/>
      </c>
      <c r="E133" s="135" t="str">
        <f aca="false">Scoring!AB139</f>
        <v/>
      </c>
      <c r="F133" s="135" t="n">
        <f aca="false">Scoring!B139</f>
        <v>0</v>
      </c>
      <c r="G133" s="135" t="n">
        <f aca="false">Scoring!D139</f>
        <v>0</v>
      </c>
      <c r="H133" s="135" t="str">
        <f aca="false">Scoring!AX139</f>
        <v/>
      </c>
      <c r="I133" s="137" t="str">
        <f aca="false">Scoring!AW139</f>
        <v/>
      </c>
    </row>
    <row r="134" customFormat="false" ht="13.8" hidden="false" customHeight="false" outlineLevel="0" collapsed="false">
      <c r="A134" s="135" t="str">
        <f aca="false">Scoring!AZ140</f>
        <v/>
      </c>
      <c r="B134" s="135" t="str">
        <f aca="false">Scoring!AY140</f>
        <v/>
      </c>
      <c r="C134" s="135" t="n">
        <f aca="false">Scoring!C140</f>
        <v>0</v>
      </c>
      <c r="D134" s="136" t="str">
        <f aca="false">Scoring!AV140</f>
        <v/>
      </c>
      <c r="E134" s="135" t="str">
        <f aca="false">Scoring!AB140</f>
        <v/>
      </c>
      <c r="F134" s="135" t="n">
        <f aca="false">Scoring!B140</f>
        <v>0</v>
      </c>
      <c r="G134" s="135" t="n">
        <f aca="false">Scoring!D140</f>
        <v>0</v>
      </c>
      <c r="H134" s="135" t="str">
        <f aca="false">Scoring!AX140</f>
        <v/>
      </c>
      <c r="I134" s="137" t="str">
        <f aca="false">Scoring!AW140</f>
        <v/>
      </c>
    </row>
    <row r="135" customFormat="false" ht="13.8" hidden="false" customHeight="false" outlineLevel="0" collapsed="false">
      <c r="A135" s="135" t="str">
        <f aca="false">Scoring!AZ141</f>
        <v/>
      </c>
      <c r="B135" s="135" t="str">
        <f aca="false">Scoring!AY141</f>
        <v/>
      </c>
      <c r="C135" s="135" t="n">
        <f aca="false">Scoring!C141</f>
        <v>0</v>
      </c>
      <c r="D135" s="136" t="str">
        <f aca="false">Scoring!AV141</f>
        <v/>
      </c>
      <c r="E135" s="135" t="str">
        <f aca="false">Scoring!AB141</f>
        <v/>
      </c>
      <c r="F135" s="135" t="n">
        <f aca="false">Scoring!B141</f>
        <v>0</v>
      </c>
      <c r="G135" s="135" t="n">
        <f aca="false">Scoring!D141</f>
        <v>0</v>
      </c>
      <c r="H135" s="135" t="str">
        <f aca="false">Scoring!AX141</f>
        <v/>
      </c>
      <c r="I135" s="137" t="str">
        <f aca="false">Scoring!AW141</f>
        <v/>
      </c>
    </row>
    <row r="136" customFormat="false" ht="13.8" hidden="false" customHeight="false" outlineLevel="0" collapsed="false">
      <c r="A136" s="135" t="str">
        <f aca="false">Scoring!AZ142</f>
        <v/>
      </c>
      <c r="B136" s="135" t="str">
        <f aca="false">Scoring!AY142</f>
        <v/>
      </c>
      <c r="C136" s="135" t="n">
        <f aca="false">Scoring!C142</f>
        <v>0</v>
      </c>
      <c r="D136" s="136" t="str">
        <f aca="false">Scoring!AV142</f>
        <v/>
      </c>
      <c r="E136" s="135" t="str">
        <f aca="false">Scoring!AB142</f>
        <v/>
      </c>
      <c r="F136" s="135" t="n">
        <f aca="false">Scoring!B142</f>
        <v>0</v>
      </c>
      <c r="G136" s="135" t="n">
        <f aca="false">Scoring!D142</f>
        <v>0</v>
      </c>
      <c r="H136" s="135" t="str">
        <f aca="false">Scoring!AX142</f>
        <v/>
      </c>
      <c r="I136" s="137" t="str">
        <f aca="false">Scoring!AW142</f>
        <v/>
      </c>
    </row>
    <row r="137" customFormat="false" ht="13.8" hidden="false" customHeight="false" outlineLevel="0" collapsed="false">
      <c r="A137" s="135" t="str">
        <f aca="false">Scoring!AZ143</f>
        <v/>
      </c>
      <c r="B137" s="135" t="str">
        <f aca="false">Scoring!AY143</f>
        <v/>
      </c>
      <c r="C137" s="135" t="n">
        <f aca="false">Scoring!C143</f>
        <v>0</v>
      </c>
      <c r="D137" s="136" t="str">
        <f aca="false">Scoring!AV143</f>
        <v/>
      </c>
      <c r="E137" s="135" t="str">
        <f aca="false">Scoring!AB143</f>
        <v/>
      </c>
      <c r="F137" s="135" t="n">
        <f aca="false">Scoring!B143</f>
        <v>0</v>
      </c>
      <c r="G137" s="135" t="n">
        <f aca="false">Scoring!D143</f>
        <v>0</v>
      </c>
      <c r="H137" s="135" t="str">
        <f aca="false">Scoring!AX143</f>
        <v/>
      </c>
      <c r="I137" s="137" t="str">
        <f aca="false">Scoring!AW143</f>
        <v/>
      </c>
    </row>
    <row r="138" customFormat="false" ht="13.8" hidden="false" customHeight="false" outlineLevel="0" collapsed="false">
      <c r="A138" s="135" t="str">
        <f aca="false">Scoring!AZ144</f>
        <v/>
      </c>
      <c r="B138" s="135" t="str">
        <f aca="false">Scoring!AY144</f>
        <v/>
      </c>
      <c r="C138" s="135" t="n">
        <f aca="false">Scoring!C144</f>
        <v>0</v>
      </c>
      <c r="D138" s="136" t="str">
        <f aca="false">Scoring!AV144</f>
        <v/>
      </c>
      <c r="E138" s="135" t="str">
        <f aca="false">Scoring!AB144</f>
        <v/>
      </c>
      <c r="F138" s="135" t="n">
        <f aca="false">Scoring!B144</f>
        <v>0</v>
      </c>
      <c r="G138" s="135" t="n">
        <f aca="false">Scoring!D144</f>
        <v>0</v>
      </c>
      <c r="H138" s="135" t="str">
        <f aca="false">Scoring!AX144</f>
        <v/>
      </c>
      <c r="I138" s="137" t="str">
        <f aca="false">Scoring!AW144</f>
        <v/>
      </c>
    </row>
    <row r="139" customFormat="false" ht="13.8" hidden="false" customHeight="false" outlineLevel="0" collapsed="false">
      <c r="A139" s="135" t="str">
        <f aca="false">Scoring!AZ145</f>
        <v/>
      </c>
      <c r="B139" s="135" t="str">
        <f aca="false">Scoring!AY145</f>
        <v/>
      </c>
      <c r="C139" s="135" t="n">
        <f aca="false">Scoring!C145</f>
        <v>0</v>
      </c>
      <c r="D139" s="136" t="str">
        <f aca="false">Scoring!AV145</f>
        <v/>
      </c>
      <c r="E139" s="135" t="str">
        <f aca="false">Scoring!AB145</f>
        <v/>
      </c>
      <c r="F139" s="135" t="n">
        <f aca="false">Scoring!B145</f>
        <v>0</v>
      </c>
      <c r="G139" s="135" t="n">
        <f aca="false">Scoring!D145</f>
        <v>0</v>
      </c>
      <c r="H139" s="135" t="str">
        <f aca="false">Scoring!AX145</f>
        <v/>
      </c>
      <c r="I139" s="137" t="str">
        <f aca="false">Scoring!AW145</f>
        <v/>
      </c>
    </row>
    <row r="140" customFormat="false" ht="13.8" hidden="false" customHeight="false" outlineLevel="0" collapsed="false">
      <c r="A140" s="135" t="str">
        <f aca="false">Scoring!AZ146</f>
        <v/>
      </c>
      <c r="B140" s="135" t="str">
        <f aca="false">Scoring!AY146</f>
        <v/>
      </c>
      <c r="C140" s="135" t="n">
        <f aca="false">Scoring!C146</f>
        <v>0</v>
      </c>
      <c r="D140" s="136" t="str">
        <f aca="false">Scoring!AV146</f>
        <v/>
      </c>
      <c r="E140" s="135" t="str">
        <f aca="false">Scoring!AB146</f>
        <v/>
      </c>
      <c r="F140" s="135" t="n">
        <f aca="false">Scoring!B146</f>
        <v>0</v>
      </c>
      <c r="G140" s="135" t="n">
        <f aca="false">Scoring!D146</f>
        <v>0</v>
      </c>
      <c r="H140" s="135" t="str">
        <f aca="false">Scoring!AX146</f>
        <v/>
      </c>
      <c r="I140" s="137" t="str">
        <f aca="false">Scoring!AW146</f>
        <v/>
      </c>
    </row>
    <row r="141" customFormat="false" ht="13.8" hidden="false" customHeight="false" outlineLevel="0" collapsed="false">
      <c r="A141" s="135" t="str">
        <f aca="false">Scoring!AZ147</f>
        <v/>
      </c>
      <c r="B141" s="135" t="str">
        <f aca="false">Scoring!AY147</f>
        <v/>
      </c>
      <c r="C141" s="135" t="n">
        <f aca="false">Scoring!C147</f>
        <v>0</v>
      </c>
      <c r="D141" s="136" t="str">
        <f aca="false">Scoring!AV147</f>
        <v/>
      </c>
      <c r="E141" s="135" t="str">
        <f aca="false">Scoring!AB147</f>
        <v/>
      </c>
      <c r="F141" s="135" t="n">
        <f aca="false">Scoring!B147</f>
        <v>0</v>
      </c>
      <c r="G141" s="135" t="n">
        <f aca="false">Scoring!D147</f>
        <v>0</v>
      </c>
      <c r="H141" s="135" t="str">
        <f aca="false">Scoring!AX147</f>
        <v/>
      </c>
      <c r="I141" s="137" t="str">
        <f aca="false">Scoring!AW147</f>
        <v/>
      </c>
    </row>
    <row r="142" customFormat="false" ht="13.8" hidden="false" customHeight="false" outlineLevel="0" collapsed="false">
      <c r="A142" s="135" t="str">
        <f aca="false">Scoring!AZ148</f>
        <v/>
      </c>
      <c r="B142" s="135" t="str">
        <f aca="false">Scoring!AY148</f>
        <v/>
      </c>
      <c r="C142" s="135" t="n">
        <f aca="false">Scoring!C148</f>
        <v>0</v>
      </c>
      <c r="D142" s="136" t="str">
        <f aca="false">Scoring!AV148</f>
        <v/>
      </c>
      <c r="E142" s="135" t="str">
        <f aca="false">Scoring!AB148</f>
        <v/>
      </c>
      <c r="F142" s="135" t="n">
        <f aca="false">Scoring!B148</f>
        <v>0</v>
      </c>
      <c r="G142" s="135" t="n">
        <f aca="false">Scoring!D148</f>
        <v>0</v>
      </c>
      <c r="H142" s="135" t="str">
        <f aca="false">Scoring!AX148</f>
        <v/>
      </c>
      <c r="I142" s="137" t="str">
        <f aca="false">Scoring!AW148</f>
        <v/>
      </c>
    </row>
    <row r="143" customFormat="false" ht="13.8" hidden="false" customHeight="false" outlineLevel="0" collapsed="false">
      <c r="A143" s="135" t="str">
        <f aca="false">Scoring!AZ149</f>
        <v/>
      </c>
      <c r="B143" s="135" t="str">
        <f aca="false">Scoring!AY149</f>
        <v/>
      </c>
      <c r="C143" s="135" t="n">
        <f aca="false">Scoring!C149</f>
        <v>0</v>
      </c>
      <c r="D143" s="136" t="str">
        <f aca="false">Scoring!AV149</f>
        <v/>
      </c>
      <c r="E143" s="135" t="str">
        <f aca="false">Scoring!AB149</f>
        <v/>
      </c>
      <c r="F143" s="135" t="n">
        <f aca="false">Scoring!B149</f>
        <v>0</v>
      </c>
      <c r="G143" s="135" t="n">
        <f aca="false">Scoring!D149</f>
        <v>0</v>
      </c>
      <c r="H143" s="135" t="str">
        <f aca="false">Scoring!AX149</f>
        <v/>
      </c>
      <c r="I143" s="137" t="str">
        <f aca="false">Scoring!AW149</f>
        <v/>
      </c>
    </row>
    <row r="144" customFormat="false" ht="13.8" hidden="false" customHeight="false" outlineLevel="0" collapsed="false">
      <c r="A144" s="135" t="str">
        <f aca="false">Scoring!AZ150</f>
        <v/>
      </c>
      <c r="B144" s="135" t="str">
        <f aca="false">Scoring!AY150</f>
        <v/>
      </c>
      <c r="C144" s="135" t="n">
        <f aca="false">Scoring!C150</f>
        <v>0</v>
      </c>
      <c r="D144" s="136" t="str">
        <f aca="false">Scoring!AV150</f>
        <v/>
      </c>
      <c r="E144" s="135" t="str">
        <f aca="false">Scoring!AB150</f>
        <v/>
      </c>
      <c r="F144" s="135" t="n">
        <f aca="false">Scoring!B150</f>
        <v>0</v>
      </c>
      <c r="G144" s="135" t="n">
        <f aca="false">Scoring!D150</f>
        <v>0</v>
      </c>
      <c r="H144" s="135" t="str">
        <f aca="false">Scoring!AX150</f>
        <v/>
      </c>
      <c r="I144" s="137" t="str">
        <f aca="false">Scoring!AW150</f>
        <v/>
      </c>
    </row>
    <row r="145" customFormat="false" ht="13.8" hidden="false" customHeight="false" outlineLevel="0" collapsed="false">
      <c r="A145" s="135" t="str">
        <f aca="false">Scoring!AZ151</f>
        <v/>
      </c>
      <c r="B145" s="135" t="str">
        <f aca="false">Scoring!AY151</f>
        <v/>
      </c>
      <c r="C145" s="135" t="n">
        <f aca="false">Scoring!C151</f>
        <v>0</v>
      </c>
      <c r="D145" s="136" t="str">
        <f aca="false">Scoring!AV151</f>
        <v/>
      </c>
      <c r="E145" s="135" t="str">
        <f aca="false">Scoring!AB151</f>
        <v/>
      </c>
      <c r="F145" s="135" t="n">
        <f aca="false">Scoring!B151</f>
        <v>0</v>
      </c>
      <c r="G145" s="135" t="n">
        <f aca="false">Scoring!D151</f>
        <v>0</v>
      </c>
      <c r="H145" s="135" t="str">
        <f aca="false">Scoring!AX151</f>
        <v/>
      </c>
      <c r="I145" s="137" t="str">
        <f aca="false">Scoring!AW151</f>
        <v/>
      </c>
    </row>
    <row r="146" customFormat="false" ht="13.8" hidden="false" customHeight="false" outlineLevel="0" collapsed="false">
      <c r="A146" s="135" t="str">
        <f aca="false">Scoring!AZ152</f>
        <v/>
      </c>
      <c r="B146" s="135" t="str">
        <f aca="false">Scoring!AY152</f>
        <v/>
      </c>
      <c r="C146" s="135" t="n">
        <f aca="false">Scoring!C152</f>
        <v>0</v>
      </c>
      <c r="D146" s="136" t="str">
        <f aca="false">Scoring!AV152</f>
        <v/>
      </c>
      <c r="E146" s="135" t="str">
        <f aca="false">Scoring!AB152</f>
        <v/>
      </c>
      <c r="F146" s="135" t="n">
        <f aca="false">Scoring!B152</f>
        <v>0</v>
      </c>
      <c r="G146" s="135" t="n">
        <f aca="false">Scoring!D152</f>
        <v>0</v>
      </c>
      <c r="H146" s="135" t="str">
        <f aca="false">Scoring!AX152</f>
        <v/>
      </c>
      <c r="I146" s="137" t="str">
        <f aca="false">Scoring!AW152</f>
        <v/>
      </c>
    </row>
    <row r="147" customFormat="false" ht="13.8" hidden="false" customHeight="false" outlineLevel="0" collapsed="false">
      <c r="A147" s="135" t="str">
        <f aca="false">Scoring!AZ153</f>
        <v/>
      </c>
      <c r="B147" s="135" t="str">
        <f aca="false">Scoring!AY153</f>
        <v/>
      </c>
      <c r="C147" s="135" t="n">
        <f aca="false">Scoring!C153</f>
        <v>0</v>
      </c>
      <c r="D147" s="136" t="str">
        <f aca="false">Scoring!AV153</f>
        <v/>
      </c>
      <c r="E147" s="135" t="str">
        <f aca="false">Scoring!AB153</f>
        <v/>
      </c>
      <c r="F147" s="135" t="n">
        <f aca="false">Scoring!B153</f>
        <v>0</v>
      </c>
      <c r="G147" s="135" t="n">
        <f aca="false">Scoring!D153</f>
        <v>0</v>
      </c>
      <c r="H147" s="135" t="str">
        <f aca="false">Scoring!AX153</f>
        <v/>
      </c>
      <c r="I147" s="137" t="str">
        <f aca="false">Scoring!AW153</f>
        <v/>
      </c>
    </row>
    <row r="148" customFormat="false" ht="13.8" hidden="false" customHeight="false" outlineLevel="0" collapsed="false">
      <c r="A148" s="135" t="str">
        <f aca="false">Scoring!AZ154</f>
        <v/>
      </c>
      <c r="B148" s="135" t="str">
        <f aca="false">Scoring!AY154</f>
        <v/>
      </c>
      <c r="C148" s="135" t="n">
        <f aca="false">Scoring!C154</f>
        <v>0</v>
      </c>
      <c r="D148" s="136" t="str">
        <f aca="false">Scoring!AV154</f>
        <v/>
      </c>
      <c r="E148" s="135" t="str">
        <f aca="false">Scoring!AB154</f>
        <v/>
      </c>
      <c r="F148" s="135" t="n">
        <f aca="false">Scoring!B154</f>
        <v>0</v>
      </c>
      <c r="G148" s="135" t="n">
        <f aca="false">Scoring!D154</f>
        <v>0</v>
      </c>
      <c r="H148" s="135" t="str">
        <f aca="false">Scoring!AX154</f>
        <v/>
      </c>
      <c r="I148" s="137" t="str">
        <f aca="false">Scoring!AW154</f>
        <v/>
      </c>
    </row>
    <row r="149" customFormat="false" ht="13.8" hidden="false" customHeight="false" outlineLevel="0" collapsed="false">
      <c r="A149" s="135" t="str">
        <f aca="false">Scoring!AZ155</f>
        <v/>
      </c>
      <c r="B149" s="135" t="str">
        <f aca="false">Scoring!AY155</f>
        <v/>
      </c>
      <c r="C149" s="135" t="n">
        <f aca="false">Scoring!C155</f>
        <v>0</v>
      </c>
      <c r="D149" s="136" t="str">
        <f aca="false">Scoring!AV155</f>
        <v/>
      </c>
      <c r="E149" s="135" t="str">
        <f aca="false">Scoring!AB155</f>
        <v/>
      </c>
      <c r="F149" s="135" t="n">
        <f aca="false">Scoring!B155</f>
        <v>0</v>
      </c>
      <c r="G149" s="135" t="n">
        <f aca="false">Scoring!D155</f>
        <v>0</v>
      </c>
      <c r="H149" s="135" t="str">
        <f aca="false">Scoring!AX155</f>
        <v/>
      </c>
      <c r="I149" s="137" t="str">
        <f aca="false">Scoring!AW155</f>
        <v/>
      </c>
    </row>
    <row r="150" customFormat="false" ht="13.8" hidden="false" customHeight="false" outlineLevel="0" collapsed="false">
      <c r="A150" s="135" t="str">
        <f aca="false">Scoring!AZ156</f>
        <v/>
      </c>
      <c r="B150" s="135" t="str">
        <f aca="false">Scoring!AY156</f>
        <v/>
      </c>
      <c r="C150" s="135" t="n">
        <f aca="false">Scoring!C156</f>
        <v>0</v>
      </c>
      <c r="D150" s="136" t="str">
        <f aca="false">Scoring!AV156</f>
        <v/>
      </c>
      <c r="E150" s="135" t="str">
        <f aca="false">Scoring!AB156</f>
        <v/>
      </c>
      <c r="F150" s="135" t="n">
        <f aca="false">Scoring!B156</f>
        <v>0</v>
      </c>
      <c r="G150" s="135" t="n">
        <f aca="false">Scoring!D156</f>
        <v>0</v>
      </c>
      <c r="H150" s="135" t="str">
        <f aca="false">Scoring!AX156</f>
        <v/>
      </c>
      <c r="I150" s="137" t="str">
        <f aca="false">Scoring!AW156</f>
        <v/>
      </c>
    </row>
    <row r="151" customFormat="false" ht="13.8" hidden="false" customHeight="false" outlineLevel="0" collapsed="false">
      <c r="A151" s="135" t="str">
        <f aca="false">Scoring!AZ157</f>
        <v/>
      </c>
      <c r="B151" s="135" t="str">
        <f aca="false">Scoring!AY157</f>
        <v/>
      </c>
      <c r="C151" s="135" t="n">
        <f aca="false">Scoring!C157</f>
        <v>0</v>
      </c>
      <c r="D151" s="136" t="str">
        <f aca="false">Scoring!AV157</f>
        <v/>
      </c>
      <c r="E151" s="135" t="str">
        <f aca="false">Scoring!AB157</f>
        <v/>
      </c>
      <c r="F151" s="135" t="n">
        <f aca="false">Scoring!B157</f>
        <v>0</v>
      </c>
      <c r="G151" s="135" t="n">
        <f aca="false">Scoring!D157</f>
        <v>0</v>
      </c>
      <c r="H151" s="135" t="str">
        <f aca="false">Scoring!AX157</f>
        <v/>
      </c>
      <c r="I151" s="137" t="str">
        <f aca="false">Scoring!AW157</f>
        <v/>
      </c>
    </row>
    <row r="152" customFormat="false" ht="13.8" hidden="false" customHeight="false" outlineLevel="0" collapsed="false">
      <c r="A152" s="135" t="str">
        <f aca="false">Scoring!AZ158</f>
        <v/>
      </c>
      <c r="B152" s="135" t="str">
        <f aca="false">Scoring!AY158</f>
        <v/>
      </c>
      <c r="C152" s="135" t="n">
        <f aca="false">Scoring!C158</f>
        <v>0</v>
      </c>
      <c r="D152" s="136" t="str">
        <f aca="false">Scoring!AV158</f>
        <v/>
      </c>
      <c r="E152" s="135" t="str">
        <f aca="false">Scoring!AB158</f>
        <v/>
      </c>
      <c r="F152" s="135" t="n">
        <f aca="false">Scoring!B158</f>
        <v>0</v>
      </c>
      <c r="G152" s="135" t="n">
        <f aca="false">Scoring!D158</f>
        <v>0</v>
      </c>
      <c r="H152" s="135" t="str">
        <f aca="false">Scoring!AX158</f>
        <v/>
      </c>
      <c r="I152" s="137" t="str">
        <f aca="false">Scoring!AW158</f>
        <v/>
      </c>
    </row>
    <row r="153" customFormat="false" ht="13.8" hidden="false" customHeight="false" outlineLevel="0" collapsed="false">
      <c r="A153" s="135" t="str">
        <f aca="false">Scoring!AZ159</f>
        <v/>
      </c>
      <c r="B153" s="135" t="str">
        <f aca="false">Scoring!AY159</f>
        <v/>
      </c>
      <c r="C153" s="135" t="n">
        <f aca="false">Scoring!C159</f>
        <v>0</v>
      </c>
      <c r="D153" s="136" t="str">
        <f aca="false">Scoring!AV159</f>
        <v/>
      </c>
      <c r="E153" s="135" t="str">
        <f aca="false">Scoring!AB159</f>
        <v/>
      </c>
      <c r="F153" s="135" t="n">
        <f aca="false">Scoring!B159</f>
        <v>0</v>
      </c>
      <c r="G153" s="135" t="n">
        <f aca="false">Scoring!D159</f>
        <v>0</v>
      </c>
      <c r="H153" s="135" t="str">
        <f aca="false">Scoring!AX159</f>
        <v/>
      </c>
      <c r="I153" s="137" t="str">
        <f aca="false">Scoring!AW159</f>
        <v/>
      </c>
    </row>
    <row r="154" customFormat="false" ht="13.8" hidden="false" customHeight="false" outlineLevel="0" collapsed="false">
      <c r="A154" s="135" t="str">
        <f aca="false">Scoring!AZ160</f>
        <v/>
      </c>
      <c r="B154" s="135" t="str">
        <f aca="false">Scoring!AY160</f>
        <v/>
      </c>
      <c r="C154" s="135" t="n">
        <f aca="false">Scoring!C160</f>
        <v>0</v>
      </c>
      <c r="D154" s="136" t="str">
        <f aca="false">Scoring!AV160</f>
        <v/>
      </c>
      <c r="E154" s="135" t="str">
        <f aca="false">Scoring!AB160</f>
        <v/>
      </c>
      <c r="F154" s="135" t="n">
        <f aca="false">Scoring!B160</f>
        <v>0</v>
      </c>
      <c r="G154" s="135" t="n">
        <f aca="false">Scoring!D160</f>
        <v>0</v>
      </c>
      <c r="H154" s="135" t="str">
        <f aca="false">Scoring!AX160</f>
        <v/>
      </c>
      <c r="I154" s="137" t="str">
        <f aca="false">Scoring!AW160</f>
        <v/>
      </c>
    </row>
    <row r="155" customFormat="false" ht="13.8" hidden="false" customHeight="false" outlineLevel="0" collapsed="false">
      <c r="A155" s="135" t="str">
        <f aca="false">Scoring!AZ161</f>
        <v/>
      </c>
      <c r="B155" s="135" t="str">
        <f aca="false">Scoring!AY161</f>
        <v/>
      </c>
      <c r="C155" s="135" t="n">
        <f aca="false">Scoring!C161</f>
        <v>0</v>
      </c>
      <c r="D155" s="136" t="str">
        <f aca="false">Scoring!AV161</f>
        <v/>
      </c>
      <c r="E155" s="135" t="str">
        <f aca="false">Scoring!AB161</f>
        <v/>
      </c>
      <c r="F155" s="135" t="n">
        <f aca="false">Scoring!B161</f>
        <v>0</v>
      </c>
      <c r="G155" s="135" t="n">
        <f aca="false">Scoring!D161</f>
        <v>0</v>
      </c>
      <c r="H155" s="135" t="str">
        <f aca="false">Scoring!AX161</f>
        <v/>
      </c>
      <c r="I155" s="137" t="str">
        <f aca="false">Scoring!AW161</f>
        <v/>
      </c>
    </row>
    <row r="156" customFormat="false" ht="13.8" hidden="false" customHeight="false" outlineLevel="0" collapsed="false">
      <c r="A156" s="135" t="str">
        <f aca="false">Scoring!AZ162</f>
        <v/>
      </c>
      <c r="B156" s="135" t="str">
        <f aca="false">Scoring!AY162</f>
        <v/>
      </c>
      <c r="C156" s="135" t="n">
        <f aca="false">Scoring!C162</f>
        <v>0</v>
      </c>
      <c r="D156" s="136" t="str">
        <f aca="false">Scoring!AV162</f>
        <v/>
      </c>
      <c r="E156" s="135" t="str">
        <f aca="false">Scoring!AB162</f>
        <v/>
      </c>
      <c r="F156" s="135" t="n">
        <f aca="false">Scoring!B162</f>
        <v>0</v>
      </c>
      <c r="G156" s="135" t="n">
        <f aca="false">Scoring!D162</f>
        <v>0</v>
      </c>
      <c r="H156" s="135" t="str">
        <f aca="false">Scoring!AX162</f>
        <v/>
      </c>
      <c r="I156" s="137" t="str">
        <f aca="false">Scoring!AW162</f>
        <v/>
      </c>
    </row>
    <row r="157" customFormat="false" ht="13.8" hidden="false" customHeight="false" outlineLevel="0" collapsed="false">
      <c r="A157" s="135" t="str">
        <f aca="false">Scoring!AZ163</f>
        <v/>
      </c>
      <c r="B157" s="135" t="str">
        <f aca="false">Scoring!AY163</f>
        <v/>
      </c>
      <c r="C157" s="135" t="n">
        <f aca="false">Scoring!C163</f>
        <v>0</v>
      </c>
      <c r="D157" s="136" t="str">
        <f aca="false">Scoring!AV163</f>
        <v/>
      </c>
      <c r="E157" s="135" t="str">
        <f aca="false">Scoring!AB163</f>
        <v/>
      </c>
      <c r="F157" s="135" t="n">
        <f aca="false">Scoring!B163</f>
        <v>0</v>
      </c>
      <c r="G157" s="135" t="n">
        <f aca="false">Scoring!D163</f>
        <v>0</v>
      </c>
      <c r="H157" s="135" t="str">
        <f aca="false">Scoring!AX163</f>
        <v/>
      </c>
      <c r="I157" s="137" t="str">
        <f aca="false">Scoring!AW163</f>
        <v/>
      </c>
    </row>
    <row r="158" customFormat="false" ht="13.8" hidden="false" customHeight="false" outlineLevel="0" collapsed="false">
      <c r="A158" s="135" t="str">
        <f aca="false">Scoring!AZ164</f>
        <v/>
      </c>
      <c r="B158" s="135" t="str">
        <f aca="false">Scoring!AY164</f>
        <v/>
      </c>
      <c r="C158" s="135" t="n">
        <f aca="false">Scoring!C164</f>
        <v>0</v>
      </c>
      <c r="D158" s="136" t="str">
        <f aca="false">Scoring!AV164</f>
        <v/>
      </c>
      <c r="E158" s="135" t="str">
        <f aca="false">Scoring!AB164</f>
        <v/>
      </c>
      <c r="F158" s="135" t="n">
        <f aca="false">Scoring!B164</f>
        <v>0</v>
      </c>
      <c r="G158" s="135" t="n">
        <f aca="false">Scoring!D164</f>
        <v>0</v>
      </c>
      <c r="H158" s="135" t="str">
        <f aca="false">Scoring!AX164</f>
        <v/>
      </c>
      <c r="I158" s="137" t="str">
        <f aca="false">Scoring!AW164</f>
        <v/>
      </c>
    </row>
    <row r="159" customFormat="false" ht="13.8" hidden="false" customHeight="false" outlineLevel="0" collapsed="false">
      <c r="A159" s="135" t="str">
        <f aca="false">Scoring!AZ165</f>
        <v/>
      </c>
      <c r="B159" s="135" t="str">
        <f aca="false">Scoring!AY165</f>
        <v/>
      </c>
      <c r="C159" s="135" t="n">
        <f aca="false">Scoring!C165</f>
        <v>0</v>
      </c>
      <c r="D159" s="136" t="str">
        <f aca="false">Scoring!AV165</f>
        <v/>
      </c>
      <c r="E159" s="135" t="str">
        <f aca="false">Scoring!AB165</f>
        <v/>
      </c>
      <c r="F159" s="135" t="n">
        <f aca="false">Scoring!B165</f>
        <v>0</v>
      </c>
      <c r="G159" s="135" t="n">
        <f aca="false">Scoring!D165</f>
        <v>0</v>
      </c>
      <c r="H159" s="135" t="str">
        <f aca="false">Scoring!AX165</f>
        <v/>
      </c>
      <c r="I159" s="137" t="str">
        <f aca="false">Scoring!AW165</f>
        <v/>
      </c>
    </row>
    <row r="160" customFormat="false" ht="13.8" hidden="false" customHeight="false" outlineLevel="0" collapsed="false">
      <c r="A160" s="135" t="str">
        <f aca="false">Scoring!AZ166</f>
        <v/>
      </c>
      <c r="B160" s="135" t="str">
        <f aca="false">Scoring!AY166</f>
        <v/>
      </c>
      <c r="C160" s="135" t="n">
        <f aca="false">Scoring!C166</f>
        <v>0</v>
      </c>
      <c r="D160" s="136" t="str">
        <f aca="false">Scoring!AV166</f>
        <v/>
      </c>
      <c r="E160" s="135" t="str">
        <f aca="false">Scoring!AB166</f>
        <v/>
      </c>
      <c r="F160" s="135" t="n">
        <f aca="false">Scoring!B166</f>
        <v>0</v>
      </c>
      <c r="G160" s="135" t="n">
        <f aca="false">Scoring!D166</f>
        <v>0</v>
      </c>
      <c r="H160" s="135" t="str">
        <f aca="false">Scoring!AX166</f>
        <v/>
      </c>
      <c r="I160" s="137" t="str">
        <f aca="false">Scoring!AW166</f>
        <v/>
      </c>
    </row>
    <row r="161" customFormat="false" ht="13.8" hidden="false" customHeight="false" outlineLevel="0" collapsed="false">
      <c r="A161" s="135" t="str">
        <f aca="false">Scoring!AZ167</f>
        <v/>
      </c>
      <c r="B161" s="135" t="str">
        <f aca="false">Scoring!AY167</f>
        <v/>
      </c>
      <c r="C161" s="135" t="n">
        <f aca="false">Scoring!C167</f>
        <v>0</v>
      </c>
      <c r="D161" s="136" t="str">
        <f aca="false">Scoring!AV167</f>
        <v/>
      </c>
      <c r="E161" s="135" t="str">
        <f aca="false">Scoring!AB167</f>
        <v/>
      </c>
      <c r="F161" s="135" t="n">
        <f aca="false">Scoring!B167</f>
        <v>0</v>
      </c>
      <c r="G161" s="135" t="n">
        <f aca="false">Scoring!D167</f>
        <v>0</v>
      </c>
      <c r="H161" s="135" t="str">
        <f aca="false">Scoring!AX167</f>
        <v/>
      </c>
      <c r="I161" s="137" t="str">
        <f aca="false">Scoring!AW167</f>
        <v/>
      </c>
    </row>
    <row r="162" customFormat="false" ht="13.8" hidden="false" customHeight="false" outlineLevel="0" collapsed="false">
      <c r="A162" s="135" t="str">
        <f aca="false">Scoring!AZ168</f>
        <v/>
      </c>
      <c r="B162" s="135" t="str">
        <f aca="false">Scoring!AY168</f>
        <v/>
      </c>
      <c r="C162" s="135" t="n">
        <f aca="false">Scoring!C168</f>
        <v>0</v>
      </c>
      <c r="D162" s="136" t="str">
        <f aca="false">Scoring!AV168</f>
        <v/>
      </c>
      <c r="E162" s="135" t="str">
        <f aca="false">Scoring!AB168</f>
        <v/>
      </c>
      <c r="F162" s="135" t="n">
        <f aca="false">Scoring!B168</f>
        <v>0</v>
      </c>
      <c r="G162" s="135" t="n">
        <f aca="false">Scoring!D168</f>
        <v>0</v>
      </c>
      <c r="H162" s="135" t="str">
        <f aca="false">Scoring!AX168</f>
        <v/>
      </c>
      <c r="I162" s="137" t="str">
        <f aca="false">Scoring!AW168</f>
        <v/>
      </c>
    </row>
    <row r="163" customFormat="false" ht="13.8" hidden="false" customHeight="false" outlineLevel="0" collapsed="false">
      <c r="A163" s="135" t="str">
        <f aca="false">Scoring!AZ169</f>
        <v/>
      </c>
      <c r="B163" s="135" t="str">
        <f aca="false">Scoring!AY169</f>
        <v/>
      </c>
      <c r="C163" s="135" t="n">
        <f aca="false">Scoring!C169</f>
        <v>0</v>
      </c>
      <c r="D163" s="136" t="str">
        <f aca="false">Scoring!AV169</f>
        <v/>
      </c>
      <c r="E163" s="135" t="str">
        <f aca="false">Scoring!AB169</f>
        <v/>
      </c>
      <c r="F163" s="135" t="n">
        <f aca="false">Scoring!B169</f>
        <v>0</v>
      </c>
      <c r="G163" s="135" t="n">
        <f aca="false">Scoring!D169</f>
        <v>0</v>
      </c>
      <c r="H163" s="135" t="str">
        <f aca="false">Scoring!AX169</f>
        <v/>
      </c>
      <c r="I163" s="137" t="str">
        <f aca="false">Scoring!AW169</f>
        <v/>
      </c>
    </row>
    <row r="164" customFormat="false" ht="13.8" hidden="false" customHeight="false" outlineLevel="0" collapsed="false">
      <c r="A164" s="135" t="str">
        <f aca="false">Scoring!AZ170</f>
        <v/>
      </c>
      <c r="B164" s="135" t="str">
        <f aca="false">Scoring!AY170</f>
        <v/>
      </c>
      <c r="C164" s="135" t="n">
        <f aca="false">Scoring!C170</f>
        <v>0</v>
      </c>
      <c r="D164" s="136" t="str">
        <f aca="false">Scoring!AV170</f>
        <v/>
      </c>
      <c r="E164" s="135" t="str">
        <f aca="false">Scoring!AB170</f>
        <v/>
      </c>
      <c r="F164" s="135" t="n">
        <f aca="false">Scoring!B170</f>
        <v>0</v>
      </c>
      <c r="G164" s="135" t="n">
        <f aca="false">Scoring!D170</f>
        <v>0</v>
      </c>
      <c r="H164" s="135" t="str">
        <f aca="false">Scoring!AX170</f>
        <v/>
      </c>
      <c r="I164" s="137" t="str">
        <f aca="false">Scoring!AW170</f>
        <v/>
      </c>
    </row>
    <row r="165" customFormat="false" ht="13.8" hidden="false" customHeight="false" outlineLevel="0" collapsed="false">
      <c r="A165" s="135" t="str">
        <f aca="false">Scoring!AZ171</f>
        <v/>
      </c>
      <c r="B165" s="135" t="str">
        <f aca="false">Scoring!AY171</f>
        <v/>
      </c>
      <c r="C165" s="135" t="n">
        <f aca="false">Scoring!C171</f>
        <v>0</v>
      </c>
      <c r="D165" s="136" t="str">
        <f aca="false">Scoring!AV171</f>
        <v/>
      </c>
      <c r="E165" s="135" t="str">
        <f aca="false">Scoring!AB171</f>
        <v/>
      </c>
      <c r="F165" s="135" t="n">
        <f aca="false">Scoring!B171</f>
        <v>0</v>
      </c>
      <c r="G165" s="135" t="n">
        <f aca="false">Scoring!D171</f>
        <v>0</v>
      </c>
      <c r="H165" s="135" t="str">
        <f aca="false">Scoring!AX171</f>
        <v/>
      </c>
      <c r="I165" s="137" t="str">
        <f aca="false">Scoring!AW171</f>
        <v/>
      </c>
    </row>
    <row r="166" customFormat="false" ht="13.8" hidden="false" customHeight="false" outlineLevel="0" collapsed="false">
      <c r="A166" s="135" t="str">
        <f aca="false">Scoring!AZ172</f>
        <v/>
      </c>
      <c r="B166" s="135" t="str">
        <f aca="false">Scoring!AY172</f>
        <v/>
      </c>
      <c r="C166" s="135" t="n">
        <f aca="false">Scoring!C172</f>
        <v>0</v>
      </c>
      <c r="D166" s="136" t="str">
        <f aca="false">Scoring!AV172</f>
        <v/>
      </c>
      <c r="E166" s="135" t="str">
        <f aca="false">Scoring!AB172</f>
        <v/>
      </c>
      <c r="F166" s="135" t="n">
        <f aca="false">Scoring!B172</f>
        <v>0</v>
      </c>
      <c r="G166" s="135" t="n">
        <f aca="false">Scoring!D172</f>
        <v>0</v>
      </c>
      <c r="H166" s="135" t="str">
        <f aca="false">Scoring!AX172</f>
        <v/>
      </c>
      <c r="I166" s="137" t="str">
        <f aca="false">Scoring!AW172</f>
        <v/>
      </c>
    </row>
    <row r="167" customFormat="false" ht="13.8" hidden="false" customHeight="false" outlineLevel="0" collapsed="false">
      <c r="A167" s="135" t="str">
        <f aca="false">Scoring!AZ173</f>
        <v/>
      </c>
      <c r="B167" s="135" t="str">
        <f aca="false">Scoring!AY173</f>
        <v/>
      </c>
      <c r="C167" s="135" t="n">
        <f aca="false">Scoring!C173</f>
        <v>0</v>
      </c>
      <c r="D167" s="136" t="str">
        <f aca="false">Scoring!AV173</f>
        <v/>
      </c>
      <c r="E167" s="135" t="str">
        <f aca="false">Scoring!AB173</f>
        <v/>
      </c>
      <c r="F167" s="135" t="n">
        <f aca="false">Scoring!B173</f>
        <v>0</v>
      </c>
      <c r="G167" s="135" t="n">
        <f aca="false">Scoring!D173</f>
        <v>0</v>
      </c>
      <c r="H167" s="135" t="str">
        <f aca="false">Scoring!AX173</f>
        <v/>
      </c>
      <c r="I167" s="137" t="str">
        <f aca="false">Scoring!AW173</f>
        <v/>
      </c>
    </row>
    <row r="168" customFormat="false" ht="13.8" hidden="false" customHeight="false" outlineLevel="0" collapsed="false">
      <c r="A168" s="135" t="str">
        <f aca="false">Scoring!AZ174</f>
        <v/>
      </c>
      <c r="B168" s="135" t="str">
        <f aca="false">Scoring!AY174</f>
        <v/>
      </c>
      <c r="C168" s="135" t="n">
        <f aca="false">Scoring!C174</f>
        <v>0</v>
      </c>
      <c r="D168" s="136" t="str">
        <f aca="false">Scoring!AV174</f>
        <v/>
      </c>
      <c r="E168" s="135" t="str">
        <f aca="false">Scoring!AB174</f>
        <v/>
      </c>
      <c r="F168" s="135" t="n">
        <f aca="false">Scoring!B174</f>
        <v>0</v>
      </c>
      <c r="G168" s="135" t="n">
        <f aca="false">Scoring!D174</f>
        <v>0</v>
      </c>
      <c r="H168" s="135" t="str">
        <f aca="false">Scoring!AX174</f>
        <v/>
      </c>
      <c r="I168" s="137" t="str">
        <f aca="false">Scoring!AW174</f>
        <v/>
      </c>
    </row>
    <row r="169" customFormat="false" ht="13.8" hidden="false" customHeight="false" outlineLevel="0" collapsed="false">
      <c r="A169" s="135" t="str">
        <f aca="false">Scoring!AZ175</f>
        <v/>
      </c>
      <c r="B169" s="135" t="str">
        <f aca="false">Scoring!AY175</f>
        <v/>
      </c>
      <c r="C169" s="135" t="n">
        <f aca="false">Scoring!C175</f>
        <v>0</v>
      </c>
      <c r="D169" s="136" t="str">
        <f aca="false">Scoring!AV175</f>
        <v/>
      </c>
      <c r="E169" s="135" t="str">
        <f aca="false">Scoring!AB175</f>
        <v/>
      </c>
      <c r="F169" s="135" t="n">
        <f aca="false">Scoring!B175</f>
        <v>0</v>
      </c>
      <c r="G169" s="135" t="n">
        <f aca="false">Scoring!D175</f>
        <v>0</v>
      </c>
      <c r="H169" s="135" t="str">
        <f aca="false">Scoring!AX175</f>
        <v/>
      </c>
      <c r="I169" s="137" t="str">
        <f aca="false">Scoring!AW175</f>
        <v/>
      </c>
    </row>
    <row r="170" customFormat="false" ht="13.8" hidden="false" customHeight="false" outlineLevel="0" collapsed="false">
      <c r="A170" s="135" t="str">
        <f aca="false">Scoring!AZ176</f>
        <v/>
      </c>
      <c r="B170" s="135" t="str">
        <f aca="false">Scoring!AY176</f>
        <v/>
      </c>
      <c r="C170" s="135" t="n">
        <f aca="false">Scoring!C176</f>
        <v>0</v>
      </c>
      <c r="D170" s="136" t="str">
        <f aca="false">Scoring!AV176</f>
        <v/>
      </c>
      <c r="E170" s="135" t="str">
        <f aca="false">Scoring!AB176</f>
        <v/>
      </c>
      <c r="F170" s="135" t="n">
        <f aca="false">Scoring!B176</f>
        <v>0</v>
      </c>
      <c r="G170" s="135" t="n">
        <f aca="false">Scoring!D176</f>
        <v>0</v>
      </c>
      <c r="H170" s="135" t="str">
        <f aca="false">Scoring!AX176</f>
        <v/>
      </c>
      <c r="I170" s="137" t="str">
        <f aca="false">Scoring!AW176</f>
        <v/>
      </c>
    </row>
    <row r="171" customFormat="false" ht="13.8" hidden="false" customHeight="false" outlineLevel="0" collapsed="false">
      <c r="A171" s="135" t="str">
        <f aca="false">Scoring!AZ177</f>
        <v/>
      </c>
      <c r="B171" s="135" t="str">
        <f aca="false">Scoring!AY177</f>
        <v/>
      </c>
      <c r="C171" s="135" t="n">
        <f aca="false">Scoring!C177</f>
        <v>0</v>
      </c>
      <c r="D171" s="136" t="str">
        <f aca="false">Scoring!AV177</f>
        <v/>
      </c>
      <c r="E171" s="135" t="str">
        <f aca="false">Scoring!AB177</f>
        <v/>
      </c>
      <c r="F171" s="135" t="n">
        <f aca="false">Scoring!B177</f>
        <v>0</v>
      </c>
      <c r="G171" s="135" t="n">
        <f aca="false">Scoring!D177</f>
        <v>0</v>
      </c>
      <c r="H171" s="135" t="str">
        <f aca="false">Scoring!AX177</f>
        <v/>
      </c>
      <c r="I171" s="137" t="str">
        <f aca="false">Scoring!AW177</f>
        <v/>
      </c>
    </row>
    <row r="172" customFormat="false" ht="13.8" hidden="false" customHeight="false" outlineLevel="0" collapsed="false">
      <c r="A172" s="135" t="str">
        <f aca="false">Scoring!AZ178</f>
        <v/>
      </c>
      <c r="B172" s="135" t="str">
        <f aca="false">Scoring!AY178</f>
        <v/>
      </c>
      <c r="C172" s="135" t="n">
        <f aca="false">Scoring!C178</f>
        <v>0</v>
      </c>
      <c r="D172" s="136" t="str">
        <f aca="false">Scoring!AV178</f>
        <v/>
      </c>
      <c r="E172" s="135" t="str">
        <f aca="false">Scoring!AB178</f>
        <v/>
      </c>
      <c r="F172" s="135" t="n">
        <f aca="false">Scoring!B178</f>
        <v>0</v>
      </c>
      <c r="G172" s="135" t="n">
        <f aca="false">Scoring!D178</f>
        <v>0</v>
      </c>
      <c r="H172" s="135" t="str">
        <f aca="false">Scoring!AX178</f>
        <v/>
      </c>
      <c r="I172" s="137" t="str">
        <f aca="false">Scoring!AW178</f>
        <v/>
      </c>
    </row>
    <row r="173" customFormat="false" ht="13.8" hidden="false" customHeight="false" outlineLevel="0" collapsed="false">
      <c r="A173" s="135" t="str">
        <f aca="false">Scoring!AZ179</f>
        <v/>
      </c>
      <c r="B173" s="135" t="str">
        <f aca="false">Scoring!AY179</f>
        <v/>
      </c>
      <c r="C173" s="135" t="n">
        <f aca="false">Scoring!C179</f>
        <v>0</v>
      </c>
      <c r="D173" s="136" t="str">
        <f aca="false">Scoring!AV179</f>
        <v/>
      </c>
      <c r="E173" s="135" t="str">
        <f aca="false">Scoring!AB179</f>
        <v/>
      </c>
      <c r="F173" s="135" t="n">
        <f aca="false">Scoring!B179</f>
        <v>0</v>
      </c>
      <c r="G173" s="135" t="n">
        <f aca="false">Scoring!D179</f>
        <v>0</v>
      </c>
      <c r="H173" s="135" t="str">
        <f aca="false">Scoring!AX179</f>
        <v/>
      </c>
      <c r="I173" s="137" t="str">
        <f aca="false">Scoring!AW179</f>
        <v/>
      </c>
    </row>
    <row r="174" customFormat="false" ht="13.8" hidden="false" customHeight="false" outlineLevel="0" collapsed="false">
      <c r="A174" s="135" t="str">
        <f aca="false">Scoring!AZ180</f>
        <v/>
      </c>
      <c r="B174" s="135" t="str">
        <f aca="false">Scoring!AY180</f>
        <v/>
      </c>
      <c r="C174" s="135" t="n">
        <f aca="false">Scoring!C180</f>
        <v>0</v>
      </c>
      <c r="D174" s="136" t="str">
        <f aca="false">Scoring!AV180</f>
        <v/>
      </c>
      <c r="E174" s="135" t="str">
        <f aca="false">Scoring!AB180</f>
        <v/>
      </c>
      <c r="F174" s="135" t="n">
        <f aca="false">Scoring!B180</f>
        <v>0</v>
      </c>
      <c r="G174" s="135" t="n">
        <f aca="false">Scoring!D180</f>
        <v>0</v>
      </c>
      <c r="H174" s="135" t="str">
        <f aca="false">Scoring!AX180</f>
        <v/>
      </c>
      <c r="I174" s="137" t="str">
        <f aca="false">Scoring!AW180</f>
        <v/>
      </c>
    </row>
    <row r="175" customFormat="false" ht="13.8" hidden="false" customHeight="false" outlineLevel="0" collapsed="false">
      <c r="A175" s="135" t="str">
        <f aca="false">Scoring!AZ181</f>
        <v/>
      </c>
      <c r="B175" s="135" t="str">
        <f aca="false">Scoring!AY181</f>
        <v/>
      </c>
      <c r="C175" s="135" t="n">
        <f aca="false">Scoring!C181</f>
        <v>0</v>
      </c>
      <c r="D175" s="136" t="str">
        <f aca="false">Scoring!AV181</f>
        <v/>
      </c>
      <c r="E175" s="135" t="str">
        <f aca="false">Scoring!AB181</f>
        <v/>
      </c>
      <c r="F175" s="135" t="n">
        <f aca="false">Scoring!B181</f>
        <v>0</v>
      </c>
      <c r="G175" s="135" t="n">
        <f aca="false">Scoring!D181</f>
        <v>0</v>
      </c>
      <c r="H175" s="135" t="str">
        <f aca="false">Scoring!AX181</f>
        <v/>
      </c>
      <c r="I175" s="137" t="str">
        <f aca="false">Scoring!AW181</f>
        <v/>
      </c>
    </row>
    <row r="176" customFormat="false" ht="13.8" hidden="false" customHeight="false" outlineLevel="0" collapsed="false">
      <c r="A176" s="135" t="str">
        <f aca="false">Scoring!AZ182</f>
        <v/>
      </c>
      <c r="B176" s="135" t="str">
        <f aca="false">Scoring!AY182</f>
        <v/>
      </c>
      <c r="C176" s="135" t="n">
        <f aca="false">Scoring!C182</f>
        <v>0</v>
      </c>
      <c r="D176" s="136" t="str">
        <f aca="false">Scoring!AV182</f>
        <v/>
      </c>
      <c r="E176" s="135" t="str">
        <f aca="false">Scoring!AB182</f>
        <v/>
      </c>
      <c r="F176" s="135" t="n">
        <f aca="false">Scoring!B182</f>
        <v>0</v>
      </c>
      <c r="G176" s="135" t="n">
        <f aca="false">Scoring!D182</f>
        <v>0</v>
      </c>
      <c r="H176" s="135" t="str">
        <f aca="false">Scoring!AX182</f>
        <v/>
      </c>
      <c r="I176" s="137" t="str">
        <f aca="false">Scoring!AW182</f>
        <v/>
      </c>
    </row>
    <row r="177" customFormat="false" ht="13.8" hidden="false" customHeight="false" outlineLevel="0" collapsed="false">
      <c r="A177" s="135" t="str">
        <f aca="false">Scoring!AZ183</f>
        <v/>
      </c>
      <c r="B177" s="135" t="str">
        <f aca="false">Scoring!AY183</f>
        <v/>
      </c>
      <c r="C177" s="135" t="n">
        <f aca="false">Scoring!C183</f>
        <v>0</v>
      </c>
      <c r="D177" s="136" t="str">
        <f aca="false">Scoring!AV183</f>
        <v/>
      </c>
      <c r="E177" s="135" t="str">
        <f aca="false">Scoring!AB183</f>
        <v/>
      </c>
      <c r="F177" s="135" t="n">
        <f aca="false">Scoring!B183</f>
        <v>0</v>
      </c>
      <c r="G177" s="135" t="n">
        <f aca="false">Scoring!D183</f>
        <v>0</v>
      </c>
      <c r="H177" s="135" t="str">
        <f aca="false">Scoring!AX183</f>
        <v/>
      </c>
      <c r="I177" s="137" t="str">
        <f aca="false">Scoring!AW183</f>
        <v/>
      </c>
    </row>
    <row r="178" customFormat="false" ht="13.8" hidden="false" customHeight="false" outlineLevel="0" collapsed="false">
      <c r="A178" s="135" t="str">
        <f aca="false">Scoring!AZ184</f>
        <v/>
      </c>
      <c r="B178" s="135" t="str">
        <f aca="false">Scoring!AY184</f>
        <v/>
      </c>
      <c r="C178" s="135" t="n">
        <f aca="false">Scoring!C184</f>
        <v>0</v>
      </c>
      <c r="D178" s="136" t="str">
        <f aca="false">Scoring!AV184</f>
        <v/>
      </c>
      <c r="E178" s="135" t="str">
        <f aca="false">Scoring!AB184</f>
        <v/>
      </c>
      <c r="F178" s="135" t="n">
        <f aca="false">Scoring!B184</f>
        <v>0</v>
      </c>
      <c r="G178" s="135" t="n">
        <f aca="false">Scoring!D184</f>
        <v>0</v>
      </c>
      <c r="H178" s="135" t="str">
        <f aca="false">Scoring!AX184</f>
        <v/>
      </c>
      <c r="I178" s="137" t="str">
        <f aca="false">Scoring!AW184</f>
        <v/>
      </c>
    </row>
    <row r="179" customFormat="false" ht="13.8" hidden="false" customHeight="false" outlineLevel="0" collapsed="false">
      <c r="A179" s="135" t="str">
        <f aca="false">Scoring!AZ185</f>
        <v/>
      </c>
      <c r="B179" s="135" t="str">
        <f aca="false">Scoring!AY185</f>
        <v/>
      </c>
      <c r="C179" s="135" t="n">
        <f aca="false">Scoring!C185</f>
        <v>0</v>
      </c>
      <c r="D179" s="136" t="str">
        <f aca="false">Scoring!AV185</f>
        <v/>
      </c>
      <c r="E179" s="135" t="str">
        <f aca="false">Scoring!AB185</f>
        <v/>
      </c>
      <c r="F179" s="135" t="n">
        <f aca="false">Scoring!B185</f>
        <v>0</v>
      </c>
      <c r="G179" s="135" t="n">
        <f aca="false">Scoring!D185</f>
        <v>0</v>
      </c>
      <c r="H179" s="135" t="str">
        <f aca="false">Scoring!AX185</f>
        <v/>
      </c>
      <c r="I179" s="137" t="str">
        <f aca="false">Scoring!AW185</f>
        <v/>
      </c>
    </row>
    <row r="180" customFormat="false" ht="13.8" hidden="false" customHeight="false" outlineLevel="0" collapsed="false">
      <c r="A180" s="135" t="str">
        <f aca="false">Scoring!AZ186</f>
        <v/>
      </c>
      <c r="B180" s="135" t="str">
        <f aca="false">Scoring!AY186</f>
        <v/>
      </c>
      <c r="C180" s="135" t="n">
        <f aca="false">Scoring!C186</f>
        <v>0</v>
      </c>
      <c r="D180" s="136" t="str">
        <f aca="false">Scoring!AV186</f>
        <v/>
      </c>
      <c r="E180" s="135" t="str">
        <f aca="false">Scoring!AB186</f>
        <v/>
      </c>
      <c r="F180" s="135" t="n">
        <f aca="false">Scoring!B186</f>
        <v>0</v>
      </c>
      <c r="G180" s="135" t="n">
        <f aca="false">Scoring!D186</f>
        <v>0</v>
      </c>
      <c r="H180" s="135" t="str">
        <f aca="false">Scoring!AX186</f>
        <v/>
      </c>
      <c r="I180" s="137" t="str">
        <f aca="false">Scoring!AW186</f>
        <v/>
      </c>
    </row>
    <row r="181" customFormat="false" ht="13.8" hidden="false" customHeight="false" outlineLevel="0" collapsed="false">
      <c r="A181" s="135" t="str">
        <f aca="false">Scoring!AZ187</f>
        <v/>
      </c>
      <c r="B181" s="135" t="str">
        <f aca="false">Scoring!AY187</f>
        <v/>
      </c>
      <c r="C181" s="135" t="n">
        <f aca="false">Scoring!C187</f>
        <v>0</v>
      </c>
      <c r="D181" s="136" t="str">
        <f aca="false">Scoring!AV187</f>
        <v/>
      </c>
      <c r="E181" s="135" t="str">
        <f aca="false">Scoring!AB187</f>
        <v/>
      </c>
      <c r="F181" s="135" t="n">
        <f aca="false">Scoring!B187</f>
        <v>0</v>
      </c>
      <c r="G181" s="135" t="n">
        <f aca="false">Scoring!D187</f>
        <v>0</v>
      </c>
      <c r="H181" s="135" t="str">
        <f aca="false">Scoring!AX187</f>
        <v/>
      </c>
      <c r="I181" s="137" t="str">
        <f aca="false">Scoring!AW187</f>
        <v/>
      </c>
    </row>
    <row r="182" customFormat="false" ht="13.8" hidden="false" customHeight="false" outlineLevel="0" collapsed="false">
      <c r="A182" s="135" t="str">
        <f aca="false">Scoring!AZ188</f>
        <v/>
      </c>
      <c r="B182" s="135" t="str">
        <f aca="false">Scoring!AY188</f>
        <v/>
      </c>
      <c r="C182" s="135" t="n">
        <f aca="false">Scoring!C188</f>
        <v>0</v>
      </c>
      <c r="D182" s="136" t="str">
        <f aca="false">Scoring!AV188</f>
        <v/>
      </c>
      <c r="E182" s="135" t="str">
        <f aca="false">Scoring!AB188</f>
        <v/>
      </c>
      <c r="F182" s="135" t="n">
        <f aca="false">Scoring!B188</f>
        <v>0</v>
      </c>
      <c r="G182" s="135" t="n">
        <f aca="false">Scoring!D188</f>
        <v>0</v>
      </c>
      <c r="H182" s="135" t="str">
        <f aca="false">Scoring!AX188</f>
        <v/>
      </c>
      <c r="I182" s="137" t="str">
        <f aca="false">Scoring!AW188</f>
        <v/>
      </c>
    </row>
    <row r="183" customFormat="false" ht="13.8" hidden="false" customHeight="false" outlineLevel="0" collapsed="false">
      <c r="A183" s="135" t="str">
        <f aca="false">Scoring!AZ189</f>
        <v/>
      </c>
      <c r="B183" s="135" t="str">
        <f aca="false">Scoring!AY189</f>
        <v/>
      </c>
      <c r="C183" s="135" t="n">
        <f aca="false">Scoring!C189</f>
        <v>0</v>
      </c>
      <c r="D183" s="136" t="str">
        <f aca="false">Scoring!AV189</f>
        <v/>
      </c>
      <c r="E183" s="135" t="str">
        <f aca="false">Scoring!AB189</f>
        <v/>
      </c>
      <c r="F183" s="135" t="n">
        <f aca="false">Scoring!B189</f>
        <v>0</v>
      </c>
      <c r="G183" s="135" t="n">
        <f aca="false">Scoring!D189</f>
        <v>0</v>
      </c>
      <c r="H183" s="135" t="str">
        <f aca="false">Scoring!AX189</f>
        <v/>
      </c>
      <c r="I183" s="137" t="str">
        <f aca="false">Scoring!AW189</f>
        <v/>
      </c>
    </row>
    <row r="184" customFormat="false" ht="13.8" hidden="false" customHeight="false" outlineLevel="0" collapsed="false">
      <c r="A184" s="135" t="str">
        <f aca="false">Scoring!AZ190</f>
        <v/>
      </c>
      <c r="B184" s="135" t="str">
        <f aca="false">Scoring!AY190</f>
        <v/>
      </c>
      <c r="C184" s="135" t="n">
        <f aca="false">Scoring!C190</f>
        <v>0</v>
      </c>
      <c r="D184" s="136" t="str">
        <f aca="false">Scoring!AV190</f>
        <v/>
      </c>
      <c r="E184" s="135" t="str">
        <f aca="false">Scoring!AB190</f>
        <v/>
      </c>
      <c r="F184" s="135" t="n">
        <f aca="false">Scoring!B190</f>
        <v>0</v>
      </c>
      <c r="G184" s="135" t="n">
        <f aca="false">Scoring!D190</f>
        <v>0</v>
      </c>
      <c r="H184" s="135" t="str">
        <f aca="false">Scoring!AX190</f>
        <v/>
      </c>
      <c r="I184" s="137" t="str">
        <f aca="false">Scoring!AW190</f>
        <v/>
      </c>
    </row>
    <row r="185" customFormat="false" ht="13.8" hidden="false" customHeight="false" outlineLevel="0" collapsed="false">
      <c r="A185" s="135" t="str">
        <f aca="false">Scoring!AZ191</f>
        <v/>
      </c>
      <c r="B185" s="135" t="str">
        <f aca="false">Scoring!AY191</f>
        <v/>
      </c>
      <c r="C185" s="135" t="n">
        <f aca="false">Scoring!C191</f>
        <v>0</v>
      </c>
      <c r="D185" s="136" t="str">
        <f aca="false">Scoring!AV191</f>
        <v/>
      </c>
      <c r="E185" s="135" t="str">
        <f aca="false">Scoring!AB191</f>
        <v/>
      </c>
      <c r="F185" s="135" t="n">
        <f aca="false">Scoring!B191</f>
        <v>0</v>
      </c>
      <c r="G185" s="135" t="n">
        <f aca="false">Scoring!D191</f>
        <v>0</v>
      </c>
      <c r="H185" s="135" t="str">
        <f aca="false">Scoring!AX191</f>
        <v/>
      </c>
      <c r="I185" s="137" t="str">
        <f aca="false">Scoring!AW191</f>
        <v/>
      </c>
    </row>
    <row r="186" customFormat="false" ht="13.8" hidden="false" customHeight="false" outlineLevel="0" collapsed="false">
      <c r="A186" s="135" t="str">
        <f aca="false">Scoring!AZ192</f>
        <v/>
      </c>
      <c r="B186" s="135" t="str">
        <f aca="false">Scoring!AY192</f>
        <v/>
      </c>
      <c r="C186" s="135" t="n">
        <f aca="false">Scoring!C192</f>
        <v>0</v>
      </c>
      <c r="D186" s="136" t="str">
        <f aca="false">Scoring!AV192</f>
        <v/>
      </c>
      <c r="E186" s="135" t="str">
        <f aca="false">Scoring!AB192</f>
        <v/>
      </c>
      <c r="F186" s="135" t="n">
        <f aca="false">Scoring!B192</f>
        <v>0</v>
      </c>
      <c r="G186" s="135" t="n">
        <f aca="false">Scoring!D192</f>
        <v>0</v>
      </c>
      <c r="H186" s="135" t="str">
        <f aca="false">Scoring!AX192</f>
        <v/>
      </c>
      <c r="I186" s="137" t="str">
        <f aca="false">Scoring!AW192</f>
        <v/>
      </c>
    </row>
    <row r="187" customFormat="false" ht="13.8" hidden="false" customHeight="false" outlineLevel="0" collapsed="false">
      <c r="A187" s="135" t="str">
        <f aca="false">Scoring!AZ193</f>
        <v/>
      </c>
      <c r="B187" s="135" t="str">
        <f aca="false">Scoring!AY193</f>
        <v/>
      </c>
      <c r="C187" s="135" t="n">
        <f aca="false">Scoring!C193</f>
        <v>0</v>
      </c>
      <c r="D187" s="136" t="str">
        <f aca="false">Scoring!AV193</f>
        <v/>
      </c>
      <c r="E187" s="135" t="str">
        <f aca="false">Scoring!AB193</f>
        <v/>
      </c>
      <c r="F187" s="135" t="n">
        <f aca="false">Scoring!B193</f>
        <v>0</v>
      </c>
      <c r="G187" s="135" t="n">
        <f aca="false">Scoring!D193</f>
        <v>0</v>
      </c>
      <c r="H187" s="135" t="str">
        <f aca="false">Scoring!AX193</f>
        <v/>
      </c>
      <c r="I187" s="137" t="str">
        <f aca="false">Scoring!AW193</f>
        <v/>
      </c>
    </row>
    <row r="188" customFormat="false" ht="13.8" hidden="false" customHeight="false" outlineLevel="0" collapsed="false">
      <c r="A188" s="135" t="str">
        <f aca="false">Scoring!AZ194</f>
        <v/>
      </c>
      <c r="B188" s="135" t="str">
        <f aca="false">Scoring!AY194</f>
        <v/>
      </c>
      <c r="C188" s="135" t="n">
        <f aca="false">Scoring!C194</f>
        <v>0</v>
      </c>
      <c r="D188" s="136" t="str">
        <f aca="false">Scoring!AV194</f>
        <v/>
      </c>
      <c r="E188" s="135" t="str">
        <f aca="false">Scoring!AB194</f>
        <v/>
      </c>
      <c r="F188" s="135" t="n">
        <f aca="false">Scoring!B194</f>
        <v>0</v>
      </c>
      <c r="G188" s="135" t="n">
        <f aca="false">Scoring!D194</f>
        <v>0</v>
      </c>
      <c r="H188" s="135" t="str">
        <f aca="false">Scoring!AX194</f>
        <v/>
      </c>
      <c r="I188" s="137" t="str">
        <f aca="false">Scoring!AW194</f>
        <v/>
      </c>
    </row>
    <row r="189" customFormat="false" ht="13.8" hidden="false" customHeight="false" outlineLevel="0" collapsed="false">
      <c r="A189" s="135" t="str">
        <f aca="false">Scoring!AZ195</f>
        <v/>
      </c>
      <c r="B189" s="135" t="str">
        <f aca="false">Scoring!AY195</f>
        <v/>
      </c>
      <c r="C189" s="135" t="n">
        <f aca="false">Scoring!C195</f>
        <v>0</v>
      </c>
      <c r="D189" s="136" t="str">
        <f aca="false">Scoring!AV195</f>
        <v/>
      </c>
      <c r="E189" s="135" t="str">
        <f aca="false">Scoring!AB195</f>
        <v/>
      </c>
      <c r="F189" s="135" t="n">
        <f aca="false">Scoring!B195</f>
        <v>0</v>
      </c>
      <c r="G189" s="135" t="n">
        <f aca="false">Scoring!D195</f>
        <v>0</v>
      </c>
      <c r="H189" s="135" t="str">
        <f aca="false">Scoring!AX195</f>
        <v/>
      </c>
      <c r="I189" s="137" t="str">
        <f aca="false">Scoring!AW195</f>
        <v/>
      </c>
    </row>
    <row r="190" customFormat="false" ht="13.8" hidden="false" customHeight="false" outlineLevel="0" collapsed="false">
      <c r="A190" s="135" t="str">
        <f aca="false">Scoring!AZ196</f>
        <v/>
      </c>
      <c r="B190" s="135" t="str">
        <f aca="false">Scoring!AY196</f>
        <v/>
      </c>
      <c r="C190" s="135" t="n">
        <f aca="false">Scoring!C196</f>
        <v>0</v>
      </c>
      <c r="D190" s="136" t="str">
        <f aca="false">Scoring!AV196</f>
        <v/>
      </c>
      <c r="E190" s="135" t="str">
        <f aca="false">Scoring!AB196</f>
        <v/>
      </c>
      <c r="F190" s="135" t="n">
        <f aca="false">Scoring!B196</f>
        <v>0</v>
      </c>
      <c r="G190" s="135" t="n">
        <f aca="false">Scoring!D196</f>
        <v>0</v>
      </c>
      <c r="H190" s="135" t="str">
        <f aca="false">Scoring!AX196</f>
        <v/>
      </c>
      <c r="I190" s="137" t="str">
        <f aca="false">Scoring!AW196</f>
        <v/>
      </c>
    </row>
    <row r="191" customFormat="false" ht="13.8" hidden="false" customHeight="false" outlineLevel="0" collapsed="false">
      <c r="A191" s="135" t="str">
        <f aca="false">Scoring!AZ197</f>
        <v/>
      </c>
      <c r="B191" s="135" t="str">
        <f aca="false">Scoring!AY197</f>
        <v/>
      </c>
      <c r="C191" s="135" t="n">
        <f aca="false">Scoring!C197</f>
        <v>0</v>
      </c>
      <c r="D191" s="136" t="str">
        <f aca="false">Scoring!AV197</f>
        <v/>
      </c>
      <c r="E191" s="135" t="str">
        <f aca="false">Scoring!AB197</f>
        <v/>
      </c>
      <c r="F191" s="135" t="n">
        <f aca="false">Scoring!B197</f>
        <v>0</v>
      </c>
      <c r="G191" s="135" t="n">
        <f aca="false">Scoring!D197</f>
        <v>0</v>
      </c>
      <c r="H191" s="135" t="str">
        <f aca="false">Scoring!AX197</f>
        <v/>
      </c>
      <c r="I191" s="137" t="str">
        <f aca="false">Scoring!AW197</f>
        <v/>
      </c>
    </row>
    <row r="192" customFormat="false" ht="13.8" hidden="false" customHeight="false" outlineLevel="0" collapsed="false">
      <c r="A192" s="135" t="str">
        <f aca="false">Scoring!AZ198</f>
        <v/>
      </c>
      <c r="B192" s="135" t="str">
        <f aca="false">Scoring!AY198</f>
        <v/>
      </c>
      <c r="C192" s="135" t="n">
        <f aca="false">Scoring!C198</f>
        <v>0</v>
      </c>
      <c r="D192" s="136" t="str">
        <f aca="false">Scoring!AV198</f>
        <v/>
      </c>
      <c r="E192" s="135" t="str">
        <f aca="false">Scoring!AB198</f>
        <v/>
      </c>
      <c r="F192" s="135" t="n">
        <f aca="false">Scoring!B198</f>
        <v>0</v>
      </c>
      <c r="G192" s="135" t="n">
        <f aca="false">Scoring!D198</f>
        <v>0</v>
      </c>
      <c r="H192" s="135" t="str">
        <f aca="false">Scoring!AX198</f>
        <v/>
      </c>
      <c r="I192" s="137" t="str">
        <f aca="false">Scoring!AW198</f>
        <v/>
      </c>
    </row>
    <row r="193" customFormat="false" ht="13.8" hidden="false" customHeight="false" outlineLevel="0" collapsed="false">
      <c r="A193" s="135" t="str">
        <f aca="false">Scoring!AZ199</f>
        <v/>
      </c>
      <c r="B193" s="135" t="str">
        <f aca="false">Scoring!AY199</f>
        <v/>
      </c>
      <c r="C193" s="135" t="n">
        <f aca="false">Scoring!C199</f>
        <v>0</v>
      </c>
      <c r="D193" s="136" t="str">
        <f aca="false">Scoring!AV199</f>
        <v/>
      </c>
      <c r="E193" s="135" t="str">
        <f aca="false">Scoring!AB199</f>
        <v/>
      </c>
      <c r="F193" s="135" t="n">
        <f aca="false">Scoring!B199</f>
        <v>0</v>
      </c>
      <c r="G193" s="135" t="n">
        <f aca="false">Scoring!D199</f>
        <v>0</v>
      </c>
      <c r="H193" s="135" t="str">
        <f aca="false">Scoring!AX199</f>
        <v/>
      </c>
      <c r="I193" s="137" t="str">
        <f aca="false">Scoring!AW199</f>
        <v/>
      </c>
    </row>
    <row r="194" customFormat="false" ht="13.8" hidden="false" customHeight="false" outlineLevel="0" collapsed="false">
      <c r="A194" s="135" t="str">
        <f aca="false">Scoring!AZ200</f>
        <v/>
      </c>
      <c r="B194" s="135" t="str">
        <f aca="false">Scoring!AY200</f>
        <v/>
      </c>
      <c r="C194" s="135" t="n">
        <f aca="false">Scoring!C200</f>
        <v>0</v>
      </c>
      <c r="D194" s="136" t="str">
        <f aca="false">Scoring!AV200</f>
        <v/>
      </c>
      <c r="E194" s="135" t="str">
        <f aca="false">Scoring!AB200</f>
        <v/>
      </c>
      <c r="F194" s="135" t="n">
        <f aca="false">Scoring!B200</f>
        <v>0</v>
      </c>
      <c r="G194" s="135" t="n">
        <f aca="false">Scoring!D200</f>
        <v>0</v>
      </c>
      <c r="H194" s="135" t="str">
        <f aca="false">Scoring!AX200</f>
        <v/>
      </c>
      <c r="I194" s="137" t="str">
        <f aca="false">Scoring!AW200</f>
        <v/>
      </c>
    </row>
    <row r="195" customFormat="false" ht="13.8" hidden="false" customHeight="false" outlineLevel="0" collapsed="false">
      <c r="A195" s="135" t="str">
        <f aca="false">Scoring!AZ201</f>
        <v/>
      </c>
      <c r="B195" s="135" t="str">
        <f aca="false">Scoring!AY201</f>
        <v/>
      </c>
      <c r="C195" s="135" t="n">
        <f aca="false">Scoring!C201</f>
        <v>0</v>
      </c>
      <c r="D195" s="136" t="str">
        <f aca="false">Scoring!AV201</f>
        <v/>
      </c>
      <c r="E195" s="135" t="str">
        <f aca="false">Scoring!AB201</f>
        <v/>
      </c>
      <c r="F195" s="135" t="n">
        <f aca="false">Scoring!B201</f>
        <v>0</v>
      </c>
      <c r="G195" s="135" t="n">
        <f aca="false">Scoring!D201</f>
        <v>0</v>
      </c>
      <c r="H195" s="135" t="str">
        <f aca="false">Scoring!AX201</f>
        <v/>
      </c>
      <c r="I195" s="137" t="str">
        <f aca="false">Scoring!AW201</f>
        <v/>
      </c>
    </row>
    <row r="196" customFormat="false" ht="13.8" hidden="false" customHeight="false" outlineLevel="0" collapsed="false">
      <c r="A196" s="135" t="str">
        <f aca="false">Scoring!AZ202</f>
        <v/>
      </c>
      <c r="B196" s="135" t="str">
        <f aca="false">Scoring!AY202</f>
        <v/>
      </c>
      <c r="C196" s="135" t="n">
        <f aca="false">Scoring!C202</f>
        <v>0</v>
      </c>
      <c r="D196" s="136" t="str">
        <f aca="false">Scoring!AV202</f>
        <v/>
      </c>
      <c r="E196" s="135" t="str">
        <f aca="false">Scoring!AB202</f>
        <v/>
      </c>
      <c r="F196" s="135" t="n">
        <f aca="false">Scoring!B202</f>
        <v>0</v>
      </c>
      <c r="G196" s="135" t="n">
        <f aca="false">Scoring!D202</f>
        <v>0</v>
      </c>
      <c r="H196" s="135" t="str">
        <f aca="false">Scoring!AX202</f>
        <v/>
      </c>
      <c r="I196" s="137" t="str">
        <f aca="false">Scoring!AW202</f>
        <v/>
      </c>
    </row>
    <row r="197" customFormat="false" ht="13.8" hidden="false" customHeight="false" outlineLevel="0" collapsed="false">
      <c r="A197" s="135" t="str">
        <f aca="false">Scoring!AZ203</f>
        <v/>
      </c>
      <c r="B197" s="135" t="str">
        <f aca="false">Scoring!AY203</f>
        <v/>
      </c>
      <c r="C197" s="135" t="n">
        <f aca="false">Scoring!C203</f>
        <v>0</v>
      </c>
      <c r="D197" s="136" t="str">
        <f aca="false">Scoring!AV203</f>
        <v/>
      </c>
      <c r="E197" s="135" t="str">
        <f aca="false">Scoring!AB203</f>
        <v/>
      </c>
      <c r="F197" s="135" t="n">
        <f aca="false">Scoring!B203</f>
        <v>0</v>
      </c>
      <c r="G197" s="135" t="n">
        <f aca="false">Scoring!D203</f>
        <v>0</v>
      </c>
      <c r="H197" s="135" t="str">
        <f aca="false">Scoring!AX203</f>
        <v/>
      </c>
      <c r="I197" s="137" t="str">
        <f aca="false">Scoring!AW203</f>
        <v/>
      </c>
    </row>
    <row r="198" customFormat="false" ht="13.8" hidden="false" customHeight="false" outlineLevel="0" collapsed="false">
      <c r="A198" s="135" t="str">
        <f aca="false">Scoring!AZ204</f>
        <v/>
      </c>
      <c r="B198" s="135" t="str">
        <f aca="false">Scoring!AY204</f>
        <v/>
      </c>
      <c r="C198" s="135" t="n">
        <f aca="false">Scoring!C204</f>
        <v>0</v>
      </c>
      <c r="D198" s="136" t="str">
        <f aca="false">Scoring!AV204</f>
        <v/>
      </c>
      <c r="E198" s="135" t="str">
        <f aca="false">Scoring!AB204</f>
        <v/>
      </c>
      <c r="F198" s="135" t="n">
        <f aca="false">Scoring!B204</f>
        <v>0</v>
      </c>
      <c r="G198" s="135" t="n">
        <f aca="false">Scoring!D204</f>
        <v>0</v>
      </c>
      <c r="H198" s="135" t="str">
        <f aca="false">Scoring!AX204</f>
        <v/>
      </c>
      <c r="I198" s="137" t="str">
        <f aca="false">Scoring!AW204</f>
        <v/>
      </c>
    </row>
    <row r="199" customFormat="false" ht="13.8" hidden="false" customHeight="false" outlineLevel="0" collapsed="false">
      <c r="A199" s="135" t="str">
        <f aca="false">Scoring!AZ205</f>
        <v/>
      </c>
      <c r="B199" s="135" t="str">
        <f aca="false">Scoring!AY205</f>
        <v/>
      </c>
      <c r="C199" s="135" t="n">
        <f aca="false">Scoring!C205</f>
        <v>0</v>
      </c>
      <c r="D199" s="136" t="str">
        <f aca="false">Scoring!AV205</f>
        <v/>
      </c>
      <c r="E199" s="135" t="str">
        <f aca="false">Scoring!AB205</f>
        <v/>
      </c>
      <c r="F199" s="135" t="n">
        <f aca="false">Scoring!B205</f>
        <v>0</v>
      </c>
      <c r="G199" s="135" t="n">
        <f aca="false">Scoring!D205</f>
        <v>0</v>
      </c>
      <c r="H199" s="135" t="str">
        <f aca="false">Scoring!AX205</f>
        <v/>
      </c>
      <c r="I199" s="137" t="str">
        <f aca="false">Scoring!AW205</f>
        <v/>
      </c>
    </row>
    <row r="200" customFormat="false" ht="13.8" hidden="false" customHeight="false" outlineLevel="0" collapsed="false">
      <c r="A200" s="135" t="str">
        <f aca="false">Scoring!AZ206</f>
        <v/>
      </c>
      <c r="B200" s="135" t="str">
        <f aca="false">Scoring!AY206</f>
        <v/>
      </c>
      <c r="C200" s="135" t="n">
        <f aca="false">Scoring!C206</f>
        <v>0</v>
      </c>
      <c r="D200" s="136" t="str">
        <f aca="false">Scoring!AV206</f>
        <v/>
      </c>
      <c r="E200" s="135" t="str">
        <f aca="false">Scoring!AB206</f>
        <v/>
      </c>
      <c r="F200" s="135" t="n">
        <f aca="false">Scoring!B206</f>
        <v>0</v>
      </c>
      <c r="G200" s="135" t="n">
        <f aca="false">Scoring!D206</f>
        <v>0</v>
      </c>
      <c r="H200" s="135" t="str">
        <f aca="false">Scoring!AX206</f>
        <v/>
      </c>
      <c r="I200" s="137" t="str">
        <f aca="false">Scoring!AW206</f>
        <v/>
      </c>
    </row>
    <row r="201" customFormat="false" ht="13.8" hidden="false" customHeight="false" outlineLevel="0" collapsed="false">
      <c r="A201" s="135" t="str">
        <f aca="false">Scoring!AZ207</f>
        <v/>
      </c>
      <c r="B201" s="135" t="str">
        <f aca="false">Scoring!AY207</f>
        <v/>
      </c>
      <c r="C201" s="135" t="n">
        <f aca="false">Scoring!C207</f>
        <v>0</v>
      </c>
      <c r="D201" s="136" t="str">
        <f aca="false">Scoring!AV207</f>
        <v/>
      </c>
      <c r="E201" s="135" t="str">
        <f aca="false">Scoring!AB207</f>
        <v/>
      </c>
      <c r="F201" s="135" t="n">
        <f aca="false">Scoring!B207</f>
        <v>0</v>
      </c>
      <c r="G201" s="135" t="n">
        <f aca="false">Scoring!D207</f>
        <v>0</v>
      </c>
      <c r="H201" s="135" t="str">
        <f aca="false">Scoring!AX207</f>
        <v/>
      </c>
      <c r="I201" s="137" t="str">
        <f aca="false">Scoring!AW207</f>
        <v/>
      </c>
    </row>
    <row r="202" customFormat="false" ht="15.75" hidden="false" customHeight="false" outlineLevel="0" collapsed="false">
      <c r="A202" s="135" t="str">
        <f aca="false">Scoring!AZ208</f>
        <v/>
      </c>
      <c r="B202" s="135" t="str">
        <f aca="false">Scoring!AY208</f>
        <v/>
      </c>
      <c r="C202" s="135" t="n">
        <f aca="false">Scoring!C208</f>
        <v>0</v>
      </c>
      <c r="D202" s="136" t="str">
        <f aca="false">Scoring!AV208</f>
        <v/>
      </c>
      <c r="E202" s="135" t="str">
        <f aca="false">Scoring!AB208</f>
        <v/>
      </c>
      <c r="F202" s="135" t="n">
        <f aca="false">Scoring!B208</f>
        <v>0</v>
      </c>
      <c r="G202" s="135" t="n">
        <f aca="false">Scoring!D208</f>
        <v>0</v>
      </c>
      <c r="H202" s="135" t="str">
        <f aca="false">Scoring!AX208</f>
        <v/>
      </c>
      <c r="I202" s="137" t="str">
        <f aca="false">Scoring!AW208</f>
        <v/>
      </c>
    </row>
    <row r="203" customFormat="false" ht="15.75" hidden="false" customHeight="false" outlineLevel="0" collapsed="false">
      <c r="A203" s="135" t="str">
        <f aca="false">Scoring!AZ209</f>
        <v/>
      </c>
      <c r="B203" s="135" t="str">
        <f aca="false">Scoring!AY209</f>
        <v/>
      </c>
      <c r="C203" s="135" t="n">
        <f aca="false">Scoring!C209</f>
        <v>0</v>
      </c>
      <c r="D203" s="136" t="str">
        <f aca="false">Scoring!AV209</f>
        <v/>
      </c>
      <c r="E203" s="135" t="str">
        <f aca="false">Scoring!AB209</f>
        <v/>
      </c>
      <c r="F203" s="135" t="n">
        <f aca="false">Scoring!B209</f>
        <v>0</v>
      </c>
      <c r="G203" s="135" t="n">
        <f aca="false">Scoring!D209</f>
        <v>0</v>
      </c>
      <c r="H203" s="135" t="str">
        <f aca="false">Scoring!AX209</f>
        <v/>
      </c>
      <c r="I203" s="137" t="str">
        <f aca="false">Scoring!AW209</f>
        <v/>
      </c>
    </row>
    <row r="204" customFormat="false" ht="15.75" hidden="false" customHeight="false" outlineLevel="0" collapsed="false">
      <c r="A204" s="135" t="str">
        <f aca="false">Scoring!AZ210</f>
        <v/>
      </c>
      <c r="B204" s="135" t="str">
        <f aca="false">Scoring!AY210</f>
        <v/>
      </c>
      <c r="C204" s="135" t="n">
        <f aca="false">Scoring!C210</f>
        <v>0</v>
      </c>
      <c r="D204" s="136" t="str">
        <f aca="false">Scoring!AV210</f>
        <v/>
      </c>
      <c r="E204" s="135" t="str">
        <f aca="false">Scoring!AB210</f>
        <v/>
      </c>
      <c r="F204" s="135" t="n">
        <f aca="false">Scoring!B210</f>
        <v>0</v>
      </c>
      <c r="G204" s="135" t="n">
        <f aca="false">Scoring!D210</f>
        <v>0</v>
      </c>
      <c r="H204" s="135" t="str">
        <f aca="false">Scoring!AX210</f>
        <v/>
      </c>
      <c r="I204" s="137" t="str">
        <f aca="false">Scoring!AW210</f>
        <v/>
      </c>
    </row>
    <row r="205" customFormat="false" ht="15.75" hidden="false" customHeight="false" outlineLevel="0" collapsed="false">
      <c r="A205" s="135" t="str">
        <f aca="false">Scoring!AZ211</f>
        <v/>
      </c>
      <c r="B205" s="135" t="str">
        <f aca="false">Scoring!AY211</f>
        <v/>
      </c>
      <c r="C205" s="135" t="n">
        <f aca="false">Scoring!C211</f>
        <v>0</v>
      </c>
      <c r="D205" s="136" t="str">
        <f aca="false">Scoring!AV211</f>
        <v/>
      </c>
      <c r="E205" s="135" t="str">
        <f aca="false">Scoring!AB211</f>
        <v/>
      </c>
      <c r="F205" s="135" t="n">
        <f aca="false">Scoring!B211</f>
        <v>0</v>
      </c>
      <c r="G205" s="135" t="n">
        <f aca="false">Scoring!D211</f>
        <v>0</v>
      </c>
      <c r="H205" s="135" t="str">
        <f aca="false">Scoring!AX211</f>
        <v/>
      </c>
      <c r="I205" s="137" t="str">
        <f aca="false">Scoring!AW211</f>
        <v/>
      </c>
    </row>
    <row r="206" customFormat="false" ht="15.75" hidden="false" customHeight="false" outlineLevel="0" collapsed="false">
      <c r="A206" s="135" t="str">
        <f aca="false">Scoring!AZ212</f>
        <v/>
      </c>
      <c r="B206" s="135" t="str">
        <f aca="false">Scoring!AY212</f>
        <v/>
      </c>
      <c r="C206" s="135" t="n">
        <f aca="false">Scoring!C212</f>
        <v>0</v>
      </c>
      <c r="D206" s="136" t="str">
        <f aca="false">Scoring!AV212</f>
        <v/>
      </c>
      <c r="E206" s="135" t="str">
        <f aca="false">Scoring!AB212</f>
        <v/>
      </c>
      <c r="F206" s="135" t="n">
        <f aca="false">Scoring!B212</f>
        <v>0</v>
      </c>
      <c r="G206" s="135" t="n">
        <f aca="false">Scoring!D212</f>
        <v>0</v>
      </c>
      <c r="H206" s="135" t="str">
        <f aca="false">Scoring!AX212</f>
        <v/>
      </c>
      <c r="I206" s="137" t="str">
        <f aca="false">Scoring!AW212</f>
        <v/>
      </c>
    </row>
    <row r="207" customFormat="false" ht="15.75" hidden="false" customHeight="false" outlineLevel="0" collapsed="false">
      <c r="A207" s="135" t="str">
        <f aca="false">Scoring!AZ213</f>
        <v/>
      </c>
      <c r="B207" s="135" t="str">
        <f aca="false">Scoring!AY213</f>
        <v/>
      </c>
      <c r="C207" s="135" t="n">
        <f aca="false">Scoring!C213</f>
        <v>0</v>
      </c>
      <c r="D207" s="136" t="str">
        <f aca="false">Scoring!AV213</f>
        <v/>
      </c>
      <c r="E207" s="135" t="str">
        <f aca="false">Scoring!AB213</f>
        <v/>
      </c>
      <c r="F207" s="135" t="n">
        <f aca="false">Scoring!B213</f>
        <v>0</v>
      </c>
      <c r="G207" s="135" t="n">
        <f aca="false">Scoring!D213</f>
        <v>0</v>
      </c>
      <c r="H207" s="135" t="str">
        <f aca="false">Scoring!AX213</f>
        <v/>
      </c>
      <c r="I207" s="137" t="str">
        <f aca="false">Scoring!AW213</f>
        <v/>
      </c>
    </row>
    <row r="208" customFormat="false" ht="15.75" hidden="false" customHeight="false" outlineLevel="0" collapsed="false">
      <c r="A208" s="135" t="str">
        <f aca="false">Scoring!AZ214</f>
        <v/>
      </c>
      <c r="B208" s="135" t="str">
        <f aca="false">Scoring!AY214</f>
        <v/>
      </c>
      <c r="C208" s="135" t="n">
        <f aca="false">Scoring!C214</f>
        <v>0</v>
      </c>
      <c r="D208" s="136" t="str">
        <f aca="false">Scoring!AV214</f>
        <v/>
      </c>
      <c r="E208" s="135" t="str">
        <f aca="false">Scoring!AB214</f>
        <v/>
      </c>
      <c r="F208" s="135" t="n">
        <f aca="false">Scoring!B214</f>
        <v>0</v>
      </c>
      <c r="G208" s="135" t="n">
        <f aca="false">Scoring!D214</f>
        <v>0</v>
      </c>
      <c r="H208" s="135" t="str">
        <f aca="false">Scoring!AX214</f>
        <v/>
      </c>
      <c r="I208" s="137" t="str">
        <f aca="false">Scoring!AW214</f>
        <v/>
      </c>
    </row>
    <row r="209" customFormat="false" ht="15.75" hidden="false" customHeight="false" outlineLevel="0" collapsed="false">
      <c r="A209" s="135" t="str">
        <f aca="false">Scoring!AZ215</f>
        <v/>
      </c>
      <c r="B209" s="135" t="str">
        <f aca="false">Scoring!AY215</f>
        <v/>
      </c>
      <c r="C209" s="135" t="n">
        <f aca="false">Scoring!C215</f>
        <v>0</v>
      </c>
      <c r="D209" s="136" t="str">
        <f aca="false">Scoring!AV215</f>
        <v/>
      </c>
      <c r="E209" s="135" t="str">
        <f aca="false">Scoring!AB215</f>
        <v/>
      </c>
      <c r="F209" s="135" t="n">
        <f aca="false">Scoring!B215</f>
        <v>0</v>
      </c>
      <c r="G209" s="135" t="n">
        <f aca="false">Scoring!D215</f>
        <v>0</v>
      </c>
      <c r="H209" s="135" t="str">
        <f aca="false">Scoring!AX215</f>
        <v/>
      </c>
      <c r="I209" s="137" t="str">
        <f aca="false">Scoring!AW215</f>
        <v/>
      </c>
    </row>
    <row r="210" customFormat="false" ht="15.75" hidden="false" customHeight="false" outlineLevel="0" collapsed="false">
      <c r="A210" s="135" t="str">
        <f aca="false">Scoring!AZ216</f>
        <v/>
      </c>
      <c r="B210" s="135" t="str">
        <f aca="false">Scoring!AY216</f>
        <v/>
      </c>
      <c r="C210" s="135" t="n">
        <f aca="false">Scoring!C216</f>
        <v>0</v>
      </c>
      <c r="D210" s="136" t="str">
        <f aca="false">Scoring!AV216</f>
        <v/>
      </c>
      <c r="E210" s="135" t="str">
        <f aca="false">Scoring!AB216</f>
        <v/>
      </c>
      <c r="F210" s="135" t="n">
        <f aca="false">Scoring!B216</f>
        <v>0</v>
      </c>
      <c r="G210" s="135" t="n">
        <f aca="false">Scoring!D216</f>
        <v>0</v>
      </c>
      <c r="H210" s="135" t="str">
        <f aca="false">Scoring!AX216</f>
        <v/>
      </c>
      <c r="I210" s="137" t="str">
        <f aca="false">Scoring!AW216</f>
        <v/>
      </c>
    </row>
    <row r="211" customFormat="false" ht="15.75" hidden="false" customHeight="false" outlineLevel="0" collapsed="false">
      <c r="A211" s="135" t="str">
        <f aca="false">Scoring!AZ217</f>
        <v/>
      </c>
      <c r="B211" s="135" t="str">
        <f aca="false">Scoring!AY217</f>
        <v/>
      </c>
      <c r="C211" s="135" t="n">
        <f aca="false">Scoring!C217</f>
        <v>0</v>
      </c>
      <c r="D211" s="136" t="str">
        <f aca="false">Scoring!AV217</f>
        <v/>
      </c>
      <c r="E211" s="135" t="str">
        <f aca="false">Scoring!AB217</f>
        <v/>
      </c>
      <c r="F211" s="135" t="n">
        <f aca="false">Scoring!B217</f>
        <v>0</v>
      </c>
      <c r="G211" s="135" t="n">
        <f aca="false">Scoring!D217</f>
        <v>0</v>
      </c>
      <c r="H211" s="135" t="str">
        <f aca="false">Scoring!AX217</f>
        <v/>
      </c>
      <c r="I211" s="137" t="str">
        <f aca="false">Scoring!AW217</f>
        <v/>
      </c>
    </row>
    <row r="212" customFormat="false" ht="15.75" hidden="false" customHeight="false" outlineLevel="0" collapsed="false">
      <c r="A212" s="135" t="str">
        <f aca="false">Scoring!AZ218</f>
        <v/>
      </c>
      <c r="B212" s="135" t="str">
        <f aca="false">Scoring!AY218</f>
        <v/>
      </c>
      <c r="C212" s="135" t="n">
        <f aca="false">Scoring!C218</f>
        <v>0</v>
      </c>
      <c r="D212" s="136" t="str">
        <f aca="false">Scoring!AV218</f>
        <v/>
      </c>
      <c r="E212" s="135" t="str">
        <f aca="false">Scoring!AB218</f>
        <v/>
      </c>
      <c r="F212" s="135" t="n">
        <f aca="false">Scoring!B218</f>
        <v>0</v>
      </c>
      <c r="G212" s="135" t="n">
        <f aca="false">Scoring!D218</f>
        <v>0</v>
      </c>
      <c r="H212" s="135" t="str">
        <f aca="false">Scoring!AX218</f>
        <v/>
      </c>
      <c r="I212" s="137" t="str">
        <f aca="false">Scoring!AW218</f>
        <v/>
      </c>
    </row>
    <row r="213" customFormat="false" ht="15.75" hidden="false" customHeight="false" outlineLevel="0" collapsed="false">
      <c r="A213" s="135" t="str">
        <f aca="false">Scoring!AZ219</f>
        <v/>
      </c>
      <c r="B213" s="135" t="str">
        <f aca="false">Scoring!AY219</f>
        <v/>
      </c>
      <c r="C213" s="135" t="n">
        <f aca="false">Scoring!C219</f>
        <v>0</v>
      </c>
      <c r="D213" s="136" t="str">
        <f aca="false">Scoring!AV219</f>
        <v/>
      </c>
      <c r="E213" s="135" t="str">
        <f aca="false">Scoring!AB219</f>
        <v/>
      </c>
      <c r="F213" s="135" t="n">
        <f aca="false">Scoring!B219</f>
        <v>0</v>
      </c>
      <c r="G213" s="135" t="n">
        <f aca="false">Scoring!D219</f>
        <v>0</v>
      </c>
      <c r="H213" s="135" t="str">
        <f aca="false">Scoring!AX219</f>
        <v/>
      </c>
      <c r="I213" s="137" t="str">
        <f aca="false">Scoring!AW219</f>
        <v/>
      </c>
    </row>
    <row r="214" customFormat="false" ht="15.75" hidden="false" customHeight="false" outlineLevel="0" collapsed="false">
      <c r="A214" s="135" t="str">
        <f aca="false">Scoring!AZ220</f>
        <v/>
      </c>
      <c r="B214" s="135" t="str">
        <f aca="false">Scoring!AY220</f>
        <v/>
      </c>
      <c r="C214" s="135" t="n">
        <f aca="false">Scoring!C220</f>
        <v>0</v>
      </c>
      <c r="D214" s="136" t="str">
        <f aca="false">Scoring!AV220</f>
        <v/>
      </c>
      <c r="E214" s="135" t="str">
        <f aca="false">Scoring!AB220</f>
        <v/>
      </c>
      <c r="F214" s="135" t="n">
        <f aca="false">Scoring!B220</f>
        <v>0</v>
      </c>
      <c r="G214" s="135" t="n">
        <f aca="false">Scoring!D220</f>
        <v>0</v>
      </c>
      <c r="H214" s="135" t="str">
        <f aca="false">Scoring!AX220</f>
        <v/>
      </c>
      <c r="I214" s="137" t="str">
        <f aca="false">Scoring!AW220</f>
        <v/>
      </c>
    </row>
    <row r="215" customFormat="false" ht="15.75" hidden="false" customHeight="false" outlineLevel="0" collapsed="false">
      <c r="A215" s="135" t="str">
        <f aca="false">Scoring!AZ221</f>
        <v/>
      </c>
      <c r="B215" s="135" t="str">
        <f aca="false">Scoring!AY221</f>
        <v/>
      </c>
      <c r="C215" s="135" t="n">
        <f aca="false">Scoring!C221</f>
        <v>0</v>
      </c>
      <c r="D215" s="136" t="str">
        <f aca="false">Scoring!AV221</f>
        <v/>
      </c>
      <c r="E215" s="135" t="str">
        <f aca="false">Scoring!AB221</f>
        <v/>
      </c>
      <c r="F215" s="135" t="n">
        <f aca="false">Scoring!B221</f>
        <v>0</v>
      </c>
      <c r="G215" s="135" t="n">
        <f aca="false">Scoring!D221</f>
        <v>0</v>
      </c>
      <c r="H215" s="135" t="str">
        <f aca="false">Scoring!AX221</f>
        <v/>
      </c>
      <c r="I215" s="137" t="str">
        <f aca="false">Scoring!AW221</f>
        <v/>
      </c>
    </row>
    <row r="216" customFormat="false" ht="15.75" hidden="false" customHeight="false" outlineLevel="0" collapsed="false">
      <c r="A216" s="135" t="str">
        <f aca="false">Scoring!AZ222</f>
        <v/>
      </c>
      <c r="B216" s="135" t="str">
        <f aca="false">Scoring!AY222</f>
        <v/>
      </c>
      <c r="C216" s="135" t="n">
        <f aca="false">Scoring!C222</f>
        <v>0</v>
      </c>
      <c r="D216" s="136" t="str">
        <f aca="false">Scoring!AV222</f>
        <v/>
      </c>
      <c r="E216" s="135" t="str">
        <f aca="false">Scoring!AB222</f>
        <v/>
      </c>
      <c r="F216" s="135" t="n">
        <f aca="false">Scoring!B222</f>
        <v>0</v>
      </c>
      <c r="G216" s="135" t="n">
        <f aca="false">Scoring!D222</f>
        <v>0</v>
      </c>
      <c r="H216" s="135" t="str">
        <f aca="false">Scoring!AX222</f>
        <v/>
      </c>
      <c r="I216" s="137" t="str">
        <f aca="false">Scoring!AW222</f>
        <v/>
      </c>
    </row>
    <row r="217" customFormat="false" ht="15.75" hidden="false" customHeight="false" outlineLevel="0" collapsed="false">
      <c r="A217" s="135" t="str">
        <f aca="false">Scoring!AZ223</f>
        <v/>
      </c>
      <c r="B217" s="135" t="str">
        <f aca="false">Scoring!AY223</f>
        <v/>
      </c>
      <c r="C217" s="135" t="n">
        <f aca="false">Scoring!C223</f>
        <v>0</v>
      </c>
      <c r="D217" s="136" t="str">
        <f aca="false">Scoring!AV223</f>
        <v/>
      </c>
      <c r="E217" s="135" t="str">
        <f aca="false">Scoring!AB223</f>
        <v/>
      </c>
      <c r="F217" s="135" t="n">
        <f aca="false">Scoring!B223</f>
        <v>0</v>
      </c>
      <c r="G217" s="135" t="n">
        <f aca="false">Scoring!D223</f>
        <v>0</v>
      </c>
      <c r="H217" s="135" t="str">
        <f aca="false">Scoring!AX223</f>
        <v/>
      </c>
      <c r="I217" s="137" t="str">
        <f aca="false">Scoring!AW223</f>
        <v/>
      </c>
    </row>
    <row r="218" customFormat="false" ht="15.75" hidden="false" customHeight="false" outlineLevel="0" collapsed="false">
      <c r="A218" s="135" t="str">
        <f aca="false">Scoring!AZ224</f>
        <v/>
      </c>
      <c r="B218" s="135" t="str">
        <f aca="false">Scoring!AY224</f>
        <v/>
      </c>
      <c r="C218" s="135" t="n">
        <f aca="false">Scoring!C224</f>
        <v>0</v>
      </c>
      <c r="D218" s="136" t="str">
        <f aca="false">Scoring!AV224</f>
        <v/>
      </c>
      <c r="E218" s="135" t="str">
        <f aca="false">Scoring!AB224</f>
        <v/>
      </c>
      <c r="F218" s="135" t="n">
        <f aca="false">Scoring!B224</f>
        <v>0</v>
      </c>
      <c r="G218" s="135" t="n">
        <f aca="false">Scoring!D224</f>
        <v>0</v>
      </c>
      <c r="H218" s="135" t="str">
        <f aca="false">Scoring!AX224</f>
        <v/>
      </c>
      <c r="I218" s="137" t="str">
        <f aca="false">Scoring!AW224</f>
        <v/>
      </c>
    </row>
    <row r="219" customFormat="false" ht="15.75" hidden="false" customHeight="false" outlineLevel="0" collapsed="false">
      <c r="A219" s="135" t="str">
        <f aca="false">Scoring!AZ225</f>
        <v/>
      </c>
      <c r="B219" s="135" t="str">
        <f aca="false">Scoring!AY225</f>
        <v/>
      </c>
      <c r="C219" s="135" t="n">
        <f aca="false">Scoring!C225</f>
        <v>0</v>
      </c>
      <c r="D219" s="136" t="str">
        <f aca="false">Scoring!AV225</f>
        <v/>
      </c>
      <c r="E219" s="135" t="str">
        <f aca="false">Scoring!AB225</f>
        <v/>
      </c>
      <c r="F219" s="135" t="n">
        <f aca="false">Scoring!B225</f>
        <v>0</v>
      </c>
      <c r="G219" s="135" t="n">
        <f aca="false">Scoring!D225</f>
        <v>0</v>
      </c>
      <c r="H219" s="135" t="str">
        <f aca="false">Scoring!AX225</f>
        <v/>
      </c>
      <c r="I219" s="137" t="str">
        <f aca="false">Scoring!AW225</f>
        <v/>
      </c>
    </row>
    <row r="220" customFormat="false" ht="15.75" hidden="false" customHeight="false" outlineLevel="0" collapsed="false">
      <c r="A220" s="135" t="str">
        <f aca="false">Scoring!AZ226</f>
        <v/>
      </c>
      <c r="B220" s="135" t="str">
        <f aca="false">Scoring!AY226</f>
        <v/>
      </c>
      <c r="C220" s="135" t="n">
        <f aca="false">Scoring!C226</f>
        <v>0</v>
      </c>
      <c r="D220" s="136" t="str">
        <f aca="false">Scoring!AV226</f>
        <v/>
      </c>
      <c r="E220" s="135" t="str">
        <f aca="false">Scoring!AB226</f>
        <v/>
      </c>
      <c r="F220" s="135" t="n">
        <f aca="false">Scoring!B226</f>
        <v>0</v>
      </c>
      <c r="G220" s="135" t="n">
        <f aca="false">Scoring!D226</f>
        <v>0</v>
      </c>
      <c r="H220" s="135" t="str">
        <f aca="false">Scoring!AX226</f>
        <v/>
      </c>
      <c r="I220" s="137" t="str">
        <f aca="false">Scoring!AW226</f>
        <v/>
      </c>
    </row>
    <row r="221" customFormat="false" ht="15.75" hidden="false" customHeight="false" outlineLevel="0" collapsed="false">
      <c r="A221" s="135" t="str">
        <f aca="false">Scoring!AZ227</f>
        <v/>
      </c>
      <c r="B221" s="135" t="str">
        <f aca="false">Scoring!AY227</f>
        <v/>
      </c>
      <c r="C221" s="135" t="n">
        <f aca="false">Scoring!C227</f>
        <v>0</v>
      </c>
      <c r="D221" s="136" t="str">
        <f aca="false">Scoring!AV227</f>
        <v/>
      </c>
      <c r="E221" s="135" t="str">
        <f aca="false">Scoring!AB227</f>
        <v/>
      </c>
      <c r="F221" s="135" t="n">
        <f aca="false">Scoring!B227</f>
        <v>0</v>
      </c>
      <c r="G221" s="135" t="n">
        <f aca="false">Scoring!D227</f>
        <v>0</v>
      </c>
      <c r="H221" s="135" t="str">
        <f aca="false">Scoring!AX227</f>
        <v/>
      </c>
      <c r="I221" s="137" t="str">
        <f aca="false">Scoring!AW227</f>
        <v/>
      </c>
    </row>
    <row r="222" customFormat="false" ht="15.75" hidden="false" customHeight="false" outlineLevel="0" collapsed="false">
      <c r="A222" s="135" t="str">
        <f aca="false">Scoring!AZ228</f>
        <v/>
      </c>
      <c r="B222" s="135" t="str">
        <f aca="false">Scoring!AY228</f>
        <v/>
      </c>
      <c r="C222" s="135" t="n">
        <f aca="false">Scoring!C228</f>
        <v>0</v>
      </c>
      <c r="D222" s="136" t="str">
        <f aca="false">Scoring!AV228</f>
        <v/>
      </c>
      <c r="E222" s="135" t="str">
        <f aca="false">Scoring!AB228</f>
        <v/>
      </c>
      <c r="F222" s="135" t="n">
        <f aca="false">Scoring!B228</f>
        <v>0</v>
      </c>
      <c r="G222" s="135" t="n">
        <f aca="false">Scoring!D228</f>
        <v>0</v>
      </c>
      <c r="H222" s="135" t="str">
        <f aca="false">Scoring!AX228</f>
        <v/>
      </c>
      <c r="I222" s="137" t="str">
        <f aca="false">Scoring!AW228</f>
        <v/>
      </c>
    </row>
    <row r="223" customFormat="false" ht="15.75" hidden="false" customHeight="false" outlineLevel="0" collapsed="false">
      <c r="A223" s="135" t="str">
        <f aca="false">Scoring!AZ229</f>
        <v/>
      </c>
      <c r="B223" s="135" t="str">
        <f aca="false">Scoring!AY229</f>
        <v/>
      </c>
      <c r="C223" s="135" t="n">
        <f aca="false">Scoring!C229</f>
        <v>0</v>
      </c>
      <c r="D223" s="136" t="str">
        <f aca="false">Scoring!AV229</f>
        <v/>
      </c>
      <c r="E223" s="135" t="str">
        <f aca="false">Scoring!AB229</f>
        <v/>
      </c>
      <c r="F223" s="135" t="n">
        <f aca="false">Scoring!B229</f>
        <v>0</v>
      </c>
      <c r="G223" s="135" t="n">
        <f aca="false">Scoring!D229</f>
        <v>0</v>
      </c>
      <c r="H223" s="135" t="str">
        <f aca="false">Scoring!AX229</f>
        <v/>
      </c>
      <c r="I223" s="137" t="str">
        <f aca="false">Scoring!AW229</f>
        <v/>
      </c>
    </row>
    <row r="224" customFormat="false" ht="15.75" hidden="false" customHeight="false" outlineLevel="0" collapsed="false">
      <c r="A224" s="135" t="str">
        <f aca="false">Scoring!AZ230</f>
        <v/>
      </c>
      <c r="B224" s="135" t="str">
        <f aca="false">Scoring!AY230</f>
        <v/>
      </c>
      <c r="C224" s="135" t="n">
        <f aca="false">Scoring!C230</f>
        <v>0</v>
      </c>
      <c r="D224" s="136" t="str">
        <f aca="false">Scoring!AV230</f>
        <v/>
      </c>
      <c r="E224" s="135" t="str">
        <f aca="false">Scoring!AB230</f>
        <v/>
      </c>
      <c r="F224" s="135" t="n">
        <f aca="false">Scoring!B230</f>
        <v>0</v>
      </c>
      <c r="G224" s="135" t="n">
        <f aca="false">Scoring!D230</f>
        <v>0</v>
      </c>
      <c r="H224" s="135" t="str">
        <f aca="false">Scoring!AX230</f>
        <v/>
      </c>
      <c r="I224" s="137" t="str">
        <f aca="false">Scoring!AW230</f>
        <v/>
      </c>
    </row>
    <row r="225" customFormat="false" ht="15.75" hidden="false" customHeight="false" outlineLevel="0" collapsed="false">
      <c r="A225" s="135" t="str">
        <f aca="false">Scoring!AZ231</f>
        <v/>
      </c>
      <c r="B225" s="135" t="str">
        <f aca="false">Scoring!AY231</f>
        <v/>
      </c>
      <c r="C225" s="135" t="n">
        <f aca="false">Scoring!C231</f>
        <v>0</v>
      </c>
      <c r="D225" s="136" t="str">
        <f aca="false">Scoring!AV231</f>
        <v/>
      </c>
      <c r="E225" s="135" t="str">
        <f aca="false">Scoring!AB231</f>
        <v/>
      </c>
      <c r="F225" s="135" t="n">
        <f aca="false">Scoring!B231</f>
        <v>0</v>
      </c>
      <c r="G225" s="135" t="n">
        <f aca="false">Scoring!D231</f>
        <v>0</v>
      </c>
      <c r="H225" s="135" t="str">
        <f aca="false">Scoring!AX231</f>
        <v/>
      </c>
      <c r="I225" s="137" t="str">
        <f aca="false">Scoring!AW231</f>
        <v/>
      </c>
    </row>
    <row r="226" customFormat="false" ht="15.75" hidden="false" customHeight="false" outlineLevel="0" collapsed="false">
      <c r="A226" s="135" t="str">
        <f aca="false">Scoring!AZ232</f>
        <v/>
      </c>
      <c r="B226" s="135" t="str">
        <f aca="false">Scoring!AY232</f>
        <v/>
      </c>
      <c r="C226" s="135" t="n">
        <f aca="false">Scoring!C232</f>
        <v>0</v>
      </c>
      <c r="D226" s="136" t="str">
        <f aca="false">Scoring!AV232</f>
        <v/>
      </c>
      <c r="E226" s="135" t="str">
        <f aca="false">Scoring!AB232</f>
        <v/>
      </c>
      <c r="F226" s="135" t="n">
        <f aca="false">Scoring!B232</f>
        <v>0</v>
      </c>
      <c r="G226" s="135" t="n">
        <f aca="false">Scoring!D232</f>
        <v>0</v>
      </c>
      <c r="H226" s="135" t="str">
        <f aca="false">Scoring!AX232</f>
        <v/>
      </c>
      <c r="I226" s="137" t="str">
        <f aca="false">Scoring!AW232</f>
        <v/>
      </c>
    </row>
    <row r="227" customFormat="false" ht="15.75" hidden="false" customHeight="false" outlineLevel="0" collapsed="false">
      <c r="A227" s="135" t="str">
        <f aca="false">Scoring!AZ233</f>
        <v/>
      </c>
      <c r="B227" s="135" t="str">
        <f aca="false">Scoring!AY233</f>
        <v/>
      </c>
      <c r="C227" s="135" t="n">
        <f aca="false">Scoring!C233</f>
        <v>0</v>
      </c>
      <c r="D227" s="136" t="str">
        <f aca="false">Scoring!AV233</f>
        <v/>
      </c>
      <c r="E227" s="135" t="str">
        <f aca="false">Scoring!AB233</f>
        <v/>
      </c>
      <c r="F227" s="135" t="n">
        <f aca="false">Scoring!B233</f>
        <v>0</v>
      </c>
      <c r="G227" s="135" t="n">
        <f aca="false">Scoring!D233</f>
        <v>0</v>
      </c>
      <c r="H227" s="135" t="str">
        <f aca="false">Scoring!AX233</f>
        <v/>
      </c>
      <c r="I227" s="137" t="str">
        <f aca="false">Scoring!AW233</f>
        <v/>
      </c>
    </row>
    <row r="228" customFormat="false" ht="15.75" hidden="false" customHeight="false" outlineLevel="0" collapsed="false">
      <c r="A228" s="135" t="str">
        <f aca="false">Scoring!AZ234</f>
        <v/>
      </c>
      <c r="B228" s="135" t="str">
        <f aca="false">Scoring!AY234</f>
        <v/>
      </c>
      <c r="C228" s="135" t="n">
        <f aca="false">Scoring!C234</f>
        <v>0</v>
      </c>
      <c r="D228" s="136" t="str">
        <f aca="false">Scoring!AV234</f>
        <v/>
      </c>
      <c r="E228" s="135" t="str">
        <f aca="false">Scoring!AB234</f>
        <v/>
      </c>
      <c r="F228" s="135" t="n">
        <f aca="false">Scoring!B234</f>
        <v>0</v>
      </c>
      <c r="G228" s="135" t="n">
        <f aca="false">Scoring!D234</f>
        <v>0</v>
      </c>
      <c r="H228" s="135" t="str">
        <f aca="false">Scoring!AX234</f>
        <v/>
      </c>
      <c r="I228" s="137" t="str">
        <f aca="false">Scoring!AW234</f>
        <v/>
      </c>
    </row>
    <row r="229" customFormat="false" ht="15.75" hidden="false" customHeight="false" outlineLevel="0" collapsed="false">
      <c r="A229" s="135" t="str">
        <f aca="false">Scoring!AZ235</f>
        <v/>
      </c>
      <c r="B229" s="135" t="str">
        <f aca="false">Scoring!AY235</f>
        <v/>
      </c>
      <c r="C229" s="135" t="n">
        <f aca="false">Scoring!C235</f>
        <v>0</v>
      </c>
      <c r="D229" s="136" t="str">
        <f aca="false">Scoring!AV235</f>
        <v/>
      </c>
      <c r="E229" s="135" t="str">
        <f aca="false">Scoring!AB235</f>
        <v/>
      </c>
      <c r="F229" s="135" t="n">
        <f aca="false">Scoring!B235</f>
        <v>0</v>
      </c>
      <c r="G229" s="135" t="n">
        <f aca="false">Scoring!D235</f>
        <v>0</v>
      </c>
      <c r="H229" s="135" t="str">
        <f aca="false">Scoring!AX235</f>
        <v/>
      </c>
      <c r="I229" s="137" t="str">
        <f aca="false">Scoring!AW235</f>
        <v/>
      </c>
    </row>
    <row r="230" customFormat="false" ht="15.75" hidden="false" customHeight="false" outlineLevel="0" collapsed="false">
      <c r="A230" s="135" t="str">
        <f aca="false">Scoring!AZ236</f>
        <v/>
      </c>
      <c r="B230" s="135" t="str">
        <f aca="false">Scoring!AY236</f>
        <v/>
      </c>
      <c r="C230" s="135" t="n">
        <f aca="false">Scoring!C236</f>
        <v>0</v>
      </c>
      <c r="D230" s="136" t="str">
        <f aca="false">Scoring!AV236</f>
        <v/>
      </c>
      <c r="E230" s="135" t="str">
        <f aca="false">Scoring!AB236</f>
        <v/>
      </c>
      <c r="F230" s="135" t="n">
        <f aca="false">Scoring!B236</f>
        <v>0</v>
      </c>
      <c r="G230" s="135" t="n">
        <f aca="false">Scoring!D236</f>
        <v>0</v>
      </c>
      <c r="H230" s="135" t="str">
        <f aca="false">Scoring!AX236</f>
        <v/>
      </c>
      <c r="I230" s="137" t="str">
        <f aca="false">Scoring!AW236</f>
        <v/>
      </c>
    </row>
    <row r="231" customFormat="false" ht="15.75" hidden="false" customHeight="false" outlineLevel="0" collapsed="false">
      <c r="A231" s="135" t="str">
        <f aca="false">Scoring!AZ237</f>
        <v/>
      </c>
      <c r="B231" s="135" t="str">
        <f aca="false">Scoring!AY237</f>
        <v/>
      </c>
      <c r="C231" s="135" t="n">
        <f aca="false">Scoring!C237</f>
        <v>0</v>
      </c>
      <c r="D231" s="136" t="str">
        <f aca="false">Scoring!AV237</f>
        <v/>
      </c>
      <c r="E231" s="135" t="str">
        <f aca="false">Scoring!AB237</f>
        <v/>
      </c>
      <c r="F231" s="135" t="n">
        <f aca="false">Scoring!B237</f>
        <v>0</v>
      </c>
      <c r="G231" s="135" t="n">
        <f aca="false">Scoring!D237</f>
        <v>0</v>
      </c>
      <c r="H231" s="135" t="str">
        <f aca="false">Scoring!AX237</f>
        <v/>
      </c>
      <c r="I231" s="137" t="str">
        <f aca="false">Scoring!AW237</f>
        <v/>
      </c>
    </row>
    <row r="232" customFormat="false" ht="15.75" hidden="false" customHeight="false" outlineLevel="0" collapsed="false">
      <c r="A232" s="135" t="str">
        <f aca="false">Scoring!AZ238</f>
        <v/>
      </c>
      <c r="B232" s="135" t="str">
        <f aca="false">Scoring!AY238</f>
        <v/>
      </c>
      <c r="C232" s="135" t="n">
        <f aca="false">Scoring!C238</f>
        <v>0</v>
      </c>
      <c r="D232" s="136" t="str">
        <f aca="false">Scoring!AV238</f>
        <v/>
      </c>
      <c r="E232" s="135" t="str">
        <f aca="false">Scoring!AB238</f>
        <v/>
      </c>
      <c r="F232" s="135" t="n">
        <f aca="false">Scoring!B238</f>
        <v>0</v>
      </c>
      <c r="G232" s="135" t="n">
        <f aca="false">Scoring!D238</f>
        <v>0</v>
      </c>
      <c r="H232" s="135" t="str">
        <f aca="false">Scoring!AX238</f>
        <v/>
      </c>
      <c r="I232" s="137" t="str">
        <f aca="false">Scoring!AW238</f>
        <v/>
      </c>
    </row>
    <row r="233" customFormat="false" ht="15.75" hidden="false" customHeight="false" outlineLevel="0" collapsed="false">
      <c r="A233" s="135" t="str">
        <f aca="false">Scoring!AZ239</f>
        <v/>
      </c>
      <c r="B233" s="135" t="str">
        <f aca="false">Scoring!AY239</f>
        <v/>
      </c>
      <c r="C233" s="135" t="n">
        <f aca="false">Scoring!C239</f>
        <v>0</v>
      </c>
      <c r="D233" s="136" t="str">
        <f aca="false">Scoring!AV239</f>
        <v/>
      </c>
      <c r="E233" s="135" t="str">
        <f aca="false">Scoring!AB239</f>
        <v/>
      </c>
      <c r="F233" s="135" t="n">
        <f aca="false">Scoring!B239</f>
        <v>0</v>
      </c>
      <c r="G233" s="135" t="n">
        <f aca="false">Scoring!D239</f>
        <v>0</v>
      </c>
      <c r="H233" s="135" t="str">
        <f aca="false">Scoring!AX239</f>
        <v/>
      </c>
      <c r="I233" s="137" t="str">
        <f aca="false">Scoring!AW239</f>
        <v/>
      </c>
    </row>
    <row r="234" customFormat="false" ht="15.75" hidden="false" customHeight="false" outlineLevel="0" collapsed="false">
      <c r="A234" s="135" t="str">
        <f aca="false">Scoring!AZ240</f>
        <v/>
      </c>
      <c r="B234" s="135" t="str">
        <f aca="false">Scoring!AY240</f>
        <v/>
      </c>
      <c r="C234" s="135" t="n">
        <f aca="false">Scoring!C240</f>
        <v>0</v>
      </c>
      <c r="D234" s="136" t="str">
        <f aca="false">Scoring!AV240</f>
        <v/>
      </c>
      <c r="E234" s="135" t="str">
        <f aca="false">Scoring!AB240</f>
        <v/>
      </c>
      <c r="F234" s="135" t="n">
        <f aca="false">Scoring!B240</f>
        <v>0</v>
      </c>
      <c r="G234" s="135" t="n">
        <f aca="false">Scoring!D240</f>
        <v>0</v>
      </c>
      <c r="H234" s="135" t="str">
        <f aca="false">Scoring!AX240</f>
        <v/>
      </c>
      <c r="I234" s="137" t="str">
        <f aca="false">Scoring!AW240</f>
        <v/>
      </c>
    </row>
    <row r="235" customFormat="false" ht="15.75" hidden="false" customHeight="false" outlineLevel="0" collapsed="false">
      <c r="A235" s="135" t="str">
        <f aca="false">Scoring!AZ241</f>
        <v/>
      </c>
      <c r="B235" s="135" t="str">
        <f aca="false">Scoring!AY241</f>
        <v/>
      </c>
      <c r="C235" s="135" t="n">
        <f aca="false">Scoring!C241</f>
        <v>0</v>
      </c>
      <c r="D235" s="136" t="str">
        <f aca="false">Scoring!AV241</f>
        <v/>
      </c>
      <c r="E235" s="135" t="str">
        <f aca="false">Scoring!AB241</f>
        <v/>
      </c>
      <c r="F235" s="135" t="n">
        <f aca="false">Scoring!B241</f>
        <v>0</v>
      </c>
      <c r="G235" s="135" t="n">
        <f aca="false">Scoring!D241</f>
        <v>0</v>
      </c>
      <c r="H235" s="135" t="str">
        <f aca="false">Scoring!AX241</f>
        <v/>
      </c>
      <c r="I235" s="137" t="str">
        <f aca="false">Scoring!AW241</f>
        <v/>
      </c>
    </row>
    <row r="236" customFormat="false" ht="15.75" hidden="false" customHeight="false" outlineLevel="0" collapsed="false">
      <c r="A236" s="135" t="str">
        <f aca="false">Scoring!AZ242</f>
        <v/>
      </c>
      <c r="B236" s="135" t="str">
        <f aca="false">Scoring!AY242</f>
        <v/>
      </c>
      <c r="C236" s="135" t="n">
        <f aca="false">Scoring!C242</f>
        <v>0</v>
      </c>
      <c r="D236" s="136" t="str">
        <f aca="false">Scoring!AV242</f>
        <v/>
      </c>
      <c r="E236" s="135" t="str">
        <f aca="false">Scoring!AB242</f>
        <v/>
      </c>
      <c r="F236" s="135" t="n">
        <f aca="false">Scoring!B242</f>
        <v>0</v>
      </c>
      <c r="G236" s="135" t="n">
        <f aca="false">Scoring!D242</f>
        <v>0</v>
      </c>
      <c r="H236" s="135" t="str">
        <f aca="false">Scoring!AX242</f>
        <v/>
      </c>
      <c r="I236" s="137" t="str">
        <f aca="false">Scoring!AW242</f>
        <v/>
      </c>
    </row>
    <row r="237" customFormat="false" ht="15.75" hidden="false" customHeight="false" outlineLevel="0" collapsed="false">
      <c r="A237" s="135" t="str">
        <f aca="false">Scoring!AZ243</f>
        <v/>
      </c>
      <c r="B237" s="135" t="str">
        <f aca="false">Scoring!AY243</f>
        <v/>
      </c>
      <c r="C237" s="135" t="n">
        <f aca="false">Scoring!C243</f>
        <v>0</v>
      </c>
      <c r="D237" s="136" t="str">
        <f aca="false">Scoring!AV243</f>
        <v/>
      </c>
      <c r="E237" s="135" t="str">
        <f aca="false">Scoring!AB243</f>
        <v/>
      </c>
      <c r="F237" s="135" t="n">
        <f aca="false">Scoring!B243</f>
        <v>0</v>
      </c>
      <c r="G237" s="135" t="n">
        <f aca="false">Scoring!D243</f>
        <v>0</v>
      </c>
      <c r="H237" s="135" t="str">
        <f aca="false">Scoring!AX243</f>
        <v/>
      </c>
      <c r="I237" s="137" t="str">
        <f aca="false">Scoring!AW243</f>
        <v/>
      </c>
    </row>
    <row r="238" customFormat="false" ht="15.75" hidden="false" customHeight="false" outlineLevel="0" collapsed="false">
      <c r="A238" s="135" t="str">
        <f aca="false">Scoring!AZ244</f>
        <v/>
      </c>
      <c r="B238" s="135" t="str">
        <f aca="false">Scoring!AY244</f>
        <v/>
      </c>
      <c r="C238" s="135" t="n">
        <f aca="false">Scoring!C244</f>
        <v>0</v>
      </c>
      <c r="D238" s="136" t="str">
        <f aca="false">Scoring!AV244</f>
        <v/>
      </c>
      <c r="E238" s="135" t="str">
        <f aca="false">Scoring!AB244</f>
        <v/>
      </c>
      <c r="F238" s="135" t="n">
        <f aca="false">Scoring!B244</f>
        <v>0</v>
      </c>
      <c r="G238" s="135" t="n">
        <f aca="false">Scoring!D244</f>
        <v>0</v>
      </c>
      <c r="H238" s="135" t="str">
        <f aca="false">Scoring!AX244</f>
        <v/>
      </c>
      <c r="I238" s="137" t="str">
        <f aca="false">Scoring!AW244</f>
        <v/>
      </c>
    </row>
    <row r="239" customFormat="false" ht="15.75" hidden="false" customHeight="false" outlineLevel="0" collapsed="false">
      <c r="A239" s="135" t="str">
        <f aca="false">Scoring!AZ245</f>
        <v/>
      </c>
      <c r="B239" s="135" t="str">
        <f aca="false">Scoring!AY245</f>
        <v/>
      </c>
      <c r="C239" s="135" t="n">
        <f aca="false">Scoring!C245</f>
        <v>0</v>
      </c>
      <c r="D239" s="136" t="str">
        <f aca="false">Scoring!AV245</f>
        <v/>
      </c>
      <c r="E239" s="135" t="str">
        <f aca="false">Scoring!AB245</f>
        <v/>
      </c>
      <c r="F239" s="135" t="n">
        <f aca="false">Scoring!B245</f>
        <v>0</v>
      </c>
      <c r="G239" s="135" t="n">
        <f aca="false">Scoring!D245</f>
        <v>0</v>
      </c>
      <c r="H239" s="135" t="str">
        <f aca="false">Scoring!AX245</f>
        <v/>
      </c>
      <c r="I239" s="137" t="str">
        <f aca="false">Scoring!AW245</f>
        <v/>
      </c>
    </row>
    <row r="240" customFormat="false" ht="15.75" hidden="false" customHeight="false" outlineLevel="0" collapsed="false">
      <c r="A240" s="135" t="str">
        <f aca="false">Scoring!AZ246</f>
        <v/>
      </c>
      <c r="B240" s="135" t="str">
        <f aca="false">Scoring!AY246</f>
        <v/>
      </c>
      <c r="C240" s="135" t="n">
        <f aca="false">Scoring!C246</f>
        <v>0</v>
      </c>
      <c r="D240" s="136" t="str">
        <f aca="false">Scoring!AV246</f>
        <v/>
      </c>
      <c r="E240" s="135" t="str">
        <f aca="false">Scoring!AB246</f>
        <v/>
      </c>
      <c r="F240" s="135" t="n">
        <f aca="false">Scoring!B246</f>
        <v>0</v>
      </c>
      <c r="G240" s="135" t="n">
        <f aca="false">Scoring!D246</f>
        <v>0</v>
      </c>
      <c r="H240" s="135" t="str">
        <f aca="false">Scoring!AX246</f>
        <v/>
      </c>
      <c r="I240" s="137" t="str">
        <f aca="false">Scoring!AW246</f>
        <v/>
      </c>
    </row>
    <row r="241" customFormat="false" ht="15.75" hidden="false" customHeight="false" outlineLevel="0" collapsed="false">
      <c r="A241" s="135" t="str">
        <f aca="false">Scoring!AZ247</f>
        <v/>
      </c>
      <c r="B241" s="135" t="str">
        <f aca="false">Scoring!AY247</f>
        <v/>
      </c>
      <c r="C241" s="135" t="n">
        <f aca="false">Scoring!C247</f>
        <v>0</v>
      </c>
      <c r="D241" s="136" t="str">
        <f aca="false">Scoring!AV247</f>
        <v/>
      </c>
      <c r="E241" s="135" t="str">
        <f aca="false">Scoring!AB247</f>
        <v/>
      </c>
      <c r="F241" s="135" t="n">
        <f aca="false">Scoring!B247</f>
        <v>0</v>
      </c>
      <c r="G241" s="135" t="n">
        <f aca="false">Scoring!D247</f>
        <v>0</v>
      </c>
      <c r="H241" s="135" t="str">
        <f aca="false">Scoring!AX247</f>
        <v/>
      </c>
      <c r="I241" s="137" t="str">
        <f aca="false">Scoring!AW247</f>
        <v/>
      </c>
    </row>
    <row r="242" customFormat="false" ht="15.75" hidden="false" customHeight="false" outlineLevel="0" collapsed="false">
      <c r="A242" s="135" t="str">
        <f aca="false">Scoring!AZ248</f>
        <v/>
      </c>
      <c r="B242" s="135" t="str">
        <f aca="false">Scoring!AY248</f>
        <v/>
      </c>
      <c r="C242" s="135" t="n">
        <f aca="false">Scoring!C248</f>
        <v>0</v>
      </c>
      <c r="D242" s="136" t="str">
        <f aca="false">Scoring!AV248</f>
        <v/>
      </c>
      <c r="E242" s="135" t="str">
        <f aca="false">Scoring!AB248</f>
        <v/>
      </c>
      <c r="F242" s="135" t="n">
        <f aca="false">Scoring!B248</f>
        <v>0</v>
      </c>
      <c r="G242" s="135" t="n">
        <f aca="false">Scoring!D248</f>
        <v>0</v>
      </c>
      <c r="H242" s="135" t="str">
        <f aca="false">Scoring!AX248</f>
        <v/>
      </c>
      <c r="I242" s="137" t="str">
        <f aca="false">Scoring!AW248</f>
        <v/>
      </c>
    </row>
    <row r="243" customFormat="false" ht="15.75" hidden="false" customHeight="false" outlineLevel="0" collapsed="false">
      <c r="A243" s="135" t="str">
        <f aca="false">Scoring!AZ249</f>
        <v/>
      </c>
      <c r="B243" s="135" t="str">
        <f aca="false">Scoring!AY249</f>
        <v/>
      </c>
      <c r="C243" s="135" t="n">
        <f aca="false">Scoring!C249</f>
        <v>0</v>
      </c>
      <c r="D243" s="136" t="str">
        <f aca="false">Scoring!AV249</f>
        <v/>
      </c>
      <c r="E243" s="135" t="str">
        <f aca="false">Scoring!AB249</f>
        <v/>
      </c>
      <c r="F243" s="135" t="n">
        <f aca="false">Scoring!B249</f>
        <v>0</v>
      </c>
      <c r="G243" s="135" t="n">
        <f aca="false">Scoring!D249</f>
        <v>0</v>
      </c>
      <c r="H243" s="135" t="str">
        <f aca="false">Scoring!AX249</f>
        <v/>
      </c>
      <c r="I243" s="137" t="str">
        <f aca="false">Scoring!AW249</f>
        <v/>
      </c>
    </row>
    <row r="244" customFormat="false" ht="15.75" hidden="false" customHeight="false" outlineLevel="0" collapsed="false">
      <c r="A244" s="135" t="str">
        <f aca="false">Scoring!AZ250</f>
        <v/>
      </c>
      <c r="B244" s="135" t="str">
        <f aca="false">Scoring!AY250</f>
        <v/>
      </c>
      <c r="C244" s="135" t="n">
        <f aca="false">Scoring!C250</f>
        <v>0</v>
      </c>
      <c r="D244" s="136" t="str">
        <f aca="false">Scoring!AV250</f>
        <v/>
      </c>
      <c r="E244" s="135" t="str">
        <f aca="false">Scoring!AB250</f>
        <v/>
      </c>
      <c r="F244" s="135" t="n">
        <f aca="false">Scoring!B250</f>
        <v>0</v>
      </c>
      <c r="G244" s="135" t="n">
        <f aca="false">Scoring!D250</f>
        <v>0</v>
      </c>
      <c r="H244" s="135" t="str">
        <f aca="false">Scoring!AX250</f>
        <v/>
      </c>
      <c r="I244" s="137" t="str">
        <f aca="false">Scoring!AW250</f>
        <v/>
      </c>
    </row>
    <row r="245" customFormat="false" ht="15.75" hidden="false" customHeight="false" outlineLevel="0" collapsed="false">
      <c r="A245" s="135" t="str">
        <f aca="false">Scoring!AZ251</f>
        <v/>
      </c>
      <c r="B245" s="135" t="str">
        <f aca="false">Scoring!AY251</f>
        <v/>
      </c>
      <c r="C245" s="135" t="n">
        <f aca="false">Scoring!C251</f>
        <v>0</v>
      </c>
      <c r="D245" s="136" t="str">
        <f aca="false">Scoring!AV251</f>
        <v/>
      </c>
      <c r="E245" s="135" t="str">
        <f aca="false">Scoring!AB251</f>
        <v/>
      </c>
      <c r="F245" s="135" t="n">
        <f aca="false">Scoring!B251</f>
        <v>0</v>
      </c>
      <c r="G245" s="135" t="n">
        <f aca="false">Scoring!D251</f>
        <v>0</v>
      </c>
      <c r="H245" s="135" t="str">
        <f aca="false">Scoring!AX251</f>
        <v/>
      </c>
      <c r="I245" s="137" t="str">
        <f aca="false">Scoring!AW251</f>
        <v/>
      </c>
    </row>
    <row r="246" customFormat="false" ht="15.75" hidden="false" customHeight="false" outlineLevel="0" collapsed="false">
      <c r="A246" s="135" t="str">
        <f aca="false">Scoring!AZ252</f>
        <v/>
      </c>
      <c r="B246" s="135" t="str">
        <f aca="false">Scoring!AY252</f>
        <v/>
      </c>
      <c r="C246" s="135" t="n">
        <f aca="false">Scoring!C252</f>
        <v>0</v>
      </c>
      <c r="D246" s="136" t="str">
        <f aca="false">Scoring!AV252</f>
        <v/>
      </c>
      <c r="E246" s="135" t="str">
        <f aca="false">Scoring!AB252</f>
        <v/>
      </c>
      <c r="F246" s="135" t="n">
        <f aca="false">Scoring!B252</f>
        <v>0</v>
      </c>
      <c r="G246" s="135" t="n">
        <f aca="false">Scoring!D252</f>
        <v>0</v>
      </c>
      <c r="H246" s="135" t="str">
        <f aca="false">Scoring!AX252</f>
        <v/>
      </c>
      <c r="I246" s="137" t="str">
        <f aca="false">Scoring!AW252</f>
        <v/>
      </c>
    </row>
    <row r="247" customFormat="false" ht="15.75" hidden="false" customHeight="false" outlineLevel="0" collapsed="false">
      <c r="A247" s="135" t="str">
        <f aca="false">Scoring!AZ253</f>
        <v/>
      </c>
      <c r="B247" s="135" t="str">
        <f aca="false">Scoring!AY253</f>
        <v/>
      </c>
      <c r="C247" s="135" t="n">
        <f aca="false">Scoring!C253</f>
        <v>0</v>
      </c>
      <c r="D247" s="136" t="str">
        <f aca="false">Scoring!AV253</f>
        <v/>
      </c>
      <c r="E247" s="135" t="str">
        <f aca="false">Scoring!AB253</f>
        <v/>
      </c>
      <c r="F247" s="135" t="n">
        <f aca="false">Scoring!B253</f>
        <v>0</v>
      </c>
      <c r="G247" s="135" t="n">
        <f aca="false">Scoring!D253</f>
        <v>0</v>
      </c>
      <c r="H247" s="135" t="str">
        <f aca="false">Scoring!AX253</f>
        <v/>
      </c>
      <c r="I247" s="137" t="str">
        <f aca="false">Scoring!AW253</f>
        <v/>
      </c>
    </row>
    <row r="248" customFormat="false" ht="15.75" hidden="false" customHeight="false" outlineLevel="0" collapsed="false">
      <c r="A248" s="135" t="str">
        <f aca="false">Scoring!AZ254</f>
        <v/>
      </c>
      <c r="B248" s="135" t="str">
        <f aca="false">Scoring!AY254</f>
        <v/>
      </c>
      <c r="C248" s="135" t="n">
        <f aca="false">Scoring!C254</f>
        <v>0</v>
      </c>
      <c r="D248" s="136" t="str">
        <f aca="false">Scoring!AV254</f>
        <v/>
      </c>
      <c r="E248" s="135" t="str">
        <f aca="false">Scoring!AB254</f>
        <v/>
      </c>
      <c r="F248" s="135" t="n">
        <f aca="false">Scoring!B254</f>
        <v>0</v>
      </c>
      <c r="G248" s="135" t="n">
        <f aca="false">Scoring!D254</f>
        <v>0</v>
      </c>
      <c r="H248" s="135" t="str">
        <f aca="false">Scoring!AX254</f>
        <v/>
      </c>
      <c r="I248" s="137" t="str">
        <f aca="false">Scoring!AW254</f>
        <v/>
      </c>
    </row>
    <row r="249" customFormat="false" ht="15.75" hidden="false" customHeight="false" outlineLevel="0" collapsed="false">
      <c r="A249" s="135" t="str">
        <f aca="false">Scoring!AZ255</f>
        <v/>
      </c>
      <c r="B249" s="135" t="str">
        <f aca="false">Scoring!AY255</f>
        <v/>
      </c>
      <c r="C249" s="135" t="n">
        <f aca="false">Scoring!C255</f>
        <v>0</v>
      </c>
      <c r="D249" s="136" t="str">
        <f aca="false">Scoring!AV255</f>
        <v/>
      </c>
      <c r="E249" s="135" t="str">
        <f aca="false">Scoring!AB255</f>
        <v/>
      </c>
      <c r="F249" s="135" t="n">
        <f aca="false">Scoring!B255</f>
        <v>0</v>
      </c>
      <c r="G249" s="135" t="n">
        <f aca="false">Scoring!D255</f>
        <v>0</v>
      </c>
      <c r="H249" s="135" t="str">
        <f aca="false">Scoring!AX255</f>
        <v/>
      </c>
      <c r="I249" s="137" t="str">
        <f aca="false">Scoring!AW255</f>
        <v/>
      </c>
    </row>
    <row r="250" customFormat="false" ht="15.75" hidden="false" customHeight="false" outlineLevel="0" collapsed="false">
      <c r="A250" s="135" t="str">
        <f aca="false">Scoring!AZ256</f>
        <v/>
      </c>
      <c r="B250" s="135" t="str">
        <f aca="false">Scoring!AY256</f>
        <v/>
      </c>
      <c r="C250" s="135" t="n">
        <f aca="false">Scoring!C256</f>
        <v>0</v>
      </c>
      <c r="D250" s="136" t="str">
        <f aca="false">Scoring!AV256</f>
        <v/>
      </c>
      <c r="E250" s="135" t="str">
        <f aca="false">Scoring!AB256</f>
        <v/>
      </c>
      <c r="F250" s="135" t="n">
        <f aca="false">Scoring!B256</f>
        <v>0</v>
      </c>
      <c r="G250" s="135" t="n">
        <f aca="false">Scoring!D256</f>
        <v>0</v>
      </c>
      <c r="H250" s="135" t="str">
        <f aca="false">Scoring!AX256</f>
        <v/>
      </c>
      <c r="I250" s="137" t="str">
        <f aca="false">Scoring!AW256</f>
        <v/>
      </c>
    </row>
    <row r="251" customFormat="false" ht="15.75" hidden="false" customHeight="false" outlineLevel="0" collapsed="false">
      <c r="A251" s="135" t="str">
        <f aca="false">Scoring!AZ257</f>
        <v/>
      </c>
      <c r="B251" s="135" t="str">
        <f aca="false">Scoring!AY257</f>
        <v/>
      </c>
      <c r="C251" s="135" t="n">
        <f aca="false">Scoring!C257</f>
        <v>0</v>
      </c>
      <c r="D251" s="136" t="str">
        <f aca="false">Scoring!AV257</f>
        <v/>
      </c>
      <c r="E251" s="135" t="str">
        <f aca="false">Scoring!AB257</f>
        <v/>
      </c>
      <c r="F251" s="135" t="n">
        <f aca="false">Scoring!B257</f>
        <v>0</v>
      </c>
      <c r="G251" s="135" t="n">
        <f aca="false">Scoring!D257</f>
        <v>0</v>
      </c>
      <c r="H251" s="135" t="str">
        <f aca="false">Scoring!AX257</f>
        <v/>
      </c>
      <c r="I251" s="137" t="str">
        <f aca="false">Scoring!AW257</f>
        <v/>
      </c>
    </row>
    <row r="252" customFormat="false" ht="15.75" hidden="false" customHeight="false" outlineLevel="0" collapsed="false">
      <c r="A252" s="135" t="str">
        <f aca="false">Scoring!AZ258</f>
        <v/>
      </c>
      <c r="B252" s="135" t="str">
        <f aca="false">Scoring!AY258</f>
        <v/>
      </c>
      <c r="C252" s="135" t="n">
        <f aca="false">Scoring!C258</f>
        <v>0</v>
      </c>
      <c r="D252" s="136" t="str">
        <f aca="false">Scoring!AV258</f>
        <v/>
      </c>
      <c r="E252" s="135" t="str">
        <f aca="false">Scoring!AB258</f>
        <v/>
      </c>
      <c r="F252" s="135" t="n">
        <f aca="false">Scoring!B258</f>
        <v>0</v>
      </c>
      <c r="G252" s="135" t="n">
        <f aca="false">Scoring!D258</f>
        <v>0</v>
      </c>
      <c r="H252" s="135" t="str">
        <f aca="false">Scoring!AX258</f>
        <v/>
      </c>
      <c r="I252" s="137" t="str">
        <f aca="false">Scoring!AW258</f>
        <v/>
      </c>
    </row>
    <row r="253" customFormat="false" ht="15.75" hidden="false" customHeight="false" outlineLevel="0" collapsed="false">
      <c r="A253" s="135" t="str">
        <f aca="false">Scoring!AZ259</f>
        <v/>
      </c>
      <c r="B253" s="135" t="str">
        <f aca="false">Scoring!AY259</f>
        <v/>
      </c>
      <c r="C253" s="135" t="n">
        <f aca="false">Scoring!C259</f>
        <v>0</v>
      </c>
      <c r="D253" s="136" t="str">
        <f aca="false">Scoring!AV259</f>
        <v/>
      </c>
      <c r="E253" s="135" t="str">
        <f aca="false">Scoring!AB259</f>
        <v/>
      </c>
      <c r="F253" s="135" t="n">
        <f aca="false">Scoring!B259</f>
        <v>0</v>
      </c>
      <c r="G253" s="135" t="n">
        <f aca="false">Scoring!D259</f>
        <v>0</v>
      </c>
      <c r="H253" s="135" t="str">
        <f aca="false">Scoring!AX259</f>
        <v/>
      </c>
      <c r="I253" s="137" t="str">
        <f aca="false">Scoring!AW259</f>
        <v/>
      </c>
    </row>
    <row r="254" customFormat="false" ht="15.75" hidden="false" customHeight="false" outlineLevel="0" collapsed="false">
      <c r="A254" s="135" t="str">
        <f aca="false">Scoring!AZ260</f>
        <v/>
      </c>
      <c r="B254" s="135" t="str">
        <f aca="false">Scoring!AY260</f>
        <v/>
      </c>
      <c r="C254" s="135" t="n">
        <f aca="false">Scoring!C260</f>
        <v>0</v>
      </c>
      <c r="D254" s="136" t="str">
        <f aca="false">Scoring!AV260</f>
        <v/>
      </c>
      <c r="E254" s="135" t="str">
        <f aca="false">Scoring!AB260</f>
        <v/>
      </c>
      <c r="F254" s="135" t="n">
        <f aca="false">Scoring!B260</f>
        <v>0</v>
      </c>
      <c r="G254" s="135" t="n">
        <f aca="false">Scoring!D260</f>
        <v>0</v>
      </c>
      <c r="H254" s="135" t="str">
        <f aca="false">Scoring!AX260</f>
        <v/>
      </c>
      <c r="I254" s="137" t="str">
        <f aca="false">Scoring!AW260</f>
        <v/>
      </c>
    </row>
    <row r="255" customFormat="false" ht="15.75" hidden="false" customHeight="false" outlineLevel="0" collapsed="false">
      <c r="A255" s="135" t="str">
        <f aca="false">Scoring!AZ261</f>
        <v/>
      </c>
      <c r="B255" s="135" t="str">
        <f aca="false">Scoring!AY261</f>
        <v/>
      </c>
      <c r="C255" s="135" t="n">
        <f aca="false">Scoring!C261</f>
        <v>0</v>
      </c>
      <c r="D255" s="136" t="str">
        <f aca="false">Scoring!AV261</f>
        <v/>
      </c>
      <c r="E255" s="135" t="str">
        <f aca="false">Scoring!AB261</f>
        <v/>
      </c>
      <c r="F255" s="135" t="n">
        <f aca="false">Scoring!B261</f>
        <v>0</v>
      </c>
      <c r="G255" s="135" t="n">
        <f aca="false">Scoring!D261</f>
        <v>0</v>
      </c>
      <c r="H255" s="135" t="str">
        <f aca="false">Scoring!AX261</f>
        <v/>
      </c>
      <c r="I255" s="137" t="str">
        <f aca="false">Scoring!AW261</f>
        <v/>
      </c>
    </row>
    <row r="256" customFormat="false" ht="15.75" hidden="false" customHeight="false" outlineLevel="0" collapsed="false">
      <c r="A256" s="135" t="str">
        <f aca="false">Scoring!AZ262</f>
        <v/>
      </c>
      <c r="B256" s="135" t="str">
        <f aca="false">Scoring!AY262</f>
        <v/>
      </c>
      <c r="C256" s="135" t="n">
        <f aca="false">Scoring!C262</f>
        <v>0</v>
      </c>
      <c r="D256" s="136" t="str">
        <f aca="false">Scoring!AV262</f>
        <v/>
      </c>
      <c r="E256" s="135" t="str">
        <f aca="false">Scoring!AB262</f>
        <v/>
      </c>
      <c r="F256" s="135" t="n">
        <f aca="false">Scoring!B262</f>
        <v>0</v>
      </c>
      <c r="G256" s="135" t="n">
        <f aca="false">Scoring!D262</f>
        <v>0</v>
      </c>
      <c r="H256" s="135" t="str">
        <f aca="false">Scoring!AX262</f>
        <v/>
      </c>
      <c r="I256" s="137" t="str">
        <f aca="false">Scoring!AW262</f>
        <v/>
      </c>
    </row>
    <row r="257" customFormat="false" ht="15.75" hidden="false" customHeight="false" outlineLevel="0" collapsed="false">
      <c r="A257" s="135" t="str">
        <f aca="false">Scoring!AZ263</f>
        <v/>
      </c>
      <c r="B257" s="135" t="str">
        <f aca="false">Scoring!AY263</f>
        <v/>
      </c>
      <c r="C257" s="135" t="n">
        <f aca="false">Scoring!C263</f>
        <v>0</v>
      </c>
      <c r="D257" s="136" t="str">
        <f aca="false">Scoring!AV263</f>
        <v/>
      </c>
      <c r="E257" s="135" t="str">
        <f aca="false">Scoring!AB263</f>
        <v/>
      </c>
      <c r="F257" s="135" t="n">
        <f aca="false">Scoring!B263</f>
        <v>0</v>
      </c>
      <c r="G257" s="135" t="n">
        <f aca="false">Scoring!D263</f>
        <v>0</v>
      </c>
      <c r="H257" s="135" t="str">
        <f aca="false">Scoring!AX263</f>
        <v/>
      </c>
      <c r="I257" s="137" t="str">
        <f aca="false">Scoring!AW263</f>
        <v/>
      </c>
    </row>
    <row r="258" customFormat="false" ht="15.75" hidden="false" customHeight="false" outlineLevel="0" collapsed="false">
      <c r="A258" s="135" t="str">
        <f aca="false">Scoring!AZ264</f>
        <v/>
      </c>
      <c r="B258" s="135" t="str">
        <f aca="false">Scoring!AY264</f>
        <v/>
      </c>
      <c r="C258" s="135" t="n">
        <f aca="false">Scoring!C264</f>
        <v>0</v>
      </c>
      <c r="D258" s="136" t="str">
        <f aca="false">Scoring!AV264</f>
        <v/>
      </c>
      <c r="E258" s="135" t="str">
        <f aca="false">Scoring!AB264</f>
        <v/>
      </c>
      <c r="F258" s="135" t="n">
        <f aca="false">Scoring!B264</f>
        <v>0</v>
      </c>
      <c r="G258" s="135" t="n">
        <f aca="false">Scoring!D264</f>
        <v>0</v>
      </c>
      <c r="H258" s="135" t="str">
        <f aca="false">Scoring!AX264</f>
        <v/>
      </c>
      <c r="I258" s="137" t="str">
        <f aca="false">Scoring!AW264</f>
        <v/>
      </c>
    </row>
    <row r="259" customFormat="false" ht="15.75" hidden="false" customHeight="false" outlineLevel="0" collapsed="false">
      <c r="A259" s="135" t="str">
        <f aca="false">Scoring!AZ265</f>
        <v/>
      </c>
      <c r="B259" s="135" t="str">
        <f aca="false">Scoring!AY265</f>
        <v/>
      </c>
      <c r="C259" s="135" t="n">
        <f aca="false">Scoring!C265</f>
        <v>0</v>
      </c>
      <c r="D259" s="136" t="str">
        <f aca="false">Scoring!AV265</f>
        <v/>
      </c>
      <c r="E259" s="135" t="str">
        <f aca="false">Scoring!AB265</f>
        <v/>
      </c>
      <c r="F259" s="135" t="n">
        <f aca="false">Scoring!B265</f>
        <v>0</v>
      </c>
      <c r="G259" s="135" t="n">
        <f aca="false">Scoring!D265</f>
        <v>0</v>
      </c>
      <c r="H259" s="135" t="str">
        <f aca="false">Scoring!AX265</f>
        <v/>
      </c>
      <c r="I259" s="137" t="str">
        <f aca="false">Scoring!AW265</f>
        <v/>
      </c>
    </row>
    <row r="260" customFormat="false" ht="15.75" hidden="false" customHeight="false" outlineLevel="0" collapsed="false">
      <c r="A260" s="135" t="str">
        <f aca="false">Scoring!AZ266</f>
        <v/>
      </c>
      <c r="B260" s="135" t="str">
        <f aca="false">Scoring!AY266</f>
        <v/>
      </c>
      <c r="C260" s="135" t="n">
        <f aca="false">Scoring!C266</f>
        <v>0</v>
      </c>
      <c r="D260" s="136" t="str">
        <f aca="false">Scoring!AV266</f>
        <v/>
      </c>
      <c r="E260" s="135" t="str">
        <f aca="false">Scoring!AB266</f>
        <v/>
      </c>
      <c r="F260" s="135" t="n">
        <f aca="false">Scoring!B266</f>
        <v>0</v>
      </c>
      <c r="G260" s="135" t="n">
        <f aca="false">Scoring!D266</f>
        <v>0</v>
      </c>
      <c r="H260" s="135" t="str">
        <f aca="false">Scoring!AX266</f>
        <v/>
      </c>
      <c r="I260" s="137" t="str">
        <f aca="false">Scoring!AW266</f>
        <v/>
      </c>
    </row>
    <row r="261" customFormat="false" ht="15.75" hidden="false" customHeight="false" outlineLevel="0" collapsed="false">
      <c r="A261" s="135" t="str">
        <f aca="false">Scoring!AZ267</f>
        <v/>
      </c>
      <c r="B261" s="135" t="str">
        <f aca="false">Scoring!AY267</f>
        <v/>
      </c>
      <c r="C261" s="135" t="n">
        <f aca="false">Scoring!C267</f>
        <v>0</v>
      </c>
      <c r="D261" s="136" t="str">
        <f aca="false">Scoring!AV267</f>
        <v/>
      </c>
      <c r="E261" s="135" t="str">
        <f aca="false">Scoring!AB267</f>
        <v/>
      </c>
      <c r="F261" s="135" t="n">
        <f aca="false">Scoring!B267</f>
        <v>0</v>
      </c>
      <c r="G261" s="135" t="n">
        <f aca="false">Scoring!D267</f>
        <v>0</v>
      </c>
      <c r="H261" s="135" t="str">
        <f aca="false">Scoring!AX267</f>
        <v/>
      </c>
      <c r="I261" s="137" t="str">
        <f aca="false">Scoring!AW267</f>
        <v/>
      </c>
    </row>
    <row r="262" customFormat="false" ht="15.75" hidden="false" customHeight="false" outlineLevel="0" collapsed="false">
      <c r="A262" s="135" t="str">
        <f aca="false">Scoring!AZ268</f>
        <v/>
      </c>
      <c r="B262" s="135" t="str">
        <f aca="false">Scoring!AY268</f>
        <v/>
      </c>
      <c r="C262" s="135" t="n">
        <f aca="false">Scoring!C268</f>
        <v>0</v>
      </c>
      <c r="D262" s="136" t="str">
        <f aca="false">Scoring!AV268</f>
        <v/>
      </c>
      <c r="E262" s="135" t="str">
        <f aca="false">Scoring!AB268</f>
        <v/>
      </c>
      <c r="F262" s="135" t="n">
        <f aca="false">Scoring!B268</f>
        <v>0</v>
      </c>
      <c r="G262" s="135" t="n">
        <f aca="false">Scoring!D268</f>
        <v>0</v>
      </c>
      <c r="H262" s="135" t="str">
        <f aca="false">Scoring!AX268</f>
        <v/>
      </c>
      <c r="I262" s="137" t="str">
        <f aca="false">Scoring!AW268</f>
        <v/>
      </c>
    </row>
    <row r="263" customFormat="false" ht="15.75" hidden="false" customHeight="false" outlineLevel="0" collapsed="false">
      <c r="A263" s="135" t="str">
        <f aca="false">Scoring!AZ269</f>
        <v/>
      </c>
      <c r="B263" s="135" t="str">
        <f aca="false">Scoring!AY269</f>
        <v/>
      </c>
      <c r="C263" s="135" t="n">
        <f aca="false">Scoring!C269</f>
        <v>0</v>
      </c>
      <c r="D263" s="136" t="str">
        <f aca="false">Scoring!AV269</f>
        <v/>
      </c>
      <c r="E263" s="135" t="str">
        <f aca="false">Scoring!AB269</f>
        <v/>
      </c>
      <c r="F263" s="135" t="n">
        <f aca="false">Scoring!B269</f>
        <v>0</v>
      </c>
      <c r="G263" s="135" t="n">
        <f aca="false">Scoring!D269</f>
        <v>0</v>
      </c>
      <c r="H263" s="135" t="str">
        <f aca="false">Scoring!AX269</f>
        <v/>
      </c>
      <c r="I263" s="137" t="str">
        <f aca="false">Scoring!AW269</f>
        <v/>
      </c>
    </row>
    <row r="264" customFormat="false" ht="15.75" hidden="false" customHeight="false" outlineLevel="0" collapsed="false">
      <c r="A264" s="135" t="str">
        <f aca="false">Scoring!AZ270</f>
        <v/>
      </c>
      <c r="B264" s="135" t="str">
        <f aca="false">Scoring!AY270</f>
        <v/>
      </c>
      <c r="C264" s="135" t="n">
        <f aca="false">Scoring!C270</f>
        <v>0</v>
      </c>
      <c r="D264" s="136" t="str">
        <f aca="false">Scoring!AV270</f>
        <v/>
      </c>
      <c r="E264" s="135" t="str">
        <f aca="false">Scoring!AB270</f>
        <v/>
      </c>
      <c r="F264" s="135" t="n">
        <f aca="false">Scoring!B270</f>
        <v>0</v>
      </c>
      <c r="G264" s="135" t="n">
        <f aca="false">Scoring!D270</f>
        <v>0</v>
      </c>
      <c r="H264" s="135" t="str">
        <f aca="false">Scoring!AX270</f>
        <v/>
      </c>
      <c r="I264" s="137" t="str">
        <f aca="false">Scoring!AW270</f>
        <v/>
      </c>
    </row>
    <row r="265" customFormat="false" ht="15.75" hidden="false" customHeight="false" outlineLevel="0" collapsed="false">
      <c r="A265" s="135" t="str">
        <f aca="false">Scoring!AZ271</f>
        <v/>
      </c>
      <c r="B265" s="135" t="str">
        <f aca="false">Scoring!AY271</f>
        <v/>
      </c>
      <c r="C265" s="135" t="n">
        <f aca="false">Scoring!C271</f>
        <v>0</v>
      </c>
      <c r="D265" s="136" t="str">
        <f aca="false">Scoring!AV271</f>
        <v/>
      </c>
      <c r="E265" s="135" t="str">
        <f aca="false">Scoring!AB271</f>
        <v/>
      </c>
      <c r="F265" s="135" t="n">
        <f aca="false">Scoring!B271</f>
        <v>0</v>
      </c>
      <c r="G265" s="135" t="n">
        <f aca="false">Scoring!D271</f>
        <v>0</v>
      </c>
      <c r="H265" s="135" t="str">
        <f aca="false">Scoring!AX271</f>
        <v/>
      </c>
      <c r="I265" s="137" t="str">
        <f aca="false">Scoring!AW271</f>
        <v/>
      </c>
    </row>
    <row r="266" customFormat="false" ht="15.75" hidden="false" customHeight="false" outlineLevel="0" collapsed="false">
      <c r="A266" s="135" t="str">
        <f aca="false">Scoring!AZ272</f>
        <v/>
      </c>
      <c r="B266" s="135" t="str">
        <f aca="false">Scoring!AY272</f>
        <v/>
      </c>
      <c r="C266" s="135" t="n">
        <f aca="false">Scoring!C272</f>
        <v>0</v>
      </c>
      <c r="D266" s="136" t="str">
        <f aca="false">Scoring!AV272</f>
        <v/>
      </c>
      <c r="E266" s="135" t="str">
        <f aca="false">Scoring!AB272</f>
        <v/>
      </c>
      <c r="F266" s="135" t="n">
        <f aca="false">Scoring!B272</f>
        <v>0</v>
      </c>
      <c r="G266" s="135" t="n">
        <f aca="false">Scoring!D272</f>
        <v>0</v>
      </c>
      <c r="H266" s="135" t="str">
        <f aca="false">Scoring!AX272</f>
        <v/>
      </c>
      <c r="I266" s="137" t="str">
        <f aca="false">Scoring!AW272</f>
        <v/>
      </c>
    </row>
    <row r="267" customFormat="false" ht="15.75" hidden="false" customHeight="false" outlineLevel="0" collapsed="false">
      <c r="A267" s="135" t="str">
        <f aca="false">Scoring!AZ273</f>
        <v/>
      </c>
      <c r="B267" s="135" t="str">
        <f aca="false">Scoring!AY273</f>
        <v/>
      </c>
      <c r="C267" s="135" t="n">
        <f aca="false">Scoring!C273</f>
        <v>0</v>
      </c>
      <c r="D267" s="136" t="str">
        <f aca="false">Scoring!AV273</f>
        <v/>
      </c>
      <c r="E267" s="135" t="str">
        <f aca="false">Scoring!AB273</f>
        <v/>
      </c>
      <c r="F267" s="135" t="n">
        <f aca="false">Scoring!B273</f>
        <v>0</v>
      </c>
      <c r="G267" s="135" t="n">
        <f aca="false">Scoring!D273</f>
        <v>0</v>
      </c>
      <c r="H267" s="135" t="str">
        <f aca="false">Scoring!AX273</f>
        <v/>
      </c>
      <c r="I267" s="137" t="str">
        <f aca="false">Scoring!AW273</f>
        <v/>
      </c>
    </row>
    <row r="268" customFormat="false" ht="15.75" hidden="false" customHeight="false" outlineLevel="0" collapsed="false">
      <c r="A268" s="135" t="str">
        <f aca="false">Scoring!AZ274</f>
        <v/>
      </c>
      <c r="B268" s="135" t="str">
        <f aca="false">Scoring!AY274</f>
        <v/>
      </c>
      <c r="C268" s="135" t="n">
        <f aca="false">Scoring!C274</f>
        <v>0</v>
      </c>
      <c r="D268" s="136" t="str">
        <f aca="false">Scoring!AV274</f>
        <v/>
      </c>
      <c r="E268" s="135" t="str">
        <f aca="false">Scoring!AB274</f>
        <v/>
      </c>
      <c r="F268" s="135" t="n">
        <f aca="false">Scoring!B274</f>
        <v>0</v>
      </c>
      <c r="G268" s="135" t="n">
        <f aca="false">Scoring!D274</f>
        <v>0</v>
      </c>
      <c r="H268" s="135" t="str">
        <f aca="false">Scoring!AX274</f>
        <v/>
      </c>
      <c r="I268" s="137" t="str">
        <f aca="false">Scoring!AW274</f>
        <v/>
      </c>
    </row>
    <row r="269" customFormat="false" ht="15.75" hidden="false" customHeight="false" outlineLevel="0" collapsed="false">
      <c r="A269" s="135" t="str">
        <f aca="false">Scoring!AZ275</f>
        <v/>
      </c>
      <c r="B269" s="135" t="str">
        <f aca="false">Scoring!AY275</f>
        <v/>
      </c>
      <c r="C269" s="135" t="n">
        <f aca="false">Scoring!C275</f>
        <v>0</v>
      </c>
      <c r="D269" s="136" t="str">
        <f aca="false">Scoring!AV275</f>
        <v/>
      </c>
      <c r="E269" s="135" t="str">
        <f aca="false">Scoring!AB275</f>
        <v/>
      </c>
      <c r="F269" s="135" t="n">
        <f aca="false">Scoring!B275</f>
        <v>0</v>
      </c>
      <c r="G269" s="135" t="n">
        <f aca="false">Scoring!D275</f>
        <v>0</v>
      </c>
      <c r="H269" s="135" t="str">
        <f aca="false">Scoring!AX275</f>
        <v/>
      </c>
      <c r="I269" s="137" t="str">
        <f aca="false">Scoring!AW275</f>
        <v/>
      </c>
    </row>
    <row r="270" customFormat="false" ht="15.75" hidden="false" customHeight="false" outlineLevel="0" collapsed="false">
      <c r="A270" s="135" t="str">
        <f aca="false">Scoring!AZ276</f>
        <v/>
      </c>
      <c r="B270" s="135" t="str">
        <f aca="false">Scoring!AY276</f>
        <v/>
      </c>
      <c r="C270" s="135" t="n">
        <f aca="false">Scoring!C276</f>
        <v>0</v>
      </c>
      <c r="D270" s="136" t="str">
        <f aca="false">Scoring!AV276</f>
        <v/>
      </c>
      <c r="E270" s="135" t="str">
        <f aca="false">Scoring!AB276</f>
        <v/>
      </c>
      <c r="F270" s="135" t="n">
        <f aca="false">Scoring!B276</f>
        <v>0</v>
      </c>
      <c r="G270" s="135" t="n">
        <f aca="false">Scoring!D276</f>
        <v>0</v>
      </c>
      <c r="H270" s="135" t="str">
        <f aca="false">Scoring!AX276</f>
        <v/>
      </c>
      <c r="I270" s="137" t="str">
        <f aca="false">Scoring!AW276</f>
        <v/>
      </c>
    </row>
    <row r="271" customFormat="false" ht="15.75" hidden="false" customHeight="false" outlineLevel="0" collapsed="false">
      <c r="A271" s="135" t="str">
        <f aca="false">Scoring!AZ277</f>
        <v/>
      </c>
      <c r="B271" s="135" t="str">
        <f aca="false">Scoring!AY277</f>
        <v/>
      </c>
      <c r="C271" s="135" t="n">
        <f aca="false">Scoring!C277</f>
        <v>0</v>
      </c>
      <c r="D271" s="136" t="str">
        <f aca="false">Scoring!AV277</f>
        <v/>
      </c>
      <c r="E271" s="135" t="str">
        <f aca="false">Scoring!AB277</f>
        <v/>
      </c>
      <c r="F271" s="135" t="n">
        <f aca="false">Scoring!B277</f>
        <v>0</v>
      </c>
      <c r="G271" s="135" t="n">
        <f aca="false">Scoring!D277</f>
        <v>0</v>
      </c>
      <c r="H271" s="135" t="str">
        <f aca="false">Scoring!AX277</f>
        <v/>
      </c>
      <c r="I271" s="137" t="str">
        <f aca="false">Scoring!AW277</f>
        <v/>
      </c>
    </row>
    <row r="272" customFormat="false" ht="15.75" hidden="false" customHeight="false" outlineLevel="0" collapsed="false">
      <c r="A272" s="135" t="str">
        <f aca="false">Scoring!AZ278</f>
        <v/>
      </c>
      <c r="B272" s="135" t="str">
        <f aca="false">Scoring!AY278</f>
        <v/>
      </c>
      <c r="C272" s="135" t="n">
        <f aca="false">Scoring!C278</f>
        <v>0</v>
      </c>
      <c r="D272" s="136" t="str">
        <f aca="false">Scoring!AV278</f>
        <v/>
      </c>
      <c r="E272" s="135" t="str">
        <f aca="false">Scoring!AB278</f>
        <v/>
      </c>
      <c r="F272" s="135" t="n">
        <f aca="false">Scoring!B278</f>
        <v>0</v>
      </c>
      <c r="G272" s="135" t="n">
        <f aca="false">Scoring!D278</f>
        <v>0</v>
      </c>
      <c r="H272" s="135" t="str">
        <f aca="false">Scoring!AX278</f>
        <v/>
      </c>
      <c r="I272" s="137" t="str">
        <f aca="false">Scoring!AW278</f>
        <v/>
      </c>
    </row>
    <row r="273" customFormat="false" ht="15.75" hidden="false" customHeight="false" outlineLevel="0" collapsed="false">
      <c r="A273" s="135" t="str">
        <f aca="false">Scoring!AZ279</f>
        <v/>
      </c>
      <c r="B273" s="135" t="str">
        <f aca="false">Scoring!AY279</f>
        <v/>
      </c>
      <c r="C273" s="135" t="n">
        <f aca="false">Scoring!C279</f>
        <v>0</v>
      </c>
      <c r="D273" s="136" t="str">
        <f aca="false">Scoring!AV279</f>
        <v/>
      </c>
      <c r="E273" s="135" t="str">
        <f aca="false">Scoring!AB279</f>
        <v/>
      </c>
      <c r="F273" s="135" t="n">
        <f aca="false">Scoring!B279</f>
        <v>0</v>
      </c>
      <c r="G273" s="135" t="n">
        <f aca="false">Scoring!D279</f>
        <v>0</v>
      </c>
      <c r="H273" s="135" t="str">
        <f aca="false">Scoring!AX279</f>
        <v/>
      </c>
      <c r="I273" s="137" t="str">
        <f aca="false">Scoring!AW279</f>
        <v/>
      </c>
    </row>
    <row r="274" customFormat="false" ht="15.75" hidden="false" customHeight="false" outlineLevel="0" collapsed="false">
      <c r="A274" s="135" t="str">
        <f aca="false">Scoring!AZ280</f>
        <v/>
      </c>
      <c r="B274" s="135" t="str">
        <f aca="false">Scoring!AY280</f>
        <v/>
      </c>
      <c r="C274" s="135" t="n">
        <f aca="false">Scoring!C280</f>
        <v>0</v>
      </c>
      <c r="D274" s="136" t="str">
        <f aca="false">Scoring!AV280</f>
        <v/>
      </c>
      <c r="E274" s="135" t="str">
        <f aca="false">Scoring!AB280</f>
        <v/>
      </c>
      <c r="F274" s="135" t="n">
        <f aca="false">Scoring!B280</f>
        <v>0</v>
      </c>
      <c r="G274" s="135" t="n">
        <f aca="false">Scoring!D280</f>
        <v>0</v>
      </c>
      <c r="H274" s="135" t="str">
        <f aca="false">Scoring!AX280</f>
        <v/>
      </c>
      <c r="I274" s="137" t="str">
        <f aca="false">Scoring!AW280</f>
        <v/>
      </c>
    </row>
    <row r="275" customFormat="false" ht="15.75" hidden="false" customHeight="false" outlineLevel="0" collapsed="false">
      <c r="A275" s="135" t="str">
        <f aca="false">Scoring!AZ281</f>
        <v/>
      </c>
      <c r="B275" s="135" t="str">
        <f aca="false">Scoring!AY281</f>
        <v/>
      </c>
      <c r="C275" s="135" t="n">
        <f aca="false">Scoring!C281</f>
        <v>0</v>
      </c>
      <c r="D275" s="136" t="str">
        <f aca="false">Scoring!AV281</f>
        <v/>
      </c>
      <c r="E275" s="135" t="str">
        <f aca="false">Scoring!AB281</f>
        <v/>
      </c>
      <c r="F275" s="135" t="n">
        <f aca="false">Scoring!B281</f>
        <v>0</v>
      </c>
      <c r="G275" s="135" t="n">
        <f aca="false">Scoring!D281</f>
        <v>0</v>
      </c>
      <c r="H275" s="135" t="str">
        <f aca="false">Scoring!AX281</f>
        <v/>
      </c>
      <c r="I275" s="137" t="str">
        <f aca="false">Scoring!AW281</f>
        <v/>
      </c>
    </row>
    <row r="276" customFormat="false" ht="15.75" hidden="false" customHeight="false" outlineLevel="0" collapsed="false">
      <c r="A276" s="135" t="str">
        <f aca="false">Scoring!AZ282</f>
        <v/>
      </c>
      <c r="B276" s="135" t="str">
        <f aca="false">Scoring!AY282</f>
        <v/>
      </c>
      <c r="C276" s="135" t="n">
        <f aca="false">Scoring!C282</f>
        <v>0</v>
      </c>
      <c r="D276" s="136" t="str">
        <f aca="false">Scoring!AV282</f>
        <v/>
      </c>
      <c r="E276" s="135" t="str">
        <f aca="false">Scoring!AB282</f>
        <v/>
      </c>
      <c r="F276" s="135" t="n">
        <f aca="false">Scoring!B282</f>
        <v>0</v>
      </c>
      <c r="G276" s="135" t="n">
        <f aca="false">Scoring!D282</f>
        <v>0</v>
      </c>
      <c r="H276" s="135" t="str">
        <f aca="false">Scoring!AX282</f>
        <v/>
      </c>
      <c r="I276" s="137" t="str">
        <f aca="false">Scoring!AW282</f>
        <v/>
      </c>
    </row>
    <row r="277" customFormat="false" ht="15.75" hidden="false" customHeight="false" outlineLevel="0" collapsed="false">
      <c r="A277" s="135" t="str">
        <f aca="false">Scoring!AZ283</f>
        <v/>
      </c>
      <c r="B277" s="135" t="str">
        <f aca="false">Scoring!AY283</f>
        <v/>
      </c>
      <c r="C277" s="135" t="n">
        <f aca="false">Scoring!C283</f>
        <v>0</v>
      </c>
      <c r="D277" s="136" t="str">
        <f aca="false">Scoring!AV283</f>
        <v/>
      </c>
      <c r="E277" s="135" t="str">
        <f aca="false">Scoring!AB283</f>
        <v/>
      </c>
      <c r="F277" s="135" t="n">
        <f aca="false">Scoring!B283</f>
        <v>0</v>
      </c>
      <c r="G277" s="135" t="n">
        <f aca="false">Scoring!D283</f>
        <v>0</v>
      </c>
      <c r="H277" s="135" t="str">
        <f aca="false">Scoring!AX283</f>
        <v/>
      </c>
      <c r="I277" s="137" t="str">
        <f aca="false">Scoring!AW283</f>
        <v/>
      </c>
    </row>
    <row r="278" customFormat="false" ht="15.75" hidden="false" customHeight="false" outlineLevel="0" collapsed="false">
      <c r="A278" s="135" t="str">
        <f aca="false">Scoring!AZ284</f>
        <v/>
      </c>
      <c r="B278" s="135" t="str">
        <f aca="false">Scoring!AY284</f>
        <v/>
      </c>
      <c r="C278" s="135" t="n">
        <f aca="false">Scoring!C284</f>
        <v>0</v>
      </c>
      <c r="D278" s="136" t="str">
        <f aca="false">Scoring!AV284</f>
        <v/>
      </c>
      <c r="E278" s="135" t="str">
        <f aca="false">Scoring!AB284</f>
        <v/>
      </c>
      <c r="F278" s="135" t="n">
        <f aca="false">Scoring!B284</f>
        <v>0</v>
      </c>
      <c r="G278" s="135" t="n">
        <f aca="false">Scoring!D284</f>
        <v>0</v>
      </c>
      <c r="H278" s="135" t="str">
        <f aca="false">Scoring!AX284</f>
        <v/>
      </c>
      <c r="I278" s="137" t="str">
        <f aca="false">Scoring!AW284</f>
        <v/>
      </c>
    </row>
    <row r="279" customFormat="false" ht="15.75" hidden="false" customHeight="false" outlineLevel="0" collapsed="false">
      <c r="A279" s="135" t="str">
        <f aca="false">Scoring!AZ285</f>
        <v/>
      </c>
      <c r="B279" s="135" t="str">
        <f aca="false">Scoring!AY285</f>
        <v/>
      </c>
      <c r="C279" s="135" t="n">
        <f aca="false">Scoring!C285</f>
        <v>0</v>
      </c>
      <c r="D279" s="136" t="str">
        <f aca="false">Scoring!AV285</f>
        <v/>
      </c>
      <c r="E279" s="135" t="str">
        <f aca="false">Scoring!AB285</f>
        <v/>
      </c>
      <c r="F279" s="135" t="n">
        <f aca="false">Scoring!B285</f>
        <v>0</v>
      </c>
      <c r="G279" s="135" t="n">
        <f aca="false">Scoring!D285</f>
        <v>0</v>
      </c>
      <c r="H279" s="135" t="str">
        <f aca="false">Scoring!AX285</f>
        <v/>
      </c>
      <c r="I279" s="137" t="str">
        <f aca="false">Scoring!AW285</f>
        <v/>
      </c>
    </row>
    <row r="280" customFormat="false" ht="15.75" hidden="false" customHeight="false" outlineLevel="0" collapsed="false">
      <c r="A280" s="135" t="str">
        <f aca="false">Scoring!AZ286</f>
        <v/>
      </c>
      <c r="B280" s="135" t="str">
        <f aca="false">Scoring!AY286</f>
        <v/>
      </c>
      <c r="C280" s="135" t="n">
        <f aca="false">Scoring!C286</f>
        <v>0</v>
      </c>
      <c r="D280" s="136" t="str">
        <f aca="false">Scoring!AV286</f>
        <v/>
      </c>
      <c r="E280" s="135" t="str">
        <f aca="false">Scoring!AB286</f>
        <v/>
      </c>
      <c r="F280" s="135" t="n">
        <f aca="false">Scoring!B286</f>
        <v>0</v>
      </c>
      <c r="G280" s="135" t="n">
        <f aca="false">Scoring!D286</f>
        <v>0</v>
      </c>
      <c r="H280" s="135" t="str">
        <f aca="false">Scoring!AX286</f>
        <v/>
      </c>
      <c r="I280" s="137" t="str">
        <f aca="false">Scoring!AW286</f>
        <v/>
      </c>
    </row>
    <row r="281" customFormat="false" ht="15.75" hidden="false" customHeight="false" outlineLevel="0" collapsed="false">
      <c r="A281" s="135" t="str">
        <f aca="false">Scoring!AZ287</f>
        <v/>
      </c>
      <c r="B281" s="135" t="str">
        <f aca="false">Scoring!AY287</f>
        <v/>
      </c>
      <c r="C281" s="135" t="n">
        <f aca="false">Scoring!C287</f>
        <v>0</v>
      </c>
      <c r="D281" s="136" t="str">
        <f aca="false">Scoring!AV287</f>
        <v/>
      </c>
      <c r="E281" s="135" t="str">
        <f aca="false">Scoring!AB287</f>
        <v/>
      </c>
      <c r="F281" s="135" t="n">
        <f aca="false">Scoring!B287</f>
        <v>0</v>
      </c>
      <c r="G281" s="135" t="n">
        <f aca="false">Scoring!D287</f>
        <v>0</v>
      </c>
      <c r="H281" s="135" t="str">
        <f aca="false">Scoring!AX287</f>
        <v/>
      </c>
      <c r="I281" s="137" t="str">
        <f aca="false">Scoring!AW287</f>
        <v/>
      </c>
    </row>
    <row r="282" customFormat="false" ht="15.75" hidden="false" customHeight="false" outlineLevel="0" collapsed="false">
      <c r="A282" s="135" t="str">
        <f aca="false">Scoring!AZ288</f>
        <v/>
      </c>
      <c r="B282" s="135" t="str">
        <f aca="false">Scoring!AY288</f>
        <v/>
      </c>
      <c r="C282" s="135" t="n">
        <f aca="false">Scoring!C288</f>
        <v>0</v>
      </c>
      <c r="D282" s="136" t="str">
        <f aca="false">Scoring!AV288</f>
        <v/>
      </c>
      <c r="E282" s="135" t="str">
        <f aca="false">Scoring!AB288</f>
        <v/>
      </c>
      <c r="F282" s="135" t="n">
        <f aca="false">Scoring!B288</f>
        <v>0</v>
      </c>
      <c r="G282" s="135" t="n">
        <f aca="false">Scoring!D288</f>
        <v>0</v>
      </c>
      <c r="H282" s="135" t="str">
        <f aca="false">Scoring!AX288</f>
        <v/>
      </c>
      <c r="I282" s="137" t="str">
        <f aca="false">Scoring!AW288</f>
        <v/>
      </c>
    </row>
    <row r="283" customFormat="false" ht="15.75" hidden="false" customHeight="false" outlineLevel="0" collapsed="false">
      <c r="A283" s="135" t="str">
        <f aca="false">Scoring!AZ289</f>
        <v/>
      </c>
      <c r="B283" s="135" t="str">
        <f aca="false">Scoring!AY289</f>
        <v/>
      </c>
      <c r="C283" s="135" t="n">
        <f aca="false">Scoring!C289</f>
        <v>0</v>
      </c>
      <c r="D283" s="136" t="str">
        <f aca="false">Scoring!AV289</f>
        <v/>
      </c>
      <c r="E283" s="135" t="str">
        <f aca="false">Scoring!AB289</f>
        <v/>
      </c>
      <c r="F283" s="135" t="n">
        <f aca="false">Scoring!B289</f>
        <v>0</v>
      </c>
      <c r="G283" s="135" t="n">
        <f aca="false">Scoring!D289</f>
        <v>0</v>
      </c>
      <c r="H283" s="135" t="str">
        <f aca="false">Scoring!AX289</f>
        <v/>
      </c>
      <c r="I283" s="137" t="str">
        <f aca="false">Scoring!AW289</f>
        <v/>
      </c>
    </row>
    <row r="284" customFormat="false" ht="15.75" hidden="false" customHeight="false" outlineLevel="0" collapsed="false">
      <c r="A284" s="135" t="str">
        <f aca="false">Scoring!AZ290</f>
        <v/>
      </c>
      <c r="B284" s="135" t="str">
        <f aca="false">Scoring!AY290</f>
        <v/>
      </c>
      <c r="C284" s="135" t="n">
        <f aca="false">Scoring!C290</f>
        <v>0</v>
      </c>
      <c r="D284" s="136" t="str">
        <f aca="false">Scoring!AV290</f>
        <v/>
      </c>
      <c r="E284" s="135" t="str">
        <f aca="false">Scoring!AB290</f>
        <v/>
      </c>
      <c r="F284" s="135" t="n">
        <f aca="false">Scoring!B290</f>
        <v>0</v>
      </c>
      <c r="G284" s="135" t="n">
        <f aca="false">Scoring!D290</f>
        <v>0</v>
      </c>
      <c r="H284" s="135" t="str">
        <f aca="false">Scoring!AX290</f>
        <v/>
      </c>
      <c r="I284" s="137" t="str">
        <f aca="false">Scoring!AW290</f>
        <v/>
      </c>
    </row>
    <row r="285" customFormat="false" ht="15.75" hidden="false" customHeight="false" outlineLevel="0" collapsed="false">
      <c r="A285" s="135" t="str">
        <f aca="false">Scoring!AZ291</f>
        <v/>
      </c>
      <c r="B285" s="135" t="str">
        <f aca="false">Scoring!AY291</f>
        <v/>
      </c>
      <c r="C285" s="135" t="n">
        <f aca="false">Scoring!C291</f>
        <v>0</v>
      </c>
      <c r="D285" s="136" t="str">
        <f aca="false">Scoring!AV291</f>
        <v/>
      </c>
      <c r="E285" s="135" t="str">
        <f aca="false">Scoring!AB291</f>
        <v/>
      </c>
      <c r="F285" s="135" t="n">
        <f aca="false">Scoring!B291</f>
        <v>0</v>
      </c>
      <c r="G285" s="135" t="n">
        <f aca="false">Scoring!D291</f>
        <v>0</v>
      </c>
      <c r="H285" s="135" t="str">
        <f aca="false">Scoring!AX291</f>
        <v/>
      </c>
      <c r="I285" s="137" t="str">
        <f aca="false">Scoring!AW291</f>
        <v/>
      </c>
    </row>
    <row r="286" customFormat="false" ht="15.75" hidden="false" customHeight="false" outlineLevel="0" collapsed="false">
      <c r="A286" s="135" t="str">
        <f aca="false">Scoring!AZ292</f>
        <v/>
      </c>
      <c r="B286" s="135" t="str">
        <f aca="false">Scoring!AY292</f>
        <v/>
      </c>
      <c r="C286" s="135" t="n">
        <f aca="false">Scoring!C292</f>
        <v>0</v>
      </c>
      <c r="D286" s="136" t="str">
        <f aca="false">Scoring!AV292</f>
        <v/>
      </c>
      <c r="E286" s="135" t="str">
        <f aca="false">Scoring!AB292</f>
        <v/>
      </c>
      <c r="F286" s="135" t="n">
        <f aca="false">Scoring!B292</f>
        <v>0</v>
      </c>
      <c r="G286" s="135" t="n">
        <f aca="false">Scoring!D292</f>
        <v>0</v>
      </c>
      <c r="H286" s="135" t="str">
        <f aca="false">Scoring!AX292</f>
        <v/>
      </c>
      <c r="I286" s="137" t="str">
        <f aca="false">Scoring!AW292</f>
        <v/>
      </c>
    </row>
    <row r="287" customFormat="false" ht="15.75" hidden="false" customHeight="false" outlineLevel="0" collapsed="false">
      <c r="A287" s="135" t="str">
        <f aca="false">Scoring!AZ293</f>
        <v/>
      </c>
      <c r="B287" s="135" t="str">
        <f aca="false">Scoring!AY293</f>
        <v/>
      </c>
      <c r="C287" s="135" t="n">
        <f aca="false">Scoring!C293</f>
        <v>0</v>
      </c>
      <c r="D287" s="136" t="str">
        <f aca="false">Scoring!AV293</f>
        <v/>
      </c>
      <c r="E287" s="135" t="str">
        <f aca="false">Scoring!AB293</f>
        <v/>
      </c>
      <c r="F287" s="135" t="n">
        <f aca="false">Scoring!B293</f>
        <v>0</v>
      </c>
      <c r="G287" s="135" t="n">
        <f aca="false">Scoring!D293</f>
        <v>0</v>
      </c>
      <c r="H287" s="135" t="str">
        <f aca="false">Scoring!AX293</f>
        <v/>
      </c>
      <c r="I287" s="137" t="str">
        <f aca="false">Scoring!AW293</f>
        <v/>
      </c>
    </row>
    <row r="288" customFormat="false" ht="15.75" hidden="false" customHeight="false" outlineLevel="0" collapsed="false">
      <c r="A288" s="135" t="str">
        <f aca="false">Scoring!AZ294</f>
        <v/>
      </c>
      <c r="B288" s="135" t="str">
        <f aca="false">Scoring!AY294</f>
        <v/>
      </c>
      <c r="C288" s="135" t="n">
        <f aca="false">Scoring!C294</f>
        <v>0</v>
      </c>
      <c r="D288" s="136" t="str">
        <f aca="false">Scoring!AV294</f>
        <v/>
      </c>
      <c r="E288" s="135" t="str">
        <f aca="false">Scoring!AB294</f>
        <v/>
      </c>
      <c r="F288" s="135" t="n">
        <f aca="false">Scoring!B294</f>
        <v>0</v>
      </c>
      <c r="G288" s="135" t="n">
        <f aca="false">Scoring!D294</f>
        <v>0</v>
      </c>
      <c r="H288" s="135" t="str">
        <f aca="false">Scoring!AX294</f>
        <v/>
      </c>
      <c r="I288" s="137" t="str">
        <f aca="false">Scoring!AW294</f>
        <v/>
      </c>
    </row>
    <row r="289" customFormat="false" ht="15.75" hidden="false" customHeight="false" outlineLevel="0" collapsed="false">
      <c r="A289" s="135" t="str">
        <f aca="false">Scoring!AZ295</f>
        <v/>
      </c>
      <c r="B289" s="135" t="str">
        <f aca="false">Scoring!AY295</f>
        <v/>
      </c>
      <c r="C289" s="135" t="n">
        <f aca="false">Scoring!C295</f>
        <v>0</v>
      </c>
      <c r="D289" s="136" t="str">
        <f aca="false">Scoring!AV295</f>
        <v/>
      </c>
      <c r="E289" s="135" t="str">
        <f aca="false">Scoring!AB295</f>
        <v/>
      </c>
      <c r="F289" s="135" t="n">
        <f aca="false">Scoring!B295</f>
        <v>0</v>
      </c>
      <c r="G289" s="135" t="n">
        <f aca="false">Scoring!D295</f>
        <v>0</v>
      </c>
      <c r="H289" s="135" t="str">
        <f aca="false">Scoring!AX295</f>
        <v/>
      </c>
      <c r="I289" s="137" t="str">
        <f aca="false">Scoring!AW295</f>
        <v/>
      </c>
    </row>
    <row r="290" customFormat="false" ht="15.75" hidden="false" customHeight="false" outlineLevel="0" collapsed="false">
      <c r="A290" s="135" t="str">
        <f aca="false">Scoring!AZ296</f>
        <v/>
      </c>
      <c r="B290" s="135" t="str">
        <f aca="false">Scoring!AY296</f>
        <v/>
      </c>
      <c r="C290" s="135" t="n">
        <f aca="false">Scoring!C296</f>
        <v>0</v>
      </c>
      <c r="D290" s="136" t="str">
        <f aca="false">Scoring!AV296</f>
        <v/>
      </c>
      <c r="E290" s="135" t="str">
        <f aca="false">Scoring!AB296</f>
        <v/>
      </c>
      <c r="F290" s="135" t="n">
        <f aca="false">Scoring!B296</f>
        <v>0</v>
      </c>
      <c r="G290" s="135" t="n">
        <f aca="false">Scoring!D296</f>
        <v>0</v>
      </c>
      <c r="H290" s="135" t="str">
        <f aca="false">Scoring!AX296</f>
        <v/>
      </c>
      <c r="I290" s="137" t="str">
        <f aca="false">Scoring!AW296</f>
        <v/>
      </c>
    </row>
    <row r="291" customFormat="false" ht="15.75" hidden="false" customHeight="false" outlineLevel="0" collapsed="false">
      <c r="A291" s="135" t="str">
        <f aca="false">Scoring!AZ297</f>
        <v/>
      </c>
      <c r="B291" s="135" t="str">
        <f aca="false">Scoring!AY297</f>
        <v/>
      </c>
      <c r="C291" s="135" t="n">
        <f aca="false">Scoring!C297</f>
        <v>0</v>
      </c>
      <c r="D291" s="136" t="str">
        <f aca="false">Scoring!AV297</f>
        <v/>
      </c>
      <c r="E291" s="135" t="str">
        <f aca="false">Scoring!AB297</f>
        <v/>
      </c>
      <c r="F291" s="135" t="n">
        <f aca="false">Scoring!B297</f>
        <v>0</v>
      </c>
      <c r="G291" s="135" t="n">
        <f aca="false">Scoring!D297</f>
        <v>0</v>
      </c>
      <c r="H291" s="135" t="str">
        <f aca="false">Scoring!AX297</f>
        <v/>
      </c>
      <c r="I291" s="137" t="str">
        <f aca="false">Scoring!AW297</f>
        <v/>
      </c>
    </row>
    <row r="292" customFormat="false" ht="15.75" hidden="false" customHeight="false" outlineLevel="0" collapsed="false">
      <c r="A292" s="135" t="str">
        <f aca="false">Scoring!AZ298</f>
        <v/>
      </c>
      <c r="B292" s="135" t="str">
        <f aca="false">Scoring!AY298</f>
        <v/>
      </c>
      <c r="C292" s="135" t="n">
        <f aca="false">Scoring!C298</f>
        <v>0</v>
      </c>
      <c r="D292" s="136" t="str">
        <f aca="false">Scoring!AV298</f>
        <v/>
      </c>
      <c r="E292" s="135" t="str">
        <f aca="false">Scoring!AB298</f>
        <v/>
      </c>
      <c r="F292" s="135" t="n">
        <f aca="false">Scoring!B298</f>
        <v>0</v>
      </c>
      <c r="G292" s="135" t="n">
        <f aca="false">Scoring!D298</f>
        <v>0</v>
      </c>
      <c r="H292" s="135" t="str">
        <f aca="false">Scoring!AX298</f>
        <v/>
      </c>
      <c r="I292" s="137" t="str">
        <f aca="false">Scoring!AW298</f>
        <v/>
      </c>
    </row>
    <row r="293" customFormat="false" ht="15.75" hidden="false" customHeight="false" outlineLevel="0" collapsed="false">
      <c r="A293" s="135" t="str">
        <f aca="false">Scoring!AZ299</f>
        <v/>
      </c>
      <c r="B293" s="135" t="str">
        <f aca="false">Scoring!AY299</f>
        <v/>
      </c>
      <c r="C293" s="135" t="n">
        <f aca="false">Scoring!C299</f>
        <v>0</v>
      </c>
      <c r="D293" s="136" t="str">
        <f aca="false">Scoring!AV299</f>
        <v/>
      </c>
      <c r="E293" s="135" t="str">
        <f aca="false">Scoring!AB299</f>
        <v/>
      </c>
      <c r="F293" s="135" t="n">
        <f aca="false">Scoring!B299</f>
        <v>0</v>
      </c>
      <c r="G293" s="135" t="n">
        <f aca="false">Scoring!D299</f>
        <v>0</v>
      </c>
      <c r="H293" s="135" t="str">
        <f aca="false">Scoring!AX299</f>
        <v/>
      </c>
      <c r="I293" s="137" t="str">
        <f aca="false">Scoring!AW299</f>
        <v/>
      </c>
    </row>
    <row r="294" customFormat="false" ht="15.75" hidden="false" customHeight="false" outlineLevel="0" collapsed="false">
      <c r="A294" s="135" t="str">
        <f aca="false">Scoring!AZ300</f>
        <v/>
      </c>
      <c r="B294" s="135" t="str">
        <f aca="false">Scoring!AY300</f>
        <v/>
      </c>
      <c r="C294" s="135" t="n">
        <f aca="false">Scoring!C300</f>
        <v>0</v>
      </c>
      <c r="D294" s="136" t="str">
        <f aca="false">Scoring!AV300</f>
        <v/>
      </c>
      <c r="E294" s="135" t="str">
        <f aca="false">Scoring!AB300</f>
        <v/>
      </c>
      <c r="F294" s="135" t="n">
        <f aca="false">Scoring!B300</f>
        <v>0</v>
      </c>
      <c r="G294" s="135" t="n">
        <f aca="false">Scoring!D300</f>
        <v>0</v>
      </c>
      <c r="H294" s="135" t="str">
        <f aca="false">Scoring!AX300</f>
        <v/>
      </c>
      <c r="I294" s="137" t="str">
        <f aca="false">Scoring!AW300</f>
        <v/>
      </c>
    </row>
    <row r="295" customFormat="false" ht="15.75" hidden="false" customHeight="false" outlineLevel="0" collapsed="false">
      <c r="A295" s="135" t="str">
        <f aca="false">Scoring!AZ301</f>
        <v/>
      </c>
      <c r="B295" s="135" t="str">
        <f aca="false">Scoring!AY301</f>
        <v/>
      </c>
      <c r="C295" s="135" t="n">
        <f aca="false">Scoring!C301</f>
        <v>0</v>
      </c>
      <c r="D295" s="136" t="str">
        <f aca="false">Scoring!AV301</f>
        <v/>
      </c>
      <c r="E295" s="135" t="str">
        <f aca="false">Scoring!AB301</f>
        <v/>
      </c>
      <c r="F295" s="135" t="n">
        <f aca="false">Scoring!B301</f>
        <v>0</v>
      </c>
      <c r="G295" s="135" t="n">
        <f aca="false">Scoring!D301</f>
        <v>0</v>
      </c>
      <c r="H295" s="135" t="str">
        <f aca="false">Scoring!AX301</f>
        <v/>
      </c>
      <c r="I295" s="137" t="str">
        <f aca="false">Scoring!AW301</f>
        <v/>
      </c>
    </row>
    <row r="296" customFormat="false" ht="15.75" hidden="false" customHeight="false" outlineLevel="0" collapsed="false">
      <c r="A296" s="135" t="str">
        <f aca="false">Scoring!AZ302</f>
        <v/>
      </c>
      <c r="B296" s="135" t="str">
        <f aca="false">Scoring!AY302</f>
        <v/>
      </c>
      <c r="C296" s="135" t="n">
        <f aca="false">Scoring!C302</f>
        <v>0</v>
      </c>
      <c r="D296" s="136" t="str">
        <f aca="false">Scoring!AV302</f>
        <v/>
      </c>
      <c r="E296" s="135" t="str">
        <f aca="false">Scoring!AB302</f>
        <v/>
      </c>
      <c r="F296" s="135" t="n">
        <f aca="false">Scoring!B302</f>
        <v>0</v>
      </c>
      <c r="G296" s="135" t="n">
        <f aca="false">Scoring!D302</f>
        <v>0</v>
      </c>
      <c r="H296" s="135" t="str">
        <f aca="false">Scoring!AX302</f>
        <v/>
      </c>
      <c r="I296" s="137" t="str">
        <f aca="false">Scoring!AW302</f>
        <v/>
      </c>
    </row>
    <row r="297" customFormat="false" ht="15.75" hidden="false" customHeight="false" outlineLevel="0" collapsed="false">
      <c r="A297" s="135" t="str">
        <f aca="false">Scoring!AZ303</f>
        <v/>
      </c>
      <c r="B297" s="135" t="str">
        <f aca="false">Scoring!AY303</f>
        <v/>
      </c>
      <c r="C297" s="135" t="n">
        <f aca="false">Scoring!C303</f>
        <v>0</v>
      </c>
      <c r="D297" s="136" t="str">
        <f aca="false">Scoring!AV303</f>
        <v/>
      </c>
      <c r="E297" s="135" t="str">
        <f aca="false">Scoring!AB303</f>
        <v/>
      </c>
      <c r="F297" s="135" t="n">
        <f aca="false">Scoring!B303</f>
        <v>0</v>
      </c>
      <c r="G297" s="135" t="n">
        <f aca="false">Scoring!D303</f>
        <v>0</v>
      </c>
      <c r="H297" s="135" t="str">
        <f aca="false">Scoring!AX303</f>
        <v/>
      </c>
      <c r="I297" s="137" t="str">
        <f aca="false">Scoring!AW303</f>
        <v/>
      </c>
    </row>
    <row r="298" customFormat="false" ht="15.75" hidden="false" customHeight="false" outlineLevel="0" collapsed="false">
      <c r="A298" s="135" t="str">
        <f aca="false">Scoring!AZ304</f>
        <v/>
      </c>
      <c r="B298" s="135" t="str">
        <f aca="false">Scoring!AY304</f>
        <v/>
      </c>
      <c r="C298" s="135" t="n">
        <f aca="false">Scoring!C304</f>
        <v>0</v>
      </c>
      <c r="D298" s="136" t="str">
        <f aca="false">Scoring!AV304</f>
        <v/>
      </c>
      <c r="E298" s="135" t="str">
        <f aca="false">Scoring!AB304</f>
        <v/>
      </c>
      <c r="F298" s="135" t="n">
        <f aca="false">Scoring!B304</f>
        <v>0</v>
      </c>
      <c r="G298" s="135" t="n">
        <f aca="false">Scoring!D304</f>
        <v>0</v>
      </c>
      <c r="H298" s="135" t="str">
        <f aca="false">Scoring!AX304</f>
        <v/>
      </c>
      <c r="I298" s="137" t="str">
        <f aca="false">Scoring!AW304</f>
        <v/>
      </c>
    </row>
    <row r="299" customFormat="false" ht="15.75" hidden="false" customHeight="false" outlineLevel="0" collapsed="false">
      <c r="A299" s="135" t="str">
        <f aca="false">Scoring!AZ305</f>
        <v/>
      </c>
      <c r="B299" s="135" t="str">
        <f aca="false">Scoring!AY305</f>
        <v/>
      </c>
      <c r="C299" s="135" t="n">
        <f aca="false">Scoring!C305</f>
        <v>0</v>
      </c>
      <c r="D299" s="136" t="str">
        <f aca="false">Scoring!AV305</f>
        <v/>
      </c>
      <c r="E299" s="135" t="str">
        <f aca="false">Scoring!AB305</f>
        <v/>
      </c>
      <c r="F299" s="135" t="n">
        <f aca="false">Scoring!B305</f>
        <v>0</v>
      </c>
      <c r="G299" s="135" t="n">
        <f aca="false">Scoring!D305</f>
        <v>0</v>
      </c>
      <c r="H299" s="135" t="str">
        <f aca="false">Scoring!AX305</f>
        <v/>
      </c>
      <c r="I299" s="137" t="str">
        <f aca="false">Scoring!AW305</f>
        <v/>
      </c>
    </row>
    <row r="300" customFormat="false" ht="15.75" hidden="false" customHeight="false" outlineLevel="0" collapsed="false">
      <c r="A300" s="135" t="str">
        <f aca="false">Scoring!AZ306</f>
        <v/>
      </c>
      <c r="B300" s="135" t="str">
        <f aca="false">Scoring!AY306</f>
        <v/>
      </c>
      <c r="C300" s="135" t="n">
        <f aca="false">Scoring!C306</f>
        <v>0</v>
      </c>
      <c r="D300" s="136" t="str">
        <f aca="false">Scoring!AV306</f>
        <v/>
      </c>
      <c r="E300" s="135" t="str">
        <f aca="false">Scoring!AB306</f>
        <v/>
      </c>
      <c r="F300" s="135" t="n">
        <f aca="false">Scoring!B306</f>
        <v>0</v>
      </c>
      <c r="G300" s="135" t="n">
        <f aca="false">Scoring!D306</f>
        <v>0</v>
      </c>
      <c r="H300" s="135" t="str">
        <f aca="false">Scoring!AX306</f>
        <v/>
      </c>
      <c r="I300" s="137" t="str">
        <f aca="false">Scoring!AW306</f>
        <v/>
      </c>
    </row>
    <row r="301" customFormat="false" ht="15.75" hidden="false" customHeight="false" outlineLevel="0" collapsed="false">
      <c r="A301" s="135" t="str">
        <f aca="false">Scoring!AZ307</f>
        <v/>
      </c>
      <c r="B301" s="135" t="str">
        <f aca="false">Scoring!AY307</f>
        <v/>
      </c>
      <c r="C301" s="135" t="n">
        <f aca="false">Scoring!C307</f>
        <v>0</v>
      </c>
      <c r="D301" s="136" t="str">
        <f aca="false">Scoring!AV307</f>
        <v/>
      </c>
      <c r="E301" s="135" t="str">
        <f aca="false">Scoring!AB307</f>
        <v/>
      </c>
      <c r="F301" s="135" t="n">
        <f aca="false">Scoring!B307</f>
        <v>0</v>
      </c>
      <c r="G301" s="135" t="n">
        <f aca="false">Scoring!D307</f>
        <v>0</v>
      </c>
      <c r="H301" s="135" t="str">
        <f aca="false">Scoring!AX307</f>
        <v/>
      </c>
      <c r="I301" s="137" t="str">
        <f aca="false">Scoring!AW307</f>
        <v/>
      </c>
    </row>
    <row r="302" customFormat="false" ht="15.75" hidden="false" customHeight="false" outlineLevel="0" collapsed="false">
      <c r="A302" s="135" t="str">
        <f aca="false">Scoring!AZ308</f>
        <v/>
      </c>
      <c r="B302" s="135" t="str">
        <f aca="false">Scoring!AY308</f>
        <v/>
      </c>
      <c r="C302" s="135" t="n">
        <f aca="false">Scoring!C308</f>
        <v>0</v>
      </c>
      <c r="D302" s="136" t="str">
        <f aca="false">Scoring!AV308</f>
        <v/>
      </c>
      <c r="E302" s="135" t="str">
        <f aca="false">Scoring!AB308</f>
        <v/>
      </c>
      <c r="F302" s="135" t="n">
        <f aca="false">Scoring!B308</f>
        <v>0</v>
      </c>
      <c r="G302" s="135" t="n">
        <f aca="false">Scoring!D308</f>
        <v>0</v>
      </c>
      <c r="H302" s="135" t="str">
        <f aca="false">Scoring!AX308</f>
        <v/>
      </c>
      <c r="I302" s="137" t="str">
        <f aca="false">Scoring!AW308</f>
        <v/>
      </c>
    </row>
    <row r="303" customFormat="false" ht="15.75" hidden="false" customHeight="false" outlineLevel="0" collapsed="false">
      <c r="A303" s="135" t="str">
        <f aca="false">Scoring!AZ309</f>
        <v/>
      </c>
      <c r="B303" s="135" t="str">
        <f aca="false">Scoring!AY309</f>
        <v/>
      </c>
      <c r="C303" s="135" t="n">
        <f aca="false">Scoring!C309</f>
        <v>0</v>
      </c>
      <c r="D303" s="136" t="str">
        <f aca="false">Scoring!AV309</f>
        <v/>
      </c>
      <c r="E303" s="135" t="str">
        <f aca="false">Scoring!AB309</f>
        <v/>
      </c>
      <c r="F303" s="135" t="n">
        <f aca="false">Scoring!B309</f>
        <v>0</v>
      </c>
      <c r="G303" s="135" t="n">
        <f aca="false">Scoring!D309</f>
        <v>0</v>
      </c>
      <c r="H303" s="135" t="str">
        <f aca="false">Scoring!AX309</f>
        <v/>
      </c>
      <c r="I303" s="137" t="str">
        <f aca="false">Scoring!AW309</f>
        <v/>
      </c>
    </row>
    <row r="304" customFormat="false" ht="15.75" hidden="false" customHeight="false" outlineLevel="0" collapsed="false">
      <c r="A304" s="135" t="str">
        <f aca="false">Scoring!AZ310</f>
        <v/>
      </c>
      <c r="B304" s="135" t="str">
        <f aca="false">Scoring!AY310</f>
        <v/>
      </c>
      <c r="C304" s="135" t="n">
        <f aca="false">Scoring!C310</f>
        <v>0</v>
      </c>
      <c r="D304" s="136" t="str">
        <f aca="false">Scoring!AV310</f>
        <v/>
      </c>
      <c r="E304" s="135" t="str">
        <f aca="false">Scoring!AB310</f>
        <v/>
      </c>
      <c r="F304" s="135" t="n">
        <f aca="false">Scoring!B310</f>
        <v>0</v>
      </c>
      <c r="G304" s="135" t="n">
        <f aca="false">Scoring!D310</f>
        <v>0</v>
      </c>
      <c r="H304" s="135" t="str">
        <f aca="false">Scoring!AX310</f>
        <v/>
      </c>
      <c r="I304" s="137" t="str">
        <f aca="false">Scoring!AW310</f>
        <v/>
      </c>
    </row>
    <row r="305" customFormat="false" ht="15.75" hidden="false" customHeight="false" outlineLevel="0" collapsed="false">
      <c r="A305" s="135" t="str">
        <f aca="false">Scoring!AZ311</f>
        <v/>
      </c>
      <c r="B305" s="135" t="str">
        <f aca="false">Scoring!AY311</f>
        <v/>
      </c>
      <c r="C305" s="135" t="n">
        <f aca="false">Scoring!C311</f>
        <v>0</v>
      </c>
      <c r="D305" s="136" t="str">
        <f aca="false">Scoring!AV311</f>
        <v/>
      </c>
      <c r="E305" s="135" t="str">
        <f aca="false">Scoring!AB311</f>
        <v/>
      </c>
      <c r="F305" s="135" t="n">
        <f aca="false">Scoring!B311</f>
        <v>0</v>
      </c>
      <c r="G305" s="135" t="n">
        <f aca="false">Scoring!D311</f>
        <v>0</v>
      </c>
      <c r="H305" s="135" t="str">
        <f aca="false">Scoring!AX311</f>
        <v/>
      </c>
      <c r="I305" s="137" t="str">
        <f aca="false">Scoring!AW311</f>
        <v/>
      </c>
    </row>
    <row r="306" customFormat="false" ht="15.75" hidden="false" customHeight="false" outlineLevel="0" collapsed="false">
      <c r="A306" s="135" t="str">
        <f aca="false">Scoring!AZ312</f>
        <v/>
      </c>
      <c r="B306" s="135" t="str">
        <f aca="false">Scoring!AY312</f>
        <v/>
      </c>
      <c r="C306" s="135" t="n">
        <f aca="false">Scoring!C312</f>
        <v>0</v>
      </c>
      <c r="D306" s="136" t="str">
        <f aca="false">Scoring!AV312</f>
        <v/>
      </c>
      <c r="E306" s="135" t="str">
        <f aca="false">Scoring!AB312</f>
        <v/>
      </c>
      <c r="F306" s="135" t="n">
        <f aca="false">Scoring!B312</f>
        <v>0</v>
      </c>
      <c r="G306" s="135" t="n">
        <f aca="false">Scoring!D312</f>
        <v>0</v>
      </c>
      <c r="H306" s="135" t="str">
        <f aca="false">Scoring!AX312</f>
        <v/>
      </c>
      <c r="I306" s="137" t="str">
        <f aca="false">Scoring!AW312</f>
        <v/>
      </c>
    </row>
    <row r="307" customFormat="false" ht="15.75" hidden="false" customHeight="false" outlineLevel="0" collapsed="false">
      <c r="A307" s="135" t="str">
        <f aca="false">Scoring!AZ313</f>
        <v/>
      </c>
      <c r="B307" s="135" t="str">
        <f aca="false">Scoring!AY313</f>
        <v/>
      </c>
      <c r="C307" s="135" t="n">
        <f aca="false">Scoring!C313</f>
        <v>0</v>
      </c>
      <c r="D307" s="136" t="str">
        <f aca="false">Scoring!AV313</f>
        <v/>
      </c>
      <c r="E307" s="135" t="str">
        <f aca="false">Scoring!AB313</f>
        <v/>
      </c>
      <c r="F307" s="135" t="n">
        <f aca="false">Scoring!B313</f>
        <v>0</v>
      </c>
      <c r="G307" s="135" t="n">
        <f aca="false">Scoring!D313</f>
        <v>0</v>
      </c>
      <c r="H307" s="135" t="str">
        <f aca="false">Scoring!AX313</f>
        <v/>
      </c>
      <c r="I307" s="137" t="str">
        <f aca="false">Scoring!AW313</f>
        <v/>
      </c>
    </row>
    <row r="308" customFormat="false" ht="15.75" hidden="false" customHeight="false" outlineLevel="0" collapsed="false">
      <c r="A308" s="135" t="str">
        <f aca="false">Scoring!AZ314</f>
        <v/>
      </c>
      <c r="B308" s="135" t="str">
        <f aca="false">Scoring!AY314</f>
        <v/>
      </c>
      <c r="C308" s="135" t="n">
        <f aca="false">Scoring!C314</f>
        <v>0</v>
      </c>
      <c r="D308" s="136" t="str">
        <f aca="false">Scoring!AV314</f>
        <v/>
      </c>
      <c r="E308" s="135" t="str">
        <f aca="false">Scoring!AB314</f>
        <v/>
      </c>
      <c r="F308" s="135" t="n">
        <f aca="false">Scoring!B314</f>
        <v>0</v>
      </c>
      <c r="G308" s="135" t="n">
        <f aca="false">Scoring!D314</f>
        <v>0</v>
      </c>
      <c r="H308" s="135" t="str">
        <f aca="false">Scoring!AX314</f>
        <v/>
      </c>
      <c r="I308" s="137" t="str">
        <f aca="false">Scoring!AW314</f>
        <v/>
      </c>
    </row>
    <row r="309" customFormat="false" ht="15.75" hidden="false" customHeight="false" outlineLevel="0" collapsed="false">
      <c r="A309" s="135" t="str">
        <f aca="false">Scoring!AZ315</f>
        <v/>
      </c>
      <c r="B309" s="135" t="str">
        <f aca="false">Scoring!AY315</f>
        <v/>
      </c>
      <c r="C309" s="135" t="n">
        <f aca="false">Scoring!C315</f>
        <v>0</v>
      </c>
      <c r="D309" s="136" t="str">
        <f aca="false">Scoring!AV315</f>
        <v/>
      </c>
      <c r="E309" s="135" t="str">
        <f aca="false">Scoring!AB315</f>
        <v/>
      </c>
      <c r="F309" s="135" t="n">
        <f aca="false">Scoring!B315</f>
        <v>0</v>
      </c>
      <c r="G309" s="135" t="n">
        <f aca="false">Scoring!D315</f>
        <v>0</v>
      </c>
      <c r="H309" s="135" t="str">
        <f aca="false">Scoring!AX315</f>
        <v/>
      </c>
      <c r="I309" s="137" t="str">
        <f aca="false">Scoring!AW315</f>
        <v/>
      </c>
    </row>
    <row r="310" customFormat="false" ht="15.75" hidden="false" customHeight="false" outlineLevel="0" collapsed="false">
      <c r="A310" s="135" t="str">
        <f aca="false">Scoring!AZ316</f>
        <v/>
      </c>
      <c r="B310" s="135" t="str">
        <f aca="false">Scoring!AY316</f>
        <v/>
      </c>
      <c r="C310" s="135" t="n">
        <f aca="false">Scoring!C316</f>
        <v>0</v>
      </c>
      <c r="D310" s="136" t="str">
        <f aca="false">Scoring!AV316</f>
        <v/>
      </c>
      <c r="E310" s="135" t="str">
        <f aca="false">Scoring!AB316</f>
        <v/>
      </c>
      <c r="F310" s="135" t="n">
        <f aca="false">Scoring!B316</f>
        <v>0</v>
      </c>
      <c r="G310" s="135" t="n">
        <f aca="false">Scoring!D316</f>
        <v>0</v>
      </c>
      <c r="H310" s="135" t="str">
        <f aca="false">Scoring!AX316</f>
        <v/>
      </c>
      <c r="I310" s="137" t="str">
        <f aca="false">Scoring!AW316</f>
        <v/>
      </c>
    </row>
    <row r="311" customFormat="false" ht="15.75" hidden="false" customHeight="false" outlineLevel="0" collapsed="false">
      <c r="A311" s="135" t="str">
        <f aca="false">Scoring!AZ317</f>
        <v/>
      </c>
      <c r="B311" s="135" t="str">
        <f aca="false">Scoring!AY317</f>
        <v/>
      </c>
      <c r="C311" s="135" t="n">
        <f aca="false">Scoring!C317</f>
        <v>0</v>
      </c>
      <c r="D311" s="136" t="str">
        <f aca="false">Scoring!AV317</f>
        <v/>
      </c>
      <c r="E311" s="135" t="str">
        <f aca="false">Scoring!AB317</f>
        <v/>
      </c>
      <c r="F311" s="135" t="n">
        <f aca="false">Scoring!B317</f>
        <v>0</v>
      </c>
      <c r="G311" s="135" t="n">
        <f aca="false">Scoring!D317</f>
        <v>0</v>
      </c>
      <c r="H311" s="135" t="str">
        <f aca="false">Scoring!AX317</f>
        <v/>
      </c>
      <c r="I311" s="137" t="str">
        <f aca="false">Scoring!AW317</f>
        <v/>
      </c>
    </row>
    <row r="312" customFormat="false" ht="15.75" hidden="false" customHeight="false" outlineLevel="0" collapsed="false">
      <c r="A312" s="135" t="str">
        <f aca="false">Scoring!AZ318</f>
        <v/>
      </c>
      <c r="B312" s="135" t="str">
        <f aca="false">Scoring!AY318</f>
        <v/>
      </c>
      <c r="C312" s="135" t="n">
        <f aca="false">Scoring!C318</f>
        <v>0</v>
      </c>
      <c r="D312" s="136" t="str">
        <f aca="false">Scoring!AV318</f>
        <v/>
      </c>
      <c r="E312" s="135" t="str">
        <f aca="false">Scoring!AB318</f>
        <v/>
      </c>
      <c r="F312" s="135" t="n">
        <f aca="false">Scoring!B318</f>
        <v>0</v>
      </c>
      <c r="G312" s="135" t="n">
        <f aca="false">Scoring!D318</f>
        <v>0</v>
      </c>
      <c r="H312" s="135" t="str">
        <f aca="false">Scoring!AX318</f>
        <v/>
      </c>
      <c r="I312" s="137" t="str">
        <f aca="false">Scoring!AW318</f>
        <v/>
      </c>
    </row>
    <row r="313" customFormat="false" ht="15.75" hidden="false" customHeight="false" outlineLevel="0" collapsed="false">
      <c r="A313" s="135" t="str">
        <f aca="false">Scoring!AZ319</f>
        <v/>
      </c>
      <c r="B313" s="135" t="str">
        <f aca="false">Scoring!AY319</f>
        <v/>
      </c>
      <c r="C313" s="135" t="n">
        <f aca="false">Scoring!C319</f>
        <v>0</v>
      </c>
      <c r="D313" s="136" t="str">
        <f aca="false">Scoring!AV319</f>
        <v/>
      </c>
      <c r="E313" s="135" t="str">
        <f aca="false">Scoring!AB319</f>
        <v/>
      </c>
      <c r="F313" s="135" t="n">
        <f aca="false">Scoring!B319</f>
        <v>0</v>
      </c>
      <c r="G313" s="135" t="n">
        <f aca="false">Scoring!D319</f>
        <v>0</v>
      </c>
      <c r="H313" s="135" t="str">
        <f aca="false">Scoring!AX319</f>
        <v/>
      </c>
      <c r="I313" s="137" t="str">
        <f aca="false">Scoring!AW319</f>
        <v/>
      </c>
    </row>
    <row r="314" customFormat="false" ht="15.75" hidden="false" customHeight="false" outlineLevel="0" collapsed="false">
      <c r="A314" s="135" t="str">
        <f aca="false">Scoring!AZ320</f>
        <v/>
      </c>
      <c r="B314" s="135" t="str">
        <f aca="false">Scoring!AY320</f>
        <v/>
      </c>
      <c r="C314" s="135" t="n">
        <f aca="false">Scoring!C320</f>
        <v>0</v>
      </c>
      <c r="D314" s="136" t="str">
        <f aca="false">Scoring!AV320</f>
        <v/>
      </c>
      <c r="E314" s="135" t="str">
        <f aca="false">Scoring!AB320</f>
        <v/>
      </c>
      <c r="F314" s="135" t="n">
        <f aca="false">Scoring!B320</f>
        <v>0</v>
      </c>
      <c r="G314" s="135" t="n">
        <f aca="false">Scoring!D320</f>
        <v>0</v>
      </c>
      <c r="H314" s="135" t="str">
        <f aca="false">Scoring!AX320</f>
        <v/>
      </c>
      <c r="I314" s="137" t="str">
        <f aca="false">Scoring!AW320</f>
        <v/>
      </c>
    </row>
    <row r="315" customFormat="false" ht="15.75" hidden="false" customHeight="false" outlineLevel="0" collapsed="false">
      <c r="A315" s="135" t="str">
        <f aca="false">Scoring!AZ321</f>
        <v/>
      </c>
      <c r="B315" s="135" t="str">
        <f aca="false">Scoring!AY321</f>
        <v/>
      </c>
      <c r="C315" s="135" t="n">
        <f aca="false">Scoring!C321</f>
        <v>0</v>
      </c>
      <c r="D315" s="136" t="str">
        <f aca="false">Scoring!AV321</f>
        <v/>
      </c>
      <c r="E315" s="135" t="str">
        <f aca="false">Scoring!AB321</f>
        <v/>
      </c>
      <c r="F315" s="135" t="n">
        <f aca="false">Scoring!B321</f>
        <v>0</v>
      </c>
      <c r="G315" s="135" t="n">
        <f aca="false">Scoring!D321</f>
        <v>0</v>
      </c>
      <c r="H315" s="135" t="str">
        <f aca="false">Scoring!AX321</f>
        <v/>
      </c>
      <c r="I315" s="137" t="str">
        <f aca="false">Scoring!AW321</f>
        <v/>
      </c>
    </row>
    <row r="316" customFormat="false" ht="15.75" hidden="false" customHeight="false" outlineLevel="0" collapsed="false">
      <c r="A316" s="135" t="str">
        <f aca="false">Scoring!AZ322</f>
        <v/>
      </c>
      <c r="B316" s="135" t="str">
        <f aca="false">Scoring!AY322</f>
        <v/>
      </c>
      <c r="C316" s="135" t="n">
        <f aca="false">Scoring!C322</f>
        <v>0</v>
      </c>
      <c r="D316" s="136" t="str">
        <f aca="false">Scoring!AV322</f>
        <v/>
      </c>
      <c r="E316" s="135" t="str">
        <f aca="false">Scoring!AB322</f>
        <v/>
      </c>
      <c r="F316" s="135" t="n">
        <f aca="false">Scoring!B322</f>
        <v>0</v>
      </c>
      <c r="G316" s="135" t="n">
        <f aca="false">Scoring!D322</f>
        <v>0</v>
      </c>
      <c r="H316" s="135" t="str">
        <f aca="false">Scoring!AX322</f>
        <v/>
      </c>
      <c r="I316" s="137" t="str">
        <f aca="false">Scoring!AW322</f>
        <v/>
      </c>
    </row>
    <row r="317" customFormat="false" ht="15.75" hidden="false" customHeight="false" outlineLevel="0" collapsed="false">
      <c r="A317" s="135" t="str">
        <f aca="false">Scoring!AZ323</f>
        <v/>
      </c>
      <c r="B317" s="135" t="str">
        <f aca="false">Scoring!AY323</f>
        <v/>
      </c>
      <c r="C317" s="135" t="n">
        <f aca="false">Scoring!C323</f>
        <v>0</v>
      </c>
      <c r="D317" s="136" t="str">
        <f aca="false">Scoring!AV323</f>
        <v/>
      </c>
      <c r="E317" s="135" t="str">
        <f aca="false">Scoring!AB323</f>
        <v/>
      </c>
      <c r="F317" s="135" t="n">
        <f aca="false">Scoring!B323</f>
        <v>0</v>
      </c>
      <c r="G317" s="135" t="n">
        <f aca="false">Scoring!D323</f>
        <v>0</v>
      </c>
      <c r="H317" s="135" t="str">
        <f aca="false">Scoring!AX323</f>
        <v/>
      </c>
      <c r="I317" s="137" t="str">
        <f aca="false">Scoring!AW323</f>
        <v/>
      </c>
    </row>
    <row r="318" customFormat="false" ht="15.75" hidden="false" customHeight="false" outlineLevel="0" collapsed="false">
      <c r="A318" s="135" t="str">
        <f aca="false">Scoring!AZ324</f>
        <v/>
      </c>
      <c r="B318" s="135" t="str">
        <f aca="false">Scoring!AY324</f>
        <v/>
      </c>
      <c r="C318" s="135" t="n">
        <f aca="false">Scoring!C324</f>
        <v>0</v>
      </c>
      <c r="D318" s="136" t="str">
        <f aca="false">Scoring!AV324</f>
        <v/>
      </c>
      <c r="E318" s="135" t="str">
        <f aca="false">Scoring!AB324</f>
        <v/>
      </c>
      <c r="F318" s="135" t="n">
        <f aca="false">Scoring!B324</f>
        <v>0</v>
      </c>
      <c r="G318" s="135" t="n">
        <f aca="false">Scoring!D324</f>
        <v>0</v>
      </c>
      <c r="H318" s="135" t="str">
        <f aca="false">Scoring!AX324</f>
        <v/>
      </c>
      <c r="I318" s="137" t="str">
        <f aca="false">Scoring!AW324</f>
        <v/>
      </c>
    </row>
    <row r="319" customFormat="false" ht="15.75" hidden="false" customHeight="false" outlineLevel="0" collapsed="false">
      <c r="A319" s="135" t="str">
        <f aca="false">Scoring!AZ325</f>
        <v/>
      </c>
      <c r="B319" s="135" t="str">
        <f aca="false">Scoring!AY325</f>
        <v/>
      </c>
      <c r="C319" s="135" t="n">
        <f aca="false">Scoring!C325</f>
        <v>0</v>
      </c>
      <c r="D319" s="136" t="str">
        <f aca="false">Scoring!AV325</f>
        <v/>
      </c>
      <c r="E319" s="135" t="str">
        <f aca="false">Scoring!AB325</f>
        <v/>
      </c>
      <c r="F319" s="135" t="n">
        <f aca="false">Scoring!B325</f>
        <v>0</v>
      </c>
      <c r="G319" s="135" t="n">
        <f aca="false">Scoring!D325</f>
        <v>0</v>
      </c>
      <c r="H319" s="135" t="str">
        <f aca="false">Scoring!AX325</f>
        <v/>
      </c>
      <c r="I319" s="137" t="str">
        <f aca="false">Scoring!AW325</f>
        <v/>
      </c>
    </row>
    <row r="320" customFormat="false" ht="15.75" hidden="false" customHeight="false" outlineLevel="0" collapsed="false">
      <c r="A320" s="135" t="str">
        <f aca="false">Scoring!AZ326</f>
        <v/>
      </c>
      <c r="B320" s="135" t="str">
        <f aca="false">Scoring!AY326</f>
        <v/>
      </c>
      <c r="C320" s="135" t="n">
        <f aca="false">Scoring!C326</f>
        <v>0</v>
      </c>
      <c r="D320" s="136" t="str">
        <f aca="false">Scoring!AV326</f>
        <v/>
      </c>
      <c r="E320" s="135" t="str">
        <f aca="false">Scoring!AB326</f>
        <v/>
      </c>
      <c r="F320" s="135" t="n">
        <f aca="false">Scoring!B326</f>
        <v>0</v>
      </c>
      <c r="G320" s="135" t="n">
        <f aca="false">Scoring!D326</f>
        <v>0</v>
      </c>
      <c r="H320" s="135" t="str">
        <f aca="false">Scoring!AX326</f>
        <v/>
      </c>
      <c r="I320" s="137" t="str">
        <f aca="false">Scoring!AW326</f>
        <v/>
      </c>
    </row>
    <row r="321" customFormat="false" ht="15.75" hidden="false" customHeight="false" outlineLevel="0" collapsed="false">
      <c r="A321" s="135" t="str">
        <f aca="false">Scoring!AZ327</f>
        <v/>
      </c>
      <c r="B321" s="135" t="str">
        <f aca="false">Scoring!AY327</f>
        <v/>
      </c>
      <c r="C321" s="135" t="n">
        <f aca="false">Scoring!C327</f>
        <v>0</v>
      </c>
      <c r="D321" s="136" t="str">
        <f aca="false">Scoring!AV327</f>
        <v/>
      </c>
      <c r="E321" s="135" t="str">
        <f aca="false">Scoring!AB327</f>
        <v/>
      </c>
      <c r="F321" s="135" t="n">
        <f aca="false">Scoring!B327</f>
        <v>0</v>
      </c>
      <c r="G321" s="135" t="n">
        <f aca="false">Scoring!D327</f>
        <v>0</v>
      </c>
      <c r="H321" s="135" t="str">
        <f aca="false">Scoring!AX327</f>
        <v/>
      </c>
      <c r="I321" s="137" t="str">
        <f aca="false">Scoring!AW327</f>
        <v/>
      </c>
    </row>
    <row r="322" customFormat="false" ht="15.75" hidden="false" customHeight="false" outlineLevel="0" collapsed="false">
      <c r="A322" s="135" t="str">
        <f aca="false">Scoring!AZ328</f>
        <v/>
      </c>
      <c r="B322" s="135" t="str">
        <f aca="false">Scoring!AY328</f>
        <v/>
      </c>
      <c r="C322" s="135" t="n">
        <f aca="false">Scoring!C328</f>
        <v>0</v>
      </c>
      <c r="D322" s="136" t="str">
        <f aca="false">Scoring!AV328</f>
        <v/>
      </c>
      <c r="E322" s="135" t="str">
        <f aca="false">Scoring!AB328</f>
        <v/>
      </c>
      <c r="F322" s="135" t="n">
        <f aca="false">Scoring!B328</f>
        <v>0</v>
      </c>
      <c r="G322" s="135" t="n">
        <f aca="false">Scoring!D328</f>
        <v>0</v>
      </c>
      <c r="H322" s="135" t="str">
        <f aca="false">Scoring!AX328</f>
        <v/>
      </c>
      <c r="I322" s="137" t="str">
        <f aca="false">Scoring!AW328</f>
        <v/>
      </c>
    </row>
    <row r="323" customFormat="false" ht="15.75" hidden="false" customHeight="false" outlineLevel="0" collapsed="false">
      <c r="A323" s="135" t="str">
        <f aca="false">Scoring!AZ329</f>
        <v/>
      </c>
      <c r="B323" s="135" t="str">
        <f aca="false">Scoring!AY329</f>
        <v/>
      </c>
      <c r="C323" s="135" t="n">
        <f aca="false">Scoring!C329</f>
        <v>0</v>
      </c>
      <c r="D323" s="136" t="str">
        <f aca="false">Scoring!AV329</f>
        <v/>
      </c>
      <c r="E323" s="135" t="str">
        <f aca="false">Scoring!AB329</f>
        <v/>
      </c>
      <c r="F323" s="135" t="n">
        <f aca="false">Scoring!B329</f>
        <v>0</v>
      </c>
      <c r="G323" s="135" t="n">
        <f aca="false">Scoring!D329</f>
        <v>0</v>
      </c>
      <c r="H323" s="135" t="str">
        <f aca="false">Scoring!AX329</f>
        <v/>
      </c>
      <c r="I323" s="137" t="str">
        <f aca="false">Scoring!AW329</f>
        <v/>
      </c>
    </row>
    <row r="324" customFormat="false" ht="15.75" hidden="false" customHeight="false" outlineLevel="0" collapsed="false">
      <c r="A324" s="135" t="str">
        <f aca="false">Scoring!AZ330</f>
        <v/>
      </c>
      <c r="B324" s="135" t="str">
        <f aca="false">Scoring!AY330</f>
        <v/>
      </c>
      <c r="C324" s="135" t="n">
        <f aca="false">Scoring!C330</f>
        <v>0</v>
      </c>
      <c r="D324" s="136" t="str">
        <f aca="false">Scoring!AV330</f>
        <v/>
      </c>
      <c r="E324" s="135" t="str">
        <f aca="false">Scoring!AB330</f>
        <v/>
      </c>
      <c r="F324" s="135" t="n">
        <f aca="false">Scoring!B330</f>
        <v>0</v>
      </c>
      <c r="G324" s="135" t="n">
        <f aca="false">Scoring!D330</f>
        <v>0</v>
      </c>
      <c r="H324" s="135" t="str">
        <f aca="false">Scoring!AX330</f>
        <v/>
      </c>
      <c r="I324" s="137" t="str">
        <f aca="false">Scoring!AW330</f>
        <v/>
      </c>
    </row>
    <row r="325" customFormat="false" ht="15.75" hidden="false" customHeight="false" outlineLevel="0" collapsed="false">
      <c r="A325" s="135" t="str">
        <f aca="false">Scoring!AZ331</f>
        <v/>
      </c>
      <c r="B325" s="135" t="str">
        <f aca="false">Scoring!AY331</f>
        <v/>
      </c>
      <c r="C325" s="135" t="n">
        <f aca="false">Scoring!C331</f>
        <v>0</v>
      </c>
      <c r="D325" s="136" t="str">
        <f aca="false">Scoring!AV331</f>
        <v/>
      </c>
      <c r="E325" s="135" t="str">
        <f aca="false">Scoring!AB331</f>
        <v/>
      </c>
      <c r="F325" s="135" t="n">
        <f aca="false">Scoring!B331</f>
        <v>0</v>
      </c>
      <c r="G325" s="135" t="n">
        <f aca="false">Scoring!D331</f>
        <v>0</v>
      </c>
      <c r="H325" s="135" t="str">
        <f aca="false">Scoring!AX331</f>
        <v/>
      </c>
      <c r="I325" s="137" t="str">
        <f aca="false">Scoring!AW331</f>
        <v/>
      </c>
    </row>
    <row r="326" customFormat="false" ht="15.75" hidden="false" customHeight="false" outlineLevel="0" collapsed="false">
      <c r="A326" s="135" t="str">
        <f aca="false">Scoring!AZ332</f>
        <v/>
      </c>
      <c r="B326" s="135" t="str">
        <f aca="false">Scoring!AY332</f>
        <v/>
      </c>
      <c r="C326" s="135" t="n">
        <f aca="false">Scoring!C332</f>
        <v>0</v>
      </c>
      <c r="D326" s="136" t="str">
        <f aca="false">Scoring!AV332</f>
        <v/>
      </c>
      <c r="E326" s="135" t="str">
        <f aca="false">Scoring!AB332</f>
        <v/>
      </c>
      <c r="F326" s="135" t="n">
        <f aca="false">Scoring!B332</f>
        <v>0</v>
      </c>
      <c r="G326" s="135" t="n">
        <f aca="false">Scoring!D332</f>
        <v>0</v>
      </c>
      <c r="H326" s="135" t="str">
        <f aca="false">Scoring!AX332</f>
        <v/>
      </c>
      <c r="I326" s="137" t="str">
        <f aca="false">Scoring!AW332</f>
        <v/>
      </c>
    </row>
    <row r="327" customFormat="false" ht="15.75" hidden="false" customHeight="false" outlineLevel="0" collapsed="false">
      <c r="A327" s="135" t="str">
        <f aca="false">Scoring!AZ333</f>
        <v/>
      </c>
      <c r="B327" s="135" t="str">
        <f aca="false">Scoring!AY333</f>
        <v/>
      </c>
      <c r="C327" s="135" t="n">
        <f aca="false">Scoring!C333</f>
        <v>0</v>
      </c>
      <c r="D327" s="136" t="str">
        <f aca="false">Scoring!AV333</f>
        <v/>
      </c>
      <c r="E327" s="135" t="str">
        <f aca="false">Scoring!AB333</f>
        <v/>
      </c>
      <c r="F327" s="135" t="n">
        <f aca="false">Scoring!B333</f>
        <v>0</v>
      </c>
      <c r="G327" s="135" t="n">
        <f aca="false">Scoring!D333</f>
        <v>0</v>
      </c>
      <c r="H327" s="135" t="str">
        <f aca="false">Scoring!AX333</f>
        <v/>
      </c>
      <c r="I327" s="137" t="str">
        <f aca="false">Scoring!AW333</f>
        <v/>
      </c>
    </row>
    <row r="328" customFormat="false" ht="15.75" hidden="false" customHeight="false" outlineLevel="0" collapsed="false">
      <c r="A328" s="135" t="str">
        <f aca="false">Scoring!AZ334</f>
        <v/>
      </c>
      <c r="B328" s="135" t="str">
        <f aca="false">Scoring!AY334</f>
        <v/>
      </c>
      <c r="C328" s="135" t="n">
        <f aca="false">Scoring!C334</f>
        <v>0</v>
      </c>
      <c r="D328" s="136" t="str">
        <f aca="false">Scoring!AV334</f>
        <v/>
      </c>
      <c r="E328" s="135" t="str">
        <f aca="false">Scoring!AB334</f>
        <v/>
      </c>
      <c r="F328" s="135" t="n">
        <f aca="false">Scoring!B334</f>
        <v>0</v>
      </c>
      <c r="G328" s="135" t="n">
        <f aca="false">Scoring!D334</f>
        <v>0</v>
      </c>
      <c r="H328" s="135" t="str">
        <f aca="false">Scoring!AX334</f>
        <v/>
      </c>
      <c r="I328" s="137" t="str">
        <f aca="false">Scoring!AW334</f>
        <v/>
      </c>
    </row>
    <row r="329" customFormat="false" ht="15.75" hidden="false" customHeight="false" outlineLevel="0" collapsed="false">
      <c r="A329" s="135" t="str">
        <f aca="false">Scoring!AZ335</f>
        <v/>
      </c>
      <c r="B329" s="135" t="str">
        <f aca="false">Scoring!AY335</f>
        <v/>
      </c>
      <c r="C329" s="135" t="n">
        <f aca="false">Scoring!C335</f>
        <v>0</v>
      </c>
      <c r="D329" s="136" t="str">
        <f aca="false">Scoring!AV335</f>
        <v/>
      </c>
      <c r="E329" s="135" t="str">
        <f aca="false">Scoring!AB335</f>
        <v/>
      </c>
      <c r="F329" s="135" t="n">
        <f aca="false">Scoring!B335</f>
        <v>0</v>
      </c>
      <c r="G329" s="135" t="n">
        <f aca="false">Scoring!D335</f>
        <v>0</v>
      </c>
      <c r="H329" s="135" t="str">
        <f aca="false">Scoring!AX335</f>
        <v/>
      </c>
      <c r="I329" s="137" t="str">
        <f aca="false">Scoring!AW335</f>
        <v/>
      </c>
    </row>
    <row r="330" customFormat="false" ht="15.75" hidden="false" customHeight="false" outlineLevel="0" collapsed="false">
      <c r="A330" s="135" t="str">
        <f aca="false">Scoring!AZ336</f>
        <v/>
      </c>
      <c r="B330" s="135" t="str">
        <f aca="false">Scoring!AY336</f>
        <v/>
      </c>
      <c r="C330" s="135" t="n">
        <f aca="false">Scoring!C336</f>
        <v>0</v>
      </c>
      <c r="D330" s="136" t="str">
        <f aca="false">Scoring!AV336</f>
        <v/>
      </c>
      <c r="E330" s="135" t="str">
        <f aca="false">Scoring!AB336</f>
        <v/>
      </c>
      <c r="F330" s="135" t="n">
        <f aca="false">Scoring!B336</f>
        <v>0</v>
      </c>
      <c r="G330" s="135" t="n">
        <f aca="false">Scoring!D336</f>
        <v>0</v>
      </c>
      <c r="H330" s="135" t="str">
        <f aca="false">Scoring!AX336</f>
        <v/>
      </c>
      <c r="I330" s="137" t="str">
        <f aca="false">Scoring!AW336</f>
        <v/>
      </c>
    </row>
    <row r="331" customFormat="false" ht="15.75" hidden="false" customHeight="false" outlineLevel="0" collapsed="false">
      <c r="A331" s="135" t="str">
        <f aca="false">Scoring!AZ337</f>
        <v/>
      </c>
      <c r="B331" s="135" t="str">
        <f aca="false">Scoring!AY337</f>
        <v/>
      </c>
      <c r="C331" s="135" t="n">
        <f aca="false">Scoring!C337</f>
        <v>0</v>
      </c>
      <c r="D331" s="136" t="str">
        <f aca="false">Scoring!AV337</f>
        <v/>
      </c>
      <c r="E331" s="135" t="str">
        <f aca="false">Scoring!AB337</f>
        <v/>
      </c>
      <c r="F331" s="135" t="n">
        <f aca="false">Scoring!B337</f>
        <v>0</v>
      </c>
      <c r="G331" s="135" t="n">
        <f aca="false">Scoring!D337</f>
        <v>0</v>
      </c>
      <c r="H331" s="135" t="str">
        <f aca="false">Scoring!AX337</f>
        <v/>
      </c>
      <c r="I331" s="137" t="str">
        <f aca="false">Scoring!AW337</f>
        <v/>
      </c>
    </row>
    <row r="332" customFormat="false" ht="15.75" hidden="false" customHeight="false" outlineLevel="0" collapsed="false">
      <c r="A332" s="135" t="str">
        <f aca="false">Scoring!AZ338</f>
        <v/>
      </c>
      <c r="B332" s="135" t="str">
        <f aca="false">Scoring!AY338</f>
        <v/>
      </c>
      <c r="C332" s="135" t="n">
        <f aca="false">Scoring!C338</f>
        <v>0</v>
      </c>
      <c r="D332" s="136" t="str">
        <f aca="false">Scoring!AV338</f>
        <v/>
      </c>
      <c r="E332" s="135" t="str">
        <f aca="false">Scoring!AB338</f>
        <v/>
      </c>
      <c r="F332" s="135" t="n">
        <f aca="false">Scoring!B338</f>
        <v>0</v>
      </c>
      <c r="G332" s="135" t="n">
        <f aca="false">Scoring!D338</f>
        <v>0</v>
      </c>
      <c r="H332" s="135" t="str">
        <f aca="false">Scoring!AX338</f>
        <v/>
      </c>
      <c r="I332" s="137" t="str">
        <f aca="false">Scoring!AW338</f>
        <v/>
      </c>
    </row>
    <row r="333" customFormat="false" ht="15.75" hidden="false" customHeight="false" outlineLevel="0" collapsed="false">
      <c r="A333" s="135" t="str">
        <f aca="false">Scoring!AZ339</f>
        <v/>
      </c>
      <c r="B333" s="135" t="str">
        <f aca="false">Scoring!AY339</f>
        <v/>
      </c>
      <c r="C333" s="135" t="n">
        <f aca="false">Scoring!C339</f>
        <v>0</v>
      </c>
      <c r="D333" s="136" t="str">
        <f aca="false">Scoring!AV339</f>
        <v/>
      </c>
      <c r="E333" s="135" t="str">
        <f aca="false">Scoring!AB339</f>
        <v/>
      </c>
      <c r="F333" s="135" t="n">
        <f aca="false">Scoring!B339</f>
        <v>0</v>
      </c>
      <c r="G333" s="135" t="n">
        <f aca="false">Scoring!D339</f>
        <v>0</v>
      </c>
      <c r="H333" s="135" t="str">
        <f aca="false">Scoring!AX339</f>
        <v/>
      </c>
      <c r="I333" s="137" t="str">
        <f aca="false">Scoring!AW339</f>
        <v/>
      </c>
    </row>
    <row r="334" customFormat="false" ht="15.75" hidden="false" customHeight="false" outlineLevel="0" collapsed="false">
      <c r="A334" s="135" t="str">
        <f aca="false">Scoring!AZ340</f>
        <v/>
      </c>
      <c r="B334" s="135" t="str">
        <f aca="false">Scoring!AY340</f>
        <v/>
      </c>
      <c r="C334" s="135" t="n">
        <f aca="false">Scoring!C340</f>
        <v>0</v>
      </c>
      <c r="D334" s="136" t="str">
        <f aca="false">Scoring!AV340</f>
        <v/>
      </c>
      <c r="E334" s="135" t="str">
        <f aca="false">Scoring!AB340</f>
        <v/>
      </c>
      <c r="F334" s="135" t="n">
        <f aca="false">Scoring!B340</f>
        <v>0</v>
      </c>
      <c r="G334" s="135" t="n">
        <f aca="false">Scoring!D340</f>
        <v>0</v>
      </c>
      <c r="H334" s="135" t="str">
        <f aca="false">Scoring!AX340</f>
        <v/>
      </c>
      <c r="I334" s="137" t="str">
        <f aca="false">Scoring!AW340</f>
        <v/>
      </c>
    </row>
    <row r="335" customFormat="false" ht="15.75" hidden="false" customHeight="false" outlineLevel="0" collapsed="false">
      <c r="A335" s="135" t="str">
        <f aca="false">Scoring!AZ341</f>
        <v/>
      </c>
      <c r="B335" s="135" t="str">
        <f aca="false">Scoring!AY341</f>
        <v/>
      </c>
      <c r="C335" s="135" t="n">
        <f aca="false">Scoring!C341</f>
        <v>0</v>
      </c>
      <c r="D335" s="136" t="str">
        <f aca="false">Scoring!AV341</f>
        <v/>
      </c>
      <c r="E335" s="135" t="str">
        <f aca="false">Scoring!AB341</f>
        <v/>
      </c>
      <c r="F335" s="135" t="n">
        <f aca="false">Scoring!B341</f>
        <v>0</v>
      </c>
      <c r="G335" s="135" t="n">
        <f aca="false">Scoring!D341</f>
        <v>0</v>
      </c>
      <c r="H335" s="135" t="str">
        <f aca="false">Scoring!AX341</f>
        <v/>
      </c>
      <c r="I335" s="137" t="str">
        <f aca="false">Scoring!AW341</f>
        <v/>
      </c>
    </row>
    <row r="336" customFormat="false" ht="15.75" hidden="false" customHeight="false" outlineLevel="0" collapsed="false">
      <c r="A336" s="135" t="str">
        <f aca="false">Scoring!AZ342</f>
        <v/>
      </c>
      <c r="B336" s="135" t="str">
        <f aca="false">Scoring!AY342</f>
        <v/>
      </c>
      <c r="C336" s="135" t="n">
        <f aca="false">Scoring!C342</f>
        <v>0</v>
      </c>
      <c r="D336" s="136" t="str">
        <f aca="false">Scoring!AV342</f>
        <v/>
      </c>
      <c r="E336" s="135" t="str">
        <f aca="false">Scoring!AB342</f>
        <v/>
      </c>
      <c r="F336" s="135" t="n">
        <f aca="false">Scoring!B342</f>
        <v>0</v>
      </c>
      <c r="G336" s="135" t="n">
        <f aca="false">Scoring!D342</f>
        <v>0</v>
      </c>
      <c r="H336" s="135" t="str">
        <f aca="false">Scoring!AX342</f>
        <v/>
      </c>
      <c r="I336" s="137" t="str">
        <f aca="false">Scoring!AW342</f>
        <v/>
      </c>
    </row>
    <row r="337" customFormat="false" ht="15.75" hidden="false" customHeight="false" outlineLevel="0" collapsed="false">
      <c r="A337" s="135" t="str">
        <f aca="false">Scoring!AZ343</f>
        <v/>
      </c>
      <c r="B337" s="135" t="str">
        <f aca="false">Scoring!AY343</f>
        <v/>
      </c>
      <c r="C337" s="135" t="n">
        <f aca="false">Scoring!C343</f>
        <v>0</v>
      </c>
      <c r="D337" s="136" t="str">
        <f aca="false">Scoring!AV343</f>
        <v/>
      </c>
      <c r="E337" s="135" t="str">
        <f aca="false">Scoring!AB343</f>
        <v/>
      </c>
      <c r="F337" s="135" t="n">
        <f aca="false">Scoring!B343</f>
        <v>0</v>
      </c>
      <c r="G337" s="135" t="n">
        <f aca="false">Scoring!D343</f>
        <v>0</v>
      </c>
      <c r="H337" s="135" t="str">
        <f aca="false">Scoring!AX343</f>
        <v/>
      </c>
      <c r="I337" s="137" t="str">
        <f aca="false">Scoring!AW343</f>
        <v/>
      </c>
    </row>
    <row r="338" customFormat="false" ht="15.75" hidden="false" customHeight="false" outlineLevel="0" collapsed="false">
      <c r="A338" s="135" t="str">
        <f aca="false">Scoring!AZ344</f>
        <v/>
      </c>
      <c r="B338" s="135" t="str">
        <f aca="false">Scoring!AY344</f>
        <v/>
      </c>
      <c r="C338" s="135" t="n">
        <f aca="false">Scoring!C344</f>
        <v>0</v>
      </c>
      <c r="D338" s="136" t="str">
        <f aca="false">Scoring!AV344</f>
        <v/>
      </c>
      <c r="E338" s="135" t="str">
        <f aca="false">Scoring!AB344</f>
        <v/>
      </c>
      <c r="F338" s="135" t="n">
        <f aca="false">Scoring!B344</f>
        <v>0</v>
      </c>
      <c r="G338" s="135" t="n">
        <f aca="false">Scoring!D344</f>
        <v>0</v>
      </c>
      <c r="H338" s="135" t="str">
        <f aca="false">Scoring!AX344</f>
        <v/>
      </c>
      <c r="I338" s="137" t="str">
        <f aca="false">Scoring!AW344</f>
        <v/>
      </c>
    </row>
    <row r="339" customFormat="false" ht="15.75" hidden="false" customHeight="false" outlineLevel="0" collapsed="false">
      <c r="A339" s="135" t="str">
        <f aca="false">Scoring!AZ345</f>
        <v/>
      </c>
      <c r="B339" s="135" t="str">
        <f aca="false">Scoring!AY345</f>
        <v/>
      </c>
      <c r="C339" s="135" t="n">
        <f aca="false">Scoring!C345</f>
        <v>0</v>
      </c>
      <c r="D339" s="136" t="str">
        <f aca="false">Scoring!AV345</f>
        <v/>
      </c>
      <c r="E339" s="135" t="str">
        <f aca="false">Scoring!AB345</f>
        <v/>
      </c>
      <c r="F339" s="135" t="n">
        <f aca="false">Scoring!B345</f>
        <v>0</v>
      </c>
      <c r="G339" s="135" t="n">
        <f aca="false">Scoring!D345</f>
        <v>0</v>
      </c>
      <c r="H339" s="135" t="str">
        <f aca="false">Scoring!AX345</f>
        <v/>
      </c>
      <c r="I339" s="137" t="str">
        <f aca="false">Scoring!AW345</f>
        <v/>
      </c>
    </row>
    <row r="340" customFormat="false" ht="15.75" hidden="false" customHeight="false" outlineLevel="0" collapsed="false">
      <c r="A340" s="135" t="str">
        <f aca="false">Scoring!AZ346</f>
        <v/>
      </c>
      <c r="B340" s="135" t="str">
        <f aca="false">Scoring!AY346</f>
        <v/>
      </c>
      <c r="C340" s="135" t="n">
        <f aca="false">Scoring!C346</f>
        <v>0</v>
      </c>
      <c r="D340" s="136" t="str">
        <f aca="false">Scoring!AV346</f>
        <v/>
      </c>
      <c r="E340" s="135" t="str">
        <f aca="false">Scoring!AB346</f>
        <v/>
      </c>
      <c r="F340" s="135" t="n">
        <f aca="false">Scoring!B346</f>
        <v>0</v>
      </c>
      <c r="G340" s="135" t="n">
        <f aca="false">Scoring!D346</f>
        <v>0</v>
      </c>
      <c r="H340" s="135" t="str">
        <f aca="false">Scoring!AX346</f>
        <v/>
      </c>
      <c r="I340" s="137" t="str">
        <f aca="false">Scoring!AW346</f>
        <v/>
      </c>
    </row>
    <row r="341" customFormat="false" ht="15.75" hidden="false" customHeight="false" outlineLevel="0" collapsed="false">
      <c r="A341" s="135" t="str">
        <f aca="false">Scoring!AZ347</f>
        <v/>
      </c>
      <c r="B341" s="135" t="str">
        <f aca="false">Scoring!AY347</f>
        <v/>
      </c>
      <c r="C341" s="135" t="n">
        <f aca="false">Scoring!C347</f>
        <v>0</v>
      </c>
      <c r="D341" s="136" t="str">
        <f aca="false">Scoring!AV347</f>
        <v/>
      </c>
      <c r="E341" s="135" t="str">
        <f aca="false">Scoring!AB347</f>
        <v/>
      </c>
      <c r="F341" s="135" t="n">
        <f aca="false">Scoring!B347</f>
        <v>0</v>
      </c>
      <c r="G341" s="135" t="n">
        <f aca="false">Scoring!D347</f>
        <v>0</v>
      </c>
      <c r="H341" s="135" t="str">
        <f aca="false">Scoring!AX347</f>
        <v/>
      </c>
      <c r="I341" s="137" t="str">
        <f aca="false">Scoring!AW347</f>
        <v/>
      </c>
    </row>
    <row r="342" customFormat="false" ht="15.75" hidden="false" customHeight="false" outlineLevel="0" collapsed="false">
      <c r="A342" s="135" t="str">
        <f aca="false">Scoring!AZ348</f>
        <v/>
      </c>
      <c r="B342" s="135" t="str">
        <f aca="false">Scoring!AY348</f>
        <v/>
      </c>
      <c r="C342" s="135" t="n">
        <f aca="false">Scoring!C348</f>
        <v>0</v>
      </c>
      <c r="D342" s="136" t="str">
        <f aca="false">Scoring!AV348</f>
        <v/>
      </c>
      <c r="E342" s="135" t="str">
        <f aca="false">Scoring!AB348</f>
        <v/>
      </c>
      <c r="F342" s="135" t="n">
        <f aca="false">Scoring!B348</f>
        <v>0</v>
      </c>
      <c r="G342" s="135" t="n">
        <f aca="false">Scoring!D348</f>
        <v>0</v>
      </c>
      <c r="H342" s="135" t="str">
        <f aca="false">Scoring!AX348</f>
        <v/>
      </c>
      <c r="I342" s="137" t="str">
        <f aca="false">Scoring!AW348</f>
        <v/>
      </c>
    </row>
    <row r="343" customFormat="false" ht="15.75" hidden="false" customHeight="false" outlineLevel="0" collapsed="false">
      <c r="A343" s="135" t="str">
        <f aca="false">Scoring!AZ349</f>
        <v/>
      </c>
      <c r="B343" s="135" t="str">
        <f aca="false">Scoring!AY349</f>
        <v/>
      </c>
      <c r="C343" s="135" t="n">
        <f aca="false">Scoring!C349</f>
        <v>0</v>
      </c>
      <c r="D343" s="136" t="str">
        <f aca="false">Scoring!AV349</f>
        <v/>
      </c>
      <c r="E343" s="135" t="str">
        <f aca="false">Scoring!AB349</f>
        <v/>
      </c>
      <c r="F343" s="135" t="n">
        <f aca="false">Scoring!B349</f>
        <v>0</v>
      </c>
      <c r="G343" s="135" t="n">
        <f aca="false">Scoring!D349</f>
        <v>0</v>
      </c>
      <c r="H343" s="135" t="str">
        <f aca="false">Scoring!AX349</f>
        <v/>
      </c>
      <c r="I343" s="137" t="str">
        <f aca="false">Scoring!AW349</f>
        <v/>
      </c>
    </row>
    <row r="344" customFormat="false" ht="15.75" hidden="false" customHeight="false" outlineLevel="0" collapsed="false">
      <c r="A344" s="135" t="str">
        <f aca="false">Scoring!AZ350</f>
        <v/>
      </c>
      <c r="B344" s="135" t="str">
        <f aca="false">Scoring!AY350</f>
        <v/>
      </c>
      <c r="C344" s="135" t="n">
        <f aca="false">Scoring!C350</f>
        <v>0</v>
      </c>
      <c r="D344" s="136" t="str">
        <f aca="false">Scoring!AV350</f>
        <v/>
      </c>
      <c r="E344" s="135" t="str">
        <f aca="false">Scoring!AB350</f>
        <v/>
      </c>
      <c r="F344" s="135" t="n">
        <f aca="false">Scoring!B350</f>
        <v>0</v>
      </c>
      <c r="G344" s="135" t="n">
        <f aca="false">Scoring!D350</f>
        <v>0</v>
      </c>
      <c r="H344" s="135" t="str">
        <f aca="false">Scoring!AX350</f>
        <v/>
      </c>
      <c r="I344" s="137" t="str">
        <f aca="false">Scoring!AW350</f>
        <v/>
      </c>
    </row>
    <row r="345" customFormat="false" ht="15.75" hidden="false" customHeight="false" outlineLevel="0" collapsed="false">
      <c r="A345" s="135" t="str">
        <f aca="false">Scoring!AZ351</f>
        <v/>
      </c>
      <c r="B345" s="135" t="str">
        <f aca="false">Scoring!AY351</f>
        <v/>
      </c>
      <c r="C345" s="135" t="n">
        <f aca="false">Scoring!C351</f>
        <v>0</v>
      </c>
      <c r="D345" s="136" t="str">
        <f aca="false">Scoring!AV351</f>
        <v/>
      </c>
      <c r="E345" s="135" t="str">
        <f aca="false">Scoring!AB351</f>
        <v/>
      </c>
      <c r="F345" s="135" t="n">
        <f aca="false">Scoring!B351</f>
        <v>0</v>
      </c>
      <c r="G345" s="135" t="n">
        <f aca="false">Scoring!D351</f>
        <v>0</v>
      </c>
      <c r="H345" s="135" t="str">
        <f aca="false">Scoring!AX351</f>
        <v/>
      </c>
      <c r="I345" s="137" t="str">
        <f aca="false">Scoring!AW351</f>
        <v/>
      </c>
    </row>
    <row r="346" customFormat="false" ht="15.75" hidden="false" customHeight="false" outlineLevel="0" collapsed="false">
      <c r="A346" s="135" t="str">
        <f aca="false">Scoring!AZ352</f>
        <v/>
      </c>
      <c r="B346" s="135" t="str">
        <f aca="false">Scoring!AY352</f>
        <v/>
      </c>
      <c r="C346" s="135" t="n">
        <f aca="false">Scoring!C352</f>
        <v>0</v>
      </c>
      <c r="D346" s="136" t="str">
        <f aca="false">Scoring!AV352</f>
        <v/>
      </c>
      <c r="E346" s="135" t="str">
        <f aca="false">Scoring!AB352</f>
        <v/>
      </c>
      <c r="F346" s="135" t="n">
        <f aca="false">Scoring!B352</f>
        <v>0</v>
      </c>
      <c r="G346" s="135" t="n">
        <f aca="false">Scoring!D352</f>
        <v>0</v>
      </c>
      <c r="H346" s="135" t="str">
        <f aca="false">Scoring!AX352</f>
        <v/>
      </c>
      <c r="I346" s="137" t="str">
        <f aca="false">Scoring!AW352</f>
        <v/>
      </c>
    </row>
    <row r="347" customFormat="false" ht="15.75" hidden="false" customHeight="false" outlineLevel="0" collapsed="false">
      <c r="A347" s="135" t="str">
        <f aca="false">Scoring!AZ353</f>
        <v/>
      </c>
      <c r="B347" s="135" t="str">
        <f aca="false">Scoring!AY353</f>
        <v/>
      </c>
      <c r="C347" s="135" t="n">
        <f aca="false">Scoring!C353</f>
        <v>0</v>
      </c>
      <c r="D347" s="136" t="str">
        <f aca="false">Scoring!AV353</f>
        <v/>
      </c>
      <c r="E347" s="135" t="str">
        <f aca="false">Scoring!AB353</f>
        <v/>
      </c>
      <c r="F347" s="135" t="n">
        <f aca="false">Scoring!B353</f>
        <v>0</v>
      </c>
      <c r="G347" s="135" t="n">
        <f aca="false">Scoring!D353</f>
        <v>0</v>
      </c>
      <c r="H347" s="135" t="str">
        <f aca="false">Scoring!AX353</f>
        <v/>
      </c>
      <c r="I347" s="137" t="str">
        <f aca="false">Scoring!AW353</f>
        <v/>
      </c>
    </row>
    <row r="348" customFormat="false" ht="15.75" hidden="false" customHeight="false" outlineLevel="0" collapsed="false">
      <c r="A348" s="135" t="str">
        <f aca="false">Scoring!AZ354</f>
        <v/>
      </c>
      <c r="B348" s="135" t="str">
        <f aca="false">Scoring!AY354</f>
        <v/>
      </c>
      <c r="C348" s="135" t="n">
        <f aca="false">Scoring!C354</f>
        <v>0</v>
      </c>
      <c r="D348" s="136" t="str">
        <f aca="false">Scoring!AV354</f>
        <v/>
      </c>
      <c r="E348" s="135" t="str">
        <f aca="false">Scoring!AB354</f>
        <v/>
      </c>
      <c r="F348" s="135" t="n">
        <f aca="false">Scoring!B354</f>
        <v>0</v>
      </c>
      <c r="G348" s="135" t="n">
        <f aca="false">Scoring!D354</f>
        <v>0</v>
      </c>
      <c r="H348" s="135" t="str">
        <f aca="false">Scoring!AX354</f>
        <v/>
      </c>
      <c r="I348" s="137" t="str">
        <f aca="false">Scoring!AW354</f>
        <v/>
      </c>
    </row>
    <row r="349" customFormat="false" ht="15.75" hidden="false" customHeight="false" outlineLevel="0" collapsed="false">
      <c r="A349" s="135" t="str">
        <f aca="false">Scoring!AZ355</f>
        <v/>
      </c>
      <c r="B349" s="135" t="str">
        <f aca="false">Scoring!AY355</f>
        <v/>
      </c>
      <c r="C349" s="135" t="n">
        <f aca="false">Scoring!C355</f>
        <v>0</v>
      </c>
      <c r="D349" s="136" t="str">
        <f aca="false">Scoring!AV355</f>
        <v/>
      </c>
      <c r="E349" s="135" t="str">
        <f aca="false">Scoring!AB355</f>
        <v/>
      </c>
      <c r="F349" s="135" t="n">
        <f aca="false">Scoring!B355</f>
        <v>0</v>
      </c>
      <c r="G349" s="135" t="n">
        <f aca="false">Scoring!D355</f>
        <v>0</v>
      </c>
      <c r="H349" s="135" t="str">
        <f aca="false">Scoring!AX355</f>
        <v/>
      </c>
      <c r="I349" s="137" t="str">
        <f aca="false">Scoring!AW355</f>
        <v/>
      </c>
    </row>
    <row r="350" customFormat="false" ht="15.75" hidden="false" customHeight="false" outlineLevel="0" collapsed="false">
      <c r="A350" s="135" t="str">
        <f aca="false">Scoring!AZ356</f>
        <v/>
      </c>
      <c r="B350" s="135" t="str">
        <f aca="false">Scoring!AY356</f>
        <v/>
      </c>
      <c r="C350" s="135" t="n">
        <f aca="false">Scoring!C356</f>
        <v>0</v>
      </c>
      <c r="D350" s="136" t="str">
        <f aca="false">Scoring!AV356</f>
        <v/>
      </c>
      <c r="E350" s="135" t="str">
        <f aca="false">Scoring!AB356</f>
        <v/>
      </c>
      <c r="F350" s="135" t="n">
        <f aca="false">Scoring!B356</f>
        <v>0</v>
      </c>
      <c r="G350" s="135" t="n">
        <f aca="false">Scoring!D356</f>
        <v>0</v>
      </c>
      <c r="H350" s="135" t="str">
        <f aca="false">Scoring!AX356</f>
        <v/>
      </c>
      <c r="I350" s="137" t="str">
        <f aca="false">Scoring!AW356</f>
        <v/>
      </c>
    </row>
    <row r="351" customFormat="false" ht="15.75" hidden="false" customHeight="false" outlineLevel="0" collapsed="false">
      <c r="A351" s="135" t="str">
        <f aca="false">Scoring!AZ357</f>
        <v/>
      </c>
      <c r="B351" s="135" t="str">
        <f aca="false">Scoring!AY357</f>
        <v/>
      </c>
      <c r="C351" s="135" t="n">
        <f aca="false">Scoring!C357</f>
        <v>0</v>
      </c>
      <c r="D351" s="136" t="str">
        <f aca="false">Scoring!AV357</f>
        <v/>
      </c>
      <c r="E351" s="135" t="str">
        <f aca="false">Scoring!AB357</f>
        <v/>
      </c>
      <c r="F351" s="135" t="n">
        <f aca="false">Scoring!B357</f>
        <v>0</v>
      </c>
      <c r="G351" s="135" t="n">
        <f aca="false">Scoring!D357</f>
        <v>0</v>
      </c>
      <c r="H351" s="135" t="str">
        <f aca="false">Scoring!AX357</f>
        <v/>
      </c>
      <c r="I351" s="137" t="str">
        <f aca="false">Scoring!AW357</f>
        <v/>
      </c>
    </row>
    <row r="352" customFormat="false" ht="15.75" hidden="false" customHeight="false" outlineLevel="0" collapsed="false">
      <c r="A352" s="135" t="str">
        <f aca="false">Scoring!AZ358</f>
        <v/>
      </c>
      <c r="B352" s="135" t="str">
        <f aca="false">Scoring!AY358</f>
        <v/>
      </c>
      <c r="C352" s="135" t="n">
        <f aca="false">Scoring!C358</f>
        <v>0</v>
      </c>
      <c r="D352" s="136" t="str">
        <f aca="false">Scoring!AV358</f>
        <v/>
      </c>
      <c r="E352" s="135" t="str">
        <f aca="false">Scoring!AB358</f>
        <v/>
      </c>
      <c r="F352" s="135" t="n">
        <f aca="false">Scoring!B358</f>
        <v>0</v>
      </c>
      <c r="G352" s="135" t="n">
        <f aca="false">Scoring!D358</f>
        <v>0</v>
      </c>
      <c r="H352" s="135" t="str">
        <f aca="false">Scoring!AX358</f>
        <v/>
      </c>
      <c r="I352" s="137" t="str">
        <f aca="false">Scoring!AW358</f>
        <v/>
      </c>
    </row>
    <row r="353" customFormat="false" ht="15.75" hidden="false" customHeight="false" outlineLevel="0" collapsed="false">
      <c r="A353" s="135" t="str">
        <f aca="false">Scoring!AZ359</f>
        <v/>
      </c>
      <c r="B353" s="135" t="str">
        <f aca="false">Scoring!AY359</f>
        <v/>
      </c>
      <c r="C353" s="135" t="n">
        <f aca="false">Scoring!C359</f>
        <v>0</v>
      </c>
      <c r="D353" s="136" t="str">
        <f aca="false">Scoring!AV359</f>
        <v/>
      </c>
      <c r="E353" s="135" t="str">
        <f aca="false">Scoring!AB359</f>
        <v/>
      </c>
      <c r="F353" s="135" t="n">
        <f aca="false">Scoring!B359</f>
        <v>0</v>
      </c>
      <c r="G353" s="135" t="n">
        <f aca="false">Scoring!D359</f>
        <v>0</v>
      </c>
      <c r="H353" s="135" t="str">
        <f aca="false">Scoring!AX359</f>
        <v/>
      </c>
      <c r="I353" s="137" t="str">
        <f aca="false">Scoring!AW359</f>
        <v/>
      </c>
    </row>
    <row r="354" customFormat="false" ht="15.75" hidden="false" customHeight="false" outlineLevel="0" collapsed="false">
      <c r="A354" s="135" t="str">
        <f aca="false">Scoring!AZ360</f>
        <v/>
      </c>
      <c r="B354" s="135" t="str">
        <f aca="false">Scoring!AY360</f>
        <v/>
      </c>
      <c r="C354" s="135" t="n">
        <f aca="false">Scoring!C360</f>
        <v>0</v>
      </c>
      <c r="D354" s="136" t="str">
        <f aca="false">Scoring!AV360</f>
        <v/>
      </c>
      <c r="E354" s="135" t="str">
        <f aca="false">Scoring!AB360</f>
        <v/>
      </c>
      <c r="F354" s="135" t="n">
        <f aca="false">Scoring!B360</f>
        <v>0</v>
      </c>
      <c r="G354" s="135" t="n">
        <f aca="false">Scoring!D360</f>
        <v>0</v>
      </c>
      <c r="H354" s="135" t="str">
        <f aca="false">Scoring!AX360</f>
        <v/>
      </c>
      <c r="I354" s="137" t="str">
        <f aca="false">Scoring!AW360</f>
        <v/>
      </c>
    </row>
    <row r="355" customFormat="false" ht="15.75" hidden="false" customHeight="false" outlineLevel="0" collapsed="false">
      <c r="A355" s="135" t="str">
        <f aca="false">Scoring!AZ361</f>
        <v/>
      </c>
      <c r="B355" s="135" t="str">
        <f aca="false">Scoring!AY361</f>
        <v/>
      </c>
      <c r="C355" s="135" t="n">
        <f aca="false">Scoring!C361</f>
        <v>0</v>
      </c>
      <c r="D355" s="136" t="str">
        <f aca="false">Scoring!AV361</f>
        <v/>
      </c>
      <c r="E355" s="135" t="str">
        <f aca="false">Scoring!AB361</f>
        <v/>
      </c>
      <c r="F355" s="135" t="n">
        <f aca="false">Scoring!B361</f>
        <v>0</v>
      </c>
      <c r="G355" s="135" t="n">
        <f aca="false">Scoring!D361</f>
        <v>0</v>
      </c>
      <c r="H355" s="135" t="str">
        <f aca="false">Scoring!AX361</f>
        <v/>
      </c>
      <c r="I355" s="137" t="str">
        <f aca="false">Scoring!AW361</f>
        <v/>
      </c>
    </row>
    <row r="356" customFormat="false" ht="15.75" hidden="false" customHeight="false" outlineLevel="0" collapsed="false">
      <c r="A356" s="135" t="str">
        <f aca="false">Scoring!AZ362</f>
        <v/>
      </c>
      <c r="B356" s="135" t="str">
        <f aca="false">Scoring!AY362</f>
        <v/>
      </c>
      <c r="C356" s="135" t="n">
        <f aca="false">Scoring!C362</f>
        <v>0</v>
      </c>
      <c r="D356" s="136" t="str">
        <f aca="false">Scoring!AV362</f>
        <v/>
      </c>
      <c r="E356" s="135" t="str">
        <f aca="false">Scoring!AB362</f>
        <v/>
      </c>
      <c r="F356" s="135" t="n">
        <f aca="false">Scoring!B362</f>
        <v>0</v>
      </c>
      <c r="G356" s="135" t="n">
        <f aca="false">Scoring!D362</f>
        <v>0</v>
      </c>
      <c r="H356" s="135" t="str">
        <f aca="false">Scoring!AX362</f>
        <v/>
      </c>
      <c r="I356" s="137" t="str">
        <f aca="false">Scoring!AW362</f>
        <v/>
      </c>
    </row>
    <row r="357" customFormat="false" ht="15.75" hidden="false" customHeight="false" outlineLevel="0" collapsed="false">
      <c r="A357" s="135" t="str">
        <f aca="false">Scoring!AZ363</f>
        <v/>
      </c>
      <c r="B357" s="135" t="str">
        <f aca="false">Scoring!AY363</f>
        <v/>
      </c>
      <c r="C357" s="135" t="n">
        <f aca="false">Scoring!C363</f>
        <v>0</v>
      </c>
      <c r="D357" s="136" t="str">
        <f aca="false">Scoring!AV363</f>
        <v/>
      </c>
      <c r="E357" s="135" t="str">
        <f aca="false">Scoring!AB363</f>
        <v/>
      </c>
      <c r="F357" s="135" t="n">
        <f aca="false">Scoring!B363</f>
        <v>0</v>
      </c>
      <c r="G357" s="135" t="n">
        <f aca="false">Scoring!D363</f>
        <v>0</v>
      </c>
      <c r="H357" s="135" t="str">
        <f aca="false">Scoring!AX363</f>
        <v/>
      </c>
      <c r="I357" s="137" t="str">
        <f aca="false">Scoring!AW363</f>
        <v/>
      </c>
    </row>
    <row r="358" customFormat="false" ht="15.75" hidden="false" customHeight="false" outlineLevel="0" collapsed="false">
      <c r="A358" s="135" t="str">
        <f aca="false">Scoring!AZ364</f>
        <v/>
      </c>
      <c r="B358" s="135" t="str">
        <f aca="false">Scoring!AY364</f>
        <v/>
      </c>
      <c r="C358" s="135" t="n">
        <f aca="false">Scoring!C364</f>
        <v>0</v>
      </c>
      <c r="D358" s="136" t="str">
        <f aca="false">Scoring!AV364</f>
        <v/>
      </c>
      <c r="E358" s="135" t="str">
        <f aca="false">Scoring!AB364</f>
        <v/>
      </c>
      <c r="F358" s="135" t="n">
        <f aca="false">Scoring!B364</f>
        <v>0</v>
      </c>
      <c r="G358" s="135" t="n">
        <f aca="false">Scoring!D364</f>
        <v>0</v>
      </c>
      <c r="H358" s="135" t="str">
        <f aca="false">Scoring!AX364</f>
        <v/>
      </c>
      <c r="I358" s="137" t="str">
        <f aca="false">Scoring!AW364</f>
        <v/>
      </c>
    </row>
    <row r="359" customFormat="false" ht="15.75" hidden="false" customHeight="false" outlineLevel="0" collapsed="false">
      <c r="A359" s="135" t="str">
        <f aca="false">Scoring!AZ365</f>
        <v/>
      </c>
      <c r="B359" s="135" t="str">
        <f aca="false">Scoring!AY365</f>
        <v/>
      </c>
      <c r="C359" s="135" t="n">
        <f aca="false">Scoring!C365</f>
        <v>0</v>
      </c>
      <c r="D359" s="136" t="str">
        <f aca="false">Scoring!AV365</f>
        <v/>
      </c>
      <c r="E359" s="135" t="str">
        <f aca="false">Scoring!AB365</f>
        <v/>
      </c>
      <c r="F359" s="135" t="n">
        <f aca="false">Scoring!B365</f>
        <v>0</v>
      </c>
      <c r="G359" s="135" t="n">
        <f aca="false">Scoring!D365</f>
        <v>0</v>
      </c>
      <c r="H359" s="135" t="str">
        <f aca="false">Scoring!AX365</f>
        <v/>
      </c>
      <c r="I359" s="137" t="str">
        <f aca="false">Scoring!AW365</f>
        <v/>
      </c>
    </row>
    <row r="360" customFormat="false" ht="15.75" hidden="false" customHeight="false" outlineLevel="0" collapsed="false">
      <c r="A360" s="135" t="str">
        <f aca="false">Scoring!AZ366</f>
        <v/>
      </c>
      <c r="B360" s="135" t="str">
        <f aca="false">Scoring!AY366</f>
        <v/>
      </c>
      <c r="C360" s="135" t="n">
        <f aca="false">Scoring!C366</f>
        <v>0</v>
      </c>
      <c r="D360" s="136" t="str">
        <f aca="false">Scoring!AV366</f>
        <v/>
      </c>
      <c r="E360" s="135" t="str">
        <f aca="false">Scoring!AB366</f>
        <v/>
      </c>
      <c r="F360" s="135" t="n">
        <f aca="false">Scoring!B366</f>
        <v>0</v>
      </c>
      <c r="G360" s="135" t="n">
        <f aca="false">Scoring!D366</f>
        <v>0</v>
      </c>
      <c r="H360" s="135" t="str">
        <f aca="false">Scoring!AX366</f>
        <v/>
      </c>
      <c r="I360" s="137" t="str">
        <f aca="false">Scoring!AW366</f>
        <v/>
      </c>
    </row>
    <row r="361" customFormat="false" ht="15.75" hidden="false" customHeight="false" outlineLevel="0" collapsed="false">
      <c r="A361" s="135" t="str">
        <f aca="false">Scoring!AZ367</f>
        <v/>
      </c>
      <c r="B361" s="135" t="str">
        <f aca="false">Scoring!AY367</f>
        <v/>
      </c>
      <c r="C361" s="135" t="n">
        <f aca="false">Scoring!C367</f>
        <v>0</v>
      </c>
      <c r="D361" s="136" t="str">
        <f aca="false">Scoring!AV367</f>
        <v/>
      </c>
      <c r="E361" s="135" t="str">
        <f aca="false">Scoring!AB367</f>
        <v/>
      </c>
      <c r="F361" s="135" t="n">
        <f aca="false">Scoring!B367</f>
        <v>0</v>
      </c>
      <c r="G361" s="135" t="n">
        <f aca="false">Scoring!D367</f>
        <v>0</v>
      </c>
      <c r="H361" s="135" t="str">
        <f aca="false">Scoring!AX367</f>
        <v/>
      </c>
      <c r="I361" s="137" t="str">
        <f aca="false">Scoring!AW367</f>
        <v/>
      </c>
    </row>
    <row r="362" customFormat="false" ht="15.75" hidden="false" customHeight="false" outlineLevel="0" collapsed="false">
      <c r="A362" s="135" t="str">
        <f aca="false">Scoring!AZ368</f>
        <v/>
      </c>
      <c r="B362" s="135" t="str">
        <f aca="false">Scoring!AY368</f>
        <v/>
      </c>
      <c r="C362" s="135" t="n">
        <f aca="false">Scoring!C368</f>
        <v>0</v>
      </c>
      <c r="D362" s="136" t="str">
        <f aca="false">Scoring!AV368</f>
        <v/>
      </c>
      <c r="E362" s="135" t="str">
        <f aca="false">Scoring!AB368</f>
        <v/>
      </c>
      <c r="F362" s="135" t="n">
        <f aca="false">Scoring!B368</f>
        <v>0</v>
      </c>
      <c r="G362" s="135" t="n">
        <f aca="false">Scoring!D368</f>
        <v>0</v>
      </c>
      <c r="H362" s="135" t="str">
        <f aca="false">Scoring!AX368</f>
        <v/>
      </c>
      <c r="I362" s="137" t="str">
        <f aca="false">Scoring!AW368</f>
        <v/>
      </c>
    </row>
    <row r="363" customFormat="false" ht="15.75" hidden="false" customHeight="false" outlineLevel="0" collapsed="false">
      <c r="A363" s="135" t="str">
        <f aca="false">Scoring!AZ369</f>
        <v/>
      </c>
      <c r="B363" s="135" t="str">
        <f aca="false">Scoring!AY369</f>
        <v/>
      </c>
      <c r="C363" s="135" t="n">
        <f aca="false">Scoring!C369</f>
        <v>0</v>
      </c>
      <c r="D363" s="136" t="str">
        <f aca="false">Scoring!AV369</f>
        <v/>
      </c>
      <c r="E363" s="135" t="str">
        <f aca="false">Scoring!AB369</f>
        <v/>
      </c>
      <c r="F363" s="135" t="n">
        <f aca="false">Scoring!B369</f>
        <v>0</v>
      </c>
      <c r="G363" s="135" t="n">
        <f aca="false">Scoring!D369</f>
        <v>0</v>
      </c>
      <c r="H363" s="135" t="str">
        <f aca="false">Scoring!AX369</f>
        <v/>
      </c>
      <c r="I363" s="137" t="str">
        <f aca="false">Scoring!AW369</f>
        <v/>
      </c>
    </row>
    <row r="364" customFormat="false" ht="15.75" hidden="false" customHeight="false" outlineLevel="0" collapsed="false">
      <c r="A364" s="135" t="str">
        <f aca="false">Scoring!AZ370</f>
        <v/>
      </c>
      <c r="B364" s="135" t="str">
        <f aca="false">Scoring!AY370</f>
        <v/>
      </c>
      <c r="C364" s="135" t="n">
        <f aca="false">Scoring!C370</f>
        <v>0</v>
      </c>
      <c r="D364" s="136" t="str">
        <f aca="false">Scoring!AV370</f>
        <v/>
      </c>
      <c r="E364" s="135" t="str">
        <f aca="false">Scoring!AB370</f>
        <v/>
      </c>
      <c r="F364" s="135" t="n">
        <f aca="false">Scoring!B370</f>
        <v>0</v>
      </c>
      <c r="G364" s="135" t="n">
        <f aca="false">Scoring!D370</f>
        <v>0</v>
      </c>
      <c r="H364" s="135" t="str">
        <f aca="false">Scoring!AX370</f>
        <v/>
      </c>
      <c r="I364" s="137" t="str">
        <f aca="false">Scoring!AW370</f>
        <v/>
      </c>
    </row>
    <row r="365" customFormat="false" ht="15.75" hidden="false" customHeight="false" outlineLevel="0" collapsed="false">
      <c r="A365" s="135" t="str">
        <f aca="false">Scoring!AZ371</f>
        <v/>
      </c>
      <c r="B365" s="135" t="str">
        <f aca="false">Scoring!AY371</f>
        <v/>
      </c>
      <c r="C365" s="135" t="n">
        <f aca="false">Scoring!C371</f>
        <v>0</v>
      </c>
      <c r="D365" s="136" t="str">
        <f aca="false">Scoring!AV371</f>
        <v/>
      </c>
      <c r="E365" s="135" t="str">
        <f aca="false">Scoring!AB371</f>
        <v/>
      </c>
      <c r="F365" s="135" t="n">
        <f aca="false">Scoring!B371</f>
        <v>0</v>
      </c>
      <c r="G365" s="135" t="n">
        <f aca="false">Scoring!D371</f>
        <v>0</v>
      </c>
      <c r="H365" s="135" t="str">
        <f aca="false">Scoring!AX371</f>
        <v/>
      </c>
      <c r="I365" s="137" t="str">
        <f aca="false">Scoring!AW371</f>
        <v/>
      </c>
    </row>
    <row r="366" customFormat="false" ht="15.75" hidden="false" customHeight="false" outlineLevel="0" collapsed="false">
      <c r="A366" s="135" t="str">
        <f aca="false">Scoring!AZ372</f>
        <v/>
      </c>
      <c r="B366" s="135" t="str">
        <f aca="false">Scoring!AY372</f>
        <v/>
      </c>
      <c r="C366" s="135" t="n">
        <f aca="false">Scoring!C372</f>
        <v>0</v>
      </c>
      <c r="D366" s="136" t="str">
        <f aca="false">Scoring!AV372</f>
        <v/>
      </c>
      <c r="E366" s="135" t="str">
        <f aca="false">Scoring!AB372</f>
        <v/>
      </c>
      <c r="F366" s="135" t="n">
        <f aca="false">Scoring!B372</f>
        <v>0</v>
      </c>
      <c r="G366" s="135" t="n">
        <f aca="false">Scoring!D372</f>
        <v>0</v>
      </c>
      <c r="H366" s="135" t="str">
        <f aca="false">Scoring!AX372</f>
        <v/>
      </c>
      <c r="I366" s="137" t="str">
        <f aca="false">Scoring!AW372</f>
        <v/>
      </c>
    </row>
    <row r="367" customFormat="false" ht="15.75" hidden="false" customHeight="false" outlineLevel="0" collapsed="false">
      <c r="A367" s="135" t="str">
        <f aca="false">Scoring!AZ373</f>
        <v/>
      </c>
      <c r="B367" s="135" t="str">
        <f aca="false">Scoring!AY373</f>
        <v/>
      </c>
      <c r="C367" s="135" t="n">
        <f aca="false">Scoring!C373</f>
        <v>0</v>
      </c>
      <c r="D367" s="136" t="str">
        <f aca="false">Scoring!AV373</f>
        <v/>
      </c>
      <c r="E367" s="135" t="str">
        <f aca="false">Scoring!AB373</f>
        <v/>
      </c>
      <c r="F367" s="135" t="n">
        <f aca="false">Scoring!B373</f>
        <v>0</v>
      </c>
      <c r="G367" s="135" t="n">
        <f aca="false">Scoring!D373</f>
        <v>0</v>
      </c>
      <c r="H367" s="135" t="str">
        <f aca="false">Scoring!AX373</f>
        <v/>
      </c>
      <c r="I367" s="137" t="str">
        <f aca="false">Scoring!AW373</f>
        <v/>
      </c>
    </row>
    <row r="368" customFormat="false" ht="15.75" hidden="false" customHeight="false" outlineLevel="0" collapsed="false">
      <c r="A368" s="135" t="str">
        <f aca="false">Scoring!AZ374</f>
        <v/>
      </c>
      <c r="B368" s="135" t="str">
        <f aca="false">Scoring!AY374</f>
        <v/>
      </c>
      <c r="C368" s="135" t="n">
        <f aca="false">Scoring!C374</f>
        <v>0</v>
      </c>
      <c r="D368" s="136" t="str">
        <f aca="false">Scoring!AV374</f>
        <v/>
      </c>
      <c r="E368" s="135" t="str">
        <f aca="false">Scoring!AB374</f>
        <v/>
      </c>
      <c r="F368" s="135" t="n">
        <f aca="false">Scoring!B374</f>
        <v>0</v>
      </c>
      <c r="G368" s="135" t="n">
        <f aca="false">Scoring!D374</f>
        <v>0</v>
      </c>
      <c r="H368" s="135" t="str">
        <f aca="false">Scoring!AX374</f>
        <v/>
      </c>
      <c r="I368" s="137" t="str">
        <f aca="false">Scoring!AW374</f>
        <v/>
      </c>
    </row>
    <row r="369" customFormat="false" ht="15.75" hidden="false" customHeight="false" outlineLevel="0" collapsed="false">
      <c r="A369" s="135" t="str">
        <f aca="false">Scoring!AZ375</f>
        <v/>
      </c>
      <c r="B369" s="135" t="str">
        <f aca="false">Scoring!AY375</f>
        <v/>
      </c>
      <c r="C369" s="135" t="n">
        <f aca="false">Scoring!C375</f>
        <v>0</v>
      </c>
      <c r="D369" s="136" t="str">
        <f aca="false">Scoring!AV375</f>
        <v/>
      </c>
      <c r="E369" s="135" t="str">
        <f aca="false">Scoring!AB375</f>
        <v/>
      </c>
      <c r="F369" s="135" t="n">
        <f aca="false">Scoring!B375</f>
        <v>0</v>
      </c>
      <c r="G369" s="135" t="n">
        <f aca="false">Scoring!D375</f>
        <v>0</v>
      </c>
      <c r="H369" s="135" t="str">
        <f aca="false">Scoring!AX375</f>
        <v/>
      </c>
      <c r="I369" s="137" t="str">
        <f aca="false">Scoring!AW375</f>
        <v/>
      </c>
    </row>
    <row r="370" customFormat="false" ht="15.75" hidden="false" customHeight="false" outlineLevel="0" collapsed="false">
      <c r="A370" s="135" t="str">
        <f aca="false">Scoring!AZ376</f>
        <v/>
      </c>
      <c r="B370" s="135" t="str">
        <f aca="false">Scoring!AY376</f>
        <v/>
      </c>
      <c r="C370" s="135" t="n">
        <f aca="false">Scoring!C376</f>
        <v>0</v>
      </c>
      <c r="D370" s="136" t="str">
        <f aca="false">Scoring!AV376</f>
        <v/>
      </c>
      <c r="E370" s="135" t="str">
        <f aca="false">Scoring!AB376</f>
        <v/>
      </c>
      <c r="F370" s="135" t="n">
        <f aca="false">Scoring!B376</f>
        <v>0</v>
      </c>
      <c r="G370" s="135" t="n">
        <f aca="false">Scoring!D376</f>
        <v>0</v>
      </c>
      <c r="H370" s="135" t="str">
        <f aca="false">Scoring!AX376</f>
        <v/>
      </c>
      <c r="I370" s="137" t="str">
        <f aca="false">Scoring!AW376</f>
        <v/>
      </c>
    </row>
    <row r="371" customFormat="false" ht="15.75" hidden="false" customHeight="false" outlineLevel="0" collapsed="false">
      <c r="A371" s="135" t="str">
        <f aca="false">Scoring!AZ377</f>
        <v/>
      </c>
      <c r="B371" s="135" t="str">
        <f aca="false">Scoring!AY377</f>
        <v/>
      </c>
      <c r="C371" s="135" t="n">
        <f aca="false">Scoring!C377</f>
        <v>0</v>
      </c>
      <c r="D371" s="136" t="str">
        <f aca="false">Scoring!AV377</f>
        <v/>
      </c>
      <c r="E371" s="135" t="str">
        <f aca="false">Scoring!AB377</f>
        <v/>
      </c>
      <c r="F371" s="135" t="n">
        <f aca="false">Scoring!B377</f>
        <v>0</v>
      </c>
      <c r="G371" s="135" t="n">
        <f aca="false">Scoring!D377</f>
        <v>0</v>
      </c>
      <c r="H371" s="135" t="str">
        <f aca="false">Scoring!AX377</f>
        <v/>
      </c>
      <c r="I371" s="137" t="str">
        <f aca="false">Scoring!AW377</f>
        <v/>
      </c>
    </row>
    <row r="372" customFormat="false" ht="15.75" hidden="false" customHeight="false" outlineLevel="0" collapsed="false">
      <c r="A372" s="135" t="str">
        <f aca="false">Scoring!AZ378</f>
        <v/>
      </c>
      <c r="B372" s="135" t="str">
        <f aca="false">Scoring!AY378</f>
        <v/>
      </c>
      <c r="C372" s="135" t="n">
        <f aca="false">Scoring!C378</f>
        <v>0</v>
      </c>
      <c r="D372" s="136" t="str">
        <f aca="false">Scoring!AV378</f>
        <v/>
      </c>
      <c r="E372" s="135" t="str">
        <f aca="false">Scoring!AB378</f>
        <v/>
      </c>
      <c r="F372" s="135" t="n">
        <f aca="false">Scoring!B378</f>
        <v>0</v>
      </c>
      <c r="G372" s="135" t="n">
        <f aca="false">Scoring!D378</f>
        <v>0</v>
      </c>
      <c r="H372" s="135" t="str">
        <f aca="false">Scoring!AX378</f>
        <v/>
      </c>
      <c r="I372" s="137" t="str">
        <f aca="false">Scoring!AW378</f>
        <v/>
      </c>
    </row>
    <row r="373" customFormat="false" ht="15.75" hidden="false" customHeight="false" outlineLevel="0" collapsed="false">
      <c r="A373" s="135" t="str">
        <f aca="false">Scoring!AZ379</f>
        <v/>
      </c>
      <c r="B373" s="135" t="str">
        <f aca="false">Scoring!AY379</f>
        <v/>
      </c>
      <c r="C373" s="135" t="n">
        <f aca="false">Scoring!C379</f>
        <v>0</v>
      </c>
      <c r="D373" s="136" t="str">
        <f aca="false">Scoring!AV379</f>
        <v/>
      </c>
      <c r="E373" s="135" t="str">
        <f aca="false">Scoring!AB379</f>
        <v/>
      </c>
      <c r="F373" s="135" t="n">
        <f aca="false">Scoring!B379</f>
        <v>0</v>
      </c>
      <c r="G373" s="135" t="n">
        <f aca="false">Scoring!D379</f>
        <v>0</v>
      </c>
      <c r="H373" s="135" t="str">
        <f aca="false">Scoring!AX379</f>
        <v/>
      </c>
      <c r="I373" s="137" t="str">
        <f aca="false">Scoring!AW379</f>
        <v/>
      </c>
    </row>
    <row r="374" customFormat="false" ht="15.75" hidden="false" customHeight="false" outlineLevel="0" collapsed="false">
      <c r="A374" s="135" t="str">
        <f aca="false">Scoring!AZ380</f>
        <v/>
      </c>
      <c r="B374" s="135" t="str">
        <f aca="false">Scoring!AY380</f>
        <v/>
      </c>
      <c r="C374" s="135" t="n">
        <f aca="false">Scoring!C380</f>
        <v>0</v>
      </c>
      <c r="D374" s="136" t="str">
        <f aca="false">Scoring!AV380</f>
        <v/>
      </c>
      <c r="E374" s="135" t="str">
        <f aca="false">Scoring!AB380</f>
        <v/>
      </c>
      <c r="F374" s="135" t="n">
        <f aca="false">Scoring!B380</f>
        <v>0</v>
      </c>
      <c r="G374" s="135" t="n">
        <f aca="false">Scoring!D380</f>
        <v>0</v>
      </c>
      <c r="H374" s="135" t="str">
        <f aca="false">Scoring!AX380</f>
        <v/>
      </c>
      <c r="I374" s="137" t="str">
        <f aca="false">Scoring!AW380</f>
        <v/>
      </c>
    </row>
    <row r="375" customFormat="false" ht="15.75" hidden="false" customHeight="false" outlineLevel="0" collapsed="false">
      <c r="A375" s="135" t="str">
        <f aca="false">Scoring!AZ381</f>
        <v/>
      </c>
      <c r="B375" s="135" t="str">
        <f aca="false">Scoring!AY381</f>
        <v/>
      </c>
      <c r="C375" s="135" t="n">
        <f aca="false">Scoring!C381</f>
        <v>0</v>
      </c>
      <c r="D375" s="136" t="str">
        <f aca="false">Scoring!AV381</f>
        <v/>
      </c>
      <c r="E375" s="135" t="str">
        <f aca="false">Scoring!AB381</f>
        <v/>
      </c>
      <c r="F375" s="135" t="n">
        <f aca="false">Scoring!B381</f>
        <v>0</v>
      </c>
      <c r="G375" s="135" t="n">
        <f aca="false">Scoring!D381</f>
        <v>0</v>
      </c>
      <c r="H375" s="135" t="str">
        <f aca="false">Scoring!AX381</f>
        <v/>
      </c>
      <c r="I375" s="137" t="str">
        <f aca="false">Scoring!AW381</f>
        <v/>
      </c>
    </row>
    <row r="376" customFormat="false" ht="15.75" hidden="false" customHeight="false" outlineLevel="0" collapsed="false">
      <c r="A376" s="135" t="str">
        <f aca="false">Scoring!AZ382</f>
        <v/>
      </c>
      <c r="B376" s="135" t="str">
        <f aca="false">Scoring!AY382</f>
        <v/>
      </c>
      <c r="C376" s="135" t="n">
        <f aca="false">Scoring!C382</f>
        <v>0</v>
      </c>
      <c r="D376" s="136" t="str">
        <f aca="false">Scoring!AV382</f>
        <v/>
      </c>
      <c r="E376" s="135" t="str">
        <f aca="false">Scoring!AB382</f>
        <v/>
      </c>
      <c r="F376" s="135" t="n">
        <f aca="false">Scoring!B382</f>
        <v>0</v>
      </c>
      <c r="G376" s="135" t="n">
        <f aca="false">Scoring!D382</f>
        <v>0</v>
      </c>
      <c r="H376" s="135" t="str">
        <f aca="false">Scoring!AX382</f>
        <v/>
      </c>
      <c r="I376" s="137" t="str">
        <f aca="false">Scoring!AW382</f>
        <v/>
      </c>
    </row>
    <row r="377" customFormat="false" ht="15.75" hidden="false" customHeight="false" outlineLevel="0" collapsed="false">
      <c r="A377" s="135" t="str">
        <f aca="false">Scoring!AZ383</f>
        <v/>
      </c>
      <c r="B377" s="135" t="str">
        <f aca="false">Scoring!AY383</f>
        <v/>
      </c>
      <c r="C377" s="135" t="n">
        <f aca="false">Scoring!C383</f>
        <v>0</v>
      </c>
      <c r="D377" s="136" t="str">
        <f aca="false">Scoring!AV383</f>
        <v/>
      </c>
      <c r="E377" s="135" t="str">
        <f aca="false">Scoring!AB383</f>
        <v/>
      </c>
      <c r="F377" s="135" t="n">
        <f aca="false">Scoring!B383</f>
        <v>0</v>
      </c>
      <c r="G377" s="135" t="n">
        <f aca="false">Scoring!D383</f>
        <v>0</v>
      </c>
      <c r="H377" s="135" t="str">
        <f aca="false">Scoring!AX383</f>
        <v/>
      </c>
      <c r="I377" s="137" t="str">
        <f aca="false">Scoring!AW383</f>
        <v/>
      </c>
    </row>
    <row r="378" customFormat="false" ht="15.75" hidden="false" customHeight="false" outlineLevel="0" collapsed="false">
      <c r="A378" s="135" t="str">
        <f aca="false">Scoring!AZ384</f>
        <v/>
      </c>
      <c r="B378" s="135" t="str">
        <f aca="false">Scoring!AY384</f>
        <v/>
      </c>
      <c r="C378" s="135" t="n">
        <f aca="false">Scoring!C384</f>
        <v>0</v>
      </c>
      <c r="D378" s="136" t="str">
        <f aca="false">Scoring!AV384</f>
        <v/>
      </c>
      <c r="E378" s="135" t="str">
        <f aca="false">Scoring!AB384</f>
        <v/>
      </c>
      <c r="F378" s="135" t="n">
        <f aca="false">Scoring!B384</f>
        <v>0</v>
      </c>
      <c r="G378" s="135" t="n">
        <f aca="false">Scoring!D384</f>
        <v>0</v>
      </c>
      <c r="H378" s="135" t="str">
        <f aca="false">Scoring!AX384</f>
        <v/>
      </c>
      <c r="I378" s="137" t="str">
        <f aca="false">Scoring!AW384</f>
        <v/>
      </c>
    </row>
    <row r="379" customFormat="false" ht="15.75" hidden="false" customHeight="false" outlineLevel="0" collapsed="false">
      <c r="A379" s="135" t="str">
        <f aca="false">Scoring!AZ385</f>
        <v/>
      </c>
      <c r="B379" s="135" t="str">
        <f aca="false">Scoring!AY385</f>
        <v/>
      </c>
      <c r="C379" s="135" t="n">
        <f aca="false">Scoring!C385</f>
        <v>0</v>
      </c>
      <c r="D379" s="136" t="str">
        <f aca="false">Scoring!AV385</f>
        <v/>
      </c>
      <c r="E379" s="135" t="str">
        <f aca="false">Scoring!AB385</f>
        <v/>
      </c>
      <c r="F379" s="135" t="n">
        <f aca="false">Scoring!B385</f>
        <v>0</v>
      </c>
      <c r="G379" s="135" t="n">
        <f aca="false">Scoring!D385</f>
        <v>0</v>
      </c>
      <c r="H379" s="135" t="str">
        <f aca="false">Scoring!AX385</f>
        <v/>
      </c>
      <c r="I379" s="137" t="str">
        <f aca="false">Scoring!AW385</f>
        <v/>
      </c>
    </row>
    <row r="380" customFormat="false" ht="15.75" hidden="false" customHeight="false" outlineLevel="0" collapsed="false">
      <c r="A380" s="135" t="str">
        <f aca="false">Scoring!AZ386</f>
        <v/>
      </c>
      <c r="B380" s="135" t="str">
        <f aca="false">Scoring!AY386</f>
        <v/>
      </c>
      <c r="C380" s="135" t="n">
        <f aca="false">Scoring!C386</f>
        <v>0</v>
      </c>
      <c r="D380" s="136" t="str">
        <f aca="false">Scoring!AV386</f>
        <v/>
      </c>
      <c r="E380" s="135" t="str">
        <f aca="false">Scoring!AB386</f>
        <v/>
      </c>
      <c r="F380" s="135" t="n">
        <f aca="false">Scoring!B386</f>
        <v>0</v>
      </c>
      <c r="G380" s="135" t="n">
        <f aca="false">Scoring!D386</f>
        <v>0</v>
      </c>
      <c r="H380" s="135" t="str">
        <f aca="false">Scoring!AX386</f>
        <v/>
      </c>
      <c r="I380" s="137" t="str">
        <f aca="false">Scoring!AW386</f>
        <v/>
      </c>
    </row>
    <row r="381" customFormat="false" ht="15.75" hidden="false" customHeight="false" outlineLevel="0" collapsed="false">
      <c r="A381" s="135" t="str">
        <f aca="false">Scoring!AZ387</f>
        <v/>
      </c>
      <c r="B381" s="135" t="str">
        <f aca="false">Scoring!AY387</f>
        <v/>
      </c>
      <c r="C381" s="135" t="n">
        <f aca="false">Scoring!C387</f>
        <v>0</v>
      </c>
      <c r="D381" s="136" t="str">
        <f aca="false">Scoring!AV387</f>
        <v/>
      </c>
      <c r="E381" s="135" t="str">
        <f aca="false">Scoring!AB387</f>
        <v/>
      </c>
      <c r="F381" s="135" t="n">
        <f aca="false">Scoring!B387</f>
        <v>0</v>
      </c>
      <c r="G381" s="135" t="n">
        <f aca="false">Scoring!D387</f>
        <v>0</v>
      </c>
      <c r="H381" s="135" t="str">
        <f aca="false">Scoring!AX387</f>
        <v/>
      </c>
      <c r="I381" s="137" t="str">
        <f aca="false">Scoring!AW387</f>
        <v/>
      </c>
    </row>
    <row r="382" customFormat="false" ht="15.75" hidden="false" customHeight="false" outlineLevel="0" collapsed="false">
      <c r="A382" s="135" t="str">
        <f aca="false">Scoring!AZ388</f>
        <v/>
      </c>
      <c r="B382" s="135" t="str">
        <f aca="false">Scoring!AY388</f>
        <v/>
      </c>
      <c r="C382" s="135" t="n">
        <f aca="false">Scoring!C388</f>
        <v>0</v>
      </c>
      <c r="D382" s="136" t="str">
        <f aca="false">Scoring!AV388</f>
        <v/>
      </c>
      <c r="E382" s="135" t="str">
        <f aca="false">Scoring!AB388</f>
        <v/>
      </c>
      <c r="F382" s="135" t="n">
        <f aca="false">Scoring!B388</f>
        <v>0</v>
      </c>
      <c r="G382" s="135" t="n">
        <f aca="false">Scoring!D388</f>
        <v>0</v>
      </c>
      <c r="H382" s="135" t="str">
        <f aca="false">Scoring!AX388</f>
        <v/>
      </c>
      <c r="I382" s="137" t="str">
        <f aca="false">Scoring!AW388</f>
        <v/>
      </c>
    </row>
    <row r="383" customFormat="false" ht="15.75" hidden="false" customHeight="false" outlineLevel="0" collapsed="false">
      <c r="A383" s="135" t="str">
        <f aca="false">Scoring!AZ389</f>
        <v/>
      </c>
      <c r="B383" s="135" t="str">
        <f aca="false">Scoring!AY389</f>
        <v/>
      </c>
      <c r="C383" s="135" t="n">
        <f aca="false">Scoring!C389</f>
        <v>0</v>
      </c>
      <c r="D383" s="136" t="str">
        <f aca="false">Scoring!AV389</f>
        <v/>
      </c>
      <c r="E383" s="135" t="str">
        <f aca="false">Scoring!AB389</f>
        <v/>
      </c>
      <c r="F383" s="135" t="n">
        <f aca="false">Scoring!B389</f>
        <v>0</v>
      </c>
      <c r="G383" s="135" t="n">
        <f aca="false">Scoring!D389</f>
        <v>0</v>
      </c>
      <c r="H383" s="135" t="str">
        <f aca="false">Scoring!AX389</f>
        <v/>
      </c>
      <c r="I383" s="137" t="str">
        <f aca="false">Scoring!AW389</f>
        <v/>
      </c>
    </row>
    <row r="384" customFormat="false" ht="15.75" hidden="false" customHeight="false" outlineLevel="0" collapsed="false">
      <c r="A384" s="135" t="str">
        <f aca="false">Scoring!AZ390</f>
        <v/>
      </c>
      <c r="B384" s="135" t="str">
        <f aca="false">Scoring!AY390</f>
        <v/>
      </c>
      <c r="C384" s="135" t="n">
        <f aca="false">Scoring!C390</f>
        <v>0</v>
      </c>
      <c r="D384" s="136" t="str">
        <f aca="false">Scoring!AV390</f>
        <v/>
      </c>
      <c r="E384" s="135" t="str">
        <f aca="false">Scoring!AB390</f>
        <v/>
      </c>
      <c r="F384" s="135" t="n">
        <f aca="false">Scoring!B390</f>
        <v>0</v>
      </c>
      <c r="G384" s="135" t="n">
        <f aca="false">Scoring!D390</f>
        <v>0</v>
      </c>
      <c r="H384" s="135" t="str">
        <f aca="false">Scoring!AX390</f>
        <v/>
      </c>
      <c r="I384" s="137" t="str">
        <f aca="false">Scoring!AW390</f>
        <v/>
      </c>
    </row>
    <row r="385" customFormat="false" ht="15.75" hidden="false" customHeight="false" outlineLevel="0" collapsed="false">
      <c r="A385" s="135" t="str">
        <f aca="false">Scoring!AZ391</f>
        <v/>
      </c>
      <c r="B385" s="135" t="str">
        <f aca="false">Scoring!AY391</f>
        <v/>
      </c>
      <c r="C385" s="135" t="n">
        <f aca="false">Scoring!C391</f>
        <v>0</v>
      </c>
      <c r="D385" s="136" t="str">
        <f aca="false">Scoring!AV391</f>
        <v/>
      </c>
      <c r="E385" s="135" t="str">
        <f aca="false">Scoring!AB391</f>
        <v/>
      </c>
      <c r="F385" s="135" t="n">
        <f aca="false">Scoring!B391</f>
        <v>0</v>
      </c>
      <c r="G385" s="135" t="n">
        <f aca="false">Scoring!D391</f>
        <v>0</v>
      </c>
      <c r="H385" s="135" t="str">
        <f aca="false">Scoring!AX391</f>
        <v/>
      </c>
      <c r="I385" s="137" t="str">
        <f aca="false">Scoring!AW391</f>
        <v/>
      </c>
    </row>
    <row r="386" customFormat="false" ht="15.75" hidden="false" customHeight="false" outlineLevel="0" collapsed="false">
      <c r="A386" s="135" t="str">
        <f aca="false">Scoring!AZ392</f>
        <v/>
      </c>
      <c r="B386" s="135" t="str">
        <f aca="false">Scoring!AY392</f>
        <v/>
      </c>
      <c r="C386" s="135" t="n">
        <f aca="false">Scoring!C392</f>
        <v>0</v>
      </c>
      <c r="D386" s="136" t="str">
        <f aca="false">Scoring!AV392</f>
        <v/>
      </c>
      <c r="E386" s="135" t="str">
        <f aca="false">Scoring!AB392</f>
        <v/>
      </c>
      <c r="F386" s="135" t="n">
        <f aca="false">Scoring!B392</f>
        <v>0</v>
      </c>
      <c r="G386" s="135" t="n">
        <f aca="false">Scoring!D392</f>
        <v>0</v>
      </c>
      <c r="H386" s="135" t="str">
        <f aca="false">Scoring!AX392</f>
        <v/>
      </c>
      <c r="I386" s="137" t="str">
        <f aca="false">Scoring!AW392</f>
        <v/>
      </c>
    </row>
    <row r="387" customFormat="false" ht="15.75" hidden="false" customHeight="false" outlineLevel="0" collapsed="false">
      <c r="A387" s="135" t="str">
        <f aca="false">Scoring!AZ393</f>
        <v/>
      </c>
      <c r="B387" s="135" t="str">
        <f aca="false">Scoring!AY393</f>
        <v/>
      </c>
      <c r="C387" s="135" t="n">
        <f aca="false">Scoring!C393</f>
        <v>0</v>
      </c>
      <c r="D387" s="136" t="str">
        <f aca="false">Scoring!AV393</f>
        <v/>
      </c>
      <c r="E387" s="135" t="str">
        <f aca="false">Scoring!AB393</f>
        <v/>
      </c>
      <c r="F387" s="135" t="n">
        <f aca="false">Scoring!B393</f>
        <v>0</v>
      </c>
      <c r="G387" s="135" t="n">
        <f aca="false">Scoring!D393</f>
        <v>0</v>
      </c>
      <c r="H387" s="135" t="str">
        <f aca="false">Scoring!AX393</f>
        <v/>
      </c>
      <c r="I387" s="137" t="str">
        <f aca="false">Scoring!AW393</f>
        <v/>
      </c>
    </row>
    <row r="388" customFormat="false" ht="15.75" hidden="false" customHeight="false" outlineLevel="0" collapsed="false">
      <c r="A388" s="135" t="str">
        <f aca="false">Scoring!AZ394</f>
        <v/>
      </c>
      <c r="B388" s="135" t="str">
        <f aca="false">Scoring!AY394</f>
        <v/>
      </c>
      <c r="C388" s="135" t="n">
        <f aca="false">Scoring!C394</f>
        <v>0</v>
      </c>
      <c r="D388" s="136" t="str">
        <f aca="false">Scoring!AV394</f>
        <v/>
      </c>
      <c r="E388" s="135" t="str">
        <f aca="false">Scoring!AB394</f>
        <v/>
      </c>
      <c r="F388" s="135" t="n">
        <f aca="false">Scoring!B394</f>
        <v>0</v>
      </c>
      <c r="G388" s="135" t="n">
        <f aca="false">Scoring!D394</f>
        <v>0</v>
      </c>
      <c r="H388" s="135" t="str">
        <f aca="false">Scoring!AX394</f>
        <v/>
      </c>
      <c r="I388" s="137" t="str">
        <f aca="false">Scoring!AW394</f>
        <v/>
      </c>
    </row>
    <row r="389" customFormat="false" ht="15.75" hidden="false" customHeight="false" outlineLevel="0" collapsed="false">
      <c r="A389" s="135" t="str">
        <f aca="false">Scoring!AZ395</f>
        <v/>
      </c>
      <c r="B389" s="135" t="str">
        <f aca="false">Scoring!AY395</f>
        <v/>
      </c>
      <c r="C389" s="135" t="n">
        <f aca="false">Scoring!C395</f>
        <v>0</v>
      </c>
      <c r="D389" s="136" t="str">
        <f aca="false">Scoring!AV395</f>
        <v/>
      </c>
      <c r="E389" s="135" t="str">
        <f aca="false">Scoring!AB395</f>
        <v/>
      </c>
      <c r="F389" s="135" t="n">
        <f aca="false">Scoring!B395</f>
        <v>0</v>
      </c>
      <c r="G389" s="135" t="n">
        <f aca="false">Scoring!D395</f>
        <v>0</v>
      </c>
      <c r="H389" s="135" t="str">
        <f aca="false">Scoring!AX395</f>
        <v/>
      </c>
      <c r="I389" s="137" t="str">
        <f aca="false">Scoring!AW395</f>
        <v/>
      </c>
    </row>
    <row r="390" customFormat="false" ht="15.75" hidden="false" customHeight="false" outlineLevel="0" collapsed="false">
      <c r="A390" s="135" t="str">
        <f aca="false">Scoring!AZ396</f>
        <v/>
      </c>
      <c r="B390" s="135" t="str">
        <f aca="false">Scoring!AY396</f>
        <v/>
      </c>
      <c r="C390" s="135" t="n">
        <f aca="false">Scoring!C396</f>
        <v>0</v>
      </c>
      <c r="D390" s="136" t="str">
        <f aca="false">Scoring!AV396</f>
        <v/>
      </c>
      <c r="E390" s="135" t="str">
        <f aca="false">Scoring!AB396</f>
        <v/>
      </c>
      <c r="F390" s="135" t="n">
        <f aca="false">Scoring!B396</f>
        <v>0</v>
      </c>
      <c r="G390" s="135" t="n">
        <f aca="false">Scoring!D396</f>
        <v>0</v>
      </c>
      <c r="H390" s="135" t="str">
        <f aca="false">Scoring!AX396</f>
        <v/>
      </c>
      <c r="I390" s="137" t="str">
        <f aca="false">Scoring!AW396</f>
        <v/>
      </c>
    </row>
    <row r="391" customFormat="false" ht="15.75" hidden="false" customHeight="false" outlineLevel="0" collapsed="false">
      <c r="A391" s="135" t="str">
        <f aca="false">Scoring!AZ397</f>
        <v/>
      </c>
      <c r="B391" s="135" t="str">
        <f aca="false">Scoring!AY397</f>
        <v/>
      </c>
      <c r="C391" s="135" t="n">
        <f aca="false">Scoring!C397</f>
        <v>0</v>
      </c>
      <c r="D391" s="136" t="str">
        <f aca="false">Scoring!AV397</f>
        <v/>
      </c>
      <c r="E391" s="135" t="str">
        <f aca="false">Scoring!AB397</f>
        <v/>
      </c>
      <c r="F391" s="135" t="n">
        <f aca="false">Scoring!B397</f>
        <v>0</v>
      </c>
      <c r="G391" s="135" t="n">
        <f aca="false">Scoring!D397</f>
        <v>0</v>
      </c>
      <c r="H391" s="135" t="str">
        <f aca="false">Scoring!AX397</f>
        <v/>
      </c>
      <c r="I391" s="137" t="str">
        <f aca="false">Scoring!AW397</f>
        <v/>
      </c>
    </row>
    <row r="392" customFormat="false" ht="15.75" hidden="false" customHeight="false" outlineLevel="0" collapsed="false">
      <c r="A392" s="135" t="str">
        <f aca="false">Scoring!AZ398</f>
        <v/>
      </c>
      <c r="B392" s="135" t="str">
        <f aca="false">Scoring!AY398</f>
        <v/>
      </c>
      <c r="C392" s="135" t="n">
        <f aca="false">Scoring!C398</f>
        <v>0</v>
      </c>
      <c r="D392" s="136" t="str">
        <f aca="false">Scoring!AV398</f>
        <v/>
      </c>
      <c r="E392" s="135" t="str">
        <f aca="false">Scoring!AB398</f>
        <v/>
      </c>
      <c r="F392" s="135" t="n">
        <f aca="false">Scoring!B398</f>
        <v>0</v>
      </c>
      <c r="G392" s="135" t="n">
        <f aca="false">Scoring!D398</f>
        <v>0</v>
      </c>
      <c r="H392" s="135" t="str">
        <f aca="false">Scoring!AX398</f>
        <v/>
      </c>
      <c r="I392" s="137" t="str">
        <f aca="false">Scoring!AW398</f>
        <v/>
      </c>
    </row>
    <row r="393" customFormat="false" ht="15.75" hidden="false" customHeight="false" outlineLevel="0" collapsed="false">
      <c r="A393" s="135" t="str">
        <f aca="false">Scoring!AZ399</f>
        <v/>
      </c>
      <c r="B393" s="135" t="str">
        <f aca="false">Scoring!AY399</f>
        <v/>
      </c>
      <c r="C393" s="135" t="n">
        <f aca="false">Scoring!C399</f>
        <v>0</v>
      </c>
      <c r="D393" s="136" t="str">
        <f aca="false">Scoring!AV399</f>
        <v/>
      </c>
      <c r="E393" s="135" t="str">
        <f aca="false">Scoring!AB399</f>
        <v/>
      </c>
      <c r="F393" s="135" t="n">
        <f aca="false">Scoring!B399</f>
        <v>0</v>
      </c>
      <c r="G393" s="135" t="n">
        <f aca="false">Scoring!D399</f>
        <v>0</v>
      </c>
      <c r="H393" s="135" t="str">
        <f aca="false">Scoring!AX399</f>
        <v/>
      </c>
      <c r="I393" s="137" t="str">
        <f aca="false">Scoring!AW399</f>
        <v/>
      </c>
    </row>
    <row r="394" customFormat="false" ht="15.75" hidden="false" customHeight="false" outlineLevel="0" collapsed="false">
      <c r="A394" s="135" t="str">
        <f aca="false">Scoring!AZ400</f>
        <v/>
      </c>
      <c r="B394" s="135" t="str">
        <f aca="false">Scoring!AY400</f>
        <v/>
      </c>
      <c r="C394" s="135" t="n">
        <f aca="false">Scoring!C400</f>
        <v>0</v>
      </c>
      <c r="D394" s="136" t="str">
        <f aca="false">Scoring!AV400</f>
        <v/>
      </c>
      <c r="E394" s="135" t="str">
        <f aca="false">Scoring!AB400</f>
        <v/>
      </c>
      <c r="F394" s="135" t="n">
        <f aca="false">Scoring!B400</f>
        <v>0</v>
      </c>
      <c r="G394" s="135" t="n">
        <f aca="false">Scoring!D400</f>
        <v>0</v>
      </c>
      <c r="H394" s="135" t="str">
        <f aca="false">Scoring!AX400</f>
        <v/>
      </c>
      <c r="I394" s="137" t="str">
        <f aca="false">Scoring!AW400</f>
        <v/>
      </c>
    </row>
    <row r="395" customFormat="false" ht="15.75" hidden="false" customHeight="false" outlineLevel="0" collapsed="false">
      <c r="A395" s="135" t="str">
        <f aca="false">Scoring!AZ401</f>
        <v/>
      </c>
      <c r="B395" s="135" t="str">
        <f aca="false">Scoring!AY401</f>
        <v/>
      </c>
      <c r="C395" s="135" t="n">
        <f aca="false">Scoring!C401</f>
        <v>0</v>
      </c>
      <c r="D395" s="136" t="str">
        <f aca="false">Scoring!AV401</f>
        <v/>
      </c>
      <c r="E395" s="135" t="str">
        <f aca="false">Scoring!AB401</f>
        <v/>
      </c>
      <c r="F395" s="135" t="n">
        <f aca="false">Scoring!B401</f>
        <v>0</v>
      </c>
      <c r="G395" s="135" t="n">
        <f aca="false">Scoring!D401</f>
        <v>0</v>
      </c>
      <c r="H395" s="135" t="str">
        <f aca="false">Scoring!AX401</f>
        <v/>
      </c>
      <c r="I395" s="137" t="str">
        <f aca="false">Scoring!AW401</f>
        <v/>
      </c>
    </row>
    <row r="396" customFormat="false" ht="15.75" hidden="false" customHeight="false" outlineLevel="0" collapsed="false">
      <c r="A396" s="135" t="str">
        <f aca="false">Scoring!AZ402</f>
        <v/>
      </c>
      <c r="B396" s="135" t="str">
        <f aca="false">Scoring!AY402</f>
        <v/>
      </c>
      <c r="C396" s="135" t="n">
        <f aca="false">Scoring!C402</f>
        <v>0</v>
      </c>
      <c r="D396" s="136" t="str">
        <f aca="false">Scoring!AV402</f>
        <v/>
      </c>
      <c r="E396" s="135" t="str">
        <f aca="false">Scoring!AB402</f>
        <v/>
      </c>
      <c r="F396" s="135" t="n">
        <f aca="false">Scoring!B402</f>
        <v>0</v>
      </c>
      <c r="G396" s="135" t="n">
        <f aca="false">Scoring!D402</f>
        <v>0</v>
      </c>
      <c r="H396" s="135" t="str">
        <f aca="false">Scoring!AX402</f>
        <v/>
      </c>
      <c r="I396" s="137" t="str">
        <f aca="false">Scoring!AW402</f>
        <v/>
      </c>
    </row>
    <row r="397" customFormat="false" ht="15.75" hidden="false" customHeight="false" outlineLevel="0" collapsed="false">
      <c r="A397" s="135" t="str">
        <f aca="false">Scoring!AZ403</f>
        <v/>
      </c>
      <c r="B397" s="135" t="str">
        <f aca="false">Scoring!AY403</f>
        <v/>
      </c>
      <c r="C397" s="135" t="n">
        <f aca="false">Scoring!C403</f>
        <v>0</v>
      </c>
      <c r="D397" s="136" t="str">
        <f aca="false">Scoring!AV403</f>
        <v/>
      </c>
      <c r="E397" s="135" t="str">
        <f aca="false">Scoring!AB403</f>
        <v/>
      </c>
      <c r="F397" s="135" t="n">
        <f aca="false">Scoring!B403</f>
        <v>0</v>
      </c>
      <c r="G397" s="135" t="n">
        <f aca="false">Scoring!D403</f>
        <v>0</v>
      </c>
      <c r="H397" s="135" t="str">
        <f aca="false">Scoring!AX403</f>
        <v/>
      </c>
      <c r="I397" s="137" t="str">
        <f aca="false">Scoring!AW403</f>
        <v/>
      </c>
    </row>
    <row r="398" customFormat="false" ht="15.75" hidden="false" customHeight="false" outlineLevel="0" collapsed="false">
      <c r="A398" s="135" t="str">
        <f aca="false">Scoring!AZ404</f>
        <v/>
      </c>
      <c r="B398" s="135" t="str">
        <f aca="false">Scoring!AY404</f>
        <v/>
      </c>
      <c r="C398" s="135" t="n">
        <f aca="false">Scoring!C404</f>
        <v>0</v>
      </c>
      <c r="D398" s="136" t="str">
        <f aca="false">Scoring!AV404</f>
        <v/>
      </c>
      <c r="E398" s="135" t="str">
        <f aca="false">Scoring!AB404</f>
        <v/>
      </c>
      <c r="F398" s="135" t="n">
        <f aca="false">Scoring!B404</f>
        <v>0</v>
      </c>
      <c r="G398" s="135" t="n">
        <f aca="false">Scoring!D404</f>
        <v>0</v>
      </c>
      <c r="H398" s="135" t="str">
        <f aca="false">Scoring!AX404</f>
        <v/>
      </c>
      <c r="I398" s="137" t="str">
        <f aca="false">Scoring!AW404</f>
        <v/>
      </c>
    </row>
    <row r="399" customFormat="false" ht="15.75" hidden="false" customHeight="false" outlineLevel="0" collapsed="false">
      <c r="A399" s="135" t="str">
        <f aca="false">Scoring!AZ405</f>
        <v/>
      </c>
      <c r="B399" s="135" t="str">
        <f aca="false">Scoring!AY405</f>
        <v/>
      </c>
      <c r="C399" s="135" t="n">
        <f aca="false">Scoring!C405</f>
        <v>0</v>
      </c>
      <c r="D399" s="136" t="str">
        <f aca="false">Scoring!AV405</f>
        <v/>
      </c>
      <c r="E399" s="135" t="str">
        <f aca="false">Scoring!AB405</f>
        <v/>
      </c>
      <c r="F399" s="135" t="n">
        <f aca="false">Scoring!B405</f>
        <v>0</v>
      </c>
      <c r="G399" s="135" t="n">
        <f aca="false">Scoring!D405</f>
        <v>0</v>
      </c>
      <c r="H399" s="135" t="str">
        <f aca="false">Scoring!AX405</f>
        <v/>
      </c>
      <c r="I399" s="137" t="str">
        <f aca="false">Scoring!AW405</f>
        <v/>
      </c>
    </row>
    <row r="400" customFormat="false" ht="15.75" hidden="false" customHeight="false" outlineLevel="0" collapsed="false">
      <c r="A400" s="135" t="str">
        <f aca="false">Scoring!AZ406</f>
        <v/>
      </c>
      <c r="B400" s="135" t="str">
        <f aca="false">Scoring!AY406</f>
        <v/>
      </c>
      <c r="C400" s="135" t="n">
        <f aca="false">Scoring!C406</f>
        <v>0</v>
      </c>
      <c r="D400" s="136" t="str">
        <f aca="false">Scoring!AV406</f>
        <v/>
      </c>
      <c r="E400" s="135" t="str">
        <f aca="false">Scoring!AB406</f>
        <v/>
      </c>
      <c r="F400" s="135" t="n">
        <f aca="false">Scoring!B406</f>
        <v>0</v>
      </c>
      <c r="G400" s="135" t="n">
        <f aca="false">Scoring!D406</f>
        <v>0</v>
      </c>
      <c r="H400" s="135" t="str">
        <f aca="false">Scoring!AX406</f>
        <v/>
      </c>
      <c r="I400" s="137" t="str">
        <f aca="false">Scoring!AW406</f>
        <v/>
      </c>
    </row>
    <row r="401" customFormat="false" ht="15.75" hidden="false" customHeight="false" outlineLevel="0" collapsed="false">
      <c r="A401" s="135" t="str">
        <f aca="false">Scoring!AZ407</f>
        <v/>
      </c>
      <c r="B401" s="135" t="str">
        <f aca="false">Scoring!AY407</f>
        <v/>
      </c>
      <c r="C401" s="135" t="n">
        <f aca="false">Scoring!C407</f>
        <v>0</v>
      </c>
      <c r="D401" s="136" t="str">
        <f aca="false">Scoring!AV407</f>
        <v/>
      </c>
      <c r="E401" s="135" t="str">
        <f aca="false">Scoring!AB407</f>
        <v/>
      </c>
      <c r="F401" s="135" t="n">
        <f aca="false">Scoring!B407</f>
        <v>0</v>
      </c>
      <c r="G401" s="135" t="n">
        <f aca="false">Scoring!D407</f>
        <v>0</v>
      </c>
      <c r="H401" s="135" t="str">
        <f aca="false">Scoring!AX407</f>
        <v/>
      </c>
      <c r="I401" s="137" t="str">
        <f aca="false">Scoring!AW407</f>
        <v/>
      </c>
    </row>
    <row r="402" customFormat="false" ht="15.75" hidden="false" customHeight="false" outlineLevel="0" collapsed="false">
      <c r="A402" s="135" t="str">
        <f aca="false">Scoring!AZ408</f>
        <v/>
      </c>
      <c r="B402" s="135" t="str">
        <f aca="false">Scoring!AY408</f>
        <v/>
      </c>
      <c r="C402" s="135" t="n">
        <f aca="false">Scoring!C408</f>
        <v>0</v>
      </c>
      <c r="D402" s="136" t="str">
        <f aca="false">Scoring!AV408</f>
        <v/>
      </c>
      <c r="E402" s="135" t="str">
        <f aca="false">Scoring!AB408</f>
        <v/>
      </c>
      <c r="F402" s="135" t="n">
        <f aca="false">Scoring!B408</f>
        <v>0</v>
      </c>
      <c r="G402" s="135" t="n">
        <f aca="false">Scoring!D408</f>
        <v>0</v>
      </c>
      <c r="H402" s="135" t="str">
        <f aca="false">Scoring!AX408</f>
        <v/>
      </c>
      <c r="I402" s="137" t="str">
        <f aca="false">Scoring!AW408</f>
        <v/>
      </c>
    </row>
    <row r="403" customFormat="false" ht="15.75" hidden="false" customHeight="false" outlineLevel="0" collapsed="false">
      <c r="A403" s="135" t="str">
        <f aca="false">Scoring!AZ409</f>
        <v/>
      </c>
      <c r="B403" s="135" t="str">
        <f aca="false">Scoring!AY409</f>
        <v/>
      </c>
      <c r="C403" s="135" t="n">
        <f aca="false">Scoring!C409</f>
        <v>0</v>
      </c>
      <c r="D403" s="136" t="str">
        <f aca="false">Scoring!AV409</f>
        <v/>
      </c>
      <c r="E403" s="135" t="str">
        <f aca="false">Scoring!AB409</f>
        <v/>
      </c>
      <c r="F403" s="135" t="n">
        <f aca="false">Scoring!B409</f>
        <v>0</v>
      </c>
      <c r="G403" s="135" t="n">
        <f aca="false">Scoring!D409</f>
        <v>0</v>
      </c>
      <c r="H403" s="135" t="str">
        <f aca="false">Scoring!AX409</f>
        <v/>
      </c>
      <c r="I403" s="137" t="str">
        <f aca="false">Scoring!AW409</f>
        <v/>
      </c>
    </row>
    <row r="404" customFormat="false" ht="15.75" hidden="false" customHeight="false" outlineLevel="0" collapsed="false">
      <c r="A404" s="135" t="str">
        <f aca="false">Scoring!AZ410</f>
        <v/>
      </c>
      <c r="B404" s="135" t="str">
        <f aca="false">Scoring!AY410</f>
        <v/>
      </c>
      <c r="C404" s="135" t="n">
        <f aca="false">Scoring!C410</f>
        <v>0</v>
      </c>
      <c r="D404" s="136" t="str">
        <f aca="false">Scoring!AV410</f>
        <v/>
      </c>
      <c r="E404" s="135" t="str">
        <f aca="false">Scoring!AB410</f>
        <v/>
      </c>
      <c r="F404" s="135" t="n">
        <f aca="false">Scoring!B410</f>
        <v>0</v>
      </c>
      <c r="G404" s="135" t="n">
        <f aca="false">Scoring!D410</f>
        <v>0</v>
      </c>
      <c r="H404" s="135" t="str">
        <f aca="false">Scoring!AX410</f>
        <v/>
      </c>
      <c r="I404" s="137" t="str">
        <f aca="false">Scoring!AW410</f>
        <v/>
      </c>
    </row>
    <row r="405" customFormat="false" ht="15.75" hidden="false" customHeight="false" outlineLevel="0" collapsed="false">
      <c r="A405" s="135" t="str">
        <f aca="false">Scoring!AZ411</f>
        <v/>
      </c>
      <c r="B405" s="135" t="str">
        <f aca="false">Scoring!AY411</f>
        <v/>
      </c>
      <c r="C405" s="135" t="n">
        <f aca="false">Scoring!C411</f>
        <v>0</v>
      </c>
      <c r="D405" s="136" t="str">
        <f aca="false">Scoring!AV411</f>
        <v/>
      </c>
      <c r="E405" s="135" t="str">
        <f aca="false">Scoring!AB411</f>
        <v/>
      </c>
      <c r="F405" s="135" t="n">
        <f aca="false">Scoring!B411</f>
        <v>0</v>
      </c>
      <c r="G405" s="135" t="n">
        <f aca="false">Scoring!D411</f>
        <v>0</v>
      </c>
      <c r="H405" s="135" t="str">
        <f aca="false">Scoring!AX411</f>
        <v/>
      </c>
      <c r="I405" s="137" t="str">
        <f aca="false">Scoring!AW411</f>
        <v/>
      </c>
    </row>
    <row r="406" customFormat="false" ht="15.75" hidden="false" customHeight="false" outlineLevel="0" collapsed="false">
      <c r="A406" s="135" t="str">
        <f aca="false">Scoring!AZ412</f>
        <v/>
      </c>
      <c r="B406" s="135" t="str">
        <f aca="false">Scoring!AY412</f>
        <v/>
      </c>
      <c r="C406" s="135" t="n">
        <f aca="false">Scoring!C412</f>
        <v>0</v>
      </c>
      <c r="D406" s="136" t="str">
        <f aca="false">Scoring!AV412</f>
        <v/>
      </c>
      <c r="E406" s="135" t="str">
        <f aca="false">Scoring!AB412</f>
        <v/>
      </c>
      <c r="F406" s="135" t="n">
        <f aca="false">Scoring!B412</f>
        <v>0</v>
      </c>
      <c r="G406" s="135" t="n">
        <f aca="false">Scoring!D412</f>
        <v>0</v>
      </c>
      <c r="H406" s="135" t="str">
        <f aca="false">Scoring!AX412</f>
        <v/>
      </c>
      <c r="I406" s="137" t="str">
        <f aca="false">Scoring!AW412</f>
        <v/>
      </c>
    </row>
    <row r="407" customFormat="false" ht="15.75" hidden="false" customHeight="false" outlineLevel="0" collapsed="false">
      <c r="A407" s="135" t="str">
        <f aca="false">Scoring!AZ413</f>
        <v/>
      </c>
      <c r="B407" s="135" t="str">
        <f aca="false">Scoring!AY413</f>
        <v/>
      </c>
      <c r="C407" s="135" t="n">
        <f aca="false">Scoring!C413</f>
        <v>0</v>
      </c>
      <c r="D407" s="136" t="str">
        <f aca="false">Scoring!AV413</f>
        <v/>
      </c>
      <c r="E407" s="135" t="str">
        <f aca="false">Scoring!AB413</f>
        <v/>
      </c>
      <c r="F407" s="135" t="n">
        <f aca="false">Scoring!B413</f>
        <v>0</v>
      </c>
      <c r="G407" s="135" t="n">
        <f aca="false">Scoring!D413</f>
        <v>0</v>
      </c>
      <c r="H407" s="135" t="str">
        <f aca="false">Scoring!AX413</f>
        <v/>
      </c>
      <c r="I407" s="137" t="str">
        <f aca="false">Scoring!AW413</f>
        <v/>
      </c>
    </row>
    <row r="408" customFormat="false" ht="15.75" hidden="false" customHeight="false" outlineLevel="0" collapsed="false">
      <c r="A408" s="135" t="str">
        <f aca="false">Scoring!AZ414</f>
        <v/>
      </c>
      <c r="B408" s="135" t="str">
        <f aca="false">Scoring!AY414</f>
        <v/>
      </c>
      <c r="C408" s="135" t="n">
        <f aca="false">Scoring!C414</f>
        <v>0</v>
      </c>
      <c r="D408" s="136" t="str">
        <f aca="false">Scoring!AV414</f>
        <v/>
      </c>
      <c r="E408" s="135" t="str">
        <f aca="false">Scoring!AB414</f>
        <v/>
      </c>
      <c r="F408" s="135" t="n">
        <f aca="false">Scoring!B414</f>
        <v>0</v>
      </c>
      <c r="G408" s="135" t="n">
        <f aca="false">Scoring!D414</f>
        <v>0</v>
      </c>
      <c r="H408" s="135" t="str">
        <f aca="false">Scoring!AX414</f>
        <v/>
      </c>
      <c r="I408" s="137" t="str">
        <f aca="false">Scoring!AW414</f>
        <v/>
      </c>
    </row>
    <row r="409" customFormat="false" ht="15.75" hidden="false" customHeight="false" outlineLevel="0" collapsed="false">
      <c r="A409" s="135" t="str">
        <f aca="false">Scoring!AZ415</f>
        <v/>
      </c>
      <c r="B409" s="135" t="str">
        <f aca="false">Scoring!AY415</f>
        <v/>
      </c>
      <c r="C409" s="135" t="n">
        <f aca="false">Scoring!C415</f>
        <v>0</v>
      </c>
      <c r="D409" s="136" t="str">
        <f aca="false">Scoring!AV415</f>
        <v/>
      </c>
      <c r="E409" s="135" t="str">
        <f aca="false">Scoring!AB415</f>
        <v/>
      </c>
      <c r="F409" s="135" t="n">
        <f aca="false">Scoring!B415</f>
        <v>0</v>
      </c>
      <c r="G409" s="135" t="n">
        <f aca="false">Scoring!D415</f>
        <v>0</v>
      </c>
      <c r="H409" s="135" t="str">
        <f aca="false">Scoring!AX415</f>
        <v/>
      </c>
      <c r="I409" s="137" t="str">
        <f aca="false">Scoring!AW415</f>
        <v/>
      </c>
    </row>
    <row r="410" customFormat="false" ht="15.75" hidden="false" customHeight="false" outlineLevel="0" collapsed="false">
      <c r="A410" s="135" t="str">
        <f aca="false">Scoring!AZ416</f>
        <v/>
      </c>
      <c r="B410" s="135" t="str">
        <f aca="false">Scoring!AY416</f>
        <v/>
      </c>
      <c r="C410" s="135" t="n">
        <f aca="false">Scoring!C416</f>
        <v>0</v>
      </c>
      <c r="D410" s="136" t="str">
        <f aca="false">Scoring!AV416</f>
        <v/>
      </c>
      <c r="E410" s="135" t="str">
        <f aca="false">Scoring!AB416</f>
        <v/>
      </c>
      <c r="F410" s="135" t="n">
        <f aca="false">Scoring!B416</f>
        <v>0</v>
      </c>
      <c r="G410" s="135" t="n">
        <f aca="false">Scoring!D416</f>
        <v>0</v>
      </c>
      <c r="H410" s="135" t="str">
        <f aca="false">Scoring!AX416</f>
        <v/>
      </c>
      <c r="I410" s="137" t="str">
        <f aca="false">Scoring!AW416</f>
        <v/>
      </c>
    </row>
    <row r="411" customFormat="false" ht="15.75" hidden="false" customHeight="false" outlineLevel="0" collapsed="false">
      <c r="A411" s="135" t="str">
        <f aca="false">Scoring!AZ417</f>
        <v/>
      </c>
      <c r="B411" s="135" t="str">
        <f aca="false">Scoring!AY417</f>
        <v/>
      </c>
      <c r="C411" s="135" t="n">
        <f aca="false">Scoring!C417</f>
        <v>0</v>
      </c>
      <c r="D411" s="136" t="str">
        <f aca="false">Scoring!AV417</f>
        <v/>
      </c>
      <c r="E411" s="135" t="str">
        <f aca="false">Scoring!AB417</f>
        <v/>
      </c>
      <c r="F411" s="135" t="n">
        <f aca="false">Scoring!B417</f>
        <v>0</v>
      </c>
      <c r="G411" s="135" t="n">
        <f aca="false">Scoring!D417</f>
        <v>0</v>
      </c>
      <c r="H411" s="135" t="str">
        <f aca="false">Scoring!AX417</f>
        <v/>
      </c>
      <c r="I411" s="137" t="str">
        <f aca="false">Scoring!AW417</f>
        <v/>
      </c>
    </row>
    <row r="412" customFormat="false" ht="15.75" hidden="false" customHeight="false" outlineLevel="0" collapsed="false">
      <c r="A412" s="135" t="str">
        <f aca="false">Scoring!AZ418</f>
        <v/>
      </c>
      <c r="B412" s="135" t="str">
        <f aca="false">Scoring!AY418</f>
        <v/>
      </c>
      <c r="C412" s="135" t="n">
        <f aca="false">Scoring!C418</f>
        <v>0</v>
      </c>
      <c r="D412" s="136" t="str">
        <f aca="false">Scoring!AV418</f>
        <v/>
      </c>
      <c r="E412" s="135" t="str">
        <f aca="false">Scoring!AB418</f>
        <v/>
      </c>
      <c r="F412" s="135" t="n">
        <f aca="false">Scoring!B418</f>
        <v>0</v>
      </c>
      <c r="G412" s="135" t="n">
        <f aca="false">Scoring!D418</f>
        <v>0</v>
      </c>
      <c r="H412" s="135" t="str">
        <f aca="false">Scoring!AX418</f>
        <v/>
      </c>
      <c r="I412" s="137" t="str">
        <f aca="false">Scoring!AW418</f>
        <v/>
      </c>
    </row>
    <row r="413" customFormat="false" ht="15.75" hidden="false" customHeight="false" outlineLevel="0" collapsed="false">
      <c r="A413" s="135" t="str">
        <f aca="false">Scoring!AZ419</f>
        <v/>
      </c>
      <c r="B413" s="135" t="str">
        <f aca="false">Scoring!AY419</f>
        <v/>
      </c>
      <c r="C413" s="135" t="n">
        <f aca="false">Scoring!C419</f>
        <v>0</v>
      </c>
      <c r="D413" s="136" t="str">
        <f aca="false">Scoring!AV419</f>
        <v/>
      </c>
      <c r="E413" s="135" t="str">
        <f aca="false">Scoring!AB419</f>
        <v/>
      </c>
      <c r="F413" s="135" t="n">
        <f aca="false">Scoring!B419</f>
        <v>0</v>
      </c>
      <c r="G413" s="135" t="n">
        <f aca="false">Scoring!D419</f>
        <v>0</v>
      </c>
      <c r="H413" s="135" t="str">
        <f aca="false">Scoring!AX419</f>
        <v/>
      </c>
      <c r="I413" s="137" t="str">
        <f aca="false">Scoring!AW419</f>
        <v/>
      </c>
    </row>
    <row r="414" customFormat="false" ht="15.75" hidden="false" customHeight="false" outlineLevel="0" collapsed="false">
      <c r="A414" s="135" t="str">
        <f aca="false">Scoring!AZ420</f>
        <v/>
      </c>
      <c r="B414" s="135" t="str">
        <f aca="false">Scoring!AY420</f>
        <v/>
      </c>
      <c r="C414" s="135" t="n">
        <f aca="false">Scoring!C420</f>
        <v>0</v>
      </c>
      <c r="D414" s="136" t="str">
        <f aca="false">Scoring!AV420</f>
        <v/>
      </c>
      <c r="E414" s="135" t="str">
        <f aca="false">Scoring!AB420</f>
        <v/>
      </c>
      <c r="F414" s="135" t="n">
        <f aca="false">Scoring!B420</f>
        <v>0</v>
      </c>
      <c r="G414" s="135" t="n">
        <f aca="false">Scoring!D420</f>
        <v>0</v>
      </c>
      <c r="H414" s="135" t="str">
        <f aca="false">Scoring!AX420</f>
        <v/>
      </c>
      <c r="I414" s="137" t="str">
        <f aca="false">Scoring!AW420</f>
        <v/>
      </c>
    </row>
    <row r="415" customFormat="false" ht="15.75" hidden="false" customHeight="false" outlineLevel="0" collapsed="false">
      <c r="A415" s="135" t="str">
        <f aca="false">Scoring!AZ421</f>
        <v/>
      </c>
      <c r="B415" s="135" t="str">
        <f aca="false">Scoring!AY421</f>
        <v/>
      </c>
      <c r="C415" s="135" t="n">
        <f aca="false">Scoring!C421</f>
        <v>0</v>
      </c>
      <c r="D415" s="136" t="str">
        <f aca="false">Scoring!AV421</f>
        <v/>
      </c>
      <c r="E415" s="135" t="str">
        <f aca="false">Scoring!AB421</f>
        <v/>
      </c>
      <c r="F415" s="135" t="n">
        <f aca="false">Scoring!B421</f>
        <v>0</v>
      </c>
      <c r="G415" s="135" t="n">
        <f aca="false">Scoring!D421</f>
        <v>0</v>
      </c>
      <c r="H415" s="135" t="str">
        <f aca="false">Scoring!AX421</f>
        <v/>
      </c>
      <c r="I415" s="137" t="str">
        <f aca="false">Scoring!AW421</f>
        <v/>
      </c>
    </row>
    <row r="416" customFormat="false" ht="15.75" hidden="false" customHeight="false" outlineLevel="0" collapsed="false">
      <c r="A416" s="135" t="str">
        <f aca="false">Scoring!AZ422</f>
        <v/>
      </c>
      <c r="B416" s="135" t="str">
        <f aca="false">Scoring!AY422</f>
        <v/>
      </c>
      <c r="C416" s="135" t="n">
        <f aca="false">Scoring!C422</f>
        <v>0</v>
      </c>
      <c r="D416" s="136" t="str">
        <f aca="false">Scoring!AV422</f>
        <v/>
      </c>
      <c r="E416" s="135" t="str">
        <f aca="false">Scoring!AB422</f>
        <v/>
      </c>
      <c r="F416" s="135" t="n">
        <f aca="false">Scoring!B422</f>
        <v>0</v>
      </c>
      <c r="G416" s="135" t="n">
        <f aca="false">Scoring!D422</f>
        <v>0</v>
      </c>
      <c r="H416" s="135" t="str">
        <f aca="false">Scoring!AX422</f>
        <v/>
      </c>
      <c r="I416" s="137" t="str">
        <f aca="false">Scoring!AW422</f>
        <v/>
      </c>
    </row>
    <row r="417" customFormat="false" ht="15.75" hidden="false" customHeight="false" outlineLevel="0" collapsed="false">
      <c r="A417" s="135" t="str">
        <f aca="false">Scoring!AZ423</f>
        <v/>
      </c>
      <c r="B417" s="135" t="str">
        <f aca="false">Scoring!AY423</f>
        <v/>
      </c>
      <c r="C417" s="135" t="n">
        <f aca="false">Scoring!C423</f>
        <v>0</v>
      </c>
      <c r="D417" s="136" t="str">
        <f aca="false">Scoring!AV423</f>
        <v/>
      </c>
      <c r="E417" s="135" t="str">
        <f aca="false">Scoring!AB423</f>
        <v/>
      </c>
      <c r="F417" s="135" t="n">
        <f aca="false">Scoring!B423</f>
        <v>0</v>
      </c>
      <c r="G417" s="135" t="n">
        <f aca="false">Scoring!D423</f>
        <v>0</v>
      </c>
      <c r="H417" s="135" t="str">
        <f aca="false">Scoring!AX423</f>
        <v/>
      </c>
      <c r="I417" s="137" t="str">
        <f aca="false">Scoring!AW423</f>
        <v/>
      </c>
    </row>
    <row r="418" customFormat="false" ht="15.75" hidden="false" customHeight="false" outlineLevel="0" collapsed="false">
      <c r="A418" s="135" t="str">
        <f aca="false">Scoring!AZ424</f>
        <v/>
      </c>
      <c r="B418" s="135" t="str">
        <f aca="false">Scoring!AY424</f>
        <v/>
      </c>
      <c r="C418" s="135" t="n">
        <f aca="false">Scoring!C424</f>
        <v>0</v>
      </c>
      <c r="D418" s="136" t="str">
        <f aca="false">Scoring!AV424</f>
        <v/>
      </c>
      <c r="E418" s="135" t="str">
        <f aca="false">Scoring!AB424</f>
        <v/>
      </c>
      <c r="F418" s="135" t="n">
        <f aca="false">Scoring!B424</f>
        <v>0</v>
      </c>
      <c r="G418" s="135" t="n">
        <f aca="false">Scoring!D424</f>
        <v>0</v>
      </c>
      <c r="H418" s="135" t="str">
        <f aca="false">Scoring!AX424</f>
        <v/>
      </c>
      <c r="I418" s="137" t="str">
        <f aca="false">Scoring!AW424</f>
        <v/>
      </c>
    </row>
    <row r="419" customFormat="false" ht="15.75" hidden="false" customHeight="false" outlineLevel="0" collapsed="false">
      <c r="A419" s="135" t="str">
        <f aca="false">Scoring!AZ425</f>
        <v/>
      </c>
      <c r="B419" s="135" t="str">
        <f aca="false">Scoring!AY425</f>
        <v/>
      </c>
      <c r="C419" s="135" t="n">
        <f aca="false">Scoring!C425</f>
        <v>0</v>
      </c>
      <c r="D419" s="136" t="str">
        <f aca="false">Scoring!AV425</f>
        <v/>
      </c>
      <c r="E419" s="135" t="str">
        <f aca="false">Scoring!AB425</f>
        <v/>
      </c>
      <c r="F419" s="135" t="n">
        <f aca="false">Scoring!B425</f>
        <v>0</v>
      </c>
      <c r="G419" s="135" t="n">
        <f aca="false">Scoring!D425</f>
        <v>0</v>
      </c>
      <c r="H419" s="135" t="str">
        <f aca="false">Scoring!AX425</f>
        <v/>
      </c>
      <c r="I419" s="137" t="str">
        <f aca="false">Scoring!AW425</f>
        <v/>
      </c>
    </row>
    <row r="420" customFormat="false" ht="15.75" hidden="false" customHeight="false" outlineLevel="0" collapsed="false">
      <c r="A420" s="135" t="str">
        <f aca="false">Scoring!AZ426</f>
        <v/>
      </c>
      <c r="B420" s="135" t="str">
        <f aca="false">Scoring!AY426</f>
        <v/>
      </c>
      <c r="C420" s="135" t="n">
        <f aca="false">Scoring!C426</f>
        <v>0</v>
      </c>
      <c r="D420" s="136" t="str">
        <f aca="false">Scoring!AV426</f>
        <v/>
      </c>
      <c r="E420" s="135" t="str">
        <f aca="false">Scoring!AB426</f>
        <v/>
      </c>
      <c r="F420" s="135" t="n">
        <f aca="false">Scoring!B426</f>
        <v>0</v>
      </c>
      <c r="G420" s="135" t="n">
        <f aca="false">Scoring!D426</f>
        <v>0</v>
      </c>
      <c r="H420" s="135" t="str">
        <f aca="false">Scoring!AX426</f>
        <v/>
      </c>
      <c r="I420" s="137" t="str">
        <f aca="false">Scoring!AW426</f>
        <v/>
      </c>
    </row>
    <row r="421" customFormat="false" ht="15.75" hidden="false" customHeight="false" outlineLevel="0" collapsed="false">
      <c r="A421" s="135" t="str">
        <f aca="false">Scoring!AZ427</f>
        <v/>
      </c>
      <c r="B421" s="135" t="str">
        <f aca="false">Scoring!AY427</f>
        <v/>
      </c>
      <c r="C421" s="135" t="n">
        <f aca="false">Scoring!C427</f>
        <v>0</v>
      </c>
      <c r="D421" s="136" t="str">
        <f aca="false">Scoring!AV427</f>
        <v/>
      </c>
      <c r="E421" s="135" t="str">
        <f aca="false">Scoring!AB427</f>
        <v/>
      </c>
      <c r="F421" s="135" t="n">
        <f aca="false">Scoring!B427</f>
        <v>0</v>
      </c>
      <c r="G421" s="135" t="n">
        <f aca="false">Scoring!D427</f>
        <v>0</v>
      </c>
      <c r="H421" s="135" t="str">
        <f aca="false">Scoring!AX427</f>
        <v/>
      </c>
      <c r="I421" s="137" t="str">
        <f aca="false">Scoring!AW427</f>
        <v/>
      </c>
    </row>
    <row r="422" customFormat="false" ht="15.75" hidden="false" customHeight="false" outlineLevel="0" collapsed="false">
      <c r="A422" s="135" t="str">
        <f aca="false">Scoring!AZ428</f>
        <v/>
      </c>
      <c r="B422" s="135" t="str">
        <f aca="false">Scoring!AY428</f>
        <v/>
      </c>
      <c r="C422" s="135" t="n">
        <f aca="false">Scoring!C428</f>
        <v>0</v>
      </c>
      <c r="D422" s="136" t="str">
        <f aca="false">Scoring!AV428</f>
        <v/>
      </c>
      <c r="E422" s="135" t="str">
        <f aca="false">Scoring!AB428</f>
        <v/>
      </c>
      <c r="F422" s="135" t="n">
        <f aca="false">Scoring!B428</f>
        <v>0</v>
      </c>
      <c r="G422" s="135" t="n">
        <f aca="false">Scoring!D428</f>
        <v>0</v>
      </c>
      <c r="H422" s="135" t="str">
        <f aca="false">Scoring!AX428</f>
        <v/>
      </c>
      <c r="I422" s="137" t="str">
        <f aca="false">Scoring!AW428</f>
        <v/>
      </c>
    </row>
    <row r="423" customFormat="false" ht="15.75" hidden="false" customHeight="false" outlineLevel="0" collapsed="false">
      <c r="A423" s="135" t="str">
        <f aca="false">Scoring!AZ429</f>
        <v/>
      </c>
      <c r="B423" s="135" t="str">
        <f aca="false">Scoring!AY429</f>
        <v/>
      </c>
      <c r="C423" s="135" t="n">
        <f aca="false">Scoring!C429</f>
        <v>0</v>
      </c>
      <c r="D423" s="136" t="str">
        <f aca="false">Scoring!AV429</f>
        <v/>
      </c>
      <c r="E423" s="135" t="str">
        <f aca="false">Scoring!AB429</f>
        <v/>
      </c>
      <c r="F423" s="135" t="n">
        <f aca="false">Scoring!B429</f>
        <v>0</v>
      </c>
      <c r="G423" s="135" t="n">
        <f aca="false">Scoring!D429</f>
        <v>0</v>
      </c>
      <c r="H423" s="135" t="str">
        <f aca="false">Scoring!AX429</f>
        <v/>
      </c>
      <c r="I423" s="137" t="str">
        <f aca="false">Scoring!AW429</f>
        <v/>
      </c>
    </row>
    <row r="424" customFormat="false" ht="15.75" hidden="false" customHeight="false" outlineLevel="0" collapsed="false">
      <c r="A424" s="135" t="str">
        <f aca="false">Scoring!AZ430</f>
        <v/>
      </c>
      <c r="B424" s="135" t="str">
        <f aca="false">Scoring!AY430</f>
        <v/>
      </c>
      <c r="C424" s="135" t="n">
        <f aca="false">Scoring!C430</f>
        <v>0</v>
      </c>
      <c r="D424" s="136" t="str">
        <f aca="false">Scoring!AV430</f>
        <v/>
      </c>
      <c r="E424" s="135" t="str">
        <f aca="false">Scoring!AB430</f>
        <v/>
      </c>
      <c r="F424" s="135" t="n">
        <f aca="false">Scoring!B430</f>
        <v>0</v>
      </c>
      <c r="G424" s="135" t="n">
        <f aca="false">Scoring!D430</f>
        <v>0</v>
      </c>
      <c r="H424" s="135" t="str">
        <f aca="false">Scoring!AX430</f>
        <v/>
      </c>
      <c r="I424" s="137" t="str">
        <f aca="false">Scoring!AW430</f>
        <v/>
      </c>
    </row>
    <row r="425" customFormat="false" ht="15.75" hidden="false" customHeight="false" outlineLevel="0" collapsed="false">
      <c r="A425" s="135" t="str">
        <f aca="false">Scoring!AZ431</f>
        <v/>
      </c>
      <c r="B425" s="135" t="str">
        <f aca="false">Scoring!AY431</f>
        <v/>
      </c>
      <c r="C425" s="135" t="n">
        <f aca="false">Scoring!C431</f>
        <v>0</v>
      </c>
      <c r="D425" s="136" t="str">
        <f aca="false">Scoring!AV431</f>
        <v/>
      </c>
      <c r="E425" s="135" t="str">
        <f aca="false">Scoring!AB431</f>
        <v/>
      </c>
      <c r="F425" s="135" t="n">
        <f aca="false">Scoring!B431</f>
        <v>0</v>
      </c>
      <c r="G425" s="135" t="n">
        <f aca="false">Scoring!D431</f>
        <v>0</v>
      </c>
      <c r="H425" s="135" t="str">
        <f aca="false">Scoring!AX431</f>
        <v/>
      </c>
      <c r="I425" s="137" t="str">
        <f aca="false">Scoring!AW431</f>
        <v/>
      </c>
    </row>
    <row r="426" customFormat="false" ht="15.75" hidden="false" customHeight="false" outlineLevel="0" collapsed="false">
      <c r="A426" s="135" t="str">
        <f aca="false">Scoring!AZ432</f>
        <v/>
      </c>
      <c r="B426" s="135" t="str">
        <f aca="false">Scoring!AY432</f>
        <v/>
      </c>
      <c r="C426" s="135" t="n">
        <f aca="false">Scoring!C432</f>
        <v>0</v>
      </c>
      <c r="D426" s="136" t="str">
        <f aca="false">Scoring!AV432</f>
        <v/>
      </c>
      <c r="E426" s="135" t="str">
        <f aca="false">Scoring!AB432</f>
        <v/>
      </c>
      <c r="F426" s="135" t="n">
        <f aca="false">Scoring!B432</f>
        <v>0</v>
      </c>
      <c r="G426" s="135" t="n">
        <f aca="false">Scoring!D432</f>
        <v>0</v>
      </c>
      <c r="H426" s="135" t="str">
        <f aca="false">Scoring!AX432</f>
        <v/>
      </c>
      <c r="I426" s="137" t="str">
        <f aca="false">Scoring!AW432</f>
        <v/>
      </c>
    </row>
    <row r="427" customFormat="false" ht="15.75" hidden="false" customHeight="false" outlineLevel="0" collapsed="false">
      <c r="A427" s="135" t="str">
        <f aca="false">Scoring!AZ433</f>
        <v/>
      </c>
      <c r="B427" s="135" t="str">
        <f aca="false">Scoring!AY433</f>
        <v/>
      </c>
      <c r="C427" s="135" t="n">
        <f aca="false">Scoring!C433</f>
        <v>0</v>
      </c>
      <c r="D427" s="136" t="str">
        <f aca="false">Scoring!AV433</f>
        <v/>
      </c>
      <c r="E427" s="135" t="str">
        <f aca="false">Scoring!AB433</f>
        <v/>
      </c>
      <c r="F427" s="135" t="n">
        <f aca="false">Scoring!B433</f>
        <v>0</v>
      </c>
      <c r="G427" s="135" t="n">
        <f aca="false">Scoring!D433</f>
        <v>0</v>
      </c>
      <c r="H427" s="135" t="str">
        <f aca="false">Scoring!AX433</f>
        <v/>
      </c>
      <c r="I427" s="137" t="str">
        <f aca="false">Scoring!AW433</f>
        <v/>
      </c>
    </row>
    <row r="428" customFormat="false" ht="15.75" hidden="false" customHeight="false" outlineLevel="0" collapsed="false">
      <c r="A428" s="135" t="str">
        <f aca="false">Scoring!AZ434</f>
        <v/>
      </c>
      <c r="B428" s="135" t="str">
        <f aca="false">Scoring!AY434</f>
        <v/>
      </c>
      <c r="C428" s="135" t="n">
        <f aca="false">Scoring!C434</f>
        <v>0</v>
      </c>
      <c r="D428" s="136" t="str">
        <f aca="false">Scoring!AV434</f>
        <v/>
      </c>
      <c r="E428" s="135" t="str">
        <f aca="false">Scoring!AB434</f>
        <v/>
      </c>
      <c r="F428" s="135" t="n">
        <f aca="false">Scoring!B434</f>
        <v>0</v>
      </c>
      <c r="G428" s="135" t="n">
        <f aca="false">Scoring!D434</f>
        <v>0</v>
      </c>
      <c r="H428" s="135" t="str">
        <f aca="false">Scoring!AX434</f>
        <v/>
      </c>
      <c r="I428" s="137" t="str">
        <f aca="false">Scoring!AW434</f>
        <v/>
      </c>
    </row>
    <row r="429" customFormat="false" ht="15.75" hidden="false" customHeight="false" outlineLevel="0" collapsed="false">
      <c r="A429" s="135" t="str">
        <f aca="false">Scoring!AZ435</f>
        <v/>
      </c>
      <c r="B429" s="135" t="str">
        <f aca="false">Scoring!AY435</f>
        <v/>
      </c>
      <c r="C429" s="135" t="n">
        <f aca="false">Scoring!C435</f>
        <v>0</v>
      </c>
      <c r="D429" s="136" t="str">
        <f aca="false">Scoring!AV435</f>
        <v/>
      </c>
      <c r="E429" s="135" t="str">
        <f aca="false">Scoring!AB435</f>
        <v/>
      </c>
      <c r="F429" s="135" t="n">
        <f aca="false">Scoring!B435</f>
        <v>0</v>
      </c>
      <c r="G429" s="135" t="n">
        <f aca="false">Scoring!D435</f>
        <v>0</v>
      </c>
      <c r="H429" s="135" t="str">
        <f aca="false">Scoring!AX435</f>
        <v/>
      </c>
      <c r="I429" s="137" t="str">
        <f aca="false">Scoring!AW435</f>
        <v/>
      </c>
    </row>
    <row r="430" customFormat="false" ht="15.75" hidden="false" customHeight="false" outlineLevel="0" collapsed="false">
      <c r="A430" s="135" t="str">
        <f aca="false">Scoring!AZ436</f>
        <v/>
      </c>
      <c r="B430" s="135" t="str">
        <f aca="false">Scoring!AY436</f>
        <v/>
      </c>
      <c r="C430" s="135" t="n">
        <f aca="false">Scoring!C436</f>
        <v>0</v>
      </c>
      <c r="D430" s="136" t="str">
        <f aca="false">Scoring!AV436</f>
        <v/>
      </c>
      <c r="E430" s="135" t="str">
        <f aca="false">Scoring!AB436</f>
        <v/>
      </c>
      <c r="F430" s="135" t="n">
        <f aca="false">Scoring!B436</f>
        <v>0</v>
      </c>
      <c r="G430" s="135" t="n">
        <f aca="false">Scoring!D436</f>
        <v>0</v>
      </c>
      <c r="H430" s="135" t="str">
        <f aca="false">Scoring!AX436</f>
        <v/>
      </c>
      <c r="I430" s="137" t="str">
        <f aca="false">Scoring!AW436</f>
        <v/>
      </c>
    </row>
    <row r="431" customFormat="false" ht="15.75" hidden="false" customHeight="false" outlineLevel="0" collapsed="false">
      <c r="A431" s="135" t="str">
        <f aca="false">Scoring!AZ437</f>
        <v/>
      </c>
      <c r="B431" s="135" t="str">
        <f aca="false">Scoring!AY437</f>
        <v/>
      </c>
      <c r="C431" s="135" t="n">
        <f aca="false">Scoring!C437</f>
        <v>0</v>
      </c>
      <c r="D431" s="136" t="str">
        <f aca="false">Scoring!AV437</f>
        <v/>
      </c>
      <c r="E431" s="135" t="str">
        <f aca="false">Scoring!AB437</f>
        <v/>
      </c>
      <c r="F431" s="135" t="n">
        <f aca="false">Scoring!B437</f>
        <v>0</v>
      </c>
      <c r="G431" s="135" t="n">
        <f aca="false">Scoring!D437</f>
        <v>0</v>
      </c>
      <c r="H431" s="135" t="str">
        <f aca="false">Scoring!AX437</f>
        <v/>
      </c>
      <c r="I431" s="137" t="str">
        <f aca="false">Scoring!AW437</f>
        <v/>
      </c>
    </row>
    <row r="432" customFormat="false" ht="15.75" hidden="false" customHeight="false" outlineLevel="0" collapsed="false">
      <c r="A432" s="135" t="str">
        <f aca="false">Scoring!AZ438</f>
        <v/>
      </c>
      <c r="B432" s="135" t="str">
        <f aca="false">Scoring!AY438</f>
        <v/>
      </c>
      <c r="C432" s="135" t="n">
        <f aca="false">Scoring!C438</f>
        <v>0</v>
      </c>
      <c r="D432" s="136" t="str">
        <f aca="false">Scoring!AV438</f>
        <v/>
      </c>
      <c r="E432" s="135" t="str">
        <f aca="false">Scoring!AB438</f>
        <v/>
      </c>
      <c r="F432" s="135" t="n">
        <f aca="false">Scoring!B438</f>
        <v>0</v>
      </c>
      <c r="G432" s="135" t="n">
        <f aca="false">Scoring!D438</f>
        <v>0</v>
      </c>
      <c r="H432" s="135" t="str">
        <f aca="false">Scoring!AX438</f>
        <v/>
      </c>
      <c r="I432" s="137" t="str">
        <f aca="false">Scoring!AW438</f>
        <v/>
      </c>
    </row>
    <row r="433" customFormat="false" ht="15.75" hidden="false" customHeight="false" outlineLevel="0" collapsed="false">
      <c r="A433" s="135" t="str">
        <f aca="false">Scoring!AZ439</f>
        <v/>
      </c>
      <c r="B433" s="135" t="str">
        <f aca="false">Scoring!AY439</f>
        <v/>
      </c>
      <c r="C433" s="135" t="n">
        <f aca="false">Scoring!C439</f>
        <v>0</v>
      </c>
      <c r="D433" s="136" t="str">
        <f aca="false">Scoring!AV439</f>
        <v/>
      </c>
      <c r="E433" s="135" t="str">
        <f aca="false">Scoring!AB439</f>
        <v/>
      </c>
      <c r="F433" s="135" t="n">
        <f aca="false">Scoring!B439</f>
        <v>0</v>
      </c>
      <c r="G433" s="135" t="n">
        <f aca="false">Scoring!D439</f>
        <v>0</v>
      </c>
      <c r="H433" s="135" t="str">
        <f aca="false">Scoring!AX439</f>
        <v/>
      </c>
      <c r="I433" s="137" t="str">
        <f aca="false">Scoring!AW439</f>
        <v/>
      </c>
    </row>
    <row r="434" customFormat="false" ht="15.75" hidden="false" customHeight="false" outlineLevel="0" collapsed="false">
      <c r="A434" s="135" t="str">
        <f aca="false">Scoring!AZ440</f>
        <v/>
      </c>
      <c r="B434" s="135" t="str">
        <f aca="false">Scoring!AY440</f>
        <v/>
      </c>
      <c r="C434" s="135" t="n">
        <f aca="false">Scoring!C440</f>
        <v>0</v>
      </c>
      <c r="D434" s="136" t="str">
        <f aca="false">Scoring!AV440</f>
        <v/>
      </c>
      <c r="E434" s="135" t="str">
        <f aca="false">Scoring!AB440</f>
        <v/>
      </c>
      <c r="F434" s="135" t="n">
        <f aca="false">Scoring!B440</f>
        <v>0</v>
      </c>
      <c r="G434" s="135" t="n">
        <f aca="false">Scoring!D440</f>
        <v>0</v>
      </c>
      <c r="H434" s="135" t="str">
        <f aca="false">Scoring!AX440</f>
        <v/>
      </c>
      <c r="I434" s="137" t="str">
        <f aca="false">Scoring!AW440</f>
        <v/>
      </c>
    </row>
    <row r="435" customFormat="false" ht="15.75" hidden="false" customHeight="false" outlineLevel="0" collapsed="false">
      <c r="A435" s="135" t="str">
        <f aca="false">Scoring!AZ441</f>
        <v/>
      </c>
      <c r="B435" s="135" t="str">
        <f aca="false">Scoring!AY441</f>
        <v/>
      </c>
      <c r="C435" s="135" t="n">
        <f aca="false">Scoring!C441</f>
        <v>0</v>
      </c>
      <c r="D435" s="136" t="str">
        <f aca="false">Scoring!AV441</f>
        <v/>
      </c>
      <c r="E435" s="135" t="str">
        <f aca="false">Scoring!AB441</f>
        <v/>
      </c>
      <c r="F435" s="135" t="n">
        <f aca="false">Scoring!B441</f>
        <v>0</v>
      </c>
      <c r="G435" s="135" t="n">
        <f aca="false">Scoring!D441</f>
        <v>0</v>
      </c>
      <c r="H435" s="135" t="str">
        <f aca="false">Scoring!AX441</f>
        <v/>
      </c>
      <c r="I435" s="137" t="str">
        <f aca="false">Scoring!AW441</f>
        <v/>
      </c>
    </row>
    <row r="436" customFormat="false" ht="15.75" hidden="false" customHeight="false" outlineLevel="0" collapsed="false">
      <c r="A436" s="135" t="str">
        <f aca="false">Scoring!AZ442</f>
        <v/>
      </c>
      <c r="B436" s="135" t="str">
        <f aca="false">Scoring!AY442</f>
        <v/>
      </c>
      <c r="C436" s="135" t="n">
        <f aca="false">Scoring!C442</f>
        <v>0</v>
      </c>
      <c r="D436" s="136" t="str">
        <f aca="false">Scoring!AV442</f>
        <v/>
      </c>
      <c r="E436" s="135" t="str">
        <f aca="false">Scoring!AB442</f>
        <v/>
      </c>
      <c r="F436" s="135" t="n">
        <f aca="false">Scoring!B442</f>
        <v>0</v>
      </c>
      <c r="G436" s="135" t="n">
        <f aca="false">Scoring!D442</f>
        <v>0</v>
      </c>
      <c r="H436" s="135" t="str">
        <f aca="false">Scoring!AX442</f>
        <v/>
      </c>
      <c r="I436" s="137" t="str">
        <f aca="false">Scoring!AW442</f>
        <v/>
      </c>
    </row>
    <row r="437" customFormat="false" ht="15.75" hidden="false" customHeight="false" outlineLevel="0" collapsed="false">
      <c r="A437" s="135" t="str">
        <f aca="false">Scoring!AZ443</f>
        <v/>
      </c>
      <c r="B437" s="135" t="str">
        <f aca="false">Scoring!AY443</f>
        <v/>
      </c>
      <c r="C437" s="135" t="n">
        <f aca="false">Scoring!C443</f>
        <v>0</v>
      </c>
      <c r="D437" s="136" t="str">
        <f aca="false">Scoring!AV443</f>
        <v/>
      </c>
      <c r="E437" s="135" t="str">
        <f aca="false">Scoring!AB443</f>
        <v/>
      </c>
      <c r="F437" s="135" t="n">
        <f aca="false">Scoring!B443</f>
        <v>0</v>
      </c>
      <c r="G437" s="135" t="n">
        <f aca="false">Scoring!D443</f>
        <v>0</v>
      </c>
      <c r="H437" s="135" t="str">
        <f aca="false">Scoring!AX443</f>
        <v/>
      </c>
      <c r="I437" s="137" t="str">
        <f aca="false">Scoring!AW443</f>
        <v/>
      </c>
    </row>
    <row r="438" customFormat="false" ht="15.75" hidden="false" customHeight="false" outlineLevel="0" collapsed="false">
      <c r="A438" s="135" t="str">
        <f aca="false">Scoring!AZ444</f>
        <v/>
      </c>
      <c r="B438" s="135" t="str">
        <f aca="false">Scoring!AY444</f>
        <v/>
      </c>
      <c r="C438" s="135" t="n">
        <f aca="false">Scoring!C444</f>
        <v>0</v>
      </c>
      <c r="D438" s="136" t="str">
        <f aca="false">Scoring!AV444</f>
        <v/>
      </c>
      <c r="E438" s="135" t="str">
        <f aca="false">Scoring!AB444</f>
        <v/>
      </c>
      <c r="F438" s="135" t="n">
        <f aca="false">Scoring!B444</f>
        <v>0</v>
      </c>
      <c r="G438" s="135" t="n">
        <f aca="false">Scoring!D444</f>
        <v>0</v>
      </c>
      <c r="H438" s="135" t="str">
        <f aca="false">Scoring!AX444</f>
        <v/>
      </c>
      <c r="I438" s="137" t="str">
        <f aca="false">Scoring!AW444</f>
        <v/>
      </c>
    </row>
    <row r="439" customFormat="false" ht="15.75" hidden="false" customHeight="false" outlineLevel="0" collapsed="false">
      <c r="A439" s="135" t="str">
        <f aca="false">Scoring!AZ445</f>
        <v/>
      </c>
      <c r="B439" s="135" t="str">
        <f aca="false">Scoring!AY445</f>
        <v/>
      </c>
      <c r="C439" s="135" t="n">
        <f aca="false">Scoring!C445</f>
        <v>0</v>
      </c>
      <c r="D439" s="136" t="str">
        <f aca="false">Scoring!AV445</f>
        <v/>
      </c>
      <c r="E439" s="135" t="str">
        <f aca="false">Scoring!AB445</f>
        <v/>
      </c>
      <c r="F439" s="135" t="n">
        <f aca="false">Scoring!B445</f>
        <v>0</v>
      </c>
      <c r="G439" s="135" t="n">
        <f aca="false">Scoring!D445</f>
        <v>0</v>
      </c>
      <c r="H439" s="135" t="str">
        <f aca="false">Scoring!AX445</f>
        <v/>
      </c>
      <c r="I439" s="137" t="str">
        <f aca="false">Scoring!AW445</f>
        <v/>
      </c>
    </row>
    <row r="440" customFormat="false" ht="15.75" hidden="false" customHeight="false" outlineLevel="0" collapsed="false">
      <c r="A440" s="135" t="str">
        <f aca="false">Scoring!AZ446</f>
        <v/>
      </c>
      <c r="B440" s="135" t="str">
        <f aca="false">Scoring!AY446</f>
        <v/>
      </c>
      <c r="C440" s="135" t="n">
        <f aca="false">Scoring!C446</f>
        <v>0</v>
      </c>
      <c r="D440" s="136" t="str">
        <f aca="false">Scoring!AV446</f>
        <v/>
      </c>
      <c r="E440" s="135" t="str">
        <f aca="false">Scoring!AB446</f>
        <v/>
      </c>
      <c r="F440" s="135" t="n">
        <f aca="false">Scoring!B446</f>
        <v>0</v>
      </c>
      <c r="G440" s="135" t="n">
        <f aca="false">Scoring!D446</f>
        <v>0</v>
      </c>
      <c r="H440" s="135" t="str">
        <f aca="false">Scoring!AX446</f>
        <v/>
      </c>
      <c r="I440" s="137" t="str">
        <f aca="false">Scoring!AW446</f>
        <v/>
      </c>
    </row>
    <row r="441" customFormat="false" ht="15.75" hidden="false" customHeight="false" outlineLevel="0" collapsed="false">
      <c r="A441" s="135" t="str">
        <f aca="false">Scoring!AZ447</f>
        <v/>
      </c>
      <c r="B441" s="135" t="str">
        <f aca="false">Scoring!AY447</f>
        <v/>
      </c>
      <c r="C441" s="135" t="n">
        <f aca="false">Scoring!C447</f>
        <v>0</v>
      </c>
      <c r="D441" s="136" t="str">
        <f aca="false">Scoring!AV447</f>
        <v/>
      </c>
      <c r="E441" s="135" t="str">
        <f aca="false">Scoring!AB447</f>
        <v/>
      </c>
      <c r="F441" s="135" t="n">
        <f aca="false">Scoring!B447</f>
        <v>0</v>
      </c>
      <c r="G441" s="135" t="n">
        <f aca="false">Scoring!D447</f>
        <v>0</v>
      </c>
      <c r="H441" s="135" t="str">
        <f aca="false">Scoring!AX447</f>
        <v/>
      </c>
      <c r="I441" s="137" t="str">
        <f aca="false">Scoring!AW447</f>
        <v/>
      </c>
    </row>
    <row r="442" customFormat="false" ht="15.75" hidden="false" customHeight="false" outlineLevel="0" collapsed="false">
      <c r="A442" s="135" t="str">
        <f aca="false">Scoring!AZ448</f>
        <v/>
      </c>
      <c r="B442" s="135" t="str">
        <f aca="false">Scoring!AY448</f>
        <v/>
      </c>
      <c r="C442" s="135" t="n">
        <f aca="false">Scoring!C448</f>
        <v>0</v>
      </c>
      <c r="D442" s="136" t="str">
        <f aca="false">Scoring!AV448</f>
        <v/>
      </c>
      <c r="E442" s="135" t="str">
        <f aca="false">Scoring!AB448</f>
        <v/>
      </c>
      <c r="F442" s="135" t="n">
        <f aca="false">Scoring!B448</f>
        <v>0</v>
      </c>
      <c r="G442" s="135" t="n">
        <f aca="false">Scoring!D448</f>
        <v>0</v>
      </c>
      <c r="H442" s="135" t="str">
        <f aca="false">Scoring!AX448</f>
        <v/>
      </c>
      <c r="I442" s="137" t="str">
        <f aca="false">Scoring!AW448</f>
        <v/>
      </c>
    </row>
    <row r="443" customFormat="false" ht="15.75" hidden="false" customHeight="false" outlineLevel="0" collapsed="false">
      <c r="A443" s="135" t="str">
        <f aca="false">Scoring!AZ449</f>
        <v/>
      </c>
      <c r="B443" s="135" t="str">
        <f aca="false">Scoring!AY449</f>
        <v/>
      </c>
      <c r="C443" s="135" t="n">
        <f aca="false">Scoring!C449</f>
        <v>0</v>
      </c>
      <c r="D443" s="136" t="str">
        <f aca="false">Scoring!AV449</f>
        <v/>
      </c>
      <c r="E443" s="135" t="str">
        <f aca="false">Scoring!AB449</f>
        <v/>
      </c>
      <c r="F443" s="135" t="n">
        <f aca="false">Scoring!B449</f>
        <v>0</v>
      </c>
      <c r="G443" s="135" t="n">
        <f aca="false">Scoring!D449</f>
        <v>0</v>
      </c>
      <c r="H443" s="135" t="str">
        <f aca="false">Scoring!AX449</f>
        <v/>
      </c>
      <c r="I443" s="137" t="str">
        <f aca="false">Scoring!AW449</f>
        <v/>
      </c>
    </row>
    <row r="444" customFormat="false" ht="15.75" hidden="false" customHeight="false" outlineLevel="0" collapsed="false">
      <c r="A444" s="135" t="str">
        <f aca="false">Scoring!AZ450</f>
        <v/>
      </c>
      <c r="B444" s="135" t="str">
        <f aca="false">Scoring!AY450</f>
        <v/>
      </c>
      <c r="C444" s="135" t="n">
        <f aca="false">Scoring!C450</f>
        <v>0</v>
      </c>
      <c r="D444" s="136" t="str">
        <f aca="false">Scoring!AV450</f>
        <v/>
      </c>
      <c r="E444" s="135" t="str">
        <f aca="false">Scoring!AB450</f>
        <v/>
      </c>
      <c r="F444" s="135" t="n">
        <f aca="false">Scoring!B450</f>
        <v>0</v>
      </c>
      <c r="G444" s="135" t="n">
        <f aca="false">Scoring!D450</f>
        <v>0</v>
      </c>
      <c r="H444" s="135" t="str">
        <f aca="false">Scoring!AX450</f>
        <v/>
      </c>
      <c r="I444" s="137" t="str">
        <f aca="false">Scoring!AW450</f>
        <v/>
      </c>
    </row>
    <row r="445" customFormat="false" ht="15.75" hidden="false" customHeight="false" outlineLevel="0" collapsed="false">
      <c r="A445" s="135" t="str">
        <f aca="false">Scoring!AZ451</f>
        <v/>
      </c>
      <c r="B445" s="135" t="str">
        <f aca="false">Scoring!AY451</f>
        <v/>
      </c>
      <c r="C445" s="135" t="n">
        <f aca="false">Scoring!C451</f>
        <v>0</v>
      </c>
      <c r="D445" s="136" t="str">
        <f aca="false">Scoring!AV451</f>
        <v/>
      </c>
      <c r="E445" s="135" t="str">
        <f aca="false">Scoring!AB451</f>
        <v/>
      </c>
      <c r="F445" s="135" t="n">
        <f aca="false">Scoring!B451</f>
        <v>0</v>
      </c>
      <c r="G445" s="135" t="n">
        <f aca="false">Scoring!D451</f>
        <v>0</v>
      </c>
      <c r="H445" s="135" t="str">
        <f aca="false">Scoring!AX451</f>
        <v/>
      </c>
      <c r="I445" s="137" t="str">
        <f aca="false">Scoring!AW451</f>
        <v/>
      </c>
    </row>
    <row r="446" customFormat="false" ht="15.75" hidden="false" customHeight="false" outlineLevel="0" collapsed="false">
      <c r="A446" s="135" t="str">
        <f aca="false">Scoring!AZ452</f>
        <v/>
      </c>
      <c r="B446" s="135" t="str">
        <f aca="false">Scoring!AY452</f>
        <v/>
      </c>
      <c r="C446" s="135" t="n">
        <f aca="false">Scoring!C452</f>
        <v>0</v>
      </c>
      <c r="D446" s="136" t="str">
        <f aca="false">Scoring!AV452</f>
        <v/>
      </c>
      <c r="E446" s="135" t="str">
        <f aca="false">Scoring!AB452</f>
        <v/>
      </c>
      <c r="F446" s="135" t="n">
        <f aca="false">Scoring!B452</f>
        <v>0</v>
      </c>
      <c r="G446" s="135" t="n">
        <f aca="false">Scoring!D452</f>
        <v>0</v>
      </c>
      <c r="H446" s="135" t="str">
        <f aca="false">Scoring!AX452</f>
        <v/>
      </c>
      <c r="I446" s="137" t="str">
        <f aca="false">Scoring!AW452</f>
        <v/>
      </c>
    </row>
    <row r="447" customFormat="false" ht="15.75" hidden="false" customHeight="false" outlineLevel="0" collapsed="false">
      <c r="A447" s="135" t="str">
        <f aca="false">Scoring!AZ453</f>
        <v/>
      </c>
      <c r="B447" s="135" t="str">
        <f aca="false">Scoring!AY453</f>
        <v/>
      </c>
      <c r="C447" s="135" t="n">
        <f aca="false">Scoring!C453</f>
        <v>0</v>
      </c>
      <c r="D447" s="136" t="str">
        <f aca="false">Scoring!AV453</f>
        <v/>
      </c>
      <c r="E447" s="135" t="str">
        <f aca="false">Scoring!AB453</f>
        <v/>
      </c>
      <c r="F447" s="135" t="n">
        <f aca="false">Scoring!B453</f>
        <v>0</v>
      </c>
      <c r="G447" s="135" t="n">
        <f aca="false">Scoring!D453</f>
        <v>0</v>
      </c>
      <c r="H447" s="135" t="str">
        <f aca="false">Scoring!AX453</f>
        <v/>
      </c>
      <c r="I447" s="137" t="str">
        <f aca="false">Scoring!AW453</f>
        <v/>
      </c>
    </row>
    <row r="448" customFormat="false" ht="15.75" hidden="false" customHeight="false" outlineLevel="0" collapsed="false">
      <c r="A448" s="135" t="str">
        <f aca="false">Scoring!AZ454</f>
        <v/>
      </c>
      <c r="B448" s="135" t="str">
        <f aca="false">Scoring!AY454</f>
        <v/>
      </c>
      <c r="C448" s="135" t="n">
        <f aca="false">Scoring!C454</f>
        <v>0</v>
      </c>
      <c r="D448" s="136" t="str">
        <f aca="false">Scoring!AV454</f>
        <v/>
      </c>
      <c r="E448" s="135" t="str">
        <f aca="false">Scoring!AB454</f>
        <v/>
      </c>
      <c r="F448" s="135" t="n">
        <f aca="false">Scoring!B454</f>
        <v>0</v>
      </c>
      <c r="G448" s="135" t="n">
        <f aca="false">Scoring!D454</f>
        <v>0</v>
      </c>
      <c r="H448" s="135" t="str">
        <f aca="false">Scoring!AX454</f>
        <v/>
      </c>
      <c r="I448" s="137" t="str">
        <f aca="false">Scoring!AW454</f>
        <v/>
      </c>
    </row>
    <row r="449" customFormat="false" ht="15.75" hidden="false" customHeight="false" outlineLevel="0" collapsed="false">
      <c r="A449" s="135" t="str">
        <f aca="false">Scoring!AZ455</f>
        <v/>
      </c>
      <c r="B449" s="135" t="str">
        <f aca="false">Scoring!AY455</f>
        <v/>
      </c>
      <c r="C449" s="135" t="n">
        <f aca="false">Scoring!C455</f>
        <v>0</v>
      </c>
      <c r="D449" s="136" t="str">
        <f aca="false">Scoring!AV455</f>
        <v/>
      </c>
      <c r="E449" s="135" t="str">
        <f aca="false">Scoring!AB455</f>
        <v/>
      </c>
      <c r="F449" s="135" t="n">
        <f aca="false">Scoring!B455</f>
        <v>0</v>
      </c>
      <c r="G449" s="135" t="n">
        <f aca="false">Scoring!D455</f>
        <v>0</v>
      </c>
      <c r="H449" s="135" t="str">
        <f aca="false">Scoring!AX455</f>
        <v/>
      </c>
      <c r="I449" s="137" t="str">
        <f aca="false">Scoring!AW455</f>
        <v/>
      </c>
    </row>
    <row r="450" customFormat="false" ht="15.75" hidden="false" customHeight="false" outlineLevel="0" collapsed="false">
      <c r="A450" s="135" t="str">
        <f aca="false">Scoring!AZ456</f>
        <v/>
      </c>
      <c r="B450" s="135" t="str">
        <f aca="false">Scoring!AY456</f>
        <v/>
      </c>
      <c r="C450" s="135" t="n">
        <f aca="false">Scoring!C456</f>
        <v>0</v>
      </c>
      <c r="D450" s="136" t="str">
        <f aca="false">Scoring!AV456</f>
        <v/>
      </c>
      <c r="E450" s="135" t="str">
        <f aca="false">Scoring!AB456</f>
        <v/>
      </c>
      <c r="F450" s="135" t="n">
        <f aca="false">Scoring!B456</f>
        <v>0</v>
      </c>
      <c r="G450" s="135" t="n">
        <f aca="false">Scoring!D456</f>
        <v>0</v>
      </c>
      <c r="H450" s="135" t="str">
        <f aca="false">Scoring!AX456</f>
        <v/>
      </c>
      <c r="I450" s="137" t="str">
        <f aca="false">Scoring!AW456</f>
        <v/>
      </c>
    </row>
    <row r="451" customFormat="false" ht="15.75" hidden="false" customHeight="false" outlineLevel="0" collapsed="false">
      <c r="A451" s="135" t="str">
        <f aca="false">Scoring!AZ457</f>
        <v/>
      </c>
      <c r="B451" s="135" t="str">
        <f aca="false">Scoring!AY457</f>
        <v/>
      </c>
      <c r="C451" s="135" t="n">
        <f aca="false">Scoring!C457</f>
        <v>0</v>
      </c>
      <c r="D451" s="136" t="str">
        <f aca="false">Scoring!AV457</f>
        <v/>
      </c>
      <c r="E451" s="135" t="str">
        <f aca="false">Scoring!AB457</f>
        <v/>
      </c>
      <c r="F451" s="135" t="n">
        <f aca="false">Scoring!B457</f>
        <v>0</v>
      </c>
      <c r="G451" s="135" t="n">
        <f aca="false">Scoring!D457</f>
        <v>0</v>
      </c>
      <c r="H451" s="135" t="str">
        <f aca="false">Scoring!AX457</f>
        <v/>
      </c>
      <c r="I451" s="137" t="str">
        <f aca="false">Scoring!AW457</f>
        <v/>
      </c>
    </row>
    <row r="452" customFormat="false" ht="15.75" hidden="false" customHeight="false" outlineLevel="0" collapsed="false">
      <c r="A452" s="135" t="str">
        <f aca="false">Scoring!AZ458</f>
        <v/>
      </c>
      <c r="B452" s="135" t="str">
        <f aca="false">Scoring!AY458</f>
        <v/>
      </c>
      <c r="C452" s="135" t="n">
        <f aca="false">Scoring!C458</f>
        <v>0</v>
      </c>
      <c r="D452" s="136" t="str">
        <f aca="false">Scoring!AV458</f>
        <v/>
      </c>
      <c r="E452" s="135" t="str">
        <f aca="false">Scoring!AB458</f>
        <v/>
      </c>
      <c r="F452" s="135" t="n">
        <f aca="false">Scoring!B458</f>
        <v>0</v>
      </c>
      <c r="G452" s="135" t="n">
        <f aca="false">Scoring!D458</f>
        <v>0</v>
      </c>
      <c r="H452" s="135" t="str">
        <f aca="false">Scoring!AX458</f>
        <v/>
      </c>
      <c r="I452" s="137" t="str">
        <f aca="false">Scoring!AW458</f>
        <v/>
      </c>
    </row>
    <row r="453" customFormat="false" ht="15.75" hidden="false" customHeight="false" outlineLevel="0" collapsed="false">
      <c r="A453" s="135" t="str">
        <f aca="false">Scoring!AZ459</f>
        <v/>
      </c>
      <c r="B453" s="135" t="str">
        <f aca="false">Scoring!AY459</f>
        <v/>
      </c>
      <c r="C453" s="135" t="n">
        <f aca="false">Scoring!C459</f>
        <v>0</v>
      </c>
      <c r="D453" s="136" t="str">
        <f aca="false">Scoring!AV459</f>
        <v/>
      </c>
      <c r="E453" s="135" t="str">
        <f aca="false">Scoring!AB459</f>
        <v/>
      </c>
      <c r="F453" s="135" t="n">
        <f aca="false">Scoring!B459</f>
        <v>0</v>
      </c>
      <c r="G453" s="135" t="n">
        <f aca="false">Scoring!D459</f>
        <v>0</v>
      </c>
      <c r="H453" s="135" t="str">
        <f aca="false">Scoring!AX459</f>
        <v/>
      </c>
      <c r="I453" s="137" t="str">
        <f aca="false">Scoring!AW459</f>
        <v/>
      </c>
    </row>
    <row r="454" customFormat="false" ht="15.75" hidden="false" customHeight="false" outlineLevel="0" collapsed="false">
      <c r="A454" s="135" t="str">
        <f aca="false">Scoring!AZ460</f>
        <v/>
      </c>
      <c r="B454" s="135" t="str">
        <f aca="false">Scoring!AY460</f>
        <v/>
      </c>
      <c r="C454" s="135" t="n">
        <f aca="false">Scoring!C460</f>
        <v>0</v>
      </c>
      <c r="D454" s="136" t="str">
        <f aca="false">Scoring!AV460</f>
        <v/>
      </c>
      <c r="E454" s="135" t="str">
        <f aca="false">Scoring!AB460</f>
        <v/>
      </c>
      <c r="F454" s="135" t="n">
        <f aca="false">Scoring!B460</f>
        <v>0</v>
      </c>
      <c r="G454" s="135" t="n">
        <f aca="false">Scoring!D460</f>
        <v>0</v>
      </c>
      <c r="H454" s="135" t="str">
        <f aca="false">Scoring!AX460</f>
        <v/>
      </c>
      <c r="I454" s="137" t="str">
        <f aca="false">Scoring!AW460</f>
        <v/>
      </c>
    </row>
    <row r="455" customFormat="false" ht="15.75" hidden="false" customHeight="false" outlineLevel="0" collapsed="false">
      <c r="A455" s="135" t="str">
        <f aca="false">Scoring!AZ461</f>
        <v/>
      </c>
      <c r="B455" s="135" t="str">
        <f aca="false">Scoring!AY461</f>
        <v/>
      </c>
      <c r="C455" s="135" t="n">
        <f aca="false">Scoring!C461</f>
        <v>0</v>
      </c>
      <c r="D455" s="136" t="str">
        <f aca="false">Scoring!AV461</f>
        <v/>
      </c>
      <c r="E455" s="135" t="str">
        <f aca="false">Scoring!AB461</f>
        <v/>
      </c>
      <c r="F455" s="135" t="n">
        <f aca="false">Scoring!B461</f>
        <v>0</v>
      </c>
      <c r="G455" s="135" t="n">
        <f aca="false">Scoring!D461</f>
        <v>0</v>
      </c>
      <c r="H455" s="135" t="str">
        <f aca="false">Scoring!AX461</f>
        <v/>
      </c>
      <c r="I455" s="137" t="str">
        <f aca="false">Scoring!AW461</f>
        <v/>
      </c>
    </row>
    <row r="456" customFormat="false" ht="15.75" hidden="false" customHeight="false" outlineLevel="0" collapsed="false">
      <c r="A456" s="135" t="str">
        <f aca="false">Scoring!AZ462</f>
        <v/>
      </c>
      <c r="B456" s="135" t="str">
        <f aca="false">Scoring!AY462</f>
        <v/>
      </c>
      <c r="C456" s="135" t="n">
        <f aca="false">Scoring!C462</f>
        <v>0</v>
      </c>
      <c r="D456" s="136" t="str">
        <f aca="false">Scoring!AV462</f>
        <v/>
      </c>
      <c r="E456" s="135" t="str">
        <f aca="false">Scoring!AB462</f>
        <v/>
      </c>
      <c r="F456" s="135" t="n">
        <f aca="false">Scoring!B462</f>
        <v>0</v>
      </c>
      <c r="G456" s="135" t="n">
        <f aca="false">Scoring!D462</f>
        <v>0</v>
      </c>
      <c r="H456" s="135" t="str">
        <f aca="false">Scoring!AX462</f>
        <v/>
      </c>
      <c r="I456" s="137" t="str">
        <f aca="false">Scoring!AW462</f>
        <v/>
      </c>
    </row>
    <row r="457" customFormat="false" ht="15.75" hidden="false" customHeight="false" outlineLevel="0" collapsed="false">
      <c r="A457" s="135" t="str">
        <f aca="false">Scoring!AZ463</f>
        <v/>
      </c>
      <c r="B457" s="135" t="str">
        <f aca="false">Scoring!AY463</f>
        <v/>
      </c>
      <c r="C457" s="135" t="n">
        <f aca="false">Scoring!C463</f>
        <v>0</v>
      </c>
      <c r="D457" s="136" t="str">
        <f aca="false">Scoring!AV463</f>
        <v/>
      </c>
      <c r="E457" s="135" t="str">
        <f aca="false">Scoring!AB463</f>
        <v/>
      </c>
      <c r="F457" s="135" t="n">
        <f aca="false">Scoring!B463</f>
        <v>0</v>
      </c>
      <c r="G457" s="135" t="n">
        <f aca="false">Scoring!D463</f>
        <v>0</v>
      </c>
      <c r="H457" s="135" t="str">
        <f aca="false">Scoring!AX463</f>
        <v/>
      </c>
      <c r="I457" s="137" t="str">
        <f aca="false">Scoring!AW463</f>
        <v/>
      </c>
    </row>
    <row r="458" customFormat="false" ht="15.75" hidden="false" customHeight="false" outlineLevel="0" collapsed="false">
      <c r="A458" s="135" t="str">
        <f aca="false">Scoring!AZ464</f>
        <v/>
      </c>
      <c r="B458" s="135" t="str">
        <f aca="false">Scoring!AY464</f>
        <v/>
      </c>
      <c r="C458" s="135" t="n">
        <f aca="false">Scoring!C464</f>
        <v>0</v>
      </c>
      <c r="D458" s="136" t="str">
        <f aca="false">Scoring!AV464</f>
        <v/>
      </c>
      <c r="E458" s="135" t="str">
        <f aca="false">Scoring!AB464</f>
        <v/>
      </c>
      <c r="F458" s="135" t="n">
        <f aca="false">Scoring!B464</f>
        <v>0</v>
      </c>
      <c r="G458" s="135" t="n">
        <f aca="false">Scoring!D464</f>
        <v>0</v>
      </c>
      <c r="H458" s="135" t="str">
        <f aca="false">Scoring!AX464</f>
        <v/>
      </c>
      <c r="I458" s="137" t="str">
        <f aca="false">Scoring!AW464</f>
        <v/>
      </c>
    </row>
    <row r="459" customFormat="false" ht="15.75" hidden="false" customHeight="false" outlineLevel="0" collapsed="false">
      <c r="A459" s="135" t="str">
        <f aca="false">Scoring!AZ465</f>
        <v/>
      </c>
      <c r="B459" s="135" t="str">
        <f aca="false">Scoring!AY465</f>
        <v/>
      </c>
      <c r="C459" s="135" t="n">
        <f aca="false">Scoring!C465</f>
        <v>0</v>
      </c>
      <c r="D459" s="136" t="str">
        <f aca="false">Scoring!AV465</f>
        <v/>
      </c>
      <c r="E459" s="135" t="str">
        <f aca="false">Scoring!AB465</f>
        <v/>
      </c>
      <c r="F459" s="135" t="n">
        <f aca="false">Scoring!B465</f>
        <v>0</v>
      </c>
      <c r="G459" s="135" t="n">
        <f aca="false">Scoring!D465</f>
        <v>0</v>
      </c>
      <c r="H459" s="135" t="str">
        <f aca="false">Scoring!AX465</f>
        <v/>
      </c>
      <c r="I459" s="137" t="str">
        <f aca="false">Scoring!AW465</f>
        <v/>
      </c>
    </row>
    <row r="460" customFormat="false" ht="15.75" hidden="false" customHeight="false" outlineLevel="0" collapsed="false">
      <c r="A460" s="135" t="str">
        <f aca="false">Scoring!AZ466</f>
        <v/>
      </c>
      <c r="B460" s="135" t="str">
        <f aca="false">Scoring!AY466</f>
        <v/>
      </c>
      <c r="C460" s="135" t="n">
        <f aca="false">Scoring!C466</f>
        <v>0</v>
      </c>
      <c r="D460" s="136" t="str">
        <f aca="false">Scoring!AV466</f>
        <v/>
      </c>
      <c r="E460" s="135" t="str">
        <f aca="false">Scoring!AB466</f>
        <v/>
      </c>
      <c r="F460" s="135" t="n">
        <f aca="false">Scoring!B466</f>
        <v>0</v>
      </c>
      <c r="G460" s="135" t="n">
        <f aca="false">Scoring!D466</f>
        <v>0</v>
      </c>
      <c r="H460" s="135" t="str">
        <f aca="false">Scoring!AX466</f>
        <v/>
      </c>
      <c r="I460" s="137" t="str">
        <f aca="false">Scoring!AW466</f>
        <v/>
      </c>
    </row>
    <row r="461" customFormat="false" ht="15.75" hidden="false" customHeight="false" outlineLevel="0" collapsed="false">
      <c r="A461" s="135" t="str">
        <f aca="false">Scoring!AZ467</f>
        <v/>
      </c>
      <c r="B461" s="135" t="str">
        <f aca="false">Scoring!AY467</f>
        <v/>
      </c>
      <c r="C461" s="135" t="n">
        <f aca="false">Scoring!C467</f>
        <v>0</v>
      </c>
      <c r="D461" s="136" t="str">
        <f aca="false">Scoring!AV467</f>
        <v/>
      </c>
      <c r="E461" s="135" t="str">
        <f aca="false">Scoring!AB467</f>
        <v/>
      </c>
      <c r="F461" s="135" t="n">
        <f aca="false">Scoring!B467</f>
        <v>0</v>
      </c>
      <c r="G461" s="135" t="n">
        <f aca="false">Scoring!D467</f>
        <v>0</v>
      </c>
      <c r="H461" s="135" t="str">
        <f aca="false">Scoring!AX467</f>
        <v/>
      </c>
      <c r="I461" s="137" t="str">
        <f aca="false">Scoring!AW467</f>
        <v/>
      </c>
    </row>
    <row r="462" customFormat="false" ht="15.75" hidden="false" customHeight="false" outlineLevel="0" collapsed="false">
      <c r="A462" s="135" t="str">
        <f aca="false">Scoring!AZ468</f>
        <v/>
      </c>
      <c r="B462" s="135" t="str">
        <f aca="false">Scoring!AY468</f>
        <v/>
      </c>
      <c r="C462" s="135" t="n">
        <f aca="false">Scoring!C468</f>
        <v>0</v>
      </c>
      <c r="D462" s="136" t="str">
        <f aca="false">Scoring!AV468</f>
        <v/>
      </c>
      <c r="E462" s="135" t="str">
        <f aca="false">Scoring!AB468</f>
        <v/>
      </c>
      <c r="F462" s="135" t="n">
        <f aca="false">Scoring!B468</f>
        <v>0</v>
      </c>
      <c r="G462" s="135" t="n">
        <f aca="false">Scoring!D468</f>
        <v>0</v>
      </c>
      <c r="H462" s="135" t="str">
        <f aca="false">Scoring!AX468</f>
        <v/>
      </c>
      <c r="I462" s="137" t="str">
        <f aca="false">Scoring!AW468</f>
        <v/>
      </c>
    </row>
    <row r="463" customFormat="false" ht="15.75" hidden="false" customHeight="false" outlineLevel="0" collapsed="false">
      <c r="A463" s="135" t="str">
        <f aca="false">Scoring!AZ469</f>
        <v/>
      </c>
      <c r="B463" s="135" t="str">
        <f aca="false">Scoring!AY469</f>
        <v/>
      </c>
      <c r="C463" s="135" t="n">
        <f aca="false">Scoring!C469</f>
        <v>0</v>
      </c>
      <c r="D463" s="136" t="str">
        <f aca="false">Scoring!AV469</f>
        <v/>
      </c>
      <c r="E463" s="135" t="str">
        <f aca="false">Scoring!AB469</f>
        <v/>
      </c>
      <c r="F463" s="135" t="n">
        <f aca="false">Scoring!B469</f>
        <v>0</v>
      </c>
      <c r="G463" s="135" t="n">
        <f aca="false">Scoring!D469</f>
        <v>0</v>
      </c>
      <c r="H463" s="135" t="str">
        <f aca="false">Scoring!AX469</f>
        <v/>
      </c>
      <c r="I463" s="137" t="str">
        <f aca="false">Scoring!AW469</f>
        <v/>
      </c>
    </row>
    <row r="464" customFormat="false" ht="15.75" hidden="false" customHeight="false" outlineLevel="0" collapsed="false">
      <c r="A464" s="135" t="str">
        <f aca="false">Scoring!AZ470</f>
        <v/>
      </c>
      <c r="B464" s="135" t="str">
        <f aca="false">Scoring!AY470</f>
        <v/>
      </c>
      <c r="C464" s="135" t="n">
        <f aca="false">Scoring!C470</f>
        <v>0</v>
      </c>
      <c r="D464" s="136" t="str">
        <f aca="false">Scoring!AV470</f>
        <v/>
      </c>
      <c r="E464" s="135" t="str">
        <f aca="false">Scoring!AB470</f>
        <v/>
      </c>
      <c r="F464" s="135" t="n">
        <f aca="false">Scoring!B470</f>
        <v>0</v>
      </c>
      <c r="G464" s="135" t="n">
        <f aca="false">Scoring!D470</f>
        <v>0</v>
      </c>
      <c r="H464" s="135" t="str">
        <f aca="false">Scoring!AX470</f>
        <v/>
      </c>
      <c r="I464" s="137" t="str">
        <f aca="false">Scoring!AW470</f>
        <v/>
      </c>
    </row>
    <row r="465" customFormat="false" ht="15.75" hidden="false" customHeight="false" outlineLevel="0" collapsed="false">
      <c r="A465" s="135" t="str">
        <f aca="false">Scoring!AZ471</f>
        <v/>
      </c>
      <c r="B465" s="135" t="str">
        <f aca="false">Scoring!AY471</f>
        <v/>
      </c>
      <c r="C465" s="135" t="n">
        <f aca="false">Scoring!C471</f>
        <v>0</v>
      </c>
      <c r="D465" s="136" t="str">
        <f aca="false">Scoring!AV471</f>
        <v/>
      </c>
      <c r="E465" s="135" t="str">
        <f aca="false">Scoring!AB471</f>
        <v/>
      </c>
      <c r="F465" s="135" t="n">
        <f aca="false">Scoring!B471</f>
        <v>0</v>
      </c>
      <c r="G465" s="135" t="n">
        <f aca="false">Scoring!D471</f>
        <v>0</v>
      </c>
      <c r="H465" s="135" t="str">
        <f aca="false">Scoring!AX471</f>
        <v/>
      </c>
      <c r="I465" s="137" t="str">
        <f aca="false">Scoring!AW471</f>
        <v/>
      </c>
    </row>
    <row r="466" customFormat="false" ht="15.75" hidden="false" customHeight="false" outlineLevel="0" collapsed="false">
      <c r="A466" s="135" t="str">
        <f aca="false">Scoring!AZ472</f>
        <v/>
      </c>
      <c r="B466" s="135" t="str">
        <f aca="false">Scoring!AY472</f>
        <v/>
      </c>
      <c r="C466" s="135" t="n">
        <f aca="false">Scoring!C472</f>
        <v>0</v>
      </c>
      <c r="D466" s="136" t="str">
        <f aca="false">Scoring!AV472</f>
        <v/>
      </c>
      <c r="E466" s="135" t="str">
        <f aca="false">Scoring!AB472</f>
        <v/>
      </c>
      <c r="F466" s="135" t="n">
        <f aca="false">Scoring!B472</f>
        <v>0</v>
      </c>
      <c r="G466" s="135" t="n">
        <f aca="false">Scoring!D472</f>
        <v>0</v>
      </c>
      <c r="H466" s="135" t="str">
        <f aca="false">Scoring!AX472</f>
        <v/>
      </c>
      <c r="I466" s="137" t="str">
        <f aca="false">Scoring!AW472</f>
        <v/>
      </c>
    </row>
    <row r="467" customFormat="false" ht="15.75" hidden="false" customHeight="false" outlineLevel="0" collapsed="false">
      <c r="A467" s="135" t="str">
        <f aca="false">Scoring!AZ473</f>
        <v/>
      </c>
      <c r="B467" s="135" t="str">
        <f aca="false">Scoring!AY473</f>
        <v/>
      </c>
      <c r="C467" s="135" t="n">
        <f aca="false">Scoring!C473</f>
        <v>0</v>
      </c>
      <c r="D467" s="136" t="str">
        <f aca="false">Scoring!AV473</f>
        <v/>
      </c>
      <c r="E467" s="135" t="str">
        <f aca="false">Scoring!AB473</f>
        <v/>
      </c>
      <c r="F467" s="135" t="n">
        <f aca="false">Scoring!B473</f>
        <v>0</v>
      </c>
      <c r="G467" s="135" t="n">
        <f aca="false">Scoring!D473</f>
        <v>0</v>
      </c>
      <c r="H467" s="135" t="str">
        <f aca="false">Scoring!AX473</f>
        <v/>
      </c>
      <c r="I467" s="137" t="str">
        <f aca="false">Scoring!AW473</f>
        <v/>
      </c>
    </row>
    <row r="468" customFormat="false" ht="15.75" hidden="false" customHeight="false" outlineLevel="0" collapsed="false">
      <c r="A468" s="135" t="str">
        <f aca="false">Scoring!AZ474</f>
        <v/>
      </c>
      <c r="B468" s="135" t="str">
        <f aca="false">Scoring!AY474</f>
        <v/>
      </c>
      <c r="C468" s="135" t="n">
        <f aca="false">Scoring!C474</f>
        <v>0</v>
      </c>
      <c r="D468" s="136" t="str">
        <f aca="false">Scoring!AV474</f>
        <v/>
      </c>
      <c r="E468" s="135" t="str">
        <f aca="false">Scoring!AB474</f>
        <v/>
      </c>
      <c r="F468" s="135" t="n">
        <f aca="false">Scoring!B474</f>
        <v>0</v>
      </c>
      <c r="G468" s="135" t="n">
        <f aca="false">Scoring!D474</f>
        <v>0</v>
      </c>
      <c r="H468" s="135" t="str">
        <f aca="false">Scoring!AX474</f>
        <v/>
      </c>
      <c r="I468" s="137" t="str">
        <f aca="false">Scoring!AW474</f>
        <v/>
      </c>
    </row>
    <row r="469" customFormat="false" ht="15.75" hidden="false" customHeight="false" outlineLevel="0" collapsed="false">
      <c r="A469" s="135" t="str">
        <f aca="false">Scoring!AZ475</f>
        <v/>
      </c>
      <c r="B469" s="135" t="str">
        <f aca="false">Scoring!AY475</f>
        <v/>
      </c>
      <c r="C469" s="135" t="n">
        <f aca="false">Scoring!C475</f>
        <v>0</v>
      </c>
      <c r="D469" s="136" t="str">
        <f aca="false">Scoring!AV475</f>
        <v/>
      </c>
      <c r="E469" s="135" t="str">
        <f aca="false">Scoring!AB475</f>
        <v/>
      </c>
      <c r="F469" s="135" t="n">
        <f aca="false">Scoring!B475</f>
        <v>0</v>
      </c>
      <c r="G469" s="135" t="n">
        <f aca="false">Scoring!D475</f>
        <v>0</v>
      </c>
      <c r="H469" s="135" t="str">
        <f aca="false">Scoring!AX475</f>
        <v/>
      </c>
      <c r="I469" s="137" t="str">
        <f aca="false">Scoring!AW475</f>
        <v/>
      </c>
    </row>
    <row r="470" customFormat="false" ht="15.75" hidden="false" customHeight="false" outlineLevel="0" collapsed="false">
      <c r="A470" s="135" t="str">
        <f aca="false">Scoring!AZ476</f>
        <v/>
      </c>
      <c r="B470" s="135" t="str">
        <f aca="false">Scoring!AY476</f>
        <v/>
      </c>
      <c r="C470" s="135" t="n">
        <f aca="false">Scoring!C476</f>
        <v>0</v>
      </c>
      <c r="D470" s="136" t="str">
        <f aca="false">Scoring!AV476</f>
        <v/>
      </c>
      <c r="E470" s="135" t="str">
        <f aca="false">Scoring!AB476</f>
        <v/>
      </c>
      <c r="F470" s="135" t="n">
        <f aca="false">Scoring!B476</f>
        <v>0</v>
      </c>
      <c r="G470" s="135" t="n">
        <f aca="false">Scoring!D476</f>
        <v>0</v>
      </c>
      <c r="H470" s="135" t="str">
        <f aca="false">Scoring!AX476</f>
        <v/>
      </c>
      <c r="I470" s="137" t="str">
        <f aca="false">Scoring!AW476</f>
        <v/>
      </c>
    </row>
    <row r="471" customFormat="false" ht="15.75" hidden="false" customHeight="false" outlineLevel="0" collapsed="false">
      <c r="A471" s="135" t="str">
        <f aca="false">Scoring!AZ477</f>
        <v/>
      </c>
      <c r="B471" s="135" t="str">
        <f aca="false">Scoring!AY477</f>
        <v/>
      </c>
      <c r="C471" s="135" t="n">
        <f aca="false">Scoring!C477</f>
        <v>0</v>
      </c>
      <c r="D471" s="136" t="str">
        <f aca="false">Scoring!AV477</f>
        <v/>
      </c>
      <c r="E471" s="135" t="str">
        <f aca="false">Scoring!AB477</f>
        <v/>
      </c>
      <c r="F471" s="135" t="n">
        <f aca="false">Scoring!B477</f>
        <v>0</v>
      </c>
      <c r="G471" s="135" t="n">
        <f aca="false">Scoring!D477</f>
        <v>0</v>
      </c>
      <c r="H471" s="135" t="str">
        <f aca="false">Scoring!AX477</f>
        <v/>
      </c>
      <c r="I471" s="137" t="str">
        <f aca="false">Scoring!AW477</f>
        <v/>
      </c>
    </row>
    <row r="472" customFormat="false" ht="15.75" hidden="false" customHeight="false" outlineLevel="0" collapsed="false">
      <c r="A472" s="135" t="str">
        <f aca="false">Scoring!AZ478</f>
        <v/>
      </c>
      <c r="B472" s="135" t="str">
        <f aca="false">Scoring!AY478</f>
        <v/>
      </c>
      <c r="C472" s="135" t="n">
        <f aca="false">Scoring!C478</f>
        <v>0</v>
      </c>
      <c r="D472" s="136" t="str">
        <f aca="false">Scoring!AV478</f>
        <v/>
      </c>
      <c r="E472" s="135" t="str">
        <f aca="false">Scoring!AB478</f>
        <v/>
      </c>
      <c r="F472" s="135" t="n">
        <f aca="false">Scoring!B478</f>
        <v>0</v>
      </c>
      <c r="G472" s="135" t="n">
        <f aca="false">Scoring!D478</f>
        <v>0</v>
      </c>
      <c r="H472" s="135" t="str">
        <f aca="false">Scoring!AX478</f>
        <v/>
      </c>
      <c r="I472" s="137" t="str">
        <f aca="false">Scoring!AW478</f>
        <v/>
      </c>
    </row>
    <row r="473" customFormat="false" ht="15.75" hidden="false" customHeight="false" outlineLevel="0" collapsed="false">
      <c r="A473" s="135" t="str">
        <f aca="false">Scoring!AZ479</f>
        <v/>
      </c>
      <c r="B473" s="135" t="str">
        <f aca="false">Scoring!AY479</f>
        <v/>
      </c>
      <c r="C473" s="135" t="n">
        <f aca="false">Scoring!C479</f>
        <v>0</v>
      </c>
      <c r="D473" s="136" t="str">
        <f aca="false">Scoring!AV479</f>
        <v/>
      </c>
      <c r="E473" s="135" t="str">
        <f aca="false">Scoring!AB479</f>
        <v/>
      </c>
      <c r="F473" s="135" t="n">
        <f aca="false">Scoring!B479</f>
        <v>0</v>
      </c>
      <c r="G473" s="135" t="n">
        <f aca="false">Scoring!D479</f>
        <v>0</v>
      </c>
      <c r="H473" s="135" t="str">
        <f aca="false">Scoring!AX479</f>
        <v/>
      </c>
      <c r="I473" s="137" t="str">
        <f aca="false">Scoring!AW479</f>
        <v/>
      </c>
    </row>
    <row r="474" customFormat="false" ht="15.75" hidden="false" customHeight="false" outlineLevel="0" collapsed="false">
      <c r="A474" s="135" t="str">
        <f aca="false">Scoring!AZ480</f>
        <v/>
      </c>
      <c r="B474" s="135" t="str">
        <f aca="false">Scoring!AY480</f>
        <v/>
      </c>
      <c r="C474" s="135" t="n">
        <f aca="false">Scoring!C480</f>
        <v>0</v>
      </c>
      <c r="D474" s="136" t="str">
        <f aca="false">Scoring!AV480</f>
        <v/>
      </c>
      <c r="E474" s="135" t="str">
        <f aca="false">Scoring!AB480</f>
        <v/>
      </c>
      <c r="F474" s="135" t="n">
        <f aca="false">Scoring!B480</f>
        <v>0</v>
      </c>
      <c r="G474" s="135" t="n">
        <f aca="false">Scoring!D480</f>
        <v>0</v>
      </c>
      <c r="H474" s="135" t="str">
        <f aca="false">Scoring!AX480</f>
        <v/>
      </c>
      <c r="I474" s="137" t="str">
        <f aca="false">Scoring!AW480</f>
        <v/>
      </c>
    </row>
    <row r="475" customFormat="false" ht="15.75" hidden="false" customHeight="false" outlineLevel="0" collapsed="false">
      <c r="A475" s="135" t="str">
        <f aca="false">Scoring!AZ481</f>
        <v/>
      </c>
      <c r="B475" s="135" t="str">
        <f aca="false">Scoring!AY481</f>
        <v/>
      </c>
      <c r="C475" s="135" t="n">
        <f aca="false">Scoring!C481</f>
        <v>0</v>
      </c>
      <c r="D475" s="136" t="str">
        <f aca="false">Scoring!AV481</f>
        <v/>
      </c>
      <c r="E475" s="135" t="str">
        <f aca="false">Scoring!AB481</f>
        <v/>
      </c>
      <c r="F475" s="135" t="n">
        <f aca="false">Scoring!B481</f>
        <v>0</v>
      </c>
      <c r="G475" s="135" t="n">
        <f aca="false">Scoring!D481</f>
        <v>0</v>
      </c>
      <c r="H475" s="135" t="str">
        <f aca="false">Scoring!AX481</f>
        <v/>
      </c>
      <c r="I475" s="137" t="str">
        <f aca="false">Scoring!AW481</f>
        <v/>
      </c>
    </row>
    <row r="476" customFormat="false" ht="15.75" hidden="false" customHeight="false" outlineLevel="0" collapsed="false">
      <c r="A476" s="135" t="str">
        <f aca="false">Scoring!AZ482</f>
        <v/>
      </c>
      <c r="B476" s="135" t="str">
        <f aca="false">Scoring!AY482</f>
        <v/>
      </c>
      <c r="C476" s="135" t="n">
        <f aca="false">Scoring!C482</f>
        <v>0</v>
      </c>
      <c r="D476" s="136" t="str">
        <f aca="false">Scoring!AV482</f>
        <v/>
      </c>
      <c r="E476" s="135" t="str">
        <f aca="false">Scoring!AB482</f>
        <v/>
      </c>
      <c r="F476" s="135" t="n">
        <f aca="false">Scoring!B482</f>
        <v>0</v>
      </c>
      <c r="G476" s="135" t="n">
        <f aca="false">Scoring!D482</f>
        <v>0</v>
      </c>
      <c r="H476" s="135" t="str">
        <f aca="false">Scoring!AX482</f>
        <v/>
      </c>
      <c r="I476" s="137" t="str">
        <f aca="false">Scoring!AW482</f>
        <v/>
      </c>
    </row>
    <row r="477" customFormat="false" ht="15.75" hidden="false" customHeight="false" outlineLevel="0" collapsed="false">
      <c r="A477" s="135" t="str">
        <f aca="false">Scoring!AZ483</f>
        <v/>
      </c>
      <c r="B477" s="135" t="str">
        <f aca="false">Scoring!AY483</f>
        <v/>
      </c>
      <c r="C477" s="135" t="n">
        <f aca="false">Scoring!C483</f>
        <v>0</v>
      </c>
      <c r="D477" s="136" t="str">
        <f aca="false">Scoring!AV483</f>
        <v/>
      </c>
      <c r="E477" s="135" t="str">
        <f aca="false">Scoring!AB483</f>
        <v/>
      </c>
      <c r="F477" s="135" t="n">
        <f aca="false">Scoring!B483</f>
        <v>0</v>
      </c>
      <c r="G477" s="135" t="n">
        <f aca="false">Scoring!D483</f>
        <v>0</v>
      </c>
      <c r="H477" s="135" t="str">
        <f aca="false">Scoring!AX483</f>
        <v/>
      </c>
      <c r="I477" s="137" t="str">
        <f aca="false">Scoring!AW483</f>
        <v/>
      </c>
    </row>
    <row r="478" customFormat="false" ht="15.75" hidden="false" customHeight="false" outlineLevel="0" collapsed="false">
      <c r="A478" s="135" t="str">
        <f aca="false">Scoring!AZ484</f>
        <v/>
      </c>
      <c r="B478" s="135" t="str">
        <f aca="false">Scoring!AY484</f>
        <v/>
      </c>
      <c r="C478" s="135" t="n">
        <f aca="false">Scoring!C484</f>
        <v>0</v>
      </c>
      <c r="D478" s="136" t="str">
        <f aca="false">Scoring!AV484</f>
        <v/>
      </c>
      <c r="E478" s="135" t="str">
        <f aca="false">Scoring!AB484</f>
        <v/>
      </c>
      <c r="F478" s="135" t="n">
        <f aca="false">Scoring!B484</f>
        <v>0</v>
      </c>
      <c r="G478" s="135" t="n">
        <f aca="false">Scoring!D484</f>
        <v>0</v>
      </c>
      <c r="H478" s="135" t="str">
        <f aca="false">Scoring!AX484</f>
        <v/>
      </c>
      <c r="I478" s="137" t="str">
        <f aca="false">Scoring!AW484</f>
        <v/>
      </c>
    </row>
    <row r="479" customFormat="false" ht="15.75" hidden="false" customHeight="false" outlineLevel="0" collapsed="false">
      <c r="A479" s="135" t="str">
        <f aca="false">Scoring!AZ485</f>
        <v/>
      </c>
      <c r="B479" s="135" t="str">
        <f aca="false">Scoring!AY485</f>
        <v/>
      </c>
      <c r="C479" s="135" t="n">
        <f aca="false">Scoring!C485</f>
        <v>0</v>
      </c>
      <c r="D479" s="136" t="str">
        <f aca="false">Scoring!AV485</f>
        <v/>
      </c>
      <c r="E479" s="135" t="str">
        <f aca="false">Scoring!AB485</f>
        <v/>
      </c>
      <c r="F479" s="135" t="n">
        <f aca="false">Scoring!B485</f>
        <v>0</v>
      </c>
      <c r="G479" s="135" t="n">
        <f aca="false">Scoring!D485</f>
        <v>0</v>
      </c>
      <c r="H479" s="135" t="str">
        <f aca="false">Scoring!AX485</f>
        <v/>
      </c>
      <c r="I479" s="137" t="str">
        <f aca="false">Scoring!AW485</f>
        <v/>
      </c>
    </row>
    <row r="480" customFormat="false" ht="15.75" hidden="false" customHeight="false" outlineLevel="0" collapsed="false">
      <c r="A480" s="135" t="str">
        <f aca="false">Scoring!AZ486</f>
        <v/>
      </c>
      <c r="B480" s="135" t="str">
        <f aca="false">Scoring!AY486</f>
        <v/>
      </c>
      <c r="C480" s="135" t="n">
        <f aca="false">Scoring!C486</f>
        <v>0</v>
      </c>
      <c r="D480" s="136" t="str">
        <f aca="false">Scoring!AV486</f>
        <v/>
      </c>
      <c r="E480" s="135" t="str">
        <f aca="false">Scoring!AB486</f>
        <v/>
      </c>
      <c r="F480" s="135" t="n">
        <f aca="false">Scoring!B486</f>
        <v>0</v>
      </c>
      <c r="G480" s="135" t="n">
        <f aca="false">Scoring!D486</f>
        <v>0</v>
      </c>
      <c r="H480" s="135" t="str">
        <f aca="false">Scoring!AX486</f>
        <v/>
      </c>
      <c r="I480" s="137" t="str">
        <f aca="false">Scoring!AW486</f>
        <v/>
      </c>
    </row>
    <row r="481" customFormat="false" ht="15.75" hidden="false" customHeight="false" outlineLevel="0" collapsed="false">
      <c r="A481" s="135" t="str">
        <f aca="false">Scoring!AZ487</f>
        <v/>
      </c>
      <c r="B481" s="135" t="str">
        <f aca="false">Scoring!AY487</f>
        <v/>
      </c>
      <c r="C481" s="135" t="n">
        <f aca="false">Scoring!C487</f>
        <v>0</v>
      </c>
      <c r="D481" s="136" t="str">
        <f aca="false">Scoring!AV487</f>
        <v/>
      </c>
      <c r="E481" s="135" t="str">
        <f aca="false">Scoring!AB487</f>
        <v/>
      </c>
      <c r="F481" s="135" t="n">
        <f aca="false">Scoring!B487</f>
        <v>0</v>
      </c>
      <c r="G481" s="135" t="n">
        <f aca="false">Scoring!D487</f>
        <v>0</v>
      </c>
      <c r="H481" s="135" t="str">
        <f aca="false">Scoring!AX487</f>
        <v/>
      </c>
      <c r="I481" s="137" t="str">
        <f aca="false">Scoring!AW487</f>
        <v/>
      </c>
    </row>
    <row r="482" customFormat="false" ht="15.75" hidden="false" customHeight="false" outlineLevel="0" collapsed="false">
      <c r="A482" s="135" t="str">
        <f aca="false">Scoring!AZ488</f>
        <v/>
      </c>
      <c r="B482" s="135" t="str">
        <f aca="false">Scoring!AY488</f>
        <v/>
      </c>
      <c r="C482" s="135" t="n">
        <f aca="false">Scoring!C488</f>
        <v>0</v>
      </c>
      <c r="D482" s="136" t="str">
        <f aca="false">Scoring!AV488</f>
        <v/>
      </c>
      <c r="E482" s="135" t="str">
        <f aca="false">Scoring!AB488</f>
        <v/>
      </c>
      <c r="F482" s="135" t="n">
        <f aca="false">Scoring!B488</f>
        <v>0</v>
      </c>
      <c r="G482" s="135" t="n">
        <f aca="false">Scoring!D488</f>
        <v>0</v>
      </c>
      <c r="H482" s="135" t="str">
        <f aca="false">Scoring!AX488</f>
        <v/>
      </c>
      <c r="I482" s="137" t="str">
        <f aca="false">Scoring!AW488</f>
        <v/>
      </c>
    </row>
    <row r="483" customFormat="false" ht="15.75" hidden="false" customHeight="false" outlineLevel="0" collapsed="false">
      <c r="A483" s="135" t="str">
        <f aca="false">Scoring!AZ489</f>
        <v/>
      </c>
      <c r="B483" s="135" t="str">
        <f aca="false">Scoring!AY489</f>
        <v/>
      </c>
      <c r="C483" s="135" t="n">
        <f aca="false">Scoring!C489</f>
        <v>0</v>
      </c>
      <c r="D483" s="136" t="str">
        <f aca="false">Scoring!AV489</f>
        <v/>
      </c>
      <c r="E483" s="135" t="str">
        <f aca="false">Scoring!AB489</f>
        <v/>
      </c>
      <c r="F483" s="135" t="n">
        <f aca="false">Scoring!B489</f>
        <v>0</v>
      </c>
      <c r="G483" s="135" t="n">
        <f aca="false">Scoring!D489</f>
        <v>0</v>
      </c>
      <c r="H483" s="135" t="str">
        <f aca="false">Scoring!AX489</f>
        <v/>
      </c>
      <c r="I483" s="137" t="str">
        <f aca="false">Scoring!AW489</f>
        <v/>
      </c>
    </row>
    <row r="484" customFormat="false" ht="15.75" hidden="false" customHeight="false" outlineLevel="0" collapsed="false">
      <c r="A484" s="135" t="str">
        <f aca="false">Scoring!AZ490</f>
        <v/>
      </c>
      <c r="B484" s="135" t="str">
        <f aca="false">Scoring!AY490</f>
        <v/>
      </c>
      <c r="C484" s="135" t="n">
        <f aca="false">Scoring!C490</f>
        <v>0</v>
      </c>
      <c r="D484" s="136" t="str">
        <f aca="false">Scoring!AV490</f>
        <v/>
      </c>
      <c r="E484" s="135" t="str">
        <f aca="false">Scoring!AB490</f>
        <v/>
      </c>
      <c r="F484" s="135" t="n">
        <f aca="false">Scoring!B490</f>
        <v>0</v>
      </c>
      <c r="G484" s="135" t="n">
        <f aca="false">Scoring!D490</f>
        <v>0</v>
      </c>
      <c r="H484" s="135" t="str">
        <f aca="false">Scoring!AX490</f>
        <v/>
      </c>
      <c r="I484" s="137" t="str">
        <f aca="false">Scoring!AW490</f>
        <v/>
      </c>
    </row>
    <row r="485" customFormat="false" ht="15.75" hidden="false" customHeight="false" outlineLevel="0" collapsed="false">
      <c r="A485" s="135" t="str">
        <f aca="false">Scoring!AZ491</f>
        <v/>
      </c>
      <c r="B485" s="135" t="str">
        <f aca="false">Scoring!AY491</f>
        <v/>
      </c>
      <c r="C485" s="135" t="n">
        <f aca="false">Scoring!C491</f>
        <v>0</v>
      </c>
      <c r="D485" s="136" t="str">
        <f aca="false">Scoring!AV491</f>
        <v/>
      </c>
      <c r="E485" s="135" t="str">
        <f aca="false">Scoring!AB491</f>
        <v/>
      </c>
      <c r="F485" s="135" t="n">
        <f aca="false">Scoring!B491</f>
        <v>0</v>
      </c>
      <c r="G485" s="135" t="n">
        <f aca="false">Scoring!D491</f>
        <v>0</v>
      </c>
      <c r="H485" s="135" t="str">
        <f aca="false">Scoring!AX491</f>
        <v/>
      </c>
      <c r="I485" s="137" t="str">
        <f aca="false">Scoring!AW491</f>
        <v/>
      </c>
    </row>
    <row r="486" customFormat="false" ht="15.75" hidden="false" customHeight="false" outlineLevel="0" collapsed="false">
      <c r="A486" s="135" t="str">
        <f aca="false">Scoring!AZ492</f>
        <v/>
      </c>
      <c r="B486" s="135" t="str">
        <f aca="false">Scoring!AY492</f>
        <v/>
      </c>
      <c r="C486" s="135" t="n">
        <f aca="false">Scoring!C492</f>
        <v>0</v>
      </c>
      <c r="D486" s="136" t="str">
        <f aca="false">Scoring!AV492</f>
        <v/>
      </c>
      <c r="E486" s="135" t="str">
        <f aca="false">Scoring!AB492</f>
        <v/>
      </c>
      <c r="F486" s="135" t="n">
        <f aca="false">Scoring!B492</f>
        <v>0</v>
      </c>
      <c r="G486" s="135" t="n">
        <f aca="false">Scoring!D492</f>
        <v>0</v>
      </c>
      <c r="H486" s="135" t="str">
        <f aca="false">Scoring!AX492</f>
        <v/>
      </c>
      <c r="I486" s="137" t="str">
        <f aca="false">Scoring!AW492</f>
        <v/>
      </c>
    </row>
    <row r="487" customFormat="false" ht="15.75" hidden="false" customHeight="false" outlineLevel="0" collapsed="false">
      <c r="A487" s="135" t="str">
        <f aca="false">Scoring!AZ493</f>
        <v/>
      </c>
      <c r="B487" s="135" t="str">
        <f aca="false">Scoring!AY493</f>
        <v/>
      </c>
      <c r="C487" s="135" t="n">
        <f aca="false">Scoring!C493</f>
        <v>0</v>
      </c>
      <c r="D487" s="136" t="str">
        <f aca="false">Scoring!AV493</f>
        <v/>
      </c>
      <c r="E487" s="135" t="str">
        <f aca="false">Scoring!AB493</f>
        <v/>
      </c>
      <c r="F487" s="135" t="n">
        <f aca="false">Scoring!B493</f>
        <v>0</v>
      </c>
      <c r="G487" s="135" t="n">
        <f aca="false">Scoring!D493</f>
        <v>0</v>
      </c>
      <c r="H487" s="135" t="str">
        <f aca="false">Scoring!AX493</f>
        <v/>
      </c>
      <c r="I487" s="137" t="str">
        <f aca="false">Scoring!AW493</f>
        <v/>
      </c>
    </row>
    <row r="488" customFormat="false" ht="15.75" hidden="false" customHeight="false" outlineLevel="0" collapsed="false">
      <c r="A488" s="135" t="str">
        <f aca="false">Scoring!AZ494</f>
        <v/>
      </c>
      <c r="B488" s="135" t="str">
        <f aca="false">Scoring!AY494</f>
        <v/>
      </c>
      <c r="C488" s="135" t="n">
        <f aca="false">Scoring!C494</f>
        <v>0</v>
      </c>
      <c r="D488" s="136" t="str">
        <f aca="false">Scoring!AV494</f>
        <v/>
      </c>
      <c r="E488" s="135" t="str">
        <f aca="false">Scoring!AB494</f>
        <v/>
      </c>
      <c r="F488" s="135" t="n">
        <f aca="false">Scoring!B494</f>
        <v>0</v>
      </c>
      <c r="G488" s="135" t="n">
        <f aca="false">Scoring!D494</f>
        <v>0</v>
      </c>
      <c r="H488" s="135" t="str">
        <f aca="false">Scoring!AX494</f>
        <v/>
      </c>
      <c r="I488" s="137" t="str">
        <f aca="false">Scoring!AW494</f>
        <v/>
      </c>
    </row>
    <row r="489" customFormat="false" ht="15.75" hidden="false" customHeight="false" outlineLevel="0" collapsed="false">
      <c r="A489" s="135" t="str">
        <f aca="false">Scoring!AZ495</f>
        <v/>
      </c>
      <c r="B489" s="135" t="str">
        <f aca="false">Scoring!AY495</f>
        <v/>
      </c>
      <c r="C489" s="135" t="n">
        <f aca="false">Scoring!C495</f>
        <v>0</v>
      </c>
      <c r="D489" s="136" t="str">
        <f aca="false">Scoring!AV495</f>
        <v/>
      </c>
      <c r="E489" s="135" t="str">
        <f aca="false">Scoring!AB495</f>
        <v/>
      </c>
      <c r="F489" s="135" t="n">
        <f aca="false">Scoring!B495</f>
        <v>0</v>
      </c>
      <c r="G489" s="135" t="n">
        <f aca="false">Scoring!D495</f>
        <v>0</v>
      </c>
      <c r="H489" s="135" t="str">
        <f aca="false">Scoring!AX495</f>
        <v/>
      </c>
      <c r="I489" s="137" t="str">
        <f aca="false">Scoring!AW495</f>
        <v/>
      </c>
    </row>
    <row r="490" customFormat="false" ht="15.75" hidden="false" customHeight="false" outlineLevel="0" collapsed="false">
      <c r="A490" s="135" t="str">
        <f aca="false">Scoring!AZ496</f>
        <v/>
      </c>
      <c r="B490" s="135" t="str">
        <f aca="false">Scoring!AY496</f>
        <v/>
      </c>
      <c r="C490" s="135" t="n">
        <f aca="false">Scoring!C496</f>
        <v>0</v>
      </c>
      <c r="D490" s="136" t="str">
        <f aca="false">Scoring!AV496</f>
        <v/>
      </c>
      <c r="E490" s="135" t="str">
        <f aca="false">Scoring!AB496</f>
        <v/>
      </c>
      <c r="F490" s="135" t="n">
        <f aca="false">Scoring!B496</f>
        <v>0</v>
      </c>
      <c r="G490" s="135" t="n">
        <f aca="false">Scoring!D496</f>
        <v>0</v>
      </c>
      <c r="H490" s="135" t="str">
        <f aca="false">Scoring!AX496</f>
        <v/>
      </c>
      <c r="I490" s="137" t="str">
        <f aca="false">Scoring!AW496</f>
        <v/>
      </c>
    </row>
    <row r="491" customFormat="false" ht="15.75" hidden="false" customHeight="false" outlineLevel="0" collapsed="false">
      <c r="A491" s="135" t="str">
        <f aca="false">Scoring!AZ497</f>
        <v/>
      </c>
      <c r="B491" s="135" t="str">
        <f aca="false">Scoring!AY497</f>
        <v/>
      </c>
      <c r="C491" s="135" t="n">
        <f aca="false">Scoring!C497</f>
        <v>0</v>
      </c>
      <c r="D491" s="136" t="str">
        <f aca="false">Scoring!AV497</f>
        <v/>
      </c>
      <c r="E491" s="135" t="str">
        <f aca="false">Scoring!AB497</f>
        <v/>
      </c>
      <c r="F491" s="135" t="n">
        <f aca="false">Scoring!B497</f>
        <v>0</v>
      </c>
      <c r="G491" s="135" t="n">
        <f aca="false">Scoring!D497</f>
        <v>0</v>
      </c>
      <c r="H491" s="135" t="str">
        <f aca="false">Scoring!AX497</f>
        <v/>
      </c>
      <c r="I491" s="137" t="str">
        <f aca="false">Scoring!AW497</f>
        <v/>
      </c>
    </row>
    <row r="492" customFormat="false" ht="15.75" hidden="false" customHeight="false" outlineLevel="0" collapsed="false">
      <c r="A492" s="135" t="str">
        <f aca="false">Scoring!AZ498</f>
        <v/>
      </c>
      <c r="B492" s="135" t="str">
        <f aca="false">Scoring!AY498</f>
        <v/>
      </c>
      <c r="C492" s="135" t="n">
        <f aca="false">Scoring!C498</f>
        <v>0</v>
      </c>
      <c r="D492" s="136" t="str">
        <f aca="false">Scoring!AV498</f>
        <v/>
      </c>
      <c r="E492" s="135" t="str">
        <f aca="false">Scoring!AB498</f>
        <v/>
      </c>
      <c r="F492" s="135" t="n">
        <f aca="false">Scoring!B498</f>
        <v>0</v>
      </c>
      <c r="G492" s="135" t="n">
        <f aca="false">Scoring!D498</f>
        <v>0</v>
      </c>
      <c r="H492" s="135" t="str">
        <f aca="false">Scoring!AX498</f>
        <v/>
      </c>
      <c r="I492" s="137" t="str">
        <f aca="false">Scoring!AW498</f>
        <v/>
      </c>
    </row>
    <row r="493" customFormat="false" ht="15.75" hidden="false" customHeight="false" outlineLevel="0" collapsed="false">
      <c r="A493" s="135" t="str">
        <f aca="false">Scoring!AZ499</f>
        <v/>
      </c>
      <c r="B493" s="135" t="str">
        <f aca="false">Scoring!AY499</f>
        <v/>
      </c>
      <c r="C493" s="135" t="n">
        <f aca="false">Scoring!C499</f>
        <v>0</v>
      </c>
      <c r="D493" s="136" t="str">
        <f aca="false">Scoring!AV499</f>
        <v/>
      </c>
      <c r="E493" s="135" t="str">
        <f aca="false">Scoring!AB499</f>
        <v/>
      </c>
      <c r="F493" s="135" t="n">
        <f aca="false">Scoring!B499</f>
        <v>0</v>
      </c>
      <c r="G493" s="135" t="n">
        <f aca="false">Scoring!D499</f>
        <v>0</v>
      </c>
      <c r="H493" s="135" t="str">
        <f aca="false">Scoring!AX499</f>
        <v/>
      </c>
      <c r="I493" s="137" t="str">
        <f aca="false">Scoring!AW499</f>
        <v/>
      </c>
    </row>
    <row r="494" customFormat="false" ht="15.75" hidden="false" customHeight="false" outlineLevel="0" collapsed="false">
      <c r="A494" s="135" t="str">
        <f aca="false">Scoring!AZ500</f>
        <v/>
      </c>
      <c r="B494" s="135" t="str">
        <f aca="false">Scoring!AY500</f>
        <v/>
      </c>
      <c r="C494" s="135" t="n">
        <f aca="false">Scoring!C500</f>
        <v>0</v>
      </c>
      <c r="D494" s="136" t="str">
        <f aca="false">Scoring!AV500</f>
        <v/>
      </c>
      <c r="E494" s="135" t="str">
        <f aca="false">Scoring!AB500</f>
        <v/>
      </c>
      <c r="F494" s="135" t="n">
        <f aca="false">Scoring!B500</f>
        <v>0</v>
      </c>
      <c r="G494" s="135" t="n">
        <f aca="false">Scoring!D500</f>
        <v>0</v>
      </c>
      <c r="H494" s="135" t="str">
        <f aca="false">Scoring!AX500</f>
        <v/>
      </c>
      <c r="I494" s="137" t="str">
        <f aca="false">Scoring!AW500</f>
        <v/>
      </c>
    </row>
    <row r="495" customFormat="false" ht="15.75" hidden="false" customHeight="false" outlineLevel="0" collapsed="false">
      <c r="A495" s="135" t="str">
        <f aca="false">Scoring!AZ501</f>
        <v/>
      </c>
      <c r="B495" s="135" t="str">
        <f aca="false">Scoring!AY501</f>
        <v/>
      </c>
      <c r="C495" s="135" t="n">
        <f aca="false">Scoring!C501</f>
        <v>0</v>
      </c>
      <c r="D495" s="136" t="str">
        <f aca="false">Scoring!AV501</f>
        <v/>
      </c>
      <c r="E495" s="135" t="str">
        <f aca="false">Scoring!AB501</f>
        <v/>
      </c>
      <c r="F495" s="135" t="n">
        <f aca="false">Scoring!B501</f>
        <v>0</v>
      </c>
      <c r="G495" s="135" t="n">
        <f aca="false">Scoring!D501</f>
        <v>0</v>
      </c>
      <c r="H495" s="135" t="str">
        <f aca="false">Scoring!AX501</f>
        <v/>
      </c>
      <c r="I495" s="137" t="str">
        <f aca="false">Scoring!AW501</f>
        <v/>
      </c>
    </row>
    <row r="496" customFormat="false" ht="15.75" hidden="false" customHeight="false" outlineLevel="0" collapsed="false">
      <c r="A496" s="135" t="str">
        <f aca="false">Scoring!AZ502</f>
        <v/>
      </c>
      <c r="B496" s="135" t="str">
        <f aca="false">Scoring!AY502</f>
        <v/>
      </c>
      <c r="C496" s="135" t="n">
        <f aca="false">Scoring!C502</f>
        <v>0</v>
      </c>
      <c r="D496" s="136" t="str">
        <f aca="false">Scoring!AV502</f>
        <v/>
      </c>
      <c r="E496" s="135" t="str">
        <f aca="false">Scoring!AB502</f>
        <v/>
      </c>
      <c r="F496" s="135" t="n">
        <f aca="false">Scoring!B502</f>
        <v>0</v>
      </c>
      <c r="G496" s="135" t="n">
        <f aca="false">Scoring!D502</f>
        <v>0</v>
      </c>
      <c r="H496" s="135" t="str">
        <f aca="false">Scoring!AX502</f>
        <v/>
      </c>
      <c r="I496" s="137" t="str">
        <f aca="false">Scoring!AW502</f>
        <v/>
      </c>
    </row>
    <row r="497" customFormat="false" ht="15.75" hidden="false" customHeight="false" outlineLevel="0" collapsed="false">
      <c r="A497" s="135" t="str">
        <f aca="false">Scoring!AZ503</f>
        <v/>
      </c>
      <c r="B497" s="135" t="str">
        <f aca="false">Scoring!AY503</f>
        <v/>
      </c>
      <c r="C497" s="135" t="n">
        <f aca="false">Scoring!C503</f>
        <v>0</v>
      </c>
      <c r="D497" s="136" t="str">
        <f aca="false">Scoring!AV503</f>
        <v/>
      </c>
      <c r="E497" s="135" t="str">
        <f aca="false">Scoring!AB503</f>
        <v/>
      </c>
      <c r="F497" s="135" t="n">
        <f aca="false">Scoring!B503</f>
        <v>0</v>
      </c>
      <c r="G497" s="135" t="n">
        <f aca="false">Scoring!D503</f>
        <v>0</v>
      </c>
      <c r="H497" s="135" t="str">
        <f aca="false">Scoring!AX503</f>
        <v/>
      </c>
      <c r="I497" s="137" t="str">
        <f aca="false">Scoring!AW503</f>
        <v/>
      </c>
    </row>
    <row r="498" customFormat="false" ht="15.75" hidden="false" customHeight="false" outlineLevel="0" collapsed="false">
      <c r="A498" s="135" t="str">
        <f aca="false">Scoring!AZ504</f>
        <v/>
      </c>
      <c r="B498" s="135" t="str">
        <f aca="false">Scoring!AY504</f>
        <v/>
      </c>
      <c r="C498" s="135" t="n">
        <f aca="false">Scoring!C504</f>
        <v>0</v>
      </c>
      <c r="D498" s="136" t="str">
        <f aca="false">Scoring!AV504</f>
        <v/>
      </c>
      <c r="E498" s="135" t="str">
        <f aca="false">Scoring!AB504</f>
        <v/>
      </c>
      <c r="F498" s="135" t="n">
        <f aca="false">Scoring!B504</f>
        <v>0</v>
      </c>
      <c r="G498" s="135" t="n">
        <f aca="false">Scoring!D504</f>
        <v>0</v>
      </c>
      <c r="H498" s="135" t="str">
        <f aca="false">Scoring!AX504</f>
        <v/>
      </c>
      <c r="I498" s="137" t="str">
        <f aca="false">Scoring!AW504</f>
        <v/>
      </c>
    </row>
    <row r="499" customFormat="false" ht="15.75" hidden="false" customHeight="false" outlineLevel="0" collapsed="false">
      <c r="A499" s="135" t="str">
        <f aca="false">Scoring!AZ505</f>
        <v/>
      </c>
      <c r="B499" s="135" t="str">
        <f aca="false">Scoring!AY505</f>
        <v/>
      </c>
      <c r="C499" s="135" t="n">
        <f aca="false">Scoring!C505</f>
        <v>0</v>
      </c>
      <c r="D499" s="136" t="str">
        <f aca="false">Scoring!AV505</f>
        <v/>
      </c>
      <c r="E499" s="135" t="str">
        <f aca="false">Scoring!AB505</f>
        <v/>
      </c>
      <c r="F499" s="135" t="n">
        <f aca="false">Scoring!B505</f>
        <v>0</v>
      </c>
      <c r="G499" s="135" t="n">
        <f aca="false">Scoring!D505</f>
        <v>0</v>
      </c>
      <c r="H499" s="135" t="str">
        <f aca="false">Scoring!AX505</f>
        <v/>
      </c>
      <c r="I499" s="137" t="str">
        <f aca="false">Scoring!AW505</f>
        <v/>
      </c>
    </row>
    <row r="500" customFormat="false" ht="15.75" hidden="false" customHeight="false" outlineLevel="0" collapsed="false">
      <c r="A500" s="135" t="str">
        <f aca="false">Scoring!AZ506</f>
        <v/>
      </c>
      <c r="B500" s="135" t="str">
        <f aca="false">Scoring!AY506</f>
        <v/>
      </c>
      <c r="C500" s="135" t="n">
        <f aca="false">Scoring!C506</f>
        <v>0</v>
      </c>
      <c r="D500" s="136" t="str">
        <f aca="false">Scoring!AV506</f>
        <v/>
      </c>
      <c r="E500" s="135" t="str">
        <f aca="false">Scoring!AB506</f>
        <v/>
      </c>
      <c r="F500" s="135" t="n">
        <f aca="false">Scoring!B506</f>
        <v>0</v>
      </c>
      <c r="G500" s="135" t="n">
        <f aca="false">Scoring!D506</f>
        <v>0</v>
      </c>
      <c r="H500" s="135" t="str">
        <f aca="false">Scoring!AX506</f>
        <v/>
      </c>
      <c r="I500" s="137" t="str">
        <f aca="false">Scoring!AW506</f>
        <v/>
      </c>
    </row>
    <row r="501" customFormat="false" ht="15.75" hidden="false" customHeight="false" outlineLevel="0" collapsed="false">
      <c r="A501" s="135" t="str">
        <f aca="false">Scoring!AZ507</f>
        <v/>
      </c>
      <c r="B501" s="135" t="str">
        <f aca="false">Scoring!AY507</f>
        <v/>
      </c>
      <c r="C501" s="135" t="n">
        <f aca="false">Scoring!C507</f>
        <v>0</v>
      </c>
      <c r="D501" s="136" t="str">
        <f aca="false">Scoring!AV507</f>
        <v/>
      </c>
      <c r="E501" s="135" t="str">
        <f aca="false">Scoring!AB507</f>
        <v/>
      </c>
      <c r="F501" s="135" t="n">
        <f aca="false">Scoring!B507</f>
        <v>0</v>
      </c>
      <c r="G501" s="135" t="n">
        <f aca="false">Scoring!D507</f>
        <v>0</v>
      </c>
      <c r="H501" s="135" t="str">
        <f aca="false">Scoring!AX507</f>
        <v/>
      </c>
      <c r="I501" s="137" t="str">
        <f aca="false">Scoring!AW507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355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2026-10-01T22:42:49Z</dcterms:modified>
  <cp:revision>80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