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<sst xmlns="http://schemas.openxmlformats.org/spreadsheetml/2006/main" count="182" uniqueCount="128">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</sst>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F11" activeCellId="0" sqref="F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6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7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09/30/2026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/>
      <c r="D9" s="74"/>
      <c r="E9" s="75"/>
      <c r="F9" s="76"/>
      <c r="G9" s="77"/>
      <c r="H9" s="77"/>
      <c r="I9" s="77"/>
      <c r="J9" s="78"/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str">
        <f aca="false">IF(ISBLANK($C9),"",IF($E9=Constants!$B$2,TRUE(),IF($E9=Constants!$B$3,FALSE(),TRUE())))</f>
        <v/>
      </c>
      <c r="Y9" s="86" t="str">
        <f aca="false">IF(ISBLANK($C9),"",IF($F9=Constants!$B$2,TRUE(),IF($F9=Constants!$B$3,FALSE(),TRUE())))</f>
        <v/>
      </c>
      <c r="Z9" s="87" t="str">
        <f aca="false">IF(ISBLANK($C9),"",IF(ISNUMBER($G9),IF($G9&gt;=0,$G9,""),""))</f>
        <v/>
      </c>
      <c r="AA9" s="87" t="str">
        <f aca="false">IF(ISBLANK($C9),"",IF(ISNUMBER($H9),IF($H9&gt;=0,$H9,""),""))</f>
        <v/>
      </c>
      <c r="AB9" s="87" t="str">
        <f aca="false">IF(ISBLANK($C9),"",IF(ISNUMBER($I9),IF($I9&gt;=0,$I9,""),""))</f>
        <v/>
      </c>
      <c r="AC9" s="86" t="str">
        <f aca="false">IF(ISBLANK($C9),"",IF($J9=Constants!$B$2,TRUE(),IF($J9=Constants!$B$3,FALSE(),TRUE())))</f>
        <v/>
      </c>
      <c r="AD9" s="86" t="str">
        <f aca="false">IF(ISBLANK($C9),"",IF($K9=Constants!$B$2,TRUE(),IF($K9=Constants!$B$3,FALSE(),TRUE())))</f>
        <v/>
      </c>
      <c r="AE9" s="86" t="str">
        <f aca="false">IF(ISBLANK($C9),"",IF($L9=Constants!$B$2,TRUE(),IF($L9=Constants!$B$3,FALSE(),TRUE())))</f>
        <v/>
      </c>
      <c r="AF9" s="88" t="str">
        <f aca="false">IF(ISBLANK($C9),"",IF(ISNUMBER($M9),IF($M9&gt;=0,$M9,""),""))</f>
        <v/>
      </c>
      <c r="AG9" s="89" t="str">
        <f aca="false">IF(ISBLANK($C9),"",IF(ISBLANK($N9),0,IF(ISNUMBER($N9),IF(AND($N9&gt;=0,$N9&lt;=Constants!$B$17,$N9=INT($N9)),$N9,""),"")))</f>
        <v/>
      </c>
      <c r="AH9" s="87" t="str">
        <f aca="false">IF(ISBLANK($C9),"",IF(ISBLANK($O9),0,IF(ISNUMBER($O9),IF($O9&gt;=0,$O9,""),"")))</f>
        <v/>
      </c>
      <c r="AI9" s="86" t="str">
        <f aca="false">IF(ISBLANK($C9),"",IF($P9=Constants!$B$2,TRUE(),IF($P9=Constants!$B$3,FALSE(),TRUE())))</f>
        <v/>
      </c>
      <c r="AJ9" s="86" t="str">
        <f aca="false">IF(ISBLANK($C9),"",IF($Q9=Constants!$B$2,TRUE(),IF($Q9=Constants!$B$3,FALSE(),TRUE())))</f>
        <v/>
      </c>
      <c r="AK9" s="86" t="str">
        <f aca="false">IF(ISBLANK($C9),"",IF($R9=Constants!$B$2,TRUE(),IF($R9=Constants!$B$3,FALSE(),TRUE())))</f>
        <v/>
      </c>
      <c r="AL9" s="88" t="str">
        <f aca="false">IF(ISBLANK($C9),"",IF(ISNUMBER($S9),IF($S9&gt;=0,$S9,""),""))</f>
        <v/>
      </c>
      <c r="AM9" s="86" t="str">
        <f aca="false">IF(ISBLANK($C9),"",IF(ISBLANK($T9),0,IF(ISNUMBER($T9),IF(AND($T9&gt;=0,$T9&lt;=Constants!$B$17,$T9=INT($T9)),$T9,""),"")))</f>
        <v/>
      </c>
      <c r="AN9" s="87" t="str">
        <f aca="false">IF(ISBLANK($C9),"",IF(ISBLANK($U9),0,IF(ISNUMBER($U9),IF($U9&gt;=0,$U9,""),"")))</f>
        <v/>
      </c>
      <c r="AO9" s="86" t="str">
        <f aca="false">IF(ISBLANK($C9),"",IF($V9=Constants!$B$2,TRUE(),IF($V9=Constants!$B$3,FALSE(),FALSE())))</f>
        <v/>
      </c>
      <c r="AP9" s="89" t="str">
        <f aca="false">IF(ISNUMBER($D$7),IF(AND($D$7&gt;=Constants!$B$19,$D$7&lt;=Constants!$B$20,$D$7=INT($D$7)),$D$7,""),"")</f>
        <v/>
      </c>
      <c r="AQ9" s="85" t="str">
        <f aca="false">IF(ISBLANK($C9),"",AND($Y9,OR($AS9,$BC9),OR($Z9="",$AA9="",$AB9="")))</f>
        <v/>
      </c>
      <c r="AR9" s="85" t="str">
        <f aca="false">IF(ISBLANK($C9),"",IF(OR(NOT($Y9),NOT(OR($AS9,$BC9))),"",IF(ISBLANK($D$7),$AR$5,IF($AP$9="",$AR$6,""))))</f>
        <v/>
      </c>
      <c r="AS9" s="85" t="str">
        <f aca="false">IF(ISBLANK($C9),"",COUNTA($J9:$O9)&gt;0)</f>
        <v/>
      </c>
      <c r="AT9" s="85" t="str">
        <f aca="false">IF(ISBLANK($C9),"",AND($AS9,OR(AND($AF9="",OR($AE9,NOT(ISBLANK($M9)))),$AG9="",$AH9="")))</f>
        <v/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str">
        <f aca="false">IF(ISBLANK($C9),"",COUNTA($P9:$U9)&gt;0)</f>
        <v/>
      </c>
      <c r="BD9" s="85" t="str">
        <f aca="false">IF(ISBLANK($C9),"",AND($BC9,OR(AND($AL9="",OR($AK9,NOT(ISBLANK($S9)))),$AM9="",$AN9="")))</f>
        <v/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/>
      </c>
      <c r="BM9" s="86" t="str">
        <f aca="false">IF(ISBLANK($C9),"",IF($BL9&lt;&gt;Constants!$B$4,$BL9,IF($BB9="-&gt;",$BI9,$AY9)))</f>
        <v/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/>
      </c>
      <c r="BP9" s="86" t="str">
        <f aca="false">IF(ISBLANK($C9),"",IF($BL9&lt;&gt;Constants!$B$4,$BL9,RANK($BO9,$BO$9:$BO$508,0)))</f>
        <v/>
      </c>
      <c r="BQ9" s="86" t="str">
        <f aca="false">IF(ISBLANK($C9),"",IF($BL9&lt;&gt;Constants!$B$4,$BL9,COUNTIFS($BM$9:$BM$508,"&lt;"&amp;$BM9)+COUNTIFS($BM$9:$BM$508,$BM9,$BP$9:$BP$508,"&lt;"&amp;$BP9)+1))</f>
        <v/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/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/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/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/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/>
      </c>
      <c r="CA9" s="86" t="str">
        <f aca="false">IF(ISBLANK($C9),"",IF($BL9&lt;&gt;Constants!$B$4,$BL9,$BQ9-$BZ9))</f>
        <v/>
      </c>
      <c r="CB9" s="93"/>
      <c r="CC9" s="94" t="str">
        <f aca="false">IF(ISBLANK($C9),"",IF($BL9=Constants!$B$8,$AR9,""))</f>
        <v/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/>
      </c>
      <c r="CJ9" s="97" t="str">
        <f aca="false">IF(ISBLANK($C9),"",$BM9)</f>
        <v/>
      </c>
      <c r="CK9" s="98" t="str">
        <f aca="false">IF(ISBLANK($C9),"",$CA9)</f>
        <v/>
      </c>
      <c r="CL9" s="98" t="str">
        <f aca="false">IF(ISBLANK($C9),"",$BZ9)</f>
        <v/>
      </c>
      <c r="CM9" s="99" t="str">
        <f aca="false">IF(ISBLANK($C9),"",IFERROR(_xlfn.SWITCH($CL9,Constants!$B$7,COUNTA($C$9:$C$508)+2,Constants!$B$6,COUNTA($C$9:$C$508)+1,Constants!$B$5,COUNTA($C$9:$C$508)),$CL9))</f>
        <v/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str">
        <f aca="false">IF(ISBLANK($C9),"",$B9)</f>
        <v/>
      </c>
      <c r="CT9" s="100" t="str">
        <f aca="false">IF(ISBLANK($C9),"",$C9)</f>
        <v/>
      </c>
      <c r="CU9" s="100" t="str">
        <f aca="false">IF(ISBLANK($C9),"",$D9)</f>
        <v/>
      </c>
      <c r="CV9" s="101" t="str">
        <f aca="false">$CJ9</f>
        <v/>
      </c>
      <c r="CW9" s="102" t="str">
        <f aca="false">$CI9</f>
        <v/>
      </c>
      <c r="CX9" s="100" t="str">
        <f aca="false">IF(ISBLANK($C9),"",$CL9)</f>
        <v/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IF(ISBLANK($C10),"",IFERROR(_xlfn.SWITCH($CL10,Constants!$B$7,COUNTA($C$9:$C$508)+2,Constants!$B$6,COUNTA($C$9:$C$508)+1,Constants!$B$5,COUNTA($C$9:$C$508)),$CL10))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IF(ISBLANK($C11),"",IFERROR(_xlfn.SWITCH($CL11,Constants!$B$7,COUNTA($C$9:$C$508)+2,Constants!$B$6,COUNTA($C$9:$C$508)+1,Constants!$B$5,COUNTA($C$9:$C$508)),$CL11))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IF(ISBLANK($C12),"",IFERROR(_xlfn.SWITCH($CL12,Constants!$B$7,COUNTA($C$9:$C$508)+2,Constants!$B$6,COUNTA($C$9:$C$508)+1,Constants!$B$5,COUNTA($C$9:$C$508)),$CL12))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IF(ISBLANK($C13),"",IFERROR(_xlfn.SWITCH($CL13,Constants!$B$7,COUNTA($C$9:$C$508)+2,Constants!$B$6,COUNTA($C$9:$C$508)+1,Constants!$B$5,COUNTA($C$9:$C$508)),$CL13))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IF(ISBLANK($C14),"",IFERROR(_xlfn.SWITCH($CL14,Constants!$B$7,COUNTA($C$9:$C$508)+2,Constants!$B$6,COUNTA($C$9:$C$508)+1,Constants!$B$5,COUNTA($C$9:$C$508)),$CL14))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IF(ISBLANK($C15),"",IFERROR(_xlfn.SWITCH($CL15,Constants!$B$7,COUNTA($C$9:$C$508)+2,Constants!$B$6,COUNTA($C$9:$C$508)+1,Constants!$B$5,COUNTA($C$9:$C$508)),$CL15))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IF(ISBLANK($C16),"",IFERROR(_xlfn.SWITCH($CL16,Constants!$B$7,COUNTA($C$9:$C$508)+2,Constants!$B$6,COUNTA($C$9:$C$508)+1,Constants!$B$5,COUNTA($C$9:$C$508)),$CL16))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IF(ISBLANK($C17),"",IFERROR(_xlfn.SWITCH($CL17,Constants!$B$7,COUNTA($C$9:$C$508)+2,Constants!$B$6,COUNTA($C$9:$C$508)+1,Constants!$B$5,COUNTA($C$9:$C$508)),$CL17))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IF(ISBLANK($C18),"",IFERROR(_xlfn.SWITCH($CL18,Constants!$B$7,COUNTA($C$9:$C$508)+2,Constants!$B$6,COUNTA($C$9:$C$508)+1,Constants!$B$5,COUNTA($C$9:$C$508)),$CL18))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IF(ISBLANK($C19),"",IFERROR(_xlfn.SWITCH($CL19,Constants!$B$7,COUNTA($C$9:$C$508)+2,Constants!$B$6,COUNTA($C$9:$C$508)+1,Constants!$B$5,COUNTA($C$9:$C$508)),$CL19))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IF(ISBLANK($C20),"",IFERROR(_xlfn.SWITCH($CL20,Constants!$B$7,COUNTA($C$9:$C$508)+2,Constants!$B$6,COUNTA($C$9:$C$508)+1,Constants!$B$5,COUNTA($C$9:$C$508)),$CL20))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IF(ISBLANK($C21),"",IFERROR(_xlfn.SWITCH($CL21,Constants!$B$7,COUNTA($C$9:$C$508)+2,Constants!$B$6,COUNTA($C$9:$C$508)+1,Constants!$B$5,COUNTA($C$9:$C$508)),$CL21))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IF(ISBLANK($C22),"",IFERROR(_xlfn.SWITCH($CL22,Constants!$B$7,COUNTA($C$9:$C$508)+2,Constants!$B$6,COUNTA($C$9:$C$508)+1,Constants!$B$5,COUNTA($C$9:$C$508)),$CL22))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IF(ISBLANK($C23),"",IFERROR(_xlfn.SWITCH($CL23,Constants!$B$7,COUNTA($C$9:$C$508)+2,Constants!$B$6,COUNTA($C$9:$C$508)+1,Constants!$B$5,COUNTA($C$9:$C$508)),$CL23))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IF(ISBLANK($C24),"",IFERROR(_xlfn.SWITCH($CL24,Constants!$B$7,COUNTA($C$9:$C$508)+2,Constants!$B$6,COUNTA($C$9:$C$508)+1,Constants!$B$5,COUNTA($C$9:$C$508)),$CL24))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IF(ISBLANK($C25),"",IFERROR(_xlfn.SWITCH($CL25,Constants!$B$7,COUNTA($C$9:$C$508)+2,Constants!$B$6,COUNTA($C$9:$C$508)+1,Constants!$B$5,COUNTA($C$9:$C$508)),$CL25))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IF(ISBLANK($C26),"",IFERROR(_xlfn.SWITCH($CL26,Constants!$B$7,COUNTA($C$9:$C$508)+2,Constants!$B$6,COUNTA($C$9:$C$508)+1,Constants!$B$5,COUNTA($C$9:$C$508)),$CL26))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IF(ISBLANK($C27),"",IFERROR(_xlfn.SWITCH($CL27,Constants!$B$7,COUNTA($C$9:$C$508)+2,Constants!$B$6,COUNTA($C$9:$C$508)+1,Constants!$B$5,COUNTA($C$9:$C$508)),$CL27))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IF(ISBLANK($C28),"",IFERROR(_xlfn.SWITCH($CL28,Constants!$B$7,COUNTA($C$9:$C$508)+2,Constants!$B$6,COUNTA($C$9:$C$508)+1,Constants!$B$5,COUNTA($C$9:$C$508)),$CL28))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IF(ISBLANK($C29),"",IFERROR(_xlfn.SWITCH($CL29,Constants!$B$7,COUNTA($C$9:$C$508)+2,Constants!$B$6,COUNTA($C$9:$C$508)+1,Constants!$B$5,COUNTA($C$9:$C$508)),$CL29))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IF(ISBLANK($C30),"",IFERROR(_xlfn.SWITCH($CL30,Constants!$B$7,COUNTA($C$9:$C$508)+2,Constants!$B$6,COUNTA($C$9:$C$508)+1,Constants!$B$5,COUNTA($C$9:$C$508)),$CL30))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IF(ISBLANK($C31),"",IFERROR(_xlfn.SWITCH($CL31,Constants!$B$7,COUNTA($C$9:$C$508)+2,Constants!$B$6,COUNTA($C$9:$C$508)+1,Constants!$B$5,COUNTA($C$9:$C$508)),$CL31))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IF(ISBLANK($C32),"",IFERROR(_xlfn.SWITCH($CL32,Constants!$B$7,COUNTA($C$9:$C$508)+2,Constants!$B$6,COUNTA($C$9:$C$508)+1,Constants!$B$5,COUNTA($C$9:$C$508)),$CL32))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IF(ISBLANK($C33),"",IFERROR(_xlfn.SWITCH($CL33,Constants!$B$7,COUNTA($C$9:$C$508)+2,Constants!$B$6,COUNTA($C$9:$C$508)+1,Constants!$B$5,COUNTA($C$9:$C$508)),$CL33))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IF(ISBLANK($C34),"",IFERROR(_xlfn.SWITCH($CL34,Constants!$B$7,COUNTA($C$9:$C$508)+2,Constants!$B$6,COUNTA($C$9:$C$508)+1,Constants!$B$5,COUNTA($C$9:$C$508)),$CL34))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IF(ISBLANK($C35),"",IFERROR(_xlfn.SWITCH($CL35,Constants!$B$7,COUNTA($C$9:$C$508)+2,Constants!$B$6,COUNTA($C$9:$C$508)+1,Constants!$B$5,COUNTA($C$9:$C$508)),$CL35))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IF(ISBLANK($C36),"",IFERROR(_xlfn.SWITCH($CL36,Constants!$B$7,COUNTA($C$9:$C$508)+2,Constants!$B$6,COUNTA($C$9:$C$508)+1,Constants!$B$5,COUNTA($C$9:$C$508)),$CL36))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IF(ISBLANK($C37),"",IFERROR(_xlfn.SWITCH($CL37,Constants!$B$7,COUNTA($C$9:$C$508)+2,Constants!$B$6,COUNTA($C$9:$C$508)+1,Constants!$B$5,COUNTA($C$9:$C$508)),$CL37))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IF(ISBLANK($C38),"",IFERROR(_xlfn.SWITCH($CL38,Constants!$B$7,COUNTA($C$9:$C$508)+2,Constants!$B$6,COUNTA($C$9:$C$508)+1,Constants!$B$5,COUNTA($C$9:$C$508)),$CL38))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IF(ISBLANK($C39),"",IFERROR(_xlfn.SWITCH($CL39,Constants!$B$7,COUNTA($C$9:$C$508)+2,Constants!$B$6,COUNTA($C$9:$C$508)+1,Constants!$B$5,COUNTA($C$9:$C$508)),$CL39))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IF(ISBLANK($C40),"",IFERROR(_xlfn.SWITCH($CL40,Constants!$B$7,COUNTA($C$9:$C$508)+2,Constants!$B$6,COUNTA($C$9:$C$508)+1,Constants!$B$5,COUNTA($C$9:$C$508)),$CL40))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IF(ISBLANK($C41),"",IFERROR(_xlfn.SWITCH($CL41,Constants!$B$7,COUNTA($C$9:$C$508)+2,Constants!$B$6,COUNTA($C$9:$C$508)+1,Constants!$B$5,COUNTA($C$9:$C$508)),$CL41))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IF(ISBLANK($C42),"",IFERROR(_xlfn.SWITCH($CL42,Constants!$B$7,COUNTA($C$9:$C$508)+2,Constants!$B$6,COUNTA($C$9:$C$508)+1,Constants!$B$5,COUNTA($C$9:$C$508)),$CL42))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IF(ISBLANK($C43),"",IFERROR(_xlfn.SWITCH($CL43,Constants!$B$7,COUNTA($C$9:$C$508)+2,Constants!$B$6,COUNTA($C$9:$C$508)+1,Constants!$B$5,COUNTA($C$9:$C$508)),$CL43))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IF(ISBLANK($C44),"",IFERROR(_xlfn.SWITCH($CL44,Constants!$B$7,COUNTA($C$9:$C$508)+2,Constants!$B$6,COUNTA($C$9:$C$508)+1,Constants!$B$5,COUNTA($C$9:$C$508)),$CL44))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IF(ISBLANK($C45),"",IFERROR(_xlfn.SWITCH($CL45,Constants!$B$7,COUNTA($C$9:$C$508)+2,Constants!$B$6,COUNTA($C$9:$C$508)+1,Constants!$B$5,COUNTA($C$9:$C$508)),$CL45))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IF(ISBLANK($C46),"",IFERROR(_xlfn.SWITCH($CL46,Constants!$B$7,COUNTA($C$9:$C$508)+2,Constants!$B$6,COUNTA($C$9:$C$508)+1,Constants!$B$5,COUNTA($C$9:$C$508)),$CL46))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IF(ISBLANK($C47),"",IFERROR(_xlfn.SWITCH($CL47,Constants!$B$7,COUNTA($C$9:$C$508)+2,Constants!$B$6,COUNTA($C$9:$C$508)+1,Constants!$B$5,COUNTA($C$9:$C$508)),$CL47))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IF(ISBLANK($C48),"",IFERROR(_xlfn.SWITCH($CL48,Constants!$B$7,COUNTA($C$9:$C$508)+2,Constants!$B$6,COUNTA($C$9:$C$508)+1,Constants!$B$5,COUNTA($C$9:$C$508)),$CL48))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IF(ISBLANK($C49),"",IFERROR(_xlfn.SWITCH($CL49,Constants!$B$7,COUNTA($C$9:$C$508)+2,Constants!$B$6,COUNTA($C$9:$C$508)+1,Constants!$B$5,COUNTA($C$9:$C$508)),$CL49))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IF(ISBLANK($C50),"",IFERROR(_xlfn.SWITCH($CL50,Constants!$B$7,COUNTA($C$9:$C$508)+2,Constants!$B$6,COUNTA($C$9:$C$508)+1,Constants!$B$5,COUNTA($C$9:$C$508)),$CL50))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IF(ISBLANK($C51),"",IFERROR(_xlfn.SWITCH($CL51,Constants!$B$7,COUNTA($C$9:$C$508)+2,Constants!$B$6,COUNTA($C$9:$C$508)+1,Constants!$B$5,COUNTA($C$9:$C$508)),$CL51))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IF(ISBLANK($C52),"",IFERROR(_xlfn.SWITCH($CL52,Constants!$B$7,COUNTA($C$9:$C$508)+2,Constants!$B$6,COUNTA($C$9:$C$508)+1,Constants!$B$5,COUNTA($C$9:$C$508)),$CL52))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IF(ISBLANK($C53),"",IFERROR(_xlfn.SWITCH($CL53,Constants!$B$7,COUNTA($C$9:$C$508)+2,Constants!$B$6,COUNTA($C$9:$C$508)+1,Constants!$B$5,COUNTA($C$9:$C$508)),$CL53))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IF(ISBLANK($C54),"",IFERROR(_xlfn.SWITCH($CL54,Constants!$B$7,COUNTA($C$9:$C$508)+2,Constants!$B$6,COUNTA($C$9:$C$508)+1,Constants!$B$5,COUNTA($C$9:$C$508)),$CL54))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IF(ISBLANK($C55),"",IFERROR(_xlfn.SWITCH($CL55,Constants!$B$7,COUNTA($C$9:$C$508)+2,Constants!$B$6,COUNTA($C$9:$C$508)+1,Constants!$B$5,COUNTA($C$9:$C$508)),$CL55))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IF(ISBLANK($C56),"",IFERROR(_xlfn.SWITCH($CL56,Constants!$B$7,COUNTA($C$9:$C$508)+2,Constants!$B$6,COUNTA($C$9:$C$508)+1,Constants!$B$5,COUNTA($C$9:$C$508)),$CL56))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IF(ISBLANK($C57),"",IFERROR(_xlfn.SWITCH($CL57,Constants!$B$7,COUNTA($C$9:$C$508)+2,Constants!$B$6,COUNTA($C$9:$C$508)+1,Constants!$B$5,COUNTA($C$9:$C$508)),$CL57))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IF(ISBLANK($C58),"",IFERROR(_xlfn.SWITCH($CL58,Constants!$B$7,COUNTA($C$9:$C$508)+2,Constants!$B$6,COUNTA($C$9:$C$508)+1,Constants!$B$5,COUNTA($C$9:$C$508)),$CL58))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IF(ISBLANK($C59),"",IFERROR(_xlfn.SWITCH($CL59,Constants!$B$7,COUNTA($C$9:$C$508)+2,Constants!$B$6,COUNTA($C$9:$C$508)+1,Constants!$B$5,COUNTA($C$9:$C$508)),$CL59))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IF(ISBLANK($C60),"",IFERROR(_xlfn.SWITCH($CL60,Constants!$B$7,COUNTA($C$9:$C$508)+2,Constants!$B$6,COUNTA($C$9:$C$508)+1,Constants!$B$5,COUNTA($C$9:$C$508)),$CL60))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IF(ISBLANK($C61),"",IFERROR(_xlfn.SWITCH($CL61,Constants!$B$7,COUNTA($C$9:$C$508)+2,Constants!$B$6,COUNTA($C$9:$C$508)+1,Constants!$B$5,COUNTA($C$9:$C$508)),$CL61))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IF(ISBLANK($C62),"",IFERROR(_xlfn.SWITCH($CL62,Constants!$B$7,COUNTA($C$9:$C$508)+2,Constants!$B$6,COUNTA($C$9:$C$508)+1,Constants!$B$5,COUNTA($C$9:$C$508)),$CL62))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IF(ISBLANK($C63),"",IFERROR(_xlfn.SWITCH($CL63,Constants!$B$7,COUNTA($C$9:$C$508)+2,Constants!$B$6,COUNTA($C$9:$C$508)+1,Constants!$B$5,COUNTA($C$9:$C$508)),$CL63))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IF(ISBLANK($C64),"",IFERROR(_xlfn.SWITCH($CL64,Constants!$B$7,COUNTA($C$9:$C$508)+2,Constants!$B$6,COUNTA($C$9:$C$508)+1,Constants!$B$5,COUNTA($C$9:$C$508)),$CL64))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IF(ISBLANK($C65),"",IFERROR(_xlfn.SWITCH($CL65,Constants!$B$7,COUNTA($C$9:$C$508)+2,Constants!$B$6,COUNTA($C$9:$C$508)+1,Constants!$B$5,COUNTA($C$9:$C$508)),$CL65))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IF(ISBLANK($C66),"",IFERROR(_xlfn.SWITCH($CL66,Constants!$B$7,COUNTA($C$9:$C$508)+2,Constants!$B$6,COUNTA($C$9:$C$508)+1,Constants!$B$5,COUNTA($C$9:$C$508)),$CL66))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IF(ISBLANK($C67),"",IFERROR(_xlfn.SWITCH($CL67,Constants!$B$7,COUNTA($C$9:$C$508)+2,Constants!$B$6,COUNTA($C$9:$C$508)+1,Constants!$B$5,COUNTA($C$9:$C$508)),$CL67))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IF(ISBLANK($C68),"",IFERROR(_xlfn.SWITCH($CL68,Constants!$B$7,COUNTA($C$9:$C$508)+2,Constants!$B$6,COUNTA($C$9:$C$508)+1,Constants!$B$5,COUNTA($C$9:$C$508)),$CL68))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IF(ISBLANK($C69),"",IFERROR(_xlfn.SWITCH($CL69,Constants!$B$7,COUNTA($C$9:$C$508)+2,Constants!$B$6,COUNTA($C$9:$C$508)+1,Constants!$B$5,COUNTA($C$9:$C$508)),$CL69))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IF(ISBLANK($C70),"",IFERROR(_xlfn.SWITCH($CL70,Constants!$B$7,COUNTA($C$9:$C$508)+2,Constants!$B$6,COUNTA($C$9:$C$508)+1,Constants!$B$5,COUNTA($C$9:$C$508)),$CL70))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IF(ISBLANK($C71),"",IFERROR(_xlfn.SWITCH($CL71,Constants!$B$7,COUNTA($C$9:$C$508)+2,Constants!$B$6,COUNTA($C$9:$C$508)+1,Constants!$B$5,COUNTA($C$9:$C$508)),$CL71))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IF(ISBLANK($C72),"",IFERROR(_xlfn.SWITCH($CL72,Constants!$B$7,COUNTA($C$9:$C$508)+2,Constants!$B$6,COUNTA($C$9:$C$508)+1,Constants!$B$5,COUNTA($C$9:$C$508)),$CL72))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IF(ISBLANK($C73),"",IFERROR(_xlfn.SWITCH($CL73,Constants!$B$7,COUNTA($C$9:$C$508)+2,Constants!$B$6,COUNTA($C$9:$C$508)+1,Constants!$B$5,COUNTA($C$9:$C$508)),$CL73))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IF(ISBLANK($C74),"",IFERROR(_xlfn.SWITCH($CL74,Constants!$B$7,COUNTA($C$9:$C$508)+2,Constants!$B$6,COUNTA($C$9:$C$508)+1,Constants!$B$5,COUNTA($C$9:$C$508)),$CL74))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IF(ISBLANK($C75),"",IFERROR(_xlfn.SWITCH($CL75,Constants!$B$7,COUNTA($C$9:$C$508)+2,Constants!$B$6,COUNTA($C$9:$C$508)+1,Constants!$B$5,COUNTA($C$9:$C$508)),$CL75))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IF(ISBLANK($C76),"",IFERROR(_xlfn.SWITCH($CL76,Constants!$B$7,COUNTA($C$9:$C$508)+2,Constants!$B$6,COUNTA($C$9:$C$508)+1,Constants!$B$5,COUNTA($C$9:$C$508)),$CL76))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IF(ISBLANK($C77),"",IFERROR(_xlfn.SWITCH($CL77,Constants!$B$7,COUNTA($C$9:$C$508)+2,Constants!$B$6,COUNTA($C$9:$C$508)+1,Constants!$B$5,COUNTA($C$9:$C$508)),$CL77))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IF(ISBLANK($C78),"",IFERROR(_xlfn.SWITCH($CL78,Constants!$B$7,COUNTA($C$9:$C$508)+2,Constants!$B$6,COUNTA($C$9:$C$508)+1,Constants!$B$5,COUNTA($C$9:$C$508)),$CL78))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IF(ISBLANK($C79),"",IFERROR(_xlfn.SWITCH($CL79,Constants!$B$7,COUNTA($C$9:$C$508)+2,Constants!$B$6,COUNTA($C$9:$C$508)+1,Constants!$B$5,COUNTA($C$9:$C$508)),$CL79))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IF(ISBLANK($C80),"",IFERROR(_xlfn.SWITCH($CL80,Constants!$B$7,COUNTA($C$9:$C$508)+2,Constants!$B$6,COUNTA($C$9:$C$508)+1,Constants!$B$5,COUNTA($C$9:$C$508)),$CL80))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IF(ISBLANK($C81),"",IFERROR(_xlfn.SWITCH($CL81,Constants!$B$7,COUNTA($C$9:$C$508)+2,Constants!$B$6,COUNTA($C$9:$C$508)+1,Constants!$B$5,COUNTA($C$9:$C$508)),$CL81))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IF(ISBLANK($C82),"",IFERROR(_xlfn.SWITCH($CL82,Constants!$B$7,COUNTA($C$9:$C$508)+2,Constants!$B$6,COUNTA($C$9:$C$508)+1,Constants!$B$5,COUNTA($C$9:$C$508)),$CL82))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IF(ISBLANK($C83),"",IFERROR(_xlfn.SWITCH($CL83,Constants!$B$7,COUNTA($C$9:$C$508)+2,Constants!$B$6,COUNTA($C$9:$C$508)+1,Constants!$B$5,COUNTA($C$9:$C$508)),$CL83))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IF(ISBLANK($C84),"",IFERROR(_xlfn.SWITCH($CL84,Constants!$B$7,COUNTA($C$9:$C$508)+2,Constants!$B$6,COUNTA($C$9:$C$508)+1,Constants!$B$5,COUNTA($C$9:$C$508)),$CL84))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IF(ISBLANK($C85),"",IFERROR(_xlfn.SWITCH($CL85,Constants!$B$7,COUNTA($C$9:$C$508)+2,Constants!$B$6,COUNTA($C$9:$C$508)+1,Constants!$B$5,COUNTA($C$9:$C$508)),$CL85))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IF(ISBLANK($C86),"",IFERROR(_xlfn.SWITCH($CL86,Constants!$B$7,COUNTA($C$9:$C$508)+2,Constants!$B$6,COUNTA($C$9:$C$508)+1,Constants!$B$5,COUNTA($C$9:$C$508)),$CL86))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IF(ISBLANK($C87),"",IFERROR(_xlfn.SWITCH($CL87,Constants!$B$7,COUNTA($C$9:$C$508)+2,Constants!$B$6,COUNTA($C$9:$C$508)+1,Constants!$B$5,COUNTA($C$9:$C$508)),$CL87))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IF(ISBLANK($C88),"",IFERROR(_xlfn.SWITCH($CL88,Constants!$B$7,COUNTA($C$9:$C$508)+2,Constants!$B$6,COUNTA($C$9:$C$508)+1,Constants!$B$5,COUNTA($C$9:$C$508)),$CL88))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IF(ISBLANK($C89),"",IFERROR(_xlfn.SWITCH($CL89,Constants!$B$7,COUNTA($C$9:$C$508)+2,Constants!$B$6,COUNTA($C$9:$C$508)+1,Constants!$B$5,COUNTA($C$9:$C$508)),$CL89))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IF(ISBLANK($C90),"",IFERROR(_xlfn.SWITCH($CL90,Constants!$B$7,COUNTA($C$9:$C$508)+2,Constants!$B$6,COUNTA($C$9:$C$508)+1,Constants!$B$5,COUNTA($C$9:$C$508)),$CL90))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IF(ISBLANK($C91),"",IFERROR(_xlfn.SWITCH($CL91,Constants!$B$7,COUNTA($C$9:$C$508)+2,Constants!$B$6,COUNTA($C$9:$C$508)+1,Constants!$B$5,COUNTA($C$9:$C$508)),$CL91))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IF(ISBLANK($C92),"",IFERROR(_xlfn.SWITCH($CL92,Constants!$B$7,COUNTA($C$9:$C$508)+2,Constants!$B$6,COUNTA($C$9:$C$508)+1,Constants!$B$5,COUNTA($C$9:$C$508)),$CL92))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IF(ISBLANK($C93),"",IFERROR(_xlfn.SWITCH($CL93,Constants!$B$7,COUNTA($C$9:$C$508)+2,Constants!$B$6,COUNTA($C$9:$C$508)+1,Constants!$B$5,COUNTA($C$9:$C$508)),$CL93))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IF(ISBLANK($C94),"",IFERROR(_xlfn.SWITCH($CL94,Constants!$B$7,COUNTA($C$9:$C$508)+2,Constants!$B$6,COUNTA($C$9:$C$508)+1,Constants!$B$5,COUNTA($C$9:$C$508)),$CL94))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IF(ISBLANK($C95),"",IFERROR(_xlfn.SWITCH($CL95,Constants!$B$7,COUNTA($C$9:$C$508)+2,Constants!$B$6,COUNTA($C$9:$C$508)+1,Constants!$B$5,COUNTA($C$9:$C$508)),$CL95))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IF(ISBLANK($C96),"",IFERROR(_xlfn.SWITCH($CL96,Constants!$B$7,COUNTA($C$9:$C$508)+2,Constants!$B$6,COUNTA($C$9:$C$508)+1,Constants!$B$5,COUNTA($C$9:$C$508)),$CL96))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IF(ISBLANK($C97),"",IFERROR(_xlfn.SWITCH($CL97,Constants!$B$7,COUNTA($C$9:$C$508)+2,Constants!$B$6,COUNTA($C$9:$C$508)+1,Constants!$B$5,COUNTA($C$9:$C$508)),$CL97))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IF(ISBLANK($C98),"",IFERROR(_xlfn.SWITCH($CL98,Constants!$B$7,COUNTA($C$9:$C$508)+2,Constants!$B$6,COUNTA($C$9:$C$508)+1,Constants!$B$5,COUNTA($C$9:$C$508)),$CL98))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IF(ISBLANK($C99),"",IFERROR(_xlfn.SWITCH($CL99,Constants!$B$7,COUNTA($C$9:$C$508)+2,Constants!$B$6,COUNTA($C$9:$C$508)+1,Constants!$B$5,COUNTA($C$9:$C$508)),$CL99))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IF(ISBLANK($C100),"",IFERROR(_xlfn.SWITCH($CL100,Constants!$B$7,COUNTA($C$9:$C$508)+2,Constants!$B$6,COUNTA($C$9:$C$508)+1,Constants!$B$5,COUNTA($C$9:$C$508)),$CL100))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IF(ISBLANK($C101),"",IFERROR(_xlfn.SWITCH($CL101,Constants!$B$7,COUNTA($C$9:$C$508)+2,Constants!$B$6,COUNTA($C$9:$C$508)+1,Constants!$B$5,COUNTA($C$9:$C$508)),$CL101))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IF(ISBLANK($C102),"",IFERROR(_xlfn.SWITCH($CL102,Constants!$B$7,COUNTA($C$9:$C$508)+2,Constants!$B$6,COUNTA($C$9:$C$508)+1,Constants!$B$5,COUNTA($C$9:$C$508)),$CL102))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IF(ISBLANK($C103),"",IFERROR(_xlfn.SWITCH($CL103,Constants!$B$7,COUNTA($C$9:$C$508)+2,Constants!$B$6,COUNTA($C$9:$C$508)+1,Constants!$B$5,COUNTA($C$9:$C$508)),$CL103))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IF(ISBLANK($C104),"",IFERROR(_xlfn.SWITCH($CL104,Constants!$B$7,COUNTA($C$9:$C$508)+2,Constants!$B$6,COUNTA($C$9:$C$508)+1,Constants!$B$5,COUNTA($C$9:$C$508)),$CL104))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IF(ISBLANK($C105),"",IFERROR(_xlfn.SWITCH($CL105,Constants!$B$7,COUNTA($C$9:$C$508)+2,Constants!$B$6,COUNTA($C$9:$C$508)+1,Constants!$B$5,COUNTA($C$9:$C$508)),$CL105))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IF(ISBLANK($C106),"",IFERROR(_xlfn.SWITCH($CL106,Constants!$B$7,COUNTA($C$9:$C$508)+2,Constants!$B$6,COUNTA($C$9:$C$508)+1,Constants!$B$5,COUNTA($C$9:$C$508)),$CL106))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IF(ISBLANK($C107),"",IFERROR(_xlfn.SWITCH($CL107,Constants!$B$7,COUNTA($C$9:$C$508)+2,Constants!$B$6,COUNTA($C$9:$C$508)+1,Constants!$B$5,COUNTA($C$9:$C$508)),$CL107))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IF(ISBLANK($C108),"",IFERROR(_xlfn.SWITCH($CL108,Constants!$B$7,COUNTA($C$9:$C$508)+2,Constants!$B$6,COUNTA($C$9:$C$508)+1,Constants!$B$5,COUNTA($C$9:$C$508)),$CL108))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IF(ISBLANK($C109),"",IFERROR(_xlfn.SWITCH($CL109,Constants!$B$7,COUNTA($C$9:$C$508)+2,Constants!$B$6,COUNTA($C$9:$C$508)+1,Constants!$B$5,COUNTA($C$9:$C$508)),$CL109))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IF(ISBLANK($C110),"",IFERROR(_xlfn.SWITCH($CL110,Constants!$B$7,COUNTA($C$9:$C$508)+2,Constants!$B$6,COUNTA($C$9:$C$508)+1,Constants!$B$5,COUNTA($C$9:$C$508)),$CL110))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IF(ISBLANK($C111),"",IFERROR(_xlfn.SWITCH($CL111,Constants!$B$7,COUNTA($C$9:$C$508)+2,Constants!$B$6,COUNTA($C$9:$C$508)+1,Constants!$B$5,COUNTA($C$9:$C$508)),$CL111))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IF(ISBLANK($C112),"",IFERROR(_xlfn.SWITCH($CL112,Constants!$B$7,COUNTA($C$9:$C$508)+2,Constants!$B$6,COUNTA($C$9:$C$508)+1,Constants!$B$5,COUNTA($C$9:$C$508)),$CL112))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IF(ISBLANK($C113),"",IFERROR(_xlfn.SWITCH($CL113,Constants!$B$7,COUNTA($C$9:$C$508)+2,Constants!$B$6,COUNTA($C$9:$C$508)+1,Constants!$B$5,COUNTA($C$9:$C$508)),$CL113))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IF(ISBLANK($C114),"",IFERROR(_xlfn.SWITCH($CL114,Constants!$B$7,COUNTA($C$9:$C$508)+2,Constants!$B$6,COUNTA($C$9:$C$508)+1,Constants!$B$5,COUNTA($C$9:$C$508)),$CL114))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IF(ISBLANK($C115),"",IFERROR(_xlfn.SWITCH($CL115,Constants!$B$7,COUNTA($C$9:$C$508)+2,Constants!$B$6,COUNTA($C$9:$C$508)+1,Constants!$B$5,COUNTA($C$9:$C$508)),$CL115))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IF(ISBLANK($C116),"",IFERROR(_xlfn.SWITCH($CL116,Constants!$B$7,COUNTA($C$9:$C$508)+2,Constants!$B$6,COUNTA($C$9:$C$508)+1,Constants!$B$5,COUNTA($C$9:$C$508)),$CL116))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IF(ISBLANK($C117),"",IFERROR(_xlfn.SWITCH($CL117,Constants!$B$7,COUNTA($C$9:$C$508)+2,Constants!$B$6,COUNTA($C$9:$C$508)+1,Constants!$B$5,COUNTA($C$9:$C$508)),$CL117))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IF(ISBLANK($C118),"",IFERROR(_xlfn.SWITCH($CL118,Constants!$B$7,COUNTA($C$9:$C$508)+2,Constants!$B$6,COUNTA($C$9:$C$508)+1,Constants!$B$5,COUNTA($C$9:$C$508)),$CL118))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IF(ISBLANK($C119),"",IFERROR(_xlfn.SWITCH($CL119,Constants!$B$7,COUNTA($C$9:$C$508)+2,Constants!$B$6,COUNTA($C$9:$C$508)+1,Constants!$B$5,COUNTA($C$9:$C$508)),$CL119))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IF(ISBLANK($C120),"",IFERROR(_xlfn.SWITCH($CL120,Constants!$B$7,COUNTA($C$9:$C$508)+2,Constants!$B$6,COUNTA($C$9:$C$508)+1,Constants!$B$5,COUNTA($C$9:$C$508)),$CL120))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IF(ISBLANK($C121),"",IFERROR(_xlfn.SWITCH($CL121,Constants!$B$7,COUNTA($C$9:$C$508)+2,Constants!$B$6,COUNTA($C$9:$C$508)+1,Constants!$B$5,COUNTA($C$9:$C$508)),$CL121))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IF(ISBLANK($C122),"",IFERROR(_xlfn.SWITCH($CL122,Constants!$B$7,COUNTA($C$9:$C$508)+2,Constants!$B$6,COUNTA($C$9:$C$508)+1,Constants!$B$5,COUNTA($C$9:$C$508)),$CL122))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IF(ISBLANK($C123),"",IFERROR(_xlfn.SWITCH($CL123,Constants!$B$7,COUNTA($C$9:$C$508)+2,Constants!$B$6,COUNTA($C$9:$C$508)+1,Constants!$B$5,COUNTA($C$9:$C$508)),$CL123))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IF(ISBLANK($C124),"",IFERROR(_xlfn.SWITCH($CL124,Constants!$B$7,COUNTA($C$9:$C$508)+2,Constants!$B$6,COUNTA($C$9:$C$508)+1,Constants!$B$5,COUNTA($C$9:$C$508)),$CL124))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IF(ISBLANK($C125),"",IFERROR(_xlfn.SWITCH($CL125,Constants!$B$7,COUNTA($C$9:$C$508)+2,Constants!$B$6,COUNTA($C$9:$C$508)+1,Constants!$B$5,COUNTA($C$9:$C$508)),$CL125))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IF(ISBLANK($C126),"",IFERROR(_xlfn.SWITCH($CL126,Constants!$B$7,COUNTA($C$9:$C$508)+2,Constants!$B$6,COUNTA($C$9:$C$508)+1,Constants!$B$5,COUNTA($C$9:$C$508)),$CL126))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IF(ISBLANK($C127),"",IFERROR(_xlfn.SWITCH($CL127,Constants!$B$7,COUNTA($C$9:$C$508)+2,Constants!$B$6,COUNTA($C$9:$C$508)+1,Constants!$B$5,COUNTA($C$9:$C$508)),$CL127))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IF(ISBLANK($C128),"",IFERROR(_xlfn.SWITCH($CL128,Constants!$B$7,COUNTA($C$9:$C$508)+2,Constants!$B$6,COUNTA($C$9:$C$508)+1,Constants!$B$5,COUNTA($C$9:$C$508)),$CL128))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IF(ISBLANK($C129),"",IFERROR(_xlfn.SWITCH($CL129,Constants!$B$7,COUNTA($C$9:$C$508)+2,Constants!$B$6,COUNTA($C$9:$C$508)+1,Constants!$B$5,COUNTA($C$9:$C$508)),$CL129))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IF(ISBLANK($C130),"",IFERROR(_xlfn.SWITCH($CL130,Constants!$B$7,COUNTA($C$9:$C$508)+2,Constants!$B$6,COUNTA($C$9:$C$508)+1,Constants!$B$5,COUNTA($C$9:$C$508)),$CL130))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IF(ISBLANK($C131),"",IFERROR(_xlfn.SWITCH($CL131,Constants!$B$7,COUNTA($C$9:$C$508)+2,Constants!$B$6,COUNTA($C$9:$C$508)+1,Constants!$B$5,COUNTA($C$9:$C$508)),$CL131))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IF(ISBLANK($C132),"",IFERROR(_xlfn.SWITCH($CL132,Constants!$B$7,COUNTA($C$9:$C$508)+2,Constants!$B$6,COUNTA($C$9:$C$508)+1,Constants!$B$5,COUNTA($C$9:$C$508)),$CL132))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IF(ISBLANK($C133),"",IFERROR(_xlfn.SWITCH($CL133,Constants!$B$7,COUNTA($C$9:$C$508)+2,Constants!$B$6,COUNTA($C$9:$C$508)+1,Constants!$B$5,COUNTA($C$9:$C$508)),$CL133))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IF(ISBLANK($C134),"",IFERROR(_xlfn.SWITCH($CL134,Constants!$B$7,COUNTA($C$9:$C$508)+2,Constants!$B$6,COUNTA($C$9:$C$508)+1,Constants!$B$5,COUNTA($C$9:$C$508)),$CL134))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IF(ISBLANK($C135),"",IFERROR(_xlfn.SWITCH($CL135,Constants!$B$7,COUNTA($C$9:$C$508)+2,Constants!$B$6,COUNTA($C$9:$C$508)+1,Constants!$B$5,COUNTA($C$9:$C$508)),$CL135))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IF(ISBLANK($C136),"",IFERROR(_xlfn.SWITCH($CL136,Constants!$B$7,COUNTA($C$9:$C$508)+2,Constants!$B$6,COUNTA($C$9:$C$508)+1,Constants!$B$5,COUNTA($C$9:$C$508)),$CL136))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IF(ISBLANK($C137),"",IFERROR(_xlfn.SWITCH($CL137,Constants!$B$7,COUNTA($C$9:$C$508)+2,Constants!$B$6,COUNTA($C$9:$C$508)+1,Constants!$B$5,COUNTA($C$9:$C$508)),$CL137))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IF(ISBLANK($C138),"",IFERROR(_xlfn.SWITCH($CL138,Constants!$B$7,COUNTA($C$9:$C$508)+2,Constants!$B$6,COUNTA($C$9:$C$508)+1,Constants!$B$5,COUNTA($C$9:$C$508)),$CL138))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IF(ISBLANK($C139),"",IFERROR(_xlfn.SWITCH($CL139,Constants!$B$7,COUNTA($C$9:$C$508)+2,Constants!$B$6,COUNTA($C$9:$C$508)+1,Constants!$B$5,COUNTA($C$9:$C$508)),$CL139))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IF(ISBLANK($C140),"",IFERROR(_xlfn.SWITCH($CL140,Constants!$B$7,COUNTA($C$9:$C$508)+2,Constants!$B$6,COUNTA($C$9:$C$508)+1,Constants!$B$5,COUNTA($C$9:$C$508)),$CL140))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IF(ISBLANK($C141),"",IFERROR(_xlfn.SWITCH($CL141,Constants!$B$7,COUNTA($C$9:$C$508)+2,Constants!$B$6,COUNTA($C$9:$C$508)+1,Constants!$B$5,COUNTA($C$9:$C$508)),$CL141))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IF(ISBLANK($C142),"",IFERROR(_xlfn.SWITCH($CL142,Constants!$B$7,COUNTA($C$9:$C$508)+2,Constants!$B$6,COUNTA($C$9:$C$508)+1,Constants!$B$5,COUNTA($C$9:$C$508)),$CL142))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IF(ISBLANK($C143),"",IFERROR(_xlfn.SWITCH($CL143,Constants!$B$7,COUNTA($C$9:$C$508)+2,Constants!$B$6,COUNTA($C$9:$C$508)+1,Constants!$B$5,COUNTA($C$9:$C$508)),$CL143))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IF(ISBLANK($C144),"",IFERROR(_xlfn.SWITCH($CL144,Constants!$B$7,COUNTA($C$9:$C$508)+2,Constants!$B$6,COUNTA($C$9:$C$508)+1,Constants!$B$5,COUNTA($C$9:$C$508)),$CL144))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IF(ISBLANK($C145),"",IFERROR(_xlfn.SWITCH($CL145,Constants!$B$7,COUNTA($C$9:$C$508)+2,Constants!$B$6,COUNTA($C$9:$C$508)+1,Constants!$B$5,COUNTA($C$9:$C$508)),$CL145))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IF(ISBLANK($C146),"",IFERROR(_xlfn.SWITCH($CL146,Constants!$B$7,COUNTA($C$9:$C$508)+2,Constants!$B$6,COUNTA($C$9:$C$508)+1,Constants!$B$5,COUNTA($C$9:$C$508)),$CL146))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IF(ISBLANK($C147),"",IFERROR(_xlfn.SWITCH($CL147,Constants!$B$7,COUNTA($C$9:$C$508)+2,Constants!$B$6,COUNTA($C$9:$C$508)+1,Constants!$B$5,COUNTA($C$9:$C$508)),$CL147))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IF(ISBLANK($C148),"",IFERROR(_xlfn.SWITCH($CL148,Constants!$B$7,COUNTA($C$9:$C$508)+2,Constants!$B$6,COUNTA($C$9:$C$508)+1,Constants!$B$5,COUNTA($C$9:$C$508)),$CL148))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IF(ISBLANK($C149),"",IFERROR(_xlfn.SWITCH($CL149,Constants!$B$7,COUNTA($C$9:$C$508)+2,Constants!$B$6,COUNTA($C$9:$C$508)+1,Constants!$B$5,COUNTA($C$9:$C$508)),$CL149))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IF(ISBLANK($C150),"",IFERROR(_xlfn.SWITCH($CL150,Constants!$B$7,COUNTA($C$9:$C$508)+2,Constants!$B$6,COUNTA($C$9:$C$508)+1,Constants!$B$5,COUNTA($C$9:$C$508)),$CL150))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IF(ISBLANK($C151),"",IFERROR(_xlfn.SWITCH($CL151,Constants!$B$7,COUNTA($C$9:$C$508)+2,Constants!$B$6,COUNTA($C$9:$C$508)+1,Constants!$B$5,COUNTA($C$9:$C$508)),$CL151))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IF(ISBLANK($C152),"",IFERROR(_xlfn.SWITCH($CL152,Constants!$B$7,COUNTA($C$9:$C$508)+2,Constants!$B$6,COUNTA($C$9:$C$508)+1,Constants!$B$5,COUNTA($C$9:$C$508)),$CL152))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IF(ISBLANK($C153),"",IFERROR(_xlfn.SWITCH($CL153,Constants!$B$7,COUNTA($C$9:$C$508)+2,Constants!$B$6,COUNTA($C$9:$C$508)+1,Constants!$B$5,COUNTA($C$9:$C$508)),$CL153))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IF(ISBLANK($C154),"",IFERROR(_xlfn.SWITCH($CL154,Constants!$B$7,COUNTA($C$9:$C$508)+2,Constants!$B$6,COUNTA($C$9:$C$508)+1,Constants!$B$5,COUNTA($C$9:$C$508)),$CL154))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IF(ISBLANK($C155),"",IFERROR(_xlfn.SWITCH($CL155,Constants!$B$7,COUNTA($C$9:$C$508)+2,Constants!$B$6,COUNTA($C$9:$C$508)+1,Constants!$B$5,COUNTA($C$9:$C$508)),$CL155))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IF(ISBLANK($C156),"",IFERROR(_xlfn.SWITCH($CL156,Constants!$B$7,COUNTA($C$9:$C$508)+2,Constants!$B$6,COUNTA($C$9:$C$508)+1,Constants!$B$5,COUNTA($C$9:$C$508)),$CL156))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IF(ISBLANK($C157),"",IFERROR(_xlfn.SWITCH($CL157,Constants!$B$7,COUNTA($C$9:$C$508)+2,Constants!$B$6,COUNTA($C$9:$C$508)+1,Constants!$B$5,COUNTA($C$9:$C$508)),$CL157))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IF(ISBLANK($C158),"",IFERROR(_xlfn.SWITCH($CL158,Constants!$B$7,COUNTA($C$9:$C$508)+2,Constants!$B$6,COUNTA($C$9:$C$508)+1,Constants!$B$5,COUNTA($C$9:$C$508)),$CL158))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IF(ISBLANK($C159),"",IFERROR(_xlfn.SWITCH($CL159,Constants!$B$7,COUNTA($C$9:$C$508)+2,Constants!$B$6,COUNTA($C$9:$C$508)+1,Constants!$B$5,COUNTA($C$9:$C$508)),$CL159))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IF(ISBLANK($C160),"",IFERROR(_xlfn.SWITCH($CL160,Constants!$B$7,COUNTA($C$9:$C$508)+2,Constants!$B$6,COUNTA($C$9:$C$508)+1,Constants!$B$5,COUNTA($C$9:$C$508)),$CL160))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IF(ISBLANK($C161),"",IFERROR(_xlfn.SWITCH($CL161,Constants!$B$7,COUNTA($C$9:$C$508)+2,Constants!$B$6,COUNTA($C$9:$C$508)+1,Constants!$B$5,COUNTA($C$9:$C$508)),$CL161))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IF(ISBLANK($C162),"",IFERROR(_xlfn.SWITCH($CL162,Constants!$B$7,COUNTA($C$9:$C$508)+2,Constants!$B$6,COUNTA($C$9:$C$508)+1,Constants!$B$5,COUNTA($C$9:$C$508)),$CL162))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IF(ISBLANK($C163),"",IFERROR(_xlfn.SWITCH($CL163,Constants!$B$7,COUNTA($C$9:$C$508)+2,Constants!$B$6,COUNTA($C$9:$C$508)+1,Constants!$B$5,COUNTA($C$9:$C$508)),$CL163))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IF(ISBLANK($C164),"",IFERROR(_xlfn.SWITCH($CL164,Constants!$B$7,COUNTA($C$9:$C$508)+2,Constants!$B$6,COUNTA($C$9:$C$508)+1,Constants!$B$5,COUNTA($C$9:$C$508)),$CL164))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IF(ISBLANK($C165),"",IFERROR(_xlfn.SWITCH($CL165,Constants!$B$7,COUNTA($C$9:$C$508)+2,Constants!$B$6,COUNTA($C$9:$C$508)+1,Constants!$B$5,COUNTA($C$9:$C$508)),$CL165))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IF(ISBLANK($C166),"",IFERROR(_xlfn.SWITCH($CL166,Constants!$B$7,COUNTA($C$9:$C$508)+2,Constants!$B$6,COUNTA($C$9:$C$508)+1,Constants!$B$5,COUNTA($C$9:$C$508)),$CL166))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IF(ISBLANK($C167),"",IFERROR(_xlfn.SWITCH($CL167,Constants!$B$7,COUNTA($C$9:$C$508)+2,Constants!$B$6,COUNTA($C$9:$C$508)+1,Constants!$B$5,COUNTA($C$9:$C$508)),$CL167))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IF(ISBLANK($C168),"",IFERROR(_xlfn.SWITCH($CL168,Constants!$B$7,COUNTA($C$9:$C$508)+2,Constants!$B$6,COUNTA($C$9:$C$508)+1,Constants!$B$5,COUNTA($C$9:$C$508)),$CL168))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IF(ISBLANK($C169),"",IFERROR(_xlfn.SWITCH($CL169,Constants!$B$7,COUNTA($C$9:$C$508)+2,Constants!$B$6,COUNTA($C$9:$C$508)+1,Constants!$B$5,COUNTA($C$9:$C$508)),$CL169))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IF(ISBLANK($C170),"",IFERROR(_xlfn.SWITCH($CL170,Constants!$B$7,COUNTA($C$9:$C$508)+2,Constants!$B$6,COUNTA($C$9:$C$508)+1,Constants!$B$5,COUNTA($C$9:$C$508)),$CL170))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IF(ISBLANK($C171),"",IFERROR(_xlfn.SWITCH($CL171,Constants!$B$7,COUNTA($C$9:$C$508)+2,Constants!$B$6,COUNTA($C$9:$C$508)+1,Constants!$B$5,COUNTA($C$9:$C$508)),$CL171))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IF(ISBLANK($C172),"",IFERROR(_xlfn.SWITCH($CL172,Constants!$B$7,COUNTA($C$9:$C$508)+2,Constants!$B$6,COUNTA($C$9:$C$508)+1,Constants!$B$5,COUNTA($C$9:$C$508)),$CL172))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IF(ISBLANK($C173),"",IFERROR(_xlfn.SWITCH($CL173,Constants!$B$7,COUNTA($C$9:$C$508)+2,Constants!$B$6,COUNTA($C$9:$C$508)+1,Constants!$B$5,COUNTA($C$9:$C$508)),$CL173))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IF(ISBLANK($C174),"",IFERROR(_xlfn.SWITCH($CL174,Constants!$B$7,COUNTA($C$9:$C$508)+2,Constants!$B$6,COUNTA($C$9:$C$508)+1,Constants!$B$5,COUNTA($C$9:$C$508)),$CL174))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IF(ISBLANK($C175),"",IFERROR(_xlfn.SWITCH($CL175,Constants!$B$7,COUNTA($C$9:$C$508)+2,Constants!$B$6,COUNTA($C$9:$C$508)+1,Constants!$B$5,COUNTA($C$9:$C$508)),$CL175))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IF(ISBLANK($C176),"",IFERROR(_xlfn.SWITCH($CL176,Constants!$B$7,COUNTA($C$9:$C$508)+2,Constants!$B$6,COUNTA($C$9:$C$508)+1,Constants!$B$5,COUNTA($C$9:$C$508)),$CL176))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IF(ISBLANK($C177),"",IFERROR(_xlfn.SWITCH($CL177,Constants!$B$7,COUNTA($C$9:$C$508)+2,Constants!$B$6,COUNTA($C$9:$C$508)+1,Constants!$B$5,COUNTA($C$9:$C$508)),$CL177))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IF(ISBLANK($C178),"",IFERROR(_xlfn.SWITCH($CL178,Constants!$B$7,COUNTA($C$9:$C$508)+2,Constants!$B$6,COUNTA($C$9:$C$508)+1,Constants!$B$5,COUNTA($C$9:$C$508)),$CL178))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IF(ISBLANK($C179),"",IFERROR(_xlfn.SWITCH($CL179,Constants!$B$7,COUNTA($C$9:$C$508)+2,Constants!$B$6,COUNTA($C$9:$C$508)+1,Constants!$B$5,COUNTA($C$9:$C$508)),$CL179))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IF(ISBLANK($C180),"",IFERROR(_xlfn.SWITCH($CL180,Constants!$B$7,COUNTA($C$9:$C$508)+2,Constants!$B$6,COUNTA($C$9:$C$508)+1,Constants!$B$5,COUNTA($C$9:$C$508)),$CL180))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IF(ISBLANK($C181),"",IFERROR(_xlfn.SWITCH($CL181,Constants!$B$7,COUNTA($C$9:$C$508)+2,Constants!$B$6,COUNTA($C$9:$C$508)+1,Constants!$B$5,COUNTA($C$9:$C$508)),$CL181))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IF(ISBLANK($C182),"",IFERROR(_xlfn.SWITCH($CL182,Constants!$B$7,COUNTA($C$9:$C$508)+2,Constants!$B$6,COUNTA($C$9:$C$508)+1,Constants!$B$5,COUNTA($C$9:$C$508)),$CL182))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IF(ISBLANK($C183),"",IFERROR(_xlfn.SWITCH($CL183,Constants!$B$7,COUNTA($C$9:$C$508)+2,Constants!$B$6,COUNTA($C$9:$C$508)+1,Constants!$B$5,COUNTA($C$9:$C$508)),$CL183))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IF(ISBLANK($C184),"",IFERROR(_xlfn.SWITCH($CL184,Constants!$B$7,COUNTA($C$9:$C$508)+2,Constants!$B$6,COUNTA($C$9:$C$508)+1,Constants!$B$5,COUNTA($C$9:$C$508)),$CL184))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IF(ISBLANK($C185),"",IFERROR(_xlfn.SWITCH($CL185,Constants!$B$7,COUNTA($C$9:$C$508)+2,Constants!$B$6,COUNTA($C$9:$C$508)+1,Constants!$B$5,COUNTA($C$9:$C$508)),$CL185))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IF(ISBLANK($C186),"",IFERROR(_xlfn.SWITCH($CL186,Constants!$B$7,COUNTA($C$9:$C$508)+2,Constants!$B$6,COUNTA($C$9:$C$508)+1,Constants!$B$5,COUNTA($C$9:$C$508)),$CL186))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IF(ISBLANK($C187),"",IFERROR(_xlfn.SWITCH($CL187,Constants!$B$7,COUNTA($C$9:$C$508)+2,Constants!$B$6,COUNTA($C$9:$C$508)+1,Constants!$B$5,COUNTA($C$9:$C$508)),$CL187))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IF(ISBLANK($C188),"",IFERROR(_xlfn.SWITCH($CL188,Constants!$B$7,COUNTA($C$9:$C$508)+2,Constants!$B$6,COUNTA($C$9:$C$508)+1,Constants!$B$5,COUNTA($C$9:$C$508)),$CL188))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IF(ISBLANK($C189),"",IFERROR(_xlfn.SWITCH($CL189,Constants!$B$7,COUNTA($C$9:$C$508)+2,Constants!$B$6,COUNTA($C$9:$C$508)+1,Constants!$B$5,COUNTA($C$9:$C$508)),$CL189))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IF(ISBLANK($C190),"",IFERROR(_xlfn.SWITCH($CL190,Constants!$B$7,COUNTA($C$9:$C$508)+2,Constants!$B$6,COUNTA($C$9:$C$508)+1,Constants!$B$5,COUNTA($C$9:$C$508)),$CL190))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IF(ISBLANK($C191),"",IFERROR(_xlfn.SWITCH($CL191,Constants!$B$7,COUNTA($C$9:$C$508)+2,Constants!$B$6,COUNTA($C$9:$C$508)+1,Constants!$B$5,COUNTA($C$9:$C$508)),$CL191))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IF(ISBLANK($C192),"",IFERROR(_xlfn.SWITCH($CL192,Constants!$B$7,COUNTA($C$9:$C$508)+2,Constants!$B$6,COUNTA($C$9:$C$508)+1,Constants!$B$5,COUNTA($C$9:$C$508)),$CL192))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IF(ISBLANK($C193),"",IFERROR(_xlfn.SWITCH($CL193,Constants!$B$7,COUNTA($C$9:$C$508)+2,Constants!$B$6,COUNTA($C$9:$C$508)+1,Constants!$B$5,COUNTA($C$9:$C$508)),$CL193))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IF(ISBLANK($C194),"",IFERROR(_xlfn.SWITCH($CL194,Constants!$B$7,COUNTA($C$9:$C$508)+2,Constants!$B$6,COUNTA($C$9:$C$508)+1,Constants!$B$5,COUNTA($C$9:$C$508)),$CL194))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IF(ISBLANK($C195),"",IFERROR(_xlfn.SWITCH($CL195,Constants!$B$7,COUNTA($C$9:$C$508)+2,Constants!$B$6,COUNTA($C$9:$C$508)+1,Constants!$B$5,COUNTA($C$9:$C$508)),$CL195))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IF(ISBLANK($C196),"",IFERROR(_xlfn.SWITCH($CL196,Constants!$B$7,COUNTA($C$9:$C$508)+2,Constants!$B$6,COUNTA($C$9:$C$508)+1,Constants!$B$5,COUNTA($C$9:$C$508)),$CL196))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IF(ISBLANK($C197),"",IFERROR(_xlfn.SWITCH($CL197,Constants!$B$7,COUNTA($C$9:$C$508)+2,Constants!$B$6,COUNTA($C$9:$C$508)+1,Constants!$B$5,COUNTA($C$9:$C$508)),$CL197))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IF(ISBLANK($C198),"",IFERROR(_xlfn.SWITCH($CL198,Constants!$B$7,COUNTA($C$9:$C$508)+2,Constants!$B$6,COUNTA($C$9:$C$508)+1,Constants!$B$5,COUNTA($C$9:$C$508)),$CL198))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IF(ISBLANK($C199),"",IFERROR(_xlfn.SWITCH($CL199,Constants!$B$7,COUNTA($C$9:$C$508)+2,Constants!$B$6,COUNTA($C$9:$C$508)+1,Constants!$B$5,COUNTA($C$9:$C$508)),$CL199))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IF(ISBLANK($C200),"",IFERROR(_xlfn.SWITCH($CL200,Constants!$B$7,COUNTA($C$9:$C$508)+2,Constants!$B$6,COUNTA($C$9:$C$508)+1,Constants!$B$5,COUNTA($C$9:$C$508)),$CL200))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IF(ISBLANK($C201),"",IFERROR(_xlfn.SWITCH($CL201,Constants!$B$7,COUNTA($C$9:$C$508)+2,Constants!$B$6,COUNTA($C$9:$C$508)+1,Constants!$B$5,COUNTA($C$9:$C$508)),$CL201))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IF(ISBLANK($C202),"",IFERROR(_xlfn.SWITCH($CL202,Constants!$B$7,COUNTA($C$9:$C$508)+2,Constants!$B$6,COUNTA($C$9:$C$508)+1,Constants!$B$5,COUNTA($C$9:$C$508)),$CL202))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IF(ISBLANK($C203),"",IFERROR(_xlfn.SWITCH($CL203,Constants!$B$7,COUNTA($C$9:$C$508)+2,Constants!$B$6,COUNTA($C$9:$C$508)+1,Constants!$B$5,COUNTA($C$9:$C$508)),$CL203))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IF(ISBLANK($C204),"",IFERROR(_xlfn.SWITCH($CL204,Constants!$B$7,COUNTA($C$9:$C$508)+2,Constants!$B$6,COUNTA($C$9:$C$508)+1,Constants!$B$5,COUNTA($C$9:$C$508)),$CL204))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IF(ISBLANK($C205),"",IFERROR(_xlfn.SWITCH($CL205,Constants!$B$7,COUNTA($C$9:$C$508)+2,Constants!$B$6,COUNTA($C$9:$C$508)+1,Constants!$B$5,COUNTA($C$9:$C$508)),$CL205))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IF(ISBLANK($C206),"",IFERROR(_xlfn.SWITCH($CL206,Constants!$B$7,COUNTA($C$9:$C$508)+2,Constants!$B$6,COUNTA($C$9:$C$508)+1,Constants!$B$5,COUNTA($C$9:$C$508)),$CL206))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IF(ISBLANK($C207),"",IFERROR(_xlfn.SWITCH($CL207,Constants!$B$7,COUNTA($C$9:$C$508)+2,Constants!$B$6,COUNTA($C$9:$C$508)+1,Constants!$B$5,COUNTA($C$9:$C$508)),$CL207))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IF(ISBLANK($C208),"",IFERROR(_xlfn.SWITCH($CL208,Constants!$B$7,COUNTA($C$9:$C$508)+2,Constants!$B$6,COUNTA($C$9:$C$508)+1,Constants!$B$5,COUNTA($C$9:$C$508)),$CL208))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IF(ISBLANK($C209),"",IFERROR(_xlfn.SWITCH($CL209,Constants!$B$7,COUNTA($C$9:$C$508)+2,Constants!$B$6,COUNTA($C$9:$C$508)+1,Constants!$B$5,COUNTA($C$9:$C$508)),$CL209))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IF(ISBLANK($C210),"",IFERROR(_xlfn.SWITCH($CL210,Constants!$B$7,COUNTA($C$9:$C$508)+2,Constants!$B$6,COUNTA($C$9:$C$508)+1,Constants!$B$5,COUNTA($C$9:$C$508)),$CL210))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IF(ISBLANK($C211),"",IFERROR(_xlfn.SWITCH($CL211,Constants!$B$7,COUNTA($C$9:$C$508)+2,Constants!$B$6,COUNTA($C$9:$C$508)+1,Constants!$B$5,COUNTA($C$9:$C$508)),$CL211))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IF(ISBLANK($C212),"",IFERROR(_xlfn.SWITCH($CL212,Constants!$B$7,COUNTA($C$9:$C$508)+2,Constants!$B$6,COUNTA($C$9:$C$508)+1,Constants!$B$5,COUNTA($C$9:$C$508)),$CL212))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IF(ISBLANK($C213),"",IFERROR(_xlfn.SWITCH($CL213,Constants!$B$7,COUNTA($C$9:$C$508)+2,Constants!$B$6,COUNTA($C$9:$C$508)+1,Constants!$B$5,COUNTA($C$9:$C$508)),$CL213))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IF(ISBLANK($C214),"",IFERROR(_xlfn.SWITCH($CL214,Constants!$B$7,COUNTA($C$9:$C$508)+2,Constants!$B$6,COUNTA($C$9:$C$508)+1,Constants!$B$5,COUNTA($C$9:$C$508)),$CL214))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IF(ISBLANK($C215),"",IFERROR(_xlfn.SWITCH($CL215,Constants!$B$7,COUNTA($C$9:$C$508)+2,Constants!$B$6,COUNTA($C$9:$C$508)+1,Constants!$B$5,COUNTA($C$9:$C$508)),$CL215))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IF(ISBLANK($C216),"",IFERROR(_xlfn.SWITCH($CL216,Constants!$B$7,COUNTA($C$9:$C$508)+2,Constants!$B$6,COUNTA($C$9:$C$508)+1,Constants!$B$5,COUNTA($C$9:$C$508)),$CL216))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IF(ISBLANK($C217),"",IFERROR(_xlfn.SWITCH($CL217,Constants!$B$7,COUNTA($C$9:$C$508)+2,Constants!$B$6,COUNTA($C$9:$C$508)+1,Constants!$B$5,COUNTA($C$9:$C$508)),$CL217))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IF(ISBLANK($C218),"",IFERROR(_xlfn.SWITCH($CL218,Constants!$B$7,COUNTA($C$9:$C$508)+2,Constants!$B$6,COUNTA($C$9:$C$508)+1,Constants!$B$5,COUNTA($C$9:$C$508)),$CL218))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IF(ISBLANK($C219),"",IFERROR(_xlfn.SWITCH($CL219,Constants!$B$7,COUNTA($C$9:$C$508)+2,Constants!$B$6,COUNTA($C$9:$C$508)+1,Constants!$B$5,COUNTA($C$9:$C$508)),$CL219))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IF(ISBLANK($C220),"",IFERROR(_xlfn.SWITCH($CL220,Constants!$B$7,COUNTA($C$9:$C$508)+2,Constants!$B$6,COUNTA($C$9:$C$508)+1,Constants!$B$5,COUNTA($C$9:$C$508)),$CL220))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IF(ISBLANK($C221),"",IFERROR(_xlfn.SWITCH($CL221,Constants!$B$7,COUNTA($C$9:$C$508)+2,Constants!$B$6,COUNTA($C$9:$C$508)+1,Constants!$B$5,COUNTA($C$9:$C$508)),$CL221))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IF(ISBLANK($C222),"",IFERROR(_xlfn.SWITCH($CL222,Constants!$B$7,COUNTA($C$9:$C$508)+2,Constants!$B$6,COUNTA($C$9:$C$508)+1,Constants!$B$5,COUNTA($C$9:$C$508)),$CL222))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IF(ISBLANK($C223),"",IFERROR(_xlfn.SWITCH($CL223,Constants!$B$7,COUNTA($C$9:$C$508)+2,Constants!$B$6,COUNTA($C$9:$C$508)+1,Constants!$B$5,COUNTA($C$9:$C$508)),$CL223))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IF(ISBLANK($C224),"",IFERROR(_xlfn.SWITCH($CL224,Constants!$B$7,COUNTA($C$9:$C$508)+2,Constants!$B$6,COUNTA($C$9:$C$508)+1,Constants!$B$5,COUNTA($C$9:$C$508)),$CL224))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IF(ISBLANK($C225),"",IFERROR(_xlfn.SWITCH($CL225,Constants!$B$7,COUNTA($C$9:$C$508)+2,Constants!$B$6,COUNTA($C$9:$C$508)+1,Constants!$B$5,COUNTA($C$9:$C$508)),$CL225))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IF(ISBLANK($C226),"",IFERROR(_xlfn.SWITCH($CL226,Constants!$B$7,COUNTA($C$9:$C$508)+2,Constants!$B$6,COUNTA($C$9:$C$508)+1,Constants!$B$5,COUNTA($C$9:$C$508)),$CL226))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IF(ISBLANK($C227),"",IFERROR(_xlfn.SWITCH($CL227,Constants!$B$7,COUNTA($C$9:$C$508)+2,Constants!$B$6,COUNTA($C$9:$C$508)+1,Constants!$B$5,COUNTA($C$9:$C$508)),$CL227))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IF(ISBLANK($C228),"",IFERROR(_xlfn.SWITCH($CL228,Constants!$B$7,COUNTA($C$9:$C$508)+2,Constants!$B$6,COUNTA($C$9:$C$508)+1,Constants!$B$5,COUNTA($C$9:$C$508)),$CL228))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IF(ISBLANK($C229),"",IFERROR(_xlfn.SWITCH($CL229,Constants!$B$7,COUNTA($C$9:$C$508)+2,Constants!$B$6,COUNTA($C$9:$C$508)+1,Constants!$B$5,COUNTA($C$9:$C$508)),$CL229))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IF(ISBLANK($C230),"",IFERROR(_xlfn.SWITCH($CL230,Constants!$B$7,COUNTA($C$9:$C$508)+2,Constants!$B$6,COUNTA($C$9:$C$508)+1,Constants!$B$5,COUNTA($C$9:$C$508)),$CL230))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IF(ISBLANK($C231),"",IFERROR(_xlfn.SWITCH($CL231,Constants!$B$7,COUNTA($C$9:$C$508)+2,Constants!$B$6,COUNTA($C$9:$C$508)+1,Constants!$B$5,COUNTA($C$9:$C$508)),$CL231))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IF(ISBLANK($C232),"",IFERROR(_xlfn.SWITCH($CL232,Constants!$B$7,COUNTA($C$9:$C$508)+2,Constants!$B$6,COUNTA($C$9:$C$508)+1,Constants!$B$5,COUNTA($C$9:$C$508)),$CL232))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IF(ISBLANK($C233),"",IFERROR(_xlfn.SWITCH($CL233,Constants!$B$7,COUNTA($C$9:$C$508)+2,Constants!$B$6,COUNTA($C$9:$C$508)+1,Constants!$B$5,COUNTA($C$9:$C$508)),$CL233))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IF(ISBLANK($C234),"",IFERROR(_xlfn.SWITCH($CL234,Constants!$B$7,COUNTA($C$9:$C$508)+2,Constants!$B$6,COUNTA($C$9:$C$508)+1,Constants!$B$5,COUNTA($C$9:$C$508)),$CL234))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IF(ISBLANK($C235),"",IFERROR(_xlfn.SWITCH($CL235,Constants!$B$7,COUNTA($C$9:$C$508)+2,Constants!$B$6,COUNTA($C$9:$C$508)+1,Constants!$B$5,COUNTA($C$9:$C$508)),$CL235))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IF(ISBLANK($C236),"",IFERROR(_xlfn.SWITCH($CL236,Constants!$B$7,COUNTA($C$9:$C$508)+2,Constants!$B$6,COUNTA($C$9:$C$508)+1,Constants!$B$5,COUNTA($C$9:$C$508)),$CL236))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IF(ISBLANK($C237),"",IFERROR(_xlfn.SWITCH($CL237,Constants!$B$7,COUNTA($C$9:$C$508)+2,Constants!$B$6,COUNTA($C$9:$C$508)+1,Constants!$B$5,COUNTA($C$9:$C$508)),$CL237))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IF(ISBLANK($C238),"",IFERROR(_xlfn.SWITCH($CL238,Constants!$B$7,COUNTA($C$9:$C$508)+2,Constants!$B$6,COUNTA($C$9:$C$508)+1,Constants!$B$5,COUNTA($C$9:$C$508)),$CL238))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IF(ISBLANK($C239),"",IFERROR(_xlfn.SWITCH($CL239,Constants!$B$7,COUNTA($C$9:$C$508)+2,Constants!$B$6,COUNTA($C$9:$C$508)+1,Constants!$B$5,COUNTA($C$9:$C$508)),$CL239))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IF(ISBLANK($C240),"",IFERROR(_xlfn.SWITCH($CL240,Constants!$B$7,COUNTA($C$9:$C$508)+2,Constants!$B$6,COUNTA($C$9:$C$508)+1,Constants!$B$5,COUNTA($C$9:$C$508)),$CL240))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IF(ISBLANK($C241),"",IFERROR(_xlfn.SWITCH($CL241,Constants!$B$7,COUNTA($C$9:$C$508)+2,Constants!$B$6,COUNTA($C$9:$C$508)+1,Constants!$B$5,COUNTA($C$9:$C$508)),$CL241))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IF(ISBLANK($C242),"",IFERROR(_xlfn.SWITCH($CL242,Constants!$B$7,COUNTA($C$9:$C$508)+2,Constants!$B$6,COUNTA($C$9:$C$508)+1,Constants!$B$5,COUNTA($C$9:$C$508)),$CL242))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IF(ISBLANK($C243),"",IFERROR(_xlfn.SWITCH($CL243,Constants!$B$7,COUNTA($C$9:$C$508)+2,Constants!$B$6,COUNTA($C$9:$C$508)+1,Constants!$B$5,COUNTA($C$9:$C$508)),$CL243))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IF(ISBLANK($C244),"",IFERROR(_xlfn.SWITCH($CL244,Constants!$B$7,COUNTA($C$9:$C$508)+2,Constants!$B$6,COUNTA($C$9:$C$508)+1,Constants!$B$5,COUNTA($C$9:$C$508)),$CL244))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IF(ISBLANK($C245),"",IFERROR(_xlfn.SWITCH($CL245,Constants!$B$7,COUNTA($C$9:$C$508)+2,Constants!$B$6,COUNTA($C$9:$C$508)+1,Constants!$B$5,COUNTA($C$9:$C$508)),$CL245))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IF(ISBLANK($C246),"",IFERROR(_xlfn.SWITCH($CL246,Constants!$B$7,COUNTA($C$9:$C$508)+2,Constants!$B$6,COUNTA($C$9:$C$508)+1,Constants!$B$5,COUNTA($C$9:$C$508)),$CL246))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IF(ISBLANK($C247),"",IFERROR(_xlfn.SWITCH($CL247,Constants!$B$7,COUNTA($C$9:$C$508)+2,Constants!$B$6,COUNTA($C$9:$C$508)+1,Constants!$B$5,COUNTA($C$9:$C$508)),$CL247))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IF(ISBLANK($C248),"",IFERROR(_xlfn.SWITCH($CL248,Constants!$B$7,COUNTA($C$9:$C$508)+2,Constants!$B$6,COUNTA($C$9:$C$508)+1,Constants!$B$5,COUNTA($C$9:$C$508)),$CL248))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IF(ISBLANK($C249),"",IFERROR(_xlfn.SWITCH($CL249,Constants!$B$7,COUNTA($C$9:$C$508)+2,Constants!$B$6,COUNTA($C$9:$C$508)+1,Constants!$B$5,COUNTA($C$9:$C$508)),$CL249))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IF(ISBLANK($C250),"",IFERROR(_xlfn.SWITCH($CL250,Constants!$B$7,COUNTA($C$9:$C$508)+2,Constants!$B$6,COUNTA($C$9:$C$508)+1,Constants!$B$5,COUNTA($C$9:$C$508)),$CL250))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IF(ISBLANK($C251),"",IFERROR(_xlfn.SWITCH($CL251,Constants!$B$7,COUNTA($C$9:$C$508)+2,Constants!$B$6,COUNTA($C$9:$C$508)+1,Constants!$B$5,COUNTA($C$9:$C$508)),$CL251))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IF(ISBLANK($C252),"",IFERROR(_xlfn.SWITCH($CL252,Constants!$B$7,COUNTA($C$9:$C$508)+2,Constants!$B$6,COUNTA($C$9:$C$508)+1,Constants!$B$5,COUNTA($C$9:$C$508)),$CL252))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IF(ISBLANK($C253),"",IFERROR(_xlfn.SWITCH($CL253,Constants!$B$7,COUNTA($C$9:$C$508)+2,Constants!$B$6,COUNTA($C$9:$C$508)+1,Constants!$B$5,COUNTA($C$9:$C$508)),$CL253))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IF(ISBLANK($C254),"",IFERROR(_xlfn.SWITCH($CL254,Constants!$B$7,COUNTA($C$9:$C$508)+2,Constants!$B$6,COUNTA($C$9:$C$508)+1,Constants!$B$5,COUNTA($C$9:$C$508)),$CL254))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IF(ISBLANK($C255),"",IFERROR(_xlfn.SWITCH($CL255,Constants!$B$7,COUNTA($C$9:$C$508)+2,Constants!$B$6,COUNTA($C$9:$C$508)+1,Constants!$B$5,COUNTA($C$9:$C$508)),$CL255))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IF(ISBLANK($C256),"",IFERROR(_xlfn.SWITCH($CL256,Constants!$B$7,COUNTA($C$9:$C$508)+2,Constants!$B$6,COUNTA($C$9:$C$508)+1,Constants!$B$5,COUNTA($C$9:$C$508)),$CL256))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IF(ISBLANK($C257),"",IFERROR(_xlfn.SWITCH($CL257,Constants!$B$7,COUNTA($C$9:$C$508)+2,Constants!$B$6,COUNTA($C$9:$C$508)+1,Constants!$B$5,COUNTA($C$9:$C$508)),$CL257))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IF(ISBLANK($C258),"",IFERROR(_xlfn.SWITCH($CL258,Constants!$B$7,COUNTA($C$9:$C$508)+2,Constants!$B$6,COUNTA($C$9:$C$508)+1,Constants!$B$5,COUNTA($C$9:$C$508)),$CL258))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IF(ISBLANK($C259),"",IFERROR(_xlfn.SWITCH($CL259,Constants!$B$7,COUNTA($C$9:$C$508)+2,Constants!$B$6,COUNTA($C$9:$C$508)+1,Constants!$B$5,COUNTA($C$9:$C$508)),$CL259))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IF(ISBLANK($C260),"",IFERROR(_xlfn.SWITCH($CL260,Constants!$B$7,COUNTA($C$9:$C$508)+2,Constants!$B$6,COUNTA($C$9:$C$508)+1,Constants!$B$5,COUNTA($C$9:$C$508)),$CL260))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IF(ISBLANK($C261),"",IFERROR(_xlfn.SWITCH($CL261,Constants!$B$7,COUNTA($C$9:$C$508)+2,Constants!$B$6,COUNTA($C$9:$C$508)+1,Constants!$B$5,COUNTA($C$9:$C$508)),$CL261))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IF(ISBLANK($C262),"",IFERROR(_xlfn.SWITCH($CL262,Constants!$B$7,COUNTA($C$9:$C$508)+2,Constants!$B$6,COUNTA($C$9:$C$508)+1,Constants!$B$5,COUNTA($C$9:$C$508)),$CL262))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IF(ISBLANK($C263),"",IFERROR(_xlfn.SWITCH($CL263,Constants!$B$7,COUNTA($C$9:$C$508)+2,Constants!$B$6,COUNTA($C$9:$C$508)+1,Constants!$B$5,COUNTA($C$9:$C$508)),$CL263))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IF(ISBLANK($C264),"",IFERROR(_xlfn.SWITCH($CL264,Constants!$B$7,COUNTA($C$9:$C$508)+2,Constants!$B$6,COUNTA($C$9:$C$508)+1,Constants!$B$5,COUNTA($C$9:$C$508)),$CL264))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IF(ISBLANK($C265),"",IFERROR(_xlfn.SWITCH($CL265,Constants!$B$7,COUNTA($C$9:$C$508)+2,Constants!$B$6,COUNTA($C$9:$C$508)+1,Constants!$B$5,COUNTA($C$9:$C$508)),$CL265))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IF(ISBLANK($C266),"",IFERROR(_xlfn.SWITCH($CL266,Constants!$B$7,COUNTA($C$9:$C$508)+2,Constants!$B$6,COUNTA($C$9:$C$508)+1,Constants!$B$5,COUNTA($C$9:$C$508)),$CL266))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IF(ISBLANK($C267),"",IFERROR(_xlfn.SWITCH($CL267,Constants!$B$7,COUNTA($C$9:$C$508)+2,Constants!$B$6,COUNTA($C$9:$C$508)+1,Constants!$B$5,COUNTA($C$9:$C$508)),$CL267))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IF(ISBLANK($C268),"",IFERROR(_xlfn.SWITCH($CL268,Constants!$B$7,COUNTA($C$9:$C$508)+2,Constants!$B$6,COUNTA($C$9:$C$508)+1,Constants!$B$5,COUNTA($C$9:$C$508)),$CL268))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IF(ISBLANK($C269),"",IFERROR(_xlfn.SWITCH($CL269,Constants!$B$7,COUNTA($C$9:$C$508)+2,Constants!$B$6,COUNTA($C$9:$C$508)+1,Constants!$B$5,COUNTA($C$9:$C$508)),$CL269))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IF(ISBLANK($C270),"",IFERROR(_xlfn.SWITCH($CL270,Constants!$B$7,COUNTA($C$9:$C$508)+2,Constants!$B$6,COUNTA($C$9:$C$508)+1,Constants!$B$5,COUNTA($C$9:$C$508)),$CL270))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IF(ISBLANK($C271),"",IFERROR(_xlfn.SWITCH($CL271,Constants!$B$7,COUNTA($C$9:$C$508)+2,Constants!$B$6,COUNTA($C$9:$C$508)+1,Constants!$B$5,COUNTA($C$9:$C$508)),$CL271))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IF(ISBLANK($C272),"",IFERROR(_xlfn.SWITCH($CL272,Constants!$B$7,COUNTA($C$9:$C$508)+2,Constants!$B$6,COUNTA($C$9:$C$508)+1,Constants!$B$5,COUNTA($C$9:$C$508)),$CL272))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IF(ISBLANK($C273),"",IFERROR(_xlfn.SWITCH($CL273,Constants!$B$7,COUNTA($C$9:$C$508)+2,Constants!$B$6,COUNTA($C$9:$C$508)+1,Constants!$B$5,COUNTA($C$9:$C$508)),$CL273))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IF(ISBLANK($C274),"",IFERROR(_xlfn.SWITCH($CL274,Constants!$B$7,COUNTA($C$9:$C$508)+2,Constants!$B$6,COUNTA($C$9:$C$508)+1,Constants!$B$5,COUNTA($C$9:$C$508)),$CL274))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IF(ISBLANK($C275),"",IFERROR(_xlfn.SWITCH($CL275,Constants!$B$7,COUNTA($C$9:$C$508)+2,Constants!$B$6,COUNTA($C$9:$C$508)+1,Constants!$B$5,COUNTA($C$9:$C$508)),$CL275))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IF(ISBLANK($C276),"",IFERROR(_xlfn.SWITCH($CL276,Constants!$B$7,COUNTA($C$9:$C$508)+2,Constants!$B$6,COUNTA($C$9:$C$508)+1,Constants!$B$5,COUNTA($C$9:$C$508)),$CL276))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IF(ISBLANK($C277),"",IFERROR(_xlfn.SWITCH($CL277,Constants!$B$7,COUNTA($C$9:$C$508)+2,Constants!$B$6,COUNTA($C$9:$C$508)+1,Constants!$B$5,COUNTA($C$9:$C$508)),$CL277))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IF(ISBLANK($C278),"",IFERROR(_xlfn.SWITCH($CL278,Constants!$B$7,COUNTA($C$9:$C$508)+2,Constants!$B$6,COUNTA($C$9:$C$508)+1,Constants!$B$5,COUNTA($C$9:$C$508)),$CL278))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IF(ISBLANK($C279),"",IFERROR(_xlfn.SWITCH($CL279,Constants!$B$7,COUNTA($C$9:$C$508)+2,Constants!$B$6,COUNTA($C$9:$C$508)+1,Constants!$B$5,COUNTA($C$9:$C$508)),$CL279))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IF(ISBLANK($C280),"",IFERROR(_xlfn.SWITCH($CL280,Constants!$B$7,COUNTA($C$9:$C$508)+2,Constants!$B$6,COUNTA($C$9:$C$508)+1,Constants!$B$5,COUNTA($C$9:$C$508)),$CL280))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IF(ISBLANK($C281),"",IFERROR(_xlfn.SWITCH($CL281,Constants!$B$7,COUNTA($C$9:$C$508)+2,Constants!$B$6,COUNTA($C$9:$C$508)+1,Constants!$B$5,COUNTA($C$9:$C$508)),$CL281))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IF(ISBLANK($C282),"",IFERROR(_xlfn.SWITCH($CL282,Constants!$B$7,COUNTA($C$9:$C$508)+2,Constants!$B$6,COUNTA($C$9:$C$508)+1,Constants!$B$5,COUNTA($C$9:$C$508)),$CL282))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IF(ISBLANK($C283),"",IFERROR(_xlfn.SWITCH($CL283,Constants!$B$7,COUNTA($C$9:$C$508)+2,Constants!$B$6,COUNTA($C$9:$C$508)+1,Constants!$B$5,COUNTA($C$9:$C$508)),$CL283))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IF(ISBLANK($C284),"",IFERROR(_xlfn.SWITCH($CL284,Constants!$B$7,COUNTA($C$9:$C$508)+2,Constants!$B$6,COUNTA($C$9:$C$508)+1,Constants!$B$5,COUNTA($C$9:$C$508)),$CL284))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IF(ISBLANK($C285),"",IFERROR(_xlfn.SWITCH($CL285,Constants!$B$7,COUNTA($C$9:$C$508)+2,Constants!$B$6,COUNTA($C$9:$C$508)+1,Constants!$B$5,COUNTA($C$9:$C$508)),$CL285))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IF(ISBLANK($C286),"",IFERROR(_xlfn.SWITCH($CL286,Constants!$B$7,COUNTA($C$9:$C$508)+2,Constants!$B$6,COUNTA($C$9:$C$508)+1,Constants!$B$5,COUNTA($C$9:$C$508)),$CL286))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IF(ISBLANK($C287),"",IFERROR(_xlfn.SWITCH($CL287,Constants!$B$7,COUNTA($C$9:$C$508)+2,Constants!$B$6,COUNTA($C$9:$C$508)+1,Constants!$B$5,COUNTA($C$9:$C$508)),$CL287))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IF(ISBLANK($C288),"",IFERROR(_xlfn.SWITCH($CL288,Constants!$B$7,COUNTA($C$9:$C$508)+2,Constants!$B$6,COUNTA($C$9:$C$508)+1,Constants!$B$5,COUNTA($C$9:$C$508)),$CL288))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IF(ISBLANK($C289),"",IFERROR(_xlfn.SWITCH($CL289,Constants!$B$7,COUNTA($C$9:$C$508)+2,Constants!$B$6,COUNTA($C$9:$C$508)+1,Constants!$B$5,COUNTA($C$9:$C$508)),$CL289))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IF(ISBLANK($C290),"",IFERROR(_xlfn.SWITCH($CL290,Constants!$B$7,COUNTA($C$9:$C$508)+2,Constants!$B$6,COUNTA($C$9:$C$508)+1,Constants!$B$5,COUNTA($C$9:$C$508)),$CL290))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IF(ISBLANK($C291),"",IFERROR(_xlfn.SWITCH($CL291,Constants!$B$7,COUNTA($C$9:$C$508)+2,Constants!$B$6,COUNTA($C$9:$C$508)+1,Constants!$B$5,COUNTA($C$9:$C$508)),$CL291))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IF(ISBLANK($C292),"",IFERROR(_xlfn.SWITCH($CL292,Constants!$B$7,COUNTA($C$9:$C$508)+2,Constants!$B$6,COUNTA($C$9:$C$508)+1,Constants!$B$5,COUNTA($C$9:$C$508)),$CL292))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IF(ISBLANK($C293),"",IFERROR(_xlfn.SWITCH($CL293,Constants!$B$7,COUNTA($C$9:$C$508)+2,Constants!$B$6,COUNTA($C$9:$C$508)+1,Constants!$B$5,COUNTA($C$9:$C$508)),$CL293))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IF(ISBLANK($C294),"",IFERROR(_xlfn.SWITCH($CL294,Constants!$B$7,COUNTA($C$9:$C$508)+2,Constants!$B$6,COUNTA($C$9:$C$508)+1,Constants!$B$5,COUNTA($C$9:$C$508)),$CL294))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IF(ISBLANK($C295),"",IFERROR(_xlfn.SWITCH($CL295,Constants!$B$7,COUNTA($C$9:$C$508)+2,Constants!$B$6,COUNTA($C$9:$C$508)+1,Constants!$B$5,COUNTA($C$9:$C$508)),$CL295))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IF(ISBLANK($C296),"",IFERROR(_xlfn.SWITCH($CL296,Constants!$B$7,COUNTA($C$9:$C$508)+2,Constants!$B$6,COUNTA($C$9:$C$508)+1,Constants!$B$5,COUNTA($C$9:$C$508)),$CL296))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IF(ISBLANK($C297),"",IFERROR(_xlfn.SWITCH($CL297,Constants!$B$7,COUNTA($C$9:$C$508)+2,Constants!$B$6,COUNTA($C$9:$C$508)+1,Constants!$B$5,COUNTA($C$9:$C$508)),$CL297))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IF(ISBLANK($C298),"",IFERROR(_xlfn.SWITCH($CL298,Constants!$B$7,COUNTA($C$9:$C$508)+2,Constants!$B$6,COUNTA($C$9:$C$508)+1,Constants!$B$5,COUNTA($C$9:$C$508)),$CL298))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IF(ISBLANK($C299),"",IFERROR(_xlfn.SWITCH($CL299,Constants!$B$7,COUNTA($C$9:$C$508)+2,Constants!$B$6,COUNTA($C$9:$C$508)+1,Constants!$B$5,COUNTA($C$9:$C$508)),$CL299))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IF(ISBLANK($C300),"",IFERROR(_xlfn.SWITCH($CL300,Constants!$B$7,COUNTA($C$9:$C$508)+2,Constants!$B$6,COUNTA($C$9:$C$508)+1,Constants!$B$5,COUNTA($C$9:$C$508)),$CL300))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IF(ISBLANK($C301),"",IFERROR(_xlfn.SWITCH($CL301,Constants!$B$7,COUNTA($C$9:$C$508)+2,Constants!$B$6,COUNTA($C$9:$C$508)+1,Constants!$B$5,COUNTA($C$9:$C$508)),$CL301))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IF(ISBLANK($C302),"",IFERROR(_xlfn.SWITCH($CL302,Constants!$B$7,COUNTA($C$9:$C$508)+2,Constants!$B$6,COUNTA($C$9:$C$508)+1,Constants!$B$5,COUNTA($C$9:$C$508)),$CL302))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IF(ISBLANK($C303),"",IFERROR(_xlfn.SWITCH($CL303,Constants!$B$7,COUNTA($C$9:$C$508)+2,Constants!$B$6,COUNTA($C$9:$C$508)+1,Constants!$B$5,COUNTA($C$9:$C$508)),$CL303))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IF(ISBLANK($C304),"",IFERROR(_xlfn.SWITCH($CL304,Constants!$B$7,COUNTA($C$9:$C$508)+2,Constants!$B$6,COUNTA($C$9:$C$508)+1,Constants!$B$5,COUNTA($C$9:$C$508)),$CL304))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IF(ISBLANK($C305),"",IFERROR(_xlfn.SWITCH($CL305,Constants!$B$7,COUNTA($C$9:$C$508)+2,Constants!$B$6,COUNTA($C$9:$C$508)+1,Constants!$B$5,COUNTA($C$9:$C$508)),$CL305))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IF(ISBLANK($C306),"",IFERROR(_xlfn.SWITCH($CL306,Constants!$B$7,COUNTA($C$9:$C$508)+2,Constants!$B$6,COUNTA($C$9:$C$508)+1,Constants!$B$5,COUNTA($C$9:$C$508)),$CL306))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IF(ISBLANK($C307),"",IFERROR(_xlfn.SWITCH($CL307,Constants!$B$7,COUNTA($C$9:$C$508)+2,Constants!$B$6,COUNTA($C$9:$C$508)+1,Constants!$B$5,COUNTA($C$9:$C$508)),$CL307))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IF(ISBLANK($C308),"",IFERROR(_xlfn.SWITCH($CL308,Constants!$B$7,COUNTA($C$9:$C$508)+2,Constants!$B$6,COUNTA($C$9:$C$508)+1,Constants!$B$5,COUNTA($C$9:$C$508)),$CL308))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IF(ISBLANK($C309),"",IFERROR(_xlfn.SWITCH($CL309,Constants!$B$7,COUNTA($C$9:$C$508)+2,Constants!$B$6,COUNTA($C$9:$C$508)+1,Constants!$B$5,COUNTA($C$9:$C$508)),$CL309))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IF(ISBLANK($C310),"",IFERROR(_xlfn.SWITCH($CL310,Constants!$B$7,COUNTA($C$9:$C$508)+2,Constants!$B$6,COUNTA($C$9:$C$508)+1,Constants!$B$5,COUNTA($C$9:$C$508)),$CL310))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IF(ISBLANK($C311),"",IFERROR(_xlfn.SWITCH($CL311,Constants!$B$7,COUNTA($C$9:$C$508)+2,Constants!$B$6,COUNTA($C$9:$C$508)+1,Constants!$B$5,COUNTA($C$9:$C$508)),$CL311))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IF(ISBLANK($C312),"",IFERROR(_xlfn.SWITCH($CL312,Constants!$B$7,COUNTA($C$9:$C$508)+2,Constants!$B$6,COUNTA($C$9:$C$508)+1,Constants!$B$5,COUNTA($C$9:$C$508)),$CL312))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IF(ISBLANK($C313),"",IFERROR(_xlfn.SWITCH($CL313,Constants!$B$7,COUNTA($C$9:$C$508)+2,Constants!$B$6,COUNTA($C$9:$C$508)+1,Constants!$B$5,COUNTA($C$9:$C$508)),$CL313))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IF(ISBLANK($C314),"",IFERROR(_xlfn.SWITCH($CL314,Constants!$B$7,COUNTA($C$9:$C$508)+2,Constants!$B$6,COUNTA($C$9:$C$508)+1,Constants!$B$5,COUNTA($C$9:$C$508)),$CL314))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IF(ISBLANK($C315),"",IFERROR(_xlfn.SWITCH($CL315,Constants!$B$7,COUNTA($C$9:$C$508)+2,Constants!$B$6,COUNTA($C$9:$C$508)+1,Constants!$B$5,COUNTA($C$9:$C$508)),$CL315))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IF(ISBLANK($C316),"",IFERROR(_xlfn.SWITCH($CL316,Constants!$B$7,COUNTA($C$9:$C$508)+2,Constants!$B$6,COUNTA($C$9:$C$508)+1,Constants!$B$5,COUNTA($C$9:$C$508)),$CL316))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IF(ISBLANK($C317),"",IFERROR(_xlfn.SWITCH($CL317,Constants!$B$7,COUNTA($C$9:$C$508)+2,Constants!$B$6,COUNTA($C$9:$C$508)+1,Constants!$B$5,COUNTA($C$9:$C$508)),$CL317))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IF(ISBLANK($C318),"",IFERROR(_xlfn.SWITCH($CL318,Constants!$B$7,COUNTA($C$9:$C$508)+2,Constants!$B$6,COUNTA($C$9:$C$508)+1,Constants!$B$5,COUNTA($C$9:$C$508)),$CL318))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IF(ISBLANK($C319),"",IFERROR(_xlfn.SWITCH($CL319,Constants!$B$7,COUNTA($C$9:$C$508)+2,Constants!$B$6,COUNTA($C$9:$C$508)+1,Constants!$B$5,COUNTA($C$9:$C$508)),$CL319))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IF(ISBLANK($C320),"",IFERROR(_xlfn.SWITCH($CL320,Constants!$B$7,COUNTA($C$9:$C$508)+2,Constants!$B$6,COUNTA($C$9:$C$508)+1,Constants!$B$5,COUNTA($C$9:$C$508)),$CL320))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IF(ISBLANK($C321),"",IFERROR(_xlfn.SWITCH($CL321,Constants!$B$7,COUNTA($C$9:$C$508)+2,Constants!$B$6,COUNTA($C$9:$C$508)+1,Constants!$B$5,COUNTA($C$9:$C$508)),$CL321))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IF(ISBLANK($C322),"",IFERROR(_xlfn.SWITCH($CL322,Constants!$B$7,COUNTA($C$9:$C$508)+2,Constants!$B$6,COUNTA($C$9:$C$508)+1,Constants!$B$5,COUNTA($C$9:$C$508)),$CL322))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IF(ISBLANK($C323),"",IFERROR(_xlfn.SWITCH($CL323,Constants!$B$7,COUNTA($C$9:$C$508)+2,Constants!$B$6,COUNTA($C$9:$C$508)+1,Constants!$B$5,COUNTA($C$9:$C$508)),$CL323))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IF(ISBLANK($C324),"",IFERROR(_xlfn.SWITCH($CL324,Constants!$B$7,COUNTA($C$9:$C$508)+2,Constants!$B$6,COUNTA($C$9:$C$508)+1,Constants!$B$5,COUNTA($C$9:$C$508)),$CL324))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IF(ISBLANK($C325),"",IFERROR(_xlfn.SWITCH($CL325,Constants!$B$7,COUNTA($C$9:$C$508)+2,Constants!$B$6,COUNTA($C$9:$C$508)+1,Constants!$B$5,COUNTA($C$9:$C$508)),$CL325))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IF(ISBLANK($C326),"",IFERROR(_xlfn.SWITCH($CL326,Constants!$B$7,COUNTA($C$9:$C$508)+2,Constants!$B$6,COUNTA($C$9:$C$508)+1,Constants!$B$5,COUNTA($C$9:$C$508)),$CL326))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IF(ISBLANK($C327),"",IFERROR(_xlfn.SWITCH($CL327,Constants!$B$7,COUNTA($C$9:$C$508)+2,Constants!$B$6,COUNTA($C$9:$C$508)+1,Constants!$B$5,COUNTA($C$9:$C$508)),$CL327))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IF(ISBLANK($C328),"",IFERROR(_xlfn.SWITCH($CL328,Constants!$B$7,COUNTA($C$9:$C$508)+2,Constants!$B$6,COUNTA($C$9:$C$508)+1,Constants!$B$5,COUNTA($C$9:$C$508)),$CL328))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IF(ISBLANK($C329),"",IFERROR(_xlfn.SWITCH($CL329,Constants!$B$7,COUNTA($C$9:$C$508)+2,Constants!$B$6,COUNTA($C$9:$C$508)+1,Constants!$B$5,COUNTA($C$9:$C$508)),$CL329))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IF(ISBLANK($C330),"",IFERROR(_xlfn.SWITCH($CL330,Constants!$B$7,COUNTA($C$9:$C$508)+2,Constants!$B$6,COUNTA($C$9:$C$508)+1,Constants!$B$5,COUNTA($C$9:$C$508)),$CL330))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IF(ISBLANK($C331),"",IFERROR(_xlfn.SWITCH($CL331,Constants!$B$7,COUNTA($C$9:$C$508)+2,Constants!$B$6,COUNTA($C$9:$C$508)+1,Constants!$B$5,COUNTA($C$9:$C$508)),$CL331))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IF(ISBLANK($C332),"",IFERROR(_xlfn.SWITCH($CL332,Constants!$B$7,COUNTA($C$9:$C$508)+2,Constants!$B$6,COUNTA($C$9:$C$508)+1,Constants!$B$5,COUNTA($C$9:$C$508)),$CL332))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IF(ISBLANK($C333),"",IFERROR(_xlfn.SWITCH($CL333,Constants!$B$7,COUNTA($C$9:$C$508)+2,Constants!$B$6,COUNTA($C$9:$C$508)+1,Constants!$B$5,COUNTA($C$9:$C$508)),$CL333))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IF(ISBLANK($C334),"",IFERROR(_xlfn.SWITCH($CL334,Constants!$B$7,COUNTA($C$9:$C$508)+2,Constants!$B$6,COUNTA($C$9:$C$508)+1,Constants!$B$5,COUNTA($C$9:$C$508)),$CL334))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IF(ISBLANK($C335),"",IFERROR(_xlfn.SWITCH($CL335,Constants!$B$7,COUNTA($C$9:$C$508)+2,Constants!$B$6,COUNTA($C$9:$C$508)+1,Constants!$B$5,COUNTA($C$9:$C$508)),$CL335))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IF(ISBLANK($C336),"",IFERROR(_xlfn.SWITCH($CL336,Constants!$B$7,COUNTA($C$9:$C$508)+2,Constants!$B$6,COUNTA($C$9:$C$508)+1,Constants!$B$5,COUNTA($C$9:$C$508)),$CL336))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IF(ISBLANK($C337),"",IFERROR(_xlfn.SWITCH($CL337,Constants!$B$7,COUNTA($C$9:$C$508)+2,Constants!$B$6,COUNTA($C$9:$C$508)+1,Constants!$B$5,COUNTA($C$9:$C$508)),$CL337))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IF(ISBLANK($C338),"",IFERROR(_xlfn.SWITCH($CL338,Constants!$B$7,COUNTA($C$9:$C$508)+2,Constants!$B$6,COUNTA($C$9:$C$508)+1,Constants!$B$5,COUNTA($C$9:$C$508)),$CL338))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IF(ISBLANK($C339),"",IFERROR(_xlfn.SWITCH($CL339,Constants!$B$7,COUNTA($C$9:$C$508)+2,Constants!$B$6,COUNTA($C$9:$C$508)+1,Constants!$B$5,COUNTA($C$9:$C$508)),$CL339))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IF(ISBLANK($C340),"",IFERROR(_xlfn.SWITCH($CL340,Constants!$B$7,COUNTA($C$9:$C$508)+2,Constants!$B$6,COUNTA($C$9:$C$508)+1,Constants!$B$5,COUNTA($C$9:$C$508)),$CL340))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IF(ISBLANK($C341),"",IFERROR(_xlfn.SWITCH($CL341,Constants!$B$7,COUNTA($C$9:$C$508)+2,Constants!$B$6,COUNTA($C$9:$C$508)+1,Constants!$B$5,COUNTA($C$9:$C$508)),$CL341))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IF(ISBLANK($C342),"",IFERROR(_xlfn.SWITCH($CL342,Constants!$B$7,COUNTA($C$9:$C$508)+2,Constants!$B$6,COUNTA($C$9:$C$508)+1,Constants!$B$5,COUNTA($C$9:$C$508)),$CL342))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IF(ISBLANK($C343),"",IFERROR(_xlfn.SWITCH($CL343,Constants!$B$7,COUNTA($C$9:$C$508)+2,Constants!$B$6,COUNTA($C$9:$C$508)+1,Constants!$B$5,COUNTA($C$9:$C$508)),$CL343))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IF(ISBLANK($C344),"",IFERROR(_xlfn.SWITCH($CL344,Constants!$B$7,COUNTA($C$9:$C$508)+2,Constants!$B$6,COUNTA($C$9:$C$508)+1,Constants!$B$5,COUNTA($C$9:$C$508)),$CL344))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IF(ISBLANK($C345),"",IFERROR(_xlfn.SWITCH($CL345,Constants!$B$7,COUNTA($C$9:$C$508)+2,Constants!$B$6,COUNTA($C$9:$C$508)+1,Constants!$B$5,COUNTA($C$9:$C$508)),$CL345))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IF(ISBLANK($C346),"",IFERROR(_xlfn.SWITCH($CL346,Constants!$B$7,COUNTA($C$9:$C$508)+2,Constants!$B$6,COUNTA($C$9:$C$508)+1,Constants!$B$5,COUNTA($C$9:$C$508)),$CL346))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IF(ISBLANK($C347),"",IFERROR(_xlfn.SWITCH($CL347,Constants!$B$7,COUNTA($C$9:$C$508)+2,Constants!$B$6,COUNTA($C$9:$C$508)+1,Constants!$B$5,COUNTA($C$9:$C$508)),$CL347))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IF(ISBLANK($C348),"",IFERROR(_xlfn.SWITCH($CL348,Constants!$B$7,COUNTA($C$9:$C$508)+2,Constants!$B$6,COUNTA($C$9:$C$508)+1,Constants!$B$5,COUNTA($C$9:$C$508)),$CL348))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IF(ISBLANK($C349),"",IFERROR(_xlfn.SWITCH($CL349,Constants!$B$7,COUNTA($C$9:$C$508)+2,Constants!$B$6,COUNTA($C$9:$C$508)+1,Constants!$B$5,COUNTA($C$9:$C$508)),$CL349))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IF(ISBLANK($C350),"",IFERROR(_xlfn.SWITCH($CL350,Constants!$B$7,COUNTA($C$9:$C$508)+2,Constants!$B$6,COUNTA($C$9:$C$508)+1,Constants!$B$5,COUNTA($C$9:$C$508)),$CL350))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IF(ISBLANK($C351),"",IFERROR(_xlfn.SWITCH($CL351,Constants!$B$7,COUNTA($C$9:$C$508)+2,Constants!$B$6,COUNTA($C$9:$C$508)+1,Constants!$B$5,COUNTA($C$9:$C$508)),$CL351))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IF(ISBLANK($C352),"",IFERROR(_xlfn.SWITCH($CL352,Constants!$B$7,COUNTA($C$9:$C$508)+2,Constants!$B$6,COUNTA($C$9:$C$508)+1,Constants!$B$5,COUNTA($C$9:$C$508)),$CL352))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IF(ISBLANK($C353),"",IFERROR(_xlfn.SWITCH($CL353,Constants!$B$7,COUNTA($C$9:$C$508)+2,Constants!$B$6,COUNTA($C$9:$C$508)+1,Constants!$B$5,COUNTA($C$9:$C$508)),$CL353))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IF(ISBLANK($C354),"",IFERROR(_xlfn.SWITCH($CL354,Constants!$B$7,COUNTA($C$9:$C$508)+2,Constants!$B$6,COUNTA($C$9:$C$508)+1,Constants!$B$5,COUNTA($C$9:$C$508)),$CL354))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IF(ISBLANK($C355),"",IFERROR(_xlfn.SWITCH($CL355,Constants!$B$7,COUNTA($C$9:$C$508)+2,Constants!$B$6,COUNTA($C$9:$C$508)+1,Constants!$B$5,COUNTA($C$9:$C$508)),$CL355))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IF(ISBLANK($C356),"",IFERROR(_xlfn.SWITCH($CL356,Constants!$B$7,COUNTA($C$9:$C$508)+2,Constants!$B$6,COUNTA($C$9:$C$508)+1,Constants!$B$5,COUNTA($C$9:$C$508)),$CL356))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IF(ISBLANK($C357),"",IFERROR(_xlfn.SWITCH($CL357,Constants!$B$7,COUNTA($C$9:$C$508)+2,Constants!$B$6,COUNTA($C$9:$C$508)+1,Constants!$B$5,COUNTA($C$9:$C$508)),$CL357))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IF(ISBLANK($C358),"",IFERROR(_xlfn.SWITCH($CL358,Constants!$B$7,COUNTA($C$9:$C$508)+2,Constants!$B$6,COUNTA($C$9:$C$508)+1,Constants!$B$5,COUNTA($C$9:$C$508)),$CL358))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IF(ISBLANK($C359),"",IFERROR(_xlfn.SWITCH($CL359,Constants!$B$7,COUNTA($C$9:$C$508)+2,Constants!$B$6,COUNTA($C$9:$C$508)+1,Constants!$B$5,COUNTA($C$9:$C$508)),$CL359))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IF(ISBLANK($C360),"",IFERROR(_xlfn.SWITCH($CL360,Constants!$B$7,COUNTA($C$9:$C$508)+2,Constants!$B$6,COUNTA($C$9:$C$508)+1,Constants!$B$5,COUNTA($C$9:$C$508)),$CL360))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IF(ISBLANK($C361),"",IFERROR(_xlfn.SWITCH($CL361,Constants!$B$7,COUNTA($C$9:$C$508)+2,Constants!$B$6,COUNTA($C$9:$C$508)+1,Constants!$B$5,COUNTA($C$9:$C$508)),$CL361))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IF(ISBLANK($C362),"",IFERROR(_xlfn.SWITCH($CL362,Constants!$B$7,COUNTA($C$9:$C$508)+2,Constants!$B$6,COUNTA($C$9:$C$508)+1,Constants!$B$5,COUNTA($C$9:$C$508)),$CL362))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IF(ISBLANK($C363),"",IFERROR(_xlfn.SWITCH($CL363,Constants!$B$7,COUNTA($C$9:$C$508)+2,Constants!$B$6,COUNTA($C$9:$C$508)+1,Constants!$B$5,COUNTA($C$9:$C$508)),$CL363))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IF(ISBLANK($C364),"",IFERROR(_xlfn.SWITCH($CL364,Constants!$B$7,COUNTA($C$9:$C$508)+2,Constants!$B$6,COUNTA($C$9:$C$508)+1,Constants!$B$5,COUNTA($C$9:$C$508)),$CL364))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IF(ISBLANK($C365),"",IFERROR(_xlfn.SWITCH($CL365,Constants!$B$7,COUNTA($C$9:$C$508)+2,Constants!$B$6,COUNTA($C$9:$C$508)+1,Constants!$B$5,COUNTA($C$9:$C$508)),$CL365))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IF(ISBLANK($C366),"",IFERROR(_xlfn.SWITCH($CL366,Constants!$B$7,COUNTA($C$9:$C$508)+2,Constants!$B$6,COUNTA($C$9:$C$508)+1,Constants!$B$5,COUNTA($C$9:$C$508)),$CL366))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IF(ISBLANK($C367),"",IFERROR(_xlfn.SWITCH($CL367,Constants!$B$7,COUNTA($C$9:$C$508)+2,Constants!$B$6,COUNTA($C$9:$C$508)+1,Constants!$B$5,COUNTA($C$9:$C$508)),$CL367))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IF(ISBLANK($C368),"",IFERROR(_xlfn.SWITCH($CL368,Constants!$B$7,COUNTA($C$9:$C$508)+2,Constants!$B$6,COUNTA($C$9:$C$508)+1,Constants!$B$5,COUNTA($C$9:$C$508)),$CL368))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IF(ISBLANK($C369),"",IFERROR(_xlfn.SWITCH($CL369,Constants!$B$7,COUNTA($C$9:$C$508)+2,Constants!$B$6,COUNTA($C$9:$C$508)+1,Constants!$B$5,COUNTA($C$9:$C$508)),$CL369))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IF(ISBLANK($C370),"",IFERROR(_xlfn.SWITCH($CL370,Constants!$B$7,COUNTA($C$9:$C$508)+2,Constants!$B$6,COUNTA($C$9:$C$508)+1,Constants!$B$5,COUNTA($C$9:$C$508)),$CL370))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IF(ISBLANK($C371),"",IFERROR(_xlfn.SWITCH($CL371,Constants!$B$7,COUNTA($C$9:$C$508)+2,Constants!$B$6,COUNTA($C$9:$C$508)+1,Constants!$B$5,COUNTA($C$9:$C$508)),$CL371))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IF(ISBLANK($C372),"",IFERROR(_xlfn.SWITCH($CL372,Constants!$B$7,COUNTA($C$9:$C$508)+2,Constants!$B$6,COUNTA($C$9:$C$508)+1,Constants!$B$5,COUNTA($C$9:$C$508)),$CL372))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IF(ISBLANK($C373),"",IFERROR(_xlfn.SWITCH($CL373,Constants!$B$7,COUNTA($C$9:$C$508)+2,Constants!$B$6,COUNTA($C$9:$C$508)+1,Constants!$B$5,COUNTA($C$9:$C$508)),$CL373))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IF(ISBLANK($C374),"",IFERROR(_xlfn.SWITCH($CL374,Constants!$B$7,COUNTA($C$9:$C$508)+2,Constants!$B$6,COUNTA($C$9:$C$508)+1,Constants!$B$5,COUNTA($C$9:$C$508)),$CL374))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IF(ISBLANK($C375),"",IFERROR(_xlfn.SWITCH($CL375,Constants!$B$7,COUNTA($C$9:$C$508)+2,Constants!$B$6,COUNTA($C$9:$C$508)+1,Constants!$B$5,COUNTA($C$9:$C$508)),$CL375))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IF(ISBLANK($C376),"",IFERROR(_xlfn.SWITCH($CL376,Constants!$B$7,COUNTA($C$9:$C$508)+2,Constants!$B$6,COUNTA($C$9:$C$508)+1,Constants!$B$5,COUNTA($C$9:$C$508)),$CL376))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IF(ISBLANK($C377),"",IFERROR(_xlfn.SWITCH($CL377,Constants!$B$7,COUNTA($C$9:$C$508)+2,Constants!$B$6,COUNTA($C$9:$C$508)+1,Constants!$B$5,COUNTA($C$9:$C$508)),$CL377))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IF(ISBLANK($C378),"",IFERROR(_xlfn.SWITCH($CL378,Constants!$B$7,COUNTA($C$9:$C$508)+2,Constants!$B$6,COUNTA($C$9:$C$508)+1,Constants!$B$5,COUNTA($C$9:$C$508)),$CL378))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IF(ISBLANK($C379),"",IFERROR(_xlfn.SWITCH($CL379,Constants!$B$7,COUNTA($C$9:$C$508)+2,Constants!$B$6,COUNTA($C$9:$C$508)+1,Constants!$B$5,COUNTA($C$9:$C$508)),$CL379))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IF(ISBLANK($C380),"",IFERROR(_xlfn.SWITCH($CL380,Constants!$B$7,COUNTA($C$9:$C$508)+2,Constants!$B$6,COUNTA($C$9:$C$508)+1,Constants!$B$5,COUNTA($C$9:$C$508)),$CL380))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IF(ISBLANK($C381),"",IFERROR(_xlfn.SWITCH($CL381,Constants!$B$7,COUNTA($C$9:$C$508)+2,Constants!$B$6,COUNTA($C$9:$C$508)+1,Constants!$B$5,COUNTA($C$9:$C$508)),$CL381))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IF(ISBLANK($C382),"",IFERROR(_xlfn.SWITCH($CL382,Constants!$B$7,COUNTA($C$9:$C$508)+2,Constants!$B$6,COUNTA($C$9:$C$508)+1,Constants!$B$5,COUNTA($C$9:$C$508)),$CL382))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IF(ISBLANK($C383),"",IFERROR(_xlfn.SWITCH($CL383,Constants!$B$7,COUNTA($C$9:$C$508)+2,Constants!$B$6,COUNTA($C$9:$C$508)+1,Constants!$B$5,COUNTA($C$9:$C$508)),$CL383))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IF(ISBLANK($C384),"",IFERROR(_xlfn.SWITCH($CL384,Constants!$B$7,COUNTA($C$9:$C$508)+2,Constants!$B$6,COUNTA($C$9:$C$508)+1,Constants!$B$5,COUNTA($C$9:$C$508)),$CL384))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IF(ISBLANK($C385),"",IFERROR(_xlfn.SWITCH($CL385,Constants!$B$7,COUNTA($C$9:$C$508)+2,Constants!$B$6,COUNTA($C$9:$C$508)+1,Constants!$B$5,COUNTA($C$9:$C$508)),$CL385))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IF(ISBLANK($C386),"",IFERROR(_xlfn.SWITCH($CL386,Constants!$B$7,COUNTA($C$9:$C$508)+2,Constants!$B$6,COUNTA($C$9:$C$508)+1,Constants!$B$5,COUNTA($C$9:$C$508)),$CL386))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IF(ISBLANK($C387),"",IFERROR(_xlfn.SWITCH($CL387,Constants!$B$7,COUNTA($C$9:$C$508)+2,Constants!$B$6,COUNTA($C$9:$C$508)+1,Constants!$B$5,COUNTA($C$9:$C$508)),$CL387))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IF(ISBLANK($C388),"",IFERROR(_xlfn.SWITCH($CL388,Constants!$B$7,COUNTA($C$9:$C$508)+2,Constants!$B$6,COUNTA($C$9:$C$508)+1,Constants!$B$5,COUNTA($C$9:$C$508)),$CL388))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IF(ISBLANK($C389),"",IFERROR(_xlfn.SWITCH($CL389,Constants!$B$7,COUNTA($C$9:$C$508)+2,Constants!$B$6,COUNTA($C$9:$C$508)+1,Constants!$B$5,COUNTA($C$9:$C$508)),$CL389))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IF(ISBLANK($C390),"",IFERROR(_xlfn.SWITCH($CL390,Constants!$B$7,COUNTA($C$9:$C$508)+2,Constants!$B$6,COUNTA($C$9:$C$508)+1,Constants!$B$5,COUNTA($C$9:$C$508)),$CL390))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IF(ISBLANK($C391),"",IFERROR(_xlfn.SWITCH($CL391,Constants!$B$7,COUNTA($C$9:$C$508)+2,Constants!$B$6,COUNTA($C$9:$C$508)+1,Constants!$B$5,COUNTA($C$9:$C$508)),$CL391))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IF(ISBLANK($C392),"",IFERROR(_xlfn.SWITCH($CL392,Constants!$B$7,COUNTA($C$9:$C$508)+2,Constants!$B$6,COUNTA($C$9:$C$508)+1,Constants!$B$5,COUNTA($C$9:$C$508)),$CL392))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IF(ISBLANK($C393),"",IFERROR(_xlfn.SWITCH($CL393,Constants!$B$7,COUNTA($C$9:$C$508)+2,Constants!$B$6,COUNTA($C$9:$C$508)+1,Constants!$B$5,COUNTA($C$9:$C$508)),$CL393))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IF(ISBLANK($C394),"",IFERROR(_xlfn.SWITCH($CL394,Constants!$B$7,COUNTA($C$9:$C$508)+2,Constants!$B$6,COUNTA($C$9:$C$508)+1,Constants!$B$5,COUNTA($C$9:$C$508)),$CL394))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IF(ISBLANK($C395),"",IFERROR(_xlfn.SWITCH($CL395,Constants!$B$7,COUNTA($C$9:$C$508)+2,Constants!$B$6,COUNTA($C$9:$C$508)+1,Constants!$B$5,COUNTA($C$9:$C$508)),$CL395))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IF(ISBLANK($C396),"",IFERROR(_xlfn.SWITCH($CL396,Constants!$B$7,COUNTA($C$9:$C$508)+2,Constants!$B$6,COUNTA($C$9:$C$508)+1,Constants!$B$5,COUNTA($C$9:$C$508)),$CL396))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IF(ISBLANK($C397),"",IFERROR(_xlfn.SWITCH($CL397,Constants!$B$7,COUNTA($C$9:$C$508)+2,Constants!$B$6,COUNTA($C$9:$C$508)+1,Constants!$B$5,COUNTA($C$9:$C$508)),$CL397))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IF(ISBLANK($C398),"",IFERROR(_xlfn.SWITCH($CL398,Constants!$B$7,COUNTA($C$9:$C$508)+2,Constants!$B$6,COUNTA($C$9:$C$508)+1,Constants!$B$5,COUNTA($C$9:$C$508)),$CL398))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IF(ISBLANK($C399),"",IFERROR(_xlfn.SWITCH($CL399,Constants!$B$7,COUNTA($C$9:$C$508)+2,Constants!$B$6,COUNTA($C$9:$C$508)+1,Constants!$B$5,COUNTA($C$9:$C$508)),$CL399))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IF(ISBLANK($C400),"",IFERROR(_xlfn.SWITCH($CL400,Constants!$B$7,COUNTA($C$9:$C$508)+2,Constants!$B$6,COUNTA($C$9:$C$508)+1,Constants!$B$5,COUNTA($C$9:$C$508)),$CL400))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IF(ISBLANK($C401),"",IFERROR(_xlfn.SWITCH($CL401,Constants!$B$7,COUNTA($C$9:$C$508)+2,Constants!$B$6,COUNTA($C$9:$C$508)+1,Constants!$B$5,COUNTA($C$9:$C$508)),$CL401))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IF(ISBLANK($C402),"",IFERROR(_xlfn.SWITCH($CL402,Constants!$B$7,COUNTA($C$9:$C$508)+2,Constants!$B$6,COUNTA($C$9:$C$508)+1,Constants!$B$5,COUNTA($C$9:$C$508)),$CL402))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IF(ISBLANK($C403),"",IFERROR(_xlfn.SWITCH($CL403,Constants!$B$7,COUNTA($C$9:$C$508)+2,Constants!$B$6,COUNTA($C$9:$C$508)+1,Constants!$B$5,COUNTA($C$9:$C$508)),$CL403))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IF(ISBLANK($C404),"",IFERROR(_xlfn.SWITCH($CL404,Constants!$B$7,COUNTA($C$9:$C$508)+2,Constants!$B$6,COUNTA($C$9:$C$508)+1,Constants!$B$5,COUNTA($C$9:$C$508)),$CL404))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IF(ISBLANK($C405),"",IFERROR(_xlfn.SWITCH($CL405,Constants!$B$7,COUNTA($C$9:$C$508)+2,Constants!$B$6,COUNTA($C$9:$C$508)+1,Constants!$B$5,COUNTA($C$9:$C$508)),$CL405))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IF(ISBLANK($C406),"",IFERROR(_xlfn.SWITCH($CL406,Constants!$B$7,COUNTA($C$9:$C$508)+2,Constants!$B$6,COUNTA($C$9:$C$508)+1,Constants!$B$5,COUNTA($C$9:$C$508)),$CL406))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IF(ISBLANK($C407),"",IFERROR(_xlfn.SWITCH($CL407,Constants!$B$7,COUNTA($C$9:$C$508)+2,Constants!$B$6,COUNTA($C$9:$C$508)+1,Constants!$B$5,COUNTA($C$9:$C$508)),$CL407))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IF(ISBLANK($C408),"",IFERROR(_xlfn.SWITCH($CL408,Constants!$B$7,COUNTA($C$9:$C$508)+2,Constants!$B$6,COUNTA($C$9:$C$508)+1,Constants!$B$5,COUNTA($C$9:$C$508)),$CL408))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IF(ISBLANK($C409),"",IFERROR(_xlfn.SWITCH($CL409,Constants!$B$7,COUNTA($C$9:$C$508)+2,Constants!$B$6,COUNTA($C$9:$C$508)+1,Constants!$B$5,COUNTA($C$9:$C$508)),$CL409))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IF(ISBLANK($C410),"",IFERROR(_xlfn.SWITCH($CL410,Constants!$B$7,COUNTA($C$9:$C$508)+2,Constants!$B$6,COUNTA($C$9:$C$508)+1,Constants!$B$5,COUNTA($C$9:$C$508)),$CL410))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IF(ISBLANK($C411),"",IFERROR(_xlfn.SWITCH($CL411,Constants!$B$7,COUNTA($C$9:$C$508)+2,Constants!$B$6,COUNTA($C$9:$C$508)+1,Constants!$B$5,COUNTA($C$9:$C$508)),$CL411))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IF(ISBLANK($C412),"",IFERROR(_xlfn.SWITCH($CL412,Constants!$B$7,COUNTA($C$9:$C$508)+2,Constants!$B$6,COUNTA($C$9:$C$508)+1,Constants!$B$5,COUNTA($C$9:$C$508)),$CL412))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IF(ISBLANK($C413),"",IFERROR(_xlfn.SWITCH($CL413,Constants!$B$7,COUNTA($C$9:$C$508)+2,Constants!$B$6,COUNTA($C$9:$C$508)+1,Constants!$B$5,COUNTA($C$9:$C$508)),$CL413))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IF(ISBLANK($C414),"",IFERROR(_xlfn.SWITCH($CL414,Constants!$B$7,COUNTA($C$9:$C$508)+2,Constants!$B$6,COUNTA($C$9:$C$508)+1,Constants!$B$5,COUNTA($C$9:$C$508)),$CL414))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IF(ISBLANK($C415),"",IFERROR(_xlfn.SWITCH($CL415,Constants!$B$7,COUNTA($C$9:$C$508)+2,Constants!$B$6,COUNTA($C$9:$C$508)+1,Constants!$B$5,COUNTA($C$9:$C$508)),$CL415))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IF(ISBLANK($C416),"",IFERROR(_xlfn.SWITCH($CL416,Constants!$B$7,COUNTA($C$9:$C$508)+2,Constants!$B$6,COUNTA($C$9:$C$508)+1,Constants!$B$5,COUNTA($C$9:$C$508)),$CL416))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IF(ISBLANK($C417),"",IFERROR(_xlfn.SWITCH($CL417,Constants!$B$7,COUNTA($C$9:$C$508)+2,Constants!$B$6,COUNTA($C$9:$C$508)+1,Constants!$B$5,COUNTA($C$9:$C$508)),$CL417))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IF(ISBLANK($C418),"",IFERROR(_xlfn.SWITCH($CL418,Constants!$B$7,COUNTA($C$9:$C$508)+2,Constants!$B$6,COUNTA($C$9:$C$508)+1,Constants!$B$5,COUNTA($C$9:$C$508)),$CL418))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IF(ISBLANK($C419),"",IFERROR(_xlfn.SWITCH($CL419,Constants!$B$7,COUNTA($C$9:$C$508)+2,Constants!$B$6,COUNTA($C$9:$C$508)+1,Constants!$B$5,COUNTA($C$9:$C$508)),$CL419))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IF(ISBLANK($C420),"",IFERROR(_xlfn.SWITCH($CL420,Constants!$B$7,COUNTA($C$9:$C$508)+2,Constants!$B$6,COUNTA($C$9:$C$508)+1,Constants!$B$5,COUNTA($C$9:$C$508)),$CL420))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IF(ISBLANK($C421),"",IFERROR(_xlfn.SWITCH($CL421,Constants!$B$7,COUNTA($C$9:$C$508)+2,Constants!$B$6,COUNTA($C$9:$C$508)+1,Constants!$B$5,COUNTA($C$9:$C$508)),$CL421))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IF(ISBLANK($C422),"",IFERROR(_xlfn.SWITCH($CL422,Constants!$B$7,COUNTA($C$9:$C$508)+2,Constants!$B$6,COUNTA($C$9:$C$508)+1,Constants!$B$5,COUNTA($C$9:$C$508)),$CL422))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IF(ISBLANK($C423),"",IFERROR(_xlfn.SWITCH($CL423,Constants!$B$7,COUNTA($C$9:$C$508)+2,Constants!$B$6,COUNTA($C$9:$C$508)+1,Constants!$B$5,COUNTA($C$9:$C$508)),$CL423))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IF(ISBLANK($C424),"",IFERROR(_xlfn.SWITCH($CL424,Constants!$B$7,COUNTA($C$9:$C$508)+2,Constants!$B$6,COUNTA($C$9:$C$508)+1,Constants!$B$5,COUNTA($C$9:$C$508)),$CL424))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IF(ISBLANK($C425),"",IFERROR(_xlfn.SWITCH($CL425,Constants!$B$7,COUNTA($C$9:$C$508)+2,Constants!$B$6,COUNTA($C$9:$C$508)+1,Constants!$B$5,COUNTA($C$9:$C$508)),$CL425))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IF(ISBLANK($C426),"",IFERROR(_xlfn.SWITCH($CL426,Constants!$B$7,COUNTA($C$9:$C$508)+2,Constants!$B$6,COUNTA($C$9:$C$508)+1,Constants!$B$5,COUNTA($C$9:$C$508)),$CL426))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IF(ISBLANK($C427),"",IFERROR(_xlfn.SWITCH($CL427,Constants!$B$7,COUNTA($C$9:$C$508)+2,Constants!$B$6,COUNTA($C$9:$C$508)+1,Constants!$B$5,COUNTA($C$9:$C$508)),$CL427))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IF(ISBLANK($C428),"",IFERROR(_xlfn.SWITCH($CL428,Constants!$B$7,COUNTA($C$9:$C$508)+2,Constants!$B$6,COUNTA($C$9:$C$508)+1,Constants!$B$5,COUNTA($C$9:$C$508)),$CL428))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IF(ISBLANK($C429),"",IFERROR(_xlfn.SWITCH($CL429,Constants!$B$7,COUNTA($C$9:$C$508)+2,Constants!$B$6,COUNTA($C$9:$C$508)+1,Constants!$B$5,COUNTA($C$9:$C$508)),$CL429))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IF(ISBLANK($C430),"",IFERROR(_xlfn.SWITCH($CL430,Constants!$B$7,COUNTA($C$9:$C$508)+2,Constants!$B$6,COUNTA($C$9:$C$508)+1,Constants!$B$5,COUNTA($C$9:$C$508)),$CL430))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IF(ISBLANK($C431),"",IFERROR(_xlfn.SWITCH($CL431,Constants!$B$7,COUNTA($C$9:$C$508)+2,Constants!$B$6,COUNTA($C$9:$C$508)+1,Constants!$B$5,COUNTA($C$9:$C$508)),$CL431))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IF(ISBLANK($C432),"",IFERROR(_xlfn.SWITCH($CL432,Constants!$B$7,COUNTA($C$9:$C$508)+2,Constants!$B$6,COUNTA($C$9:$C$508)+1,Constants!$B$5,COUNTA($C$9:$C$508)),$CL432))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IF(ISBLANK($C433),"",IFERROR(_xlfn.SWITCH($CL433,Constants!$B$7,COUNTA($C$9:$C$508)+2,Constants!$B$6,COUNTA($C$9:$C$508)+1,Constants!$B$5,COUNTA($C$9:$C$508)),$CL433))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IF(ISBLANK($C434),"",IFERROR(_xlfn.SWITCH($CL434,Constants!$B$7,COUNTA($C$9:$C$508)+2,Constants!$B$6,COUNTA($C$9:$C$508)+1,Constants!$B$5,COUNTA($C$9:$C$508)),$CL434))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IF(ISBLANK($C435),"",IFERROR(_xlfn.SWITCH($CL435,Constants!$B$7,COUNTA($C$9:$C$508)+2,Constants!$B$6,COUNTA($C$9:$C$508)+1,Constants!$B$5,COUNTA($C$9:$C$508)),$CL435))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IF(ISBLANK($C436),"",IFERROR(_xlfn.SWITCH($CL436,Constants!$B$7,COUNTA($C$9:$C$508)+2,Constants!$B$6,COUNTA($C$9:$C$508)+1,Constants!$B$5,COUNTA($C$9:$C$508)),$CL436))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IF(ISBLANK($C437),"",IFERROR(_xlfn.SWITCH($CL437,Constants!$B$7,COUNTA($C$9:$C$508)+2,Constants!$B$6,COUNTA($C$9:$C$508)+1,Constants!$B$5,COUNTA($C$9:$C$508)),$CL437))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IF(ISBLANK($C438),"",IFERROR(_xlfn.SWITCH($CL438,Constants!$B$7,COUNTA($C$9:$C$508)+2,Constants!$B$6,COUNTA($C$9:$C$508)+1,Constants!$B$5,COUNTA($C$9:$C$508)),$CL438))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IF(ISBLANK($C439),"",IFERROR(_xlfn.SWITCH($CL439,Constants!$B$7,COUNTA($C$9:$C$508)+2,Constants!$B$6,COUNTA($C$9:$C$508)+1,Constants!$B$5,COUNTA($C$9:$C$508)),$CL439))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IF(ISBLANK($C440),"",IFERROR(_xlfn.SWITCH($CL440,Constants!$B$7,COUNTA($C$9:$C$508)+2,Constants!$B$6,COUNTA($C$9:$C$508)+1,Constants!$B$5,COUNTA($C$9:$C$508)),$CL440))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IF(ISBLANK($C441),"",IFERROR(_xlfn.SWITCH($CL441,Constants!$B$7,COUNTA($C$9:$C$508)+2,Constants!$B$6,COUNTA($C$9:$C$508)+1,Constants!$B$5,COUNTA($C$9:$C$508)),$CL441))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IF(ISBLANK($C442),"",IFERROR(_xlfn.SWITCH($CL442,Constants!$B$7,COUNTA($C$9:$C$508)+2,Constants!$B$6,COUNTA($C$9:$C$508)+1,Constants!$B$5,COUNTA($C$9:$C$508)),$CL442))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IF(ISBLANK($C443),"",IFERROR(_xlfn.SWITCH($CL443,Constants!$B$7,COUNTA($C$9:$C$508)+2,Constants!$B$6,COUNTA($C$9:$C$508)+1,Constants!$B$5,COUNTA($C$9:$C$508)),$CL443))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IF(ISBLANK($C444),"",IFERROR(_xlfn.SWITCH($CL444,Constants!$B$7,COUNTA($C$9:$C$508)+2,Constants!$B$6,COUNTA($C$9:$C$508)+1,Constants!$B$5,COUNTA($C$9:$C$508)),$CL444))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IF(ISBLANK($C445),"",IFERROR(_xlfn.SWITCH($CL445,Constants!$B$7,COUNTA($C$9:$C$508)+2,Constants!$B$6,COUNTA($C$9:$C$508)+1,Constants!$B$5,COUNTA($C$9:$C$508)),$CL445))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IF(ISBLANK($C446),"",IFERROR(_xlfn.SWITCH($CL446,Constants!$B$7,COUNTA($C$9:$C$508)+2,Constants!$B$6,COUNTA($C$9:$C$508)+1,Constants!$B$5,COUNTA($C$9:$C$508)),$CL446))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IF(ISBLANK($C447),"",IFERROR(_xlfn.SWITCH($CL447,Constants!$B$7,COUNTA($C$9:$C$508)+2,Constants!$B$6,COUNTA($C$9:$C$508)+1,Constants!$B$5,COUNTA($C$9:$C$508)),$CL447))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IF(ISBLANK($C448),"",IFERROR(_xlfn.SWITCH($CL448,Constants!$B$7,COUNTA($C$9:$C$508)+2,Constants!$B$6,COUNTA($C$9:$C$508)+1,Constants!$B$5,COUNTA($C$9:$C$508)),$CL448))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IF(ISBLANK($C449),"",IFERROR(_xlfn.SWITCH($CL449,Constants!$B$7,COUNTA($C$9:$C$508)+2,Constants!$B$6,COUNTA($C$9:$C$508)+1,Constants!$B$5,COUNTA($C$9:$C$508)),$CL449))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IF(ISBLANK($C450),"",IFERROR(_xlfn.SWITCH($CL450,Constants!$B$7,COUNTA($C$9:$C$508)+2,Constants!$B$6,COUNTA($C$9:$C$508)+1,Constants!$B$5,COUNTA($C$9:$C$508)),$CL450))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IF(ISBLANK($C451),"",IFERROR(_xlfn.SWITCH($CL451,Constants!$B$7,COUNTA($C$9:$C$508)+2,Constants!$B$6,COUNTA($C$9:$C$508)+1,Constants!$B$5,COUNTA($C$9:$C$508)),$CL451))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IF(ISBLANK($C452),"",IFERROR(_xlfn.SWITCH($CL452,Constants!$B$7,COUNTA($C$9:$C$508)+2,Constants!$B$6,COUNTA($C$9:$C$508)+1,Constants!$B$5,COUNTA($C$9:$C$508)),$CL452))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IF(ISBLANK($C453),"",IFERROR(_xlfn.SWITCH($CL453,Constants!$B$7,COUNTA($C$9:$C$508)+2,Constants!$B$6,COUNTA($C$9:$C$508)+1,Constants!$B$5,COUNTA($C$9:$C$508)),$CL453))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IF(ISBLANK($C454),"",IFERROR(_xlfn.SWITCH($CL454,Constants!$B$7,COUNTA($C$9:$C$508)+2,Constants!$B$6,COUNTA($C$9:$C$508)+1,Constants!$B$5,COUNTA($C$9:$C$508)),$CL454))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IF(ISBLANK($C455),"",IFERROR(_xlfn.SWITCH($CL455,Constants!$B$7,COUNTA($C$9:$C$508)+2,Constants!$B$6,COUNTA($C$9:$C$508)+1,Constants!$B$5,COUNTA($C$9:$C$508)),$CL455))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IF(ISBLANK($C456),"",IFERROR(_xlfn.SWITCH($CL456,Constants!$B$7,COUNTA($C$9:$C$508)+2,Constants!$B$6,COUNTA($C$9:$C$508)+1,Constants!$B$5,COUNTA($C$9:$C$508)),$CL456))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IF(ISBLANK($C457),"",IFERROR(_xlfn.SWITCH($CL457,Constants!$B$7,COUNTA($C$9:$C$508)+2,Constants!$B$6,COUNTA($C$9:$C$508)+1,Constants!$B$5,COUNTA($C$9:$C$508)),$CL457))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IF(ISBLANK($C458),"",IFERROR(_xlfn.SWITCH($CL458,Constants!$B$7,COUNTA($C$9:$C$508)+2,Constants!$B$6,COUNTA($C$9:$C$508)+1,Constants!$B$5,COUNTA($C$9:$C$508)),$CL458))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IF(ISBLANK($C459),"",IFERROR(_xlfn.SWITCH($CL459,Constants!$B$7,COUNTA($C$9:$C$508)+2,Constants!$B$6,COUNTA($C$9:$C$508)+1,Constants!$B$5,COUNTA($C$9:$C$508)),$CL459))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IF(ISBLANK($C460),"",IFERROR(_xlfn.SWITCH($CL460,Constants!$B$7,COUNTA($C$9:$C$508)+2,Constants!$B$6,COUNTA($C$9:$C$508)+1,Constants!$B$5,COUNTA($C$9:$C$508)),$CL460))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IF(ISBLANK($C461),"",IFERROR(_xlfn.SWITCH($CL461,Constants!$B$7,COUNTA($C$9:$C$508)+2,Constants!$B$6,COUNTA($C$9:$C$508)+1,Constants!$B$5,COUNTA($C$9:$C$508)),$CL461))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IF(ISBLANK($C462),"",IFERROR(_xlfn.SWITCH($CL462,Constants!$B$7,COUNTA($C$9:$C$508)+2,Constants!$B$6,COUNTA($C$9:$C$508)+1,Constants!$B$5,COUNTA($C$9:$C$508)),$CL462))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IF(ISBLANK($C463),"",IFERROR(_xlfn.SWITCH($CL463,Constants!$B$7,COUNTA($C$9:$C$508)+2,Constants!$B$6,COUNTA($C$9:$C$508)+1,Constants!$B$5,COUNTA($C$9:$C$508)),$CL463))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IF(ISBLANK($C464),"",IFERROR(_xlfn.SWITCH($CL464,Constants!$B$7,COUNTA($C$9:$C$508)+2,Constants!$B$6,COUNTA($C$9:$C$508)+1,Constants!$B$5,COUNTA($C$9:$C$508)),$CL464))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IF(ISBLANK($C465),"",IFERROR(_xlfn.SWITCH($CL465,Constants!$B$7,COUNTA($C$9:$C$508)+2,Constants!$B$6,COUNTA($C$9:$C$508)+1,Constants!$B$5,COUNTA($C$9:$C$508)),$CL465))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IF(ISBLANK($C466),"",IFERROR(_xlfn.SWITCH($CL466,Constants!$B$7,COUNTA($C$9:$C$508)+2,Constants!$B$6,COUNTA($C$9:$C$508)+1,Constants!$B$5,COUNTA($C$9:$C$508)),$CL466))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IF(ISBLANK($C467),"",IFERROR(_xlfn.SWITCH($CL467,Constants!$B$7,COUNTA($C$9:$C$508)+2,Constants!$B$6,COUNTA($C$9:$C$508)+1,Constants!$B$5,COUNTA($C$9:$C$508)),$CL467))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IF(ISBLANK($C468),"",IFERROR(_xlfn.SWITCH($CL468,Constants!$B$7,COUNTA($C$9:$C$508)+2,Constants!$B$6,COUNTA($C$9:$C$508)+1,Constants!$B$5,COUNTA($C$9:$C$508)),$CL468))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IF(ISBLANK($C469),"",IFERROR(_xlfn.SWITCH($CL469,Constants!$B$7,COUNTA($C$9:$C$508)+2,Constants!$B$6,COUNTA($C$9:$C$508)+1,Constants!$B$5,COUNTA($C$9:$C$508)),$CL469))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IF(ISBLANK($C470),"",IFERROR(_xlfn.SWITCH($CL470,Constants!$B$7,COUNTA($C$9:$C$508)+2,Constants!$B$6,COUNTA($C$9:$C$508)+1,Constants!$B$5,COUNTA($C$9:$C$508)),$CL470))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IF(ISBLANK($C471),"",IFERROR(_xlfn.SWITCH($CL471,Constants!$B$7,COUNTA($C$9:$C$508)+2,Constants!$B$6,COUNTA($C$9:$C$508)+1,Constants!$B$5,COUNTA($C$9:$C$508)),$CL471))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IF(ISBLANK($C472),"",IFERROR(_xlfn.SWITCH($CL472,Constants!$B$7,COUNTA($C$9:$C$508)+2,Constants!$B$6,COUNTA($C$9:$C$508)+1,Constants!$B$5,COUNTA($C$9:$C$508)),$CL472))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IF(ISBLANK($C473),"",IFERROR(_xlfn.SWITCH($CL473,Constants!$B$7,COUNTA($C$9:$C$508)+2,Constants!$B$6,COUNTA($C$9:$C$508)+1,Constants!$B$5,COUNTA($C$9:$C$508)),$CL473))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IF(ISBLANK($C474),"",IFERROR(_xlfn.SWITCH($CL474,Constants!$B$7,COUNTA($C$9:$C$508)+2,Constants!$B$6,COUNTA($C$9:$C$508)+1,Constants!$B$5,COUNTA($C$9:$C$508)),$CL474))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IF(ISBLANK($C475),"",IFERROR(_xlfn.SWITCH($CL475,Constants!$B$7,COUNTA($C$9:$C$508)+2,Constants!$B$6,COUNTA($C$9:$C$508)+1,Constants!$B$5,COUNTA($C$9:$C$508)),$CL475))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IF(ISBLANK($C476),"",IFERROR(_xlfn.SWITCH($CL476,Constants!$B$7,COUNTA($C$9:$C$508)+2,Constants!$B$6,COUNTA($C$9:$C$508)+1,Constants!$B$5,COUNTA($C$9:$C$508)),$CL476))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IF(ISBLANK($C477),"",IFERROR(_xlfn.SWITCH($CL477,Constants!$B$7,COUNTA($C$9:$C$508)+2,Constants!$B$6,COUNTA($C$9:$C$508)+1,Constants!$B$5,COUNTA($C$9:$C$508)),$CL477))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IF(ISBLANK($C478),"",IFERROR(_xlfn.SWITCH($CL478,Constants!$B$7,COUNTA($C$9:$C$508)+2,Constants!$B$6,COUNTA($C$9:$C$508)+1,Constants!$B$5,COUNTA($C$9:$C$508)),$CL478))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IF(ISBLANK($C479),"",IFERROR(_xlfn.SWITCH($CL479,Constants!$B$7,COUNTA($C$9:$C$508)+2,Constants!$B$6,COUNTA($C$9:$C$508)+1,Constants!$B$5,COUNTA($C$9:$C$508)),$CL479))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IF(ISBLANK($C480),"",IFERROR(_xlfn.SWITCH($CL480,Constants!$B$7,COUNTA($C$9:$C$508)+2,Constants!$B$6,COUNTA($C$9:$C$508)+1,Constants!$B$5,COUNTA($C$9:$C$508)),$CL480))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IF(ISBLANK($C481),"",IFERROR(_xlfn.SWITCH($CL481,Constants!$B$7,COUNTA($C$9:$C$508)+2,Constants!$B$6,COUNTA($C$9:$C$508)+1,Constants!$B$5,COUNTA($C$9:$C$508)),$CL481))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IF(ISBLANK($C482),"",IFERROR(_xlfn.SWITCH($CL482,Constants!$B$7,COUNTA($C$9:$C$508)+2,Constants!$B$6,COUNTA($C$9:$C$508)+1,Constants!$B$5,COUNTA($C$9:$C$508)),$CL482))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IF(ISBLANK($C483),"",IFERROR(_xlfn.SWITCH($CL483,Constants!$B$7,COUNTA($C$9:$C$508)+2,Constants!$B$6,COUNTA($C$9:$C$508)+1,Constants!$B$5,COUNTA($C$9:$C$508)),$CL483))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IF(ISBLANK($C484),"",IFERROR(_xlfn.SWITCH($CL484,Constants!$B$7,COUNTA($C$9:$C$508)+2,Constants!$B$6,COUNTA($C$9:$C$508)+1,Constants!$B$5,COUNTA($C$9:$C$508)),$CL484))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IF(ISBLANK($C485),"",IFERROR(_xlfn.SWITCH($CL485,Constants!$B$7,COUNTA($C$9:$C$508)+2,Constants!$B$6,COUNTA($C$9:$C$508)+1,Constants!$B$5,COUNTA($C$9:$C$508)),$CL485))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IF(ISBLANK($C486),"",IFERROR(_xlfn.SWITCH($CL486,Constants!$B$7,COUNTA($C$9:$C$508)+2,Constants!$B$6,COUNTA($C$9:$C$508)+1,Constants!$B$5,COUNTA($C$9:$C$508)),$CL486))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IF(ISBLANK($C487),"",IFERROR(_xlfn.SWITCH($CL487,Constants!$B$7,COUNTA($C$9:$C$508)+2,Constants!$B$6,COUNTA($C$9:$C$508)+1,Constants!$B$5,COUNTA($C$9:$C$508)),$CL487))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IF(ISBLANK($C488),"",IFERROR(_xlfn.SWITCH($CL488,Constants!$B$7,COUNTA($C$9:$C$508)+2,Constants!$B$6,COUNTA($C$9:$C$508)+1,Constants!$B$5,COUNTA($C$9:$C$508)),$CL488))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IF(ISBLANK($C489),"",IFERROR(_xlfn.SWITCH($CL489,Constants!$B$7,COUNTA($C$9:$C$508)+2,Constants!$B$6,COUNTA($C$9:$C$508)+1,Constants!$B$5,COUNTA($C$9:$C$508)),$CL489))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IF(ISBLANK($C490),"",IFERROR(_xlfn.SWITCH($CL490,Constants!$B$7,COUNTA($C$9:$C$508)+2,Constants!$B$6,COUNTA($C$9:$C$508)+1,Constants!$B$5,COUNTA($C$9:$C$508)),$CL490))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IF(ISBLANK($C491),"",IFERROR(_xlfn.SWITCH($CL491,Constants!$B$7,COUNTA($C$9:$C$508)+2,Constants!$B$6,COUNTA($C$9:$C$508)+1,Constants!$B$5,COUNTA($C$9:$C$508)),$CL491))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IF(ISBLANK($C492),"",IFERROR(_xlfn.SWITCH($CL492,Constants!$B$7,COUNTA($C$9:$C$508)+2,Constants!$B$6,COUNTA($C$9:$C$508)+1,Constants!$B$5,COUNTA($C$9:$C$508)),$CL492))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IF(ISBLANK($C493),"",IFERROR(_xlfn.SWITCH($CL493,Constants!$B$7,COUNTA($C$9:$C$508)+2,Constants!$B$6,COUNTA($C$9:$C$508)+1,Constants!$B$5,COUNTA($C$9:$C$508)),$CL493))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IF(ISBLANK($C494),"",IFERROR(_xlfn.SWITCH($CL494,Constants!$B$7,COUNTA($C$9:$C$508)+2,Constants!$B$6,COUNTA($C$9:$C$508)+1,Constants!$B$5,COUNTA($C$9:$C$508)),$CL494))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IF(ISBLANK($C495),"",IFERROR(_xlfn.SWITCH($CL495,Constants!$B$7,COUNTA($C$9:$C$508)+2,Constants!$B$6,COUNTA($C$9:$C$508)+1,Constants!$B$5,COUNTA($C$9:$C$508)),$CL495))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IF(ISBLANK($C496),"",IFERROR(_xlfn.SWITCH($CL496,Constants!$B$7,COUNTA($C$9:$C$508)+2,Constants!$B$6,COUNTA($C$9:$C$508)+1,Constants!$B$5,COUNTA($C$9:$C$508)),$CL496))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IF(ISBLANK($C497),"",IFERROR(_xlfn.SWITCH($CL497,Constants!$B$7,COUNTA($C$9:$C$508)+2,Constants!$B$6,COUNTA($C$9:$C$508)+1,Constants!$B$5,COUNTA($C$9:$C$508)),$CL497))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IF(ISBLANK($C498),"",IFERROR(_xlfn.SWITCH($CL498,Constants!$B$7,COUNTA($C$9:$C$508)+2,Constants!$B$6,COUNTA($C$9:$C$508)+1,Constants!$B$5,COUNTA($C$9:$C$508)),$CL498))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IF(ISBLANK($C499),"",IFERROR(_xlfn.SWITCH($CL499,Constants!$B$7,COUNTA($C$9:$C$508)+2,Constants!$B$6,COUNTA($C$9:$C$508)+1,Constants!$B$5,COUNTA($C$9:$C$508)),$CL499))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IF(ISBLANK($C500),"",IFERROR(_xlfn.SWITCH($CL500,Constants!$B$7,COUNTA($C$9:$C$508)+2,Constants!$B$6,COUNTA($C$9:$C$508)+1,Constants!$B$5,COUNTA($C$9:$C$508)),$CL500))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IF(ISBLANK($C501),"",IFERROR(_xlfn.SWITCH($CL501,Constants!$B$7,COUNTA($C$9:$C$508)+2,Constants!$B$6,COUNTA($C$9:$C$508)+1,Constants!$B$5,COUNTA($C$9:$C$508)),$CL501))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IF(ISBLANK($C502),"",IFERROR(_xlfn.SWITCH($CL502,Constants!$B$7,COUNTA($C$9:$C$508)+2,Constants!$B$6,COUNTA($C$9:$C$508)+1,Constants!$B$5,COUNTA($C$9:$C$508)),$CL502))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IF(ISBLANK($C503),"",IFERROR(_xlfn.SWITCH($CL503,Constants!$B$7,COUNTA($C$9:$C$508)+2,Constants!$B$6,COUNTA($C$9:$C$508)+1,Constants!$B$5,COUNTA($C$9:$C$508)),$CL503))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IF(ISBLANK($C504),"",IFERROR(_xlfn.SWITCH($CL504,Constants!$B$7,COUNTA($C$9:$C$508)+2,Constants!$B$6,COUNTA($C$9:$C$508)+1,Constants!$B$5,COUNTA($C$9:$C$508)),$CL504))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IF(ISBLANK($C505),"",IFERROR(_xlfn.SWITCH($CL505,Constants!$B$7,COUNTA($C$9:$C$508)+2,Constants!$B$6,COUNTA($C$9:$C$508)+1,Constants!$B$5,COUNTA($C$9:$C$508)),$CL505))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IF(ISBLANK($C506),"",IFERROR(_xlfn.SWITCH($CL506,Constants!$B$7,COUNTA($C$9:$C$508)+2,Constants!$B$6,COUNTA($C$9:$C$508)+1,Constants!$B$5,COUNTA($C$9:$C$508)),$CL506))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IF(ISBLANK($C507),"",IFERROR(_xlfn.SWITCH($CL507,Constants!$B$7,COUNTA($C$9:$C$508)+2,Constants!$B$6,COUNTA($C$9:$C$508)+1,Constants!$B$5,COUNTA($C$9:$C$508)),$CL507))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IF(ISBLANK($C508),"",IFERROR(_xlfn.SWITCH($CL508,Constants!$B$7,COUNTA($C$9:$C$508)+2,Constants!$B$6,COUNTA($C$9:$C$508)+1,Constants!$B$5,COUNTA($C$9:$C$508)),$CL508))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AND($BL9="ERR",$AQ9=TRUE(),$Z9="")</formula>
    </cfRule>
  </conditionalFormatting>
  <conditionalFormatting sqref="H9:H508">
    <cfRule type="expression" priority="6" aboveAverage="0" equalAverage="0" bottom="0" percent="0" rank="0" text="" dxfId="2">
      <formula>AND($BL9="ERR",$AQ9=TRUE(),$AA9="")</formula>
    </cfRule>
  </conditionalFormatting>
  <conditionalFormatting sqref="I9:I508">
    <cfRule type="expression" priority="7" aboveAverage="0" equalAverage="0" bottom="0" percent="0" rank="0" text="" dxfId="2">
      <formula>AND($BL9="ERR",$AQ9=TRUE(),$AB9="")</formula>
    </cfRule>
  </conditionalFormatting>
  <conditionalFormatting sqref="M9:M508">
    <cfRule type="expression" priority="8" aboveAverage="0" equalAverage="0" bottom="0" percent="0" rank="0" text="" dxfId="2">
      <formula>AND($BL9="ERR",$AT9=TRUE(),$AF9="",OR($AE9,NOT(ISBLANK(M9))))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AND($BL9="ERR",$AT9=TRUE(),$AG9="")</formula>
    </cfRule>
  </conditionalFormatting>
  <conditionalFormatting sqref="O9:O508">
    <cfRule type="expression" priority="10" aboveAverage="0" equalAverage="0" bottom="0" percent="0" rank="0" text="" dxfId="2">
      <formula>AND($BL9="ERR",$AT9=TRUE(),$AH9="")</formula>
    </cfRule>
  </conditionalFormatting>
  <conditionalFormatting sqref="S9:S508">
    <cfRule type="expression" priority="11" aboveAverage="0" equalAverage="0" bottom="0" percent="0" rank="0" text="" dxfId="2">
      <formula>AND($BL9="ERR",$BD9=TRUE(),$AL9="",OR($AK9,NOT(ISBLANK(S9))))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AND($BL9="ERR",$BD9=TRUE(),$AM9="")</formula>
    </cfRule>
  </conditionalFormatting>
  <conditionalFormatting sqref="U9:U508">
    <cfRule type="expression" priority="13" aboveAverage="0" equalAverage="0" bottom="0" percent="0" rank="0" text="" dxfId="2">
      <formula>AND($BL9="ERR",$BD9=TRUE(),$AN9="")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AND(ISNUMBER(G9),ROUND(G9,1)&gt;30)</formula>
    </cfRule>
  </conditionalFormatting>
  <conditionalFormatting sqref="H9:H508">
    <cfRule type="expression" priority="17" aboveAverage="0" equalAverage="0" bottom="0" percent="0" rank="0" text="" dxfId="1">
      <formula>AND(ISNUMBER(H9),ROUND(H9,1)&gt;80)</formula>
    </cfRule>
  </conditionalFormatting>
  <conditionalFormatting sqref="I9:I508">
    <cfRule type="expression" priority="18" aboveAverage="0" equalAverage="0" bottom="0" percent="0" rank="0" text="" dxfId="1">
      <formula>AND(ISNUMBER(I9),ROUND(I9,1)&gt;60)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Constants!$B$19</formula1>
      <formula2>Constants!$B$20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77</v>
      </c>
      <c r="B1" s="166" t="s">
        <v>78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79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80</v>
      </c>
    </row>
    <row r="4" customFormat="false" ht="15.75" hidden="false" customHeight="false" outlineLevel="0" collapsed="false">
      <c r="A4" s="166" t="s">
        <v>81</v>
      </c>
      <c r="B4" s="166" t="s">
        <v>82</v>
      </c>
    </row>
    <row r="5" customFormat="false" ht="15.75" hidden="false" customHeight="false" outlineLevel="0" collapsed="false">
      <c r="A5" s="166" t="s">
        <v>83</v>
      </c>
      <c r="B5" s="166" t="s">
        <v>84</v>
      </c>
    </row>
    <row r="6" customFormat="false" ht="15.75" hidden="false" customHeight="false" outlineLevel="0" collapsed="false">
      <c r="A6" s="166" t="s">
        <v>85</v>
      </c>
      <c r="B6" s="166" t="s">
        <v>86</v>
      </c>
    </row>
    <row r="7" customFormat="false" ht="15.75" hidden="false" customHeight="false" outlineLevel="0" collapsed="false">
      <c r="A7" s="166" t="s">
        <v>87</v>
      </c>
      <c r="B7" s="166" t="s">
        <v>88</v>
      </c>
    </row>
    <row r="8" customFormat="false" ht="15.75" hidden="false" customHeight="false" outlineLevel="0" collapsed="false">
      <c r="A8" s="166" t="s">
        <v>89</v>
      </c>
      <c r="B8" s="166" t="s">
        <v>90</v>
      </c>
    </row>
    <row r="9" customFormat="false" ht="15.75" hidden="false" customHeight="false" outlineLevel="0" collapsed="false">
      <c r="A9" s="166" t="s">
        <v>91</v>
      </c>
      <c r="B9" s="166" t="n">
        <v>1</v>
      </c>
    </row>
    <row r="10" customFormat="false" ht="15.75" hidden="false" customHeight="false" outlineLevel="0" collapsed="false">
      <c r="A10" s="166" t="s">
        <v>92</v>
      </c>
      <c r="B10" s="166" t="n">
        <v>2</v>
      </c>
    </row>
    <row r="11" customFormat="false" ht="15.75" hidden="false" customHeight="false" outlineLevel="0" collapsed="false">
      <c r="A11" s="166" t="s">
        <v>93</v>
      </c>
      <c r="B11" s="166" t="n">
        <v>3</v>
      </c>
    </row>
    <row r="12" customFormat="false" ht="15.75" hidden="false" customHeight="false" outlineLevel="0" collapsed="false">
      <c r="A12" s="166" t="s">
        <v>94</v>
      </c>
      <c r="B12" s="166" t="n">
        <v>60</v>
      </c>
    </row>
    <row r="13" customFormat="false" ht="15.75" hidden="false" customHeight="false" outlineLevel="0" collapsed="false">
      <c r="A13" s="166" t="s">
        <v>95</v>
      </c>
      <c r="B13" s="166" t="n">
        <v>30</v>
      </c>
    </row>
    <row r="14" customFormat="false" ht="15.75" hidden="false" customHeight="false" outlineLevel="0" collapsed="false">
      <c r="A14" s="166" t="s">
        <v>96</v>
      </c>
      <c r="B14" s="166" t="n">
        <v>80</v>
      </c>
    </row>
    <row r="15" customFormat="false" ht="15.75" hidden="false" customHeight="false" outlineLevel="0" collapsed="false">
      <c r="A15" s="166" t="s">
        <v>97</v>
      </c>
      <c r="B15" s="166" t="n">
        <v>5</v>
      </c>
    </row>
    <row r="16" customFormat="false" ht="15.75" hidden="false" customHeight="false" outlineLevel="0" collapsed="false">
      <c r="A16" s="166" t="s">
        <v>98</v>
      </c>
      <c r="B16" s="166" t="n">
        <v>50</v>
      </c>
    </row>
    <row r="17" customFormat="false" ht="15.75" hidden="false" customHeight="false" outlineLevel="0" collapsed="false">
      <c r="A17" s="166" t="s">
        <v>99</v>
      </c>
      <c r="B17" s="166" t="n">
        <v>2</v>
      </c>
    </row>
    <row r="18" customFormat="false" ht="15.75" hidden="false" customHeight="false" outlineLevel="0" collapsed="false">
      <c r="A18" s="166" t="s">
        <v>100</v>
      </c>
      <c r="B18" s="166" t="n">
        <v>3</v>
      </c>
    </row>
    <row r="19" customFormat="false" ht="15.75" hidden="false" customHeight="false" outlineLevel="0" collapsed="false">
      <c r="A19" s="166" t="s">
        <v>101</v>
      </c>
      <c r="B19" s="166" t="n">
        <v>30</v>
      </c>
    </row>
    <row r="20" customFormat="false" ht="15.75" hidden="false" customHeight="false" outlineLevel="0" collapsed="false">
      <c r="A20" s="166" t="s">
        <v>102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n">
        <f aca="false">ExportRaw!$C2</f>
        <v>0</v>
      </c>
      <c r="C2" s="168" t="n">
        <f aca="false">ExportRaw!$G2</f>
        <v>0</v>
      </c>
      <c r="D2" s="168" t="str">
        <f aca="false">ExportRaw!$E2</f>
        <v/>
      </c>
      <c r="E2" s="169" t="str">
        <f aca="false">ExportRaw!$D2</f>
        <v/>
      </c>
      <c r="F2" s="168" t="str">
        <f aca="false">ExportRaw!$H2</f>
        <v/>
      </c>
      <c r="G2" s="170" t="str">
        <f aca="false">ExportRaw!$I2</f>
        <v/>
      </c>
      <c r="H2" s="168" t="str">
        <f aca="false">ExportRaw!$A2</f>
        <v/>
      </c>
      <c r="I2" s="168" t="str">
        <f aca="false">ExportRaw!$B2</f>
        <v/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103</v>
      </c>
      <c r="B1" s="167" t="s">
        <v>104</v>
      </c>
      <c r="C1" s="167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106</v>
      </c>
      <c r="C2" s="168" t="s">
        <v>107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108</v>
      </c>
      <c r="B1" s="168" t="s">
        <v>109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110</v>
      </c>
      <c r="B2" s="174" t="n">
        <v>46295</v>
      </c>
      <c r="C2" s="168"/>
      <c r="D2" s="168" t="s">
        <v>111</v>
      </c>
      <c r="E2" s="168" t="s">
        <v>112</v>
      </c>
      <c r="F2" s="168" t="s">
        <v>113</v>
      </c>
      <c r="G2" s="168" t="s">
        <v>114</v>
      </c>
      <c r="H2" s="168" t="s">
        <v>115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116</v>
      </c>
      <c r="B3" s="6" t="s">
        <v>106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117</v>
      </c>
      <c r="B4" s="168" t="s">
        <v>118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119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120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121</v>
      </c>
      <c r="B7" s="168" t="s">
        <v>106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122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123</v>
      </c>
      <c r="B1" s="168" t="s">
        <v>124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125</v>
      </c>
      <c r="B2" s="168" t="s">
        <v>125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126</v>
      </c>
      <c r="B3" s="168" t="s">
        <v>127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127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/>
      </c>
      <c r="B2" s="6" t="str">
        <f aca="false">Scoring!CL9</f>
        <v/>
      </c>
      <c r="C2" s="6" t="n">
        <f aca="false">Scoring!C9</f>
        <v>0</v>
      </c>
      <c r="D2" s="175" t="str">
        <f aca="false">Scoring!CI9</f>
        <v/>
      </c>
      <c r="E2" s="6" t="str">
        <f aca="false">Scoring!BL9</f>
        <v/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/>
      </c>
      <c r="I2" s="176" t="str">
        <f aca="false">Scoring!CJ9</f>
        <v/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2026-09-30T22:55:30Z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